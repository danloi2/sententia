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/>
  <xr:revisionPtr revIDLastSave="369" documentId="11_C30322C5BDEC7A68C30F4DA4ED1587F9DD0A55A0" xr6:coauthVersionLast="47" xr6:coauthVersionMax="47" xr10:uidLastSave="{D51F89C5-DE3C-4FE9-A9A6-ABD7AA0A3D41}"/>
  <bookViews>
    <workbookView xWindow="0" yWindow="0" windowWidth="16384" windowHeight="8192" tabRatio="500" xr2:uid="{00000000-000D-0000-FFFF-FFFF00000000}"/>
  </bookViews>
  <sheets>
    <sheet name="frases" sheetId="1" r:id="rId1"/>
    <sheet name="autores" sheetId="2" r:id="rId2"/>
    <sheet name="idiomas" sheetId="4" r:id="rId3"/>
    <sheet name="naciones" sheetId="5" r:id="rId4"/>
    <sheet name="epocas" sheetId="3" r:id="rId5"/>
    <sheet name="info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M373" i="1" l="1"/>
  <c r="M372" i="1"/>
  <c r="M371" i="1"/>
  <c r="M370" i="1"/>
  <c r="M369" i="1"/>
  <c r="L373" i="1"/>
  <c r="L372" i="1"/>
  <c r="L371" i="1"/>
  <c r="L370" i="1"/>
  <c r="L369" i="1"/>
  <c r="J373" i="1"/>
  <c r="J372" i="1"/>
  <c r="J371" i="1"/>
  <c r="J370" i="1"/>
  <c r="J369" i="1"/>
  <c r="H373" i="1"/>
  <c r="H372" i="1"/>
  <c r="H371" i="1"/>
  <c r="H370" i="1"/>
  <c r="H369" i="1"/>
  <c r="G373" i="1"/>
  <c r="G372" i="1"/>
  <c r="G371" i="1"/>
  <c r="G370" i="1"/>
  <c r="G369" i="1"/>
  <c r="F373" i="1"/>
  <c r="F372" i="1"/>
  <c r="F371" i="1"/>
  <c r="F370" i="1"/>
  <c r="F369" i="1"/>
  <c r="B2" i="6"/>
  <c r="B1" i="6"/>
  <c r="M2" i="2" a="1"/>
  <c r="M2" i="2"/>
  <c r="N14" i="1" s="1"/>
  <c r="M3" i="2" a="1"/>
  <c r="M3" i="2"/>
  <c r="N9" i="1" s="1"/>
  <c r="M4" i="2" a="1"/>
  <c r="M4" i="2"/>
  <c r="N10" i="1" s="1"/>
  <c r="M5" i="2" a="1"/>
  <c r="M5" i="2"/>
  <c r="M6" i="2" a="1"/>
  <c r="M6" i="2"/>
  <c r="N15" i="1" s="1"/>
  <c r="M7" i="2" a="1"/>
  <c r="M7" i="2"/>
  <c r="M8" i="2" a="1"/>
  <c r="M8" i="2"/>
  <c r="N12" i="1" s="1"/>
  <c r="M9" i="2" a="1"/>
  <c r="M9" i="2"/>
  <c r="N369" i="1" s="1"/>
  <c r="M10" i="2" a="1"/>
  <c r="M10" i="2"/>
  <c r="M11" i="2" a="1"/>
  <c r="M11" i="2"/>
  <c r="M12" i="2" a="1"/>
  <c r="M12" i="2"/>
  <c r="N2" i="1" s="1"/>
  <c r="M13" i="2" a="1"/>
  <c r="M13" i="2"/>
  <c r="N5" i="1" s="1"/>
  <c r="M14" i="2" a="1"/>
  <c r="M14" i="2"/>
  <c r="M15" i="2" a="1"/>
  <c r="M15" i="2"/>
  <c r="N370" i="1" s="1"/>
  <c r="M16" i="2" a="1"/>
  <c r="M16" i="2"/>
  <c r="N18" i="1" s="1"/>
  <c r="M17" i="2" a="1"/>
  <c r="M17" i="2"/>
  <c r="N19" i="1" s="1"/>
  <c r="M18" i="2" a="1"/>
  <c r="M18" i="2"/>
  <c r="M19" i="2" a="1"/>
  <c r="M19" i="2"/>
  <c r="M20" i="2" a="1"/>
  <c r="M20" i="2"/>
  <c r="M21" i="2" a="1"/>
  <c r="M21" i="2"/>
  <c r="M22" i="2" a="1"/>
  <c r="M22" i="2"/>
  <c r="M23" i="2" a="1"/>
  <c r="M23" i="2"/>
  <c r="M24" i="2" a="1"/>
  <c r="M24" i="2"/>
  <c r="M25" i="2" a="1"/>
  <c r="M25" i="2"/>
  <c r="N74" i="1" s="1"/>
  <c r="M26" i="2" a="1"/>
  <c r="M26" i="2"/>
  <c r="M27" i="2" a="1"/>
  <c r="M27" i="2"/>
  <c r="M28" i="2" a="1"/>
  <c r="M28" i="2"/>
  <c r="M29" i="2" a="1"/>
  <c r="M29" i="2"/>
  <c r="M30" i="2" a="1"/>
  <c r="M30" i="2"/>
  <c r="N111" i="1" s="1"/>
  <c r="M31" i="2" a="1"/>
  <c r="M31" i="2"/>
  <c r="N112" i="1" s="1"/>
  <c r="M32" i="2" a="1"/>
  <c r="M32" i="2"/>
  <c r="N113" i="1" s="1"/>
  <c r="M33" i="2" a="1"/>
  <c r="M33" i="2"/>
  <c r="N114" i="1" s="1"/>
  <c r="M34" i="2" a="1"/>
  <c r="M34" i="2"/>
  <c r="N115" i="1" s="1"/>
  <c r="M35" i="2" a="1"/>
  <c r="M35" i="2"/>
  <c r="N116" i="1" s="1"/>
  <c r="M36" i="2" a="1"/>
  <c r="M36" i="2"/>
  <c r="N117" i="1" s="1"/>
  <c r="M37" i="2" a="1"/>
  <c r="M37" i="2"/>
  <c r="N119" i="1" s="1"/>
  <c r="M38" i="2" a="1"/>
  <c r="M38" i="2"/>
  <c r="N371" i="1" s="1"/>
  <c r="M39" i="2" a="1"/>
  <c r="M39" i="2"/>
  <c r="N372" i="1" s="1"/>
  <c r="M40" i="2" a="1"/>
  <c r="M40" i="2"/>
  <c r="N373" i="1" s="1"/>
  <c r="M41" i="2" a="1"/>
  <c r="M41" i="2"/>
  <c r="M42" i="2" a="1"/>
  <c r="M42" i="2"/>
  <c r="M43" i="2" a="1"/>
  <c r="M43" i="2"/>
  <c r="M44" i="2" a="1"/>
  <c r="M44" i="2"/>
  <c r="M45" i="2" a="1"/>
  <c r="M45" i="2"/>
  <c r="M46" i="2" a="1"/>
  <c r="M46" i="2"/>
  <c r="M47" i="2" a="1"/>
  <c r="M47" i="2"/>
  <c r="M48" i="2" a="1"/>
  <c r="M48" i="2"/>
  <c r="M49" i="2" a="1"/>
  <c r="M49" i="2"/>
  <c r="M50" i="2" a="1"/>
  <c r="M50" i="2"/>
  <c r="M51" i="2" a="1"/>
  <c r="M51" i="2"/>
  <c r="M52" i="2" a="1"/>
  <c r="M52" i="2"/>
  <c r="M53" i="2" a="1"/>
  <c r="M53" i="2"/>
  <c r="M54" i="2" a="1"/>
  <c r="M54" i="2"/>
  <c r="M55" i="2" a="1"/>
  <c r="M55" i="2"/>
  <c r="M56" i="2" a="1"/>
  <c r="M56" i="2"/>
  <c r="M57" i="2" a="1"/>
  <c r="M57" i="2"/>
  <c r="M58" i="2" a="1"/>
  <c r="M58" i="2"/>
  <c r="M59" i="2" a="1"/>
  <c r="M59" i="2"/>
  <c r="M60" i="2" a="1"/>
  <c r="M60" i="2"/>
  <c r="M61" i="2" a="1"/>
  <c r="M61" i="2"/>
  <c r="M62" i="2" a="1"/>
  <c r="M62" i="2"/>
  <c r="M63" i="2" a="1"/>
  <c r="M63" i="2"/>
  <c r="M64" i="2" a="1"/>
  <c r="M64" i="2"/>
  <c r="N3" i="2"/>
  <c r="O9" i="1" s="1"/>
  <c r="N4" i="2"/>
  <c r="O10" i="1" s="1"/>
  <c r="N5" i="2"/>
  <c r="N6" i="2"/>
  <c r="O15" i="1" s="1"/>
  <c r="N7" i="2"/>
  <c r="N8" i="2"/>
  <c r="O12" i="1" s="1"/>
  <c r="N9" i="2"/>
  <c r="O369" i="1" s="1"/>
  <c r="N10" i="2"/>
  <c r="N11" i="2"/>
  <c r="N12" i="2"/>
  <c r="O2" i="1" s="1"/>
  <c r="N13" i="2"/>
  <c r="O5" i="1" s="1"/>
  <c r="N14" i="2"/>
  <c r="N15" i="2"/>
  <c r="O370" i="1" s="1"/>
  <c r="N16" i="2"/>
  <c r="O18" i="1" s="1"/>
  <c r="N17" i="2"/>
  <c r="O19" i="1" s="1"/>
  <c r="N18" i="2"/>
  <c r="N19" i="2"/>
  <c r="N20" i="2"/>
  <c r="N21" i="2"/>
  <c r="N22" i="2"/>
  <c r="N23" i="2"/>
  <c r="N24" i="2"/>
  <c r="N25" i="2"/>
  <c r="O74" i="1" s="1"/>
  <c r="N26" i="2"/>
  <c r="N27" i="2"/>
  <c r="N28" i="2"/>
  <c r="N29" i="2"/>
  <c r="N30" i="2"/>
  <c r="O111" i="1" s="1"/>
  <c r="N31" i="2"/>
  <c r="O112" i="1" s="1"/>
  <c r="N32" i="2"/>
  <c r="O113" i="1" s="1"/>
  <c r="N33" i="2"/>
  <c r="O114" i="1" s="1"/>
  <c r="N34" i="2"/>
  <c r="O115" i="1" s="1"/>
  <c r="N35" i="2"/>
  <c r="O116" i="1" s="1"/>
  <c r="N36" i="2"/>
  <c r="O117" i="1" s="1"/>
  <c r="N37" i="2"/>
  <c r="O119" i="1" s="1"/>
  <c r="N38" i="2"/>
  <c r="O371" i="1" s="1"/>
  <c r="N39" i="2"/>
  <c r="O372" i="1" s="1"/>
  <c r="N40" i="2"/>
  <c r="O373" i="1" s="1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2" i="2"/>
  <c r="O14" i="1" s="1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M2" i="1"/>
  <c r="L2" i="1"/>
  <c r="L2" i="2"/>
  <c r="M14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2" i="1"/>
  <c r="J3" i="2"/>
  <c r="I9" i="1" s="1"/>
  <c r="J4" i="2"/>
  <c r="I10" i="1" s="1"/>
  <c r="J5" i="2"/>
  <c r="J6" i="2"/>
  <c r="I15" i="1" s="1"/>
  <c r="J7" i="2"/>
  <c r="J8" i="2"/>
  <c r="I12" i="1" s="1"/>
  <c r="J9" i="2"/>
  <c r="I369" i="1" s="1"/>
  <c r="J10" i="2"/>
  <c r="J11" i="2"/>
  <c r="J12" i="2"/>
  <c r="I2" i="1" s="1"/>
  <c r="J13" i="2"/>
  <c r="I5" i="1" s="1"/>
  <c r="J14" i="2"/>
  <c r="J15" i="2"/>
  <c r="I370" i="1" s="1"/>
  <c r="J16" i="2"/>
  <c r="I18" i="1" s="1"/>
  <c r="J17" i="2"/>
  <c r="I19" i="1" s="1"/>
  <c r="J18" i="2"/>
  <c r="J19" i="2"/>
  <c r="J20" i="2"/>
  <c r="J21" i="2"/>
  <c r="J22" i="2"/>
  <c r="J23" i="2"/>
  <c r="J24" i="2"/>
  <c r="J25" i="2"/>
  <c r="I74" i="1" s="1"/>
  <c r="J26" i="2"/>
  <c r="J27" i="2"/>
  <c r="J28" i="2"/>
  <c r="J29" i="2"/>
  <c r="J30" i="2"/>
  <c r="I111" i="1" s="1"/>
  <c r="J31" i="2"/>
  <c r="I112" i="1" s="1"/>
  <c r="J32" i="2"/>
  <c r="I113" i="1" s="1"/>
  <c r="J33" i="2"/>
  <c r="I114" i="1" s="1"/>
  <c r="J34" i="2"/>
  <c r="I115" i="1" s="1"/>
  <c r="J35" i="2"/>
  <c r="I116" i="1" s="1"/>
  <c r="J36" i="2"/>
  <c r="I117" i="1" s="1"/>
  <c r="J37" i="2"/>
  <c r="I119" i="1" s="1"/>
  <c r="J38" i="2"/>
  <c r="I371" i="1" s="1"/>
  <c r="J39" i="2"/>
  <c r="I372" i="1" s="1"/>
  <c r="J40" i="2"/>
  <c r="I373" i="1" s="1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2" i="2"/>
  <c r="I14" i="1" s="1"/>
  <c r="I3" i="2"/>
  <c r="K9" i="1" s="1"/>
  <c r="I4" i="2"/>
  <c r="K10" i="1" s="1"/>
  <c r="I5" i="2"/>
  <c r="I6" i="2"/>
  <c r="K15" i="1" s="1"/>
  <c r="I7" i="2"/>
  <c r="I8" i="2"/>
  <c r="K12" i="1" s="1"/>
  <c r="I9" i="2"/>
  <c r="K369" i="1" s="1"/>
  <c r="I10" i="2"/>
  <c r="I11" i="2"/>
  <c r="I12" i="2"/>
  <c r="K2" i="1" s="1"/>
  <c r="I13" i="2"/>
  <c r="K5" i="1" s="1"/>
  <c r="I14" i="2"/>
  <c r="I15" i="2"/>
  <c r="K370" i="1" s="1"/>
  <c r="I16" i="2"/>
  <c r="K18" i="1" s="1"/>
  <c r="I17" i="2"/>
  <c r="K19" i="1" s="1"/>
  <c r="I18" i="2"/>
  <c r="I19" i="2"/>
  <c r="I20" i="2"/>
  <c r="I21" i="2"/>
  <c r="I22" i="2"/>
  <c r="I23" i="2"/>
  <c r="I24" i="2"/>
  <c r="I25" i="2"/>
  <c r="K74" i="1" s="1"/>
  <c r="I26" i="2"/>
  <c r="I27" i="2"/>
  <c r="I28" i="2"/>
  <c r="I29" i="2"/>
  <c r="I30" i="2"/>
  <c r="K111" i="1" s="1"/>
  <c r="I31" i="2"/>
  <c r="K112" i="1" s="1"/>
  <c r="I32" i="2"/>
  <c r="K113" i="1" s="1"/>
  <c r="I33" i="2"/>
  <c r="K114" i="1" s="1"/>
  <c r="I34" i="2"/>
  <c r="K115" i="1" s="1"/>
  <c r="I35" i="2"/>
  <c r="K116" i="1" s="1"/>
  <c r="I36" i="2"/>
  <c r="K117" i="1" s="1"/>
  <c r="I37" i="2"/>
  <c r="K119" i="1" s="1"/>
  <c r="I38" i="2"/>
  <c r="K371" i="1" s="1"/>
  <c r="I39" i="2"/>
  <c r="K372" i="1" s="1"/>
  <c r="I40" i="2"/>
  <c r="K373" i="1" s="1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2" i="2"/>
  <c r="K14" i="1" s="1"/>
  <c r="F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4" i="1"/>
  <c r="F5" i="1"/>
  <c r="F6" i="1"/>
  <c r="F7" i="1"/>
  <c r="F8" i="1"/>
  <c r="F9" i="1"/>
  <c r="F10" i="1"/>
  <c r="F3" i="1"/>
  <c r="O350" i="1" l="1"/>
  <c r="O351" i="1"/>
  <c r="O352" i="1"/>
  <c r="O353" i="1"/>
  <c r="O354" i="1"/>
  <c r="O355" i="1"/>
  <c r="O356" i="1"/>
  <c r="O357" i="1"/>
  <c r="O358" i="1"/>
  <c r="O359" i="1"/>
  <c r="O340" i="1"/>
  <c r="O341" i="1"/>
  <c r="O342" i="1"/>
  <c r="O343" i="1"/>
  <c r="O344" i="1"/>
  <c r="O345" i="1"/>
  <c r="O346" i="1"/>
  <c r="O347" i="1"/>
  <c r="O348" i="1"/>
  <c r="O349" i="1"/>
  <c r="O330" i="1"/>
  <c r="O331" i="1"/>
  <c r="O332" i="1"/>
  <c r="O333" i="1"/>
  <c r="O334" i="1"/>
  <c r="O335" i="1"/>
  <c r="O336" i="1"/>
  <c r="O337" i="1"/>
  <c r="O338" i="1"/>
  <c r="O339" i="1"/>
  <c r="O320" i="1"/>
  <c r="O321" i="1"/>
  <c r="O322" i="1"/>
  <c r="O323" i="1"/>
  <c r="O324" i="1"/>
  <c r="O325" i="1"/>
  <c r="O326" i="1"/>
  <c r="O327" i="1"/>
  <c r="O328" i="1"/>
  <c r="O329" i="1"/>
  <c r="O310" i="1"/>
  <c r="O311" i="1"/>
  <c r="O312" i="1"/>
  <c r="O313" i="1"/>
  <c r="O314" i="1"/>
  <c r="O315" i="1"/>
  <c r="O316" i="1"/>
  <c r="O317" i="1"/>
  <c r="O318" i="1"/>
  <c r="O319" i="1"/>
  <c r="O300" i="1"/>
  <c r="O301" i="1"/>
  <c r="O302" i="1"/>
  <c r="O303" i="1"/>
  <c r="O304" i="1"/>
  <c r="O305" i="1"/>
  <c r="O306" i="1"/>
  <c r="O307" i="1"/>
  <c r="O308" i="1"/>
  <c r="O309" i="1"/>
  <c r="O290" i="1"/>
  <c r="O291" i="1"/>
  <c r="O292" i="1"/>
  <c r="O293" i="1"/>
  <c r="O294" i="1"/>
  <c r="O295" i="1"/>
  <c r="O296" i="1"/>
  <c r="O297" i="1"/>
  <c r="O298" i="1"/>
  <c r="O299" i="1"/>
  <c r="O280" i="1"/>
  <c r="O281" i="1"/>
  <c r="O282" i="1"/>
  <c r="O283" i="1"/>
  <c r="O284" i="1"/>
  <c r="O285" i="1"/>
  <c r="O286" i="1"/>
  <c r="O287" i="1"/>
  <c r="O288" i="1"/>
  <c r="O289" i="1"/>
  <c r="O368" i="1"/>
  <c r="O270" i="1"/>
  <c r="O271" i="1"/>
  <c r="O272" i="1"/>
  <c r="O273" i="1"/>
  <c r="O274" i="1"/>
  <c r="O275" i="1"/>
  <c r="O276" i="1"/>
  <c r="O277" i="1"/>
  <c r="O278" i="1"/>
  <c r="O279" i="1"/>
  <c r="O260" i="1"/>
  <c r="O261" i="1"/>
  <c r="O262" i="1"/>
  <c r="O263" i="1"/>
  <c r="O264" i="1"/>
  <c r="O265" i="1"/>
  <c r="O266" i="1"/>
  <c r="O267" i="1"/>
  <c r="O268" i="1"/>
  <c r="O269" i="1"/>
  <c r="O362" i="1"/>
  <c r="O366" i="1"/>
  <c r="O250" i="1"/>
  <c r="O251" i="1"/>
  <c r="O252" i="1"/>
  <c r="O253" i="1"/>
  <c r="O254" i="1"/>
  <c r="O255" i="1"/>
  <c r="O256" i="1"/>
  <c r="O257" i="1"/>
  <c r="O258" i="1"/>
  <c r="O259" i="1"/>
  <c r="O240" i="1"/>
  <c r="O241" i="1"/>
  <c r="O242" i="1"/>
  <c r="O243" i="1"/>
  <c r="O244" i="1"/>
  <c r="O245" i="1"/>
  <c r="O246" i="1"/>
  <c r="O247" i="1"/>
  <c r="O248" i="1"/>
  <c r="O249" i="1"/>
  <c r="O230" i="1"/>
  <c r="O231" i="1"/>
  <c r="O232" i="1"/>
  <c r="O233" i="1"/>
  <c r="O234" i="1"/>
  <c r="O235" i="1"/>
  <c r="O236" i="1"/>
  <c r="O237" i="1"/>
  <c r="O238" i="1"/>
  <c r="O239" i="1"/>
  <c r="O220" i="1"/>
  <c r="O221" i="1"/>
  <c r="O222" i="1"/>
  <c r="O223" i="1"/>
  <c r="O224" i="1"/>
  <c r="O225" i="1"/>
  <c r="O226" i="1"/>
  <c r="O227" i="1"/>
  <c r="O228" i="1"/>
  <c r="O229" i="1"/>
  <c r="O210" i="1"/>
  <c r="O211" i="1"/>
  <c r="O212" i="1"/>
  <c r="O213" i="1"/>
  <c r="O214" i="1"/>
  <c r="O215" i="1"/>
  <c r="O216" i="1"/>
  <c r="O217" i="1"/>
  <c r="O218" i="1"/>
  <c r="O219" i="1"/>
  <c r="O200" i="1"/>
  <c r="O201" i="1"/>
  <c r="O202" i="1"/>
  <c r="O203" i="1"/>
  <c r="O204" i="1"/>
  <c r="O205" i="1"/>
  <c r="O206" i="1"/>
  <c r="O207" i="1"/>
  <c r="O208" i="1"/>
  <c r="O209" i="1"/>
  <c r="O190" i="1"/>
  <c r="O191" i="1"/>
  <c r="O192" i="1"/>
  <c r="O193" i="1"/>
  <c r="O194" i="1"/>
  <c r="O195" i="1"/>
  <c r="O196" i="1"/>
  <c r="O197" i="1"/>
  <c r="O198" i="1"/>
  <c r="O199" i="1"/>
  <c r="O180" i="1"/>
  <c r="O181" i="1"/>
  <c r="O182" i="1"/>
  <c r="O183" i="1"/>
  <c r="O184" i="1"/>
  <c r="O185" i="1"/>
  <c r="O186" i="1"/>
  <c r="O187" i="1"/>
  <c r="O188" i="1"/>
  <c r="O189" i="1"/>
  <c r="O170" i="1"/>
  <c r="O171" i="1"/>
  <c r="O172" i="1"/>
  <c r="O173" i="1"/>
  <c r="O174" i="1"/>
  <c r="O175" i="1"/>
  <c r="O176" i="1"/>
  <c r="O177" i="1"/>
  <c r="O178" i="1"/>
  <c r="O179" i="1"/>
  <c r="O120" i="1"/>
  <c r="O121" i="1"/>
  <c r="O122" i="1"/>
  <c r="O123" i="1"/>
  <c r="O124" i="1"/>
  <c r="O125" i="1"/>
  <c r="O126" i="1"/>
  <c r="O127" i="1"/>
  <c r="O128" i="1"/>
  <c r="O129" i="1"/>
  <c r="O160" i="1"/>
  <c r="O161" i="1"/>
  <c r="O162" i="1"/>
  <c r="O163" i="1"/>
  <c r="O164" i="1"/>
  <c r="O165" i="1"/>
  <c r="O166" i="1"/>
  <c r="O167" i="1"/>
  <c r="O168" i="1"/>
  <c r="O169" i="1"/>
  <c r="O150" i="1"/>
  <c r="O151" i="1"/>
  <c r="O152" i="1"/>
  <c r="O153" i="1"/>
  <c r="O154" i="1"/>
  <c r="O155" i="1"/>
  <c r="O156" i="1"/>
  <c r="O157" i="1"/>
  <c r="O158" i="1"/>
  <c r="O159" i="1"/>
  <c r="O140" i="1"/>
  <c r="O141" i="1"/>
  <c r="O142" i="1"/>
  <c r="O143" i="1"/>
  <c r="O144" i="1"/>
  <c r="O145" i="1"/>
  <c r="O146" i="1"/>
  <c r="O147" i="1"/>
  <c r="O148" i="1"/>
  <c r="O149" i="1"/>
  <c r="O130" i="1"/>
  <c r="O131" i="1"/>
  <c r="O132" i="1"/>
  <c r="O133" i="1"/>
  <c r="O134" i="1"/>
  <c r="O135" i="1"/>
  <c r="O136" i="1"/>
  <c r="O137" i="1"/>
  <c r="O138" i="1"/>
  <c r="O139" i="1"/>
  <c r="O100" i="1"/>
  <c r="O101" i="1"/>
  <c r="O102" i="1"/>
  <c r="O103" i="1"/>
  <c r="O104" i="1"/>
  <c r="O105" i="1"/>
  <c r="O106" i="1"/>
  <c r="O107" i="1"/>
  <c r="O108" i="1"/>
  <c r="O109" i="1"/>
  <c r="O95" i="1"/>
  <c r="O96" i="1"/>
  <c r="O97" i="1"/>
  <c r="O98" i="1"/>
  <c r="O99" i="1"/>
  <c r="O85" i="1"/>
  <c r="O86" i="1"/>
  <c r="O87" i="1"/>
  <c r="O88" i="1"/>
  <c r="O89" i="1"/>
  <c r="O90" i="1"/>
  <c r="O91" i="1"/>
  <c r="O92" i="1"/>
  <c r="O93" i="1"/>
  <c r="O94" i="1"/>
  <c r="O75" i="1"/>
  <c r="O76" i="1"/>
  <c r="O77" i="1"/>
  <c r="O78" i="1"/>
  <c r="O79" i="1"/>
  <c r="O80" i="1"/>
  <c r="O81" i="1"/>
  <c r="O82" i="1"/>
  <c r="O83" i="1"/>
  <c r="O84" i="1"/>
  <c r="O64" i="1"/>
  <c r="O65" i="1"/>
  <c r="O66" i="1"/>
  <c r="O67" i="1"/>
  <c r="O68" i="1"/>
  <c r="O69" i="1"/>
  <c r="O70" i="1"/>
  <c r="O71" i="1"/>
  <c r="O72" i="1"/>
  <c r="O73" i="1"/>
  <c r="O59" i="1"/>
  <c r="O60" i="1"/>
  <c r="O61" i="1"/>
  <c r="O62" i="1"/>
  <c r="O63" i="1"/>
  <c r="O54" i="1"/>
  <c r="O55" i="1"/>
  <c r="O56" i="1"/>
  <c r="O57" i="1"/>
  <c r="O58" i="1"/>
  <c r="O49" i="1"/>
  <c r="O50" i="1"/>
  <c r="O51" i="1"/>
  <c r="O52" i="1"/>
  <c r="O53" i="1"/>
  <c r="O363" i="1"/>
  <c r="O367" i="1"/>
  <c r="O44" i="1"/>
  <c r="O45" i="1"/>
  <c r="O46" i="1"/>
  <c r="O47" i="1"/>
  <c r="O48" i="1"/>
  <c r="O26" i="1"/>
  <c r="O27" i="1"/>
  <c r="O28" i="1"/>
  <c r="O29" i="1"/>
  <c r="O21" i="1"/>
  <c r="O22" i="1"/>
  <c r="O23" i="1"/>
  <c r="O118" i="1"/>
  <c r="O3" i="1"/>
  <c r="O13" i="1"/>
  <c r="O16" i="1"/>
  <c r="O4" i="1"/>
  <c r="O37" i="1"/>
  <c r="O38" i="1"/>
  <c r="O39" i="1"/>
  <c r="O40" i="1"/>
  <c r="O41" i="1"/>
  <c r="O42" i="1"/>
  <c r="O43" i="1"/>
  <c r="O6" i="1"/>
  <c r="O17" i="1"/>
  <c r="O20" i="1"/>
  <c r="O30" i="1"/>
  <c r="O31" i="1"/>
  <c r="O32" i="1"/>
  <c r="O33" i="1"/>
  <c r="O34" i="1"/>
  <c r="O35" i="1"/>
  <c r="O36" i="1"/>
  <c r="O7" i="1"/>
  <c r="O8" i="1"/>
  <c r="O11" i="1"/>
  <c r="O24" i="1"/>
  <c r="O25" i="1"/>
  <c r="O110" i="1"/>
  <c r="O360" i="1"/>
  <c r="O361" i="1"/>
  <c r="O364" i="1"/>
  <c r="O365" i="1"/>
  <c r="N350" i="1"/>
  <c r="N351" i="1"/>
  <c r="N352" i="1"/>
  <c r="N353" i="1"/>
  <c r="N354" i="1"/>
  <c r="N355" i="1"/>
  <c r="N356" i="1"/>
  <c r="N357" i="1"/>
  <c r="N358" i="1"/>
  <c r="N359" i="1"/>
  <c r="N340" i="1"/>
  <c r="N341" i="1"/>
  <c r="N342" i="1"/>
  <c r="N343" i="1"/>
  <c r="N344" i="1"/>
  <c r="N345" i="1"/>
  <c r="N346" i="1"/>
  <c r="N347" i="1"/>
  <c r="N348" i="1"/>
  <c r="N349" i="1"/>
  <c r="N330" i="1"/>
  <c r="N331" i="1"/>
  <c r="N332" i="1"/>
  <c r="N333" i="1"/>
  <c r="N334" i="1"/>
  <c r="N335" i="1"/>
  <c r="N336" i="1"/>
  <c r="N337" i="1"/>
  <c r="N338" i="1"/>
  <c r="N339" i="1"/>
  <c r="N320" i="1"/>
  <c r="N321" i="1"/>
  <c r="N322" i="1"/>
  <c r="N323" i="1"/>
  <c r="N324" i="1"/>
  <c r="N325" i="1"/>
  <c r="N326" i="1"/>
  <c r="N327" i="1"/>
  <c r="N328" i="1"/>
  <c r="N329" i="1"/>
  <c r="N310" i="1"/>
  <c r="N311" i="1"/>
  <c r="N312" i="1"/>
  <c r="N313" i="1"/>
  <c r="N314" i="1"/>
  <c r="N315" i="1"/>
  <c r="N316" i="1"/>
  <c r="N317" i="1"/>
  <c r="N318" i="1"/>
  <c r="N319" i="1"/>
  <c r="N300" i="1"/>
  <c r="N301" i="1"/>
  <c r="N302" i="1"/>
  <c r="N303" i="1"/>
  <c r="N304" i="1"/>
  <c r="N305" i="1"/>
  <c r="N306" i="1"/>
  <c r="N307" i="1"/>
  <c r="N308" i="1"/>
  <c r="N309" i="1"/>
  <c r="N290" i="1"/>
  <c r="N291" i="1"/>
  <c r="N292" i="1"/>
  <c r="N293" i="1"/>
  <c r="N294" i="1"/>
  <c r="N295" i="1"/>
  <c r="N296" i="1"/>
  <c r="N297" i="1"/>
  <c r="N298" i="1"/>
  <c r="N299" i="1"/>
  <c r="N280" i="1"/>
  <c r="N281" i="1"/>
  <c r="N282" i="1"/>
  <c r="N283" i="1"/>
  <c r="N284" i="1"/>
  <c r="N285" i="1"/>
  <c r="N286" i="1"/>
  <c r="N287" i="1"/>
  <c r="N288" i="1"/>
  <c r="N289" i="1"/>
  <c r="N368" i="1"/>
  <c r="N270" i="1"/>
  <c r="N271" i="1"/>
  <c r="N272" i="1"/>
  <c r="N273" i="1"/>
  <c r="N274" i="1"/>
  <c r="N275" i="1"/>
  <c r="N276" i="1"/>
  <c r="N277" i="1"/>
  <c r="N278" i="1"/>
  <c r="N279" i="1"/>
  <c r="N260" i="1"/>
  <c r="N261" i="1"/>
  <c r="N262" i="1"/>
  <c r="N263" i="1"/>
  <c r="N264" i="1"/>
  <c r="N265" i="1"/>
  <c r="N266" i="1"/>
  <c r="N267" i="1"/>
  <c r="N268" i="1"/>
  <c r="N269" i="1"/>
  <c r="N362" i="1"/>
  <c r="N366" i="1"/>
  <c r="N250" i="1"/>
  <c r="N251" i="1"/>
  <c r="N252" i="1"/>
  <c r="N253" i="1"/>
  <c r="N254" i="1"/>
  <c r="N255" i="1"/>
  <c r="N256" i="1"/>
  <c r="N257" i="1"/>
  <c r="N258" i="1"/>
  <c r="N259" i="1"/>
  <c r="N240" i="1"/>
  <c r="N241" i="1"/>
  <c r="N242" i="1"/>
  <c r="N243" i="1"/>
  <c r="N244" i="1"/>
  <c r="N245" i="1"/>
  <c r="N246" i="1"/>
  <c r="N247" i="1"/>
  <c r="N248" i="1"/>
  <c r="N249" i="1"/>
  <c r="N230" i="1"/>
  <c r="N231" i="1"/>
  <c r="N232" i="1"/>
  <c r="N233" i="1"/>
  <c r="N234" i="1"/>
  <c r="N235" i="1"/>
  <c r="N236" i="1"/>
  <c r="N237" i="1"/>
  <c r="N238" i="1"/>
  <c r="N239" i="1"/>
  <c r="N220" i="1"/>
  <c r="N221" i="1"/>
  <c r="N222" i="1"/>
  <c r="N223" i="1"/>
  <c r="N224" i="1"/>
  <c r="N225" i="1"/>
  <c r="N226" i="1"/>
  <c r="N227" i="1"/>
  <c r="N228" i="1"/>
  <c r="N229" i="1"/>
  <c r="N210" i="1"/>
  <c r="N211" i="1"/>
  <c r="N212" i="1"/>
  <c r="N213" i="1"/>
  <c r="N214" i="1"/>
  <c r="N215" i="1"/>
  <c r="N216" i="1"/>
  <c r="N217" i="1"/>
  <c r="N218" i="1"/>
  <c r="N219" i="1"/>
  <c r="N200" i="1"/>
  <c r="N201" i="1"/>
  <c r="N202" i="1"/>
  <c r="N203" i="1"/>
  <c r="N204" i="1"/>
  <c r="N205" i="1"/>
  <c r="N206" i="1"/>
  <c r="N207" i="1"/>
  <c r="N208" i="1"/>
  <c r="N209" i="1"/>
  <c r="N190" i="1"/>
  <c r="N191" i="1"/>
  <c r="N192" i="1"/>
  <c r="N193" i="1"/>
  <c r="N194" i="1"/>
  <c r="N195" i="1"/>
  <c r="N196" i="1"/>
  <c r="N197" i="1"/>
  <c r="N198" i="1"/>
  <c r="N199" i="1"/>
  <c r="N180" i="1"/>
  <c r="N181" i="1"/>
  <c r="N182" i="1"/>
  <c r="N183" i="1"/>
  <c r="N184" i="1"/>
  <c r="N185" i="1"/>
  <c r="N186" i="1"/>
  <c r="N187" i="1"/>
  <c r="N188" i="1"/>
  <c r="N189" i="1"/>
  <c r="N170" i="1"/>
  <c r="N171" i="1"/>
  <c r="N172" i="1"/>
  <c r="N173" i="1"/>
  <c r="N174" i="1"/>
  <c r="N175" i="1"/>
  <c r="N176" i="1"/>
  <c r="N177" i="1"/>
  <c r="N178" i="1"/>
  <c r="N179" i="1"/>
  <c r="N120" i="1"/>
  <c r="N121" i="1"/>
  <c r="N122" i="1"/>
  <c r="N123" i="1"/>
  <c r="N124" i="1"/>
  <c r="N125" i="1"/>
  <c r="N126" i="1"/>
  <c r="N127" i="1"/>
  <c r="N128" i="1"/>
  <c r="N129" i="1"/>
  <c r="N160" i="1"/>
  <c r="N161" i="1"/>
  <c r="N162" i="1"/>
  <c r="N163" i="1"/>
  <c r="N164" i="1"/>
  <c r="N165" i="1"/>
  <c r="N166" i="1"/>
  <c r="N167" i="1"/>
  <c r="N168" i="1"/>
  <c r="N169" i="1"/>
  <c r="N150" i="1"/>
  <c r="N151" i="1"/>
  <c r="N152" i="1"/>
  <c r="N153" i="1"/>
  <c r="N154" i="1"/>
  <c r="N155" i="1"/>
  <c r="N156" i="1"/>
  <c r="N157" i="1"/>
  <c r="N158" i="1"/>
  <c r="N159" i="1"/>
  <c r="N140" i="1"/>
  <c r="N141" i="1"/>
  <c r="N142" i="1"/>
  <c r="N143" i="1"/>
  <c r="N144" i="1"/>
  <c r="N145" i="1"/>
  <c r="N146" i="1"/>
  <c r="N147" i="1"/>
  <c r="N148" i="1"/>
  <c r="N149" i="1"/>
  <c r="N130" i="1"/>
  <c r="N131" i="1"/>
  <c r="N132" i="1"/>
  <c r="N133" i="1"/>
  <c r="N134" i="1"/>
  <c r="N135" i="1"/>
  <c r="N136" i="1"/>
  <c r="N137" i="1"/>
  <c r="N138" i="1"/>
  <c r="N139" i="1"/>
  <c r="N100" i="1"/>
  <c r="N101" i="1"/>
  <c r="N102" i="1"/>
  <c r="N103" i="1"/>
  <c r="N104" i="1"/>
  <c r="N105" i="1"/>
  <c r="N106" i="1"/>
  <c r="N107" i="1"/>
  <c r="N108" i="1"/>
  <c r="N109" i="1"/>
  <c r="N95" i="1"/>
  <c r="N96" i="1"/>
  <c r="N97" i="1"/>
  <c r="N98" i="1"/>
  <c r="N99" i="1"/>
  <c r="N85" i="1"/>
  <c r="N86" i="1"/>
  <c r="N87" i="1"/>
  <c r="N88" i="1"/>
  <c r="N89" i="1"/>
  <c r="N90" i="1"/>
  <c r="N91" i="1"/>
  <c r="N92" i="1"/>
  <c r="N93" i="1"/>
  <c r="N94" i="1"/>
  <c r="N75" i="1"/>
  <c r="N76" i="1"/>
  <c r="N77" i="1"/>
  <c r="N78" i="1"/>
  <c r="N79" i="1"/>
  <c r="N80" i="1"/>
  <c r="N81" i="1"/>
  <c r="N82" i="1"/>
  <c r="N83" i="1"/>
  <c r="N84" i="1"/>
  <c r="N64" i="1"/>
  <c r="N65" i="1"/>
  <c r="N66" i="1"/>
  <c r="N67" i="1"/>
  <c r="N68" i="1"/>
  <c r="N69" i="1"/>
  <c r="N70" i="1"/>
  <c r="N71" i="1"/>
  <c r="N72" i="1"/>
  <c r="N73" i="1"/>
  <c r="N59" i="1"/>
  <c r="N60" i="1"/>
  <c r="N61" i="1"/>
  <c r="N62" i="1"/>
  <c r="N63" i="1"/>
  <c r="N54" i="1"/>
  <c r="N55" i="1"/>
  <c r="N56" i="1"/>
  <c r="N57" i="1"/>
  <c r="N58" i="1"/>
  <c r="N49" i="1"/>
  <c r="N50" i="1"/>
  <c r="N51" i="1"/>
  <c r="N52" i="1"/>
  <c r="N53" i="1"/>
  <c r="N363" i="1"/>
  <c r="N367" i="1"/>
  <c r="N44" i="1"/>
  <c r="N45" i="1"/>
  <c r="N46" i="1"/>
  <c r="N47" i="1"/>
  <c r="N48" i="1"/>
  <c r="N26" i="1"/>
  <c r="N27" i="1"/>
  <c r="N28" i="1"/>
  <c r="N29" i="1"/>
  <c r="N21" i="1"/>
  <c r="N22" i="1"/>
  <c r="N23" i="1"/>
  <c r="N118" i="1"/>
  <c r="N3" i="1"/>
  <c r="N13" i="1"/>
  <c r="N16" i="1"/>
  <c r="N4" i="1"/>
  <c r="N37" i="1"/>
  <c r="N38" i="1"/>
  <c r="N39" i="1"/>
  <c r="N40" i="1"/>
  <c r="N41" i="1"/>
  <c r="N42" i="1"/>
  <c r="N43" i="1"/>
  <c r="N6" i="1"/>
  <c r="N17" i="1"/>
  <c r="N20" i="1"/>
  <c r="N30" i="1"/>
  <c r="N31" i="1"/>
  <c r="N32" i="1"/>
  <c r="N33" i="1"/>
  <c r="N34" i="1"/>
  <c r="N35" i="1"/>
  <c r="N36" i="1"/>
  <c r="N7" i="1"/>
  <c r="N8" i="1"/>
  <c r="N11" i="1"/>
  <c r="N24" i="1"/>
  <c r="N25" i="1"/>
  <c r="N110" i="1"/>
  <c r="N360" i="1"/>
  <c r="N361" i="1"/>
  <c r="N364" i="1"/>
  <c r="N365" i="1"/>
  <c r="K350" i="1"/>
  <c r="K351" i="1"/>
  <c r="K352" i="1"/>
  <c r="K353" i="1"/>
  <c r="K354" i="1"/>
  <c r="K355" i="1"/>
  <c r="K356" i="1"/>
  <c r="K357" i="1"/>
  <c r="K358" i="1"/>
  <c r="K359" i="1"/>
  <c r="K340" i="1"/>
  <c r="K341" i="1"/>
  <c r="K342" i="1"/>
  <c r="K343" i="1"/>
  <c r="K344" i="1"/>
  <c r="K345" i="1"/>
  <c r="K346" i="1"/>
  <c r="K347" i="1"/>
  <c r="K348" i="1"/>
  <c r="K349" i="1"/>
  <c r="K330" i="1"/>
  <c r="K331" i="1"/>
  <c r="K332" i="1"/>
  <c r="K333" i="1"/>
  <c r="K334" i="1"/>
  <c r="K335" i="1"/>
  <c r="K336" i="1"/>
  <c r="K337" i="1"/>
  <c r="K338" i="1"/>
  <c r="K339" i="1"/>
  <c r="K320" i="1"/>
  <c r="K321" i="1"/>
  <c r="K322" i="1"/>
  <c r="K323" i="1"/>
  <c r="K324" i="1"/>
  <c r="K325" i="1"/>
  <c r="K326" i="1"/>
  <c r="K327" i="1"/>
  <c r="K328" i="1"/>
  <c r="K329" i="1"/>
  <c r="K310" i="1"/>
  <c r="K311" i="1"/>
  <c r="K312" i="1"/>
  <c r="K313" i="1"/>
  <c r="K314" i="1"/>
  <c r="K315" i="1"/>
  <c r="K316" i="1"/>
  <c r="K317" i="1"/>
  <c r="K318" i="1"/>
  <c r="K319" i="1"/>
  <c r="K300" i="1"/>
  <c r="K301" i="1"/>
  <c r="K302" i="1"/>
  <c r="K303" i="1"/>
  <c r="K304" i="1"/>
  <c r="K305" i="1"/>
  <c r="K306" i="1"/>
  <c r="K307" i="1"/>
  <c r="K308" i="1"/>
  <c r="K309" i="1"/>
  <c r="K290" i="1"/>
  <c r="K291" i="1"/>
  <c r="K292" i="1"/>
  <c r="K293" i="1"/>
  <c r="K294" i="1"/>
  <c r="K295" i="1"/>
  <c r="K296" i="1"/>
  <c r="K297" i="1"/>
  <c r="K298" i="1"/>
  <c r="K299" i="1"/>
  <c r="K280" i="1"/>
  <c r="K281" i="1"/>
  <c r="K282" i="1"/>
  <c r="K283" i="1"/>
  <c r="K284" i="1"/>
  <c r="K285" i="1"/>
  <c r="K286" i="1"/>
  <c r="K287" i="1"/>
  <c r="K288" i="1"/>
  <c r="K289" i="1"/>
  <c r="K368" i="1"/>
  <c r="K270" i="1"/>
  <c r="K271" i="1"/>
  <c r="K272" i="1"/>
  <c r="K273" i="1"/>
  <c r="K274" i="1"/>
  <c r="K275" i="1"/>
  <c r="K276" i="1"/>
  <c r="K277" i="1"/>
  <c r="K278" i="1"/>
  <c r="K279" i="1"/>
  <c r="K260" i="1"/>
  <c r="K261" i="1"/>
  <c r="K262" i="1"/>
  <c r="K263" i="1"/>
  <c r="K264" i="1"/>
  <c r="K265" i="1"/>
  <c r="K266" i="1"/>
  <c r="K267" i="1"/>
  <c r="K268" i="1"/>
  <c r="K269" i="1"/>
  <c r="K362" i="1"/>
  <c r="K366" i="1"/>
  <c r="K250" i="1"/>
  <c r="K251" i="1"/>
  <c r="K252" i="1"/>
  <c r="K253" i="1"/>
  <c r="K254" i="1"/>
  <c r="K255" i="1"/>
  <c r="K256" i="1"/>
  <c r="K257" i="1"/>
  <c r="K258" i="1"/>
  <c r="K259" i="1"/>
  <c r="K240" i="1"/>
  <c r="K241" i="1"/>
  <c r="K242" i="1"/>
  <c r="K243" i="1"/>
  <c r="K244" i="1"/>
  <c r="K245" i="1"/>
  <c r="K246" i="1"/>
  <c r="K247" i="1"/>
  <c r="K248" i="1"/>
  <c r="K249" i="1"/>
  <c r="K230" i="1"/>
  <c r="K231" i="1"/>
  <c r="K232" i="1"/>
  <c r="K233" i="1"/>
  <c r="K234" i="1"/>
  <c r="K235" i="1"/>
  <c r="K236" i="1"/>
  <c r="K237" i="1"/>
  <c r="K238" i="1"/>
  <c r="K239" i="1"/>
  <c r="K220" i="1"/>
  <c r="K221" i="1"/>
  <c r="K222" i="1"/>
  <c r="K223" i="1"/>
  <c r="K224" i="1"/>
  <c r="K225" i="1"/>
  <c r="K226" i="1"/>
  <c r="K227" i="1"/>
  <c r="K228" i="1"/>
  <c r="K229" i="1"/>
  <c r="K210" i="1"/>
  <c r="K211" i="1"/>
  <c r="K212" i="1"/>
  <c r="K213" i="1"/>
  <c r="K214" i="1"/>
  <c r="K215" i="1"/>
  <c r="K216" i="1"/>
  <c r="K217" i="1"/>
  <c r="K218" i="1"/>
  <c r="K219" i="1"/>
  <c r="K200" i="1"/>
  <c r="K201" i="1"/>
  <c r="K202" i="1"/>
  <c r="K203" i="1"/>
  <c r="K204" i="1"/>
  <c r="K205" i="1"/>
  <c r="K206" i="1"/>
  <c r="K207" i="1"/>
  <c r="K208" i="1"/>
  <c r="K209" i="1"/>
  <c r="K190" i="1"/>
  <c r="K191" i="1"/>
  <c r="K192" i="1"/>
  <c r="K193" i="1"/>
  <c r="K194" i="1"/>
  <c r="K195" i="1"/>
  <c r="K196" i="1"/>
  <c r="K197" i="1"/>
  <c r="K198" i="1"/>
  <c r="K199" i="1"/>
  <c r="K180" i="1"/>
  <c r="K181" i="1"/>
  <c r="K182" i="1"/>
  <c r="K183" i="1"/>
  <c r="K184" i="1"/>
  <c r="K185" i="1"/>
  <c r="K186" i="1"/>
  <c r="K187" i="1"/>
  <c r="K188" i="1"/>
  <c r="K189" i="1"/>
  <c r="K170" i="1"/>
  <c r="K171" i="1"/>
  <c r="K172" i="1"/>
  <c r="K173" i="1"/>
  <c r="K174" i="1"/>
  <c r="K175" i="1"/>
  <c r="K176" i="1"/>
  <c r="K177" i="1"/>
  <c r="K178" i="1"/>
  <c r="K179" i="1"/>
  <c r="K120" i="1"/>
  <c r="K121" i="1"/>
  <c r="K122" i="1"/>
  <c r="K123" i="1"/>
  <c r="K124" i="1"/>
  <c r="K125" i="1"/>
  <c r="K126" i="1"/>
  <c r="K127" i="1"/>
  <c r="K128" i="1"/>
  <c r="K129" i="1"/>
  <c r="K160" i="1"/>
  <c r="K161" i="1"/>
  <c r="K162" i="1"/>
  <c r="K163" i="1"/>
  <c r="K164" i="1"/>
  <c r="K165" i="1"/>
  <c r="K166" i="1"/>
  <c r="K167" i="1"/>
  <c r="K168" i="1"/>
  <c r="K169" i="1"/>
  <c r="K150" i="1"/>
  <c r="K151" i="1"/>
  <c r="K152" i="1"/>
  <c r="K153" i="1"/>
  <c r="K154" i="1"/>
  <c r="K155" i="1"/>
  <c r="K156" i="1"/>
  <c r="K157" i="1"/>
  <c r="K158" i="1"/>
  <c r="K159" i="1"/>
  <c r="K140" i="1"/>
  <c r="K141" i="1"/>
  <c r="K142" i="1"/>
  <c r="K143" i="1"/>
  <c r="K144" i="1"/>
  <c r="K145" i="1"/>
  <c r="K146" i="1"/>
  <c r="K147" i="1"/>
  <c r="K148" i="1"/>
  <c r="K149" i="1"/>
  <c r="K130" i="1"/>
  <c r="K131" i="1"/>
  <c r="K132" i="1"/>
  <c r="K133" i="1"/>
  <c r="K134" i="1"/>
  <c r="K135" i="1"/>
  <c r="K136" i="1"/>
  <c r="K137" i="1"/>
  <c r="K138" i="1"/>
  <c r="K139" i="1"/>
  <c r="K100" i="1"/>
  <c r="K101" i="1"/>
  <c r="K102" i="1"/>
  <c r="K103" i="1"/>
  <c r="K104" i="1"/>
  <c r="K105" i="1"/>
  <c r="K106" i="1"/>
  <c r="K107" i="1"/>
  <c r="K108" i="1"/>
  <c r="K109" i="1"/>
  <c r="K95" i="1"/>
  <c r="K96" i="1"/>
  <c r="K97" i="1"/>
  <c r="K98" i="1"/>
  <c r="K99" i="1"/>
  <c r="K85" i="1"/>
  <c r="K86" i="1"/>
  <c r="K87" i="1"/>
  <c r="K88" i="1"/>
  <c r="K89" i="1"/>
  <c r="K90" i="1"/>
  <c r="K91" i="1"/>
  <c r="K92" i="1"/>
  <c r="K93" i="1"/>
  <c r="K94" i="1"/>
  <c r="K75" i="1"/>
  <c r="K76" i="1"/>
  <c r="K77" i="1"/>
  <c r="K78" i="1"/>
  <c r="K79" i="1"/>
  <c r="K80" i="1"/>
  <c r="K81" i="1"/>
  <c r="K82" i="1"/>
  <c r="K83" i="1"/>
  <c r="K84" i="1"/>
  <c r="K64" i="1"/>
  <c r="K65" i="1"/>
  <c r="K66" i="1"/>
  <c r="K67" i="1"/>
  <c r="K68" i="1"/>
  <c r="K69" i="1"/>
  <c r="K70" i="1"/>
  <c r="K71" i="1"/>
  <c r="K72" i="1"/>
  <c r="K73" i="1"/>
  <c r="K59" i="1"/>
  <c r="K60" i="1"/>
  <c r="K61" i="1"/>
  <c r="K62" i="1"/>
  <c r="K63" i="1"/>
  <c r="K54" i="1"/>
  <c r="K55" i="1"/>
  <c r="K56" i="1"/>
  <c r="K57" i="1"/>
  <c r="K58" i="1"/>
  <c r="K49" i="1"/>
  <c r="K50" i="1"/>
  <c r="K51" i="1"/>
  <c r="K52" i="1"/>
  <c r="K53" i="1"/>
  <c r="K363" i="1"/>
  <c r="K367" i="1"/>
  <c r="K44" i="1"/>
  <c r="K45" i="1"/>
  <c r="K46" i="1"/>
  <c r="K47" i="1"/>
  <c r="K48" i="1"/>
  <c r="K26" i="1"/>
  <c r="K27" i="1"/>
  <c r="K28" i="1"/>
  <c r="K29" i="1"/>
  <c r="K21" i="1"/>
  <c r="K22" i="1"/>
  <c r="K23" i="1"/>
  <c r="K118" i="1"/>
  <c r="K3" i="1"/>
  <c r="K13" i="1"/>
  <c r="K16" i="1"/>
  <c r="K4" i="1"/>
  <c r="K37" i="1"/>
  <c r="K38" i="1"/>
  <c r="K39" i="1"/>
  <c r="K40" i="1"/>
  <c r="K41" i="1"/>
  <c r="K42" i="1"/>
  <c r="K43" i="1"/>
  <c r="K6" i="1"/>
  <c r="K17" i="1"/>
  <c r="K20" i="1"/>
  <c r="K30" i="1"/>
  <c r="K31" i="1"/>
  <c r="K32" i="1"/>
  <c r="K33" i="1"/>
  <c r="K34" i="1"/>
  <c r="K35" i="1"/>
  <c r="K36" i="1"/>
  <c r="K7" i="1"/>
  <c r="K8" i="1"/>
  <c r="K11" i="1"/>
  <c r="K24" i="1"/>
  <c r="K25" i="1"/>
  <c r="K110" i="1"/>
  <c r="K360" i="1"/>
  <c r="K361" i="1"/>
  <c r="K364" i="1"/>
  <c r="K365" i="1"/>
  <c r="I350" i="1"/>
  <c r="I351" i="1"/>
  <c r="I352" i="1"/>
  <c r="I353" i="1"/>
  <c r="I354" i="1"/>
  <c r="I355" i="1"/>
  <c r="I356" i="1"/>
  <c r="I357" i="1"/>
  <c r="I358" i="1"/>
  <c r="I359" i="1"/>
  <c r="I340" i="1"/>
  <c r="I341" i="1"/>
  <c r="I342" i="1"/>
  <c r="I343" i="1"/>
  <c r="I344" i="1"/>
  <c r="I345" i="1"/>
  <c r="I346" i="1"/>
  <c r="I347" i="1"/>
  <c r="I348" i="1"/>
  <c r="I349" i="1"/>
  <c r="I330" i="1"/>
  <c r="I331" i="1"/>
  <c r="I332" i="1"/>
  <c r="I333" i="1"/>
  <c r="I334" i="1"/>
  <c r="I335" i="1"/>
  <c r="I336" i="1"/>
  <c r="I337" i="1"/>
  <c r="I338" i="1"/>
  <c r="I339" i="1"/>
  <c r="I320" i="1"/>
  <c r="I321" i="1"/>
  <c r="I322" i="1"/>
  <c r="I323" i="1"/>
  <c r="I324" i="1"/>
  <c r="I325" i="1"/>
  <c r="I326" i="1"/>
  <c r="I327" i="1"/>
  <c r="I328" i="1"/>
  <c r="I329" i="1"/>
  <c r="I310" i="1"/>
  <c r="I311" i="1"/>
  <c r="I312" i="1"/>
  <c r="I313" i="1"/>
  <c r="I314" i="1"/>
  <c r="I315" i="1"/>
  <c r="I316" i="1"/>
  <c r="I317" i="1"/>
  <c r="I318" i="1"/>
  <c r="I319" i="1"/>
  <c r="I300" i="1"/>
  <c r="I301" i="1"/>
  <c r="I302" i="1"/>
  <c r="I303" i="1"/>
  <c r="I304" i="1"/>
  <c r="I305" i="1"/>
  <c r="I306" i="1"/>
  <c r="I307" i="1"/>
  <c r="I308" i="1"/>
  <c r="I309" i="1"/>
  <c r="I290" i="1"/>
  <c r="I291" i="1"/>
  <c r="I292" i="1"/>
  <c r="I293" i="1"/>
  <c r="I294" i="1"/>
  <c r="I295" i="1"/>
  <c r="I296" i="1"/>
  <c r="I297" i="1"/>
  <c r="I298" i="1"/>
  <c r="I299" i="1"/>
  <c r="I280" i="1"/>
  <c r="I281" i="1"/>
  <c r="I282" i="1"/>
  <c r="I283" i="1"/>
  <c r="I284" i="1"/>
  <c r="I285" i="1"/>
  <c r="I286" i="1"/>
  <c r="I287" i="1"/>
  <c r="I288" i="1"/>
  <c r="I289" i="1"/>
  <c r="I368" i="1"/>
  <c r="I270" i="1"/>
  <c r="I271" i="1"/>
  <c r="I272" i="1"/>
  <c r="I273" i="1"/>
  <c r="I274" i="1"/>
  <c r="I275" i="1"/>
  <c r="I276" i="1"/>
  <c r="I277" i="1"/>
  <c r="I278" i="1"/>
  <c r="I279" i="1"/>
  <c r="I260" i="1"/>
  <c r="I261" i="1"/>
  <c r="I262" i="1"/>
  <c r="I263" i="1"/>
  <c r="I264" i="1"/>
  <c r="I265" i="1"/>
  <c r="I266" i="1"/>
  <c r="I267" i="1"/>
  <c r="I268" i="1"/>
  <c r="I269" i="1"/>
  <c r="I362" i="1"/>
  <c r="I366" i="1"/>
  <c r="I250" i="1"/>
  <c r="I251" i="1"/>
  <c r="I252" i="1"/>
  <c r="I253" i="1"/>
  <c r="I254" i="1"/>
  <c r="I255" i="1"/>
  <c r="I256" i="1"/>
  <c r="I257" i="1"/>
  <c r="I258" i="1"/>
  <c r="I259" i="1"/>
  <c r="I240" i="1"/>
  <c r="I241" i="1"/>
  <c r="I242" i="1"/>
  <c r="I243" i="1"/>
  <c r="I244" i="1"/>
  <c r="I245" i="1"/>
  <c r="I246" i="1"/>
  <c r="I247" i="1"/>
  <c r="I248" i="1"/>
  <c r="I249" i="1"/>
  <c r="I230" i="1"/>
  <c r="I231" i="1"/>
  <c r="I232" i="1"/>
  <c r="I233" i="1"/>
  <c r="I234" i="1"/>
  <c r="I235" i="1"/>
  <c r="I236" i="1"/>
  <c r="I237" i="1"/>
  <c r="I238" i="1"/>
  <c r="I239" i="1"/>
  <c r="I220" i="1"/>
  <c r="I221" i="1"/>
  <c r="I222" i="1"/>
  <c r="I223" i="1"/>
  <c r="I224" i="1"/>
  <c r="I225" i="1"/>
  <c r="I226" i="1"/>
  <c r="I227" i="1"/>
  <c r="I228" i="1"/>
  <c r="I229" i="1"/>
  <c r="I210" i="1"/>
  <c r="I211" i="1"/>
  <c r="I212" i="1"/>
  <c r="I213" i="1"/>
  <c r="I214" i="1"/>
  <c r="I215" i="1"/>
  <c r="I216" i="1"/>
  <c r="I217" i="1"/>
  <c r="I218" i="1"/>
  <c r="I219" i="1"/>
  <c r="I200" i="1"/>
  <c r="I201" i="1"/>
  <c r="I202" i="1"/>
  <c r="I203" i="1"/>
  <c r="I204" i="1"/>
  <c r="I205" i="1"/>
  <c r="I206" i="1"/>
  <c r="I207" i="1"/>
  <c r="I208" i="1"/>
  <c r="I209" i="1"/>
  <c r="I190" i="1"/>
  <c r="I191" i="1"/>
  <c r="I192" i="1"/>
  <c r="I193" i="1"/>
  <c r="I194" i="1"/>
  <c r="I195" i="1"/>
  <c r="I196" i="1"/>
  <c r="I197" i="1"/>
  <c r="I198" i="1"/>
  <c r="I199" i="1"/>
  <c r="I180" i="1"/>
  <c r="I181" i="1"/>
  <c r="I182" i="1"/>
  <c r="I183" i="1"/>
  <c r="I184" i="1"/>
  <c r="I185" i="1"/>
  <c r="I186" i="1"/>
  <c r="I187" i="1"/>
  <c r="I188" i="1"/>
  <c r="I189" i="1"/>
  <c r="I170" i="1"/>
  <c r="I171" i="1"/>
  <c r="I172" i="1"/>
  <c r="I173" i="1"/>
  <c r="I174" i="1"/>
  <c r="I175" i="1"/>
  <c r="I176" i="1"/>
  <c r="I177" i="1"/>
  <c r="I178" i="1"/>
  <c r="I179" i="1"/>
  <c r="I120" i="1"/>
  <c r="I121" i="1"/>
  <c r="I122" i="1"/>
  <c r="I123" i="1"/>
  <c r="I124" i="1"/>
  <c r="I125" i="1"/>
  <c r="I126" i="1"/>
  <c r="I127" i="1"/>
  <c r="I128" i="1"/>
  <c r="I129" i="1"/>
  <c r="I160" i="1"/>
  <c r="I161" i="1"/>
  <c r="I162" i="1"/>
  <c r="I163" i="1"/>
  <c r="I164" i="1"/>
  <c r="I165" i="1"/>
  <c r="I166" i="1"/>
  <c r="I167" i="1"/>
  <c r="I168" i="1"/>
  <c r="I169" i="1"/>
  <c r="I150" i="1"/>
  <c r="I151" i="1"/>
  <c r="I152" i="1"/>
  <c r="I153" i="1"/>
  <c r="I154" i="1"/>
  <c r="I155" i="1"/>
  <c r="I156" i="1"/>
  <c r="I157" i="1"/>
  <c r="I158" i="1"/>
  <c r="I159" i="1"/>
  <c r="I140" i="1"/>
  <c r="I141" i="1"/>
  <c r="I142" i="1"/>
  <c r="I143" i="1"/>
  <c r="I144" i="1"/>
  <c r="I145" i="1"/>
  <c r="I146" i="1"/>
  <c r="I147" i="1"/>
  <c r="I148" i="1"/>
  <c r="I149" i="1"/>
  <c r="I130" i="1"/>
  <c r="I131" i="1"/>
  <c r="I132" i="1"/>
  <c r="I133" i="1"/>
  <c r="I134" i="1"/>
  <c r="I135" i="1"/>
  <c r="I136" i="1"/>
  <c r="I137" i="1"/>
  <c r="I138" i="1"/>
  <c r="I139" i="1"/>
  <c r="I100" i="1"/>
  <c r="I101" i="1"/>
  <c r="I102" i="1"/>
  <c r="I103" i="1"/>
  <c r="I104" i="1"/>
  <c r="I105" i="1"/>
  <c r="I106" i="1"/>
  <c r="I107" i="1"/>
  <c r="I108" i="1"/>
  <c r="I109" i="1"/>
  <c r="I95" i="1"/>
  <c r="I96" i="1"/>
  <c r="I97" i="1"/>
  <c r="I98" i="1"/>
  <c r="I99" i="1"/>
  <c r="I85" i="1"/>
  <c r="I86" i="1"/>
  <c r="I87" i="1"/>
  <c r="I88" i="1"/>
  <c r="I89" i="1"/>
  <c r="I90" i="1"/>
  <c r="I91" i="1"/>
  <c r="I92" i="1"/>
  <c r="I93" i="1"/>
  <c r="I94" i="1"/>
  <c r="I75" i="1"/>
  <c r="I76" i="1"/>
  <c r="I77" i="1"/>
  <c r="I78" i="1"/>
  <c r="I79" i="1"/>
  <c r="I80" i="1"/>
  <c r="I81" i="1"/>
  <c r="I82" i="1"/>
  <c r="I83" i="1"/>
  <c r="I84" i="1"/>
  <c r="I64" i="1"/>
  <c r="I65" i="1"/>
  <c r="I66" i="1"/>
  <c r="I67" i="1"/>
  <c r="I68" i="1"/>
  <c r="I69" i="1"/>
  <c r="I70" i="1"/>
  <c r="I71" i="1"/>
  <c r="I72" i="1"/>
  <c r="I73" i="1"/>
  <c r="I59" i="1"/>
  <c r="I60" i="1"/>
  <c r="I61" i="1"/>
  <c r="I62" i="1"/>
  <c r="I63" i="1"/>
  <c r="I54" i="1"/>
  <c r="I55" i="1"/>
  <c r="I56" i="1"/>
  <c r="I57" i="1"/>
  <c r="I58" i="1"/>
  <c r="I49" i="1"/>
  <c r="I50" i="1"/>
  <c r="I51" i="1"/>
  <c r="I52" i="1"/>
  <c r="I53" i="1"/>
  <c r="I363" i="1"/>
  <c r="I367" i="1"/>
  <c r="I44" i="1"/>
  <c r="I45" i="1"/>
  <c r="I46" i="1"/>
  <c r="I47" i="1"/>
  <c r="I48" i="1"/>
  <c r="I26" i="1"/>
  <c r="I27" i="1"/>
  <c r="I28" i="1"/>
  <c r="I29" i="1"/>
  <c r="I21" i="1"/>
  <c r="I22" i="1"/>
  <c r="I23" i="1"/>
  <c r="I118" i="1"/>
  <c r="I3" i="1"/>
  <c r="I13" i="1"/>
  <c r="I16" i="1"/>
  <c r="I4" i="1"/>
  <c r="I37" i="1"/>
  <c r="I38" i="1"/>
  <c r="I39" i="1"/>
  <c r="I40" i="1"/>
  <c r="I41" i="1"/>
  <c r="I42" i="1"/>
  <c r="I43" i="1"/>
  <c r="I6" i="1"/>
  <c r="I17" i="1"/>
  <c r="I20" i="1"/>
  <c r="I30" i="1"/>
  <c r="I31" i="1"/>
  <c r="I32" i="1"/>
  <c r="I33" i="1"/>
  <c r="I34" i="1"/>
  <c r="I35" i="1"/>
  <c r="I36" i="1"/>
  <c r="I7" i="1"/>
  <c r="I8" i="1"/>
  <c r="I11" i="1"/>
  <c r="I24" i="1"/>
  <c r="I25" i="1"/>
  <c r="I110" i="1"/>
  <c r="I360" i="1"/>
  <c r="I361" i="1"/>
  <c r="I364" i="1"/>
  <c r="I36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<sst xmlns="http://schemas.openxmlformats.org/spreadsheetml/2006/main" count="2072" uniqueCount="1285">
  <si>
    <t>id_cita</t>
  </si>
  <si>
    <t>cita_es</t>
  </si>
  <si>
    <t>cita_la</t>
  </si>
  <si>
    <t>cita_original</t>
  </si>
  <si>
    <t>autor_es</t>
  </si>
  <si>
    <t>autor_la</t>
  </si>
  <si>
    <t>bio_es</t>
  </si>
  <si>
    <t>bio_la</t>
  </si>
  <si>
    <t>codigo</t>
  </si>
  <si>
    <t>idioma_es</t>
  </si>
  <si>
    <t>idioma_la</t>
  </si>
  <si>
    <t>nacion_es</t>
  </si>
  <si>
    <t>nacion_la</t>
  </si>
  <si>
    <t>epoca_es</t>
  </si>
  <si>
    <t>epoca_la</t>
  </si>
  <si>
    <t>La vida es bella</t>
  </si>
  <si>
    <t>Vita pulchra est</t>
  </si>
  <si>
    <t>La vie est belle</t>
  </si>
  <si>
    <t>Refrán Francés</t>
  </si>
  <si>
    <t>A caballo regalado, no le mires el diente</t>
  </si>
  <si>
    <t>Equi dati dentes non inspiciuntur</t>
  </si>
  <si>
    <t>Refrán Español</t>
  </si>
  <si>
    <t>Cada persona es diferente</t>
  </si>
  <si>
    <t>Quot homines, tot sententiae</t>
  </si>
  <si>
    <t>十人十色</t>
  </si>
  <si>
    <t>Proverbio Japonés</t>
  </si>
  <si>
    <t>Sin esfuerzo no se consigue nada</t>
  </si>
  <si>
    <t>Sine labore nihil obtinetur</t>
  </si>
  <si>
    <t>Без труда не выловишь и рыбку из пруда</t>
  </si>
  <si>
    <t>Refrán Ruso</t>
  </si>
  <si>
    <t>La vida está en el movimiento</t>
  </si>
  <si>
    <t>Vita in motu est</t>
  </si>
  <si>
    <t>生命在于运动</t>
  </si>
  <si>
    <t>Provervio Chino</t>
  </si>
  <si>
    <t>Ojo por ojo, diente por diente</t>
  </si>
  <si>
    <t>Oculum pro oculo, dentem pro dente</t>
  </si>
  <si>
    <t>עַיִן תַּחַת עַיִן שֵׁן תַּחַת שֵׁן</t>
  </si>
  <si>
    <t>Salomón</t>
  </si>
  <si>
    <t>El amor es fuerte como la muerte; los celos son crueles como la tumba</t>
  </si>
  <si>
    <t>Fortis est amor sicut mors; dura est aemulatio sicut infernus</t>
  </si>
  <si>
    <t>Pienso, luego existo</t>
  </si>
  <si>
    <t>Cogito, ergo sum</t>
  </si>
  <si>
    <t>Cogito ergo sum</t>
  </si>
  <si>
    <t>René Descartes</t>
  </si>
  <si>
    <t>El conocimiento es poder</t>
  </si>
  <si>
    <t>Scientia potentia est</t>
  </si>
  <si>
    <t>Knowledge is power</t>
  </si>
  <si>
    <t>Francis Bacon</t>
  </si>
  <si>
    <t>La verdadera felicidad consiste en hacer el bien</t>
  </si>
  <si>
    <t>Vera felicitas in bonis operibus consistit</t>
  </si>
  <si>
    <t>Vera felicitas in bono faciendo consistit</t>
  </si>
  <si>
    <t>San Agustín</t>
  </si>
  <si>
    <t>Recuerda que la felicidad no depende de quién eres o qué tienes; depende únicamente de lo que piensas</t>
  </si>
  <si>
    <t>Memento felicitatem non pendere ab eo quod es aut habes, sed ab iis quae cogitas</t>
  </si>
  <si>
    <t>Dale Carnegie</t>
  </si>
  <si>
    <t>No dejes para mañana lo que puedas hacer hoy</t>
  </si>
  <si>
    <t>Noli in crastinum differre quod hodie facere potes</t>
  </si>
  <si>
    <t>Aprovecha el día</t>
  </si>
  <si>
    <t>Carpe diem</t>
  </si>
  <si>
    <t>Horacio</t>
  </si>
  <si>
    <t>Ser o no ser, esa es la cuestión</t>
  </si>
  <si>
    <t>Esse aut non esse, haec est quaestio</t>
  </si>
  <si>
    <t>To be, or not to be, that is the question</t>
  </si>
  <si>
    <t>Shakespeare</t>
  </si>
  <si>
    <t>No es lo mismo fracasar que estrellarse</t>
  </si>
  <si>
    <t>Non idem est cadere ac collidi</t>
  </si>
  <si>
    <t>Los años que una mujer borra en silencio no son devorados por el tiempo; se posan, suavemente, en los rasgos de sus amigas más íntimas</t>
  </si>
  <si>
    <t>Anni quos femina silentio delet non a tempore devorantur, sed in vultibus amicorum quiescunt</t>
  </si>
  <si>
    <t>女人悄然抹去的岁月，并未真被时光吞没 而是悄悄落在了她闺中好友的眉眼之间</t>
  </si>
  <si>
    <t>La suerte está echada</t>
  </si>
  <si>
    <t>Alea iacta est</t>
  </si>
  <si>
    <t>Gayo Julio César</t>
  </si>
  <si>
    <t>Nada surge de la nada</t>
  </si>
  <si>
    <t>Ex nihilo nihil fit</t>
  </si>
  <si>
    <t>Parménides</t>
  </si>
  <si>
    <t>Todos los hombres son sabios; unos antes, los otros después</t>
  </si>
  <si>
    <t>Omnes homines sapientes sunt, alii citius, alii postea</t>
  </si>
  <si>
    <t>人皆有智慧 只是早晚而已</t>
  </si>
  <si>
    <t>El que sabe de ello no se compara con el que lo ama; el que lo ama no se compara con el que se deleita en ello</t>
  </si>
  <si>
    <t>Qui scit non aequatur ei qui amat; qui amat non aequatur ei qui delectatur</t>
  </si>
  <si>
    <t>知之者不如好之者 好之者不如乐之者</t>
  </si>
  <si>
    <t>Confucio</t>
  </si>
  <si>
    <t>Aprender sin reflexionar es inútil; reflexionar sin aprender es peligroso</t>
  </si>
  <si>
    <t>Discere sine cogitatione inutile est; cogitare sine doctrina periculosum est</t>
  </si>
  <si>
    <t>学而不思则罔 思而不学则殆</t>
  </si>
  <si>
    <t>No hagas a otros lo que no deseas para ti mismo</t>
  </si>
  <si>
    <t>Quod tibi non vis, alteri ne feceris</t>
  </si>
  <si>
    <t>己所不欲 勿施于人</t>
  </si>
  <si>
    <t>El amor lo conquista todo</t>
  </si>
  <si>
    <t>Amor omnia vincit</t>
  </si>
  <si>
    <t>Amor vincit omnia</t>
  </si>
  <si>
    <t>La fe busca el entendimiento</t>
  </si>
  <si>
    <t>Fides intellectum quaerit</t>
  </si>
  <si>
    <t>Fides quaerens intellectum</t>
  </si>
  <si>
    <t>Todo tiene su tiempo</t>
  </si>
  <si>
    <t>Omnia tempus habent</t>
  </si>
  <si>
    <t>Isidoro de Sevilla</t>
  </si>
  <si>
    <t>Las palabras vuelan, lo escrito permanece</t>
  </si>
  <si>
    <t>Verba volant, scripta manent</t>
  </si>
  <si>
    <t>La ignorancia de la ley no excusa</t>
  </si>
  <si>
    <t>Ignorantia legis non excusat</t>
  </si>
  <si>
    <t>Scientia est potestas</t>
  </si>
  <si>
    <t>Aquel que pregunta es un tonto por cinco minutos, pero el que no pregunta permanece tonto por siempre</t>
  </si>
  <si>
    <t>Qui rogat stultus est ad horam; qui non rogat stultus manet in aeternum</t>
  </si>
  <si>
    <t>不耻下问</t>
  </si>
  <si>
    <t>Un viaje de mil millas comienza con un solo paso</t>
  </si>
  <si>
    <t>Iter mille milium uno passu incipit</t>
  </si>
  <si>
    <t>千里之行，始于足下。</t>
  </si>
  <si>
    <t>Dar un pez a alguien no es tan bueno como enseñarle a pescar</t>
  </si>
  <si>
    <t>Potius est docere piscari quam piscem dare</t>
  </si>
  <si>
    <t>授人以鱼不如授人以渔。</t>
  </si>
  <si>
    <t>Quien se conforma, siempre es feliz</t>
  </si>
  <si>
    <t>Qui contentus est, semper beatus est</t>
  </si>
  <si>
    <t>知足常乐。</t>
  </si>
  <si>
    <t>El mar acepta todos los ríos; así se hace grande</t>
  </si>
  <si>
    <t>Mare omnes fluvios recipit et ideo magnum est</t>
  </si>
  <si>
    <t>海纳百川，有容乃大。</t>
  </si>
  <si>
    <t>学而不思则罔，思而不学则殆。</t>
  </si>
  <si>
    <t>Si tres caminan juntos, siempre hay algo que puedo aprender de ellos</t>
  </si>
  <si>
    <t>Inter tres ambulantes, semper magister est</t>
  </si>
  <si>
    <t>三人行，必有我师焉。</t>
  </si>
  <si>
    <t>Cae siete veces, levántate ocho</t>
  </si>
  <si>
    <t>Septies cade, octies surge</t>
  </si>
  <si>
    <t>七転び八起き</t>
  </si>
  <si>
    <t>Hasta los monos se caen de los árboles</t>
  </si>
  <si>
    <t>Etiam simiae ex arboribus cadunt</t>
  </si>
  <si>
    <t>猿も木から落ちる</t>
  </si>
  <si>
    <t>Más vale dar un rodeo que precipitarse</t>
  </si>
  <si>
    <t>Qui festinat circuit</t>
  </si>
  <si>
    <t>急がば回れ</t>
  </si>
  <si>
    <t>Incluso sobre una piedra, tres años</t>
  </si>
  <si>
    <t>Etiam super lapidem, triennium</t>
  </si>
  <si>
    <t>石の上にも三年</t>
  </si>
  <si>
    <t>Después de la lluvia, la tierra se endurece</t>
  </si>
  <si>
    <t>Post pluviam terra confirmatur</t>
  </si>
  <si>
    <t>雨降って地固まる</t>
  </si>
  <si>
    <t>Incluso rozarse las mangas es el resultado de muchas vidas de destino</t>
  </si>
  <si>
    <t>Etiam leviter contingere manicas est fatum multarum vitarum</t>
  </si>
  <si>
    <t>袖振り合うも多生の縁</t>
  </si>
  <si>
    <t>La boca es la fuente del desastre</t>
  </si>
  <si>
    <t>Os est fons calamitatis</t>
  </si>
  <si>
    <t>口は災いの元</t>
  </si>
  <si>
    <t>La vida sin estudio es una muerte</t>
  </si>
  <si>
    <t>Vita sine litteris mors est</t>
  </si>
  <si>
    <t>Séneca</t>
  </si>
  <si>
    <t>No hay camino fácil de la tierra a las estrellas</t>
  </si>
  <si>
    <t>Non est ad astra mollis e terris via</t>
  </si>
  <si>
    <t>Mientras estemos entre hombres, cultivemos la humanidad</t>
  </si>
  <si>
    <t>Dum inter homines sumus, humanitatem colamus</t>
  </si>
  <si>
    <t>Dum inter homines sumus, colamus humanitatem</t>
  </si>
  <si>
    <t>Cada uno es artífice de su propia fortuna</t>
  </si>
  <si>
    <t>Quisque est faber fortunae suae</t>
  </si>
  <si>
    <t>Faber est suae quisque fortunae</t>
  </si>
  <si>
    <t>Sin ira ni pasión</t>
  </si>
  <si>
    <t>Sine ira et studio</t>
  </si>
  <si>
    <t>La verdad es la adecuación del intelecto con la realidad</t>
  </si>
  <si>
    <t>Veritas est adaequatio rei et intellectus</t>
  </si>
  <si>
    <t>Santo Tomás de Aquino</t>
  </si>
  <si>
    <t>Amor a Dios y al prójimo</t>
  </si>
  <si>
    <t>Amor Dei et proximi</t>
  </si>
  <si>
    <t>Amor dei et proximi</t>
  </si>
  <si>
    <t>La fe y la razón están en armonía</t>
  </si>
  <si>
    <t>Fides et ratio concordant</t>
  </si>
  <si>
    <t>El bien común debe prevalecer sobre el bien individual</t>
  </si>
  <si>
    <t>Bonum commune praeferendum est bono singulari</t>
  </si>
  <si>
    <t>Bonum commune praefertur bono singulari</t>
  </si>
  <si>
    <t>El hombre busca el bien supremo</t>
  </si>
  <si>
    <t>Homo summum bonum quaerit</t>
  </si>
  <si>
    <t>Homo est summum bonum quaerens</t>
  </si>
  <si>
    <t>Dios ha muerto</t>
  </si>
  <si>
    <t>Deus mortuus est</t>
  </si>
  <si>
    <t>Gott ist tot</t>
  </si>
  <si>
    <t>Friedrich Nietzsche</t>
  </si>
  <si>
    <t>Lo que no me mata, me hace más fuerte</t>
  </si>
  <si>
    <t>Quod me non necat, fortiorem me facit</t>
  </si>
  <si>
    <t>Was mich nicht umbringt, macht mich stärker</t>
  </si>
  <si>
    <t>Sin música, la vida sería un error</t>
  </si>
  <si>
    <t>Sine musica vita error esset</t>
  </si>
  <si>
    <t>Ohne Musik wäre das Leben ein Irrtum</t>
  </si>
  <si>
    <t>El hombre es algo que debe ser superado</t>
  </si>
  <si>
    <t>Homo est aliquid quod superandum est</t>
  </si>
  <si>
    <t>Der Mensch ist etwas, das überwunden werden soll</t>
  </si>
  <si>
    <t>Siempre hay algo de locura en el amor. Pero también hay algo de razón en la locura</t>
  </si>
  <si>
    <t>Semper aliquid insaniae in amore est, sed etiam aliquid rationis in insania</t>
  </si>
  <si>
    <t>Es gibt immer etwas Wahnsinn in der Liebe. Aber es gibt auch immer etwas Vernunft im Wahnsinn</t>
  </si>
  <si>
    <t>El verdadero soldado lucha no porque odie lo que tiene delante, sino porque ama lo que tiene detrás</t>
  </si>
  <si>
    <t>Verus miles pugnat non quia odit quod ante se est, sed quia amat quod post se est</t>
  </si>
  <si>
    <t>The true soldier fights not because he hates what is in front of him, but because he loves what is behind him</t>
  </si>
  <si>
    <t>Gilbert Keith Chesterton</t>
  </si>
  <si>
    <t>Una aventura es solo un inconveniente correctamente considerado. Un inconveniente es solo una aventura mal considerada</t>
  </si>
  <si>
    <t>Aventura est incommodum recte consideratum; incommodum est aventura male considerata</t>
  </si>
  <si>
    <t>An adventure is only an inconvenience rightly considered. An inconvenience is only an adventure wrongly considered</t>
  </si>
  <si>
    <t>No hay reglas de arquitectura para un castillo en las nubes</t>
  </si>
  <si>
    <t>Nullae sunt regulae architecturae pro castello in nubibus</t>
  </si>
  <si>
    <t>There are no rules of architecture for a castle in the clouds</t>
  </si>
  <si>
    <t>La manera de amar algo es darse cuenta de que puede perderse</t>
  </si>
  <si>
    <t>Via ad amandum est intellegere posse amitti</t>
  </si>
  <si>
    <t>The way to love anything is to realize that it may be lost</t>
  </si>
  <si>
    <t>Las falacias no dejan de ser falacias porque se conviertan en modas</t>
  </si>
  <si>
    <t>Fallaciae non desinunt fallaciae esse quia fiunt consuetudines</t>
  </si>
  <si>
    <t>Fallacies do not cease to be fallacies because they become fashions</t>
  </si>
  <si>
    <t>Tenemos que defender la verdad a toda costa, aunque volvamos a ser solamente doce</t>
  </si>
  <si>
    <t>Veritatem defendere oportet omni pretio, etiam si soli duodecim maneamus</t>
  </si>
  <si>
    <t>Veritatem defendere oportet omni pretio, etiam si solum duodecim restemus</t>
  </si>
  <si>
    <t>Juan Pablo II</t>
  </si>
  <si>
    <t>La fe es la luz que ilumina las tinieblas</t>
  </si>
  <si>
    <t>Fides est lux quae tenebras illuminat</t>
  </si>
  <si>
    <t>El amor todo lo vence</t>
  </si>
  <si>
    <t>Caritas omnia vincit</t>
  </si>
  <si>
    <t>Buscamos la paz en la tierra</t>
  </si>
  <si>
    <t>Pacem in terris quaerimus</t>
  </si>
  <si>
    <t>El Espíritu Santo nos guía hacia la verdad</t>
  </si>
  <si>
    <t>Spiritus Sanctus nos ad veritatem ducit</t>
  </si>
  <si>
    <t>Spiritus Sanctus nos ducit ad veritatem</t>
  </si>
  <si>
    <t>La verdad os hará libres</t>
  </si>
  <si>
    <t>Veritas vos liberabit</t>
  </si>
  <si>
    <t>Todas nuestras obras pongamos en Dios</t>
  </si>
  <si>
    <t>Omnia opera nostra in Deo ponamus</t>
  </si>
  <si>
    <t>La fuerza de la fe siempre vence al miedo</t>
  </si>
  <si>
    <t>Virtus fidei timorem semper vincit</t>
  </si>
  <si>
    <t>Fidei virtus semper vincit timorem</t>
  </si>
  <si>
    <t>Los hombres deben preservar su dignidad</t>
  </si>
  <si>
    <t>Homines dignitatem suam servare debent</t>
  </si>
  <si>
    <t>El amor a Dios y al prójimo es el fundamento de la vida</t>
  </si>
  <si>
    <t>Amor Dei et proximi est fundamentum vitae</t>
  </si>
  <si>
    <t>El hombre sin educación es como un cadáver</t>
  </si>
  <si>
    <t>Homo sine litteris quasi cadaver est</t>
  </si>
  <si>
    <t>Homo sine litteris mors est</t>
  </si>
  <si>
    <t>San Juan Bautista de La Salle</t>
  </si>
  <si>
    <t>La paciencia es la llave para la solución</t>
  </si>
  <si>
    <t>Patientia clavis liberationis est</t>
  </si>
  <si>
    <t>الصبر مفتاح الفرج</t>
  </si>
  <si>
    <t>Proverbio Árabe</t>
  </si>
  <si>
    <t>Quien se esfuerza, encuentra</t>
  </si>
  <si>
    <t>Qui laborat invenit</t>
  </si>
  <si>
    <t>من جد وجد</t>
  </si>
  <si>
    <t>La mente es un adorno</t>
  </si>
  <si>
    <t>Mens ornamentum est</t>
  </si>
  <si>
    <t>العقل زينة</t>
  </si>
  <si>
    <t>El amigo se conoce en la adversidad</t>
  </si>
  <si>
    <t>Amicus in angustiis cognoscitur</t>
  </si>
  <si>
    <t>الصديق وقت الضيق</t>
  </si>
  <si>
    <t>El conocimiento es luz</t>
  </si>
  <si>
    <t>Scientia lux est</t>
  </si>
  <si>
    <t>العلم نور</t>
  </si>
  <si>
    <t>Quien cava un hoyo para su hermano, caerá en él</t>
  </si>
  <si>
    <t>Qui foveam fratri fodit in eam cadit</t>
  </si>
  <si>
    <t>من حفر حفرة لأخيه وقع فيها</t>
  </si>
  <si>
    <t>Una sola mano no aplaude</t>
  </si>
  <si>
    <t>Una manus non plausum facit</t>
  </si>
  <si>
    <t>يد واحدة لا تصفق</t>
  </si>
  <si>
    <t>La experiencia es el mejor maestro</t>
  </si>
  <si>
    <t>Experientia optimus magister est</t>
  </si>
  <si>
    <t>التجربة خير معلم</t>
  </si>
  <si>
    <t>El tiempo es como una espada; si no lo cortas, te corta</t>
  </si>
  <si>
    <t>Tempus sicut gladius est: si non id caedis, te caedit</t>
  </si>
  <si>
    <t>الوقت كالسيف إن لم تقطعه قطعك</t>
  </si>
  <si>
    <t>El libro es el mejor compañero</t>
  </si>
  <si>
    <t>Liber optimus comes est</t>
  </si>
  <si>
    <t>الكتاب خير جليس</t>
  </si>
  <si>
    <t>Tu derecho es actuar, no los frutos de la acción</t>
  </si>
  <si>
    <t>Tuum ius est agere, non fructus actionis</t>
  </si>
  <si>
    <t>कर्मण्येवाधिकारस्ते मा फलेषु कदाचन</t>
  </si>
  <si>
    <t>Proverbio Hindú</t>
  </si>
  <si>
    <t>Yoga es perfección en la acción</t>
  </si>
  <si>
    <t>Yoga est perfectio in operatione</t>
  </si>
  <si>
    <t>योगः कर्मसु कौशलम्</t>
  </si>
  <si>
    <t>La no violencia es la máxima virtud</t>
  </si>
  <si>
    <t>Non violentia summa virtus est</t>
  </si>
  <si>
    <t>अहिंसा परमोधर्मः</t>
  </si>
  <si>
    <t>Di la verdad</t>
  </si>
  <si>
    <t>Veritatem dic</t>
  </si>
  <si>
    <t>सत्यं वद</t>
  </si>
  <si>
    <t>La disciplina conduce a la victoria</t>
  </si>
  <si>
    <t>Disciplina ad victoriam ducit</t>
  </si>
  <si>
    <t>तपो न हि विजितम्</t>
  </si>
  <si>
    <t>La educación da humildad</t>
  </si>
  <si>
    <t>Doctrina humilitatem dat</t>
  </si>
  <si>
    <t>विद्या ददाति विनयम्</t>
  </si>
  <si>
    <t>La vida tiene placer y dolor</t>
  </si>
  <si>
    <t>Vita gaudium et dolorem habet</t>
  </si>
  <si>
    <t>सुखं वा दुःखं वा जीवनम्</t>
  </si>
  <si>
    <t>La separación de un amigo duele</t>
  </si>
  <si>
    <t>Amici separatio dolet</t>
  </si>
  <si>
    <t>न मित्रस्य वियोगः दुःखः</t>
  </si>
  <si>
    <t>La paz viene del cuidado de uno mismo</t>
  </si>
  <si>
    <t>Pax ex cura sui venit</t>
  </si>
  <si>
    <t>आत्मनः प्रतिपालने शान्ति</t>
  </si>
  <si>
    <t>Actúa con mente pura</t>
  </si>
  <si>
    <t>Mente pura age</t>
  </si>
  <si>
    <t>शुद्धमनसा कर्म करोति</t>
  </si>
  <si>
    <t>La cultura es el alma de una civilización</t>
  </si>
  <si>
    <t>Cultura anima est civilisationis</t>
  </si>
  <si>
    <t>Die Kultur ist die Seele einer Zivilisation</t>
  </si>
  <si>
    <t>Oswald Spengler</t>
  </si>
  <si>
    <t>Cada civilización tiene su ciclo de nacimiento, crecimiento y decadencia</t>
  </si>
  <si>
    <t>Unaquaeque civilizatio habet цикл natalis, crescentiae et ruinae</t>
  </si>
  <si>
    <t>Jede Zivilisation hat ihren Zyklus von Geburt, Wachstum und Verfall</t>
  </si>
  <si>
    <t>La historia no progresa, sino que las culturas nacen, florecen y mueren</t>
  </si>
  <si>
    <t>Historia non progreditur, sed culturae nascuntur, florent et moriuntur</t>
  </si>
  <si>
    <t>Die Geschichte schreitet nicht voran, Kulturen entstehen, blühen und sterben</t>
  </si>
  <si>
    <t>La civilización occidental ha entrado en su fase final de declive</t>
  </si>
  <si>
    <t>Civilizatio occidentalis in ultimam declinationis phasein intravit</t>
  </si>
  <si>
    <t>Die westliche Zivilisation ist in ihre Endphase des Niedergangs eingetreten</t>
  </si>
  <si>
    <t>La política y la economía son manifestaciones de la cultura, no la determinan</t>
  </si>
  <si>
    <t>Politica et oeconomia sunt manifestationes culturae, non eius factores</t>
  </si>
  <si>
    <t>Politik und Wirtschaft sind Manifestationen der Kultur, nicht ihr Bestimmungsfaktor</t>
  </si>
  <si>
    <t>En un lugar de la Mancha, de cuyo nombre no quiero acordarme..</t>
  </si>
  <si>
    <t>In loco Manche, cuius nomen nolo meminisse..</t>
  </si>
  <si>
    <t>Miguel de Cervantes</t>
  </si>
  <si>
    <t>El que lee mucho y anda mucho, ve mucho y sabe mucho</t>
  </si>
  <si>
    <t>Qui multum legit et multum ambulat, multum videt et multum scit</t>
  </si>
  <si>
    <t>La pluma es la lengua del alma</t>
  </si>
  <si>
    <t>Calamus lingua animae est</t>
  </si>
  <si>
    <t>Nunca pares de procurar ser mejor</t>
  </si>
  <si>
    <t>Numquam desine melius esse quaerere</t>
  </si>
  <si>
    <t>Cada uno es como Dios le hizo, y aun peor muchas veces</t>
  </si>
  <si>
    <t>Unusquisque est sicut Deus fecit, et saepe peior</t>
  </si>
  <si>
    <t>No es más que un sueño lo que se sueña en la vida</t>
  </si>
  <si>
    <t>Somnium solum est quod in vita somniatur</t>
  </si>
  <si>
    <t>La libertad, Sancho, es uno de los más preciosos dones que a los hombres dieron los cielos</t>
  </si>
  <si>
    <t>Libertas, Sancho, donum pretiosissimum est quod caelum hominibus dedit</t>
  </si>
  <si>
    <t>Dulcinea del Toboso, señora de mi pensamiento</t>
  </si>
  <si>
    <t>Dulcinea Tobosi, domina cogitationum mearum</t>
  </si>
  <si>
    <t>Cambiar la tristeza en contento es la más sabrosa medicina del alma</t>
  </si>
  <si>
    <t>Tristitiam in laetitiam mutare est medicamentum animae sapidissimum</t>
  </si>
  <si>
    <t>Conócete, acéptate, supérate</t>
  </si>
  <si>
    <t>Nosce te, accipe te, supera te</t>
  </si>
  <si>
    <t>La educación es el arma más poderosa que puedes usar para cambiar el mundo</t>
  </si>
  <si>
    <t>Educatio potentissimum telum est ad mundum mutandum</t>
  </si>
  <si>
    <t>Education is the most powerful weapon which you can use to change the world</t>
  </si>
  <si>
    <t>Nelson Mandela</t>
  </si>
  <si>
    <t>La verdadera educación consiste en obtener lo mejor de uno mismo</t>
  </si>
  <si>
    <t>Vera educatio consistit in optimo ex se ipsis obtinendo</t>
  </si>
  <si>
    <t>The true education consists in getting the best out of oneself</t>
  </si>
  <si>
    <t>Mahatma Gandhi</t>
  </si>
  <si>
    <t>La educación es lo que queda después de olvidar lo que se ha aprendido en la escuela</t>
  </si>
  <si>
    <t>Educatio remanet postquam obliviscimur quod in schola didicimus</t>
  </si>
  <si>
    <t>Education is what remains after one has forgotten what one has learned in school</t>
  </si>
  <si>
    <t>Albert Einstein</t>
  </si>
  <si>
    <t>La función de la educación es enseñar a pensar intensamente y críticamente. Inteligencia más carácter: ese es el objetivo de la verdadera educación</t>
  </si>
  <si>
    <t>Munus educationis est docere cogitare intense et critice. Ingenium cum moribus – hoc est finis verae educationis</t>
  </si>
  <si>
    <t>The function of education is to teach one to think intensively and to think critically. Intelligence plus character – that is the goal of true education</t>
  </si>
  <si>
    <t>Martin Luther King Jr.</t>
  </si>
  <si>
    <t>La educación no es preparación para la vida; la educación es la vida en sí misma</t>
  </si>
  <si>
    <t>Educatio non est praeparatio ad vitam; educatio ipsa vita est</t>
  </si>
  <si>
    <t>Education is not preparation for life; education is life itself</t>
  </si>
  <si>
    <t>John Dewey</t>
  </si>
  <si>
    <t>Una inversión en conocimiento paga el mejor interés</t>
  </si>
  <si>
    <t>Investitio in scientia optimum redditum praestat</t>
  </si>
  <si>
    <t>An investment in knowledge pays the best interest</t>
  </si>
  <si>
    <t>Benjamin Franklin</t>
  </si>
  <si>
    <t>El aprendizaje nunca cansa a la mente</t>
  </si>
  <si>
    <t>Disciplina animi numquam defatigat</t>
  </si>
  <si>
    <t>Leonardo Da Vinci</t>
  </si>
  <si>
    <t>Aprender sin pensar es esfuerzo perdido; pensar sin aprender, peligroso</t>
  </si>
  <si>
    <t>Discere sine cogitatione inutile est; cogitare sine discendo periculosum est</t>
  </si>
  <si>
    <t>學而不思則罔，思而不學則殆。</t>
  </si>
  <si>
    <t>Un niño sin educación es como un pájaro sin alas</t>
  </si>
  <si>
    <t>Infans sine educatione quasi avis sine alis est</t>
  </si>
  <si>
    <t>ཕྱི་ལོག་མི་སློབ་དང་མི་བྱེད་པ་ནི་སྤྱོད་པ་མ་འགྱོ་བའི་བྱེད་སྒོ་འདུག</t>
  </si>
  <si>
    <t>Proverbio Tibetano</t>
  </si>
  <si>
    <t>El principio de todas las cosas es el agua.</t>
  </si>
  <si>
    <t>Principium omnium rerum aqua est.</t>
  </si>
  <si>
    <t>ἀρχὴ τῶν ὄντων τὸ ὕδωρ.</t>
  </si>
  <si>
    <t>Tales de Mileto</t>
  </si>
  <si>
    <t>Todo está lleno de dioses.</t>
  </si>
  <si>
    <t>Omnia diis plena sunt.</t>
  </si>
  <si>
    <t>πάντα πλήρη θεῶν.</t>
  </si>
  <si>
    <t>El cosmos está animado.</t>
  </si>
  <si>
    <t>Mundus animatus est.</t>
  </si>
  <si>
    <t>ὁ κόσμος ἔμψυχός ἐστι.</t>
  </si>
  <si>
    <t>El alma mueve los cuerpos.</t>
  </si>
  <si>
    <t>Anima corpora movet.</t>
  </si>
  <si>
    <t>ψυχὴ κινεῖ τὰ σώματα.</t>
  </si>
  <si>
    <t>Todo procede de lo uno.</t>
  </si>
  <si>
    <t>Omnia ex uno procedunt.</t>
  </si>
  <si>
    <t>τὸ πᾶν ἐκ τοῦ ἑνός.</t>
  </si>
  <si>
    <t>Lo divino no tiene principio ni fin.</t>
  </si>
  <si>
    <t>Divinum nec principium nec finem habet.</t>
  </si>
  <si>
    <t>τὸ θεῖον οὔτε ἀρχὴν οὔτε τέλος ἔχει.</t>
  </si>
  <si>
    <t>Lo más poderoso es la necesidad.</t>
  </si>
  <si>
    <t>Necessitas potentissima est.</t>
  </si>
  <si>
    <t>ἰσχυρότατον ἀνάγκη.</t>
  </si>
  <si>
    <t>El tiempo es lo más sabio.</t>
  </si>
  <si>
    <t>Tempus sapientissimum est.</t>
  </si>
  <si>
    <t>χρόνος σοφώτατος.</t>
  </si>
  <si>
    <t>Conócete a ti mismo.</t>
  </si>
  <si>
    <t>Te ipsum nosce.</t>
  </si>
  <si>
    <t>γνῶθι σαυτόν.</t>
  </si>
  <si>
    <t>No te enriquezcas injustamente.</t>
  </si>
  <si>
    <t>Ne iniuste locupleteris.</t>
  </si>
  <si>
    <t>μὴ πλούτει κακῶς.</t>
  </si>
  <si>
    <t>La muerte no es nada para nosotros.</t>
  </si>
  <si>
    <t>Mors nihil ad nos pertinet.</t>
  </si>
  <si>
    <t>Μηδὲν πρὸς ἡμᾶς ὁ θάνατος.</t>
  </si>
  <si>
    <t>Epicuro</t>
  </si>
  <si>
    <t>Poco basta al sabio.</t>
  </si>
  <si>
    <t>Sapienti parvum satis est.</t>
  </si>
  <si>
    <t>Ἀρκέσει μικρὸν τῷ σοφῷ.</t>
  </si>
  <si>
    <t>El placer es principio y fin de la vida feliz.</t>
  </si>
  <si>
    <t>Voluptas principium et finis vitae beatae est.</t>
  </si>
  <si>
    <t>ἡδονὴ ἀρχὴ καὶ τέλος τοῦ μακαρίου βίου.</t>
  </si>
  <si>
    <t>No la mayor riqueza, sino la que basta.</t>
  </si>
  <si>
    <t>Non maxima divitia, sed sufficiens.</t>
  </si>
  <si>
    <t>οὐχ ὁ πλεῖστος πλοῦτος, ἀλλ᾽ ὁ ὀλίγος ἀρκῶν.</t>
  </si>
  <si>
    <t>La prudencia es el mayor bien.</t>
  </si>
  <si>
    <t>Prudentia summum bonum est.</t>
  </si>
  <si>
    <t>ἡ φρόνησις μέγιστον ἀγαθόν.</t>
  </si>
  <si>
    <t>No hay que temer a los dioses.</t>
  </si>
  <si>
    <t>Diis timendum non est.</t>
  </si>
  <si>
    <t>οὐ δεῖ φοβεῖσθαι τοὺς θεούς.</t>
  </si>
  <si>
    <t>El dolor es breve o soportable.</t>
  </si>
  <si>
    <t>Dolor brevis aut levis est.</t>
  </si>
  <si>
    <t>ὁ πόνος βραχύς ἢ ἐλαφρός.</t>
  </si>
  <si>
    <t>La amistad es el mayor bien de la vida.</t>
  </si>
  <si>
    <t>Amicitia summum vitae bonum est.</t>
  </si>
  <si>
    <t>φιλία μέγιστον τῆς ζωῆς ἀγαθόν.</t>
  </si>
  <si>
    <t>La felicidad no está en el lujo.</t>
  </si>
  <si>
    <t>Felicitas non in luxu est.</t>
  </si>
  <si>
    <t>οὐκ ἐν πολυτελείᾳ ἡ εὐδαιμονία.</t>
  </si>
  <si>
    <t>La riqueza natural es limitada.</t>
  </si>
  <si>
    <t>Naturalis divitia finita est.</t>
  </si>
  <si>
    <t>ὁ πλοῦτος τῆς φύσεως ὁριστός.</t>
  </si>
  <si>
    <t>Tu vida la hacen tus pensamientos.</t>
  </si>
  <si>
    <t>Vitam tuam opiniones tuae faciunt.</t>
  </si>
  <si>
    <t>Τὸν βίον σου ποιοῦνται αἱ ὑπολήψεις σου.</t>
  </si>
  <si>
    <t>Marco Aurelio</t>
  </si>
  <si>
    <t>No te perturben las cosas externas.</t>
  </si>
  <si>
    <t>Res externae te non perturbent.</t>
  </si>
  <si>
    <t>Μὴ ταράττεσθαι τὰ ἔξωθεν.</t>
  </si>
  <si>
    <t>Vivir conforme a la naturaleza.</t>
  </si>
  <si>
    <t>Secundum naturam vivere.</t>
  </si>
  <si>
    <t>Ζῆν κατὰ φύσιν.</t>
  </si>
  <si>
    <t>Todo sucede justamente.</t>
  </si>
  <si>
    <t>Omnia iuste fiunt.</t>
  </si>
  <si>
    <t>Ὅ,τι συμβαίνει, δικαίως συμβαίνει.</t>
  </si>
  <si>
    <t>El ser humano es pariente del ser humano.</t>
  </si>
  <si>
    <t>Homo homini cognatus est.</t>
  </si>
  <si>
    <t>ἄνθρωπος ἀνθρώπῳ συγγενής.</t>
  </si>
  <si>
    <t>Vivir poco, pero bien.</t>
  </si>
  <si>
    <t>Parum vivere, sed bene.</t>
  </si>
  <si>
    <t>ὀλίγον ζῆν, ἀλλὰ καλῶς.</t>
  </si>
  <si>
    <t>La felicidad está dentro.</t>
  </si>
  <si>
    <t>Felicitas intus est.</t>
  </si>
  <si>
    <t>ἔνδον ἡ εὐδαιμονία.</t>
  </si>
  <si>
    <t>Todo es transitorio.</t>
  </si>
  <si>
    <t>Omnia transitoria sunt.</t>
  </si>
  <si>
    <t>πᾶν παροδικόν.</t>
  </si>
  <si>
    <t>Recuerdo de la muerte.</t>
  </si>
  <si>
    <t>Memoria mortis.</t>
  </si>
  <si>
    <t>μνήμη θανάτου.</t>
  </si>
  <si>
    <t>La virtud se basta a sí misma.</t>
  </si>
  <si>
    <t>Virtus sibi sufficit.</t>
  </si>
  <si>
    <t>ἡ ἀρετὴ αὐτάρκης.</t>
  </si>
  <si>
    <t>La vida no examinada no merece ser vivida.</t>
  </si>
  <si>
    <t>Vita non examinata non est digna.</t>
  </si>
  <si>
    <t>Ἀνεξέταστος βίος οὐ βιωτὸς.</t>
  </si>
  <si>
    <t>Platón</t>
  </si>
  <si>
    <t>Nadie es malo voluntariamente.</t>
  </si>
  <si>
    <t>Nemo sponte malus est.</t>
  </si>
  <si>
    <t>Οὐδεὶς ἑκὼν κακός.</t>
  </si>
  <si>
    <t>La justicia es armonía del alma.</t>
  </si>
  <si>
    <t>Iustitia harmonia animae est.</t>
  </si>
  <si>
    <t>ἡ δικαιοσύνη ἁρμονία ψυχῆς.</t>
  </si>
  <si>
    <t>La educación es un segundo sol.</t>
  </si>
  <si>
    <t>Educatio alter sol est.</t>
  </si>
  <si>
    <t>ἡ παιδεία δεύτερος ἥλιος.</t>
  </si>
  <si>
    <t>La filosofía es preparación para la muerte.</t>
  </si>
  <si>
    <t>Philosophia mortis meditatio est.</t>
  </si>
  <si>
    <t>ἡ φιλοσοφία μελέτη θανάτου.</t>
  </si>
  <si>
    <t>El alma es inmortal.</t>
  </si>
  <si>
    <t>Anima immortalis est.</t>
  </si>
  <si>
    <t>ἡ ψυχὴ ἀθάνατος.</t>
  </si>
  <si>
    <t>El Bien es el mayor conocimiento.</t>
  </si>
  <si>
    <t>Bonum maximum studium est.</t>
  </si>
  <si>
    <t>τὸ ἀγαθὸν μέγιστον μάθημα.</t>
  </si>
  <si>
    <t>Amor de lo bello.</t>
  </si>
  <si>
    <t>Amor pulchri.</t>
  </si>
  <si>
    <t>ἔρως τοῦ καλοῦ.</t>
  </si>
  <si>
    <t>La ciudad es imagen del alma.</t>
  </si>
  <si>
    <t>Civitas animae imago est.</t>
  </si>
  <si>
    <t>πόλις ψυχῆς εἰκών.</t>
  </si>
  <si>
    <t>La sabiduría es virtud.</t>
  </si>
  <si>
    <t>Sapientia virtus est.</t>
  </si>
  <si>
    <t>σοφία ἀρετή.</t>
  </si>
  <si>
    <t>El hombre es un animal político.</t>
  </si>
  <si>
    <t>Homo natura animal politicum est.</t>
  </si>
  <si>
    <t>Ὁ ἄνθρωπος φύσει πολιτικὸν ζῷον.</t>
  </si>
  <si>
    <t>Aristóteles</t>
  </si>
  <si>
    <t>La felicidad es el fin de la vida.</t>
  </si>
  <si>
    <t>Felicitas finis vitae est.</t>
  </si>
  <si>
    <t>ἡ εὐδαιμονία τέλος τῆς ζωῆς.</t>
  </si>
  <si>
    <t>La virtud es un hábito electivo.</t>
  </si>
  <si>
    <t>Virtus habitus electivus est.</t>
  </si>
  <si>
    <t>ἡ ἀρετὴ ἕξις προαιρετική.</t>
  </si>
  <si>
    <t>El justo medio es lo mejor.</t>
  </si>
  <si>
    <t>Medium optimum est.</t>
  </si>
  <si>
    <t>τὸ μέσον ἄριστον.</t>
  </si>
  <si>
    <t>Nada hay en el intelecto que no haya estado antes en los sentidos.</t>
  </si>
  <si>
    <t>Nihil est in intellectu quod non prius fuerit in sensu.</t>
  </si>
  <si>
    <t>οὐθὲν ἐν τῷ νοῒ ὃ μὴ πρότερον ἐν ταῖς αἰσθήσεσιν.</t>
  </si>
  <si>
    <t>La naturaleza no hace nada en vano.</t>
  </si>
  <si>
    <t>Natura nihil frustra facit.</t>
  </si>
  <si>
    <t>ἡ φύσις οὐδὲν ποιεῖ μάτην.</t>
  </si>
  <si>
    <t>La ciudad existe por naturaleza.</t>
  </si>
  <si>
    <t>Civitas natura est.</t>
  </si>
  <si>
    <t>ἡ πόλις φύσει ἐστίν.</t>
  </si>
  <si>
    <t>El alma es la forma del cuerpo.</t>
  </si>
  <si>
    <t>Anima forma corporis est.</t>
  </si>
  <si>
    <t>ἡ ψυχὴ εἶδος σώματος.</t>
  </si>
  <si>
    <t>La prudencia es una virtud intelectual.</t>
  </si>
  <si>
    <t>Prudentia virtus intellectualis est.</t>
  </si>
  <si>
    <t>ἡ φρόνησις ἀρετὴ διανοητική.</t>
  </si>
  <si>
    <t>El amigo es otro yo.</t>
  </si>
  <si>
    <t>Amicus alter ego est.</t>
  </si>
  <si>
    <t>ὁ φίλος ἕτερος αὐτός.</t>
  </si>
  <si>
    <t>El número es el principio de todas las cosas.</t>
  </si>
  <si>
    <t>Numerus principium omnium rerum est.</t>
  </si>
  <si>
    <t>ἀριθμὸς ἀρχὴ πάντων.</t>
  </si>
  <si>
    <t>Pitágoras</t>
  </si>
  <si>
    <t>El alma es armonía.</t>
  </si>
  <si>
    <t>Anima harmonia est.</t>
  </si>
  <si>
    <t>ἁρμονία ἐστὶν ἡ ψυχή.</t>
  </si>
  <si>
    <t>Educad a los niños.</t>
  </si>
  <si>
    <t>Educate pueros.</t>
  </si>
  <si>
    <t>παίδευε τοὺς παῖδας.</t>
  </si>
  <si>
    <t>El principio es la mitad de todo.</t>
  </si>
  <si>
    <t>Principium dimidium totius est.</t>
  </si>
  <si>
    <t>ἡ ἀρχὴ ἥμισυ παντός.</t>
  </si>
  <si>
    <t>Mide tus deseos.</t>
  </si>
  <si>
    <t>Metire cupiditates tuas.</t>
  </si>
  <si>
    <t>μέτρει τὰς ἐπιθυμίας σου.</t>
  </si>
  <si>
    <t>El silencio es principio de sabiduría.</t>
  </si>
  <si>
    <t>Silentium sapientiae principium est.</t>
  </si>
  <si>
    <t>σιωπὴ ἀρχὴ σοφίας.</t>
  </si>
  <si>
    <t>La vida es breve, el arte largo.</t>
  </si>
  <si>
    <t>Vita brevis, ars longa.</t>
  </si>
  <si>
    <t>ὁ βίος βραχύς, ἡ δὲ τέχνη μακρά.</t>
  </si>
  <si>
    <t>La amistad es igualdad.</t>
  </si>
  <si>
    <t>Amicitia aequalitas est.</t>
  </si>
  <si>
    <t>φιλία ἰσότης.</t>
  </si>
  <si>
    <t>No hagas del cuerpo tumba del alma.</t>
  </si>
  <si>
    <t>Ne corpus sepulchrum animae facias.</t>
  </si>
  <si>
    <t>μὴ κατασκευάζειν σώματος τάφον ψυχῆς.</t>
  </si>
  <si>
    <t>La virtud es armonía.</t>
  </si>
  <si>
    <t>Virtus harmonia est.</t>
  </si>
  <si>
    <t>ἀρετὴ ἁρμονία ἐστίν.</t>
  </si>
  <si>
    <t>Todo fluye.</t>
  </si>
  <si>
    <t>Omnia fluunt.</t>
  </si>
  <si>
    <t>πάντα ῥεῖ.</t>
  </si>
  <si>
    <t>Heráclito</t>
  </si>
  <si>
    <t>No es posible entrar dos veces en el mismo río.</t>
  </si>
  <si>
    <t>Non licet bis in eundem fluvium descendere.</t>
  </si>
  <si>
    <t>ποταμῷ οὐκ ἔστιν ἐμβῆναι δὶς τῷ αὐτῷ.</t>
  </si>
  <si>
    <t>La guerra es padre de todas las cosas.</t>
  </si>
  <si>
    <t>Bellum omnium pater est.</t>
  </si>
  <si>
    <t>πόλεμος πάντων μὲν πατήρ ἐστι.</t>
  </si>
  <si>
    <t>El carácter es destino del hombre.</t>
  </si>
  <si>
    <t>Character homini fatum est.</t>
  </si>
  <si>
    <t>ἦθος ἀνθρώπῳ δαίμων.</t>
  </si>
  <si>
    <t>El logos es común, pero muchos viven como si tuvieran pensamiento propio.</t>
  </si>
  <si>
    <t>Logos communis est, sed multi tamquam propriam habentes mentem vivunt.</t>
  </si>
  <si>
    <t>ὁ λόγος κοινός, ἀλλ᾽ οἱ πολλοὶ ὡς ἰδίαν ἔχοντες φρόνησιν.</t>
  </si>
  <si>
    <t>Lo sabio es uno.</t>
  </si>
  <si>
    <t>Sapiens unum est.</t>
  </si>
  <si>
    <t>τὸ σοφόν ἐστιν ἕν.</t>
  </si>
  <si>
    <t>La armonía oculta es superior a la manifiesta.</t>
  </si>
  <si>
    <t>Harmonia occulta manifesta potior.</t>
  </si>
  <si>
    <t>κρυπτομένη ἁρμονίη φανερῆς κρείττων.</t>
  </si>
  <si>
    <t>No es mejor para los hombres que se cumpla todo cuanto desean.</t>
  </si>
  <si>
    <t>Non melius hominibus omnia quae cupiunt evenire.</t>
  </si>
  <si>
    <t>ἀνθρώποις γίνεσθαι ὁκόσα θέλουσιν οὐκ ἄμεινον.</t>
  </si>
  <si>
    <t>Fuego siemprevivo.</t>
  </si>
  <si>
    <t>Ignis semper vivens.</t>
  </si>
  <si>
    <t>πῦρ ἀείζωον.</t>
  </si>
  <si>
    <t>El camino hacia arriba y hacia abajo es uno y el mismo.</t>
  </si>
  <si>
    <t>Via sursum deorsum una eademque est.</t>
  </si>
  <si>
    <t>ὁδὸς ἄνω κάτω μία καὶ ὡυτή.</t>
  </si>
  <si>
    <t>Solo sé que no sé nada.</t>
  </si>
  <si>
    <t>Scio me nihil scire.</t>
  </si>
  <si>
    <t>ἓν οἶδα ὅτι οὐδὲν οἶδα.</t>
  </si>
  <si>
    <t>Sócrates</t>
  </si>
  <si>
    <t>Nosce te ipsum.</t>
  </si>
  <si>
    <t>γνῶθι σεαυτόν.</t>
  </si>
  <si>
    <t>Una vida sin examen no merece ser vivida.</t>
  </si>
  <si>
    <t>Vita inexaminata non est vivenda homini.</t>
  </si>
  <si>
    <t>ὁ ἀνεξέταστος βίος οὐ βιωτὸς ἀνθρώπῳ.</t>
  </si>
  <si>
    <t>Nadie yerra voluntariamente.</t>
  </si>
  <si>
    <t>Nemo sponte peccat.</t>
  </si>
  <si>
    <t>οὐδεὶς ἑκὼν ἁμαρτάνει.</t>
  </si>
  <si>
    <t>La virtud es conocimiento.</t>
  </si>
  <si>
    <t>Virtus scientia est.</t>
  </si>
  <si>
    <t>ἀρετὴ ἐπιστήμη.</t>
  </si>
  <si>
    <t>Mejor es sufrir injusticia que cometerla.</t>
  </si>
  <si>
    <t>Melius est iniuriam pati quam facere.</t>
  </si>
  <si>
    <t>κρεῖττον ἀδικεῖσθαι ἢ ἀδικεῖν.</t>
  </si>
  <si>
    <t>Mors nihil ad nos.</t>
  </si>
  <si>
    <t>θάνατος οὐδὲν πρὸς ἡμᾶς.</t>
  </si>
  <si>
    <t>La sabiduría está en conocerse a sí mismo.</t>
  </si>
  <si>
    <t>Sapientia in se ipsum cognoscendo est.</t>
  </si>
  <si>
    <t>σοφία ἐν τῷ αὑτὸν γιγνώσκειν.</t>
  </si>
  <si>
    <t>Cuidar del alma.</t>
  </si>
  <si>
    <t>Animae curare.</t>
  </si>
  <si>
    <t>ψυχῆς ἐπιμελεῖσθαι.</t>
  </si>
  <si>
    <t>La vida sin reflexión no vale la pena.</t>
  </si>
  <si>
    <t>Vita sine meditatione non valet.</t>
  </si>
  <si>
    <t>ὁ δὲ ἀνεξέταστος βίος οὐ βιωτὸς.</t>
  </si>
  <si>
    <t>Átomos y vacío.</t>
  </si>
  <si>
    <t>Atomi et inane.</t>
  </si>
  <si>
    <t>ἄτομοι καὶ κενόν.</t>
  </si>
  <si>
    <t>Demócrito</t>
  </si>
  <si>
    <t>Nada sucede en vano, todo por razón y necesidad.</t>
  </si>
  <si>
    <t>Nihil frustra fit, sed omnia ratione et necessitate.</t>
  </si>
  <si>
    <t>οὐδὲν χρῆμα μάτην γίνεται, ἀλλὰ πάντα ἐκ λόγου τε καὶ ὑπ᾽ ἀνάγκης.</t>
  </si>
  <si>
    <t>La alegría es el fin.</t>
  </si>
  <si>
    <t>Laetitia finis est.</t>
  </si>
  <si>
    <t>εὐθυμίη τέλος.</t>
  </si>
  <si>
    <t>Por convención dulce y amargo, por convención caliente y frío, por convención color; en realidad átomos y vacío.</t>
  </si>
  <si>
    <t>Lege dulce et amarum, lege calidum et frigidum, lege color; re vera atomi et inane.</t>
  </si>
  <si>
    <t>νόμῳ γλυκὺ καὶ νόμῳ πικρόν, νόμῳ θερμόν, νόμῳ ψυχρόν, νόμῳ χροιή, ἐτεῇ δὲ ἄτομα καὶ κενόν.</t>
  </si>
  <si>
    <t>La palabra es sombra de la acción.</t>
  </si>
  <si>
    <t>Verbum umbra operis est.</t>
  </si>
  <si>
    <t>λόγος ἔργου σκιή.</t>
  </si>
  <si>
    <t>La felicidad está en el alma.</t>
  </si>
  <si>
    <t>Felicitas in anima est.</t>
  </si>
  <si>
    <t>εὐδαιμονίη ψυχῆς.</t>
  </si>
  <si>
    <t>Muchos eruditos carecen de inteligencia.</t>
  </si>
  <si>
    <t>Multi eruditi intelligentia carent.</t>
  </si>
  <si>
    <t>πολλοὶ πολυμαθέες νοῦν οὐκ ἔχουσιν.</t>
  </si>
  <si>
    <t>Necesidad de la naturaleza.</t>
  </si>
  <si>
    <t>Necessitas naturae.</t>
  </si>
  <si>
    <t>ἀνάγκη φύσεως.</t>
  </si>
  <si>
    <t>El hombre es un pequeño cosmos.</t>
  </si>
  <si>
    <t>Homo parvus mundus est.</t>
  </si>
  <si>
    <t>μικρὸς κόσμος ἄνθρωπος.</t>
  </si>
  <si>
    <t>La filosofía es medicina del alma.</t>
  </si>
  <si>
    <t>Philosophia medicina animae est.</t>
  </si>
  <si>
    <t>ἰατρὸς ψυχῆς φιλοσοφία.</t>
  </si>
  <si>
    <t>El hombre es la medida de todas las cosas.</t>
  </si>
  <si>
    <t>Homo omnium rerum mensura est.</t>
  </si>
  <si>
    <t>πάντων χρημάτων μέτρον ἐστὶν ἄνθρωπος.</t>
  </si>
  <si>
    <t>Protágoras</t>
  </si>
  <si>
    <t>Sobre los dioses no puedo saber.</t>
  </si>
  <si>
    <t>De diis non possum scire.</t>
  </si>
  <si>
    <t>περὶ θεῶν οὐκ ἔχω εἰδέναι.</t>
  </si>
  <si>
    <t>Dos razones hay sobre cada cosa.</t>
  </si>
  <si>
    <t>Duo rationes de quaque re sunt.</t>
  </si>
  <si>
    <t>δύο λόγοι εἰσὶ περὶ παντός.</t>
  </si>
  <si>
    <t>La educación tiene raíz amarga, pero fruto dulce.</t>
  </si>
  <si>
    <t>Educatio radicem amaram, fructum dulcem habet.</t>
  </si>
  <si>
    <t>παιδεία ῥίζα πικρά, καρπὸς δὲ γλυκύς.</t>
  </si>
  <si>
    <t>El arte sin naturaleza es nada.</t>
  </si>
  <si>
    <t>Ars sine natura nihil est.</t>
  </si>
  <si>
    <t>τέχνη δίχα φύσεως οὐδέν.</t>
  </si>
  <si>
    <t>El que ejercita es superior al dotado por naturaleza.</t>
  </si>
  <si>
    <t>Qui exercet praestantior naturaliter apto.</t>
  </si>
  <si>
    <t>ὁ ἀσκῶν κρείττων τοῦ εὐφυοῦς.</t>
  </si>
  <si>
    <t>La virtud es enseñable.</t>
  </si>
  <si>
    <t>Virtus docibilis est.</t>
  </si>
  <si>
    <t>ἀρετὴ διδακτόν.</t>
  </si>
  <si>
    <t>La ley es tirana.</t>
  </si>
  <si>
    <t>Lex tyrannus est.</t>
  </si>
  <si>
    <t>νόμος τύραννος.</t>
  </si>
  <si>
    <t>Al hombre, naturaleza humana.</t>
  </si>
  <si>
    <t>Homini natura humana.</t>
  </si>
  <si>
    <t>ἀνθρώπῳ ἀνθρωπίνη φύσις.</t>
  </si>
  <si>
    <t>Sobre cada cosa hay razones opuestas.</t>
  </si>
  <si>
    <t>De quaque re rationes oppositae sunt.</t>
  </si>
  <si>
    <t>περὶ παντὸς ἀντικείμενοι λόγοι.</t>
  </si>
  <si>
    <t>Humillémonos bajo la mano poderosa de Dios.</t>
  </si>
  <si>
    <t>Humiliamur sub manu Dei omnipotente.</t>
  </si>
  <si>
    <t>Humiliamur sub manu Dei omnipotentem.</t>
  </si>
  <si>
    <t>San Clemente Romano</t>
  </si>
  <si>
    <t>Paz y concordia entre vosotros.</t>
  </si>
  <si>
    <t>Pax et concordia inter vos.</t>
  </si>
  <si>
    <t>La caridad no tiene división.</t>
  </si>
  <si>
    <t>Caritas non habet schisma.</t>
  </si>
  <si>
    <t>La fe y la humildad reciben la corona.</t>
  </si>
  <si>
    <t>Fides et humilitas coronam accipiunt.</t>
  </si>
  <si>
    <t>La obediencia a Dios es mejor que el sacrificio.</t>
  </si>
  <si>
    <t>Oboedientia Deo melior est sacrificio.</t>
  </si>
  <si>
    <t>Permaneced en la unidad del espíritu.</t>
  </si>
  <si>
    <t>In unitate spiritus manete.</t>
  </si>
  <si>
    <t>Dios mira a los humildes, conoce de lejos a los soberbios.</t>
  </si>
  <si>
    <t>Deus humiles videt, superbos a longe cognoscit.</t>
  </si>
  <si>
    <t>Sin fe es imposible agradar a Dios.</t>
  </si>
  <si>
    <t>Sine fide impossibile est placere Deo.</t>
  </si>
  <si>
    <t>La misericordia de Dios sobre todos.</t>
  </si>
  <si>
    <t>Misericordia Dei super omnes.</t>
  </si>
  <si>
    <t>El celo y la envidia trajeron la muerte.</t>
  </si>
  <si>
    <t>Zelus et invidia mortem attulerunt.</t>
  </si>
  <si>
    <t>Soy portador de Dios.</t>
  </si>
  <si>
    <t>Theophorus sum.</t>
  </si>
  <si>
    <t>Θεοφόρος εἰμί.</t>
  </si>
  <si>
    <t>San Ignacio de Antioquía</t>
  </si>
  <si>
    <t>Soy trigo de Cristo.</t>
  </si>
  <si>
    <t>Frumentum Christi sum.</t>
  </si>
  <si>
    <t>Donde está el obispo, allí está la Iglesia.</t>
  </si>
  <si>
    <t>Ubi episcopus, ibi Ecclesia.</t>
  </si>
  <si>
    <t>La Eucaristía es la carne de nuestro Salvador.</t>
  </si>
  <si>
    <t>Eucharistia caro Salvatoris nostri.</t>
  </si>
  <si>
    <t>El cristiano no vive para sí, sino para Cristo.</t>
  </si>
  <si>
    <t>Christianus vivit, non sibi, sed Christo.</t>
  </si>
  <si>
    <t>Dejadme ser pasto de las fieras.</t>
  </si>
  <si>
    <t>Sinite me bestiarum esse cibum.</t>
  </si>
  <si>
    <t>Mi amor ha sido crucificado.</t>
  </si>
  <si>
    <t>Meus amor crucifixus est.</t>
  </si>
  <si>
    <t>Una fe, una esperanza, una caridad.</t>
  </si>
  <si>
    <t>Una fides, una spes, una caritas.</t>
  </si>
  <si>
    <t>Permaneced en la unidad de Dios.</t>
  </si>
  <si>
    <t>In unitate Dei permanete.</t>
  </si>
  <si>
    <t>Entonces seré verdaderamente discípulo.</t>
  </si>
  <si>
    <t>Tunc vere discipulus ero.</t>
  </si>
  <si>
    <t>Ochenta y seis años sirvo al Señor.</t>
  </si>
  <si>
    <t>Octoginta sex annos Domino servio.</t>
  </si>
  <si>
    <t>San Policarpo de Esmirna</t>
  </si>
  <si>
    <t>Soy cristiano.</t>
  </si>
  <si>
    <t>Christianus sum.</t>
  </si>
  <si>
    <t>Quien no confiesa la cruz, es del diablo.</t>
  </si>
  <si>
    <t>Qui non confitetur crucem, ex diabolo est.</t>
  </si>
  <si>
    <t>Orad por los reyes y las autoridades.</t>
  </si>
  <si>
    <t>Orate pro regibus et potestatibus.</t>
  </si>
  <si>
    <t>La fe es madre de todos nosotros.</t>
  </si>
  <si>
    <t>Fides mater omnium nostrum.</t>
  </si>
  <si>
    <t>La misericordia y la paciencia vencen todo.</t>
  </si>
  <si>
    <t>Misericordia et patientia vincunt omnia.</t>
  </si>
  <si>
    <t>Permaneced en la verdad.</t>
  </si>
  <si>
    <t>In veritate permanete.</t>
  </si>
  <si>
    <t>La resurrección de Cristo es el fundamento de nuestra fe.</t>
  </si>
  <si>
    <t>Resurrectio Christi fundamentum fidei nostrae.</t>
  </si>
  <si>
    <t>Absteneos de la avaricia.</t>
  </si>
  <si>
    <t>Abstinete ab avaritia.</t>
  </si>
  <si>
    <t>El amor al prójimo es perfección.</t>
  </si>
  <si>
    <t>Dilectio proximi perfectio est.</t>
  </si>
  <si>
    <t>La gloria de Dios es el hombre que vive.</t>
  </si>
  <si>
    <t>Gloria Dei vivens homo.</t>
  </si>
  <si>
    <t>San Ireneo de Lyon</t>
  </si>
  <si>
    <t>La vida del hombre es la visión de Dios.</t>
  </si>
  <si>
    <t>Vita hominis visio Dei.</t>
  </si>
  <si>
    <t>El Verbo de Dios se hizo carne.</t>
  </si>
  <si>
    <t>Verbum Dei caro factum est.</t>
  </si>
  <si>
    <t>Donde está la Iglesia, allí está el Espíritu.</t>
  </si>
  <si>
    <t>Ubi Ecclesia, ibi Spiritus.</t>
  </si>
  <si>
    <t>Recapitulación de todo en Cristo.</t>
  </si>
  <si>
    <t>Recapitulatio omnium in Christo.</t>
  </si>
  <si>
    <t>La tradición apostólica es luz de verdad.</t>
  </si>
  <si>
    <t>Traditio apostolica lumen veritatis.</t>
  </si>
  <si>
    <t>Cristo se hizo lo que nosotros somos.</t>
  </si>
  <si>
    <t>Christus factus est quod sumus.</t>
  </si>
  <si>
    <t>Una sola fe en todo el mundo.</t>
  </si>
  <si>
    <t>Fides una in toto mundo.</t>
  </si>
  <si>
    <t>La herejía es división del alma.</t>
  </si>
  <si>
    <t>Haeresis divisio animae.</t>
  </si>
  <si>
    <t>En la unidad de la Iglesia está la salvación.</t>
  </si>
  <si>
    <t>In unitate Ecclesiae salus.</t>
  </si>
  <si>
    <t>Dios se hizo hombre para que nosotros fuéramos dioses.</t>
  </si>
  <si>
    <t>Deus homo factus est ut nos dii fieremus.</t>
  </si>
  <si>
    <t>San Atanasio</t>
  </si>
  <si>
    <t>Atanasio contra el mundo.</t>
  </si>
  <si>
    <t>Athanasius contra mundum.</t>
  </si>
  <si>
    <t>El Hijo de Dios es el Verbo del Padre.</t>
  </si>
  <si>
    <t>Filius Dei Verbum Patris.</t>
  </si>
  <si>
    <t>Consustancial con el Padre.</t>
  </si>
  <si>
    <t>Consubstantialis Patri.</t>
  </si>
  <si>
    <t>Homoousios to Patri.</t>
  </si>
  <si>
    <t>La encarnación es misterio de salvación.</t>
  </si>
  <si>
    <t>Incarnatio mysterium salutis.</t>
  </si>
  <si>
    <t>La Escritura se entiende por el Espíritu.</t>
  </si>
  <si>
    <t>Scriptura per Spiritum intelligitur.</t>
  </si>
  <si>
    <t>La verdad de Dios es inmutable.</t>
  </si>
  <si>
    <t>Veritas Dei immutabilis est.</t>
  </si>
  <si>
    <t>La vida monástica es vida de ángeles.</t>
  </si>
  <si>
    <t>Vita monastica angelorum vita.</t>
  </si>
  <si>
    <t>La fe de Nicea es la fe católica.</t>
  </si>
  <si>
    <t>Fides Nicaena fides catholica.</t>
  </si>
  <si>
    <t>En la cruz está nuestra victoria.</t>
  </si>
  <si>
    <t>In cruce victoria nostra.</t>
  </si>
  <si>
    <t>El Espíritu Santo es Dios.</t>
  </si>
  <si>
    <t>Spiritus Sanctus Deus est.</t>
  </si>
  <si>
    <t>San Basilio Magno</t>
  </si>
  <si>
    <t>La vida monástica es la verdadera filosofía.</t>
  </si>
  <si>
    <t>Monastica vita philosophia vera.</t>
  </si>
  <si>
    <t>La caridad es vínculo de perfección.</t>
  </si>
  <si>
    <t>Caritas vinculum perfectionis.</t>
  </si>
  <si>
    <t>La pobreza evangélica es tesoro.</t>
  </si>
  <si>
    <t>Paupertas evangelica thesaurus.</t>
  </si>
  <si>
    <t>La oración es ascenso de la mente a Dios.</t>
  </si>
  <si>
    <t>Oratio ascensus mentis ad Deum.</t>
  </si>
  <si>
    <t>La humildad es fundamento de la virtud.</t>
  </si>
  <si>
    <t>Humilitas fundamentum virtutis.</t>
  </si>
  <si>
    <t>La Escritura es camino al conocimiento de Dios.</t>
  </si>
  <si>
    <t>Scriptura via ad cognitionem Dei.</t>
  </si>
  <si>
    <t>Trinidad una naturaleza, tres personas.</t>
  </si>
  <si>
    <t>Trinitas una natura, tres personae.</t>
  </si>
  <si>
    <t>Las buenas obras son fruto de la fe.</t>
  </si>
  <si>
    <t>Bona opera fructus fidei.</t>
  </si>
  <si>
    <t>La vida contemplativa es el sumo bien.</t>
  </si>
  <si>
    <t>Vita contemplativa summum bonum.</t>
  </si>
  <si>
    <t>Teólogo es el que ora.</t>
  </si>
  <si>
    <t>Theologus est qui orat.</t>
  </si>
  <si>
    <t>Θεολόγος ὁ προσευχόμενος.</t>
  </si>
  <si>
    <t>San Gregorio Nacianceno</t>
  </si>
  <si>
    <t>La Trinidad es una luz.</t>
  </si>
  <si>
    <t>Trinitas lumen unum.</t>
  </si>
  <si>
    <t>El silencio es alabanza de Dios.</t>
  </si>
  <si>
    <t>Silentium Dei laus est.</t>
  </si>
  <si>
    <t>Cristo es pan vivo del cielo.</t>
  </si>
  <si>
    <t>Christus panis vivus de caelo.</t>
  </si>
  <si>
    <t>El Espíritu Santo es Dios perfecto.</t>
  </si>
  <si>
    <t>Spiritus Sanctus Deus perfectus.</t>
  </si>
  <si>
    <t>El bautismo es iluminación del alma.</t>
  </si>
  <si>
    <t>Baptismus illuminatio animae.</t>
  </si>
  <si>
    <t>El Verbo es elocuencia divina.</t>
  </si>
  <si>
    <t>Verbum eloquentia divina.</t>
  </si>
  <si>
    <t>La pureza del corazón es visión de Dios.</t>
  </si>
  <si>
    <t>Puritas cordis visio Dei.</t>
  </si>
  <si>
    <t>La filosofía es meditación de la muerte.</t>
  </si>
  <si>
    <t>Philosophia meditatio mortis.</t>
  </si>
  <si>
    <t>La amistad es imagen de la Trinidad.</t>
  </si>
  <si>
    <t>Amicitia imago Trinitatis.</t>
  </si>
  <si>
    <t>El hombre es imagen de Dios.</t>
  </si>
  <si>
    <t>Homo imago Dei.</t>
  </si>
  <si>
    <t>San Gregorio de Nisa</t>
  </si>
  <si>
    <t>Progreso perpetuo hacia Dios.</t>
  </si>
  <si>
    <t>Perpetua progressio ad Deum.</t>
  </si>
  <si>
    <t>Epektasis perpetua progressio.</t>
  </si>
  <si>
    <t>El alma siempre asciende.</t>
  </si>
  <si>
    <t>Anima semper ascendit.</t>
  </si>
  <si>
    <t>La virginidad es vida angélica.</t>
  </si>
  <si>
    <t>Virginitas vita angelica.</t>
  </si>
  <si>
    <t>Contemplación de la belleza divina.</t>
  </si>
  <si>
    <t>Contemplatio divinae pulchritudinis.</t>
  </si>
  <si>
    <t>Dios es incomprensible.</t>
  </si>
  <si>
    <t>Deus incomprehensibilis.</t>
  </si>
  <si>
    <t>La libertad es perfección de la naturaleza.</t>
  </si>
  <si>
    <t>Libertas perfectio naturae.</t>
  </si>
  <si>
    <t>La resurrección es restauración de la imagen.</t>
  </si>
  <si>
    <t>Resurrectio restauratio imaginis.</t>
  </si>
  <si>
    <t>Ascenso místico hacia la luz.</t>
  </si>
  <si>
    <t>Mysticus ascensus ad lucem.</t>
  </si>
  <si>
    <t>El amor es deseo infinito.</t>
  </si>
  <si>
    <t>Amor desiderium infinitum.</t>
  </si>
  <si>
    <t>El emperador está dentro de la Iglesia, no sobre ella.</t>
  </si>
  <si>
    <t>Imperator intra Ecclesiam, non supra Ecclesiam est.</t>
  </si>
  <si>
    <t>San Ambrosio</t>
  </si>
  <si>
    <t>Donde hay fe, hay libertad.</t>
  </si>
  <si>
    <t>Ubi fides, ibi libertas.</t>
  </si>
  <si>
    <t>El salmo es bendición del pueblo.</t>
  </si>
  <si>
    <t>Psalmus benedictio populi.</t>
  </si>
  <si>
    <t>La Eucaristía es pan de ángeles.</t>
  </si>
  <si>
    <t>Eucharistia panis angelorum.</t>
  </si>
  <si>
    <t>No agradó a Dios salvar a su pueblo por la dialéctica.</t>
  </si>
  <si>
    <t>Non in dialectica complacuit Deo salvum facere populum suum.</t>
  </si>
  <si>
    <t>La penitencia es segunda tabla tras el naufragio.</t>
  </si>
  <si>
    <t>Poenitentia secunda tabula post naufragium.</t>
  </si>
  <si>
    <t>La justicia hacia Dios se llama piedad.</t>
  </si>
  <si>
    <t>Iustitia erga Deum pietas dicitur.</t>
  </si>
  <si>
    <t>El himno es cántico espiritual.</t>
  </si>
  <si>
    <t>Hymnus canticorum spiritualium.</t>
  </si>
  <si>
    <t>Cristo resucitó, nuestra esperanza.</t>
  </si>
  <si>
    <t>Christus resurrexit, spes nostra.</t>
  </si>
  <si>
    <t>La fe busca, el intelecto encuentra.</t>
  </si>
  <si>
    <t>Fides quaerit, intellectus invenit.</t>
  </si>
  <si>
    <t>Ignorar las Escrituras es ignorar a Cristo.</t>
  </si>
  <si>
    <t>Ignoratio Scripturarum ignoratio Christi est.</t>
  </si>
  <si>
    <t>San Jerónimo</t>
  </si>
  <si>
    <t>Las riquezas o sirven o dominan.</t>
  </si>
  <si>
    <t>Divitiae aut serviunt aut dominantur.</t>
  </si>
  <si>
    <t>Ama la ciencia de las Escrituras y no amarás los vicios de la carne.</t>
  </si>
  <si>
    <t>Ama scientiam Scripturarum et carnis vitia non amabis.</t>
  </si>
  <si>
    <t>La soledad del cielo es paraíso.</t>
  </si>
  <si>
    <t>Solitudo coeli est paradisus.</t>
  </si>
  <si>
    <t>La verdad no se avergüenza.</t>
  </si>
  <si>
    <t>Veritas non erubescit.</t>
  </si>
  <si>
    <t>Con el sudor de tu rostro comerás tu pan.</t>
  </si>
  <si>
    <t>In sudore vultus tui vesceris pane tuo.</t>
  </si>
  <si>
    <t>Lee, ora, trabaja.</t>
  </si>
  <si>
    <t>Lege, ora, labora.</t>
  </si>
  <si>
    <t>Fácil es despreciar los placeres en el desierto.</t>
  </si>
  <si>
    <t>Facile est contemptorem esse deliciarum in deserto.</t>
  </si>
  <si>
    <t>La carta es indicio del alma.</t>
  </si>
  <si>
    <t>Epistula animi indicium.</t>
  </si>
  <si>
    <t>La vida del monje es cruz cotidiana.</t>
  </si>
  <si>
    <t>Vita monachi crux quotidiana.</t>
  </si>
  <si>
    <t>Reconoce, oh cristiano, tu dignidad.</t>
  </si>
  <si>
    <t>Agnosce, o Christiane, dignitatem tuam.</t>
  </si>
  <si>
    <t>San León Magno</t>
  </si>
  <si>
    <t>Te has hecho partícipe de la naturaleza divina.</t>
  </si>
  <si>
    <t>Particeps divinae naturae factus es.</t>
  </si>
  <si>
    <t>Cristo es verdadero Dios, verdadero hombre.</t>
  </si>
  <si>
    <t>Christus verus Deus, verus homo.</t>
  </si>
  <si>
    <t>Una persona, dos naturalezas.</t>
  </si>
  <si>
    <t>Una persona, duae naturae.</t>
  </si>
  <si>
    <t>Ayuno del cuerpo, banquete del alma.</t>
  </si>
  <si>
    <t>Ieiunium corporis, epulatio animae.</t>
  </si>
  <si>
    <t>La humildad es fundamento de todas las virtudes.</t>
  </si>
  <si>
    <t>Humilitas fundamentum omnium virtutum.</t>
  </si>
  <si>
    <t>Pedro habla en Pedro.</t>
  </si>
  <si>
    <t>Petrus in Petro loquitur.</t>
  </si>
  <si>
    <t>La resurrección de Cristo es nuestra vida.</t>
  </si>
  <si>
    <t>Resurrectio Christi vita nostra.</t>
  </si>
  <si>
    <t>La limosna es redención de pecados.</t>
  </si>
  <si>
    <t>Eleemosyna redemptio peccatorum.</t>
  </si>
  <si>
    <t>La fe sin obras está muerta.</t>
  </si>
  <si>
    <t>Fides sine operibus mortua est.</t>
  </si>
  <si>
    <t>Fuera de la Iglesia no hay salvación.</t>
  </si>
  <si>
    <t>Extra Ecclesiam nulla salus.</t>
  </si>
  <si>
    <t>San Cipriano</t>
  </si>
  <si>
    <t>No puede tener a Dios por padre quien no tiene a la Iglesia por madre.</t>
  </si>
  <si>
    <t>Non potest habere Deum patrem qui Ecclesiam non habet matrem.</t>
  </si>
  <si>
    <t>La unidad de la Iglesia no puede romperse.</t>
  </si>
  <si>
    <t>Unitas Ecclesiae frangi non potest.</t>
  </si>
  <si>
    <t>El martirio es bautismo de sangre.</t>
  </si>
  <si>
    <t>Martyrium baptismus sanguinis.</t>
  </si>
  <si>
    <t>La oración es ascenso a Dios.</t>
  </si>
  <si>
    <t>Oratio ascensus ad Deum.</t>
  </si>
  <si>
    <t>La paciencia es la máxima virtud cristiana.</t>
  </si>
  <si>
    <t>Patientia Christiana virtus maxima.</t>
  </si>
  <si>
    <t>La caridad es vínculo de fraternidad.</t>
  </si>
  <si>
    <t>Caritas vinculum fraternitatis.</t>
  </si>
  <si>
    <t>Un Dios, una fe, un bautismo.</t>
  </si>
  <si>
    <t>Unus Deus, una fides, unum baptisma.</t>
  </si>
  <si>
    <t>El obispo en la Iglesia, la Iglesia en el obispo.</t>
  </si>
  <si>
    <t>Episcopus in Ecclesia, Ecclesia in episcopo.</t>
  </si>
  <si>
    <t>La limosna es satisfacción por el pecado.</t>
  </si>
  <si>
    <t>Eleemosyna satisfactio peccati.</t>
  </si>
  <si>
    <t>La fe que busca entender.</t>
  </si>
  <si>
    <t>Fides quaerens intellectum.</t>
  </si>
  <si>
    <t>San Anselmo de Canterbury</t>
  </si>
  <si>
    <t>Creo para entender.</t>
  </si>
  <si>
    <t>Credo ut intelligam.</t>
  </si>
  <si>
    <t>Dios es aquello mayor que lo cual nada puede pensarse.</t>
  </si>
  <si>
    <t>Deus est id quo maius cogitari nequit.</t>
  </si>
  <si>
    <t>La razón necesaria demuestra que Dios existe.</t>
  </si>
  <si>
    <t>Ratio necessaria demonstrat Deum esse.</t>
  </si>
  <si>
    <t>¿Por qué Dios se hizo hombre?</t>
  </si>
  <si>
    <t>Cur Deus homo.</t>
  </si>
  <si>
    <t>La satisfacción por el pecado es necesaria.</t>
  </si>
  <si>
    <t>Satisfactio pro peccato necessaria.</t>
  </si>
  <si>
    <t>La libertad del albedrío es poder de conservar la rectitud.</t>
  </si>
  <si>
    <t>Libertas arbitrii potentia servandi rectitudinem.</t>
  </si>
  <si>
    <t>La verdad es rectitud perceptible solo por la mente.</t>
  </si>
  <si>
    <t>Veritas est rectitudo sola mente perceptibilis.</t>
  </si>
  <si>
    <t>El Monologio y el Proslogio son fundamentos de teología.</t>
  </si>
  <si>
    <t>Monologion et Proslogion fundamenta theologiae.</t>
  </si>
  <si>
    <t>El deseo de ver a Dios es el sumo bien.</t>
  </si>
  <si>
    <t>Desiderium videndi Deum summum bonum.</t>
  </si>
  <si>
    <t>No se deben multiplicar los entes sin necesidad.</t>
  </si>
  <si>
    <t>Entia non sunt multiplicanda praeter necessitatem.</t>
  </si>
  <si>
    <t>Guillermo de Ockham</t>
  </si>
  <si>
    <t>En vano se hace con más lo que puede hacerse con menos.</t>
  </si>
  <si>
    <t>Frustra fit per plura quod potest fieri per pauciora.</t>
  </si>
  <si>
    <t>Lo universal no es cosa.</t>
  </si>
  <si>
    <t>Universale non est res.</t>
  </si>
  <si>
    <t>Los nombres son signos de cosas singulares.</t>
  </si>
  <si>
    <t>Nomina sunt signa rerum singularium.</t>
  </si>
  <si>
    <t>La fe y la razón son distintas.</t>
  </si>
  <si>
    <t>Fides et ratio distinctae sunt.</t>
  </si>
  <si>
    <t>La teología no es ciencia.</t>
  </si>
  <si>
    <t>Theologia non est scientia.</t>
  </si>
  <si>
    <t>La potencia absoluta de Dios.</t>
  </si>
  <si>
    <t>Potentia Dei absoluta.</t>
  </si>
  <si>
    <t>La voluntad divina es ley suprema.</t>
  </si>
  <si>
    <t>Voluntas divina suprema lex.</t>
  </si>
  <si>
    <t>La intuición de lo singular es principio del conocimiento.</t>
  </si>
  <si>
    <t>Intuitus singularis principium cognitionis.</t>
  </si>
  <si>
    <t>La libertad de la voluntad es fundamento de la moralidad.</t>
  </si>
  <si>
    <t>Libertas voluntatis fundamentum moralitatis.</t>
  </si>
  <si>
    <t>Si ves la caridad, ves la Trinidad.</t>
  </si>
  <si>
    <t>Si vides caritatem, vides Trinitatem.</t>
  </si>
  <si>
    <t>El Padre es Dios, el Hijo es Dios, el Espíritu Santo es Dios; y, sin embargo, no son tres dioses, sino un solo Dios.</t>
  </si>
  <si>
    <t>Pater est Deus, Filius est Deus, Spiritus Sanctus est Deus; et tamen non tres dii, sed unus Deus.</t>
  </si>
  <si>
    <t>La fe católica es esta: que adoremos a un solo Dios en la Trinidad, y a la Trinidad en la unidad.</t>
  </si>
  <si>
    <t>Fides catholica haec est: ut unum Deum in Trinitate, et Trinitatem in unitate veneremur.</t>
  </si>
  <si>
    <t>Las personas divinas se distinguen por sus relaciones, no por su esencia.</t>
  </si>
  <si>
    <t>Personae divinae distinguuntur relationibus, non essentia.</t>
  </si>
  <si>
    <t>Cuando pienso en el Uno, soy iluminado por el esplendor de los Tres; cuando distingo a los Tres, soy llevado de nuevo al Uno.</t>
  </si>
  <si>
    <t>Cum de Uno cogito, splendore Trium illuminor; cum Tres distinguo, ad Unum reducor.</t>
  </si>
  <si>
    <t>La esperanza es lo último que se pierde</t>
  </si>
  <si>
    <t>Spes ultima est quae amittitur</t>
  </si>
  <si>
    <t>Anónimo</t>
  </si>
  <si>
    <t>Lo que no mata, fortalece</t>
  </si>
  <si>
    <t>Quod non necat, roborat</t>
  </si>
  <si>
    <t>Ez hiltzen duena, indartsuago egiten du</t>
  </si>
  <si>
    <t>Refrán Vasco</t>
  </si>
  <si>
    <t>La libertad es nada más que la oportunidad de ser mejor</t>
  </si>
  <si>
    <t>Libertas nihil est nisi occasio melioris fieri</t>
  </si>
  <si>
    <t>La liberté n’est rien d’autre que la possibilité d’être meilleur</t>
  </si>
  <si>
    <t>Albert Camus</t>
  </si>
  <si>
    <t>No debemos esperar grandes cosas, sino hacer pequeñas cosas con gran amor</t>
  </si>
  <si>
    <t>Parva magna cum magno amore agere debemus</t>
  </si>
  <si>
    <t>Nuk duhet të presim gjëra të mëdha, por të bëjmë gjëra të vogla me dashuri të madhe</t>
  </si>
  <si>
    <t>Santa Teresa de Calcuta</t>
  </si>
  <si>
    <t>Comienza haciendo lo que es necesario, luego lo que es posible, y de repente estarás haciendo lo imposible</t>
  </si>
  <si>
    <t>Fac hoc quod necessarium est, deinde quod possibile, et subito facies impossibile</t>
  </si>
  <si>
    <t>Fac hoc quod necessarium est, deinde quod possibile, et subito facies impossibileComincia facendo ciò che è necessario, poi ciò che è possibile, e all’improvviso farai l’impossibile</t>
  </si>
  <si>
    <t>San Francisco de Asís</t>
  </si>
  <si>
    <t>id_autor</t>
  </si>
  <si>
    <t>fecha_nacimiento</t>
  </si>
  <si>
    <t>fecha_fallecimiento</t>
  </si>
  <si>
    <t>Quintus Horatius Flaccus</t>
  </si>
  <si>
    <t>Poeta lírico romano, autor de "Carpe diem".</t>
  </si>
  <si>
    <t>Poeta lyricus Romanus, auctor "Carpe diem".</t>
  </si>
  <si>
    <t>Latín</t>
  </si>
  <si>
    <t>Roma</t>
  </si>
  <si>
    <t>Renatus Cartesius</t>
  </si>
  <si>
    <t>Filósofo y matemático francés.</t>
  </si>
  <si>
    <t>Philosophus et mathematicus Francogallicus.</t>
  </si>
  <si>
    <t>Francia</t>
  </si>
  <si>
    <t>Gallia</t>
  </si>
  <si>
    <t>Franciscus Bacon</t>
  </si>
  <si>
    <t>Filósofo y estadista inglés, autor de "El conocimiento es poder".</t>
  </si>
  <si>
    <t>Philosophus et civis Anglicus, auctor "Scientia potentia est".</t>
  </si>
  <si>
    <t>Inglés</t>
  </si>
  <si>
    <t>Inglaterra</t>
  </si>
  <si>
    <t>Anglia</t>
  </si>
  <si>
    <t>Aurelius Augustinus</t>
  </si>
  <si>
    <t>Filósofo y teólogo cristiano.</t>
  </si>
  <si>
    <t>Philosophus et theologus Christianus.</t>
  </si>
  <si>
    <t>Gulielmus Shakespeare</t>
  </si>
  <si>
    <t>Dramaturgo y poeta inglés, autor de Hamlet.</t>
  </si>
  <si>
    <t>Dramaturgus et poeta Anglicus, auctor "Hamlet".</t>
  </si>
  <si>
    <t>Salomon</t>
  </si>
  <si>
    <t>Rey de Israel, autor de proverbios y textos bíblicos.</t>
  </si>
  <si>
    <t>Rex Israel, auctor proverbiorum et textuum sacrorum.</t>
  </si>
  <si>
    <t>Hebreo</t>
  </si>
  <si>
    <t>Israel</t>
  </si>
  <si>
    <t>Daleus Carnegieus</t>
  </si>
  <si>
    <t>Escritor y conferencista estadounidense, autor de libros de desarrollo personal.</t>
  </si>
  <si>
    <t>Scriba et orator Americanus, auctor librorum de progressu personali.</t>
  </si>
  <si>
    <t>Estados Unidos</t>
  </si>
  <si>
    <t>Civitates Foederatae</t>
  </si>
  <si>
    <t>Anonymous</t>
  </si>
  <si>
    <t>Autor desconocido, usado para refranes y proverbios populares.</t>
  </si>
  <si>
    <t>Auctor ignotus, usus pro proverbiorum popularium collectione.</t>
  </si>
  <si>
    <t>nd</t>
  </si>
  <si>
    <t>Proverbium Sinense</t>
  </si>
  <si>
    <t>Conjunto de proverbios tradicionales de la cultura china que transmiten sabiduría popular, valores morales y enseñanzas prácticas transmitidas oralmente durante siglos.</t>
  </si>
  <si>
    <t>Collectio sententiarum Sinensium, magnopere in cultura tradita.</t>
  </si>
  <si>
    <t>Chino</t>
  </si>
  <si>
    <t>China</t>
  </si>
  <si>
    <t>Sinae</t>
  </si>
  <si>
    <t>Proverbium Iaponicum</t>
  </si>
  <si>
    <t>Expresiones tradicionales de la cultura japonesa que resumen enseñanzas morales, filosóficas y prácticas derivadas del budismo, el sintoísmo y la experiencia popular.</t>
  </si>
  <si>
    <t>Collectio sententiarum Iaponicarum.</t>
  </si>
  <si>
    <t>Japonés</t>
  </si>
  <si>
    <t>Japón</t>
  </si>
  <si>
    <t>Iaponia</t>
  </si>
  <si>
    <t>Sententia Gallica</t>
  </si>
  <si>
    <t>Refranes populares de la tradición oral francesa que transmiten observaciones sobre la vida, el trabajo y la conducta humana.</t>
  </si>
  <si>
    <t>Collectio sententiarum Gallicarum.</t>
  </si>
  <si>
    <t>Francés</t>
  </si>
  <si>
    <t>Sententia Russica</t>
  </si>
  <si>
    <t>Dichos tradicionales del pueblo ruso que condensan la experiencia colectiva, el ingenio y la filosofía popular transmitida de generación en generación.</t>
  </si>
  <si>
    <t>Collectio sententiarum Russicarum.</t>
  </si>
  <si>
    <t>Ruso</t>
  </si>
  <si>
    <t>Rusia</t>
  </si>
  <si>
    <t>Russia</t>
  </si>
  <si>
    <t>Sententia Hispanica</t>
  </si>
  <si>
    <t>Refranes populares de la tradición oral hispana que expresan de forma breve y ingeniosa enseñanzas prácticas sobre la vida cotidiana.</t>
  </si>
  <si>
    <t>Collectio sententiarum Hispanicarum.</t>
  </si>
  <si>
    <t>Español</t>
  </si>
  <si>
    <t>España</t>
  </si>
  <si>
    <t>Hispania</t>
  </si>
  <si>
    <t>Sententia Vasconica</t>
  </si>
  <si>
    <t>Proverbios de la tradición oral vasca que reflejan la relación con la naturaleza, el trabajo y los valores comunitarios del pueblo vasco.</t>
  </si>
  <si>
    <t>Collectio sententiarum Vasconicarum.</t>
  </si>
  <si>
    <t>Euskara</t>
  </si>
  <si>
    <t>Gaius Iulius Caesar</t>
  </si>
  <si>
    <t>Político, militar y escritor romano. Protagonizó el final de la República Romana y el ascenso del Imperio. Conquistó la Galia, cruzó el Rubicón en 49 a. C. iniciando la guerra civil, y ejerció el poder como dictador vitalicio. Fue asesinado el 15 de marzo de 44 a. C. durante los Idus de marzo.</t>
  </si>
  <si>
    <t>Politicus, miles et scriptor Romanus. Finitum Rei Publicae et ascensus Imperii. Galliam vicit, Rubiconem transiit anno 49 a.C., bellum civile incepit, dictator perpetuus factus. Interfectus est die 15 Martii 44 a.C.</t>
  </si>
  <si>
    <t>Parmenides</t>
  </si>
  <si>
    <t>Filósofo presocrático griego, fundador de la escuela eleática. Defendió la idea de la permanencia del ser y que nada surge de la nada.</t>
  </si>
  <si>
    <t>Philosophus Praesocraticus Graecus, schola Eleatica conditor. Ideam constantiae entis defendit, nihil ex nihilo oriri.</t>
  </si>
  <si>
    <t>Grecia</t>
  </si>
  <si>
    <t>Graecia</t>
  </si>
  <si>
    <t>Confucius</t>
  </si>
  <si>
    <t>Filósofo y maestro chino, fundador del confucianismo. Sus enseñanzas influyeron profundamente en la cultura, ética y política de China.</t>
  </si>
  <si>
    <t>Philosophus et magister Sinensis, confucianismi conditor. Doctrinae eius in culturam, ethicam et politicam Sinensem profunde influentes.</t>
  </si>
  <si>
    <t>Isidorus Hispalensis</t>
  </si>
  <si>
    <t>Arzobispo de Sevilla, erudito y escritor español. Autor de "Etimologías", obra enciclopédica que recoge gran parte del saber de su época.</t>
  </si>
  <si>
    <t>Archiepiscopus Hispaliensis, eruditus et scriptor Hispanicus, auctor "Etymologiae".</t>
  </si>
  <si>
    <t>Lucius Annaeus Seneca</t>
  </si>
  <si>
    <t>Filósofo, escritor y político romano, representante del estoicismo. Autor de numerosas cartas y tratados morales.</t>
  </si>
  <si>
    <t>Philosophus, scriptor et politicus Romanus, stoicismus repraesentans. Multas epistulas et tractatus morales scripsit.</t>
  </si>
  <si>
    <t>Thomas Aquinas</t>
  </si>
  <si>
    <t>Filósofo y teólogo italiano, representante de la Escolástica. Autor de la "Summa Theologica".</t>
  </si>
  <si>
    <t>Philosophus et theologus Italicus, Scholasticae repraesentans. Auctor "Summa Theologica".</t>
  </si>
  <si>
    <t>Italia</t>
  </si>
  <si>
    <t>Filósofo, poeta y filólogo alemán. Autor de obras como "Así habló Zaratustra" y "Más allá del bien y del mal".</t>
  </si>
  <si>
    <t>Philosophus, poeta et philologus Germanicus, auctor operum ut "Ita loquutus est Zarathustra" et "Ultra bonum et malum".</t>
  </si>
  <si>
    <t>Alemán</t>
  </si>
  <si>
    <t>Alemania</t>
  </si>
  <si>
    <t>Germania</t>
  </si>
  <si>
    <t>Escritor, poeta, filósofo y periodista inglés. Famoso por sus ensayos, cuentos de misterio y defensa del cristianismo.</t>
  </si>
  <si>
    <t>Scriba, poeta, philosophus et diurnarius Anglicus. Notus pro essayis, fabulis mysteriis et Christianismi defensione.</t>
  </si>
  <si>
    <t>Ioannes Paulus II</t>
  </si>
  <si>
    <t>Papa de la Iglesia Católica desde 1978 hasta 2005. Destacado por su labor pastoral, defensa de la vida y los derechos humanos.</t>
  </si>
  <si>
    <t>Papa Ecclesiae Catholicae ab anno 1978 usque 2005. Labor pastoral, vitae tutela et iura humana praecipuus.</t>
  </si>
  <si>
    <t>Polonia</t>
  </si>
  <si>
    <t>Sanctus Ioannes Baptista de La Salle</t>
  </si>
  <si>
    <t>Sacerdote francés y fundador de los Hermanos de las Escuelas Cristianas, dedicados a la educación cristiana de los jóvenes, especialmente pobres.</t>
  </si>
  <si>
    <t>Sacerdos Francogallicus, fratres Scholarium Christianorum fundator. Iuvenes praecipue pauperes educavit.</t>
  </si>
  <si>
    <t>Proverbium Arabica</t>
  </si>
  <si>
    <t>Proverbios tradicionales de la cultura árabe que transmiten valores de hospitalidad, honor, paciencia y sabiduría práctica.</t>
  </si>
  <si>
    <t>Collectio sententiarum Arabicarum.</t>
  </si>
  <si>
    <t>Árabe</t>
  </si>
  <si>
    <t>Arabia</t>
  </si>
  <si>
    <t>Proverbium Indica</t>
  </si>
  <si>
    <t>Dichos tradicionales de la India que reflejan principios espirituales, filosóficos y morales influidos por el hinduismo y las tradiciones védicas.</t>
  </si>
  <si>
    <t>Collectio sententiarum Indicarum.</t>
  </si>
  <si>
    <t>Hindi</t>
  </si>
  <si>
    <t>India</t>
  </si>
  <si>
    <t>Oswaldus Spengler</t>
  </si>
  <si>
    <t>Filósofo e historiador alemán, autor de "La decadencia de Occidente".</t>
  </si>
  <si>
    <t>Philosophus et historicus Germanicus, auctor "Occidentis Decadentia".</t>
  </si>
  <si>
    <t>Michael Cervantes</t>
  </si>
  <si>
    <t>Novelista, poeta y dramaturgo español, autor de "Don Quijote de la Mancha".</t>
  </si>
  <si>
    <t>Scriba, poeta et dramatist Hispanicus, auctor "Don Quixote de la Mancha".</t>
  </si>
  <si>
    <t>Nelsonus Mandela</t>
  </si>
  <si>
    <t>Político y activista sudafricano, primer presidente negro de Sudáfrica y líder contra el apartheid.</t>
  </si>
  <si>
    <t>Politicus et activist Africanus Australis, primus praeses niger et apartheid adversator.</t>
  </si>
  <si>
    <t>Sudáfrica</t>
  </si>
  <si>
    <t>Africa Australis</t>
  </si>
  <si>
    <t>Mohandas Gandhi</t>
  </si>
  <si>
    <t>Líder político y espiritual de India, impulsor de la resistencia no violenta.</t>
  </si>
  <si>
    <t>Dux politicis et spiritualis Indiae, resistentiam non violentam promovere.</t>
  </si>
  <si>
    <t>Albertus Einstein</t>
  </si>
  <si>
    <t>Físico teórico alemán, desarrolló la teoría de la relatividad.</t>
  </si>
  <si>
    <t>Physicus theoreticus Germanicus, theoriam relativitatis excogitavit.</t>
  </si>
  <si>
    <t>Martin Luther King</t>
  </si>
  <si>
    <t>Líder del movimiento por los derechos civiles en Estados Unidos y activista por la igualdad racial.</t>
  </si>
  <si>
    <t>Dux iurium civilium et activist aequalitatis racialium in Civitatibus Foederatis.</t>
  </si>
  <si>
    <t>Ioannes Dewey</t>
  </si>
  <si>
    <t>Filósofo y pedagogo estadounidense, defensor de la educación progresista.</t>
  </si>
  <si>
    <t>Philosophus et paedagogus Americanus, educationem progressivam defendens.</t>
  </si>
  <si>
    <t>Benjaminus Franklin</t>
  </si>
  <si>
    <t>Político, científico y escritor estadounidense, uno de los Padres Fundadores de Estados Unidos.</t>
  </si>
  <si>
    <t>Politicus, sapiens et scriptor Americanus, unus ex Patribus Fundatoribus.</t>
  </si>
  <si>
    <t>Leonardus Vincius</t>
  </si>
  <si>
    <t>Artista, inventor y científico italiano del Renacimiento.</t>
  </si>
  <si>
    <t>Artifex, inventor et physicus Italicus Renaissance.</t>
  </si>
  <si>
    <t>Proverbium Tibetanum</t>
  </si>
  <si>
    <t>Proverbios de la tradición tibetana inspirados en la filosofía budista, centrados en la compasión, la impermanencia y el equilibrio interior.</t>
  </si>
  <si>
    <t>Collectio sententiarum Tibeticarum.</t>
  </si>
  <si>
    <t>Tíbet</t>
  </si>
  <si>
    <t>Thibetum</t>
  </si>
  <si>
    <t>Albertus Camus</t>
  </si>
  <si>
    <t>Escritor, filósofo y periodista francés. Premio Nobel de Literatura en 1957, representante del existencialismo y el absurdo.</t>
  </si>
  <si>
    <t>Scriba, philosophus et diurnarius Francogallicus. Praemium Nobel Litterarum anno 1957, existentialismus et absurdi repraesentans.</t>
  </si>
  <si>
    <t>Beata Teresia Calcuttensis</t>
  </si>
  <si>
    <t>Monja católica y misionera albanesa, fundadora de las Misioneras de la Caridad. Premio Nobel de la Paz 1979 por su trabajo con los más pobres.</t>
  </si>
  <si>
    <t>Soror catholica et missionaria Albanensis, Missionariarum Caritatis fundatrix. Praemium Nobel Pacis anno 1979 propter laborem cum pauperrimis.</t>
  </si>
  <si>
    <t>Albanés</t>
  </si>
  <si>
    <t>Albania</t>
  </si>
  <si>
    <t>Sanctus Franciscus Assisiensis</t>
  </si>
  <si>
    <t>Fraile católico italiano, fundador de la Orden Franciscana. Conocido por su amor a la naturaleza, la pobreza y la paz.</t>
  </si>
  <si>
    <t>Frater catholicus Italicus, Ordinis Franciscani fundator. Notus propter amorem naturae, paupertatis et pacis.</t>
  </si>
  <si>
    <t>Italiano</t>
  </si>
  <si>
    <t>Epicurus</t>
  </si>
  <si>
    <t>Filósofo griego de la Edad Antigua, fundador del epicureísmo, que defendía la búsqueda racional del placer moderado como camino a la felicidad.</t>
  </si>
  <si>
    <t>Philosophus Graecus Antiquitatis, scholae Epicureae conditor, qui voluptatem moderatam ratione quaesitam viam ad felicitatem esse docebat.</t>
  </si>
  <si>
    <t>Griego</t>
  </si>
  <si>
    <t>Marcus Aurelius</t>
  </si>
  <si>
    <t>Emperador romano y filósofo estoico de la Edad Antigua, autor de las “Meditaciones”, obra clave del estoicismo práctico.</t>
  </si>
  <si>
    <t>Imperator Romanus et philosophus Stoicus Antiquitatis, auctor “Meditationum”, operis maximi in praxi Stoica.</t>
  </si>
  <si>
    <t>Plato</t>
  </si>
  <si>
    <t>Filósofo griego de la Edad Antigua, discípulo de Sócrates y maestro de Aristóteles, fundador de la Academia de Atenas.</t>
  </si>
  <si>
    <t>Philosophus Graecus Antiquitatis, discipulus Socratis et magister Aristotelis, Academiae Atheniensis conditor.</t>
  </si>
  <si>
    <t>Aristoteles</t>
  </si>
  <si>
    <t>Filósofo griego de la Edad Antigua, discípulo de Platón y maestro de Alejandro Magno, figura central del pensamiento lógico, ético y metafísico.</t>
  </si>
  <si>
    <t>Philosophus Graecus Antiquitatis, discipulus Platonis et magister Alexandri Magni, pars maxima in logica, ethica et metaphysica.</t>
  </si>
  <si>
    <t>Thales Miletaeus</t>
  </si>
  <si>
    <t>Filósofo griego presocrático de Mileto, considerado el primer filósofo de Occidente y uno de los Siete Sabios. Predijo el eclipse solar del 585 a.C. y propuso que el agua es la sustancia primordial.</t>
  </si>
  <si>
    <t>Philosophus Graecus Praesocraticus Miletaeus, primus philosophus Occidentis et unus ex Septem Sapientibus. Praedixit eclipsis solis anno 585 a.C. et aquam substantiam primordialem proposuit.</t>
  </si>
  <si>
    <t>Pythagoras</t>
  </si>
  <si>
    <t>Filósofo y matemático griego de Samos, fundador del pitagorismo. Propuso la inmortalidad del alma, la transmigración y el número como principio de la realidad.</t>
  </si>
  <si>
    <t>Philosophus et mathematicus Graecus Samius, pythagorismi conditor. Immortalitatem animae, transmigrationem et numerum principium rerum proposuit.</t>
  </si>
  <si>
    <t>Heraclitus</t>
  </si>
  <si>
    <t>Filósofo presocrático griego de Éfeso. Propuso el flujo perpetuo de la realidad (panta rhei) y el fuego como elemento primordial.</t>
  </si>
  <si>
    <t>Philosophus Praesocraticus Graecus Ephesius. Fluxum perpetuum rerum (panta rhei) et ignem elementum primordiale proposuit.</t>
  </si>
  <si>
    <t>Socrates</t>
  </si>
  <si>
    <t>Filósofo griego de Atenas, fundador de la filosofía moral occidental. Maestro de Platón, desarrolló el método mayéutico. Fue condenado a muerte por impiedad.</t>
  </si>
  <si>
    <t>Philosophus Graecus Atheniensis, philosophiae moralis Occidentalis conditor. Magister Platonis, methodum maieuticam elaboravit. Morte damnatus propter impietatem.</t>
  </si>
  <si>
    <t>Democritus</t>
  </si>
  <si>
    <t>Filósofo griego de Abdera, fundador del atomismo junto a Leucipo. Propuso que el universo está compuesto por átomos indivisibles en el vacío.</t>
  </si>
  <si>
    <t>Philosophus Graecus Abderita, atomismi conditor cum Leucippo. Universum ex atomis indivisibilibus in vacuo compositum proposuit.</t>
  </si>
  <si>
    <t>Protagoras</t>
  </si>
  <si>
    <t>Filósofo sofista griego de Abdera, precursor de la enseñanza retórica profesional. Autor de la máxima "El hombre es la medida de todas las cosas".</t>
  </si>
  <si>
    <t>Philosophus sophista Graecus Abderita, rhetoricae artis professionalis praecursor. Auctor sententiae "Homo mensura omnium rerum est".</t>
  </si>
  <si>
    <t>Clemens Romanus</t>
  </si>
  <si>
    <t>Cuarto papa de la Iglesia, Padre Apostólico y mártir. Autor de la carta a los Corintios, documento papal más antiguo después de las epístolas de San Pedro.</t>
  </si>
  <si>
    <t>Quartus Papa Ecclesiae, Pater Apostolicus et martyr. Auctor epistulae ad Corinthios, documentum pontificale antiquissimum post epistulas Sancti Petri.</t>
  </si>
  <si>
    <t>Ignatius Antiochenus</t>
  </si>
  <si>
    <t>Obispo de Antioquía, mártir y Padre Apostólico. Discípulo de San Juan Evangelista, martirizado en Roma. Autor de siete cartas escritas camino al martirio.</t>
  </si>
  <si>
    <t>Episcopus Antiochenus, martyr et Pater Apostolicus. Discipulus Sancti Ioannis Evangelistae, Romae martyrizatus. Auctor septem epistularum in via ad martyrium scriptarum.</t>
  </si>
  <si>
    <t>Polycarpus Smyrnaeus</t>
  </si>
  <si>
    <t>Obispo de Esmirna, mártir y Padre Apostólico. Discípulo del apóstol Juan, martirizado a los 86 años. Una de las tres figuras principales de los Padres Apostólicos.</t>
  </si>
  <si>
    <t>Episcopus Smyrnaeus, martyr et Pater Apostolicus. Discipulus apostoli Ioannis, octoginta sex annos natus martyrizatus. Una ex tribus figuris principalibus Patrum Apostolicorum.</t>
  </si>
  <si>
    <t>Irenaeus Lugdunensis</t>
  </si>
  <si>
    <t>Obispo de Lyon, Padre de la Iglesia y mártir. Discípulo de San Policarpo, combatió el gnosticismo. Primer teólogo que consideró esenciales los cuatro evangelios canónicos.</t>
  </si>
  <si>
    <t>Episcopus Lugdunensis, Pater Ecclesiae et martyr. Discipulus Sancti Polycarpi, gnosticismum impugnavit. Primus theologus quattuor evangelia canonica essentialia consideravit.</t>
  </si>
  <si>
    <t>Athanasius Alexandrinus</t>
  </si>
  <si>
    <t>Obispo de Alejandría, Doctor de la Iglesia y defensor de la ortodoxia nicena contra el arrianismo. Autor de la "Vida de San Antonio", influyente en la espiritualidad monástica.</t>
  </si>
  <si>
    <t>Episcopus Alexandrinus, Doctor Ecclesiae et defensor orthodoxiae Nicaenae contra arianismum. Auctor "Vita Sancti Antonii", in spiritualitate monastica influens.</t>
  </si>
  <si>
    <t>Basilius Magnus</t>
  </si>
  <si>
    <t>Obispo de Cesarea, Doctor de la Iglesia y Padre Capadocio. Hermano de San Gregorio de Nisa, organizador del monaquismo oriental y defensor de la ortodoxia nicena.</t>
  </si>
  <si>
    <t>Episcopus Caesariensis, Doctor Ecclesiae et Pater Cappadocius. Frater Sancti Gregorii Nysseni, monasticismi orientalis organizator et orthodoxiae Nicaenae defensor.</t>
  </si>
  <si>
    <t>Gregorius Nazianzenus</t>
  </si>
  <si>
    <t>Arzobispo de Constantinopla, Doctor de la Iglesia y Padre Capadocio. Llamado "el Teólogo", gran orador y defensor de la Trinidad. Uno de los tres Padres Capadocios.</t>
  </si>
  <si>
    <t>Archiepiscopus Constantinopolitanus, Doctor Ecclesiae et Pater Cappadocius. "Theologus" vocatus, orator magnus et defensor Trinitatis. Unus ex tribus Patribus Cappadociis.</t>
  </si>
  <si>
    <t>Gregorius Nyssenus</t>
  </si>
  <si>
    <t>Obispo de Nisa, Doctor de la Iglesia y Padre Capadocio. Hermano de San Basilio Magno, teólogo místico y filósofo cristiano. Uno de los tres Padres Capadocios.</t>
  </si>
  <si>
    <t>Episcopus Nyssenus, Doctor Ecclesiae et Pater Cappadocius. Frater Sancti Basilii Magni, theologus mysticus et philosophus Christianus. Unus ex tribus Patribus Cappadociis.</t>
  </si>
  <si>
    <t>Ambrosius Mediolanensis</t>
  </si>
  <si>
    <t>Obispo de Milán, Doctor de la Iglesia y Padre Latino. Maestro de San Agustín, defensor de la ortodoxia y autoridad moral frente al poder imperial.</t>
  </si>
  <si>
    <t>Episcopus Mediolanensis, Doctor Ecclesiae et Pater Latinus. Magister Sancti Augustini, orthodoxiae defensor et auctoritas moralis contra imperium.</t>
  </si>
  <si>
    <t>Hieronymus Stridonensis</t>
  </si>
  <si>
    <t>Padre y Doctor de la Iglesia, traductor de la Biblia al latín (Vulgata). Erudito políglota, asceta y polemista, patrono de los traductores.</t>
  </si>
  <si>
    <t>Pater et Doctor Ecclesiae, translator Bibliae in Latinum (Vulgata). Eruditus polyglottus, asceta et polemista, patronus interpretum.</t>
  </si>
  <si>
    <t>Leo Magnus</t>
  </si>
  <si>
    <t>Papa, Doctor de la Iglesia. Convocó el Concilio de Calcedonia, detuvo a Atila en las puertas de Roma. Defensor de la primacía papal y la cristología ortodoxa.</t>
  </si>
  <si>
    <t>Papa, Doctor Ecclesiae. Concilium Chalcedonense convocavit, Attilam ad portas Romae inhibuit. Primatus papalis et christologiae orthodoxae defensor.</t>
  </si>
  <si>
    <t>Cyprianus Carthaginensis</t>
  </si>
  <si>
    <t>Obispo de Cartago, Padre de la Iglesia y mártir. Teólogo de la unidad eclesiástica, autor de "Sobre la unidad de la Iglesia". Martirizado durante la persecución de Valeriano.</t>
  </si>
  <si>
    <t>Episcopus Carthaginensis, Pater Ecclesiae et martyr. Theologus unitatis ecclesiasticae, auctor "De unitate Ecclesiae". In persecutione Valeriani martyrizatus.</t>
  </si>
  <si>
    <t>Anselmus Cantuariensis</t>
  </si>
  <si>
    <t>Arzobispo de Canterbury, Doctor de la Iglesia y filósofo. Autor del argumento ontológico de la existencia de Dios. Padre de la escolástica.</t>
  </si>
  <si>
    <t>Archiepiscopus Cantuariensis, Doctor Ecclesiae et philosophus. Auctor argumenti ontologici existentiae Dei. Pater scholasticae.</t>
  </si>
  <si>
    <t>Gulielmus de Ockham</t>
  </si>
  <si>
    <t>Filósofo y teólogo franciscano inglés. Padre del nominalismo, autor de la "navaja de Ockham" (principio de parsimonia). Defensor de la separación entre fe y razón.</t>
  </si>
  <si>
    <t>Philosophus et theologus Franciscanus Anglicus. Pater nominalismi, auctor "novaculae Occami" (principium parsimoniae). Separationis inter fidem et rationem defensor.</t>
  </si>
  <si>
    <t>id_idioma</t>
  </si>
  <si>
    <t>es</t>
  </si>
  <si>
    <t>Lingua Hispanica</t>
  </si>
  <si>
    <t>en</t>
  </si>
  <si>
    <t>Lingua Anglica</t>
  </si>
  <si>
    <t>fr</t>
  </si>
  <si>
    <t>Lingua Gallica</t>
  </si>
  <si>
    <t>zh</t>
  </si>
  <si>
    <t>Lingua Sinica</t>
  </si>
  <si>
    <t>la</t>
  </si>
  <si>
    <t>Lingua Latina</t>
  </si>
  <si>
    <t>eu</t>
  </si>
  <si>
    <t>Lingua Vasconica</t>
  </si>
  <si>
    <t>ja</t>
  </si>
  <si>
    <t>Lingua Iaponica</t>
  </si>
  <si>
    <t>ru</t>
  </si>
  <si>
    <t>Lingua Russica</t>
  </si>
  <si>
    <t>de</t>
  </si>
  <si>
    <t>Lingua Germanica</t>
  </si>
  <si>
    <t>it</t>
  </si>
  <si>
    <t>Lingua Italica</t>
  </si>
  <si>
    <t>pt</t>
  </si>
  <si>
    <t>Portugués</t>
  </si>
  <si>
    <t>Lingua Lusitanica</t>
  </si>
  <si>
    <t>ar</t>
  </si>
  <si>
    <t>Lingua Arabica</t>
  </si>
  <si>
    <t>hi</t>
  </si>
  <si>
    <t>Lingua Indica</t>
  </si>
  <si>
    <t>he</t>
  </si>
  <si>
    <t>Lingua Hebraica</t>
  </si>
  <si>
    <t>sq</t>
  </si>
  <si>
    <t>Lingua Albanica</t>
  </si>
  <si>
    <t>el</t>
  </si>
  <si>
    <t>Lingua Graeca</t>
  </si>
  <si>
    <t>id_nacion</t>
  </si>
  <si>
    <t>id_epoca</t>
  </si>
  <si>
    <t>inicio_ano</t>
  </si>
  <si>
    <t>fin_ano</t>
  </si>
  <si>
    <t>Prehistoria</t>
  </si>
  <si>
    <t>Praehistoria</t>
  </si>
  <si>
    <t>Edad Antigua</t>
  </si>
  <si>
    <t>Antiquitas</t>
  </si>
  <si>
    <t>Edad Media</t>
  </si>
  <si>
    <t>Medium Aevum</t>
  </si>
  <si>
    <t>Edad Moderna</t>
  </si>
  <si>
    <t>Nova Aetas</t>
  </si>
  <si>
    <t>Edad Contemporánea</t>
  </si>
  <si>
    <t>Aetas Contemporanea</t>
  </si>
  <si>
    <t>Epoca Desconocida</t>
  </si>
  <si>
    <t>Epocha Ignota</t>
  </si>
  <si>
    <t>Total frases</t>
  </si>
  <si>
    <t>Total autores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</si>
</sst>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name val="Arial"/>
      <family val="2"/>
      <charset val="1"/>
    </font>
    <font>
      <sz val="10"/>
      <name val="Noto Sans CJK SC"/>
      <family val="2"/>
      <charset val="1"/>
    </font>
    <font>
      <sz val="10"/>
      <name val="Noto Sans Devanaga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NumberFormat="1"/>
    <xf numFmtId="0" fontId="0" fillId="0" borderId="0" xfId="0" applyAlignment="1">
      <alignment wrapText="1"/>
    </xf>
    <xf numFmtId="1" fontId="0" fillId="0" borderId="0" xfId="0" applyNumberFormat="1"/>
  </cellXfs>
  <cellStyles count="1">
    <cellStyle name="Normal" xfId="0" builtinId="0"/>
  </cellStyles>
  <dxfs count="11"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C4EDF6-874E-40DA-81EE-FEA3EC34FA94}" name="frasest" displayName="frasest" ref="A1:O373" totalsRowShown="0">
  <autoFilter ref="A1:O373" xr:uid="{08C4EDF6-874E-40DA-81EE-FEA3EC34FA94}"/>
  <tableColumns count="15">
    <tableColumn id="1" xr3:uid="{885259A7-7511-46FC-B0D1-E993CAB98010}" name="id_cita"/>
    <tableColumn id="4" xr3:uid="{DAF7F211-08E8-4006-92FA-430AF8FBAC94}" name="cita_es"/>
    <tableColumn id="20" xr3:uid="{A37EA60B-1D6A-48D0-B561-3C9A551B6C44}" name="cita_la"/>
    <tableColumn id="5" xr3:uid="{CE7FE5B1-D5FA-4427-8F19-3E34ABE1A84B}" name="cita_original"/>
    <tableColumn id="18" xr3:uid="{6C689678-377D-4B1B-BE9F-40E1FB6B14CC}" name="autor_es"/>
    <tableColumn id="17" xr3:uid="{52E94910-38B7-40F6-A36C-1AA42FEDA98A}" name="autor_la">
      <calculatedColumnFormula>_xlfn.XLOOKUP(frasest[[#This Row],[autor_es]],autorest[autor_es],autorest[autor_la])</calculatedColumnFormula>
    </tableColumn>
    <tableColumn id="22" xr3:uid="{93C7EFE0-F545-4E02-AC1E-C05970A0A294}" name="bio_es" dataDxfId="10">
      <calculatedColumnFormula>_xlfn.XLOOKUP(frasest[[#This Row],[autor_es]],autorest[autor_es],autorest[bio_es])</calculatedColumnFormula>
    </tableColumn>
    <tableColumn id="21" xr3:uid="{DF6CCC9F-1ACF-4417-848B-4ACE70CDE421}" name="bio_la" dataDxfId="9">
      <calculatedColumnFormula>_xlfn.XLOOKUP(frasest[[#This Row],[autor_es]],autorest[autor_es],autorest[bio_la])</calculatedColumnFormula>
    </tableColumn>
    <tableColumn id="8" xr3:uid="{5087D70D-7AD1-4F02-B340-8E59B49FA5BB}" name="codigo">
      <calculatedColumnFormula>_xlfn.XLOOKUP(frasest[[#This Row],[autor_es]],autorest[autor_es],autorest[codigo])</calculatedColumnFormula>
    </tableColumn>
    <tableColumn id="9" xr3:uid="{AF747245-8A57-44D6-A375-F78C8D2D9ABD}" name="idioma_es">
      <calculatedColumnFormula>_xlfn.XLOOKUP(frasest[[#This Row],[autor_es]],autorest[autor_es],autorest[idioma_es])</calculatedColumnFormula>
    </tableColumn>
    <tableColumn id="10" xr3:uid="{1478DD1B-E113-45DD-A0A6-5C38ADE46703}" name="idioma_la" dataDxfId="8">
      <calculatedColumnFormula>_xlfn.XLOOKUP(frasest[[#This Row],[autor_es]],autorest[autor_es],autorest[idioma_la])</calculatedColumnFormula>
    </tableColumn>
    <tableColumn id="12" xr3:uid="{E910299F-FC4E-4353-B7BA-5BA43F91D763}" name="nacion_es">
      <calculatedColumnFormula>_xlfn.XLOOKUP(frasest[[#This Row],[autor_es]],autorest[autor_es],autorest[nacion_es])</calculatedColumnFormula>
    </tableColumn>
    <tableColumn id="13" xr3:uid="{868C19AD-376A-4BC1-8EAA-566FD8ABAE77}" name="nacion_la">
      <calculatedColumnFormula>_xlfn.XLOOKUP(frasest[[#This Row],[autor_es]],autorest[autor_es],autorest[nacion_la])</calculatedColumnFormula>
    </tableColumn>
    <tableColumn id="14" xr3:uid="{30BAD0FA-323F-4B59-AACB-DEA0897D2806}" name="epoca_es">
      <calculatedColumnFormula>_xlfn.XLOOKUP(frasest[[#This Row],[autor_es]],autorest[autor_es],autorest[epoca_es])</calculatedColumnFormula>
    </tableColumn>
    <tableColumn id="15" xr3:uid="{8BCD8D38-4D75-416F-86BE-478281640E18}" name="epoca_la">
      <calculatedColumnFormula>_xlfn.XLOOKUP(frasest[[#This Row],[autor_es]],autorest[autor_es],autorest[epoca_la])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ACF983-0659-4011-91FD-499FC29B2EA9}" name="autorest" displayName="autorest" ref="A1:N64" totalsRowShown="0">
  <autoFilter ref="A1:N64" xr:uid="{31ACF983-0659-4011-91FD-499FC29B2EA9}"/>
  <tableColumns count="14">
    <tableColumn id="1" xr3:uid="{06A8F433-648F-41D3-8B5C-D5820005957C}" name="id_autor"/>
    <tableColumn id="2" xr3:uid="{F6466F79-6DAE-4D51-AC27-B246AB595D89}" name="autor_es"/>
    <tableColumn id="3" xr3:uid="{C6D53566-B0FE-45E2-91D5-45B776209A14}" name="autor_la"/>
    <tableColumn id="4" xr3:uid="{67AB4C34-B6AA-48E1-8498-2CA5E8D20AB4}" name="fecha_nacimiento"/>
    <tableColumn id="5" xr3:uid="{47413A82-4729-4508-8FBF-AED4E91FC102}" name="fecha_fallecimiento"/>
    <tableColumn id="6" xr3:uid="{A91BD57D-B061-40EF-A32F-7937322747C0}" name="bio_es"/>
    <tableColumn id="7" xr3:uid="{C5BD877C-A5A7-467A-9867-B048B10F7F6B}" name="bio_la"/>
    <tableColumn id="11" xr3:uid="{9A9AEDC2-76B6-4D32-9B73-CEF01F53F438}" name="idioma_es" dataDxfId="7"/>
    <tableColumn id="12" xr3:uid="{117FA817-30FF-430D-B5EC-854B4536F9DF}" name="idioma_la" dataDxfId="6">
      <calculatedColumnFormula>_xlfn.XLOOKUP(autorest[[#This Row],[idioma_es]],idiomast[idioma_es],idiomast[idioma_la])</calculatedColumnFormula>
    </tableColumn>
    <tableColumn id="14" xr3:uid="{128122BA-4588-429D-AA6D-AA7E97AA9881}" name="codigo">
      <calculatedColumnFormula>_xlfn.XLOOKUP(autorest[[#This Row],[idioma_es]],idiomast[idioma_es],idiomast[codigo])</calculatedColumnFormula>
    </tableColumn>
    <tableColumn id="16" xr3:uid="{503CE542-A727-492C-82F8-35A508E20051}" name="nacion_es" dataDxfId="5"/>
    <tableColumn id="15" xr3:uid="{09EA5943-EC28-4B0D-9648-705706E4BFA5}" name="nacion_la" dataDxfId="4"/>
    <tableColumn id="10" xr3:uid="{FAFCEE98-B09B-4C21-8087-C2DEC4A29185}" name="epoca_es" dataDxfId="3">
      <calculatedColumnFormula array="1">IF(ISBLANK(autorest[[#This Row],[fecha_nacimiento]]),"Epoca Desconocida",IFERROR(INDEX(epocast[epoca_es],MATCH(1,(autorest[[#This Row],[fecha_nacimiento]]&gt;=epocast[inicio_ano])*(autorest[[#This Row],[fecha_nacimiento]]&lt;=epocast[fin_ano]),0)),"Epoca Desconocida"))</calculatedColumnFormula>
    </tableColumn>
    <tableColumn id="17" xr3:uid="{AFCF34C0-1069-4924-9FEB-DC4BEF655C12}" name="epoca_la" dataDxfId="2">
      <calculatedColumnFormula>_xlfn.XLOOKUP(autorest[[#This Row],[epoca_es]],epocast[epoca_es],epocast[epoca_la])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2B2ACA5-FCCC-45F1-BDB3-4D9DEB5301B0}" name="idiomast" displayName="idiomast" ref="A1:D18" totalsRowShown="0">
  <autoFilter ref="A1:D18" xr:uid="{32B2ACA5-FCCC-45F1-BDB3-4D9DEB5301B0}"/>
  <tableColumns count="4">
    <tableColumn id="1" xr3:uid="{854D4186-21FB-434F-9659-1A60569008A9}" name="id_idioma"/>
    <tableColumn id="2" xr3:uid="{988834AB-78D5-4CB5-AF9B-A37F228AB409}" name="codigo"/>
    <tableColumn id="3" xr3:uid="{85D3E548-8614-4054-A19A-13BDC8AAAEEA}" name="idioma_es"/>
    <tableColumn id="4" xr3:uid="{14C892AD-0512-4344-96A9-3867D26342F8}" name="idioma_l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81CAFEA-8DD3-4367-99C6-FB9B52B1344A}" name="nacionest" displayName="nacionest" ref="A1:C20" totalsRowShown="0">
  <autoFilter ref="A1:C20" xr:uid="{181CAFEA-8DD3-4367-99C6-FB9B52B1344A}"/>
  <tableColumns count="3">
    <tableColumn id="1" xr3:uid="{715D9EEC-2D4E-49FD-A08A-9F017910A735}" name="id_nacion"/>
    <tableColumn id="2" xr3:uid="{6E75ACB2-5016-4B39-B7FA-6AF4D04BE9C7}" name="nacion_es"/>
    <tableColumn id="3" xr3:uid="{CB76645E-D8EB-445E-9677-B0C259C49149}" name="nacion_l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CB813B-CF3C-478D-8C64-368566402ECC}" name="epocast" displayName="epocast" ref="A1:E7" totalsRowShown="0">
  <autoFilter ref="A1:E7" xr:uid="{ECCB813B-CF3C-478D-8C64-368566402ECC}"/>
  <tableColumns count="5">
    <tableColumn id="1" xr3:uid="{3E4EA615-44A3-44F1-BAEA-0E61EEB21047}" name="id_epoca"/>
    <tableColumn id="2" xr3:uid="{D44AABC4-4375-40DB-87F0-F2D0E330C7C0}" name="epoca_es"/>
    <tableColumn id="3" xr3:uid="{EE48EC97-402C-4C8F-8BE4-379B59963FDA}" name="epoca_la"/>
    <tableColumn id="4" xr3:uid="{B6D5EBDF-1920-4594-A000-5D408BFD756D}" name="inicio_ano" dataDxfId="1"/>
    <tableColumn id="5" xr3:uid="{2CB23BAF-D28A-408F-8529-1C3F2CFF0AB4}" name="fin_an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3"/>
  <sheetViews>
    <sheetView tabSelected="1" topLeftCell="E354" zoomScaleNormal="100" workbookViewId="0">
      <selection activeCell="G375" sqref="G375"/>
    </sheetView>
  </sheetViews>
  <sheetFormatPr defaultColWidth="11.5703125" defaultRowHeight="12.75"/>
  <cols>
    <col min="1" max="1" width="9.28515625" bestFit="1" customWidth="1"/>
    <col min="2" max="2" width="122.28515625" customWidth="1"/>
    <col min="3" max="3" width="96.5703125" bestFit="1" customWidth="1"/>
    <col min="4" max="4" width="122.28515625" bestFit="1" customWidth="1"/>
    <col min="5" max="5" width="26.5703125" bestFit="1" customWidth="1"/>
    <col min="6" max="6" width="32.7109375" bestFit="1" customWidth="1"/>
    <col min="7" max="8" width="32.7109375" customWidth="1"/>
    <col min="9" max="9" width="9.5703125" bestFit="1" customWidth="1"/>
    <col min="10" max="10" width="12.5703125" bestFit="1" customWidth="1"/>
    <col min="11" max="11" width="16.42578125" bestFit="1" customWidth="1"/>
    <col min="12" max="12" width="14.28515625" bestFit="1" customWidth="1"/>
    <col min="13" max="13" width="18.5703125" bestFit="1" customWidth="1"/>
    <col min="14" max="14" width="18" bestFit="1" customWidth="1"/>
    <col min="15" max="15" width="19.5703125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 t="s">
        <v>16</v>
      </c>
      <c r="D2" t="s">
        <v>17</v>
      </c>
      <c r="E2" t="s">
        <v>18</v>
      </c>
      <c r="F2" t="str">
        <f>_xlfn.XLOOKUP(frasest[[#This Row],[autor_es]],autorest[autor_es],autorest[autor_la])</f>
        <v>Sententia Gallica</v>
      </c>
      <c r="G2" t="str">
        <f>_xlfn.XLOOKUP(frasest[[#This Row],[autor_es]],autorest[autor_es],autorest[bio_es])</f>
        <v>Refranes populares de la tradición oral francesa que transmiten observaciones sobre la vida, el trabajo y la conducta humana.</v>
      </c>
      <c r="H2" t="str">
        <f>_xlfn.XLOOKUP(frasest[[#This Row],[autor_es]],autorest[autor_es],autorest[bio_la])</f>
        <v>Collectio sententiarum Gallicarum.</v>
      </c>
      <c r="I2" t="str">
        <f>_xlfn.XLOOKUP(frasest[[#This Row],[autor_es]],autorest[autor_es],autorest[codigo])</f>
        <v>fr</v>
      </c>
      <c r="J2" t="str">
        <f>_xlfn.XLOOKUP(frasest[[#This Row],[autor_es]],autorest[autor_es],autorest[idioma_es])</f>
        <v>Francés</v>
      </c>
      <c r="K2" t="str">
        <f>_xlfn.XLOOKUP(frasest[[#This Row],[autor_es]],autorest[autor_es],autorest[idioma_la])</f>
        <v>Lingua Gallica</v>
      </c>
      <c r="L2" t="str">
        <f>_xlfn.XLOOKUP(frasest[[#This Row],[autor_es]],autorest[autor_es],autorest[nacion_es])</f>
        <v>Francia</v>
      </c>
      <c r="M2" t="str">
        <f>_xlfn.XLOOKUP(frasest[[#This Row],[autor_es]],autorest[autor_es],autorest[nacion_la])</f>
        <v>Gallia</v>
      </c>
      <c r="N2" t="str">
        <f>_xlfn.XLOOKUP(frasest[[#This Row],[autor_es]],autorest[autor_es],autorest[epoca_es])</f>
        <v>Epoca Desconocida</v>
      </c>
      <c r="O2" t="str">
        <f>_xlfn.XLOOKUP(frasest[[#This Row],[autor_es]],autorest[autor_es],autorest[epoca_la])</f>
        <v>Epocha Ignota</v>
      </c>
    </row>
    <row r="3" spans="1:15">
      <c r="A3">
        <v>2</v>
      </c>
      <c r="B3" t="s">
        <v>19</v>
      </c>
      <c r="C3" t="s">
        <v>20</v>
      </c>
      <c r="D3" t="s">
        <v>19</v>
      </c>
      <c r="E3" t="s">
        <v>21</v>
      </c>
      <c r="F3" t="str">
        <f>_xlfn.XLOOKUP(frasest[[#This Row],[autor_es]],autorest[autor_es],autorest[autor_la])</f>
        <v>Sententia Hispanica</v>
      </c>
      <c r="G3" t="str">
        <f>_xlfn.XLOOKUP(frasest[[#This Row],[autor_es]],autorest[autor_es],autorest[bio_es])</f>
        <v>Refranes populares de la tradición oral hispana que expresan de forma breve y ingeniosa enseñanzas prácticas sobre la vida cotidiana.</v>
      </c>
      <c r="H3" t="str">
        <f>_xlfn.XLOOKUP(frasest[[#This Row],[autor_es]],autorest[autor_es],autorest[bio_la])</f>
        <v>Collectio sententiarum Hispanicarum.</v>
      </c>
      <c r="I3" t="str">
        <f>_xlfn.XLOOKUP(frasest[[#This Row],[autor_es]],autorest[autor_es],autorest[codigo])</f>
        <v>es</v>
      </c>
      <c r="J3" t="str">
        <f>_xlfn.XLOOKUP(frasest[[#This Row],[autor_es]],autorest[autor_es],autorest[idioma_es])</f>
        <v>Español</v>
      </c>
      <c r="K3" t="str">
        <f>_xlfn.XLOOKUP(frasest[[#This Row],[autor_es]],autorest[autor_es],autorest[idioma_la])</f>
        <v>Lingua Hispanica</v>
      </c>
      <c r="L3" t="str">
        <f>_xlfn.XLOOKUP(frasest[[#This Row],[autor_es]],autorest[autor_es],autorest[nacion_es])</f>
        <v>España</v>
      </c>
      <c r="M3" t="str">
        <f>_xlfn.XLOOKUP(frasest[[#This Row],[autor_es]],autorest[autor_es],autorest[nacion_la])</f>
        <v>Hispania</v>
      </c>
      <c r="N3" t="str">
        <f>_xlfn.XLOOKUP(frasest[[#This Row],[autor_es]],autorest[autor_es],autorest[epoca_es])</f>
        <v>Epoca Desconocida</v>
      </c>
      <c r="O3" t="str">
        <f>_xlfn.XLOOKUP(frasest[[#This Row],[autor_es]],autorest[autor_es],autorest[epoca_la])</f>
        <v>Epocha Ignota</v>
      </c>
    </row>
    <row r="4" spans="1:15">
      <c r="A4">
        <v>3</v>
      </c>
      <c r="B4" t="s">
        <v>22</v>
      </c>
      <c r="C4" t="s">
        <v>23</v>
      </c>
      <c r="D4" s="1" t="s">
        <v>24</v>
      </c>
      <c r="E4" t="s">
        <v>25</v>
      </c>
      <c r="F4" t="str">
        <f>_xlfn.XLOOKUP(frasest[[#This Row],[autor_es]],autorest[autor_es],autorest[autor_la])</f>
        <v>Proverbium Iaponicum</v>
      </c>
      <c r="G4" t="str">
        <f>_xlfn.XLOOKUP(frasest[[#This Row],[autor_es]],autorest[autor_es],autorest[bio_es])</f>
        <v>Expresiones tradicionales de la cultura japonesa que resumen enseñanzas morales, filosóficas y prácticas derivadas del budismo, el sintoísmo y la experiencia popular.</v>
      </c>
      <c r="H4" t="str">
        <f>_xlfn.XLOOKUP(frasest[[#This Row],[autor_es]],autorest[autor_es],autorest[bio_la])</f>
        <v>Collectio sententiarum Iaponicarum.</v>
      </c>
      <c r="I4" t="str">
        <f>_xlfn.XLOOKUP(frasest[[#This Row],[autor_es]],autorest[autor_es],autorest[codigo])</f>
        <v>ja</v>
      </c>
      <c r="J4" t="str">
        <f>_xlfn.XLOOKUP(frasest[[#This Row],[autor_es]],autorest[autor_es],autorest[idioma_es])</f>
        <v>Japonés</v>
      </c>
      <c r="K4" t="str">
        <f>_xlfn.XLOOKUP(frasest[[#This Row],[autor_es]],autorest[autor_es],autorest[idioma_la])</f>
        <v>Lingua Iaponica</v>
      </c>
      <c r="L4" t="str">
        <f>_xlfn.XLOOKUP(frasest[[#This Row],[autor_es]],autorest[autor_es],autorest[nacion_es])</f>
        <v>Japón</v>
      </c>
      <c r="M4" t="str">
        <f>_xlfn.XLOOKUP(frasest[[#This Row],[autor_es]],autorest[autor_es],autorest[nacion_la])</f>
        <v>Iaponia</v>
      </c>
      <c r="N4" t="str">
        <f>_xlfn.XLOOKUP(frasest[[#This Row],[autor_es]],autorest[autor_es],autorest[epoca_es])</f>
        <v>Epoca Desconocida</v>
      </c>
      <c r="O4" t="str">
        <f>_xlfn.XLOOKUP(frasest[[#This Row],[autor_es]],autorest[autor_es],autorest[epoca_la])</f>
        <v>Epocha Ignota</v>
      </c>
    </row>
    <row r="5" spans="1:15">
      <c r="A5">
        <v>4</v>
      </c>
      <c r="B5" t="s">
        <v>26</v>
      </c>
      <c r="C5" t="s">
        <v>27</v>
      </c>
      <c r="D5" t="s">
        <v>28</v>
      </c>
      <c r="E5" t="s">
        <v>29</v>
      </c>
      <c r="F5" t="str">
        <f>_xlfn.XLOOKUP(frasest[[#This Row],[autor_es]],autorest[autor_es],autorest[autor_la])</f>
        <v>Sententia Russica</v>
      </c>
      <c r="G5" t="str">
        <f>_xlfn.XLOOKUP(frasest[[#This Row],[autor_es]],autorest[autor_es],autorest[bio_es])</f>
        <v>Dichos tradicionales del pueblo ruso que condensan la experiencia colectiva, el ingenio y la filosofía popular transmitida de generación en generación.</v>
      </c>
      <c r="H5" t="str">
        <f>_xlfn.XLOOKUP(frasest[[#This Row],[autor_es]],autorest[autor_es],autorest[bio_la])</f>
        <v>Collectio sententiarum Russicarum.</v>
      </c>
      <c r="I5" t="str">
        <f>_xlfn.XLOOKUP(frasest[[#This Row],[autor_es]],autorest[autor_es],autorest[codigo])</f>
        <v>ru</v>
      </c>
      <c r="J5" t="str">
        <f>_xlfn.XLOOKUP(frasest[[#This Row],[autor_es]],autorest[autor_es],autorest[idioma_es])</f>
        <v>Ruso</v>
      </c>
      <c r="K5" t="str">
        <f>_xlfn.XLOOKUP(frasest[[#This Row],[autor_es]],autorest[autor_es],autorest[idioma_la])</f>
        <v>Lingua Russica</v>
      </c>
      <c r="L5" t="str">
        <f>_xlfn.XLOOKUP(frasest[[#This Row],[autor_es]],autorest[autor_es],autorest[nacion_es])</f>
        <v>Rusia</v>
      </c>
      <c r="M5" t="str">
        <f>_xlfn.XLOOKUP(frasest[[#This Row],[autor_es]],autorest[autor_es],autorest[nacion_la])</f>
        <v>Russia</v>
      </c>
      <c r="N5" t="str">
        <f>_xlfn.XLOOKUP(frasest[[#This Row],[autor_es]],autorest[autor_es],autorest[epoca_es])</f>
        <v>Epoca Desconocida</v>
      </c>
      <c r="O5" t="str">
        <f>_xlfn.XLOOKUP(frasest[[#This Row],[autor_es]],autorest[autor_es],autorest[epoca_la])</f>
        <v>Epocha Ignota</v>
      </c>
    </row>
    <row r="6" spans="1:15">
      <c r="A6">
        <v>5</v>
      </c>
      <c r="B6" t="s">
        <v>30</v>
      </c>
      <c r="C6" t="s">
        <v>31</v>
      </c>
      <c r="D6" s="1" t="s">
        <v>32</v>
      </c>
      <c r="E6" t="s">
        <v>33</v>
      </c>
      <c r="F6" t="str">
        <f>_xlfn.XLOOKUP(frasest[[#This Row],[autor_es]],autorest[autor_es],autorest[autor_la])</f>
        <v>Proverbium Sinense</v>
      </c>
      <c r="G6" t="str">
        <f>_xlfn.XLOOKUP(frasest[[#This Row],[autor_es]],autorest[autor_es],autorest[bio_es])</f>
        <v>Conjunto de proverbios tradicionales de la cultura china que transmiten sabiduría popular, valores morales y enseñanzas prácticas transmitidas oralmente durante siglos.</v>
      </c>
      <c r="H6" t="str">
        <f>_xlfn.XLOOKUP(frasest[[#This Row],[autor_es]],autorest[autor_es],autorest[bio_la])</f>
        <v>Collectio sententiarum Sinensium, magnopere in cultura tradita.</v>
      </c>
      <c r="I6" t="str">
        <f>_xlfn.XLOOKUP(frasest[[#This Row],[autor_es]],autorest[autor_es],autorest[codigo])</f>
        <v>zh</v>
      </c>
      <c r="J6" t="str">
        <f>_xlfn.XLOOKUP(frasest[[#This Row],[autor_es]],autorest[autor_es],autorest[idioma_es])</f>
        <v>Chino</v>
      </c>
      <c r="K6" t="str">
        <f>_xlfn.XLOOKUP(frasest[[#This Row],[autor_es]],autorest[autor_es],autorest[idioma_la])</f>
        <v>Lingua Sinica</v>
      </c>
      <c r="L6" t="str">
        <f>_xlfn.XLOOKUP(frasest[[#This Row],[autor_es]],autorest[autor_es],autorest[nacion_es])</f>
        <v>China</v>
      </c>
      <c r="M6" t="str">
        <f>_xlfn.XLOOKUP(frasest[[#This Row],[autor_es]],autorest[autor_es],autorest[nacion_la])</f>
        <v>Sinae</v>
      </c>
      <c r="N6" t="str">
        <f>_xlfn.XLOOKUP(frasest[[#This Row],[autor_es]],autorest[autor_es],autorest[epoca_es])</f>
        <v>Epoca Desconocida</v>
      </c>
      <c r="O6" t="str">
        <f>_xlfn.XLOOKUP(frasest[[#This Row],[autor_es]],autorest[autor_es],autorest[epoca_la])</f>
        <v>Epocha Ignota</v>
      </c>
    </row>
    <row r="7" spans="1:15" ht="14.25">
      <c r="A7">
        <v>6</v>
      </c>
      <c r="B7" t="s">
        <v>34</v>
      </c>
      <c r="C7" t="s">
        <v>35</v>
      </c>
      <c r="D7" s="3" t="s">
        <v>36</v>
      </c>
      <c r="E7" t="s">
        <v>37</v>
      </c>
      <c r="F7" t="str">
        <f>_xlfn.XLOOKUP(frasest[[#This Row],[autor_es]],autorest[autor_es],autorest[autor_la])</f>
        <v>Salomon</v>
      </c>
      <c r="G7" t="str">
        <f>_xlfn.XLOOKUP(frasest[[#This Row],[autor_es]],autorest[autor_es],autorest[bio_es])</f>
        <v>Rey de Israel, autor de proverbios y textos bíblicos.</v>
      </c>
      <c r="H7" t="str">
        <f>_xlfn.XLOOKUP(frasest[[#This Row],[autor_es]],autorest[autor_es],autorest[bio_la])</f>
        <v>Rex Israel, auctor proverbiorum et textuum sacrorum.</v>
      </c>
      <c r="I7" t="str">
        <f>_xlfn.XLOOKUP(frasest[[#This Row],[autor_es]],autorest[autor_es],autorest[codigo])</f>
        <v>he</v>
      </c>
      <c r="J7" t="str">
        <f>_xlfn.XLOOKUP(frasest[[#This Row],[autor_es]],autorest[autor_es],autorest[idioma_es])</f>
        <v>Hebreo</v>
      </c>
      <c r="K7" t="str">
        <f>_xlfn.XLOOKUP(frasest[[#This Row],[autor_es]],autorest[autor_es],autorest[idioma_la])</f>
        <v>Lingua Hebraica</v>
      </c>
      <c r="L7" t="str">
        <f>_xlfn.XLOOKUP(frasest[[#This Row],[autor_es]],autorest[autor_es],autorest[nacion_es])</f>
        <v>Israel</v>
      </c>
      <c r="M7" t="str">
        <f>_xlfn.XLOOKUP(frasest[[#This Row],[autor_es]],autorest[autor_es],autorest[nacion_la])</f>
        <v>Israel</v>
      </c>
      <c r="N7" t="str">
        <f>_xlfn.XLOOKUP(frasest[[#This Row],[autor_es]],autorest[autor_es],autorest[epoca_es])</f>
        <v>Edad Antigua</v>
      </c>
      <c r="O7" t="str">
        <f>_xlfn.XLOOKUP(frasest[[#This Row],[autor_es]],autorest[autor_es],autorest[epoca_la])</f>
        <v>Antiquitas</v>
      </c>
    </row>
    <row r="8" spans="1:15">
      <c r="A8">
        <v>7</v>
      </c>
      <c r="B8" t="s">
        <v>38</v>
      </c>
      <c r="C8" t="s">
        <v>39</v>
      </c>
      <c r="D8" t="s">
        <v>38</v>
      </c>
      <c r="E8" t="s">
        <v>37</v>
      </c>
      <c r="F8" t="str">
        <f>_xlfn.XLOOKUP(frasest[[#This Row],[autor_es]],autorest[autor_es],autorest[autor_la])</f>
        <v>Salomon</v>
      </c>
      <c r="G8" t="str">
        <f>_xlfn.XLOOKUP(frasest[[#This Row],[autor_es]],autorest[autor_es],autorest[bio_es])</f>
        <v>Rey de Israel, autor de proverbios y textos bíblicos.</v>
      </c>
      <c r="H8" t="str">
        <f>_xlfn.XLOOKUP(frasest[[#This Row],[autor_es]],autorest[autor_es],autorest[bio_la])</f>
        <v>Rex Israel, auctor proverbiorum et textuum sacrorum.</v>
      </c>
      <c r="I8" t="str">
        <f>_xlfn.XLOOKUP(frasest[[#This Row],[autor_es]],autorest[autor_es],autorest[codigo])</f>
        <v>he</v>
      </c>
      <c r="J8" t="str">
        <f>_xlfn.XLOOKUP(frasest[[#This Row],[autor_es]],autorest[autor_es],autorest[idioma_es])</f>
        <v>Hebreo</v>
      </c>
      <c r="K8" t="str">
        <f>_xlfn.XLOOKUP(frasest[[#This Row],[autor_es]],autorest[autor_es],autorest[idioma_la])</f>
        <v>Lingua Hebraica</v>
      </c>
      <c r="L8" t="str">
        <f>_xlfn.XLOOKUP(frasest[[#This Row],[autor_es]],autorest[autor_es],autorest[nacion_es])</f>
        <v>Israel</v>
      </c>
      <c r="M8" t="str">
        <f>_xlfn.XLOOKUP(frasest[[#This Row],[autor_es]],autorest[autor_es],autorest[nacion_la])</f>
        <v>Israel</v>
      </c>
      <c r="N8" t="str">
        <f>_xlfn.XLOOKUP(frasest[[#This Row],[autor_es]],autorest[autor_es],autorest[epoca_es])</f>
        <v>Edad Antigua</v>
      </c>
      <c r="O8" t="str">
        <f>_xlfn.XLOOKUP(frasest[[#This Row],[autor_es]],autorest[autor_es],autorest[epoca_la])</f>
        <v>Antiquitas</v>
      </c>
    </row>
    <row r="9" spans="1:15">
      <c r="A9">
        <v>8</v>
      </c>
      <c r="B9" t="s">
        <v>40</v>
      </c>
      <c r="C9" t="s">
        <v>41</v>
      </c>
      <c r="D9" t="s">
        <v>42</v>
      </c>
      <c r="E9" t="s">
        <v>43</v>
      </c>
      <c r="F9" t="str">
        <f>_xlfn.XLOOKUP(frasest[[#This Row],[autor_es]],autorest[autor_es],autorest[autor_la])</f>
        <v>Renatus Cartesius</v>
      </c>
      <c r="G9" t="str">
        <f>_xlfn.XLOOKUP(frasest[[#This Row],[autor_es]],autorest[autor_es],autorest[bio_es])</f>
        <v>Filósofo y matemático francés.</v>
      </c>
      <c r="H9" t="str">
        <f>_xlfn.XLOOKUP(frasest[[#This Row],[autor_es]],autorest[autor_es],autorest[bio_la])</f>
        <v>Philosophus et mathematicus Francogallicus.</v>
      </c>
      <c r="I9" t="str">
        <f>_xlfn.XLOOKUP(frasest[[#This Row],[autor_es]],autorest[autor_es],autorest[codigo])</f>
        <v>la</v>
      </c>
      <c r="J9" t="str">
        <f>_xlfn.XLOOKUP(frasest[[#This Row],[autor_es]],autorest[autor_es],autorest[idioma_es])</f>
        <v>Latín</v>
      </c>
      <c r="K9" t="str">
        <f>_xlfn.XLOOKUP(frasest[[#This Row],[autor_es]],autorest[autor_es],autorest[idioma_la])</f>
        <v>Lingua Latina</v>
      </c>
      <c r="L9" t="str">
        <f>_xlfn.XLOOKUP(frasest[[#This Row],[autor_es]],autorest[autor_es],autorest[nacion_es])</f>
        <v>Francia</v>
      </c>
      <c r="M9" t="str">
        <f>_xlfn.XLOOKUP(frasest[[#This Row],[autor_es]],autorest[autor_es],autorest[nacion_la])</f>
        <v>Gallia</v>
      </c>
      <c r="N9" t="str">
        <f>_xlfn.XLOOKUP(frasest[[#This Row],[autor_es]],autorest[autor_es],autorest[epoca_es])</f>
        <v>Edad Moderna</v>
      </c>
      <c r="O9" t="str">
        <f>_xlfn.XLOOKUP(frasest[[#This Row],[autor_es]],autorest[autor_es],autorest[epoca_la])</f>
        <v>Nova Aetas</v>
      </c>
    </row>
    <row r="10" spans="1:15">
      <c r="A10">
        <v>9</v>
      </c>
      <c r="B10" t="s">
        <v>44</v>
      </c>
      <c r="C10" t="s">
        <v>45</v>
      </c>
      <c r="D10" t="s">
        <v>46</v>
      </c>
      <c r="E10" t="s">
        <v>47</v>
      </c>
      <c r="F10" t="str">
        <f>_xlfn.XLOOKUP(frasest[[#This Row],[autor_es]],autorest[autor_es],autorest[autor_la])</f>
        <v>Franciscus Bacon</v>
      </c>
      <c r="G10" t="str">
        <f>_xlfn.XLOOKUP(frasest[[#This Row],[autor_es]],autorest[autor_es],autorest[bio_es])</f>
        <v>Filósofo y estadista inglés, autor de "El conocimiento es poder".</v>
      </c>
      <c r="H10" t="str">
        <f>_xlfn.XLOOKUP(frasest[[#This Row],[autor_es]],autorest[autor_es],autorest[bio_la])</f>
        <v>Philosophus et civis Anglicus, auctor "Scientia potentia est".</v>
      </c>
      <c r="I10" t="str">
        <f>_xlfn.XLOOKUP(frasest[[#This Row],[autor_es]],autorest[autor_es],autorest[codigo])</f>
        <v>en</v>
      </c>
      <c r="J10" t="str">
        <f>_xlfn.XLOOKUP(frasest[[#This Row],[autor_es]],autorest[autor_es],autorest[idioma_es])</f>
        <v>Inglés</v>
      </c>
      <c r="K10" t="str">
        <f>_xlfn.XLOOKUP(frasest[[#This Row],[autor_es]],autorest[autor_es],autorest[idioma_la])</f>
        <v>Lingua Anglica</v>
      </c>
      <c r="L10" t="str">
        <f>_xlfn.XLOOKUP(frasest[[#This Row],[autor_es]],autorest[autor_es],autorest[nacion_es])</f>
        <v>Inglaterra</v>
      </c>
      <c r="M10" t="str">
        <f>_xlfn.XLOOKUP(frasest[[#This Row],[autor_es]],autorest[autor_es],autorest[nacion_la])</f>
        <v>Anglia</v>
      </c>
      <c r="N10" t="str">
        <f>_xlfn.XLOOKUP(frasest[[#This Row],[autor_es]],autorest[autor_es],autorest[epoca_es])</f>
        <v>Edad Moderna</v>
      </c>
      <c r="O10" t="str">
        <f>_xlfn.XLOOKUP(frasest[[#This Row],[autor_es]],autorest[autor_es],autorest[epoca_la])</f>
        <v>Nova Aetas</v>
      </c>
    </row>
    <row r="11" spans="1:15">
      <c r="A11">
        <v>10</v>
      </c>
      <c r="B11" t="s">
        <v>48</v>
      </c>
      <c r="C11" t="s">
        <v>49</v>
      </c>
      <c r="D11" t="s">
        <v>50</v>
      </c>
      <c r="E11" t="s">
        <v>51</v>
      </c>
      <c r="F11" t="str">
        <f>_xlfn.XLOOKUP(frasest[[#This Row],[autor_es]],autorest[autor_es],autorest[autor_la])</f>
        <v>Aurelius Augustinus</v>
      </c>
      <c r="G11" t="str">
        <f>_xlfn.XLOOKUP(frasest[[#This Row],[autor_es]],autorest[autor_es],autorest[bio_es])</f>
        <v>Filósofo y teólogo cristiano.</v>
      </c>
      <c r="H11" t="str">
        <f>_xlfn.XLOOKUP(frasest[[#This Row],[autor_es]],autorest[autor_es],autorest[bio_la])</f>
        <v>Philosophus et theologus Christianus.</v>
      </c>
      <c r="I11" t="str">
        <f>_xlfn.XLOOKUP(frasest[[#This Row],[autor_es]],autorest[autor_es],autorest[codigo])</f>
        <v>la</v>
      </c>
      <c r="J11" t="str">
        <f>_xlfn.XLOOKUP(frasest[[#This Row],[autor_es]],autorest[autor_es],autorest[idioma_es])</f>
        <v>Latín</v>
      </c>
      <c r="K11" t="str">
        <f>_xlfn.XLOOKUP(frasest[[#This Row],[autor_es]],autorest[autor_es],autorest[idioma_la])</f>
        <v>Lingua Latina</v>
      </c>
      <c r="L11" t="str">
        <f>_xlfn.XLOOKUP(frasest[[#This Row],[autor_es]],autorest[autor_es],autorest[nacion_es])</f>
        <v>Roma</v>
      </c>
      <c r="M11" t="str">
        <f>_xlfn.XLOOKUP(frasest[[#This Row],[autor_es]],autorest[autor_es],autorest[nacion_la])</f>
        <v>Roma</v>
      </c>
      <c r="N11" t="str">
        <f>_xlfn.XLOOKUP(frasest[[#This Row],[autor_es]],autorest[autor_es],autorest[epoca_es])</f>
        <v>Edad Antigua</v>
      </c>
      <c r="O11" t="str">
        <f>_xlfn.XLOOKUP(frasest[[#This Row],[autor_es]],autorest[autor_es],autorest[epoca_la])</f>
        <v>Antiquitas</v>
      </c>
    </row>
    <row r="12" spans="1:15">
      <c r="A12">
        <v>11</v>
      </c>
      <c r="B12" t="s">
        <v>52</v>
      </c>
      <c r="C12" t="s">
        <v>53</v>
      </c>
      <c r="D12" t="s">
        <v>52</v>
      </c>
      <c r="E12" t="s">
        <v>54</v>
      </c>
      <c r="F12" t="str">
        <f>_xlfn.XLOOKUP(frasest[[#This Row],[autor_es]],autorest[autor_es],autorest[autor_la])</f>
        <v>Daleus Carnegieus</v>
      </c>
      <c r="G12" t="str">
        <f>_xlfn.XLOOKUP(frasest[[#This Row],[autor_es]],autorest[autor_es],autorest[bio_es])</f>
        <v>Escritor y conferencista estadounidense, autor de libros de desarrollo personal.</v>
      </c>
      <c r="H12" t="str">
        <f>_xlfn.XLOOKUP(frasest[[#This Row],[autor_es]],autorest[autor_es],autorest[bio_la])</f>
        <v>Scriba et orator Americanus, auctor librorum de progressu personali.</v>
      </c>
      <c r="I12" t="str">
        <f>_xlfn.XLOOKUP(frasest[[#This Row],[autor_es]],autorest[autor_es],autorest[codigo])</f>
        <v>en</v>
      </c>
      <c r="J12" t="str">
        <f>_xlfn.XLOOKUP(frasest[[#This Row],[autor_es]],autorest[autor_es],autorest[idioma_es])</f>
        <v>Inglés</v>
      </c>
      <c r="K12" t="str">
        <f>_xlfn.XLOOKUP(frasest[[#This Row],[autor_es]],autorest[autor_es],autorest[idioma_la])</f>
        <v>Lingua Anglica</v>
      </c>
      <c r="L12" t="str">
        <f>_xlfn.XLOOKUP(frasest[[#This Row],[autor_es]],autorest[autor_es],autorest[nacion_es])</f>
        <v>Estados Unidos</v>
      </c>
      <c r="M12" t="str">
        <f>_xlfn.XLOOKUP(frasest[[#This Row],[autor_es]],autorest[autor_es],autorest[nacion_la])</f>
        <v>Civitates Foederatae</v>
      </c>
      <c r="N12" t="str">
        <f>_xlfn.XLOOKUP(frasest[[#This Row],[autor_es]],autorest[autor_es],autorest[epoca_es])</f>
        <v>Edad Contemporánea</v>
      </c>
      <c r="O12" t="str">
        <f>_xlfn.XLOOKUP(frasest[[#This Row],[autor_es]],autorest[autor_es],autorest[epoca_la])</f>
        <v>Aetas Contemporanea</v>
      </c>
    </row>
    <row r="13" spans="1:15">
      <c r="A13">
        <v>12</v>
      </c>
      <c r="B13" t="s">
        <v>55</v>
      </c>
      <c r="C13" t="s">
        <v>56</v>
      </c>
      <c r="D13" t="s">
        <v>55</v>
      </c>
      <c r="E13" t="s">
        <v>21</v>
      </c>
      <c r="F13" t="str">
        <f>_xlfn.XLOOKUP(frasest[[#This Row],[autor_es]],autorest[autor_es],autorest[autor_la])</f>
        <v>Sententia Hispanica</v>
      </c>
      <c r="G13" t="str">
        <f>_xlfn.XLOOKUP(frasest[[#This Row],[autor_es]],autorest[autor_es],autorest[bio_es])</f>
        <v>Refranes populares de la tradición oral hispana que expresan de forma breve y ingeniosa enseñanzas prácticas sobre la vida cotidiana.</v>
      </c>
      <c r="H13" t="str">
        <f>_xlfn.XLOOKUP(frasest[[#This Row],[autor_es]],autorest[autor_es],autorest[bio_la])</f>
        <v>Collectio sententiarum Hispanicarum.</v>
      </c>
      <c r="I13" t="str">
        <f>_xlfn.XLOOKUP(frasest[[#This Row],[autor_es]],autorest[autor_es],autorest[codigo])</f>
        <v>es</v>
      </c>
      <c r="J13" t="str">
        <f>_xlfn.XLOOKUP(frasest[[#This Row],[autor_es]],autorest[autor_es],autorest[idioma_es])</f>
        <v>Español</v>
      </c>
      <c r="K13" t="str">
        <f>_xlfn.XLOOKUP(frasest[[#This Row],[autor_es]],autorest[autor_es],autorest[idioma_la])</f>
        <v>Lingua Hispanica</v>
      </c>
      <c r="L13" t="str">
        <f>_xlfn.XLOOKUP(frasest[[#This Row],[autor_es]],autorest[autor_es],autorest[nacion_es])</f>
        <v>España</v>
      </c>
      <c r="M13" t="str">
        <f>_xlfn.XLOOKUP(frasest[[#This Row],[autor_es]],autorest[autor_es],autorest[nacion_la])</f>
        <v>Hispania</v>
      </c>
      <c r="N13" t="str">
        <f>_xlfn.XLOOKUP(frasest[[#This Row],[autor_es]],autorest[autor_es],autorest[epoca_es])</f>
        <v>Epoca Desconocida</v>
      </c>
      <c r="O13" t="str">
        <f>_xlfn.XLOOKUP(frasest[[#This Row],[autor_es]],autorest[autor_es],autorest[epoca_la])</f>
        <v>Epocha Ignota</v>
      </c>
    </row>
    <row r="14" spans="1:15">
      <c r="A14">
        <v>13</v>
      </c>
      <c r="B14" t="s">
        <v>57</v>
      </c>
      <c r="C14" t="s">
        <v>58</v>
      </c>
      <c r="D14" t="s">
        <v>58</v>
      </c>
      <c r="E14" t="s">
        <v>59</v>
      </c>
      <c r="F14" t="str">
        <f>_xlfn.XLOOKUP(frasest[[#This Row],[autor_es]],autorest[autor_es],autorest[autor_la])</f>
        <v>Quintus Horatius Flaccus</v>
      </c>
      <c r="G14" t="str">
        <f>_xlfn.XLOOKUP(frasest[[#This Row],[autor_es]],autorest[autor_es],autorest[bio_es])</f>
        <v>Poeta lírico romano, autor de "Carpe diem".</v>
      </c>
      <c r="H14" t="str">
        <f>_xlfn.XLOOKUP(frasest[[#This Row],[autor_es]],autorest[autor_es],autorest[bio_la])</f>
        <v>Poeta lyricus Romanus, auctor "Carpe diem".</v>
      </c>
      <c r="I14" t="str">
        <f>_xlfn.XLOOKUP(frasest[[#This Row],[autor_es]],autorest[autor_es],autorest[codigo])</f>
        <v>la</v>
      </c>
      <c r="J14" t="str">
        <f>_xlfn.XLOOKUP(frasest[[#This Row],[autor_es]],autorest[autor_es],autorest[idioma_es])</f>
        <v>Latín</v>
      </c>
      <c r="K14" t="str">
        <f>_xlfn.XLOOKUP(frasest[[#This Row],[autor_es]],autorest[autor_es],autorest[idioma_la])</f>
        <v>Lingua Latina</v>
      </c>
      <c r="L14" t="str">
        <f>_xlfn.XLOOKUP(frasest[[#This Row],[autor_es]],autorest[autor_es],autorest[nacion_es])</f>
        <v>Roma</v>
      </c>
      <c r="M14" t="str">
        <f>_xlfn.XLOOKUP(frasest[[#This Row],[autor_es]],autorest[autor_es],autorest[nacion_la])</f>
        <v>Roma</v>
      </c>
      <c r="N14" t="str">
        <f>_xlfn.XLOOKUP(frasest[[#This Row],[autor_es]],autorest[autor_es],autorest[epoca_es])</f>
        <v>Edad Antigua</v>
      </c>
      <c r="O14" t="str">
        <f>_xlfn.XLOOKUP(frasest[[#This Row],[autor_es]],autorest[autor_es],autorest[epoca_la])</f>
        <v>Antiquitas</v>
      </c>
    </row>
    <row r="15" spans="1:15">
      <c r="A15">
        <v>14</v>
      </c>
      <c r="B15" t="s">
        <v>60</v>
      </c>
      <c r="C15" t="s">
        <v>61</v>
      </c>
      <c r="D15" t="s">
        <v>62</v>
      </c>
      <c r="E15" t="s">
        <v>63</v>
      </c>
      <c r="F15" t="str">
        <f>_xlfn.XLOOKUP(frasest[[#This Row],[autor_es]],autorest[autor_es],autorest[autor_la])</f>
        <v>Gulielmus Shakespeare</v>
      </c>
      <c r="G15" t="str">
        <f>_xlfn.XLOOKUP(frasest[[#This Row],[autor_es]],autorest[autor_es],autorest[bio_es])</f>
        <v>Dramaturgo y poeta inglés, autor de Hamlet.</v>
      </c>
      <c r="H15" t="str">
        <f>_xlfn.XLOOKUP(frasest[[#This Row],[autor_es]],autorest[autor_es],autorest[bio_la])</f>
        <v>Dramaturgus et poeta Anglicus, auctor "Hamlet".</v>
      </c>
      <c r="I15" t="str">
        <f>_xlfn.XLOOKUP(frasest[[#This Row],[autor_es]],autorest[autor_es],autorest[codigo])</f>
        <v>en</v>
      </c>
      <c r="J15" t="str">
        <f>_xlfn.XLOOKUP(frasest[[#This Row],[autor_es]],autorest[autor_es],autorest[idioma_es])</f>
        <v>Inglés</v>
      </c>
      <c r="K15" t="str">
        <f>_xlfn.XLOOKUP(frasest[[#This Row],[autor_es]],autorest[autor_es],autorest[idioma_la])</f>
        <v>Lingua Anglica</v>
      </c>
      <c r="L15" t="str">
        <f>_xlfn.XLOOKUP(frasest[[#This Row],[autor_es]],autorest[autor_es],autorest[nacion_es])</f>
        <v>Inglaterra</v>
      </c>
      <c r="M15" t="str">
        <f>_xlfn.XLOOKUP(frasest[[#This Row],[autor_es]],autorest[autor_es],autorest[nacion_la])</f>
        <v>Anglia</v>
      </c>
      <c r="N15" t="str">
        <f>_xlfn.XLOOKUP(frasest[[#This Row],[autor_es]],autorest[autor_es],autorest[epoca_es])</f>
        <v>Edad Moderna</v>
      </c>
      <c r="O15" t="str">
        <f>_xlfn.XLOOKUP(frasest[[#This Row],[autor_es]],autorest[autor_es],autorest[epoca_la])</f>
        <v>Nova Aetas</v>
      </c>
    </row>
    <row r="16" spans="1:15">
      <c r="A16">
        <v>15</v>
      </c>
      <c r="B16" t="s">
        <v>64</v>
      </c>
      <c r="C16" t="s">
        <v>65</v>
      </c>
      <c r="D16" t="s">
        <v>64</v>
      </c>
      <c r="E16" t="s">
        <v>21</v>
      </c>
      <c r="F16" t="str">
        <f>_xlfn.XLOOKUP(frasest[[#This Row],[autor_es]],autorest[autor_es],autorest[autor_la])</f>
        <v>Sententia Hispanica</v>
      </c>
      <c r="G16" t="str">
        <f>_xlfn.XLOOKUP(frasest[[#This Row],[autor_es]],autorest[autor_es],autorest[bio_es])</f>
        <v>Refranes populares de la tradición oral hispana que expresan de forma breve y ingeniosa enseñanzas prácticas sobre la vida cotidiana.</v>
      </c>
      <c r="H16" t="str">
        <f>_xlfn.XLOOKUP(frasest[[#This Row],[autor_es]],autorest[autor_es],autorest[bio_la])</f>
        <v>Collectio sententiarum Hispanicarum.</v>
      </c>
      <c r="I16" t="str">
        <f>_xlfn.XLOOKUP(frasest[[#This Row],[autor_es]],autorest[autor_es],autorest[codigo])</f>
        <v>es</v>
      </c>
      <c r="J16" t="str">
        <f>_xlfn.XLOOKUP(frasest[[#This Row],[autor_es]],autorest[autor_es],autorest[idioma_es])</f>
        <v>Español</v>
      </c>
      <c r="K16" t="str">
        <f>_xlfn.XLOOKUP(frasest[[#This Row],[autor_es]],autorest[autor_es],autorest[idioma_la])</f>
        <v>Lingua Hispanica</v>
      </c>
      <c r="L16" t="str">
        <f>_xlfn.XLOOKUP(frasest[[#This Row],[autor_es]],autorest[autor_es],autorest[nacion_es])</f>
        <v>España</v>
      </c>
      <c r="M16" t="str">
        <f>_xlfn.XLOOKUP(frasest[[#This Row],[autor_es]],autorest[autor_es],autorest[nacion_la])</f>
        <v>Hispania</v>
      </c>
      <c r="N16" t="str">
        <f>_xlfn.XLOOKUP(frasest[[#This Row],[autor_es]],autorest[autor_es],autorest[epoca_es])</f>
        <v>Epoca Desconocida</v>
      </c>
      <c r="O16" t="str">
        <f>_xlfn.XLOOKUP(frasest[[#This Row],[autor_es]],autorest[autor_es],autorest[epoca_la])</f>
        <v>Epocha Ignota</v>
      </c>
    </row>
    <row r="17" spans="1:15">
      <c r="A17">
        <v>16</v>
      </c>
      <c r="B17" t="s">
        <v>66</v>
      </c>
      <c r="C17" t="s">
        <v>67</v>
      </c>
      <c r="D17" s="1" t="s">
        <v>68</v>
      </c>
      <c r="E17" t="s">
        <v>33</v>
      </c>
      <c r="F17" t="str">
        <f>_xlfn.XLOOKUP(frasest[[#This Row],[autor_es]],autorest[autor_es],autorest[autor_la])</f>
        <v>Proverbium Sinense</v>
      </c>
      <c r="G17" t="str">
        <f>_xlfn.XLOOKUP(frasest[[#This Row],[autor_es]],autorest[autor_es],autorest[bio_es])</f>
        <v>Conjunto de proverbios tradicionales de la cultura china que transmiten sabiduría popular, valores morales y enseñanzas prácticas transmitidas oralmente durante siglos.</v>
      </c>
      <c r="H17" t="str">
        <f>_xlfn.XLOOKUP(frasest[[#This Row],[autor_es]],autorest[autor_es],autorest[bio_la])</f>
        <v>Collectio sententiarum Sinensium, magnopere in cultura tradita.</v>
      </c>
      <c r="I17" t="str">
        <f>_xlfn.XLOOKUP(frasest[[#This Row],[autor_es]],autorest[autor_es],autorest[codigo])</f>
        <v>zh</v>
      </c>
      <c r="J17" t="str">
        <f>_xlfn.XLOOKUP(frasest[[#This Row],[autor_es]],autorest[autor_es],autorest[idioma_es])</f>
        <v>Chino</v>
      </c>
      <c r="K17" t="str">
        <f>_xlfn.XLOOKUP(frasest[[#This Row],[autor_es]],autorest[autor_es],autorest[idioma_la])</f>
        <v>Lingua Sinica</v>
      </c>
      <c r="L17" t="str">
        <f>_xlfn.XLOOKUP(frasest[[#This Row],[autor_es]],autorest[autor_es],autorest[nacion_es])</f>
        <v>China</v>
      </c>
      <c r="M17" t="str">
        <f>_xlfn.XLOOKUP(frasest[[#This Row],[autor_es]],autorest[autor_es],autorest[nacion_la])</f>
        <v>Sinae</v>
      </c>
      <c r="N17" t="str">
        <f>_xlfn.XLOOKUP(frasest[[#This Row],[autor_es]],autorest[autor_es],autorest[epoca_es])</f>
        <v>Epoca Desconocida</v>
      </c>
      <c r="O17" t="str">
        <f>_xlfn.XLOOKUP(frasest[[#This Row],[autor_es]],autorest[autor_es],autorest[epoca_la])</f>
        <v>Epocha Ignota</v>
      </c>
    </row>
    <row r="18" spans="1:15">
      <c r="A18">
        <v>17</v>
      </c>
      <c r="B18" t="s">
        <v>69</v>
      </c>
      <c r="C18" t="s">
        <v>70</v>
      </c>
      <c r="D18" t="s">
        <v>70</v>
      </c>
      <c r="E18" t="s">
        <v>71</v>
      </c>
      <c r="F18" t="str">
        <f>_xlfn.XLOOKUP(frasest[[#This Row],[autor_es]],autorest[autor_es],autorest[autor_la])</f>
        <v>Gaius Iulius Caesar</v>
      </c>
      <c r="G18" t="str">
        <f>_xlfn.XLOOKUP(frasest[[#This Row],[autor_es]],autorest[autor_es],autorest[bio_es])</f>
        <v>Político, militar y escritor romano. Protagonizó el final de la República Romana y el ascenso del Imperio. Conquistó la Galia, cruzó el Rubicón en 49 a. C. iniciando la guerra civil, y ejerció el poder como dictador vitalicio. Fue asesinado el 15 de marzo de 44 a. C. durante los Idus de marzo.</v>
      </c>
      <c r="H18" t="str">
        <f>_xlfn.XLOOKUP(frasest[[#This Row],[autor_es]],autorest[autor_es],autorest[bio_la])</f>
        <v>Politicus, miles et scriptor Romanus. Finitum Rei Publicae et ascensus Imperii. Galliam vicit, Rubiconem transiit anno 49 a.C., bellum civile incepit, dictator perpetuus factus. Interfectus est die 15 Martii 44 a.C.</v>
      </c>
      <c r="I18" t="str">
        <f>_xlfn.XLOOKUP(frasest[[#This Row],[autor_es]],autorest[autor_es],autorest[codigo])</f>
        <v>la</v>
      </c>
      <c r="J18" t="str">
        <f>_xlfn.XLOOKUP(frasest[[#This Row],[autor_es]],autorest[autor_es],autorest[idioma_es])</f>
        <v>Latín</v>
      </c>
      <c r="K18" t="str">
        <f>_xlfn.XLOOKUP(frasest[[#This Row],[autor_es]],autorest[autor_es],autorest[idioma_la])</f>
        <v>Lingua Latina</v>
      </c>
      <c r="L18" t="str">
        <f>_xlfn.XLOOKUP(frasest[[#This Row],[autor_es]],autorest[autor_es],autorest[nacion_es])</f>
        <v>Roma</v>
      </c>
      <c r="M18" t="str">
        <f>_xlfn.XLOOKUP(frasest[[#This Row],[autor_es]],autorest[autor_es],autorest[nacion_la])</f>
        <v>Roma</v>
      </c>
      <c r="N18" t="str">
        <f>_xlfn.XLOOKUP(frasest[[#This Row],[autor_es]],autorest[autor_es],autorest[epoca_es])</f>
        <v>Edad Antigua</v>
      </c>
      <c r="O18" t="str">
        <f>_xlfn.XLOOKUP(frasest[[#This Row],[autor_es]],autorest[autor_es],autorest[epoca_la])</f>
        <v>Antiquitas</v>
      </c>
    </row>
    <row r="19" spans="1:15">
      <c r="A19">
        <v>18</v>
      </c>
      <c r="B19" t="s">
        <v>72</v>
      </c>
      <c r="C19" t="s">
        <v>73</v>
      </c>
      <c r="D19" t="s">
        <v>73</v>
      </c>
      <c r="E19" t="s">
        <v>74</v>
      </c>
      <c r="F19" t="str">
        <f>_xlfn.XLOOKUP(frasest[[#This Row],[autor_es]],autorest[autor_es],autorest[autor_la])</f>
        <v>Parmenides</v>
      </c>
      <c r="G19" t="str">
        <f>_xlfn.XLOOKUP(frasest[[#This Row],[autor_es]],autorest[autor_es],autorest[bio_es])</f>
        <v>Filósofo presocrático griego, fundador de la escuela eleática. Defendió la idea de la permanencia del ser y que nada surge de la nada.</v>
      </c>
      <c r="H19" t="str">
        <f>_xlfn.XLOOKUP(frasest[[#This Row],[autor_es]],autorest[autor_es],autorest[bio_la])</f>
        <v>Philosophus Praesocraticus Graecus, schola Eleatica conditor. Ideam constantiae entis defendit, nihil ex nihilo oriri.</v>
      </c>
      <c r="I19" t="str">
        <f>_xlfn.XLOOKUP(frasest[[#This Row],[autor_es]],autorest[autor_es],autorest[codigo])</f>
        <v>la</v>
      </c>
      <c r="J19" t="str">
        <f>_xlfn.XLOOKUP(frasest[[#This Row],[autor_es]],autorest[autor_es],autorest[idioma_es])</f>
        <v>Latín</v>
      </c>
      <c r="K19" t="str">
        <f>_xlfn.XLOOKUP(frasest[[#This Row],[autor_es]],autorest[autor_es],autorest[idioma_la])</f>
        <v>Lingua Latina</v>
      </c>
      <c r="L19" t="str">
        <f>_xlfn.XLOOKUP(frasest[[#This Row],[autor_es]],autorest[autor_es],autorest[nacion_es])</f>
        <v>Grecia</v>
      </c>
      <c r="M19" t="str">
        <f>_xlfn.XLOOKUP(frasest[[#This Row],[autor_es]],autorest[autor_es],autorest[nacion_la])</f>
        <v>Graecia</v>
      </c>
      <c r="N19" t="str">
        <f>_xlfn.XLOOKUP(frasest[[#This Row],[autor_es]],autorest[autor_es],autorest[epoca_es])</f>
        <v>Edad Antigua</v>
      </c>
      <c r="O19" t="str">
        <f>_xlfn.XLOOKUP(frasest[[#This Row],[autor_es]],autorest[autor_es],autorest[epoca_la])</f>
        <v>Antiquitas</v>
      </c>
    </row>
    <row r="20" spans="1:15">
      <c r="A20">
        <v>19</v>
      </c>
      <c r="B20" t="s">
        <v>75</v>
      </c>
      <c r="C20" t="s">
        <v>76</v>
      </c>
      <c r="D20" s="1" t="s">
        <v>77</v>
      </c>
      <c r="E20" t="s">
        <v>33</v>
      </c>
      <c r="F20" t="str">
        <f>_xlfn.XLOOKUP(frasest[[#This Row],[autor_es]],autorest[autor_es],autorest[autor_la])</f>
        <v>Proverbium Sinense</v>
      </c>
      <c r="G20" t="str">
        <f>_xlfn.XLOOKUP(frasest[[#This Row],[autor_es]],autorest[autor_es],autorest[bio_es])</f>
        <v>Conjunto de proverbios tradicionales de la cultura china que transmiten sabiduría popular, valores morales y enseñanzas prácticas transmitidas oralmente durante siglos.</v>
      </c>
      <c r="H20" t="str">
        <f>_xlfn.XLOOKUP(frasest[[#This Row],[autor_es]],autorest[autor_es],autorest[bio_la])</f>
        <v>Collectio sententiarum Sinensium, magnopere in cultura tradita.</v>
      </c>
      <c r="I20" t="str">
        <f>_xlfn.XLOOKUP(frasest[[#This Row],[autor_es]],autorest[autor_es],autorest[codigo])</f>
        <v>zh</v>
      </c>
      <c r="J20" t="str">
        <f>_xlfn.XLOOKUP(frasest[[#This Row],[autor_es]],autorest[autor_es],autorest[idioma_es])</f>
        <v>Chino</v>
      </c>
      <c r="K20" t="str">
        <f>_xlfn.XLOOKUP(frasest[[#This Row],[autor_es]],autorest[autor_es],autorest[idioma_la])</f>
        <v>Lingua Sinica</v>
      </c>
      <c r="L20" t="str">
        <f>_xlfn.XLOOKUP(frasest[[#This Row],[autor_es]],autorest[autor_es],autorest[nacion_es])</f>
        <v>China</v>
      </c>
      <c r="M20" t="str">
        <f>_xlfn.XLOOKUP(frasest[[#This Row],[autor_es]],autorest[autor_es],autorest[nacion_la])</f>
        <v>Sinae</v>
      </c>
      <c r="N20" t="str">
        <f>_xlfn.XLOOKUP(frasest[[#This Row],[autor_es]],autorest[autor_es],autorest[epoca_es])</f>
        <v>Epoca Desconocida</v>
      </c>
      <c r="O20" t="str">
        <f>_xlfn.XLOOKUP(frasest[[#This Row],[autor_es]],autorest[autor_es],autorest[epoca_la])</f>
        <v>Epocha Ignota</v>
      </c>
    </row>
    <row r="21" spans="1:15">
      <c r="A21">
        <v>20</v>
      </c>
      <c r="B21" t="s">
        <v>78</v>
      </c>
      <c r="C21" t="s">
        <v>79</v>
      </c>
      <c r="D21" s="1" t="s">
        <v>80</v>
      </c>
      <c r="E21" t="s">
        <v>81</v>
      </c>
      <c r="F21" t="str">
        <f>_xlfn.XLOOKUP(frasest[[#This Row],[autor_es]],autorest[autor_es],autorest[autor_la])</f>
        <v>Confucius</v>
      </c>
      <c r="G21" t="str">
        <f>_xlfn.XLOOKUP(frasest[[#This Row],[autor_es]],autorest[autor_es],autorest[bio_es])</f>
        <v>Filósofo y maestro chino, fundador del confucianismo. Sus enseñanzas influyeron profundamente en la cultura, ética y política de China.</v>
      </c>
      <c r="H21" t="str">
        <f>_xlfn.XLOOKUP(frasest[[#This Row],[autor_es]],autorest[autor_es],autorest[bio_la])</f>
        <v>Philosophus et magister Sinensis, confucianismi conditor. Doctrinae eius in culturam, ethicam et politicam Sinensem profunde influentes.</v>
      </c>
      <c r="I21" t="str">
        <f>_xlfn.XLOOKUP(frasest[[#This Row],[autor_es]],autorest[autor_es],autorest[codigo])</f>
        <v>zh</v>
      </c>
      <c r="J21" t="str">
        <f>_xlfn.XLOOKUP(frasest[[#This Row],[autor_es]],autorest[autor_es],autorest[idioma_es])</f>
        <v>Chino</v>
      </c>
      <c r="K21" t="str">
        <f>_xlfn.XLOOKUP(frasest[[#This Row],[autor_es]],autorest[autor_es],autorest[idioma_la])</f>
        <v>Lingua Sinica</v>
      </c>
      <c r="L21" t="str">
        <f>_xlfn.XLOOKUP(frasest[[#This Row],[autor_es]],autorest[autor_es],autorest[nacion_es])</f>
        <v>China</v>
      </c>
      <c r="M21" t="str">
        <f>_xlfn.XLOOKUP(frasest[[#This Row],[autor_es]],autorest[autor_es],autorest[nacion_la])</f>
        <v>Sinae</v>
      </c>
      <c r="N21" t="str">
        <f>_xlfn.XLOOKUP(frasest[[#This Row],[autor_es]],autorest[autor_es],autorest[epoca_es])</f>
        <v>Edad Antigua</v>
      </c>
      <c r="O21" t="str">
        <f>_xlfn.XLOOKUP(frasest[[#This Row],[autor_es]],autorest[autor_es],autorest[epoca_la])</f>
        <v>Antiquitas</v>
      </c>
    </row>
    <row r="22" spans="1:15">
      <c r="A22">
        <v>21</v>
      </c>
      <c r="B22" t="s">
        <v>82</v>
      </c>
      <c r="C22" t="s">
        <v>83</v>
      </c>
      <c r="D22" s="1" t="s">
        <v>84</v>
      </c>
      <c r="E22" t="s">
        <v>81</v>
      </c>
      <c r="F22" t="str">
        <f>_xlfn.XLOOKUP(frasest[[#This Row],[autor_es]],autorest[autor_es],autorest[autor_la])</f>
        <v>Confucius</v>
      </c>
      <c r="G22" t="str">
        <f>_xlfn.XLOOKUP(frasest[[#This Row],[autor_es]],autorest[autor_es],autorest[bio_es])</f>
        <v>Filósofo y maestro chino, fundador del confucianismo. Sus enseñanzas influyeron profundamente en la cultura, ética y política de China.</v>
      </c>
      <c r="H22" t="str">
        <f>_xlfn.XLOOKUP(frasest[[#This Row],[autor_es]],autorest[autor_es],autorest[bio_la])</f>
        <v>Philosophus et magister Sinensis, confucianismi conditor. Doctrinae eius in culturam, ethicam et politicam Sinensem profunde influentes.</v>
      </c>
      <c r="I22" t="str">
        <f>_xlfn.XLOOKUP(frasest[[#This Row],[autor_es]],autorest[autor_es],autorest[codigo])</f>
        <v>zh</v>
      </c>
      <c r="J22" t="str">
        <f>_xlfn.XLOOKUP(frasest[[#This Row],[autor_es]],autorest[autor_es],autorest[idioma_es])</f>
        <v>Chino</v>
      </c>
      <c r="K22" t="str">
        <f>_xlfn.XLOOKUP(frasest[[#This Row],[autor_es]],autorest[autor_es],autorest[idioma_la])</f>
        <v>Lingua Sinica</v>
      </c>
      <c r="L22" t="str">
        <f>_xlfn.XLOOKUP(frasest[[#This Row],[autor_es]],autorest[autor_es],autorest[nacion_es])</f>
        <v>China</v>
      </c>
      <c r="M22" t="str">
        <f>_xlfn.XLOOKUP(frasest[[#This Row],[autor_es]],autorest[autor_es],autorest[nacion_la])</f>
        <v>Sinae</v>
      </c>
      <c r="N22" t="str">
        <f>_xlfn.XLOOKUP(frasest[[#This Row],[autor_es]],autorest[autor_es],autorest[epoca_es])</f>
        <v>Edad Antigua</v>
      </c>
      <c r="O22" t="str">
        <f>_xlfn.XLOOKUP(frasest[[#This Row],[autor_es]],autorest[autor_es],autorest[epoca_la])</f>
        <v>Antiquitas</v>
      </c>
    </row>
    <row r="23" spans="1:15">
      <c r="A23">
        <v>22</v>
      </c>
      <c r="B23" t="s">
        <v>85</v>
      </c>
      <c r="C23" t="s">
        <v>86</v>
      </c>
      <c r="D23" s="1" t="s">
        <v>87</v>
      </c>
      <c r="E23" t="s">
        <v>81</v>
      </c>
      <c r="F23" t="str">
        <f>_xlfn.XLOOKUP(frasest[[#This Row],[autor_es]],autorest[autor_es],autorest[autor_la])</f>
        <v>Confucius</v>
      </c>
      <c r="G23" t="str">
        <f>_xlfn.XLOOKUP(frasest[[#This Row],[autor_es]],autorest[autor_es],autorest[bio_es])</f>
        <v>Filósofo y maestro chino, fundador del confucianismo. Sus enseñanzas influyeron profundamente en la cultura, ética y política de China.</v>
      </c>
      <c r="H23" t="str">
        <f>_xlfn.XLOOKUP(frasest[[#This Row],[autor_es]],autorest[autor_es],autorest[bio_la])</f>
        <v>Philosophus et magister Sinensis, confucianismi conditor. Doctrinae eius in culturam, ethicam et politicam Sinensem profunde influentes.</v>
      </c>
      <c r="I23" t="str">
        <f>_xlfn.XLOOKUP(frasest[[#This Row],[autor_es]],autorest[autor_es],autorest[codigo])</f>
        <v>zh</v>
      </c>
      <c r="J23" t="str">
        <f>_xlfn.XLOOKUP(frasest[[#This Row],[autor_es]],autorest[autor_es],autorest[idioma_es])</f>
        <v>Chino</v>
      </c>
      <c r="K23" t="str">
        <f>_xlfn.XLOOKUP(frasest[[#This Row],[autor_es]],autorest[autor_es],autorest[idioma_la])</f>
        <v>Lingua Sinica</v>
      </c>
      <c r="L23" t="str">
        <f>_xlfn.XLOOKUP(frasest[[#This Row],[autor_es]],autorest[autor_es],autorest[nacion_es])</f>
        <v>China</v>
      </c>
      <c r="M23" t="str">
        <f>_xlfn.XLOOKUP(frasest[[#This Row],[autor_es]],autorest[autor_es],autorest[nacion_la])</f>
        <v>Sinae</v>
      </c>
      <c r="N23" t="str">
        <f>_xlfn.XLOOKUP(frasest[[#This Row],[autor_es]],autorest[autor_es],autorest[epoca_es])</f>
        <v>Edad Antigua</v>
      </c>
      <c r="O23" t="str">
        <f>_xlfn.XLOOKUP(frasest[[#This Row],[autor_es]],autorest[autor_es],autorest[epoca_la])</f>
        <v>Antiquitas</v>
      </c>
    </row>
    <row r="24" spans="1:15">
      <c r="A24">
        <v>23</v>
      </c>
      <c r="B24" t="s">
        <v>88</v>
      </c>
      <c r="C24" t="s">
        <v>89</v>
      </c>
      <c r="D24" t="s">
        <v>90</v>
      </c>
      <c r="E24" t="s">
        <v>51</v>
      </c>
      <c r="F24" t="str">
        <f>_xlfn.XLOOKUP(frasest[[#This Row],[autor_es]],autorest[autor_es],autorest[autor_la])</f>
        <v>Aurelius Augustinus</v>
      </c>
      <c r="G24" t="str">
        <f>_xlfn.XLOOKUP(frasest[[#This Row],[autor_es]],autorest[autor_es],autorest[bio_es])</f>
        <v>Filósofo y teólogo cristiano.</v>
      </c>
      <c r="H24" t="str">
        <f>_xlfn.XLOOKUP(frasest[[#This Row],[autor_es]],autorest[autor_es],autorest[bio_la])</f>
        <v>Philosophus et theologus Christianus.</v>
      </c>
      <c r="I24" t="str">
        <f>_xlfn.XLOOKUP(frasest[[#This Row],[autor_es]],autorest[autor_es],autorest[codigo])</f>
        <v>la</v>
      </c>
      <c r="J24" t="str">
        <f>_xlfn.XLOOKUP(frasest[[#This Row],[autor_es]],autorest[autor_es],autorest[idioma_es])</f>
        <v>Latín</v>
      </c>
      <c r="K24" t="str">
        <f>_xlfn.XLOOKUP(frasest[[#This Row],[autor_es]],autorest[autor_es],autorest[idioma_la])</f>
        <v>Lingua Latina</v>
      </c>
      <c r="L24" t="str">
        <f>_xlfn.XLOOKUP(frasest[[#This Row],[autor_es]],autorest[autor_es],autorest[nacion_es])</f>
        <v>Roma</v>
      </c>
      <c r="M24" t="str">
        <f>_xlfn.XLOOKUP(frasest[[#This Row],[autor_es]],autorest[autor_es],autorest[nacion_la])</f>
        <v>Roma</v>
      </c>
      <c r="N24" t="str">
        <f>_xlfn.XLOOKUP(frasest[[#This Row],[autor_es]],autorest[autor_es],autorest[epoca_es])</f>
        <v>Edad Antigua</v>
      </c>
      <c r="O24" t="str">
        <f>_xlfn.XLOOKUP(frasest[[#This Row],[autor_es]],autorest[autor_es],autorest[epoca_la])</f>
        <v>Antiquitas</v>
      </c>
    </row>
    <row r="25" spans="1:15">
      <c r="A25">
        <v>24</v>
      </c>
      <c r="B25" t="s">
        <v>91</v>
      </c>
      <c r="C25" t="s">
        <v>92</v>
      </c>
      <c r="D25" t="s">
        <v>93</v>
      </c>
      <c r="E25" t="s">
        <v>51</v>
      </c>
      <c r="F25" t="str">
        <f>_xlfn.XLOOKUP(frasest[[#This Row],[autor_es]],autorest[autor_es],autorest[autor_la])</f>
        <v>Aurelius Augustinus</v>
      </c>
      <c r="G25" t="str">
        <f>_xlfn.XLOOKUP(frasest[[#This Row],[autor_es]],autorest[autor_es],autorest[bio_es])</f>
        <v>Filósofo y teólogo cristiano.</v>
      </c>
      <c r="H25" t="str">
        <f>_xlfn.XLOOKUP(frasest[[#This Row],[autor_es]],autorest[autor_es],autorest[bio_la])</f>
        <v>Philosophus et theologus Christianus.</v>
      </c>
      <c r="I25" t="str">
        <f>_xlfn.XLOOKUP(frasest[[#This Row],[autor_es]],autorest[autor_es],autorest[codigo])</f>
        <v>la</v>
      </c>
      <c r="J25" t="str">
        <f>_xlfn.XLOOKUP(frasest[[#This Row],[autor_es]],autorest[autor_es],autorest[idioma_es])</f>
        <v>Latín</v>
      </c>
      <c r="K25" t="str">
        <f>_xlfn.XLOOKUP(frasest[[#This Row],[autor_es]],autorest[autor_es],autorest[idioma_la])</f>
        <v>Lingua Latina</v>
      </c>
      <c r="L25" t="str">
        <f>_xlfn.XLOOKUP(frasest[[#This Row],[autor_es]],autorest[autor_es],autorest[nacion_es])</f>
        <v>Roma</v>
      </c>
      <c r="M25" t="str">
        <f>_xlfn.XLOOKUP(frasest[[#This Row],[autor_es]],autorest[autor_es],autorest[nacion_la])</f>
        <v>Roma</v>
      </c>
      <c r="N25" t="str">
        <f>_xlfn.XLOOKUP(frasest[[#This Row],[autor_es]],autorest[autor_es],autorest[epoca_es])</f>
        <v>Edad Antigua</v>
      </c>
      <c r="O25" t="str">
        <f>_xlfn.XLOOKUP(frasest[[#This Row],[autor_es]],autorest[autor_es],autorest[epoca_la])</f>
        <v>Antiquitas</v>
      </c>
    </row>
    <row r="26" spans="1:15">
      <c r="A26">
        <v>25</v>
      </c>
      <c r="B26" t="s">
        <v>94</v>
      </c>
      <c r="C26" t="s">
        <v>95</v>
      </c>
      <c r="D26" t="s">
        <v>95</v>
      </c>
      <c r="E26" t="s">
        <v>96</v>
      </c>
      <c r="F26" t="str">
        <f>_xlfn.XLOOKUP(frasest[[#This Row],[autor_es]],autorest[autor_es],autorest[autor_la])</f>
        <v>Isidorus Hispalensis</v>
      </c>
      <c r="G26" t="str">
        <f>_xlfn.XLOOKUP(frasest[[#This Row],[autor_es]],autorest[autor_es],autorest[bio_es])</f>
        <v>Arzobispo de Sevilla, erudito y escritor español. Autor de "Etimologías", obra enciclopédica que recoge gran parte del saber de su época.</v>
      </c>
      <c r="H26" t="str">
        <f>_xlfn.XLOOKUP(frasest[[#This Row],[autor_es]],autorest[autor_es],autorest[bio_la])</f>
        <v>Archiepiscopus Hispaliensis, eruditus et scriptor Hispanicus, auctor "Etymologiae".</v>
      </c>
      <c r="I26" t="str">
        <f>_xlfn.XLOOKUP(frasest[[#This Row],[autor_es]],autorest[autor_es],autorest[codigo])</f>
        <v>la</v>
      </c>
      <c r="J26" t="str">
        <f>_xlfn.XLOOKUP(frasest[[#This Row],[autor_es]],autorest[autor_es],autorest[idioma_es])</f>
        <v>Latín</v>
      </c>
      <c r="K26" t="str">
        <f>_xlfn.XLOOKUP(frasest[[#This Row],[autor_es]],autorest[autor_es],autorest[idioma_la])</f>
        <v>Lingua Latina</v>
      </c>
      <c r="L26" t="str">
        <f>_xlfn.XLOOKUP(frasest[[#This Row],[autor_es]],autorest[autor_es],autorest[nacion_es])</f>
        <v>España</v>
      </c>
      <c r="M26" t="str">
        <f>_xlfn.XLOOKUP(frasest[[#This Row],[autor_es]],autorest[autor_es],autorest[nacion_la])</f>
        <v>Hispania</v>
      </c>
      <c r="N26" t="str">
        <f>_xlfn.XLOOKUP(frasest[[#This Row],[autor_es]],autorest[autor_es],autorest[epoca_es])</f>
        <v>Edad Media</v>
      </c>
      <c r="O26" t="str">
        <f>_xlfn.XLOOKUP(frasest[[#This Row],[autor_es]],autorest[autor_es],autorest[epoca_la])</f>
        <v>Medium Aevum</v>
      </c>
    </row>
    <row r="27" spans="1:15">
      <c r="A27">
        <v>26</v>
      </c>
      <c r="B27" t="s">
        <v>97</v>
      </c>
      <c r="C27" t="s">
        <v>98</v>
      </c>
      <c r="D27" t="s">
        <v>98</v>
      </c>
      <c r="E27" t="s">
        <v>96</v>
      </c>
      <c r="F27" t="str">
        <f>_xlfn.XLOOKUP(frasest[[#This Row],[autor_es]],autorest[autor_es],autorest[autor_la])</f>
        <v>Isidorus Hispalensis</v>
      </c>
      <c r="G27" t="str">
        <f>_xlfn.XLOOKUP(frasest[[#This Row],[autor_es]],autorest[autor_es],autorest[bio_es])</f>
        <v>Arzobispo de Sevilla, erudito y escritor español. Autor de "Etimologías", obra enciclopédica que recoge gran parte del saber de su época.</v>
      </c>
      <c r="H27" t="str">
        <f>_xlfn.XLOOKUP(frasest[[#This Row],[autor_es]],autorest[autor_es],autorest[bio_la])</f>
        <v>Archiepiscopus Hispaliensis, eruditus et scriptor Hispanicus, auctor "Etymologiae".</v>
      </c>
      <c r="I27" t="str">
        <f>_xlfn.XLOOKUP(frasest[[#This Row],[autor_es]],autorest[autor_es],autorest[codigo])</f>
        <v>la</v>
      </c>
      <c r="J27" t="str">
        <f>_xlfn.XLOOKUP(frasest[[#This Row],[autor_es]],autorest[autor_es],autorest[idioma_es])</f>
        <v>Latín</v>
      </c>
      <c r="K27" t="str">
        <f>_xlfn.XLOOKUP(frasest[[#This Row],[autor_es]],autorest[autor_es],autorest[idioma_la])</f>
        <v>Lingua Latina</v>
      </c>
      <c r="L27" t="str">
        <f>_xlfn.XLOOKUP(frasest[[#This Row],[autor_es]],autorest[autor_es],autorest[nacion_es])</f>
        <v>España</v>
      </c>
      <c r="M27" t="str">
        <f>_xlfn.XLOOKUP(frasest[[#This Row],[autor_es]],autorest[autor_es],autorest[nacion_la])</f>
        <v>Hispania</v>
      </c>
      <c r="N27" t="str">
        <f>_xlfn.XLOOKUP(frasest[[#This Row],[autor_es]],autorest[autor_es],autorest[epoca_es])</f>
        <v>Edad Media</v>
      </c>
      <c r="O27" t="str">
        <f>_xlfn.XLOOKUP(frasest[[#This Row],[autor_es]],autorest[autor_es],autorest[epoca_la])</f>
        <v>Medium Aevum</v>
      </c>
    </row>
    <row r="28" spans="1:15">
      <c r="A28">
        <v>27</v>
      </c>
      <c r="B28" t="s">
        <v>99</v>
      </c>
      <c r="C28" t="s">
        <v>100</v>
      </c>
      <c r="D28" t="s">
        <v>100</v>
      </c>
      <c r="E28" t="s">
        <v>96</v>
      </c>
      <c r="F28" t="str">
        <f>_xlfn.XLOOKUP(frasest[[#This Row],[autor_es]],autorest[autor_es],autorest[autor_la])</f>
        <v>Isidorus Hispalensis</v>
      </c>
      <c r="G28" t="str">
        <f>_xlfn.XLOOKUP(frasest[[#This Row],[autor_es]],autorest[autor_es],autorest[bio_es])</f>
        <v>Arzobispo de Sevilla, erudito y escritor español. Autor de "Etimologías", obra enciclopédica que recoge gran parte del saber de su época.</v>
      </c>
      <c r="H28" t="str">
        <f>_xlfn.XLOOKUP(frasest[[#This Row],[autor_es]],autorest[autor_es],autorest[bio_la])</f>
        <v>Archiepiscopus Hispaliensis, eruditus et scriptor Hispanicus, auctor "Etymologiae".</v>
      </c>
      <c r="I28" t="str">
        <f>_xlfn.XLOOKUP(frasest[[#This Row],[autor_es]],autorest[autor_es],autorest[codigo])</f>
        <v>la</v>
      </c>
      <c r="J28" t="str">
        <f>_xlfn.XLOOKUP(frasest[[#This Row],[autor_es]],autorest[autor_es],autorest[idioma_es])</f>
        <v>Latín</v>
      </c>
      <c r="K28" t="str">
        <f>_xlfn.XLOOKUP(frasest[[#This Row],[autor_es]],autorest[autor_es],autorest[idioma_la])</f>
        <v>Lingua Latina</v>
      </c>
      <c r="L28" t="str">
        <f>_xlfn.XLOOKUP(frasest[[#This Row],[autor_es]],autorest[autor_es],autorest[nacion_es])</f>
        <v>España</v>
      </c>
      <c r="M28" t="str">
        <f>_xlfn.XLOOKUP(frasest[[#This Row],[autor_es]],autorest[autor_es],autorest[nacion_la])</f>
        <v>Hispania</v>
      </c>
      <c r="N28" t="str">
        <f>_xlfn.XLOOKUP(frasest[[#This Row],[autor_es]],autorest[autor_es],autorest[epoca_es])</f>
        <v>Edad Media</v>
      </c>
      <c r="O28" t="str">
        <f>_xlfn.XLOOKUP(frasest[[#This Row],[autor_es]],autorest[autor_es],autorest[epoca_la])</f>
        <v>Medium Aevum</v>
      </c>
    </row>
    <row r="29" spans="1:15">
      <c r="A29">
        <v>28</v>
      </c>
      <c r="B29" t="s">
        <v>44</v>
      </c>
      <c r="C29" t="s">
        <v>101</v>
      </c>
      <c r="D29" t="s">
        <v>45</v>
      </c>
      <c r="E29" t="s">
        <v>96</v>
      </c>
      <c r="F29" t="str">
        <f>_xlfn.XLOOKUP(frasest[[#This Row],[autor_es]],autorest[autor_es],autorest[autor_la])</f>
        <v>Isidorus Hispalensis</v>
      </c>
      <c r="G29" t="str">
        <f>_xlfn.XLOOKUP(frasest[[#This Row],[autor_es]],autorest[autor_es],autorest[bio_es])</f>
        <v>Arzobispo de Sevilla, erudito y escritor español. Autor de "Etimologías", obra enciclopédica que recoge gran parte del saber de su época.</v>
      </c>
      <c r="H29" t="str">
        <f>_xlfn.XLOOKUP(frasest[[#This Row],[autor_es]],autorest[autor_es],autorest[bio_la])</f>
        <v>Archiepiscopus Hispaliensis, eruditus et scriptor Hispanicus, auctor "Etymologiae".</v>
      </c>
      <c r="I29" t="str">
        <f>_xlfn.XLOOKUP(frasest[[#This Row],[autor_es]],autorest[autor_es],autorest[codigo])</f>
        <v>la</v>
      </c>
      <c r="J29" t="str">
        <f>_xlfn.XLOOKUP(frasest[[#This Row],[autor_es]],autorest[autor_es],autorest[idioma_es])</f>
        <v>Latín</v>
      </c>
      <c r="K29" t="str">
        <f>_xlfn.XLOOKUP(frasest[[#This Row],[autor_es]],autorest[autor_es],autorest[idioma_la])</f>
        <v>Lingua Latina</v>
      </c>
      <c r="L29" t="str">
        <f>_xlfn.XLOOKUP(frasest[[#This Row],[autor_es]],autorest[autor_es],autorest[nacion_es])</f>
        <v>España</v>
      </c>
      <c r="M29" t="str">
        <f>_xlfn.XLOOKUP(frasest[[#This Row],[autor_es]],autorest[autor_es],autorest[nacion_la])</f>
        <v>Hispania</v>
      </c>
      <c r="N29" t="str">
        <f>_xlfn.XLOOKUP(frasest[[#This Row],[autor_es]],autorest[autor_es],autorest[epoca_es])</f>
        <v>Edad Media</v>
      </c>
      <c r="O29" t="str">
        <f>_xlfn.XLOOKUP(frasest[[#This Row],[autor_es]],autorest[autor_es],autorest[epoca_la])</f>
        <v>Medium Aevum</v>
      </c>
    </row>
    <row r="30" spans="1:15">
      <c r="A30">
        <v>29</v>
      </c>
      <c r="B30" t="s">
        <v>102</v>
      </c>
      <c r="C30" t="s">
        <v>103</v>
      </c>
      <c r="D30" s="1" t="s">
        <v>104</v>
      </c>
      <c r="E30" t="s">
        <v>33</v>
      </c>
      <c r="F30" t="str">
        <f>_xlfn.XLOOKUP(frasest[[#This Row],[autor_es]],autorest[autor_es],autorest[autor_la])</f>
        <v>Proverbium Sinense</v>
      </c>
      <c r="G30" t="str">
        <f>_xlfn.XLOOKUP(frasest[[#This Row],[autor_es]],autorest[autor_es],autorest[bio_es])</f>
        <v>Conjunto de proverbios tradicionales de la cultura china que transmiten sabiduría popular, valores morales y enseñanzas prácticas transmitidas oralmente durante siglos.</v>
      </c>
      <c r="H30" t="str">
        <f>_xlfn.XLOOKUP(frasest[[#This Row],[autor_es]],autorest[autor_es],autorest[bio_la])</f>
        <v>Collectio sententiarum Sinensium, magnopere in cultura tradita.</v>
      </c>
      <c r="I30" t="str">
        <f>_xlfn.XLOOKUP(frasest[[#This Row],[autor_es]],autorest[autor_es],autorest[codigo])</f>
        <v>zh</v>
      </c>
      <c r="J30" t="str">
        <f>_xlfn.XLOOKUP(frasest[[#This Row],[autor_es]],autorest[autor_es],autorest[idioma_es])</f>
        <v>Chino</v>
      </c>
      <c r="K30" t="str">
        <f>_xlfn.XLOOKUP(frasest[[#This Row],[autor_es]],autorest[autor_es],autorest[idioma_la])</f>
        <v>Lingua Sinica</v>
      </c>
      <c r="L30" t="str">
        <f>_xlfn.XLOOKUP(frasest[[#This Row],[autor_es]],autorest[autor_es],autorest[nacion_es])</f>
        <v>China</v>
      </c>
      <c r="M30" t="str">
        <f>_xlfn.XLOOKUP(frasest[[#This Row],[autor_es]],autorest[autor_es],autorest[nacion_la])</f>
        <v>Sinae</v>
      </c>
      <c r="N30" t="str">
        <f>_xlfn.XLOOKUP(frasest[[#This Row],[autor_es]],autorest[autor_es],autorest[epoca_es])</f>
        <v>Epoca Desconocida</v>
      </c>
      <c r="O30" t="str">
        <f>_xlfn.XLOOKUP(frasest[[#This Row],[autor_es]],autorest[autor_es],autorest[epoca_la])</f>
        <v>Epocha Ignota</v>
      </c>
    </row>
    <row r="31" spans="1:15">
      <c r="A31">
        <v>30</v>
      </c>
      <c r="B31" t="s">
        <v>105</v>
      </c>
      <c r="C31" t="s">
        <v>106</v>
      </c>
      <c r="D31" s="1" t="s">
        <v>107</v>
      </c>
      <c r="E31" t="s">
        <v>33</v>
      </c>
      <c r="F31" t="str">
        <f>_xlfn.XLOOKUP(frasest[[#This Row],[autor_es]],autorest[autor_es],autorest[autor_la])</f>
        <v>Proverbium Sinense</v>
      </c>
      <c r="G31" t="str">
        <f>_xlfn.XLOOKUP(frasest[[#This Row],[autor_es]],autorest[autor_es],autorest[bio_es])</f>
        <v>Conjunto de proverbios tradicionales de la cultura china que transmiten sabiduría popular, valores morales y enseñanzas prácticas transmitidas oralmente durante siglos.</v>
      </c>
      <c r="H31" t="str">
        <f>_xlfn.XLOOKUP(frasest[[#This Row],[autor_es]],autorest[autor_es],autorest[bio_la])</f>
        <v>Collectio sententiarum Sinensium, magnopere in cultura tradita.</v>
      </c>
      <c r="I31" t="str">
        <f>_xlfn.XLOOKUP(frasest[[#This Row],[autor_es]],autorest[autor_es],autorest[codigo])</f>
        <v>zh</v>
      </c>
      <c r="J31" t="str">
        <f>_xlfn.XLOOKUP(frasest[[#This Row],[autor_es]],autorest[autor_es],autorest[idioma_es])</f>
        <v>Chino</v>
      </c>
      <c r="K31" t="str">
        <f>_xlfn.XLOOKUP(frasest[[#This Row],[autor_es]],autorest[autor_es],autorest[idioma_la])</f>
        <v>Lingua Sinica</v>
      </c>
      <c r="L31" t="str">
        <f>_xlfn.XLOOKUP(frasest[[#This Row],[autor_es]],autorest[autor_es],autorest[nacion_es])</f>
        <v>China</v>
      </c>
      <c r="M31" t="str">
        <f>_xlfn.XLOOKUP(frasest[[#This Row],[autor_es]],autorest[autor_es],autorest[nacion_la])</f>
        <v>Sinae</v>
      </c>
      <c r="N31" t="str">
        <f>_xlfn.XLOOKUP(frasest[[#This Row],[autor_es]],autorest[autor_es],autorest[epoca_es])</f>
        <v>Epoca Desconocida</v>
      </c>
      <c r="O31" t="str">
        <f>_xlfn.XLOOKUP(frasest[[#This Row],[autor_es]],autorest[autor_es],autorest[epoca_la])</f>
        <v>Epocha Ignota</v>
      </c>
    </row>
    <row r="32" spans="1:15">
      <c r="A32">
        <v>31</v>
      </c>
      <c r="B32" t="s">
        <v>108</v>
      </c>
      <c r="C32" t="s">
        <v>109</v>
      </c>
      <c r="D32" s="1" t="s">
        <v>110</v>
      </c>
      <c r="E32" t="s">
        <v>33</v>
      </c>
      <c r="F32" t="str">
        <f>_xlfn.XLOOKUP(frasest[[#This Row],[autor_es]],autorest[autor_es],autorest[autor_la])</f>
        <v>Proverbium Sinense</v>
      </c>
      <c r="G32" t="str">
        <f>_xlfn.XLOOKUP(frasest[[#This Row],[autor_es]],autorest[autor_es],autorest[bio_es])</f>
        <v>Conjunto de proverbios tradicionales de la cultura china que transmiten sabiduría popular, valores morales y enseñanzas prácticas transmitidas oralmente durante siglos.</v>
      </c>
      <c r="H32" t="str">
        <f>_xlfn.XLOOKUP(frasest[[#This Row],[autor_es]],autorest[autor_es],autorest[bio_la])</f>
        <v>Collectio sententiarum Sinensium, magnopere in cultura tradita.</v>
      </c>
      <c r="I32" t="str">
        <f>_xlfn.XLOOKUP(frasest[[#This Row],[autor_es]],autorest[autor_es],autorest[codigo])</f>
        <v>zh</v>
      </c>
      <c r="J32" t="str">
        <f>_xlfn.XLOOKUP(frasest[[#This Row],[autor_es]],autorest[autor_es],autorest[idioma_es])</f>
        <v>Chino</v>
      </c>
      <c r="K32" t="str">
        <f>_xlfn.XLOOKUP(frasest[[#This Row],[autor_es]],autorest[autor_es],autorest[idioma_la])</f>
        <v>Lingua Sinica</v>
      </c>
      <c r="L32" t="str">
        <f>_xlfn.XLOOKUP(frasest[[#This Row],[autor_es]],autorest[autor_es],autorest[nacion_es])</f>
        <v>China</v>
      </c>
      <c r="M32" t="str">
        <f>_xlfn.XLOOKUP(frasest[[#This Row],[autor_es]],autorest[autor_es],autorest[nacion_la])</f>
        <v>Sinae</v>
      </c>
      <c r="N32" t="str">
        <f>_xlfn.XLOOKUP(frasest[[#This Row],[autor_es]],autorest[autor_es],autorest[epoca_es])</f>
        <v>Epoca Desconocida</v>
      </c>
      <c r="O32" t="str">
        <f>_xlfn.XLOOKUP(frasest[[#This Row],[autor_es]],autorest[autor_es],autorest[epoca_la])</f>
        <v>Epocha Ignota</v>
      </c>
    </row>
    <row r="33" spans="1:15">
      <c r="A33">
        <v>32</v>
      </c>
      <c r="B33" t="s">
        <v>111</v>
      </c>
      <c r="C33" t="s">
        <v>112</v>
      </c>
      <c r="D33" s="1" t="s">
        <v>113</v>
      </c>
      <c r="E33" t="s">
        <v>33</v>
      </c>
      <c r="F33" t="str">
        <f>_xlfn.XLOOKUP(frasest[[#This Row],[autor_es]],autorest[autor_es],autorest[autor_la])</f>
        <v>Proverbium Sinense</v>
      </c>
      <c r="G33" t="str">
        <f>_xlfn.XLOOKUP(frasest[[#This Row],[autor_es]],autorest[autor_es],autorest[bio_es])</f>
        <v>Conjunto de proverbios tradicionales de la cultura china que transmiten sabiduría popular, valores morales y enseñanzas prácticas transmitidas oralmente durante siglos.</v>
      </c>
      <c r="H33" t="str">
        <f>_xlfn.XLOOKUP(frasest[[#This Row],[autor_es]],autorest[autor_es],autorest[bio_la])</f>
        <v>Collectio sententiarum Sinensium, magnopere in cultura tradita.</v>
      </c>
      <c r="I33" t="str">
        <f>_xlfn.XLOOKUP(frasest[[#This Row],[autor_es]],autorest[autor_es],autorest[codigo])</f>
        <v>zh</v>
      </c>
      <c r="J33" t="str">
        <f>_xlfn.XLOOKUP(frasest[[#This Row],[autor_es]],autorest[autor_es],autorest[idioma_es])</f>
        <v>Chino</v>
      </c>
      <c r="K33" t="str">
        <f>_xlfn.XLOOKUP(frasest[[#This Row],[autor_es]],autorest[autor_es],autorest[idioma_la])</f>
        <v>Lingua Sinica</v>
      </c>
      <c r="L33" t="str">
        <f>_xlfn.XLOOKUP(frasest[[#This Row],[autor_es]],autorest[autor_es],autorest[nacion_es])</f>
        <v>China</v>
      </c>
      <c r="M33" t="str">
        <f>_xlfn.XLOOKUP(frasest[[#This Row],[autor_es]],autorest[autor_es],autorest[nacion_la])</f>
        <v>Sinae</v>
      </c>
      <c r="N33" t="str">
        <f>_xlfn.XLOOKUP(frasest[[#This Row],[autor_es]],autorest[autor_es],autorest[epoca_es])</f>
        <v>Epoca Desconocida</v>
      </c>
      <c r="O33" t="str">
        <f>_xlfn.XLOOKUP(frasest[[#This Row],[autor_es]],autorest[autor_es],autorest[epoca_la])</f>
        <v>Epocha Ignota</v>
      </c>
    </row>
    <row r="34" spans="1:15">
      <c r="A34">
        <v>33</v>
      </c>
      <c r="B34" t="s">
        <v>114</v>
      </c>
      <c r="C34" t="s">
        <v>115</v>
      </c>
      <c r="D34" s="1" t="s">
        <v>116</v>
      </c>
      <c r="E34" t="s">
        <v>33</v>
      </c>
      <c r="F34" t="str">
        <f>_xlfn.XLOOKUP(frasest[[#This Row],[autor_es]],autorest[autor_es],autorest[autor_la])</f>
        <v>Proverbium Sinense</v>
      </c>
      <c r="G34" t="str">
        <f>_xlfn.XLOOKUP(frasest[[#This Row],[autor_es]],autorest[autor_es],autorest[bio_es])</f>
        <v>Conjunto de proverbios tradicionales de la cultura china que transmiten sabiduría popular, valores morales y enseñanzas prácticas transmitidas oralmente durante siglos.</v>
      </c>
      <c r="H34" t="str">
        <f>_xlfn.XLOOKUP(frasest[[#This Row],[autor_es]],autorest[autor_es],autorest[bio_la])</f>
        <v>Collectio sententiarum Sinensium, magnopere in cultura tradita.</v>
      </c>
      <c r="I34" t="str">
        <f>_xlfn.XLOOKUP(frasest[[#This Row],[autor_es]],autorest[autor_es],autorest[codigo])</f>
        <v>zh</v>
      </c>
      <c r="J34" t="str">
        <f>_xlfn.XLOOKUP(frasest[[#This Row],[autor_es]],autorest[autor_es],autorest[idioma_es])</f>
        <v>Chino</v>
      </c>
      <c r="K34" t="str">
        <f>_xlfn.XLOOKUP(frasest[[#This Row],[autor_es]],autorest[autor_es],autorest[idioma_la])</f>
        <v>Lingua Sinica</v>
      </c>
      <c r="L34" t="str">
        <f>_xlfn.XLOOKUP(frasest[[#This Row],[autor_es]],autorest[autor_es],autorest[nacion_es])</f>
        <v>China</v>
      </c>
      <c r="M34" t="str">
        <f>_xlfn.XLOOKUP(frasest[[#This Row],[autor_es]],autorest[autor_es],autorest[nacion_la])</f>
        <v>Sinae</v>
      </c>
      <c r="N34" t="str">
        <f>_xlfn.XLOOKUP(frasest[[#This Row],[autor_es]],autorest[autor_es],autorest[epoca_es])</f>
        <v>Epoca Desconocida</v>
      </c>
      <c r="O34" t="str">
        <f>_xlfn.XLOOKUP(frasest[[#This Row],[autor_es]],autorest[autor_es],autorest[epoca_la])</f>
        <v>Epocha Ignota</v>
      </c>
    </row>
    <row r="35" spans="1:15">
      <c r="A35">
        <v>34</v>
      </c>
      <c r="B35" t="s">
        <v>82</v>
      </c>
      <c r="C35" t="s">
        <v>83</v>
      </c>
      <c r="D35" s="1" t="s">
        <v>117</v>
      </c>
      <c r="E35" t="s">
        <v>33</v>
      </c>
      <c r="F35" t="str">
        <f>_xlfn.XLOOKUP(frasest[[#This Row],[autor_es]],autorest[autor_es],autorest[autor_la])</f>
        <v>Proverbium Sinense</v>
      </c>
      <c r="G35" t="str">
        <f>_xlfn.XLOOKUP(frasest[[#This Row],[autor_es]],autorest[autor_es],autorest[bio_es])</f>
        <v>Conjunto de proverbios tradicionales de la cultura china que transmiten sabiduría popular, valores morales y enseñanzas prácticas transmitidas oralmente durante siglos.</v>
      </c>
      <c r="H35" t="str">
        <f>_xlfn.XLOOKUP(frasest[[#This Row],[autor_es]],autorest[autor_es],autorest[bio_la])</f>
        <v>Collectio sententiarum Sinensium, magnopere in cultura tradita.</v>
      </c>
      <c r="I35" t="str">
        <f>_xlfn.XLOOKUP(frasest[[#This Row],[autor_es]],autorest[autor_es],autorest[codigo])</f>
        <v>zh</v>
      </c>
      <c r="J35" t="str">
        <f>_xlfn.XLOOKUP(frasest[[#This Row],[autor_es]],autorest[autor_es],autorest[idioma_es])</f>
        <v>Chino</v>
      </c>
      <c r="K35" t="str">
        <f>_xlfn.XLOOKUP(frasest[[#This Row],[autor_es]],autorest[autor_es],autorest[idioma_la])</f>
        <v>Lingua Sinica</v>
      </c>
      <c r="L35" t="str">
        <f>_xlfn.XLOOKUP(frasest[[#This Row],[autor_es]],autorest[autor_es],autorest[nacion_es])</f>
        <v>China</v>
      </c>
      <c r="M35" t="str">
        <f>_xlfn.XLOOKUP(frasest[[#This Row],[autor_es]],autorest[autor_es],autorest[nacion_la])</f>
        <v>Sinae</v>
      </c>
      <c r="N35" t="str">
        <f>_xlfn.XLOOKUP(frasest[[#This Row],[autor_es]],autorest[autor_es],autorest[epoca_es])</f>
        <v>Epoca Desconocida</v>
      </c>
      <c r="O35" t="str">
        <f>_xlfn.XLOOKUP(frasest[[#This Row],[autor_es]],autorest[autor_es],autorest[epoca_la])</f>
        <v>Epocha Ignota</v>
      </c>
    </row>
    <row r="36" spans="1:15">
      <c r="A36">
        <v>35</v>
      </c>
      <c r="B36" t="s">
        <v>118</v>
      </c>
      <c r="C36" t="s">
        <v>119</v>
      </c>
      <c r="D36" s="1" t="s">
        <v>120</v>
      </c>
      <c r="E36" t="s">
        <v>33</v>
      </c>
      <c r="F36" t="str">
        <f>_xlfn.XLOOKUP(frasest[[#This Row],[autor_es]],autorest[autor_es],autorest[autor_la])</f>
        <v>Proverbium Sinense</v>
      </c>
      <c r="G36" t="str">
        <f>_xlfn.XLOOKUP(frasest[[#This Row],[autor_es]],autorest[autor_es],autorest[bio_es])</f>
        <v>Conjunto de proverbios tradicionales de la cultura china que transmiten sabiduría popular, valores morales y enseñanzas prácticas transmitidas oralmente durante siglos.</v>
      </c>
      <c r="H36" t="str">
        <f>_xlfn.XLOOKUP(frasest[[#This Row],[autor_es]],autorest[autor_es],autorest[bio_la])</f>
        <v>Collectio sententiarum Sinensium, magnopere in cultura tradita.</v>
      </c>
      <c r="I36" t="str">
        <f>_xlfn.XLOOKUP(frasest[[#This Row],[autor_es]],autorest[autor_es],autorest[codigo])</f>
        <v>zh</v>
      </c>
      <c r="J36" t="str">
        <f>_xlfn.XLOOKUP(frasest[[#This Row],[autor_es]],autorest[autor_es],autorest[idioma_es])</f>
        <v>Chino</v>
      </c>
      <c r="K36" t="str">
        <f>_xlfn.XLOOKUP(frasest[[#This Row],[autor_es]],autorest[autor_es],autorest[idioma_la])</f>
        <v>Lingua Sinica</v>
      </c>
      <c r="L36" t="str">
        <f>_xlfn.XLOOKUP(frasest[[#This Row],[autor_es]],autorest[autor_es],autorest[nacion_es])</f>
        <v>China</v>
      </c>
      <c r="M36" t="str">
        <f>_xlfn.XLOOKUP(frasest[[#This Row],[autor_es]],autorest[autor_es],autorest[nacion_la])</f>
        <v>Sinae</v>
      </c>
      <c r="N36" t="str">
        <f>_xlfn.XLOOKUP(frasest[[#This Row],[autor_es]],autorest[autor_es],autorest[epoca_es])</f>
        <v>Epoca Desconocida</v>
      </c>
      <c r="O36" t="str">
        <f>_xlfn.XLOOKUP(frasest[[#This Row],[autor_es]],autorest[autor_es],autorest[epoca_la])</f>
        <v>Epocha Ignota</v>
      </c>
    </row>
    <row r="37" spans="1:15">
      <c r="A37">
        <v>36</v>
      </c>
      <c r="B37" t="s">
        <v>121</v>
      </c>
      <c r="C37" t="s">
        <v>122</v>
      </c>
      <c r="D37" s="1" t="s">
        <v>123</v>
      </c>
      <c r="E37" t="s">
        <v>25</v>
      </c>
      <c r="F37" t="str">
        <f>_xlfn.XLOOKUP(frasest[[#This Row],[autor_es]],autorest[autor_es],autorest[autor_la])</f>
        <v>Proverbium Iaponicum</v>
      </c>
      <c r="G37" t="str">
        <f>_xlfn.XLOOKUP(frasest[[#This Row],[autor_es]],autorest[autor_es],autorest[bio_es])</f>
        <v>Expresiones tradicionales de la cultura japonesa que resumen enseñanzas morales, filosóficas y prácticas derivadas del budismo, el sintoísmo y la experiencia popular.</v>
      </c>
      <c r="H37" t="str">
        <f>_xlfn.XLOOKUP(frasest[[#This Row],[autor_es]],autorest[autor_es],autorest[bio_la])</f>
        <v>Collectio sententiarum Iaponicarum.</v>
      </c>
      <c r="I37" t="str">
        <f>_xlfn.XLOOKUP(frasest[[#This Row],[autor_es]],autorest[autor_es],autorest[codigo])</f>
        <v>ja</v>
      </c>
      <c r="J37" t="str">
        <f>_xlfn.XLOOKUP(frasest[[#This Row],[autor_es]],autorest[autor_es],autorest[idioma_es])</f>
        <v>Japonés</v>
      </c>
      <c r="K37" t="str">
        <f>_xlfn.XLOOKUP(frasest[[#This Row],[autor_es]],autorest[autor_es],autorest[idioma_la])</f>
        <v>Lingua Iaponica</v>
      </c>
      <c r="L37" t="str">
        <f>_xlfn.XLOOKUP(frasest[[#This Row],[autor_es]],autorest[autor_es],autorest[nacion_es])</f>
        <v>Japón</v>
      </c>
      <c r="M37" t="str">
        <f>_xlfn.XLOOKUP(frasest[[#This Row],[autor_es]],autorest[autor_es],autorest[nacion_la])</f>
        <v>Iaponia</v>
      </c>
      <c r="N37" t="str">
        <f>_xlfn.XLOOKUP(frasest[[#This Row],[autor_es]],autorest[autor_es],autorest[epoca_es])</f>
        <v>Epoca Desconocida</v>
      </c>
      <c r="O37" t="str">
        <f>_xlfn.XLOOKUP(frasest[[#This Row],[autor_es]],autorest[autor_es],autorest[epoca_la])</f>
        <v>Epocha Ignota</v>
      </c>
    </row>
    <row r="38" spans="1:15">
      <c r="A38">
        <v>37</v>
      </c>
      <c r="B38" t="s">
        <v>124</v>
      </c>
      <c r="C38" t="s">
        <v>125</v>
      </c>
      <c r="D38" s="1" t="s">
        <v>126</v>
      </c>
      <c r="E38" t="s">
        <v>25</v>
      </c>
      <c r="F38" t="str">
        <f>_xlfn.XLOOKUP(frasest[[#This Row],[autor_es]],autorest[autor_es],autorest[autor_la])</f>
        <v>Proverbium Iaponicum</v>
      </c>
      <c r="G38" t="str">
        <f>_xlfn.XLOOKUP(frasest[[#This Row],[autor_es]],autorest[autor_es],autorest[bio_es])</f>
        <v>Expresiones tradicionales de la cultura japonesa que resumen enseñanzas morales, filosóficas y prácticas derivadas del budismo, el sintoísmo y la experiencia popular.</v>
      </c>
      <c r="H38" t="str">
        <f>_xlfn.XLOOKUP(frasest[[#This Row],[autor_es]],autorest[autor_es],autorest[bio_la])</f>
        <v>Collectio sententiarum Iaponicarum.</v>
      </c>
      <c r="I38" t="str">
        <f>_xlfn.XLOOKUP(frasest[[#This Row],[autor_es]],autorest[autor_es],autorest[codigo])</f>
        <v>ja</v>
      </c>
      <c r="J38" t="str">
        <f>_xlfn.XLOOKUP(frasest[[#This Row],[autor_es]],autorest[autor_es],autorest[idioma_es])</f>
        <v>Japonés</v>
      </c>
      <c r="K38" t="str">
        <f>_xlfn.XLOOKUP(frasest[[#This Row],[autor_es]],autorest[autor_es],autorest[idioma_la])</f>
        <v>Lingua Iaponica</v>
      </c>
      <c r="L38" t="str">
        <f>_xlfn.XLOOKUP(frasest[[#This Row],[autor_es]],autorest[autor_es],autorest[nacion_es])</f>
        <v>Japón</v>
      </c>
      <c r="M38" t="str">
        <f>_xlfn.XLOOKUP(frasest[[#This Row],[autor_es]],autorest[autor_es],autorest[nacion_la])</f>
        <v>Iaponia</v>
      </c>
      <c r="N38" t="str">
        <f>_xlfn.XLOOKUP(frasest[[#This Row],[autor_es]],autorest[autor_es],autorest[epoca_es])</f>
        <v>Epoca Desconocida</v>
      </c>
      <c r="O38" t="str">
        <f>_xlfn.XLOOKUP(frasest[[#This Row],[autor_es]],autorest[autor_es],autorest[epoca_la])</f>
        <v>Epocha Ignota</v>
      </c>
    </row>
    <row r="39" spans="1:15">
      <c r="A39">
        <v>38</v>
      </c>
      <c r="B39" t="s">
        <v>127</v>
      </c>
      <c r="C39" t="s">
        <v>128</v>
      </c>
      <c r="D39" s="1" t="s">
        <v>129</v>
      </c>
      <c r="E39" t="s">
        <v>25</v>
      </c>
      <c r="F39" t="str">
        <f>_xlfn.XLOOKUP(frasest[[#This Row],[autor_es]],autorest[autor_es],autorest[autor_la])</f>
        <v>Proverbium Iaponicum</v>
      </c>
      <c r="G39" t="str">
        <f>_xlfn.XLOOKUP(frasest[[#This Row],[autor_es]],autorest[autor_es],autorest[bio_es])</f>
        <v>Expresiones tradicionales de la cultura japonesa que resumen enseñanzas morales, filosóficas y prácticas derivadas del budismo, el sintoísmo y la experiencia popular.</v>
      </c>
      <c r="H39" t="str">
        <f>_xlfn.XLOOKUP(frasest[[#This Row],[autor_es]],autorest[autor_es],autorest[bio_la])</f>
        <v>Collectio sententiarum Iaponicarum.</v>
      </c>
      <c r="I39" t="str">
        <f>_xlfn.XLOOKUP(frasest[[#This Row],[autor_es]],autorest[autor_es],autorest[codigo])</f>
        <v>ja</v>
      </c>
      <c r="J39" t="str">
        <f>_xlfn.XLOOKUP(frasest[[#This Row],[autor_es]],autorest[autor_es],autorest[idioma_es])</f>
        <v>Japonés</v>
      </c>
      <c r="K39" t="str">
        <f>_xlfn.XLOOKUP(frasest[[#This Row],[autor_es]],autorest[autor_es],autorest[idioma_la])</f>
        <v>Lingua Iaponica</v>
      </c>
      <c r="L39" t="str">
        <f>_xlfn.XLOOKUP(frasest[[#This Row],[autor_es]],autorest[autor_es],autorest[nacion_es])</f>
        <v>Japón</v>
      </c>
      <c r="M39" t="str">
        <f>_xlfn.XLOOKUP(frasest[[#This Row],[autor_es]],autorest[autor_es],autorest[nacion_la])</f>
        <v>Iaponia</v>
      </c>
      <c r="N39" t="str">
        <f>_xlfn.XLOOKUP(frasest[[#This Row],[autor_es]],autorest[autor_es],autorest[epoca_es])</f>
        <v>Epoca Desconocida</v>
      </c>
      <c r="O39" t="str">
        <f>_xlfn.XLOOKUP(frasest[[#This Row],[autor_es]],autorest[autor_es],autorest[epoca_la])</f>
        <v>Epocha Ignota</v>
      </c>
    </row>
    <row r="40" spans="1:15">
      <c r="A40">
        <v>39</v>
      </c>
      <c r="B40" t="s">
        <v>130</v>
      </c>
      <c r="C40" t="s">
        <v>131</v>
      </c>
      <c r="D40" s="1" t="s">
        <v>132</v>
      </c>
      <c r="E40" t="s">
        <v>25</v>
      </c>
      <c r="F40" t="str">
        <f>_xlfn.XLOOKUP(frasest[[#This Row],[autor_es]],autorest[autor_es],autorest[autor_la])</f>
        <v>Proverbium Iaponicum</v>
      </c>
      <c r="G40" t="str">
        <f>_xlfn.XLOOKUP(frasest[[#This Row],[autor_es]],autorest[autor_es],autorest[bio_es])</f>
        <v>Expresiones tradicionales de la cultura japonesa que resumen enseñanzas morales, filosóficas y prácticas derivadas del budismo, el sintoísmo y la experiencia popular.</v>
      </c>
      <c r="H40" t="str">
        <f>_xlfn.XLOOKUP(frasest[[#This Row],[autor_es]],autorest[autor_es],autorest[bio_la])</f>
        <v>Collectio sententiarum Iaponicarum.</v>
      </c>
      <c r="I40" t="str">
        <f>_xlfn.XLOOKUP(frasest[[#This Row],[autor_es]],autorest[autor_es],autorest[codigo])</f>
        <v>ja</v>
      </c>
      <c r="J40" t="str">
        <f>_xlfn.XLOOKUP(frasest[[#This Row],[autor_es]],autorest[autor_es],autorest[idioma_es])</f>
        <v>Japonés</v>
      </c>
      <c r="K40" t="str">
        <f>_xlfn.XLOOKUP(frasest[[#This Row],[autor_es]],autorest[autor_es],autorest[idioma_la])</f>
        <v>Lingua Iaponica</v>
      </c>
      <c r="L40" t="str">
        <f>_xlfn.XLOOKUP(frasest[[#This Row],[autor_es]],autorest[autor_es],autorest[nacion_es])</f>
        <v>Japón</v>
      </c>
      <c r="M40" t="str">
        <f>_xlfn.XLOOKUP(frasest[[#This Row],[autor_es]],autorest[autor_es],autorest[nacion_la])</f>
        <v>Iaponia</v>
      </c>
      <c r="N40" t="str">
        <f>_xlfn.XLOOKUP(frasest[[#This Row],[autor_es]],autorest[autor_es],autorest[epoca_es])</f>
        <v>Epoca Desconocida</v>
      </c>
      <c r="O40" t="str">
        <f>_xlfn.XLOOKUP(frasest[[#This Row],[autor_es]],autorest[autor_es],autorest[epoca_la])</f>
        <v>Epocha Ignota</v>
      </c>
    </row>
    <row r="41" spans="1:15">
      <c r="A41">
        <v>40</v>
      </c>
      <c r="B41" t="s">
        <v>133</v>
      </c>
      <c r="C41" t="s">
        <v>134</v>
      </c>
      <c r="D41" s="1" t="s">
        <v>135</v>
      </c>
      <c r="E41" t="s">
        <v>25</v>
      </c>
      <c r="F41" t="str">
        <f>_xlfn.XLOOKUP(frasest[[#This Row],[autor_es]],autorest[autor_es],autorest[autor_la])</f>
        <v>Proverbium Iaponicum</v>
      </c>
      <c r="G41" t="str">
        <f>_xlfn.XLOOKUP(frasest[[#This Row],[autor_es]],autorest[autor_es],autorest[bio_es])</f>
        <v>Expresiones tradicionales de la cultura japonesa que resumen enseñanzas morales, filosóficas y prácticas derivadas del budismo, el sintoísmo y la experiencia popular.</v>
      </c>
      <c r="H41" t="str">
        <f>_xlfn.XLOOKUP(frasest[[#This Row],[autor_es]],autorest[autor_es],autorest[bio_la])</f>
        <v>Collectio sententiarum Iaponicarum.</v>
      </c>
      <c r="I41" t="str">
        <f>_xlfn.XLOOKUP(frasest[[#This Row],[autor_es]],autorest[autor_es],autorest[codigo])</f>
        <v>ja</v>
      </c>
      <c r="J41" t="str">
        <f>_xlfn.XLOOKUP(frasest[[#This Row],[autor_es]],autorest[autor_es],autorest[idioma_es])</f>
        <v>Japonés</v>
      </c>
      <c r="K41" t="str">
        <f>_xlfn.XLOOKUP(frasest[[#This Row],[autor_es]],autorest[autor_es],autorest[idioma_la])</f>
        <v>Lingua Iaponica</v>
      </c>
      <c r="L41" t="str">
        <f>_xlfn.XLOOKUP(frasest[[#This Row],[autor_es]],autorest[autor_es],autorest[nacion_es])</f>
        <v>Japón</v>
      </c>
      <c r="M41" t="str">
        <f>_xlfn.XLOOKUP(frasest[[#This Row],[autor_es]],autorest[autor_es],autorest[nacion_la])</f>
        <v>Iaponia</v>
      </c>
      <c r="N41" t="str">
        <f>_xlfn.XLOOKUP(frasest[[#This Row],[autor_es]],autorest[autor_es],autorest[epoca_es])</f>
        <v>Epoca Desconocida</v>
      </c>
      <c r="O41" t="str">
        <f>_xlfn.XLOOKUP(frasest[[#This Row],[autor_es]],autorest[autor_es],autorest[epoca_la])</f>
        <v>Epocha Ignota</v>
      </c>
    </row>
    <row r="42" spans="1:15">
      <c r="A42">
        <v>41</v>
      </c>
      <c r="B42" t="s">
        <v>136</v>
      </c>
      <c r="C42" t="s">
        <v>137</v>
      </c>
      <c r="D42" s="1" t="s">
        <v>138</v>
      </c>
      <c r="E42" t="s">
        <v>25</v>
      </c>
      <c r="F42" t="str">
        <f>_xlfn.XLOOKUP(frasest[[#This Row],[autor_es]],autorest[autor_es],autorest[autor_la])</f>
        <v>Proverbium Iaponicum</v>
      </c>
      <c r="G42" t="str">
        <f>_xlfn.XLOOKUP(frasest[[#This Row],[autor_es]],autorest[autor_es],autorest[bio_es])</f>
        <v>Expresiones tradicionales de la cultura japonesa que resumen enseñanzas morales, filosóficas y prácticas derivadas del budismo, el sintoísmo y la experiencia popular.</v>
      </c>
      <c r="H42" t="str">
        <f>_xlfn.XLOOKUP(frasest[[#This Row],[autor_es]],autorest[autor_es],autorest[bio_la])</f>
        <v>Collectio sententiarum Iaponicarum.</v>
      </c>
      <c r="I42" t="str">
        <f>_xlfn.XLOOKUP(frasest[[#This Row],[autor_es]],autorest[autor_es],autorest[codigo])</f>
        <v>ja</v>
      </c>
      <c r="J42" t="str">
        <f>_xlfn.XLOOKUP(frasest[[#This Row],[autor_es]],autorest[autor_es],autorest[idioma_es])</f>
        <v>Japonés</v>
      </c>
      <c r="K42" t="str">
        <f>_xlfn.XLOOKUP(frasest[[#This Row],[autor_es]],autorest[autor_es],autorest[idioma_la])</f>
        <v>Lingua Iaponica</v>
      </c>
      <c r="L42" t="str">
        <f>_xlfn.XLOOKUP(frasest[[#This Row],[autor_es]],autorest[autor_es],autorest[nacion_es])</f>
        <v>Japón</v>
      </c>
      <c r="M42" t="str">
        <f>_xlfn.XLOOKUP(frasest[[#This Row],[autor_es]],autorest[autor_es],autorest[nacion_la])</f>
        <v>Iaponia</v>
      </c>
      <c r="N42" t="str">
        <f>_xlfn.XLOOKUP(frasest[[#This Row],[autor_es]],autorest[autor_es],autorest[epoca_es])</f>
        <v>Epoca Desconocida</v>
      </c>
      <c r="O42" t="str">
        <f>_xlfn.XLOOKUP(frasest[[#This Row],[autor_es]],autorest[autor_es],autorest[epoca_la])</f>
        <v>Epocha Ignota</v>
      </c>
    </row>
    <row r="43" spans="1:15">
      <c r="A43">
        <v>42</v>
      </c>
      <c r="B43" t="s">
        <v>139</v>
      </c>
      <c r="C43" t="s">
        <v>140</v>
      </c>
      <c r="D43" s="1" t="s">
        <v>141</v>
      </c>
      <c r="E43" t="s">
        <v>25</v>
      </c>
      <c r="F43" t="str">
        <f>_xlfn.XLOOKUP(frasest[[#This Row],[autor_es]],autorest[autor_es],autorest[autor_la])</f>
        <v>Proverbium Iaponicum</v>
      </c>
      <c r="G43" t="str">
        <f>_xlfn.XLOOKUP(frasest[[#This Row],[autor_es]],autorest[autor_es],autorest[bio_es])</f>
        <v>Expresiones tradicionales de la cultura japonesa que resumen enseñanzas morales, filosóficas y prácticas derivadas del budismo, el sintoísmo y la experiencia popular.</v>
      </c>
      <c r="H43" t="str">
        <f>_xlfn.XLOOKUP(frasest[[#This Row],[autor_es]],autorest[autor_es],autorest[bio_la])</f>
        <v>Collectio sententiarum Iaponicarum.</v>
      </c>
      <c r="I43" t="str">
        <f>_xlfn.XLOOKUP(frasest[[#This Row],[autor_es]],autorest[autor_es],autorest[codigo])</f>
        <v>ja</v>
      </c>
      <c r="J43" t="str">
        <f>_xlfn.XLOOKUP(frasest[[#This Row],[autor_es]],autorest[autor_es],autorest[idioma_es])</f>
        <v>Japonés</v>
      </c>
      <c r="K43" t="str">
        <f>_xlfn.XLOOKUP(frasest[[#This Row],[autor_es]],autorest[autor_es],autorest[idioma_la])</f>
        <v>Lingua Iaponica</v>
      </c>
      <c r="L43" t="str">
        <f>_xlfn.XLOOKUP(frasest[[#This Row],[autor_es]],autorest[autor_es],autorest[nacion_es])</f>
        <v>Japón</v>
      </c>
      <c r="M43" t="str">
        <f>_xlfn.XLOOKUP(frasest[[#This Row],[autor_es]],autorest[autor_es],autorest[nacion_la])</f>
        <v>Iaponia</v>
      </c>
      <c r="N43" t="str">
        <f>_xlfn.XLOOKUP(frasest[[#This Row],[autor_es]],autorest[autor_es],autorest[epoca_es])</f>
        <v>Epoca Desconocida</v>
      </c>
      <c r="O43" t="str">
        <f>_xlfn.XLOOKUP(frasest[[#This Row],[autor_es]],autorest[autor_es],autorest[epoca_la])</f>
        <v>Epocha Ignota</v>
      </c>
    </row>
    <row r="44" spans="1:15">
      <c r="A44">
        <v>43</v>
      </c>
      <c r="B44" t="s">
        <v>142</v>
      </c>
      <c r="C44" t="s">
        <v>143</v>
      </c>
      <c r="D44" t="s">
        <v>143</v>
      </c>
      <c r="E44" t="s">
        <v>144</v>
      </c>
      <c r="F44" t="str">
        <f>_xlfn.XLOOKUP(frasest[[#This Row],[autor_es]],autorest[autor_es],autorest[autor_la])</f>
        <v>Lucius Annaeus Seneca</v>
      </c>
      <c r="G44" t="str">
        <f>_xlfn.XLOOKUP(frasest[[#This Row],[autor_es]],autorest[autor_es],autorest[bio_es])</f>
        <v>Filósofo, escritor y político romano, representante del estoicismo. Autor de numerosas cartas y tratados morales.</v>
      </c>
      <c r="H44" t="str">
        <f>_xlfn.XLOOKUP(frasest[[#This Row],[autor_es]],autorest[autor_es],autorest[bio_la])</f>
        <v>Philosophus, scriptor et politicus Romanus, stoicismus repraesentans. Multas epistulas et tractatus morales scripsit.</v>
      </c>
      <c r="I44" t="str">
        <f>_xlfn.XLOOKUP(frasest[[#This Row],[autor_es]],autorest[autor_es],autorest[codigo])</f>
        <v>la</v>
      </c>
      <c r="J44" t="str">
        <f>_xlfn.XLOOKUP(frasest[[#This Row],[autor_es]],autorest[autor_es],autorest[idioma_es])</f>
        <v>Latín</v>
      </c>
      <c r="K44" t="str">
        <f>_xlfn.XLOOKUP(frasest[[#This Row],[autor_es]],autorest[autor_es],autorest[idioma_la])</f>
        <v>Lingua Latina</v>
      </c>
      <c r="L44" t="str">
        <f>_xlfn.XLOOKUP(frasest[[#This Row],[autor_es]],autorest[autor_es],autorest[nacion_es])</f>
        <v>Roma</v>
      </c>
      <c r="M44" t="str">
        <f>_xlfn.XLOOKUP(frasest[[#This Row],[autor_es]],autorest[autor_es],autorest[nacion_la])</f>
        <v>Roma</v>
      </c>
      <c r="N44" t="str">
        <f>_xlfn.XLOOKUP(frasest[[#This Row],[autor_es]],autorest[autor_es],autorest[epoca_es])</f>
        <v>Edad Antigua</v>
      </c>
      <c r="O44" t="str">
        <f>_xlfn.XLOOKUP(frasest[[#This Row],[autor_es]],autorest[autor_es],autorest[epoca_la])</f>
        <v>Antiquitas</v>
      </c>
    </row>
    <row r="45" spans="1:15">
      <c r="A45">
        <v>44</v>
      </c>
      <c r="B45" t="s">
        <v>145</v>
      </c>
      <c r="C45" t="s">
        <v>146</v>
      </c>
      <c r="D45" t="s">
        <v>146</v>
      </c>
      <c r="E45" t="s">
        <v>144</v>
      </c>
      <c r="F45" t="str">
        <f>_xlfn.XLOOKUP(frasest[[#This Row],[autor_es]],autorest[autor_es],autorest[autor_la])</f>
        <v>Lucius Annaeus Seneca</v>
      </c>
      <c r="G45" t="str">
        <f>_xlfn.XLOOKUP(frasest[[#This Row],[autor_es]],autorest[autor_es],autorest[bio_es])</f>
        <v>Filósofo, escritor y político romano, representante del estoicismo. Autor de numerosas cartas y tratados morales.</v>
      </c>
      <c r="H45" t="str">
        <f>_xlfn.XLOOKUP(frasest[[#This Row],[autor_es]],autorest[autor_es],autorest[bio_la])</f>
        <v>Philosophus, scriptor et politicus Romanus, stoicismus repraesentans. Multas epistulas et tractatus morales scripsit.</v>
      </c>
      <c r="I45" t="str">
        <f>_xlfn.XLOOKUP(frasest[[#This Row],[autor_es]],autorest[autor_es],autorest[codigo])</f>
        <v>la</v>
      </c>
      <c r="J45" t="str">
        <f>_xlfn.XLOOKUP(frasest[[#This Row],[autor_es]],autorest[autor_es],autorest[idioma_es])</f>
        <v>Latín</v>
      </c>
      <c r="K45" t="str">
        <f>_xlfn.XLOOKUP(frasest[[#This Row],[autor_es]],autorest[autor_es],autorest[idioma_la])</f>
        <v>Lingua Latina</v>
      </c>
      <c r="L45" t="str">
        <f>_xlfn.XLOOKUP(frasest[[#This Row],[autor_es]],autorest[autor_es],autorest[nacion_es])</f>
        <v>Roma</v>
      </c>
      <c r="M45" t="str">
        <f>_xlfn.XLOOKUP(frasest[[#This Row],[autor_es]],autorest[autor_es],autorest[nacion_la])</f>
        <v>Roma</v>
      </c>
      <c r="N45" t="str">
        <f>_xlfn.XLOOKUP(frasest[[#This Row],[autor_es]],autorest[autor_es],autorest[epoca_es])</f>
        <v>Edad Antigua</v>
      </c>
      <c r="O45" t="str">
        <f>_xlfn.XLOOKUP(frasest[[#This Row],[autor_es]],autorest[autor_es],autorest[epoca_la])</f>
        <v>Antiquitas</v>
      </c>
    </row>
    <row r="46" spans="1:15">
      <c r="A46">
        <v>45</v>
      </c>
      <c r="B46" t="s">
        <v>147</v>
      </c>
      <c r="C46" t="s">
        <v>148</v>
      </c>
      <c r="D46" t="s">
        <v>149</v>
      </c>
      <c r="E46" t="s">
        <v>144</v>
      </c>
      <c r="F46" t="str">
        <f>_xlfn.XLOOKUP(frasest[[#This Row],[autor_es]],autorest[autor_es],autorest[autor_la])</f>
        <v>Lucius Annaeus Seneca</v>
      </c>
      <c r="G46" t="str">
        <f>_xlfn.XLOOKUP(frasest[[#This Row],[autor_es]],autorest[autor_es],autorest[bio_es])</f>
        <v>Filósofo, escritor y político romano, representante del estoicismo. Autor de numerosas cartas y tratados morales.</v>
      </c>
      <c r="H46" t="str">
        <f>_xlfn.XLOOKUP(frasest[[#This Row],[autor_es]],autorest[autor_es],autorest[bio_la])</f>
        <v>Philosophus, scriptor et politicus Romanus, stoicismus repraesentans. Multas epistulas et tractatus morales scripsit.</v>
      </c>
      <c r="I46" t="str">
        <f>_xlfn.XLOOKUP(frasest[[#This Row],[autor_es]],autorest[autor_es],autorest[codigo])</f>
        <v>la</v>
      </c>
      <c r="J46" t="str">
        <f>_xlfn.XLOOKUP(frasest[[#This Row],[autor_es]],autorest[autor_es],autorest[idioma_es])</f>
        <v>Latín</v>
      </c>
      <c r="K46" t="str">
        <f>_xlfn.XLOOKUP(frasest[[#This Row],[autor_es]],autorest[autor_es],autorest[idioma_la])</f>
        <v>Lingua Latina</v>
      </c>
      <c r="L46" t="str">
        <f>_xlfn.XLOOKUP(frasest[[#This Row],[autor_es]],autorest[autor_es],autorest[nacion_es])</f>
        <v>Roma</v>
      </c>
      <c r="M46" t="str">
        <f>_xlfn.XLOOKUP(frasest[[#This Row],[autor_es]],autorest[autor_es],autorest[nacion_la])</f>
        <v>Roma</v>
      </c>
      <c r="N46" t="str">
        <f>_xlfn.XLOOKUP(frasest[[#This Row],[autor_es]],autorest[autor_es],autorest[epoca_es])</f>
        <v>Edad Antigua</v>
      </c>
      <c r="O46" t="str">
        <f>_xlfn.XLOOKUP(frasest[[#This Row],[autor_es]],autorest[autor_es],autorest[epoca_la])</f>
        <v>Antiquitas</v>
      </c>
    </row>
    <row r="47" spans="1:15">
      <c r="A47">
        <v>46</v>
      </c>
      <c r="B47" t="s">
        <v>150</v>
      </c>
      <c r="C47" t="s">
        <v>151</v>
      </c>
      <c r="D47" t="s">
        <v>152</v>
      </c>
      <c r="E47" t="s">
        <v>144</v>
      </c>
      <c r="F47" t="str">
        <f>_xlfn.XLOOKUP(frasest[[#This Row],[autor_es]],autorest[autor_es],autorest[autor_la])</f>
        <v>Lucius Annaeus Seneca</v>
      </c>
      <c r="G47" t="str">
        <f>_xlfn.XLOOKUP(frasest[[#This Row],[autor_es]],autorest[autor_es],autorest[bio_es])</f>
        <v>Filósofo, escritor y político romano, representante del estoicismo. Autor de numerosas cartas y tratados morales.</v>
      </c>
      <c r="H47" t="str">
        <f>_xlfn.XLOOKUP(frasest[[#This Row],[autor_es]],autorest[autor_es],autorest[bio_la])</f>
        <v>Philosophus, scriptor et politicus Romanus, stoicismus repraesentans. Multas epistulas et tractatus morales scripsit.</v>
      </c>
      <c r="I47" t="str">
        <f>_xlfn.XLOOKUP(frasest[[#This Row],[autor_es]],autorest[autor_es],autorest[codigo])</f>
        <v>la</v>
      </c>
      <c r="J47" t="str">
        <f>_xlfn.XLOOKUP(frasest[[#This Row],[autor_es]],autorest[autor_es],autorest[idioma_es])</f>
        <v>Latín</v>
      </c>
      <c r="K47" t="str">
        <f>_xlfn.XLOOKUP(frasest[[#This Row],[autor_es]],autorest[autor_es],autorest[idioma_la])</f>
        <v>Lingua Latina</v>
      </c>
      <c r="L47" t="str">
        <f>_xlfn.XLOOKUP(frasest[[#This Row],[autor_es]],autorest[autor_es],autorest[nacion_es])</f>
        <v>Roma</v>
      </c>
      <c r="M47" t="str">
        <f>_xlfn.XLOOKUP(frasest[[#This Row],[autor_es]],autorest[autor_es],autorest[nacion_la])</f>
        <v>Roma</v>
      </c>
      <c r="N47" t="str">
        <f>_xlfn.XLOOKUP(frasest[[#This Row],[autor_es]],autorest[autor_es],autorest[epoca_es])</f>
        <v>Edad Antigua</v>
      </c>
      <c r="O47" t="str">
        <f>_xlfn.XLOOKUP(frasest[[#This Row],[autor_es]],autorest[autor_es],autorest[epoca_la])</f>
        <v>Antiquitas</v>
      </c>
    </row>
    <row r="48" spans="1:15">
      <c r="A48">
        <v>47</v>
      </c>
      <c r="B48" t="s">
        <v>153</v>
      </c>
      <c r="C48" t="s">
        <v>154</v>
      </c>
      <c r="D48" t="s">
        <v>154</v>
      </c>
      <c r="E48" t="s">
        <v>144</v>
      </c>
      <c r="F48" t="str">
        <f>_xlfn.XLOOKUP(frasest[[#This Row],[autor_es]],autorest[autor_es],autorest[autor_la])</f>
        <v>Lucius Annaeus Seneca</v>
      </c>
      <c r="G48" t="str">
        <f>_xlfn.XLOOKUP(frasest[[#This Row],[autor_es]],autorest[autor_es],autorest[bio_es])</f>
        <v>Filósofo, escritor y político romano, representante del estoicismo. Autor de numerosas cartas y tratados morales.</v>
      </c>
      <c r="H48" t="str">
        <f>_xlfn.XLOOKUP(frasest[[#This Row],[autor_es]],autorest[autor_es],autorest[bio_la])</f>
        <v>Philosophus, scriptor et politicus Romanus, stoicismus repraesentans. Multas epistulas et tractatus morales scripsit.</v>
      </c>
      <c r="I48" t="str">
        <f>_xlfn.XLOOKUP(frasest[[#This Row],[autor_es]],autorest[autor_es],autorest[codigo])</f>
        <v>la</v>
      </c>
      <c r="J48" t="str">
        <f>_xlfn.XLOOKUP(frasest[[#This Row],[autor_es]],autorest[autor_es],autorest[idioma_es])</f>
        <v>Latín</v>
      </c>
      <c r="K48" t="str">
        <f>_xlfn.XLOOKUP(frasest[[#This Row],[autor_es]],autorest[autor_es],autorest[idioma_la])</f>
        <v>Lingua Latina</v>
      </c>
      <c r="L48" t="str">
        <f>_xlfn.XLOOKUP(frasest[[#This Row],[autor_es]],autorest[autor_es],autorest[nacion_es])</f>
        <v>Roma</v>
      </c>
      <c r="M48" t="str">
        <f>_xlfn.XLOOKUP(frasest[[#This Row],[autor_es]],autorest[autor_es],autorest[nacion_la])</f>
        <v>Roma</v>
      </c>
      <c r="N48" t="str">
        <f>_xlfn.XLOOKUP(frasest[[#This Row],[autor_es]],autorest[autor_es],autorest[epoca_es])</f>
        <v>Edad Antigua</v>
      </c>
      <c r="O48" t="str">
        <f>_xlfn.XLOOKUP(frasest[[#This Row],[autor_es]],autorest[autor_es],autorest[epoca_la])</f>
        <v>Antiquitas</v>
      </c>
    </row>
    <row r="49" spans="1:15">
      <c r="A49">
        <v>48</v>
      </c>
      <c r="B49" t="s">
        <v>155</v>
      </c>
      <c r="C49" t="s">
        <v>156</v>
      </c>
      <c r="D49" t="s">
        <v>156</v>
      </c>
      <c r="E49" t="s">
        <v>157</v>
      </c>
      <c r="F49" t="str">
        <f>_xlfn.XLOOKUP(frasest[[#This Row],[autor_es]],autorest[autor_es],autorest[autor_la])</f>
        <v>Thomas Aquinas</v>
      </c>
      <c r="G49" t="str">
        <f>_xlfn.XLOOKUP(frasest[[#This Row],[autor_es]],autorest[autor_es],autorest[bio_es])</f>
        <v>Filósofo y teólogo italiano, representante de la Escolástica. Autor de la "Summa Theologica".</v>
      </c>
      <c r="H49" t="str">
        <f>_xlfn.XLOOKUP(frasest[[#This Row],[autor_es]],autorest[autor_es],autorest[bio_la])</f>
        <v>Philosophus et theologus Italicus, Scholasticae repraesentans. Auctor "Summa Theologica".</v>
      </c>
      <c r="I49" t="str">
        <f>_xlfn.XLOOKUP(frasest[[#This Row],[autor_es]],autorest[autor_es],autorest[codigo])</f>
        <v>la</v>
      </c>
      <c r="J49" t="str">
        <f>_xlfn.XLOOKUP(frasest[[#This Row],[autor_es]],autorest[autor_es],autorest[idioma_es])</f>
        <v>Latín</v>
      </c>
      <c r="K49" t="str">
        <f>_xlfn.XLOOKUP(frasest[[#This Row],[autor_es]],autorest[autor_es],autorest[idioma_la])</f>
        <v>Lingua Latina</v>
      </c>
      <c r="L49" t="str">
        <f>_xlfn.XLOOKUP(frasest[[#This Row],[autor_es]],autorest[autor_es],autorest[nacion_es])</f>
        <v>Italia</v>
      </c>
      <c r="M49" t="str">
        <f>_xlfn.XLOOKUP(frasest[[#This Row],[autor_es]],autorest[autor_es],autorest[nacion_la])</f>
        <v>Italia</v>
      </c>
      <c r="N49" t="str">
        <f>_xlfn.XLOOKUP(frasest[[#This Row],[autor_es]],autorest[autor_es],autorest[epoca_es])</f>
        <v>Edad Media</v>
      </c>
      <c r="O49" t="str">
        <f>_xlfn.XLOOKUP(frasest[[#This Row],[autor_es]],autorest[autor_es],autorest[epoca_la])</f>
        <v>Medium Aevum</v>
      </c>
    </row>
    <row r="50" spans="1:15">
      <c r="A50">
        <v>49</v>
      </c>
      <c r="B50" t="s">
        <v>158</v>
      </c>
      <c r="C50" t="s">
        <v>159</v>
      </c>
      <c r="D50" t="s">
        <v>160</v>
      </c>
      <c r="E50" t="s">
        <v>157</v>
      </c>
      <c r="F50" t="str">
        <f>_xlfn.XLOOKUP(frasest[[#This Row],[autor_es]],autorest[autor_es],autorest[autor_la])</f>
        <v>Thomas Aquinas</v>
      </c>
      <c r="G50" t="str">
        <f>_xlfn.XLOOKUP(frasest[[#This Row],[autor_es]],autorest[autor_es],autorest[bio_es])</f>
        <v>Filósofo y teólogo italiano, representante de la Escolástica. Autor de la "Summa Theologica".</v>
      </c>
      <c r="H50" t="str">
        <f>_xlfn.XLOOKUP(frasest[[#This Row],[autor_es]],autorest[autor_es],autorest[bio_la])</f>
        <v>Philosophus et theologus Italicus, Scholasticae repraesentans. Auctor "Summa Theologica".</v>
      </c>
      <c r="I50" t="str">
        <f>_xlfn.XLOOKUP(frasest[[#This Row],[autor_es]],autorest[autor_es],autorest[codigo])</f>
        <v>la</v>
      </c>
      <c r="J50" t="str">
        <f>_xlfn.XLOOKUP(frasest[[#This Row],[autor_es]],autorest[autor_es],autorest[idioma_es])</f>
        <v>Latín</v>
      </c>
      <c r="K50" t="str">
        <f>_xlfn.XLOOKUP(frasest[[#This Row],[autor_es]],autorest[autor_es],autorest[idioma_la])</f>
        <v>Lingua Latina</v>
      </c>
      <c r="L50" t="str">
        <f>_xlfn.XLOOKUP(frasest[[#This Row],[autor_es]],autorest[autor_es],autorest[nacion_es])</f>
        <v>Italia</v>
      </c>
      <c r="M50" t="str">
        <f>_xlfn.XLOOKUP(frasest[[#This Row],[autor_es]],autorest[autor_es],autorest[nacion_la])</f>
        <v>Italia</v>
      </c>
      <c r="N50" t="str">
        <f>_xlfn.XLOOKUP(frasest[[#This Row],[autor_es]],autorest[autor_es],autorest[epoca_es])</f>
        <v>Edad Media</v>
      </c>
      <c r="O50" t="str">
        <f>_xlfn.XLOOKUP(frasest[[#This Row],[autor_es]],autorest[autor_es],autorest[epoca_la])</f>
        <v>Medium Aevum</v>
      </c>
    </row>
    <row r="51" spans="1:15">
      <c r="A51">
        <v>50</v>
      </c>
      <c r="B51" t="s">
        <v>161</v>
      </c>
      <c r="C51" t="s">
        <v>162</v>
      </c>
      <c r="D51" t="s">
        <v>162</v>
      </c>
      <c r="E51" t="s">
        <v>157</v>
      </c>
      <c r="F51" t="str">
        <f>_xlfn.XLOOKUP(frasest[[#This Row],[autor_es]],autorest[autor_es],autorest[autor_la])</f>
        <v>Thomas Aquinas</v>
      </c>
      <c r="G51" t="str">
        <f>_xlfn.XLOOKUP(frasest[[#This Row],[autor_es]],autorest[autor_es],autorest[bio_es])</f>
        <v>Filósofo y teólogo italiano, representante de la Escolástica. Autor de la "Summa Theologica".</v>
      </c>
      <c r="H51" t="str">
        <f>_xlfn.XLOOKUP(frasest[[#This Row],[autor_es]],autorest[autor_es],autorest[bio_la])</f>
        <v>Philosophus et theologus Italicus, Scholasticae repraesentans. Auctor "Summa Theologica".</v>
      </c>
      <c r="I51" t="str">
        <f>_xlfn.XLOOKUP(frasest[[#This Row],[autor_es]],autorest[autor_es],autorest[codigo])</f>
        <v>la</v>
      </c>
      <c r="J51" t="str">
        <f>_xlfn.XLOOKUP(frasest[[#This Row],[autor_es]],autorest[autor_es],autorest[idioma_es])</f>
        <v>Latín</v>
      </c>
      <c r="K51" t="str">
        <f>_xlfn.XLOOKUP(frasest[[#This Row],[autor_es]],autorest[autor_es],autorest[idioma_la])</f>
        <v>Lingua Latina</v>
      </c>
      <c r="L51" t="str">
        <f>_xlfn.XLOOKUP(frasest[[#This Row],[autor_es]],autorest[autor_es],autorest[nacion_es])</f>
        <v>Italia</v>
      </c>
      <c r="M51" t="str">
        <f>_xlfn.XLOOKUP(frasest[[#This Row],[autor_es]],autorest[autor_es],autorest[nacion_la])</f>
        <v>Italia</v>
      </c>
      <c r="N51" t="str">
        <f>_xlfn.XLOOKUP(frasest[[#This Row],[autor_es]],autorest[autor_es],autorest[epoca_es])</f>
        <v>Edad Media</v>
      </c>
      <c r="O51" t="str">
        <f>_xlfn.XLOOKUP(frasest[[#This Row],[autor_es]],autorest[autor_es],autorest[epoca_la])</f>
        <v>Medium Aevum</v>
      </c>
    </row>
    <row r="52" spans="1:15">
      <c r="A52">
        <v>51</v>
      </c>
      <c r="B52" t="s">
        <v>163</v>
      </c>
      <c r="C52" t="s">
        <v>164</v>
      </c>
      <c r="D52" t="s">
        <v>165</v>
      </c>
      <c r="E52" t="s">
        <v>157</v>
      </c>
      <c r="F52" t="str">
        <f>_xlfn.XLOOKUP(frasest[[#This Row],[autor_es]],autorest[autor_es],autorest[autor_la])</f>
        <v>Thomas Aquinas</v>
      </c>
      <c r="G52" t="str">
        <f>_xlfn.XLOOKUP(frasest[[#This Row],[autor_es]],autorest[autor_es],autorest[bio_es])</f>
        <v>Filósofo y teólogo italiano, representante de la Escolástica. Autor de la "Summa Theologica".</v>
      </c>
      <c r="H52" t="str">
        <f>_xlfn.XLOOKUP(frasest[[#This Row],[autor_es]],autorest[autor_es],autorest[bio_la])</f>
        <v>Philosophus et theologus Italicus, Scholasticae repraesentans. Auctor "Summa Theologica".</v>
      </c>
      <c r="I52" t="str">
        <f>_xlfn.XLOOKUP(frasest[[#This Row],[autor_es]],autorest[autor_es],autorest[codigo])</f>
        <v>la</v>
      </c>
      <c r="J52" t="str">
        <f>_xlfn.XLOOKUP(frasest[[#This Row],[autor_es]],autorest[autor_es],autorest[idioma_es])</f>
        <v>Latín</v>
      </c>
      <c r="K52" t="str">
        <f>_xlfn.XLOOKUP(frasest[[#This Row],[autor_es]],autorest[autor_es],autorest[idioma_la])</f>
        <v>Lingua Latina</v>
      </c>
      <c r="L52" t="str">
        <f>_xlfn.XLOOKUP(frasest[[#This Row],[autor_es]],autorest[autor_es],autorest[nacion_es])</f>
        <v>Italia</v>
      </c>
      <c r="M52" t="str">
        <f>_xlfn.XLOOKUP(frasest[[#This Row],[autor_es]],autorest[autor_es],autorest[nacion_la])</f>
        <v>Italia</v>
      </c>
      <c r="N52" t="str">
        <f>_xlfn.XLOOKUP(frasest[[#This Row],[autor_es]],autorest[autor_es],autorest[epoca_es])</f>
        <v>Edad Media</v>
      </c>
      <c r="O52" t="str">
        <f>_xlfn.XLOOKUP(frasest[[#This Row],[autor_es]],autorest[autor_es],autorest[epoca_la])</f>
        <v>Medium Aevum</v>
      </c>
    </row>
    <row r="53" spans="1:15">
      <c r="A53">
        <v>52</v>
      </c>
      <c r="B53" t="s">
        <v>166</v>
      </c>
      <c r="C53" t="s">
        <v>167</v>
      </c>
      <c r="D53" t="s">
        <v>168</v>
      </c>
      <c r="E53" t="s">
        <v>157</v>
      </c>
      <c r="F53" t="str">
        <f>_xlfn.XLOOKUP(frasest[[#This Row],[autor_es]],autorest[autor_es],autorest[autor_la])</f>
        <v>Thomas Aquinas</v>
      </c>
      <c r="G53" t="str">
        <f>_xlfn.XLOOKUP(frasest[[#This Row],[autor_es]],autorest[autor_es],autorest[bio_es])</f>
        <v>Filósofo y teólogo italiano, representante de la Escolástica. Autor de la "Summa Theologica".</v>
      </c>
      <c r="H53" t="str">
        <f>_xlfn.XLOOKUP(frasest[[#This Row],[autor_es]],autorest[autor_es],autorest[bio_la])</f>
        <v>Philosophus et theologus Italicus, Scholasticae repraesentans. Auctor "Summa Theologica".</v>
      </c>
      <c r="I53" t="str">
        <f>_xlfn.XLOOKUP(frasest[[#This Row],[autor_es]],autorest[autor_es],autorest[codigo])</f>
        <v>la</v>
      </c>
      <c r="J53" t="str">
        <f>_xlfn.XLOOKUP(frasest[[#This Row],[autor_es]],autorest[autor_es],autorest[idioma_es])</f>
        <v>Latín</v>
      </c>
      <c r="K53" t="str">
        <f>_xlfn.XLOOKUP(frasest[[#This Row],[autor_es]],autorest[autor_es],autorest[idioma_la])</f>
        <v>Lingua Latina</v>
      </c>
      <c r="L53" t="str">
        <f>_xlfn.XLOOKUP(frasest[[#This Row],[autor_es]],autorest[autor_es],autorest[nacion_es])</f>
        <v>Italia</v>
      </c>
      <c r="M53" t="str">
        <f>_xlfn.XLOOKUP(frasest[[#This Row],[autor_es]],autorest[autor_es],autorest[nacion_la])</f>
        <v>Italia</v>
      </c>
      <c r="N53" t="str">
        <f>_xlfn.XLOOKUP(frasest[[#This Row],[autor_es]],autorest[autor_es],autorest[epoca_es])</f>
        <v>Edad Media</v>
      </c>
      <c r="O53" t="str">
        <f>_xlfn.XLOOKUP(frasest[[#This Row],[autor_es]],autorest[autor_es],autorest[epoca_la])</f>
        <v>Medium Aevum</v>
      </c>
    </row>
    <row r="54" spans="1:15">
      <c r="A54">
        <v>53</v>
      </c>
      <c r="B54" t="s">
        <v>169</v>
      </c>
      <c r="C54" t="s">
        <v>170</v>
      </c>
      <c r="D54" t="s">
        <v>171</v>
      </c>
      <c r="E54" t="s">
        <v>172</v>
      </c>
      <c r="F54" t="str">
        <f>_xlfn.XLOOKUP(frasest[[#This Row],[autor_es]],autorest[autor_es],autorest[autor_la])</f>
        <v>Friedrich Nietzsche</v>
      </c>
      <c r="G54" t="str">
        <f>_xlfn.XLOOKUP(frasest[[#This Row],[autor_es]],autorest[autor_es],autorest[bio_es])</f>
        <v>Filósofo, poeta y filólogo alemán. Autor de obras como "Así habló Zaratustra" y "Más allá del bien y del mal".</v>
      </c>
      <c r="H54" t="str">
        <f>_xlfn.XLOOKUP(frasest[[#This Row],[autor_es]],autorest[autor_es],autorest[bio_la])</f>
        <v>Philosophus, poeta et philologus Germanicus, auctor operum ut "Ita loquutus est Zarathustra" et "Ultra bonum et malum".</v>
      </c>
      <c r="I54" t="str">
        <f>_xlfn.XLOOKUP(frasest[[#This Row],[autor_es]],autorest[autor_es],autorest[codigo])</f>
        <v>de</v>
      </c>
      <c r="J54" t="str">
        <f>_xlfn.XLOOKUP(frasest[[#This Row],[autor_es]],autorest[autor_es],autorest[idioma_es])</f>
        <v>Alemán</v>
      </c>
      <c r="K54" t="str">
        <f>_xlfn.XLOOKUP(frasest[[#This Row],[autor_es]],autorest[autor_es],autorest[idioma_la])</f>
        <v>Lingua Germanica</v>
      </c>
      <c r="L54" t="str">
        <f>_xlfn.XLOOKUP(frasest[[#This Row],[autor_es]],autorest[autor_es],autorest[nacion_es])</f>
        <v>Alemania</v>
      </c>
      <c r="M54" t="str">
        <f>_xlfn.XLOOKUP(frasest[[#This Row],[autor_es]],autorest[autor_es],autorest[nacion_la])</f>
        <v>Germania</v>
      </c>
      <c r="N54" t="str">
        <f>_xlfn.XLOOKUP(frasest[[#This Row],[autor_es]],autorest[autor_es],autorest[epoca_es])</f>
        <v>Edad Contemporánea</v>
      </c>
      <c r="O54" t="str">
        <f>_xlfn.XLOOKUP(frasest[[#This Row],[autor_es]],autorest[autor_es],autorest[epoca_la])</f>
        <v>Aetas Contemporanea</v>
      </c>
    </row>
    <row r="55" spans="1:15">
      <c r="A55">
        <v>54</v>
      </c>
      <c r="B55" t="s">
        <v>173</v>
      </c>
      <c r="C55" t="s">
        <v>174</v>
      </c>
      <c r="D55" t="s">
        <v>175</v>
      </c>
      <c r="E55" t="s">
        <v>172</v>
      </c>
      <c r="F55" t="str">
        <f>_xlfn.XLOOKUP(frasest[[#This Row],[autor_es]],autorest[autor_es],autorest[autor_la])</f>
        <v>Friedrich Nietzsche</v>
      </c>
      <c r="G55" t="str">
        <f>_xlfn.XLOOKUP(frasest[[#This Row],[autor_es]],autorest[autor_es],autorest[bio_es])</f>
        <v>Filósofo, poeta y filólogo alemán. Autor de obras como "Así habló Zaratustra" y "Más allá del bien y del mal".</v>
      </c>
      <c r="H55" t="str">
        <f>_xlfn.XLOOKUP(frasest[[#This Row],[autor_es]],autorest[autor_es],autorest[bio_la])</f>
        <v>Philosophus, poeta et philologus Germanicus, auctor operum ut "Ita loquutus est Zarathustra" et "Ultra bonum et malum".</v>
      </c>
      <c r="I55" t="str">
        <f>_xlfn.XLOOKUP(frasest[[#This Row],[autor_es]],autorest[autor_es],autorest[codigo])</f>
        <v>de</v>
      </c>
      <c r="J55" t="str">
        <f>_xlfn.XLOOKUP(frasest[[#This Row],[autor_es]],autorest[autor_es],autorest[idioma_es])</f>
        <v>Alemán</v>
      </c>
      <c r="K55" t="str">
        <f>_xlfn.XLOOKUP(frasest[[#This Row],[autor_es]],autorest[autor_es],autorest[idioma_la])</f>
        <v>Lingua Germanica</v>
      </c>
      <c r="L55" t="str">
        <f>_xlfn.XLOOKUP(frasest[[#This Row],[autor_es]],autorest[autor_es],autorest[nacion_es])</f>
        <v>Alemania</v>
      </c>
      <c r="M55" t="str">
        <f>_xlfn.XLOOKUP(frasest[[#This Row],[autor_es]],autorest[autor_es],autorest[nacion_la])</f>
        <v>Germania</v>
      </c>
      <c r="N55" t="str">
        <f>_xlfn.XLOOKUP(frasest[[#This Row],[autor_es]],autorest[autor_es],autorest[epoca_es])</f>
        <v>Edad Contemporánea</v>
      </c>
      <c r="O55" t="str">
        <f>_xlfn.XLOOKUP(frasest[[#This Row],[autor_es]],autorest[autor_es],autorest[epoca_la])</f>
        <v>Aetas Contemporanea</v>
      </c>
    </row>
    <row r="56" spans="1:15">
      <c r="A56">
        <v>55</v>
      </c>
      <c r="B56" t="s">
        <v>176</v>
      </c>
      <c r="C56" t="s">
        <v>177</v>
      </c>
      <c r="D56" t="s">
        <v>178</v>
      </c>
      <c r="E56" t="s">
        <v>172</v>
      </c>
      <c r="F56" t="str">
        <f>_xlfn.XLOOKUP(frasest[[#This Row],[autor_es]],autorest[autor_es],autorest[autor_la])</f>
        <v>Friedrich Nietzsche</v>
      </c>
      <c r="G56" t="str">
        <f>_xlfn.XLOOKUP(frasest[[#This Row],[autor_es]],autorest[autor_es],autorest[bio_es])</f>
        <v>Filósofo, poeta y filólogo alemán. Autor de obras como "Así habló Zaratustra" y "Más allá del bien y del mal".</v>
      </c>
      <c r="H56" t="str">
        <f>_xlfn.XLOOKUP(frasest[[#This Row],[autor_es]],autorest[autor_es],autorest[bio_la])</f>
        <v>Philosophus, poeta et philologus Germanicus, auctor operum ut "Ita loquutus est Zarathustra" et "Ultra bonum et malum".</v>
      </c>
      <c r="I56" t="str">
        <f>_xlfn.XLOOKUP(frasest[[#This Row],[autor_es]],autorest[autor_es],autorest[codigo])</f>
        <v>de</v>
      </c>
      <c r="J56" t="str">
        <f>_xlfn.XLOOKUP(frasest[[#This Row],[autor_es]],autorest[autor_es],autorest[idioma_es])</f>
        <v>Alemán</v>
      </c>
      <c r="K56" t="str">
        <f>_xlfn.XLOOKUP(frasest[[#This Row],[autor_es]],autorest[autor_es],autorest[idioma_la])</f>
        <v>Lingua Germanica</v>
      </c>
      <c r="L56" t="str">
        <f>_xlfn.XLOOKUP(frasest[[#This Row],[autor_es]],autorest[autor_es],autorest[nacion_es])</f>
        <v>Alemania</v>
      </c>
      <c r="M56" t="str">
        <f>_xlfn.XLOOKUP(frasest[[#This Row],[autor_es]],autorest[autor_es],autorest[nacion_la])</f>
        <v>Germania</v>
      </c>
      <c r="N56" t="str">
        <f>_xlfn.XLOOKUP(frasest[[#This Row],[autor_es]],autorest[autor_es],autorest[epoca_es])</f>
        <v>Edad Contemporánea</v>
      </c>
      <c r="O56" t="str">
        <f>_xlfn.XLOOKUP(frasest[[#This Row],[autor_es]],autorest[autor_es],autorest[epoca_la])</f>
        <v>Aetas Contemporanea</v>
      </c>
    </row>
    <row r="57" spans="1:15">
      <c r="A57">
        <v>56</v>
      </c>
      <c r="B57" t="s">
        <v>179</v>
      </c>
      <c r="C57" t="s">
        <v>180</v>
      </c>
      <c r="D57" t="s">
        <v>181</v>
      </c>
      <c r="E57" t="s">
        <v>172</v>
      </c>
      <c r="F57" t="str">
        <f>_xlfn.XLOOKUP(frasest[[#This Row],[autor_es]],autorest[autor_es],autorest[autor_la])</f>
        <v>Friedrich Nietzsche</v>
      </c>
      <c r="G57" t="str">
        <f>_xlfn.XLOOKUP(frasest[[#This Row],[autor_es]],autorest[autor_es],autorest[bio_es])</f>
        <v>Filósofo, poeta y filólogo alemán. Autor de obras como "Así habló Zaratustra" y "Más allá del bien y del mal".</v>
      </c>
      <c r="H57" t="str">
        <f>_xlfn.XLOOKUP(frasest[[#This Row],[autor_es]],autorest[autor_es],autorest[bio_la])</f>
        <v>Philosophus, poeta et philologus Germanicus, auctor operum ut "Ita loquutus est Zarathustra" et "Ultra bonum et malum".</v>
      </c>
      <c r="I57" t="str">
        <f>_xlfn.XLOOKUP(frasest[[#This Row],[autor_es]],autorest[autor_es],autorest[codigo])</f>
        <v>de</v>
      </c>
      <c r="J57" t="str">
        <f>_xlfn.XLOOKUP(frasest[[#This Row],[autor_es]],autorest[autor_es],autorest[idioma_es])</f>
        <v>Alemán</v>
      </c>
      <c r="K57" t="str">
        <f>_xlfn.XLOOKUP(frasest[[#This Row],[autor_es]],autorest[autor_es],autorest[idioma_la])</f>
        <v>Lingua Germanica</v>
      </c>
      <c r="L57" t="str">
        <f>_xlfn.XLOOKUP(frasest[[#This Row],[autor_es]],autorest[autor_es],autorest[nacion_es])</f>
        <v>Alemania</v>
      </c>
      <c r="M57" t="str">
        <f>_xlfn.XLOOKUP(frasest[[#This Row],[autor_es]],autorest[autor_es],autorest[nacion_la])</f>
        <v>Germania</v>
      </c>
      <c r="N57" t="str">
        <f>_xlfn.XLOOKUP(frasest[[#This Row],[autor_es]],autorest[autor_es],autorest[epoca_es])</f>
        <v>Edad Contemporánea</v>
      </c>
      <c r="O57" t="str">
        <f>_xlfn.XLOOKUP(frasest[[#This Row],[autor_es]],autorest[autor_es],autorest[epoca_la])</f>
        <v>Aetas Contemporanea</v>
      </c>
    </row>
    <row r="58" spans="1:15">
      <c r="A58">
        <v>57</v>
      </c>
      <c r="B58" t="s">
        <v>182</v>
      </c>
      <c r="C58" t="s">
        <v>183</v>
      </c>
      <c r="D58" t="s">
        <v>184</v>
      </c>
      <c r="E58" t="s">
        <v>172</v>
      </c>
      <c r="F58" t="str">
        <f>_xlfn.XLOOKUP(frasest[[#This Row],[autor_es]],autorest[autor_es],autorest[autor_la])</f>
        <v>Friedrich Nietzsche</v>
      </c>
      <c r="G58" t="str">
        <f>_xlfn.XLOOKUP(frasest[[#This Row],[autor_es]],autorest[autor_es],autorest[bio_es])</f>
        <v>Filósofo, poeta y filólogo alemán. Autor de obras como "Así habló Zaratustra" y "Más allá del bien y del mal".</v>
      </c>
      <c r="H58" t="str">
        <f>_xlfn.XLOOKUP(frasest[[#This Row],[autor_es]],autorest[autor_es],autorest[bio_la])</f>
        <v>Philosophus, poeta et philologus Germanicus, auctor operum ut "Ita loquutus est Zarathustra" et "Ultra bonum et malum".</v>
      </c>
      <c r="I58" t="str">
        <f>_xlfn.XLOOKUP(frasest[[#This Row],[autor_es]],autorest[autor_es],autorest[codigo])</f>
        <v>de</v>
      </c>
      <c r="J58" t="str">
        <f>_xlfn.XLOOKUP(frasest[[#This Row],[autor_es]],autorest[autor_es],autorest[idioma_es])</f>
        <v>Alemán</v>
      </c>
      <c r="K58" t="str">
        <f>_xlfn.XLOOKUP(frasest[[#This Row],[autor_es]],autorest[autor_es],autorest[idioma_la])</f>
        <v>Lingua Germanica</v>
      </c>
      <c r="L58" t="str">
        <f>_xlfn.XLOOKUP(frasest[[#This Row],[autor_es]],autorest[autor_es],autorest[nacion_es])</f>
        <v>Alemania</v>
      </c>
      <c r="M58" t="str">
        <f>_xlfn.XLOOKUP(frasest[[#This Row],[autor_es]],autorest[autor_es],autorest[nacion_la])</f>
        <v>Germania</v>
      </c>
      <c r="N58" t="str">
        <f>_xlfn.XLOOKUP(frasest[[#This Row],[autor_es]],autorest[autor_es],autorest[epoca_es])</f>
        <v>Edad Contemporánea</v>
      </c>
      <c r="O58" t="str">
        <f>_xlfn.XLOOKUP(frasest[[#This Row],[autor_es]],autorest[autor_es],autorest[epoca_la])</f>
        <v>Aetas Contemporanea</v>
      </c>
    </row>
    <row r="59" spans="1:15">
      <c r="A59">
        <v>58</v>
      </c>
      <c r="B59" t="s">
        <v>185</v>
      </c>
      <c r="C59" t="s">
        <v>186</v>
      </c>
      <c r="D59" t="s">
        <v>187</v>
      </c>
      <c r="E59" t="s">
        <v>188</v>
      </c>
      <c r="F59" t="str">
        <f>_xlfn.XLOOKUP(frasest[[#This Row],[autor_es]],autorest[autor_es],autorest[autor_la])</f>
        <v>Gilbert Keith Chesterton</v>
      </c>
      <c r="G59" t="str">
        <f>_xlfn.XLOOKUP(frasest[[#This Row],[autor_es]],autorest[autor_es],autorest[bio_es])</f>
        <v>Escritor, poeta, filósofo y periodista inglés. Famoso por sus ensayos, cuentos de misterio y defensa del cristianismo.</v>
      </c>
      <c r="H59" t="str">
        <f>_xlfn.XLOOKUP(frasest[[#This Row],[autor_es]],autorest[autor_es],autorest[bio_la])</f>
        <v>Scriba, poeta, philosophus et diurnarius Anglicus. Notus pro essayis, fabulis mysteriis et Christianismi defensione.</v>
      </c>
      <c r="I59" t="str">
        <f>_xlfn.XLOOKUP(frasest[[#This Row],[autor_es]],autorest[autor_es],autorest[codigo])</f>
        <v>en</v>
      </c>
      <c r="J59" t="str">
        <f>_xlfn.XLOOKUP(frasest[[#This Row],[autor_es]],autorest[autor_es],autorest[idioma_es])</f>
        <v>Inglés</v>
      </c>
      <c r="K59" t="str">
        <f>_xlfn.XLOOKUP(frasest[[#This Row],[autor_es]],autorest[autor_es],autorest[idioma_la])</f>
        <v>Lingua Anglica</v>
      </c>
      <c r="L59" t="str">
        <f>_xlfn.XLOOKUP(frasest[[#This Row],[autor_es]],autorest[autor_es],autorest[nacion_es])</f>
        <v>Inglaterra</v>
      </c>
      <c r="M59" t="str">
        <f>_xlfn.XLOOKUP(frasest[[#This Row],[autor_es]],autorest[autor_es],autorest[nacion_la])</f>
        <v>Anglia</v>
      </c>
      <c r="N59" t="str">
        <f>_xlfn.XLOOKUP(frasest[[#This Row],[autor_es]],autorest[autor_es],autorest[epoca_es])</f>
        <v>Edad Contemporánea</v>
      </c>
      <c r="O59" t="str">
        <f>_xlfn.XLOOKUP(frasest[[#This Row],[autor_es]],autorest[autor_es],autorest[epoca_la])</f>
        <v>Aetas Contemporanea</v>
      </c>
    </row>
    <row r="60" spans="1:15">
      <c r="A60">
        <v>59</v>
      </c>
      <c r="B60" t="s">
        <v>189</v>
      </c>
      <c r="C60" t="s">
        <v>190</v>
      </c>
      <c r="D60" t="s">
        <v>191</v>
      </c>
      <c r="E60" t="s">
        <v>188</v>
      </c>
      <c r="F60" t="str">
        <f>_xlfn.XLOOKUP(frasest[[#This Row],[autor_es]],autorest[autor_es],autorest[autor_la])</f>
        <v>Gilbert Keith Chesterton</v>
      </c>
      <c r="G60" t="str">
        <f>_xlfn.XLOOKUP(frasest[[#This Row],[autor_es]],autorest[autor_es],autorest[bio_es])</f>
        <v>Escritor, poeta, filósofo y periodista inglés. Famoso por sus ensayos, cuentos de misterio y defensa del cristianismo.</v>
      </c>
      <c r="H60" t="str">
        <f>_xlfn.XLOOKUP(frasest[[#This Row],[autor_es]],autorest[autor_es],autorest[bio_la])</f>
        <v>Scriba, poeta, philosophus et diurnarius Anglicus. Notus pro essayis, fabulis mysteriis et Christianismi defensione.</v>
      </c>
      <c r="I60" t="str">
        <f>_xlfn.XLOOKUP(frasest[[#This Row],[autor_es]],autorest[autor_es],autorest[codigo])</f>
        <v>en</v>
      </c>
      <c r="J60" t="str">
        <f>_xlfn.XLOOKUP(frasest[[#This Row],[autor_es]],autorest[autor_es],autorest[idioma_es])</f>
        <v>Inglés</v>
      </c>
      <c r="K60" t="str">
        <f>_xlfn.XLOOKUP(frasest[[#This Row],[autor_es]],autorest[autor_es],autorest[idioma_la])</f>
        <v>Lingua Anglica</v>
      </c>
      <c r="L60" t="str">
        <f>_xlfn.XLOOKUP(frasest[[#This Row],[autor_es]],autorest[autor_es],autorest[nacion_es])</f>
        <v>Inglaterra</v>
      </c>
      <c r="M60" t="str">
        <f>_xlfn.XLOOKUP(frasest[[#This Row],[autor_es]],autorest[autor_es],autorest[nacion_la])</f>
        <v>Anglia</v>
      </c>
      <c r="N60" t="str">
        <f>_xlfn.XLOOKUP(frasest[[#This Row],[autor_es]],autorest[autor_es],autorest[epoca_es])</f>
        <v>Edad Contemporánea</v>
      </c>
      <c r="O60" t="str">
        <f>_xlfn.XLOOKUP(frasest[[#This Row],[autor_es]],autorest[autor_es],autorest[epoca_la])</f>
        <v>Aetas Contemporanea</v>
      </c>
    </row>
    <row r="61" spans="1:15">
      <c r="A61">
        <v>60</v>
      </c>
      <c r="B61" t="s">
        <v>192</v>
      </c>
      <c r="C61" t="s">
        <v>193</v>
      </c>
      <c r="D61" t="s">
        <v>194</v>
      </c>
      <c r="E61" t="s">
        <v>188</v>
      </c>
      <c r="F61" t="str">
        <f>_xlfn.XLOOKUP(frasest[[#This Row],[autor_es]],autorest[autor_es],autorest[autor_la])</f>
        <v>Gilbert Keith Chesterton</v>
      </c>
      <c r="G61" t="str">
        <f>_xlfn.XLOOKUP(frasest[[#This Row],[autor_es]],autorest[autor_es],autorest[bio_es])</f>
        <v>Escritor, poeta, filósofo y periodista inglés. Famoso por sus ensayos, cuentos de misterio y defensa del cristianismo.</v>
      </c>
      <c r="H61" t="str">
        <f>_xlfn.XLOOKUP(frasest[[#This Row],[autor_es]],autorest[autor_es],autorest[bio_la])</f>
        <v>Scriba, poeta, philosophus et diurnarius Anglicus. Notus pro essayis, fabulis mysteriis et Christianismi defensione.</v>
      </c>
      <c r="I61" t="str">
        <f>_xlfn.XLOOKUP(frasest[[#This Row],[autor_es]],autorest[autor_es],autorest[codigo])</f>
        <v>en</v>
      </c>
      <c r="J61" t="str">
        <f>_xlfn.XLOOKUP(frasest[[#This Row],[autor_es]],autorest[autor_es],autorest[idioma_es])</f>
        <v>Inglés</v>
      </c>
      <c r="K61" t="str">
        <f>_xlfn.XLOOKUP(frasest[[#This Row],[autor_es]],autorest[autor_es],autorest[idioma_la])</f>
        <v>Lingua Anglica</v>
      </c>
      <c r="L61" t="str">
        <f>_xlfn.XLOOKUP(frasest[[#This Row],[autor_es]],autorest[autor_es],autorest[nacion_es])</f>
        <v>Inglaterra</v>
      </c>
      <c r="M61" t="str">
        <f>_xlfn.XLOOKUP(frasest[[#This Row],[autor_es]],autorest[autor_es],autorest[nacion_la])</f>
        <v>Anglia</v>
      </c>
      <c r="N61" t="str">
        <f>_xlfn.XLOOKUP(frasest[[#This Row],[autor_es]],autorest[autor_es],autorest[epoca_es])</f>
        <v>Edad Contemporánea</v>
      </c>
      <c r="O61" t="str">
        <f>_xlfn.XLOOKUP(frasest[[#This Row],[autor_es]],autorest[autor_es],autorest[epoca_la])</f>
        <v>Aetas Contemporanea</v>
      </c>
    </row>
    <row r="62" spans="1:15">
      <c r="A62">
        <v>61</v>
      </c>
      <c r="B62" t="s">
        <v>195</v>
      </c>
      <c r="C62" t="s">
        <v>196</v>
      </c>
      <c r="D62" t="s">
        <v>197</v>
      </c>
      <c r="E62" t="s">
        <v>188</v>
      </c>
      <c r="F62" t="str">
        <f>_xlfn.XLOOKUP(frasest[[#This Row],[autor_es]],autorest[autor_es],autorest[autor_la])</f>
        <v>Gilbert Keith Chesterton</v>
      </c>
      <c r="G62" t="str">
        <f>_xlfn.XLOOKUP(frasest[[#This Row],[autor_es]],autorest[autor_es],autorest[bio_es])</f>
        <v>Escritor, poeta, filósofo y periodista inglés. Famoso por sus ensayos, cuentos de misterio y defensa del cristianismo.</v>
      </c>
      <c r="H62" t="str">
        <f>_xlfn.XLOOKUP(frasest[[#This Row],[autor_es]],autorest[autor_es],autorest[bio_la])</f>
        <v>Scriba, poeta, philosophus et diurnarius Anglicus. Notus pro essayis, fabulis mysteriis et Christianismi defensione.</v>
      </c>
      <c r="I62" t="str">
        <f>_xlfn.XLOOKUP(frasest[[#This Row],[autor_es]],autorest[autor_es],autorest[codigo])</f>
        <v>en</v>
      </c>
      <c r="J62" t="str">
        <f>_xlfn.XLOOKUP(frasest[[#This Row],[autor_es]],autorest[autor_es],autorest[idioma_es])</f>
        <v>Inglés</v>
      </c>
      <c r="K62" t="str">
        <f>_xlfn.XLOOKUP(frasest[[#This Row],[autor_es]],autorest[autor_es],autorest[idioma_la])</f>
        <v>Lingua Anglica</v>
      </c>
      <c r="L62" t="str">
        <f>_xlfn.XLOOKUP(frasest[[#This Row],[autor_es]],autorest[autor_es],autorest[nacion_es])</f>
        <v>Inglaterra</v>
      </c>
      <c r="M62" t="str">
        <f>_xlfn.XLOOKUP(frasest[[#This Row],[autor_es]],autorest[autor_es],autorest[nacion_la])</f>
        <v>Anglia</v>
      </c>
      <c r="N62" t="str">
        <f>_xlfn.XLOOKUP(frasest[[#This Row],[autor_es]],autorest[autor_es],autorest[epoca_es])</f>
        <v>Edad Contemporánea</v>
      </c>
      <c r="O62" t="str">
        <f>_xlfn.XLOOKUP(frasest[[#This Row],[autor_es]],autorest[autor_es],autorest[epoca_la])</f>
        <v>Aetas Contemporanea</v>
      </c>
    </row>
    <row r="63" spans="1:15">
      <c r="A63">
        <v>62</v>
      </c>
      <c r="B63" t="s">
        <v>198</v>
      </c>
      <c r="C63" t="s">
        <v>199</v>
      </c>
      <c r="D63" t="s">
        <v>200</v>
      </c>
      <c r="E63" t="s">
        <v>188</v>
      </c>
      <c r="F63" t="str">
        <f>_xlfn.XLOOKUP(frasest[[#This Row],[autor_es]],autorest[autor_es],autorest[autor_la])</f>
        <v>Gilbert Keith Chesterton</v>
      </c>
      <c r="G63" t="str">
        <f>_xlfn.XLOOKUP(frasest[[#This Row],[autor_es]],autorest[autor_es],autorest[bio_es])</f>
        <v>Escritor, poeta, filósofo y periodista inglés. Famoso por sus ensayos, cuentos de misterio y defensa del cristianismo.</v>
      </c>
      <c r="H63" t="str">
        <f>_xlfn.XLOOKUP(frasest[[#This Row],[autor_es]],autorest[autor_es],autorest[bio_la])</f>
        <v>Scriba, poeta, philosophus et diurnarius Anglicus. Notus pro essayis, fabulis mysteriis et Christianismi defensione.</v>
      </c>
      <c r="I63" t="str">
        <f>_xlfn.XLOOKUP(frasest[[#This Row],[autor_es]],autorest[autor_es],autorest[codigo])</f>
        <v>en</v>
      </c>
      <c r="J63" t="str">
        <f>_xlfn.XLOOKUP(frasest[[#This Row],[autor_es]],autorest[autor_es],autorest[idioma_es])</f>
        <v>Inglés</v>
      </c>
      <c r="K63" t="str">
        <f>_xlfn.XLOOKUP(frasest[[#This Row],[autor_es]],autorest[autor_es],autorest[idioma_la])</f>
        <v>Lingua Anglica</v>
      </c>
      <c r="L63" t="str">
        <f>_xlfn.XLOOKUP(frasest[[#This Row],[autor_es]],autorest[autor_es],autorest[nacion_es])</f>
        <v>Inglaterra</v>
      </c>
      <c r="M63" t="str">
        <f>_xlfn.XLOOKUP(frasest[[#This Row],[autor_es]],autorest[autor_es],autorest[nacion_la])</f>
        <v>Anglia</v>
      </c>
      <c r="N63" t="str">
        <f>_xlfn.XLOOKUP(frasest[[#This Row],[autor_es]],autorest[autor_es],autorest[epoca_es])</f>
        <v>Edad Contemporánea</v>
      </c>
      <c r="O63" t="str">
        <f>_xlfn.XLOOKUP(frasest[[#This Row],[autor_es]],autorest[autor_es],autorest[epoca_la])</f>
        <v>Aetas Contemporanea</v>
      </c>
    </row>
    <row r="64" spans="1:15">
      <c r="A64">
        <v>63</v>
      </c>
      <c r="B64" t="s">
        <v>201</v>
      </c>
      <c r="C64" t="s">
        <v>202</v>
      </c>
      <c r="D64" t="s">
        <v>203</v>
      </c>
      <c r="E64" t="s">
        <v>204</v>
      </c>
      <c r="F64" t="str">
        <f>_xlfn.XLOOKUP(frasest[[#This Row],[autor_es]],autorest[autor_es],autorest[autor_la])</f>
        <v>Ioannes Paulus II</v>
      </c>
      <c r="G64" t="str">
        <f>_xlfn.XLOOKUP(frasest[[#This Row],[autor_es]],autorest[autor_es],autorest[bio_es])</f>
        <v>Papa de la Iglesia Católica desde 1978 hasta 2005. Destacado por su labor pastoral, defensa de la vida y los derechos humanos.</v>
      </c>
      <c r="H64" t="str">
        <f>_xlfn.XLOOKUP(frasest[[#This Row],[autor_es]],autorest[autor_es],autorest[bio_la])</f>
        <v>Papa Ecclesiae Catholicae ab anno 1978 usque 2005. Labor pastoral, vitae tutela et iura humana praecipuus.</v>
      </c>
      <c r="I64" t="str">
        <f>_xlfn.XLOOKUP(frasest[[#This Row],[autor_es]],autorest[autor_es],autorest[codigo])</f>
        <v>la</v>
      </c>
      <c r="J64" t="str">
        <f>_xlfn.XLOOKUP(frasest[[#This Row],[autor_es]],autorest[autor_es],autorest[idioma_es])</f>
        <v>Latín</v>
      </c>
      <c r="K64" t="str">
        <f>_xlfn.XLOOKUP(frasest[[#This Row],[autor_es]],autorest[autor_es],autorest[idioma_la])</f>
        <v>Lingua Latina</v>
      </c>
      <c r="L64" t="str">
        <f>_xlfn.XLOOKUP(frasest[[#This Row],[autor_es]],autorest[autor_es],autorest[nacion_es])</f>
        <v>Polonia</v>
      </c>
      <c r="M64" t="str">
        <f>_xlfn.XLOOKUP(frasest[[#This Row],[autor_es]],autorest[autor_es],autorest[nacion_la])</f>
        <v>Polonia</v>
      </c>
      <c r="N64" t="str">
        <f>_xlfn.XLOOKUP(frasest[[#This Row],[autor_es]],autorest[autor_es],autorest[epoca_es])</f>
        <v>Edad Contemporánea</v>
      </c>
      <c r="O64" t="str">
        <f>_xlfn.XLOOKUP(frasest[[#This Row],[autor_es]],autorest[autor_es],autorest[epoca_la])</f>
        <v>Aetas Contemporanea</v>
      </c>
    </row>
    <row r="65" spans="1:15">
      <c r="A65">
        <v>64</v>
      </c>
      <c r="B65" t="s">
        <v>205</v>
      </c>
      <c r="C65" t="s">
        <v>206</v>
      </c>
      <c r="D65" t="s">
        <v>206</v>
      </c>
      <c r="E65" t="s">
        <v>204</v>
      </c>
      <c r="F65" t="str">
        <f>_xlfn.XLOOKUP(frasest[[#This Row],[autor_es]],autorest[autor_es],autorest[autor_la])</f>
        <v>Ioannes Paulus II</v>
      </c>
      <c r="G65" t="str">
        <f>_xlfn.XLOOKUP(frasest[[#This Row],[autor_es]],autorest[autor_es],autorest[bio_es])</f>
        <v>Papa de la Iglesia Católica desde 1978 hasta 2005. Destacado por su labor pastoral, defensa de la vida y los derechos humanos.</v>
      </c>
      <c r="H65" t="str">
        <f>_xlfn.XLOOKUP(frasest[[#This Row],[autor_es]],autorest[autor_es],autorest[bio_la])</f>
        <v>Papa Ecclesiae Catholicae ab anno 1978 usque 2005. Labor pastoral, vitae tutela et iura humana praecipuus.</v>
      </c>
      <c r="I65" t="str">
        <f>_xlfn.XLOOKUP(frasest[[#This Row],[autor_es]],autorest[autor_es],autorest[codigo])</f>
        <v>la</v>
      </c>
      <c r="J65" t="str">
        <f>_xlfn.XLOOKUP(frasest[[#This Row],[autor_es]],autorest[autor_es],autorest[idioma_es])</f>
        <v>Latín</v>
      </c>
      <c r="K65" t="str">
        <f>_xlfn.XLOOKUP(frasest[[#This Row],[autor_es]],autorest[autor_es],autorest[idioma_la])</f>
        <v>Lingua Latina</v>
      </c>
      <c r="L65" t="str">
        <f>_xlfn.XLOOKUP(frasest[[#This Row],[autor_es]],autorest[autor_es],autorest[nacion_es])</f>
        <v>Polonia</v>
      </c>
      <c r="M65" t="str">
        <f>_xlfn.XLOOKUP(frasest[[#This Row],[autor_es]],autorest[autor_es],autorest[nacion_la])</f>
        <v>Polonia</v>
      </c>
      <c r="N65" t="str">
        <f>_xlfn.XLOOKUP(frasest[[#This Row],[autor_es]],autorest[autor_es],autorest[epoca_es])</f>
        <v>Edad Contemporánea</v>
      </c>
      <c r="O65" t="str">
        <f>_xlfn.XLOOKUP(frasest[[#This Row],[autor_es]],autorest[autor_es],autorest[epoca_la])</f>
        <v>Aetas Contemporanea</v>
      </c>
    </row>
    <row r="66" spans="1:15">
      <c r="A66">
        <v>65</v>
      </c>
      <c r="B66" t="s">
        <v>207</v>
      </c>
      <c r="C66" t="s">
        <v>208</v>
      </c>
      <c r="D66" t="s">
        <v>208</v>
      </c>
      <c r="E66" t="s">
        <v>204</v>
      </c>
      <c r="F66" t="str">
        <f>_xlfn.XLOOKUP(frasest[[#This Row],[autor_es]],autorest[autor_es],autorest[autor_la])</f>
        <v>Ioannes Paulus II</v>
      </c>
      <c r="G66" t="str">
        <f>_xlfn.XLOOKUP(frasest[[#This Row],[autor_es]],autorest[autor_es],autorest[bio_es])</f>
        <v>Papa de la Iglesia Católica desde 1978 hasta 2005. Destacado por su labor pastoral, defensa de la vida y los derechos humanos.</v>
      </c>
      <c r="H66" t="str">
        <f>_xlfn.XLOOKUP(frasest[[#This Row],[autor_es]],autorest[autor_es],autorest[bio_la])</f>
        <v>Papa Ecclesiae Catholicae ab anno 1978 usque 2005. Labor pastoral, vitae tutela et iura humana praecipuus.</v>
      </c>
      <c r="I66" t="str">
        <f>_xlfn.XLOOKUP(frasest[[#This Row],[autor_es]],autorest[autor_es],autorest[codigo])</f>
        <v>la</v>
      </c>
      <c r="J66" t="str">
        <f>_xlfn.XLOOKUP(frasest[[#This Row],[autor_es]],autorest[autor_es],autorest[idioma_es])</f>
        <v>Latín</v>
      </c>
      <c r="K66" t="str">
        <f>_xlfn.XLOOKUP(frasest[[#This Row],[autor_es]],autorest[autor_es],autorest[idioma_la])</f>
        <v>Lingua Latina</v>
      </c>
      <c r="L66" t="str">
        <f>_xlfn.XLOOKUP(frasest[[#This Row],[autor_es]],autorest[autor_es],autorest[nacion_es])</f>
        <v>Polonia</v>
      </c>
      <c r="M66" t="str">
        <f>_xlfn.XLOOKUP(frasest[[#This Row],[autor_es]],autorest[autor_es],autorest[nacion_la])</f>
        <v>Polonia</v>
      </c>
      <c r="N66" t="str">
        <f>_xlfn.XLOOKUP(frasest[[#This Row],[autor_es]],autorest[autor_es],autorest[epoca_es])</f>
        <v>Edad Contemporánea</v>
      </c>
      <c r="O66" t="str">
        <f>_xlfn.XLOOKUP(frasest[[#This Row],[autor_es]],autorest[autor_es],autorest[epoca_la])</f>
        <v>Aetas Contemporanea</v>
      </c>
    </row>
    <row r="67" spans="1:15">
      <c r="A67">
        <v>66</v>
      </c>
      <c r="B67" t="s">
        <v>209</v>
      </c>
      <c r="C67" t="s">
        <v>210</v>
      </c>
      <c r="D67" t="s">
        <v>210</v>
      </c>
      <c r="E67" t="s">
        <v>204</v>
      </c>
      <c r="F67" t="str">
        <f>_xlfn.XLOOKUP(frasest[[#This Row],[autor_es]],autorest[autor_es],autorest[autor_la])</f>
        <v>Ioannes Paulus II</v>
      </c>
      <c r="G67" t="str">
        <f>_xlfn.XLOOKUP(frasest[[#This Row],[autor_es]],autorest[autor_es],autorest[bio_es])</f>
        <v>Papa de la Iglesia Católica desde 1978 hasta 2005. Destacado por su labor pastoral, defensa de la vida y los derechos humanos.</v>
      </c>
      <c r="H67" t="str">
        <f>_xlfn.XLOOKUP(frasest[[#This Row],[autor_es]],autorest[autor_es],autorest[bio_la])</f>
        <v>Papa Ecclesiae Catholicae ab anno 1978 usque 2005. Labor pastoral, vitae tutela et iura humana praecipuus.</v>
      </c>
      <c r="I67" t="str">
        <f>_xlfn.XLOOKUP(frasest[[#This Row],[autor_es]],autorest[autor_es],autorest[codigo])</f>
        <v>la</v>
      </c>
      <c r="J67" t="str">
        <f>_xlfn.XLOOKUP(frasest[[#This Row],[autor_es]],autorest[autor_es],autorest[idioma_es])</f>
        <v>Latín</v>
      </c>
      <c r="K67" t="str">
        <f>_xlfn.XLOOKUP(frasest[[#This Row],[autor_es]],autorest[autor_es],autorest[idioma_la])</f>
        <v>Lingua Latina</v>
      </c>
      <c r="L67" t="str">
        <f>_xlfn.XLOOKUP(frasest[[#This Row],[autor_es]],autorest[autor_es],autorest[nacion_es])</f>
        <v>Polonia</v>
      </c>
      <c r="M67" t="str">
        <f>_xlfn.XLOOKUP(frasest[[#This Row],[autor_es]],autorest[autor_es],autorest[nacion_la])</f>
        <v>Polonia</v>
      </c>
      <c r="N67" t="str">
        <f>_xlfn.XLOOKUP(frasest[[#This Row],[autor_es]],autorest[autor_es],autorest[epoca_es])</f>
        <v>Edad Contemporánea</v>
      </c>
      <c r="O67" t="str">
        <f>_xlfn.XLOOKUP(frasest[[#This Row],[autor_es]],autorest[autor_es],autorest[epoca_la])</f>
        <v>Aetas Contemporanea</v>
      </c>
    </row>
    <row r="68" spans="1:15">
      <c r="A68">
        <v>67</v>
      </c>
      <c r="B68" t="s">
        <v>211</v>
      </c>
      <c r="C68" t="s">
        <v>212</v>
      </c>
      <c r="D68" t="s">
        <v>213</v>
      </c>
      <c r="E68" t="s">
        <v>204</v>
      </c>
      <c r="F68" t="str">
        <f>_xlfn.XLOOKUP(frasest[[#This Row],[autor_es]],autorest[autor_es],autorest[autor_la])</f>
        <v>Ioannes Paulus II</v>
      </c>
      <c r="G68" t="str">
        <f>_xlfn.XLOOKUP(frasest[[#This Row],[autor_es]],autorest[autor_es],autorest[bio_es])</f>
        <v>Papa de la Iglesia Católica desde 1978 hasta 2005. Destacado por su labor pastoral, defensa de la vida y los derechos humanos.</v>
      </c>
      <c r="H68" t="str">
        <f>_xlfn.XLOOKUP(frasest[[#This Row],[autor_es]],autorest[autor_es],autorest[bio_la])</f>
        <v>Papa Ecclesiae Catholicae ab anno 1978 usque 2005. Labor pastoral, vitae tutela et iura humana praecipuus.</v>
      </c>
      <c r="I68" t="str">
        <f>_xlfn.XLOOKUP(frasest[[#This Row],[autor_es]],autorest[autor_es],autorest[codigo])</f>
        <v>la</v>
      </c>
      <c r="J68" t="str">
        <f>_xlfn.XLOOKUP(frasest[[#This Row],[autor_es]],autorest[autor_es],autorest[idioma_es])</f>
        <v>Latín</v>
      </c>
      <c r="K68" t="str">
        <f>_xlfn.XLOOKUP(frasest[[#This Row],[autor_es]],autorest[autor_es],autorest[idioma_la])</f>
        <v>Lingua Latina</v>
      </c>
      <c r="L68" t="str">
        <f>_xlfn.XLOOKUP(frasest[[#This Row],[autor_es]],autorest[autor_es],autorest[nacion_es])</f>
        <v>Polonia</v>
      </c>
      <c r="M68" t="str">
        <f>_xlfn.XLOOKUP(frasest[[#This Row],[autor_es]],autorest[autor_es],autorest[nacion_la])</f>
        <v>Polonia</v>
      </c>
      <c r="N68" t="str">
        <f>_xlfn.XLOOKUP(frasest[[#This Row],[autor_es]],autorest[autor_es],autorest[epoca_es])</f>
        <v>Edad Contemporánea</v>
      </c>
      <c r="O68" t="str">
        <f>_xlfn.XLOOKUP(frasest[[#This Row],[autor_es]],autorest[autor_es],autorest[epoca_la])</f>
        <v>Aetas Contemporanea</v>
      </c>
    </row>
    <row r="69" spans="1:15">
      <c r="A69">
        <v>68</v>
      </c>
      <c r="B69" t="s">
        <v>214</v>
      </c>
      <c r="C69" t="s">
        <v>215</v>
      </c>
      <c r="D69" t="s">
        <v>215</v>
      </c>
      <c r="E69" t="s">
        <v>204</v>
      </c>
      <c r="F69" t="str">
        <f>_xlfn.XLOOKUP(frasest[[#This Row],[autor_es]],autorest[autor_es],autorest[autor_la])</f>
        <v>Ioannes Paulus II</v>
      </c>
      <c r="G69" t="str">
        <f>_xlfn.XLOOKUP(frasest[[#This Row],[autor_es]],autorest[autor_es],autorest[bio_es])</f>
        <v>Papa de la Iglesia Católica desde 1978 hasta 2005. Destacado por su labor pastoral, defensa de la vida y los derechos humanos.</v>
      </c>
      <c r="H69" t="str">
        <f>_xlfn.XLOOKUP(frasest[[#This Row],[autor_es]],autorest[autor_es],autorest[bio_la])</f>
        <v>Papa Ecclesiae Catholicae ab anno 1978 usque 2005. Labor pastoral, vitae tutela et iura humana praecipuus.</v>
      </c>
      <c r="I69" t="str">
        <f>_xlfn.XLOOKUP(frasest[[#This Row],[autor_es]],autorest[autor_es],autorest[codigo])</f>
        <v>la</v>
      </c>
      <c r="J69" t="str">
        <f>_xlfn.XLOOKUP(frasest[[#This Row],[autor_es]],autorest[autor_es],autorest[idioma_es])</f>
        <v>Latín</v>
      </c>
      <c r="K69" t="str">
        <f>_xlfn.XLOOKUP(frasest[[#This Row],[autor_es]],autorest[autor_es],autorest[idioma_la])</f>
        <v>Lingua Latina</v>
      </c>
      <c r="L69" t="str">
        <f>_xlfn.XLOOKUP(frasest[[#This Row],[autor_es]],autorest[autor_es],autorest[nacion_es])</f>
        <v>Polonia</v>
      </c>
      <c r="M69" t="str">
        <f>_xlfn.XLOOKUP(frasest[[#This Row],[autor_es]],autorest[autor_es],autorest[nacion_la])</f>
        <v>Polonia</v>
      </c>
      <c r="N69" t="str">
        <f>_xlfn.XLOOKUP(frasest[[#This Row],[autor_es]],autorest[autor_es],autorest[epoca_es])</f>
        <v>Edad Contemporánea</v>
      </c>
      <c r="O69" t="str">
        <f>_xlfn.XLOOKUP(frasest[[#This Row],[autor_es]],autorest[autor_es],autorest[epoca_la])</f>
        <v>Aetas Contemporanea</v>
      </c>
    </row>
    <row r="70" spans="1:15">
      <c r="A70">
        <v>69</v>
      </c>
      <c r="B70" t="s">
        <v>216</v>
      </c>
      <c r="C70" t="s">
        <v>217</v>
      </c>
      <c r="D70" t="s">
        <v>217</v>
      </c>
      <c r="E70" t="s">
        <v>204</v>
      </c>
      <c r="F70" t="str">
        <f>_xlfn.XLOOKUP(frasest[[#This Row],[autor_es]],autorest[autor_es],autorest[autor_la])</f>
        <v>Ioannes Paulus II</v>
      </c>
      <c r="G70" t="str">
        <f>_xlfn.XLOOKUP(frasest[[#This Row],[autor_es]],autorest[autor_es],autorest[bio_es])</f>
        <v>Papa de la Iglesia Católica desde 1978 hasta 2005. Destacado por su labor pastoral, defensa de la vida y los derechos humanos.</v>
      </c>
      <c r="H70" t="str">
        <f>_xlfn.XLOOKUP(frasest[[#This Row],[autor_es]],autorest[autor_es],autorest[bio_la])</f>
        <v>Papa Ecclesiae Catholicae ab anno 1978 usque 2005. Labor pastoral, vitae tutela et iura humana praecipuus.</v>
      </c>
      <c r="I70" t="str">
        <f>_xlfn.XLOOKUP(frasest[[#This Row],[autor_es]],autorest[autor_es],autorest[codigo])</f>
        <v>la</v>
      </c>
      <c r="J70" t="str">
        <f>_xlfn.XLOOKUP(frasest[[#This Row],[autor_es]],autorest[autor_es],autorest[idioma_es])</f>
        <v>Latín</v>
      </c>
      <c r="K70" t="str">
        <f>_xlfn.XLOOKUP(frasest[[#This Row],[autor_es]],autorest[autor_es],autorest[idioma_la])</f>
        <v>Lingua Latina</v>
      </c>
      <c r="L70" t="str">
        <f>_xlfn.XLOOKUP(frasest[[#This Row],[autor_es]],autorest[autor_es],autorest[nacion_es])</f>
        <v>Polonia</v>
      </c>
      <c r="M70" t="str">
        <f>_xlfn.XLOOKUP(frasest[[#This Row],[autor_es]],autorest[autor_es],autorest[nacion_la])</f>
        <v>Polonia</v>
      </c>
      <c r="N70" t="str">
        <f>_xlfn.XLOOKUP(frasest[[#This Row],[autor_es]],autorest[autor_es],autorest[epoca_es])</f>
        <v>Edad Contemporánea</v>
      </c>
      <c r="O70" t="str">
        <f>_xlfn.XLOOKUP(frasest[[#This Row],[autor_es]],autorest[autor_es],autorest[epoca_la])</f>
        <v>Aetas Contemporanea</v>
      </c>
    </row>
    <row r="71" spans="1:15">
      <c r="A71">
        <v>70</v>
      </c>
      <c r="B71" t="s">
        <v>218</v>
      </c>
      <c r="C71" t="s">
        <v>219</v>
      </c>
      <c r="D71" t="s">
        <v>220</v>
      </c>
      <c r="E71" t="s">
        <v>204</v>
      </c>
      <c r="F71" t="str">
        <f>_xlfn.XLOOKUP(frasest[[#This Row],[autor_es]],autorest[autor_es],autorest[autor_la])</f>
        <v>Ioannes Paulus II</v>
      </c>
      <c r="G71" t="str">
        <f>_xlfn.XLOOKUP(frasest[[#This Row],[autor_es]],autorest[autor_es],autorest[bio_es])</f>
        <v>Papa de la Iglesia Católica desde 1978 hasta 2005. Destacado por su labor pastoral, defensa de la vida y los derechos humanos.</v>
      </c>
      <c r="H71" t="str">
        <f>_xlfn.XLOOKUP(frasest[[#This Row],[autor_es]],autorest[autor_es],autorest[bio_la])</f>
        <v>Papa Ecclesiae Catholicae ab anno 1978 usque 2005. Labor pastoral, vitae tutela et iura humana praecipuus.</v>
      </c>
      <c r="I71" t="str">
        <f>_xlfn.XLOOKUP(frasest[[#This Row],[autor_es]],autorest[autor_es],autorest[codigo])</f>
        <v>la</v>
      </c>
      <c r="J71" t="str">
        <f>_xlfn.XLOOKUP(frasest[[#This Row],[autor_es]],autorest[autor_es],autorest[idioma_es])</f>
        <v>Latín</v>
      </c>
      <c r="K71" t="str">
        <f>_xlfn.XLOOKUP(frasest[[#This Row],[autor_es]],autorest[autor_es],autorest[idioma_la])</f>
        <v>Lingua Latina</v>
      </c>
      <c r="L71" t="str">
        <f>_xlfn.XLOOKUP(frasest[[#This Row],[autor_es]],autorest[autor_es],autorest[nacion_es])</f>
        <v>Polonia</v>
      </c>
      <c r="M71" t="str">
        <f>_xlfn.XLOOKUP(frasest[[#This Row],[autor_es]],autorest[autor_es],autorest[nacion_la])</f>
        <v>Polonia</v>
      </c>
      <c r="N71" t="str">
        <f>_xlfn.XLOOKUP(frasest[[#This Row],[autor_es]],autorest[autor_es],autorest[epoca_es])</f>
        <v>Edad Contemporánea</v>
      </c>
      <c r="O71" t="str">
        <f>_xlfn.XLOOKUP(frasest[[#This Row],[autor_es]],autorest[autor_es],autorest[epoca_la])</f>
        <v>Aetas Contemporanea</v>
      </c>
    </row>
    <row r="72" spans="1:15">
      <c r="A72">
        <v>71</v>
      </c>
      <c r="B72" t="s">
        <v>221</v>
      </c>
      <c r="C72" t="s">
        <v>222</v>
      </c>
      <c r="D72" t="s">
        <v>222</v>
      </c>
      <c r="E72" t="s">
        <v>204</v>
      </c>
      <c r="F72" t="str">
        <f>_xlfn.XLOOKUP(frasest[[#This Row],[autor_es]],autorest[autor_es],autorest[autor_la])</f>
        <v>Ioannes Paulus II</v>
      </c>
      <c r="G72" t="str">
        <f>_xlfn.XLOOKUP(frasest[[#This Row],[autor_es]],autorest[autor_es],autorest[bio_es])</f>
        <v>Papa de la Iglesia Católica desde 1978 hasta 2005. Destacado por su labor pastoral, defensa de la vida y los derechos humanos.</v>
      </c>
      <c r="H72" t="str">
        <f>_xlfn.XLOOKUP(frasest[[#This Row],[autor_es]],autorest[autor_es],autorest[bio_la])</f>
        <v>Papa Ecclesiae Catholicae ab anno 1978 usque 2005. Labor pastoral, vitae tutela et iura humana praecipuus.</v>
      </c>
      <c r="I72" t="str">
        <f>_xlfn.XLOOKUP(frasest[[#This Row],[autor_es]],autorest[autor_es],autorest[codigo])</f>
        <v>la</v>
      </c>
      <c r="J72" t="str">
        <f>_xlfn.XLOOKUP(frasest[[#This Row],[autor_es]],autorest[autor_es],autorest[idioma_es])</f>
        <v>Latín</v>
      </c>
      <c r="K72" t="str">
        <f>_xlfn.XLOOKUP(frasest[[#This Row],[autor_es]],autorest[autor_es],autorest[idioma_la])</f>
        <v>Lingua Latina</v>
      </c>
      <c r="L72" t="str">
        <f>_xlfn.XLOOKUP(frasest[[#This Row],[autor_es]],autorest[autor_es],autorest[nacion_es])</f>
        <v>Polonia</v>
      </c>
      <c r="M72" t="str">
        <f>_xlfn.XLOOKUP(frasest[[#This Row],[autor_es]],autorest[autor_es],autorest[nacion_la])</f>
        <v>Polonia</v>
      </c>
      <c r="N72" t="str">
        <f>_xlfn.XLOOKUP(frasest[[#This Row],[autor_es]],autorest[autor_es],autorest[epoca_es])</f>
        <v>Edad Contemporánea</v>
      </c>
      <c r="O72" t="str">
        <f>_xlfn.XLOOKUP(frasest[[#This Row],[autor_es]],autorest[autor_es],autorest[epoca_la])</f>
        <v>Aetas Contemporanea</v>
      </c>
    </row>
    <row r="73" spans="1:15">
      <c r="A73">
        <v>72</v>
      </c>
      <c r="B73" t="s">
        <v>223</v>
      </c>
      <c r="C73" t="s">
        <v>224</v>
      </c>
      <c r="D73" t="s">
        <v>224</v>
      </c>
      <c r="E73" t="s">
        <v>204</v>
      </c>
      <c r="F73" t="str">
        <f>_xlfn.XLOOKUP(frasest[[#This Row],[autor_es]],autorest[autor_es],autorest[autor_la])</f>
        <v>Ioannes Paulus II</v>
      </c>
      <c r="G73" t="str">
        <f>_xlfn.XLOOKUP(frasest[[#This Row],[autor_es]],autorest[autor_es],autorest[bio_es])</f>
        <v>Papa de la Iglesia Católica desde 1978 hasta 2005. Destacado por su labor pastoral, defensa de la vida y los derechos humanos.</v>
      </c>
      <c r="H73" t="str">
        <f>_xlfn.XLOOKUP(frasest[[#This Row],[autor_es]],autorest[autor_es],autorest[bio_la])</f>
        <v>Papa Ecclesiae Catholicae ab anno 1978 usque 2005. Labor pastoral, vitae tutela et iura humana praecipuus.</v>
      </c>
      <c r="I73" t="str">
        <f>_xlfn.XLOOKUP(frasest[[#This Row],[autor_es]],autorest[autor_es],autorest[codigo])</f>
        <v>la</v>
      </c>
      <c r="J73" t="str">
        <f>_xlfn.XLOOKUP(frasest[[#This Row],[autor_es]],autorest[autor_es],autorest[idioma_es])</f>
        <v>Latín</v>
      </c>
      <c r="K73" t="str">
        <f>_xlfn.XLOOKUP(frasest[[#This Row],[autor_es]],autorest[autor_es],autorest[idioma_la])</f>
        <v>Lingua Latina</v>
      </c>
      <c r="L73" t="str">
        <f>_xlfn.XLOOKUP(frasest[[#This Row],[autor_es]],autorest[autor_es],autorest[nacion_es])</f>
        <v>Polonia</v>
      </c>
      <c r="M73" t="str">
        <f>_xlfn.XLOOKUP(frasest[[#This Row],[autor_es]],autorest[autor_es],autorest[nacion_la])</f>
        <v>Polonia</v>
      </c>
      <c r="N73" t="str">
        <f>_xlfn.XLOOKUP(frasest[[#This Row],[autor_es]],autorest[autor_es],autorest[epoca_es])</f>
        <v>Edad Contemporánea</v>
      </c>
      <c r="O73" t="str">
        <f>_xlfn.XLOOKUP(frasest[[#This Row],[autor_es]],autorest[autor_es],autorest[epoca_la])</f>
        <v>Aetas Contemporanea</v>
      </c>
    </row>
    <row r="74" spans="1:15">
      <c r="A74">
        <v>73</v>
      </c>
      <c r="B74" t="s">
        <v>225</v>
      </c>
      <c r="C74" t="s">
        <v>226</v>
      </c>
      <c r="D74" t="s">
        <v>227</v>
      </c>
      <c r="E74" t="s">
        <v>228</v>
      </c>
      <c r="F74" t="str">
        <f>_xlfn.XLOOKUP(frasest[[#This Row],[autor_es]],autorest[autor_es],autorest[autor_la])</f>
        <v>Sanctus Ioannes Baptista de La Salle</v>
      </c>
      <c r="G74" t="str">
        <f>_xlfn.XLOOKUP(frasest[[#This Row],[autor_es]],autorest[autor_es],autorest[bio_es])</f>
        <v>Sacerdote francés y fundador de los Hermanos de las Escuelas Cristianas, dedicados a la educación cristiana de los jóvenes, especialmente pobres.</v>
      </c>
      <c r="H74" t="str">
        <f>_xlfn.XLOOKUP(frasest[[#This Row],[autor_es]],autorest[autor_es],autorest[bio_la])</f>
        <v>Sacerdos Francogallicus, fratres Scholarium Christianorum fundator. Iuvenes praecipue pauperes educavit.</v>
      </c>
      <c r="I74" t="str">
        <f>_xlfn.XLOOKUP(frasest[[#This Row],[autor_es]],autorest[autor_es],autorest[codigo])</f>
        <v>la</v>
      </c>
      <c r="J74" t="str">
        <f>_xlfn.XLOOKUP(frasest[[#This Row],[autor_es]],autorest[autor_es],autorest[idioma_es])</f>
        <v>Latín</v>
      </c>
      <c r="K74" t="str">
        <f>_xlfn.XLOOKUP(frasest[[#This Row],[autor_es]],autorest[autor_es],autorest[idioma_la])</f>
        <v>Lingua Latina</v>
      </c>
      <c r="L74" t="str">
        <f>_xlfn.XLOOKUP(frasest[[#This Row],[autor_es]],autorest[autor_es],autorest[nacion_es])</f>
        <v>Francia</v>
      </c>
      <c r="M74" t="str">
        <f>_xlfn.XLOOKUP(frasest[[#This Row],[autor_es]],autorest[autor_es],autorest[nacion_la])</f>
        <v>Gallia</v>
      </c>
      <c r="N74" t="str">
        <f>_xlfn.XLOOKUP(frasest[[#This Row],[autor_es]],autorest[autor_es],autorest[epoca_es])</f>
        <v>Edad Moderna</v>
      </c>
      <c r="O74" t="str">
        <f>_xlfn.XLOOKUP(frasest[[#This Row],[autor_es]],autorest[autor_es],autorest[epoca_la])</f>
        <v>Nova Aetas</v>
      </c>
    </row>
    <row r="75" spans="1:15" ht="14.25">
      <c r="A75">
        <v>74</v>
      </c>
      <c r="B75" t="s">
        <v>229</v>
      </c>
      <c r="C75" t="s">
        <v>230</v>
      </c>
      <c r="D75" s="2" t="s">
        <v>231</v>
      </c>
      <c r="E75" t="s">
        <v>232</v>
      </c>
      <c r="F75" t="str">
        <f>_xlfn.XLOOKUP(frasest[[#This Row],[autor_es]],autorest[autor_es],autorest[autor_la])</f>
        <v>Proverbium Arabica</v>
      </c>
      <c r="G75" t="str">
        <f>_xlfn.XLOOKUP(frasest[[#This Row],[autor_es]],autorest[autor_es],autorest[bio_es])</f>
        <v>Proverbios tradicionales de la cultura árabe que transmiten valores de hospitalidad, honor, paciencia y sabiduría práctica.</v>
      </c>
      <c r="H75" t="str">
        <f>_xlfn.XLOOKUP(frasest[[#This Row],[autor_es]],autorest[autor_es],autorest[bio_la])</f>
        <v>Collectio sententiarum Arabicarum.</v>
      </c>
      <c r="I75" t="str">
        <f>_xlfn.XLOOKUP(frasest[[#This Row],[autor_es]],autorest[autor_es],autorest[codigo])</f>
        <v>ar</v>
      </c>
      <c r="J75" t="str">
        <f>_xlfn.XLOOKUP(frasest[[#This Row],[autor_es]],autorest[autor_es],autorest[idioma_es])</f>
        <v>Árabe</v>
      </c>
      <c r="K75" t="str">
        <f>_xlfn.XLOOKUP(frasest[[#This Row],[autor_es]],autorest[autor_es],autorest[idioma_la])</f>
        <v>Lingua Arabica</v>
      </c>
      <c r="L75" t="str">
        <f>_xlfn.XLOOKUP(frasest[[#This Row],[autor_es]],autorest[autor_es],autorest[nacion_es])</f>
        <v>Arabia</v>
      </c>
      <c r="M75" t="str">
        <f>_xlfn.XLOOKUP(frasest[[#This Row],[autor_es]],autorest[autor_es],autorest[nacion_la])</f>
        <v>Arabia</v>
      </c>
      <c r="N75" t="str">
        <f>_xlfn.XLOOKUP(frasest[[#This Row],[autor_es]],autorest[autor_es],autorest[epoca_es])</f>
        <v>Epoca Desconocida</v>
      </c>
      <c r="O75" t="str">
        <f>_xlfn.XLOOKUP(frasest[[#This Row],[autor_es]],autorest[autor_es],autorest[epoca_la])</f>
        <v>Epocha Ignota</v>
      </c>
    </row>
    <row r="76" spans="1:15" ht="14.25">
      <c r="A76">
        <v>75</v>
      </c>
      <c r="B76" t="s">
        <v>233</v>
      </c>
      <c r="C76" t="s">
        <v>234</v>
      </c>
      <c r="D76" s="2" t="s">
        <v>235</v>
      </c>
      <c r="E76" t="s">
        <v>232</v>
      </c>
      <c r="F76" t="str">
        <f>_xlfn.XLOOKUP(frasest[[#This Row],[autor_es]],autorest[autor_es],autorest[autor_la])</f>
        <v>Proverbium Arabica</v>
      </c>
      <c r="G76" t="str">
        <f>_xlfn.XLOOKUP(frasest[[#This Row],[autor_es]],autorest[autor_es],autorest[bio_es])</f>
        <v>Proverbios tradicionales de la cultura árabe que transmiten valores de hospitalidad, honor, paciencia y sabiduría práctica.</v>
      </c>
      <c r="H76" t="str">
        <f>_xlfn.XLOOKUP(frasest[[#This Row],[autor_es]],autorest[autor_es],autorest[bio_la])</f>
        <v>Collectio sententiarum Arabicarum.</v>
      </c>
      <c r="I76" t="str">
        <f>_xlfn.XLOOKUP(frasest[[#This Row],[autor_es]],autorest[autor_es],autorest[codigo])</f>
        <v>ar</v>
      </c>
      <c r="J76" t="str">
        <f>_xlfn.XLOOKUP(frasest[[#This Row],[autor_es]],autorest[autor_es],autorest[idioma_es])</f>
        <v>Árabe</v>
      </c>
      <c r="K76" t="str">
        <f>_xlfn.XLOOKUP(frasest[[#This Row],[autor_es]],autorest[autor_es],autorest[idioma_la])</f>
        <v>Lingua Arabica</v>
      </c>
      <c r="L76" t="str">
        <f>_xlfn.XLOOKUP(frasest[[#This Row],[autor_es]],autorest[autor_es],autorest[nacion_es])</f>
        <v>Arabia</v>
      </c>
      <c r="M76" t="str">
        <f>_xlfn.XLOOKUP(frasest[[#This Row],[autor_es]],autorest[autor_es],autorest[nacion_la])</f>
        <v>Arabia</v>
      </c>
      <c r="N76" t="str">
        <f>_xlfn.XLOOKUP(frasest[[#This Row],[autor_es]],autorest[autor_es],autorest[epoca_es])</f>
        <v>Epoca Desconocida</v>
      </c>
      <c r="O76" t="str">
        <f>_xlfn.XLOOKUP(frasest[[#This Row],[autor_es]],autorest[autor_es],autorest[epoca_la])</f>
        <v>Epocha Ignota</v>
      </c>
    </row>
    <row r="77" spans="1:15" ht="14.25">
      <c r="A77">
        <v>76</v>
      </c>
      <c r="B77" t="s">
        <v>236</v>
      </c>
      <c r="C77" t="s">
        <v>237</v>
      </c>
      <c r="D77" s="2" t="s">
        <v>238</v>
      </c>
      <c r="E77" t="s">
        <v>232</v>
      </c>
      <c r="F77" t="str">
        <f>_xlfn.XLOOKUP(frasest[[#This Row],[autor_es]],autorest[autor_es],autorest[autor_la])</f>
        <v>Proverbium Arabica</v>
      </c>
      <c r="G77" t="str">
        <f>_xlfn.XLOOKUP(frasest[[#This Row],[autor_es]],autorest[autor_es],autorest[bio_es])</f>
        <v>Proverbios tradicionales de la cultura árabe que transmiten valores de hospitalidad, honor, paciencia y sabiduría práctica.</v>
      </c>
      <c r="H77" t="str">
        <f>_xlfn.XLOOKUP(frasest[[#This Row],[autor_es]],autorest[autor_es],autorest[bio_la])</f>
        <v>Collectio sententiarum Arabicarum.</v>
      </c>
      <c r="I77" t="str">
        <f>_xlfn.XLOOKUP(frasest[[#This Row],[autor_es]],autorest[autor_es],autorest[codigo])</f>
        <v>ar</v>
      </c>
      <c r="J77" t="str">
        <f>_xlfn.XLOOKUP(frasest[[#This Row],[autor_es]],autorest[autor_es],autorest[idioma_es])</f>
        <v>Árabe</v>
      </c>
      <c r="K77" t="str">
        <f>_xlfn.XLOOKUP(frasest[[#This Row],[autor_es]],autorest[autor_es],autorest[idioma_la])</f>
        <v>Lingua Arabica</v>
      </c>
      <c r="L77" t="str">
        <f>_xlfn.XLOOKUP(frasest[[#This Row],[autor_es]],autorest[autor_es],autorest[nacion_es])</f>
        <v>Arabia</v>
      </c>
      <c r="M77" t="str">
        <f>_xlfn.XLOOKUP(frasest[[#This Row],[autor_es]],autorest[autor_es],autorest[nacion_la])</f>
        <v>Arabia</v>
      </c>
      <c r="N77" t="str">
        <f>_xlfn.XLOOKUP(frasest[[#This Row],[autor_es]],autorest[autor_es],autorest[epoca_es])</f>
        <v>Epoca Desconocida</v>
      </c>
      <c r="O77" t="str">
        <f>_xlfn.XLOOKUP(frasest[[#This Row],[autor_es]],autorest[autor_es],autorest[epoca_la])</f>
        <v>Epocha Ignota</v>
      </c>
    </row>
    <row r="78" spans="1:15" ht="14.25">
      <c r="A78">
        <v>77</v>
      </c>
      <c r="B78" t="s">
        <v>239</v>
      </c>
      <c r="C78" t="s">
        <v>240</v>
      </c>
      <c r="D78" s="2" t="s">
        <v>241</v>
      </c>
      <c r="E78" t="s">
        <v>232</v>
      </c>
      <c r="F78" t="str">
        <f>_xlfn.XLOOKUP(frasest[[#This Row],[autor_es]],autorest[autor_es],autorest[autor_la])</f>
        <v>Proverbium Arabica</v>
      </c>
      <c r="G78" t="str">
        <f>_xlfn.XLOOKUP(frasest[[#This Row],[autor_es]],autorest[autor_es],autorest[bio_es])</f>
        <v>Proverbios tradicionales de la cultura árabe que transmiten valores de hospitalidad, honor, paciencia y sabiduría práctica.</v>
      </c>
      <c r="H78" t="str">
        <f>_xlfn.XLOOKUP(frasest[[#This Row],[autor_es]],autorest[autor_es],autorest[bio_la])</f>
        <v>Collectio sententiarum Arabicarum.</v>
      </c>
      <c r="I78" t="str">
        <f>_xlfn.XLOOKUP(frasest[[#This Row],[autor_es]],autorest[autor_es],autorest[codigo])</f>
        <v>ar</v>
      </c>
      <c r="J78" t="str">
        <f>_xlfn.XLOOKUP(frasest[[#This Row],[autor_es]],autorest[autor_es],autorest[idioma_es])</f>
        <v>Árabe</v>
      </c>
      <c r="K78" t="str">
        <f>_xlfn.XLOOKUP(frasest[[#This Row],[autor_es]],autorest[autor_es],autorest[idioma_la])</f>
        <v>Lingua Arabica</v>
      </c>
      <c r="L78" t="str">
        <f>_xlfn.XLOOKUP(frasest[[#This Row],[autor_es]],autorest[autor_es],autorest[nacion_es])</f>
        <v>Arabia</v>
      </c>
      <c r="M78" t="str">
        <f>_xlfn.XLOOKUP(frasest[[#This Row],[autor_es]],autorest[autor_es],autorest[nacion_la])</f>
        <v>Arabia</v>
      </c>
      <c r="N78" t="str">
        <f>_xlfn.XLOOKUP(frasest[[#This Row],[autor_es]],autorest[autor_es],autorest[epoca_es])</f>
        <v>Epoca Desconocida</v>
      </c>
      <c r="O78" t="str">
        <f>_xlfn.XLOOKUP(frasest[[#This Row],[autor_es]],autorest[autor_es],autorest[epoca_la])</f>
        <v>Epocha Ignota</v>
      </c>
    </row>
    <row r="79" spans="1:15" ht="14.25">
      <c r="A79">
        <v>78</v>
      </c>
      <c r="B79" t="s">
        <v>242</v>
      </c>
      <c r="C79" t="s">
        <v>243</v>
      </c>
      <c r="D79" s="2" t="s">
        <v>244</v>
      </c>
      <c r="E79" t="s">
        <v>232</v>
      </c>
      <c r="F79" t="str">
        <f>_xlfn.XLOOKUP(frasest[[#This Row],[autor_es]],autorest[autor_es],autorest[autor_la])</f>
        <v>Proverbium Arabica</v>
      </c>
      <c r="G79" t="str">
        <f>_xlfn.XLOOKUP(frasest[[#This Row],[autor_es]],autorest[autor_es],autorest[bio_es])</f>
        <v>Proverbios tradicionales de la cultura árabe que transmiten valores de hospitalidad, honor, paciencia y sabiduría práctica.</v>
      </c>
      <c r="H79" t="str">
        <f>_xlfn.XLOOKUP(frasest[[#This Row],[autor_es]],autorest[autor_es],autorest[bio_la])</f>
        <v>Collectio sententiarum Arabicarum.</v>
      </c>
      <c r="I79" t="str">
        <f>_xlfn.XLOOKUP(frasest[[#This Row],[autor_es]],autorest[autor_es],autorest[codigo])</f>
        <v>ar</v>
      </c>
      <c r="J79" t="str">
        <f>_xlfn.XLOOKUP(frasest[[#This Row],[autor_es]],autorest[autor_es],autorest[idioma_es])</f>
        <v>Árabe</v>
      </c>
      <c r="K79" t="str">
        <f>_xlfn.XLOOKUP(frasest[[#This Row],[autor_es]],autorest[autor_es],autorest[idioma_la])</f>
        <v>Lingua Arabica</v>
      </c>
      <c r="L79" t="str">
        <f>_xlfn.XLOOKUP(frasest[[#This Row],[autor_es]],autorest[autor_es],autorest[nacion_es])</f>
        <v>Arabia</v>
      </c>
      <c r="M79" t="str">
        <f>_xlfn.XLOOKUP(frasest[[#This Row],[autor_es]],autorest[autor_es],autorest[nacion_la])</f>
        <v>Arabia</v>
      </c>
      <c r="N79" t="str">
        <f>_xlfn.XLOOKUP(frasest[[#This Row],[autor_es]],autorest[autor_es],autorest[epoca_es])</f>
        <v>Epoca Desconocida</v>
      </c>
      <c r="O79" t="str">
        <f>_xlfn.XLOOKUP(frasest[[#This Row],[autor_es]],autorest[autor_es],autorest[epoca_la])</f>
        <v>Epocha Ignota</v>
      </c>
    </row>
    <row r="80" spans="1:15" ht="14.25">
      <c r="A80">
        <v>79</v>
      </c>
      <c r="B80" t="s">
        <v>245</v>
      </c>
      <c r="C80" t="s">
        <v>246</v>
      </c>
      <c r="D80" s="2" t="s">
        <v>247</v>
      </c>
      <c r="E80" t="s">
        <v>232</v>
      </c>
      <c r="F80" t="str">
        <f>_xlfn.XLOOKUP(frasest[[#This Row],[autor_es]],autorest[autor_es],autorest[autor_la])</f>
        <v>Proverbium Arabica</v>
      </c>
      <c r="G80" t="str">
        <f>_xlfn.XLOOKUP(frasest[[#This Row],[autor_es]],autorest[autor_es],autorest[bio_es])</f>
        <v>Proverbios tradicionales de la cultura árabe que transmiten valores de hospitalidad, honor, paciencia y sabiduría práctica.</v>
      </c>
      <c r="H80" t="str">
        <f>_xlfn.XLOOKUP(frasest[[#This Row],[autor_es]],autorest[autor_es],autorest[bio_la])</f>
        <v>Collectio sententiarum Arabicarum.</v>
      </c>
      <c r="I80" t="str">
        <f>_xlfn.XLOOKUP(frasest[[#This Row],[autor_es]],autorest[autor_es],autorest[codigo])</f>
        <v>ar</v>
      </c>
      <c r="J80" t="str">
        <f>_xlfn.XLOOKUP(frasest[[#This Row],[autor_es]],autorest[autor_es],autorest[idioma_es])</f>
        <v>Árabe</v>
      </c>
      <c r="K80" t="str">
        <f>_xlfn.XLOOKUP(frasest[[#This Row],[autor_es]],autorest[autor_es],autorest[idioma_la])</f>
        <v>Lingua Arabica</v>
      </c>
      <c r="L80" t="str">
        <f>_xlfn.XLOOKUP(frasest[[#This Row],[autor_es]],autorest[autor_es],autorest[nacion_es])</f>
        <v>Arabia</v>
      </c>
      <c r="M80" t="str">
        <f>_xlfn.XLOOKUP(frasest[[#This Row],[autor_es]],autorest[autor_es],autorest[nacion_la])</f>
        <v>Arabia</v>
      </c>
      <c r="N80" t="str">
        <f>_xlfn.XLOOKUP(frasest[[#This Row],[autor_es]],autorest[autor_es],autorest[epoca_es])</f>
        <v>Epoca Desconocida</v>
      </c>
      <c r="O80" t="str">
        <f>_xlfn.XLOOKUP(frasest[[#This Row],[autor_es]],autorest[autor_es],autorest[epoca_la])</f>
        <v>Epocha Ignota</v>
      </c>
    </row>
    <row r="81" spans="1:15" ht="14.25">
      <c r="A81">
        <v>80</v>
      </c>
      <c r="B81" t="s">
        <v>248</v>
      </c>
      <c r="C81" t="s">
        <v>249</v>
      </c>
      <c r="D81" s="2" t="s">
        <v>250</v>
      </c>
      <c r="E81" t="s">
        <v>232</v>
      </c>
      <c r="F81" t="str">
        <f>_xlfn.XLOOKUP(frasest[[#This Row],[autor_es]],autorest[autor_es],autorest[autor_la])</f>
        <v>Proverbium Arabica</v>
      </c>
      <c r="G81" t="str">
        <f>_xlfn.XLOOKUP(frasest[[#This Row],[autor_es]],autorest[autor_es],autorest[bio_es])</f>
        <v>Proverbios tradicionales de la cultura árabe que transmiten valores de hospitalidad, honor, paciencia y sabiduría práctica.</v>
      </c>
      <c r="H81" t="str">
        <f>_xlfn.XLOOKUP(frasest[[#This Row],[autor_es]],autorest[autor_es],autorest[bio_la])</f>
        <v>Collectio sententiarum Arabicarum.</v>
      </c>
      <c r="I81" t="str">
        <f>_xlfn.XLOOKUP(frasest[[#This Row],[autor_es]],autorest[autor_es],autorest[codigo])</f>
        <v>ar</v>
      </c>
      <c r="J81" t="str">
        <f>_xlfn.XLOOKUP(frasest[[#This Row],[autor_es]],autorest[autor_es],autorest[idioma_es])</f>
        <v>Árabe</v>
      </c>
      <c r="K81" t="str">
        <f>_xlfn.XLOOKUP(frasest[[#This Row],[autor_es]],autorest[autor_es],autorest[idioma_la])</f>
        <v>Lingua Arabica</v>
      </c>
      <c r="L81" t="str">
        <f>_xlfn.XLOOKUP(frasest[[#This Row],[autor_es]],autorest[autor_es],autorest[nacion_es])</f>
        <v>Arabia</v>
      </c>
      <c r="M81" t="str">
        <f>_xlfn.XLOOKUP(frasest[[#This Row],[autor_es]],autorest[autor_es],autorest[nacion_la])</f>
        <v>Arabia</v>
      </c>
      <c r="N81" t="str">
        <f>_xlfn.XLOOKUP(frasest[[#This Row],[autor_es]],autorest[autor_es],autorest[epoca_es])</f>
        <v>Epoca Desconocida</v>
      </c>
      <c r="O81" t="str">
        <f>_xlfn.XLOOKUP(frasest[[#This Row],[autor_es]],autorest[autor_es],autorest[epoca_la])</f>
        <v>Epocha Ignota</v>
      </c>
    </row>
    <row r="82" spans="1:15" ht="14.25">
      <c r="A82">
        <v>81</v>
      </c>
      <c r="B82" t="s">
        <v>251</v>
      </c>
      <c r="C82" t="s">
        <v>252</v>
      </c>
      <c r="D82" s="2" t="s">
        <v>253</v>
      </c>
      <c r="E82" t="s">
        <v>232</v>
      </c>
      <c r="F82" t="str">
        <f>_xlfn.XLOOKUP(frasest[[#This Row],[autor_es]],autorest[autor_es],autorest[autor_la])</f>
        <v>Proverbium Arabica</v>
      </c>
      <c r="G82" t="str">
        <f>_xlfn.XLOOKUP(frasest[[#This Row],[autor_es]],autorest[autor_es],autorest[bio_es])</f>
        <v>Proverbios tradicionales de la cultura árabe que transmiten valores de hospitalidad, honor, paciencia y sabiduría práctica.</v>
      </c>
      <c r="H82" t="str">
        <f>_xlfn.XLOOKUP(frasest[[#This Row],[autor_es]],autorest[autor_es],autorest[bio_la])</f>
        <v>Collectio sententiarum Arabicarum.</v>
      </c>
      <c r="I82" t="str">
        <f>_xlfn.XLOOKUP(frasest[[#This Row],[autor_es]],autorest[autor_es],autorest[codigo])</f>
        <v>ar</v>
      </c>
      <c r="J82" t="str">
        <f>_xlfn.XLOOKUP(frasest[[#This Row],[autor_es]],autorest[autor_es],autorest[idioma_es])</f>
        <v>Árabe</v>
      </c>
      <c r="K82" t="str">
        <f>_xlfn.XLOOKUP(frasest[[#This Row],[autor_es]],autorest[autor_es],autorest[idioma_la])</f>
        <v>Lingua Arabica</v>
      </c>
      <c r="L82" t="str">
        <f>_xlfn.XLOOKUP(frasest[[#This Row],[autor_es]],autorest[autor_es],autorest[nacion_es])</f>
        <v>Arabia</v>
      </c>
      <c r="M82" t="str">
        <f>_xlfn.XLOOKUP(frasest[[#This Row],[autor_es]],autorest[autor_es],autorest[nacion_la])</f>
        <v>Arabia</v>
      </c>
      <c r="N82" t="str">
        <f>_xlfn.XLOOKUP(frasest[[#This Row],[autor_es]],autorest[autor_es],autorest[epoca_es])</f>
        <v>Epoca Desconocida</v>
      </c>
      <c r="O82" t="str">
        <f>_xlfn.XLOOKUP(frasest[[#This Row],[autor_es]],autorest[autor_es],autorest[epoca_la])</f>
        <v>Epocha Ignota</v>
      </c>
    </row>
    <row r="83" spans="1:15" ht="14.25">
      <c r="A83">
        <v>82</v>
      </c>
      <c r="B83" t="s">
        <v>254</v>
      </c>
      <c r="C83" t="s">
        <v>255</v>
      </c>
      <c r="D83" s="2" t="s">
        <v>256</v>
      </c>
      <c r="E83" t="s">
        <v>232</v>
      </c>
      <c r="F83" t="str">
        <f>_xlfn.XLOOKUP(frasest[[#This Row],[autor_es]],autorest[autor_es],autorest[autor_la])</f>
        <v>Proverbium Arabica</v>
      </c>
      <c r="G83" t="str">
        <f>_xlfn.XLOOKUP(frasest[[#This Row],[autor_es]],autorest[autor_es],autorest[bio_es])</f>
        <v>Proverbios tradicionales de la cultura árabe que transmiten valores de hospitalidad, honor, paciencia y sabiduría práctica.</v>
      </c>
      <c r="H83" t="str">
        <f>_xlfn.XLOOKUP(frasest[[#This Row],[autor_es]],autorest[autor_es],autorest[bio_la])</f>
        <v>Collectio sententiarum Arabicarum.</v>
      </c>
      <c r="I83" t="str">
        <f>_xlfn.XLOOKUP(frasest[[#This Row],[autor_es]],autorest[autor_es],autorest[codigo])</f>
        <v>ar</v>
      </c>
      <c r="J83" t="str">
        <f>_xlfn.XLOOKUP(frasest[[#This Row],[autor_es]],autorest[autor_es],autorest[idioma_es])</f>
        <v>Árabe</v>
      </c>
      <c r="K83" t="str">
        <f>_xlfn.XLOOKUP(frasest[[#This Row],[autor_es]],autorest[autor_es],autorest[idioma_la])</f>
        <v>Lingua Arabica</v>
      </c>
      <c r="L83" t="str">
        <f>_xlfn.XLOOKUP(frasest[[#This Row],[autor_es]],autorest[autor_es],autorest[nacion_es])</f>
        <v>Arabia</v>
      </c>
      <c r="M83" t="str">
        <f>_xlfn.XLOOKUP(frasest[[#This Row],[autor_es]],autorest[autor_es],autorest[nacion_la])</f>
        <v>Arabia</v>
      </c>
      <c r="N83" t="str">
        <f>_xlfn.XLOOKUP(frasest[[#This Row],[autor_es]],autorest[autor_es],autorest[epoca_es])</f>
        <v>Epoca Desconocida</v>
      </c>
      <c r="O83" t="str">
        <f>_xlfn.XLOOKUP(frasest[[#This Row],[autor_es]],autorest[autor_es],autorest[epoca_la])</f>
        <v>Epocha Ignota</v>
      </c>
    </row>
    <row r="84" spans="1:15" ht="14.25">
      <c r="A84">
        <v>83</v>
      </c>
      <c r="B84" t="s">
        <v>257</v>
      </c>
      <c r="C84" t="s">
        <v>258</v>
      </c>
      <c r="D84" s="2" t="s">
        <v>259</v>
      </c>
      <c r="E84" t="s">
        <v>232</v>
      </c>
      <c r="F84" t="str">
        <f>_xlfn.XLOOKUP(frasest[[#This Row],[autor_es]],autorest[autor_es],autorest[autor_la])</f>
        <v>Proverbium Arabica</v>
      </c>
      <c r="G84" t="str">
        <f>_xlfn.XLOOKUP(frasest[[#This Row],[autor_es]],autorest[autor_es],autorest[bio_es])</f>
        <v>Proverbios tradicionales de la cultura árabe que transmiten valores de hospitalidad, honor, paciencia y sabiduría práctica.</v>
      </c>
      <c r="H84" t="str">
        <f>_xlfn.XLOOKUP(frasest[[#This Row],[autor_es]],autorest[autor_es],autorest[bio_la])</f>
        <v>Collectio sententiarum Arabicarum.</v>
      </c>
      <c r="I84" t="str">
        <f>_xlfn.XLOOKUP(frasest[[#This Row],[autor_es]],autorest[autor_es],autorest[codigo])</f>
        <v>ar</v>
      </c>
      <c r="J84" t="str">
        <f>_xlfn.XLOOKUP(frasest[[#This Row],[autor_es]],autorest[autor_es],autorest[idioma_es])</f>
        <v>Árabe</v>
      </c>
      <c r="K84" t="str">
        <f>_xlfn.XLOOKUP(frasest[[#This Row],[autor_es]],autorest[autor_es],autorest[idioma_la])</f>
        <v>Lingua Arabica</v>
      </c>
      <c r="L84" t="str">
        <f>_xlfn.XLOOKUP(frasest[[#This Row],[autor_es]],autorest[autor_es],autorest[nacion_es])</f>
        <v>Arabia</v>
      </c>
      <c r="M84" t="str">
        <f>_xlfn.XLOOKUP(frasest[[#This Row],[autor_es]],autorest[autor_es],autorest[nacion_la])</f>
        <v>Arabia</v>
      </c>
      <c r="N84" t="str">
        <f>_xlfn.XLOOKUP(frasest[[#This Row],[autor_es]],autorest[autor_es],autorest[epoca_es])</f>
        <v>Epoca Desconocida</v>
      </c>
      <c r="O84" t="str">
        <f>_xlfn.XLOOKUP(frasest[[#This Row],[autor_es]],autorest[autor_es],autorest[epoca_la])</f>
        <v>Epocha Ignota</v>
      </c>
    </row>
    <row r="85" spans="1:15" ht="14.25">
      <c r="A85">
        <v>84</v>
      </c>
      <c r="B85" t="s">
        <v>260</v>
      </c>
      <c r="C85" t="s">
        <v>261</v>
      </c>
      <c r="D85" s="2" t="s">
        <v>262</v>
      </c>
      <c r="E85" t="s">
        <v>263</v>
      </c>
      <c r="F85" t="str">
        <f>_xlfn.XLOOKUP(frasest[[#This Row],[autor_es]],autorest[autor_es],autorest[autor_la])</f>
        <v>Proverbium Indica</v>
      </c>
      <c r="G85" t="str">
        <f>_xlfn.XLOOKUP(frasest[[#This Row],[autor_es]],autorest[autor_es],autorest[bio_es])</f>
        <v>Dichos tradicionales de la India que reflejan principios espirituales, filosóficos y morales influidos por el hinduismo y las tradiciones védicas.</v>
      </c>
      <c r="H85" t="str">
        <f>_xlfn.XLOOKUP(frasest[[#This Row],[autor_es]],autorest[autor_es],autorest[bio_la])</f>
        <v>Collectio sententiarum Indicarum.</v>
      </c>
      <c r="I85" t="str">
        <f>_xlfn.XLOOKUP(frasest[[#This Row],[autor_es]],autorest[autor_es],autorest[codigo])</f>
        <v>hi</v>
      </c>
      <c r="J85" t="str">
        <f>_xlfn.XLOOKUP(frasest[[#This Row],[autor_es]],autorest[autor_es],autorest[idioma_es])</f>
        <v>Hindi</v>
      </c>
      <c r="K85" t="str">
        <f>_xlfn.XLOOKUP(frasest[[#This Row],[autor_es]],autorest[autor_es],autorest[idioma_la])</f>
        <v>Lingua Indica</v>
      </c>
      <c r="L85" t="str">
        <f>_xlfn.XLOOKUP(frasest[[#This Row],[autor_es]],autorest[autor_es],autorest[nacion_es])</f>
        <v>India</v>
      </c>
      <c r="M85" t="str">
        <f>_xlfn.XLOOKUP(frasest[[#This Row],[autor_es]],autorest[autor_es],autorest[nacion_la])</f>
        <v>India</v>
      </c>
      <c r="N85" t="str">
        <f>_xlfn.XLOOKUP(frasest[[#This Row],[autor_es]],autorest[autor_es],autorest[epoca_es])</f>
        <v>Epoca Desconocida</v>
      </c>
      <c r="O85" t="str">
        <f>_xlfn.XLOOKUP(frasest[[#This Row],[autor_es]],autorest[autor_es],autorest[epoca_la])</f>
        <v>Epocha Ignota</v>
      </c>
    </row>
    <row r="86" spans="1:15" ht="14.25">
      <c r="A86">
        <v>85</v>
      </c>
      <c r="B86" t="s">
        <v>264</v>
      </c>
      <c r="C86" t="s">
        <v>265</v>
      </c>
      <c r="D86" s="2" t="s">
        <v>266</v>
      </c>
      <c r="E86" t="s">
        <v>263</v>
      </c>
      <c r="F86" t="str">
        <f>_xlfn.XLOOKUP(frasest[[#This Row],[autor_es]],autorest[autor_es],autorest[autor_la])</f>
        <v>Proverbium Indica</v>
      </c>
      <c r="G86" t="str">
        <f>_xlfn.XLOOKUP(frasest[[#This Row],[autor_es]],autorest[autor_es],autorest[bio_es])</f>
        <v>Dichos tradicionales de la India que reflejan principios espirituales, filosóficos y morales influidos por el hinduismo y las tradiciones védicas.</v>
      </c>
      <c r="H86" t="str">
        <f>_xlfn.XLOOKUP(frasest[[#This Row],[autor_es]],autorest[autor_es],autorest[bio_la])</f>
        <v>Collectio sententiarum Indicarum.</v>
      </c>
      <c r="I86" t="str">
        <f>_xlfn.XLOOKUP(frasest[[#This Row],[autor_es]],autorest[autor_es],autorest[codigo])</f>
        <v>hi</v>
      </c>
      <c r="J86" t="str">
        <f>_xlfn.XLOOKUP(frasest[[#This Row],[autor_es]],autorest[autor_es],autorest[idioma_es])</f>
        <v>Hindi</v>
      </c>
      <c r="K86" t="str">
        <f>_xlfn.XLOOKUP(frasest[[#This Row],[autor_es]],autorest[autor_es],autorest[idioma_la])</f>
        <v>Lingua Indica</v>
      </c>
      <c r="L86" t="str">
        <f>_xlfn.XLOOKUP(frasest[[#This Row],[autor_es]],autorest[autor_es],autorest[nacion_es])</f>
        <v>India</v>
      </c>
      <c r="M86" t="str">
        <f>_xlfn.XLOOKUP(frasest[[#This Row],[autor_es]],autorest[autor_es],autorest[nacion_la])</f>
        <v>India</v>
      </c>
      <c r="N86" t="str">
        <f>_xlfn.XLOOKUP(frasest[[#This Row],[autor_es]],autorest[autor_es],autorest[epoca_es])</f>
        <v>Epoca Desconocida</v>
      </c>
      <c r="O86" t="str">
        <f>_xlfn.XLOOKUP(frasest[[#This Row],[autor_es]],autorest[autor_es],autorest[epoca_la])</f>
        <v>Epocha Ignota</v>
      </c>
    </row>
    <row r="87" spans="1:15" ht="14.25">
      <c r="A87">
        <v>86</v>
      </c>
      <c r="B87" t="s">
        <v>267</v>
      </c>
      <c r="C87" t="s">
        <v>268</v>
      </c>
      <c r="D87" s="2" t="s">
        <v>269</v>
      </c>
      <c r="E87" t="s">
        <v>263</v>
      </c>
      <c r="F87" t="str">
        <f>_xlfn.XLOOKUP(frasest[[#This Row],[autor_es]],autorest[autor_es],autorest[autor_la])</f>
        <v>Proverbium Indica</v>
      </c>
      <c r="G87" t="str">
        <f>_xlfn.XLOOKUP(frasest[[#This Row],[autor_es]],autorest[autor_es],autorest[bio_es])</f>
        <v>Dichos tradicionales de la India que reflejan principios espirituales, filosóficos y morales influidos por el hinduismo y las tradiciones védicas.</v>
      </c>
      <c r="H87" t="str">
        <f>_xlfn.XLOOKUP(frasest[[#This Row],[autor_es]],autorest[autor_es],autorest[bio_la])</f>
        <v>Collectio sententiarum Indicarum.</v>
      </c>
      <c r="I87" t="str">
        <f>_xlfn.XLOOKUP(frasest[[#This Row],[autor_es]],autorest[autor_es],autorest[codigo])</f>
        <v>hi</v>
      </c>
      <c r="J87" t="str">
        <f>_xlfn.XLOOKUP(frasest[[#This Row],[autor_es]],autorest[autor_es],autorest[idioma_es])</f>
        <v>Hindi</v>
      </c>
      <c r="K87" t="str">
        <f>_xlfn.XLOOKUP(frasest[[#This Row],[autor_es]],autorest[autor_es],autorest[idioma_la])</f>
        <v>Lingua Indica</v>
      </c>
      <c r="L87" t="str">
        <f>_xlfn.XLOOKUP(frasest[[#This Row],[autor_es]],autorest[autor_es],autorest[nacion_es])</f>
        <v>India</v>
      </c>
      <c r="M87" t="str">
        <f>_xlfn.XLOOKUP(frasest[[#This Row],[autor_es]],autorest[autor_es],autorest[nacion_la])</f>
        <v>India</v>
      </c>
      <c r="N87" t="str">
        <f>_xlfn.XLOOKUP(frasest[[#This Row],[autor_es]],autorest[autor_es],autorest[epoca_es])</f>
        <v>Epoca Desconocida</v>
      </c>
      <c r="O87" t="str">
        <f>_xlfn.XLOOKUP(frasest[[#This Row],[autor_es]],autorest[autor_es],autorest[epoca_la])</f>
        <v>Epocha Ignota</v>
      </c>
    </row>
    <row r="88" spans="1:15" ht="14.25">
      <c r="A88">
        <v>87</v>
      </c>
      <c r="B88" t="s">
        <v>270</v>
      </c>
      <c r="C88" t="s">
        <v>271</v>
      </c>
      <c r="D88" s="2" t="s">
        <v>272</v>
      </c>
      <c r="E88" t="s">
        <v>263</v>
      </c>
      <c r="F88" t="str">
        <f>_xlfn.XLOOKUP(frasest[[#This Row],[autor_es]],autorest[autor_es],autorest[autor_la])</f>
        <v>Proverbium Indica</v>
      </c>
      <c r="G88" t="str">
        <f>_xlfn.XLOOKUP(frasest[[#This Row],[autor_es]],autorest[autor_es],autorest[bio_es])</f>
        <v>Dichos tradicionales de la India que reflejan principios espirituales, filosóficos y morales influidos por el hinduismo y las tradiciones védicas.</v>
      </c>
      <c r="H88" t="str">
        <f>_xlfn.XLOOKUP(frasest[[#This Row],[autor_es]],autorest[autor_es],autorest[bio_la])</f>
        <v>Collectio sententiarum Indicarum.</v>
      </c>
      <c r="I88" t="str">
        <f>_xlfn.XLOOKUP(frasest[[#This Row],[autor_es]],autorest[autor_es],autorest[codigo])</f>
        <v>hi</v>
      </c>
      <c r="J88" t="str">
        <f>_xlfn.XLOOKUP(frasest[[#This Row],[autor_es]],autorest[autor_es],autorest[idioma_es])</f>
        <v>Hindi</v>
      </c>
      <c r="K88" t="str">
        <f>_xlfn.XLOOKUP(frasest[[#This Row],[autor_es]],autorest[autor_es],autorest[idioma_la])</f>
        <v>Lingua Indica</v>
      </c>
      <c r="L88" t="str">
        <f>_xlfn.XLOOKUP(frasest[[#This Row],[autor_es]],autorest[autor_es],autorest[nacion_es])</f>
        <v>India</v>
      </c>
      <c r="M88" t="str">
        <f>_xlfn.XLOOKUP(frasest[[#This Row],[autor_es]],autorest[autor_es],autorest[nacion_la])</f>
        <v>India</v>
      </c>
      <c r="N88" t="str">
        <f>_xlfn.XLOOKUP(frasest[[#This Row],[autor_es]],autorest[autor_es],autorest[epoca_es])</f>
        <v>Epoca Desconocida</v>
      </c>
      <c r="O88" t="str">
        <f>_xlfn.XLOOKUP(frasest[[#This Row],[autor_es]],autorest[autor_es],autorest[epoca_la])</f>
        <v>Epocha Ignota</v>
      </c>
    </row>
    <row r="89" spans="1:15" ht="14.25">
      <c r="A89">
        <v>88</v>
      </c>
      <c r="B89" t="s">
        <v>273</v>
      </c>
      <c r="C89" t="s">
        <v>274</v>
      </c>
      <c r="D89" s="2" t="s">
        <v>275</v>
      </c>
      <c r="E89" t="s">
        <v>263</v>
      </c>
      <c r="F89" t="str">
        <f>_xlfn.XLOOKUP(frasest[[#This Row],[autor_es]],autorest[autor_es],autorest[autor_la])</f>
        <v>Proverbium Indica</v>
      </c>
      <c r="G89" t="str">
        <f>_xlfn.XLOOKUP(frasest[[#This Row],[autor_es]],autorest[autor_es],autorest[bio_es])</f>
        <v>Dichos tradicionales de la India que reflejan principios espirituales, filosóficos y morales influidos por el hinduismo y las tradiciones védicas.</v>
      </c>
      <c r="H89" t="str">
        <f>_xlfn.XLOOKUP(frasest[[#This Row],[autor_es]],autorest[autor_es],autorest[bio_la])</f>
        <v>Collectio sententiarum Indicarum.</v>
      </c>
      <c r="I89" t="str">
        <f>_xlfn.XLOOKUP(frasest[[#This Row],[autor_es]],autorest[autor_es],autorest[codigo])</f>
        <v>hi</v>
      </c>
      <c r="J89" t="str">
        <f>_xlfn.XLOOKUP(frasest[[#This Row],[autor_es]],autorest[autor_es],autorest[idioma_es])</f>
        <v>Hindi</v>
      </c>
      <c r="K89" t="str">
        <f>_xlfn.XLOOKUP(frasest[[#This Row],[autor_es]],autorest[autor_es],autorest[idioma_la])</f>
        <v>Lingua Indica</v>
      </c>
      <c r="L89" t="str">
        <f>_xlfn.XLOOKUP(frasest[[#This Row],[autor_es]],autorest[autor_es],autorest[nacion_es])</f>
        <v>India</v>
      </c>
      <c r="M89" t="str">
        <f>_xlfn.XLOOKUP(frasest[[#This Row],[autor_es]],autorest[autor_es],autorest[nacion_la])</f>
        <v>India</v>
      </c>
      <c r="N89" t="str">
        <f>_xlfn.XLOOKUP(frasest[[#This Row],[autor_es]],autorest[autor_es],autorest[epoca_es])</f>
        <v>Epoca Desconocida</v>
      </c>
      <c r="O89" t="str">
        <f>_xlfn.XLOOKUP(frasest[[#This Row],[autor_es]],autorest[autor_es],autorest[epoca_la])</f>
        <v>Epocha Ignota</v>
      </c>
    </row>
    <row r="90" spans="1:15" ht="14.25">
      <c r="A90">
        <v>89</v>
      </c>
      <c r="B90" t="s">
        <v>276</v>
      </c>
      <c r="C90" t="s">
        <v>277</v>
      </c>
      <c r="D90" s="2" t="s">
        <v>278</v>
      </c>
      <c r="E90" t="s">
        <v>263</v>
      </c>
      <c r="F90" t="str">
        <f>_xlfn.XLOOKUP(frasest[[#This Row],[autor_es]],autorest[autor_es],autorest[autor_la])</f>
        <v>Proverbium Indica</v>
      </c>
      <c r="G90" t="str">
        <f>_xlfn.XLOOKUP(frasest[[#This Row],[autor_es]],autorest[autor_es],autorest[bio_es])</f>
        <v>Dichos tradicionales de la India que reflejan principios espirituales, filosóficos y morales influidos por el hinduismo y las tradiciones védicas.</v>
      </c>
      <c r="H90" t="str">
        <f>_xlfn.XLOOKUP(frasest[[#This Row],[autor_es]],autorest[autor_es],autorest[bio_la])</f>
        <v>Collectio sententiarum Indicarum.</v>
      </c>
      <c r="I90" t="str">
        <f>_xlfn.XLOOKUP(frasest[[#This Row],[autor_es]],autorest[autor_es],autorest[codigo])</f>
        <v>hi</v>
      </c>
      <c r="J90" t="str">
        <f>_xlfn.XLOOKUP(frasest[[#This Row],[autor_es]],autorest[autor_es],autorest[idioma_es])</f>
        <v>Hindi</v>
      </c>
      <c r="K90" t="str">
        <f>_xlfn.XLOOKUP(frasest[[#This Row],[autor_es]],autorest[autor_es],autorest[idioma_la])</f>
        <v>Lingua Indica</v>
      </c>
      <c r="L90" t="str">
        <f>_xlfn.XLOOKUP(frasest[[#This Row],[autor_es]],autorest[autor_es],autorest[nacion_es])</f>
        <v>India</v>
      </c>
      <c r="M90" t="str">
        <f>_xlfn.XLOOKUP(frasest[[#This Row],[autor_es]],autorest[autor_es],autorest[nacion_la])</f>
        <v>India</v>
      </c>
      <c r="N90" t="str">
        <f>_xlfn.XLOOKUP(frasest[[#This Row],[autor_es]],autorest[autor_es],autorest[epoca_es])</f>
        <v>Epoca Desconocida</v>
      </c>
      <c r="O90" t="str">
        <f>_xlfn.XLOOKUP(frasest[[#This Row],[autor_es]],autorest[autor_es],autorest[epoca_la])</f>
        <v>Epocha Ignota</v>
      </c>
    </row>
    <row r="91" spans="1:15" ht="14.25">
      <c r="A91">
        <v>90</v>
      </c>
      <c r="B91" t="s">
        <v>279</v>
      </c>
      <c r="C91" t="s">
        <v>280</v>
      </c>
      <c r="D91" s="2" t="s">
        <v>281</v>
      </c>
      <c r="E91" t="s">
        <v>263</v>
      </c>
      <c r="F91" t="str">
        <f>_xlfn.XLOOKUP(frasest[[#This Row],[autor_es]],autorest[autor_es],autorest[autor_la])</f>
        <v>Proverbium Indica</v>
      </c>
      <c r="G91" t="str">
        <f>_xlfn.XLOOKUP(frasest[[#This Row],[autor_es]],autorest[autor_es],autorest[bio_es])</f>
        <v>Dichos tradicionales de la India que reflejan principios espirituales, filosóficos y morales influidos por el hinduismo y las tradiciones védicas.</v>
      </c>
      <c r="H91" t="str">
        <f>_xlfn.XLOOKUP(frasest[[#This Row],[autor_es]],autorest[autor_es],autorest[bio_la])</f>
        <v>Collectio sententiarum Indicarum.</v>
      </c>
      <c r="I91" t="str">
        <f>_xlfn.XLOOKUP(frasest[[#This Row],[autor_es]],autorest[autor_es],autorest[codigo])</f>
        <v>hi</v>
      </c>
      <c r="J91" t="str">
        <f>_xlfn.XLOOKUP(frasest[[#This Row],[autor_es]],autorest[autor_es],autorest[idioma_es])</f>
        <v>Hindi</v>
      </c>
      <c r="K91" t="str">
        <f>_xlfn.XLOOKUP(frasest[[#This Row],[autor_es]],autorest[autor_es],autorest[idioma_la])</f>
        <v>Lingua Indica</v>
      </c>
      <c r="L91" t="str">
        <f>_xlfn.XLOOKUP(frasest[[#This Row],[autor_es]],autorest[autor_es],autorest[nacion_es])</f>
        <v>India</v>
      </c>
      <c r="M91" t="str">
        <f>_xlfn.XLOOKUP(frasest[[#This Row],[autor_es]],autorest[autor_es],autorest[nacion_la])</f>
        <v>India</v>
      </c>
      <c r="N91" t="str">
        <f>_xlfn.XLOOKUP(frasest[[#This Row],[autor_es]],autorest[autor_es],autorest[epoca_es])</f>
        <v>Epoca Desconocida</v>
      </c>
      <c r="O91" t="str">
        <f>_xlfn.XLOOKUP(frasest[[#This Row],[autor_es]],autorest[autor_es],autorest[epoca_la])</f>
        <v>Epocha Ignota</v>
      </c>
    </row>
    <row r="92" spans="1:15" ht="14.25">
      <c r="A92">
        <v>91</v>
      </c>
      <c r="B92" t="s">
        <v>282</v>
      </c>
      <c r="C92" t="s">
        <v>283</v>
      </c>
      <c r="D92" s="2" t="s">
        <v>284</v>
      </c>
      <c r="E92" t="s">
        <v>263</v>
      </c>
      <c r="F92" t="str">
        <f>_xlfn.XLOOKUP(frasest[[#This Row],[autor_es]],autorest[autor_es],autorest[autor_la])</f>
        <v>Proverbium Indica</v>
      </c>
      <c r="G92" t="str">
        <f>_xlfn.XLOOKUP(frasest[[#This Row],[autor_es]],autorest[autor_es],autorest[bio_es])</f>
        <v>Dichos tradicionales de la India que reflejan principios espirituales, filosóficos y morales influidos por el hinduismo y las tradiciones védicas.</v>
      </c>
      <c r="H92" t="str">
        <f>_xlfn.XLOOKUP(frasest[[#This Row],[autor_es]],autorest[autor_es],autorest[bio_la])</f>
        <v>Collectio sententiarum Indicarum.</v>
      </c>
      <c r="I92" t="str">
        <f>_xlfn.XLOOKUP(frasest[[#This Row],[autor_es]],autorest[autor_es],autorest[codigo])</f>
        <v>hi</v>
      </c>
      <c r="J92" t="str">
        <f>_xlfn.XLOOKUP(frasest[[#This Row],[autor_es]],autorest[autor_es],autorest[idioma_es])</f>
        <v>Hindi</v>
      </c>
      <c r="K92" t="str">
        <f>_xlfn.XLOOKUP(frasest[[#This Row],[autor_es]],autorest[autor_es],autorest[idioma_la])</f>
        <v>Lingua Indica</v>
      </c>
      <c r="L92" t="str">
        <f>_xlfn.XLOOKUP(frasest[[#This Row],[autor_es]],autorest[autor_es],autorest[nacion_es])</f>
        <v>India</v>
      </c>
      <c r="M92" t="str">
        <f>_xlfn.XLOOKUP(frasest[[#This Row],[autor_es]],autorest[autor_es],autorest[nacion_la])</f>
        <v>India</v>
      </c>
      <c r="N92" t="str">
        <f>_xlfn.XLOOKUP(frasest[[#This Row],[autor_es]],autorest[autor_es],autorest[epoca_es])</f>
        <v>Epoca Desconocida</v>
      </c>
      <c r="O92" t="str">
        <f>_xlfn.XLOOKUP(frasest[[#This Row],[autor_es]],autorest[autor_es],autorest[epoca_la])</f>
        <v>Epocha Ignota</v>
      </c>
    </row>
    <row r="93" spans="1:15" ht="14.25">
      <c r="A93">
        <v>92</v>
      </c>
      <c r="B93" t="s">
        <v>285</v>
      </c>
      <c r="C93" t="s">
        <v>286</v>
      </c>
      <c r="D93" s="2" t="s">
        <v>287</v>
      </c>
      <c r="E93" t="s">
        <v>263</v>
      </c>
      <c r="F93" t="str">
        <f>_xlfn.XLOOKUP(frasest[[#This Row],[autor_es]],autorest[autor_es],autorest[autor_la])</f>
        <v>Proverbium Indica</v>
      </c>
      <c r="G93" t="str">
        <f>_xlfn.XLOOKUP(frasest[[#This Row],[autor_es]],autorest[autor_es],autorest[bio_es])</f>
        <v>Dichos tradicionales de la India que reflejan principios espirituales, filosóficos y morales influidos por el hinduismo y las tradiciones védicas.</v>
      </c>
      <c r="H93" t="str">
        <f>_xlfn.XLOOKUP(frasest[[#This Row],[autor_es]],autorest[autor_es],autorest[bio_la])</f>
        <v>Collectio sententiarum Indicarum.</v>
      </c>
      <c r="I93" t="str">
        <f>_xlfn.XLOOKUP(frasest[[#This Row],[autor_es]],autorest[autor_es],autorest[codigo])</f>
        <v>hi</v>
      </c>
      <c r="J93" t="str">
        <f>_xlfn.XLOOKUP(frasest[[#This Row],[autor_es]],autorest[autor_es],autorest[idioma_es])</f>
        <v>Hindi</v>
      </c>
      <c r="K93" t="str">
        <f>_xlfn.XLOOKUP(frasest[[#This Row],[autor_es]],autorest[autor_es],autorest[idioma_la])</f>
        <v>Lingua Indica</v>
      </c>
      <c r="L93" t="str">
        <f>_xlfn.XLOOKUP(frasest[[#This Row],[autor_es]],autorest[autor_es],autorest[nacion_es])</f>
        <v>India</v>
      </c>
      <c r="M93" t="str">
        <f>_xlfn.XLOOKUP(frasest[[#This Row],[autor_es]],autorest[autor_es],autorest[nacion_la])</f>
        <v>India</v>
      </c>
      <c r="N93" t="str">
        <f>_xlfn.XLOOKUP(frasest[[#This Row],[autor_es]],autorest[autor_es],autorest[epoca_es])</f>
        <v>Epoca Desconocida</v>
      </c>
      <c r="O93" t="str">
        <f>_xlfn.XLOOKUP(frasest[[#This Row],[autor_es]],autorest[autor_es],autorest[epoca_la])</f>
        <v>Epocha Ignota</v>
      </c>
    </row>
    <row r="94" spans="1:15" ht="14.25">
      <c r="A94">
        <v>93</v>
      </c>
      <c r="B94" t="s">
        <v>288</v>
      </c>
      <c r="C94" t="s">
        <v>289</v>
      </c>
      <c r="D94" s="2" t="s">
        <v>290</v>
      </c>
      <c r="E94" t="s">
        <v>263</v>
      </c>
      <c r="F94" t="str">
        <f>_xlfn.XLOOKUP(frasest[[#This Row],[autor_es]],autorest[autor_es],autorest[autor_la])</f>
        <v>Proverbium Indica</v>
      </c>
      <c r="G94" t="str">
        <f>_xlfn.XLOOKUP(frasest[[#This Row],[autor_es]],autorest[autor_es],autorest[bio_es])</f>
        <v>Dichos tradicionales de la India que reflejan principios espirituales, filosóficos y morales influidos por el hinduismo y las tradiciones védicas.</v>
      </c>
      <c r="H94" t="str">
        <f>_xlfn.XLOOKUP(frasest[[#This Row],[autor_es]],autorest[autor_es],autorest[bio_la])</f>
        <v>Collectio sententiarum Indicarum.</v>
      </c>
      <c r="I94" t="str">
        <f>_xlfn.XLOOKUP(frasest[[#This Row],[autor_es]],autorest[autor_es],autorest[codigo])</f>
        <v>hi</v>
      </c>
      <c r="J94" t="str">
        <f>_xlfn.XLOOKUP(frasest[[#This Row],[autor_es]],autorest[autor_es],autorest[idioma_es])</f>
        <v>Hindi</v>
      </c>
      <c r="K94" t="str">
        <f>_xlfn.XLOOKUP(frasest[[#This Row],[autor_es]],autorest[autor_es],autorest[idioma_la])</f>
        <v>Lingua Indica</v>
      </c>
      <c r="L94" t="str">
        <f>_xlfn.XLOOKUP(frasest[[#This Row],[autor_es]],autorest[autor_es],autorest[nacion_es])</f>
        <v>India</v>
      </c>
      <c r="M94" t="str">
        <f>_xlfn.XLOOKUP(frasest[[#This Row],[autor_es]],autorest[autor_es],autorest[nacion_la])</f>
        <v>India</v>
      </c>
      <c r="N94" t="str">
        <f>_xlfn.XLOOKUP(frasest[[#This Row],[autor_es]],autorest[autor_es],autorest[epoca_es])</f>
        <v>Epoca Desconocida</v>
      </c>
      <c r="O94" t="str">
        <f>_xlfn.XLOOKUP(frasest[[#This Row],[autor_es]],autorest[autor_es],autorest[epoca_la])</f>
        <v>Epocha Ignota</v>
      </c>
    </row>
    <row r="95" spans="1:15">
      <c r="A95">
        <v>94</v>
      </c>
      <c r="B95" t="s">
        <v>291</v>
      </c>
      <c r="C95" t="s">
        <v>292</v>
      </c>
      <c r="D95" t="s">
        <v>293</v>
      </c>
      <c r="E95" t="s">
        <v>294</v>
      </c>
      <c r="F95" t="str">
        <f>_xlfn.XLOOKUP(frasest[[#This Row],[autor_es]],autorest[autor_es],autorest[autor_la])</f>
        <v>Oswaldus Spengler</v>
      </c>
      <c r="G95" t="str">
        <f>_xlfn.XLOOKUP(frasest[[#This Row],[autor_es]],autorest[autor_es],autorest[bio_es])</f>
        <v>Filósofo e historiador alemán, autor de "La decadencia de Occidente".</v>
      </c>
      <c r="H95" t="str">
        <f>_xlfn.XLOOKUP(frasest[[#This Row],[autor_es]],autorest[autor_es],autorest[bio_la])</f>
        <v>Philosophus et historicus Germanicus, auctor "Occidentis Decadentia".</v>
      </c>
      <c r="I95" t="str">
        <f>_xlfn.XLOOKUP(frasest[[#This Row],[autor_es]],autorest[autor_es],autorest[codigo])</f>
        <v>de</v>
      </c>
      <c r="J95" t="str">
        <f>_xlfn.XLOOKUP(frasest[[#This Row],[autor_es]],autorest[autor_es],autorest[idioma_es])</f>
        <v>Alemán</v>
      </c>
      <c r="K95" t="str">
        <f>_xlfn.XLOOKUP(frasest[[#This Row],[autor_es]],autorest[autor_es],autorest[idioma_la])</f>
        <v>Lingua Germanica</v>
      </c>
      <c r="L95" t="str">
        <f>_xlfn.XLOOKUP(frasest[[#This Row],[autor_es]],autorest[autor_es],autorest[nacion_es])</f>
        <v>Alemania</v>
      </c>
      <c r="M95" t="str">
        <f>_xlfn.XLOOKUP(frasest[[#This Row],[autor_es]],autorest[autor_es],autorest[nacion_la])</f>
        <v>Germania</v>
      </c>
      <c r="N95" t="str">
        <f>_xlfn.XLOOKUP(frasest[[#This Row],[autor_es]],autorest[autor_es],autorest[epoca_es])</f>
        <v>Edad Contemporánea</v>
      </c>
      <c r="O95" t="str">
        <f>_xlfn.XLOOKUP(frasest[[#This Row],[autor_es]],autorest[autor_es],autorest[epoca_la])</f>
        <v>Aetas Contemporanea</v>
      </c>
    </row>
    <row r="96" spans="1:15">
      <c r="A96">
        <v>95</v>
      </c>
      <c r="B96" t="s">
        <v>295</v>
      </c>
      <c r="C96" t="s">
        <v>296</v>
      </c>
      <c r="D96" t="s">
        <v>297</v>
      </c>
      <c r="E96" t="s">
        <v>294</v>
      </c>
      <c r="F96" t="str">
        <f>_xlfn.XLOOKUP(frasest[[#This Row],[autor_es]],autorest[autor_es],autorest[autor_la])</f>
        <v>Oswaldus Spengler</v>
      </c>
      <c r="G96" t="str">
        <f>_xlfn.XLOOKUP(frasest[[#This Row],[autor_es]],autorest[autor_es],autorest[bio_es])</f>
        <v>Filósofo e historiador alemán, autor de "La decadencia de Occidente".</v>
      </c>
      <c r="H96" t="str">
        <f>_xlfn.XLOOKUP(frasest[[#This Row],[autor_es]],autorest[autor_es],autorest[bio_la])</f>
        <v>Philosophus et historicus Germanicus, auctor "Occidentis Decadentia".</v>
      </c>
      <c r="I96" t="str">
        <f>_xlfn.XLOOKUP(frasest[[#This Row],[autor_es]],autorest[autor_es],autorest[codigo])</f>
        <v>de</v>
      </c>
      <c r="J96" t="str">
        <f>_xlfn.XLOOKUP(frasest[[#This Row],[autor_es]],autorest[autor_es],autorest[idioma_es])</f>
        <v>Alemán</v>
      </c>
      <c r="K96" t="str">
        <f>_xlfn.XLOOKUP(frasest[[#This Row],[autor_es]],autorest[autor_es],autorest[idioma_la])</f>
        <v>Lingua Germanica</v>
      </c>
      <c r="L96" t="str">
        <f>_xlfn.XLOOKUP(frasest[[#This Row],[autor_es]],autorest[autor_es],autorest[nacion_es])</f>
        <v>Alemania</v>
      </c>
      <c r="M96" t="str">
        <f>_xlfn.XLOOKUP(frasest[[#This Row],[autor_es]],autorest[autor_es],autorest[nacion_la])</f>
        <v>Germania</v>
      </c>
      <c r="N96" t="str">
        <f>_xlfn.XLOOKUP(frasest[[#This Row],[autor_es]],autorest[autor_es],autorest[epoca_es])</f>
        <v>Edad Contemporánea</v>
      </c>
      <c r="O96" t="str">
        <f>_xlfn.XLOOKUP(frasest[[#This Row],[autor_es]],autorest[autor_es],autorest[epoca_la])</f>
        <v>Aetas Contemporanea</v>
      </c>
    </row>
    <row r="97" spans="1:15">
      <c r="A97">
        <v>96</v>
      </c>
      <c r="B97" t="s">
        <v>298</v>
      </c>
      <c r="C97" t="s">
        <v>299</v>
      </c>
      <c r="D97" t="s">
        <v>300</v>
      </c>
      <c r="E97" t="s">
        <v>294</v>
      </c>
      <c r="F97" t="str">
        <f>_xlfn.XLOOKUP(frasest[[#This Row],[autor_es]],autorest[autor_es],autorest[autor_la])</f>
        <v>Oswaldus Spengler</v>
      </c>
      <c r="G97" t="str">
        <f>_xlfn.XLOOKUP(frasest[[#This Row],[autor_es]],autorest[autor_es],autorest[bio_es])</f>
        <v>Filósofo e historiador alemán, autor de "La decadencia de Occidente".</v>
      </c>
      <c r="H97" t="str">
        <f>_xlfn.XLOOKUP(frasest[[#This Row],[autor_es]],autorest[autor_es],autorest[bio_la])</f>
        <v>Philosophus et historicus Germanicus, auctor "Occidentis Decadentia".</v>
      </c>
      <c r="I97" t="str">
        <f>_xlfn.XLOOKUP(frasest[[#This Row],[autor_es]],autorest[autor_es],autorest[codigo])</f>
        <v>de</v>
      </c>
      <c r="J97" t="str">
        <f>_xlfn.XLOOKUP(frasest[[#This Row],[autor_es]],autorest[autor_es],autorest[idioma_es])</f>
        <v>Alemán</v>
      </c>
      <c r="K97" t="str">
        <f>_xlfn.XLOOKUP(frasest[[#This Row],[autor_es]],autorest[autor_es],autorest[idioma_la])</f>
        <v>Lingua Germanica</v>
      </c>
      <c r="L97" t="str">
        <f>_xlfn.XLOOKUP(frasest[[#This Row],[autor_es]],autorest[autor_es],autorest[nacion_es])</f>
        <v>Alemania</v>
      </c>
      <c r="M97" t="str">
        <f>_xlfn.XLOOKUP(frasest[[#This Row],[autor_es]],autorest[autor_es],autorest[nacion_la])</f>
        <v>Germania</v>
      </c>
      <c r="N97" t="str">
        <f>_xlfn.XLOOKUP(frasest[[#This Row],[autor_es]],autorest[autor_es],autorest[epoca_es])</f>
        <v>Edad Contemporánea</v>
      </c>
      <c r="O97" t="str">
        <f>_xlfn.XLOOKUP(frasest[[#This Row],[autor_es]],autorest[autor_es],autorest[epoca_la])</f>
        <v>Aetas Contemporanea</v>
      </c>
    </row>
    <row r="98" spans="1:15">
      <c r="A98">
        <v>97</v>
      </c>
      <c r="B98" t="s">
        <v>301</v>
      </c>
      <c r="C98" t="s">
        <v>302</v>
      </c>
      <c r="D98" t="s">
        <v>303</v>
      </c>
      <c r="E98" t="s">
        <v>294</v>
      </c>
      <c r="F98" t="str">
        <f>_xlfn.XLOOKUP(frasest[[#This Row],[autor_es]],autorest[autor_es],autorest[autor_la])</f>
        <v>Oswaldus Spengler</v>
      </c>
      <c r="G98" t="str">
        <f>_xlfn.XLOOKUP(frasest[[#This Row],[autor_es]],autorest[autor_es],autorest[bio_es])</f>
        <v>Filósofo e historiador alemán, autor de "La decadencia de Occidente".</v>
      </c>
      <c r="H98" t="str">
        <f>_xlfn.XLOOKUP(frasest[[#This Row],[autor_es]],autorest[autor_es],autorest[bio_la])</f>
        <v>Philosophus et historicus Germanicus, auctor "Occidentis Decadentia".</v>
      </c>
      <c r="I98" t="str">
        <f>_xlfn.XLOOKUP(frasest[[#This Row],[autor_es]],autorest[autor_es],autorest[codigo])</f>
        <v>de</v>
      </c>
      <c r="J98" t="str">
        <f>_xlfn.XLOOKUP(frasest[[#This Row],[autor_es]],autorest[autor_es],autorest[idioma_es])</f>
        <v>Alemán</v>
      </c>
      <c r="K98" t="str">
        <f>_xlfn.XLOOKUP(frasest[[#This Row],[autor_es]],autorest[autor_es],autorest[idioma_la])</f>
        <v>Lingua Germanica</v>
      </c>
      <c r="L98" t="str">
        <f>_xlfn.XLOOKUP(frasest[[#This Row],[autor_es]],autorest[autor_es],autorest[nacion_es])</f>
        <v>Alemania</v>
      </c>
      <c r="M98" t="str">
        <f>_xlfn.XLOOKUP(frasest[[#This Row],[autor_es]],autorest[autor_es],autorest[nacion_la])</f>
        <v>Germania</v>
      </c>
      <c r="N98" t="str">
        <f>_xlfn.XLOOKUP(frasest[[#This Row],[autor_es]],autorest[autor_es],autorest[epoca_es])</f>
        <v>Edad Contemporánea</v>
      </c>
      <c r="O98" t="str">
        <f>_xlfn.XLOOKUP(frasest[[#This Row],[autor_es]],autorest[autor_es],autorest[epoca_la])</f>
        <v>Aetas Contemporanea</v>
      </c>
    </row>
    <row r="99" spans="1:15">
      <c r="A99">
        <v>98</v>
      </c>
      <c r="B99" t="s">
        <v>304</v>
      </c>
      <c r="C99" t="s">
        <v>305</v>
      </c>
      <c r="D99" t="s">
        <v>306</v>
      </c>
      <c r="E99" t="s">
        <v>294</v>
      </c>
      <c r="F99" t="str">
        <f>_xlfn.XLOOKUP(frasest[[#This Row],[autor_es]],autorest[autor_es],autorest[autor_la])</f>
        <v>Oswaldus Spengler</v>
      </c>
      <c r="G99" t="str">
        <f>_xlfn.XLOOKUP(frasest[[#This Row],[autor_es]],autorest[autor_es],autorest[bio_es])</f>
        <v>Filósofo e historiador alemán, autor de "La decadencia de Occidente".</v>
      </c>
      <c r="H99" t="str">
        <f>_xlfn.XLOOKUP(frasest[[#This Row],[autor_es]],autorest[autor_es],autorest[bio_la])</f>
        <v>Philosophus et historicus Germanicus, auctor "Occidentis Decadentia".</v>
      </c>
      <c r="I99" t="str">
        <f>_xlfn.XLOOKUP(frasest[[#This Row],[autor_es]],autorest[autor_es],autorest[codigo])</f>
        <v>de</v>
      </c>
      <c r="J99" t="str">
        <f>_xlfn.XLOOKUP(frasest[[#This Row],[autor_es]],autorest[autor_es],autorest[idioma_es])</f>
        <v>Alemán</v>
      </c>
      <c r="K99" t="str">
        <f>_xlfn.XLOOKUP(frasest[[#This Row],[autor_es]],autorest[autor_es],autorest[idioma_la])</f>
        <v>Lingua Germanica</v>
      </c>
      <c r="L99" t="str">
        <f>_xlfn.XLOOKUP(frasest[[#This Row],[autor_es]],autorest[autor_es],autorest[nacion_es])</f>
        <v>Alemania</v>
      </c>
      <c r="M99" t="str">
        <f>_xlfn.XLOOKUP(frasest[[#This Row],[autor_es]],autorest[autor_es],autorest[nacion_la])</f>
        <v>Germania</v>
      </c>
      <c r="N99" t="str">
        <f>_xlfn.XLOOKUP(frasest[[#This Row],[autor_es]],autorest[autor_es],autorest[epoca_es])</f>
        <v>Edad Contemporánea</v>
      </c>
      <c r="O99" t="str">
        <f>_xlfn.XLOOKUP(frasest[[#This Row],[autor_es]],autorest[autor_es],autorest[epoca_la])</f>
        <v>Aetas Contemporanea</v>
      </c>
    </row>
    <row r="100" spans="1:15">
      <c r="A100">
        <v>99</v>
      </c>
      <c r="B100" t="s">
        <v>307</v>
      </c>
      <c r="C100" t="s">
        <v>308</v>
      </c>
      <c r="D100" t="s">
        <v>307</v>
      </c>
      <c r="E100" t="s">
        <v>309</v>
      </c>
      <c r="F100" t="str">
        <f>_xlfn.XLOOKUP(frasest[[#This Row],[autor_es]],autorest[autor_es],autorest[autor_la])</f>
        <v>Michael Cervantes</v>
      </c>
      <c r="G100" t="str">
        <f>_xlfn.XLOOKUP(frasest[[#This Row],[autor_es]],autorest[autor_es],autorest[bio_es])</f>
        <v>Novelista, poeta y dramaturgo español, autor de "Don Quijote de la Mancha".</v>
      </c>
      <c r="H100" t="str">
        <f>_xlfn.XLOOKUP(frasest[[#This Row],[autor_es]],autorest[autor_es],autorest[bio_la])</f>
        <v>Scriba, poeta et dramatist Hispanicus, auctor "Don Quixote de la Mancha".</v>
      </c>
      <c r="I100" t="str">
        <f>_xlfn.XLOOKUP(frasest[[#This Row],[autor_es]],autorest[autor_es],autorest[codigo])</f>
        <v>es</v>
      </c>
      <c r="J100" t="str">
        <f>_xlfn.XLOOKUP(frasest[[#This Row],[autor_es]],autorest[autor_es],autorest[idioma_es])</f>
        <v>Español</v>
      </c>
      <c r="K100" t="str">
        <f>_xlfn.XLOOKUP(frasest[[#This Row],[autor_es]],autorest[autor_es],autorest[idioma_la])</f>
        <v>Lingua Hispanica</v>
      </c>
      <c r="L100" t="str">
        <f>_xlfn.XLOOKUP(frasest[[#This Row],[autor_es]],autorest[autor_es],autorest[nacion_es])</f>
        <v>España</v>
      </c>
      <c r="M100" t="str">
        <f>_xlfn.XLOOKUP(frasest[[#This Row],[autor_es]],autorest[autor_es],autorest[nacion_la])</f>
        <v>Hispania</v>
      </c>
      <c r="N100" t="str">
        <f>_xlfn.XLOOKUP(frasest[[#This Row],[autor_es]],autorest[autor_es],autorest[epoca_es])</f>
        <v>Edad Moderna</v>
      </c>
      <c r="O100" t="str">
        <f>_xlfn.XLOOKUP(frasest[[#This Row],[autor_es]],autorest[autor_es],autorest[epoca_la])</f>
        <v>Nova Aetas</v>
      </c>
    </row>
    <row r="101" spans="1:15">
      <c r="A101">
        <v>100</v>
      </c>
      <c r="B101" t="s">
        <v>310</v>
      </c>
      <c r="C101" t="s">
        <v>311</v>
      </c>
      <c r="D101" t="s">
        <v>310</v>
      </c>
      <c r="E101" t="s">
        <v>309</v>
      </c>
      <c r="F101" t="str">
        <f>_xlfn.XLOOKUP(frasest[[#This Row],[autor_es]],autorest[autor_es],autorest[autor_la])</f>
        <v>Michael Cervantes</v>
      </c>
      <c r="G101" t="str">
        <f>_xlfn.XLOOKUP(frasest[[#This Row],[autor_es]],autorest[autor_es],autorest[bio_es])</f>
        <v>Novelista, poeta y dramaturgo español, autor de "Don Quijote de la Mancha".</v>
      </c>
      <c r="H101" t="str">
        <f>_xlfn.XLOOKUP(frasest[[#This Row],[autor_es]],autorest[autor_es],autorest[bio_la])</f>
        <v>Scriba, poeta et dramatist Hispanicus, auctor "Don Quixote de la Mancha".</v>
      </c>
      <c r="I101" t="str">
        <f>_xlfn.XLOOKUP(frasest[[#This Row],[autor_es]],autorest[autor_es],autorest[codigo])</f>
        <v>es</v>
      </c>
      <c r="J101" t="str">
        <f>_xlfn.XLOOKUP(frasest[[#This Row],[autor_es]],autorest[autor_es],autorest[idioma_es])</f>
        <v>Español</v>
      </c>
      <c r="K101" t="str">
        <f>_xlfn.XLOOKUP(frasest[[#This Row],[autor_es]],autorest[autor_es],autorest[idioma_la])</f>
        <v>Lingua Hispanica</v>
      </c>
      <c r="L101" t="str">
        <f>_xlfn.XLOOKUP(frasest[[#This Row],[autor_es]],autorest[autor_es],autorest[nacion_es])</f>
        <v>España</v>
      </c>
      <c r="M101" t="str">
        <f>_xlfn.XLOOKUP(frasest[[#This Row],[autor_es]],autorest[autor_es],autorest[nacion_la])</f>
        <v>Hispania</v>
      </c>
      <c r="N101" t="str">
        <f>_xlfn.XLOOKUP(frasest[[#This Row],[autor_es]],autorest[autor_es],autorest[epoca_es])</f>
        <v>Edad Moderna</v>
      </c>
      <c r="O101" t="str">
        <f>_xlfn.XLOOKUP(frasest[[#This Row],[autor_es]],autorest[autor_es],autorest[epoca_la])</f>
        <v>Nova Aetas</v>
      </c>
    </row>
    <row r="102" spans="1:15">
      <c r="A102">
        <v>101</v>
      </c>
      <c r="B102" t="s">
        <v>312</v>
      </c>
      <c r="C102" t="s">
        <v>313</v>
      </c>
      <c r="D102" t="s">
        <v>312</v>
      </c>
      <c r="E102" t="s">
        <v>309</v>
      </c>
      <c r="F102" t="str">
        <f>_xlfn.XLOOKUP(frasest[[#This Row],[autor_es]],autorest[autor_es],autorest[autor_la])</f>
        <v>Michael Cervantes</v>
      </c>
      <c r="G102" t="str">
        <f>_xlfn.XLOOKUP(frasest[[#This Row],[autor_es]],autorest[autor_es],autorest[bio_es])</f>
        <v>Novelista, poeta y dramaturgo español, autor de "Don Quijote de la Mancha".</v>
      </c>
      <c r="H102" t="str">
        <f>_xlfn.XLOOKUP(frasest[[#This Row],[autor_es]],autorest[autor_es],autorest[bio_la])</f>
        <v>Scriba, poeta et dramatist Hispanicus, auctor "Don Quixote de la Mancha".</v>
      </c>
      <c r="I102" t="str">
        <f>_xlfn.XLOOKUP(frasest[[#This Row],[autor_es]],autorest[autor_es],autorest[codigo])</f>
        <v>es</v>
      </c>
      <c r="J102" t="str">
        <f>_xlfn.XLOOKUP(frasest[[#This Row],[autor_es]],autorest[autor_es],autorest[idioma_es])</f>
        <v>Español</v>
      </c>
      <c r="K102" t="str">
        <f>_xlfn.XLOOKUP(frasest[[#This Row],[autor_es]],autorest[autor_es],autorest[idioma_la])</f>
        <v>Lingua Hispanica</v>
      </c>
      <c r="L102" t="str">
        <f>_xlfn.XLOOKUP(frasest[[#This Row],[autor_es]],autorest[autor_es],autorest[nacion_es])</f>
        <v>España</v>
      </c>
      <c r="M102" t="str">
        <f>_xlfn.XLOOKUP(frasest[[#This Row],[autor_es]],autorest[autor_es],autorest[nacion_la])</f>
        <v>Hispania</v>
      </c>
      <c r="N102" t="str">
        <f>_xlfn.XLOOKUP(frasest[[#This Row],[autor_es]],autorest[autor_es],autorest[epoca_es])</f>
        <v>Edad Moderna</v>
      </c>
      <c r="O102" t="str">
        <f>_xlfn.XLOOKUP(frasest[[#This Row],[autor_es]],autorest[autor_es],autorest[epoca_la])</f>
        <v>Nova Aetas</v>
      </c>
    </row>
    <row r="103" spans="1:15">
      <c r="A103">
        <v>102</v>
      </c>
      <c r="B103" t="s">
        <v>314</v>
      </c>
      <c r="C103" t="s">
        <v>315</v>
      </c>
      <c r="D103" t="s">
        <v>314</v>
      </c>
      <c r="E103" t="s">
        <v>309</v>
      </c>
      <c r="F103" t="str">
        <f>_xlfn.XLOOKUP(frasest[[#This Row],[autor_es]],autorest[autor_es],autorest[autor_la])</f>
        <v>Michael Cervantes</v>
      </c>
      <c r="G103" t="str">
        <f>_xlfn.XLOOKUP(frasest[[#This Row],[autor_es]],autorest[autor_es],autorest[bio_es])</f>
        <v>Novelista, poeta y dramaturgo español, autor de "Don Quijote de la Mancha".</v>
      </c>
      <c r="H103" t="str">
        <f>_xlfn.XLOOKUP(frasest[[#This Row],[autor_es]],autorest[autor_es],autorest[bio_la])</f>
        <v>Scriba, poeta et dramatist Hispanicus, auctor "Don Quixote de la Mancha".</v>
      </c>
      <c r="I103" t="str">
        <f>_xlfn.XLOOKUP(frasest[[#This Row],[autor_es]],autorest[autor_es],autorest[codigo])</f>
        <v>es</v>
      </c>
      <c r="J103" t="str">
        <f>_xlfn.XLOOKUP(frasest[[#This Row],[autor_es]],autorest[autor_es],autorest[idioma_es])</f>
        <v>Español</v>
      </c>
      <c r="K103" t="str">
        <f>_xlfn.XLOOKUP(frasest[[#This Row],[autor_es]],autorest[autor_es],autorest[idioma_la])</f>
        <v>Lingua Hispanica</v>
      </c>
      <c r="L103" t="str">
        <f>_xlfn.XLOOKUP(frasest[[#This Row],[autor_es]],autorest[autor_es],autorest[nacion_es])</f>
        <v>España</v>
      </c>
      <c r="M103" t="str">
        <f>_xlfn.XLOOKUP(frasest[[#This Row],[autor_es]],autorest[autor_es],autorest[nacion_la])</f>
        <v>Hispania</v>
      </c>
      <c r="N103" t="str">
        <f>_xlfn.XLOOKUP(frasest[[#This Row],[autor_es]],autorest[autor_es],autorest[epoca_es])</f>
        <v>Edad Moderna</v>
      </c>
      <c r="O103" t="str">
        <f>_xlfn.XLOOKUP(frasest[[#This Row],[autor_es]],autorest[autor_es],autorest[epoca_la])</f>
        <v>Nova Aetas</v>
      </c>
    </row>
    <row r="104" spans="1:15">
      <c r="A104">
        <v>103</v>
      </c>
      <c r="B104" t="s">
        <v>316</v>
      </c>
      <c r="C104" t="s">
        <v>317</v>
      </c>
      <c r="D104" t="s">
        <v>316</v>
      </c>
      <c r="E104" t="s">
        <v>309</v>
      </c>
      <c r="F104" t="str">
        <f>_xlfn.XLOOKUP(frasest[[#This Row],[autor_es]],autorest[autor_es],autorest[autor_la])</f>
        <v>Michael Cervantes</v>
      </c>
      <c r="G104" t="str">
        <f>_xlfn.XLOOKUP(frasest[[#This Row],[autor_es]],autorest[autor_es],autorest[bio_es])</f>
        <v>Novelista, poeta y dramaturgo español, autor de "Don Quijote de la Mancha".</v>
      </c>
      <c r="H104" t="str">
        <f>_xlfn.XLOOKUP(frasest[[#This Row],[autor_es]],autorest[autor_es],autorest[bio_la])</f>
        <v>Scriba, poeta et dramatist Hispanicus, auctor "Don Quixote de la Mancha".</v>
      </c>
      <c r="I104" t="str">
        <f>_xlfn.XLOOKUP(frasest[[#This Row],[autor_es]],autorest[autor_es],autorest[codigo])</f>
        <v>es</v>
      </c>
      <c r="J104" t="str">
        <f>_xlfn.XLOOKUP(frasest[[#This Row],[autor_es]],autorest[autor_es],autorest[idioma_es])</f>
        <v>Español</v>
      </c>
      <c r="K104" t="str">
        <f>_xlfn.XLOOKUP(frasest[[#This Row],[autor_es]],autorest[autor_es],autorest[idioma_la])</f>
        <v>Lingua Hispanica</v>
      </c>
      <c r="L104" t="str">
        <f>_xlfn.XLOOKUP(frasest[[#This Row],[autor_es]],autorest[autor_es],autorest[nacion_es])</f>
        <v>España</v>
      </c>
      <c r="M104" t="str">
        <f>_xlfn.XLOOKUP(frasest[[#This Row],[autor_es]],autorest[autor_es],autorest[nacion_la])</f>
        <v>Hispania</v>
      </c>
      <c r="N104" t="str">
        <f>_xlfn.XLOOKUP(frasest[[#This Row],[autor_es]],autorest[autor_es],autorest[epoca_es])</f>
        <v>Edad Moderna</v>
      </c>
      <c r="O104" t="str">
        <f>_xlfn.XLOOKUP(frasest[[#This Row],[autor_es]],autorest[autor_es],autorest[epoca_la])</f>
        <v>Nova Aetas</v>
      </c>
    </row>
    <row r="105" spans="1:15">
      <c r="A105">
        <v>104</v>
      </c>
      <c r="B105" t="s">
        <v>318</v>
      </c>
      <c r="C105" t="s">
        <v>319</v>
      </c>
      <c r="D105" t="s">
        <v>318</v>
      </c>
      <c r="E105" t="s">
        <v>309</v>
      </c>
      <c r="F105" t="str">
        <f>_xlfn.XLOOKUP(frasest[[#This Row],[autor_es]],autorest[autor_es],autorest[autor_la])</f>
        <v>Michael Cervantes</v>
      </c>
      <c r="G105" t="str">
        <f>_xlfn.XLOOKUP(frasest[[#This Row],[autor_es]],autorest[autor_es],autorest[bio_es])</f>
        <v>Novelista, poeta y dramaturgo español, autor de "Don Quijote de la Mancha".</v>
      </c>
      <c r="H105" t="str">
        <f>_xlfn.XLOOKUP(frasest[[#This Row],[autor_es]],autorest[autor_es],autorest[bio_la])</f>
        <v>Scriba, poeta et dramatist Hispanicus, auctor "Don Quixote de la Mancha".</v>
      </c>
      <c r="I105" t="str">
        <f>_xlfn.XLOOKUP(frasest[[#This Row],[autor_es]],autorest[autor_es],autorest[codigo])</f>
        <v>es</v>
      </c>
      <c r="J105" t="str">
        <f>_xlfn.XLOOKUP(frasest[[#This Row],[autor_es]],autorest[autor_es],autorest[idioma_es])</f>
        <v>Español</v>
      </c>
      <c r="K105" t="str">
        <f>_xlfn.XLOOKUP(frasest[[#This Row],[autor_es]],autorest[autor_es],autorest[idioma_la])</f>
        <v>Lingua Hispanica</v>
      </c>
      <c r="L105" t="str">
        <f>_xlfn.XLOOKUP(frasest[[#This Row],[autor_es]],autorest[autor_es],autorest[nacion_es])</f>
        <v>España</v>
      </c>
      <c r="M105" t="str">
        <f>_xlfn.XLOOKUP(frasest[[#This Row],[autor_es]],autorest[autor_es],autorest[nacion_la])</f>
        <v>Hispania</v>
      </c>
      <c r="N105" t="str">
        <f>_xlfn.XLOOKUP(frasest[[#This Row],[autor_es]],autorest[autor_es],autorest[epoca_es])</f>
        <v>Edad Moderna</v>
      </c>
      <c r="O105" t="str">
        <f>_xlfn.XLOOKUP(frasest[[#This Row],[autor_es]],autorest[autor_es],autorest[epoca_la])</f>
        <v>Nova Aetas</v>
      </c>
    </row>
    <row r="106" spans="1:15">
      <c r="A106">
        <v>105</v>
      </c>
      <c r="B106" t="s">
        <v>320</v>
      </c>
      <c r="C106" t="s">
        <v>321</v>
      </c>
      <c r="D106" t="s">
        <v>320</v>
      </c>
      <c r="E106" t="s">
        <v>309</v>
      </c>
      <c r="F106" t="str">
        <f>_xlfn.XLOOKUP(frasest[[#This Row],[autor_es]],autorest[autor_es],autorest[autor_la])</f>
        <v>Michael Cervantes</v>
      </c>
      <c r="G106" t="str">
        <f>_xlfn.XLOOKUP(frasest[[#This Row],[autor_es]],autorest[autor_es],autorest[bio_es])</f>
        <v>Novelista, poeta y dramaturgo español, autor de "Don Quijote de la Mancha".</v>
      </c>
      <c r="H106" t="str">
        <f>_xlfn.XLOOKUP(frasest[[#This Row],[autor_es]],autorest[autor_es],autorest[bio_la])</f>
        <v>Scriba, poeta et dramatist Hispanicus, auctor "Don Quixote de la Mancha".</v>
      </c>
      <c r="I106" t="str">
        <f>_xlfn.XLOOKUP(frasest[[#This Row],[autor_es]],autorest[autor_es],autorest[codigo])</f>
        <v>es</v>
      </c>
      <c r="J106" t="str">
        <f>_xlfn.XLOOKUP(frasest[[#This Row],[autor_es]],autorest[autor_es],autorest[idioma_es])</f>
        <v>Español</v>
      </c>
      <c r="K106" t="str">
        <f>_xlfn.XLOOKUP(frasest[[#This Row],[autor_es]],autorest[autor_es],autorest[idioma_la])</f>
        <v>Lingua Hispanica</v>
      </c>
      <c r="L106" t="str">
        <f>_xlfn.XLOOKUP(frasest[[#This Row],[autor_es]],autorest[autor_es],autorest[nacion_es])</f>
        <v>España</v>
      </c>
      <c r="M106" t="str">
        <f>_xlfn.XLOOKUP(frasest[[#This Row],[autor_es]],autorest[autor_es],autorest[nacion_la])</f>
        <v>Hispania</v>
      </c>
      <c r="N106" t="str">
        <f>_xlfn.XLOOKUP(frasest[[#This Row],[autor_es]],autorest[autor_es],autorest[epoca_es])</f>
        <v>Edad Moderna</v>
      </c>
      <c r="O106" t="str">
        <f>_xlfn.XLOOKUP(frasest[[#This Row],[autor_es]],autorest[autor_es],autorest[epoca_la])</f>
        <v>Nova Aetas</v>
      </c>
    </row>
    <row r="107" spans="1:15">
      <c r="A107">
        <v>106</v>
      </c>
      <c r="B107" t="s">
        <v>310</v>
      </c>
      <c r="C107" t="s">
        <v>311</v>
      </c>
      <c r="D107" t="s">
        <v>310</v>
      </c>
      <c r="E107" t="s">
        <v>309</v>
      </c>
      <c r="F107" t="str">
        <f>_xlfn.XLOOKUP(frasest[[#This Row],[autor_es]],autorest[autor_es],autorest[autor_la])</f>
        <v>Michael Cervantes</v>
      </c>
      <c r="G107" t="str">
        <f>_xlfn.XLOOKUP(frasest[[#This Row],[autor_es]],autorest[autor_es],autorest[bio_es])</f>
        <v>Novelista, poeta y dramaturgo español, autor de "Don Quijote de la Mancha".</v>
      </c>
      <c r="H107" t="str">
        <f>_xlfn.XLOOKUP(frasest[[#This Row],[autor_es]],autorest[autor_es],autorest[bio_la])</f>
        <v>Scriba, poeta et dramatist Hispanicus, auctor "Don Quixote de la Mancha".</v>
      </c>
      <c r="I107" t="str">
        <f>_xlfn.XLOOKUP(frasest[[#This Row],[autor_es]],autorest[autor_es],autorest[codigo])</f>
        <v>es</v>
      </c>
      <c r="J107" t="str">
        <f>_xlfn.XLOOKUP(frasest[[#This Row],[autor_es]],autorest[autor_es],autorest[idioma_es])</f>
        <v>Español</v>
      </c>
      <c r="K107" t="str">
        <f>_xlfn.XLOOKUP(frasest[[#This Row],[autor_es]],autorest[autor_es],autorest[idioma_la])</f>
        <v>Lingua Hispanica</v>
      </c>
      <c r="L107" t="str">
        <f>_xlfn.XLOOKUP(frasest[[#This Row],[autor_es]],autorest[autor_es],autorest[nacion_es])</f>
        <v>España</v>
      </c>
      <c r="M107" t="str">
        <f>_xlfn.XLOOKUP(frasest[[#This Row],[autor_es]],autorest[autor_es],autorest[nacion_la])</f>
        <v>Hispania</v>
      </c>
      <c r="N107" t="str">
        <f>_xlfn.XLOOKUP(frasest[[#This Row],[autor_es]],autorest[autor_es],autorest[epoca_es])</f>
        <v>Edad Moderna</v>
      </c>
      <c r="O107" t="str">
        <f>_xlfn.XLOOKUP(frasest[[#This Row],[autor_es]],autorest[autor_es],autorest[epoca_la])</f>
        <v>Nova Aetas</v>
      </c>
    </row>
    <row r="108" spans="1:15">
      <c r="A108">
        <v>107</v>
      </c>
      <c r="B108" t="s">
        <v>322</v>
      </c>
      <c r="C108" t="s">
        <v>323</v>
      </c>
      <c r="D108" t="s">
        <v>322</v>
      </c>
      <c r="E108" t="s">
        <v>309</v>
      </c>
      <c r="F108" t="str">
        <f>_xlfn.XLOOKUP(frasest[[#This Row],[autor_es]],autorest[autor_es],autorest[autor_la])</f>
        <v>Michael Cervantes</v>
      </c>
      <c r="G108" t="str">
        <f>_xlfn.XLOOKUP(frasest[[#This Row],[autor_es]],autorest[autor_es],autorest[bio_es])</f>
        <v>Novelista, poeta y dramaturgo español, autor de "Don Quijote de la Mancha".</v>
      </c>
      <c r="H108" t="str">
        <f>_xlfn.XLOOKUP(frasest[[#This Row],[autor_es]],autorest[autor_es],autorest[bio_la])</f>
        <v>Scriba, poeta et dramatist Hispanicus, auctor "Don Quixote de la Mancha".</v>
      </c>
      <c r="I108" t="str">
        <f>_xlfn.XLOOKUP(frasest[[#This Row],[autor_es]],autorest[autor_es],autorest[codigo])</f>
        <v>es</v>
      </c>
      <c r="J108" t="str">
        <f>_xlfn.XLOOKUP(frasest[[#This Row],[autor_es]],autorest[autor_es],autorest[idioma_es])</f>
        <v>Español</v>
      </c>
      <c r="K108" t="str">
        <f>_xlfn.XLOOKUP(frasest[[#This Row],[autor_es]],autorest[autor_es],autorest[idioma_la])</f>
        <v>Lingua Hispanica</v>
      </c>
      <c r="L108" t="str">
        <f>_xlfn.XLOOKUP(frasest[[#This Row],[autor_es]],autorest[autor_es],autorest[nacion_es])</f>
        <v>España</v>
      </c>
      <c r="M108" t="str">
        <f>_xlfn.XLOOKUP(frasest[[#This Row],[autor_es]],autorest[autor_es],autorest[nacion_la])</f>
        <v>Hispania</v>
      </c>
      <c r="N108" t="str">
        <f>_xlfn.XLOOKUP(frasest[[#This Row],[autor_es]],autorest[autor_es],autorest[epoca_es])</f>
        <v>Edad Moderna</v>
      </c>
      <c r="O108" t="str">
        <f>_xlfn.XLOOKUP(frasest[[#This Row],[autor_es]],autorest[autor_es],autorest[epoca_la])</f>
        <v>Nova Aetas</v>
      </c>
    </row>
    <row r="109" spans="1:15">
      <c r="A109">
        <v>108</v>
      </c>
      <c r="B109" t="s">
        <v>324</v>
      </c>
      <c r="C109" t="s">
        <v>325</v>
      </c>
      <c r="D109" t="s">
        <v>324</v>
      </c>
      <c r="E109" t="s">
        <v>309</v>
      </c>
      <c r="F109" t="str">
        <f>_xlfn.XLOOKUP(frasest[[#This Row],[autor_es]],autorest[autor_es],autorest[autor_la])</f>
        <v>Michael Cervantes</v>
      </c>
      <c r="G109" t="str">
        <f>_xlfn.XLOOKUP(frasest[[#This Row],[autor_es]],autorest[autor_es],autorest[bio_es])</f>
        <v>Novelista, poeta y dramaturgo español, autor de "Don Quijote de la Mancha".</v>
      </c>
      <c r="H109" t="str">
        <f>_xlfn.XLOOKUP(frasest[[#This Row],[autor_es]],autorest[autor_es],autorest[bio_la])</f>
        <v>Scriba, poeta et dramatist Hispanicus, auctor "Don Quixote de la Mancha".</v>
      </c>
      <c r="I109" t="str">
        <f>_xlfn.XLOOKUP(frasest[[#This Row],[autor_es]],autorest[autor_es],autorest[codigo])</f>
        <v>es</v>
      </c>
      <c r="J109" t="str">
        <f>_xlfn.XLOOKUP(frasest[[#This Row],[autor_es]],autorest[autor_es],autorest[idioma_es])</f>
        <v>Español</v>
      </c>
      <c r="K109" t="str">
        <f>_xlfn.XLOOKUP(frasest[[#This Row],[autor_es]],autorest[autor_es],autorest[idioma_la])</f>
        <v>Lingua Hispanica</v>
      </c>
      <c r="L109" t="str">
        <f>_xlfn.XLOOKUP(frasest[[#This Row],[autor_es]],autorest[autor_es],autorest[nacion_es])</f>
        <v>España</v>
      </c>
      <c r="M109" t="str">
        <f>_xlfn.XLOOKUP(frasest[[#This Row],[autor_es]],autorest[autor_es],autorest[nacion_la])</f>
        <v>Hispania</v>
      </c>
      <c r="N109" t="str">
        <f>_xlfn.XLOOKUP(frasest[[#This Row],[autor_es]],autorest[autor_es],autorest[epoca_es])</f>
        <v>Edad Moderna</v>
      </c>
      <c r="O109" t="str">
        <f>_xlfn.XLOOKUP(frasest[[#This Row],[autor_es]],autorest[autor_es],autorest[epoca_la])</f>
        <v>Nova Aetas</v>
      </c>
    </row>
    <row r="110" spans="1:15">
      <c r="A110">
        <v>109</v>
      </c>
      <c r="B110" t="s">
        <v>326</v>
      </c>
      <c r="C110" t="s">
        <v>327</v>
      </c>
      <c r="D110" t="s">
        <v>327</v>
      </c>
      <c r="E110" t="s">
        <v>51</v>
      </c>
      <c r="F110" t="str">
        <f>_xlfn.XLOOKUP(frasest[[#This Row],[autor_es]],autorest[autor_es],autorest[autor_la])</f>
        <v>Aurelius Augustinus</v>
      </c>
      <c r="G110" t="str">
        <f>_xlfn.XLOOKUP(frasest[[#This Row],[autor_es]],autorest[autor_es],autorest[bio_es])</f>
        <v>Filósofo y teólogo cristiano.</v>
      </c>
      <c r="H110" t="str">
        <f>_xlfn.XLOOKUP(frasest[[#This Row],[autor_es]],autorest[autor_es],autorest[bio_la])</f>
        <v>Philosophus et theologus Christianus.</v>
      </c>
      <c r="I110" t="str">
        <f>_xlfn.XLOOKUP(frasest[[#This Row],[autor_es]],autorest[autor_es],autorest[codigo])</f>
        <v>la</v>
      </c>
      <c r="J110" t="str">
        <f>_xlfn.XLOOKUP(frasest[[#This Row],[autor_es]],autorest[autor_es],autorest[idioma_es])</f>
        <v>Latín</v>
      </c>
      <c r="K110" t="str">
        <f>_xlfn.XLOOKUP(frasest[[#This Row],[autor_es]],autorest[autor_es],autorest[idioma_la])</f>
        <v>Lingua Latina</v>
      </c>
      <c r="L110" t="str">
        <f>_xlfn.XLOOKUP(frasest[[#This Row],[autor_es]],autorest[autor_es],autorest[nacion_es])</f>
        <v>Roma</v>
      </c>
      <c r="M110" t="str">
        <f>_xlfn.XLOOKUP(frasest[[#This Row],[autor_es]],autorest[autor_es],autorest[nacion_la])</f>
        <v>Roma</v>
      </c>
      <c r="N110" t="str">
        <f>_xlfn.XLOOKUP(frasest[[#This Row],[autor_es]],autorest[autor_es],autorest[epoca_es])</f>
        <v>Edad Antigua</v>
      </c>
      <c r="O110" t="str">
        <f>_xlfn.XLOOKUP(frasest[[#This Row],[autor_es]],autorest[autor_es],autorest[epoca_la])</f>
        <v>Antiquitas</v>
      </c>
    </row>
    <row r="111" spans="1:15">
      <c r="A111">
        <v>110</v>
      </c>
      <c r="B111" t="s">
        <v>328</v>
      </c>
      <c r="C111" t="s">
        <v>329</v>
      </c>
      <c r="D111" t="s">
        <v>330</v>
      </c>
      <c r="E111" t="s">
        <v>331</v>
      </c>
      <c r="F111" t="str">
        <f>_xlfn.XLOOKUP(frasest[[#This Row],[autor_es]],autorest[autor_es],autorest[autor_la])</f>
        <v>Nelsonus Mandela</v>
      </c>
      <c r="G111" t="str">
        <f>_xlfn.XLOOKUP(frasest[[#This Row],[autor_es]],autorest[autor_es],autorest[bio_es])</f>
        <v>Político y activista sudafricano, primer presidente negro de Sudáfrica y líder contra el apartheid.</v>
      </c>
      <c r="H111" t="str">
        <f>_xlfn.XLOOKUP(frasest[[#This Row],[autor_es]],autorest[autor_es],autorest[bio_la])</f>
        <v>Politicus et activist Africanus Australis, primus praeses niger et apartheid adversator.</v>
      </c>
      <c r="I111" t="str">
        <f>_xlfn.XLOOKUP(frasest[[#This Row],[autor_es]],autorest[autor_es],autorest[codigo])</f>
        <v>en</v>
      </c>
      <c r="J111" t="str">
        <f>_xlfn.XLOOKUP(frasest[[#This Row],[autor_es]],autorest[autor_es],autorest[idioma_es])</f>
        <v>Inglés</v>
      </c>
      <c r="K111" t="str">
        <f>_xlfn.XLOOKUP(frasest[[#This Row],[autor_es]],autorest[autor_es],autorest[idioma_la])</f>
        <v>Lingua Anglica</v>
      </c>
      <c r="L111" t="str">
        <f>_xlfn.XLOOKUP(frasest[[#This Row],[autor_es]],autorest[autor_es],autorest[nacion_es])</f>
        <v>Sudáfrica</v>
      </c>
      <c r="M111" t="str">
        <f>_xlfn.XLOOKUP(frasest[[#This Row],[autor_es]],autorest[autor_es],autorest[nacion_la])</f>
        <v>Africa Australis</v>
      </c>
      <c r="N111" t="str">
        <f>_xlfn.XLOOKUP(frasest[[#This Row],[autor_es]],autorest[autor_es],autorest[epoca_es])</f>
        <v>Edad Contemporánea</v>
      </c>
      <c r="O111" t="str">
        <f>_xlfn.XLOOKUP(frasest[[#This Row],[autor_es]],autorest[autor_es],autorest[epoca_la])</f>
        <v>Aetas Contemporanea</v>
      </c>
    </row>
    <row r="112" spans="1:15">
      <c r="A112">
        <v>111</v>
      </c>
      <c r="B112" t="s">
        <v>332</v>
      </c>
      <c r="C112" t="s">
        <v>333</v>
      </c>
      <c r="D112" t="s">
        <v>334</v>
      </c>
      <c r="E112" t="s">
        <v>335</v>
      </c>
      <c r="F112" t="str">
        <f>_xlfn.XLOOKUP(frasest[[#This Row],[autor_es]],autorest[autor_es],autorest[autor_la])</f>
        <v>Mohandas Gandhi</v>
      </c>
      <c r="G112" t="str">
        <f>_xlfn.XLOOKUP(frasest[[#This Row],[autor_es]],autorest[autor_es],autorest[bio_es])</f>
        <v>Líder político y espiritual de India, impulsor de la resistencia no violenta.</v>
      </c>
      <c r="H112" t="str">
        <f>_xlfn.XLOOKUP(frasest[[#This Row],[autor_es]],autorest[autor_es],autorest[bio_la])</f>
        <v>Dux politicis et spiritualis Indiae, resistentiam non violentam promovere.</v>
      </c>
      <c r="I112" t="str">
        <f>_xlfn.XLOOKUP(frasest[[#This Row],[autor_es]],autorest[autor_es],autorest[codigo])</f>
        <v>en</v>
      </c>
      <c r="J112" t="str">
        <f>_xlfn.XLOOKUP(frasest[[#This Row],[autor_es]],autorest[autor_es],autorest[idioma_es])</f>
        <v>Inglés</v>
      </c>
      <c r="K112" t="str">
        <f>_xlfn.XLOOKUP(frasest[[#This Row],[autor_es]],autorest[autor_es],autorest[idioma_la])</f>
        <v>Lingua Anglica</v>
      </c>
      <c r="L112" t="str">
        <f>_xlfn.XLOOKUP(frasest[[#This Row],[autor_es]],autorest[autor_es],autorest[nacion_es])</f>
        <v>India</v>
      </c>
      <c r="M112" t="str">
        <f>_xlfn.XLOOKUP(frasest[[#This Row],[autor_es]],autorest[autor_es],autorest[nacion_la])</f>
        <v>India</v>
      </c>
      <c r="N112" t="str">
        <f>_xlfn.XLOOKUP(frasest[[#This Row],[autor_es]],autorest[autor_es],autorest[epoca_es])</f>
        <v>Edad Contemporánea</v>
      </c>
      <c r="O112" t="str">
        <f>_xlfn.XLOOKUP(frasest[[#This Row],[autor_es]],autorest[autor_es],autorest[epoca_la])</f>
        <v>Aetas Contemporanea</v>
      </c>
    </row>
    <row r="113" spans="1:15">
      <c r="A113">
        <v>112</v>
      </c>
      <c r="B113" t="s">
        <v>336</v>
      </c>
      <c r="C113" t="s">
        <v>337</v>
      </c>
      <c r="D113" t="s">
        <v>338</v>
      </c>
      <c r="E113" t="s">
        <v>339</v>
      </c>
      <c r="F113" t="str">
        <f>_xlfn.XLOOKUP(frasest[[#This Row],[autor_es]],autorest[autor_es],autorest[autor_la])</f>
        <v>Albertus Einstein</v>
      </c>
      <c r="G113" t="str">
        <f>_xlfn.XLOOKUP(frasest[[#This Row],[autor_es]],autorest[autor_es],autorest[bio_es])</f>
        <v>Físico teórico alemán, desarrolló la teoría de la relatividad.</v>
      </c>
      <c r="H113" t="str">
        <f>_xlfn.XLOOKUP(frasest[[#This Row],[autor_es]],autorest[autor_es],autorest[bio_la])</f>
        <v>Physicus theoreticus Germanicus, theoriam relativitatis excogitavit.</v>
      </c>
      <c r="I113" t="str">
        <f>_xlfn.XLOOKUP(frasest[[#This Row],[autor_es]],autorest[autor_es],autorest[codigo])</f>
        <v>en</v>
      </c>
      <c r="J113" t="str">
        <f>_xlfn.XLOOKUP(frasest[[#This Row],[autor_es]],autorest[autor_es],autorest[idioma_es])</f>
        <v>Inglés</v>
      </c>
      <c r="K113" t="str">
        <f>_xlfn.XLOOKUP(frasest[[#This Row],[autor_es]],autorest[autor_es],autorest[idioma_la])</f>
        <v>Lingua Anglica</v>
      </c>
      <c r="L113" t="str">
        <f>_xlfn.XLOOKUP(frasest[[#This Row],[autor_es]],autorest[autor_es],autorest[nacion_es])</f>
        <v>Alemania</v>
      </c>
      <c r="M113" t="str">
        <f>_xlfn.XLOOKUP(frasest[[#This Row],[autor_es]],autorest[autor_es],autorest[nacion_la])</f>
        <v>Germania</v>
      </c>
      <c r="N113" t="str">
        <f>_xlfn.XLOOKUP(frasest[[#This Row],[autor_es]],autorest[autor_es],autorest[epoca_es])</f>
        <v>Edad Contemporánea</v>
      </c>
      <c r="O113" t="str">
        <f>_xlfn.XLOOKUP(frasest[[#This Row],[autor_es]],autorest[autor_es],autorest[epoca_la])</f>
        <v>Aetas Contemporanea</v>
      </c>
    </row>
    <row r="114" spans="1:15">
      <c r="A114">
        <v>113</v>
      </c>
      <c r="B114" t="s">
        <v>340</v>
      </c>
      <c r="C114" t="s">
        <v>341</v>
      </c>
      <c r="D114" t="s">
        <v>342</v>
      </c>
      <c r="E114" t="s">
        <v>343</v>
      </c>
      <c r="F114" t="str">
        <f>_xlfn.XLOOKUP(frasest[[#This Row],[autor_es]],autorest[autor_es],autorest[autor_la])</f>
        <v>Martin Luther King</v>
      </c>
      <c r="G114" t="str">
        <f>_xlfn.XLOOKUP(frasest[[#This Row],[autor_es]],autorest[autor_es],autorest[bio_es])</f>
        <v>Líder del movimiento por los derechos civiles en Estados Unidos y activista por la igualdad racial.</v>
      </c>
      <c r="H114" t="str">
        <f>_xlfn.XLOOKUP(frasest[[#This Row],[autor_es]],autorest[autor_es],autorest[bio_la])</f>
        <v>Dux iurium civilium et activist aequalitatis racialium in Civitatibus Foederatis.</v>
      </c>
      <c r="I114" t="str">
        <f>_xlfn.XLOOKUP(frasest[[#This Row],[autor_es]],autorest[autor_es],autorest[codigo])</f>
        <v>en</v>
      </c>
      <c r="J114" t="str">
        <f>_xlfn.XLOOKUP(frasest[[#This Row],[autor_es]],autorest[autor_es],autorest[idioma_es])</f>
        <v>Inglés</v>
      </c>
      <c r="K114" t="str">
        <f>_xlfn.XLOOKUP(frasest[[#This Row],[autor_es]],autorest[autor_es],autorest[idioma_la])</f>
        <v>Lingua Anglica</v>
      </c>
      <c r="L114" t="str">
        <f>_xlfn.XLOOKUP(frasest[[#This Row],[autor_es]],autorest[autor_es],autorest[nacion_es])</f>
        <v>Estados Unidos</v>
      </c>
      <c r="M114" t="str">
        <f>_xlfn.XLOOKUP(frasest[[#This Row],[autor_es]],autorest[autor_es],autorest[nacion_la])</f>
        <v>Civitates Foederatae</v>
      </c>
      <c r="N114" t="str">
        <f>_xlfn.XLOOKUP(frasest[[#This Row],[autor_es]],autorest[autor_es],autorest[epoca_es])</f>
        <v>Edad Contemporánea</v>
      </c>
      <c r="O114" t="str">
        <f>_xlfn.XLOOKUP(frasest[[#This Row],[autor_es]],autorest[autor_es],autorest[epoca_la])</f>
        <v>Aetas Contemporanea</v>
      </c>
    </row>
    <row r="115" spans="1:15">
      <c r="A115">
        <v>114</v>
      </c>
      <c r="B115" t="s">
        <v>344</v>
      </c>
      <c r="C115" t="s">
        <v>345</v>
      </c>
      <c r="D115" t="s">
        <v>346</v>
      </c>
      <c r="E115" t="s">
        <v>347</v>
      </c>
      <c r="F115" t="str">
        <f>_xlfn.XLOOKUP(frasest[[#This Row],[autor_es]],autorest[autor_es],autorest[autor_la])</f>
        <v>Ioannes Dewey</v>
      </c>
      <c r="G115" t="str">
        <f>_xlfn.XLOOKUP(frasest[[#This Row],[autor_es]],autorest[autor_es],autorest[bio_es])</f>
        <v>Filósofo y pedagogo estadounidense, defensor de la educación progresista.</v>
      </c>
      <c r="H115" t="str">
        <f>_xlfn.XLOOKUP(frasest[[#This Row],[autor_es]],autorest[autor_es],autorest[bio_la])</f>
        <v>Philosophus et paedagogus Americanus, educationem progressivam defendens.</v>
      </c>
      <c r="I115" t="str">
        <f>_xlfn.XLOOKUP(frasest[[#This Row],[autor_es]],autorest[autor_es],autorest[codigo])</f>
        <v>en</v>
      </c>
      <c r="J115" t="str">
        <f>_xlfn.XLOOKUP(frasest[[#This Row],[autor_es]],autorest[autor_es],autorest[idioma_es])</f>
        <v>Inglés</v>
      </c>
      <c r="K115" t="str">
        <f>_xlfn.XLOOKUP(frasest[[#This Row],[autor_es]],autorest[autor_es],autorest[idioma_la])</f>
        <v>Lingua Anglica</v>
      </c>
      <c r="L115" t="str">
        <f>_xlfn.XLOOKUP(frasest[[#This Row],[autor_es]],autorest[autor_es],autorest[nacion_es])</f>
        <v>Estados Unidos</v>
      </c>
      <c r="M115" t="str">
        <f>_xlfn.XLOOKUP(frasest[[#This Row],[autor_es]],autorest[autor_es],autorest[nacion_la])</f>
        <v>Civitates Foederatae</v>
      </c>
      <c r="N115" t="str">
        <f>_xlfn.XLOOKUP(frasest[[#This Row],[autor_es]],autorest[autor_es],autorest[epoca_es])</f>
        <v>Edad Contemporánea</v>
      </c>
      <c r="O115" t="str">
        <f>_xlfn.XLOOKUP(frasest[[#This Row],[autor_es]],autorest[autor_es],autorest[epoca_la])</f>
        <v>Aetas Contemporanea</v>
      </c>
    </row>
    <row r="116" spans="1:15">
      <c r="A116">
        <v>115</v>
      </c>
      <c r="B116" t="s">
        <v>348</v>
      </c>
      <c r="C116" t="s">
        <v>349</v>
      </c>
      <c r="D116" t="s">
        <v>350</v>
      </c>
      <c r="E116" t="s">
        <v>351</v>
      </c>
      <c r="F116" t="str">
        <f>_xlfn.XLOOKUP(frasest[[#This Row],[autor_es]],autorest[autor_es],autorest[autor_la])</f>
        <v>Benjaminus Franklin</v>
      </c>
      <c r="G116" t="str">
        <f>_xlfn.XLOOKUP(frasest[[#This Row],[autor_es]],autorest[autor_es],autorest[bio_es])</f>
        <v>Político, científico y escritor estadounidense, uno de los Padres Fundadores de Estados Unidos.</v>
      </c>
      <c r="H116" t="str">
        <f>_xlfn.XLOOKUP(frasest[[#This Row],[autor_es]],autorest[autor_es],autorest[bio_la])</f>
        <v>Politicus, sapiens et scriptor Americanus, unus ex Patribus Fundatoribus.</v>
      </c>
      <c r="I116" t="str">
        <f>_xlfn.XLOOKUP(frasest[[#This Row],[autor_es]],autorest[autor_es],autorest[codigo])</f>
        <v>en</v>
      </c>
      <c r="J116" t="str">
        <f>_xlfn.XLOOKUP(frasest[[#This Row],[autor_es]],autorest[autor_es],autorest[idioma_es])</f>
        <v>Inglés</v>
      </c>
      <c r="K116" t="str">
        <f>_xlfn.XLOOKUP(frasest[[#This Row],[autor_es]],autorest[autor_es],autorest[idioma_la])</f>
        <v>Lingua Anglica</v>
      </c>
      <c r="L116" t="str">
        <f>_xlfn.XLOOKUP(frasest[[#This Row],[autor_es]],autorest[autor_es],autorest[nacion_es])</f>
        <v>Estados Unidos</v>
      </c>
      <c r="M116" t="str">
        <f>_xlfn.XLOOKUP(frasest[[#This Row],[autor_es]],autorest[autor_es],autorest[nacion_la])</f>
        <v>Civitates Foederatae</v>
      </c>
      <c r="N116" t="str">
        <f>_xlfn.XLOOKUP(frasest[[#This Row],[autor_es]],autorest[autor_es],autorest[epoca_es])</f>
        <v>Edad Moderna</v>
      </c>
      <c r="O116" t="str">
        <f>_xlfn.XLOOKUP(frasest[[#This Row],[autor_es]],autorest[autor_es],autorest[epoca_la])</f>
        <v>Nova Aetas</v>
      </c>
    </row>
    <row r="117" spans="1:15">
      <c r="A117">
        <v>116</v>
      </c>
      <c r="B117" t="s">
        <v>352</v>
      </c>
      <c r="C117" t="s">
        <v>353</v>
      </c>
      <c r="D117" t="s">
        <v>353</v>
      </c>
      <c r="E117" t="s">
        <v>354</v>
      </c>
      <c r="F117" t="str">
        <f>_xlfn.XLOOKUP(frasest[[#This Row],[autor_es]],autorest[autor_es],autorest[autor_la])</f>
        <v>Leonardus Vincius</v>
      </c>
      <c r="G117" t="str">
        <f>_xlfn.XLOOKUP(frasest[[#This Row],[autor_es]],autorest[autor_es],autorest[bio_es])</f>
        <v>Artista, inventor y científico italiano del Renacimiento.</v>
      </c>
      <c r="H117" t="str">
        <f>_xlfn.XLOOKUP(frasest[[#This Row],[autor_es]],autorest[autor_es],autorest[bio_la])</f>
        <v>Artifex, inventor et physicus Italicus Renaissance.</v>
      </c>
      <c r="I117" t="str">
        <f>_xlfn.XLOOKUP(frasest[[#This Row],[autor_es]],autorest[autor_es],autorest[codigo])</f>
        <v>la</v>
      </c>
      <c r="J117" t="str">
        <f>_xlfn.XLOOKUP(frasest[[#This Row],[autor_es]],autorest[autor_es],autorest[idioma_es])</f>
        <v>Latín</v>
      </c>
      <c r="K117" t="str">
        <f>_xlfn.XLOOKUP(frasest[[#This Row],[autor_es]],autorest[autor_es],autorest[idioma_la])</f>
        <v>Lingua Latina</v>
      </c>
      <c r="L117" t="str">
        <f>_xlfn.XLOOKUP(frasest[[#This Row],[autor_es]],autorest[autor_es],autorest[nacion_es])</f>
        <v>Italia</v>
      </c>
      <c r="M117" t="str">
        <f>_xlfn.XLOOKUP(frasest[[#This Row],[autor_es]],autorest[autor_es],autorest[nacion_la])</f>
        <v>Italia</v>
      </c>
      <c r="N117" t="str">
        <f>_xlfn.XLOOKUP(frasest[[#This Row],[autor_es]],autorest[autor_es],autorest[epoca_es])</f>
        <v>Edad Media</v>
      </c>
      <c r="O117" t="str">
        <f>_xlfn.XLOOKUP(frasest[[#This Row],[autor_es]],autorest[autor_es],autorest[epoca_la])</f>
        <v>Medium Aevum</v>
      </c>
    </row>
    <row r="118" spans="1:15">
      <c r="A118">
        <v>117</v>
      </c>
      <c r="B118" t="s">
        <v>355</v>
      </c>
      <c r="C118" t="s">
        <v>356</v>
      </c>
      <c r="D118" s="1" t="s">
        <v>357</v>
      </c>
      <c r="E118" t="s">
        <v>81</v>
      </c>
      <c r="F118" t="str">
        <f>_xlfn.XLOOKUP(frasest[[#This Row],[autor_es]],autorest[autor_es],autorest[autor_la])</f>
        <v>Confucius</v>
      </c>
      <c r="G118" t="str">
        <f>_xlfn.XLOOKUP(frasest[[#This Row],[autor_es]],autorest[autor_es],autorest[bio_es])</f>
        <v>Filósofo y maestro chino, fundador del confucianismo. Sus enseñanzas influyeron profundamente en la cultura, ética y política de China.</v>
      </c>
      <c r="H118" t="str">
        <f>_xlfn.XLOOKUP(frasest[[#This Row],[autor_es]],autorest[autor_es],autorest[bio_la])</f>
        <v>Philosophus et magister Sinensis, confucianismi conditor. Doctrinae eius in culturam, ethicam et politicam Sinensem profunde influentes.</v>
      </c>
      <c r="I118" t="str">
        <f>_xlfn.XLOOKUP(frasest[[#This Row],[autor_es]],autorest[autor_es],autorest[codigo])</f>
        <v>zh</v>
      </c>
      <c r="J118" t="str">
        <f>_xlfn.XLOOKUP(frasest[[#This Row],[autor_es]],autorest[autor_es],autorest[idioma_es])</f>
        <v>Chino</v>
      </c>
      <c r="K118" t="str">
        <f>_xlfn.XLOOKUP(frasest[[#This Row],[autor_es]],autorest[autor_es],autorest[idioma_la])</f>
        <v>Lingua Sinica</v>
      </c>
      <c r="L118" t="str">
        <f>_xlfn.XLOOKUP(frasest[[#This Row],[autor_es]],autorest[autor_es],autorest[nacion_es])</f>
        <v>China</v>
      </c>
      <c r="M118" t="str">
        <f>_xlfn.XLOOKUP(frasest[[#This Row],[autor_es]],autorest[autor_es],autorest[nacion_la])</f>
        <v>Sinae</v>
      </c>
      <c r="N118" t="str">
        <f>_xlfn.XLOOKUP(frasest[[#This Row],[autor_es]],autorest[autor_es],autorest[epoca_es])</f>
        <v>Edad Antigua</v>
      </c>
      <c r="O118" t="str">
        <f>_xlfn.XLOOKUP(frasest[[#This Row],[autor_es]],autorest[autor_es],autorest[epoca_la])</f>
        <v>Antiquitas</v>
      </c>
    </row>
    <row r="119" spans="1:15" ht="14.25">
      <c r="A119">
        <v>118</v>
      </c>
      <c r="B119" t="s">
        <v>358</v>
      </c>
      <c r="C119" t="s">
        <v>359</v>
      </c>
      <c r="D119" s="2" t="s">
        <v>360</v>
      </c>
      <c r="E119" t="s">
        <v>361</v>
      </c>
      <c r="F119" t="str">
        <f>_xlfn.XLOOKUP(frasest[[#This Row],[autor_es]],autorest[autor_es],autorest[autor_la])</f>
        <v>Proverbium Tibetanum</v>
      </c>
      <c r="G119" t="str">
        <f>_xlfn.XLOOKUP(frasest[[#This Row],[autor_es]],autorest[autor_es],autorest[bio_es])</f>
        <v>Proverbios de la tradición tibetana inspirados en la filosofía budista, centrados en la compasión, la impermanencia y el equilibrio interior.</v>
      </c>
      <c r="H119" t="str">
        <f>_xlfn.XLOOKUP(frasest[[#This Row],[autor_es]],autorest[autor_es],autorest[bio_la])</f>
        <v>Collectio sententiarum Tibeticarum.</v>
      </c>
      <c r="I119" t="str">
        <f>_xlfn.XLOOKUP(frasest[[#This Row],[autor_es]],autorest[autor_es],autorest[codigo])</f>
        <v>es</v>
      </c>
      <c r="J119" t="str">
        <f>_xlfn.XLOOKUP(frasest[[#This Row],[autor_es]],autorest[autor_es],autorest[idioma_es])</f>
        <v>Español</v>
      </c>
      <c r="K119" t="str">
        <f>_xlfn.XLOOKUP(frasest[[#This Row],[autor_es]],autorest[autor_es],autorest[idioma_la])</f>
        <v>Lingua Hispanica</v>
      </c>
      <c r="L119" t="str">
        <f>_xlfn.XLOOKUP(frasest[[#This Row],[autor_es]],autorest[autor_es],autorest[nacion_es])</f>
        <v>Tíbet</v>
      </c>
      <c r="M119" t="str">
        <f>_xlfn.XLOOKUP(frasest[[#This Row],[autor_es]],autorest[autor_es],autorest[nacion_la])</f>
        <v>Thibetum</v>
      </c>
      <c r="N119" t="str">
        <f>_xlfn.XLOOKUP(frasest[[#This Row],[autor_es]],autorest[autor_es],autorest[epoca_es])</f>
        <v>Epoca Desconocida</v>
      </c>
      <c r="O119" t="str">
        <f>_xlfn.XLOOKUP(frasest[[#This Row],[autor_es]],autorest[autor_es],autorest[epoca_la])</f>
        <v>Epocha Ignota</v>
      </c>
    </row>
    <row r="120" spans="1:15">
      <c r="A120">
        <v>119</v>
      </c>
      <c r="B120" t="s">
        <v>362</v>
      </c>
      <c r="C120" t="s">
        <v>363</v>
      </c>
      <c r="D120" t="s">
        <v>364</v>
      </c>
      <c r="E120" t="s">
        <v>365</v>
      </c>
      <c r="F120" t="str">
        <f>_xlfn.XLOOKUP(frasest[[#This Row],[autor_es]],autorest[autor_es],autorest[autor_la])</f>
        <v>Thales Miletaeus</v>
      </c>
      <c r="G120" t="str">
        <f>_xlfn.XLOOKUP(frasest[[#This Row],[autor_es]],autorest[autor_es],autorest[bio_es])</f>
        <v>Filósofo griego presocrático de Mileto, considerado el primer filósofo de Occidente y uno de los Siete Sabios. Predijo el eclipse solar del 585 a.C. y propuso que el agua es la sustancia primordial.</v>
      </c>
      <c r="H120" t="str">
        <f>_xlfn.XLOOKUP(frasest[[#This Row],[autor_es]],autorest[autor_es],autorest[bio_la])</f>
        <v>Philosophus Graecus Praesocraticus Miletaeus, primus philosophus Occidentis et unus ex Septem Sapientibus. Praedixit eclipsis solis anno 585 a.C. et aquam substantiam primordialem proposuit.</v>
      </c>
      <c r="I120" t="str">
        <f>_xlfn.XLOOKUP(frasest[[#This Row],[autor_es]],autorest[autor_es],autorest[codigo])</f>
        <v>el</v>
      </c>
      <c r="J120" t="str">
        <f>_xlfn.XLOOKUP(frasest[[#This Row],[autor_es]],autorest[autor_es],autorest[idioma_es])</f>
        <v>Griego</v>
      </c>
      <c r="K120" t="str">
        <f>_xlfn.XLOOKUP(frasest[[#This Row],[autor_es]],autorest[autor_es],autorest[idioma_la])</f>
        <v>Lingua Graeca</v>
      </c>
      <c r="L120" t="str">
        <f>_xlfn.XLOOKUP(frasest[[#This Row],[autor_es]],autorest[autor_es],autorest[nacion_es])</f>
        <v>Grecia</v>
      </c>
      <c r="M120" t="str">
        <f>_xlfn.XLOOKUP(frasest[[#This Row],[autor_es]],autorest[autor_es],autorest[nacion_la])</f>
        <v>Graecia</v>
      </c>
      <c r="N120" t="str">
        <f>_xlfn.XLOOKUP(frasest[[#This Row],[autor_es]],autorest[autor_es],autorest[epoca_es])</f>
        <v>Edad Antigua</v>
      </c>
      <c r="O120" t="str">
        <f>_xlfn.XLOOKUP(frasest[[#This Row],[autor_es]],autorest[autor_es],autorest[epoca_la])</f>
        <v>Antiquitas</v>
      </c>
    </row>
    <row r="121" spans="1:15">
      <c r="A121">
        <v>120</v>
      </c>
      <c r="B121" t="s">
        <v>366</v>
      </c>
      <c r="C121" t="s">
        <v>367</v>
      </c>
      <c r="D121" t="s">
        <v>368</v>
      </c>
      <c r="E121" t="s">
        <v>365</v>
      </c>
      <c r="F121" t="str">
        <f>_xlfn.XLOOKUP(frasest[[#This Row],[autor_es]],autorest[autor_es],autorest[autor_la])</f>
        <v>Thales Miletaeus</v>
      </c>
      <c r="G121" t="str">
        <f>_xlfn.XLOOKUP(frasest[[#This Row],[autor_es]],autorest[autor_es],autorest[bio_es])</f>
        <v>Filósofo griego presocrático de Mileto, considerado el primer filósofo de Occidente y uno de los Siete Sabios. Predijo el eclipse solar del 585 a.C. y propuso que el agua es la sustancia primordial.</v>
      </c>
      <c r="H121" t="str">
        <f>_xlfn.XLOOKUP(frasest[[#This Row],[autor_es]],autorest[autor_es],autorest[bio_la])</f>
        <v>Philosophus Graecus Praesocraticus Miletaeus, primus philosophus Occidentis et unus ex Septem Sapientibus. Praedixit eclipsis solis anno 585 a.C. et aquam substantiam primordialem proposuit.</v>
      </c>
      <c r="I121" t="str">
        <f>_xlfn.XLOOKUP(frasest[[#This Row],[autor_es]],autorest[autor_es],autorest[codigo])</f>
        <v>el</v>
      </c>
      <c r="J121" t="str">
        <f>_xlfn.XLOOKUP(frasest[[#This Row],[autor_es]],autorest[autor_es],autorest[idioma_es])</f>
        <v>Griego</v>
      </c>
      <c r="K121" t="str">
        <f>_xlfn.XLOOKUP(frasest[[#This Row],[autor_es]],autorest[autor_es],autorest[idioma_la])</f>
        <v>Lingua Graeca</v>
      </c>
      <c r="L121" t="str">
        <f>_xlfn.XLOOKUP(frasest[[#This Row],[autor_es]],autorest[autor_es],autorest[nacion_es])</f>
        <v>Grecia</v>
      </c>
      <c r="M121" t="str">
        <f>_xlfn.XLOOKUP(frasest[[#This Row],[autor_es]],autorest[autor_es],autorest[nacion_la])</f>
        <v>Graecia</v>
      </c>
      <c r="N121" t="str">
        <f>_xlfn.XLOOKUP(frasest[[#This Row],[autor_es]],autorest[autor_es],autorest[epoca_es])</f>
        <v>Edad Antigua</v>
      </c>
      <c r="O121" t="str">
        <f>_xlfn.XLOOKUP(frasest[[#This Row],[autor_es]],autorest[autor_es],autorest[epoca_la])</f>
        <v>Antiquitas</v>
      </c>
    </row>
    <row r="122" spans="1:15">
      <c r="A122">
        <v>121</v>
      </c>
      <c r="B122" t="s">
        <v>369</v>
      </c>
      <c r="C122" t="s">
        <v>370</v>
      </c>
      <c r="D122" t="s">
        <v>371</v>
      </c>
      <c r="E122" t="s">
        <v>365</v>
      </c>
      <c r="F122" t="str">
        <f>_xlfn.XLOOKUP(frasest[[#This Row],[autor_es]],autorest[autor_es],autorest[autor_la])</f>
        <v>Thales Miletaeus</v>
      </c>
      <c r="G122" t="str">
        <f>_xlfn.XLOOKUP(frasest[[#This Row],[autor_es]],autorest[autor_es],autorest[bio_es])</f>
        <v>Filósofo griego presocrático de Mileto, considerado el primer filósofo de Occidente y uno de los Siete Sabios. Predijo el eclipse solar del 585 a.C. y propuso que el agua es la sustancia primordial.</v>
      </c>
      <c r="H122" t="str">
        <f>_xlfn.XLOOKUP(frasest[[#This Row],[autor_es]],autorest[autor_es],autorest[bio_la])</f>
        <v>Philosophus Graecus Praesocraticus Miletaeus, primus philosophus Occidentis et unus ex Septem Sapientibus. Praedixit eclipsis solis anno 585 a.C. et aquam substantiam primordialem proposuit.</v>
      </c>
      <c r="I122" t="str">
        <f>_xlfn.XLOOKUP(frasest[[#This Row],[autor_es]],autorest[autor_es],autorest[codigo])</f>
        <v>el</v>
      </c>
      <c r="J122" t="str">
        <f>_xlfn.XLOOKUP(frasest[[#This Row],[autor_es]],autorest[autor_es],autorest[idioma_es])</f>
        <v>Griego</v>
      </c>
      <c r="K122" t="str">
        <f>_xlfn.XLOOKUP(frasest[[#This Row],[autor_es]],autorest[autor_es],autorest[idioma_la])</f>
        <v>Lingua Graeca</v>
      </c>
      <c r="L122" t="str">
        <f>_xlfn.XLOOKUP(frasest[[#This Row],[autor_es]],autorest[autor_es],autorest[nacion_es])</f>
        <v>Grecia</v>
      </c>
      <c r="M122" t="str">
        <f>_xlfn.XLOOKUP(frasest[[#This Row],[autor_es]],autorest[autor_es],autorest[nacion_la])</f>
        <v>Graecia</v>
      </c>
      <c r="N122" t="str">
        <f>_xlfn.XLOOKUP(frasest[[#This Row],[autor_es]],autorest[autor_es],autorest[epoca_es])</f>
        <v>Edad Antigua</v>
      </c>
      <c r="O122" t="str">
        <f>_xlfn.XLOOKUP(frasest[[#This Row],[autor_es]],autorest[autor_es],autorest[epoca_la])</f>
        <v>Antiquitas</v>
      </c>
    </row>
    <row r="123" spans="1:15">
      <c r="A123">
        <v>122</v>
      </c>
      <c r="B123" t="s">
        <v>372</v>
      </c>
      <c r="C123" t="s">
        <v>373</v>
      </c>
      <c r="D123" t="s">
        <v>374</v>
      </c>
      <c r="E123" t="s">
        <v>365</v>
      </c>
      <c r="F123" t="str">
        <f>_xlfn.XLOOKUP(frasest[[#This Row],[autor_es]],autorest[autor_es],autorest[autor_la])</f>
        <v>Thales Miletaeus</v>
      </c>
      <c r="G123" t="str">
        <f>_xlfn.XLOOKUP(frasest[[#This Row],[autor_es]],autorest[autor_es],autorest[bio_es])</f>
        <v>Filósofo griego presocrático de Mileto, considerado el primer filósofo de Occidente y uno de los Siete Sabios. Predijo el eclipse solar del 585 a.C. y propuso que el agua es la sustancia primordial.</v>
      </c>
      <c r="H123" t="str">
        <f>_xlfn.XLOOKUP(frasest[[#This Row],[autor_es]],autorest[autor_es],autorest[bio_la])</f>
        <v>Philosophus Graecus Praesocraticus Miletaeus, primus philosophus Occidentis et unus ex Septem Sapientibus. Praedixit eclipsis solis anno 585 a.C. et aquam substantiam primordialem proposuit.</v>
      </c>
      <c r="I123" t="str">
        <f>_xlfn.XLOOKUP(frasest[[#This Row],[autor_es]],autorest[autor_es],autorest[codigo])</f>
        <v>el</v>
      </c>
      <c r="J123" t="str">
        <f>_xlfn.XLOOKUP(frasest[[#This Row],[autor_es]],autorest[autor_es],autorest[idioma_es])</f>
        <v>Griego</v>
      </c>
      <c r="K123" t="str">
        <f>_xlfn.XLOOKUP(frasest[[#This Row],[autor_es]],autorest[autor_es],autorest[idioma_la])</f>
        <v>Lingua Graeca</v>
      </c>
      <c r="L123" t="str">
        <f>_xlfn.XLOOKUP(frasest[[#This Row],[autor_es]],autorest[autor_es],autorest[nacion_es])</f>
        <v>Grecia</v>
      </c>
      <c r="M123" t="str">
        <f>_xlfn.XLOOKUP(frasest[[#This Row],[autor_es]],autorest[autor_es],autorest[nacion_la])</f>
        <v>Graecia</v>
      </c>
      <c r="N123" t="str">
        <f>_xlfn.XLOOKUP(frasest[[#This Row],[autor_es]],autorest[autor_es],autorest[epoca_es])</f>
        <v>Edad Antigua</v>
      </c>
      <c r="O123" t="str">
        <f>_xlfn.XLOOKUP(frasest[[#This Row],[autor_es]],autorest[autor_es],autorest[epoca_la])</f>
        <v>Antiquitas</v>
      </c>
    </row>
    <row r="124" spans="1:15">
      <c r="A124">
        <v>123</v>
      </c>
      <c r="B124" t="s">
        <v>375</v>
      </c>
      <c r="C124" t="s">
        <v>376</v>
      </c>
      <c r="D124" t="s">
        <v>377</v>
      </c>
      <c r="E124" t="s">
        <v>365</v>
      </c>
      <c r="F124" t="str">
        <f>_xlfn.XLOOKUP(frasest[[#This Row],[autor_es]],autorest[autor_es],autorest[autor_la])</f>
        <v>Thales Miletaeus</v>
      </c>
      <c r="G124" t="str">
        <f>_xlfn.XLOOKUP(frasest[[#This Row],[autor_es]],autorest[autor_es],autorest[bio_es])</f>
        <v>Filósofo griego presocrático de Mileto, considerado el primer filósofo de Occidente y uno de los Siete Sabios. Predijo el eclipse solar del 585 a.C. y propuso que el agua es la sustancia primordial.</v>
      </c>
      <c r="H124" t="str">
        <f>_xlfn.XLOOKUP(frasest[[#This Row],[autor_es]],autorest[autor_es],autorest[bio_la])</f>
        <v>Philosophus Graecus Praesocraticus Miletaeus, primus philosophus Occidentis et unus ex Septem Sapientibus. Praedixit eclipsis solis anno 585 a.C. et aquam substantiam primordialem proposuit.</v>
      </c>
      <c r="I124" t="str">
        <f>_xlfn.XLOOKUP(frasest[[#This Row],[autor_es]],autorest[autor_es],autorest[codigo])</f>
        <v>el</v>
      </c>
      <c r="J124" t="str">
        <f>_xlfn.XLOOKUP(frasest[[#This Row],[autor_es]],autorest[autor_es],autorest[idioma_es])</f>
        <v>Griego</v>
      </c>
      <c r="K124" t="str">
        <f>_xlfn.XLOOKUP(frasest[[#This Row],[autor_es]],autorest[autor_es],autorest[idioma_la])</f>
        <v>Lingua Graeca</v>
      </c>
      <c r="L124" t="str">
        <f>_xlfn.XLOOKUP(frasest[[#This Row],[autor_es]],autorest[autor_es],autorest[nacion_es])</f>
        <v>Grecia</v>
      </c>
      <c r="M124" t="str">
        <f>_xlfn.XLOOKUP(frasest[[#This Row],[autor_es]],autorest[autor_es],autorest[nacion_la])</f>
        <v>Graecia</v>
      </c>
      <c r="N124" t="str">
        <f>_xlfn.XLOOKUP(frasest[[#This Row],[autor_es]],autorest[autor_es],autorest[epoca_es])</f>
        <v>Edad Antigua</v>
      </c>
      <c r="O124" t="str">
        <f>_xlfn.XLOOKUP(frasest[[#This Row],[autor_es]],autorest[autor_es],autorest[epoca_la])</f>
        <v>Antiquitas</v>
      </c>
    </row>
    <row r="125" spans="1:15">
      <c r="A125">
        <v>124</v>
      </c>
      <c r="B125" t="s">
        <v>378</v>
      </c>
      <c r="C125" t="s">
        <v>379</v>
      </c>
      <c r="D125" t="s">
        <v>380</v>
      </c>
      <c r="E125" t="s">
        <v>365</v>
      </c>
      <c r="F125" t="str">
        <f>_xlfn.XLOOKUP(frasest[[#This Row],[autor_es]],autorest[autor_es],autorest[autor_la])</f>
        <v>Thales Miletaeus</v>
      </c>
      <c r="G125" t="str">
        <f>_xlfn.XLOOKUP(frasest[[#This Row],[autor_es]],autorest[autor_es],autorest[bio_es])</f>
        <v>Filósofo griego presocrático de Mileto, considerado el primer filósofo de Occidente y uno de los Siete Sabios. Predijo el eclipse solar del 585 a.C. y propuso que el agua es la sustancia primordial.</v>
      </c>
      <c r="H125" t="str">
        <f>_xlfn.XLOOKUP(frasest[[#This Row],[autor_es]],autorest[autor_es],autorest[bio_la])</f>
        <v>Philosophus Graecus Praesocraticus Miletaeus, primus philosophus Occidentis et unus ex Septem Sapientibus. Praedixit eclipsis solis anno 585 a.C. et aquam substantiam primordialem proposuit.</v>
      </c>
      <c r="I125" t="str">
        <f>_xlfn.XLOOKUP(frasest[[#This Row],[autor_es]],autorest[autor_es],autorest[codigo])</f>
        <v>el</v>
      </c>
      <c r="J125" t="str">
        <f>_xlfn.XLOOKUP(frasest[[#This Row],[autor_es]],autorest[autor_es],autorest[idioma_es])</f>
        <v>Griego</v>
      </c>
      <c r="K125" t="str">
        <f>_xlfn.XLOOKUP(frasest[[#This Row],[autor_es]],autorest[autor_es],autorest[idioma_la])</f>
        <v>Lingua Graeca</v>
      </c>
      <c r="L125" t="str">
        <f>_xlfn.XLOOKUP(frasest[[#This Row],[autor_es]],autorest[autor_es],autorest[nacion_es])</f>
        <v>Grecia</v>
      </c>
      <c r="M125" t="str">
        <f>_xlfn.XLOOKUP(frasest[[#This Row],[autor_es]],autorest[autor_es],autorest[nacion_la])</f>
        <v>Graecia</v>
      </c>
      <c r="N125" t="str">
        <f>_xlfn.XLOOKUP(frasest[[#This Row],[autor_es]],autorest[autor_es],autorest[epoca_es])</f>
        <v>Edad Antigua</v>
      </c>
      <c r="O125" t="str">
        <f>_xlfn.XLOOKUP(frasest[[#This Row],[autor_es]],autorest[autor_es],autorest[epoca_la])</f>
        <v>Antiquitas</v>
      </c>
    </row>
    <row r="126" spans="1:15">
      <c r="A126">
        <v>125</v>
      </c>
      <c r="B126" t="s">
        <v>381</v>
      </c>
      <c r="C126" t="s">
        <v>382</v>
      </c>
      <c r="D126" t="s">
        <v>383</v>
      </c>
      <c r="E126" t="s">
        <v>365</v>
      </c>
      <c r="F126" t="str">
        <f>_xlfn.XLOOKUP(frasest[[#This Row],[autor_es]],autorest[autor_es],autorest[autor_la])</f>
        <v>Thales Miletaeus</v>
      </c>
      <c r="G126" t="str">
        <f>_xlfn.XLOOKUP(frasest[[#This Row],[autor_es]],autorest[autor_es],autorest[bio_es])</f>
        <v>Filósofo griego presocrático de Mileto, considerado el primer filósofo de Occidente y uno de los Siete Sabios. Predijo el eclipse solar del 585 a.C. y propuso que el agua es la sustancia primordial.</v>
      </c>
      <c r="H126" t="str">
        <f>_xlfn.XLOOKUP(frasest[[#This Row],[autor_es]],autorest[autor_es],autorest[bio_la])</f>
        <v>Philosophus Graecus Praesocraticus Miletaeus, primus philosophus Occidentis et unus ex Septem Sapientibus. Praedixit eclipsis solis anno 585 a.C. et aquam substantiam primordialem proposuit.</v>
      </c>
      <c r="I126" t="str">
        <f>_xlfn.XLOOKUP(frasest[[#This Row],[autor_es]],autorest[autor_es],autorest[codigo])</f>
        <v>el</v>
      </c>
      <c r="J126" t="str">
        <f>_xlfn.XLOOKUP(frasest[[#This Row],[autor_es]],autorest[autor_es],autorest[idioma_es])</f>
        <v>Griego</v>
      </c>
      <c r="K126" t="str">
        <f>_xlfn.XLOOKUP(frasest[[#This Row],[autor_es]],autorest[autor_es],autorest[idioma_la])</f>
        <v>Lingua Graeca</v>
      </c>
      <c r="L126" t="str">
        <f>_xlfn.XLOOKUP(frasest[[#This Row],[autor_es]],autorest[autor_es],autorest[nacion_es])</f>
        <v>Grecia</v>
      </c>
      <c r="M126" t="str">
        <f>_xlfn.XLOOKUP(frasest[[#This Row],[autor_es]],autorest[autor_es],autorest[nacion_la])</f>
        <v>Graecia</v>
      </c>
      <c r="N126" t="str">
        <f>_xlfn.XLOOKUP(frasest[[#This Row],[autor_es]],autorest[autor_es],autorest[epoca_es])</f>
        <v>Edad Antigua</v>
      </c>
      <c r="O126" t="str">
        <f>_xlfn.XLOOKUP(frasest[[#This Row],[autor_es]],autorest[autor_es],autorest[epoca_la])</f>
        <v>Antiquitas</v>
      </c>
    </row>
    <row r="127" spans="1:15">
      <c r="A127">
        <v>126</v>
      </c>
      <c r="B127" t="s">
        <v>384</v>
      </c>
      <c r="C127" t="s">
        <v>385</v>
      </c>
      <c r="D127" t="s">
        <v>386</v>
      </c>
      <c r="E127" t="s">
        <v>365</v>
      </c>
      <c r="F127" t="str">
        <f>_xlfn.XLOOKUP(frasest[[#This Row],[autor_es]],autorest[autor_es],autorest[autor_la])</f>
        <v>Thales Miletaeus</v>
      </c>
      <c r="G127" t="str">
        <f>_xlfn.XLOOKUP(frasest[[#This Row],[autor_es]],autorest[autor_es],autorest[bio_es])</f>
        <v>Filósofo griego presocrático de Mileto, considerado el primer filósofo de Occidente y uno de los Siete Sabios. Predijo el eclipse solar del 585 a.C. y propuso que el agua es la sustancia primordial.</v>
      </c>
      <c r="H127" t="str">
        <f>_xlfn.XLOOKUP(frasest[[#This Row],[autor_es]],autorest[autor_es],autorest[bio_la])</f>
        <v>Philosophus Graecus Praesocraticus Miletaeus, primus philosophus Occidentis et unus ex Septem Sapientibus. Praedixit eclipsis solis anno 585 a.C. et aquam substantiam primordialem proposuit.</v>
      </c>
      <c r="I127" t="str">
        <f>_xlfn.XLOOKUP(frasest[[#This Row],[autor_es]],autorest[autor_es],autorest[codigo])</f>
        <v>el</v>
      </c>
      <c r="J127" t="str">
        <f>_xlfn.XLOOKUP(frasest[[#This Row],[autor_es]],autorest[autor_es],autorest[idioma_es])</f>
        <v>Griego</v>
      </c>
      <c r="K127" t="str">
        <f>_xlfn.XLOOKUP(frasest[[#This Row],[autor_es]],autorest[autor_es],autorest[idioma_la])</f>
        <v>Lingua Graeca</v>
      </c>
      <c r="L127" t="str">
        <f>_xlfn.XLOOKUP(frasest[[#This Row],[autor_es]],autorest[autor_es],autorest[nacion_es])</f>
        <v>Grecia</v>
      </c>
      <c r="M127" t="str">
        <f>_xlfn.XLOOKUP(frasest[[#This Row],[autor_es]],autorest[autor_es],autorest[nacion_la])</f>
        <v>Graecia</v>
      </c>
      <c r="N127" t="str">
        <f>_xlfn.XLOOKUP(frasest[[#This Row],[autor_es]],autorest[autor_es],autorest[epoca_es])</f>
        <v>Edad Antigua</v>
      </c>
      <c r="O127" t="str">
        <f>_xlfn.XLOOKUP(frasest[[#This Row],[autor_es]],autorest[autor_es],autorest[epoca_la])</f>
        <v>Antiquitas</v>
      </c>
    </row>
    <row r="128" spans="1:15">
      <c r="A128">
        <v>127</v>
      </c>
      <c r="B128" t="s">
        <v>387</v>
      </c>
      <c r="C128" t="s">
        <v>388</v>
      </c>
      <c r="D128" t="s">
        <v>389</v>
      </c>
      <c r="E128" t="s">
        <v>365</v>
      </c>
      <c r="F128" t="str">
        <f>_xlfn.XLOOKUP(frasest[[#This Row],[autor_es]],autorest[autor_es],autorest[autor_la])</f>
        <v>Thales Miletaeus</v>
      </c>
      <c r="G128" t="str">
        <f>_xlfn.XLOOKUP(frasest[[#This Row],[autor_es]],autorest[autor_es],autorest[bio_es])</f>
        <v>Filósofo griego presocrático de Mileto, considerado el primer filósofo de Occidente y uno de los Siete Sabios. Predijo el eclipse solar del 585 a.C. y propuso que el agua es la sustancia primordial.</v>
      </c>
      <c r="H128" t="str">
        <f>_xlfn.XLOOKUP(frasest[[#This Row],[autor_es]],autorest[autor_es],autorest[bio_la])</f>
        <v>Philosophus Graecus Praesocraticus Miletaeus, primus philosophus Occidentis et unus ex Septem Sapientibus. Praedixit eclipsis solis anno 585 a.C. et aquam substantiam primordialem proposuit.</v>
      </c>
      <c r="I128" t="str">
        <f>_xlfn.XLOOKUP(frasest[[#This Row],[autor_es]],autorest[autor_es],autorest[codigo])</f>
        <v>el</v>
      </c>
      <c r="J128" t="str">
        <f>_xlfn.XLOOKUP(frasest[[#This Row],[autor_es]],autorest[autor_es],autorest[idioma_es])</f>
        <v>Griego</v>
      </c>
      <c r="K128" t="str">
        <f>_xlfn.XLOOKUP(frasest[[#This Row],[autor_es]],autorest[autor_es],autorest[idioma_la])</f>
        <v>Lingua Graeca</v>
      </c>
      <c r="L128" t="str">
        <f>_xlfn.XLOOKUP(frasest[[#This Row],[autor_es]],autorest[autor_es],autorest[nacion_es])</f>
        <v>Grecia</v>
      </c>
      <c r="M128" t="str">
        <f>_xlfn.XLOOKUP(frasest[[#This Row],[autor_es]],autorest[autor_es],autorest[nacion_la])</f>
        <v>Graecia</v>
      </c>
      <c r="N128" t="str">
        <f>_xlfn.XLOOKUP(frasest[[#This Row],[autor_es]],autorest[autor_es],autorest[epoca_es])</f>
        <v>Edad Antigua</v>
      </c>
      <c r="O128" t="str">
        <f>_xlfn.XLOOKUP(frasest[[#This Row],[autor_es]],autorest[autor_es],autorest[epoca_la])</f>
        <v>Antiquitas</v>
      </c>
    </row>
    <row r="129" spans="1:15">
      <c r="A129">
        <v>128</v>
      </c>
      <c r="B129" t="s">
        <v>390</v>
      </c>
      <c r="C129" t="s">
        <v>391</v>
      </c>
      <c r="D129" t="s">
        <v>392</v>
      </c>
      <c r="E129" t="s">
        <v>365</v>
      </c>
      <c r="F129" t="str">
        <f>_xlfn.XLOOKUP(frasest[[#This Row],[autor_es]],autorest[autor_es],autorest[autor_la])</f>
        <v>Thales Miletaeus</v>
      </c>
      <c r="G129" t="str">
        <f>_xlfn.XLOOKUP(frasest[[#This Row],[autor_es]],autorest[autor_es],autorest[bio_es])</f>
        <v>Filósofo griego presocrático de Mileto, considerado el primer filósofo de Occidente y uno de los Siete Sabios. Predijo el eclipse solar del 585 a.C. y propuso que el agua es la sustancia primordial.</v>
      </c>
      <c r="H129" t="str">
        <f>_xlfn.XLOOKUP(frasest[[#This Row],[autor_es]],autorest[autor_es],autorest[bio_la])</f>
        <v>Philosophus Graecus Praesocraticus Miletaeus, primus philosophus Occidentis et unus ex Septem Sapientibus. Praedixit eclipsis solis anno 585 a.C. et aquam substantiam primordialem proposuit.</v>
      </c>
      <c r="I129" t="str">
        <f>_xlfn.XLOOKUP(frasest[[#This Row],[autor_es]],autorest[autor_es],autorest[codigo])</f>
        <v>el</v>
      </c>
      <c r="J129" t="str">
        <f>_xlfn.XLOOKUP(frasest[[#This Row],[autor_es]],autorest[autor_es],autorest[idioma_es])</f>
        <v>Griego</v>
      </c>
      <c r="K129" t="str">
        <f>_xlfn.XLOOKUP(frasest[[#This Row],[autor_es]],autorest[autor_es],autorest[idioma_la])</f>
        <v>Lingua Graeca</v>
      </c>
      <c r="L129" t="str">
        <f>_xlfn.XLOOKUP(frasest[[#This Row],[autor_es]],autorest[autor_es],autorest[nacion_es])</f>
        <v>Grecia</v>
      </c>
      <c r="M129" t="str">
        <f>_xlfn.XLOOKUP(frasest[[#This Row],[autor_es]],autorest[autor_es],autorest[nacion_la])</f>
        <v>Graecia</v>
      </c>
      <c r="N129" t="str">
        <f>_xlfn.XLOOKUP(frasest[[#This Row],[autor_es]],autorest[autor_es],autorest[epoca_es])</f>
        <v>Edad Antigua</v>
      </c>
      <c r="O129" t="str">
        <f>_xlfn.XLOOKUP(frasest[[#This Row],[autor_es]],autorest[autor_es],autorest[epoca_la])</f>
        <v>Antiquitas</v>
      </c>
    </row>
    <row r="130" spans="1:15">
      <c r="A130">
        <v>129</v>
      </c>
      <c r="B130" t="s">
        <v>393</v>
      </c>
      <c r="C130" t="s">
        <v>394</v>
      </c>
      <c r="D130" t="s">
        <v>395</v>
      </c>
      <c r="E130" t="s">
        <v>396</v>
      </c>
      <c r="F130" t="str">
        <f>_xlfn.XLOOKUP(frasest[[#This Row],[autor_es]],autorest[autor_es],autorest[autor_la])</f>
        <v>Epicurus</v>
      </c>
      <c r="G130" t="str">
        <f>_xlfn.XLOOKUP(frasest[[#This Row],[autor_es]],autorest[autor_es],autorest[bio_es])</f>
        <v>Filósofo griego de la Edad Antigua, fundador del epicureísmo, que defendía la búsqueda racional del placer moderado como camino a la felicidad.</v>
      </c>
      <c r="H130" t="str">
        <f>_xlfn.XLOOKUP(frasest[[#This Row],[autor_es]],autorest[autor_es],autorest[bio_la])</f>
        <v>Philosophus Graecus Antiquitatis, scholae Epicureae conditor, qui voluptatem moderatam ratione quaesitam viam ad felicitatem esse docebat.</v>
      </c>
      <c r="I130" t="str">
        <f>_xlfn.XLOOKUP(frasest[[#This Row],[autor_es]],autorest[autor_es],autorest[codigo])</f>
        <v>el</v>
      </c>
      <c r="J130" t="str">
        <f>_xlfn.XLOOKUP(frasest[[#This Row],[autor_es]],autorest[autor_es],autorest[idioma_es])</f>
        <v>Griego</v>
      </c>
      <c r="K130" t="str">
        <f>_xlfn.XLOOKUP(frasest[[#This Row],[autor_es]],autorest[autor_es],autorest[idioma_la])</f>
        <v>Lingua Graeca</v>
      </c>
      <c r="L130" t="str">
        <f>_xlfn.XLOOKUP(frasest[[#This Row],[autor_es]],autorest[autor_es],autorest[nacion_es])</f>
        <v>Grecia</v>
      </c>
      <c r="M130" t="str">
        <f>_xlfn.XLOOKUP(frasest[[#This Row],[autor_es]],autorest[autor_es],autorest[nacion_la])</f>
        <v>Graecia</v>
      </c>
      <c r="N130" t="str">
        <f>_xlfn.XLOOKUP(frasest[[#This Row],[autor_es]],autorest[autor_es],autorest[epoca_es])</f>
        <v>Edad Antigua</v>
      </c>
      <c r="O130" t="str">
        <f>_xlfn.XLOOKUP(frasest[[#This Row],[autor_es]],autorest[autor_es],autorest[epoca_la])</f>
        <v>Antiquitas</v>
      </c>
    </row>
    <row r="131" spans="1:15">
      <c r="A131">
        <v>130</v>
      </c>
      <c r="B131" t="s">
        <v>397</v>
      </c>
      <c r="C131" t="s">
        <v>398</v>
      </c>
      <c r="D131" t="s">
        <v>399</v>
      </c>
      <c r="E131" t="s">
        <v>396</v>
      </c>
      <c r="F131" t="str">
        <f>_xlfn.XLOOKUP(frasest[[#This Row],[autor_es]],autorest[autor_es],autorest[autor_la])</f>
        <v>Epicurus</v>
      </c>
      <c r="G131" t="str">
        <f>_xlfn.XLOOKUP(frasest[[#This Row],[autor_es]],autorest[autor_es],autorest[bio_es])</f>
        <v>Filósofo griego de la Edad Antigua, fundador del epicureísmo, que defendía la búsqueda racional del placer moderado como camino a la felicidad.</v>
      </c>
      <c r="H131" t="str">
        <f>_xlfn.XLOOKUP(frasest[[#This Row],[autor_es]],autorest[autor_es],autorest[bio_la])</f>
        <v>Philosophus Graecus Antiquitatis, scholae Epicureae conditor, qui voluptatem moderatam ratione quaesitam viam ad felicitatem esse docebat.</v>
      </c>
      <c r="I131" t="str">
        <f>_xlfn.XLOOKUP(frasest[[#This Row],[autor_es]],autorest[autor_es],autorest[codigo])</f>
        <v>el</v>
      </c>
      <c r="J131" t="str">
        <f>_xlfn.XLOOKUP(frasest[[#This Row],[autor_es]],autorest[autor_es],autorest[idioma_es])</f>
        <v>Griego</v>
      </c>
      <c r="K131" t="str">
        <f>_xlfn.XLOOKUP(frasest[[#This Row],[autor_es]],autorest[autor_es],autorest[idioma_la])</f>
        <v>Lingua Graeca</v>
      </c>
      <c r="L131" t="str">
        <f>_xlfn.XLOOKUP(frasest[[#This Row],[autor_es]],autorest[autor_es],autorest[nacion_es])</f>
        <v>Grecia</v>
      </c>
      <c r="M131" t="str">
        <f>_xlfn.XLOOKUP(frasest[[#This Row],[autor_es]],autorest[autor_es],autorest[nacion_la])</f>
        <v>Graecia</v>
      </c>
      <c r="N131" t="str">
        <f>_xlfn.XLOOKUP(frasest[[#This Row],[autor_es]],autorest[autor_es],autorest[epoca_es])</f>
        <v>Edad Antigua</v>
      </c>
      <c r="O131" t="str">
        <f>_xlfn.XLOOKUP(frasest[[#This Row],[autor_es]],autorest[autor_es],autorest[epoca_la])</f>
        <v>Antiquitas</v>
      </c>
    </row>
    <row r="132" spans="1:15">
      <c r="A132">
        <v>131</v>
      </c>
      <c r="B132" t="s">
        <v>400</v>
      </c>
      <c r="C132" t="s">
        <v>401</v>
      </c>
      <c r="D132" t="s">
        <v>402</v>
      </c>
      <c r="E132" t="s">
        <v>396</v>
      </c>
      <c r="F132" t="str">
        <f>_xlfn.XLOOKUP(frasest[[#This Row],[autor_es]],autorest[autor_es],autorest[autor_la])</f>
        <v>Epicurus</v>
      </c>
      <c r="G132" t="str">
        <f>_xlfn.XLOOKUP(frasest[[#This Row],[autor_es]],autorest[autor_es],autorest[bio_es])</f>
        <v>Filósofo griego de la Edad Antigua, fundador del epicureísmo, que defendía la búsqueda racional del placer moderado como camino a la felicidad.</v>
      </c>
      <c r="H132" t="str">
        <f>_xlfn.XLOOKUP(frasest[[#This Row],[autor_es]],autorest[autor_es],autorest[bio_la])</f>
        <v>Philosophus Graecus Antiquitatis, scholae Epicureae conditor, qui voluptatem moderatam ratione quaesitam viam ad felicitatem esse docebat.</v>
      </c>
      <c r="I132" t="str">
        <f>_xlfn.XLOOKUP(frasest[[#This Row],[autor_es]],autorest[autor_es],autorest[codigo])</f>
        <v>el</v>
      </c>
      <c r="J132" t="str">
        <f>_xlfn.XLOOKUP(frasest[[#This Row],[autor_es]],autorest[autor_es],autorest[idioma_es])</f>
        <v>Griego</v>
      </c>
      <c r="K132" t="str">
        <f>_xlfn.XLOOKUP(frasest[[#This Row],[autor_es]],autorest[autor_es],autorest[idioma_la])</f>
        <v>Lingua Graeca</v>
      </c>
      <c r="L132" t="str">
        <f>_xlfn.XLOOKUP(frasest[[#This Row],[autor_es]],autorest[autor_es],autorest[nacion_es])</f>
        <v>Grecia</v>
      </c>
      <c r="M132" t="str">
        <f>_xlfn.XLOOKUP(frasest[[#This Row],[autor_es]],autorest[autor_es],autorest[nacion_la])</f>
        <v>Graecia</v>
      </c>
      <c r="N132" t="str">
        <f>_xlfn.XLOOKUP(frasest[[#This Row],[autor_es]],autorest[autor_es],autorest[epoca_es])</f>
        <v>Edad Antigua</v>
      </c>
      <c r="O132" t="str">
        <f>_xlfn.XLOOKUP(frasest[[#This Row],[autor_es]],autorest[autor_es],autorest[epoca_la])</f>
        <v>Antiquitas</v>
      </c>
    </row>
    <row r="133" spans="1:15">
      <c r="A133">
        <v>132</v>
      </c>
      <c r="B133" t="s">
        <v>403</v>
      </c>
      <c r="C133" t="s">
        <v>404</v>
      </c>
      <c r="D133" t="s">
        <v>405</v>
      </c>
      <c r="E133" t="s">
        <v>396</v>
      </c>
      <c r="F133" t="str">
        <f>_xlfn.XLOOKUP(frasest[[#This Row],[autor_es]],autorest[autor_es],autorest[autor_la])</f>
        <v>Epicurus</v>
      </c>
      <c r="G133" t="str">
        <f>_xlfn.XLOOKUP(frasest[[#This Row],[autor_es]],autorest[autor_es],autorest[bio_es])</f>
        <v>Filósofo griego de la Edad Antigua, fundador del epicureísmo, que defendía la búsqueda racional del placer moderado como camino a la felicidad.</v>
      </c>
      <c r="H133" t="str">
        <f>_xlfn.XLOOKUP(frasest[[#This Row],[autor_es]],autorest[autor_es],autorest[bio_la])</f>
        <v>Philosophus Graecus Antiquitatis, scholae Epicureae conditor, qui voluptatem moderatam ratione quaesitam viam ad felicitatem esse docebat.</v>
      </c>
      <c r="I133" t="str">
        <f>_xlfn.XLOOKUP(frasest[[#This Row],[autor_es]],autorest[autor_es],autorest[codigo])</f>
        <v>el</v>
      </c>
      <c r="J133" t="str">
        <f>_xlfn.XLOOKUP(frasest[[#This Row],[autor_es]],autorest[autor_es],autorest[idioma_es])</f>
        <v>Griego</v>
      </c>
      <c r="K133" t="str">
        <f>_xlfn.XLOOKUP(frasest[[#This Row],[autor_es]],autorest[autor_es],autorest[idioma_la])</f>
        <v>Lingua Graeca</v>
      </c>
      <c r="L133" t="str">
        <f>_xlfn.XLOOKUP(frasest[[#This Row],[autor_es]],autorest[autor_es],autorest[nacion_es])</f>
        <v>Grecia</v>
      </c>
      <c r="M133" t="str">
        <f>_xlfn.XLOOKUP(frasest[[#This Row],[autor_es]],autorest[autor_es],autorest[nacion_la])</f>
        <v>Graecia</v>
      </c>
      <c r="N133" t="str">
        <f>_xlfn.XLOOKUP(frasest[[#This Row],[autor_es]],autorest[autor_es],autorest[epoca_es])</f>
        <v>Edad Antigua</v>
      </c>
      <c r="O133" t="str">
        <f>_xlfn.XLOOKUP(frasest[[#This Row],[autor_es]],autorest[autor_es],autorest[epoca_la])</f>
        <v>Antiquitas</v>
      </c>
    </row>
    <row r="134" spans="1:15">
      <c r="A134">
        <v>133</v>
      </c>
      <c r="B134" t="s">
        <v>406</v>
      </c>
      <c r="C134" t="s">
        <v>407</v>
      </c>
      <c r="D134" t="s">
        <v>408</v>
      </c>
      <c r="E134" t="s">
        <v>396</v>
      </c>
      <c r="F134" t="str">
        <f>_xlfn.XLOOKUP(frasest[[#This Row],[autor_es]],autorest[autor_es],autorest[autor_la])</f>
        <v>Epicurus</v>
      </c>
      <c r="G134" t="str">
        <f>_xlfn.XLOOKUP(frasest[[#This Row],[autor_es]],autorest[autor_es],autorest[bio_es])</f>
        <v>Filósofo griego de la Edad Antigua, fundador del epicureísmo, que defendía la búsqueda racional del placer moderado como camino a la felicidad.</v>
      </c>
      <c r="H134" t="str">
        <f>_xlfn.XLOOKUP(frasest[[#This Row],[autor_es]],autorest[autor_es],autorest[bio_la])</f>
        <v>Philosophus Graecus Antiquitatis, scholae Epicureae conditor, qui voluptatem moderatam ratione quaesitam viam ad felicitatem esse docebat.</v>
      </c>
      <c r="I134" t="str">
        <f>_xlfn.XLOOKUP(frasest[[#This Row],[autor_es]],autorest[autor_es],autorest[codigo])</f>
        <v>el</v>
      </c>
      <c r="J134" t="str">
        <f>_xlfn.XLOOKUP(frasest[[#This Row],[autor_es]],autorest[autor_es],autorest[idioma_es])</f>
        <v>Griego</v>
      </c>
      <c r="K134" t="str">
        <f>_xlfn.XLOOKUP(frasest[[#This Row],[autor_es]],autorest[autor_es],autorest[idioma_la])</f>
        <v>Lingua Graeca</v>
      </c>
      <c r="L134" t="str">
        <f>_xlfn.XLOOKUP(frasest[[#This Row],[autor_es]],autorest[autor_es],autorest[nacion_es])</f>
        <v>Grecia</v>
      </c>
      <c r="M134" t="str">
        <f>_xlfn.XLOOKUP(frasest[[#This Row],[autor_es]],autorest[autor_es],autorest[nacion_la])</f>
        <v>Graecia</v>
      </c>
      <c r="N134" t="str">
        <f>_xlfn.XLOOKUP(frasest[[#This Row],[autor_es]],autorest[autor_es],autorest[epoca_es])</f>
        <v>Edad Antigua</v>
      </c>
      <c r="O134" t="str">
        <f>_xlfn.XLOOKUP(frasest[[#This Row],[autor_es]],autorest[autor_es],autorest[epoca_la])</f>
        <v>Antiquitas</v>
      </c>
    </row>
    <row r="135" spans="1:15">
      <c r="A135">
        <v>134</v>
      </c>
      <c r="B135" t="s">
        <v>409</v>
      </c>
      <c r="C135" t="s">
        <v>410</v>
      </c>
      <c r="D135" t="s">
        <v>411</v>
      </c>
      <c r="E135" t="s">
        <v>396</v>
      </c>
      <c r="F135" t="str">
        <f>_xlfn.XLOOKUP(frasest[[#This Row],[autor_es]],autorest[autor_es],autorest[autor_la])</f>
        <v>Epicurus</v>
      </c>
      <c r="G135" t="str">
        <f>_xlfn.XLOOKUP(frasest[[#This Row],[autor_es]],autorest[autor_es],autorest[bio_es])</f>
        <v>Filósofo griego de la Edad Antigua, fundador del epicureísmo, que defendía la búsqueda racional del placer moderado como camino a la felicidad.</v>
      </c>
      <c r="H135" t="str">
        <f>_xlfn.XLOOKUP(frasest[[#This Row],[autor_es]],autorest[autor_es],autorest[bio_la])</f>
        <v>Philosophus Graecus Antiquitatis, scholae Epicureae conditor, qui voluptatem moderatam ratione quaesitam viam ad felicitatem esse docebat.</v>
      </c>
      <c r="I135" t="str">
        <f>_xlfn.XLOOKUP(frasest[[#This Row],[autor_es]],autorest[autor_es],autorest[codigo])</f>
        <v>el</v>
      </c>
      <c r="J135" t="str">
        <f>_xlfn.XLOOKUP(frasest[[#This Row],[autor_es]],autorest[autor_es],autorest[idioma_es])</f>
        <v>Griego</v>
      </c>
      <c r="K135" t="str">
        <f>_xlfn.XLOOKUP(frasest[[#This Row],[autor_es]],autorest[autor_es],autorest[idioma_la])</f>
        <v>Lingua Graeca</v>
      </c>
      <c r="L135" t="str">
        <f>_xlfn.XLOOKUP(frasest[[#This Row],[autor_es]],autorest[autor_es],autorest[nacion_es])</f>
        <v>Grecia</v>
      </c>
      <c r="M135" t="str">
        <f>_xlfn.XLOOKUP(frasest[[#This Row],[autor_es]],autorest[autor_es],autorest[nacion_la])</f>
        <v>Graecia</v>
      </c>
      <c r="N135" t="str">
        <f>_xlfn.XLOOKUP(frasest[[#This Row],[autor_es]],autorest[autor_es],autorest[epoca_es])</f>
        <v>Edad Antigua</v>
      </c>
      <c r="O135" t="str">
        <f>_xlfn.XLOOKUP(frasest[[#This Row],[autor_es]],autorest[autor_es],autorest[epoca_la])</f>
        <v>Antiquitas</v>
      </c>
    </row>
    <row r="136" spans="1:15">
      <c r="A136">
        <v>135</v>
      </c>
      <c r="B136" t="s">
        <v>412</v>
      </c>
      <c r="C136" t="s">
        <v>413</v>
      </c>
      <c r="D136" t="s">
        <v>414</v>
      </c>
      <c r="E136" t="s">
        <v>396</v>
      </c>
      <c r="F136" t="str">
        <f>_xlfn.XLOOKUP(frasest[[#This Row],[autor_es]],autorest[autor_es],autorest[autor_la])</f>
        <v>Epicurus</v>
      </c>
      <c r="G136" t="str">
        <f>_xlfn.XLOOKUP(frasest[[#This Row],[autor_es]],autorest[autor_es],autorest[bio_es])</f>
        <v>Filósofo griego de la Edad Antigua, fundador del epicureísmo, que defendía la búsqueda racional del placer moderado como camino a la felicidad.</v>
      </c>
      <c r="H136" t="str">
        <f>_xlfn.XLOOKUP(frasest[[#This Row],[autor_es]],autorest[autor_es],autorest[bio_la])</f>
        <v>Philosophus Graecus Antiquitatis, scholae Epicureae conditor, qui voluptatem moderatam ratione quaesitam viam ad felicitatem esse docebat.</v>
      </c>
      <c r="I136" t="str">
        <f>_xlfn.XLOOKUP(frasest[[#This Row],[autor_es]],autorest[autor_es],autorest[codigo])</f>
        <v>el</v>
      </c>
      <c r="J136" t="str">
        <f>_xlfn.XLOOKUP(frasest[[#This Row],[autor_es]],autorest[autor_es],autorest[idioma_es])</f>
        <v>Griego</v>
      </c>
      <c r="K136" t="str">
        <f>_xlfn.XLOOKUP(frasest[[#This Row],[autor_es]],autorest[autor_es],autorest[idioma_la])</f>
        <v>Lingua Graeca</v>
      </c>
      <c r="L136" t="str">
        <f>_xlfn.XLOOKUP(frasest[[#This Row],[autor_es]],autorest[autor_es],autorest[nacion_es])</f>
        <v>Grecia</v>
      </c>
      <c r="M136" t="str">
        <f>_xlfn.XLOOKUP(frasest[[#This Row],[autor_es]],autorest[autor_es],autorest[nacion_la])</f>
        <v>Graecia</v>
      </c>
      <c r="N136" t="str">
        <f>_xlfn.XLOOKUP(frasest[[#This Row],[autor_es]],autorest[autor_es],autorest[epoca_es])</f>
        <v>Edad Antigua</v>
      </c>
      <c r="O136" t="str">
        <f>_xlfn.XLOOKUP(frasest[[#This Row],[autor_es]],autorest[autor_es],autorest[epoca_la])</f>
        <v>Antiquitas</v>
      </c>
    </row>
    <row r="137" spans="1:15">
      <c r="A137">
        <v>136</v>
      </c>
      <c r="B137" t="s">
        <v>415</v>
      </c>
      <c r="C137" t="s">
        <v>416</v>
      </c>
      <c r="D137" t="s">
        <v>417</v>
      </c>
      <c r="E137" t="s">
        <v>396</v>
      </c>
      <c r="F137" t="str">
        <f>_xlfn.XLOOKUP(frasest[[#This Row],[autor_es]],autorest[autor_es],autorest[autor_la])</f>
        <v>Epicurus</v>
      </c>
      <c r="G137" t="str">
        <f>_xlfn.XLOOKUP(frasest[[#This Row],[autor_es]],autorest[autor_es],autorest[bio_es])</f>
        <v>Filósofo griego de la Edad Antigua, fundador del epicureísmo, que defendía la búsqueda racional del placer moderado como camino a la felicidad.</v>
      </c>
      <c r="H137" t="str">
        <f>_xlfn.XLOOKUP(frasest[[#This Row],[autor_es]],autorest[autor_es],autorest[bio_la])</f>
        <v>Philosophus Graecus Antiquitatis, scholae Epicureae conditor, qui voluptatem moderatam ratione quaesitam viam ad felicitatem esse docebat.</v>
      </c>
      <c r="I137" t="str">
        <f>_xlfn.XLOOKUP(frasest[[#This Row],[autor_es]],autorest[autor_es],autorest[codigo])</f>
        <v>el</v>
      </c>
      <c r="J137" t="str">
        <f>_xlfn.XLOOKUP(frasest[[#This Row],[autor_es]],autorest[autor_es],autorest[idioma_es])</f>
        <v>Griego</v>
      </c>
      <c r="K137" t="str">
        <f>_xlfn.XLOOKUP(frasest[[#This Row],[autor_es]],autorest[autor_es],autorest[idioma_la])</f>
        <v>Lingua Graeca</v>
      </c>
      <c r="L137" t="str">
        <f>_xlfn.XLOOKUP(frasest[[#This Row],[autor_es]],autorest[autor_es],autorest[nacion_es])</f>
        <v>Grecia</v>
      </c>
      <c r="M137" t="str">
        <f>_xlfn.XLOOKUP(frasest[[#This Row],[autor_es]],autorest[autor_es],autorest[nacion_la])</f>
        <v>Graecia</v>
      </c>
      <c r="N137" t="str">
        <f>_xlfn.XLOOKUP(frasest[[#This Row],[autor_es]],autorest[autor_es],autorest[epoca_es])</f>
        <v>Edad Antigua</v>
      </c>
      <c r="O137" t="str">
        <f>_xlfn.XLOOKUP(frasest[[#This Row],[autor_es]],autorest[autor_es],autorest[epoca_la])</f>
        <v>Antiquitas</v>
      </c>
    </row>
    <row r="138" spans="1:15">
      <c r="A138">
        <v>137</v>
      </c>
      <c r="B138" t="s">
        <v>418</v>
      </c>
      <c r="C138" t="s">
        <v>419</v>
      </c>
      <c r="D138" t="s">
        <v>420</v>
      </c>
      <c r="E138" t="s">
        <v>396</v>
      </c>
      <c r="F138" t="str">
        <f>_xlfn.XLOOKUP(frasest[[#This Row],[autor_es]],autorest[autor_es],autorest[autor_la])</f>
        <v>Epicurus</v>
      </c>
      <c r="G138" t="str">
        <f>_xlfn.XLOOKUP(frasest[[#This Row],[autor_es]],autorest[autor_es],autorest[bio_es])</f>
        <v>Filósofo griego de la Edad Antigua, fundador del epicureísmo, que defendía la búsqueda racional del placer moderado como camino a la felicidad.</v>
      </c>
      <c r="H138" t="str">
        <f>_xlfn.XLOOKUP(frasest[[#This Row],[autor_es]],autorest[autor_es],autorest[bio_la])</f>
        <v>Philosophus Graecus Antiquitatis, scholae Epicureae conditor, qui voluptatem moderatam ratione quaesitam viam ad felicitatem esse docebat.</v>
      </c>
      <c r="I138" t="str">
        <f>_xlfn.XLOOKUP(frasest[[#This Row],[autor_es]],autorest[autor_es],autorest[codigo])</f>
        <v>el</v>
      </c>
      <c r="J138" t="str">
        <f>_xlfn.XLOOKUP(frasest[[#This Row],[autor_es]],autorest[autor_es],autorest[idioma_es])</f>
        <v>Griego</v>
      </c>
      <c r="K138" t="str">
        <f>_xlfn.XLOOKUP(frasest[[#This Row],[autor_es]],autorest[autor_es],autorest[idioma_la])</f>
        <v>Lingua Graeca</v>
      </c>
      <c r="L138" t="str">
        <f>_xlfn.XLOOKUP(frasest[[#This Row],[autor_es]],autorest[autor_es],autorest[nacion_es])</f>
        <v>Grecia</v>
      </c>
      <c r="M138" t="str">
        <f>_xlfn.XLOOKUP(frasest[[#This Row],[autor_es]],autorest[autor_es],autorest[nacion_la])</f>
        <v>Graecia</v>
      </c>
      <c r="N138" t="str">
        <f>_xlfn.XLOOKUP(frasest[[#This Row],[autor_es]],autorest[autor_es],autorest[epoca_es])</f>
        <v>Edad Antigua</v>
      </c>
      <c r="O138" t="str">
        <f>_xlfn.XLOOKUP(frasest[[#This Row],[autor_es]],autorest[autor_es],autorest[epoca_la])</f>
        <v>Antiquitas</v>
      </c>
    </row>
    <row r="139" spans="1:15">
      <c r="A139">
        <v>138</v>
      </c>
      <c r="B139" t="s">
        <v>421</v>
      </c>
      <c r="C139" t="s">
        <v>422</v>
      </c>
      <c r="D139" t="s">
        <v>423</v>
      </c>
      <c r="E139" t="s">
        <v>396</v>
      </c>
      <c r="F139" t="str">
        <f>_xlfn.XLOOKUP(frasest[[#This Row],[autor_es]],autorest[autor_es],autorest[autor_la])</f>
        <v>Epicurus</v>
      </c>
      <c r="G139" t="str">
        <f>_xlfn.XLOOKUP(frasest[[#This Row],[autor_es]],autorest[autor_es],autorest[bio_es])</f>
        <v>Filósofo griego de la Edad Antigua, fundador del epicureísmo, que defendía la búsqueda racional del placer moderado como camino a la felicidad.</v>
      </c>
      <c r="H139" t="str">
        <f>_xlfn.XLOOKUP(frasest[[#This Row],[autor_es]],autorest[autor_es],autorest[bio_la])</f>
        <v>Philosophus Graecus Antiquitatis, scholae Epicureae conditor, qui voluptatem moderatam ratione quaesitam viam ad felicitatem esse docebat.</v>
      </c>
      <c r="I139" t="str">
        <f>_xlfn.XLOOKUP(frasest[[#This Row],[autor_es]],autorest[autor_es],autorest[codigo])</f>
        <v>el</v>
      </c>
      <c r="J139" t="str">
        <f>_xlfn.XLOOKUP(frasest[[#This Row],[autor_es]],autorest[autor_es],autorest[idioma_es])</f>
        <v>Griego</v>
      </c>
      <c r="K139" t="str">
        <f>_xlfn.XLOOKUP(frasest[[#This Row],[autor_es]],autorest[autor_es],autorest[idioma_la])</f>
        <v>Lingua Graeca</v>
      </c>
      <c r="L139" t="str">
        <f>_xlfn.XLOOKUP(frasest[[#This Row],[autor_es]],autorest[autor_es],autorest[nacion_es])</f>
        <v>Grecia</v>
      </c>
      <c r="M139" t="str">
        <f>_xlfn.XLOOKUP(frasest[[#This Row],[autor_es]],autorest[autor_es],autorest[nacion_la])</f>
        <v>Graecia</v>
      </c>
      <c r="N139" t="str">
        <f>_xlfn.XLOOKUP(frasest[[#This Row],[autor_es]],autorest[autor_es],autorest[epoca_es])</f>
        <v>Edad Antigua</v>
      </c>
      <c r="O139" t="str">
        <f>_xlfn.XLOOKUP(frasest[[#This Row],[autor_es]],autorest[autor_es],autorest[epoca_la])</f>
        <v>Antiquitas</v>
      </c>
    </row>
    <row r="140" spans="1:15">
      <c r="A140">
        <v>139</v>
      </c>
      <c r="B140" t="s">
        <v>424</v>
      </c>
      <c r="C140" t="s">
        <v>425</v>
      </c>
      <c r="D140" t="s">
        <v>426</v>
      </c>
      <c r="E140" t="s">
        <v>427</v>
      </c>
      <c r="F140" t="str">
        <f>_xlfn.XLOOKUP(frasest[[#This Row],[autor_es]],autorest[autor_es],autorest[autor_la])</f>
        <v>Marcus Aurelius</v>
      </c>
      <c r="G140" t="str">
        <f>_xlfn.XLOOKUP(frasest[[#This Row],[autor_es]],autorest[autor_es],autorest[bio_es])</f>
        <v>Emperador romano y filósofo estoico de la Edad Antigua, autor de las “Meditaciones”, obra clave del estoicismo práctico.</v>
      </c>
      <c r="H140" t="str">
        <f>_xlfn.XLOOKUP(frasest[[#This Row],[autor_es]],autorest[autor_es],autorest[bio_la])</f>
        <v>Imperator Romanus et philosophus Stoicus Antiquitatis, auctor “Meditationum”, operis maximi in praxi Stoica.</v>
      </c>
      <c r="I140" t="str">
        <f>_xlfn.XLOOKUP(frasest[[#This Row],[autor_es]],autorest[autor_es],autorest[codigo])</f>
        <v>el</v>
      </c>
      <c r="J140" t="str">
        <f>_xlfn.XLOOKUP(frasest[[#This Row],[autor_es]],autorest[autor_es],autorest[idioma_es])</f>
        <v>Griego</v>
      </c>
      <c r="K140" t="str">
        <f>_xlfn.XLOOKUP(frasest[[#This Row],[autor_es]],autorest[autor_es],autorest[idioma_la])</f>
        <v>Lingua Graeca</v>
      </c>
      <c r="L140" t="str">
        <f>_xlfn.XLOOKUP(frasest[[#This Row],[autor_es]],autorest[autor_es],autorest[nacion_es])</f>
        <v>Roma</v>
      </c>
      <c r="M140" t="str">
        <f>_xlfn.XLOOKUP(frasest[[#This Row],[autor_es]],autorest[autor_es],autorest[nacion_la])</f>
        <v>Roma</v>
      </c>
      <c r="N140" t="str">
        <f>_xlfn.XLOOKUP(frasest[[#This Row],[autor_es]],autorest[autor_es],autorest[epoca_es])</f>
        <v>Edad Antigua</v>
      </c>
      <c r="O140" t="str">
        <f>_xlfn.XLOOKUP(frasest[[#This Row],[autor_es]],autorest[autor_es],autorest[epoca_la])</f>
        <v>Antiquitas</v>
      </c>
    </row>
    <row r="141" spans="1:15">
      <c r="A141">
        <v>140</v>
      </c>
      <c r="B141" t="s">
        <v>428</v>
      </c>
      <c r="C141" t="s">
        <v>429</v>
      </c>
      <c r="D141" t="s">
        <v>430</v>
      </c>
      <c r="E141" t="s">
        <v>427</v>
      </c>
      <c r="F141" t="str">
        <f>_xlfn.XLOOKUP(frasest[[#This Row],[autor_es]],autorest[autor_es],autorest[autor_la])</f>
        <v>Marcus Aurelius</v>
      </c>
      <c r="G141" t="str">
        <f>_xlfn.XLOOKUP(frasest[[#This Row],[autor_es]],autorest[autor_es],autorest[bio_es])</f>
        <v>Emperador romano y filósofo estoico de la Edad Antigua, autor de las “Meditaciones”, obra clave del estoicismo práctico.</v>
      </c>
      <c r="H141" t="str">
        <f>_xlfn.XLOOKUP(frasest[[#This Row],[autor_es]],autorest[autor_es],autorest[bio_la])</f>
        <v>Imperator Romanus et philosophus Stoicus Antiquitatis, auctor “Meditationum”, operis maximi in praxi Stoica.</v>
      </c>
      <c r="I141" t="str">
        <f>_xlfn.XLOOKUP(frasest[[#This Row],[autor_es]],autorest[autor_es],autorest[codigo])</f>
        <v>el</v>
      </c>
      <c r="J141" t="str">
        <f>_xlfn.XLOOKUP(frasest[[#This Row],[autor_es]],autorest[autor_es],autorest[idioma_es])</f>
        <v>Griego</v>
      </c>
      <c r="K141" t="str">
        <f>_xlfn.XLOOKUP(frasest[[#This Row],[autor_es]],autorest[autor_es],autorest[idioma_la])</f>
        <v>Lingua Graeca</v>
      </c>
      <c r="L141" t="str">
        <f>_xlfn.XLOOKUP(frasest[[#This Row],[autor_es]],autorest[autor_es],autorest[nacion_es])</f>
        <v>Roma</v>
      </c>
      <c r="M141" t="str">
        <f>_xlfn.XLOOKUP(frasest[[#This Row],[autor_es]],autorest[autor_es],autorest[nacion_la])</f>
        <v>Roma</v>
      </c>
      <c r="N141" t="str">
        <f>_xlfn.XLOOKUP(frasest[[#This Row],[autor_es]],autorest[autor_es],autorest[epoca_es])</f>
        <v>Edad Antigua</v>
      </c>
      <c r="O141" t="str">
        <f>_xlfn.XLOOKUP(frasest[[#This Row],[autor_es]],autorest[autor_es],autorest[epoca_la])</f>
        <v>Antiquitas</v>
      </c>
    </row>
    <row r="142" spans="1:15">
      <c r="A142">
        <v>141</v>
      </c>
      <c r="B142" t="s">
        <v>431</v>
      </c>
      <c r="C142" t="s">
        <v>432</v>
      </c>
      <c r="D142" t="s">
        <v>433</v>
      </c>
      <c r="E142" t="s">
        <v>427</v>
      </c>
      <c r="F142" t="str">
        <f>_xlfn.XLOOKUP(frasest[[#This Row],[autor_es]],autorest[autor_es],autorest[autor_la])</f>
        <v>Marcus Aurelius</v>
      </c>
      <c r="G142" t="str">
        <f>_xlfn.XLOOKUP(frasest[[#This Row],[autor_es]],autorest[autor_es],autorest[bio_es])</f>
        <v>Emperador romano y filósofo estoico de la Edad Antigua, autor de las “Meditaciones”, obra clave del estoicismo práctico.</v>
      </c>
      <c r="H142" t="str">
        <f>_xlfn.XLOOKUP(frasest[[#This Row],[autor_es]],autorest[autor_es],autorest[bio_la])</f>
        <v>Imperator Romanus et philosophus Stoicus Antiquitatis, auctor “Meditationum”, operis maximi in praxi Stoica.</v>
      </c>
      <c r="I142" t="str">
        <f>_xlfn.XLOOKUP(frasest[[#This Row],[autor_es]],autorest[autor_es],autorest[codigo])</f>
        <v>el</v>
      </c>
      <c r="J142" t="str">
        <f>_xlfn.XLOOKUP(frasest[[#This Row],[autor_es]],autorest[autor_es],autorest[idioma_es])</f>
        <v>Griego</v>
      </c>
      <c r="K142" t="str">
        <f>_xlfn.XLOOKUP(frasest[[#This Row],[autor_es]],autorest[autor_es],autorest[idioma_la])</f>
        <v>Lingua Graeca</v>
      </c>
      <c r="L142" t="str">
        <f>_xlfn.XLOOKUP(frasest[[#This Row],[autor_es]],autorest[autor_es],autorest[nacion_es])</f>
        <v>Roma</v>
      </c>
      <c r="M142" t="str">
        <f>_xlfn.XLOOKUP(frasest[[#This Row],[autor_es]],autorest[autor_es],autorest[nacion_la])</f>
        <v>Roma</v>
      </c>
      <c r="N142" t="str">
        <f>_xlfn.XLOOKUP(frasest[[#This Row],[autor_es]],autorest[autor_es],autorest[epoca_es])</f>
        <v>Edad Antigua</v>
      </c>
      <c r="O142" t="str">
        <f>_xlfn.XLOOKUP(frasest[[#This Row],[autor_es]],autorest[autor_es],autorest[epoca_la])</f>
        <v>Antiquitas</v>
      </c>
    </row>
    <row r="143" spans="1:15">
      <c r="A143">
        <v>142</v>
      </c>
      <c r="B143" t="s">
        <v>434</v>
      </c>
      <c r="C143" t="s">
        <v>435</v>
      </c>
      <c r="D143" t="s">
        <v>436</v>
      </c>
      <c r="E143" t="s">
        <v>427</v>
      </c>
      <c r="F143" t="str">
        <f>_xlfn.XLOOKUP(frasest[[#This Row],[autor_es]],autorest[autor_es],autorest[autor_la])</f>
        <v>Marcus Aurelius</v>
      </c>
      <c r="G143" t="str">
        <f>_xlfn.XLOOKUP(frasest[[#This Row],[autor_es]],autorest[autor_es],autorest[bio_es])</f>
        <v>Emperador romano y filósofo estoico de la Edad Antigua, autor de las “Meditaciones”, obra clave del estoicismo práctico.</v>
      </c>
      <c r="H143" t="str">
        <f>_xlfn.XLOOKUP(frasest[[#This Row],[autor_es]],autorest[autor_es],autorest[bio_la])</f>
        <v>Imperator Romanus et philosophus Stoicus Antiquitatis, auctor “Meditationum”, operis maximi in praxi Stoica.</v>
      </c>
      <c r="I143" t="str">
        <f>_xlfn.XLOOKUP(frasest[[#This Row],[autor_es]],autorest[autor_es],autorest[codigo])</f>
        <v>el</v>
      </c>
      <c r="J143" t="str">
        <f>_xlfn.XLOOKUP(frasest[[#This Row],[autor_es]],autorest[autor_es],autorest[idioma_es])</f>
        <v>Griego</v>
      </c>
      <c r="K143" t="str">
        <f>_xlfn.XLOOKUP(frasest[[#This Row],[autor_es]],autorest[autor_es],autorest[idioma_la])</f>
        <v>Lingua Graeca</v>
      </c>
      <c r="L143" t="str">
        <f>_xlfn.XLOOKUP(frasest[[#This Row],[autor_es]],autorest[autor_es],autorest[nacion_es])</f>
        <v>Roma</v>
      </c>
      <c r="M143" t="str">
        <f>_xlfn.XLOOKUP(frasest[[#This Row],[autor_es]],autorest[autor_es],autorest[nacion_la])</f>
        <v>Roma</v>
      </c>
      <c r="N143" t="str">
        <f>_xlfn.XLOOKUP(frasest[[#This Row],[autor_es]],autorest[autor_es],autorest[epoca_es])</f>
        <v>Edad Antigua</v>
      </c>
      <c r="O143" t="str">
        <f>_xlfn.XLOOKUP(frasest[[#This Row],[autor_es]],autorest[autor_es],autorest[epoca_la])</f>
        <v>Antiquitas</v>
      </c>
    </row>
    <row r="144" spans="1:15">
      <c r="A144">
        <v>143</v>
      </c>
      <c r="B144" t="s">
        <v>437</v>
      </c>
      <c r="C144" t="s">
        <v>438</v>
      </c>
      <c r="D144" t="s">
        <v>439</v>
      </c>
      <c r="E144" t="s">
        <v>427</v>
      </c>
      <c r="F144" t="str">
        <f>_xlfn.XLOOKUP(frasest[[#This Row],[autor_es]],autorest[autor_es],autorest[autor_la])</f>
        <v>Marcus Aurelius</v>
      </c>
      <c r="G144" t="str">
        <f>_xlfn.XLOOKUP(frasest[[#This Row],[autor_es]],autorest[autor_es],autorest[bio_es])</f>
        <v>Emperador romano y filósofo estoico de la Edad Antigua, autor de las “Meditaciones”, obra clave del estoicismo práctico.</v>
      </c>
      <c r="H144" t="str">
        <f>_xlfn.XLOOKUP(frasest[[#This Row],[autor_es]],autorest[autor_es],autorest[bio_la])</f>
        <v>Imperator Romanus et philosophus Stoicus Antiquitatis, auctor “Meditationum”, operis maximi in praxi Stoica.</v>
      </c>
      <c r="I144" t="str">
        <f>_xlfn.XLOOKUP(frasest[[#This Row],[autor_es]],autorest[autor_es],autorest[codigo])</f>
        <v>el</v>
      </c>
      <c r="J144" t="str">
        <f>_xlfn.XLOOKUP(frasest[[#This Row],[autor_es]],autorest[autor_es],autorest[idioma_es])</f>
        <v>Griego</v>
      </c>
      <c r="K144" t="str">
        <f>_xlfn.XLOOKUP(frasest[[#This Row],[autor_es]],autorest[autor_es],autorest[idioma_la])</f>
        <v>Lingua Graeca</v>
      </c>
      <c r="L144" t="str">
        <f>_xlfn.XLOOKUP(frasest[[#This Row],[autor_es]],autorest[autor_es],autorest[nacion_es])</f>
        <v>Roma</v>
      </c>
      <c r="M144" t="str">
        <f>_xlfn.XLOOKUP(frasest[[#This Row],[autor_es]],autorest[autor_es],autorest[nacion_la])</f>
        <v>Roma</v>
      </c>
      <c r="N144" t="str">
        <f>_xlfn.XLOOKUP(frasest[[#This Row],[autor_es]],autorest[autor_es],autorest[epoca_es])</f>
        <v>Edad Antigua</v>
      </c>
      <c r="O144" t="str">
        <f>_xlfn.XLOOKUP(frasest[[#This Row],[autor_es]],autorest[autor_es],autorest[epoca_la])</f>
        <v>Antiquitas</v>
      </c>
    </row>
    <row r="145" spans="1:15">
      <c r="A145">
        <v>144</v>
      </c>
      <c r="B145" t="s">
        <v>440</v>
      </c>
      <c r="C145" t="s">
        <v>441</v>
      </c>
      <c r="D145" t="s">
        <v>442</v>
      </c>
      <c r="E145" t="s">
        <v>427</v>
      </c>
      <c r="F145" t="str">
        <f>_xlfn.XLOOKUP(frasest[[#This Row],[autor_es]],autorest[autor_es],autorest[autor_la])</f>
        <v>Marcus Aurelius</v>
      </c>
      <c r="G145" t="str">
        <f>_xlfn.XLOOKUP(frasest[[#This Row],[autor_es]],autorest[autor_es],autorest[bio_es])</f>
        <v>Emperador romano y filósofo estoico de la Edad Antigua, autor de las “Meditaciones”, obra clave del estoicismo práctico.</v>
      </c>
      <c r="H145" t="str">
        <f>_xlfn.XLOOKUP(frasest[[#This Row],[autor_es]],autorest[autor_es],autorest[bio_la])</f>
        <v>Imperator Romanus et philosophus Stoicus Antiquitatis, auctor “Meditationum”, operis maximi in praxi Stoica.</v>
      </c>
      <c r="I145" t="str">
        <f>_xlfn.XLOOKUP(frasest[[#This Row],[autor_es]],autorest[autor_es],autorest[codigo])</f>
        <v>el</v>
      </c>
      <c r="J145" t="str">
        <f>_xlfn.XLOOKUP(frasest[[#This Row],[autor_es]],autorest[autor_es],autorest[idioma_es])</f>
        <v>Griego</v>
      </c>
      <c r="K145" t="str">
        <f>_xlfn.XLOOKUP(frasest[[#This Row],[autor_es]],autorest[autor_es],autorest[idioma_la])</f>
        <v>Lingua Graeca</v>
      </c>
      <c r="L145" t="str">
        <f>_xlfn.XLOOKUP(frasest[[#This Row],[autor_es]],autorest[autor_es],autorest[nacion_es])</f>
        <v>Roma</v>
      </c>
      <c r="M145" t="str">
        <f>_xlfn.XLOOKUP(frasest[[#This Row],[autor_es]],autorest[autor_es],autorest[nacion_la])</f>
        <v>Roma</v>
      </c>
      <c r="N145" t="str">
        <f>_xlfn.XLOOKUP(frasest[[#This Row],[autor_es]],autorest[autor_es],autorest[epoca_es])</f>
        <v>Edad Antigua</v>
      </c>
      <c r="O145" t="str">
        <f>_xlfn.XLOOKUP(frasest[[#This Row],[autor_es]],autorest[autor_es],autorest[epoca_la])</f>
        <v>Antiquitas</v>
      </c>
    </row>
    <row r="146" spans="1:15">
      <c r="A146">
        <v>145</v>
      </c>
      <c r="B146" t="s">
        <v>443</v>
      </c>
      <c r="C146" t="s">
        <v>444</v>
      </c>
      <c r="D146" t="s">
        <v>445</v>
      </c>
      <c r="E146" t="s">
        <v>427</v>
      </c>
      <c r="F146" t="str">
        <f>_xlfn.XLOOKUP(frasest[[#This Row],[autor_es]],autorest[autor_es],autorest[autor_la])</f>
        <v>Marcus Aurelius</v>
      </c>
      <c r="G146" t="str">
        <f>_xlfn.XLOOKUP(frasest[[#This Row],[autor_es]],autorest[autor_es],autorest[bio_es])</f>
        <v>Emperador romano y filósofo estoico de la Edad Antigua, autor de las “Meditaciones”, obra clave del estoicismo práctico.</v>
      </c>
      <c r="H146" t="str">
        <f>_xlfn.XLOOKUP(frasest[[#This Row],[autor_es]],autorest[autor_es],autorest[bio_la])</f>
        <v>Imperator Romanus et philosophus Stoicus Antiquitatis, auctor “Meditationum”, operis maximi in praxi Stoica.</v>
      </c>
      <c r="I146" t="str">
        <f>_xlfn.XLOOKUP(frasest[[#This Row],[autor_es]],autorest[autor_es],autorest[codigo])</f>
        <v>el</v>
      </c>
      <c r="J146" t="str">
        <f>_xlfn.XLOOKUP(frasest[[#This Row],[autor_es]],autorest[autor_es],autorest[idioma_es])</f>
        <v>Griego</v>
      </c>
      <c r="K146" t="str">
        <f>_xlfn.XLOOKUP(frasest[[#This Row],[autor_es]],autorest[autor_es],autorest[idioma_la])</f>
        <v>Lingua Graeca</v>
      </c>
      <c r="L146" t="str">
        <f>_xlfn.XLOOKUP(frasest[[#This Row],[autor_es]],autorest[autor_es],autorest[nacion_es])</f>
        <v>Roma</v>
      </c>
      <c r="M146" t="str">
        <f>_xlfn.XLOOKUP(frasest[[#This Row],[autor_es]],autorest[autor_es],autorest[nacion_la])</f>
        <v>Roma</v>
      </c>
      <c r="N146" t="str">
        <f>_xlfn.XLOOKUP(frasest[[#This Row],[autor_es]],autorest[autor_es],autorest[epoca_es])</f>
        <v>Edad Antigua</v>
      </c>
      <c r="O146" t="str">
        <f>_xlfn.XLOOKUP(frasest[[#This Row],[autor_es]],autorest[autor_es],autorest[epoca_la])</f>
        <v>Antiquitas</v>
      </c>
    </row>
    <row r="147" spans="1:15">
      <c r="A147">
        <v>146</v>
      </c>
      <c r="B147" t="s">
        <v>446</v>
      </c>
      <c r="C147" t="s">
        <v>447</v>
      </c>
      <c r="D147" t="s">
        <v>448</v>
      </c>
      <c r="E147" t="s">
        <v>427</v>
      </c>
      <c r="F147" t="str">
        <f>_xlfn.XLOOKUP(frasest[[#This Row],[autor_es]],autorest[autor_es],autorest[autor_la])</f>
        <v>Marcus Aurelius</v>
      </c>
      <c r="G147" t="str">
        <f>_xlfn.XLOOKUP(frasest[[#This Row],[autor_es]],autorest[autor_es],autorest[bio_es])</f>
        <v>Emperador romano y filósofo estoico de la Edad Antigua, autor de las “Meditaciones”, obra clave del estoicismo práctico.</v>
      </c>
      <c r="H147" t="str">
        <f>_xlfn.XLOOKUP(frasest[[#This Row],[autor_es]],autorest[autor_es],autorest[bio_la])</f>
        <v>Imperator Romanus et philosophus Stoicus Antiquitatis, auctor “Meditationum”, operis maximi in praxi Stoica.</v>
      </c>
      <c r="I147" t="str">
        <f>_xlfn.XLOOKUP(frasest[[#This Row],[autor_es]],autorest[autor_es],autorest[codigo])</f>
        <v>el</v>
      </c>
      <c r="J147" t="str">
        <f>_xlfn.XLOOKUP(frasest[[#This Row],[autor_es]],autorest[autor_es],autorest[idioma_es])</f>
        <v>Griego</v>
      </c>
      <c r="K147" t="str">
        <f>_xlfn.XLOOKUP(frasest[[#This Row],[autor_es]],autorest[autor_es],autorest[idioma_la])</f>
        <v>Lingua Graeca</v>
      </c>
      <c r="L147" t="str">
        <f>_xlfn.XLOOKUP(frasest[[#This Row],[autor_es]],autorest[autor_es],autorest[nacion_es])</f>
        <v>Roma</v>
      </c>
      <c r="M147" t="str">
        <f>_xlfn.XLOOKUP(frasest[[#This Row],[autor_es]],autorest[autor_es],autorest[nacion_la])</f>
        <v>Roma</v>
      </c>
      <c r="N147" t="str">
        <f>_xlfn.XLOOKUP(frasest[[#This Row],[autor_es]],autorest[autor_es],autorest[epoca_es])</f>
        <v>Edad Antigua</v>
      </c>
      <c r="O147" t="str">
        <f>_xlfn.XLOOKUP(frasest[[#This Row],[autor_es]],autorest[autor_es],autorest[epoca_la])</f>
        <v>Antiquitas</v>
      </c>
    </row>
    <row r="148" spans="1:15">
      <c r="A148">
        <v>147</v>
      </c>
      <c r="B148" t="s">
        <v>449</v>
      </c>
      <c r="C148" t="s">
        <v>450</v>
      </c>
      <c r="D148" t="s">
        <v>451</v>
      </c>
      <c r="E148" t="s">
        <v>427</v>
      </c>
      <c r="F148" t="str">
        <f>_xlfn.XLOOKUP(frasest[[#This Row],[autor_es]],autorest[autor_es],autorest[autor_la])</f>
        <v>Marcus Aurelius</v>
      </c>
      <c r="G148" t="str">
        <f>_xlfn.XLOOKUP(frasest[[#This Row],[autor_es]],autorest[autor_es],autorest[bio_es])</f>
        <v>Emperador romano y filósofo estoico de la Edad Antigua, autor de las “Meditaciones”, obra clave del estoicismo práctico.</v>
      </c>
      <c r="H148" t="str">
        <f>_xlfn.XLOOKUP(frasest[[#This Row],[autor_es]],autorest[autor_es],autorest[bio_la])</f>
        <v>Imperator Romanus et philosophus Stoicus Antiquitatis, auctor “Meditationum”, operis maximi in praxi Stoica.</v>
      </c>
      <c r="I148" t="str">
        <f>_xlfn.XLOOKUP(frasest[[#This Row],[autor_es]],autorest[autor_es],autorest[codigo])</f>
        <v>el</v>
      </c>
      <c r="J148" t="str">
        <f>_xlfn.XLOOKUP(frasest[[#This Row],[autor_es]],autorest[autor_es],autorest[idioma_es])</f>
        <v>Griego</v>
      </c>
      <c r="K148" t="str">
        <f>_xlfn.XLOOKUP(frasest[[#This Row],[autor_es]],autorest[autor_es],autorest[idioma_la])</f>
        <v>Lingua Graeca</v>
      </c>
      <c r="L148" t="str">
        <f>_xlfn.XLOOKUP(frasest[[#This Row],[autor_es]],autorest[autor_es],autorest[nacion_es])</f>
        <v>Roma</v>
      </c>
      <c r="M148" t="str">
        <f>_xlfn.XLOOKUP(frasest[[#This Row],[autor_es]],autorest[autor_es],autorest[nacion_la])</f>
        <v>Roma</v>
      </c>
      <c r="N148" t="str">
        <f>_xlfn.XLOOKUP(frasest[[#This Row],[autor_es]],autorest[autor_es],autorest[epoca_es])</f>
        <v>Edad Antigua</v>
      </c>
      <c r="O148" t="str">
        <f>_xlfn.XLOOKUP(frasest[[#This Row],[autor_es]],autorest[autor_es],autorest[epoca_la])</f>
        <v>Antiquitas</v>
      </c>
    </row>
    <row r="149" spans="1:15">
      <c r="A149">
        <v>148</v>
      </c>
      <c r="B149" t="s">
        <v>452</v>
      </c>
      <c r="C149" t="s">
        <v>453</v>
      </c>
      <c r="D149" t="s">
        <v>454</v>
      </c>
      <c r="E149" t="s">
        <v>427</v>
      </c>
      <c r="F149" t="str">
        <f>_xlfn.XLOOKUP(frasest[[#This Row],[autor_es]],autorest[autor_es],autorest[autor_la])</f>
        <v>Marcus Aurelius</v>
      </c>
      <c r="G149" t="str">
        <f>_xlfn.XLOOKUP(frasest[[#This Row],[autor_es]],autorest[autor_es],autorest[bio_es])</f>
        <v>Emperador romano y filósofo estoico de la Edad Antigua, autor de las “Meditaciones”, obra clave del estoicismo práctico.</v>
      </c>
      <c r="H149" t="str">
        <f>_xlfn.XLOOKUP(frasest[[#This Row],[autor_es]],autorest[autor_es],autorest[bio_la])</f>
        <v>Imperator Romanus et philosophus Stoicus Antiquitatis, auctor “Meditationum”, operis maximi in praxi Stoica.</v>
      </c>
      <c r="I149" t="str">
        <f>_xlfn.XLOOKUP(frasest[[#This Row],[autor_es]],autorest[autor_es],autorest[codigo])</f>
        <v>el</v>
      </c>
      <c r="J149" t="str">
        <f>_xlfn.XLOOKUP(frasest[[#This Row],[autor_es]],autorest[autor_es],autorest[idioma_es])</f>
        <v>Griego</v>
      </c>
      <c r="K149" t="str">
        <f>_xlfn.XLOOKUP(frasest[[#This Row],[autor_es]],autorest[autor_es],autorest[idioma_la])</f>
        <v>Lingua Graeca</v>
      </c>
      <c r="L149" t="str">
        <f>_xlfn.XLOOKUP(frasest[[#This Row],[autor_es]],autorest[autor_es],autorest[nacion_es])</f>
        <v>Roma</v>
      </c>
      <c r="M149" t="str">
        <f>_xlfn.XLOOKUP(frasest[[#This Row],[autor_es]],autorest[autor_es],autorest[nacion_la])</f>
        <v>Roma</v>
      </c>
      <c r="N149" t="str">
        <f>_xlfn.XLOOKUP(frasest[[#This Row],[autor_es]],autorest[autor_es],autorest[epoca_es])</f>
        <v>Edad Antigua</v>
      </c>
      <c r="O149" t="str">
        <f>_xlfn.XLOOKUP(frasest[[#This Row],[autor_es]],autorest[autor_es],autorest[epoca_la])</f>
        <v>Antiquitas</v>
      </c>
    </row>
    <row r="150" spans="1:15">
      <c r="A150">
        <v>149</v>
      </c>
      <c r="B150" t="s">
        <v>455</v>
      </c>
      <c r="C150" t="s">
        <v>456</v>
      </c>
      <c r="D150" t="s">
        <v>457</v>
      </c>
      <c r="E150" t="s">
        <v>458</v>
      </c>
      <c r="F150" t="str">
        <f>_xlfn.XLOOKUP(frasest[[#This Row],[autor_es]],autorest[autor_es],autorest[autor_la])</f>
        <v>Plato</v>
      </c>
      <c r="G150" t="str">
        <f>_xlfn.XLOOKUP(frasest[[#This Row],[autor_es]],autorest[autor_es],autorest[bio_es])</f>
        <v>Filósofo griego de la Edad Antigua, discípulo de Sócrates y maestro de Aristóteles, fundador de la Academia de Atenas.</v>
      </c>
      <c r="H150" t="str">
        <f>_xlfn.XLOOKUP(frasest[[#This Row],[autor_es]],autorest[autor_es],autorest[bio_la])</f>
        <v>Philosophus Graecus Antiquitatis, discipulus Socratis et magister Aristotelis, Academiae Atheniensis conditor.</v>
      </c>
      <c r="I150" t="str">
        <f>_xlfn.XLOOKUP(frasest[[#This Row],[autor_es]],autorest[autor_es],autorest[codigo])</f>
        <v>el</v>
      </c>
      <c r="J150" t="str">
        <f>_xlfn.XLOOKUP(frasest[[#This Row],[autor_es]],autorest[autor_es],autorest[idioma_es])</f>
        <v>Griego</v>
      </c>
      <c r="K150" t="str">
        <f>_xlfn.XLOOKUP(frasest[[#This Row],[autor_es]],autorest[autor_es],autorest[idioma_la])</f>
        <v>Lingua Graeca</v>
      </c>
      <c r="L150" t="str">
        <f>_xlfn.XLOOKUP(frasest[[#This Row],[autor_es]],autorest[autor_es],autorest[nacion_es])</f>
        <v>Grecia</v>
      </c>
      <c r="M150" t="str">
        <f>_xlfn.XLOOKUP(frasest[[#This Row],[autor_es]],autorest[autor_es],autorest[nacion_la])</f>
        <v>Graecia</v>
      </c>
      <c r="N150" t="str">
        <f>_xlfn.XLOOKUP(frasest[[#This Row],[autor_es]],autorest[autor_es],autorest[epoca_es])</f>
        <v>Edad Antigua</v>
      </c>
      <c r="O150" t="str">
        <f>_xlfn.XLOOKUP(frasest[[#This Row],[autor_es]],autorest[autor_es],autorest[epoca_la])</f>
        <v>Antiquitas</v>
      </c>
    </row>
    <row r="151" spans="1:15">
      <c r="A151">
        <v>150</v>
      </c>
      <c r="B151" t="s">
        <v>459</v>
      </c>
      <c r="C151" t="s">
        <v>460</v>
      </c>
      <c r="D151" t="s">
        <v>461</v>
      </c>
      <c r="E151" t="s">
        <v>458</v>
      </c>
      <c r="F151" t="str">
        <f>_xlfn.XLOOKUP(frasest[[#This Row],[autor_es]],autorest[autor_es],autorest[autor_la])</f>
        <v>Plato</v>
      </c>
      <c r="G151" t="str">
        <f>_xlfn.XLOOKUP(frasest[[#This Row],[autor_es]],autorest[autor_es],autorest[bio_es])</f>
        <v>Filósofo griego de la Edad Antigua, discípulo de Sócrates y maestro de Aristóteles, fundador de la Academia de Atenas.</v>
      </c>
      <c r="H151" t="str">
        <f>_xlfn.XLOOKUP(frasest[[#This Row],[autor_es]],autorest[autor_es],autorest[bio_la])</f>
        <v>Philosophus Graecus Antiquitatis, discipulus Socratis et magister Aristotelis, Academiae Atheniensis conditor.</v>
      </c>
      <c r="I151" t="str">
        <f>_xlfn.XLOOKUP(frasest[[#This Row],[autor_es]],autorest[autor_es],autorest[codigo])</f>
        <v>el</v>
      </c>
      <c r="J151" t="str">
        <f>_xlfn.XLOOKUP(frasest[[#This Row],[autor_es]],autorest[autor_es],autorest[idioma_es])</f>
        <v>Griego</v>
      </c>
      <c r="K151" t="str">
        <f>_xlfn.XLOOKUP(frasest[[#This Row],[autor_es]],autorest[autor_es],autorest[idioma_la])</f>
        <v>Lingua Graeca</v>
      </c>
      <c r="L151" t="str">
        <f>_xlfn.XLOOKUP(frasest[[#This Row],[autor_es]],autorest[autor_es],autorest[nacion_es])</f>
        <v>Grecia</v>
      </c>
      <c r="M151" t="str">
        <f>_xlfn.XLOOKUP(frasest[[#This Row],[autor_es]],autorest[autor_es],autorest[nacion_la])</f>
        <v>Graecia</v>
      </c>
      <c r="N151" t="str">
        <f>_xlfn.XLOOKUP(frasest[[#This Row],[autor_es]],autorest[autor_es],autorest[epoca_es])</f>
        <v>Edad Antigua</v>
      </c>
      <c r="O151" t="str">
        <f>_xlfn.XLOOKUP(frasest[[#This Row],[autor_es]],autorest[autor_es],autorest[epoca_la])</f>
        <v>Antiquitas</v>
      </c>
    </row>
    <row r="152" spans="1:15">
      <c r="A152">
        <v>151</v>
      </c>
      <c r="B152" t="s">
        <v>462</v>
      </c>
      <c r="C152" t="s">
        <v>463</v>
      </c>
      <c r="D152" t="s">
        <v>464</v>
      </c>
      <c r="E152" t="s">
        <v>458</v>
      </c>
      <c r="F152" t="str">
        <f>_xlfn.XLOOKUP(frasest[[#This Row],[autor_es]],autorest[autor_es],autorest[autor_la])</f>
        <v>Plato</v>
      </c>
      <c r="G152" t="str">
        <f>_xlfn.XLOOKUP(frasest[[#This Row],[autor_es]],autorest[autor_es],autorest[bio_es])</f>
        <v>Filósofo griego de la Edad Antigua, discípulo de Sócrates y maestro de Aristóteles, fundador de la Academia de Atenas.</v>
      </c>
      <c r="H152" t="str">
        <f>_xlfn.XLOOKUP(frasest[[#This Row],[autor_es]],autorest[autor_es],autorest[bio_la])</f>
        <v>Philosophus Graecus Antiquitatis, discipulus Socratis et magister Aristotelis, Academiae Atheniensis conditor.</v>
      </c>
      <c r="I152" t="str">
        <f>_xlfn.XLOOKUP(frasest[[#This Row],[autor_es]],autorest[autor_es],autorest[codigo])</f>
        <v>el</v>
      </c>
      <c r="J152" t="str">
        <f>_xlfn.XLOOKUP(frasest[[#This Row],[autor_es]],autorest[autor_es],autorest[idioma_es])</f>
        <v>Griego</v>
      </c>
      <c r="K152" t="str">
        <f>_xlfn.XLOOKUP(frasest[[#This Row],[autor_es]],autorest[autor_es],autorest[idioma_la])</f>
        <v>Lingua Graeca</v>
      </c>
      <c r="L152" t="str">
        <f>_xlfn.XLOOKUP(frasest[[#This Row],[autor_es]],autorest[autor_es],autorest[nacion_es])</f>
        <v>Grecia</v>
      </c>
      <c r="M152" t="str">
        <f>_xlfn.XLOOKUP(frasest[[#This Row],[autor_es]],autorest[autor_es],autorest[nacion_la])</f>
        <v>Graecia</v>
      </c>
      <c r="N152" t="str">
        <f>_xlfn.XLOOKUP(frasest[[#This Row],[autor_es]],autorest[autor_es],autorest[epoca_es])</f>
        <v>Edad Antigua</v>
      </c>
      <c r="O152" t="str">
        <f>_xlfn.XLOOKUP(frasest[[#This Row],[autor_es]],autorest[autor_es],autorest[epoca_la])</f>
        <v>Antiquitas</v>
      </c>
    </row>
    <row r="153" spans="1:15">
      <c r="A153">
        <v>152</v>
      </c>
      <c r="B153" t="s">
        <v>465</v>
      </c>
      <c r="C153" t="s">
        <v>466</v>
      </c>
      <c r="D153" t="s">
        <v>467</v>
      </c>
      <c r="E153" t="s">
        <v>458</v>
      </c>
      <c r="F153" t="str">
        <f>_xlfn.XLOOKUP(frasest[[#This Row],[autor_es]],autorest[autor_es],autorest[autor_la])</f>
        <v>Plato</v>
      </c>
      <c r="G153" t="str">
        <f>_xlfn.XLOOKUP(frasest[[#This Row],[autor_es]],autorest[autor_es],autorest[bio_es])</f>
        <v>Filósofo griego de la Edad Antigua, discípulo de Sócrates y maestro de Aristóteles, fundador de la Academia de Atenas.</v>
      </c>
      <c r="H153" t="str">
        <f>_xlfn.XLOOKUP(frasest[[#This Row],[autor_es]],autorest[autor_es],autorest[bio_la])</f>
        <v>Philosophus Graecus Antiquitatis, discipulus Socratis et magister Aristotelis, Academiae Atheniensis conditor.</v>
      </c>
      <c r="I153" t="str">
        <f>_xlfn.XLOOKUP(frasest[[#This Row],[autor_es]],autorest[autor_es],autorest[codigo])</f>
        <v>el</v>
      </c>
      <c r="J153" t="str">
        <f>_xlfn.XLOOKUP(frasest[[#This Row],[autor_es]],autorest[autor_es],autorest[idioma_es])</f>
        <v>Griego</v>
      </c>
      <c r="K153" t="str">
        <f>_xlfn.XLOOKUP(frasest[[#This Row],[autor_es]],autorest[autor_es],autorest[idioma_la])</f>
        <v>Lingua Graeca</v>
      </c>
      <c r="L153" t="str">
        <f>_xlfn.XLOOKUP(frasest[[#This Row],[autor_es]],autorest[autor_es],autorest[nacion_es])</f>
        <v>Grecia</v>
      </c>
      <c r="M153" t="str">
        <f>_xlfn.XLOOKUP(frasest[[#This Row],[autor_es]],autorest[autor_es],autorest[nacion_la])</f>
        <v>Graecia</v>
      </c>
      <c r="N153" t="str">
        <f>_xlfn.XLOOKUP(frasest[[#This Row],[autor_es]],autorest[autor_es],autorest[epoca_es])</f>
        <v>Edad Antigua</v>
      </c>
      <c r="O153" t="str">
        <f>_xlfn.XLOOKUP(frasest[[#This Row],[autor_es]],autorest[autor_es],autorest[epoca_la])</f>
        <v>Antiquitas</v>
      </c>
    </row>
    <row r="154" spans="1:15">
      <c r="A154">
        <v>153</v>
      </c>
      <c r="B154" t="s">
        <v>468</v>
      </c>
      <c r="C154" t="s">
        <v>469</v>
      </c>
      <c r="D154" t="s">
        <v>470</v>
      </c>
      <c r="E154" t="s">
        <v>458</v>
      </c>
      <c r="F154" t="str">
        <f>_xlfn.XLOOKUP(frasest[[#This Row],[autor_es]],autorest[autor_es],autorest[autor_la])</f>
        <v>Plato</v>
      </c>
      <c r="G154" t="str">
        <f>_xlfn.XLOOKUP(frasest[[#This Row],[autor_es]],autorest[autor_es],autorest[bio_es])</f>
        <v>Filósofo griego de la Edad Antigua, discípulo de Sócrates y maestro de Aristóteles, fundador de la Academia de Atenas.</v>
      </c>
      <c r="H154" t="str">
        <f>_xlfn.XLOOKUP(frasest[[#This Row],[autor_es]],autorest[autor_es],autorest[bio_la])</f>
        <v>Philosophus Graecus Antiquitatis, discipulus Socratis et magister Aristotelis, Academiae Atheniensis conditor.</v>
      </c>
      <c r="I154" t="str">
        <f>_xlfn.XLOOKUP(frasest[[#This Row],[autor_es]],autorest[autor_es],autorest[codigo])</f>
        <v>el</v>
      </c>
      <c r="J154" t="str">
        <f>_xlfn.XLOOKUP(frasest[[#This Row],[autor_es]],autorest[autor_es],autorest[idioma_es])</f>
        <v>Griego</v>
      </c>
      <c r="K154" t="str">
        <f>_xlfn.XLOOKUP(frasest[[#This Row],[autor_es]],autorest[autor_es],autorest[idioma_la])</f>
        <v>Lingua Graeca</v>
      </c>
      <c r="L154" t="str">
        <f>_xlfn.XLOOKUP(frasest[[#This Row],[autor_es]],autorest[autor_es],autorest[nacion_es])</f>
        <v>Grecia</v>
      </c>
      <c r="M154" t="str">
        <f>_xlfn.XLOOKUP(frasest[[#This Row],[autor_es]],autorest[autor_es],autorest[nacion_la])</f>
        <v>Graecia</v>
      </c>
      <c r="N154" t="str">
        <f>_xlfn.XLOOKUP(frasest[[#This Row],[autor_es]],autorest[autor_es],autorest[epoca_es])</f>
        <v>Edad Antigua</v>
      </c>
      <c r="O154" t="str">
        <f>_xlfn.XLOOKUP(frasest[[#This Row],[autor_es]],autorest[autor_es],autorest[epoca_la])</f>
        <v>Antiquitas</v>
      </c>
    </row>
    <row r="155" spans="1:15">
      <c r="A155">
        <v>154</v>
      </c>
      <c r="B155" t="s">
        <v>471</v>
      </c>
      <c r="C155" t="s">
        <v>472</v>
      </c>
      <c r="D155" t="s">
        <v>473</v>
      </c>
      <c r="E155" t="s">
        <v>458</v>
      </c>
      <c r="F155" t="str">
        <f>_xlfn.XLOOKUP(frasest[[#This Row],[autor_es]],autorest[autor_es],autorest[autor_la])</f>
        <v>Plato</v>
      </c>
      <c r="G155" t="str">
        <f>_xlfn.XLOOKUP(frasest[[#This Row],[autor_es]],autorest[autor_es],autorest[bio_es])</f>
        <v>Filósofo griego de la Edad Antigua, discípulo de Sócrates y maestro de Aristóteles, fundador de la Academia de Atenas.</v>
      </c>
      <c r="H155" t="str">
        <f>_xlfn.XLOOKUP(frasest[[#This Row],[autor_es]],autorest[autor_es],autorest[bio_la])</f>
        <v>Philosophus Graecus Antiquitatis, discipulus Socratis et magister Aristotelis, Academiae Atheniensis conditor.</v>
      </c>
      <c r="I155" t="str">
        <f>_xlfn.XLOOKUP(frasest[[#This Row],[autor_es]],autorest[autor_es],autorest[codigo])</f>
        <v>el</v>
      </c>
      <c r="J155" t="str">
        <f>_xlfn.XLOOKUP(frasest[[#This Row],[autor_es]],autorest[autor_es],autorest[idioma_es])</f>
        <v>Griego</v>
      </c>
      <c r="K155" t="str">
        <f>_xlfn.XLOOKUP(frasest[[#This Row],[autor_es]],autorest[autor_es],autorest[idioma_la])</f>
        <v>Lingua Graeca</v>
      </c>
      <c r="L155" t="str">
        <f>_xlfn.XLOOKUP(frasest[[#This Row],[autor_es]],autorest[autor_es],autorest[nacion_es])</f>
        <v>Grecia</v>
      </c>
      <c r="M155" t="str">
        <f>_xlfn.XLOOKUP(frasest[[#This Row],[autor_es]],autorest[autor_es],autorest[nacion_la])</f>
        <v>Graecia</v>
      </c>
      <c r="N155" t="str">
        <f>_xlfn.XLOOKUP(frasest[[#This Row],[autor_es]],autorest[autor_es],autorest[epoca_es])</f>
        <v>Edad Antigua</v>
      </c>
      <c r="O155" t="str">
        <f>_xlfn.XLOOKUP(frasest[[#This Row],[autor_es]],autorest[autor_es],autorest[epoca_la])</f>
        <v>Antiquitas</v>
      </c>
    </row>
    <row r="156" spans="1:15">
      <c r="A156">
        <v>155</v>
      </c>
      <c r="B156" t="s">
        <v>474</v>
      </c>
      <c r="C156" t="s">
        <v>475</v>
      </c>
      <c r="D156" t="s">
        <v>476</v>
      </c>
      <c r="E156" t="s">
        <v>458</v>
      </c>
      <c r="F156" t="str">
        <f>_xlfn.XLOOKUP(frasest[[#This Row],[autor_es]],autorest[autor_es],autorest[autor_la])</f>
        <v>Plato</v>
      </c>
      <c r="G156" t="str">
        <f>_xlfn.XLOOKUP(frasest[[#This Row],[autor_es]],autorest[autor_es],autorest[bio_es])</f>
        <v>Filósofo griego de la Edad Antigua, discípulo de Sócrates y maestro de Aristóteles, fundador de la Academia de Atenas.</v>
      </c>
      <c r="H156" t="str">
        <f>_xlfn.XLOOKUP(frasest[[#This Row],[autor_es]],autorest[autor_es],autorest[bio_la])</f>
        <v>Philosophus Graecus Antiquitatis, discipulus Socratis et magister Aristotelis, Academiae Atheniensis conditor.</v>
      </c>
      <c r="I156" t="str">
        <f>_xlfn.XLOOKUP(frasest[[#This Row],[autor_es]],autorest[autor_es],autorest[codigo])</f>
        <v>el</v>
      </c>
      <c r="J156" t="str">
        <f>_xlfn.XLOOKUP(frasest[[#This Row],[autor_es]],autorest[autor_es],autorest[idioma_es])</f>
        <v>Griego</v>
      </c>
      <c r="K156" t="str">
        <f>_xlfn.XLOOKUP(frasest[[#This Row],[autor_es]],autorest[autor_es],autorest[idioma_la])</f>
        <v>Lingua Graeca</v>
      </c>
      <c r="L156" t="str">
        <f>_xlfn.XLOOKUP(frasest[[#This Row],[autor_es]],autorest[autor_es],autorest[nacion_es])</f>
        <v>Grecia</v>
      </c>
      <c r="M156" t="str">
        <f>_xlfn.XLOOKUP(frasest[[#This Row],[autor_es]],autorest[autor_es],autorest[nacion_la])</f>
        <v>Graecia</v>
      </c>
      <c r="N156" t="str">
        <f>_xlfn.XLOOKUP(frasest[[#This Row],[autor_es]],autorest[autor_es],autorest[epoca_es])</f>
        <v>Edad Antigua</v>
      </c>
      <c r="O156" t="str">
        <f>_xlfn.XLOOKUP(frasest[[#This Row],[autor_es]],autorest[autor_es],autorest[epoca_la])</f>
        <v>Antiquitas</v>
      </c>
    </row>
    <row r="157" spans="1:15">
      <c r="A157">
        <v>156</v>
      </c>
      <c r="B157" t="s">
        <v>477</v>
      </c>
      <c r="C157" t="s">
        <v>478</v>
      </c>
      <c r="D157" t="s">
        <v>479</v>
      </c>
      <c r="E157" t="s">
        <v>458</v>
      </c>
      <c r="F157" t="str">
        <f>_xlfn.XLOOKUP(frasest[[#This Row],[autor_es]],autorest[autor_es],autorest[autor_la])</f>
        <v>Plato</v>
      </c>
      <c r="G157" t="str">
        <f>_xlfn.XLOOKUP(frasest[[#This Row],[autor_es]],autorest[autor_es],autorest[bio_es])</f>
        <v>Filósofo griego de la Edad Antigua, discípulo de Sócrates y maestro de Aristóteles, fundador de la Academia de Atenas.</v>
      </c>
      <c r="H157" t="str">
        <f>_xlfn.XLOOKUP(frasest[[#This Row],[autor_es]],autorest[autor_es],autorest[bio_la])</f>
        <v>Philosophus Graecus Antiquitatis, discipulus Socratis et magister Aristotelis, Academiae Atheniensis conditor.</v>
      </c>
      <c r="I157" t="str">
        <f>_xlfn.XLOOKUP(frasest[[#This Row],[autor_es]],autorest[autor_es],autorest[codigo])</f>
        <v>el</v>
      </c>
      <c r="J157" t="str">
        <f>_xlfn.XLOOKUP(frasest[[#This Row],[autor_es]],autorest[autor_es],autorest[idioma_es])</f>
        <v>Griego</v>
      </c>
      <c r="K157" t="str">
        <f>_xlfn.XLOOKUP(frasest[[#This Row],[autor_es]],autorest[autor_es],autorest[idioma_la])</f>
        <v>Lingua Graeca</v>
      </c>
      <c r="L157" t="str">
        <f>_xlfn.XLOOKUP(frasest[[#This Row],[autor_es]],autorest[autor_es],autorest[nacion_es])</f>
        <v>Grecia</v>
      </c>
      <c r="M157" t="str">
        <f>_xlfn.XLOOKUP(frasest[[#This Row],[autor_es]],autorest[autor_es],autorest[nacion_la])</f>
        <v>Graecia</v>
      </c>
      <c r="N157" t="str">
        <f>_xlfn.XLOOKUP(frasest[[#This Row],[autor_es]],autorest[autor_es],autorest[epoca_es])</f>
        <v>Edad Antigua</v>
      </c>
      <c r="O157" t="str">
        <f>_xlfn.XLOOKUP(frasest[[#This Row],[autor_es]],autorest[autor_es],autorest[epoca_la])</f>
        <v>Antiquitas</v>
      </c>
    </row>
    <row r="158" spans="1:15">
      <c r="A158">
        <v>157</v>
      </c>
      <c r="B158" t="s">
        <v>480</v>
      </c>
      <c r="C158" t="s">
        <v>481</v>
      </c>
      <c r="D158" t="s">
        <v>482</v>
      </c>
      <c r="E158" t="s">
        <v>458</v>
      </c>
      <c r="F158" t="str">
        <f>_xlfn.XLOOKUP(frasest[[#This Row],[autor_es]],autorest[autor_es],autorest[autor_la])</f>
        <v>Plato</v>
      </c>
      <c r="G158" t="str">
        <f>_xlfn.XLOOKUP(frasest[[#This Row],[autor_es]],autorest[autor_es],autorest[bio_es])</f>
        <v>Filósofo griego de la Edad Antigua, discípulo de Sócrates y maestro de Aristóteles, fundador de la Academia de Atenas.</v>
      </c>
      <c r="H158" t="str">
        <f>_xlfn.XLOOKUP(frasest[[#This Row],[autor_es]],autorest[autor_es],autorest[bio_la])</f>
        <v>Philosophus Graecus Antiquitatis, discipulus Socratis et magister Aristotelis, Academiae Atheniensis conditor.</v>
      </c>
      <c r="I158" t="str">
        <f>_xlfn.XLOOKUP(frasest[[#This Row],[autor_es]],autorest[autor_es],autorest[codigo])</f>
        <v>el</v>
      </c>
      <c r="J158" t="str">
        <f>_xlfn.XLOOKUP(frasest[[#This Row],[autor_es]],autorest[autor_es],autorest[idioma_es])</f>
        <v>Griego</v>
      </c>
      <c r="K158" t="str">
        <f>_xlfn.XLOOKUP(frasest[[#This Row],[autor_es]],autorest[autor_es],autorest[idioma_la])</f>
        <v>Lingua Graeca</v>
      </c>
      <c r="L158" t="str">
        <f>_xlfn.XLOOKUP(frasest[[#This Row],[autor_es]],autorest[autor_es],autorest[nacion_es])</f>
        <v>Grecia</v>
      </c>
      <c r="M158" t="str">
        <f>_xlfn.XLOOKUP(frasest[[#This Row],[autor_es]],autorest[autor_es],autorest[nacion_la])</f>
        <v>Graecia</v>
      </c>
      <c r="N158" t="str">
        <f>_xlfn.XLOOKUP(frasest[[#This Row],[autor_es]],autorest[autor_es],autorest[epoca_es])</f>
        <v>Edad Antigua</v>
      </c>
      <c r="O158" t="str">
        <f>_xlfn.XLOOKUP(frasest[[#This Row],[autor_es]],autorest[autor_es],autorest[epoca_la])</f>
        <v>Antiquitas</v>
      </c>
    </row>
    <row r="159" spans="1:15">
      <c r="A159">
        <v>158</v>
      </c>
      <c r="B159" t="s">
        <v>483</v>
      </c>
      <c r="C159" t="s">
        <v>484</v>
      </c>
      <c r="D159" t="s">
        <v>485</v>
      </c>
      <c r="E159" t="s">
        <v>458</v>
      </c>
      <c r="F159" t="str">
        <f>_xlfn.XLOOKUP(frasest[[#This Row],[autor_es]],autorest[autor_es],autorest[autor_la])</f>
        <v>Plato</v>
      </c>
      <c r="G159" t="str">
        <f>_xlfn.XLOOKUP(frasest[[#This Row],[autor_es]],autorest[autor_es],autorest[bio_es])</f>
        <v>Filósofo griego de la Edad Antigua, discípulo de Sócrates y maestro de Aristóteles, fundador de la Academia de Atenas.</v>
      </c>
      <c r="H159" t="str">
        <f>_xlfn.XLOOKUP(frasest[[#This Row],[autor_es]],autorest[autor_es],autorest[bio_la])</f>
        <v>Philosophus Graecus Antiquitatis, discipulus Socratis et magister Aristotelis, Academiae Atheniensis conditor.</v>
      </c>
      <c r="I159" t="str">
        <f>_xlfn.XLOOKUP(frasest[[#This Row],[autor_es]],autorest[autor_es],autorest[codigo])</f>
        <v>el</v>
      </c>
      <c r="J159" t="str">
        <f>_xlfn.XLOOKUP(frasest[[#This Row],[autor_es]],autorest[autor_es],autorest[idioma_es])</f>
        <v>Griego</v>
      </c>
      <c r="K159" t="str">
        <f>_xlfn.XLOOKUP(frasest[[#This Row],[autor_es]],autorest[autor_es],autorest[idioma_la])</f>
        <v>Lingua Graeca</v>
      </c>
      <c r="L159" t="str">
        <f>_xlfn.XLOOKUP(frasest[[#This Row],[autor_es]],autorest[autor_es],autorest[nacion_es])</f>
        <v>Grecia</v>
      </c>
      <c r="M159" t="str">
        <f>_xlfn.XLOOKUP(frasest[[#This Row],[autor_es]],autorest[autor_es],autorest[nacion_la])</f>
        <v>Graecia</v>
      </c>
      <c r="N159" t="str">
        <f>_xlfn.XLOOKUP(frasest[[#This Row],[autor_es]],autorest[autor_es],autorest[epoca_es])</f>
        <v>Edad Antigua</v>
      </c>
      <c r="O159" t="str">
        <f>_xlfn.XLOOKUP(frasest[[#This Row],[autor_es]],autorest[autor_es],autorest[epoca_la])</f>
        <v>Antiquitas</v>
      </c>
    </row>
    <row r="160" spans="1:15">
      <c r="A160">
        <v>159</v>
      </c>
      <c r="B160" t="s">
        <v>486</v>
      </c>
      <c r="C160" t="s">
        <v>487</v>
      </c>
      <c r="D160" t="s">
        <v>488</v>
      </c>
      <c r="E160" t="s">
        <v>489</v>
      </c>
      <c r="F160" t="str">
        <f>_xlfn.XLOOKUP(frasest[[#This Row],[autor_es]],autorest[autor_es],autorest[autor_la])</f>
        <v>Aristoteles</v>
      </c>
      <c r="G160" t="str">
        <f>_xlfn.XLOOKUP(frasest[[#This Row],[autor_es]],autorest[autor_es],autorest[bio_es])</f>
        <v>Filósofo griego de la Edad Antigua, discípulo de Platón y maestro de Alejandro Magno, figura central del pensamiento lógico, ético y metafísico.</v>
      </c>
      <c r="H160" t="str">
        <f>_xlfn.XLOOKUP(frasest[[#This Row],[autor_es]],autorest[autor_es],autorest[bio_la])</f>
        <v>Philosophus Graecus Antiquitatis, discipulus Platonis et magister Alexandri Magni, pars maxima in logica, ethica et metaphysica.</v>
      </c>
      <c r="I160" t="str">
        <f>_xlfn.XLOOKUP(frasest[[#This Row],[autor_es]],autorest[autor_es],autorest[codigo])</f>
        <v>el</v>
      </c>
      <c r="J160" t="str">
        <f>_xlfn.XLOOKUP(frasest[[#This Row],[autor_es]],autorest[autor_es],autorest[idioma_es])</f>
        <v>Griego</v>
      </c>
      <c r="K160" t="str">
        <f>_xlfn.XLOOKUP(frasest[[#This Row],[autor_es]],autorest[autor_es],autorest[idioma_la])</f>
        <v>Lingua Graeca</v>
      </c>
      <c r="L160" t="str">
        <f>_xlfn.XLOOKUP(frasest[[#This Row],[autor_es]],autorest[autor_es],autorest[nacion_es])</f>
        <v>Grecia</v>
      </c>
      <c r="M160" t="str">
        <f>_xlfn.XLOOKUP(frasest[[#This Row],[autor_es]],autorest[autor_es],autorest[nacion_la])</f>
        <v>Graecia</v>
      </c>
      <c r="N160" t="str">
        <f>_xlfn.XLOOKUP(frasest[[#This Row],[autor_es]],autorest[autor_es],autorest[epoca_es])</f>
        <v>Edad Antigua</v>
      </c>
      <c r="O160" t="str">
        <f>_xlfn.XLOOKUP(frasest[[#This Row],[autor_es]],autorest[autor_es],autorest[epoca_la])</f>
        <v>Antiquitas</v>
      </c>
    </row>
    <row r="161" spans="1:15">
      <c r="A161">
        <v>160</v>
      </c>
      <c r="B161" t="s">
        <v>490</v>
      </c>
      <c r="C161" t="s">
        <v>491</v>
      </c>
      <c r="D161" t="s">
        <v>492</v>
      </c>
      <c r="E161" t="s">
        <v>489</v>
      </c>
      <c r="F161" t="str">
        <f>_xlfn.XLOOKUP(frasest[[#This Row],[autor_es]],autorest[autor_es],autorest[autor_la])</f>
        <v>Aristoteles</v>
      </c>
      <c r="G161" t="str">
        <f>_xlfn.XLOOKUP(frasest[[#This Row],[autor_es]],autorest[autor_es],autorest[bio_es])</f>
        <v>Filósofo griego de la Edad Antigua, discípulo de Platón y maestro de Alejandro Magno, figura central del pensamiento lógico, ético y metafísico.</v>
      </c>
      <c r="H161" t="str">
        <f>_xlfn.XLOOKUP(frasest[[#This Row],[autor_es]],autorest[autor_es],autorest[bio_la])</f>
        <v>Philosophus Graecus Antiquitatis, discipulus Platonis et magister Alexandri Magni, pars maxima in logica, ethica et metaphysica.</v>
      </c>
      <c r="I161" t="str">
        <f>_xlfn.XLOOKUP(frasest[[#This Row],[autor_es]],autorest[autor_es],autorest[codigo])</f>
        <v>el</v>
      </c>
      <c r="J161" t="str">
        <f>_xlfn.XLOOKUP(frasest[[#This Row],[autor_es]],autorest[autor_es],autorest[idioma_es])</f>
        <v>Griego</v>
      </c>
      <c r="K161" t="str">
        <f>_xlfn.XLOOKUP(frasest[[#This Row],[autor_es]],autorest[autor_es],autorest[idioma_la])</f>
        <v>Lingua Graeca</v>
      </c>
      <c r="L161" t="str">
        <f>_xlfn.XLOOKUP(frasest[[#This Row],[autor_es]],autorest[autor_es],autorest[nacion_es])</f>
        <v>Grecia</v>
      </c>
      <c r="M161" t="str">
        <f>_xlfn.XLOOKUP(frasest[[#This Row],[autor_es]],autorest[autor_es],autorest[nacion_la])</f>
        <v>Graecia</v>
      </c>
      <c r="N161" t="str">
        <f>_xlfn.XLOOKUP(frasest[[#This Row],[autor_es]],autorest[autor_es],autorest[epoca_es])</f>
        <v>Edad Antigua</v>
      </c>
      <c r="O161" t="str">
        <f>_xlfn.XLOOKUP(frasest[[#This Row],[autor_es]],autorest[autor_es],autorest[epoca_la])</f>
        <v>Antiquitas</v>
      </c>
    </row>
    <row r="162" spans="1:15">
      <c r="A162">
        <v>161</v>
      </c>
      <c r="B162" t="s">
        <v>493</v>
      </c>
      <c r="C162" t="s">
        <v>494</v>
      </c>
      <c r="D162" t="s">
        <v>495</v>
      </c>
      <c r="E162" t="s">
        <v>489</v>
      </c>
      <c r="F162" t="str">
        <f>_xlfn.XLOOKUP(frasest[[#This Row],[autor_es]],autorest[autor_es],autorest[autor_la])</f>
        <v>Aristoteles</v>
      </c>
      <c r="G162" t="str">
        <f>_xlfn.XLOOKUP(frasest[[#This Row],[autor_es]],autorest[autor_es],autorest[bio_es])</f>
        <v>Filósofo griego de la Edad Antigua, discípulo de Platón y maestro de Alejandro Magno, figura central del pensamiento lógico, ético y metafísico.</v>
      </c>
      <c r="H162" t="str">
        <f>_xlfn.XLOOKUP(frasest[[#This Row],[autor_es]],autorest[autor_es],autorest[bio_la])</f>
        <v>Philosophus Graecus Antiquitatis, discipulus Platonis et magister Alexandri Magni, pars maxima in logica, ethica et metaphysica.</v>
      </c>
      <c r="I162" t="str">
        <f>_xlfn.XLOOKUP(frasest[[#This Row],[autor_es]],autorest[autor_es],autorest[codigo])</f>
        <v>el</v>
      </c>
      <c r="J162" t="str">
        <f>_xlfn.XLOOKUP(frasest[[#This Row],[autor_es]],autorest[autor_es],autorest[idioma_es])</f>
        <v>Griego</v>
      </c>
      <c r="K162" t="str">
        <f>_xlfn.XLOOKUP(frasest[[#This Row],[autor_es]],autorest[autor_es],autorest[idioma_la])</f>
        <v>Lingua Graeca</v>
      </c>
      <c r="L162" t="str">
        <f>_xlfn.XLOOKUP(frasest[[#This Row],[autor_es]],autorest[autor_es],autorest[nacion_es])</f>
        <v>Grecia</v>
      </c>
      <c r="M162" t="str">
        <f>_xlfn.XLOOKUP(frasest[[#This Row],[autor_es]],autorest[autor_es],autorest[nacion_la])</f>
        <v>Graecia</v>
      </c>
      <c r="N162" t="str">
        <f>_xlfn.XLOOKUP(frasest[[#This Row],[autor_es]],autorest[autor_es],autorest[epoca_es])</f>
        <v>Edad Antigua</v>
      </c>
      <c r="O162" t="str">
        <f>_xlfn.XLOOKUP(frasest[[#This Row],[autor_es]],autorest[autor_es],autorest[epoca_la])</f>
        <v>Antiquitas</v>
      </c>
    </row>
    <row r="163" spans="1:15">
      <c r="A163">
        <v>162</v>
      </c>
      <c r="B163" t="s">
        <v>496</v>
      </c>
      <c r="C163" t="s">
        <v>497</v>
      </c>
      <c r="D163" t="s">
        <v>498</v>
      </c>
      <c r="E163" t="s">
        <v>489</v>
      </c>
      <c r="F163" t="str">
        <f>_xlfn.XLOOKUP(frasest[[#This Row],[autor_es]],autorest[autor_es],autorest[autor_la])</f>
        <v>Aristoteles</v>
      </c>
      <c r="G163" t="str">
        <f>_xlfn.XLOOKUP(frasest[[#This Row],[autor_es]],autorest[autor_es],autorest[bio_es])</f>
        <v>Filósofo griego de la Edad Antigua, discípulo de Platón y maestro de Alejandro Magno, figura central del pensamiento lógico, ético y metafísico.</v>
      </c>
      <c r="H163" t="str">
        <f>_xlfn.XLOOKUP(frasest[[#This Row],[autor_es]],autorest[autor_es],autorest[bio_la])</f>
        <v>Philosophus Graecus Antiquitatis, discipulus Platonis et magister Alexandri Magni, pars maxima in logica, ethica et metaphysica.</v>
      </c>
      <c r="I163" t="str">
        <f>_xlfn.XLOOKUP(frasest[[#This Row],[autor_es]],autorest[autor_es],autorest[codigo])</f>
        <v>el</v>
      </c>
      <c r="J163" t="str">
        <f>_xlfn.XLOOKUP(frasest[[#This Row],[autor_es]],autorest[autor_es],autorest[idioma_es])</f>
        <v>Griego</v>
      </c>
      <c r="K163" t="str">
        <f>_xlfn.XLOOKUP(frasest[[#This Row],[autor_es]],autorest[autor_es],autorest[idioma_la])</f>
        <v>Lingua Graeca</v>
      </c>
      <c r="L163" t="str">
        <f>_xlfn.XLOOKUP(frasest[[#This Row],[autor_es]],autorest[autor_es],autorest[nacion_es])</f>
        <v>Grecia</v>
      </c>
      <c r="M163" t="str">
        <f>_xlfn.XLOOKUP(frasest[[#This Row],[autor_es]],autorest[autor_es],autorest[nacion_la])</f>
        <v>Graecia</v>
      </c>
      <c r="N163" t="str">
        <f>_xlfn.XLOOKUP(frasest[[#This Row],[autor_es]],autorest[autor_es],autorest[epoca_es])</f>
        <v>Edad Antigua</v>
      </c>
      <c r="O163" t="str">
        <f>_xlfn.XLOOKUP(frasest[[#This Row],[autor_es]],autorest[autor_es],autorest[epoca_la])</f>
        <v>Antiquitas</v>
      </c>
    </row>
    <row r="164" spans="1:15">
      <c r="A164">
        <v>163</v>
      </c>
      <c r="B164" t="s">
        <v>499</v>
      </c>
      <c r="C164" t="s">
        <v>500</v>
      </c>
      <c r="D164" t="s">
        <v>501</v>
      </c>
      <c r="E164" t="s">
        <v>489</v>
      </c>
      <c r="F164" t="str">
        <f>_xlfn.XLOOKUP(frasest[[#This Row],[autor_es]],autorest[autor_es],autorest[autor_la])</f>
        <v>Aristoteles</v>
      </c>
      <c r="G164" t="str">
        <f>_xlfn.XLOOKUP(frasest[[#This Row],[autor_es]],autorest[autor_es],autorest[bio_es])</f>
        <v>Filósofo griego de la Edad Antigua, discípulo de Platón y maestro de Alejandro Magno, figura central del pensamiento lógico, ético y metafísico.</v>
      </c>
      <c r="H164" t="str">
        <f>_xlfn.XLOOKUP(frasest[[#This Row],[autor_es]],autorest[autor_es],autorest[bio_la])</f>
        <v>Philosophus Graecus Antiquitatis, discipulus Platonis et magister Alexandri Magni, pars maxima in logica, ethica et metaphysica.</v>
      </c>
      <c r="I164" t="str">
        <f>_xlfn.XLOOKUP(frasest[[#This Row],[autor_es]],autorest[autor_es],autorest[codigo])</f>
        <v>el</v>
      </c>
      <c r="J164" t="str">
        <f>_xlfn.XLOOKUP(frasest[[#This Row],[autor_es]],autorest[autor_es],autorest[idioma_es])</f>
        <v>Griego</v>
      </c>
      <c r="K164" t="str">
        <f>_xlfn.XLOOKUP(frasest[[#This Row],[autor_es]],autorest[autor_es],autorest[idioma_la])</f>
        <v>Lingua Graeca</v>
      </c>
      <c r="L164" t="str">
        <f>_xlfn.XLOOKUP(frasest[[#This Row],[autor_es]],autorest[autor_es],autorest[nacion_es])</f>
        <v>Grecia</v>
      </c>
      <c r="M164" t="str">
        <f>_xlfn.XLOOKUP(frasest[[#This Row],[autor_es]],autorest[autor_es],autorest[nacion_la])</f>
        <v>Graecia</v>
      </c>
      <c r="N164" t="str">
        <f>_xlfn.XLOOKUP(frasest[[#This Row],[autor_es]],autorest[autor_es],autorest[epoca_es])</f>
        <v>Edad Antigua</v>
      </c>
      <c r="O164" t="str">
        <f>_xlfn.XLOOKUP(frasest[[#This Row],[autor_es]],autorest[autor_es],autorest[epoca_la])</f>
        <v>Antiquitas</v>
      </c>
    </row>
    <row r="165" spans="1:15">
      <c r="A165">
        <v>164</v>
      </c>
      <c r="B165" t="s">
        <v>502</v>
      </c>
      <c r="C165" t="s">
        <v>503</v>
      </c>
      <c r="D165" t="s">
        <v>504</v>
      </c>
      <c r="E165" t="s">
        <v>489</v>
      </c>
      <c r="F165" t="str">
        <f>_xlfn.XLOOKUP(frasest[[#This Row],[autor_es]],autorest[autor_es],autorest[autor_la])</f>
        <v>Aristoteles</v>
      </c>
      <c r="G165" t="str">
        <f>_xlfn.XLOOKUP(frasest[[#This Row],[autor_es]],autorest[autor_es],autorest[bio_es])</f>
        <v>Filósofo griego de la Edad Antigua, discípulo de Platón y maestro de Alejandro Magno, figura central del pensamiento lógico, ético y metafísico.</v>
      </c>
      <c r="H165" t="str">
        <f>_xlfn.XLOOKUP(frasest[[#This Row],[autor_es]],autorest[autor_es],autorest[bio_la])</f>
        <v>Philosophus Graecus Antiquitatis, discipulus Platonis et magister Alexandri Magni, pars maxima in logica, ethica et metaphysica.</v>
      </c>
      <c r="I165" t="str">
        <f>_xlfn.XLOOKUP(frasest[[#This Row],[autor_es]],autorest[autor_es],autorest[codigo])</f>
        <v>el</v>
      </c>
      <c r="J165" t="str">
        <f>_xlfn.XLOOKUP(frasest[[#This Row],[autor_es]],autorest[autor_es],autorest[idioma_es])</f>
        <v>Griego</v>
      </c>
      <c r="K165" t="str">
        <f>_xlfn.XLOOKUP(frasest[[#This Row],[autor_es]],autorest[autor_es],autorest[idioma_la])</f>
        <v>Lingua Graeca</v>
      </c>
      <c r="L165" t="str">
        <f>_xlfn.XLOOKUP(frasest[[#This Row],[autor_es]],autorest[autor_es],autorest[nacion_es])</f>
        <v>Grecia</v>
      </c>
      <c r="M165" t="str">
        <f>_xlfn.XLOOKUP(frasest[[#This Row],[autor_es]],autorest[autor_es],autorest[nacion_la])</f>
        <v>Graecia</v>
      </c>
      <c r="N165" t="str">
        <f>_xlfn.XLOOKUP(frasest[[#This Row],[autor_es]],autorest[autor_es],autorest[epoca_es])</f>
        <v>Edad Antigua</v>
      </c>
      <c r="O165" t="str">
        <f>_xlfn.XLOOKUP(frasest[[#This Row],[autor_es]],autorest[autor_es],autorest[epoca_la])</f>
        <v>Antiquitas</v>
      </c>
    </row>
    <row r="166" spans="1:15">
      <c r="A166">
        <v>165</v>
      </c>
      <c r="B166" t="s">
        <v>505</v>
      </c>
      <c r="C166" t="s">
        <v>506</v>
      </c>
      <c r="D166" t="s">
        <v>507</v>
      </c>
      <c r="E166" t="s">
        <v>489</v>
      </c>
      <c r="F166" t="str">
        <f>_xlfn.XLOOKUP(frasest[[#This Row],[autor_es]],autorest[autor_es],autorest[autor_la])</f>
        <v>Aristoteles</v>
      </c>
      <c r="G166" t="str">
        <f>_xlfn.XLOOKUP(frasest[[#This Row],[autor_es]],autorest[autor_es],autorest[bio_es])</f>
        <v>Filósofo griego de la Edad Antigua, discípulo de Platón y maestro de Alejandro Magno, figura central del pensamiento lógico, ético y metafísico.</v>
      </c>
      <c r="H166" t="str">
        <f>_xlfn.XLOOKUP(frasest[[#This Row],[autor_es]],autorest[autor_es],autorest[bio_la])</f>
        <v>Philosophus Graecus Antiquitatis, discipulus Platonis et magister Alexandri Magni, pars maxima in logica, ethica et metaphysica.</v>
      </c>
      <c r="I166" t="str">
        <f>_xlfn.XLOOKUP(frasest[[#This Row],[autor_es]],autorest[autor_es],autorest[codigo])</f>
        <v>el</v>
      </c>
      <c r="J166" t="str">
        <f>_xlfn.XLOOKUP(frasest[[#This Row],[autor_es]],autorest[autor_es],autorest[idioma_es])</f>
        <v>Griego</v>
      </c>
      <c r="K166" t="str">
        <f>_xlfn.XLOOKUP(frasest[[#This Row],[autor_es]],autorest[autor_es],autorest[idioma_la])</f>
        <v>Lingua Graeca</v>
      </c>
      <c r="L166" t="str">
        <f>_xlfn.XLOOKUP(frasest[[#This Row],[autor_es]],autorest[autor_es],autorest[nacion_es])</f>
        <v>Grecia</v>
      </c>
      <c r="M166" t="str">
        <f>_xlfn.XLOOKUP(frasest[[#This Row],[autor_es]],autorest[autor_es],autorest[nacion_la])</f>
        <v>Graecia</v>
      </c>
      <c r="N166" t="str">
        <f>_xlfn.XLOOKUP(frasest[[#This Row],[autor_es]],autorest[autor_es],autorest[epoca_es])</f>
        <v>Edad Antigua</v>
      </c>
      <c r="O166" t="str">
        <f>_xlfn.XLOOKUP(frasest[[#This Row],[autor_es]],autorest[autor_es],autorest[epoca_la])</f>
        <v>Antiquitas</v>
      </c>
    </row>
    <row r="167" spans="1:15">
      <c r="A167">
        <v>166</v>
      </c>
      <c r="B167" t="s">
        <v>508</v>
      </c>
      <c r="C167" t="s">
        <v>509</v>
      </c>
      <c r="D167" t="s">
        <v>510</v>
      </c>
      <c r="E167" t="s">
        <v>489</v>
      </c>
      <c r="F167" t="str">
        <f>_xlfn.XLOOKUP(frasest[[#This Row],[autor_es]],autorest[autor_es],autorest[autor_la])</f>
        <v>Aristoteles</v>
      </c>
      <c r="G167" t="str">
        <f>_xlfn.XLOOKUP(frasest[[#This Row],[autor_es]],autorest[autor_es],autorest[bio_es])</f>
        <v>Filósofo griego de la Edad Antigua, discípulo de Platón y maestro de Alejandro Magno, figura central del pensamiento lógico, ético y metafísico.</v>
      </c>
      <c r="H167" t="str">
        <f>_xlfn.XLOOKUP(frasest[[#This Row],[autor_es]],autorest[autor_es],autorest[bio_la])</f>
        <v>Philosophus Graecus Antiquitatis, discipulus Platonis et magister Alexandri Magni, pars maxima in logica, ethica et metaphysica.</v>
      </c>
      <c r="I167" t="str">
        <f>_xlfn.XLOOKUP(frasest[[#This Row],[autor_es]],autorest[autor_es],autorest[codigo])</f>
        <v>el</v>
      </c>
      <c r="J167" t="str">
        <f>_xlfn.XLOOKUP(frasest[[#This Row],[autor_es]],autorest[autor_es],autorest[idioma_es])</f>
        <v>Griego</v>
      </c>
      <c r="K167" t="str">
        <f>_xlfn.XLOOKUP(frasest[[#This Row],[autor_es]],autorest[autor_es],autorest[idioma_la])</f>
        <v>Lingua Graeca</v>
      </c>
      <c r="L167" t="str">
        <f>_xlfn.XLOOKUP(frasest[[#This Row],[autor_es]],autorest[autor_es],autorest[nacion_es])</f>
        <v>Grecia</v>
      </c>
      <c r="M167" t="str">
        <f>_xlfn.XLOOKUP(frasest[[#This Row],[autor_es]],autorest[autor_es],autorest[nacion_la])</f>
        <v>Graecia</v>
      </c>
      <c r="N167" t="str">
        <f>_xlfn.XLOOKUP(frasest[[#This Row],[autor_es]],autorest[autor_es],autorest[epoca_es])</f>
        <v>Edad Antigua</v>
      </c>
      <c r="O167" t="str">
        <f>_xlfn.XLOOKUP(frasest[[#This Row],[autor_es]],autorest[autor_es],autorest[epoca_la])</f>
        <v>Antiquitas</v>
      </c>
    </row>
    <row r="168" spans="1:15">
      <c r="A168">
        <v>167</v>
      </c>
      <c r="B168" t="s">
        <v>511</v>
      </c>
      <c r="C168" t="s">
        <v>512</v>
      </c>
      <c r="D168" t="s">
        <v>513</v>
      </c>
      <c r="E168" t="s">
        <v>489</v>
      </c>
      <c r="F168" t="str">
        <f>_xlfn.XLOOKUP(frasest[[#This Row],[autor_es]],autorest[autor_es],autorest[autor_la])</f>
        <v>Aristoteles</v>
      </c>
      <c r="G168" t="str">
        <f>_xlfn.XLOOKUP(frasest[[#This Row],[autor_es]],autorest[autor_es],autorest[bio_es])</f>
        <v>Filósofo griego de la Edad Antigua, discípulo de Platón y maestro de Alejandro Magno, figura central del pensamiento lógico, ético y metafísico.</v>
      </c>
      <c r="H168" t="str">
        <f>_xlfn.XLOOKUP(frasest[[#This Row],[autor_es]],autorest[autor_es],autorest[bio_la])</f>
        <v>Philosophus Graecus Antiquitatis, discipulus Platonis et magister Alexandri Magni, pars maxima in logica, ethica et metaphysica.</v>
      </c>
      <c r="I168" t="str">
        <f>_xlfn.XLOOKUP(frasest[[#This Row],[autor_es]],autorest[autor_es],autorest[codigo])</f>
        <v>el</v>
      </c>
      <c r="J168" t="str">
        <f>_xlfn.XLOOKUP(frasest[[#This Row],[autor_es]],autorest[autor_es],autorest[idioma_es])</f>
        <v>Griego</v>
      </c>
      <c r="K168" t="str">
        <f>_xlfn.XLOOKUP(frasest[[#This Row],[autor_es]],autorest[autor_es],autorest[idioma_la])</f>
        <v>Lingua Graeca</v>
      </c>
      <c r="L168" t="str">
        <f>_xlfn.XLOOKUP(frasest[[#This Row],[autor_es]],autorest[autor_es],autorest[nacion_es])</f>
        <v>Grecia</v>
      </c>
      <c r="M168" t="str">
        <f>_xlfn.XLOOKUP(frasest[[#This Row],[autor_es]],autorest[autor_es],autorest[nacion_la])</f>
        <v>Graecia</v>
      </c>
      <c r="N168" t="str">
        <f>_xlfn.XLOOKUP(frasest[[#This Row],[autor_es]],autorest[autor_es],autorest[epoca_es])</f>
        <v>Edad Antigua</v>
      </c>
      <c r="O168" t="str">
        <f>_xlfn.XLOOKUP(frasest[[#This Row],[autor_es]],autorest[autor_es],autorest[epoca_la])</f>
        <v>Antiquitas</v>
      </c>
    </row>
    <row r="169" spans="1:15">
      <c r="A169">
        <v>168</v>
      </c>
      <c r="B169" t="s">
        <v>514</v>
      </c>
      <c r="C169" t="s">
        <v>515</v>
      </c>
      <c r="D169" t="s">
        <v>516</v>
      </c>
      <c r="E169" t="s">
        <v>489</v>
      </c>
      <c r="F169" t="str">
        <f>_xlfn.XLOOKUP(frasest[[#This Row],[autor_es]],autorest[autor_es],autorest[autor_la])</f>
        <v>Aristoteles</v>
      </c>
      <c r="G169" t="str">
        <f>_xlfn.XLOOKUP(frasest[[#This Row],[autor_es]],autorest[autor_es],autorest[bio_es])</f>
        <v>Filósofo griego de la Edad Antigua, discípulo de Platón y maestro de Alejandro Magno, figura central del pensamiento lógico, ético y metafísico.</v>
      </c>
      <c r="H169" t="str">
        <f>_xlfn.XLOOKUP(frasest[[#This Row],[autor_es]],autorest[autor_es],autorest[bio_la])</f>
        <v>Philosophus Graecus Antiquitatis, discipulus Platonis et magister Alexandri Magni, pars maxima in logica, ethica et metaphysica.</v>
      </c>
      <c r="I169" t="str">
        <f>_xlfn.XLOOKUP(frasest[[#This Row],[autor_es]],autorest[autor_es],autorest[codigo])</f>
        <v>el</v>
      </c>
      <c r="J169" t="str">
        <f>_xlfn.XLOOKUP(frasest[[#This Row],[autor_es]],autorest[autor_es],autorest[idioma_es])</f>
        <v>Griego</v>
      </c>
      <c r="K169" t="str">
        <f>_xlfn.XLOOKUP(frasest[[#This Row],[autor_es]],autorest[autor_es],autorest[idioma_la])</f>
        <v>Lingua Graeca</v>
      </c>
      <c r="L169" t="str">
        <f>_xlfn.XLOOKUP(frasest[[#This Row],[autor_es]],autorest[autor_es],autorest[nacion_es])</f>
        <v>Grecia</v>
      </c>
      <c r="M169" t="str">
        <f>_xlfn.XLOOKUP(frasest[[#This Row],[autor_es]],autorest[autor_es],autorest[nacion_la])</f>
        <v>Graecia</v>
      </c>
      <c r="N169" t="str">
        <f>_xlfn.XLOOKUP(frasest[[#This Row],[autor_es]],autorest[autor_es],autorest[epoca_es])</f>
        <v>Edad Antigua</v>
      </c>
      <c r="O169" t="str">
        <f>_xlfn.XLOOKUP(frasest[[#This Row],[autor_es]],autorest[autor_es],autorest[epoca_la])</f>
        <v>Antiquitas</v>
      </c>
    </row>
    <row r="170" spans="1:15">
      <c r="A170">
        <v>169</v>
      </c>
      <c r="B170" t="s">
        <v>517</v>
      </c>
      <c r="C170" t="s">
        <v>518</v>
      </c>
      <c r="D170" t="s">
        <v>519</v>
      </c>
      <c r="E170" t="s">
        <v>520</v>
      </c>
      <c r="F170" t="str">
        <f>_xlfn.XLOOKUP(frasest[[#This Row],[autor_es]],autorest[autor_es],autorest[autor_la])</f>
        <v>Pythagoras</v>
      </c>
      <c r="G170" t="str">
        <f>_xlfn.XLOOKUP(frasest[[#This Row],[autor_es]],autorest[autor_es],autorest[bio_es])</f>
        <v>Filósofo y matemático griego de Samos, fundador del pitagorismo. Propuso la inmortalidad del alma, la transmigración y el número como principio de la realidad.</v>
      </c>
      <c r="H170" t="str">
        <f>_xlfn.XLOOKUP(frasest[[#This Row],[autor_es]],autorest[autor_es],autorest[bio_la])</f>
        <v>Philosophus et mathematicus Graecus Samius, pythagorismi conditor. Immortalitatem animae, transmigrationem et numerum principium rerum proposuit.</v>
      </c>
      <c r="I170" t="str">
        <f>_xlfn.XLOOKUP(frasest[[#This Row],[autor_es]],autorest[autor_es],autorest[codigo])</f>
        <v>el</v>
      </c>
      <c r="J170" t="str">
        <f>_xlfn.XLOOKUP(frasest[[#This Row],[autor_es]],autorest[autor_es],autorest[idioma_es])</f>
        <v>Griego</v>
      </c>
      <c r="K170" t="str">
        <f>_xlfn.XLOOKUP(frasest[[#This Row],[autor_es]],autorest[autor_es],autorest[idioma_la])</f>
        <v>Lingua Graeca</v>
      </c>
      <c r="L170" t="str">
        <f>_xlfn.XLOOKUP(frasest[[#This Row],[autor_es]],autorest[autor_es],autorest[nacion_es])</f>
        <v>Grecia</v>
      </c>
      <c r="M170" t="str">
        <f>_xlfn.XLOOKUP(frasest[[#This Row],[autor_es]],autorest[autor_es],autorest[nacion_la])</f>
        <v>Graecia</v>
      </c>
      <c r="N170" t="str">
        <f>_xlfn.XLOOKUP(frasest[[#This Row],[autor_es]],autorest[autor_es],autorest[epoca_es])</f>
        <v>Edad Antigua</v>
      </c>
      <c r="O170" t="str">
        <f>_xlfn.XLOOKUP(frasest[[#This Row],[autor_es]],autorest[autor_es],autorest[epoca_la])</f>
        <v>Antiquitas</v>
      </c>
    </row>
    <row r="171" spans="1:15">
      <c r="A171">
        <v>170</v>
      </c>
      <c r="B171" t="s">
        <v>521</v>
      </c>
      <c r="C171" t="s">
        <v>522</v>
      </c>
      <c r="D171" t="s">
        <v>523</v>
      </c>
      <c r="E171" t="s">
        <v>520</v>
      </c>
      <c r="F171" t="str">
        <f>_xlfn.XLOOKUP(frasest[[#This Row],[autor_es]],autorest[autor_es],autorest[autor_la])</f>
        <v>Pythagoras</v>
      </c>
      <c r="G171" t="str">
        <f>_xlfn.XLOOKUP(frasest[[#This Row],[autor_es]],autorest[autor_es],autorest[bio_es])</f>
        <v>Filósofo y matemático griego de Samos, fundador del pitagorismo. Propuso la inmortalidad del alma, la transmigración y el número como principio de la realidad.</v>
      </c>
      <c r="H171" t="str">
        <f>_xlfn.XLOOKUP(frasest[[#This Row],[autor_es]],autorest[autor_es],autorest[bio_la])</f>
        <v>Philosophus et mathematicus Graecus Samius, pythagorismi conditor. Immortalitatem animae, transmigrationem et numerum principium rerum proposuit.</v>
      </c>
      <c r="I171" t="str">
        <f>_xlfn.XLOOKUP(frasest[[#This Row],[autor_es]],autorest[autor_es],autorest[codigo])</f>
        <v>el</v>
      </c>
      <c r="J171" t="str">
        <f>_xlfn.XLOOKUP(frasest[[#This Row],[autor_es]],autorest[autor_es],autorest[idioma_es])</f>
        <v>Griego</v>
      </c>
      <c r="K171" t="str">
        <f>_xlfn.XLOOKUP(frasest[[#This Row],[autor_es]],autorest[autor_es],autorest[idioma_la])</f>
        <v>Lingua Graeca</v>
      </c>
      <c r="L171" t="str">
        <f>_xlfn.XLOOKUP(frasest[[#This Row],[autor_es]],autorest[autor_es],autorest[nacion_es])</f>
        <v>Grecia</v>
      </c>
      <c r="M171" t="str">
        <f>_xlfn.XLOOKUP(frasest[[#This Row],[autor_es]],autorest[autor_es],autorest[nacion_la])</f>
        <v>Graecia</v>
      </c>
      <c r="N171" t="str">
        <f>_xlfn.XLOOKUP(frasest[[#This Row],[autor_es]],autorest[autor_es],autorest[epoca_es])</f>
        <v>Edad Antigua</v>
      </c>
      <c r="O171" t="str">
        <f>_xlfn.XLOOKUP(frasest[[#This Row],[autor_es]],autorest[autor_es],autorest[epoca_la])</f>
        <v>Antiquitas</v>
      </c>
    </row>
    <row r="172" spans="1:15">
      <c r="A172">
        <v>171</v>
      </c>
      <c r="B172" t="s">
        <v>524</v>
      </c>
      <c r="C172" t="s">
        <v>525</v>
      </c>
      <c r="D172" t="s">
        <v>526</v>
      </c>
      <c r="E172" t="s">
        <v>520</v>
      </c>
      <c r="F172" t="str">
        <f>_xlfn.XLOOKUP(frasest[[#This Row],[autor_es]],autorest[autor_es],autorest[autor_la])</f>
        <v>Pythagoras</v>
      </c>
      <c r="G172" t="str">
        <f>_xlfn.XLOOKUP(frasest[[#This Row],[autor_es]],autorest[autor_es],autorest[bio_es])</f>
        <v>Filósofo y matemático griego de Samos, fundador del pitagorismo. Propuso la inmortalidad del alma, la transmigración y el número como principio de la realidad.</v>
      </c>
      <c r="H172" t="str">
        <f>_xlfn.XLOOKUP(frasest[[#This Row],[autor_es]],autorest[autor_es],autorest[bio_la])</f>
        <v>Philosophus et mathematicus Graecus Samius, pythagorismi conditor. Immortalitatem animae, transmigrationem et numerum principium rerum proposuit.</v>
      </c>
      <c r="I172" t="str">
        <f>_xlfn.XLOOKUP(frasest[[#This Row],[autor_es]],autorest[autor_es],autorest[codigo])</f>
        <v>el</v>
      </c>
      <c r="J172" t="str">
        <f>_xlfn.XLOOKUP(frasest[[#This Row],[autor_es]],autorest[autor_es],autorest[idioma_es])</f>
        <v>Griego</v>
      </c>
      <c r="K172" t="str">
        <f>_xlfn.XLOOKUP(frasest[[#This Row],[autor_es]],autorest[autor_es],autorest[idioma_la])</f>
        <v>Lingua Graeca</v>
      </c>
      <c r="L172" t="str">
        <f>_xlfn.XLOOKUP(frasest[[#This Row],[autor_es]],autorest[autor_es],autorest[nacion_es])</f>
        <v>Grecia</v>
      </c>
      <c r="M172" t="str">
        <f>_xlfn.XLOOKUP(frasest[[#This Row],[autor_es]],autorest[autor_es],autorest[nacion_la])</f>
        <v>Graecia</v>
      </c>
      <c r="N172" t="str">
        <f>_xlfn.XLOOKUP(frasest[[#This Row],[autor_es]],autorest[autor_es],autorest[epoca_es])</f>
        <v>Edad Antigua</v>
      </c>
      <c r="O172" t="str">
        <f>_xlfn.XLOOKUP(frasest[[#This Row],[autor_es]],autorest[autor_es],autorest[epoca_la])</f>
        <v>Antiquitas</v>
      </c>
    </row>
    <row r="173" spans="1:15">
      <c r="A173">
        <v>172</v>
      </c>
      <c r="B173" t="s">
        <v>527</v>
      </c>
      <c r="C173" t="s">
        <v>528</v>
      </c>
      <c r="D173" t="s">
        <v>529</v>
      </c>
      <c r="E173" t="s">
        <v>520</v>
      </c>
      <c r="F173" t="str">
        <f>_xlfn.XLOOKUP(frasest[[#This Row],[autor_es]],autorest[autor_es],autorest[autor_la])</f>
        <v>Pythagoras</v>
      </c>
      <c r="G173" t="str">
        <f>_xlfn.XLOOKUP(frasest[[#This Row],[autor_es]],autorest[autor_es],autorest[bio_es])</f>
        <v>Filósofo y matemático griego de Samos, fundador del pitagorismo. Propuso la inmortalidad del alma, la transmigración y el número como principio de la realidad.</v>
      </c>
      <c r="H173" t="str">
        <f>_xlfn.XLOOKUP(frasest[[#This Row],[autor_es]],autorest[autor_es],autorest[bio_la])</f>
        <v>Philosophus et mathematicus Graecus Samius, pythagorismi conditor. Immortalitatem animae, transmigrationem et numerum principium rerum proposuit.</v>
      </c>
      <c r="I173" t="str">
        <f>_xlfn.XLOOKUP(frasest[[#This Row],[autor_es]],autorest[autor_es],autorest[codigo])</f>
        <v>el</v>
      </c>
      <c r="J173" t="str">
        <f>_xlfn.XLOOKUP(frasest[[#This Row],[autor_es]],autorest[autor_es],autorest[idioma_es])</f>
        <v>Griego</v>
      </c>
      <c r="K173" t="str">
        <f>_xlfn.XLOOKUP(frasest[[#This Row],[autor_es]],autorest[autor_es],autorest[idioma_la])</f>
        <v>Lingua Graeca</v>
      </c>
      <c r="L173" t="str">
        <f>_xlfn.XLOOKUP(frasest[[#This Row],[autor_es]],autorest[autor_es],autorest[nacion_es])</f>
        <v>Grecia</v>
      </c>
      <c r="M173" t="str">
        <f>_xlfn.XLOOKUP(frasest[[#This Row],[autor_es]],autorest[autor_es],autorest[nacion_la])</f>
        <v>Graecia</v>
      </c>
      <c r="N173" t="str">
        <f>_xlfn.XLOOKUP(frasest[[#This Row],[autor_es]],autorest[autor_es],autorest[epoca_es])</f>
        <v>Edad Antigua</v>
      </c>
      <c r="O173" t="str">
        <f>_xlfn.XLOOKUP(frasest[[#This Row],[autor_es]],autorest[autor_es],autorest[epoca_la])</f>
        <v>Antiquitas</v>
      </c>
    </row>
    <row r="174" spans="1:15">
      <c r="A174">
        <v>173</v>
      </c>
      <c r="B174" t="s">
        <v>530</v>
      </c>
      <c r="C174" t="s">
        <v>531</v>
      </c>
      <c r="D174" t="s">
        <v>532</v>
      </c>
      <c r="E174" t="s">
        <v>520</v>
      </c>
      <c r="F174" t="str">
        <f>_xlfn.XLOOKUP(frasest[[#This Row],[autor_es]],autorest[autor_es],autorest[autor_la])</f>
        <v>Pythagoras</v>
      </c>
      <c r="G174" t="str">
        <f>_xlfn.XLOOKUP(frasest[[#This Row],[autor_es]],autorest[autor_es],autorest[bio_es])</f>
        <v>Filósofo y matemático griego de Samos, fundador del pitagorismo. Propuso la inmortalidad del alma, la transmigración y el número como principio de la realidad.</v>
      </c>
      <c r="H174" t="str">
        <f>_xlfn.XLOOKUP(frasest[[#This Row],[autor_es]],autorest[autor_es],autorest[bio_la])</f>
        <v>Philosophus et mathematicus Graecus Samius, pythagorismi conditor. Immortalitatem animae, transmigrationem et numerum principium rerum proposuit.</v>
      </c>
      <c r="I174" t="str">
        <f>_xlfn.XLOOKUP(frasest[[#This Row],[autor_es]],autorest[autor_es],autorest[codigo])</f>
        <v>el</v>
      </c>
      <c r="J174" t="str">
        <f>_xlfn.XLOOKUP(frasest[[#This Row],[autor_es]],autorest[autor_es],autorest[idioma_es])</f>
        <v>Griego</v>
      </c>
      <c r="K174" t="str">
        <f>_xlfn.XLOOKUP(frasest[[#This Row],[autor_es]],autorest[autor_es],autorest[idioma_la])</f>
        <v>Lingua Graeca</v>
      </c>
      <c r="L174" t="str">
        <f>_xlfn.XLOOKUP(frasest[[#This Row],[autor_es]],autorest[autor_es],autorest[nacion_es])</f>
        <v>Grecia</v>
      </c>
      <c r="M174" t="str">
        <f>_xlfn.XLOOKUP(frasest[[#This Row],[autor_es]],autorest[autor_es],autorest[nacion_la])</f>
        <v>Graecia</v>
      </c>
      <c r="N174" t="str">
        <f>_xlfn.XLOOKUP(frasest[[#This Row],[autor_es]],autorest[autor_es],autorest[epoca_es])</f>
        <v>Edad Antigua</v>
      </c>
      <c r="O174" t="str">
        <f>_xlfn.XLOOKUP(frasest[[#This Row],[autor_es]],autorest[autor_es],autorest[epoca_la])</f>
        <v>Antiquitas</v>
      </c>
    </row>
    <row r="175" spans="1:15">
      <c r="A175">
        <v>174</v>
      </c>
      <c r="B175" t="s">
        <v>533</v>
      </c>
      <c r="C175" t="s">
        <v>534</v>
      </c>
      <c r="D175" t="s">
        <v>535</v>
      </c>
      <c r="E175" t="s">
        <v>520</v>
      </c>
      <c r="F175" t="str">
        <f>_xlfn.XLOOKUP(frasest[[#This Row],[autor_es]],autorest[autor_es],autorest[autor_la])</f>
        <v>Pythagoras</v>
      </c>
      <c r="G175" t="str">
        <f>_xlfn.XLOOKUP(frasest[[#This Row],[autor_es]],autorest[autor_es],autorest[bio_es])</f>
        <v>Filósofo y matemático griego de Samos, fundador del pitagorismo. Propuso la inmortalidad del alma, la transmigración y el número como principio de la realidad.</v>
      </c>
      <c r="H175" t="str">
        <f>_xlfn.XLOOKUP(frasest[[#This Row],[autor_es]],autorest[autor_es],autorest[bio_la])</f>
        <v>Philosophus et mathematicus Graecus Samius, pythagorismi conditor. Immortalitatem animae, transmigrationem et numerum principium rerum proposuit.</v>
      </c>
      <c r="I175" t="str">
        <f>_xlfn.XLOOKUP(frasest[[#This Row],[autor_es]],autorest[autor_es],autorest[codigo])</f>
        <v>el</v>
      </c>
      <c r="J175" t="str">
        <f>_xlfn.XLOOKUP(frasest[[#This Row],[autor_es]],autorest[autor_es],autorest[idioma_es])</f>
        <v>Griego</v>
      </c>
      <c r="K175" t="str">
        <f>_xlfn.XLOOKUP(frasest[[#This Row],[autor_es]],autorest[autor_es],autorest[idioma_la])</f>
        <v>Lingua Graeca</v>
      </c>
      <c r="L175" t="str">
        <f>_xlfn.XLOOKUP(frasest[[#This Row],[autor_es]],autorest[autor_es],autorest[nacion_es])</f>
        <v>Grecia</v>
      </c>
      <c r="M175" t="str">
        <f>_xlfn.XLOOKUP(frasest[[#This Row],[autor_es]],autorest[autor_es],autorest[nacion_la])</f>
        <v>Graecia</v>
      </c>
      <c r="N175" t="str">
        <f>_xlfn.XLOOKUP(frasest[[#This Row],[autor_es]],autorest[autor_es],autorest[epoca_es])</f>
        <v>Edad Antigua</v>
      </c>
      <c r="O175" t="str">
        <f>_xlfn.XLOOKUP(frasest[[#This Row],[autor_es]],autorest[autor_es],autorest[epoca_la])</f>
        <v>Antiquitas</v>
      </c>
    </row>
    <row r="176" spans="1:15">
      <c r="A176">
        <v>175</v>
      </c>
      <c r="B176" t="s">
        <v>536</v>
      </c>
      <c r="C176" t="s">
        <v>537</v>
      </c>
      <c r="D176" t="s">
        <v>538</v>
      </c>
      <c r="E176" t="s">
        <v>520</v>
      </c>
      <c r="F176" t="str">
        <f>_xlfn.XLOOKUP(frasest[[#This Row],[autor_es]],autorest[autor_es],autorest[autor_la])</f>
        <v>Pythagoras</v>
      </c>
      <c r="G176" t="str">
        <f>_xlfn.XLOOKUP(frasest[[#This Row],[autor_es]],autorest[autor_es],autorest[bio_es])</f>
        <v>Filósofo y matemático griego de Samos, fundador del pitagorismo. Propuso la inmortalidad del alma, la transmigración y el número como principio de la realidad.</v>
      </c>
      <c r="H176" t="str">
        <f>_xlfn.XLOOKUP(frasest[[#This Row],[autor_es]],autorest[autor_es],autorest[bio_la])</f>
        <v>Philosophus et mathematicus Graecus Samius, pythagorismi conditor. Immortalitatem animae, transmigrationem et numerum principium rerum proposuit.</v>
      </c>
      <c r="I176" t="str">
        <f>_xlfn.XLOOKUP(frasest[[#This Row],[autor_es]],autorest[autor_es],autorest[codigo])</f>
        <v>el</v>
      </c>
      <c r="J176" t="str">
        <f>_xlfn.XLOOKUP(frasest[[#This Row],[autor_es]],autorest[autor_es],autorest[idioma_es])</f>
        <v>Griego</v>
      </c>
      <c r="K176" t="str">
        <f>_xlfn.XLOOKUP(frasest[[#This Row],[autor_es]],autorest[autor_es],autorest[idioma_la])</f>
        <v>Lingua Graeca</v>
      </c>
      <c r="L176" t="str">
        <f>_xlfn.XLOOKUP(frasest[[#This Row],[autor_es]],autorest[autor_es],autorest[nacion_es])</f>
        <v>Grecia</v>
      </c>
      <c r="M176" t="str">
        <f>_xlfn.XLOOKUP(frasest[[#This Row],[autor_es]],autorest[autor_es],autorest[nacion_la])</f>
        <v>Graecia</v>
      </c>
      <c r="N176" t="str">
        <f>_xlfn.XLOOKUP(frasest[[#This Row],[autor_es]],autorest[autor_es],autorest[epoca_es])</f>
        <v>Edad Antigua</v>
      </c>
      <c r="O176" t="str">
        <f>_xlfn.XLOOKUP(frasest[[#This Row],[autor_es]],autorest[autor_es],autorest[epoca_la])</f>
        <v>Antiquitas</v>
      </c>
    </row>
    <row r="177" spans="1:15">
      <c r="A177">
        <v>176</v>
      </c>
      <c r="B177" t="s">
        <v>539</v>
      </c>
      <c r="C177" t="s">
        <v>540</v>
      </c>
      <c r="D177" t="s">
        <v>541</v>
      </c>
      <c r="E177" t="s">
        <v>520</v>
      </c>
      <c r="F177" t="str">
        <f>_xlfn.XLOOKUP(frasest[[#This Row],[autor_es]],autorest[autor_es],autorest[autor_la])</f>
        <v>Pythagoras</v>
      </c>
      <c r="G177" t="str">
        <f>_xlfn.XLOOKUP(frasest[[#This Row],[autor_es]],autorest[autor_es],autorest[bio_es])</f>
        <v>Filósofo y matemático griego de Samos, fundador del pitagorismo. Propuso la inmortalidad del alma, la transmigración y el número como principio de la realidad.</v>
      </c>
      <c r="H177" t="str">
        <f>_xlfn.XLOOKUP(frasest[[#This Row],[autor_es]],autorest[autor_es],autorest[bio_la])</f>
        <v>Philosophus et mathematicus Graecus Samius, pythagorismi conditor. Immortalitatem animae, transmigrationem et numerum principium rerum proposuit.</v>
      </c>
      <c r="I177" t="str">
        <f>_xlfn.XLOOKUP(frasest[[#This Row],[autor_es]],autorest[autor_es],autorest[codigo])</f>
        <v>el</v>
      </c>
      <c r="J177" t="str">
        <f>_xlfn.XLOOKUP(frasest[[#This Row],[autor_es]],autorest[autor_es],autorest[idioma_es])</f>
        <v>Griego</v>
      </c>
      <c r="K177" t="str">
        <f>_xlfn.XLOOKUP(frasest[[#This Row],[autor_es]],autorest[autor_es],autorest[idioma_la])</f>
        <v>Lingua Graeca</v>
      </c>
      <c r="L177" t="str">
        <f>_xlfn.XLOOKUP(frasest[[#This Row],[autor_es]],autorest[autor_es],autorest[nacion_es])</f>
        <v>Grecia</v>
      </c>
      <c r="M177" t="str">
        <f>_xlfn.XLOOKUP(frasest[[#This Row],[autor_es]],autorest[autor_es],autorest[nacion_la])</f>
        <v>Graecia</v>
      </c>
      <c r="N177" t="str">
        <f>_xlfn.XLOOKUP(frasest[[#This Row],[autor_es]],autorest[autor_es],autorest[epoca_es])</f>
        <v>Edad Antigua</v>
      </c>
      <c r="O177" t="str">
        <f>_xlfn.XLOOKUP(frasest[[#This Row],[autor_es]],autorest[autor_es],autorest[epoca_la])</f>
        <v>Antiquitas</v>
      </c>
    </row>
    <row r="178" spans="1:15">
      <c r="A178">
        <v>177</v>
      </c>
      <c r="B178" t="s">
        <v>542</v>
      </c>
      <c r="C178" t="s">
        <v>543</v>
      </c>
      <c r="D178" t="s">
        <v>544</v>
      </c>
      <c r="E178" t="s">
        <v>520</v>
      </c>
      <c r="F178" t="str">
        <f>_xlfn.XLOOKUP(frasest[[#This Row],[autor_es]],autorest[autor_es],autorest[autor_la])</f>
        <v>Pythagoras</v>
      </c>
      <c r="G178" t="str">
        <f>_xlfn.XLOOKUP(frasest[[#This Row],[autor_es]],autorest[autor_es],autorest[bio_es])</f>
        <v>Filósofo y matemático griego de Samos, fundador del pitagorismo. Propuso la inmortalidad del alma, la transmigración y el número como principio de la realidad.</v>
      </c>
      <c r="H178" t="str">
        <f>_xlfn.XLOOKUP(frasest[[#This Row],[autor_es]],autorest[autor_es],autorest[bio_la])</f>
        <v>Philosophus et mathematicus Graecus Samius, pythagorismi conditor. Immortalitatem animae, transmigrationem et numerum principium rerum proposuit.</v>
      </c>
      <c r="I178" t="str">
        <f>_xlfn.XLOOKUP(frasest[[#This Row],[autor_es]],autorest[autor_es],autorest[codigo])</f>
        <v>el</v>
      </c>
      <c r="J178" t="str">
        <f>_xlfn.XLOOKUP(frasest[[#This Row],[autor_es]],autorest[autor_es],autorest[idioma_es])</f>
        <v>Griego</v>
      </c>
      <c r="K178" t="str">
        <f>_xlfn.XLOOKUP(frasest[[#This Row],[autor_es]],autorest[autor_es],autorest[idioma_la])</f>
        <v>Lingua Graeca</v>
      </c>
      <c r="L178" t="str">
        <f>_xlfn.XLOOKUP(frasest[[#This Row],[autor_es]],autorest[autor_es],autorest[nacion_es])</f>
        <v>Grecia</v>
      </c>
      <c r="M178" t="str">
        <f>_xlfn.XLOOKUP(frasest[[#This Row],[autor_es]],autorest[autor_es],autorest[nacion_la])</f>
        <v>Graecia</v>
      </c>
      <c r="N178" t="str">
        <f>_xlfn.XLOOKUP(frasest[[#This Row],[autor_es]],autorest[autor_es],autorest[epoca_es])</f>
        <v>Edad Antigua</v>
      </c>
      <c r="O178" t="str">
        <f>_xlfn.XLOOKUP(frasest[[#This Row],[autor_es]],autorest[autor_es],autorest[epoca_la])</f>
        <v>Antiquitas</v>
      </c>
    </row>
    <row r="179" spans="1:15">
      <c r="A179">
        <v>178</v>
      </c>
      <c r="B179" t="s">
        <v>545</v>
      </c>
      <c r="C179" t="s">
        <v>546</v>
      </c>
      <c r="D179" t="s">
        <v>547</v>
      </c>
      <c r="E179" t="s">
        <v>520</v>
      </c>
      <c r="F179" t="str">
        <f>_xlfn.XLOOKUP(frasest[[#This Row],[autor_es]],autorest[autor_es],autorest[autor_la])</f>
        <v>Pythagoras</v>
      </c>
      <c r="G179" t="str">
        <f>_xlfn.XLOOKUP(frasest[[#This Row],[autor_es]],autorest[autor_es],autorest[bio_es])</f>
        <v>Filósofo y matemático griego de Samos, fundador del pitagorismo. Propuso la inmortalidad del alma, la transmigración y el número como principio de la realidad.</v>
      </c>
      <c r="H179" t="str">
        <f>_xlfn.XLOOKUP(frasest[[#This Row],[autor_es]],autorest[autor_es],autorest[bio_la])</f>
        <v>Philosophus et mathematicus Graecus Samius, pythagorismi conditor. Immortalitatem animae, transmigrationem et numerum principium rerum proposuit.</v>
      </c>
      <c r="I179" t="str">
        <f>_xlfn.XLOOKUP(frasest[[#This Row],[autor_es]],autorest[autor_es],autorest[codigo])</f>
        <v>el</v>
      </c>
      <c r="J179" t="str">
        <f>_xlfn.XLOOKUP(frasest[[#This Row],[autor_es]],autorest[autor_es],autorest[idioma_es])</f>
        <v>Griego</v>
      </c>
      <c r="K179" t="str">
        <f>_xlfn.XLOOKUP(frasest[[#This Row],[autor_es]],autorest[autor_es],autorest[idioma_la])</f>
        <v>Lingua Graeca</v>
      </c>
      <c r="L179" t="str">
        <f>_xlfn.XLOOKUP(frasest[[#This Row],[autor_es]],autorest[autor_es],autorest[nacion_es])</f>
        <v>Grecia</v>
      </c>
      <c r="M179" t="str">
        <f>_xlfn.XLOOKUP(frasest[[#This Row],[autor_es]],autorest[autor_es],autorest[nacion_la])</f>
        <v>Graecia</v>
      </c>
      <c r="N179" t="str">
        <f>_xlfn.XLOOKUP(frasest[[#This Row],[autor_es]],autorest[autor_es],autorest[epoca_es])</f>
        <v>Edad Antigua</v>
      </c>
      <c r="O179" t="str">
        <f>_xlfn.XLOOKUP(frasest[[#This Row],[autor_es]],autorest[autor_es],autorest[epoca_la])</f>
        <v>Antiquitas</v>
      </c>
    </row>
    <row r="180" spans="1:15">
      <c r="A180">
        <v>179</v>
      </c>
      <c r="B180" t="s">
        <v>548</v>
      </c>
      <c r="C180" t="s">
        <v>549</v>
      </c>
      <c r="D180" t="s">
        <v>550</v>
      </c>
      <c r="E180" t="s">
        <v>551</v>
      </c>
      <c r="F180" t="str">
        <f>_xlfn.XLOOKUP(frasest[[#This Row],[autor_es]],autorest[autor_es],autorest[autor_la])</f>
        <v>Heraclitus</v>
      </c>
      <c r="G180" t="str">
        <f>_xlfn.XLOOKUP(frasest[[#This Row],[autor_es]],autorest[autor_es],autorest[bio_es])</f>
        <v>Filósofo presocrático griego de Éfeso. Propuso el flujo perpetuo de la realidad (panta rhei) y el fuego como elemento primordial.</v>
      </c>
      <c r="H180" t="str">
        <f>_xlfn.XLOOKUP(frasest[[#This Row],[autor_es]],autorest[autor_es],autorest[bio_la])</f>
        <v>Philosophus Praesocraticus Graecus Ephesius. Fluxum perpetuum rerum (panta rhei) et ignem elementum primordiale proposuit.</v>
      </c>
      <c r="I180" t="str">
        <f>_xlfn.XLOOKUP(frasest[[#This Row],[autor_es]],autorest[autor_es],autorest[codigo])</f>
        <v>el</v>
      </c>
      <c r="J180" t="str">
        <f>_xlfn.XLOOKUP(frasest[[#This Row],[autor_es]],autorest[autor_es],autorest[idioma_es])</f>
        <v>Griego</v>
      </c>
      <c r="K180" t="str">
        <f>_xlfn.XLOOKUP(frasest[[#This Row],[autor_es]],autorest[autor_es],autorest[idioma_la])</f>
        <v>Lingua Graeca</v>
      </c>
      <c r="L180" t="str">
        <f>_xlfn.XLOOKUP(frasest[[#This Row],[autor_es]],autorest[autor_es],autorest[nacion_es])</f>
        <v>Grecia</v>
      </c>
      <c r="M180" t="str">
        <f>_xlfn.XLOOKUP(frasest[[#This Row],[autor_es]],autorest[autor_es],autorest[nacion_la])</f>
        <v>Graecia</v>
      </c>
      <c r="N180" t="str">
        <f>_xlfn.XLOOKUP(frasest[[#This Row],[autor_es]],autorest[autor_es],autorest[epoca_es])</f>
        <v>Edad Antigua</v>
      </c>
      <c r="O180" t="str">
        <f>_xlfn.XLOOKUP(frasest[[#This Row],[autor_es]],autorest[autor_es],autorest[epoca_la])</f>
        <v>Antiquitas</v>
      </c>
    </row>
    <row r="181" spans="1:15">
      <c r="A181">
        <v>180</v>
      </c>
      <c r="B181" t="s">
        <v>552</v>
      </c>
      <c r="C181" t="s">
        <v>553</v>
      </c>
      <c r="D181" t="s">
        <v>554</v>
      </c>
      <c r="E181" t="s">
        <v>551</v>
      </c>
      <c r="F181" t="str">
        <f>_xlfn.XLOOKUP(frasest[[#This Row],[autor_es]],autorest[autor_es],autorest[autor_la])</f>
        <v>Heraclitus</v>
      </c>
      <c r="G181" t="str">
        <f>_xlfn.XLOOKUP(frasest[[#This Row],[autor_es]],autorest[autor_es],autorest[bio_es])</f>
        <v>Filósofo presocrático griego de Éfeso. Propuso el flujo perpetuo de la realidad (panta rhei) y el fuego como elemento primordial.</v>
      </c>
      <c r="H181" t="str">
        <f>_xlfn.XLOOKUP(frasest[[#This Row],[autor_es]],autorest[autor_es],autorest[bio_la])</f>
        <v>Philosophus Praesocraticus Graecus Ephesius. Fluxum perpetuum rerum (panta rhei) et ignem elementum primordiale proposuit.</v>
      </c>
      <c r="I181" t="str">
        <f>_xlfn.XLOOKUP(frasest[[#This Row],[autor_es]],autorest[autor_es],autorest[codigo])</f>
        <v>el</v>
      </c>
      <c r="J181" t="str">
        <f>_xlfn.XLOOKUP(frasest[[#This Row],[autor_es]],autorest[autor_es],autorest[idioma_es])</f>
        <v>Griego</v>
      </c>
      <c r="K181" t="str">
        <f>_xlfn.XLOOKUP(frasest[[#This Row],[autor_es]],autorest[autor_es],autorest[idioma_la])</f>
        <v>Lingua Graeca</v>
      </c>
      <c r="L181" t="str">
        <f>_xlfn.XLOOKUP(frasest[[#This Row],[autor_es]],autorest[autor_es],autorest[nacion_es])</f>
        <v>Grecia</v>
      </c>
      <c r="M181" t="str">
        <f>_xlfn.XLOOKUP(frasest[[#This Row],[autor_es]],autorest[autor_es],autorest[nacion_la])</f>
        <v>Graecia</v>
      </c>
      <c r="N181" t="str">
        <f>_xlfn.XLOOKUP(frasest[[#This Row],[autor_es]],autorest[autor_es],autorest[epoca_es])</f>
        <v>Edad Antigua</v>
      </c>
      <c r="O181" t="str">
        <f>_xlfn.XLOOKUP(frasest[[#This Row],[autor_es]],autorest[autor_es],autorest[epoca_la])</f>
        <v>Antiquitas</v>
      </c>
    </row>
    <row r="182" spans="1:15">
      <c r="A182">
        <v>181</v>
      </c>
      <c r="B182" t="s">
        <v>555</v>
      </c>
      <c r="C182" t="s">
        <v>556</v>
      </c>
      <c r="D182" t="s">
        <v>557</v>
      </c>
      <c r="E182" t="s">
        <v>551</v>
      </c>
      <c r="F182" t="str">
        <f>_xlfn.XLOOKUP(frasest[[#This Row],[autor_es]],autorest[autor_es],autorest[autor_la])</f>
        <v>Heraclitus</v>
      </c>
      <c r="G182" t="str">
        <f>_xlfn.XLOOKUP(frasest[[#This Row],[autor_es]],autorest[autor_es],autorest[bio_es])</f>
        <v>Filósofo presocrático griego de Éfeso. Propuso el flujo perpetuo de la realidad (panta rhei) y el fuego como elemento primordial.</v>
      </c>
      <c r="H182" t="str">
        <f>_xlfn.XLOOKUP(frasest[[#This Row],[autor_es]],autorest[autor_es],autorest[bio_la])</f>
        <v>Philosophus Praesocraticus Graecus Ephesius. Fluxum perpetuum rerum (panta rhei) et ignem elementum primordiale proposuit.</v>
      </c>
      <c r="I182" t="str">
        <f>_xlfn.XLOOKUP(frasest[[#This Row],[autor_es]],autorest[autor_es],autorest[codigo])</f>
        <v>el</v>
      </c>
      <c r="J182" t="str">
        <f>_xlfn.XLOOKUP(frasest[[#This Row],[autor_es]],autorest[autor_es],autorest[idioma_es])</f>
        <v>Griego</v>
      </c>
      <c r="K182" t="str">
        <f>_xlfn.XLOOKUP(frasest[[#This Row],[autor_es]],autorest[autor_es],autorest[idioma_la])</f>
        <v>Lingua Graeca</v>
      </c>
      <c r="L182" t="str">
        <f>_xlfn.XLOOKUP(frasest[[#This Row],[autor_es]],autorest[autor_es],autorest[nacion_es])</f>
        <v>Grecia</v>
      </c>
      <c r="M182" t="str">
        <f>_xlfn.XLOOKUP(frasest[[#This Row],[autor_es]],autorest[autor_es],autorest[nacion_la])</f>
        <v>Graecia</v>
      </c>
      <c r="N182" t="str">
        <f>_xlfn.XLOOKUP(frasest[[#This Row],[autor_es]],autorest[autor_es],autorest[epoca_es])</f>
        <v>Edad Antigua</v>
      </c>
      <c r="O182" t="str">
        <f>_xlfn.XLOOKUP(frasest[[#This Row],[autor_es]],autorest[autor_es],autorest[epoca_la])</f>
        <v>Antiquitas</v>
      </c>
    </row>
    <row r="183" spans="1:15">
      <c r="A183">
        <v>182</v>
      </c>
      <c r="B183" t="s">
        <v>558</v>
      </c>
      <c r="C183" t="s">
        <v>559</v>
      </c>
      <c r="D183" t="s">
        <v>560</v>
      </c>
      <c r="E183" t="s">
        <v>551</v>
      </c>
      <c r="F183" t="str">
        <f>_xlfn.XLOOKUP(frasest[[#This Row],[autor_es]],autorest[autor_es],autorest[autor_la])</f>
        <v>Heraclitus</v>
      </c>
      <c r="G183" t="str">
        <f>_xlfn.XLOOKUP(frasest[[#This Row],[autor_es]],autorest[autor_es],autorest[bio_es])</f>
        <v>Filósofo presocrático griego de Éfeso. Propuso el flujo perpetuo de la realidad (panta rhei) y el fuego como elemento primordial.</v>
      </c>
      <c r="H183" t="str">
        <f>_xlfn.XLOOKUP(frasest[[#This Row],[autor_es]],autorest[autor_es],autorest[bio_la])</f>
        <v>Philosophus Praesocraticus Graecus Ephesius. Fluxum perpetuum rerum (panta rhei) et ignem elementum primordiale proposuit.</v>
      </c>
      <c r="I183" t="str">
        <f>_xlfn.XLOOKUP(frasest[[#This Row],[autor_es]],autorest[autor_es],autorest[codigo])</f>
        <v>el</v>
      </c>
      <c r="J183" t="str">
        <f>_xlfn.XLOOKUP(frasest[[#This Row],[autor_es]],autorest[autor_es],autorest[idioma_es])</f>
        <v>Griego</v>
      </c>
      <c r="K183" t="str">
        <f>_xlfn.XLOOKUP(frasest[[#This Row],[autor_es]],autorest[autor_es],autorest[idioma_la])</f>
        <v>Lingua Graeca</v>
      </c>
      <c r="L183" t="str">
        <f>_xlfn.XLOOKUP(frasest[[#This Row],[autor_es]],autorest[autor_es],autorest[nacion_es])</f>
        <v>Grecia</v>
      </c>
      <c r="M183" t="str">
        <f>_xlfn.XLOOKUP(frasest[[#This Row],[autor_es]],autorest[autor_es],autorest[nacion_la])</f>
        <v>Graecia</v>
      </c>
      <c r="N183" t="str">
        <f>_xlfn.XLOOKUP(frasest[[#This Row],[autor_es]],autorest[autor_es],autorest[epoca_es])</f>
        <v>Edad Antigua</v>
      </c>
      <c r="O183" t="str">
        <f>_xlfn.XLOOKUP(frasest[[#This Row],[autor_es]],autorest[autor_es],autorest[epoca_la])</f>
        <v>Antiquitas</v>
      </c>
    </row>
    <row r="184" spans="1:15">
      <c r="A184">
        <v>183</v>
      </c>
      <c r="B184" t="s">
        <v>561</v>
      </c>
      <c r="C184" t="s">
        <v>562</v>
      </c>
      <c r="D184" t="s">
        <v>563</v>
      </c>
      <c r="E184" t="s">
        <v>551</v>
      </c>
      <c r="F184" t="str">
        <f>_xlfn.XLOOKUP(frasest[[#This Row],[autor_es]],autorest[autor_es],autorest[autor_la])</f>
        <v>Heraclitus</v>
      </c>
      <c r="G184" t="str">
        <f>_xlfn.XLOOKUP(frasest[[#This Row],[autor_es]],autorest[autor_es],autorest[bio_es])</f>
        <v>Filósofo presocrático griego de Éfeso. Propuso el flujo perpetuo de la realidad (panta rhei) y el fuego como elemento primordial.</v>
      </c>
      <c r="H184" t="str">
        <f>_xlfn.XLOOKUP(frasest[[#This Row],[autor_es]],autorest[autor_es],autorest[bio_la])</f>
        <v>Philosophus Praesocraticus Graecus Ephesius. Fluxum perpetuum rerum (panta rhei) et ignem elementum primordiale proposuit.</v>
      </c>
      <c r="I184" t="str">
        <f>_xlfn.XLOOKUP(frasest[[#This Row],[autor_es]],autorest[autor_es],autorest[codigo])</f>
        <v>el</v>
      </c>
      <c r="J184" t="str">
        <f>_xlfn.XLOOKUP(frasest[[#This Row],[autor_es]],autorest[autor_es],autorest[idioma_es])</f>
        <v>Griego</v>
      </c>
      <c r="K184" t="str">
        <f>_xlfn.XLOOKUP(frasest[[#This Row],[autor_es]],autorest[autor_es],autorest[idioma_la])</f>
        <v>Lingua Graeca</v>
      </c>
      <c r="L184" t="str">
        <f>_xlfn.XLOOKUP(frasest[[#This Row],[autor_es]],autorest[autor_es],autorest[nacion_es])</f>
        <v>Grecia</v>
      </c>
      <c r="M184" t="str">
        <f>_xlfn.XLOOKUP(frasest[[#This Row],[autor_es]],autorest[autor_es],autorest[nacion_la])</f>
        <v>Graecia</v>
      </c>
      <c r="N184" t="str">
        <f>_xlfn.XLOOKUP(frasest[[#This Row],[autor_es]],autorest[autor_es],autorest[epoca_es])</f>
        <v>Edad Antigua</v>
      </c>
      <c r="O184" t="str">
        <f>_xlfn.XLOOKUP(frasest[[#This Row],[autor_es]],autorest[autor_es],autorest[epoca_la])</f>
        <v>Antiquitas</v>
      </c>
    </row>
    <row r="185" spans="1:15">
      <c r="A185">
        <v>184</v>
      </c>
      <c r="B185" t="s">
        <v>564</v>
      </c>
      <c r="C185" t="s">
        <v>565</v>
      </c>
      <c r="D185" t="s">
        <v>566</v>
      </c>
      <c r="E185" t="s">
        <v>551</v>
      </c>
      <c r="F185" t="str">
        <f>_xlfn.XLOOKUP(frasest[[#This Row],[autor_es]],autorest[autor_es],autorest[autor_la])</f>
        <v>Heraclitus</v>
      </c>
      <c r="G185" t="str">
        <f>_xlfn.XLOOKUP(frasest[[#This Row],[autor_es]],autorest[autor_es],autorest[bio_es])</f>
        <v>Filósofo presocrático griego de Éfeso. Propuso el flujo perpetuo de la realidad (panta rhei) y el fuego como elemento primordial.</v>
      </c>
      <c r="H185" t="str">
        <f>_xlfn.XLOOKUP(frasest[[#This Row],[autor_es]],autorest[autor_es],autorest[bio_la])</f>
        <v>Philosophus Praesocraticus Graecus Ephesius. Fluxum perpetuum rerum (panta rhei) et ignem elementum primordiale proposuit.</v>
      </c>
      <c r="I185" t="str">
        <f>_xlfn.XLOOKUP(frasest[[#This Row],[autor_es]],autorest[autor_es],autorest[codigo])</f>
        <v>el</v>
      </c>
      <c r="J185" t="str">
        <f>_xlfn.XLOOKUP(frasest[[#This Row],[autor_es]],autorest[autor_es],autorest[idioma_es])</f>
        <v>Griego</v>
      </c>
      <c r="K185" t="str">
        <f>_xlfn.XLOOKUP(frasest[[#This Row],[autor_es]],autorest[autor_es],autorest[idioma_la])</f>
        <v>Lingua Graeca</v>
      </c>
      <c r="L185" t="str">
        <f>_xlfn.XLOOKUP(frasest[[#This Row],[autor_es]],autorest[autor_es],autorest[nacion_es])</f>
        <v>Grecia</v>
      </c>
      <c r="M185" t="str">
        <f>_xlfn.XLOOKUP(frasest[[#This Row],[autor_es]],autorest[autor_es],autorest[nacion_la])</f>
        <v>Graecia</v>
      </c>
      <c r="N185" t="str">
        <f>_xlfn.XLOOKUP(frasest[[#This Row],[autor_es]],autorest[autor_es],autorest[epoca_es])</f>
        <v>Edad Antigua</v>
      </c>
      <c r="O185" t="str">
        <f>_xlfn.XLOOKUP(frasest[[#This Row],[autor_es]],autorest[autor_es],autorest[epoca_la])</f>
        <v>Antiquitas</v>
      </c>
    </row>
    <row r="186" spans="1:15">
      <c r="A186">
        <v>185</v>
      </c>
      <c r="B186" t="s">
        <v>567</v>
      </c>
      <c r="C186" t="s">
        <v>568</v>
      </c>
      <c r="D186" t="s">
        <v>569</v>
      </c>
      <c r="E186" t="s">
        <v>551</v>
      </c>
      <c r="F186" t="str">
        <f>_xlfn.XLOOKUP(frasest[[#This Row],[autor_es]],autorest[autor_es],autorest[autor_la])</f>
        <v>Heraclitus</v>
      </c>
      <c r="G186" t="str">
        <f>_xlfn.XLOOKUP(frasest[[#This Row],[autor_es]],autorest[autor_es],autorest[bio_es])</f>
        <v>Filósofo presocrático griego de Éfeso. Propuso el flujo perpetuo de la realidad (panta rhei) y el fuego como elemento primordial.</v>
      </c>
      <c r="H186" t="str">
        <f>_xlfn.XLOOKUP(frasest[[#This Row],[autor_es]],autorest[autor_es],autorest[bio_la])</f>
        <v>Philosophus Praesocraticus Graecus Ephesius. Fluxum perpetuum rerum (panta rhei) et ignem elementum primordiale proposuit.</v>
      </c>
      <c r="I186" t="str">
        <f>_xlfn.XLOOKUP(frasest[[#This Row],[autor_es]],autorest[autor_es],autorest[codigo])</f>
        <v>el</v>
      </c>
      <c r="J186" t="str">
        <f>_xlfn.XLOOKUP(frasest[[#This Row],[autor_es]],autorest[autor_es],autorest[idioma_es])</f>
        <v>Griego</v>
      </c>
      <c r="K186" t="str">
        <f>_xlfn.XLOOKUP(frasest[[#This Row],[autor_es]],autorest[autor_es],autorest[idioma_la])</f>
        <v>Lingua Graeca</v>
      </c>
      <c r="L186" t="str">
        <f>_xlfn.XLOOKUP(frasest[[#This Row],[autor_es]],autorest[autor_es],autorest[nacion_es])</f>
        <v>Grecia</v>
      </c>
      <c r="M186" t="str">
        <f>_xlfn.XLOOKUP(frasest[[#This Row],[autor_es]],autorest[autor_es],autorest[nacion_la])</f>
        <v>Graecia</v>
      </c>
      <c r="N186" t="str">
        <f>_xlfn.XLOOKUP(frasest[[#This Row],[autor_es]],autorest[autor_es],autorest[epoca_es])</f>
        <v>Edad Antigua</v>
      </c>
      <c r="O186" t="str">
        <f>_xlfn.XLOOKUP(frasest[[#This Row],[autor_es]],autorest[autor_es],autorest[epoca_la])</f>
        <v>Antiquitas</v>
      </c>
    </row>
    <row r="187" spans="1:15">
      <c r="A187">
        <v>186</v>
      </c>
      <c r="B187" t="s">
        <v>570</v>
      </c>
      <c r="C187" t="s">
        <v>571</v>
      </c>
      <c r="D187" t="s">
        <v>572</v>
      </c>
      <c r="E187" t="s">
        <v>551</v>
      </c>
      <c r="F187" t="str">
        <f>_xlfn.XLOOKUP(frasest[[#This Row],[autor_es]],autorest[autor_es],autorest[autor_la])</f>
        <v>Heraclitus</v>
      </c>
      <c r="G187" t="str">
        <f>_xlfn.XLOOKUP(frasest[[#This Row],[autor_es]],autorest[autor_es],autorest[bio_es])</f>
        <v>Filósofo presocrático griego de Éfeso. Propuso el flujo perpetuo de la realidad (panta rhei) y el fuego como elemento primordial.</v>
      </c>
      <c r="H187" t="str">
        <f>_xlfn.XLOOKUP(frasest[[#This Row],[autor_es]],autorest[autor_es],autorest[bio_la])</f>
        <v>Philosophus Praesocraticus Graecus Ephesius. Fluxum perpetuum rerum (panta rhei) et ignem elementum primordiale proposuit.</v>
      </c>
      <c r="I187" t="str">
        <f>_xlfn.XLOOKUP(frasest[[#This Row],[autor_es]],autorest[autor_es],autorest[codigo])</f>
        <v>el</v>
      </c>
      <c r="J187" t="str">
        <f>_xlfn.XLOOKUP(frasest[[#This Row],[autor_es]],autorest[autor_es],autorest[idioma_es])</f>
        <v>Griego</v>
      </c>
      <c r="K187" t="str">
        <f>_xlfn.XLOOKUP(frasest[[#This Row],[autor_es]],autorest[autor_es],autorest[idioma_la])</f>
        <v>Lingua Graeca</v>
      </c>
      <c r="L187" t="str">
        <f>_xlfn.XLOOKUP(frasest[[#This Row],[autor_es]],autorest[autor_es],autorest[nacion_es])</f>
        <v>Grecia</v>
      </c>
      <c r="M187" t="str">
        <f>_xlfn.XLOOKUP(frasest[[#This Row],[autor_es]],autorest[autor_es],autorest[nacion_la])</f>
        <v>Graecia</v>
      </c>
      <c r="N187" t="str">
        <f>_xlfn.XLOOKUP(frasest[[#This Row],[autor_es]],autorest[autor_es],autorest[epoca_es])</f>
        <v>Edad Antigua</v>
      </c>
      <c r="O187" t="str">
        <f>_xlfn.XLOOKUP(frasest[[#This Row],[autor_es]],autorest[autor_es],autorest[epoca_la])</f>
        <v>Antiquitas</v>
      </c>
    </row>
    <row r="188" spans="1:15">
      <c r="A188">
        <v>187</v>
      </c>
      <c r="B188" t="s">
        <v>573</v>
      </c>
      <c r="C188" t="s">
        <v>574</v>
      </c>
      <c r="D188" t="s">
        <v>575</v>
      </c>
      <c r="E188" t="s">
        <v>551</v>
      </c>
      <c r="F188" t="str">
        <f>_xlfn.XLOOKUP(frasest[[#This Row],[autor_es]],autorest[autor_es],autorest[autor_la])</f>
        <v>Heraclitus</v>
      </c>
      <c r="G188" t="str">
        <f>_xlfn.XLOOKUP(frasest[[#This Row],[autor_es]],autorest[autor_es],autorest[bio_es])</f>
        <v>Filósofo presocrático griego de Éfeso. Propuso el flujo perpetuo de la realidad (panta rhei) y el fuego como elemento primordial.</v>
      </c>
      <c r="H188" t="str">
        <f>_xlfn.XLOOKUP(frasest[[#This Row],[autor_es]],autorest[autor_es],autorest[bio_la])</f>
        <v>Philosophus Praesocraticus Graecus Ephesius. Fluxum perpetuum rerum (panta rhei) et ignem elementum primordiale proposuit.</v>
      </c>
      <c r="I188" t="str">
        <f>_xlfn.XLOOKUP(frasest[[#This Row],[autor_es]],autorest[autor_es],autorest[codigo])</f>
        <v>el</v>
      </c>
      <c r="J188" t="str">
        <f>_xlfn.XLOOKUP(frasest[[#This Row],[autor_es]],autorest[autor_es],autorest[idioma_es])</f>
        <v>Griego</v>
      </c>
      <c r="K188" t="str">
        <f>_xlfn.XLOOKUP(frasest[[#This Row],[autor_es]],autorest[autor_es],autorest[idioma_la])</f>
        <v>Lingua Graeca</v>
      </c>
      <c r="L188" t="str">
        <f>_xlfn.XLOOKUP(frasest[[#This Row],[autor_es]],autorest[autor_es],autorest[nacion_es])</f>
        <v>Grecia</v>
      </c>
      <c r="M188" t="str">
        <f>_xlfn.XLOOKUP(frasest[[#This Row],[autor_es]],autorest[autor_es],autorest[nacion_la])</f>
        <v>Graecia</v>
      </c>
      <c r="N188" t="str">
        <f>_xlfn.XLOOKUP(frasest[[#This Row],[autor_es]],autorest[autor_es],autorest[epoca_es])</f>
        <v>Edad Antigua</v>
      </c>
      <c r="O188" t="str">
        <f>_xlfn.XLOOKUP(frasest[[#This Row],[autor_es]],autorest[autor_es],autorest[epoca_la])</f>
        <v>Antiquitas</v>
      </c>
    </row>
    <row r="189" spans="1:15">
      <c r="A189">
        <v>188</v>
      </c>
      <c r="B189" t="s">
        <v>576</v>
      </c>
      <c r="C189" t="s">
        <v>577</v>
      </c>
      <c r="D189" t="s">
        <v>578</v>
      </c>
      <c r="E189" t="s">
        <v>551</v>
      </c>
      <c r="F189" t="str">
        <f>_xlfn.XLOOKUP(frasest[[#This Row],[autor_es]],autorest[autor_es],autorest[autor_la])</f>
        <v>Heraclitus</v>
      </c>
      <c r="G189" t="str">
        <f>_xlfn.XLOOKUP(frasest[[#This Row],[autor_es]],autorest[autor_es],autorest[bio_es])</f>
        <v>Filósofo presocrático griego de Éfeso. Propuso el flujo perpetuo de la realidad (panta rhei) y el fuego como elemento primordial.</v>
      </c>
      <c r="H189" t="str">
        <f>_xlfn.XLOOKUP(frasest[[#This Row],[autor_es]],autorest[autor_es],autorest[bio_la])</f>
        <v>Philosophus Praesocraticus Graecus Ephesius. Fluxum perpetuum rerum (panta rhei) et ignem elementum primordiale proposuit.</v>
      </c>
      <c r="I189" t="str">
        <f>_xlfn.XLOOKUP(frasest[[#This Row],[autor_es]],autorest[autor_es],autorest[codigo])</f>
        <v>el</v>
      </c>
      <c r="J189" t="str">
        <f>_xlfn.XLOOKUP(frasest[[#This Row],[autor_es]],autorest[autor_es],autorest[idioma_es])</f>
        <v>Griego</v>
      </c>
      <c r="K189" t="str">
        <f>_xlfn.XLOOKUP(frasest[[#This Row],[autor_es]],autorest[autor_es],autorest[idioma_la])</f>
        <v>Lingua Graeca</v>
      </c>
      <c r="L189" t="str">
        <f>_xlfn.XLOOKUP(frasest[[#This Row],[autor_es]],autorest[autor_es],autorest[nacion_es])</f>
        <v>Grecia</v>
      </c>
      <c r="M189" t="str">
        <f>_xlfn.XLOOKUP(frasest[[#This Row],[autor_es]],autorest[autor_es],autorest[nacion_la])</f>
        <v>Graecia</v>
      </c>
      <c r="N189" t="str">
        <f>_xlfn.XLOOKUP(frasest[[#This Row],[autor_es]],autorest[autor_es],autorest[epoca_es])</f>
        <v>Edad Antigua</v>
      </c>
      <c r="O189" t="str">
        <f>_xlfn.XLOOKUP(frasest[[#This Row],[autor_es]],autorest[autor_es],autorest[epoca_la])</f>
        <v>Antiquitas</v>
      </c>
    </row>
    <row r="190" spans="1:15">
      <c r="A190">
        <v>189</v>
      </c>
      <c r="B190" t="s">
        <v>579</v>
      </c>
      <c r="C190" t="s">
        <v>580</v>
      </c>
      <c r="D190" t="s">
        <v>581</v>
      </c>
      <c r="E190" t="s">
        <v>582</v>
      </c>
      <c r="F190" t="str">
        <f>_xlfn.XLOOKUP(frasest[[#This Row],[autor_es]],autorest[autor_es],autorest[autor_la])</f>
        <v>Socrates</v>
      </c>
      <c r="G190" t="str">
        <f>_xlfn.XLOOKUP(frasest[[#This Row],[autor_es]],autorest[autor_es],autorest[bio_es])</f>
        <v>Filósofo griego de Atenas, fundador de la filosofía moral occidental. Maestro de Platón, desarrolló el método mayéutico. Fue condenado a muerte por impiedad.</v>
      </c>
      <c r="H190" t="str">
        <f>_xlfn.XLOOKUP(frasest[[#This Row],[autor_es]],autorest[autor_es],autorest[bio_la])</f>
        <v>Philosophus Graecus Atheniensis, philosophiae moralis Occidentalis conditor. Magister Platonis, methodum maieuticam elaboravit. Morte damnatus propter impietatem.</v>
      </c>
      <c r="I190" t="str">
        <f>_xlfn.XLOOKUP(frasest[[#This Row],[autor_es]],autorest[autor_es],autorest[codigo])</f>
        <v>el</v>
      </c>
      <c r="J190" t="str">
        <f>_xlfn.XLOOKUP(frasest[[#This Row],[autor_es]],autorest[autor_es],autorest[idioma_es])</f>
        <v>Griego</v>
      </c>
      <c r="K190" t="str">
        <f>_xlfn.XLOOKUP(frasest[[#This Row],[autor_es]],autorest[autor_es],autorest[idioma_la])</f>
        <v>Lingua Graeca</v>
      </c>
      <c r="L190" t="str">
        <f>_xlfn.XLOOKUP(frasest[[#This Row],[autor_es]],autorest[autor_es],autorest[nacion_es])</f>
        <v>Grecia</v>
      </c>
      <c r="M190" t="str">
        <f>_xlfn.XLOOKUP(frasest[[#This Row],[autor_es]],autorest[autor_es],autorest[nacion_la])</f>
        <v>Graecia</v>
      </c>
      <c r="N190" t="str">
        <f>_xlfn.XLOOKUP(frasest[[#This Row],[autor_es]],autorest[autor_es],autorest[epoca_es])</f>
        <v>Edad Antigua</v>
      </c>
      <c r="O190" t="str">
        <f>_xlfn.XLOOKUP(frasest[[#This Row],[autor_es]],autorest[autor_es],autorest[epoca_la])</f>
        <v>Antiquitas</v>
      </c>
    </row>
    <row r="191" spans="1:15">
      <c r="A191">
        <v>190</v>
      </c>
      <c r="B191" t="s">
        <v>387</v>
      </c>
      <c r="C191" t="s">
        <v>583</v>
      </c>
      <c r="D191" t="s">
        <v>584</v>
      </c>
      <c r="E191" t="s">
        <v>582</v>
      </c>
      <c r="F191" t="str">
        <f>_xlfn.XLOOKUP(frasest[[#This Row],[autor_es]],autorest[autor_es],autorest[autor_la])</f>
        <v>Socrates</v>
      </c>
      <c r="G191" t="str">
        <f>_xlfn.XLOOKUP(frasest[[#This Row],[autor_es]],autorest[autor_es],autorest[bio_es])</f>
        <v>Filósofo griego de Atenas, fundador de la filosofía moral occidental. Maestro de Platón, desarrolló el método mayéutico. Fue condenado a muerte por impiedad.</v>
      </c>
      <c r="H191" t="str">
        <f>_xlfn.XLOOKUP(frasest[[#This Row],[autor_es]],autorest[autor_es],autorest[bio_la])</f>
        <v>Philosophus Graecus Atheniensis, philosophiae moralis Occidentalis conditor. Magister Platonis, methodum maieuticam elaboravit. Morte damnatus propter impietatem.</v>
      </c>
      <c r="I191" t="str">
        <f>_xlfn.XLOOKUP(frasest[[#This Row],[autor_es]],autorest[autor_es],autorest[codigo])</f>
        <v>el</v>
      </c>
      <c r="J191" t="str">
        <f>_xlfn.XLOOKUP(frasest[[#This Row],[autor_es]],autorest[autor_es],autorest[idioma_es])</f>
        <v>Griego</v>
      </c>
      <c r="K191" t="str">
        <f>_xlfn.XLOOKUP(frasest[[#This Row],[autor_es]],autorest[autor_es],autorest[idioma_la])</f>
        <v>Lingua Graeca</v>
      </c>
      <c r="L191" t="str">
        <f>_xlfn.XLOOKUP(frasest[[#This Row],[autor_es]],autorest[autor_es],autorest[nacion_es])</f>
        <v>Grecia</v>
      </c>
      <c r="M191" t="str">
        <f>_xlfn.XLOOKUP(frasest[[#This Row],[autor_es]],autorest[autor_es],autorest[nacion_la])</f>
        <v>Graecia</v>
      </c>
      <c r="N191" t="str">
        <f>_xlfn.XLOOKUP(frasest[[#This Row],[autor_es]],autorest[autor_es],autorest[epoca_es])</f>
        <v>Edad Antigua</v>
      </c>
      <c r="O191" t="str">
        <f>_xlfn.XLOOKUP(frasest[[#This Row],[autor_es]],autorest[autor_es],autorest[epoca_la])</f>
        <v>Antiquitas</v>
      </c>
    </row>
    <row r="192" spans="1:15">
      <c r="A192">
        <v>191</v>
      </c>
      <c r="B192" t="s">
        <v>585</v>
      </c>
      <c r="C192" t="s">
        <v>586</v>
      </c>
      <c r="D192" t="s">
        <v>587</v>
      </c>
      <c r="E192" t="s">
        <v>582</v>
      </c>
      <c r="F192" t="str">
        <f>_xlfn.XLOOKUP(frasest[[#This Row],[autor_es]],autorest[autor_es],autorest[autor_la])</f>
        <v>Socrates</v>
      </c>
      <c r="G192" t="str">
        <f>_xlfn.XLOOKUP(frasest[[#This Row],[autor_es]],autorest[autor_es],autorest[bio_es])</f>
        <v>Filósofo griego de Atenas, fundador de la filosofía moral occidental. Maestro de Platón, desarrolló el método mayéutico. Fue condenado a muerte por impiedad.</v>
      </c>
      <c r="H192" t="str">
        <f>_xlfn.XLOOKUP(frasest[[#This Row],[autor_es]],autorest[autor_es],autorest[bio_la])</f>
        <v>Philosophus Graecus Atheniensis, philosophiae moralis Occidentalis conditor. Magister Platonis, methodum maieuticam elaboravit. Morte damnatus propter impietatem.</v>
      </c>
      <c r="I192" t="str">
        <f>_xlfn.XLOOKUP(frasest[[#This Row],[autor_es]],autorest[autor_es],autorest[codigo])</f>
        <v>el</v>
      </c>
      <c r="J192" t="str">
        <f>_xlfn.XLOOKUP(frasest[[#This Row],[autor_es]],autorest[autor_es],autorest[idioma_es])</f>
        <v>Griego</v>
      </c>
      <c r="K192" t="str">
        <f>_xlfn.XLOOKUP(frasest[[#This Row],[autor_es]],autorest[autor_es],autorest[idioma_la])</f>
        <v>Lingua Graeca</v>
      </c>
      <c r="L192" t="str">
        <f>_xlfn.XLOOKUP(frasest[[#This Row],[autor_es]],autorest[autor_es],autorest[nacion_es])</f>
        <v>Grecia</v>
      </c>
      <c r="M192" t="str">
        <f>_xlfn.XLOOKUP(frasest[[#This Row],[autor_es]],autorest[autor_es],autorest[nacion_la])</f>
        <v>Graecia</v>
      </c>
      <c r="N192" t="str">
        <f>_xlfn.XLOOKUP(frasest[[#This Row],[autor_es]],autorest[autor_es],autorest[epoca_es])</f>
        <v>Edad Antigua</v>
      </c>
      <c r="O192" t="str">
        <f>_xlfn.XLOOKUP(frasest[[#This Row],[autor_es]],autorest[autor_es],autorest[epoca_la])</f>
        <v>Antiquitas</v>
      </c>
    </row>
    <row r="193" spans="1:15">
      <c r="A193">
        <v>192</v>
      </c>
      <c r="B193" t="s">
        <v>588</v>
      </c>
      <c r="C193" t="s">
        <v>589</v>
      </c>
      <c r="D193" t="s">
        <v>590</v>
      </c>
      <c r="E193" t="s">
        <v>582</v>
      </c>
      <c r="F193" t="str">
        <f>_xlfn.XLOOKUP(frasest[[#This Row],[autor_es]],autorest[autor_es],autorest[autor_la])</f>
        <v>Socrates</v>
      </c>
      <c r="G193" t="str">
        <f>_xlfn.XLOOKUP(frasest[[#This Row],[autor_es]],autorest[autor_es],autorest[bio_es])</f>
        <v>Filósofo griego de Atenas, fundador de la filosofía moral occidental. Maestro de Platón, desarrolló el método mayéutico. Fue condenado a muerte por impiedad.</v>
      </c>
      <c r="H193" t="str">
        <f>_xlfn.XLOOKUP(frasest[[#This Row],[autor_es]],autorest[autor_es],autorest[bio_la])</f>
        <v>Philosophus Graecus Atheniensis, philosophiae moralis Occidentalis conditor. Magister Platonis, methodum maieuticam elaboravit. Morte damnatus propter impietatem.</v>
      </c>
      <c r="I193" t="str">
        <f>_xlfn.XLOOKUP(frasest[[#This Row],[autor_es]],autorest[autor_es],autorest[codigo])</f>
        <v>el</v>
      </c>
      <c r="J193" t="str">
        <f>_xlfn.XLOOKUP(frasest[[#This Row],[autor_es]],autorest[autor_es],autorest[idioma_es])</f>
        <v>Griego</v>
      </c>
      <c r="K193" t="str">
        <f>_xlfn.XLOOKUP(frasest[[#This Row],[autor_es]],autorest[autor_es],autorest[idioma_la])</f>
        <v>Lingua Graeca</v>
      </c>
      <c r="L193" t="str">
        <f>_xlfn.XLOOKUP(frasest[[#This Row],[autor_es]],autorest[autor_es],autorest[nacion_es])</f>
        <v>Grecia</v>
      </c>
      <c r="M193" t="str">
        <f>_xlfn.XLOOKUP(frasest[[#This Row],[autor_es]],autorest[autor_es],autorest[nacion_la])</f>
        <v>Graecia</v>
      </c>
      <c r="N193" t="str">
        <f>_xlfn.XLOOKUP(frasest[[#This Row],[autor_es]],autorest[autor_es],autorest[epoca_es])</f>
        <v>Edad Antigua</v>
      </c>
      <c r="O193" t="str">
        <f>_xlfn.XLOOKUP(frasest[[#This Row],[autor_es]],autorest[autor_es],autorest[epoca_la])</f>
        <v>Antiquitas</v>
      </c>
    </row>
    <row r="194" spans="1:15">
      <c r="A194">
        <v>193</v>
      </c>
      <c r="B194" t="s">
        <v>591</v>
      </c>
      <c r="C194" t="s">
        <v>592</v>
      </c>
      <c r="D194" t="s">
        <v>593</v>
      </c>
      <c r="E194" t="s">
        <v>582</v>
      </c>
      <c r="F194" t="str">
        <f>_xlfn.XLOOKUP(frasest[[#This Row],[autor_es]],autorest[autor_es],autorest[autor_la])</f>
        <v>Socrates</v>
      </c>
      <c r="G194" t="str">
        <f>_xlfn.XLOOKUP(frasest[[#This Row],[autor_es]],autorest[autor_es],autorest[bio_es])</f>
        <v>Filósofo griego de Atenas, fundador de la filosofía moral occidental. Maestro de Platón, desarrolló el método mayéutico. Fue condenado a muerte por impiedad.</v>
      </c>
      <c r="H194" t="str">
        <f>_xlfn.XLOOKUP(frasest[[#This Row],[autor_es]],autorest[autor_es],autorest[bio_la])</f>
        <v>Philosophus Graecus Atheniensis, philosophiae moralis Occidentalis conditor. Magister Platonis, methodum maieuticam elaboravit. Morte damnatus propter impietatem.</v>
      </c>
      <c r="I194" t="str">
        <f>_xlfn.XLOOKUP(frasest[[#This Row],[autor_es]],autorest[autor_es],autorest[codigo])</f>
        <v>el</v>
      </c>
      <c r="J194" t="str">
        <f>_xlfn.XLOOKUP(frasest[[#This Row],[autor_es]],autorest[autor_es],autorest[idioma_es])</f>
        <v>Griego</v>
      </c>
      <c r="K194" t="str">
        <f>_xlfn.XLOOKUP(frasest[[#This Row],[autor_es]],autorest[autor_es],autorest[idioma_la])</f>
        <v>Lingua Graeca</v>
      </c>
      <c r="L194" t="str">
        <f>_xlfn.XLOOKUP(frasest[[#This Row],[autor_es]],autorest[autor_es],autorest[nacion_es])</f>
        <v>Grecia</v>
      </c>
      <c r="M194" t="str">
        <f>_xlfn.XLOOKUP(frasest[[#This Row],[autor_es]],autorest[autor_es],autorest[nacion_la])</f>
        <v>Graecia</v>
      </c>
      <c r="N194" t="str">
        <f>_xlfn.XLOOKUP(frasest[[#This Row],[autor_es]],autorest[autor_es],autorest[epoca_es])</f>
        <v>Edad Antigua</v>
      </c>
      <c r="O194" t="str">
        <f>_xlfn.XLOOKUP(frasest[[#This Row],[autor_es]],autorest[autor_es],autorest[epoca_la])</f>
        <v>Antiquitas</v>
      </c>
    </row>
    <row r="195" spans="1:15">
      <c r="A195">
        <v>194</v>
      </c>
      <c r="B195" t="s">
        <v>594</v>
      </c>
      <c r="C195" t="s">
        <v>595</v>
      </c>
      <c r="D195" t="s">
        <v>596</v>
      </c>
      <c r="E195" t="s">
        <v>582</v>
      </c>
      <c r="F195" t="str">
        <f>_xlfn.XLOOKUP(frasest[[#This Row],[autor_es]],autorest[autor_es],autorest[autor_la])</f>
        <v>Socrates</v>
      </c>
      <c r="G195" t="str">
        <f>_xlfn.XLOOKUP(frasest[[#This Row],[autor_es]],autorest[autor_es],autorest[bio_es])</f>
        <v>Filósofo griego de Atenas, fundador de la filosofía moral occidental. Maestro de Platón, desarrolló el método mayéutico. Fue condenado a muerte por impiedad.</v>
      </c>
      <c r="H195" t="str">
        <f>_xlfn.XLOOKUP(frasest[[#This Row],[autor_es]],autorest[autor_es],autorest[bio_la])</f>
        <v>Philosophus Graecus Atheniensis, philosophiae moralis Occidentalis conditor. Magister Platonis, methodum maieuticam elaboravit. Morte damnatus propter impietatem.</v>
      </c>
      <c r="I195" t="str">
        <f>_xlfn.XLOOKUP(frasest[[#This Row],[autor_es]],autorest[autor_es],autorest[codigo])</f>
        <v>el</v>
      </c>
      <c r="J195" t="str">
        <f>_xlfn.XLOOKUP(frasest[[#This Row],[autor_es]],autorest[autor_es],autorest[idioma_es])</f>
        <v>Griego</v>
      </c>
      <c r="K195" t="str">
        <f>_xlfn.XLOOKUP(frasest[[#This Row],[autor_es]],autorest[autor_es],autorest[idioma_la])</f>
        <v>Lingua Graeca</v>
      </c>
      <c r="L195" t="str">
        <f>_xlfn.XLOOKUP(frasest[[#This Row],[autor_es]],autorest[autor_es],autorest[nacion_es])</f>
        <v>Grecia</v>
      </c>
      <c r="M195" t="str">
        <f>_xlfn.XLOOKUP(frasest[[#This Row],[autor_es]],autorest[autor_es],autorest[nacion_la])</f>
        <v>Graecia</v>
      </c>
      <c r="N195" t="str">
        <f>_xlfn.XLOOKUP(frasest[[#This Row],[autor_es]],autorest[autor_es],autorest[epoca_es])</f>
        <v>Edad Antigua</v>
      </c>
      <c r="O195" t="str">
        <f>_xlfn.XLOOKUP(frasest[[#This Row],[autor_es]],autorest[autor_es],autorest[epoca_la])</f>
        <v>Antiquitas</v>
      </c>
    </row>
    <row r="196" spans="1:15">
      <c r="A196">
        <v>195</v>
      </c>
      <c r="B196" t="s">
        <v>393</v>
      </c>
      <c r="C196" t="s">
        <v>597</v>
      </c>
      <c r="D196" t="s">
        <v>598</v>
      </c>
      <c r="E196" t="s">
        <v>582</v>
      </c>
      <c r="F196" t="str">
        <f>_xlfn.XLOOKUP(frasest[[#This Row],[autor_es]],autorest[autor_es],autorest[autor_la])</f>
        <v>Socrates</v>
      </c>
      <c r="G196" t="str">
        <f>_xlfn.XLOOKUP(frasest[[#This Row],[autor_es]],autorest[autor_es],autorest[bio_es])</f>
        <v>Filósofo griego de Atenas, fundador de la filosofía moral occidental. Maestro de Platón, desarrolló el método mayéutico. Fue condenado a muerte por impiedad.</v>
      </c>
      <c r="H196" t="str">
        <f>_xlfn.XLOOKUP(frasest[[#This Row],[autor_es]],autorest[autor_es],autorest[bio_la])</f>
        <v>Philosophus Graecus Atheniensis, philosophiae moralis Occidentalis conditor. Magister Platonis, methodum maieuticam elaboravit. Morte damnatus propter impietatem.</v>
      </c>
      <c r="I196" t="str">
        <f>_xlfn.XLOOKUP(frasest[[#This Row],[autor_es]],autorest[autor_es],autorest[codigo])</f>
        <v>el</v>
      </c>
      <c r="J196" t="str">
        <f>_xlfn.XLOOKUP(frasest[[#This Row],[autor_es]],autorest[autor_es],autorest[idioma_es])</f>
        <v>Griego</v>
      </c>
      <c r="K196" t="str">
        <f>_xlfn.XLOOKUP(frasest[[#This Row],[autor_es]],autorest[autor_es],autorest[idioma_la])</f>
        <v>Lingua Graeca</v>
      </c>
      <c r="L196" t="str">
        <f>_xlfn.XLOOKUP(frasest[[#This Row],[autor_es]],autorest[autor_es],autorest[nacion_es])</f>
        <v>Grecia</v>
      </c>
      <c r="M196" t="str">
        <f>_xlfn.XLOOKUP(frasest[[#This Row],[autor_es]],autorest[autor_es],autorest[nacion_la])</f>
        <v>Graecia</v>
      </c>
      <c r="N196" t="str">
        <f>_xlfn.XLOOKUP(frasest[[#This Row],[autor_es]],autorest[autor_es],autorest[epoca_es])</f>
        <v>Edad Antigua</v>
      </c>
      <c r="O196" t="str">
        <f>_xlfn.XLOOKUP(frasest[[#This Row],[autor_es]],autorest[autor_es],autorest[epoca_la])</f>
        <v>Antiquitas</v>
      </c>
    </row>
    <row r="197" spans="1:15">
      <c r="A197">
        <v>196</v>
      </c>
      <c r="B197" t="s">
        <v>599</v>
      </c>
      <c r="C197" t="s">
        <v>600</v>
      </c>
      <c r="D197" t="s">
        <v>601</v>
      </c>
      <c r="E197" t="s">
        <v>582</v>
      </c>
      <c r="F197" t="str">
        <f>_xlfn.XLOOKUP(frasest[[#This Row],[autor_es]],autorest[autor_es],autorest[autor_la])</f>
        <v>Socrates</v>
      </c>
      <c r="G197" t="str">
        <f>_xlfn.XLOOKUP(frasest[[#This Row],[autor_es]],autorest[autor_es],autorest[bio_es])</f>
        <v>Filósofo griego de Atenas, fundador de la filosofía moral occidental. Maestro de Platón, desarrolló el método mayéutico. Fue condenado a muerte por impiedad.</v>
      </c>
      <c r="H197" t="str">
        <f>_xlfn.XLOOKUP(frasest[[#This Row],[autor_es]],autorest[autor_es],autorest[bio_la])</f>
        <v>Philosophus Graecus Atheniensis, philosophiae moralis Occidentalis conditor. Magister Platonis, methodum maieuticam elaboravit. Morte damnatus propter impietatem.</v>
      </c>
      <c r="I197" t="str">
        <f>_xlfn.XLOOKUP(frasest[[#This Row],[autor_es]],autorest[autor_es],autorest[codigo])</f>
        <v>el</v>
      </c>
      <c r="J197" t="str">
        <f>_xlfn.XLOOKUP(frasest[[#This Row],[autor_es]],autorest[autor_es],autorest[idioma_es])</f>
        <v>Griego</v>
      </c>
      <c r="K197" t="str">
        <f>_xlfn.XLOOKUP(frasest[[#This Row],[autor_es]],autorest[autor_es],autorest[idioma_la])</f>
        <v>Lingua Graeca</v>
      </c>
      <c r="L197" t="str">
        <f>_xlfn.XLOOKUP(frasest[[#This Row],[autor_es]],autorest[autor_es],autorest[nacion_es])</f>
        <v>Grecia</v>
      </c>
      <c r="M197" t="str">
        <f>_xlfn.XLOOKUP(frasest[[#This Row],[autor_es]],autorest[autor_es],autorest[nacion_la])</f>
        <v>Graecia</v>
      </c>
      <c r="N197" t="str">
        <f>_xlfn.XLOOKUP(frasest[[#This Row],[autor_es]],autorest[autor_es],autorest[epoca_es])</f>
        <v>Edad Antigua</v>
      </c>
      <c r="O197" t="str">
        <f>_xlfn.XLOOKUP(frasest[[#This Row],[autor_es]],autorest[autor_es],autorest[epoca_la])</f>
        <v>Antiquitas</v>
      </c>
    </row>
    <row r="198" spans="1:15">
      <c r="A198">
        <v>197</v>
      </c>
      <c r="B198" t="s">
        <v>602</v>
      </c>
      <c r="C198" t="s">
        <v>603</v>
      </c>
      <c r="D198" t="s">
        <v>604</v>
      </c>
      <c r="E198" t="s">
        <v>582</v>
      </c>
      <c r="F198" t="str">
        <f>_xlfn.XLOOKUP(frasest[[#This Row],[autor_es]],autorest[autor_es],autorest[autor_la])</f>
        <v>Socrates</v>
      </c>
      <c r="G198" t="str">
        <f>_xlfn.XLOOKUP(frasest[[#This Row],[autor_es]],autorest[autor_es],autorest[bio_es])</f>
        <v>Filósofo griego de Atenas, fundador de la filosofía moral occidental. Maestro de Platón, desarrolló el método mayéutico. Fue condenado a muerte por impiedad.</v>
      </c>
      <c r="H198" t="str">
        <f>_xlfn.XLOOKUP(frasest[[#This Row],[autor_es]],autorest[autor_es],autorest[bio_la])</f>
        <v>Philosophus Graecus Atheniensis, philosophiae moralis Occidentalis conditor. Magister Platonis, methodum maieuticam elaboravit. Morte damnatus propter impietatem.</v>
      </c>
      <c r="I198" t="str">
        <f>_xlfn.XLOOKUP(frasest[[#This Row],[autor_es]],autorest[autor_es],autorest[codigo])</f>
        <v>el</v>
      </c>
      <c r="J198" t="str">
        <f>_xlfn.XLOOKUP(frasest[[#This Row],[autor_es]],autorest[autor_es],autorest[idioma_es])</f>
        <v>Griego</v>
      </c>
      <c r="K198" t="str">
        <f>_xlfn.XLOOKUP(frasest[[#This Row],[autor_es]],autorest[autor_es],autorest[idioma_la])</f>
        <v>Lingua Graeca</v>
      </c>
      <c r="L198" t="str">
        <f>_xlfn.XLOOKUP(frasest[[#This Row],[autor_es]],autorest[autor_es],autorest[nacion_es])</f>
        <v>Grecia</v>
      </c>
      <c r="M198" t="str">
        <f>_xlfn.XLOOKUP(frasest[[#This Row],[autor_es]],autorest[autor_es],autorest[nacion_la])</f>
        <v>Graecia</v>
      </c>
      <c r="N198" t="str">
        <f>_xlfn.XLOOKUP(frasest[[#This Row],[autor_es]],autorest[autor_es],autorest[epoca_es])</f>
        <v>Edad Antigua</v>
      </c>
      <c r="O198" t="str">
        <f>_xlfn.XLOOKUP(frasest[[#This Row],[autor_es]],autorest[autor_es],autorest[epoca_la])</f>
        <v>Antiquitas</v>
      </c>
    </row>
    <row r="199" spans="1:15">
      <c r="A199">
        <v>198</v>
      </c>
      <c r="B199" t="s">
        <v>605</v>
      </c>
      <c r="C199" t="s">
        <v>606</v>
      </c>
      <c r="D199" t="s">
        <v>607</v>
      </c>
      <c r="E199" t="s">
        <v>582</v>
      </c>
      <c r="F199" t="str">
        <f>_xlfn.XLOOKUP(frasest[[#This Row],[autor_es]],autorest[autor_es],autorest[autor_la])</f>
        <v>Socrates</v>
      </c>
      <c r="G199" t="str">
        <f>_xlfn.XLOOKUP(frasest[[#This Row],[autor_es]],autorest[autor_es],autorest[bio_es])</f>
        <v>Filósofo griego de Atenas, fundador de la filosofía moral occidental. Maestro de Platón, desarrolló el método mayéutico. Fue condenado a muerte por impiedad.</v>
      </c>
      <c r="H199" t="str">
        <f>_xlfn.XLOOKUP(frasest[[#This Row],[autor_es]],autorest[autor_es],autorest[bio_la])</f>
        <v>Philosophus Graecus Atheniensis, philosophiae moralis Occidentalis conditor. Magister Platonis, methodum maieuticam elaboravit. Morte damnatus propter impietatem.</v>
      </c>
      <c r="I199" t="str">
        <f>_xlfn.XLOOKUP(frasest[[#This Row],[autor_es]],autorest[autor_es],autorest[codigo])</f>
        <v>el</v>
      </c>
      <c r="J199" t="str">
        <f>_xlfn.XLOOKUP(frasest[[#This Row],[autor_es]],autorest[autor_es],autorest[idioma_es])</f>
        <v>Griego</v>
      </c>
      <c r="K199" t="str">
        <f>_xlfn.XLOOKUP(frasest[[#This Row],[autor_es]],autorest[autor_es],autorest[idioma_la])</f>
        <v>Lingua Graeca</v>
      </c>
      <c r="L199" t="str">
        <f>_xlfn.XLOOKUP(frasest[[#This Row],[autor_es]],autorest[autor_es],autorest[nacion_es])</f>
        <v>Grecia</v>
      </c>
      <c r="M199" t="str">
        <f>_xlfn.XLOOKUP(frasest[[#This Row],[autor_es]],autorest[autor_es],autorest[nacion_la])</f>
        <v>Graecia</v>
      </c>
      <c r="N199" t="str">
        <f>_xlfn.XLOOKUP(frasest[[#This Row],[autor_es]],autorest[autor_es],autorest[epoca_es])</f>
        <v>Edad Antigua</v>
      </c>
      <c r="O199" t="str">
        <f>_xlfn.XLOOKUP(frasest[[#This Row],[autor_es]],autorest[autor_es],autorest[epoca_la])</f>
        <v>Antiquitas</v>
      </c>
    </row>
    <row r="200" spans="1:15">
      <c r="A200">
        <v>199</v>
      </c>
      <c r="B200" t="s">
        <v>608</v>
      </c>
      <c r="C200" t="s">
        <v>609</v>
      </c>
      <c r="D200" t="s">
        <v>610</v>
      </c>
      <c r="E200" t="s">
        <v>611</v>
      </c>
      <c r="F200" t="str">
        <f>_xlfn.XLOOKUP(frasest[[#This Row],[autor_es]],autorest[autor_es],autorest[autor_la])</f>
        <v>Democritus</v>
      </c>
      <c r="G200" t="str">
        <f>_xlfn.XLOOKUP(frasest[[#This Row],[autor_es]],autorest[autor_es],autorest[bio_es])</f>
        <v>Filósofo griego de Abdera, fundador del atomismo junto a Leucipo. Propuso que el universo está compuesto por átomos indivisibles en el vacío.</v>
      </c>
      <c r="H200" t="str">
        <f>_xlfn.XLOOKUP(frasest[[#This Row],[autor_es]],autorest[autor_es],autorest[bio_la])</f>
        <v>Philosophus Graecus Abderita, atomismi conditor cum Leucippo. Universum ex atomis indivisibilibus in vacuo compositum proposuit.</v>
      </c>
      <c r="I200" t="str">
        <f>_xlfn.XLOOKUP(frasest[[#This Row],[autor_es]],autorest[autor_es],autorest[codigo])</f>
        <v>el</v>
      </c>
      <c r="J200" t="str">
        <f>_xlfn.XLOOKUP(frasest[[#This Row],[autor_es]],autorest[autor_es],autorest[idioma_es])</f>
        <v>Griego</v>
      </c>
      <c r="K200" t="str">
        <f>_xlfn.XLOOKUP(frasest[[#This Row],[autor_es]],autorest[autor_es],autorest[idioma_la])</f>
        <v>Lingua Graeca</v>
      </c>
      <c r="L200" t="str">
        <f>_xlfn.XLOOKUP(frasest[[#This Row],[autor_es]],autorest[autor_es],autorest[nacion_es])</f>
        <v>Grecia</v>
      </c>
      <c r="M200" t="str">
        <f>_xlfn.XLOOKUP(frasest[[#This Row],[autor_es]],autorest[autor_es],autorest[nacion_la])</f>
        <v>Graecia</v>
      </c>
      <c r="N200" t="str">
        <f>_xlfn.XLOOKUP(frasest[[#This Row],[autor_es]],autorest[autor_es],autorest[epoca_es])</f>
        <v>Edad Antigua</v>
      </c>
      <c r="O200" t="str">
        <f>_xlfn.XLOOKUP(frasest[[#This Row],[autor_es]],autorest[autor_es],autorest[epoca_la])</f>
        <v>Antiquitas</v>
      </c>
    </row>
    <row r="201" spans="1:15">
      <c r="A201">
        <v>200</v>
      </c>
      <c r="B201" t="s">
        <v>612</v>
      </c>
      <c r="C201" t="s">
        <v>613</v>
      </c>
      <c r="D201" t="s">
        <v>614</v>
      </c>
      <c r="E201" t="s">
        <v>611</v>
      </c>
      <c r="F201" t="str">
        <f>_xlfn.XLOOKUP(frasest[[#This Row],[autor_es]],autorest[autor_es],autorest[autor_la])</f>
        <v>Democritus</v>
      </c>
      <c r="G201" t="str">
        <f>_xlfn.XLOOKUP(frasest[[#This Row],[autor_es]],autorest[autor_es],autorest[bio_es])</f>
        <v>Filósofo griego de Abdera, fundador del atomismo junto a Leucipo. Propuso que el universo está compuesto por átomos indivisibles en el vacío.</v>
      </c>
      <c r="H201" t="str">
        <f>_xlfn.XLOOKUP(frasest[[#This Row],[autor_es]],autorest[autor_es],autorest[bio_la])</f>
        <v>Philosophus Graecus Abderita, atomismi conditor cum Leucippo. Universum ex atomis indivisibilibus in vacuo compositum proposuit.</v>
      </c>
      <c r="I201" t="str">
        <f>_xlfn.XLOOKUP(frasest[[#This Row],[autor_es]],autorest[autor_es],autorest[codigo])</f>
        <v>el</v>
      </c>
      <c r="J201" t="str">
        <f>_xlfn.XLOOKUP(frasest[[#This Row],[autor_es]],autorest[autor_es],autorest[idioma_es])</f>
        <v>Griego</v>
      </c>
      <c r="K201" t="str">
        <f>_xlfn.XLOOKUP(frasest[[#This Row],[autor_es]],autorest[autor_es],autorest[idioma_la])</f>
        <v>Lingua Graeca</v>
      </c>
      <c r="L201" t="str">
        <f>_xlfn.XLOOKUP(frasest[[#This Row],[autor_es]],autorest[autor_es],autorest[nacion_es])</f>
        <v>Grecia</v>
      </c>
      <c r="M201" t="str">
        <f>_xlfn.XLOOKUP(frasest[[#This Row],[autor_es]],autorest[autor_es],autorest[nacion_la])</f>
        <v>Graecia</v>
      </c>
      <c r="N201" t="str">
        <f>_xlfn.XLOOKUP(frasest[[#This Row],[autor_es]],autorest[autor_es],autorest[epoca_es])</f>
        <v>Edad Antigua</v>
      </c>
      <c r="O201" t="str">
        <f>_xlfn.XLOOKUP(frasest[[#This Row],[autor_es]],autorest[autor_es],autorest[epoca_la])</f>
        <v>Antiquitas</v>
      </c>
    </row>
    <row r="202" spans="1:15">
      <c r="A202">
        <v>201</v>
      </c>
      <c r="B202" t="s">
        <v>615</v>
      </c>
      <c r="C202" t="s">
        <v>616</v>
      </c>
      <c r="D202" t="s">
        <v>617</v>
      </c>
      <c r="E202" t="s">
        <v>611</v>
      </c>
      <c r="F202" t="str">
        <f>_xlfn.XLOOKUP(frasest[[#This Row],[autor_es]],autorest[autor_es],autorest[autor_la])</f>
        <v>Democritus</v>
      </c>
      <c r="G202" t="str">
        <f>_xlfn.XLOOKUP(frasest[[#This Row],[autor_es]],autorest[autor_es],autorest[bio_es])</f>
        <v>Filósofo griego de Abdera, fundador del atomismo junto a Leucipo. Propuso que el universo está compuesto por átomos indivisibles en el vacío.</v>
      </c>
      <c r="H202" t="str">
        <f>_xlfn.XLOOKUP(frasest[[#This Row],[autor_es]],autorest[autor_es],autorest[bio_la])</f>
        <v>Philosophus Graecus Abderita, atomismi conditor cum Leucippo. Universum ex atomis indivisibilibus in vacuo compositum proposuit.</v>
      </c>
      <c r="I202" t="str">
        <f>_xlfn.XLOOKUP(frasest[[#This Row],[autor_es]],autorest[autor_es],autorest[codigo])</f>
        <v>el</v>
      </c>
      <c r="J202" t="str">
        <f>_xlfn.XLOOKUP(frasest[[#This Row],[autor_es]],autorest[autor_es],autorest[idioma_es])</f>
        <v>Griego</v>
      </c>
      <c r="K202" t="str">
        <f>_xlfn.XLOOKUP(frasest[[#This Row],[autor_es]],autorest[autor_es],autorest[idioma_la])</f>
        <v>Lingua Graeca</v>
      </c>
      <c r="L202" t="str">
        <f>_xlfn.XLOOKUP(frasest[[#This Row],[autor_es]],autorest[autor_es],autorest[nacion_es])</f>
        <v>Grecia</v>
      </c>
      <c r="M202" t="str">
        <f>_xlfn.XLOOKUP(frasest[[#This Row],[autor_es]],autorest[autor_es],autorest[nacion_la])</f>
        <v>Graecia</v>
      </c>
      <c r="N202" t="str">
        <f>_xlfn.XLOOKUP(frasest[[#This Row],[autor_es]],autorest[autor_es],autorest[epoca_es])</f>
        <v>Edad Antigua</v>
      </c>
      <c r="O202" t="str">
        <f>_xlfn.XLOOKUP(frasest[[#This Row],[autor_es]],autorest[autor_es],autorest[epoca_la])</f>
        <v>Antiquitas</v>
      </c>
    </row>
    <row r="203" spans="1:15">
      <c r="A203">
        <v>202</v>
      </c>
      <c r="B203" t="s">
        <v>618</v>
      </c>
      <c r="C203" t="s">
        <v>619</v>
      </c>
      <c r="D203" t="s">
        <v>620</v>
      </c>
      <c r="E203" t="s">
        <v>611</v>
      </c>
      <c r="F203" t="str">
        <f>_xlfn.XLOOKUP(frasest[[#This Row],[autor_es]],autorest[autor_es],autorest[autor_la])</f>
        <v>Democritus</v>
      </c>
      <c r="G203" t="str">
        <f>_xlfn.XLOOKUP(frasest[[#This Row],[autor_es]],autorest[autor_es],autorest[bio_es])</f>
        <v>Filósofo griego de Abdera, fundador del atomismo junto a Leucipo. Propuso que el universo está compuesto por átomos indivisibles en el vacío.</v>
      </c>
      <c r="H203" t="str">
        <f>_xlfn.XLOOKUP(frasest[[#This Row],[autor_es]],autorest[autor_es],autorest[bio_la])</f>
        <v>Philosophus Graecus Abderita, atomismi conditor cum Leucippo. Universum ex atomis indivisibilibus in vacuo compositum proposuit.</v>
      </c>
      <c r="I203" t="str">
        <f>_xlfn.XLOOKUP(frasest[[#This Row],[autor_es]],autorest[autor_es],autorest[codigo])</f>
        <v>el</v>
      </c>
      <c r="J203" t="str">
        <f>_xlfn.XLOOKUP(frasest[[#This Row],[autor_es]],autorest[autor_es],autorest[idioma_es])</f>
        <v>Griego</v>
      </c>
      <c r="K203" t="str">
        <f>_xlfn.XLOOKUP(frasest[[#This Row],[autor_es]],autorest[autor_es],autorest[idioma_la])</f>
        <v>Lingua Graeca</v>
      </c>
      <c r="L203" t="str">
        <f>_xlfn.XLOOKUP(frasest[[#This Row],[autor_es]],autorest[autor_es],autorest[nacion_es])</f>
        <v>Grecia</v>
      </c>
      <c r="M203" t="str">
        <f>_xlfn.XLOOKUP(frasest[[#This Row],[autor_es]],autorest[autor_es],autorest[nacion_la])</f>
        <v>Graecia</v>
      </c>
      <c r="N203" t="str">
        <f>_xlfn.XLOOKUP(frasest[[#This Row],[autor_es]],autorest[autor_es],autorest[epoca_es])</f>
        <v>Edad Antigua</v>
      </c>
      <c r="O203" t="str">
        <f>_xlfn.XLOOKUP(frasest[[#This Row],[autor_es]],autorest[autor_es],autorest[epoca_la])</f>
        <v>Antiquitas</v>
      </c>
    </row>
    <row r="204" spans="1:15">
      <c r="A204">
        <v>203</v>
      </c>
      <c r="B204" t="s">
        <v>621</v>
      </c>
      <c r="C204" t="s">
        <v>622</v>
      </c>
      <c r="D204" t="s">
        <v>623</v>
      </c>
      <c r="E204" t="s">
        <v>611</v>
      </c>
      <c r="F204" t="str">
        <f>_xlfn.XLOOKUP(frasest[[#This Row],[autor_es]],autorest[autor_es],autorest[autor_la])</f>
        <v>Democritus</v>
      </c>
      <c r="G204" t="str">
        <f>_xlfn.XLOOKUP(frasest[[#This Row],[autor_es]],autorest[autor_es],autorest[bio_es])</f>
        <v>Filósofo griego de Abdera, fundador del atomismo junto a Leucipo. Propuso que el universo está compuesto por átomos indivisibles en el vacío.</v>
      </c>
      <c r="H204" t="str">
        <f>_xlfn.XLOOKUP(frasest[[#This Row],[autor_es]],autorest[autor_es],autorest[bio_la])</f>
        <v>Philosophus Graecus Abderita, atomismi conditor cum Leucippo. Universum ex atomis indivisibilibus in vacuo compositum proposuit.</v>
      </c>
      <c r="I204" t="str">
        <f>_xlfn.XLOOKUP(frasest[[#This Row],[autor_es]],autorest[autor_es],autorest[codigo])</f>
        <v>el</v>
      </c>
      <c r="J204" t="str">
        <f>_xlfn.XLOOKUP(frasest[[#This Row],[autor_es]],autorest[autor_es],autorest[idioma_es])</f>
        <v>Griego</v>
      </c>
      <c r="K204" t="str">
        <f>_xlfn.XLOOKUP(frasest[[#This Row],[autor_es]],autorest[autor_es],autorest[idioma_la])</f>
        <v>Lingua Graeca</v>
      </c>
      <c r="L204" t="str">
        <f>_xlfn.XLOOKUP(frasest[[#This Row],[autor_es]],autorest[autor_es],autorest[nacion_es])</f>
        <v>Grecia</v>
      </c>
      <c r="M204" t="str">
        <f>_xlfn.XLOOKUP(frasest[[#This Row],[autor_es]],autorest[autor_es],autorest[nacion_la])</f>
        <v>Graecia</v>
      </c>
      <c r="N204" t="str">
        <f>_xlfn.XLOOKUP(frasest[[#This Row],[autor_es]],autorest[autor_es],autorest[epoca_es])</f>
        <v>Edad Antigua</v>
      </c>
      <c r="O204" t="str">
        <f>_xlfn.XLOOKUP(frasest[[#This Row],[autor_es]],autorest[autor_es],autorest[epoca_la])</f>
        <v>Antiquitas</v>
      </c>
    </row>
    <row r="205" spans="1:15">
      <c r="A205">
        <v>204</v>
      </c>
      <c r="B205" t="s">
        <v>624</v>
      </c>
      <c r="C205" t="s">
        <v>625</v>
      </c>
      <c r="D205" t="s">
        <v>626</v>
      </c>
      <c r="E205" t="s">
        <v>611</v>
      </c>
      <c r="F205" t="str">
        <f>_xlfn.XLOOKUP(frasest[[#This Row],[autor_es]],autorest[autor_es],autorest[autor_la])</f>
        <v>Democritus</v>
      </c>
      <c r="G205" t="str">
        <f>_xlfn.XLOOKUP(frasest[[#This Row],[autor_es]],autorest[autor_es],autorest[bio_es])</f>
        <v>Filósofo griego de Abdera, fundador del atomismo junto a Leucipo. Propuso que el universo está compuesto por átomos indivisibles en el vacío.</v>
      </c>
      <c r="H205" t="str">
        <f>_xlfn.XLOOKUP(frasest[[#This Row],[autor_es]],autorest[autor_es],autorest[bio_la])</f>
        <v>Philosophus Graecus Abderita, atomismi conditor cum Leucippo. Universum ex atomis indivisibilibus in vacuo compositum proposuit.</v>
      </c>
      <c r="I205" t="str">
        <f>_xlfn.XLOOKUP(frasest[[#This Row],[autor_es]],autorest[autor_es],autorest[codigo])</f>
        <v>el</v>
      </c>
      <c r="J205" t="str">
        <f>_xlfn.XLOOKUP(frasest[[#This Row],[autor_es]],autorest[autor_es],autorest[idioma_es])</f>
        <v>Griego</v>
      </c>
      <c r="K205" t="str">
        <f>_xlfn.XLOOKUP(frasest[[#This Row],[autor_es]],autorest[autor_es],autorest[idioma_la])</f>
        <v>Lingua Graeca</v>
      </c>
      <c r="L205" t="str">
        <f>_xlfn.XLOOKUP(frasest[[#This Row],[autor_es]],autorest[autor_es],autorest[nacion_es])</f>
        <v>Grecia</v>
      </c>
      <c r="M205" t="str">
        <f>_xlfn.XLOOKUP(frasest[[#This Row],[autor_es]],autorest[autor_es],autorest[nacion_la])</f>
        <v>Graecia</v>
      </c>
      <c r="N205" t="str">
        <f>_xlfn.XLOOKUP(frasest[[#This Row],[autor_es]],autorest[autor_es],autorest[epoca_es])</f>
        <v>Edad Antigua</v>
      </c>
      <c r="O205" t="str">
        <f>_xlfn.XLOOKUP(frasest[[#This Row],[autor_es]],autorest[autor_es],autorest[epoca_la])</f>
        <v>Antiquitas</v>
      </c>
    </row>
    <row r="206" spans="1:15">
      <c r="A206">
        <v>205</v>
      </c>
      <c r="B206" t="s">
        <v>627</v>
      </c>
      <c r="C206" t="s">
        <v>628</v>
      </c>
      <c r="D206" t="s">
        <v>629</v>
      </c>
      <c r="E206" t="s">
        <v>611</v>
      </c>
      <c r="F206" t="str">
        <f>_xlfn.XLOOKUP(frasest[[#This Row],[autor_es]],autorest[autor_es],autorest[autor_la])</f>
        <v>Democritus</v>
      </c>
      <c r="G206" t="str">
        <f>_xlfn.XLOOKUP(frasest[[#This Row],[autor_es]],autorest[autor_es],autorest[bio_es])</f>
        <v>Filósofo griego de Abdera, fundador del atomismo junto a Leucipo. Propuso que el universo está compuesto por átomos indivisibles en el vacío.</v>
      </c>
      <c r="H206" t="str">
        <f>_xlfn.XLOOKUP(frasest[[#This Row],[autor_es]],autorest[autor_es],autorest[bio_la])</f>
        <v>Philosophus Graecus Abderita, atomismi conditor cum Leucippo. Universum ex atomis indivisibilibus in vacuo compositum proposuit.</v>
      </c>
      <c r="I206" t="str">
        <f>_xlfn.XLOOKUP(frasest[[#This Row],[autor_es]],autorest[autor_es],autorest[codigo])</f>
        <v>el</v>
      </c>
      <c r="J206" t="str">
        <f>_xlfn.XLOOKUP(frasest[[#This Row],[autor_es]],autorest[autor_es],autorest[idioma_es])</f>
        <v>Griego</v>
      </c>
      <c r="K206" t="str">
        <f>_xlfn.XLOOKUP(frasest[[#This Row],[autor_es]],autorest[autor_es],autorest[idioma_la])</f>
        <v>Lingua Graeca</v>
      </c>
      <c r="L206" t="str">
        <f>_xlfn.XLOOKUP(frasest[[#This Row],[autor_es]],autorest[autor_es],autorest[nacion_es])</f>
        <v>Grecia</v>
      </c>
      <c r="M206" t="str">
        <f>_xlfn.XLOOKUP(frasest[[#This Row],[autor_es]],autorest[autor_es],autorest[nacion_la])</f>
        <v>Graecia</v>
      </c>
      <c r="N206" t="str">
        <f>_xlfn.XLOOKUP(frasest[[#This Row],[autor_es]],autorest[autor_es],autorest[epoca_es])</f>
        <v>Edad Antigua</v>
      </c>
      <c r="O206" t="str">
        <f>_xlfn.XLOOKUP(frasest[[#This Row],[autor_es]],autorest[autor_es],autorest[epoca_la])</f>
        <v>Antiquitas</v>
      </c>
    </row>
    <row r="207" spans="1:15">
      <c r="A207">
        <v>206</v>
      </c>
      <c r="B207" t="s">
        <v>630</v>
      </c>
      <c r="C207" t="s">
        <v>631</v>
      </c>
      <c r="D207" t="s">
        <v>632</v>
      </c>
      <c r="E207" t="s">
        <v>611</v>
      </c>
      <c r="F207" t="str">
        <f>_xlfn.XLOOKUP(frasest[[#This Row],[autor_es]],autorest[autor_es],autorest[autor_la])</f>
        <v>Democritus</v>
      </c>
      <c r="G207" t="str">
        <f>_xlfn.XLOOKUP(frasest[[#This Row],[autor_es]],autorest[autor_es],autorest[bio_es])</f>
        <v>Filósofo griego de Abdera, fundador del atomismo junto a Leucipo. Propuso que el universo está compuesto por átomos indivisibles en el vacío.</v>
      </c>
      <c r="H207" t="str">
        <f>_xlfn.XLOOKUP(frasest[[#This Row],[autor_es]],autorest[autor_es],autorest[bio_la])</f>
        <v>Philosophus Graecus Abderita, atomismi conditor cum Leucippo. Universum ex atomis indivisibilibus in vacuo compositum proposuit.</v>
      </c>
      <c r="I207" t="str">
        <f>_xlfn.XLOOKUP(frasest[[#This Row],[autor_es]],autorest[autor_es],autorest[codigo])</f>
        <v>el</v>
      </c>
      <c r="J207" t="str">
        <f>_xlfn.XLOOKUP(frasest[[#This Row],[autor_es]],autorest[autor_es],autorest[idioma_es])</f>
        <v>Griego</v>
      </c>
      <c r="K207" t="str">
        <f>_xlfn.XLOOKUP(frasest[[#This Row],[autor_es]],autorest[autor_es],autorest[idioma_la])</f>
        <v>Lingua Graeca</v>
      </c>
      <c r="L207" t="str">
        <f>_xlfn.XLOOKUP(frasest[[#This Row],[autor_es]],autorest[autor_es],autorest[nacion_es])</f>
        <v>Grecia</v>
      </c>
      <c r="M207" t="str">
        <f>_xlfn.XLOOKUP(frasest[[#This Row],[autor_es]],autorest[autor_es],autorest[nacion_la])</f>
        <v>Graecia</v>
      </c>
      <c r="N207" t="str">
        <f>_xlfn.XLOOKUP(frasest[[#This Row],[autor_es]],autorest[autor_es],autorest[epoca_es])</f>
        <v>Edad Antigua</v>
      </c>
      <c r="O207" t="str">
        <f>_xlfn.XLOOKUP(frasest[[#This Row],[autor_es]],autorest[autor_es],autorest[epoca_la])</f>
        <v>Antiquitas</v>
      </c>
    </row>
    <row r="208" spans="1:15">
      <c r="A208">
        <v>207</v>
      </c>
      <c r="B208" t="s">
        <v>633</v>
      </c>
      <c r="C208" t="s">
        <v>634</v>
      </c>
      <c r="D208" t="s">
        <v>635</v>
      </c>
      <c r="E208" t="s">
        <v>611</v>
      </c>
      <c r="F208" t="str">
        <f>_xlfn.XLOOKUP(frasest[[#This Row],[autor_es]],autorest[autor_es],autorest[autor_la])</f>
        <v>Democritus</v>
      </c>
      <c r="G208" t="str">
        <f>_xlfn.XLOOKUP(frasest[[#This Row],[autor_es]],autorest[autor_es],autorest[bio_es])</f>
        <v>Filósofo griego de Abdera, fundador del atomismo junto a Leucipo. Propuso que el universo está compuesto por átomos indivisibles en el vacío.</v>
      </c>
      <c r="H208" t="str">
        <f>_xlfn.XLOOKUP(frasest[[#This Row],[autor_es]],autorest[autor_es],autorest[bio_la])</f>
        <v>Philosophus Graecus Abderita, atomismi conditor cum Leucippo. Universum ex atomis indivisibilibus in vacuo compositum proposuit.</v>
      </c>
      <c r="I208" t="str">
        <f>_xlfn.XLOOKUP(frasest[[#This Row],[autor_es]],autorest[autor_es],autorest[codigo])</f>
        <v>el</v>
      </c>
      <c r="J208" t="str">
        <f>_xlfn.XLOOKUP(frasest[[#This Row],[autor_es]],autorest[autor_es],autorest[idioma_es])</f>
        <v>Griego</v>
      </c>
      <c r="K208" t="str">
        <f>_xlfn.XLOOKUP(frasest[[#This Row],[autor_es]],autorest[autor_es],autorest[idioma_la])</f>
        <v>Lingua Graeca</v>
      </c>
      <c r="L208" t="str">
        <f>_xlfn.XLOOKUP(frasest[[#This Row],[autor_es]],autorest[autor_es],autorest[nacion_es])</f>
        <v>Grecia</v>
      </c>
      <c r="M208" t="str">
        <f>_xlfn.XLOOKUP(frasest[[#This Row],[autor_es]],autorest[autor_es],autorest[nacion_la])</f>
        <v>Graecia</v>
      </c>
      <c r="N208" t="str">
        <f>_xlfn.XLOOKUP(frasest[[#This Row],[autor_es]],autorest[autor_es],autorest[epoca_es])</f>
        <v>Edad Antigua</v>
      </c>
      <c r="O208" t="str">
        <f>_xlfn.XLOOKUP(frasest[[#This Row],[autor_es]],autorest[autor_es],autorest[epoca_la])</f>
        <v>Antiquitas</v>
      </c>
    </row>
    <row r="209" spans="1:15">
      <c r="A209">
        <v>208</v>
      </c>
      <c r="B209" t="s">
        <v>636</v>
      </c>
      <c r="C209" t="s">
        <v>637</v>
      </c>
      <c r="D209" t="s">
        <v>638</v>
      </c>
      <c r="E209" t="s">
        <v>611</v>
      </c>
      <c r="F209" t="str">
        <f>_xlfn.XLOOKUP(frasest[[#This Row],[autor_es]],autorest[autor_es],autorest[autor_la])</f>
        <v>Democritus</v>
      </c>
      <c r="G209" t="str">
        <f>_xlfn.XLOOKUP(frasest[[#This Row],[autor_es]],autorest[autor_es],autorest[bio_es])</f>
        <v>Filósofo griego de Abdera, fundador del atomismo junto a Leucipo. Propuso que el universo está compuesto por átomos indivisibles en el vacío.</v>
      </c>
      <c r="H209" t="str">
        <f>_xlfn.XLOOKUP(frasest[[#This Row],[autor_es]],autorest[autor_es],autorest[bio_la])</f>
        <v>Philosophus Graecus Abderita, atomismi conditor cum Leucippo. Universum ex atomis indivisibilibus in vacuo compositum proposuit.</v>
      </c>
      <c r="I209" t="str">
        <f>_xlfn.XLOOKUP(frasest[[#This Row],[autor_es]],autorest[autor_es],autorest[codigo])</f>
        <v>el</v>
      </c>
      <c r="J209" t="str">
        <f>_xlfn.XLOOKUP(frasest[[#This Row],[autor_es]],autorest[autor_es],autorest[idioma_es])</f>
        <v>Griego</v>
      </c>
      <c r="K209" t="str">
        <f>_xlfn.XLOOKUP(frasest[[#This Row],[autor_es]],autorest[autor_es],autorest[idioma_la])</f>
        <v>Lingua Graeca</v>
      </c>
      <c r="L209" t="str">
        <f>_xlfn.XLOOKUP(frasest[[#This Row],[autor_es]],autorest[autor_es],autorest[nacion_es])</f>
        <v>Grecia</v>
      </c>
      <c r="M209" t="str">
        <f>_xlfn.XLOOKUP(frasest[[#This Row],[autor_es]],autorest[autor_es],autorest[nacion_la])</f>
        <v>Graecia</v>
      </c>
      <c r="N209" t="str">
        <f>_xlfn.XLOOKUP(frasest[[#This Row],[autor_es]],autorest[autor_es],autorest[epoca_es])</f>
        <v>Edad Antigua</v>
      </c>
      <c r="O209" t="str">
        <f>_xlfn.XLOOKUP(frasest[[#This Row],[autor_es]],autorest[autor_es],autorest[epoca_la])</f>
        <v>Antiquitas</v>
      </c>
    </row>
    <row r="210" spans="1:15">
      <c r="A210">
        <v>209</v>
      </c>
      <c r="B210" t="s">
        <v>639</v>
      </c>
      <c r="C210" t="s">
        <v>640</v>
      </c>
      <c r="D210" t="s">
        <v>641</v>
      </c>
      <c r="E210" t="s">
        <v>642</v>
      </c>
      <c r="F210" t="str">
        <f>_xlfn.XLOOKUP(frasest[[#This Row],[autor_es]],autorest[autor_es],autorest[autor_la])</f>
        <v>Protagoras</v>
      </c>
      <c r="G210" t="str">
        <f>_xlfn.XLOOKUP(frasest[[#This Row],[autor_es]],autorest[autor_es],autorest[bio_es])</f>
        <v>Filósofo sofista griego de Abdera, precursor de la enseñanza retórica profesional. Autor de la máxima "El hombre es la medida de todas las cosas".</v>
      </c>
      <c r="H210" t="str">
        <f>_xlfn.XLOOKUP(frasest[[#This Row],[autor_es]],autorest[autor_es],autorest[bio_la])</f>
        <v>Philosophus sophista Graecus Abderita, rhetoricae artis professionalis praecursor. Auctor sententiae "Homo mensura omnium rerum est".</v>
      </c>
      <c r="I210" t="str">
        <f>_xlfn.XLOOKUP(frasest[[#This Row],[autor_es]],autorest[autor_es],autorest[codigo])</f>
        <v>el</v>
      </c>
      <c r="J210" t="str">
        <f>_xlfn.XLOOKUP(frasest[[#This Row],[autor_es]],autorest[autor_es],autorest[idioma_es])</f>
        <v>Griego</v>
      </c>
      <c r="K210" t="str">
        <f>_xlfn.XLOOKUP(frasest[[#This Row],[autor_es]],autorest[autor_es],autorest[idioma_la])</f>
        <v>Lingua Graeca</v>
      </c>
      <c r="L210" t="str">
        <f>_xlfn.XLOOKUP(frasest[[#This Row],[autor_es]],autorest[autor_es],autorest[nacion_es])</f>
        <v>Grecia</v>
      </c>
      <c r="M210" t="str">
        <f>_xlfn.XLOOKUP(frasest[[#This Row],[autor_es]],autorest[autor_es],autorest[nacion_la])</f>
        <v>Graecia</v>
      </c>
      <c r="N210" t="str">
        <f>_xlfn.XLOOKUP(frasest[[#This Row],[autor_es]],autorest[autor_es],autorest[epoca_es])</f>
        <v>Edad Antigua</v>
      </c>
      <c r="O210" t="str">
        <f>_xlfn.XLOOKUP(frasest[[#This Row],[autor_es]],autorest[autor_es],autorest[epoca_la])</f>
        <v>Antiquitas</v>
      </c>
    </row>
    <row r="211" spans="1:15">
      <c r="A211">
        <v>210</v>
      </c>
      <c r="B211" t="s">
        <v>643</v>
      </c>
      <c r="C211" t="s">
        <v>644</v>
      </c>
      <c r="D211" t="s">
        <v>645</v>
      </c>
      <c r="E211" t="s">
        <v>642</v>
      </c>
      <c r="F211" t="str">
        <f>_xlfn.XLOOKUP(frasest[[#This Row],[autor_es]],autorest[autor_es],autorest[autor_la])</f>
        <v>Protagoras</v>
      </c>
      <c r="G211" t="str">
        <f>_xlfn.XLOOKUP(frasest[[#This Row],[autor_es]],autorest[autor_es],autorest[bio_es])</f>
        <v>Filósofo sofista griego de Abdera, precursor de la enseñanza retórica profesional. Autor de la máxima "El hombre es la medida de todas las cosas".</v>
      </c>
      <c r="H211" t="str">
        <f>_xlfn.XLOOKUP(frasest[[#This Row],[autor_es]],autorest[autor_es],autorest[bio_la])</f>
        <v>Philosophus sophista Graecus Abderita, rhetoricae artis professionalis praecursor. Auctor sententiae "Homo mensura omnium rerum est".</v>
      </c>
      <c r="I211" t="str">
        <f>_xlfn.XLOOKUP(frasest[[#This Row],[autor_es]],autorest[autor_es],autorest[codigo])</f>
        <v>el</v>
      </c>
      <c r="J211" t="str">
        <f>_xlfn.XLOOKUP(frasest[[#This Row],[autor_es]],autorest[autor_es],autorest[idioma_es])</f>
        <v>Griego</v>
      </c>
      <c r="K211" t="str">
        <f>_xlfn.XLOOKUP(frasest[[#This Row],[autor_es]],autorest[autor_es],autorest[idioma_la])</f>
        <v>Lingua Graeca</v>
      </c>
      <c r="L211" t="str">
        <f>_xlfn.XLOOKUP(frasest[[#This Row],[autor_es]],autorest[autor_es],autorest[nacion_es])</f>
        <v>Grecia</v>
      </c>
      <c r="M211" t="str">
        <f>_xlfn.XLOOKUP(frasest[[#This Row],[autor_es]],autorest[autor_es],autorest[nacion_la])</f>
        <v>Graecia</v>
      </c>
      <c r="N211" t="str">
        <f>_xlfn.XLOOKUP(frasest[[#This Row],[autor_es]],autorest[autor_es],autorest[epoca_es])</f>
        <v>Edad Antigua</v>
      </c>
      <c r="O211" t="str">
        <f>_xlfn.XLOOKUP(frasest[[#This Row],[autor_es]],autorest[autor_es],autorest[epoca_la])</f>
        <v>Antiquitas</v>
      </c>
    </row>
    <row r="212" spans="1:15">
      <c r="A212">
        <v>211</v>
      </c>
      <c r="B212" t="s">
        <v>646</v>
      </c>
      <c r="C212" t="s">
        <v>647</v>
      </c>
      <c r="D212" t="s">
        <v>648</v>
      </c>
      <c r="E212" t="s">
        <v>642</v>
      </c>
      <c r="F212" t="str">
        <f>_xlfn.XLOOKUP(frasest[[#This Row],[autor_es]],autorest[autor_es],autorest[autor_la])</f>
        <v>Protagoras</v>
      </c>
      <c r="G212" t="str">
        <f>_xlfn.XLOOKUP(frasest[[#This Row],[autor_es]],autorest[autor_es],autorest[bio_es])</f>
        <v>Filósofo sofista griego de Abdera, precursor de la enseñanza retórica profesional. Autor de la máxima "El hombre es la medida de todas las cosas".</v>
      </c>
      <c r="H212" t="str">
        <f>_xlfn.XLOOKUP(frasest[[#This Row],[autor_es]],autorest[autor_es],autorest[bio_la])</f>
        <v>Philosophus sophista Graecus Abderita, rhetoricae artis professionalis praecursor. Auctor sententiae "Homo mensura omnium rerum est".</v>
      </c>
      <c r="I212" t="str">
        <f>_xlfn.XLOOKUP(frasest[[#This Row],[autor_es]],autorest[autor_es],autorest[codigo])</f>
        <v>el</v>
      </c>
      <c r="J212" t="str">
        <f>_xlfn.XLOOKUP(frasest[[#This Row],[autor_es]],autorest[autor_es],autorest[idioma_es])</f>
        <v>Griego</v>
      </c>
      <c r="K212" t="str">
        <f>_xlfn.XLOOKUP(frasest[[#This Row],[autor_es]],autorest[autor_es],autorest[idioma_la])</f>
        <v>Lingua Graeca</v>
      </c>
      <c r="L212" t="str">
        <f>_xlfn.XLOOKUP(frasest[[#This Row],[autor_es]],autorest[autor_es],autorest[nacion_es])</f>
        <v>Grecia</v>
      </c>
      <c r="M212" t="str">
        <f>_xlfn.XLOOKUP(frasest[[#This Row],[autor_es]],autorest[autor_es],autorest[nacion_la])</f>
        <v>Graecia</v>
      </c>
      <c r="N212" t="str">
        <f>_xlfn.XLOOKUP(frasest[[#This Row],[autor_es]],autorest[autor_es],autorest[epoca_es])</f>
        <v>Edad Antigua</v>
      </c>
      <c r="O212" t="str">
        <f>_xlfn.XLOOKUP(frasest[[#This Row],[autor_es]],autorest[autor_es],autorest[epoca_la])</f>
        <v>Antiquitas</v>
      </c>
    </row>
    <row r="213" spans="1:15">
      <c r="A213">
        <v>212</v>
      </c>
      <c r="B213" t="s">
        <v>649</v>
      </c>
      <c r="C213" t="s">
        <v>650</v>
      </c>
      <c r="D213" t="s">
        <v>651</v>
      </c>
      <c r="E213" t="s">
        <v>642</v>
      </c>
      <c r="F213" t="str">
        <f>_xlfn.XLOOKUP(frasest[[#This Row],[autor_es]],autorest[autor_es],autorest[autor_la])</f>
        <v>Protagoras</v>
      </c>
      <c r="G213" t="str">
        <f>_xlfn.XLOOKUP(frasest[[#This Row],[autor_es]],autorest[autor_es],autorest[bio_es])</f>
        <v>Filósofo sofista griego de Abdera, precursor de la enseñanza retórica profesional. Autor de la máxima "El hombre es la medida de todas las cosas".</v>
      </c>
      <c r="H213" t="str">
        <f>_xlfn.XLOOKUP(frasest[[#This Row],[autor_es]],autorest[autor_es],autorest[bio_la])</f>
        <v>Philosophus sophista Graecus Abderita, rhetoricae artis professionalis praecursor. Auctor sententiae "Homo mensura omnium rerum est".</v>
      </c>
      <c r="I213" t="str">
        <f>_xlfn.XLOOKUP(frasest[[#This Row],[autor_es]],autorest[autor_es],autorest[codigo])</f>
        <v>el</v>
      </c>
      <c r="J213" t="str">
        <f>_xlfn.XLOOKUP(frasest[[#This Row],[autor_es]],autorest[autor_es],autorest[idioma_es])</f>
        <v>Griego</v>
      </c>
      <c r="K213" t="str">
        <f>_xlfn.XLOOKUP(frasest[[#This Row],[autor_es]],autorest[autor_es],autorest[idioma_la])</f>
        <v>Lingua Graeca</v>
      </c>
      <c r="L213" t="str">
        <f>_xlfn.XLOOKUP(frasest[[#This Row],[autor_es]],autorest[autor_es],autorest[nacion_es])</f>
        <v>Grecia</v>
      </c>
      <c r="M213" t="str">
        <f>_xlfn.XLOOKUP(frasest[[#This Row],[autor_es]],autorest[autor_es],autorest[nacion_la])</f>
        <v>Graecia</v>
      </c>
      <c r="N213" t="str">
        <f>_xlfn.XLOOKUP(frasest[[#This Row],[autor_es]],autorest[autor_es],autorest[epoca_es])</f>
        <v>Edad Antigua</v>
      </c>
      <c r="O213" t="str">
        <f>_xlfn.XLOOKUP(frasest[[#This Row],[autor_es]],autorest[autor_es],autorest[epoca_la])</f>
        <v>Antiquitas</v>
      </c>
    </row>
    <row r="214" spans="1:15">
      <c r="A214">
        <v>213</v>
      </c>
      <c r="B214" t="s">
        <v>652</v>
      </c>
      <c r="C214" t="s">
        <v>653</v>
      </c>
      <c r="D214" t="s">
        <v>654</v>
      </c>
      <c r="E214" t="s">
        <v>642</v>
      </c>
      <c r="F214" t="str">
        <f>_xlfn.XLOOKUP(frasest[[#This Row],[autor_es]],autorest[autor_es],autorest[autor_la])</f>
        <v>Protagoras</v>
      </c>
      <c r="G214" t="str">
        <f>_xlfn.XLOOKUP(frasest[[#This Row],[autor_es]],autorest[autor_es],autorest[bio_es])</f>
        <v>Filósofo sofista griego de Abdera, precursor de la enseñanza retórica profesional. Autor de la máxima "El hombre es la medida de todas las cosas".</v>
      </c>
      <c r="H214" t="str">
        <f>_xlfn.XLOOKUP(frasest[[#This Row],[autor_es]],autorest[autor_es],autorest[bio_la])</f>
        <v>Philosophus sophista Graecus Abderita, rhetoricae artis professionalis praecursor. Auctor sententiae "Homo mensura omnium rerum est".</v>
      </c>
      <c r="I214" t="str">
        <f>_xlfn.XLOOKUP(frasest[[#This Row],[autor_es]],autorest[autor_es],autorest[codigo])</f>
        <v>el</v>
      </c>
      <c r="J214" t="str">
        <f>_xlfn.XLOOKUP(frasest[[#This Row],[autor_es]],autorest[autor_es],autorest[idioma_es])</f>
        <v>Griego</v>
      </c>
      <c r="K214" t="str">
        <f>_xlfn.XLOOKUP(frasest[[#This Row],[autor_es]],autorest[autor_es],autorest[idioma_la])</f>
        <v>Lingua Graeca</v>
      </c>
      <c r="L214" t="str">
        <f>_xlfn.XLOOKUP(frasest[[#This Row],[autor_es]],autorest[autor_es],autorest[nacion_es])</f>
        <v>Grecia</v>
      </c>
      <c r="M214" t="str">
        <f>_xlfn.XLOOKUP(frasest[[#This Row],[autor_es]],autorest[autor_es],autorest[nacion_la])</f>
        <v>Graecia</v>
      </c>
      <c r="N214" t="str">
        <f>_xlfn.XLOOKUP(frasest[[#This Row],[autor_es]],autorest[autor_es],autorest[epoca_es])</f>
        <v>Edad Antigua</v>
      </c>
      <c r="O214" t="str">
        <f>_xlfn.XLOOKUP(frasest[[#This Row],[autor_es]],autorest[autor_es],autorest[epoca_la])</f>
        <v>Antiquitas</v>
      </c>
    </row>
    <row r="215" spans="1:15">
      <c r="A215">
        <v>214</v>
      </c>
      <c r="B215" t="s">
        <v>655</v>
      </c>
      <c r="C215" t="s">
        <v>656</v>
      </c>
      <c r="D215" t="s">
        <v>657</v>
      </c>
      <c r="E215" t="s">
        <v>642</v>
      </c>
      <c r="F215" t="str">
        <f>_xlfn.XLOOKUP(frasest[[#This Row],[autor_es]],autorest[autor_es],autorest[autor_la])</f>
        <v>Protagoras</v>
      </c>
      <c r="G215" t="str">
        <f>_xlfn.XLOOKUP(frasest[[#This Row],[autor_es]],autorest[autor_es],autorest[bio_es])</f>
        <v>Filósofo sofista griego de Abdera, precursor de la enseñanza retórica profesional. Autor de la máxima "El hombre es la medida de todas las cosas".</v>
      </c>
      <c r="H215" t="str">
        <f>_xlfn.XLOOKUP(frasest[[#This Row],[autor_es]],autorest[autor_es],autorest[bio_la])</f>
        <v>Philosophus sophista Graecus Abderita, rhetoricae artis professionalis praecursor. Auctor sententiae "Homo mensura omnium rerum est".</v>
      </c>
      <c r="I215" t="str">
        <f>_xlfn.XLOOKUP(frasest[[#This Row],[autor_es]],autorest[autor_es],autorest[codigo])</f>
        <v>el</v>
      </c>
      <c r="J215" t="str">
        <f>_xlfn.XLOOKUP(frasest[[#This Row],[autor_es]],autorest[autor_es],autorest[idioma_es])</f>
        <v>Griego</v>
      </c>
      <c r="K215" t="str">
        <f>_xlfn.XLOOKUP(frasest[[#This Row],[autor_es]],autorest[autor_es],autorest[idioma_la])</f>
        <v>Lingua Graeca</v>
      </c>
      <c r="L215" t="str">
        <f>_xlfn.XLOOKUP(frasest[[#This Row],[autor_es]],autorest[autor_es],autorest[nacion_es])</f>
        <v>Grecia</v>
      </c>
      <c r="M215" t="str">
        <f>_xlfn.XLOOKUP(frasest[[#This Row],[autor_es]],autorest[autor_es],autorest[nacion_la])</f>
        <v>Graecia</v>
      </c>
      <c r="N215" t="str">
        <f>_xlfn.XLOOKUP(frasest[[#This Row],[autor_es]],autorest[autor_es],autorest[epoca_es])</f>
        <v>Edad Antigua</v>
      </c>
      <c r="O215" t="str">
        <f>_xlfn.XLOOKUP(frasest[[#This Row],[autor_es]],autorest[autor_es],autorest[epoca_la])</f>
        <v>Antiquitas</v>
      </c>
    </row>
    <row r="216" spans="1:15">
      <c r="A216">
        <v>215</v>
      </c>
      <c r="B216" t="s">
        <v>658</v>
      </c>
      <c r="C216" t="s">
        <v>659</v>
      </c>
      <c r="D216" t="s">
        <v>660</v>
      </c>
      <c r="E216" t="s">
        <v>642</v>
      </c>
      <c r="F216" t="str">
        <f>_xlfn.XLOOKUP(frasest[[#This Row],[autor_es]],autorest[autor_es],autorest[autor_la])</f>
        <v>Protagoras</v>
      </c>
      <c r="G216" t="str">
        <f>_xlfn.XLOOKUP(frasest[[#This Row],[autor_es]],autorest[autor_es],autorest[bio_es])</f>
        <v>Filósofo sofista griego de Abdera, precursor de la enseñanza retórica profesional. Autor de la máxima "El hombre es la medida de todas las cosas".</v>
      </c>
      <c r="H216" t="str">
        <f>_xlfn.XLOOKUP(frasest[[#This Row],[autor_es]],autorest[autor_es],autorest[bio_la])</f>
        <v>Philosophus sophista Graecus Abderita, rhetoricae artis professionalis praecursor. Auctor sententiae "Homo mensura omnium rerum est".</v>
      </c>
      <c r="I216" t="str">
        <f>_xlfn.XLOOKUP(frasest[[#This Row],[autor_es]],autorest[autor_es],autorest[codigo])</f>
        <v>el</v>
      </c>
      <c r="J216" t="str">
        <f>_xlfn.XLOOKUP(frasest[[#This Row],[autor_es]],autorest[autor_es],autorest[idioma_es])</f>
        <v>Griego</v>
      </c>
      <c r="K216" t="str">
        <f>_xlfn.XLOOKUP(frasest[[#This Row],[autor_es]],autorest[autor_es],autorest[idioma_la])</f>
        <v>Lingua Graeca</v>
      </c>
      <c r="L216" t="str">
        <f>_xlfn.XLOOKUP(frasest[[#This Row],[autor_es]],autorest[autor_es],autorest[nacion_es])</f>
        <v>Grecia</v>
      </c>
      <c r="M216" t="str">
        <f>_xlfn.XLOOKUP(frasest[[#This Row],[autor_es]],autorest[autor_es],autorest[nacion_la])</f>
        <v>Graecia</v>
      </c>
      <c r="N216" t="str">
        <f>_xlfn.XLOOKUP(frasest[[#This Row],[autor_es]],autorest[autor_es],autorest[epoca_es])</f>
        <v>Edad Antigua</v>
      </c>
      <c r="O216" t="str">
        <f>_xlfn.XLOOKUP(frasest[[#This Row],[autor_es]],autorest[autor_es],autorest[epoca_la])</f>
        <v>Antiquitas</v>
      </c>
    </row>
    <row r="217" spans="1:15">
      <c r="A217">
        <v>216</v>
      </c>
      <c r="B217" t="s">
        <v>661</v>
      </c>
      <c r="C217" t="s">
        <v>662</v>
      </c>
      <c r="D217" t="s">
        <v>663</v>
      </c>
      <c r="E217" t="s">
        <v>642</v>
      </c>
      <c r="F217" t="str">
        <f>_xlfn.XLOOKUP(frasest[[#This Row],[autor_es]],autorest[autor_es],autorest[autor_la])</f>
        <v>Protagoras</v>
      </c>
      <c r="G217" t="str">
        <f>_xlfn.XLOOKUP(frasest[[#This Row],[autor_es]],autorest[autor_es],autorest[bio_es])</f>
        <v>Filósofo sofista griego de Abdera, precursor de la enseñanza retórica profesional. Autor de la máxima "El hombre es la medida de todas las cosas".</v>
      </c>
      <c r="H217" t="str">
        <f>_xlfn.XLOOKUP(frasest[[#This Row],[autor_es]],autorest[autor_es],autorest[bio_la])</f>
        <v>Philosophus sophista Graecus Abderita, rhetoricae artis professionalis praecursor. Auctor sententiae "Homo mensura omnium rerum est".</v>
      </c>
      <c r="I217" t="str">
        <f>_xlfn.XLOOKUP(frasest[[#This Row],[autor_es]],autorest[autor_es],autorest[codigo])</f>
        <v>el</v>
      </c>
      <c r="J217" t="str">
        <f>_xlfn.XLOOKUP(frasest[[#This Row],[autor_es]],autorest[autor_es],autorest[idioma_es])</f>
        <v>Griego</v>
      </c>
      <c r="K217" t="str">
        <f>_xlfn.XLOOKUP(frasest[[#This Row],[autor_es]],autorest[autor_es],autorest[idioma_la])</f>
        <v>Lingua Graeca</v>
      </c>
      <c r="L217" t="str">
        <f>_xlfn.XLOOKUP(frasest[[#This Row],[autor_es]],autorest[autor_es],autorest[nacion_es])</f>
        <v>Grecia</v>
      </c>
      <c r="M217" t="str">
        <f>_xlfn.XLOOKUP(frasest[[#This Row],[autor_es]],autorest[autor_es],autorest[nacion_la])</f>
        <v>Graecia</v>
      </c>
      <c r="N217" t="str">
        <f>_xlfn.XLOOKUP(frasest[[#This Row],[autor_es]],autorest[autor_es],autorest[epoca_es])</f>
        <v>Edad Antigua</v>
      </c>
      <c r="O217" t="str">
        <f>_xlfn.XLOOKUP(frasest[[#This Row],[autor_es]],autorest[autor_es],autorest[epoca_la])</f>
        <v>Antiquitas</v>
      </c>
    </row>
    <row r="218" spans="1:15">
      <c r="A218">
        <v>217</v>
      </c>
      <c r="B218" t="s">
        <v>664</v>
      </c>
      <c r="C218" t="s">
        <v>665</v>
      </c>
      <c r="D218" t="s">
        <v>666</v>
      </c>
      <c r="E218" t="s">
        <v>642</v>
      </c>
      <c r="F218" t="str">
        <f>_xlfn.XLOOKUP(frasest[[#This Row],[autor_es]],autorest[autor_es],autorest[autor_la])</f>
        <v>Protagoras</v>
      </c>
      <c r="G218" t="str">
        <f>_xlfn.XLOOKUP(frasest[[#This Row],[autor_es]],autorest[autor_es],autorest[bio_es])</f>
        <v>Filósofo sofista griego de Abdera, precursor de la enseñanza retórica profesional. Autor de la máxima "El hombre es la medida de todas las cosas".</v>
      </c>
      <c r="H218" t="str">
        <f>_xlfn.XLOOKUP(frasest[[#This Row],[autor_es]],autorest[autor_es],autorest[bio_la])</f>
        <v>Philosophus sophista Graecus Abderita, rhetoricae artis professionalis praecursor. Auctor sententiae "Homo mensura omnium rerum est".</v>
      </c>
      <c r="I218" t="str">
        <f>_xlfn.XLOOKUP(frasest[[#This Row],[autor_es]],autorest[autor_es],autorest[codigo])</f>
        <v>el</v>
      </c>
      <c r="J218" t="str">
        <f>_xlfn.XLOOKUP(frasest[[#This Row],[autor_es]],autorest[autor_es],autorest[idioma_es])</f>
        <v>Griego</v>
      </c>
      <c r="K218" t="str">
        <f>_xlfn.XLOOKUP(frasest[[#This Row],[autor_es]],autorest[autor_es],autorest[idioma_la])</f>
        <v>Lingua Graeca</v>
      </c>
      <c r="L218" t="str">
        <f>_xlfn.XLOOKUP(frasest[[#This Row],[autor_es]],autorest[autor_es],autorest[nacion_es])</f>
        <v>Grecia</v>
      </c>
      <c r="M218" t="str">
        <f>_xlfn.XLOOKUP(frasest[[#This Row],[autor_es]],autorest[autor_es],autorest[nacion_la])</f>
        <v>Graecia</v>
      </c>
      <c r="N218" t="str">
        <f>_xlfn.XLOOKUP(frasest[[#This Row],[autor_es]],autorest[autor_es],autorest[epoca_es])</f>
        <v>Edad Antigua</v>
      </c>
      <c r="O218" t="str">
        <f>_xlfn.XLOOKUP(frasest[[#This Row],[autor_es]],autorest[autor_es],autorest[epoca_la])</f>
        <v>Antiquitas</v>
      </c>
    </row>
    <row r="219" spans="1:15">
      <c r="A219">
        <v>218</v>
      </c>
      <c r="B219" t="s">
        <v>667</v>
      </c>
      <c r="C219" t="s">
        <v>668</v>
      </c>
      <c r="D219" t="s">
        <v>669</v>
      </c>
      <c r="E219" t="s">
        <v>642</v>
      </c>
      <c r="F219" t="str">
        <f>_xlfn.XLOOKUP(frasest[[#This Row],[autor_es]],autorest[autor_es],autorest[autor_la])</f>
        <v>Protagoras</v>
      </c>
      <c r="G219" t="str">
        <f>_xlfn.XLOOKUP(frasest[[#This Row],[autor_es]],autorest[autor_es],autorest[bio_es])</f>
        <v>Filósofo sofista griego de Abdera, precursor de la enseñanza retórica profesional. Autor de la máxima "El hombre es la medida de todas las cosas".</v>
      </c>
      <c r="H219" t="str">
        <f>_xlfn.XLOOKUP(frasest[[#This Row],[autor_es]],autorest[autor_es],autorest[bio_la])</f>
        <v>Philosophus sophista Graecus Abderita, rhetoricae artis professionalis praecursor. Auctor sententiae "Homo mensura omnium rerum est".</v>
      </c>
      <c r="I219" t="str">
        <f>_xlfn.XLOOKUP(frasest[[#This Row],[autor_es]],autorest[autor_es],autorest[codigo])</f>
        <v>el</v>
      </c>
      <c r="J219" t="str">
        <f>_xlfn.XLOOKUP(frasest[[#This Row],[autor_es]],autorest[autor_es],autorest[idioma_es])</f>
        <v>Griego</v>
      </c>
      <c r="K219" t="str">
        <f>_xlfn.XLOOKUP(frasest[[#This Row],[autor_es]],autorest[autor_es],autorest[idioma_la])</f>
        <v>Lingua Graeca</v>
      </c>
      <c r="L219" t="str">
        <f>_xlfn.XLOOKUP(frasest[[#This Row],[autor_es]],autorest[autor_es],autorest[nacion_es])</f>
        <v>Grecia</v>
      </c>
      <c r="M219" t="str">
        <f>_xlfn.XLOOKUP(frasest[[#This Row],[autor_es]],autorest[autor_es],autorest[nacion_la])</f>
        <v>Graecia</v>
      </c>
      <c r="N219" t="str">
        <f>_xlfn.XLOOKUP(frasest[[#This Row],[autor_es]],autorest[autor_es],autorest[epoca_es])</f>
        <v>Edad Antigua</v>
      </c>
      <c r="O219" t="str">
        <f>_xlfn.XLOOKUP(frasest[[#This Row],[autor_es]],autorest[autor_es],autorest[epoca_la])</f>
        <v>Antiquitas</v>
      </c>
    </row>
    <row r="220" spans="1:15">
      <c r="A220">
        <v>219</v>
      </c>
      <c r="B220" t="s">
        <v>670</v>
      </c>
      <c r="C220" t="s">
        <v>671</v>
      </c>
      <c r="D220" t="s">
        <v>672</v>
      </c>
      <c r="E220" t="s">
        <v>673</v>
      </c>
      <c r="F220" t="str">
        <f>_xlfn.XLOOKUP(frasest[[#This Row],[autor_es]],autorest[autor_es],autorest[autor_la])</f>
        <v>Clemens Romanus</v>
      </c>
      <c r="G220" t="str">
        <f>_xlfn.XLOOKUP(frasest[[#This Row],[autor_es]],autorest[autor_es],autorest[bio_es])</f>
        <v>Cuarto papa de la Iglesia, Padre Apostólico y mártir. Autor de la carta a los Corintios, documento papal más antiguo después de las epístolas de San Pedro.</v>
      </c>
      <c r="H220" t="str">
        <f>_xlfn.XLOOKUP(frasest[[#This Row],[autor_es]],autorest[autor_es],autorest[bio_la])</f>
        <v>Quartus Papa Ecclesiae, Pater Apostolicus et martyr. Auctor epistulae ad Corinthios, documentum pontificale antiquissimum post epistulas Sancti Petri.</v>
      </c>
      <c r="I220" t="str">
        <f>_xlfn.XLOOKUP(frasest[[#This Row],[autor_es]],autorest[autor_es],autorest[codigo])</f>
        <v>la</v>
      </c>
      <c r="J220" t="str">
        <f>_xlfn.XLOOKUP(frasest[[#This Row],[autor_es]],autorest[autor_es],autorest[idioma_es])</f>
        <v>Latín</v>
      </c>
      <c r="K220" t="str">
        <f>_xlfn.XLOOKUP(frasest[[#This Row],[autor_es]],autorest[autor_es],autorest[idioma_la])</f>
        <v>Lingua Latina</v>
      </c>
      <c r="L220" t="str">
        <f>_xlfn.XLOOKUP(frasest[[#This Row],[autor_es]],autorest[autor_es],autorest[nacion_es])</f>
        <v>Roma</v>
      </c>
      <c r="M220" t="str">
        <f>_xlfn.XLOOKUP(frasest[[#This Row],[autor_es]],autorest[autor_es],autorest[nacion_la])</f>
        <v>Roma</v>
      </c>
      <c r="N220" t="str">
        <f>_xlfn.XLOOKUP(frasest[[#This Row],[autor_es]],autorest[autor_es],autorest[epoca_es])</f>
        <v>Edad Antigua</v>
      </c>
      <c r="O220" t="str">
        <f>_xlfn.XLOOKUP(frasest[[#This Row],[autor_es]],autorest[autor_es],autorest[epoca_la])</f>
        <v>Antiquitas</v>
      </c>
    </row>
    <row r="221" spans="1:15">
      <c r="A221">
        <v>220</v>
      </c>
      <c r="B221" t="s">
        <v>674</v>
      </c>
      <c r="C221" t="s">
        <v>675</v>
      </c>
      <c r="D221" t="s">
        <v>675</v>
      </c>
      <c r="E221" t="s">
        <v>673</v>
      </c>
      <c r="F221" t="str">
        <f>_xlfn.XLOOKUP(frasest[[#This Row],[autor_es]],autorest[autor_es],autorest[autor_la])</f>
        <v>Clemens Romanus</v>
      </c>
      <c r="G221" t="str">
        <f>_xlfn.XLOOKUP(frasest[[#This Row],[autor_es]],autorest[autor_es],autorest[bio_es])</f>
        <v>Cuarto papa de la Iglesia, Padre Apostólico y mártir. Autor de la carta a los Corintios, documento papal más antiguo después de las epístolas de San Pedro.</v>
      </c>
      <c r="H221" t="str">
        <f>_xlfn.XLOOKUP(frasest[[#This Row],[autor_es]],autorest[autor_es],autorest[bio_la])</f>
        <v>Quartus Papa Ecclesiae, Pater Apostolicus et martyr. Auctor epistulae ad Corinthios, documentum pontificale antiquissimum post epistulas Sancti Petri.</v>
      </c>
      <c r="I221" t="str">
        <f>_xlfn.XLOOKUP(frasest[[#This Row],[autor_es]],autorest[autor_es],autorest[codigo])</f>
        <v>la</v>
      </c>
      <c r="J221" t="str">
        <f>_xlfn.XLOOKUP(frasest[[#This Row],[autor_es]],autorest[autor_es],autorest[idioma_es])</f>
        <v>Latín</v>
      </c>
      <c r="K221" t="str">
        <f>_xlfn.XLOOKUP(frasest[[#This Row],[autor_es]],autorest[autor_es],autorest[idioma_la])</f>
        <v>Lingua Latina</v>
      </c>
      <c r="L221" t="str">
        <f>_xlfn.XLOOKUP(frasest[[#This Row],[autor_es]],autorest[autor_es],autorest[nacion_es])</f>
        <v>Roma</v>
      </c>
      <c r="M221" t="str">
        <f>_xlfn.XLOOKUP(frasest[[#This Row],[autor_es]],autorest[autor_es],autorest[nacion_la])</f>
        <v>Roma</v>
      </c>
      <c r="N221" t="str">
        <f>_xlfn.XLOOKUP(frasest[[#This Row],[autor_es]],autorest[autor_es],autorest[epoca_es])</f>
        <v>Edad Antigua</v>
      </c>
      <c r="O221" t="str">
        <f>_xlfn.XLOOKUP(frasest[[#This Row],[autor_es]],autorest[autor_es],autorest[epoca_la])</f>
        <v>Antiquitas</v>
      </c>
    </row>
    <row r="222" spans="1:15">
      <c r="A222">
        <v>221</v>
      </c>
      <c r="B222" t="s">
        <v>676</v>
      </c>
      <c r="C222" t="s">
        <v>677</v>
      </c>
      <c r="D222" t="s">
        <v>677</v>
      </c>
      <c r="E222" t="s">
        <v>673</v>
      </c>
      <c r="F222" t="str">
        <f>_xlfn.XLOOKUP(frasest[[#This Row],[autor_es]],autorest[autor_es],autorest[autor_la])</f>
        <v>Clemens Romanus</v>
      </c>
      <c r="G222" t="str">
        <f>_xlfn.XLOOKUP(frasest[[#This Row],[autor_es]],autorest[autor_es],autorest[bio_es])</f>
        <v>Cuarto papa de la Iglesia, Padre Apostólico y mártir. Autor de la carta a los Corintios, documento papal más antiguo después de las epístolas de San Pedro.</v>
      </c>
      <c r="H222" t="str">
        <f>_xlfn.XLOOKUP(frasest[[#This Row],[autor_es]],autorest[autor_es],autorest[bio_la])</f>
        <v>Quartus Papa Ecclesiae, Pater Apostolicus et martyr. Auctor epistulae ad Corinthios, documentum pontificale antiquissimum post epistulas Sancti Petri.</v>
      </c>
      <c r="I222" t="str">
        <f>_xlfn.XLOOKUP(frasest[[#This Row],[autor_es]],autorest[autor_es],autorest[codigo])</f>
        <v>la</v>
      </c>
      <c r="J222" t="str">
        <f>_xlfn.XLOOKUP(frasest[[#This Row],[autor_es]],autorest[autor_es],autorest[idioma_es])</f>
        <v>Latín</v>
      </c>
      <c r="K222" t="str">
        <f>_xlfn.XLOOKUP(frasest[[#This Row],[autor_es]],autorest[autor_es],autorest[idioma_la])</f>
        <v>Lingua Latina</v>
      </c>
      <c r="L222" t="str">
        <f>_xlfn.XLOOKUP(frasest[[#This Row],[autor_es]],autorest[autor_es],autorest[nacion_es])</f>
        <v>Roma</v>
      </c>
      <c r="M222" t="str">
        <f>_xlfn.XLOOKUP(frasest[[#This Row],[autor_es]],autorest[autor_es],autorest[nacion_la])</f>
        <v>Roma</v>
      </c>
      <c r="N222" t="str">
        <f>_xlfn.XLOOKUP(frasest[[#This Row],[autor_es]],autorest[autor_es],autorest[epoca_es])</f>
        <v>Edad Antigua</v>
      </c>
      <c r="O222" t="str">
        <f>_xlfn.XLOOKUP(frasest[[#This Row],[autor_es]],autorest[autor_es],autorest[epoca_la])</f>
        <v>Antiquitas</v>
      </c>
    </row>
    <row r="223" spans="1:15">
      <c r="A223">
        <v>222</v>
      </c>
      <c r="B223" t="s">
        <v>678</v>
      </c>
      <c r="C223" t="s">
        <v>679</v>
      </c>
      <c r="D223" t="s">
        <v>679</v>
      </c>
      <c r="E223" t="s">
        <v>673</v>
      </c>
      <c r="F223" t="str">
        <f>_xlfn.XLOOKUP(frasest[[#This Row],[autor_es]],autorest[autor_es],autorest[autor_la])</f>
        <v>Clemens Romanus</v>
      </c>
      <c r="G223" t="str">
        <f>_xlfn.XLOOKUP(frasest[[#This Row],[autor_es]],autorest[autor_es],autorest[bio_es])</f>
        <v>Cuarto papa de la Iglesia, Padre Apostólico y mártir. Autor de la carta a los Corintios, documento papal más antiguo después de las epístolas de San Pedro.</v>
      </c>
      <c r="H223" t="str">
        <f>_xlfn.XLOOKUP(frasest[[#This Row],[autor_es]],autorest[autor_es],autorest[bio_la])</f>
        <v>Quartus Papa Ecclesiae, Pater Apostolicus et martyr. Auctor epistulae ad Corinthios, documentum pontificale antiquissimum post epistulas Sancti Petri.</v>
      </c>
      <c r="I223" t="str">
        <f>_xlfn.XLOOKUP(frasest[[#This Row],[autor_es]],autorest[autor_es],autorest[codigo])</f>
        <v>la</v>
      </c>
      <c r="J223" t="str">
        <f>_xlfn.XLOOKUP(frasest[[#This Row],[autor_es]],autorest[autor_es],autorest[idioma_es])</f>
        <v>Latín</v>
      </c>
      <c r="K223" t="str">
        <f>_xlfn.XLOOKUP(frasest[[#This Row],[autor_es]],autorest[autor_es],autorest[idioma_la])</f>
        <v>Lingua Latina</v>
      </c>
      <c r="L223" t="str">
        <f>_xlfn.XLOOKUP(frasest[[#This Row],[autor_es]],autorest[autor_es],autorest[nacion_es])</f>
        <v>Roma</v>
      </c>
      <c r="M223" t="str">
        <f>_xlfn.XLOOKUP(frasest[[#This Row],[autor_es]],autorest[autor_es],autorest[nacion_la])</f>
        <v>Roma</v>
      </c>
      <c r="N223" t="str">
        <f>_xlfn.XLOOKUP(frasest[[#This Row],[autor_es]],autorest[autor_es],autorest[epoca_es])</f>
        <v>Edad Antigua</v>
      </c>
      <c r="O223" t="str">
        <f>_xlfn.XLOOKUP(frasest[[#This Row],[autor_es]],autorest[autor_es],autorest[epoca_la])</f>
        <v>Antiquitas</v>
      </c>
    </row>
    <row r="224" spans="1:15">
      <c r="A224">
        <v>223</v>
      </c>
      <c r="B224" t="s">
        <v>680</v>
      </c>
      <c r="C224" t="s">
        <v>681</v>
      </c>
      <c r="D224" t="s">
        <v>681</v>
      </c>
      <c r="E224" t="s">
        <v>673</v>
      </c>
      <c r="F224" t="str">
        <f>_xlfn.XLOOKUP(frasest[[#This Row],[autor_es]],autorest[autor_es],autorest[autor_la])</f>
        <v>Clemens Romanus</v>
      </c>
      <c r="G224" t="str">
        <f>_xlfn.XLOOKUP(frasest[[#This Row],[autor_es]],autorest[autor_es],autorest[bio_es])</f>
        <v>Cuarto papa de la Iglesia, Padre Apostólico y mártir. Autor de la carta a los Corintios, documento papal más antiguo después de las epístolas de San Pedro.</v>
      </c>
      <c r="H224" t="str">
        <f>_xlfn.XLOOKUP(frasest[[#This Row],[autor_es]],autorest[autor_es],autorest[bio_la])</f>
        <v>Quartus Papa Ecclesiae, Pater Apostolicus et martyr. Auctor epistulae ad Corinthios, documentum pontificale antiquissimum post epistulas Sancti Petri.</v>
      </c>
      <c r="I224" t="str">
        <f>_xlfn.XLOOKUP(frasest[[#This Row],[autor_es]],autorest[autor_es],autorest[codigo])</f>
        <v>la</v>
      </c>
      <c r="J224" t="str">
        <f>_xlfn.XLOOKUP(frasest[[#This Row],[autor_es]],autorest[autor_es],autorest[idioma_es])</f>
        <v>Latín</v>
      </c>
      <c r="K224" t="str">
        <f>_xlfn.XLOOKUP(frasest[[#This Row],[autor_es]],autorest[autor_es],autorest[idioma_la])</f>
        <v>Lingua Latina</v>
      </c>
      <c r="L224" t="str">
        <f>_xlfn.XLOOKUP(frasest[[#This Row],[autor_es]],autorest[autor_es],autorest[nacion_es])</f>
        <v>Roma</v>
      </c>
      <c r="M224" t="str">
        <f>_xlfn.XLOOKUP(frasest[[#This Row],[autor_es]],autorest[autor_es],autorest[nacion_la])</f>
        <v>Roma</v>
      </c>
      <c r="N224" t="str">
        <f>_xlfn.XLOOKUP(frasest[[#This Row],[autor_es]],autorest[autor_es],autorest[epoca_es])</f>
        <v>Edad Antigua</v>
      </c>
      <c r="O224" t="str">
        <f>_xlfn.XLOOKUP(frasest[[#This Row],[autor_es]],autorest[autor_es],autorest[epoca_la])</f>
        <v>Antiquitas</v>
      </c>
    </row>
    <row r="225" spans="1:15">
      <c r="A225">
        <v>224</v>
      </c>
      <c r="B225" t="s">
        <v>682</v>
      </c>
      <c r="C225" t="s">
        <v>683</v>
      </c>
      <c r="D225" t="s">
        <v>683</v>
      </c>
      <c r="E225" t="s">
        <v>673</v>
      </c>
      <c r="F225" t="str">
        <f>_xlfn.XLOOKUP(frasest[[#This Row],[autor_es]],autorest[autor_es],autorest[autor_la])</f>
        <v>Clemens Romanus</v>
      </c>
      <c r="G225" t="str">
        <f>_xlfn.XLOOKUP(frasest[[#This Row],[autor_es]],autorest[autor_es],autorest[bio_es])</f>
        <v>Cuarto papa de la Iglesia, Padre Apostólico y mártir. Autor de la carta a los Corintios, documento papal más antiguo después de las epístolas de San Pedro.</v>
      </c>
      <c r="H225" t="str">
        <f>_xlfn.XLOOKUP(frasest[[#This Row],[autor_es]],autorest[autor_es],autorest[bio_la])</f>
        <v>Quartus Papa Ecclesiae, Pater Apostolicus et martyr. Auctor epistulae ad Corinthios, documentum pontificale antiquissimum post epistulas Sancti Petri.</v>
      </c>
      <c r="I225" t="str">
        <f>_xlfn.XLOOKUP(frasest[[#This Row],[autor_es]],autorest[autor_es],autorest[codigo])</f>
        <v>la</v>
      </c>
      <c r="J225" t="str">
        <f>_xlfn.XLOOKUP(frasest[[#This Row],[autor_es]],autorest[autor_es],autorest[idioma_es])</f>
        <v>Latín</v>
      </c>
      <c r="K225" t="str">
        <f>_xlfn.XLOOKUP(frasest[[#This Row],[autor_es]],autorest[autor_es],autorest[idioma_la])</f>
        <v>Lingua Latina</v>
      </c>
      <c r="L225" t="str">
        <f>_xlfn.XLOOKUP(frasest[[#This Row],[autor_es]],autorest[autor_es],autorest[nacion_es])</f>
        <v>Roma</v>
      </c>
      <c r="M225" t="str">
        <f>_xlfn.XLOOKUP(frasest[[#This Row],[autor_es]],autorest[autor_es],autorest[nacion_la])</f>
        <v>Roma</v>
      </c>
      <c r="N225" t="str">
        <f>_xlfn.XLOOKUP(frasest[[#This Row],[autor_es]],autorest[autor_es],autorest[epoca_es])</f>
        <v>Edad Antigua</v>
      </c>
      <c r="O225" t="str">
        <f>_xlfn.XLOOKUP(frasest[[#This Row],[autor_es]],autorest[autor_es],autorest[epoca_la])</f>
        <v>Antiquitas</v>
      </c>
    </row>
    <row r="226" spans="1:15">
      <c r="A226">
        <v>225</v>
      </c>
      <c r="B226" t="s">
        <v>684</v>
      </c>
      <c r="C226" t="s">
        <v>685</v>
      </c>
      <c r="D226" t="s">
        <v>685</v>
      </c>
      <c r="E226" t="s">
        <v>673</v>
      </c>
      <c r="F226" t="str">
        <f>_xlfn.XLOOKUP(frasest[[#This Row],[autor_es]],autorest[autor_es],autorest[autor_la])</f>
        <v>Clemens Romanus</v>
      </c>
      <c r="G226" t="str">
        <f>_xlfn.XLOOKUP(frasest[[#This Row],[autor_es]],autorest[autor_es],autorest[bio_es])</f>
        <v>Cuarto papa de la Iglesia, Padre Apostólico y mártir. Autor de la carta a los Corintios, documento papal más antiguo después de las epístolas de San Pedro.</v>
      </c>
      <c r="H226" t="str">
        <f>_xlfn.XLOOKUP(frasest[[#This Row],[autor_es]],autorest[autor_es],autorest[bio_la])</f>
        <v>Quartus Papa Ecclesiae, Pater Apostolicus et martyr. Auctor epistulae ad Corinthios, documentum pontificale antiquissimum post epistulas Sancti Petri.</v>
      </c>
      <c r="I226" t="str">
        <f>_xlfn.XLOOKUP(frasest[[#This Row],[autor_es]],autorest[autor_es],autorest[codigo])</f>
        <v>la</v>
      </c>
      <c r="J226" t="str">
        <f>_xlfn.XLOOKUP(frasest[[#This Row],[autor_es]],autorest[autor_es],autorest[idioma_es])</f>
        <v>Latín</v>
      </c>
      <c r="K226" t="str">
        <f>_xlfn.XLOOKUP(frasest[[#This Row],[autor_es]],autorest[autor_es],autorest[idioma_la])</f>
        <v>Lingua Latina</v>
      </c>
      <c r="L226" t="str">
        <f>_xlfn.XLOOKUP(frasest[[#This Row],[autor_es]],autorest[autor_es],autorest[nacion_es])</f>
        <v>Roma</v>
      </c>
      <c r="M226" t="str">
        <f>_xlfn.XLOOKUP(frasest[[#This Row],[autor_es]],autorest[autor_es],autorest[nacion_la])</f>
        <v>Roma</v>
      </c>
      <c r="N226" t="str">
        <f>_xlfn.XLOOKUP(frasest[[#This Row],[autor_es]],autorest[autor_es],autorest[epoca_es])</f>
        <v>Edad Antigua</v>
      </c>
      <c r="O226" t="str">
        <f>_xlfn.XLOOKUP(frasest[[#This Row],[autor_es]],autorest[autor_es],autorest[epoca_la])</f>
        <v>Antiquitas</v>
      </c>
    </row>
    <row r="227" spans="1:15">
      <c r="A227">
        <v>226</v>
      </c>
      <c r="B227" t="s">
        <v>686</v>
      </c>
      <c r="C227" t="s">
        <v>687</v>
      </c>
      <c r="D227" t="s">
        <v>687</v>
      </c>
      <c r="E227" t="s">
        <v>673</v>
      </c>
      <c r="F227" t="str">
        <f>_xlfn.XLOOKUP(frasest[[#This Row],[autor_es]],autorest[autor_es],autorest[autor_la])</f>
        <v>Clemens Romanus</v>
      </c>
      <c r="G227" t="str">
        <f>_xlfn.XLOOKUP(frasest[[#This Row],[autor_es]],autorest[autor_es],autorest[bio_es])</f>
        <v>Cuarto papa de la Iglesia, Padre Apostólico y mártir. Autor de la carta a los Corintios, documento papal más antiguo después de las epístolas de San Pedro.</v>
      </c>
      <c r="H227" t="str">
        <f>_xlfn.XLOOKUP(frasest[[#This Row],[autor_es]],autorest[autor_es],autorest[bio_la])</f>
        <v>Quartus Papa Ecclesiae, Pater Apostolicus et martyr. Auctor epistulae ad Corinthios, documentum pontificale antiquissimum post epistulas Sancti Petri.</v>
      </c>
      <c r="I227" t="str">
        <f>_xlfn.XLOOKUP(frasest[[#This Row],[autor_es]],autorest[autor_es],autorest[codigo])</f>
        <v>la</v>
      </c>
      <c r="J227" t="str">
        <f>_xlfn.XLOOKUP(frasest[[#This Row],[autor_es]],autorest[autor_es],autorest[idioma_es])</f>
        <v>Latín</v>
      </c>
      <c r="K227" t="str">
        <f>_xlfn.XLOOKUP(frasest[[#This Row],[autor_es]],autorest[autor_es],autorest[idioma_la])</f>
        <v>Lingua Latina</v>
      </c>
      <c r="L227" t="str">
        <f>_xlfn.XLOOKUP(frasest[[#This Row],[autor_es]],autorest[autor_es],autorest[nacion_es])</f>
        <v>Roma</v>
      </c>
      <c r="M227" t="str">
        <f>_xlfn.XLOOKUP(frasest[[#This Row],[autor_es]],autorest[autor_es],autorest[nacion_la])</f>
        <v>Roma</v>
      </c>
      <c r="N227" t="str">
        <f>_xlfn.XLOOKUP(frasest[[#This Row],[autor_es]],autorest[autor_es],autorest[epoca_es])</f>
        <v>Edad Antigua</v>
      </c>
      <c r="O227" t="str">
        <f>_xlfn.XLOOKUP(frasest[[#This Row],[autor_es]],autorest[autor_es],autorest[epoca_la])</f>
        <v>Antiquitas</v>
      </c>
    </row>
    <row r="228" spans="1:15">
      <c r="A228">
        <v>227</v>
      </c>
      <c r="B228" t="s">
        <v>688</v>
      </c>
      <c r="C228" t="s">
        <v>689</v>
      </c>
      <c r="D228" t="s">
        <v>689</v>
      </c>
      <c r="E228" t="s">
        <v>673</v>
      </c>
      <c r="F228" t="str">
        <f>_xlfn.XLOOKUP(frasest[[#This Row],[autor_es]],autorest[autor_es],autorest[autor_la])</f>
        <v>Clemens Romanus</v>
      </c>
      <c r="G228" t="str">
        <f>_xlfn.XLOOKUP(frasest[[#This Row],[autor_es]],autorest[autor_es],autorest[bio_es])</f>
        <v>Cuarto papa de la Iglesia, Padre Apostólico y mártir. Autor de la carta a los Corintios, documento papal más antiguo después de las epístolas de San Pedro.</v>
      </c>
      <c r="H228" t="str">
        <f>_xlfn.XLOOKUP(frasest[[#This Row],[autor_es]],autorest[autor_es],autorest[bio_la])</f>
        <v>Quartus Papa Ecclesiae, Pater Apostolicus et martyr. Auctor epistulae ad Corinthios, documentum pontificale antiquissimum post epistulas Sancti Petri.</v>
      </c>
      <c r="I228" t="str">
        <f>_xlfn.XLOOKUP(frasest[[#This Row],[autor_es]],autorest[autor_es],autorest[codigo])</f>
        <v>la</v>
      </c>
      <c r="J228" t="str">
        <f>_xlfn.XLOOKUP(frasest[[#This Row],[autor_es]],autorest[autor_es],autorest[idioma_es])</f>
        <v>Latín</v>
      </c>
      <c r="K228" t="str">
        <f>_xlfn.XLOOKUP(frasest[[#This Row],[autor_es]],autorest[autor_es],autorest[idioma_la])</f>
        <v>Lingua Latina</v>
      </c>
      <c r="L228" t="str">
        <f>_xlfn.XLOOKUP(frasest[[#This Row],[autor_es]],autorest[autor_es],autorest[nacion_es])</f>
        <v>Roma</v>
      </c>
      <c r="M228" t="str">
        <f>_xlfn.XLOOKUP(frasest[[#This Row],[autor_es]],autorest[autor_es],autorest[nacion_la])</f>
        <v>Roma</v>
      </c>
      <c r="N228" t="str">
        <f>_xlfn.XLOOKUP(frasest[[#This Row],[autor_es]],autorest[autor_es],autorest[epoca_es])</f>
        <v>Edad Antigua</v>
      </c>
      <c r="O228" t="str">
        <f>_xlfn.XLOOKUP(frasest[[#This Row],[autor_es]],autorest[autor_es],autorest[epoca_la])</f>
        <v>Antiquitas</v>
      </c>
    </row>
    <row r="229" spans="1:15">
      <c r="A229">
        <v>228</v>
      </c>
      <c r="B229" t="s">
        <v>690</v>
      </c>
      <c r="C229" t="s">
        <v>691</v>
      </c>
      <c r="D229" t="s">
        <v>691</v>
      </c>
      <c r="E229" t="s">
        <v>673</v>
      </c>
      <c r="F229" t="str">
        <f>_xlfn.XLOOKUP(frasest[[#This Row],[autor_es]],autorest[autor_es],autorest[autor_la])</f>
        <v>Clemens Romanus</v>
      </c>
      <c r="G229" t="str">
        <f>_xlfn.XLOOKUP(frasest[[#This Row],[autor_es]],autorest[autor_es],autorest[bio_es])</f>
        <v>Cuarto papa de la Iglesia, Padre Apostólico y mártir. Autor de la carta a los Corintios, documento papal más antiguo después de las epístolas de San Pedro.</v>
      </c>
      <c r="H229" t="str">
        <f>_xlfn.XLOOKUP(frasest[[#This Row],[autor_es]],autorest[autor_es],autorest[bio_la])</f>
        <v>Quartus Papa Ecclesiae, Pater Apostolicus et martyr. Auctor epistulae ad Corinthios, documentum pontificale antiquissimum post epistulas Sancti Petri.</v>
      </c>
      <c r="I229" t="str">
        <f>_xlfn.XLOOKUP(frasest[[#This Row],[autor_es]],autorest[autor_es],autorest[codigo])</f>
        <v>la</v>
      </c>
      <c r="J229" t="str">
        <f>_xlfn.XLOOKUP(frasest[[#This Row],[autor_es]],autorest[autor_es],autorest[idioma_es])</f>
        <v>Latín</v>
      </c>
      <c r="K229" t="str">
        <f>_xlfn.XLOOKUP(frasest[[#This Row],[autor_es]],autorest[autor_es],autorest[idioma_la])</f>
        <v>Lingua Latina</v>
      </c>
      <c r="L229" t="str">
        <f>_xlfn.XLOOKUP(frasest[[#This Row],[autor_es]],autorest[autor_es],autorest[nacion_es])</f>
        <v>Roma</v>
      </c>
      <c r="M229" t="str">
        <f>_xlfn.XLOOKUP(frasest[[#This Row],[autor_es]],autorest[autor_es],autorest[nacion_la])</f>
        <v>Roma</v>
      </c>
      <c r="N229" t="str">
        <f>_xlfn.XLOOKUP(frasest[[#This Row],[autor_es]],autorest[autor_es],autorest[epoca_es])</f>
        <v>Edad Antigua</v>
      </c>
      <c r="O229" t="str">
        <f>_xlfn.XLOOKUP(frasest[[#This Row],[autor_es]],autorest[autor_es],autorest[epoca_la])</f>
        <v>Antiquitas</v>
      </c>
    </row>
    <row r="230" spans="1:15">
      <c r="A230">
        <v>229</v>
      </c>
      <c r="B230" t="s">
        <v>692</v>
      </c>
      <c r="C230" t="s">
        <v>693</v>
      </c>
      <c r="D230" t="s">
        <v>694</v>
      </c>
      <c r="E230" t="s">
        <v>695</v>
      </c>
      <c r="F230" t="str">
        <f>_xlfn.XLOOKUP(frasest[[#This Row],[autor_es]],autorest[autor_es],autorest[autor_la])</f>
        <v>Ignatius Antiochenus</v>
      </c>
      <c r="G230" t="str">
        <f>_xlfn.XLOOKUP(frasest[[#This Row],[autor_es]],autorest[autor_es],autorest[bio_es])</f>
        <v>Obispo de Antioquía, mártir y Padre Apostólico. Discípulo de San Juan Evangelista, martirizado en Roma. Autor de siete cartas escritas camino al martirio.</v>
      </c>
      <c r="H230" t="str">
        <f>_xlfn.XLOOKUP(frasest[[#This Row],[autor_es]],autorest[autor_es],autorest[bio_la])</f>
        <v>Episcopus Antiochenus, martyr et Pater Apostolicus. Discipulus Sancti Ioannis Evangelistae, Romae martyrizatus. Auctor septem epistularum in via ad martyrium scriptarum.</v>
      </c>
      <c r="I230" t="str">
        <f>_xlfn.XLOOKUP(frasest[[#This Row],[autor_es]],autorest[autor_es],autorest[codigo])</f>
        <v>la</v>
      </c>
      <c r="J230" t="str">
        <f>_xlfn.XLOOKUP(frasest[[#This Row],[autor_es]],autorest[autor_es],autorest[idioma_es])</f>
        <v>Latín</v>
      </c>
      <c r="K230" t="str">
        <f>_xlfn.XLOOKUP(frasest[[#This Row],[autor_es]],autorest[autor_es],autorest[idioma_la])</f>
        <v>Lingua Latina</v>
      </c>
      <c r="L230" t="str">
        <f>_xlfn.XLOOKUP(frasest[[#This Row],[autor_es]],autorest[autor_es],autorest[nacion_es])</f>
        <v>Roma</v>
      </c>
      <c r="M230" t="str">
        <f>_xlfn.XLOOKUP(frasest[[#This Row],[autor_es]],autorest[autor_es],autorest[nacion_la])</f>
        <v>Roma</v>
      </c>
      <c r="N230" t="str">
        <f>_xlfn.XLOOKUP(frasest[[#This Row],[autor_es]],autorest[autor_es],autorest[epoca_es])</f>
        <v>Edad Antigua</v>
      </c>
      <c r="O230" t="str">
        <f>_xlfn.XLOOKUP(frasest[[#This Row],[autor_es]],autorest[autor_es],autorest[epoca_la])</f>
        <v>Antiquitas</v>
      </c>
    </row>
    <row r="231" spans="1:15">
      <c r="A231">
        <v>230</v>
      </c>
      <c r="B231" t="s">
        <v>696</v>
      </c>
      <c r="C231" t="s">
        <v>697</v>
      </c>
      <c r="D231" t="s">
        <v>697</v>
      </c>
      <c r="E231" t="s">
        <v>695</v>
      </c>
      <c r="F231" t="str">
        <f>_xlfn.XLOOKUP(frasest[[#This Row],[autor_es]],autorest[autor_es],autorest[autor_la])</f>
        <v>Ignatius Antiochenus</v>
      </c>
      <c r="G231" t="str">
        <f>_xlfn.XLOOKUP(frasest[[#This Row],[autor_es]],autorest[autor_es],autorest[bio_es])</f>
        <v>Obispo de Antioquía, mártir y Padre Apostólico. Discípulo de San Juan Evangelista, martirizado en Roma. Autor de siete cartas escritas camino al martirio.</v>
      </c>
      <c r="H231" t="str">
        <f>_xlfn.XLOOKUP(frasest[[#This Row],[autor_es]],autorest[autor_es],autorest[bio_la])</f>
        <v>Episcopus Antiochenus, martyr et Pater Apostolicus. Discipulus Sancti Ioannis Evangelistae, Romae martyrizatus. Auctor septem epistularum in via ad martyrium scriptarum.</v>
      </c>
      <c r="I231" t="str">
        <f>_xlfn.XLOOKUP(frasest[[#This Row],[autor_es]],autorest[autor_es],autorest[codigo])</f>
        <v>la</v>
      </c>
      <c r="J231" t="str">
        <f>_xlfn.XLOOKUP(frasest[[#This Row],[autor_es]],autorest[autor_es],autorest[idioma_es])</f>
        <v>Latín</v>
      </c>
      <c r="K231" t="str">
        <f>_xlfn.XLOOKUP(frasest[[#This Row],[autor_es]],autorest[autor_es],autorest[idioma_la])</f>
        <v>Lingua Latina</v>
      </c>
      <c r="L231" t="str">
        <f>_xlfn.XLOOKUP(frasest[[#This Row],[autor_es]],autorest[autor_es],autorest[nacion_es])</f>
        <v>Roma</v>
      </c>
      <c r="M231" t="str">
        <f>_xlfn.XLOOKUP(frasest[[#This Row],[autor_es]],autorest[autor_es],autorest[nacion_la])</f>
        <v>Roma</v>
      </c>
      <c r="N231" t="str">
        <f>_xlfn.XLOOKUP(frasest[[#This Row],[autor_es]],autorest[autor_es],autorest[epoca_es])</f>
        <v>Edad Antigua</v>
      </c>
      <c r="O231" t="str">
        <f>_xlfn.XLOOKUP(frasest[[#This Row],[autor_es]],autorest[autor_es],autorest[epoca_la])</f>
        <v>Antiquitas</v>
      </c>
    </row>
    <row r="232" spans="1:15">
      <c r="A232">
        <v>231</v>
      </c>
      <c r="B232" t="s">
        <v>698</v>
      </c>
      <c r="C232" t="s">
        <v>699</v>
      </c>
      <c r="D232" t="s">
        <v>699</v>
      </c>
      <c r="E232" t="s">
        <v>695</v>
      </c>
      <c r="F232" t="str">
        <f>_xlfn.XLOOKUP(frasest[[#This Row],[autor_es]],autorest[autor_es],autorest[autor_la])</f>
        <v>Ignatius Antiochenus</v>
      </c>
      <c r="G232" t="str">
        <f>_xlfn.XLOOKUP(frasest[[#This Row],[autor_es]],autorest[autor_es],autorest[bio_es])</f>
        <v>Obispo de Antioquía, mártir y Padre Apostólico. Discípulo de San Juan Evangelista, martirizado en Roma. Autor de siete cartas escritas camino al martirio.</v>
      </c>
      <c r="H232" t="str">
        <f>_xlfn.XLOOKUP(frasest[[#This Row],[autor_es]],autorest[autor_es],autorest[bio_la])</f>
        <v>Episcopus Antiochenus, martyr et Pater Apostolicus. Discipulus Sancti Ioannis Evangelistae, Romae martyrizatus. Auctor septem epistularum in via ad martyrium scriptarum.</v>
      </c>
      <c r="I232" t="str">
        <f>_xlfn.XLOOKUP(frasest[[#This Row],[autor_es]],autorest[autor_es],autorest[codigo])</f>
        <v>la</v>
      </c>
      <c r="J232" t="str">
        <f>_xlfn.XLOOKUP(frasest[[#This Row],[autor_es]],autorest[autor_es],autorest[idioma_es])</f>
        <v>Latín</v>
      </c>
      <c r="K232" t="str">
        <f>_xlfn.XLOOKUP(frasest[[#This Row],[autor_es]],autorest[autor_es],autorest[idioma_la])</f>
        <v>Lingua Latina</v>
      </c>
      <c r="L232" t="str">
        <f>_xlfn.XLOOKUP(frasest[[#This Row],[autor_es]],autorest[autor_es],autorest[nacion_es])</f>
        <v>Roma</v>
      </c>
      <c r="M232" t="str">
        <f>_xlfn.XLOOKUP(frasest[[#This Row],[autor_es]],autorest[autor_es],autorest[nacion_la])</f>
        <v>Roma</v>
      </c>
      <c r="N232" t="str">
        <f>_xlfn.XLOOKUP(frasest[[#This Row],[autor_es]],autorest[autor_es],autorest[epoca_es])</f>
        <v>Edad Antigua</v>
      </c>
      <c r="O232" t="str">
        <f>_xlfn.XLOOKUP(frasest[[#This Row],[autor_es]],autorest[autor_es],autorest[epoca_la])</f>
        <v>Antiquitas</v>
      </c>
    </row>
    <row r="233" spans="1:15">
      <c r="A233">
        <v>232</v>
      </c>
      <c r="B233" t="s">
        <v>700</v>
      </c>
      <c r="C233" t="s">
        <v>701</v>
      </c>
      <c r="D233" t="s">
        <v>701</v>
      </c>
      <c r="E233" t="s">
        <v>695</v>
      </c>
      <c r="F233" t="str">
        <f>_xlfn.XLOOKUP(frasest[[#This Row],[autor_es]],autorest[autor_es],autorest[autor_la])</f>
        <v>Ignatius Antiochenus</v>
      </c>
      <c r="G233" t="str">
        <f>_xlfn.XLOOKUP(frasest[[#This Row],[autor_es]],autorest[autor_es],autorest[bio_es])</f>
        <v>Obispo de Antioquía, mártir y Padre Apostólico. Discípulo de San Juan Evangelista, martirizado en Roma. Autor de siete cartas escritas camino al martirio.</v>
      </c>
      <c r="H233" t="str">
        <f>_xlfn.XLOOKUP(frasest[[#This Row],[autor_es]],autorest[autor_es],autorest[bio_la])</f>
        <v>Episcopus Antiochenus, martyr et Pater Apostolicus. Discipulus Sancti Ioannis Evangelistae, Romae martyrizatus. Auctor septem epistularum in via ad martyrium scriptarum.</v>
      </c>
      <c r="I233" t="str">
        <f>_xlfn.XLOOKUP(frasest[[#This Row],[autor_es]],autorest[autor_es],autorest[codigo])</f>
        <v>la</v>
      </c>
      <c r="J233" t="str">
        <f>_xlfn.XLOOKUP(frasest[[#This Row],[autor_es]],autorest[autor_es],autorest[idioma_es])</f>
        <v>Latín</v>
      </c>
      <c r="K233" t="str">
        <f>_xlfn.XLOOKUP(frasest[[#This Row],[autor_es]],autorest[autor_es],autorest[idioma_la])</f>
        <v>Lingua Latina</v>
      </c>
      <c r="L233" t="str">
        <f>_xlfn.XLOOKUP(frasest[[#This Row],[autor_es]],autorest[autor_es],autorest[nacion_es])</f>
        <v>Roma</v>
      </c>
      <c r="M233" t="str">
        <f>_xlfn.XLOOKUP(frasest[[#This Row],[autor_es]],autorest[autor_es],autorest[nacion_la])</f>
        <v>Roma</v>
      </c>
      <c r="N233" t="str">
        <f>_xlfn.XLOOKUP(frasest[[#This Row],[autor_es]],autorest[autor_es],autorest[epoca_es])</f>
        <v>Edad Antigua</v>
      </c>
      <c r="O233" t="str">
        <f>_xlfn.XLOOKUP(frasest[[#This Row],[autor_es]],autorest[autor_es],autorest[epoca_la])</f>
        <v>Antiquitas</v>
      </c>
    </row>
    <row r="234" spans="1:15">
      <c r="A234">
        <v>233</v>
      </c>
      <c r="B234" t="s">
        <v>702</v>
      </c>
      <c r="C234" t="s">
        <v>703</v>
      </c>
      <c r="D234" t="s">
        <v>703</v>
      </c>
      <c r="E234" t="s">
        <v>695</v>
      </c>
      <c r="F234" t="str">
        <f>_xlfn.XLOOKUP(frasest[[#This Row],[autor_es]],autorest[autor_es],autorest[autor_la])</f>
        <v>Ignatius Antiochenus</v>
      </c>
      <c r="G234" t="str">
        <f>_xlfn.XLOOKUP(frasest[[#This Row],[autor_es]],autorest[autor_es],autorest[bio_es])</f>
        <v>Obispo de Antioquía, mártir y Padre Apostólico. Discípulo de San Juan Evangelista, martirizado en Roma. Autor de siete cartas escritas camino al martirio.</v>
      </c>
      <c r="H234" t="str">
        <f>_xlfn.XLOOKUP(frasest[[#This Row],[autor_es]],autorest[autor_es],autorest[bio_la])</f>
        <v>Episcopus Antiochenus, martyr et Pater Apostolicus. Discipulus Sancti Ioannis Evangelistae, Romae martyrizatus. Auctor septem epistularum in via ad martyrium scriptarum.</v>
      </c>
      <c r="I234" t="str">
        <f>_xlfn.XLOOKUP(frasest[[#This Row],[autor_es]],autorest[autor_es],autorest[codigo])</f>
        <v>la</v>
      </c>
      <c r="J234" t="str">
        <f>_xlfn.XLOOKUP(frasest[[#This Row],[autor_es]],autorest[autor_es],autorest[idioma_es])</f>
        <v>Latín</v>
      </c>
      <c r="K234" t="str">
        <f>_xlfn.XLOOKUP(frasest[[#This Row],[autor_es]],autorest[autor_es],autorest[idioma_la])</f>
        <v>Lingua Latina</v>
      </c>
      <c r="L234" t="str">
        <f>_xlfn.XLOOKUP(frasest[[#This Row],[autor_es]],autorest[autor_es],autorest[nacion_es])</f>
        <v>Roma</v>
      </c>
      <c r="M234" t="str">
        <f>_xlfn.XLOOKUP(frasest[[#This Row],[autor_es]],autorest[autor_es],autorest[nacion_la])</f>
        <v>Roma</v>
      </c>
      <c r="N234" t="str">
        <f>_xlfn.XLOOKUP(frasest[[#This Row],[autor_es]],autorest[autor_es],autorest[epoca_es])</f>
        <v>Edad Antigua</v>
      </c>
      <c r="O234" t="str">
        <f>_xlfn.XLOOKUP(frasest[[#This Row],[autor_es]],autorest[autor_es],autorest[epoca_la])</f>
        <v>Antiquitas</v>
      </c>
    </row>
    <row r="235" spans="1:15">
      <c r="A235">
        <v>234</v>
      </c>
      <c r="B235" t="s">
        <v>704</v>
      </c>
      <c r="C235" t="s">
        <v>705</v>
      </c>
      <c r="D235" t="s">
        <v>705</v>
      </c>
      <c r="E235" t="s">
        <v>695</v>
      </c>
      <c r="F235" t="str">
        <f>_xlfn.XLOOKUP(frasest[[#This Row],[autor_es]],autorest[autor_es],autorest[autor_la])</f>
        <v>Ignatius Antiochenus</v>
      </c>
      <c r="G235" t="str">
        <f>_xlfn.XLOOKUP(frasest[[#This Row],[autor_es]],autorest[autor_es],autorest[bio_es])</f>
        <v>Obispo de Antioquía, mártir y Padre Apostólico. Discípulo de San Juan Evangelista, martirizado en Roma. Autor de siete cartas escritas camino al martirio.</v>
      </c>
      <c r="H235" t="str">
        <f>_xlfn.XLOOKUP(frasest[[#This Row],[autor_es]],autorest[autor_es],autorest[bio_la])</f>
        <v>Episcopus Antiochenus, martyr et Pater Apostolicus. Discipulus Sancti Ioannis Evangelistae, Romae martyrizatus. Auctor septem epistularum in via ad martyrium scriptarum.</v>
      </c>
      <c r="I235" t="str">
        <f>_xlfn.XLOOKUP(frasest[[#This Row],[autor_es]],autorest[autor_es],autorest[codigo])</f>
        <v>la</v>
      </c>
      <c r="J235" t="str">
        <f>_xlfn.XLOOKUP(frasest[[#This Row],[autor_es]],autorest[autor_es],autorest[idioma_es])</f>
        <v>Latín</v>
      </c>
      <c r="K235" t="str">
        <f>_xlfn.XLOOKUP(frasest[[#This Row],[autor_es]],autorest[autor_es],autorest[idioma_la])</f>
        <v>Lingua Latina</v>
      </c>
      <c r="L235" t="str">
        <f>_xlfn.XLOOKUP(frasest[[#This Row],[autor_es]],autorest[autor_es],autorest[nacion_es])</f>
        <v>Roma</v>
      </c>
      <c r="M235" t="str">
        <f>_xlfn.XLOOKUP(frasest[[#This Row],[autor_es]],autorest[autor_es],autorest[nacion_la])</f>
        <v>Roma</v>
      </c>
      <c r="N235" t="str">
        <f>_xlfn.XLOOKUP(frasest[[#This Row],[autor_es]],autorest[autor_es],autorest[epoca_es])</f>
        <v>Edad Antigua</v>
      </c>
      <c r="O235" t="str">
        <f>_xlfn.XLOOKUP(frasest[[#This Row],[autor_es]],autorest[autor_es],autorest[epoca_la])</f>
        <v>Antiquitas</v>
      </c>
    </row>
    <row r="236" spans="1:15">
      <c r="A236">
        <v>235</v>
      </c>
      <c r="B236" t="s">
        <v>706</v>
      </c>
      <c r="C236" t="s">
        <v>707</v>
      </c>
      <c r="D236" t="s">
        <v>707</v>
      </c>
      <c r="E236" t="s">
        <v>695</v>
      </c>
      <c r="F236" t="str">
        <f>_xlfn.XLOOKUP(frasest[[#This Row],[autor_es]],autorest[autor_es],autorest[autor_la])</f>
        <v>Ignatius Antiochenus</v>
      </c>
      <c r="G236" t="str">
        <f>_xlfn.XLOOKUP(frasest[[#This Row],[autor_es]],autorest[autor_es],autorest[bio_es])</f>
        <v>Obispo de Antioquía, mártir y Padre Apostólico. Discípulo de San Juan Evangelista, martirizado en Roma. Autor de siete cartas escritas camino al martirio.</v>
      </c>
      <c r="H236" t="str">
        <f>_xlfn.XLOOKUP(frasest[[#This Row],[autor_es]],autorest[autor_es],autorest[bio_la])</f>
        <v>Episcopus Antiochenus, martyr et Pater Apostolicus. Discipulus Sancti Ioannis Evangelistae, Romae martyrizatus. Auctor septem epistularum in via ad martyrium scriptarum.</v>
      </c>
      <c r="I236" t="str">
        <f>_xlfn.XLOOKUP(frasest[[#This Row],[autor_es]],autorest[autor_es],autorest[codigo])</f>
        <v>la</v>
      </c>
      <c r="J236" t="str">
        <f>_xlfn.XLOOKUP(frasest[[#This Row],[autor_es]],autorest[autor_es],autorest[idioma_es])</f>
        <v>Latín</v>
      </c>
      <c r="K236" t="str">
        <f>_xlfn.XLOOKUP(frasest[[#This Row],[autor_es]],autorest[autor_es],autorest[idioma_la])</f>
        <v>Lingua Latina</v>
      </c>
      <c r="L236" t="str">
        <f>_xlfn.XLOOKUP(frasest[[#This Row],[autor_es]],autorest[autor_es],autorest[nacion_es])</f>
        <v>Roma</v>
      </c>
      <c r="M236" t="str">
        <f>_xlfn.XLOOKUP(frasest[[#This Row],[autor_es]],autorest[autor_es],autorest[nacion_la])</f>
        <v>Roma</v>
      </c>
      <c r="N236" t="str">
        <f>_xlfn.XLOOKUP(frasest[[#This Row],[autor_es]],autorest[autor_es],autorest[epoca_es])</f>
        <v>Edad Antigua</v>
      </c>
      <c r="O236" t="str">
        <f>_xlfn.XLOOKUP(frasest[[#This Row],[autor_es]],autorest[autor_es],autorest[epoca_la])</f>
        <v>Antiquitas</v>
      </c>
    </row>
    <row r="237" spans="1:15">
      <c r="A237">
        <v>236</v>
      </c>
      <c r="B237" t="s">
        <v>708</v>
      </c>
      <c r="C237" t="s">
        <v>709</v>
      </c>
      <c r="D237" t="s">
        <v>709</v>
      </c>
      <c r="E237" t="s">
        <v>695</v>
      </c>
      <c r="F237" t="str">
        <f>_xlfn.XLOOKUP(frasest[[#This Row],[autor_es]],autorest[autor_es],autorest[autor_la])</f>
        <v>Ignatius Antiochenus</v>
      </c>
      <c r="G237" t="str">
        <f>_xlfn.XLOOKUP(frasest[[#This Row],[autor_es]],autorest[autor_es],autorest[bio_es])</f>
        <v>Obispo de Antioquía, mártir y Padre Apostólico. Discípulo de San Juan Evangelista, martirizado en Roma. Autor de siete cartas escritas camino al martirio.</v>
      </c>
      <c r="H237" t="str">
        <f>_xlfn.XLOOKUP(frasest[[#This Row],[autor_es]],autorest[autor_es],autorest[bio_la])</f>
        <v>Episcopus Antiochenus, martyr et Pater Apostolicus. Discipulus Sancti Ioannis Evangelistae, Romae martyrizatus. Auctor septem epistularum in via ad martyrium scriptarum.</v>
      </c>
      <c r="I237" t="str">
        <f>_xlfn.XLOOKUP(frasest[[#This Row],[autor_es]],autorest[autor_es],autorest[codigo])</f>
        <v>la</v>
      </c>
      <c r="J237" t="str">
        <f>_xlfn.XLOOKUP(frasest[[#This Row],[autor_es]],autorest[autor_es],autorest[idioma_es])</f>
        <v>Latín</v>
      </c>
      <c r="K237" t="str">
        <f>_xlfn.XLOOKUP(frasest[[#This Row],[autor_es]],autorest[autor_es],autorest[idioma_la])</f>
        <v>Lingua Latina</v>
      </c>
      <c r="L237" t="str">
        <f>_xlfn.XLOOKUP(frasest[[#This Row],[autor_es]],autorest[autor_es],autorest[nacion_es])</f>
        <v>Roma</v>
      </c>
      <c r="M237" t="str">
        <f>_xlfn.XLOOKUP(frasest[[#This Row],[autor_es]],autorest[autor_es],autorest[nacion_la])</f>
        <v>Roma</v>
      </c>
      <c r="N237" t="str">
        <f>_xlfn.XLOOKUP(frasest[[#This Row],[autor_es]],autorest[autor_es],autorest[epoca_es])</f>
        <v>Edad Antigua</v>
      </c>
      <c r="O237" t="str">
        <f>_xlfn.XLOOKUP(frasest[[#This Row],[autor_es]],autorest[autor_es],autorest[epoca_la])</f>
        <v>Antiquitas</v>
      </c>
    </row>
    <row r="238" spans="1:15">
      <c r="A238">
        <v>237</v>
      </c>
      <c r="B238" t="s">
        <v>710</v>
      </c>
      <c r="C238" t="s">
        <v>711</v>
      </c>
      <c r="D238" t="s">
        <v>711</v>
      </c>
      <c r="E238" t="s">
        <v>695</v>
      </c>
      <c r="F238" t="str">
        <f>_xlfn.XLOOKUP(frasest[[#This Row],[autor_es]],autorest[autor_es],autorest[autor_la])</f>
        <v>Ignatius Antiochenus</v>
      </c>
      <c r="G238" t="str">
        <f>_xlfn.XLOOKUP(frasest[[#This Row],[autor_es]],autorest[autor_es],autorest[bio_es])</f>
        <v>Obispo de Antioquía, mártir y Padre Apostólico. Discípulo de San Juan Evangelista, martirizado en Roma. Autor de siete cartas escritas camino al martirio.</v>
      </c>
      <c r="H238" t="str">
        <f>_xlfn.XLOOKUP(frasest[[#This Row],[autor_es]],autorest[autor_es],autorest[bio_la])</f>
        <v>Episcopus Antiochenus, martyr et Pater Apostolicus. Discipulus Sancti Ioannis Evangelistae, Romae martyrizatus. Auctor septem epistularum in via ad martyrium scriptarum.</v>
      </c>
      <c r="I238" t="str">
        <f>_xlfn.XLOOKUP(frasest[[#This Row],[autor_es]],autorest[autor_es],autorest[codigo])</f>
        <v>la</v>
      </c>
      <c r="J238" t="str">
        <f>_xlfn.XLOOKUP(frasest[[#This Row],[autor_es]],autorest[autor_es],autorest[idioma_es])</f>
        <v>Latín</v>
      </c>
      <c r="K238" t="str">
        <f>_xlfn.XLOOKUP(frasest[[#This Row],[autor_es]],autorest[autor_es],autorest[idioma_la])</f>
        <v>Lingua Latina</v>
      </c>
      <c r="L238" t="str">
        <f>_xlfn.XLOOKUP(frasest[[#This Row],[autor_es]],autorest[autor_es],autorest[nacion_es])</f>
        <v>Roma</v>
      </c>
      <c r="M238" t="str">
        <f>_xlfn.XLOOKUP(frasest[[#This Row],[autor_es]],autorest[autor_es],autorest[nacion_la])</f>
        <v>Roma</v>
      </c>
      <c r="N238" t="str">
        <f>_xlfn.XLOOKUP(frasest[[#This Row],[autor_es]],autorest[autor_es],autorest[epoca_es])</f>
        <v>Edad Antigua</v>
      </c>
      <c r="O238" t="str">
        <f>_xlfn.XLOOKUP(frasest[[#This Row],[autor_es]],autorest[autor_es],autorest[epoca_la])</f>
        <v>Antiquitas</v>
      </c>
    </row>
    <row r="239" spans="1:15">
      <c r="A239">
        <v>238</v>
      </c>
      <c r="B239" t="s">
        <v>712</v>
      </c>
      <c r="C239" t="s">
        <v>713</v>
      </c>
      <c r="D239" t="s">
        <v>713</v>
      </c>
      <c r="E239" t="s">
        <v>695</v>
      </c>
      <c r="F239" t="str">
        <f>_xlfn.XLOOKUP(frasest[[#This Row],[autor_es]],autorest[autor_es],autorest[autor_la])</f>
        <v>Ignatius Antiochenus</v>
      </c>
      <c r="G239" t="str">
        <f>_xlfn.XLOOKUP(frasest[[#This Row],[autor_es]],autorest[autor_es],autorest[bio_es])</f>
        <v>Obispo de Antioquía, mártir y Padre Apostólico. Discípulo de San Juan Evangelista, martirizado en Roma. Autor de siete cartas escritas camino al martirio.</v>
      </c>
      <c r="H239" t="str">
        <f>_xlfn.XLOOKUP(frasest[[#This Row],[autor_es]],autorest[autor_es],autorest[bio_la])</f>
        <v>Episcopus Antiochenus, martyr et Pater Apostolicus. Discipulus Sancti Ioannis Evangelistae, Romae martyrizatus. Auctor septem epistularum in via ad martyrium scriptarum.</v>
      </c>
      <c r="I239" t="str">
        <f>_xlfn.XLOOKUP(frasest[[#This Row],[autor_es]],autorest[autor_es],autorest[codigo])</f>
        <v>la</v>
      </c>
      <c r="J239" t="str">
        <f>_xlfn.XLOOKUP(frasest[[#This Row],[autor_es]],autorest[autor_es],autorest[idioma_es])</f>
        <v>Latín</v>
      </c>
      <c r="K239" t="str">
        <f>_xlfn.XLOOKUP(frasest[[#This Row],[autor_es]],autorest[autor_es],autorest[idioma_la])</f>
        <v>Lingua Latina</v>
      </c>
      <c r="L239" t="str">
        <f>_xlfn.XLOOKUP(frasest[[#This Row],[autor_es]],autorest[autor_es],autorest[nacion_es])</f>
        <v>Roma</v>
      </c>
      <c r="M239" t="str">
        <f>_xlfn.XLOOKUP(frasest[[#This Row],[autor_es]],autorest[autor_es],autorest[nacion_la])</f>
        <v>Roma</v>
      </c>
      <c r="N239" t="str">
        <f>_xlfn.XLOOKUP(frasest[[#This Row],[autor_es]],autorest[autor_es],autorest[epoca_es])</f>
        <v>Edad Antigua</v>
      </c>
      <c r="O239" t="str">
        <f>_xlfn.XLOOKUP(frasest[[#This Row],[autor_es]],autorest[autor_es],autorest[epoca_la])</f>
        <v>Antiquitas</v>
      </c>
    </row>
    <row r="240" spans="1:15">
      <c r="A240">
        <v>239</v>
      </c>
      <c r="B240" t="s">
        <v>714</v>
      </c>
      <c r="C240" t="s">
        <v>715</v>
      </c>
      <c r="D240" t="s">
        <v>715</v>
      </c>
      <c r="E240" t="s">
        <v>716</v>
      </c>
      <c r="F240" t="str">
        <f>_xlfn.XLOOKUP(frasest[[#This Row],[autor_es]],autorest[autor_es],autorest[autor_la])</f>
        <v>Polycarpus Smyrnaeus</v>
      </c>
      <c r="G240" t="str">
        <f>_xlfn.XLOOKUP(frasest[[#This Row],[autor_es]],autorest[autor_es],autorest[bio_es])</f>
        <v>Obispo de Esmirna, mártir y Padre Apostólico. Discípulo del apóstol Juan, martirizado a los 86 años. Una de las tres figuras principales de los Padres Apostólicos.</v>
      </c>
      <c r="H240" t="str">
        <f>_xlfn.XLOOKUP(frasest[[#This Row],[autor_es]],autorest[autor_es],autorest[bio_la])</f>
        <v>Episcopus Smyrnaeus, martyr et Pater Apostolicus. Discipulus apostoli Ioannis, octoginta sex annos natus martyrizatus. Una ex tribus figuris principalibus Patrum Apostolicorum.</v>
      </c>
      <c r="I240" t="str">
        <f>_xlfn.XLOOKUP(frasest[[#This Row],[autor_es]],autorest[autor_es],autorest[codigo])</f>
        <v>la</v>
      </c>
      <c r="J240" t="str">
        <f>_xlfn.XLOOKUP(frasest[[#This Row],[autor_es]],autorest[autor_es],autorest[idioma_es])</f>
        <v>Latín</v>
      </c>
      <c r="K240" t="str">
        <f>_xlfn.XLOOKUP(frasest[[#This Row],[autor_es]],autorest[autor_es],autorest[idioma_la])</f>
        <v>Lingua Latina</v>
      </c>
      <c r="L240" t="str">
        <f>_xlfn.XLOOKUP(frasest[[#This Row],[autor_es]],autorest[autor_es],autorest[nacion_es])</f>
        <v>Roma</v>
      </c>
      <c r="M240" t="str">
        <f>_xlfn.XLOOKUP(frasest[[#This Row],[autor_es]],autorest[autor_es],autorest[nacion_la])</f>
        <v>Roma</v>
      </c>
      <c r="N240" t="str">
        <f>_xlfn.XLOOKUP(frasest[[#This Row],[autor_es]],autorest[autor_es],autorest[epoca_es])</f>
        <v>Edad Antigua</v>
      </c>
      <c r="O240" t="str">
        <f>_xlfn.XLOOKUP(frasest[[#This Row],[autor_es]],autorest[autor_es],autorest[epoca_la])</f>
        <v>Antiquitas</v>
      </c>
    </row>
    <row r="241" spans="1:15">
      <c r="A241">
        <v>240</v>
      </c>
      <c r="B241" t="s">
        <v>717</v>
      </c>
      <c r="C241" t="s">
        <v>718</v>
      </c>
      <c r="D241" t="s">
        <v>718</v>
      </c>
      <c r="E241" t="s">
        <v>716</v>
      </c>
      <c r="F241" t="str">
        <f>_xlfn.XLOOKUP(frasest[[#This Row],[autor_es]],autorest[autor_es],autorest[autor_la])</f>
        <v>Polycarpus Smyrnaeus</v>
      </c>
      <c r="G241" t="str">
        <f>_xlfn.XLOOKUP(frasest[[#This Row],[autor_es]],autorest[autor_es],autorest[bio_es])</f>
        <v>Obispo de Esmirna, mártir y Padre Apostólico. Discípulo del apóstol Juan, martirizado a los 86 años. Una de las tres figuras principales de los Padres Apostólicos.</v>
      </c>
      <c r="H241" t="str">
        <f>_xlfn.XLOOKUP(frasest[[#This Row],[autor_es]],autorest[autor_es],autorest[bio_la])</f>
        <v>Episcopus Smyrnaeus, martyr et Pater Apostolicus. Discipulus apostoli Ioannis, octoginta sex annos natus martyrizatus. Una ex tribus figuris principalibus Patrum Apostolicorum.</v>
      </c>
      <c r="I241" t="str">
        <f>_xlfn.XLOOKUP(frasest[[#This Row],[autor_es]],autorest[autor_es],autorest[codigo])</f>
        <v>la</v>
      </c>
      <c r="J241" t="str">
        <f>_xlfn.XLOOKUP(frasest[[#This Row],[autor_es]],autorest[autor_es],autorest[idioma_es])</f>
        <v>Latín</v>
      </c>
      <c r="K241" t="str">
        <f>_xlfn.XLOOKUP(frasest[[#This Row],[autor_es]],autorest[autor_es],autorest[idioma_la])</f>
        <v>Lingua Latina</v>
      </c>
      <c r="L241" t="str">
        <f>_xlfn.XLOOKUP(frasest[[#This Row],[autor_es]],autorest[autor_es],autorest[nacion_es])</f>
        <v>Roma</v>
      </c>
      <c r="M241" t="str">
        <f>_xlfn.XLOOKUP(frasest[[#This Row],[autor_es]],autorest[autor_es],autorest[nacion_la])</f>
        <v>Roma</v>
      </c>
      <c r="N241" t="str">
        <f>_xlfn.XLOOKUP(frasest[[#This Row],[autor_es]],autorest[autor_es],autorest[epoca_es])</f>
        <v>Edad Antigua</v>
      </c>
      <c r="O241" t="str">
        <f>_xlfn.XLOOKUP(frasest[[#This Row],[autor_es]],autorest[autor_es],autorest[epoca_la])</f>
        <v>Antiquitas</v>
      </c>
    </row>
    <row r="242" spans="1:15">
      <c r="A242">
        <v>241</v>
      </c>
      <c r="B242" t="s">
        <v>719</v>
      </c>
      <c r="C242" t="s">
        <v>720</v>
      </c>
      <c r="D242" t="s">
        <v>720</v>
      </c>
      <c r="E242" t="s">
        <v>716</v>
      </c>
      <c r="F242" t="str">
        <f>_xlfn.XLOOKUP(frasest[[#This Row],[autor_es]],autorest[autor_es],autorest[autor_la])</f>
        <v>Polycarpus Smyrnaeus</v>
      </c>
      <c r="G242" t="str">
        <f>_xlfn.XLOOKUP(frasest[[#This Row],[autor_es]],autorest[autor_es],autorest[bio_es])</f>
        <v>Obispo de Esmirna, mártir y Padre Apostólico. Discípulo del apóstol Juan, martirizado a los 86 años. Una de las tres figuras principales de los Padres Apostólicos.</v>
      </c>
      <c r="H242" t="str">
        <f>_xlfn.XLOOKUP(frasest[[#This Row],[autor_es]],autorest[autor_es],autorest[bio_la])</f>
        <v>Episcopus Smyrnaeus, martyr et Pater Apostolicus. Discipulus apostoli Ioannis, octoginta sex annos natus martyrizatus. Una ex tribus figuris principalibus Patrum Apostolicorum.</v>
      </c>
      <c r="I242" t="str">
        <f>_xlfn.XLOOKUP(frasest[[#This Row],[autor_es]],autorest[autor_es],autorest[codigo])</f>
        <v>la</v>
      </c>
      <c r="J242" t="str">
        <f>_xlfn.XLOOKUP(frasest[[#This Row],[autor_es]],autorest[autor_es],autorest[idioma_es])</f>
        <v>Latín</v>
      </c>
      <c r="K242" t="str">
        <f>_xlfn.XLOOKUP(frasest[[#This Row],[autor_es]],autorest[autor_es],autorest[idioma_la])</f>
        <v>Lingua Latina</v>
      </c>
      <c r="L242" t="str">
        <f>_xlfn.XLOOKUP(frasest[[#This Row],[autor_es]],autorest[autor_es],autorest[nacion_es])</f>
        <v>Roma</v>
      </c>
      <c r="M242" t="str">
        <f>_xlfn.XLOOKUP(frasest[[#This Row],[autor_es]],autorest[autor_es],autorest[nacion_la])</f>
        <v>Roma</v>
      </c>
      <c r="N242" t="str">
        <f>_xlfn.XLOOKUP(frasest[[#This Row],[autor_es]],autorest[autor_es],autorest[epoca_es])</f>
        <v>Edad Antigua</v>
      </c>
      <c r="O242" t="str">
        <f>_xlfn.XLOOKUP(frasest[[#This Row],[autor_es]],autorest[autor_es],autorest[epoca_la])</f>
        <v>Antiquitas</v>
      </c>
    </row>
    <row r="243" spans="1:15">
      <c r="A243">
        <v>242</v>
      </c>
      <c r="B243" t="s">
        <v>721</v>
      </c>
      <c r="C243" t="s">
        <v>722</v>
      </c>
      <c r="D243" t="s">
        <v>722</v>
      </c>
      <c r="E243" t="s">
        <v>716</v>
      </c>
      <c r="F243" t="str">
        <f>_xlfn.XLOOKUP(frasest[[#This Row],[autor_es]],autorest[autor_es],autorest[autor_la])</f>
        <v>Polycarpus Smyrnaeus</v>
      </c>
      <c r="G243" t="str">
        <f>_xlfn.XLOOKUP(frasest[[#This Row],[autor_es]],autorest[autor_es],autorest[bio_es])</f>
        <v>Obispo de Esmirna, mártir y Padre Apostólico. Discípulo del apóstol Juan, martirizado a los 86 años. Una de las tres figuras principales de los Padres Apostólicos.</v>
      </c>
      <c r="H243" t="str">
        <f>_xlfn.XLOOKUP(frasest[[#This Row],[autor_es]],autorest[autor_es],autorest[bio_la])</f>
        <v>Episcopus Smyrnaeus, martyr et Pater Apostolicus. Discipulus apostoli Ioannis, octoginta sex annos natus martyrizatus. Una ex tribus figuris principalibus Patrum Apostolicorum.</v>
      </c>
      <c r="I243" t="str">
        <f>_xlfn.XLOOKUP(frasest[[#This Row],[autor_es]],autorest[autor_es],autorest[codigo])</f>
        <v>la</v>
      </c>
      <c r="J243" t="str">
        <f>_xlfn.XLOOKUP(frasest[[#This Row],[autor_es]],autorest[autor_es],autorest[idioma_es])</f>
        <v>Latín</v>
      </c>
      <c r="K243" t="str">
        <f>_xlfn.XLOOKUP(frasest[[#This Row],[autor_es]],autorest[autor_es],autorest[idioma_la])</f>
        <v>Lingua Latina</v>
      </c>
      <c r="L243" t="str">
        <f>_xlfn.XLOOKUP(frasest[[#This Row],[autor_es]],autorest[autor_es],autorest[nacion_es])</f>
        <v>Roma</v>
      </c>
      <c r="M243" t="str">
        <f>_xlfn.XLOOKUP(frasest[[#This Row],[autor_es]],autorest[autor_es],autorest[nacion_la])</f>
        <v>Roma</v>
      </c>
      <c r="N243" t="str">
        <f>_xlfn.XLOOKUP(frasest[[#This Row],[autor_es]],autorest[autor_es],autorest[epoca_es])</f>
        <v>Edad Antigua</v>
      </c>
      <c r="O243" t="str">
        <f>_xlfn.XLOOKUP(frasest[[#This Row],[autor_es]],autorest[autor_es],autorest[epoca_la])</f>
        <v>Antiquitas</v>
      </c>
    </row>
    <row r="244" spans="1:15">
      <c r="A244">
        <v>243</v>
      </c>
      <c r="B244" t="s">
        <v>723</v>
      </c>
      <c r="C244" t="s">
        <v>724</v>
      </c>
      <c r="D244" t="s">
        <v>724</v>
      </c>
      <c r="E244" t="s">
        <v>716</v>
      </c>
      <c r="F244" t="str">
        <f>_xlfn.XLOOKUP(frasest[[#This Row],[autor_es]],autorest[autor_es],autorest[autor_la])</f>
        <v>Polycarpus Smyrnaeus</v>
      </c>
      <c r="G244" t="str">
        <f>_xlfn.XLOOKUP(frasest[[#This Row],[autor_es]],autorest[autor_es],autorest[bio_es])</f>
        <v>Obispo de Esmirna, mártir y Padre Apostólico. Discípulo del apóstol Juan, martirizado a los 86 años. Una de las tres figuras principales de los Padres Apostólicos.</v>
      </c>
      <c r="H244" t="str">
        <f>_xlfn.XLOOKUP(frasest[[#This Row],[autor_es]],autorest[autor_es],autorest[bio_la])</f>
        <v>Episcopus Smyrnaeus, martyr et Pater Apostolicus. Discipulus apostoli Ioannis, octoginta sex annos natus martyrizatus. Una ex tribus figuris principalibus Patrum Apostolicorum.</v>
      </c>
      <c r="I244" t="str">
        <f>_xlfn.XLOOKUP(frasest[[#This Row],[autor_es]],autorest[autor_es],autorest[codigo])</f>
        <v>la</v>
      </c>
      <c r="J244" t="str">
        <f>_xlfn.XLOOKUP(frasest[[#This Row],[autor_es]],autorest[autor_es],autorest[idioma_es])</f>
        <v>Latín</v>
      </c>
      <c r="K244" t="str">
        <f>_xlfn.XLOOKUP(frasest[[#This Row],[autor_es]],autorest[autor_es],autorest[idioma_la])</f>
        <v>Lingua Latina</v>
      </c>
      <c r="L244" t="str">
        <f>_xlfn.XLOOKUP(frasest[[#This Row],[autor_es]],autorest[autor_es],autorest[nacion_es])</f>
        <v>Roma</v>
      </c>
      <c r="M244" t="str">
        <f>_xlfn.XLOOKUP(frasest[[#This Row],[autor_es]],autorest[autor_es],autorest[nacion_la])</f>
        <v>Roma</v>
      </c>
      <c r="N244" t="str">
        <f>_xlfn.XLOOKUP(frasest[[#This Row],[autor_es]],autorest[autor_es],autorest[epoca_es])</f>
        <v>Edad Antigua</v>
      </c>
      <c r="O244" t="str">
        <f>_xlfn.XLOOKUP(frasest[[#This Row],[autor_es]],autorest[autor_es],autorest[epoca_la])</f>
        <v>Antiquitas</v>
      </c>
    </row>
    <row r="245" spans="1:15">
      <c r="A245">
        <v>244</v>
      </c>
      <c r="B245" t="s">
        <v>725</v>
      </c>
      <c r="C245" t="s">
        <v>726</v>
      </c>
      <c r="D245" t="s">
        <v>726</v>
      </c>
      <c r="E245" t="s">
        <v>716</v>
      </c>
      <c r="F245" t="str">
        <f>_xlfn.XLOOKUP(frasest[[#This Row],[autor_es]],autorest[autor_es],autorest[autor_la])</f>
        <v>Polycarpus Smyrnaeus</v>
      </c>
      <c r="G245" t="str">
        <f>_xlfn.XLOOKUP(frasest[[#This Row],[autor_es]],autorest[autor_es],autorest[bio_es])</f>
        <v>Obispo de Esmirna, mártir y Padre Apostólico. Discípulo del apóstol Juan, martirizado a los 86 años. Una de las tres figuras principales de los Padres Apostólicos.</v>
      </c>
      <c r="H245" t="str">
        <f>_xlfn.XLOOKUP(frasest[[#This Row],[autor_es]],autorest[autor_es],autorest[bio_la])</f>
        <v>Episcopus Smyrnaeus, martyr et Pater Apostolicus. Discipulus apostoli Ioannis, octoginta sex annos natus martyrizatus. Una ex tribus figuris principalibus Patrum Apostolicorum.</v>
      </c>
      <c r="I245" t="str">
        <f>_xlfn.XLOOKUP(frasest[[#This Row],[autor_es]],autorest[autor_es],autorest[codigo])</f>
        <v>la</v>
      </c>
      <c r="J245" t="str">
        <f>_xlfn.XLOOKUP(frasest[[#This Row],[autor_es]],autorest[autor_es],autorest[idioma_es])</f>
        <v>Latín</v>
      </c>
      <c r="K245" t="str">
        <f>_xlfn.XLOOKUP(frasest[[#This Row],[autor_es]],autorest[autor_es],autorest[idioma_la])</f>
        <v>Lingua Latina</v>
      </c>
      <c r="L245" t="str">
        <f>_xlfn.XLOOKUP(frasest[[#This Row],[autor_es]],autorest[autor_es],autorest[nacion_es])</f>
        <v>Roma</v>
      </c>
      <c r="M245" t="str">
        <f>_xlfn.XLOOKUP(frasest[[#This Row],[autor_es]],autorest[autor_es],autorest[nacion_la])</f>
        <v>Roma</v>
      </c>
      <c r="N245" t="str">
        <f>_xlfn.XLOOKUP(frasest[[#This Row],[autor_es]],autorest[autor_es],autorest[epoca_es])</f>
        <v>Edad Antigua</v>
      </c>
      <c r="O245" t="str">
        <f>_xlfn.XLOOKUP(frasest[[#This Row],[autor_es]],autorest[autor_es],autorest[epoca_la])</f>
        <v>Antiquitas</v>
      </c>
    </row>
    <row r="246" spans="1:15">
      <c r="A246">
        <v>245</v>
      </c>
      <c r="B246" t="s">
        <v>727</v>
      </c>
      <c r="C246" t="s">
        <v>728</v>
      </c>
      <c r="D246" t="s">
        <v>728</v>
      </c>
      <c r="E246" t="s">
        <v>716</v>
      </c>
      <c r="F246" t="str">
        <f>_xlfn.XLOOKUP(frasest[[#This Row],[autor_es]],autorest[autor_es],autorest[autor_la])</f>
        <v>Polycarpus Smyrnaeus</v>
      </c>
      <c r="G246" t="str">
        <f>_xlfn.XLOOKUP(frasest[[#This Row],[autor_es]],autorest[autor_es],autorest[bio_es])</f>
        <v>Obispo de Esmirna, mártir y Padre Apostólico. Discípulo del apóstol Juan, martirizado a los 86 años. Una de las tres figuras principales de los Padres Apostólicos.</v>
      </c>
      <c r="H246" t="str">
        <f>_xlfn.XLOOKUP(frasest[[#This Row],[autor_es]],autorest[autor_es],autorest[bio_la])</f>
        <v>Episcopus Smyrnaeus, martyr et Pater Apostolicus. Discipulus apostoli Ioannis, octoginta sex annos natus martyrizatus. Una ex tribus figuris principalibus Patrum Apostolicorum.</v>
      </c>
      <c r="I246" t="str">
        <f>_xlfn.XLOOKUP(frasest[[#This Row],[autor_es]],autorest[autor_es],autorest[codigo])</f>
        <v>la</v>
      </c>
      <c r="J246" t="str">
        <f>_xlfn.XLOOKUP(frasest[[#This Row],[autor_es]],autorest[autor_es],autorest[idioma_es])</f>
        <v>Latín</v>
      </c>
      <c r="K246" t="str">
        <f>_xlfn.XLOOKUP(frasest[[#This Row],[autor_es]],autorest[autor_es],autorest[idioma_la])</f>
        <v>Lingua Latina</v>
      </c>
      <c r="L246" t="str">
        <f>_xlfn.XLOOKUP(frasest[[#This Row],[autor_es]],autorest[autor_es],autorest[nacion_es])</f>
        <v>Roma</v>
      </c>
      <c r="M246" t="str">
        <f>_xlfn.XLOOKUP(frasest[[#This Row],[autor_es]],autorest[autor_es],autorest[nacion_la])</f>
        <v>Roma</v>
      </c>
      <c r="N246" t="str">
        <f>_xlfn.XLOOKUP(frasest[[#This Row],[autor_es]],autorest[autor_es],autorest[epoca_es])</f>
        <v>Edad Antigua</v>
      </c>
      <c r="O246" t="str">
        <f>_xlfn.XLOOKUP(frasest[[#This Row],[autor_es]],autorest[autor_es],autorest[epoca_la])</f>
        <v>Antiquitas</v>
      </c>
    </row>
    <row r="247" spans="1:15">
      <c r="A247">
        <v>246</v>
      </c>
      <c r="B247" t="s">
        <v>729</v>
      </c>
      <c r="C247" t="s">
        <v>730</v>
      </c>
      <c r="D247" t="s">
        <v>730</v>
      </c>
      <c r="E247" t="s">
        <v>716</v>
      </c>
      <c r="F247" t="str">
        <f>_xlfn.XLOOKUP(frasest[[#This Row],[autor_es]],autorest[autor_es],autorest[autor_la])</f>
        <v>Polycarpus Smyrnaeus</v>
      </c>
      <c r="G247" t="str">
        <f>_xlfn.XLOOKUP(frasest[[#This Row],[autor_es]],autorest[autor_es],autorest[bio_es])</f>
        <v>Obispo de Esmirna, mártir y Padre Apostólico. Discípulo del apóstol Juan, martirizado a los 86 años. Una de las tres figuras principales de los Padres Apostólicos.</v>
      </c>
      <c r="H247" t="str">
        <f>_xlfn.XLOOKUP(frasest[[#This Row],[autor_es]],autorest[autor_es],autorest[bio_la])</f>
        <v>Episcopus Smyrnaeus, martyr et Pater Apostolicus. Discipulus apostoli Ioannis, octoginta sex annos natus martyrizatus. Una ex tribus figuris principalibus Patrum Apostolicorum.</v>
      </c>
      <c r="I247" t="str">
        <f>_xlfn.XLOOKUP(frasest[[#This Row],[autor_es]],autorest[autor_es],autorest[codigo])</f>
        <v>la</v>
      </c>
      <c r="J247" t="str">
        <f>_xlfn.XLOOKUP(frasest[[#This Row],[autor_es]],autorest[autor_es],autorest[idioma_es])</f>
        <v>Latín</v>
      </c>
      <c r="K247" t="str">
        <f>_xlfn.XLOOKUP(frasest[[#This Row],[autor_es]],autorest[autor_es],autorest[idioma_la])</f>
        <v>Lingua Latina</v>
      </c>
      <c r="L247" t="str">
        <f>_xlfn.XLOOKUP(frasest[[#This Row],[autor_es]],autorest[autor_es],autorest[nacion_es])</f>
        <v>Roma</v>
      </c>
      <c r="M247" t="str">
        <f>_xlfn.XLOOKUP(frasest[[#This Row],[autor_es]],autorest[autor_es],autorest[nacion_la])</f>
        <v>Roma</v>
      </c>
      <c r="N247" t="str">
        <f>_xlfn.XLOOKUP(frasest[[#This Row],[autor_es]],autorest[autor_es],autorest[epoca_es])</f>
        <v>Edad Antigua</v>
      </c>
      <c r="O247" t="str">
        <f>_xlfn.XLOOKUP(frasest[[#This Row],[autor_es]],autorest[autor_es],autorest[epoca_la])</f>
        <v>Antiquitas</v>
      </c>
    </row>
    <row r="248" spans="1:15">
      <c r="A248">
        <v>247</v>
      </c>
      <c r="B248" t="s">
        <v>731</v>
      </c>
      <c r="C248" t="s">
        <v>732</v>
      </c>
      <c r="D248" t="s">
        <v>732</v>
      </c>
      <c r="E248" t="s">
        <v>716</v>
      </c>
      <c r="F248" t="str">
        <f>_xlfn.XLOOKUP(frasest[[#This Row],[autor_es]],autorest[autor_es],autorest[autor_la])</f>
        <v>Polycarpus Smyrnaeus</v>
      </c>
      <c r="G248" t="str">
        <f>_xlfn.XLOOKUP(frasest[[#This Row],[autor_es]],autorest[autor_es],autorest[bio_es])</f>
        <v>Obispo de Esmirna, mártir y Padre Apostólico. Discípulo del apóstol Juan, martirizado a los 86 años. Una de las tres figuras principales de los Padres Apostólicos.</v>
      </c>
      <c r="H248" t="str">
        <f>_xlfn.XLOOKUP(frasest[[#This Row],[autor_es]],autorest[autor_es],autorest[bio_la])</f>
        <v>Episcopus Smyrnaeus, martyr et Pater Apostolicus. Discipulus apostoli Ioannis, octoginta sex annos natus martyrizatus. Una ex tribus figuris principalibus Patrum Apostolicorum.</v>
      </c>
      <c r="I248" t="str">
        <f>_xlfn.XLOOKUP(frasest[[#This Row],[autor_es]],autorest[autor_es],autorest[codigo])</f>
        <v>la</v>
      </c>
      <c r="J248" t="str">
        <f>_xlfn.XLOOKUP(frasest[[#This Row],[autor_es]],autorest[autor_es],autorest[idioma_es])</f>
        <v>Latín</v>
      </c>
      <c r="K248" t="str">
        <f>_xlfn.XLOOKUP(frasest[[#This Row],[autor_es]],autorest[autor_es],autorest[idioma_la])</f>
        <v>Lingua Latina</v>
      </c>
      <c r="L248" t="str">
        <f>_xlfn.XLOOKUP(frasest[[#This Row],[autor_es]],autorest[autor_es],autorest[nacion_es])</f>
        <v>Roma</v>
      </c>
      <c r="M248" t="str">
        <f>_xlfn.XLOOKUP(frasest[[#This Row],[autor_es]],autorest[autor_es],autorest[nacion_la])</f>
        <v>Roma</v>
      </c>
      <c r="N248" t="str">
        <f>_xlfn.XLOOKUP(frasest[[#This Row],[autor_es]],autorest[autor_es],autorest[epoca_es])</f>
        <v>Edad Antigua</v>
      </c>
      <c r="O248" t="str">
        <f>_xlfn.XLOOKUP(frasest[[#This Row],[autor_es]],autorest[autor_es],autorest[epoca_la])</f>
        <v>Antiquitas</v>
      </c>
    </row>
    <row r="249" spans="1:15">
      <c r="A249">
        <v>248</v>
      </c>
      <c r="B249" t="s">
        <v>733</v>
      </c>
      <c r="C249" t="s">
        <v>734</v>
      </c>
      <c r="D249" t="s">
        <v>734</v>
      </c>
      <c r="E249" t="s">
        <v>716</v>
      </c>
      <c r="F249" t="str">
        <f>_xlfn.XLOOKUP(frasest[[#This Row],[autor_es]],autorest[autor_es],autorest[autor_la])</f>
        <v>Polycarpus Smyrnaeus</v>
      </c>
      <c r="G249" t="str">
        <f>_xlfn.XLOOKUP(frasest[[#This Row],[autor_es]],autorest[autor_es],autorest[bio_es])</f>
        <v>Obispo de Esmirna, mártir y Padre Apostólico. Discípulo del apóstol Juan, martirizado a los 86 años. Una de las tres figuras principales de los Padres Apostólicos.</v>
      </c>
      <c r="H249" t="str">
        <f>_xlfn.XLOOKUP(frasest[[#This Row],[autor_es]],autorest[autor_es],autorest[bio_la])</f>
        <v>Episcopus Smyrnaeus, martyr et Pater Apostolicus. Discipulus apostoli Ioannis, octoginta sex annos natus martyrizatus. Una ex tribus figuris principalibus Patrum Apostolicorum.</v>
      </c>
      <c r="I249" t="str">
        <f>_xlfn.XLOOKUP(frasest[[#This Row],[autor_es]],autorest[autor_es],autorest[codigo])</f>
        <v>la</v>
      </c>
      <c r="J249" t="str">
        <f>_xlfn.XLOOKUP(frasest[[#This Row],[autor_es]],autorest[autor_es],autorest[idioma_es])</f>
        <v>Latín</v>
      </c>
      <c r="K249" t="str">
        <f>_xlfn.XLOOKUP(frasest[[#This Row],[autor_es]],autorest[autor_es],autorest[idioma_la])</f>
        <v>Lingua Latina</v>
      </c>
      <c r="L249" t="str">
        <f>_xlfn.XLOOKUP(frasest[[#This Row],[autor_es]],autorest[autor_es],autorest[nacion_es])</f>
        <v>Roma</v>
      </c>
      <c r="M249" t="str">
        <f>_xlfn.XLOOKUP(frasest[[#This Row],[autor_es]],autorest[autor_es],autorest[nacion_la])</f>
        <v>Roma</v>
      </c>
      <c r="N249" t="str">
        <f>_xlfn.XLOOKUP(frasest[[#This Row],[autor_es]],autorest[autor_es],autorest[epoca_es])</f>
        <v>Edad Antigua</v>
      </c>
      <c r="O249" t="str">
        <f>_xlfn.XLOOKUP(frasest[[#This Row],[autor_es]],autorest[autor_es],autorest[epoca_la])</f>
        <v>Antiquitas</v>
      </c>
    </row>
    <row r="250" spans="1:15">
      <c r="A250">
        <v>249</v>
      </c>
      <c r="B250" t="s">
        <v>735</v>
      </c>
      <c r="C250" t="s">
        <v>736</v>
      </c>
      <c r="D250" t="s">
        <v>736</v>
      </c>
      <c r="E250" t="s">
        <v>737</v>
      </c>
      <c r="F250" t="str">
        <f>_xlfn.XLOOKUP(frasest[[#This Row],[autor_es]],autorest[autor_es],autorest[autor_la])</f>
        <v>Irenaeus Lugdunensis</v>
      </c>
      <c r="G250" t="str">
        <f>_xlfn.XLOOKUP(frasest[[#This Row],[autor_es]],autorest[autor_es],autorest[bio_es])</f>
        <v>Obispo de Lyon, Padre de la Iglesia y mártir. Discípulo de San Policarpo, combatió el gnosticismo. Primer teólogo que consideró esenciales los cuatro evangelios canónicos.</v>
      </c>
      <c r="H250" t="str">
        <f>_xlfn.XLOOKUP(frasest[[#This Row],[autor_es]],autorest[autor_es],autorest[bio_la])</f>
        <v>Episcopus Lugdunensis, Pater Ecclesiae et martyr. Discipulus Sancti Polycarpi, gnosticismum impugnavit. Primus theologus quattuor evangelia canonica essentialia consideravit.</v>
      </c>
      <c r="I250" t="str">
        <f>_xlfn.XLOOKUP(frasest[[#This Row],[autor_es]],autorest[autor_es],autorest[codigo])</f>
        <v>la</v>
      </c>
      <c r="J250" t="str">
        <f>_xlfn.XLOOKUP(frasest[[#This Row],[autor_es]],autorest[autor_es],autorest[idioma_es])</f>
        <v>Latín</v>
      </c>
      <c r="K250" t="str">
        <f>_xlfn.XLOOKUP(frasest[[#This Row],[autor_es]],autorest[autor_es],autorest[idioma_la])</f>
        <v>Lingua Latina</v>
      </c>
      <c r="L250" t="str">
        <f>_xlfn.XLOOKUP(frasest[[#This Row],[autor_es]],autorest[autor_es],autorest[nacion_es])</f>
        <v>Roma</v>
      </c>
      <c r="M250" t="str">
        <f>_xlfn.XLOOKUP(frasest[[#This Row],[autor_es]],autorest[autor_es],autorest[nacion_la])</f>
        <v>Roma</v>
      </c>
      <c r="N250" t="str">
        <f>_xlfn.XLOOKUP(frasest[[#This Row],[autor_es]],autorest[autor_es],autorest[epoca_es])</f>
        <v>Edad Antigua</v>
      </c>
      <c r="O250" t="str">
        <f>_xlfn.XLOOKUP(frasest[[#This Row],[autor_es]],autorest[autor_es],autorest[epoca_la])</f>
        <v>Antiquitas</v>
      </c>
    </row>
    <row r="251" spans="1:15">
      <c r="A251">
        <v>250</v>
      </c>
      <c r="B251" t="s">
        <v>738</v>
      </c>
      <c r="C251" t="s">
        <v>739</v>
      </c>
      <c r="D251" t="s">
        <v>739</v>
      </c>
      <c r="E251" t="s">
        <v>737</v>
      </c>
      <c r="F251" t="str">
        <f>_xlfn.XLOOKUP(frasest[[#This Row],[autor_es]],autorest[autor_es],autorest[autor_la])</f>
        <v>Irenaeus Lugdunensis</v>
      </c>
      <c r="G251" t="str">
        <f>_xlfn.XLOOKUP(frasest[[#This Row],[autor_es]],autorest[autor_es],autorest[bio_es])</f>
        <v>Obispo de Lyon, Padre de la Iglesia y mártir. Discípulo de San Policarpo, combatió el gnosticismo. Primer teólogo que consideró esenciales los cuatro evangelios canónicos.</v>
      </c>
      <c r="H251" t="str">
        <f>_xlfn.XLOOKUP(frasest[[#This Row],[autor_es]],autorest[autor_es],autorest[bio_la])</f>
        <v>Episcopus Lugdunensis, Pater Ecclesiae et martyr. Discipulus Sancti Polycarpi, gnosticismum impugnavit. Primus theologus quattuor evangelia canonica essentialia consideravit.</v>
      </c>
      <c r="I251" t="str">
        <f>_xlfn.XLOOKUP(frasest[[#This Row],[autor_es]],autorest[autor_es],autorest[codigo])</f>
        <v>la</v>
      </c>
      <c r="J251" t="str">
        <f>_xlfn.XLOOKUP(frasest[[#This Row],[autor_es]],autorest[autor_es],autorest[idioma_es])</f>
        <v>Latín</v>
      </c>
      <c r="K251" t="str">
        <f>_xlfn.XLOOKUP(frasest[[#This Row],[autor_es]],autorest[autor_es],autorest[idioma_la])</f>
        <v>Lingua Latina</v>
      </c>
      <c r="L251" t="str">
        <f>_xlfn.XLOOKUP(frasest[[#This Row],[autor_es]],autorest[autor_es],autorest[nacion_es])</f>
        <v>Roma</v>
      </c>
      <c r="M251" t="str">
        <f>_xlfn.XLOOKUP(frasest[[#This Row],[autor_es]],autorest[autor_es],autorest[nacion_la])</f>
        <v>Roma</v>
      </c>
      <c r="N251" t="str">
        <f>_xlfn.XLOOKUP(frasest[[#This Row],[autor_es]],autorest[autor_es],autorest[epoca_es])</f>
        <v>Edad Antigua</v>
      </c>
      <c r="O251" t="str">
        <f>_xlfn.XLOOKUP(frasest[[#This Row],[autor_es]],autorest[autor_es],autorest[epoca_la])</f>
        <v>Antiquitas</v>
      </c>
    </row>
    <row r="252" spans="1:15">
      <c r="A252">
        <v>251</v>
      </c>
      <c r="B252" t="s">
        <v>740</v>
      </c>
      <c r="C252" t="s">
        <v>741</v>
      </c>
      <c r="D252" t="s">
        <v>741</v>
      </c>
      <c r="E252" t="s">
        <v>737</v>
      </c>
      <c r="F252" t="str">
        <f>_xlfn.XLOOKUP(frasest[[#This Row],[autor_es]],autorest[autor_es],autorest[autor_la])</f>
        <v>Irenaeus Lugdunensis</v>
      </c>
      <c r="G252" t="str">
        <f>_xlfn.XLOOKUP(frasest[[#This Row],[autor_es]],autorest[autor_es],autorest[bio_es])</f>
        <v>Obispo de Lyon, Padre de la Iglesia y mártir. Discípulo de San Policarpo, combatió el gnosticismo. Primer teólogo que consideró esenciales los cuatro evangelios canónicos.</v>
      </c>
      <c r="H252" t="str">
        <f>_xlfn.XLOOKUP(frasest[[#This Row],[autor_es]],autorest[autor_es],autorest[bio_la])</f>
        <v>Episcopus Lugdunensis, Pater Ecclesiae et martyr. Discipulus Sancti Polycarpi, gnosticismum impugnavit. Primus theologus quattuor evangelia canonica essentialia consideravit.</v>
      </c>
      <c r="I252" t="str">
        <f>_xlfn.XLOOKUP(frasest[[#This Row],[autor_es]],autorest[autor_es],autorest[codigo])</f>
        <v>la</v>
      </c>
      <c r="J252" t="str">
        <f>_xlfn.XLOOKUP(frasest[[#This Row],[autor_es]],autorest[autor_es],autorest[idioma_es])</f>
        <v>Latín</v>
      </c>
      <c r="K252" t="str">
        <f>_xlfn.XLOOKUP(frasest[[#This Row],[autor_es]],autorest[autor_es],autorest[idioma_la])</f>
        <v>Lingua Latina</v>
      </c>
      <c r="L252" t="str">
        <f>_xlfn.XLOOKUP(frasest[[#This Row],[autor_es]],autorest[autor_es],autorest[nacion_es])</f>
        <v>Roma</v>
      </c>
      <c r="M252" t="str">
        <f>_xlfn.XLOOKUP(frasest[[#This Row],[autor_es]],autorest[autor_es],autorest[nacion_la])</f>
        <v>Roma</v>
      </c>
      <c r="N252" t="str">
        <f>_xlfn.XLOOKUP(frasest[[#This Row],[autor_es]],autorest[autor_es],autorest[epoca_es])</f>
        <v>Edad Antigua</v>
      </c>
      <c r="O252" t="str">
        <f>_xlfn.XLOOKUP(frasest[[#This Row],[autor_es]],autorest[autor_es],autorest[epoca_la])</f>
        <v>Antiquitas</v>
      </c>
    </row>
    <row r="253" spans="1:15">
      <c r="A253">
        <v>252</v>
      </c>
      <c r="B253" t="s">
        <v>742</v>
      </c>
      <c r="C253" t="s">
        <v>743</v>
      </c>
      <c r="D253" t="s">
        <v>743</v>
      </c>
      <c r="E253" t="s">
        <v>737</v>
      </c>
      <c r="F253" t="str">
        <f>_xlfn.XLOOKUP(frasest[[#This Row],[autor_es]],autorest[autor_es],autorest[autor_la])</f>
        <v>Irenaeus Lugdunensis</v>
      </c>
      <c r="G253" t="str">
        <f>_xlfn.XLOOKUP(frasest[[#This Row],[autor_es]],autorest[autor_es],autorest[bio_es])</f>
        <v>Obispo de Lyon, Padre de la Iglesia y mártir. Discípulo de San Policarpo, combatió el gnosticismo. Primer teólogo que consideró esenciales los cuatro evangelios canónicos.</v>
      </c>
      <c r="H253" t="str">
        <f>_xlfn.XLOOKUP(frasest[[#This Row],[autor_es]],autorest[autor_es],autorest[bio_la])</f>
        <v>Episcopus Lugdunensis, Pater Ecclesiae et martyr. Discipulus Sancti Polycarpi, gnosticismum impugnavit. Primus theologus quattuor evangelia canonica essentialia consideravit.</v>
      </c>
      <c r="I253" t="str">
        <f>_xlfn.XLOOKUP(frasest[[#This Row],[autor_es]],autorest[autor_es],autorest[codigo])</f>
        <v>la</v>
      </c>
      <c r="J253" t="str">
        <f>_xlfn.XLOOKUP(frasest[[#This Row],[autor_es]],autorest[autor_es],autorest[idioma_es])</f>
        <v>Latín</v>
      </c>
      <c r="K253" t="str">
        <f>_xlfn.XLOOKUP(frasest[[#This Row],[autor_es]],autorest[autor_es],autorest[idioma_la])</f>
        <v>Lingua Latina</v>
      </c>
      <c r="L253" t="str">
        <f>_xlfn.XLOOKUP(frasest[[#This Row],[autor_es]],autorest[autor_es],autorest[nacion_es])</f>
        <v>Roma</v>
      </c>
      <c r="M253" t="str">
        <f>_xlfn.XLOOKUP(frasest[[#This Row],[autor_es]],autorest[autor_es],autorest[nacion_la])</f>
        <v>Roma</v>
      </c>
      <c r="N253" t="str">
        <f>_xlfn.XLOOKUP(frasest[[#This Row],[autor_es]],autorest[autor_es],autorest[epoca_es])</f>
        <v>Edad Antigua</v>
      </c>
      <c r="O253" t="str">
        <f>_xlfn.XLOOKUP(frasest[[#This Row],[autor_es]],autorest[autor_es],autorest[epoca_la])</f>
        <v>Antiquitas</v>
      </c>
    </row>
    <row r="254" spans="1:15">
      <c r="A254">
        <v>253</v>
      </c>
      <c r="B254" t="s">
        <v>744</v>
      </c>
      <c r="C254" t="s">
        <v>745</v>
      </c>
      <c r="D254" t="s">
        <v>745</v>
      </c>
      <c r="E254" t="s">
        <v>737</v>
      </c>
      <c r="F254" t="str">
        <f>_xlfn.XLOOKUP(frasest[[#This Row],[autor_es]],autorest[autor_es],autorest[autor_la])</f>
        <v>Irenaeus Lugdunensis</v>
      </c>
      <c r="G254" t="str">
        <f>_xlfn.XLOOKUP(frasest[[#This Row],[autor_es]],autorest[autor_es],autorest[bio_es])</f>
        <v>Obispo de Lyon, Padre de la Iglesia y mártir. Discípulo de San Policarpo, combatió el gnosticismo. Primer teólogo que consideró esenciales los cuatro evangelios canónicos.</v>
      </c>
      <c r="H254" t="str">
        <f>_xlfn.XLOOKUP(frasest[[#This Row],[autor_es]],autorest[autor_es],autorest[bio_la])</f>
        <v>Episcopus Lugdunensis, Pater Ecclesiae et martyr. Discipulus Sancti Polycarpi, gnosticismum impugnavit. Primus theologus quattuor evangelia canonica essentialia consideravit.</v>
      </c>
      <c r="I254" t="str">
        <f>_xlfn.XLOOKUP(frasest[[#This Row],[autor_es]],autorest[autor_es],autorest[codigo])</f>
        <v>la</v>
      </c>
      <c r="J254" t="str">
        <f>_xlfn.XLOOKUP(frasest[[#This Row],[autor_es]],autorest[autor_es],autorest[idioma_es])</f>
        <v>Latín</v>
      </c>
      <c r="K254" t="str">
        <f>_xlfn.XLOOKUP(frasest[[#This Row],[autor_es]],autorest[autor_es],autorest[idioma_la])</f>
        <v>Lingua Latina</v>
      </c>
      <c r="L254" t="str">
        <f>_xlfn.XLOOKUP(frasest[[#This Row],[autor_es]],autorest[autor_es],autorest[nacion_es])</f>
        <v>Roma</v>
      </c>
      <c r="M254" t="str">
        <f>_xlfn.XLOOKUP(frasest[[#This Row],[autor_es]],autorest[autor_es],autorest[nacion_la])</f>
        <v>Roma</v>
      </c>
      <c r="N254" t="str">
        <f>_xlfn.XLOOKUP(frasest[[#This Row],[autor_es]],autorest[autor_es],autorest[epoca_es])</f>
        <v>Edad Antigua</v>
      </c>
      <c r="O254" t="str">
        <f>_xlfn.XLOOKUP(frasest[[#This Row],[autor_es]],autorest[autor_es],autorest[epoca_la])</f>
        <v>Antiquitas</v>
      </c>
    </row>
    <row r="255" spans="1:15">
      <c r="A255">
        <v>254</v>
      </c>
      <c r="B255" t="s">
        <v>746</v>
      </c>
      <c r="C255" t="s">
        <v>747</v>
      </c>
      <c r="D255" t="s">
        <v>747</v>
      </c>
      <c r="E255" t="s">
        <v>737</v>
      </c>
      <c r="F255" t="str">
        <f>_xlfn.XLOOKUP(frasest[[#This Row],[autor_es]],autorest[autor_es],autorest[autor_la])</f>
        <v>Irenaeus Lugdunensis</v>
      </c>
      <c r="G255" t="str">
        <f>_xlfn.XLOOKUP(frasest[[#This Row],[autor_es]],autorest[autor_es],autorest[bio_es])</f>
        <v>Obispo de Lyon, Padre de la Iglesia y mártir. Discípulo de San Policarpo, combatió el gnosticismo. Primer teólogo que consideró esenciales los cuatro evangelios canónicos.</v>
      </c>
      <c r="H255" t="str">
        <f>_xlfn.XLOOKUP(frasest[[#This Row],[autor_es]],autorest[autor_es],autorest[bio_la])</f>
        <v>Episcopus Lugdunensis, Pater Ecclesiae et martyr. Discipulus Sancti Polycarpi, gnosticismum impugnavit. Primus theologus quattuor evangelia canonica essentialia consideravit.</v>
      </c>
      <c r="I255" t="str">
        <f>_xlfn.XLOOKUP(frasest[[#This Row],[autor_es]],autorest[autor_es],autorest[codigo])</f>
        <v>la</v>
      </c>
      <c r="J255" t="str">
        <f>_xlfn.XLOOKUP(frasest[[#This Row],[autor_es]],autorest[autor_es],autorest[idioma_es])</f>
        <v>Latín</v>
      </c>
      <c r="K255" t="str">
        <f>_xlfn.XLOOKUP(frasest[[#This Row],[autor_es]],autorest[autor_es],autorest[idioma_la])</f>
        <v>Lingua Latina</v>
      </c>
      <c r="L255" t="str">
        <f>_xlfn.XLOOKUP(frasest[[#This Row],[autor_es]],autorest[autor_es],autorest[nacion_es])</f>
        <v>Roma</v>
      </c>
      <c r="M255" t="str">
        <f>_xlfn.XLOOKUP(frasest[[#This Row],[autor_es]],autorest[autor_es],autorest[nacion_la])</f>
        <v>Roma</v>
      </c>
      <c r="N255" t="str">
        <f>_xlfn.XLOOKUP(frasest[[#This Row],[autor_es]],autorest[autor_es],autorest[epoca_es])</f>
        <v>Edad Antigua</v>
      </c>
      <c r="O255" t="str">
        <f>_xlfn.XLOOKUP(frasest[[#This Row],[autor_es]],autorest[autor_es],autorest[epoca_la])</f>
        <v>Antiquitas</v>
      </c>
    </row>
    <row r="256" spans="1:15">
      <c r="A256">
        <v>255</v>
      </c>
      <c r="B256" t="s">
        <v>748</v>
      </c>
      <c r="C256" t="s">
        <v>749</v>
      </c>
      <c r="D256" t="s">
        <v>749</v>
      </c>
      <c r="E256" t="s">
        <v>737</v>
      </c>
      <c r="F256" t="str">
        <f>_xlfn.XLOOKUP(frasest[[#This Row],[autor_es]],autorest[autor_es],autorest[autor_la])</f>
        <v>Irenaeus Lugdunensis</v>
      </c>
      <c r="G256" t="str">
        <f>_xlfn.XLOOKUP(frasest[[#This Row],[autor_es]],autorest[autor_es],autorest[bio_es])</f>
        <v>Obispo de Lyon, Padre de la Iglesia y mártir. Discípulo de San Policarpo, combatió el gnosticismo. Primer teólogo que consideró esenciales los cuatro evangelios canónicos.</v>
      </c>
      <c r="H256" t="str">
        <f>_xlfn.XLOOKUP(frasest[[#This Row],[autor_es]],autorest[autor_es],autorest[bio_la])</f>
        <v>Episcopus Lugdunensis, Pater Ecclesiae et martyr. Discipulus Sancti Polycarpi, gnosticismum impugnavit. Primus theologus quattuor evangelia canonica essentialia consideravit.</v>
      </c>
      <c r="I256" t="str">
        <f>_xlfn.XLOOKUP(frasest[[#This Row],[autor_es]],autorest[autor_es],autorest[codigo])</f>
        <v>la</v>
      </c>
      <c r="J256" t="str">
        <f>_xlfn.XLOOKUP(frasest[[#This Row],[autor_es]],autorest[autor_es],autorest[idioma_es])</f>
        <v>Latín</v>
      </c>
      <c r="K256" t="str">
        <f>_xlfn.XLOOKUP(frasest[[#This Row],[autor_es]],autorest[autor_es],autorest[idioma_la])</f>
        <v>Lingua Latina</v>
      </c>
      <c r="L256" t="str">
        <f>_xlfn.XLOOKUP(frasest[[#This Row],[autor_es]],autorest[autor_es],autorest[nacion_es])</f>
        <v>Roma</v>
      </c>
      <c r="M256" t="str">
        <f>_xlfn.XLOOKUP(frasest[[#This Row],[autor_es]],autorest[autor_es],autorest[nacion_la])</f>
        <v>Roma</v>
      </c>
      <c r="N256" t="str">
        <f>_xlfn.XLOOKUP(frasest[[#This Row],[autor_es]],autorest[autor_es],autorest[epoca_es])</f>
        <v>Edad Antigua</v>
      </c>
      <c r="O256" t="str">
        <f>_xlfn.XLOOKUP(frasest[[#This Row],[autor_es]],autorest[autor_es],autorest[epoca_la])</f>
        <v>Antiquitas</v>
      </c>
    </row>
    <row r="257" spans="1:15">
      <c r="A257">
        <v>256</v>
      </c>
      <c r="B257" t="s">
        <v>750</v>
      </c>
      <c r="C257" t="s">
        <v>751</v>
      </c>
      <c r="D257" t="s">
        <v>751</v>
      </c>
      <c r="E257" t="s">
        <v>737</v>
      </c>
      <c r="F257" t="str">
        <f>_xlfn.XLOOKUP(frasest[[#This Row],[autor_es]],autorest[autor_es],autorest[autor_la])</f>
        <v>Irenaeus Lugdunensis</v>
      </c>
      <c r="G257" t="str">
        <f>_xlfn.XLOOKUP(frasest[[#This Row],[autor_es]],autorest[autor_es],autorest[bio_es])</f>
        <v>Obispo de Lyon, Padre de la Iglesia y mártir. Discípulo de San Policarpo, combatió el gnosticismo. Primer teólogo que consideró esenciales los cuatro evangelios canónicos.</v>
      </c>
      <c r="H257" t="str">
        <f>_xlfn.XLOOKUP(frasest[[#This Row],[autor_es]],autorest[autor_es],autorest[bio_la])</f>
        <v>Episcopus Lugdunensis, Pater Ecclesiae et martyr. Discipulus Sancti Polycarpi, gnosticismum impugnavit. Primus theologus quattuor evangelia canonica essentialia consideravit.</v>
      </c>
      <c r="I257" t="str">
        <f>_xlfn.XLOOKUP(frasest[[#This Row],[autor_es]],autorest[autor_es],autorest[codigo])</f>
        <v>la</v>
      </c>
      <c r="J257" t="str">
        <f>_xlfn.XLOOKUP(frasest[[#This Row],[autor_es]],autorest[autor_es],autorest[idioma_es])</f>
        <v>Latín</v>
      </c>
      <c r="K257" t="str">
        <f>_xlfn.XLOOKUP(frasest[[#This Row],[autor_es]],autorest[autor_es],autorest[idioma_la])</f>
        <v>Lingua Latina</v>
      </c>
      <c r="L257" t="str">
        <f>_xlfn.XLOOKUP(frasest[[#This Row],[autor_es]],autorest[autor_es],autorest[nacion_es])</f>
        <v>Roma</v>
      </c>
      <c r="M257" t="str">
        <f>_xlfn.XLOOKUP(frasest[[#This Row],[autor_es]],autorest[autor_es],autorest[nacion_la])</f>
        <v>Roma</v>
      </c>
      <c r="N257" t="str">
        <f>_xlfn.XLOOKUP(frasest[[#This Row],[autor_es]],autorest[autor_es],autorest[epoca_es])</f>
        <v>Edad Antigua</v>
      </c>
      <c r="O257" t="str">
        <f>_xlfn.XLOOKUP(frasest[[#This Row],[autor_es]],autorest[autor_es],autorest[epoca_la])</f>
        <v>Antiquitas</v>
      </c>
    </row>
    <row r="258" spans="1:15">
      <c r="A258">
        <v>257</v>
      </c>
      <c r="B258" t="s">
        <v>752</v>
      </c>
      <c r="C258" t="s">
        <v>753</v>
      </c>
      <c r="D258" t="s">
        <v>753</v>
      </c>
      <c r="E258" t="s">
        <v>737</v>
      </c>
      <c r="F258" t="str">
        <f>_xlfn.XLOOKUP(frasest[[#This Row],[autor_es]],autorest[autor_es],autorest[autor_la])</f>
        <v>Irenaeus Lugdunensis</v>
      </c>
      <c r="G258" t="str">
        <f>_xlfn.XLOOKUP(frasest[[#This Row],[autor_es]],autorest[autor_es],autorest[bio_es])</f>
        <v>Obispo de Lyon, Padre de la Iglesia y mártir. Discípulo de San Policarpo, combatió el gnosticismo. Primer teólogo que consideró esenciales los cuatro evangelios canónicos.</v>
      </c>
      <c r="H258" t="str">
        <f>_xlfn.XLOOKUP(frasest[[#This Row],[autor_es]],autorest[autor_es],autorest[bio_la])</f>
        <v>Episcopus Lugdunensis, Pater Ecclesiae et martyr. Discipulus Sancti Polycarpi, gnosticismum impugnavit. Primus theologus quattuor evangelia canonica essentialia consideravit.</v>
      </c>
      <c r="I258" t="str">
        <f>_xlfn.XLOOKUP(frasest[[#This Row],[autor_es]],autorest[autor_es],autorest[codigo])</f>
        <v>la</v>
      </c>
      <c r="J258" t="str">
        <f>_xlfn.XLOOKUP(frasest[[#This Row],[autor_es]],autorest[autor_es],autorest[idioma_es])</f>
        <v>Latín</v>
      </c>
      <c r="K258" t="str">
        <f>_xlfn.XLOOKUP(frasest[[#This Row],[autor_es]],autorest[autor_es],autorest[idioma_la])</f>
        <v>Lingua Latina</v>
      </c>
      <c r="L258" t="str">
        <f>_xlfn.XLOOKUP(frasest[[#This Row],[autor_es]],autorest[autor_es],autorest[nacion_es])</f>
        <v>Roma</v>
      </c>
      <c r="M258" t="str">
        <f>_xlfn.XLOOKUP(frasest[[#This Row],[autor_es]],autorest[autor_es],autorest[nacion_la])</f>
        <v>Roma</v>
      </c>
      <c r="N258" t="str">
        <f>_xlfn.XLOOKUP(frasest[[#This Row],[autor_es]],autorest[autor_es],autorest[epoca_es])</f>
        <v>Edad Antigua</v>
      </c>
      <c r="O258" t="str">
        <f>_xlfn.XLOOKUP(frasest[[#This Row],[autor_es]],autorest[autor_es],autorest[epoca_la])</f>
        <v>Antiquitas</v>
      </c>
    </row>
    <row r="259" spans="1:15">
      <c r="A259">
        <v>258</v>
      </c>
      <c r="B259" t="s">
        <v>754</v>
      </c>
      <c r="C259" t="s">
        <v>755</v>
      </c>
      <c r="D259" t="s">
        <v>755</v>
      </c>
      <c r="E259" t="s">
        <v>737</v>
      </c>
      <c r="F259" t="str">
        <f>_xlfn.XLOOKUP(frasest[[#This Row],[autor_es]],autorest[autor_es],autorest[autor_la])</f>
        <v>Irenaeus Lugdunensis</v>
      </c>
      <c r="G259" t="str">
        <f>_xlfn.XLOOKUP(frasest[[#This Row],[autor_es]],autorest[autor_es],autorest[bio_es])</f>
        <v>Obispo de Lyon, Padre de la Iglesia y mártir. Discípulo de San Policarpo, combatió el gnosticismo. Primer teólogo que consideró esenciales los cuatro evangelios canónicos.</v>
      </c>
      <c r="H259" t="str">
        <f>_xlfn.XLOOKUP(frasest[[#This Row],[autor_es]],autorest[autor_es],autorest[bio_la])</f>
        <v>Episcopus Lugdunensis, Pater Ecclesiae et martyr. Discipulus Sancti Polycarpi, gnosticismum impugnavit. Primus theologus quattuor evangelia canonica essentialia consideravit.</v>
      </c>
      <c r="I259" t="str">
        <f>_xlfn.XLOOKUP(frasest[[#This Row],[autor_es]],autorest[autor_es],autorest[codigo])</f>
        <v>la</v>
      </c>
      <c r="J259" t="str">
        <f>_xlfn.XLOOKUP(frasest[[#This Row],[autor_es]],autorest[autor_es],autorest[idioma_es])</f>
        <v>Latín</v>
      </c>
      <c r="K259" t="str">
        <f>_xlfn.XLOOKUP(frasest[[#This Row],[autor_es]],autorest[autor_es],autorest[idioma_la])</f>
        <v>Lingua Latina</v>
      </c>
      <c r="L259" t="str">
        <f>_xlfn.XLOOKUP(frasest[[#This Row],[autor_es]],autorest[autor_es],autorest[nacion_es])</f>
        <v>Roma</v>
      </c>
      <c r="M259" t="str">
        <f>_xlfn.XLOOKUP(frasest[[#This Row],[autor_es]],autorest[autor_es],autorest[nacion_la])</f>
        <v>Roma</v>
      </c>
      <c r="N259" t="str">
        <f>_xlfn.XLOOKUP(frasest[[#This Row],[autor_es]],autorest[autor_es],autorest[epoca_es])</f>
        <v>Edad Antigua</v>
      </c>
      <c r="O259" t="str">
        <f>_xlfn.XLOOKUP(frasest[[#This Row],[autor_es]],autorest[autor_es],autorest[epoca_la])</f>
        <v>Antiquitas</v>
      </c>
    </row>
    <row r="260" spans="1:15">
      <c r="A260">
        <v>259</v>
      </c>
      <c r="B260" t="s">
        <v>756</v>
      </c>
      <c r="C260" t="s">
        <v>757</v>
      </c>
      <c r="D260" t="s">
        <v>757</v>
      </c>
      <c r="E260" t="s">
        <v>758</v>
      </c>
      <c r="F260" t="str">
        <f>_xlfn.XLOOKUP(frasest[[#This Row],[autor_es]],autorest[autor_es],autorest[autor_la])</f>
        <v>Athanasius Alexandrinus</v>
      </c>
      <c r="G260" t="str">
        <f>_xlfn.XLOOKUP(frasest[[#This Row],[autor_es]],autorest[autor_es],autorest[bio_es])</f>
        <v>Obispo de Alejandría, Doctor de la Iglesia y defensor de la ortodoxia nicena contra el arrianismo. Autor de la "Vida de San Antonio", influyente en la espiritualidad monástica.</v>
      </c>
      <c r="H260" t="str">
        <f>_xlfn.XLOOKUP(frasest[[#This Row],[autor_es]],autorest[autor_es],autorest[bio_la])</f>
        <v>Episcopus Alexandrinus, Doctor Ecclesiae et defensor orthodoxiae Nicaenae contra arianismum. Auctor "Vita Sancti Antonii", in spiritualitate monastica influens.</v>
      </c>
      <c r="I260" t="str">
        <f>_xlfn.XLOOKUP(frasest[[#This Row],[autor_es]],autorest[autor_es],autorest[codigo])</f>
        <v>la</v>
      </c>
      <c r="J260" t="str">
        <f>_xlfn.XLOOKUP(frasest[[#This Row],[autor_es]],autorest[autor_es],autorest[idioma_es])</f>
        <v>Latín</v>
      </c>
      <c r="K260" t="str">
        <f>_xlfn.XLOOKUP(frasest[[#This Row],[autor_es]],autorest[autor_es],autorest[idioma_la])</f>
        <v>Lingua Latina</v>
      </c>
      <c r="L260" t="str">
        <f>_xlfn.XLOOKUP(frasest[[#This Row],[autor_es]],autorest[autor_es],autorest[nacion_es])</f>
        <v>Roma</v>
      </c>
      <c r="M260" t="str">
        <f>_xlfn.XLOOKUP(frasest[[#This Row],[autor_es]],autorest[autor_es],autorest[nacion_la])</f>
        <v>Roma</v>
      </c>
      <c r="N260" t="str">
        <f>_xlfn.XLOOKUP(frasest[[#This Row],[autor_es]],autorest[autor_es],autorest[epoca_es])</f>
        <v>Edad Antigua</v>
      </c>
      <c r="O260" t="str">
        <f>_xlfn.XLOOKUP(frasest[[#This Row],[autor_es]],autorest[autor_es],autorest[epoca_la])</f>
        <v>Antiquitas</v>
      </c>
    </row>
    <row r="261" spans="1:15">
      <c r="A261">
        <v>260</v>
      </c>
      <c r="B261" t="s">
        <v>759</v>
      </c>
      <c r="C261" t="s">
        <v>760</v>
      </c>
      <c r="D261" t="s">
        <v>760</v>
      </c>
      <c r="E261" t="s">
        <v>758</v>
      </c>
      <c r="F261" t="str">
        <f>_xlfn.XLOOKUP(frasest[[#This Row],[autor_es]],autorest[autor_es],autorest[autor_la])</f>
        <v>Athanasius Alexandrinus</v>
      </c>
      <c r="G261" t="str">
        <f>_xlfn.XLOOKUP(frasest[[#This Row],[autor_es]],autorest[autor_es],autorest[bio_es])</f>
        <v>Obispo de Alejandría, Doctor de la Iglesia y defensor de la ortodoxia nicena contra el arrianismo. Autor de la "Vida de San Antonio", influyente en la espiritualidad monástica.</v>
      </c>
      <c r="H261" t="str">
        <f>_xlfn.XLOOKUP(frasest[[#This Row],[autor_es]],autorest[autor_es],autorest[bio_la])</f>
        <v>Episcopus Alexandrinus, Doctor Ecclesiae et defensor orthodoxiae Nicaenae contra arianismum. Auctor "Vita Sancti Antonii", in spiritualitate monastica influens.</v>
      </c>
      <c r="I261" t="str">
        <f>_xlfn.XLOOKUP(frasest[[#This Row],[autor_es]],autorest[autor_es],autorest[codigo])</f>
        <v>la</v>
      </c>
      <c r="J261" t="str">
        <f>_xlfn.XLOOKUP(frasest[[#This Row],[autor_es]],autorest[autor_es],autorest[idioma_es])</f>
        <v>Latín</v>
      </c>
      <c r="K261" t="str">
        <f>_xlfn.XLOOKUP(frasest[[#This Row],[autor_es]],autorest[autor_es],autorest[idioma_la])</f>
        <v>Lingua Latina</v>
      </c>
      <c r="L261" t="str">
        <f>_xlfn.XLOOKUP(frasest[[#This Row],[autor_es]],autorest[autor_es],autorest[nacion_es])</f>
        <v>Roma</v>
      </c>
      <c r="M261" t="str">
        <f>_xlfn.XLOOKUP(frasest[[#This Row],[autor_es]],autorest[autor_es],autorest[nacion_la])</f>
        <v>Roma</v>
      </c>
      <c r="N261" t="str">
        <f>_xlfn.XLOOKUP(frasest[[#This Row],[autor_es]],autorest[autor_es],autorest[epoca_es])</f>
        <v>Edad Antigua</v>
      </c>
      <c r="O261" t="str">
        <f>_xlfn.XLOOKUP(frasest[[#This Row],[autor_es]],autorest[autor_es],autorest[epoca_la])</f>
        <v>Antiquitas</v>
      </c>
    </row>
    <row r="262" spans="1:15">
      <c r="A262">
        <v>261</v>
      </c>
      <c r="B262" t="s">
        <v>761</v>
      </c>
      <c r="C262" t="s">
        <v>762</v>
      </c>
      <c r="D262" t="s">
        <v>762</v>
      </c>
      <c r="E262" t="s">
        <v>758</v>
      </c>
      <c r="F262" t="str">
        <f>_xlfn.XLOOKUP(frasest[[#This Row],[autor_es]],autorest[autor_es],autorest[autor_la])</f>
        <v>Athanasius Alexandrinus</v>
      </c>
      <c r="G262" t="str">
        <f>_xlfn.XLOOKUP(frasest[[#This Row],[autor_es]],autorest[autor_es],autorest[bio_es])</f>
        <v>Obispo de Alejandría, Doctor de la Iglesia y defensor de la ortodoxia nicena contra el arrianismo. Autor de la "Vida de San Antonio", influyente en la espiritualidad monástica.</v>
      </c>
      <c r="H262" t="str">
        <f>_xlfn.XLOOKUP(frasest[[#This Row],[autor_es]],autorest[autor_es],autorest[bio_la])</f>
        <v>Episcopus Alexandrinus, Doctor Ecclesiae et defensor orthodoxiae Nicaenae contra arianismum. Auctor "Vita Sancti Antonii", in spiritualitate monastica influens.</v>
      </c>
      <c r="I262" t="str">
        <f>_xlfn.XLOOKUP(frasest[[#This Row],[autor_es]],autorest[autor_es],autorest[codigo])</f>
        <v>la</v>
      </c>
      <c r="J262" t="str">
        <f>_xlfn.XLOOKUP(frasest[[#This Row],[autor_es]],autorest[autor_es],autorest[idioma_es])</f>
        <v>Latín</v>
      </c>
      <c r="K262" t="str">
        <f>_xlfn.XLOOKUP(frasest[[#This Row],[autor_es]],autorest[autor_es],autorest[idioma_la])</f>
        <v>Lingua Latina</v>
      </c>
      <c r="L262" t="str">
        <f>_xlfn.XLOOKUP(frasest[[#This Row],[autor_es]],autorest[autor_es],autorest[nacion_es])</f>
        <v>Roma</v>
      </c>
      <c r="M262" t="str">
        <f>_xlfn.XLOOKUP(frasest[[#This Row],[autor_es]],autorest[autor_es],autorest[nacion_la])</f>
        <v>Roma</v>
      </c>
      <c r="N262" t="str">
        <f>_xlfn.XLOOKUP(frasest[[#This Row],[autor_es]],autorest[autor_es],autorest[epoca_es])</f>
        <v>Edad Antigua</v>
      </c>
      <c r="O262" t="str">
        <f>_xlfn.XLOOKUP(frasest[[#This Row],[autor_es]],autorest[autor_es],autorest[epoca_la])</f>
        <v>Antiquitas</v>
      </c>
    </row>
    <row r="263" spans="1:15">
      <c r="A263">
        <v>262</v>
      </c>
      <c r="B263" t="s">
        <v>763</v>
      </c>
      <c r="C263" t="s">
        <v>764</v>
      </c>
      <c r="D263" t="s">
        <v>765</v>
      </c>
      <c r="E263" t="s">
        <v>758</v>
      </c>
      <c r="F263" t="str">
        <f>_xlfn.XLOOKUP(frasest[[#This Row],[autor_es]],autorest[autor_es],autorest[autor_la])</f>
        <v>Athanasius Alexandrinus</v>
      </c>
      <c r="G263" t="str">
        <f>_xlfn.XLOOKUP(frasest[[#This Row],[autor_es]],autorest[autor_es],autorest[bio_es])</f>
        <v>Obispo de Alejandría, Doctor de la Iglesia y defensor de la ortodoxia nicena contra el arrianismo. Autor de la "Vida de San Antonio", influyente en la espiritualidad monástica.</v>
      </c>
      <c r="H263" t="str">
        <f>_xlfn.XLOOKUP(frasest[[#This Row],[autor_es]],autorest[autor_es],autorest[bio_la])</f>
        <v>Episcopus Alexandrinus, Doctor Ecclesiae et defensor orthodoxiae Nicaenae contra arianismum. Auctor "Vita Sancti Antonii", in spiritualitate monastica influens.</v>
      </c>
      <c r="I263" t="str">
        <f>_xlfn.XLOOKUP(frasest[[#This Row],[autor_es]],autorest[autor_es],autorest[codigo])</f>
        <v>la</v>
      </c>
      <c r="J263" t="str">
        <f>_xlfn.XLOOKUP(frasest[[#This Row],[autor_es]],autorest[autor_es],autorest[idioma_es])</f>
        <v>Latín</v>
      </c>
      <c r="K263" t="str">
        <f>_xlfn.XLOOKUP(frasest[[#This Row],[autor_es]],autorest[autor_es],autorest[idioma_la])</f>
        <v>Lingua Latina</v>
      </c>
      <c r="L263" t="str">
        <f>_xlfn.XLOOKUP(frasest[[#This Row],[autor_es]],autorest[autor_es],autorest[nacion_es])</f>
        <v>Roma</v>
      </c>
      <c r="M263" t="str">
        <f>_xlfn.XLOOKUP(frasest[[#This Row],[autor_es]],autorest[autor_es],autorest[nacion_la])</f>
        <v>Roma</v>
      </c>
      <c r="N263" t="str">
        <f>_xlfn.XLOOKUP(frasest[[#This Row],[autor_es]],autorest[autor_es],autorest[epoca_es])</f>
        <v>Edad Antigua</v>
      </c>
      <c r="O263" t="str">
        <f>_xlfn.XLOOKUP(frasest[[#This Row],[autor_es]],autorest[autor_es],autorest[epoca_la])</f>
        <v>Antiquitas</v>
      </c>
    </row>
    <row r="264" spans="1:15">
      <c r="A264">
        <v>263</v>
      </c>
      <c r="B264" t="s">
        <v>766</v>
      </c>
      <c r="C264" t="s">
        <v>767</v>
      </c>
      <c r="D264" t="s">
        <v>767</v>
      </c>
      <c r="E264" t="s">
        <v>758</v>
      </c>
      <c r="F264" t="str">
        <f>_xlfn.XLOOKUP(frasest[[#This Row],[autor_es]],autorest[autor_es],autorest[autor_la])</f>
        <v>Athanasius Alexandrinus</v>
      </c>
      <c r="G264" t="str">
        <f>_xlfn.XLOOKUP(frasest[[#This Row],[autor_es]],autorest[autor_es],autorest[bio_es])</f>
        <v>Obispo de Alejandría, Doctor de la Iglesia y defensor de la ortodoxia nicena contra el arrianismo. Autor de la "Vida de San Antonio", influyente en la espiritualidad monástica.</v>
      </c>
      <c r="H264" t="str">
        <f>_xlfn.XLOOKUP(frasest[[#This Row],[autor_es]],autorest[autor_es],autorest[bio_la])</f>
        <v>Episcopus Alexandrinus, Doctor Ecclesiae et defensor orthodoxiae Nicaenae contra arianismum. Auctor "Vita Sancti Antonii", in spiritualitate monastica influens.</v>
      </c>
      <c r="I264" t="str">
        <f>_xlfn.XLOOKUP(frasest[[#This Row],[autor_es]],autorest[autor_es],autorest[codigo])</f>
        <v>la</v>
      </c>
      <c r="J264" t="str">
        <f>_xlfn.XLOOKUP(frasest[[#This Row],[autor_es]],autorest[autor_es],autorest[idioma_es])</f>
        <v>Latín</v>
      </c>
      <c r="K264" t="str">
        <f>_xlfn.XLOOKUP(frasest[[#This Row],[autor_es]],autorest[autor_es],autorest[idioma_la])</f>
        <v>Lingua Latina</v>
      </c>
      <c r="L264" t="str">
        <f>_xlfn.XLOOKUP(frasest[[#This Row],[autor_es]],autorest[autor_es],autorest[nacion_es])</f>
        <v>Roma</v>
      </c>
      <c r="M264" t="str">
        <f>_xlfn.XLOOKUP(frasest[[#This Row],[autor_es]],autorest[autor_es],autorest[nacion_la])</f>
        <v>Roma</v>
      </c>
      <c r="N264" t="str">
        <f>_xlfn.XLOOKUP(frasest[[#This Row],[autor_es]],autorest[autor_es],autorest[epoca_es])</f>
        <v>Edad Antigua</v>
      </c>
      <c r="O264" t="str">
        <f>_xlfn.XLOOKUP(frasest[[#This Row],[autor_es]],autorest[autor_es],autorest[epoca_la])</f>
        <v>Antiquitas</v>
      </c>
    </row>
    <row r="265" spans="1:15">
      <c r="A265">
        <v>264</v>
      </c>
      <c r="B265" t="s">
        <v>768</v>
      </c>
      <c r="C265" t="s">
        <v>769</v>
      </c>
      <c r="D265" t="s">
        <v>769</v>
      </c>
      <c r="E265" t="s">
        <v>758</v>
      </c>
      <c r="F265" t="str">
        <f>_xlfn.XLOOKUP(frasest[[#This Row],[autor_es]],autorest[autor_es],autorest[autor_la])</f>
        <v>Athanasius Alexandrinus</v>
      </c>
      <c r="G265" t="str">
        <f>_xlfn.XLOOKUP(frasest[[#This Row],[autor_es]],autorest[autor_es],autorest[bio_es])</f>
        <v>Obispo de Alejandría, Doctor de la Iglesia y defensor de la ortodoxia nicena contra el arrianismo. Autor de la "Vida de San Antonio", influyente en la espiritualidad monástica.</v>
      </c>
      <c r="H265" t="str">
        <f>_xlfn.XLOOKUP(frasest[[#This Row],[autor_es]],autorest[autor_es],autorest[bio_la])</f>
        <v>Episcopus Alexandrinus, Doctor Ecclesiae et defensor orthodoxiae Nicaenae contra arianismum. Auctor "Vita Sancti Antonii", in spiritualitate monastica influens.</v>
      </c>
      <c r="I265" t="str">
        <f>_xlfn.XLOOKUP(frasest[[#This Row],[autor_es]],autorest[autor_es],autorest[codigo])</f>
        <v>la</v>
      </c>
      <c r="J265" t="str">
        <f>_xlfn.XLOOKUP(frasest[[#This Row],[autor_es]],autorest[autor_es],autorest[idioma_es])</f>
        <v>Latín</v>
      </c>
      <c r="K265" t="str">
        <f>_xlfn.XLOOKUP(frasest[[#This Row],[autor_es]],autorest[autor_es],autorest[idioma_la])</f>
        <v>Lingua Latina</v>
      </c>
      <c r="L265" t="str">
        <f>_xlfn.XLOOKUP(frasest[[#This Row],[autor_es]],autorest[autor_es],autorest[nacion_es])</f>
        <v>Roma</v>
      </c>
      <c r="M265" t="str">
        <f>_xlfn.XLOOKUP(frasest[[#This Row],[autor_es]],autorest[autor_es],autorest[nacion_la])</f>
        <v>Roma</v>
      </c>
      <c r="N265" t="str">
        <f>_xlfn.XLOOKUP(frasest[[#This Row],[autor_es]],autorest[autor_es],autorest[epoca_es])</f>
        <v>Edad Antigua</v>
      </c>
      <c r="O265" t="str">
        <f>_xlfn.XLOOKUP(frasest[[#This Row],[autor_es]],autorest[autor_es],autorest[epoca_la])</f>
        <v>Antiquitas</v>
      </c>
    </row>
    <row r="266" spans="1:15">
      <c r="A266">
        <v>265</v>
      </c>
      <c r="B266" t="s">
        <v>770</v>
      </c>
      <c r="C266" t="s">
        <v>771</v>
      </c>
      <c r="D266" t="s">
        <v>771</v>
      </c>
      <c r="E266" t="s">
        <v>758</v>
      </c>
      <c r="F266" t="str">
        <f>_xlfn.XLOOKUP(frasest[[#This Row],[autor_es]],autorest[autor_es],autorest[autor_la])</f>
        <v>Athanasius Alexandrinus</v>
      </c>
      <c r="G266" t="str">
        <f>_xlfn.XLOOKUP(frasest[[#This Row],[autor_es]],autorest[autor_es],autorest[bio_es])</f>
        <v>Obispo de Alejandría, Doctor de la Iglesia y defensor de la ortodoxia nicena contra el arrianismo. Autor de la "Vida de San Antonio", influyente en la espiritualidad monástica.</v>
      </c>
      <c r="H266" t="str">
        <f>_xlfn.XLOOKUP(frasest[[#This Row],[autor_es]],autorest[autor_es],autorest[bio_la])</f>
        <v>Episcopus Alexandrinus, Doctor Ecclesiae et defensor orthodoxiae Nicaenae contra arianismum. Auctor "Vita Sancti Antonii", in spiritualitate monastica influens.</v>
      </c>
      <c r="I266" t="str">
        <f>_xlfn.XLOOKUP(frasest[[#This Row],[autor_es]],autorest[autor_es],autorest[codigo])</f>
        <v>la</v>
      </c>
      <c r="J266" t="str">
        <f>_xlfn.XLOOKUP(frasest[[#This Row],[autor_es]],autorest[autor_es],autorest[idioma_es])</f>
        <v>Latín</v>
      </c>
      <c r="K266" t="str">
        <f>_xlfn.XLOOKUP(frasest[[#This Row],[autor_es]],autorest[autor_es],autorest[idioma_la])</f>
        <v>Lingua Latina</v>
      </c>
      <c r="L266" t="str">
        <f>_xlfn.XLOOKUP(frasest[[#This Row],[autor_es]],autorest[autor_es],autorest[nacion_es])</f>
        <v>Roma</v>
      </c>
      <c r="M266" t="str">
        <f>_xlfn.XLOOKUP(frasest[[#This Row],[autor_es]],autorest[autor_es],autorest[nacion_la])</f>
        <v>Roma</v>
      </c>
      <c r="N266" t="str">
        <f>_xlfn.XLOOKUP(frasest[[#This Row],[autor_es]],autorest[autor_es],autorest[epoca_es])</f>
        <v>Edad Antigua</v>
      </c>
      <c r="O266" t="str">
        <f>_xlfn.XLOOKUP(frasest[[#This Row],[autor_es]],autorest[autor_es],autorest[epoca_la])</f>
        <v>Antiquitas</v>
      </c>
    </row>
    <row r="267" spans="1:15">
      <c r="A267">
        <v>266</v>
      </c>
      <c r="B267" t="s">
        <v>772</v>
      </c>
      <c r="C267" t="s">
        <v>773</v>
      </c>
      <c r="D267" t="s">
        <v>773</v>
      </c>
      <c r="E267" t="s">
        <v>758</v>
      </c>
      <c r="F267" t="str">
        <f>_xlfn.XLOOKUP(frasest[[#This Row],[autor_es]],autorest[autor_es],autorest[autor_la])</f>
        <v>Athanasius Alexandrinus</v>
      </c>
      <c r="G267" t="str">
        <f>_xlfn.XLOOKUP(frasest[[#This Row],[autor_es]],autorest[autor_es],autorest[bio_es])</f>
        <v>Obispo de Alejandría, Doctor de la Iglesia y defensor de la ortodoxia nicena contra el arrianismo. Autor de la "Vida de San Antonio", influyente en la espiritualidad monástica.</v>
      </c>
      <c r="H267" t="str">
        <f>_xlfn.XLOOKUP(frasest[[#This Row],[autor_es]],autorest[autor_es],autorest[bio_la])</f>
        <v>Episcopus Alexandrinus, Doctor Ecclesiae et defensor orthodoxiae Nicaenae contra arianismum. Auctor "Vita Sancti Antonii", in spiritualitate monastica influens.</v>
      </c>
      <c r="I267" t="str">
        <f>_xlfn.XLOOKUP(frasest[[#This Row],[autor_es]],autorest[autor_es],autorest[codigo])</f>
        <v>la</v>
      </c>
      <c r="J267" t="str">
        <f>_xlfn.XLOOKUP(frasest[[#This Row],[autor_es]],autorest[autor_es],autorest[idioma_es])</f>
        <v>Latín</v>
      </c>
      <c r="K267" t="str">
        <f>_xlfn.XLOOKUP(frasest[[#This Row],[autor_es]],autorest[autor_es],autorest[idioma_la])</f>
        <v>Lingua Latina</v>
      </c>
      <c r="L267" t="str">
        <f>_xlfn.XLOOKUP(frasest[[#This Row],[autor_es]],autorest[autor_es],autorest[nacion_es])</f>
        <v>Roma</v>
      </c>
      <c r="M267" t="str">
        <f>_xlfn.XLOOKUP(frasest[[#This Row],[autor_es]],autorest[autor_es],autorest[nacion_la])</f>
        <v>Roma</v>
      </c>
      <c r="N267" t="str">
        <f>_xlfn.XLOOKUP(frasest[[#This Row],[autor_es]],autorest[autor_es],autorest[epoca_es])</f>
        <v>Edad Antigua</v>
      </c>
      <c r="O267" t="str">
        <f>_xlfn.XLOOKUP(frasest[[#This Row],[autor_es]],autorest[autor_es],autorest[epoca_la])</f>
        <v>Antiquitas</v>
      </c>
    </row>
    <row r="268" spans="1:15">
      <c r="A268">
        <v>267</v>
      </c>
      <c r="B268" t="s">
        <v>774</v>
      </c>
      <c r="C268" t="s">
        <v>775</v>
      </c>
      <c r="D268" t="s">
        <v>775</v>
      </c>
      <c r="E268" t="s">
        <v>758</v>
      </c>
      <c r="F268" t="str">
        <f>_xlfn.XLOOKUP(frasest[[#This Row],[autor_es]],autorest[autor_es],autorest[autor_la])</f>
        <v>Athanasius Alexandrinus</v>
      </c>
      <c r="G268" t="str">
        <f>_xlfn.XLOOKUP(frasest[[#This Row],[autor_es]],autorest[autor_es],autorest[bio_es])</f>
        <v>Obispo de Alejandría, Doctor de la Iglesia y defensor de la ortodoxia nicena contra el arrianismo. Autor de la "Vida de San Antonio", influyente en la espiritualidad monástica.</v>
      </c>
      <c r="H268" t="str">
        <f>_xlfn.XLOOKUP(frasest[[#This Row],[autor_es]],autorest[autor_es],autorest[bio_la])</f>
        <v>Episcopus Alexandrinus, Doctor Ecclesiae et defensor orthodoxiae Nicaenae contra arianismum. Auctor "Vita Sancti Antonii", in spiritualitate monastica influens.</v>
      </c>
      <c r="I268" t="str">
        <f>_xlfn.XLOOKUP(frasest[[#This Row],[autor_es]],autorest[autor_es],autorest[codigo])</f>
        <v>la</v>
      </c>
      <c r="J268" t="str">
        <f>_xlfn.XLOOKUP(frasest[[#This Row],[autor_es]],autorest[autor_es],autorest[idioma_es])</f>
        <v>Latín</v>
      </c>
      <c r="K268" t="str">
        <f>_xlfn.XLOOKUP(frasest[[#This Row],[autor_es]],autorest[autor_es],autorest[idioma_la])</f>
        <v>Lingua Latina</v>
      </c>
      <c r="L268" t="str">
        <f>_xlfn.XLOOKUP(frasest[[#This Row],[autor_es]],autorest[autor_es],autorest[nacion_es])</f>
        <v>Roma</v>
      </c>
      <c r="M268" t="str">
        <f>_xlfn.XLOOKUP(frasest[[#This Row],[autor_es]],autorest[autor_es],autorest[nacion_la])</f>
        <v>Roma</v>
      </c>
      <c r="N268" t="str">
        <f>_xlfn.XLOOKUP(frasest[[#This Row],[autor_es]],autorest[autor_es],autorest[epoca_es])</f>
        <v>Edad Antigua</v>
      </c>
      <c r="O268" t="str">
        <f>_xlfn.XLOOKUP(frasest[[#This Row],[autor_es]],autorest[autor_es],autorest[epoca_la])</f>
        <v>Antiquitas</v>
      </c>
    </row>
    <row r="269" spans="1:15">
      <c r="A269">
        <v>268</v>
      </c>
      <c r="B269" t="s">
        <v>776</v>
      </c>
      <c r="C269" t="s">
        <v>777</v>
      </c>
      <c r="D269" t="s">
        <v>777</v>
      </c>
      <c r="E269" t="s">
        <v>758</v>
      </c>
      <c r="F269" t="str">
        <f>_xlfn.XLOOKUP(frasest[[#This Row],[autor_es]],autorest[autor_es],autorest[autor_la])</f>
        <v>Athanasius Alexandrinus</v>
      </c>
      <c r="G269" t="str">
        <f>_xlfn.XLOOKUP(frasest[[#This Row],[autor_es]],autorest[autor_es],autorest[bio_es])</f>
        <v>Obispo de Alejandría, Doctor de la Iglesia y defensor de la ortodoxia nicena contra el arrianismo. Autor de la "Vida de San Antonio", influyente en la espiritualidad monástica.</v>
      </c>
      <c r="H269" t="str">
        <f>_xlfn.XLOOKUP(frasest[[#This Row],[autor_es]],autorest[autor_es],autorest[bio_la])</f>
        <v>Episcopus Alexandrinus, Doctor Ecclesiae et defensor orthodoxiae Nicaenae contra arianismum. Auctor "Vita Sancti Antonii", in spiritualitate monastica influens.</v>
      </c>
      <c r="I269" t="str">
        <f>_xlfn.XLOOKUP(frasest[[#This Row],[autor_es]],autorest[autor_es],autorest[codigo])</f>
        <v>la</v>
      </c>
      <c r="J269" t="str">
        <f>_xlfn.XLOOKUP(frasest[[#This Row],[autor_es]],autorest[autor_es],autorest[idioma_es])</f>
        <v>Latín</v>
      </c>
      <c r="K269" t="str">
        <f>_xlfn.XLOOKUP(frasest[[#This Row],[autor_es]],autorest[autor_es],autorest[idioma_la])</f>
        <v>Lingua Latina</v>
      </c>
      <c r="L269" t="str">
        <f>_xlfn.XLOOKUP(frasest[[#This Row],[autor_es]],autorest[autor_es],autorest[nacion_es])</f>
        <v>Roma</v>
      </c>
      <c r="M269" t="str">
        <f>_xlfn.XLOOKUP(frasest[[#This Row],[autor_es]],autorest[autor_es],autorest[nacion_la])</f>
        <v>Roma</v>
      </c>
      <c r="N269" t="str">
        <f>_xlfn.XLOOKUP(frasest[[#This Row],[autor_es]],autorest[autor_es],autorest[epoca_es])</f>
        <v>Edad Antigua</v>
      </c>
      <c r="O269" t="str">
        <f>_xlfn.XLOOKUP(frasest[[#This Row],[autor_es]],autorest[autor_es],autorest[epoca_la])</f>
        <v>Antiquitas</v>
      </c>
    </row>
    <row r="270" spans="1:15">
      <c r="A270">
        <v>269</v>
      </c>
      <c r="B270" t="s">
        <v>778</v>
      </c>
      <c r="C270" t="s">
        <v>779</v>
      </c>
      <c r="D270" t="s">
        <v>779</v>
      </c>
      <c r="E270" t="s">
        <v>780</v>
      </c>
      <c r="F270" t="str">
        <f>_xlfn.XLOOKUP(frasest[[#This Row],[autor_es]],autorest[autor_es],autorest[autor_la])</f>
        <v>Basilius Magnus</v>
      </c>
      <c r="G270" t="str">
        <f>_xlfn.XLOOKUP(frasest[[#This Row],[autor_es]],autorest[autor_es],autorest[bio_es])</f>
        <v>Obispo de Cesarea, Doctor de la Iglesia y Padre Capadocio. Hermano de San Gregorio de Nisa, organizador del monaquismo oriental y defensor de la ortodoxia nicena.</v>
      </c>
      <c r="H270" t="str">
        <f>_xlfn.XLOOKUP(frasest[[#This Row],[autor_es]],autorest[autor_es],autorest[bio_la])</f>
        <v>Episcopus Caesariensis, Doctor Ecclesiae et Pater Cappadocius. Frater Sancti Gregorii Nysseni, monasticismi orientalis organizator et orthodoxiae Nicaenae defensor.</v>
      </c>
      <c r="I270" t="str">
        <f>_xlfn.XLOOKUP(frasest[[#This Row],[autor_es]],autorest[autor_es],autorest[codigo])</f>
        <v>la</v>
      </c>
      <c r="J270" t="str">
        <f>_xlfn.XLOOKUP(frasest[[#This Row],[autor_es]],autorest[autor_es],autorest[idioma_es])</f>
        <v>Latín</v>
      </c>
      <c r="K270" t="str">
        <f>_xlfn.XLOOKUP(frasest[[#This Row],[autor_es]],autorest[autor_es],autorest[idioma_la])</f>
        <v>Lingua Latina</v>
      </c>
      <c r="L270" t="str">
        <f>_xlfn.XLOOKUP(frasest[[#This Row],[autor_es]],autorest[autor_es],autorest[nacion_es])</f>
        <v>Roma</v>
      </c>
      <c r="M270" t="str">
        <f>_xlfn.XLOOKUP(frasest[[#This Row],[autor_es]],autorest[autor_es],autorest[nacion_la])</f>
        <v>Roma</v>
      </c>
      <c r="N270" t="str">
        <f>_xlfn.XLOOKUP(frasest[[#This Row],[autor_es]],autorest[autor_es],autorest[epoca_es])</f>
        <v>Edad Antigua</v>
      </c>
      <c r="O270" t="str">
        <f>_xlfn.XLOOKUP(frasest[[#This Row],[autor_es]],autorest[autor_es],autorest[epoca_la])</f>
        <v>Antiquitas</v>
      </c>
    </row>
    <row r="271" spans="1:15">
      <c r="A271">
        <v>270</v>
      </c>
      <c r="B271" t="s">
        <v>781</v>
      </c>
      <c r="C271" t="s">
        <v>782</v>
      </c>
      <c r="D271" t="s">
        <v>782</v>
      </c>
      <c r="E271" t="s">
        <v>780</v>
      </c>
      <c r="F271" t="str">
        <f>_xlfn.XLOOKUP(frasest[[#This Row],[autor_es]],autorest[autor_es],autorest[autor_la])</f>
        <v>Basilius Magnus</v>
      </c>
      <c r="G271" t="str">
        <f>_xlfn.XLOOKUP(frasest[[#This Row],[autor_es]],autorest[autor_es],autorest[bio_es])</f>
        <v>Obispo de Cesarea, Doctor de la Iglesia y Padre Capadocio. Hermano de San Gregorio de Nisa, organizador del monaquismo oriental y defensor de la ortodoxia nicena.</v>
      </c>
      <c r="H271" t="str">
        <f>_xlfn.XLOOKUP(frasest[[#This Row],[autor_es]],autorest[autor_es],autorest[bio_la])</f>
        <v>Episcopus Caesariensis, Doctor Ecclesiae et Pater Cappadocius. Frater Sancti Gregorii Nysseni, monasticismi orientalis organizator et orthodoxiae Nicaenae defensor.</v>
      </c>
      <c r="I271" t="str">
        <f>_xlfn.XLOOKUP(frasest[[#This Row],[autor_es]],autorest[autor_es],autorest[codigo])</f>
        <v>la</v>
      </c>
      <c r="J271" t="str">
        <f>_xlfn.XLOOKUP(frasest[[#This Row],[autor_es]],autorest[autor_es],autorest[idioma_es])</f>
        <v>Latín</v>
      </c>
      <c r="K271" t="str">
        <f>_xlfn.XLOOKUP(frasest[[#This Row],[autor_es]],autorest[autor_es],autorest[idioma_la])</f>
        <v>Lingua Latina</v>
      </c>
      <c r="L271" t="str">
        <f>_xlfn.XLOOKUP(frasest[[#This Row],[autor_es]],autorest[autor_es],autorest[nacion_es])</f>
        <v>Roma</v>
      </c>
      <c r="M271" t="str">
        <f>_xlfn.XLOOKUP(frasest[[#This Row],[autor_es]],autorest[autor_es],autorest[nacion_la])</f>
        <v>Roma</v>
      </c>
      <c r="N271" t="str">
        <f>_xlfn.XLOOKUP(frasest[[#This Row],[autor_es]],autorest[autor_es],autorest[epoca_es])</f>
        <v>Edad Antigua</v>
      </c>
      <c r="O271" t="str">
        <f>_xlfn.XLOOKUP(frasest[[#This Row],[autor_es]],autorest[autor_es],autorest[epoca_la])</f>
        <v>Antiquitas</v>
      </c>
    </row>
    <row r="272" spans="1:15">
      <c r="A272">
        <v>271</v>
      </c>
      <c r="B272" t="s">
        <v>783</v>
      </c>
      <c r="C272" t="s">
        <v>784</v>
      </c>
      <c r="D272" t="s">
        <v>784</v>
      </c>
      <c r="E272" t="s">
        <v>780</v>
      </c>
      <c r="F272" t="str">
        <f>_xlfn.XLOOKUP(frasest[[#This Row],[autor_es]],autorest[autor_es],autorest[autor_la])</f>
        <v>Basilius Magnus</v>
      </c>
      <c r="G272" t="str">
        <f>_xlfn.XLOOKUP(frasest[[#This Row],[autor_es]],autorest[autor_es],autorest[bio_es])</f>
        <v>Obispo de Cesarea, Doctor de la Iglesia y Padre Capadocio. Hermano de San Gregorio de Nisa, organizador del monaquismo oriental y defensor de la ortodoxia nicena.</v>
      </c>
      <c r="H272" t="str">
        <f>_xlfn.XLOOKUP(frasest[[#This Row],[autor_es]],autorest[autor_es],autorest[bio_la])</f>
        <v>Episcopus Caesariensis, Doctor Ecclesiae et Pater Cappadocius. Frater Sancti Gregorii Nysseni, monasticismi orientalis organizator et orthodoxiae Nicaenae defensor.</v>
      </c>
      <c r="I272" t="str">
        <f>_xlfn.XLOOKUP(frasest[[#This Row],[autor_es]],autorest[autor_es],autorest[codigo])</f>
        <v>la</v>
      </c>
      <c r="J272" t="str">
        <f>_xlfn.XLOOKUP(frasest[[#This Row],[autor_es]],autorest[autor_es],autorest[idioma_es])</f>
        <v>Latín</v>
      </c>
      <c r="K272" t="str">
        <f>_xlfn.XLOOKUP(frasest[[#This Row],[autor_es]],autorest[autor_es],autorest[idioma_la])</f>
        <v>Lingua Latina</v>
      </c>
      <c r="L272" t="str">
        <f>_xlfn.XLOOKUP(frasest[[#This Row],[autor_es]],autorest[autor_es],autorest[nacion_es])</f>
        <v>Roma</v>
      </c>
      <c r="M272" t="str">
        <f>_xlfn.XLOOKUP(frasest[[#This Row],[autor_es]],autorest[autor_es],autorest[nacion_la])</f>
        <v>Roma</v>
      </c>
      <c r="N272" t="str">
        <f>_xlfn.XLOOKUP(frasest[[#This Row],[autor_es]],autorest[autor_es],autorest[epoca_es])</f>
        <v>Edad Antigua</v>
      </c>
      <c r="O272" t="str">
        <f>_xlfn.XLOOKUP(frasest[[#This Row],[autor_es]],autorest[autor_es],autorest[epoca_la])</f>
        <v>Antiquitas</v>
      </c>
    </row>
    <row r="273" spans="1:15">
      <c r="A273">
        <v>272</v>
      </c>
      <c r="B273" t="s">
        <v>785</v>
      </c>
      <c r="C273" t="s">
        <v>786</v>
      </c>
      <c r="D273" t="s">
        <v>786</v>
      </c>
      <c r="E273" t="s">
        <v>780</v>
      </c>
      <c r="F273" t="str">
        <f>_xlfn.XLOOKUP(frasest[[#This Row],[autor_es]],autorest[autor_es],autorest[autor_la])</f>
        <v>Basilius Magnus</v>
      </c>
      <c r="G273" t="str">
        <f>_xlfn.XLOOKUP(frasest[[#This Row],[autor_es]],autorest[autor_es],autorest[bio_es])</f>
        <v>Obispo de Cesarea, Doctor de la Iglesia y Padre Capadocio. Hermano de San Gregorio de Nisa, organizador del monaquismo oriental y defensor de la ortodoxia nicena.</v>
      </c>
      <c r="H273" t="str">
        <f>_xlfn.XLOOKUP(frasest[[#This Row],[autor_es]],autorest[autor_es],autorest[bio_la])</f>
        <v>Episcopus Caesariensis, Doctor Ecclesiae et Pater Cappadocius. Frater Sancti Gregorii Nysseni, monasticismi orientalis organizator et orthodoxiae Nicaenae defensor.</v>
      </c>
      <c r="I273" t="str">
        <f>_xlfn.XLOOKUP(frasest[[#This Row],[autor_es]],autorest[autor_es],autorest[codigo])</f>
        <v>la</v>
      </c>
      <c r="J273" t="str">
        <f>_xlfn.XLOOKUP(frasest[[#This Row],[autor_es]],autorest[autor_es],autorest[idioma_es])</f>
        <v>Latín</v>
      </c>
      <c r="K273" t="str">
        <f>_xlfn.XLOOKUP(frasest[[#This Row],[autor_es]],autorest[autor_es],autorest[idioma_la])</f>
        <v>Lingua Latina</v>
      </c>
      <c r="L273" t="str">
        <f>_xlfn.XLOOKUP(frasest[[#This Row],[autor_es]],autorest[autor_es],autorest[nacion_es])</f>
        <v>Roma</v>
      </c>
      <c r="M273" t="str">
        <f>_xlfn.XLOOKUP(frasest[[#This Row],[autor_es]],autorest[autor_es],autorest[nacion_la])</f>
        <v>Roma</v>
      </c>
      <c r="N273" t="str">
        <f>_xlfn.XLOOKUP(frasest[[#This Row],[autor_es]],autorest[autor_es],autorest[epoca_es])</f>
        <v>Edad Antigua</v>
      </c>
      <c r="O273" t="str">
        <f>_xlfn.XLOOKUP(frasest[[#This Row],[autor_es]],autorest[autor_es],autorest[epoca_la])</f>
        <v>Antiquitas</v>
      </c>
    </row>
    <row r="274" spans="1:15">
      <c r="A274">
        <v>273</v>
      </c>
      <c r="B274" t="s">
        <v>787</v>
      </c>
      <c r="C274" t="s">
        <v>788</v>
      </c>
      <c r="D274" t="s">
        <v>788</v>
      </c>
      <c r="E274" t="s">
        <v>780</v>
      </c>
      <c r="F274" t="str">
        <f>_xlfn.XLOOKUP(frasest[[#This Row],[autor_es]],autorest[autor_es],autorest[autor_la])</f>
        <v>Basilius Magnus</v>
      </c>
      <c r="G274" t="str">
        <f>_xlfn.XLOOKUP(frasest[[#This Row],[autor_es]],autorest[autor_es],autorest[bio_es])</f>
        <v>Obispo de Cesarea, Doctor de la Iglesia y Padre Capadocio. Hermano de San Gregorio de Nisa, organizador del monaquismo oriental y defensor de la ortodoxia nicena.</v>
      </c>
      <c r="H274" t="str">
        <f>_xlfn.XLOOKUP(frasest[[#This Row],[autor_es]],autorest[autor_es],autorest[bio_la])</f>
        <v>Episcopus Caesariensis, Doctor Ecclesiae et Pater Cappadocius. Frater Sancti Gregorii Nysseni, monasticismi orientalis organizator et orthodoxiae Nicaenae defensor.</v>
      </c>
      <c r="I274" t="str">
        <f>_xlfn.XLOOKUP(frasest[[#This Row],[autor_es]],autorest[autor_es],autorest[codigo])</f>
        <v>la</v>
      </c>
      <c r="J274" t="str">
        <f>_xlfn.XLOOKUP(frasest[[#This Row],[autor_es]],autorest[autor_es],autorest[idioma_es])</f>
        <v>Latín</v>
      </c>
      <c r="K274" t="str">
        <f>_xlfn.XLOOKUP(frasest[[#This Row],[autor_es]],autorest[autor_es],autorest[idioma_la])</f>
        <v>Lingua Latina</v>
      </c>
      <c r="L274" t="str">
        <f>_xlfn.XLOOKUP(frasest[[#This Row],[autor_es]],autorest[autor_es],autorest[nacion_es])</f>
        <v>Roma</v>
      </c>
      <c r="M274" t="str">
        <f>_xlfn.XLOOKUP(frasest[[#This Row],[autor_es]],autorest[autor_es],autorest[nacion_la])</f>
        <v>Roma</v>
      </c>
      <c r="N274" t="str">
        <f>_xlfn.XLOOKUP(frasest[[#This Row],[autor_es]],autorest[autor_es],autorest[epoca_es])</f>
        <v>Edad Antigua</v>
      </c>
      <c r="O274" t="str">
        <f>_xlfn.XLOOKUP(frasest[[#This Row],[autor_es]],autorest[autor_es],autorest[epoca_la])</f>
        <v>Antiquitas</v>
      </c>
    </row>
    <row r="275" spans="1:15">
      <c r="A275">
        <v>274</v>
      </c>
      <c r="B275" t="s">
        <v>789</v>
      </c>
      <c r="C275" t="s">
        <v>790</v>
      </c>
      <c r="D275" t="s">
        <v>790</v>
      </c>
      <c r="E275" t="s">
        <v>780</v>
      </c>
      <c r="F275" t="str">
        <f>_xlfn.XLOOKUP(frasest[[#This Row],[autor_es]],autorest[autor_es],autorest[autor_la])</f>
        <v>Basilius Magnus</v>
      </c>
      <c r="G275" t="str">
        <f>_xlfn.XLOOKUP(frasest[[#This Row],[autor_es]],autorest[autor_es],autorest[bio_es])</f>
        <v>Obispo de Cesarea, Doctor de la Iglesia y Padre Capadocio. Hermano de San Gregorio de Nisa, organizador del monaquismo oriental y defensor de la ortodoxia nicena.</v>
      </c>
      <c r="H275" t="str">
        <f>_xlfn.XLOOKUP(frasest[[#This Row],[autor_es]],autorest[autor_es],autorest[bio_la])</f>
        <v>Episcopus Caesariensis, Doctor Ecclesiae et Pater Cappadocius. Frater Sancti Gregorii Nysseni, monasticismi orientalis organizator et orthodoxiae Nicaenae defensor.</v>
      </c>
      <c r="I275" t="str">
        <f>_xlfn.XLOOKUP(frasest[[#This Row],[autor_es]],autorest[autor_es],autorest[codigo])</f>
        <v>la</v>
      </c>
      <c r="J275" t="str">
        <f>_xlfn.XLOOKUP(frasest[[#This Row],[autor_es]],autorest[autor_es],autorest[idioma_es])</f>
        <v>Latín</v>
      </c>
      <c r="K275" t="str">
        <f>_xlfn.XLOOKUP(frasest[[#This Row],[autor_es]],autorest[autor_es],autorest[idioma_la])</f>
        <v>Lingua Latina</v>
      </c>
      <c r="L275" t="str">
        <f>_xlfn.XLOOKUP(frasest[[#This Row],[autor_es]],autorest[autor_es],autorest[nacion_es])</f>
        <v>Roma</v>
      </c>
      <c r="M275" t="str">
        <f>_xlfn.XLOOKUP(frasest[[#This Row],[autor_es]],autorest[autor_es],autorest[nacion_la])</f>
        <v>Roma</v>
      </c>
      <c r="N275" t="str">
        <f>_xlfn.XLOOKUP(frasest[[#This Row],[autor_es]],autorest[autor_es],autorest[epoca_es])</f>
        <v>Edad Antigua</v>
      </c>
      <c r="O275" t="str">
        <f>_xlfn.XLOOKUP(frasest[[#This Row],[autor_es]],autorest[autor_es],autorest[epoca_la])</f>
        <v>Antiquitas</v>
      </c>
    </row>
    <row r="276" spans="1:15">
      <c r="A276">
        <v>275</v>
      </c>
      <c r="B276" t="s">
        <v>791</v>
      </c>
      <c r="C276" t="s">
        <v>792</v>
      </c>
      <c r="D276" t="s">
        <v>792</v>
      </c>
      <c r="E276" t="s">
        <v>780</v>
      </c>
      <c r="F276" t="str">
        <f>_xlfn.XLOOKUP(frasest[[#This Row],[autor_es]],autorest[autor_es],autorest[autor_la])</f>
        <v>Basilius Magnus</v>
      </c>
      <c r="G276" t="str">
        <f>_xlfn.XLOOKUP(frasest[[#This Row],[autor_es]],autorest[autor_es],autorest[bio_es])</f>
        <v>Obispo de Cesarea, Doctor de la Iglesia y Padre Capadocio. Hermano de San Gregorio de Nisa, organizador del monaquismo oriental y defensor de la ortodoxia nicena.</v>
      </c>
      <c r="H276" t="str">
        <f>_xlfn.XLOOKUP(frasest[[#This Row],[autor_es]],autorest[autor_es],autorest[bio_la])</f>
        <v>Episcopus Caesariensis, Doctor Ecclesiae et Pater Cappadocius. Frater Sancti Gregorii Nysseni, monasticismi orientalis organizator et orthodoxiae Nicaenae defensor.</v>
      </c>
      <c r="I276" t="str">
        <f>_xlfn.XLOOKUP(frasest[[#This Row],[autor_es]],autorest[autor_es],autorest[codigo])</f>
        <v>la</v>
      </c>
      <c r="J276" t="str">
        <f>_xlfn.XLOOKUP(frasest[[#This Row],[autor_es]],autorest[autor_es],autorest[idioma_es])</f>
        <v>Latín</v>
      </c>
      <c r="K276" t="str">
        <f>_xlfn.XLOOKUP(frasest[[#This Row],[autor_es]],autorest[autor_es],autorest[idioma_la])</f>
        <v>Lingua Latina</v>
      </c>
      <c r="L276" t="str">
        <f>_xlfn.XLOOKUP(frasest[[#This Row],[autor_es]],autorest[autor_es],autorest[nacion_es])</f>
        <v>Roma</v>
      </c>
      <c r="M276" t="str">
        <f>_xlfn.XLOOKUP(frasest[[#This Row],[autor_es]],autorest[autor_es],autorest[nacion_la])</f>
        <v>Roma</v>
      </c>
      <c r="N276" t="str">
        <f>_xlfn.XLOOKUP(frasest[[#This Row],[autor_es]],autorest[autor_es],autorest[epoca_es])</f>
        <v>Edad Antigua</v>
      </c>
      <c r="O276" t="str">
        <f>_xlfn.XLOOKUP(frasest[[#This Row],[autor_es]],autorest[autor_es],autorest[epoca_la])</f>
        <v>Antiquitas</v>
      </c>
    </row>
    <row r="277" spans="1:15">
      <c r="A277">
        <v>276</v>
      </c>
      <c r="B277" t="s">
        <v>793</v>
      </c>
      <c r="C277" t="s">
        <v>794</v>
      </c>
      <c r="D277" t="s">
        <v>794</v>
      </c>
      <c r="E277" t="s">
        <v>780</v>
      </c>
      <c r="F277" t="str">
        <f>_xlfn.XLOOKUP(frasest[[#This Row],[autor_es]],autorest[autor_es],autorest[autor_la])</f>
        <v>Basilius Magnus</v>
      </c>
      <c r="G277" t="str">
        <f>_xlfn.XLOOKUP(frasest[[#This Row],[autor_es]],autorest[autor_es],autorest[bio_es])</f>
        <v>Obispo de Cesarea, Doctor de la Iglesia y Padre Capadocio. Hermano de San Gregorio de Nisa, organizador del monaquismo oriental y defensor de la ortodoxia nicena.</v>
      </c>
      <c r="H277" t="str">
        <f>_xlfn.XLOOKUP(frasest[[#This Row],[autor_es]],autorest[autor_es],autorest[bio_la])</f>
        <v>Episcopus Caesariensis, Doctor Ecclesiae et Pater Cappadocius. Frater Sancti Gregorii Nysseni, monasticismi orientalis organizator et orthodoxiae Nicaenae defensor.</v>
      </c>
      <c r="I277" t="str">
        <f>_xlfn.XLOOKUP(frasest[[#This Row],[autor_es]],autorest[autor_es],autorest[codigo])</f>
        <v>la</v>
      </c>
      <c r="J277" t="str">
        <f>_xlfn.XLOOKUP(frasest[[#This Row],[autor_es]],autorest[autor_es],autorest[idioma_es])</f>
        <v>Latín</v>
      </c>
      <c r="K277" t="str">
        <f>_xlfn.XLOOKUP(frasest[[#This Row],[autor_es]],autorest[autor_es],autorest[idioma_la])</f>
        <v>Lingua Latina</v>
      </c>
      <c r="L277" t="str">
        <f>_xlfn.XLOOKUP(frasest[[#This Row],[autor_es]],autorest[autor_es],autorest[nacion_es])</f>
        <v>Roma</v>
      </c>
      <c r="M277" t="str">
        <f>_xlfn.XLOOKUP(frasest[[#This Row],[autor_es]],autorest[autor_es],autorest[nacion_la])</f>
        <v>Roma</v>
      </c>
      <c r="N277" t="str">
        <f>_xlfn.XLOOKUP(frasest[[#This Row],[autor_es]],autorest[autor_es],autorest[epoca_es])</f>
        <v>Edad Antigua</v>
      </c>
      <c r="O277" t="str">
        <f>_xlfn.XLOOKUP(frasest[[#This Row],[autor_es]],autorest[autor_es],autorest[epoca_la])</f>
        <v>Antiquitas</v>
      </c>
    </row>
    <row r="278" spans="1:15">
      <c r="A278">
        <v>277</v>
      </c>
      <c r="B278" t="s">
        <v>795</v>
      </c>
      <c r="C278" t="s">
        <v>796</v>
      </c>
      <c r="D278" t="s">
        <v>796</v>
      </c>
      <c r="E278" t="s">
        <v>780</v>
      </c>
      <c r="F278" t="str">
        <f>_xlfn.XLOOKUP(frasest[[#This Row],[autor_es]],autorest[autor_es],autorest[autor_la])</f>
        <v>Basilius Magnus</v>
      </c>
      <c r="G278" t="str">
        <f>_xlfn.XLOOKUP(frasest[[#This Row],[autor_es]],autorest[autor_es],autorest[bio_es])</f>
        <v>Obispo de Cesarea, Doctor de la Iglesia y Padre Capadocio. Hermano de San Gregorio de Nisa, organizador del monaquismo oriental y defensor de la ortodoxia nicena.</v>
      </c>
      <c r="H278" t="str">
        <f>_xlfn.XLOOKUP(frasest[[#This Row],[autor_es]],autorest[autor_es],autorest[bio_la])</f>
        <v>Episcopus Caesariensis, Doctor Ecclesiae et Pater Cappadocius. Frater Sancti Gregorii Nysseni, monasticismi orientalis organizator et orthodoxiae Nicaenae defensor.</v>
      </c>
      <c r="I278" t="str">
        <f>_xlfn.XLOOKUP(frasest[[#This Row],[autor_es]],autorest[autor_es],autorest[codigo])</f>
        <v>la</v>
      </c>
      <c r="J278" t="str">
        <f>_xlfn.XLOOKUP(frasest[[#This Row],[autor_es]],autorest[autor_es],autorest[idioma_es])</f>
        <v>Latín</v>
      </c>
      <c r="K278" t="str">
        <f>_xlfn.XLOOKUP(frasest[[#This Row],[autor_es]],autorest[autor_es],autorest[idioma_la])</f>
        <v>Lingua Latina</v>
      </c>
      <c r="L278" t="str">
        <f>_xlfn.XLOOKUP(frasest[[#This Row],[autor_es]],autorest[autor_es],autorest[nacion_es])</f>
        <v>Roma</v>
      </c>
      <c r="M278" t="str">
        <f>_xlfn.XLOOKUP(frasest[[#This Row],[autor_es]],autorest[autor_es],autorest[nacion_la])</f>
        <v>Roma</v>
      </c>
      <c r="N278" t="str">
        <f>_xlfn.XLOOKUP(frasest[[#This Row],[autor_es]],autorest[autor_es],autorest[epoca_es])</f>
        <v>Edad Antigua</v>
      </c>
      <c r="O278" t="str">
        <f>_xlfn.XLOOKUP(frasest[[#This Row],[autor_es]],autorest[autor_es],autorest[epoca_la])</f>
        <v>Antiquitas</v>
      </c>
    </row>
    <row r="279" spans="1:15">
      <c r="A279">
        <v>278</v>
      </c>
      <c r="B279" t="s">
        <v>797</v>
      </c>
      <c r="C279" t="s">
        <v>798</v>
      </c>
      <c r="D279" t="s">
        <v>798</v>
      </c>
      <c r="E279" t="s">
        <v>780</v>
      </c>
      <c r="F279" t="str">
        <f>_xlfn.XLOOKUP(frasest[[#This Row],[autor_es]],autorest[autor_es],autorest[autor_la])</f>
        <v>Basilius Magnus</v>
      </c>
      <c r="G279" t="str">
        <f>_xlfn.XLOOKUP(frasest[[#This Row],[autor_es]],autorest[autor_es],autorest[bio_es])</f>
        <v>Obispo de Cesarea, Doctor de la Iglesia y Padre Capadocio. Hermano de San Gregorio de Nisa, organizador del monaquismo oriental y defensor de la ortodoxia nicena.</v>
      </c>
      <c r="H279" t="str">
        <f>_xlfn.XLOOKUP(frasest[[#This Row],[autor_es]],autorest[autor_es],autorest[bio_la])</f>
        <v>Episcopus Caesariensis, Doctor Ecclesiae et Pater Cappadocius. Frater Sancti Gregorii Nysseni, monasticismi orientalis organizator et orthodoxiae Nicaenae defensor.</v>
      </c>
      <c r="I279" t="str">
        <f>_xlfn.XLOOKUP(frasest[[#This Row],[autor_es]],autorest[autor_es],autorest[codigo])</f>
        <v>la</v>
      </c>
      <c r="J279" t="str">
        <f>_xlfn.XLOOKUP(frasest[[#This Row],[autor_es]],autorest[autor_es],autorest[idioma_es])</f>
        <v>Latín</v>
      </c>
      <c r="K279" t="str">
        <f>_xlfn.XLOOKUP(frasest[[#This Row],[autor_es]],autorest[autor_es],autorest[idioma_la])</f>
        <v>Lingua Latina</v>
      </c>
      <c r="L279" t="str">
        <f>_xlfn.XLOOKUP(frasest[[#This Row],[autor_es]],autorest[autor_es],autorest[nacion_es])</f>
        <v>Roma</v>
      </c>
      <c r="M279" t="str">
        <f>_xlfn.XLOOKUP(frasest[[#This Row],[autor_es]],autorest[autor_es],autorest[nacion_la])</f>
        <v>Roma</v>
      </c>
      <c r="N279" t="str">
        <f>_xlfn.XLOOKUP(frasest[[#This Row],[autor_es]],autorest[autor_es],autorest[epoca_es])</f>
        <v>Edad Antigua</v>
      </c>
      <c r="O279" t="str">
        <f>_xlfn.XLOOKUP(frasest[[#This Row],[autor_es]],autorest[autor_es],autorest[epoca_la])</f>
        <v>Antiquitas</v>
      </c>
    </row>
    <row r="280" spans="1:15">
      <c r="A280">
        <v>279</v>
      </c>
      <c r="B280" t="s">
        <v>799</v>
      </c>
      <c r="C280" t="s">
        <v>800</v>
      </c>
      <c r="D280" t="s">
        <v>801</v>
      </c>
      <c r="E280" t="s">
        <v>802</v>
      </c>
      <c r="F280" t="str">
        <f>_xlfn.XLOOKUP(frasest[[#This Row],[autor_es]],autorest[autor_es],autorest[autor_la])</f>
        <v>Gregorius Nazianzenus</v>
      </c>
      <c r="G280" t="str">
        <f>_xlfn.XLOOKUP(frasest[[#This Row],[autor_es]],autorest[autor_es],autorest[bio_es])</f>
        <v>Arzobispo de Constantinopla, Doctor de la Iglesia y Padre Capadocio. Llamado "el Teólogo", gran orador y defensor de la Trinidad. Uno de los tres Padres Capadocios.</v>
      </c>
      <c r="H280" t="str">
        <f>_xlfn.XLOOKUP(frasest[[#This Row],[autor_es]],autorest[autor_es],autorest[bio_la])</f>
        <v>Archiepiscopus Constantinopolitanus, Doctor Ecclesiae et Pater Cappadocius. "Theologus" vocatus, orator magnus et defensor Trinitatis. Unus ex tribus Patribus Cappadociis.</v>
      </c>
      <c r="I280" t="str">
        <f>_xlfn.XLOOKUP(frasest[[#This Row],[autor_es]],autorest[autor_es],autorest[codigo])</f>
        <v>la</v>
      </c>
      <c r="J280" t="str">
        <f>_xlfn.XLOOKUP(frasest[[#This Row],[autor_es]],autorest[autor_es],autorest[idioma_es])</f>
        <v>Latín</v>
      </c>
      <c r="K280" t="str">
        <f>_xlfn.XLOOKUP(frasest[[#This Row],[autor_es]],autorest[autor_es],autorest[idioma_la])</f>
        <v>Lingua Latina</v>
      </c>
      <c r="L280" t="str">
        <f>_xlfn.XLOOKUP(frasest[[#This Row],[autor_es]],autorest[autor_es],autorest[nacion_es])</f>
        <v>Roma</v>
      </c>
      <c r="M280" t="str">
        <f>_xlfn.XLOOKUP(frasest[[#This Row],[autor_es]],autorest[autor_es],autorest[nacion_la])</f>
        <v>Roma</v>
      </c>
      <c r="N280" t="str">
        <f>_xlfn.XLOOKUP(frasest[[#This Row],[autor_es]],autorest[autor_es],autorest[epoca_es])</f>
        <v>Edad Antigua</v>
      </c>
      <c r="O280" t="str">
        <f>_xlfn.XLOOKUP(frasest[[#This Row],[autor_es]],autorest[autor_es],autorest[epoca_la])</f>
        <v>Antiquitas</v>
      </c>
    </row>
    <row r="281" spans="1:15">
      <c r="A281">
        <v>280</v>
      </c>
      <c r="B281" t="s">
        <v>803</v>
      </c>
      <c r="C281" t="s">
        <v>804</v>
      </c>
      <c r="D281" t="s">
        <v>804</v>
      </c>
      <c r="E281" t="s">
        <v>802</v>
      </c>
      <c r="F281" t="str">
        <f>_xlfn.XLOOKUP(frasest[[#This Row],[autor_es]],autorest[autor_es],autorest[autor_la])</f>
        <v>Gregorius Nazianzenus</v>
      </c>
      <c r="G281" t="str">
        <f>_xlfn.XLOOKUP(frasest[[#This Row],[autor_es]],autorest[autor_es],autorest[bio_es])</f>
        <v>Arzobispo de Constantinopla, Doctor de la Iglesia y Padre Capadocio. Llamado "el Teólogo", gran orador y defensor de la Trinidad. Uno de los tres Padres Capadocios.</v>
      </c>
      <c r="H281" t="str">
        <f>_xlfn.XLOOKUP(frasest[[#This Row],[autor_es]],autorest[autor_es],autorest[bio_la])</f>
        <v>Archiepiscopus Constantinopolitanus, Doctor Ecclesiae et Pater Cappadocius. "Theologus" vocatus, orator magnus et defensor Trinitatis. Unus ex tribus Patribus Cappadociis.</v>
      </c>
      <c r="I281" t="str">
        <f>_xlfn.XLOOKUP(frasest[[#This Row],[autor_es]],autorest[autor_es],autorest[codigo])</f>
        <v>la</v>
      </c>
      <c r="J281" t="str">
        <f>_xlfn.XLOOKUP(frasest[[#This Row],[autor_es]],autorest[autor_es],autorest[idioma_es])</f>
        <v>Latín</v>
      </c>
      <c r="K281" t="str">
        <f>_xlfn.XLOOKUP(frasest[[#This Row],[autor_es]],autorest[autor_es],autorest[idioma_la])</f>
        <v>Lingua Latina</v>
      </c>
      <c r="L281" t="str">
        <f>_xlfn.XLOOKUP(frasest[[#This Row],[autor_es]],autorest[autor_es],autorest[nacion_es])</f>
        <v>Roma</v>
      </c>
      <c r="M281" t="str">
        <f>_xlfn.XLOOKUP(frasest[[#This Row],[autor_es]],autorest[autor_es],autorest[nacion_la])</f>
        <v>Roma</v>
      </c>
      <c r="N281" t="str">
        <f>_xlfn.XLOOKUP(frasest[[#This Row],[autor_es]],autorest[autor_es],autorest[epoca_es])</f>
        <v>Edad Antigua</v>
      </c>
      <c r="O281" t="str">
        <f>_xlfn.XLOOKUP(frasest[[#This Row],[autor_es]],autorest[autor_es],autorest[epoca_la])</f>
        <v>Antiquitas</v>
      </c>
    </row>
    <row r="282" spans="1:15">
      <c r="A282">
        <v>281</v>
      </c>
      <c r="B282" t="s">
        <v>805</v>
      </c>
      <c r="C282" t="s">
        <v>806</v>
      </c>
      <c r="D282" t="s">
        <v>806</v>
      </c>
      <c r="E282" t="s">
        <v>802</v>
      </c>
      <c r="F282" t="str">
        <f>_xlfn.XLOOKUP(frasest[[#This Row],[autor_es]],autorest[autor_es],autorest[autor_la])</f>
        <v>Gregorius Nazianzenus</v>
      </c>
      <c r="G282" t="str">
        <f>_xlfn.XLOOKUP(frasest[[#This Row],[autor_es]],autorest[autor_es],autorest[bio_es])</f>
        <v>Arzobispo de Constantinopla, Doctor de la Iglesia y Padre Capadocio. Llamado "el Teólogo", gran orador y defensor de la Trinidad. Uno de los tres Padres Capadocios.</v>
      </c>
      <c r="H282" t="str">
        <f>_xlfn.XLOOKUP(frasest[[#This Row],[autor_es]],autorest[autor_es],autorest[bio_la])</f>
        <v>Archiepiscopus Constantinopolitanus, Doctor Ecclesiae et Pater Cappadocius. "Theologus" vocatus, orator magnus et defensor Trinitatis. Unus ex tribus Patribus Cappadociis.</v>
      </c>
      <c r="I282" t="str">
        <f>_xlfn.XLOOKUP(frasest[[#This Row],[autor_es]],autorest[autor_es],autorest[codigo])</f>
        <v>la</v>
      </c>
      <c r="J282" t="str">
        <f>_xlfn.XLOOKUP(frasest[[#This Row],[autor_es]],autorest[autor_es],autorest[idioma_es])</f>
        <v>Latín</v>
      </c>
      <c r="K282" t="str">
        <f>_xlfn.XLOOKUP(frasest[[#This Row],[autor_es]],autorest[autor_es],autorest[idioma_la])</f>
        <v>Lingua Latina</v>
      </c>
      <c r="L282" t="str">
        <f>_xlfn.XLOOKUP(frasest[[#This Row],[autor_es]],autorest[autor_es],autorest[nacion_es])</f>
        <v>Roma</v>
      </c>
      <c r="M282" t="str">
        <f>_xlfn.XLOOKUP(frasest[[#This Row],[autor_es]],autorest[autor_es],autorest[nacion_la])</f>
        <v>Roma</v>
      </c>
      <c r="N282" t="str">
        <f>_xlfn.XLOOKUP(frasest[[#This Row],[autor_es]],autorest[autor_es],autorest[epoca_es])</f>
        <v>Edad Antigua</v>
      </c>
      <c r="O282" t="str">
        <f>_xlfn.XLOOKUP(frasest[[#This Row],[autor_es]],autorest[autor_es],autorest[epoca_la])</f>
        <v>Antiquitas</v>
      </c>
    </row>
    <row r="283" spans="1:15">
      <c r="A283">
        <v>282</v>
      </c>
      <c r="B283" t="s">
        <v>807</v>
      </c>
      <c r="C283" t="s">
        <v>808</v>
      </c>
      <c r="D283" t="s">
        <v>808</v>
      </c>
      <c r="E283" t="s">
        <v>802</v>
      </c>
      <c r="F283" t="str">
        <f>_xlfn.XLOOKUP(frasest[[#This Row],[autor_es]],autorest[autor_es],autorest[autor_la])</f>
        <v>Gregorius Nazianzenus</v>
      </c>
      <c r="G283" t="str">
        <f>_xlfn.XLOOKUP(frasest[[#This Row],[autor_es]],autorest[autor_es],autorest[bio_es])</f>
        <v>Arzobispo de Constantinopla, Doctor de la Iglesia y Padre Capadocio. Llamado "el Teólogo", gran orador y defensor de la Trinidad. Uno de los tres Padres Capadocios.</v>
      </c>
      <c r="H283" t="str">
        <f>_xlfn.XLOOKUP(frasest[[#This Row],[autor_es]],autorest[autor_es],autorest[bio_la])</f>
        <v>Archiepiscopus Constantinopolitanus, Doctor Ecclesiae et Pater Cappadocius. "Theologus" vocatus, orator magnus et defensor Trinitatis. Unus ex tribus Patribus Cappadociis.</v>
      </c>
      <c r="I283" t="str">
        <f>_xlfn.XLOOKUP(frasest[[#This Row],[autor_es]],autorest[autor_es],autorest[codigo])</f>
        <v>la</v>
      </c>
      <c r="J283" t="str">
        <f>_xlfn.XLOOKUP(frasest[[#This Row],[autor_es]],autorest[autor_es],autorest[idioma_es])</f>
        <v>Latín</v>
      </c>
      <c r="K283" t="str">
        <f>_xlfn.XLOOKUP(frasest[[#This Row],[autor_es]],autorest[autor_es],autorest[idioma_la])</f>
        <v>Lingua Latina</v>
      </c>
      <c r="L283" t="str">
        <f>_xlfn.XLOOKUP(frasest[[#This Row],[autor_es]],autorest[autor_es],autorest[nacion_es])</f>
        <v>Roma</v>
      </c>
      <c r="M283" t="str">
        <f>_xlfn.XLOOKUP(frasest[[#This Row],[autor_es]],autorest[autor_es],autorest[nacion_la])</f>
        <v>Roma</v>
      </c>
      <c r="N283" t="str">
        <f>_xlfn.XLOOKUP(frasest[[#This Row],[autor_es]],autorest[autor_es],autorest[epoca_es])</f>
        <v>Edad Antigua</v>
      </c>
      <c r="O283" t="str">
        <f>_xlfn.XLOOKUP(frasest[[#This Row],[autor_es]],autorest[autor_es],autorest[epoca_la])</f>
        <v>Antiquitas</v>
      </c>
    </row>
    <row r="284" spans="1:15">
      <c r="A284">
        <v>283</v>
      </c>
      <c r="B284" t="s">
        <v>809</v>
      </c>
      <c r="C284" t="s">
        <v>810</v>
      </c>
      <c r="D284" t="s">
        <v>810</v>
      </c>
      <c r="E284" t="s">
        <v>802</v>
      </c>
      <c r="F284" t="str">
        <f>_xlfn.XLOOKUP(frasest[[#This Row],[autor_es]],autorest[autor_es],autorest[autor_la])</f>
        <v>Gregorius Nazianzenus</v>
      </c>
      <c r="G284" t="str">
        <f>_xlfn.XLOOKUP(frasest[[#This Row],[autor_es]],autorest[autor_es],autorest[bio_es])</f>
        <v>Arzobispo de Constantinopla, Doctor de la Iglesia y Padre Capadocio. Llamado "el Teólogo", gran orador y defensor de la Trinidad. Uno de los tres Padres Capadocios.</v>
      </c>
      <c r="H284" t="str">
        <f>_xlfn.XLOOKUP(frasest[[#This Row],[autor_es]],autorest[autor_es],autorest[bio_la])</f>
        <v>Archiepiscopus Constantinopolitanus, Doctor Ecclesiae et Pater Cappadocius. "Theologus" vocatus, orator magnus et defensor Trinitatis. Unus ex tribus Patribus Cappadociis.</v>
      </c>
      <c r="I284" t="str">
        <f>_xlfn.XLOOKUP(frasest[[#This Row],[autor_es]],autorest[autor_es],autorest[codigo])</f>
        <v>la</v>
      </c>
      <c r="J284" t="str">
        <f>_xlfn.XLOOKUP(frasest[[#This Row],[autor_es]],autorest[autor_es],autorest[idioma_es])</f>
        <v>Latín</v>
      </c>
      <c r="K284" t="str">
        <f>_xlfn.XLOOKUP(frasest[[#This Row],[autor_es]],autorest[autor_es],autorest[idioma_la])</f>
        <v>Lingua Latina</v>
      </c>
      <c r="L284" t="str">
        <f>_xlfn.XLOOKUP(frasest[[#This Row],[autor_es]],autorest[autor_es],autorest[nacion_es])</f>
        <v>Roma</v>
      </c>
      <c r="M284" t="str">
        <f>_xlfn.XLOOKUP(frasest[[#This Row],[autor_es]],autorest[autor_es],autorest[nacion_la])</f>
        <v>Roma</v>
      </c>
      <c r="N284" t="str">
        <f>_xlfn.XLOOKUP(frasest[[#This Row],[autor_es]],autorest[autor_es],autorest[epoca_es])</f>
        <v>Edad Antigua</v>
      </c>
      <c r="O284" t="str">
        <f>_xlfn.XLOOKUP(frasest[[#This Row],[autor_es]],autorest[autor_es],autorest[epoca_la])</f>
        <v>Antiquitas</v>
      </c>
    </row>
    <row r="285" spans="1:15">
      <c r="A285">
        <v>284</v>
      </c>
      <c r="B285" t="s">
        <v>811</v>
      </c>
      <c r="C285" t="s">
        <v>812</v>
      </c>
      <c r="D285" t="s">
        <v>812</v>
      </c>
      <c r="E285" t="s">
        <v>802</v>
      </c>
      <c r="F285" t="str">
        <f>_xlfn.XLOOKUP(frasest[[#This Row],[autor_es]],autorest[autor_es],autorest[autor_la])</f>
        <v>Gregorius Nazianzenus</v>
      </c>
      <c r="G285" t="str">
        <f>_xlfn.XLOOKUP(frasest[[#This Row],[autor_es]],autorest[autor_es],autorest[bio_es])</f>
        <v>Arzobispo de Constantinopla, Doctor de la Iglesia y Padre Capadocio. Llamado "el Teólogo", gran orador y defensor de la Trinidad. Uno de los tres Padres Capadocios.</v>
      </c>
      <c r="H285" t="str">
        <f>_xlfn.XLOOKUP(frasest[[#This Row],[autor_es]],autorest[autor_es],autorest[bio_la])</f>
        <v>Archiepiscopus Constantinopolitanus, Doctor Ecclesiae et Pater Cappadocius. "Theologus" vocatus, orator magnus et defensor Trinitatis. Unus ex tribus Patribus Cappadociis.</v>
      </c>
      <c r="I285" t="str">
        <f>_xlfn.XLOOKUP(frasest[[#This Row],[autor_es]],autorest[autor_es],autorest[codigo])</f>
        <v>la</v>
      </c>
      <c r="J285" t="str">
        <f>_xlfn.XLOOKUP(frasest[[#This Row],[autor_es]],autorest[autor_es],autorest[idioma_es])</f>
        <v>Latín</v>
      </c>
      <c r="K285" t="str">
        <f>_xlfn.XLOOKUP(frasest[[#This Row],[autor_es]],autorest[autor_es],autorest[idioma_la])</f>
        <v>Lingua Latina</v>
      </c>
      <c r="L285" t="str">
        <f>_xlfn.XLOOKUP(frasest[[#This Row],[autor_es]],autorest[autor_es],autorest[nacion_es])</f>
        <v>Roma</v>
      </c>
      <c r="M285" t="str">
        <f>_xlfn.XLOOKUP(frasest[[#This Row],[autor_es]],autorest[autor_es],autorest[nacion_la])</f>
        <v>Roma</v>
      </c>
      <c r="N285" t="str">
        <f>_xlfn.XLOOKUP(frasest[[#This Row],[autor_es]],autorest[autor_es],autorest[epoca_es])</f>
        <v>Edad Antigua</v>
      </c>
      <c r="O285" t="str">
        <f>_xlfn.XLOOKUP(frasest[[#This Row],[autor_es]],autorest[autor_es],autorest[epoca_la])</f>
        <v>Antiquitas</v>
      </c>
    </row>
    <row r="286" spans="1:15">
      <c r="A286">
        <v>285</v>
      </c>
      <c r="B286" t="s">
        <v>813</v>
      </c>
      <c r="C286" t="s">
        <v>814</v>
      </c>
      <c r="D286" t="s">
        <v>814</v>
      </c>
      <c r="E286" t="s">
        <v>802</v>
      </c>
      <c r="F286" t="str">
        <f>_xlfn.XLOOKUP(frasest[[#This Row],[autor_es]],autorest[autor_es],autorest[autor_la])</f>
        <v>Gregorius Nazianzenus</v>
      </c>
      <c r="G286" t="str">
        <f>_xlfn.XLOOKUP(frasest[[#This Row],[autor_es]],autorest[autor_es],autorest[bio_es])</f>
        <v>Arzobispo de Constantinopla, Doctor de la Iglesia y Padre Capadocio. Llamado "el Teólogo", gran orador y defensor de la Trinidad. Uno de los tres Padres Capadocios.</v>
      </c>
      <c r="H286" t="str">
        <f>_xlfn.XLOOKUP(frasest[[#This Row],[autor_es]],autorest[autor_es],autorest[bio_la])</f>
        <v>Archiepiscopus Constantinopolitanus, Doctor Ecclesiae et Pater Cappadocius. "Theologus" vocatus, orator magnus et defensor Trinitatis. Unus ex tribus Patribus Cappadociis.</v>
      </c>
      <c r="I286" t="str">
        <f>_xlfn.XLOOKUP(frasest[[#This Row],[autor_es]],autorest[autor_es],autorest[codigo])</f>
        <v>la</v>
      </c>
      <c r="J286" t="str">
        <f>_xlfn.XLOOKUP(frasest[[#This Row],[autor_es]],autorest[autor_es],autorest[idioma_es])</f>
        <v>Latín</v>
      </c>
      <c r="K286" t="str">
        <f>_xlfn.XLOOKUP(frasest[[#This Row],[autor_es]],autorest[autor_es],autorest[idioma_la])</f>
        <v>Lingua Latina</v>
      </c>
      <c r="L286" t="str">
        <f>_xlfn.XLOOKUP(frasest[[#This Row],[autor_es]],autorest[autor_es],autorest[nacion_es])</f>
        <v>Roma</v>
      </c>
      <c r="M286" t="str">
        <f>_xlfn.XLOOKUP(frasest[[#This Row],[autor_es]],autorest[autor_es],autorest[nacion_la])</f>
        <v>Roma</v>
      </c>
      <c r="N286" t="str">
        <f>_xlfn.XLOOKUP(frasest[[#This Row],[autor_es]],autorest[autor_es],autorest[epoca_es])</f>
        <v>Edad Antigua</v>
      </c>
      <c r="O286" t="str">
        <f>_xlfn.XLOOKUP(frasest[[#This Row],[autor_es]],autorest[autor_es],autorest[epoca_la])</f>
        <v>Antiquitas</v>
      </c>
    </row>
    <row r="287" spans="1:15">
      <c r="A287">
        <v>286</v>
      </c>
      <c r="B287" t="s">
        <v>815</v>
      </c>
      <c r="C287" t="s">
        <v>816</v>
      </c>
      <c r="D287" t="s">
        <v>816</v>
      </c>
      <c r="E287" t="s">
        <v>802</v>
      </c>
      <c r="F287" t="str">
        <f>_xlfn.XLOOKUP(frasest[[#This Row],[autor_es]],autorest[autor_es],autorest[autor_la])</f>
        <v>Gregorius Nazianzenus</v>
      </c>
      <c r="G287" t="str">
        <f>_xlfn.XLOOKUP(frasest[[#This Row],[autor_es]],autorest[autor_es],autorest[bio_es])</f>
        <v>Arzobispo de Constantinopla, Doctor de la Iglesia y Padre Capadocio. Llamado "el Teólogo", gran orador y defensor de la Trinidad. Uno de los tres Padres Capadocios.</v>
      </c>
      <c r="H287" t="str">
        <f>_xlfn.XLOOKUP(frasest[[#This Row],[autor_es]],autorest[autor_es],autorest[bio_la])</f>
        <v>Archiepiscopus Constantinopolitanus, Doctor Ecclesiae et Pater Cappadocius. "Theologus" vocatus, orator magnus et defensor Trinitatis. Unus ex tribus Patribus Cappadociis.</v>
      </c>
      <c r="I287" t="str">
        <f>_xlfn.XLOOKUP(frasest[[#This Row],[autor_es]],autorest[autor_es],autorest[codigo])</f>
        <v>la</v>
      </c>
      <c r="J287" t="str">
        <f>_xlfn.XLOOKUP(frasest[[#This Row],[autor_es]],autorest[autor_es],autorest[idioma_es])</f>
        <v>Latín</v>
      </c>
      <c r="K287" t="str">
        <f>_xlfn.XLOOKUP(frasest[[#This Row],[autor_es]],autorest[autor_es],autorest[idioma_la])</f>
        <v>Lingua Latina</v>
      </c>
      <c r="L287" t="str">
        <f>_xlfn.XLOOKUP(frasest[[#This Row],[autor_es]],autorest[autor_es],autorest[nacion_es])</f>
        <v>Roma</v>
      </c>
      <c r="M287" t="str">
        <f>_xlfn.XLOOKUP(frasest[[#This Row],[autor_es]],autorest[autor_es],autorest[nacion_la])</f>
        <v>Roma</v>
      </c>
      <c r="N287" t="str">
        <f>_xlfn.XLOOKUP(frasest[[#This Row],[autor_es]],autorest[autor_es],autorest[epoca_es])</f>
        <v>Edad Antigua</v>
      </c>
      <c r="O287" t="str">
        <f>_xlfn.XLOOKUP(frasest[[#This Row],[autor_es]],autorest[autor_es],autorest[epoca_la])</f>
        <v>Antiquitas</v>
      </c>
    </row>
    <row r="288" spans="1:15">
      <c r="A288">
        <v>287</v>
      </c>
      <c r="B288" t="s">
        <v>817</v>
      </c>
      <c r="C288" t="s">
        <v>818</v>
      </c>
      <c r="D288" t="s">
        <v>818</v>
      </c>
      <c r="E288" t="s">
        <v>802</v>
      </c>
      <c r="F288" t="str">
        <f>_xlfn.XLOOKUP(frasest[[#This Row],[autor_es]],autorest[autor_es],autorest[autor_la])</f>
        <v>Gregorius Nazianzenus</v>
      </c>
      <c r="G288" t="str">
        <f>_xlfn.XLOOKUP(frasest[[#This Row],[autor_es]],autorest[autor_es],autorest[bio_es])</f>
        <v>Arzobispo de Constantinopla, Doctor de la Iglesia y Padre Capadocio. Llamado "el Teólogo", gran orador y defensor de la Trinidad. Uno de los tres Padres Capadocios.</v>
      </c>
      <c r="H288" t="str">
        <f>_xlfn.XLOOKUP(frasest[[#This Row],[autor_es]],autorest[autor_es],autorest[bio_la])</f>
        <v>Archiepiscopus Constantinopolitanus, Doctor Ecclesiae et Pater Cappadocius. "Theologus" vocatus, orator magnus et defensor Trinitatis. Unus ex tribus Patribus Cappadociis.</v>
      </c>
      <c r="I288" t="str">
        <f>_xlfn.XLOOKUP(frasest[[#This Row],[autor_es]],autorest[autor_es],autorest[codigo])</f>
        <v>la</v>
      </c>
      <c r="J288" t="str">
        <f>_xlfn.XLOOKUP(frasest[[#This Row],[autor_es]],autorest[autor_es],autorest[idioma_es])</f>
        <v>Latín</v>
      </c>
      <c r="K288" t="str">
        <f>_xlfn.XLOOKUP(frasest[[#This Row],[autor_es]],autorest[autor_es],autorest[idioma_la])</f>
        <v>Lingua Latina</v>
      </c>
      <c r="L288" t="str">
        <f>_xlfn.XLOOKUP(frasest[[#This Row],[autor_es]],autorest[autor_es],autorest[nacion_es])</f>
        <v>Roma</v>
      </c>
      <c r="M288" t="str">
        <f>_xlfn.XLOOKUP(frasest[[#This Row],[autor_es]],autorest[autor_es],autorest[nacion_la])</f>
        <v>Roma</v>
      </c>
      <c r="N288" t="str">
        <f>_xlfn.XLOOKUP(frasest[[#This Row],[autor_es]],autorest[autor_es],autorest[epoca_es])</f>
        <v>Edad Antigua</v>
      </c>
      <c r="O288" t="str">
        <f>_xlfn.XLOOKUP(frasest[[#This Row],[autor_es]],autorest[autor_es],autorest[epoca_la])</f>
        <v>Antiquitas</v>
      </c>
    </row>
    <row r="289" spans="1:15">
      <c r="A289">
        <v>288</v>
      </c>
      <c r="B289" t="s">
        <v>819</v>
      </c>
      <c r="C289" t="s">
        <v>820</v>
      </c>
      <c r="D289" t="s">
        <v>820</v>
      </c>
      <c r="E289" t="s">
        <v>802</v>
      </c>
      <c r="F289" t="str">
        <f>_xlfn.XLOOKUP(frasest[[#This Row],[autor_es]],autorest[autor_es],autorest[autor_la])</f>
        <v>Gregorius Nazianzenus</v>
      </c>
      <c r="G289" t="str">
        <f>_xlfn.XLOOKUP(frasest[[#This Row],[autor_es]],autorest[autor_es],autorest[bio_es])</f>
        <v>Arzobispo de Constantinopla, Doctor de la Iglesia y Padre Capadocio. Llamado "el Teólogo", gran orador y defensor de la Trinidad. Uno de los tres Padres Capadocios.</v>
      </c>
      <c r="H289" t="str">
        <f>_xlfn.XLOOKUP(frasest[[#This Row],[autor_es]],autorest[autor_es],autorest[bio_la])</f>
        <v>Archiepiscopus Constantinopolitanus, Doctor Ecclesiae et Pater Cappadocius. "Theologus" vocatus, orator magnus et defensor Trinitatis. Unus ex tribus Patribus Cappadociis.</v>
      </c>
      <c r="I289" t="str">
        <f>_xlfn.XLOOKUP(frasest[[#This Row],[autor_es]],autorest[autor_es],autorest[codigo])</f>
        <v>la</v>
      </c>
      <c r="J289" t="str">
        <f>_xlfn.XLOOKUP(frasest[[#This Row],[autor_es]],autorest[autor_es],autorest[idioma_es])</f>
        <v>Latín</v>
      </c>
      <c r="K289" t="str">
        <f>_xlfn.XLOOKUP(frasest[[#This Row],[autor_es]],autorest[autor_es],autorest[idioma_la])</f>
        <v>Lingua Latina</v>
      </c>
      <c r="L289" t="str">
        <f>_xlfn.XLOOKUP(frasest[[#This Row],[autor_es]],autorest[autor_es],autorest[nacion_es])</f>
        <v>Roma</v>
      </c>
      <c r="M289" t="str">
        <f>_xlfn.XLOOKUP(frasest[[#This Row],[autor_es]],autorest[autor_es],autorest[nacion_la])</f>
        <v>Roma</v>
      </c>
      <c r="N289" t="str">
        <f>_xlfn.XLOOKUP(frasest[[#This Row],[autor_es]],autorest[autor_es],autorest[epoca_es])</f>
        <v>Edad Antigua</v>
      </c>
      <c r="O289" t="str">
        <f>_xlfn.XLOOKUP(frasest[[#This Row],[autor_es]],autorest[autor_es],autorest[epoca_la])</f>
        <v>Antiquitas</v>
      </c>
    </row>
    <row r="290" spans="1:15">
      <c r="A290">
        <v>289</v>
      </c>
      <c r="B290" t="s">
        <v>821</v>
      </c>
      <c r="C290" t="s">
        <v>822</v>
      </c>
      <c r="D290" t="s">
        <v>822</v>
      </c>
      <c r="E290" t="s">
        <v>823</v>
      </c>
      <c r="F290" t="str">
        <f>_xlfn.XLOOKUP(frasest[[#This Row],[autor_es]],autorest[autor_es],autorest[autor_la])</f>
        <v>Gregorius Nyssenus</v>
      </c>
      <c r="G290" t="str">
        <f>_xlfn.XLOOKUP(frasest[[#This Row],[autor_es]],autorest[autor_es],autorest[bio_es])</f>
        <v>Obispo de Nisa, Doctor de la Iglesia y Padre Capadocio. Hermano de San Basilio Magno, teólogo místico y filósofo cristiano. Uno de los tres Padres Capadocios.</v>
      </c>
      <c r="H290" t="str">
        <f>_xlfn.XLOOKUP(frasest[[#This Row],[autor_es]],autorest[autor_es],autorest[bio_la])</f>
        <v>Episcopus Nyssenus, Doctor Ecclesiae et Pater Cappadocius. Frater Sancti Basilii Magni, theologus mysticus et philosophus Christianus. Unus ex tribus Patribus Cappadociis.</v>
      </c>
      <c r="I290" t="str">
        <f>_xlfn.XLOOKUP(frasest[[#This Row],[autor_es]],autorest[autor_es],autorest[codigo])</f>
        <v>la</v>
      </c>
      <c r="J290" t="str">
        <f>_xlfn.XLOOKUP(frasest[[#This Row],[autor_es]],autorest[autor_es],autorest[idioma_es])</f>
        <v>Latín</v>
      </c>
      <c r="K290" t="str">
        <f>_xlfn.XLOOKUP(frasest[[#This Row],[autor_es]],autorest[autor_es],autorest[idioma_la])</f>
        <v>Lingua Latina</v>
      </c>
      <c r="L290" t="str">
        <f>_xlfn.XLOOKUP(frasest[[#This Row],[autor_es]],autorest[autor_es],autorest[nacion_es])</f>
        <v>Roma</v>
      </c>
      <c r="M290" t="str">
        <f>_xlfn.XLOOKUP(frasest[[#This Row],[autor_es]],autorest[autor_es],autorest[nacion_la])</f>
        <v>Roma</v>
      </c>
      <c r="N290" t="str">
        <f>_xlfn.XLOOKUP(frasest[[#This Row],[autor_es]],autorest[autor_es],autorest[epoca_es])</f>
        <v>Edad Antigua</v>
      </c>
      <c r="O290" t="str">
        <f>_xlfn.XLOOKUP(frasest[[#This Row],[autor_es]],autorest[autor_es],autorest[epoca_la])</f>
        <v>Antiquitas</v>
      </c>
    </row>
    <row r="291" spans="1:15">
      <c r="A291">
        <v>290</v>
      </c>
      <c r="B291" t="s">
        <v>824</v>
      </c>
      <c r="C291" t="s">
        <v>825</v>
      </c>
      <c r="D291" t="s">
        <v>826</v>
      </c>
      <c r="E291" t="s">
        <v>823</v>
      </c>
      <c r="F291" t="str">
        <f>_xlfn.XLOOKUP(frasest[[#This Row],[autor_es]],autorest[autor_es],autorest[autor_la])</f>
        <v>Gregorius Nyssenus</v>
      </c>
      <c r="G291" t="str">
        <f>_xlfn.XLOOKUP(frasest[[#This Row],[autor_es]],autorest[autor_es],autorest[bio_es])</f>
        <v>Obispo de Nisa, Doctor de la Iglesia y Padre Capadocio. Hermano de San Basilio Magno, teólogo místico y filósofo cristiano. Uno de los tres Padres Capadocios.</v>
      </c>
      <c r="H291" t="str">
        <f>_xlfn.XLOOKUP(frasest[[#This Row],[autor_es]],autorest[autor_es],autorest[bio_la])</f>
        <v>Episcopus Nyssenus, Doctor Ecclesiae et Pater Cappadocius. Frater Sancti Basilii Magni, theologus mysticus et philosophus Christianus. Unus ex tribus Patribus Cappadociis.</v>
      </c>
      <c r="I291" t="str">
        <f>_xlfn.XLOOKUP(frasest[[#This Row],[autor_es]],autorest[autor_es],autorest[codigo])</f>
        <v>la</v>
      </c>
      <c r="J291" t="str">
        <f>_xlfn.XLOOKUP(frasest[[#This Row],[autor_es]],autorest[autor_es],autorest[idioma_es])</f>
        <v>Latín</v>
      </c>
      <c r="K291" t="str">
        <f>_xlfn.XLOOKUP(frasest[[#This Row],[autor_es]],autorest[autor_es],autorest[idioma_la])</f>
        <v>Lingua Latina</v>
      </c>
      <c r="L291" t="str">
        <f>_xlfn.XLOOKUP(frasest[[#This Row],[autor_es]],autorest[autor_es],autorest[nacion_es])</f>
        <v>Roma</v>
      </c>
      <c r="M291" t="str">
        <f>_xlfn.XLOOKUP(frasest[[#This Row],[autor_es]],autorest[autor_es],autorest[nacion_la])</f>
        <v>Roma</v>
      </c>
      <c r="N291" t="str">
        <f>_xlfn.XLOOKUP(frasest[[#This Row],[autor_es]],autorest[autor_es],autorest[epoca_es])</f>
        <v>Edad Antigua</v>
      </c>
      <c r="O291" t="str">
        <f>_xlfn.XLOOKUP(frasest[[#This Row],[autor_es]],autorest[autor_es],autorest[epoca_la])</f>
        <v>Antiquitas</v>
      </c>
    </row>
    <row r="292" spans="1:15">
      <c r="A292">
        <v>291</v>
      </c>
      <c r="B292" t="s">
        <v>827</v>
      </c>
      <c r="C292" t="s">
        <v>828</v>
      </c>
      <c r="D292" t="s">
        <v>828</v>
      </c>
      <c r="E292" t="s">
        <v>823</v>
      </c>
      <c r="F292" t="str">
        <f>_xlfn.XLOOKUP(frasest[[#This Row],[autor_es]],autorest[autor_es],autorest[autor_la])</f>
        <v>Gregorius Nyssenus</v>
      </c>
      <c r="G292" t="str">
        <f>_xlfn.XLOOKUP(frasest[[#This Row],[autor_es]],autorest[autor_es],autorest[bio_es])</f>
        <v>Obispo de Nisa, Doctor de la Iglesia y Padre Capadocio. Hermano de San Basilio Magno, teólogo místico y filósofo cristiano. Uno de los tres Padres Capadocios.</v>
      </c>
      <c r="H292" t="str">
        <f>_xlfn.XLOOKUP(frasest[[#This Row],[autor_es]],autorest[autor_es],autorest[bio_la])</f>
        <v>Episcopus Nyssenus, Doctor Ecclesiae et Pater Cappadocius. Frater Sancti Basilii Magni, theologus mysticus et philosophus Christianus. Unus ex tribus Patribus Cappadociis.</v>
      </c>
      <c r="I292" t="str">
        <f>_xlfn.XLOOKUP(frasest[[#This Row],[autor_es]],autorest[autor_es],autorest[codigo])</f>
        <v>la</v>
      </c>
      <c r="J292" t="str">
        <f>_xlfn.XLOOKUP(frasest[[#This Row],[autor_es]],autorest[autor_es],autorest[idioma_es])</f>
        <v>Latín</v>
      </c>
      <c r="K292" t="str">
        <f>_xlfn.XLOOKUP(frasest[[#This Row],[autor_es]],autorest[autor_es],autorest[idioma_la])</f>
        <v>Lingua Latina</v>
      </c>
      <c r="L292" t="str">
        <f>_xlfn.XLOOKUP(frasest[[#This Row],[autor_es]],autorest[autor_es],autorest[nacion_es])</f>
        <v>Roma</v>
      </c>
      <c r="M292" t="str">
        <f>_xlfn.XLOOKUP(frasest[[#This Row],[autor_es]],autorest[autor_es],autorest[nacion_la])</f>
        <v>Roma</v>
      </c>
      <c r="N292" t="str">
        <f>_xlfn.XLOOKUP(frasest[[#This Row],[autor_es]],autorest[autor_es],autorest[epoca_es])</f>
        <v>Edad Antigua</v>
      </c>
      <c r="O292" t="str">
        <f>_xlfn.XLOOKUP(frasest[[#This Row],[autor_es]],autorest[autor_es],autorest[epoca_la])</f>
        <v>Antiquitas</v>
      </c>
    </row>
    <row r="293" spans="1:15">
      <c r="A293">
        <v>292</v>
      </c>
      <c r="B293" t="s">
        <v>829</v>
      </c>
      <c r="C293" t="s">
        <v>830</v>
      </c>
      <c r="D293" t="s">
        <v>830</v>
      </c>
      <c r="E293" t="s">
        <v>823</v>
      </c>
      <c r="F293" t="str">
        <f>_xlfn.XLOOKUP(frasest[[#This Row],[autor_es]],autorest[autor_es],autorest[autor_la])</f>
        <v>Gregorius Nyssenus</v>
      </c>
      <c r="G293" t="str">
        <f>_xlfn.XLOOKUP(frasest[[#This Row],[autor_es]],autorest[autor_es],autorest[bio_es])</f>
        <v>Obispo de Nisa, Doctor de la Iglesia y Padre Capadocio. Hermano de San Basilio Magno, teólogo místico y filósofo cristiano. Uno de los tres Padres Capadocios.</v>
      </c>
      <c r="H293" t="str">
        <f>_xlfn.XLOOKUP(frasest[[#This Row],[autor_es]],autorest[autor_es],autorest[bio_la])</f>
        <v>Episcopus Nyssenus, Doctor Ecclesiae et Pater Cappadocius. Frater Sancti Basilii Magni, theologus mysticus et philosophus Christianus. Unus ex tribus Patribus Cappadociis.</v>
      </c>
      <c r="I293" t="str">
        <f>_xlfn.XLOOKUP(frasest[[#This Row],[autor_es]],autorest[autor_es],autorest[codigo])</f>
        <v>la</v>
      </c>
      <c r="J293" t="str">
        <f>_xlfn.XLOOKUP(frasest[[#This Row],[autor_es]],autorest[autor_es],autorest[idioma_es])</f>
        <v>Latín</v>
      </c>
      <c r="K293" t="str">
        <f>_xlfn.XLOOKUP(frasest[[#This Row],[autor_es]],autorest[autor_es],autorest[idioma_la])</f>
        <v>Lingua Latina</v>
      </c>
      <c r="L293" t="str">
        <f>_xlfn.XLOOKUP(frasest[[#This Row],[autor_es]],autorest[autor_es],autorest[nacion_es])</f>
        <v>Roma</v>
      </c>
      <c r="M293" t="str">
        <f>_xlfn.XLOOKUP(frasest[[#This Row],[autor_es]],autorest[autor_es],autorest[nacion_la])</f>
        <v>Roma</v>
      </c>
      <c r="N293" t="str">
        <f>_xlfn.XLOOKUP(frasest[[#This Row],[autor_es]],autorest[autor_es],autorest[epoca_es])</f>
        <v>Edad Antigua</v>
      </c>
      <c r="O293" t="str">
        <f>_xlfn.XLOOKUP(frasest[[#This Row],[autor_es]],autorest[autor_es],autorest[epoca_la])</f>
        <v>Antiquitas</v>
      </c>
    </row>
    <row r="294" spans="1:15">
      <c r="A294">
        <v>293</v>
      </c>
      <c r="B294" t="s">
        <v>831</v>
      </c>
      <c r="C294" t="s">
        <v>832</v>
      </c>
      <c r="D294" t="s">
        <v>832</v>
      </c>
      <c r="E294" t="s">
        <v>823</v>
      </c>
      <c r="F294" t="str">
        <f>_xlfn.XLOOKUP(frasest[[#This Row],[autor_es]],autorest[autor_es],autorest[autor_la])</f>
        <v>Gregorius Nyssenus</v>
      </c>
      <c r="G294" t="str">
        <f>_xlfn.XLOOKUP(frasest[[#This Row],[autor_es]],autorest[autor_es],autorest[bio_es])</f>
        <v>Obispo de Nisa, Doctor de la Iglesia y Padre Capadocio. Hermano de San Basilio Magno, teólogo místico y filósofo cristiano. Uno de los tres Padres Capadocios.</v>
      </c>
      <c r="H294" t="str">
        <f>_xlfn.XLOOKUP(frasest[[#This Row],[autor_es]],autorest[autor_es],autorest[bio_la])</f>
        <v>Episcopus Nyssenus, Doctor Ecclesiae et Pater Cappadocius. Frater Sancti Basilii Magni, theologus mysticus et philosophus Christianus. Unus ex tribus Patribus Cappadociis.</v>
      </c>
      <c r="I294" t="str">
        <f>_xlfn.XLOOKUP(frasest[[#This Row],[autor_es]],autorest[autor_es],autorest[codigo])</f>
        <v>la</v>
      </c>
      <c r="J294" t="str">
        <f>_xlfn.XLOOKUP(frasest[[#This Row],[autor_es]],autorest[autor_es],autorest[idioma_es])</f>
        <v>Latín</v>
      </c>
      <c r="K294" t="str">
        <f>_xlfn.XLOOKUP(frasest[[#This Row],[autor_es]],autorest[autor_es],autorest[idioma_la])</f>
        <v>Lingua Latina</v>
      </c>
      <c r="L294" t="str">
        <f>_xlfn.XLOOKUP(frasest[[#This Row],[autor_es]],autorest[autor_es],autorest[nacion_es])</f>
        <v>Roma</v>
      </c>
      <c r="M294" t="str">
        <f>_xlfn.XLOOKUP(frasest[[#This Row],[autor_es]],autorest[autor_es],autorest[nacion_la])</f>
        <v>Roma</v>
      </c>
      <c r="N294" t="str">
        <f>_xlfn.XLOOKUP(frasest[[#This Row],[autor_es]],autorest[autor_es],autorest[epoca_es])</f>
        <v>Edad Antigua</v>
      </c>
      <c r="O294" t="str">
        <f>_xlfn.XLOOKUP(frasest[[#This Row],[autor_es]],autorest[autor_es],autorest[epoca_la])</f>
        <v>Antiquitas</v>
      </c>
    </row>
    <row r="295" spans="1:15">
      <c r="A295">
        <v>294</v>
      </c>
      <c r="B295" t="s">
        <v>833</v>
      </c>
      <c r="C295" t="s">
        <v>834</v>
      </c>
      <c r="D295" t="s">
        <v>834</v>
      </c>
      <c r="E295" t="s">
        <v>823</v>
      </c>
      <c r="F295" t="str">
        <f>_xlfn.XLOOKUP(frasest[[#This Row],[autor_es]],autorest[autor_es],autorest[autor_la])</f>
        <v>Gregorius Nyssenus</v>
      </c>
      <c r="G295" t="str">
        <f>_xlfn.XLOOKUP(frasest[[#This Row],[autor_es]],autorest[autor_es],autorest[bio_es])</f>
        <v>Obispo de Nisa, Doctor de la Iglesia y Padre Capadocio. Hermano de San Basilio Magno, teólogo místico y filósofo cristiano. Uno de los tres Padres Capadocios.</v>
      </c>
      <c r="H295" t="str">
        <f>_xlfn.XLOOKUP(frasest[[#This Row],[autor_es]],autorest[autor_es],autorest[bio_la])</f>
        <v>Episcopus Nyssenus, Doctor Ecclesiae et Pater Cappadocius. Frater Sancti Basilii Magni, theologus mysticus et philosophus Christianus. Unus ex tribus Patribus Cappadociis.</v>
      </c>
      <c r="I295" t="str">
        <f>_xlfn.XLOOKUP(frasest[[#This Row],[autor_es]],autorest[autor_es],autorest[codigo])</f>
        <v>la</v>
      </c>
      <c r="J295" t="str">
        <f>_xlfn.XLOOKUP(frasest[[#This Row],[autor_es]],autorest[autor_es],autorest[idioma_es])</f>
        <v>Latín</v>
      </c>
      <c r="K295" t="str">
        <f>_xlfn.XLOOKUP(frasest[[#This Row],[autor_es]],autorest[autor_es],autorest[idioma_la])</f>
        <v>Lingua Latina</v>
      </c>
      <c r="L295" t="str">
        <f>_xlfn.XLOOKUP(frasest[[#This Row],[autor_es]],autorest[autor_es],autorest[nacion_es])</f>
        <v>Roma</v>
      </c>
      <c r="M295" t="str">
        <f>_xlfn.XLOOKUP(frasest[[#This Row],[autor_es]],autorest[autor_es],autorest[nacion_la])</f>
        <v>Roma</v>
      </c>
      <c r="N295" t="str">
        <f>_xlfn.XLOOKUP(frasest[[#This Row],[autor_es]],autorest[autor_es],autorest[epoca_es])</f>
        <v>Edad Antigua</v>
      </c>
      <c r="O295" t="str">
        <f>_xlfn.XLOOKUP(frasest[[#This Row],[autor_es]],autorest[autor_es],autorest[epoca_la])</f>
        <v>Antiquitas</v>
      </c>
    </row>
    <row r="296" spans="1:15">
      <c r="A296">
        <v>295</v>
      </c>
      <c r="B296" t="s">
        <v>835</v>
      </c>
      <c r="C296" t="s">
        <v>836</v>
      </c>
      <c r="D296" t="s">
        <v>836</v>
      </c>
      <c r="E296" t="s">
        <v>823</v>
      </c>
      <c r="F296" t="str">
        <f>_xlfn.XLOOKUP(frasest[[#This Row],[autor_es]],autorest[autor_es],autorest[autor_la])</f>
        <v>Gregorius Nyssenus</v>
      </c>
      <c r="G296" t="str">
        <f>_xlfn.XLOOKUP(frasest[[#This Row],[autor_es]],autorest[autor_es],autorest[bio_es])</f>
        <v>Obispo de Nisa, Doctor de la Iglesia y Padre Capadocio. Hermano de San Basilio Magno, teólogo místico y filósofo cristiano. Uno de los tres Padres Capadocios.</v>
      </c>
      <c r="H296" t="str">
        <f>_xlfn.XLOOKUP(frasest[[#This Row],[autor_es]],autorest[autor_es],autorest[bio_la])</f>
        <v>Episcopus Nyssenus, Doctor Ecclesiae et Pater Cappadocius. Frater Sancti Basilii Magni, theologus mysticus et philosophus Christianus. Unus ex tribus Patribus Cappadociis.</v>
      </c>
      <c r="I296" t="str">
        <f>_xlfn.XLOOKUP(frasest[[#This Row],[autor_es]],autorest[autor_es],autorest[codigo])</f>
        <v>la</v>
      </c>
      <c r="J296" t="str">
        <f>_xlfn.XLOOKUP(frasest[[#This Row],[autor_es]],autorest[autor_es],autorest[idioma_es])</f>
        <v>Latín</v>
      </c>
      <c r="K296" t="str">
        <f>_xlfn.XLOOKUP(frasest[[#This Row],[autor_es]],autorest[autor_es],autorest[idioma_la])</f>
        <v>Lingua Latina</v>
      </c>
      <c r="L296" t="str">
        <f>_xlfn.XLOOKUP(frasest[[#This Row],[autor_es]],autorest[autor_es],autorest[nacion_es])</f>
        <v>Roma</v>
      </c>
      <c r="M296" t="str">
        <f>_xlfn.XLOOKUP(frasest[[#This Row],[autor_es]],autorest[autor_es],autorest[nacion_la])</f>
        <v>Roma</v>
      </c>
      <c r="N296" t="str">
        <f>_xlfn.XLOOKUP(frasest[[#This Row],[autor_es]],autorest[autor_es],autorest[epoca_es])</f>
        <v>Edad Antigua</v>
      </c>
      <c r="O296" t="str">
        <f>_xlfn.XLOOKUP(frasest[[#This Row],[autor_es]],autorest[autor_es],autorest[epoca_la])</f>
        <v>Antiquitas</v>
      </c>
    </row>
    <row r="297" spans="1:15">
      <c r="A297">
        <v>296</v>
      </c>
      <c r="B297" t="s">
        <v>837</v>
      </c>
      <c r="C297" t="s">
        <v>838</v>
      </c>
      <c r="D297" t="s">
        <v>838</v>
      </c>
      <c r="E297" t="s">
        <v>823</v>
      </c>
      <c r="F297" t="str">
        <f>_xlfn.XLOOKUP(frasest[[#This Row],[autor_es]],autorest[autor_es],autorest[autor_la])</f>
        <v>Gregorius Nyssenus</v>
      </c>
      <c r="G297" t="str">
        <f>_xlfn.XLOOKUP(frasest[[#This Row],[autor_es]],autorest[autor_es],autorest[bio_es])</f>
        <v>Obispo de Nisa, Doctor de la Iglesia y Padre Capadocio. Hermano de San Basilio Magno, teólogo místico y filósofo cristiano. Uno de los tres Padres Capadocios.</v>
      </c>
      <c r="H297" t="str">
        <f>_xlfn.XLOOKUP(frasest[[#This Row],[autor_es]],autorest[autor_es],autorest[bio_la])</f>
        <v>Episcopus Nyssenus, Doctor Ecclesiae et Pater Cappadocius. Frater Sancti Basilii Magni, theologus mysticus et philosophus Christianus. Unus ex tribus Patribus Cappadociis.</v>
      </c>
      <c r="I297" t="str">
        <f>_xlfn.XLOOKUP(frasest[[#This Row],[autor_es]],autorest[autor_es],autorest[codigo])</f>
        <v>la</v>
      </c>
      <c r="J297" t="str">
        <f>_xlfn.XLOOKUP(frasest[[#This Row],[autor_es]],autorest[autor_es],autorest[idioma_es])</f>
        <v>Latín</v>
      </c>
      <c r="K297" t="str">
        <f>_xlfn.XLOOKUP(frasest[[#This Row],[autor_es]],autorest[autor_es],autorest[idioma_la])</f>
        <v>Lingua Latina</v>
      </c>
      <c r="L297" t="str">
        <f>_xlfn.XLOOKUP(frasest[[#This Row],[autor_es]],autorest[autor_es],autorest[nacion_es])</f>
        <v>Roma</v>
      </c>
      <c r="M297" t="str">
        <f>_xlfn.XLOOKUP(frasest[[#This Row],[autor_es]],autorest[autor_es],autorest[nacion_la])</f>
        <v>Roma</v>
      </c>
      <c r="N297" t="str">
        <f>_xlfn.XLOOKUP(frasest[[#This Row],[autor_es]],autorest[autor_es],autorest[epoca_es])</f>
        <v>Edad Antigua</v>
      </c>
      <c r="O297" t="str">
        <f>_xlfn.XLOOKUP(frasest[[#This Row],[autor_es]],autorest[autor_es],autorest[epoca_la])</f>
        <v>Antiquitas</v>
      </c>
    </row>
    <row r="298" spans="1:15">
      <c r="A298">
        <v>297</v>
      </c>
      <c r="B298" t="s">
        <v>839</v>
      </c>
      <c r="C298" t="s">
        <v>840</v>
      </c>
      <c r="D298" t="s">
        <v>840</v>
      </c>
      <c r="E298" t="s">
        <v>823</v>
      </c>
      <c r="F298" t="str">
        <f>_xlfn.XLOOKUP(frasest[[#This Row],[autor_es]],autorest[autor_es],autorest[autor_la])</f>
        <v>Gregorius Nyssenus</v>
      </c>
      <c r="G298" t="str">
        <f>_xlfn.XLOOKUP(frasest[[#This Row],[autor_es]],autorest[autor_es],autorest[bio_es])</f>
        <v>Obispo de Nisa, Doctor de la Iglesia y Padre Capadocio. Hermano de San Basilio Magno, teólogo místico y filósofo cristiano. Uno de los tres Padres Capadocios.</v>
      </c>
      <c r="H298" t="str">
        <f>_xlfn.XLOOKUP(frasest[[#This Row],[autor_es]],autorest[autor_es],autorest[bio_la])</f>
        <v>Episcopus Nyssenus, Doctor Ecclesiae et Pater Cappadocius. Frater Sancti Basilii Magni, theologus mysticus et philosophus Christianus. Unus ex tribus Patribus Cappadociis.</v>
      </c>
      <c r="I298" t="str">
        <f>_xlfn.XLOOKUP(frasest[[#This Row],[autor_es]],autorest[autor_es],autorest[codigo])</f>
        <v>la</v>
      </c>
      <c r="J298" t="str">
        <f>_xlfn.XLOOKUP(frasest[[#This Row],[autor_es]],autorest[autor_es],autorest[idioma_es])</f>
        <v>Latín</v>
      </c>
      <c r="K298" t="str">
        <f>_xlfn.XLOOKUP(frasest[[#This Row],[autor_es]],autorest[autor_es],autorest[idioma_la])</f>
        <v>Lingua Latina</v>
      </c>
      <c r="L298" t="str">
        <f>_xlfn.XLOOKUP(frasest[[#This Row],[autor_es]],autorest[autor_es],autorest[nacion_es])</f>
        <v>Roma</v>
      </c>
      <c r="M298" t="str">
        <f>_xlfn.XLOOKUP(frasest[[#This Row],[autor_es]],autorest[autor_es],autorest[nacion_la])</f>
        <v>Roma</v>
      </c>
      <c r="N298" t="str">
        <f>_xlfn.XLOOKUP(frasest[[#This Row],[autor_es]],autorest[autor_es],autorest[epoca_es])</f>
        <v>Edad Antigua</v>
      </c>
      <c r="O298" t="str">
        <f>_xlfn.XLOOKUP(frasest[[#This Row],[autor_es]],autorest[autor_es],autorest[epoca_la])</f>
        <v>Antiquitas</v>
      </c>
    </row>
    <row r="299" spans="1:15">
      <c r="A299">
        <v>298</v>
      </c>
      <c r="B299" t="s">
        <v>841</v>
      </c>
      <c r="C299" t="s">
        <v>842</v>
      </c>
      <c r="D299" t="s">
        <v>842</v>
      </c>
      <c r="E299" t="s">
        <v>823</v>
      </c>
      <c r="F299" t="str">
        <f>_xlfn.XLOOKUP(frasest[[#This Row],[autor_es]],autorest[autor_es],autorest[autor_la])</f>
        <v>Gregorius Nyssenus</v>
      </c>
      <c r="G299" t="str">
        <f>_xlfn.XLOOKUP(frasest[[#This Row],[autor_es]],autorest[autor_es],autorest[bio_es])</f>
        <v>Obispo de Nisa, Doctor de la Iglesia y Padre Capadocio. Hermano de San Basilio Magno, teólogo místico y filósofo cristiano. Uno de los tres Padres Capadocios.</v>
      </c>
      <c r="H299" t="str">
        <f>_xlfn.XLOOKUP(frasest[[#This Row],[autor_es]],autorest[autor_es],autorest[bio_la])</f>
        <v>Episcopus Nyssenus, Doctor Ecclesiae et Pater Cappadocius. Frater Sancti Basilii Magni, theologus mysticus et philosophus Christianus. Unus ex tribus Patribus Cappadociis.</v>
      </c>
      <c r="I299" t="str">
        <f>_xlfn.XLOOKUP(frasest[[#This Row],[autor_es]],autorest[autor_es],autorest[codigo])</f>
        <v>la</v>
      </c>
      <c r="J299" t="str">
        <f>_xlfn.XLOOKUP(frasest[[#This Row],[autor_es]],autorest[autor_es],autorest[idioma_es])</f>
        <v>Latín</v>
      </c>
      <c r="K299" t="str">
        <f>_xlfn.XLOOKUP(frasest[[#This Row],[autor_es]],autorest[autor_es],autorest[idioma_la])</f>
        <v>Lingua Latina</v>
      </c>
      <c r="L299" t="str">
        <f>_xlfn.XLOOKUP(frasest[[#This Row],[autor_es]],autorest[autor_es],autorest[nacion_es])</f>
        <v>Roma</v>
      </c>
      <c r="M299" t="str">
        <f>_xlfn.XLOOKUP(frasest[[#This Row],[autor_es]],autorest[autor_es],autorest[nacion_la])</f>
        <v>Roma</v>
      </c>
      <c r="N299" t="str">
        <f>_xlfn.XLOOKUP(frasest[[#This Row],[autor_es]],autorest[autor_es],autorest[epoca_es])</f>
        <v>Edad Antigua</v>
      </c>
      <c r="O299" t="str">
        <f>_xlfn.XLOOKUP(frasest[[#This Row],[autor_es]],autorest[autor_es],autorest[epoca_la])</f>
        <v>Antiquitas</v>
      </c>
    </row>
    <row r="300" spans="1:15">
      <c r="A300">
        <v>299</v>
      </c>
      <c r="B300" t="s">
        <v>843</v>
      </c>
      <c r="C300" t="s">
        <v>844</v>
      </c>
      <c r="D300" t="s">
        <v>844</v>
      </c>
      <c r="E300" t="s">
        <v>845</v>
      </c>
      <c r="F300" t="str">
        <f>_xlfn.XLOOKUP(frasest[[#This Row],[autor_es]],autorest[autor_es],autorest[autor_la])</f>
        <v>Ambrosius Mediolanensis</v>
      </c>
      <c r="G300" t="str">
        <f>_xlfn.XLOOKUP(frasest[[#This Row],[autor_es]],autorest[autor_es],autorest[bio_es])</f>
        <v>Obispo de Milán, Doctor de la Iglesia y Padre Latino. Maestro de San Agustín, defensor de la ortodoxia y autoridad moral frente al poder imperial.</v>
      </c>
      <c r="H300" t="str">
        <f>_xlfn.XLOOKUP(frasest[[#This Row],[autor_es]],autorest[autor_es],autorest[bio_la])</f>
        <v>Episcopus Mediolanensis, Doctor Ecclesiae et Pater Latinus. Magister Sancti Augustini, orthodoxiae defensor et auctoritas moralis contra imperium.</v>
      </c>
      <c r="I300" t="str">
        <f>_xlfn.XLOOKUP(frasest[[#This Row],[autor_es]],autorest[autor_es],autorest[codigo])</f>
        <v>la</v>
      </c>
      <c r="J300" t="str">
        <f>_xlfn.XLOOKUP(frasest[[#This Row],[autor_es]],autorest[autor_es],autorest[idioma_es])</f>
        <v>Latín</v>
      </c>
      <c r="K300" t="str">
        <f>_xlfn.XLOOKUP(frasest[[#This Row],[autor_es]],autorest[autor_es],autorest[idioma_la])</f>
        <v>Lingua Latina</v>
      </c>
      <c r="L300" t="str">
        <f>_xlfn.XLOOKUP(frasest[[#This Row],[autor_es]],autorest[autor_es],autorest[nacion_es])</f>
        <v>Roma</v>
      </c>
      <c r="M300" t="str">
        <f>_xlfn.XLOOKUP(frasest[[#This Row],[autor_es]],autorest[autor_es],autorest[nacion_la])</f>
        <v>Roma</v>
      </c>
      <c r="N300" t="str">
        <f>_xlfn.XLOOKUP(frasest[[#This Row],[autor_es]],autorest[autor_es],autorest[epoca_es])</f>
        <v>Edad Antigua</v>
      </c>
      <c r="O300" t="str">
        <f>_xlfn.XLOOKUP(frasest[[#This Row],[autor_es]],autorest[autor_es],autorest[epoca_la])</f>
        <v>Antiquitas</v>
      </c>
    </row>
    <row r="301" spans="1:15">
      <c r="A301">
        <v>300</v>
      </c>
      <c r="B301" t="s">
        <v>846</v>
      </c>
      <c r="C301" t="s">
        <v>847</v>
      </c>
      <c r="D301" t="s">
        <v>847</v>
      </c>
      <c r="E301" t="s">
        <v>845</v>
      </c>
      <c r="F301" t="str">
        <f>_xlfn.XLOOKUP(frasest[[#This Row],[autor_es]],autorest[autor_es],autorest[autor_la])</f>
        <v>Ambrosius Mediolanensis</v>
      </c>
      <c r="G301" t="str">
        <f>_xlfn.XLOOKUP(frasest[[#This Row],[autor_es]],autorest[autor_es],autorest[bio_es])</f>
        <v>Obispo de Milán, Doctor de la Iglesia y Padre Latino. Maestro de San Agustín, defensor de la ortodoxia y autoridad moral frente al poder imperial.</v>
      </c>
      <c r="H301" t="str">
        <f>_xlfn.XLOOKUP(frasest[[#This Row],[autor_es]],autorest[autor_es],autorest[bio_la])</f>
        <v>Episcopus Mediolanensis, Doctor Ecclesiae et Pater Latinus. Magister Sancti Augustini, orthodoxiae defensor et auctoritas moralis contra imperium.</v>
      </c>
      <c r="I301" t="str">
        <f>_xlfn.XLOOKUP(frasest[[#This Row],[autor_es]],autorest[autor_es],autorest[codigo])</f>
        <v>la</v>
      </c>
      <c r="J301" t="str">
        <f>_xlfn.XLOOKUP(frasest[[#This Row],[autor_es]],autorest[autor_es],autorest[idioma_es])</f>
        <v>Latín</v>
      </c>
      <c r="K301" t="str">
        <f>_xlfn.XLOOKUP(frasest[[#This Row],[autor_es]],autorest[autor_es],autorest[idioma_la])</f>
        <v>Lingua Latina</v>
      </c>
      <c r="L301" t="str">
        <f>_xlfn.XLOOKUP(frasest[[#This Row],[autor_es]],autorest[autor_es],autorest[nacion_es])</f>
        <v>Roma</v>
      </c>
      <c r="M301" t="str">
        <f>_xlfn.XLOOKUP(frasest[[#This Row],[autor_es]],autorest[autor_es],autorest[nacion_la])</f>
        <v>Roma</v>
      </c>
      <c r="N301" t="str">
        <f>_xlfn.XLOOKUP(frasest[[#This Row],[autor_es]],autorest[autor_es],autorest[epoca_es])</f>
        <v>Edad Antigua</v>
      </c>
      <c r="O301" t="str">
        <f>_xlfn.XLOOKUP(frasest[[#This Row],[autor_es]],autorest[autor_es],autorest[epoca_la])</f>
        <v>Antiquitas</v>
      </c>
    </row>
    <row r="302" spans="1:15">
      <c r="A302">
        <v>301</v>
      </c>
      <c r="B302" t="s">
        <v>848</v>
      </c>
      <c r="C302" t="s">
        <v>849</v>
      </c>
      <c r="D302" t="s">
        <v>849</v>
      </c>
      <c r="E302" t="s">
        <v>845</v>
      </c>
      <c r="F302" t="str">
        <f>_xlfn.XLOOKUP(frasest[[#This Row],[autor_es]],autorest[autor_es],autorest[autor_la])</f>
        <v>Ambrosius Mediolanensis</v>
      </c>
      <c r="G302" t="str">
        <f>_xlfn.XLOOKUP(frasest[[#This Row],[autor_es]],autorest[autor_es],autorest[bio_es])</f>
        <v>Obispo de Milán, Doctor de la Iglesia y Padre Latino. Maestro de San Agustín, defensor de la ortodoxia y autoridad moral frente al poder imperial.</v>
      </c>
      <c r="H302" t="str">
        <f>_xlfn.XLOOKUP(frasest[[#This Row],[autor_es]],autorest[autor_es],autorest[bio_la])</f>
        <v>Episcopus Mediolanensis, Doctor Ecclesiae et Pater Latinus. Magister Sancti Augustini, orthodoxiae defensor et auctoritas moralis contra imperium.</v>
      </c>
      <c r="I302" t="str">
        <f>_xlfn.XLOOKUP(frasest[[#This Row],[autor_es]],autorest[autor_es],autorest[codigo])</f>
        <v>la</v>
      </c>
      <c r="J302" t="str">
        <f>_xlfn.XLOOKUP(frasest[[#This Row],[autor_es]],autorest[autor_es],autorest[idioma_es])</f>
        <v>Latín</v>
      </c>
      <c r="K302" t="str">
        <f>_xlfn.XLOOKUP(frasest[[#This Row],[autor_es]],autorest[autor_es],autorest[idioma_la])</f>
        <v>Lingua Latina</v>
      </c>
      <c r="L302" t="str">
        <f>_xlfn.XLOOKUP(frasest[[#This Row],[autor_es]],autorest[autor_es],autorest[nacion_es])</f>
        <v>Roma</v>
      </c>
      <c r="M302" t="str">
        <f>_xlfn.XLOOKUP(frasest[[#This Row],[autor_es]],autorest[autor_es],autorest[nacion_la])</f>
        <v>Roma</v>
      </c>
      <c r="N302" t="str">
        <f>_xlfn.XLOOKUP(frasest[[#This Row],[autor_es]],autorest[autor_es],autorest[epoca_es])</f>
        <v>Edad Antigua</v>
      </c>
      <c r="O302" t="str">
        <f>_xlfn.XLOOKUP(frasest[[#This Row],[autor_es]],autorest[autor_es],autorest[epoca_la])</f>
        <v>Antiquitas</v>
      </c>
    </row>
    <row r="303" spans="1:15">
      <c r="A303">
        <v>302</v>
      </c>
      <c r="B303" t="s">
        <v>850</v>
      </c>
      <c r="C303" t="s">
        <v>851</v>
      </c>
      <c r="D303" t="s">
        <v>851</v>
      </c>
      <c r="E303" t="s">
        <v>845</v>
      </c>
      <c r="F303" t="str">
        <f>_xlfn.XLOOKUP(frasest[[#This Row],[autor_es]],autorest[autor_es],autorest[autor_la])</f>
        <v>Ambrosius Mediolanensis</v>
      </c>
      <c r="G303" t="str">
        <f>_xlfn.XLOOKUP(frasest[[#This Row],[autor_es]],autorest[autor_es],autorest[bio_es])</f>
        <v>Obispo de Milán, Doctor de la Iglesia y Padre Latino. Maestro de San Agustín, defensor de la ortodoxia y autoridad moral frente al poder imperial.</v>
      </c>
      <c r="H303" t="str">
        <f>_xlfn.XLOOKUP(frasest[[#This Row],[autor_es]],autorest[autor_es],autorest[bio_la])</f>
        <v>Episcopus Mediolanensis, Doctor Ecclesiae et Pater Latinus. Magister Sancti Augustini, orthodoxiae defensor et auctoritas moralis contra imperium.</v>
      </c>
      <c r="I303" t="str">
        <f>_xlfn.XLOOKUP(frasest[[#This Row],[autor_es]],autorest[autor_es],autorest[codigo])</f>
        <v>la</v>
      </c>
      <c r="J303" t="str">
        <f>_xlfn.XLOOKUP(frasest[[#This Row],[autor_es]],autorest[autor_es],autorest[idioma_es])</f>
        <v>Latín</v>
      </c>
      <c r="K303" t="str">
        <f>_xlfn.XLOOKUP(frasest[[#This Row],[autor_es]],autorest[autor_es],autorest[idioma_la])</f>
        <v>Lingua Latina</v>
      </c>
      <c r="L303" t="str">
        <f>_xlfn.XLOOKUP(frasest[[#This Row],[autor_es]],autorest[autor_es],autorest[nacion_es])</f>
        <v>Roma</v>
      </c>
      <c r="M303" t="str">
        <f>_xlfn.XLOOKUP(frasest[[#This Row],[autor_es]],autorest[autor_es],autorest[nacion_la])</f>
        <v>Roma</v>
      </c>
      <c r="N303" t="str">
        <f>_xlfn.XLOOKUP(frasest[[#This Row],[autor_es]],autorest[autor_es],autorest[epoca_es])</f>
        <v>Edad Antigua</v>
      </c>
      <c r="O303" t="str">
        <f>_xlfn.XLOOKUP(frasest[[#This Row],[autor_es]],autorest[autor_es],autorest[epoca_la])</f>
        <v>Antiquitas</v>
      </c>
    </row>
    <row r="304" spans="1:15">
      <c r="A304">
        <v>303</v>
      </c>
      <c r="B304" t="s">
        <v>852</v>
      </c>
      <c r="C304" t="s">
        <v>853</v>
      </c>
      <c r="D304" t="s">
        <v>853</v>
      </c>
      <c r="E304" t="s">
        <v>845</v>
      </c>
      <c r="F304" t="str">
        <f>_xlfn.XLOOKUP(frasest[[#This Row],[autor_es]],autorest[autor_es],autorest[autor_la])</f>
        <v>Ambrosius Mediolanensis</v>
      </c>
      <c r="G304" t="str">
        <f>_xlfn.XLOOKUP(frasest[[#This Row],[autor_es]],autorest[autor_es],autorest[bio_es])</f>
        <v>Obispo de Milán, Doctor de la Iglesia y Padre Latino. Maestro de San Agustín, defensor de la ortodoxia y autoridad moral frente al poder imperial.</v>
      </c>
      <c r="H304" t="str">
        <f>_xlfn.XLOOKUP(frasest[[#This Row],[autor_es]],autorest[autor_es],autorest[bio_la])</f>
        <v>Episcopus Mediolanensis, Doctor Ecclesiae et Pater Latinus. Magister Sancti Augustini, orthodoxiae defensor et auctoritas moralis contra imperium.</v>
      </c>
      <c r="I304" t="str">
        <f>_xlfn.XLOOKUP(frasest[[#This Row],[autor_es]],autorest[autor_es],autorest[codigo])</f>
        <v>la</v>
      </c>
      <c r="J304" t="str">
        <f>_xlfn.XLOOKUP(frasest[[#This Row],[autor_es]],autorest[autor_es],autorest[idioma_es])</f>
        <v>Latín</v>
      </c>
      <c r="K304" t="str">
        <f>_xlfn.XLOOKUP(frasest[[#This Row],[autor_es]],autorest[autor_es],autorest[idioma_la])</f>
        <v>Lingua Latina</v>
      </c>
      <c r="L304" t="str">
        <f>_xlfn.XLOOKUP(frasest[[#This Row],[autor_es]],autorest[autor_es],autorest[nacion_es])</f>
        <v>Roma</v>
      </c>
      <c r="M304" t="str">
        <f>_xlfn.XLOOKUP(frasest[[#This Row],[autor_es]],autorest[autor_es],autorest[nacion_la])</f>
        <v>Roma</v>
      </c>
      <c r="N304" t="str">
        <f>_xlfn.XLOOKUP(frasest[[#This Row],[autor_es]],autorest[autor_es],autorest[epoca_es])</f>
        <v>Edad Antigua</v>
      </c>
      <c r="O304" t="str">
        <f>_xlfn.XLOOKUP(frasest[[#This Row],[autor_es]],autorest[autor_es],autorest[epoca_la])</f>
        <v>Antiquitas</v>
      </c>
    </row>
    <row r="305" spans="1:15">
      <c r="A305">
        <v>304</v>
      </c>
      <c r="B305" t="s">
        <v>854</v>
      </c>
      <c r="C305" t="s">
        <v>855</v>
      </c>
      <c r="D305" t="s">
        <v>855</v>
      </c>
      <c r="E305" t="s">
        <v>845</v>
      </c>
      <c r="F305" t="str">
        <f>_xlfn.XLOOKUP(frasest[[#This Row],[autor_es]],autorest[autor_es],autorest[autor_la])</f>
        <v>Ambrosius Mediolanensis</v>
      </c>
      <c r="G305" t="str">
        <f>_xlfn.XLOOKUP(frasest[[#This Row],[autor_es]],autorest[autor_es],autorest[bio_es])</f>
        <v>Obispo de Milán, Doctor de la Iglesia y Padre Latino. Maestro de San Agustín, defensor de la ortodoxia y autoridad moral frente al poder imperial.</v>
      </c>
      <c r="H305" t="str">
        <f>_xlfn.XLOOKUP(frasest[[#This Row],[autor_es]],autorest[autor_es],autorest[bio_la])</f>
        <v>Episcopus Mediolanensis, Doctor Ecclesiae et Pater Latinus. Magister Sancti Augustini, orthodoxiae defensor et auctoritas moralis contra imperium.</v>
      </c>
      <c r="I305" t="str">
        <f>_xlfn.XLOOKUP(frasest[[#This Row],[autor_es]],autorest[autor_es],autorest[codigo])</f>
        <v>la</v>
      </c>
      <c r="J305" t="str">
        <f>_xlfn.XLOOKUP(frasest[[#This Row],[autor_es]],autorest[autor_es],autorest[idioma_es])</f>
        <v>Latín</v>
      </c>
      <c r="K305" t="str">
        <f>_xlfn.XLOOKUP(frasest[[#This Row],[autor_es]],autorest[autor_es],autorest[idioma_la])</f>
        <v>Lingua Latina</v>
      </c>
      <c r="L305" t="str">
        <f>_xlfn.XLOOKUP(frasest[[#This Row],[autor_es]],autorest[autor_es],autorest[nacion_es])</f>
        <v>Roma</v>
      </c>
      <c r="M305" t="str">
        <f>_xlfn.XLOOKUP(frasest[[#This Row],[autor_es]],autorest[autor_es],autorest[nacion_la])</f>
        <v>Roma</v>
      </c>
      <c r="N305" t="str">
        <f>_xlfn.XLOOKUP(frasest[[#This Row],[autor_es]],autorest[autor_es],autorest[epoca_es])</f>
        <v>Edad Antigua</v>
      </c>
      <c r="O305" t="str">
        <f>_xlfn.XLOOKUP(frasest[[#This Row],[autor_es]],autorest[autor_es],autorest[epoca_la])</f>
        <v>Antiquitas</v>
      </c>
    </row>
    <row r="306" spans="1:15">
      <c r="A306">
        <v>305</v>
      </c>
      <c r="B306" t="s">
        <v>856</v>
      </c>
      <c r="C306" t="s">
        <v>857</v>
      </c>
      <c r="D306" t="s">
        <v>857</v>
      </c>
      <c r="E306" t="s">
        <v>845</v>
      </c>
      <c r="F306" t="str">
        <f>_xlfn.XLOOKUP(frasest[[#This Row],[autor_es]],autorest[autor_es],autorest[autor_la])</f>
        <v>Ambrosius Mediolanensis</v>
      </c>
      <c r="G306" t="str">
        <f>_xlfn.XLOOKUP(frasest[[#This Row],[autor_es]],autorest[autor_es],autorest[bio_es])</f>
        <v>Obispo de Milán, Doctor de la Iglesia y Padre Latino. Maestro de San Agustín, defensor de la ortodoxia y autoridad moral frente al poder imperial.</v>
      </c>
      <c r="H306" t="str">
        <f>_xlfn.XLOOKUP(frasest[[#This Row],[autor_es]],autorest[autor_es],autorest[bio_la])</f>
        <v>Episcopus Mediolanensis, Doctor Ecclesiae et Pater Latinus. Magister Sancti Augustini, orthodoxiae defensor et auctoritas moralis contra imperium.</v>
      </c>
      <c r="I306" t="str">
        <f>_xlfn.XLOOKUP(frasest[[#This Row],[autor_es]],autorest[autor_es],autorest[codigo])</f>
        <v>la</v>
      </c>
      <c r="J306" t="str">
        <f>_xlfn.XLOOKUP(frasest[[#This Row],[autor_es]],autorest[autor_es],autorest[idioma_es])</f>
        <v>Latín</v>
      </c>
      <c r="K306" t="str">
        <f>_xlfn.XLOOKUP(frasest[[#This Row],[autor_es]],autorest[autor_es],autorest[idioma_la])</f>
        <v>Lingua Latina</v>
      </c>
      <c r="L306" t="str">
        <f>_xlfn.XLOOKUP(frasest[[#This Row],[autor_es]],autorest[autor_es],autorest[nacion_es])</f>
        <v>Roma</v>
      </c>
      <c r="M306" t="str">
        <f>_xlfn.XLOOKUP(frasest[[#This Row],[autor_es]],autorest[autor_es],autorest[nacion_la])</f>
        <v>Roma</v>
      </c>
      <c r="N306" t="str">
        <f>_xlfn.XLOOKUP(frasest[[#This Row],[autor_es]],autorest[autor_es],autorest[epoca_es])</f>
        <v>Edad Antigua</v>
      </c>
      <c r="O306" t="str">
        <f>_xlfn.XLOOKUP(frasest[[#This Row],[autor_es]],autorest[autor_es],autorest[epoca_la])</f>
        <v>Antiquitas</v>
      </c>
    </row>
    <row r="307" spans="1:15">
      <c r="A307">
        <v>306</v>
      </c>
      <c r="B307" t="s">
        <v>858</v>
      </c>
      <c r="C307" t="s">
        <v>859</v>
      </c>
      <c r="D307" t="s">
        <v>859</v>
      </c>
      <c r="E307" t="s">
        <v>845</v>
      </c>
      <c r="F307" t="str">
        <f>_xlfn.XLOOKUP(frasest[[#This Row],[autor_es]],autorest[autor_es],autorest[autor_la])</f>
        <v>Ambrosius Mediolanensis</v>
      </c>
      <c r="G307" t="str">
        <f>_xlfn.XLOOKUP(frasest[[#This Row],[autor_es]],autorest[autor_es],autorest[bio_es])</f>
        <v>Obispo de Milán, Doctor de la Iglesia y Padre Latino. Maestro de San Agustín, defensor de la ortodoxia y autoridad moral frente al poder imperial.</v>
      </c>
      <c r="H307" t="str">
        <f>_xlfn.XLOOKUP(frasest[[#This Row],[autor_es]],autorest[autor_es],autorest[bio_la])</f>
        <v>Episcopus Mediolanensis, Doctor Ecclesiae et Pater Latinus. Magister Sancti Augustini, orthodoxiae defensor et auctoritas moralis contra imperium.</v>
      </c>
      <c r="I307" t="str">
        <f>_xlfn.XLOOKUP(frasest[[#This Row],[autor_es]],autorest[autor_es],autorest[codigo])</f>
        <v>la</v>
      </c>
      <c r="J307" t="str">
        <f>_xlfn.XLOOKUP(frasest[[#This Row],[autor_es]],autorest[autor_es],autorest[idioma_es])</f>
        <v>Latín</v>
      </c>
      <c r="K307" t="str">
        <f>_xlfn.XLOOKUP(frasest[[#This Row],[autor_es]],autorest[autor_es],autorest[idioma_la])</f>
        <v>Lingua Latina</v>
      </c>
      <c r="L307" t="str">
        <f>_xlfn.XLOOKUP(frasest[[#This Row],[autor_es]],autorest[autor_es],autorest[nacion_es])</f>
        <v>Roma</v>
      </c>
      <c r="M307" t="str">
        <f>_xlfn.XLOOKUP(frasest[[#This Row],[autor_es]],autorest[autor_es],autorest[nacion_la])</f>
        <v>Roma</v>
      </c>
      <c r="N307" t="str">
        <f>_xlfn.XLOOKUP(frasest[[#This Row],[autor_es]],autorest[autor_es],autorest[epoca_es])</f>
        <v>Edad Antigua</v>
      </c>
      <c r="O307" t="str">
        <f>_xlfn.XLOOKUP(frasest[[#This Row],[autor_es]],autorest[autor_es],autorest[epoca_la])</f>
        <v>Antiquitas</v>
      </c>
    </row>
    <row r="308" spans="1:15">
      <c r="A308">
        <v>307</v>
      </c>
      <c r="B308" t="s">
        <v>860</v>
      </c>
      <c r="C308" t="s">
        <v>861</v>
      </c>
      <c r="D308" t="s">
        <v>861</v>
      </c>
      <c r="E308" t="s">
        <v>845</v>
      </c>
      <c r="F308" t="str">
        <f>_xlfn.XLOOKUP(frasest[[#This Row],[autor_es]],autorest[autor_es],autorest[autor_la])</f>
        <v>Ambrosius Mediolanensis</v>
      </c>
      <c r="G308" t="str">
        <f>_xlfn.XLOOKUP(frasest[[#This Row],[autor_es]],autorest[autor_es],autorest[bio_es])</f>
        <v>Obispo de Milán, Doctor de la Iglesia y Padre Latino. Maestro de San Agustín, defensor de la ortodoxia y autoridad moral frente al poder imperial.</v>
      </c>
      <c r="H308" t="str">
        <f>_xlfn.XLOOKUP(frasest[[#This Row],[autor_es]],autorest[autor_es],autorest[bio_la])</f>
        <v>Episcopus Mediolanensis, Doctor Ecclesiae et Pater Latinus. Magister Sancti Augustini, orthodoxiae defensor et auctoritas moralis contra imperium.</v>
      </c>
      <c r="I308" t="str">
        <f>_xlfn.XLOOKUP(frasest[[#This Row],[autor_es]],autorest[autor_es],autorest[codigo])</f>
        <v>la</v>
      </c>
      <c r="J308" t="str">
        <f>_xlfn.XLOOKUP(frasest[[#This Row],[autor_es]],autorest[autor_es],autorest[idioma_es])</f>
        <v>Latín</v>
      </c>
      <c r="K308" t="str">
        <f>_xlfn.XLOOKUP(frasest[[#This Row],[autor_es]],autorest[autor_es],autorest[idioma_la])</f>
        <v>Lingua Latina</v>
      </c>
      <c r="L308" t="str">
        <f>_xlfn.XLOOKUP(frasest[[#This Row],[autor_es]],autorest[autor_es],autorest[nacion_es])</f>
        <v>Roma</v>
      </c>
      <c r="M308" t="str">
        <f>_xlfn.XLOOKUP(frasest[[#This Row],[autor_es]],autorest[autor_es],autorest[nacion_la])</f>
        <v>Roma</v>
      </c>
      <c r="N308" t="str">
        <f>_xlfn.XLOOKUP(frasest[[#This Row],[autor_es]],autorest[autor_es],autorest[epoca_es])</f>
        <v>Edad Antigua</v>
      </c>
      <c r="O308" t="str">
        <f>_xlfn.XLOOKUP(frasest[[#This Row],[autor_es]],autorest[autor_es],autorest[epoca_la])</f>
        <v>Antiquitas</v>
      </c>
    </row>
    <row r="309" spans="1:15">
      <c r="A309">
        <v>308</v>
      </c>
      <c r="B309" t="s">
        <v>862</v>
      </c>
      <c r="C309" t="s">
        <v>863</v>
      </c>
      <c r="D309" t="s">
        <v>863</v>
      </c>
      <c r="E309" t="s">
        <v>845</v>
      </c>
      <c r="F309" t="str">
        <f>_xlfn.XLOOKUP(frasest[[#This Row],[autor_es]],autorest[autor_es],autorest[autor_la])</f>
        <v>Ambrosius Mediolanensis</v>
      </c>
      <c r="G309" t="str">
        <f>_xlfn.XLOOKUP(frasest[[#This Row],[autor_es]],autorest[autor_es],autorest[bio_es])</f>
        <v>Obispo de Milán, Doctor de la Iglesia y Padre Latino. Maestro de San Agustín, defensor de la ortodoxia y autoridad moral frente al poder imperial.</v>
      </c>
      <c r="H309" t="str">
        <f>_xlfn.XLOOKUP(frasest[[#This Row],[autor_es]],autorest[autor_es],autorest[bio_la])</f>
        <v>Episcopus Mediolanensis, Doctor Ecclesiae et Pater Latinus. Magister Sancti Augustini, orthodoxiae defensor et auctoritas moralis contra imperium.</v>
      </c>
      <c r="I309" t="str">
        <f>_xlfn.XLOOKUP(frasest[[#This Row],[autor_es]],autorest[autor_es],autorest[codigo])</f>
        <v>la</v>
      </c>
      <c r="J309" t="str">
        <f>_xlfn.XLOOKUP(frasest[[#This Row],[autor_es]],autorest[autor_es],autorest[idioma_es])</f>
        <v>Latín</v>
      </c>
      <c r="K309" t="str">
        <f>_xlfn.XLOOKUP(frasest[[#This Row],[autor_es]],autorest[autor_es],autorest[idioma_la])</f>
        <v>Lingua Latina</v>
      </c>
      <c r="L309" t="str">
        <f>_xlfn.XLOOKUP(frasest[[#This Row],[autor_es]],autorest[autor_es],autorest[nacion_es])</f>
        <v>Roma</v>
      </c>
      <c r="M309" t="str">
        <f>_xlfn.XLOOKUP(frasest[[#This Row],[autor_es]],autorest[autor_es],autorest[nacion_la])</f>
        <v>Roma</v>
      </c>
      <c r="N309" t="str">
        <f>_xlfn.XLOOKUP(frasest[[#This Row],[autor_es]],autorest[autor_es],autorest[epoca_es])</f>
        <v>Edad Antigua</v>
      </c>
      <c r="O309" t="str">
        <f>_xlfn.XLOOKUP(frasest[[#This Row],[autor_es]],autorest[autor_es],autorest[epoca_la])</f>
        <v>Antiquitas</v>
      </c>
    </row>
    <row r="310" spans="1:15">
      <c r="A310">
        <v>309</v>
      </c>
      <c r="B310" t="s">
        <v>864</v>
      </c>
      <c r="C310" t="s">
        <v>865</v>
      </c>
      <c r="D310" t="s">
        <v>865</v>
      </c>
      <c r="E310" t="s">
        <v>866</v>
      </c>
      <c r="F310" t="str">
        <f>_xlfn.XLOOKUP(frasest[[#This Row],[autor_es]],autorest[autor_es],autorest[autor_la])</f>
        <v>Hieronymus Stridonensis</v>
      </c>
      <c r="G310" t="str">
        <f>_xlfn.XLOOKUP(frasest[[#This Row],[autor_es]],autorest[autor_es],autorest[bio_es])</f>
        <v>Padre y Doctor de la Iglesia, traductor de la Biblia al latín (Vulgata). Erudito políglota, asceta y polemista, patrono de los traductores.</v>
      </c>
      <c r="H310" t="str">
        <f>_xlfn.XLOOKUP(frasest[[#This Row],[autor_es]],autorest[autor_es],autorest[bio_la])</f>
        <v>Pater et Doctor Ecclesiae, translator Bibliae in Latinum (Vulgata). Eruditus polyglottus, asceta et polemista, patronus interpretum.</v>
      </c>
      <c r="I310" t="str">
        <f>_xlfn.XLOOKUP(frasest[[#This Row],[autor_es]],autorest[autor_es],autorest[codigo])</f>
        <v>la</v>
      </c>
      <c r="J310" t="str">
        <f>_xlfn.XLOOKUP(frasest[[#This Row],[autor_es]],autorest[autor_es],autorest[idioma_es])</f>
        <v>Latín</v>
      </c>
      <c r="K310" t="str">
        <f>_xlfn.XLOOKUP(frasest[[#This Row],[autor_es]],autorest[autor_es],autorest[idioma_la])</f>
        <v>Lingua Latina</v>
      </c>
      <c r="L310" t="str">
        <f>_xlfn.XLOOKUP(frasest[[#This Row],[autor_es]],autorest[autor_es],autorest[nacion_es])</f>
        <v>Roma</v>
      </c>
      <c r="M310" t="str">
        <f>_xlfn.XLOOKUP(frasest[[#This Row],[autor_es]],autorest[autor_es],autorest[nacion_la])</f>
        <v>Roma</v>
      </c>
      <c r="N310" t="str">
        <f>_xlfn.XLOOKUP(frasest[[#This Row],[autor_es]],autorest[autor_es],autorest[epoca_es])</f>
        <v>Edad Antigua</v>
      </c>
      <c r="O310" t="str">
        <f>_xlfn.XLOOKUP(frasest[[#This Row],[autor_es]],autorest[autor_es],autorest[epoca_la])</f>
        <v>Antiquitas</v>
      </c>
    </row>
    <row r="311" spans="1:15">
      <c r="A311">
        <v>310</v>
      </c>
      <c r="B311" t="s">
        <v>867</v>
      </c>
      <c r="C311" t="s">
        <v>868</v>
      </c>
      <c r="D311" t="s">
        <v>868</v>
      </c>
      <c r="E311" t="s">
        <v>866</v>
      </c>
      <c r="F311" t="str">
        <f>_xlfn.XLOOKUP(frasest[[#This Row],[autor_es]],autorest[autor_es],autorest[autor_la])</f>
        <v>Hieronymus Stridonensis</v>
      </c>
      <c r="G311" t="str">
        <f>_xlfn.XLOOKUP(frasest[[#This Row],[autor_es]],autorest[autor_es],autorest[bio_es])</f>
        <v>Padre y Doctor de la Iglesia, traductor de la Biblia al latín (Vulgata). Erudito políglota, asceta y polemista, patrono de los traductores.</v>
      </c>
      <c r="H311" t="str">
        <f>_xlfn.XLOOKUP(frasest[[#This Row],[autor_es]],autorest[autor_es],autorest[bio_la])</f>
        <v>Pater et Doctor Ecclesiae, translator Bibliae in Latinum (Vulgata). Eruditus polyglottus, asceta et polemista, patronus interpretum.</v>
      </c>
      <c r="I311" t="str">
        <f>_xlfn.XLOOKUP(frasest[[#This Row],[autor_es]],autorest[autor_es],autorest[codigo])</f>
        <v>la</v>
      </c>
      <c r="J311" t="str">
        <f>_xlfn.XLOOKUP(frasest[[#This Row],[autor_es]],autorest[autor_es],autorest[idioma_es])</f>
        <v>Latín</v>
      </c>
      <c r="K311" t="str">
        <f>_xlfn.XLOOKUP(frasest[[#This Row],[autor_es]],autorest[autor_es],autorest[idioma_la])</f>
        <v>Lingua Latina</v>
      </c>
      <c r="L311" t="str">
        <f>_xlfn.XLOOKUP(frasest[[#This Row],[autor_es]],autorest[autor_es],autorest[nacion_es])</f>
        <v>Roma</v>
      </c>
      <c r="M311" t="str">
        <f>_xlfn.XLOOKUP(frasest[[#This Row],[autor_es]],autorest[autor_es],autorest[nacion_la])</f>
        <v>Roma</v>
      </c>
      <c r="N311" t="str">
        <f>_xlfn.XLOOKUP(frasest[[#This Row],[autor_es]],autorest[autor_es],autorest[epoca_es])</f>
        <v>Edad Antigua</v>
      </c>
      <c r="O311" t="str">
        <f>_xlfn.XLOOKUP(frasest[[#This Row],[autor_es]],autorest[autor_es],autorest[epoca_la])</f>
        <v>Antiquitas</v>
      </c>
    </row>
    <row r="312" spans="1:15">
      <c r="A312">
        <v>311</v>
      </c>
      <c r="B312" t="s">
        <v>869</v>
      </c>
      <c r="C312" t="s">
        <v>870</v>
      </c>
      <c r="D312" t="s">
        <v>870</v>
      </c>
      <c r="E312" t="s">
        <v>866</v>
      </c>
      <c r="F312" t="str">
        <f>_xlfn.XLOOKUP(frasest[[#This Row],[autor_es]],autorest[autor_es],autorest[autor_la])</f>
        <v>Hieronymus Stridonensis</v>
      </c>
      <c r="G312" t="str">
        <f>_xlfn.XLOOKUP(frasest[[#This Row],[autor_es]],autorest[autor_es],autorest[bio_es])</f>
        <v>Padre y Doctor de la Iglesia, traductor de la Biblia al latín (Vulgata). Erudito políglota, asceta y polemista, patrono de los traductores.</v>
      </c>
      <c r="H312" t="str">
        <f>_xlfn.XLOOKUP(frasest[[#This Row],[autor_es]],autorest[autor_es],autorest[bio_la])</f>
        <v>Pater et Doctor Ecclesiae, translator Bibliae in Latinum (Vulgata). Eruditus polyglottus, asceta et polemista, patronus interpretum.</v>
      </c>
      <c r="I312" t="str">
        <f>_xlfn.XLOOKUP(frasest[[#This Row],[autor_es]],autorest[autor_es],autorest[codigo])</f>
        <v>la</v>
      </c>
      <c r="J312" t="str">
        <f>_xlfn.XLOOKUP(frasest[[#This Row],[autor_es]],autorest[autor_es],autorest[idioma_es])</f>
        <v>Latín</v>
      </c>
      <c r="K312" t="str">
        <f>_xlfn.XLOOKUP(frasest[[#This Row],[autor_es]],autorest[autor_es],autorest[idioma_la])</f>
        <v>Lingua Latina</v>
      </c>
      <c r="L312" t="str">
        <f>_xlfn.XLOOKUP(frasest[[#This Row],[autor_es]],autorest[autor_es],autorest[nacion_es])</f>
        <v>Roma</v>
      </c>
      <c r="M312" t="str">
        <f>_xlfn.XLOOKUP(frasest[[#This Row],[autor_es]],autorest[autor_es],autorest[nacion_la])</f>
        <v>Roma</v>
      </c>
      <c r="N312" t="str">
        <f>_xlfn.XLOOKUP(frasest[[#This Row],[autor_es]],autorest[autor_es],autorest[epoca_es])</f>
        <v>Edad Antigua</v>
      </c>
      <c r="O312" t="str">
        <f>_xlfn.XLOOKUP(frasest[[#This Row],[autor_es]],autorest[autor_es],autorest[epoca_la])</f>
        <v>Antiquitas</v>
      </c>
    </row>
    <row r="313" spans="1:15">
      <c r="A313">
        <v>312</v>
      </c>
      <c r="B313" t="s">
        <v>871</v>
      </c>
      <c r="C313" t="s">
        <v>872</v>
      </c>
      <c r="D313" t="s">
        <v>872</v>
      </c>
      <c r="E313" t="s">
        <v>866</v>
      </c>
      <c r="F313" t="str">
        <f>_xlfn.XLOOKUP(frasest[[#This Row],[autor_es]],autorest[autor_es],autorest[autor_la])</f>
        <v>Hieronymus Stridonensis</v>
      </c>
      <c r="G313" t="str">
        <f>_xlfn.XLOOKUP(frasest[[#This Row],[autor_es]],autorest[autor_es],autorest[bio_es])</f>
        <v>Padre y Doctor de la Iglesia, traductor de la Biblia al latín (Vulgata). Erudito políglota, asceta y polemista, patrono de los traductores.</v>
      </c>
      <c r="H313" t="str">
        <f>_xlfn.XLOOKUP(frasest[[#This Row],[autor_es]],autorest[autor_es],autorest[bio_la])</f>
        <v>Pater et Doctor Ecclesiae, translator Bibliae in Latinum (Vulgata). Eruditus polyglottus, asceta et polemista, patronus interpretum.</v>
      </c>
      <c r="I313" t="str">
        <f>_xlfn.XLOOKUP(frasest[[#This Row],[autor_es]],autorest[autor_es],autorest[codigo])</f>
        <v>la</v>
      </c>
      <c r="J313" t="str">
        <f>_xlfn.XLOOKUP(frasest[[#This Row],[autor_es]],autorest[autor_es],autorest[idioma_es])</f>
        <v>Latín</v>
      </c>
      <c r="K313" t="str">
        <f>_xlfn.XLOOKUP(frasest[[#This Row],[autor_es]],autorest[autor_es],autorest[idioma_la])</f>
        <v>Lingua Latina</v>
      </c>
      <c r="L313" t="str">
        <f>_xlfn.XLOOKUP(frasest[[#This Row],[autor_es]],autorest[autor_es],autorest[nacion_es])</f>
        <v>Roma</v>
      </c>
      <c r="M313" t="str">
        <f>_xlfn.XLOOKUP(frasest[[#This Row],[autor_es]],autorest[autor_es],autorest[nacion_la])</f>
        <v>Roma</v>
      </c>
      <c r="N313" t="str">
        <f>_xlfn.XLOOKUP(frasest[[#This Row],[autor_es]],autorest[autor_es],autorest[epoca_es])</f>
        <v>Edad Antigua</v>
      </c>
      <c r="O313" t="str">
        <f>_xlfn.XLOOKUP(frasest[[#This Row],[autor_es]],autorest[autor_es],autorest[epoca_la])</f>
        <v>Antiquitas</v>
      </c>
    </row>
    <row r="314" spans="1:15">
      <c r="A314">
        <v>313</v>
      </c>
      <c r="B314" t="s">
        <v>873</v>
      </c>
      <c r="C314" t="s">
        <v>874</v>
      </c>
      <c r="D314" t="s">
        <v>874</v>
      </c>
      <c r="E314" t="s">
        <v>866</v>
      </c>
      <c r="F314" t="str">
        <f>_xlfn.XLOOKUP(frasest[[#This Row],[autor_es]],autorest[autor_es],autorest[autor_la])</f>
        <v>Hieronymus Stridonensis</v>
      </c>
      <c r="G314" t="str">
        <f>_xlfn.XLOOKUP(frasest[[#This Row],[autor_es]],autorest[autor_es],autorest[bio_es])</f>
        <v>Padre y Doctor de la Iglesia, traductor de la Biblia al latín (Vulgata). Erudito políglota, asceta y polemista, patrono de los traductores.</v>
      </c>
      <c r="H314" t="str">
        <f>_xlfn.XLOOKUP(frasest[[#This Row],[autor_es]],autorest[autor_es],autorest[bio_la])</f>
        <v>Pater et Doctor Ecclesiae, translator Bibliae in Latinum (Vulgata). Eruditus polyglottus, asceta et polemista, patronus interpretum.</v>
      </c>
      <c r="I314" t="str">
        <f>_xlfn.XLOOKUP(frasest[[#This Row],[autor_es]],autorest[autor_es],autorest[codigo])</f>
        <v>la</v>
      </c>
      <c r="J314" t="str">
        <f>_xlfn.XLOOKUP(frasest[[#This Row],[autor_es]],autorest[autor_es],autorest[idioma_es])</f>
        <v>Latín</v>
      </c>
      <c r="K314" t="str">
        <f>_xlfn.XLOOKUP(frasest[[#This Row],[autor_es]],autorest[autor_es],autorest[idioma_la])</f>
        <v>Lingua Latina</v>
      </c>
      <c r="L314" t="str">
        <f>_xlfn.XLOOKUP(frasest[[#This Row],[autor_es]],autorest[autor_es],autorest[nacion_es])</f>
        <v>Roma</v>
      </c>
      <c r="M314" t="str">
        <f>_xlfn.XLOOKUP(frasest[[#This Row],[autor_es]],autorest[autor_es],autorest[nacion_la])</f>
        <v>Roma</v>
      </c>
      <c r="N314" t="str">
        <f>_xlfn.XLOOKUP(frasest[[#This Row],[autor_es]],autorest[autor_es],autorest[epoca_es])</f>
        <v>Edad Antigua</v>
      </c>
      <c r="O314" t="str">
        <f>_xlfn.XLOOKUP(frasest[[#This Row],[autor_es]],autorest[autor_es],autorest[epoca_la])</f>
        <v>Antiquitas</v>
      </c>
    </row>
    <row r="315" spans="1:15">
      <c r="A315">
        <v>314</v>
      </c>
      <c r="B315" t="s">
        <v>875</v>
      </c>
      <c r="C315" t="s">
        <v>876</v>
      </c>
      <c r="D315" t="s">
        <v>876</v>
      </c>
      <c r="E315" t="s">
        <v>866</v>
      </c>
      <c r="F315" t="str">
        <f>_xlfn.XLOOKUP(frasest[[#This Row],[autor_es]],autorest[autor_es],autorest[autor_la])</f>
        <v>Hieronymus Stridonensis</v>
      </c>
      <c r="G315" t="str">
        <f>_xlfn.XLOOKUP(frasest[[#This Row],[autor_es]],autorest[autor_es],autorest[bio_es])</f>
        <v>Padre y Doctor de la Iglesia, traductor de la Biblia al latín (Vulgata). Erudito políglota, asceta y polemista, patrono de los traductores.</v>
      </c>
      <c r="H315" t="str">
        <f>_xlfn.XLOOKUP(frasest[[#This Row],[autor_es]],autorest[autor_es],autorest[bio_la])</f>
        <v>Pater et Doctor Ecclesiae, translator Bibliae in Latinum (Vulgata). Eruditus polyglottus, asceta et polemista, patronus interpretum.</v>
      </c>
      <c r="I315" t="str">
        <f>_xlfn.XLOOKUP(frasest[[#This Row],[autor_es]],autorest[autor_es],autorest[codigo])</f>
        <v>la</v>
      </c>
      <c r="J315" t="str">
        <f>_xlfn.XLOOKUP(frasest[[#This Row],[autor_es]],autorest[autor_es],autorest[idioma_es])</f>
        <v>Latín</v>
      </c>
      <c r="K315" t="str">
        <f>_xlfn.XLOOKUP(frasest[[#This Row],[autor_es]],autorest[autor_es],autorest[idioma_la])</f>
        <v>Lingua Latina</v>
      </c>
      <c r="L315" t="str">
        <f>_xlfn.XLOOKUP(frasest[[#This Row],[autor_es]],autorest[autor_es],autorest[nacion_es])</f>
        <v>Roma</v>
      </c>
      <c r="M315" t="str">
        <f>_xlfn.XLOOKUP(frasest[[#This Row],[autor_es]],autorest[autor_es],autorest[nacion_la])</f>
        <v>Roma</v>
      </c>
      <c r="N315" t="str">
        <f>_xlfn.XLOOKUP(frasest[[#This Row],[autor_es]],autorest[autor_es],autorest[epoca_es])</f>
        <v>Edad Antigua</v>
      </c>
      <c r="O315" t="str">
        <f>_xlfn.XLOOKUP(frasest[[#This Row],[autor_es]],autorest[autor_es],autorest[epoca_la])</f>
        <v>Antiquitas</v>
      </c>
    </row>
    <row r="316" spans="1:15">
      <c r="A316">
        <v>315</v>
      </c>
      <c r="B316" t="s">
        <v>877</v>
      </c>
      <c r="C316" t="s">
        <v>878</v>
      </c>
      <c r="D316" t="s">
        <v>878</v>
      </c>
      <c r="E316" t="s">
        <v>866</v>
      </c>
      <c r="F316" t="str">
        <f>_xlfn.XLOOKUP(frasest[[#This Row],[autor_es]],autorest[autor_es],autorest[autor_la])</f>
        <v>Hieronymus Stridonensis</v>
      </c>
      <c r="G316" t="str">
        <f>_xlfn.XLOOKUP(frasest[[#This Row],[autor_es]],autorest[autor_es],autorest[bio_es])</f>
        <v>Padre y Doctor de la Iglesia, traductor de la Biblia al latín (Vulgata). Erudito políglota, asceta y polemista, patrono de los traductores.</v>
      </c>
      <c r="H316" t="str">
        <f>_xlfn.XLOOKUP(frasest[[#This Row],[autor_es]],autorest[autor_es],autorest[bio_la])</f>
        <v>Pater et Doctor Ecclesiae, translator Bibliae in Latinum (Vulgata). Eruditus polyglottus, asceta et polemista, patronus interpretum.</v>
      </c>
      <c r="I316" t="str">
        <f>_xlfn.XLOOKUP(frasest[[#This Row],[autor_es]],autorest[autor_es],autorest[codigo])</f>
        <v>la</v>
      </c>
      <c r="J316" t="str">
        <f>_xlfn.XLOOKUP(frasest[[#This Row],[autor_es]],autorest[autor_es],autorest[idioma_es])</f>
        <v>Latín</v>
      </c>
      <c r="K316" t="str">
        <f>_xlfn.XLOOKUP(frasest[[#This Row],[autor_es]],autorest[autor_es],autorest[idioma_la])</f>
        <v>Lingua Latina</v>
      </c>
      <c r="L316" t="str">
        <f>_xlfn.XLOOKUP(frasest[[#This Row],[autor_es]],autorest[autor_es],autorest[nacion_es])</f>
        <v>Roma</v>
      </c>
      <c r="M316" t="str">
        <f>_xlfn.XLOOKUP(frasest[[#This Row],[autor_es]],autorest[autor_es],autorest[nacion_la])</f>
        <v>Roma</v>
      </c>
      <c r="N316" t="str">
        <f>_xlfn.XLOOKUP(frasest[[#This Row],[autor_es]],autorest[autor_es],autorest[epoca_es])</f>
        <v>Edad Antigua</v>
      </c>
      <c r="O316" t="str">
        <f>_xlfn.XLOOKUP(frasest[[#This Row],[autor_es]],autorest[autor_es],autorest[epoca_la])</f>
        <v>Antiquitas</v>
      </c>
    </row>
    <row r="317" spans="1:15">
      <c r="A317">
        <v>316</v>
      </c>
      <c r="B317" t="s">
        <v>879</v>
      </c>
      <c r="C317" t="s">
        <v>880</v>
      </c>
      <c r="D317" t="s">
        <v>880</v>
      </c>
      <c r="E317" t="s">
        <v>866</v>
      </c>
      <c r="F317" t="str">
        <f>_xlfn.XLOOKUP(frasest[[#This Row],[autor_es]],autorest[autor_es],autorest[autor_la])</f>
        <v>Hieronymus Stridonensis</v>
      </c>
      <c r="G317" t="str">
        <f>_xlfn.XLOOKUP(frasest[[#This Row],[autor_es]],autorest[autor_es],autorest[bio_es])</f>
        <v>Padre y Doctor de la Iglesia, traductor de la Biblia al latín (Vulgata). Erudito políglota, asceta y polemista, patrono de los traductores.</v>
      </c>
      <c r="H317" t="str">
        <f>_xlfn.XLOOKUP(frasest[[#This Row],[autor_es]],autorest[autor_es],autorest[bio_la])</f>
        <v>Pater et Doctor Ecclesiae, translator Bibliae in Latinum (Vulgata). Eruditus polyglottus, asceta et polemista, patronus interpretum.</v>
      </c>
      <c r="I317" t="str">
        <f>_xlfn.XLOOKUP(frasest[[#This Row],[autor_es]],autorest[autor_es],autorest[codigo])</f>
        <v>la</v>
      </c>
      <c r="J317" t="str">
        <f>_xlfn.XLOOKUP(frasest[[#This Row],[autor_es]],autorest[autor_es],autorest[idioma_es])</f>
        <v>Latín</v>
      </c>
      <c r="K317" t="str">
        <f>_xlfn.XLOOKUP(frasest[[#This Row],[autor_es]],autorest[autor_es],autorest[idioma_la])</f>
        <v>Lingua Latina</v>
      </c>
      <c r="L317" t="str">
        <f>_xlfn.XLOOKUP(frasest[[#This Row],[autor_es]],autorest[autor_es],autorest[nacion_es])</f>
        <v>Roma</v>
      </c>
      <c r="M317" t="str">
        <f>_xlfn.XLOOKUP(frasest[[#This Row],[autor_es]],autorest[autor_es],autorest[nacion_la])</f>
        <v>Roma</v>
      </c>
      <c r="N317" t="str">
        <f>_xlfn.XLOOKUP(frasest[[#This Row],[autor_es]],autorest[autor_es],autorest[epoca_es])</f>
        <v>Edad Antigua</v>
      </c>
      <c r="O317" t="str">
        <f>_xlfn.XLOOKUP(frasest[[#This Row],[autor_es]],autorest[autor_es],autorest[epoca_la])</f>
        <v>Antiquitas</v>
      </c>
    </row>
    <row r="318" spans="1:15">
      <c r="A318">
        <v>317</v>
      </c>
      <c r="B318" t="s">
        <v>881</v>
      </c>
      <c r="C318" t="s">
        <v>882</v>
      </c>
      <c r="D318" t="s">
        <v>882</v>
      </c>
      <c r="E318" t="s">
        <v>866</v>
      </c>
      <c r="F318" t="str">
        <f>_xlfn.XLOOKUP(frasest[[#This Row],[autor_es]],autorest[autor_es],autorest[autor_la])</f>
        <v>Hieronymus Stridonensis</v>
      </c>
      <c r="G318" t="str">
        <f>_xlfn.XLOOKUP(frasest[[#This Row],[autor_es]],autorest[autor_es],autorest[bio_es])</f>
        <v>Padre y Doctor de la Iglesia, traductor de la Biblia al latín (Vulgata). Erudito políglota, asceta y polemista, patrono de los traductores.</v>
      </c>
      <c r="H318" t="str">
        <f>_xlfn.XLOOKUP(frasest[[#This Row],[autor_es]],autorest[autor_es],autorest[bio_la])</f>
        <v>Pater et Doctor Ecclesiae, translator Bibliae in Latinum (Vulgata). Eruditus polyglottus, asceta et polemista, patronus interpretum.</v>
      </c>
      <c r="I318" t="str">
        <f>_xlfn.XLOOKUP(frasest[[#This Row],[autor_es]],autorest[autor_es],autorest[codigo])</f>
        <v>la</v>
      </c>
      <c r="J318" t="str">
        <f>_xlfn.XLOOKUP(frasest[[#This Row],[autor_es]],autorest[autor_es],autorest[idioma_es])</f>
        <v>Latín</v>
      </c>
      <c r="K318" t="str">
        <f>_xlfn.XLOOKUP(frasest[[#This Row],[autor_es]],autorest[autor_es],autorest[idioma_la])</f>
        <v>Lingua Latina</v>
      </c>
      <c r="L318" t="str">
        <f>_xlfn.XLOOKUP(frasest[[#This Row],[autor_es]],autorest[autor_es],autorest[nacion_es])</f>
        <v>Roma</v>
      </c>
      <c r="M318" t="str">
        <f>_xlfn.XLOOKUP(frasest[[#This Row],[autor_es]],autorest[autor_es],autorest[nacion_la])</f>
        <v>Roma</v>
      </c>
      <c r="N318" t="str">
        <f>_xlfn.XLOOKUP(frasest[[#This Row],[autor_es]],autorest[autor_es],autorest[epoca_es])</f>
        <v>Edad Antigua</v>
      </c>
      <c r="O318" t="str">
        <f>_xlfn.XLOOKUP(frasest[[#This Row],[autor_es]],autorest[autor_es],autorest[epoca_la])</f>
        <v>Antiquitas</v>
      </c>
    </row>
    <row r="319" spans="1:15">
      <c r="A319">
        <v>318</v>
      </c>
      <c r="B319" t="s">
        <v>883</v>
      </c>
      <c r="C319" t="s">
        <v>884</v>
      </c>
      <c r="D319" t="s">
        <v>884</v>
      </c>
      <c r="E319" t="s">
        <v>866</v>
      </c>
      <c r="F319" t="str">
        <f>_xlfn.XLOOKUP(frasest[[#This Row],[autor_es]],autorest[autor_es],autorest[autor_la])</f>
        <v>Hieronymus Stridonensis</v>
      </c>
      <c r="G319" t="str">
        <f>_xlfn.XLOOKUP(frasest[[#This Row],[autor_es]],autorest[autor_es],autorest[bio_es])</f>
        <v>Padre y Doctor de la Iglesia, traductor de la Biblia al latín (Vulgata). Erudito políglota, asceta y polemista, patrono de los traductores.</v>
      </c>
      <c r="H319" t="str">
        <f>_xlfn.XLOOKUP(frasest[[#This Row],[autor_es]],autorest[autor_es],autorest[bio_la])</f>
        <v>Pater et Doctor Ecclesiae, translator Bibliae in Latinum (Vulgata). Eruditus polyglottus, asceta et polemista, patronus interpretum.</v>
      </c>
      <c r="I319" t="str">
        <f>_xlfn.XLOOKUP(frasest[[#This Row],[autor_es]],autorest[autor_es],autorest[codigo])</f>
        <v>la</v>
      </c>
      <c r="J319" t="str">
        <f>_xlfn.XLOOKUP(frasest[[#This Row],[autor_es]],autorest[autor_es],autorest[idioma_es])</f>
        <v>Latín</v>
      </c>
      <c r="K319" t="str">
        <f>_xlfn.XLOOKUP(frasest[[#This Row],[autor_es]],autorest[autor_es],autorest[idioma_la])</f>
        <v>Lingua Latina</v>
      </c>
      <c r="L319" t="str">
        <f>_xlfn.XLOOKUP(frasest[[#This Row],[autor_es]],autorest[autor_es],autorest[nacion_es])</f>
        <v>Roma</v>
      </c>
      <c r="M319" t="str">
        <f>_xlfn.XLOOKUP(frasest[[#This Row],[autor_es]],autorest[autor_es],autorest[nacion_la])</f>
        <v>Roma</v>
      </c>
      <c r="N319" t="str">
        <f>_xlfn.XLOOKUP(frasest[[#This Row],[autor_es]],autorest[autor_es],autorest[epoca_es])</f>
        <v>Edad Antigua</v>
      </c>
      <c r="O319" t="str">
        <f>_xlfn.XLOOKUP(frasest[[#This Row],[autor_es]],autorest[autor_es],autorest[epoca_la])</f>
        <v>Antiquitas</v>
      </c>
    </row>
    <row r="320" spans="1:15">
      <c r="A320">
        <v>319</v>
      </c>
      <c r="B320" t="s">
        <v>885</v>
      </c>
      <c r="C320" t="s">
        <v>886</v>
      </c>
      <c r="D320" t="s">
        <v>886</v>
      </c>
      <c r="E320" t="s">
        <v>887</v>
      </c>
      <c r="F320" t="str">
        <f>_xlfn.XLOOKUP(frasest[[#This Row],[autor_es]],autorest[autor_es],autorest[autor_la])</f>
        <v>Leo Magnus</v>
      </c>
      <c r="G320" t="str">
        <f>_xlfn.XLOOKUP(frasest[[#This Row],[autor_es]],autorest[autor_es],autorest[bio_es])</f>
        <v>Papa, Doctor de la Iglesia. Convocó el Concilio de Calcedonia, detuvo a Atila en las puertas de Roma. Defensor de la primacía papal y la cristología ortodoxa.</v>
      </c>
      <c r="H320" t="str">
        <f>_xlfn.XLOOKUP(frasest[[#This Row],[autor_es]],autorest[autor_es],autorest[bio_la])</f>
        <v>Papa, Doctor Ecclesiae. Concilium Chalcedonense convocavit, Attilam ad portas Romae inhibuit. Primatus papalis et christologiae orthodoxae defensor.</v>
      </c>
      <c r="I320" t="str">
        <f>_xlfn.XLOOKUP(frasest[[#This Row],[autor_es]],autorest[autor_es],autorest[codigo])</f>
        <v>la</v>
      </c>
      <c r="J320" t="str">
        <f>_xlfn.XLOOKUP(frasest[[#This Row],[autor_es]],autorest[autor_es],autorest[idioma_es])</f>
        <v>Latín</v>
      </c>
      <c r="K320" t="str">
        <f>_xlfn.XLOOKUP(frasest[[#This Row],[autor_es]],autorest[autor_es],autorest[idioma_la])</f>
        <v>Lingua Latina</v>
      </c>
      <c r="L320" t="str">
        <f>_xlfn.XLOOKUP(frasest[[#This Row],[autor_es]],autorest[autor_es],autorest[nacion_es])</f>
        <v>Roma</v>
      </c>
      <c r="M320" t="str">
        <f>_xlfn.XLOOKUP(frasest[[#This Row],[autor_es]],autorest[autor_es],autorest[nacion_la])</f>
        <v>Roma</v>
      </c>
      <c r="N320" t="str">
        <f>_xlfn.XLOOKUP(frasest[[#This Row],[autor_es]],autorest[autor_es],autorest[epoca_es])</f>
        <v>Edad Antigua</v>
      </c>
      <c r="O320" t="str">
        <f>_xlfn.XLOOKUP(frasest[[#This Row],[autor_es]],autorest[autor_es],autorest[epoca_la])</f>
        <v>Antiquitas</v>
      </c>
    </row>
    <row r="321" spans="1:15">
      <c r="A321">
        <v>320</v>
      </c>
      <c r="B321" t="s">
        <v>888</v>
      </c>
      <c r="C321" t="s">
        <v>889</v>
      </c>
      <c r="D321" t="s">
        <v>889</v>
      </c>
      <c r="E321" t="s">
        <v>887</v>
      </c>
      <c r="F321" t="str">
        <f>_xlfn.XLOOKUP(frasest[[#This Row],[autor_es]],autorest[autor_es],autorest[autor_la])</f>
        <v>Leo Magnus</v>
      </c>
      <c r="G321" t="str">
        <f>_xlfn.XLOOKUP(frasest[[#This Row],[autor_es]],autorest[autor_es],autorest[bio_es])</f>
        <v>Papa, Doctor de la Iglesia. Convocó el Concilio de Calcedonia, detuvo a Atila en las puertas de Roma. Defensor de la primacía papal y la cristología ortodoxa.</v>
      </c>
      <c r="H321" t="str">
        <f>_xlfn.XLOOKUP(frasest[[#This Row],[autor_es]],autorest[autor_es],autorest[bio_la])</f>
        <v>Papa, Doctor Ecclesiae. Concilium Chalcedonense convocavit, Attilam ad portas Romae inhibuit. Primatus papalis et christologiae orthodoxae defensor.</v>
      </c>
      <c r="I321" t="str">
        <f>_xlfn.XLOOKUP(frasest[[#This Row],[autor_es]],autorest[autor_es],autorest[codigo])</f>
        <v>la</v>
      </c>
      <c r="J321" t="str">
        <f>_xlfn.XLOOKUP(frasest[[#This Row],[autor_es]],autorest[autor_es],autorest[idioma_es])</f>
        <v>Latín</v>
      </c>
      <c r="K321" t="str">
        <f>_xlfn.XLOOKUP(frasest[[#This Row],[autor_es]],autorest[autor_es],autorest[idioma_la])</f>
        <v>Lingua Latina</v>
      </c>
      <c r="L321" t="str">
        <f>_xlfn.XLOOKUP(frasest[[#This Row],[autor_es]],autorest[autor_es],autorest[nacion_es])</f>
        <v>Roma</v>
      </c>
      <c r="M321" t="str">
        <f>_xlfn.XLOOKUP(frasest[[#This Row],[autor_es]],autorest[autor_es],autorest[nacion_la])</f>
        <v>Roma</v>
      </c>
      <c r="N321" t="str">
        <f>_xlfn.XLOOKUP(frasest[[#This Row],[autor_es]],autorest[autor_es],autorest[epoca_es])</f>
        <v>Edad Antigua</v>
      </c>
      <c r="O321" t="str">
        <f>_xlfn.XLOOKUP(frasest[[#This Row],[autor_es]],autorest[autor_es],autorest[epoca_la])</f>
        <v>Antiquitas</v>
      </c>
    </row>
    <row r="322" spans="1:15">
      <c r="A322">
        <v>321</v>
      </c>
      <c r="B322" t="s">
        <v>890</v>
      </c>
      <c r="C322" t="s">
        <v>891</v>
      </c>
      <c r="D322" t="s">
        <v>891</v>
      </c>
      <c r="E322" t="s">
        <v>887</v>
      </c>
      <c r="F322" t="str">
        <f>_xlfn.XLOOKUP(frasest[[#This Row],[autor_es]],autorest[autor_es],autorest[autor_la])</f>
        <v>Leo Magnus</v>
      </c>
      <c r="G322" t="str">
        <f>_xlfn.XLOOKUP(frasest[[#This Row],[autor_es]],autorest[autor_es],autorest[bio_es])</f>
        <v>Papa, Doctor de la Iglesia. Convocó el Concilio de Calcedonia, detuvo a Atila en las puertas de Roma. Defensor de la primacía papal y la cristología ortodoxa.</v>
      </c>
      <c r="H322" t="str">
        <f>_xlfn.XLOOKUP(frasest[[#This Row],[autor_es]],autorest[autor_es],autorest[bio_la])</f>
        <v>Papa, Doctor Ecclesiae. Concilium Chalcedonense convocavit, Attilam ad portas Romae inhibuit. Primatus papalis et christologiae orthodoxae defensor.</v>
      </c>
      <c r="I322" t="str">
        <f>_xlfn.XLOOKUP(frasest[[#This Row],[autor_es]],autorest[autor_es],autorest[codigo])</f>
        <v>la</v>
      </c>
      <c r="J322" t="str">
        <f>_xlfn.XLOOKUP(frasest[[#This Row],[autor_es]],autorest[autor_es],autorest[idioma_es])</f>
        <v>Latín</v>
      </c>
      <c r="K322" t="str">
        <f>_xlfn.XLOOKUP(frasest[[#This Row],[autor_es]],autorest[autor_es],autorest[idioma_la])</f>
        <v>Lingua Latina</v>
      </c>
      <c r="L322" t="str">
        <f>_xlfn.XLOOKUP(frasest[[#This Row],[autor_es]],autorest[autor_es],autorest[nacion_es])</f>
        <v>Roma</v>
      </c>
      <c r="M322" t="str">
        <f>_xlfn.XLOOKUP(frasest[[#This Row],[autor_es]],autorest[autor_es],autorest[nacion_la])</f>
        <v>Roma</v>
      </c>
      <c r="N322" t="str">
        <f>_xlfn.XLOOKUP(frasest[[#This Row],[autor_es]],autorest[autor_es],autorest[epoca_es])</f>
        <v>Edad Antigua</v>
      </c>
      <c r="O322" t="str">
        <f>_xlfn.XLOOKUP(frasest[[#This Row],[autor_es]],autorest[autor_es],autorest[epoca_la])</f>
        <v>Antiquitas</v>
      </c>
    </row>
    <row r="323" spans="1:15">
      <c r="A323">
        <v>322</v>
      </c>
      <c r="B323" t="s">
        <v>892</v>
      </c>
      <c r="C323" t="s">
        <v>893</v>
      </c>
      <c r="D323" t="s">
        <v>893</v>
      </c>
      <c r="E323" t="s">
        <v>887</v>
      </c>
      <c r="F323" t="str">
        <f>_xlfn.XLOOKUP(frasest[[#This Row],[autor_es]],autorest[autor_es],autorest[autor_la])</f>
        <v>Leo Magnus</v>
      </c>
      <c r="G323" t="str">
        <f>_xlfn.XLOOKUP(frasest[[#This Row],[autor_es]],autorest[autor_es],autorest[bio_es])</f>
        <v>Papa, Doctor de la Iglesia. Convocó el Concilio de Calcedonia, detuvo a Atila en las puertas de Roma. Defensor de la primacía papal y la cristología ortodoxa.</v>
      </c>
      <c r="H323" t="str">
        <f>_xlfn.XLOOKUP(frasest[[#This Row],[autor_es]],autorest[autor_es],autorest[bio_la])</f>
        <v>Papa, Doctor Ecclesiae. Concilium Chalcedonense convocavit, Attilam ad portas Romae inhibuit. Primatus papalis et christologiae orthodoxae defensor.</v>
      </c>
      <c r="I323" t="str">
        <f>_xlfn.XLOOKUP(frasest[[#This Row],[autor_es]],autorest[autor_es],autorest[codigo])</f>
        <v>la</v>
      </c>
      <c r="J323" t="str">
        <f>_xlfn.XLOOKUP(frasest[[#This Row],[autor_es]],autorest[autor_es],autorest[idioma_es])</f>
        <v>Latín</v>
      </c>
      <c r="K323" t="str">
        <f>_xlfn.XLOOKUP(frasest[[#This Row],[autor_es]],autorest[autor_es],autorest[idioma_la])</f>
        <v>Lingua Latina</v>
      </c>
      <c r="L323" t="str">
        <f>_xlfn.XLOOKUP(frasest[[#This Row],[autor_es]],autorest[autor_es],autorest[nacion_es])</f>
        <v>Roma</v>
      </c>
      <c r="M323" t="str">
        <f>_xlfn.XLOOKUP(frasest[[#This Row],[autor_es]],autorest[autor_es],autorest[nacion_la])</f>
        <v>Roma</v>
      </c>
      <c r="N323" t="str">
        <f>_xlfn.XLOOKUP(frasest[[#This Row],[autor_es]],autorest[autor_es],autorest[epoca_es])</f>
        <v>Edad Antigua</v>
      </c>
      <c r="O323" t="str">
        <f>_xlfn.XLOOKUP(frasest[[#This Row],[autor_es]],autorest[autor_es],autorest[epoca_la])</f>
        <v>Antiquitas</v>
      </c>
    </row>
    <row r="324" spans="1:15">
      <c r="A324">
        <v>323</v>
      </c>
      <c r="B324" t="s">
        <v>894</v>
      </c>
      <c r="C324" t="s">
        <v>895</v>
      </c>
      <c r="D324" t="s">
        <v>895</v>
      </c>
      <c r="E324" t="s">
        <v>887</v>
      </c>
      <c r="F324" t="str">
        <f>_xlfn.XLOOKUP(frasest[[#This Row],[autor_es]],autorest[autor_es],autorest[autor_la])</f>
        <v>Leo Magnus</v>
      </c>
      <c r="G324" t="str">
        <f>_xlfn.XLOOKUP(frasest[[#This Row],[autor_es]],autorest[autor_es],autorest[bio_es])</f>
        <v>Papa, Doctor de la Iglesia. Convocó el Concilio de Calcedonia, detuvo a Atila en las puertas de Roma. Defensor de la primacía papal y la cristología ortodoxa.</v>
      </c>
      <c r="H324" t="str">
        <f>_xlfn.XLOOKUP(frasest[[#This Row],[autor_es]],autorest[autor_es],autorest[bio_la])</f>
        <v>Papa, Doctor Ecclesiae. Concilium Chalcedonense convocavit, Attilam ad portas Romae inhibuit. Primatus papalis et christologiae orthodoxae defensor.</v>
      </c>
      <c r="I324" t="str">
        <f>_xlfn.XLOOKUP(frasest[[#This Row],[autor_es]],autorest[autor_es],autorest[codigo])</f>
        <v>la</v>
      </c>
      <c r="J324" t="str">
        <f>_xlfn.XLOOKUP(frasest[[#This Row],[autor_es]],autorest[autor_es],autorest[idioma_es])</f>
        <v>Latín</v>
      </c>
      <c r="K324" t="str">
        <f>_xlfn.XLOOKUP(frasest[[#This Row],[autor_es]],autorest[autor_es],autorest[idioma_la])</f>
        <v>Lingua Latina</v>
      </c>
      <c r="L324" t="str">
        <f>_xlfn.XLOOKUP(frasest[[#This Row],[autor_es]],autorest[autor_es],autorest[nacion_es])</f>
        <v>Roma</v>
      </c>
      <c r="M324" t="str">
        <f>_xlfn.XLOOKUP(frasest[[#This Row],[autor_es]],autorest[autor_es],autorest[nacion_la])</f>
        <v>Roma</v>
      </c>
      <c r="N324" t="str">
        <f>_xlfn.XLOOKUP(frasest[[#This Row],[autor_es]],autorest[autor_es],autorest[epoca_es])</f>
        <v>Edad Antigua</v>
      </c>
      <c r="O324" t="str">
        <f>_xlfn.XLOOKUP(frasest[[#This Row],[autor_es]],autorest[autor_es],autorest[epoca_la])</f>
        <v>Antiquitas</v>
      </c>
    </row>
    <row r="325" spans="1:15">
      <c r="A325">
        <v>324</v>
      </c>
      <c r="B325" t="s">
        <v>896</v>
      </c>
      <c r="C325" t="s">
        <v>897</v>
      </c>
      <c r="D325" t="s">
        <v>897</v>
      </c>
      <c r="E325" t="s">
        <v>887</v>
      </c>
      <c r="F325" t="str">
        <f>_xlfn.XLOOKUP(frasest[[#This Row],[autor_es]],autorest[autor_es],autorest[autor_la])</f>
        <v>Leo Magnus</v>
      </c>
      <c r="G325" t="str">
        <f>_xlfn.XLOOKUP(frasest[[#This Row],[autor_es]],autorest[autor_es],autorest[bio_es])</f>
        <v>Papa, Doctor de la Iglesia. Convocó el Concilio de Calcedonia, detuvo a Atila en las puertas de Roma. Defensor de la primacía papal y la cristología ortodoxa.</v>
      </c>
      <c r="H325" t="str">
        <f>_xlfn.XLOOKUP(frasest[[#This Row],[autor_es]],autorest[autor_es],autorest[bio_la])</f>
        <v>Papa, Doctor Ecclesiae. Concilium Chalcedonense convocavit, Attilam ad portas Romae inhibuit. Primatus papalis et christologiae orthodoxae defensor.</v>
      </c>
      <c r="I325" t="str">
        <f>_xlfn.XLOOKUP(frasest[[#This Row],[autor_es]],autorest[autor_es],autorest[codigo])</f>
        <v>la</v>
      </c>
      <c r="J325" t="str">
        <f>_xlfn.XLOOKUP(frasest[[#This Row],[autor_es]],autorest[autor_es],autorest[idioma_es])</f>
        <v>Latín</v>
      </c>
      <c r="K325" t="str">
        <f>_xlfn.XLOOKUP(frasest[[#This Row],[autor_es]],autorest[autor_es],autorest[idioma_la])</f>
        <v>Lingua Latina</v>
      </c>
      <c r="L325" t="str">
        <f>_xlfn.XLOOKUP(frasest[[#This Row],[autor_es]],autorest[autor_es],autorest[nacion_es])</f>
        <v>Roma</v>
      </c>
      <c r="M325" t="str">
        <f>_xlfn.XLOOKUP(frasest[[#This Row],[autor_es]],autorest[autor_es],autorest[nacion_la])</f>
        <v>Roma</v>
      </c>
      <c r="N325" t="str">
        <f>_xlfn.XLOOKUP(frasest[[#This Row],[autor_es]],autorest[autor_es],autorest[epoca_es])</f>
        <v>Edad Antigua</v>
      </c>
      <c r="O325" t="str">
        <f>_xlfn.XLOOKUP(frasest[[#This Row],[autor_es]],autorest[autor_es],autorest[epoca_la])</f>
        <v>Antiquitas</v>
      </c>
    </row>
    <row r="326" spans="1:15">
      <c r="A326">
        <v>325</v>
      </c>
      <c r="B326" t="s">
        <v>898</v>
      </c>
      <c r="C326" t="s">
        <v>899</v>
      </c>
      <c r="D326" t="s">
        <v>899</v>
      </c>
      <c r="E326" t="s">
        <v>887</v>
      </c>
      <c r="F326" t="str">
        <f>_xlfn.XLOOKUP(frasest[[#This Row],[autor_es]],autorest[autor_es],autorest[autor_la])</f>
        <v>Leo Magnus</v>
      </c>
      <c r="G326" t="str">
        <f>_xlfn.XLOOKUP(frasest[[#This Row],[autor_es]],autorest[autor_es],autorest[bio_es])</f>
        <v>Papa, Doctor de la Iglesia. Convocó el Concilio de Calcedonia, detuvo a Atila en las puertas de Roma. Defensor de la primacía papal y la cristología ortodoxa.</v>
      </c>
      <c r="H326" t="str">
        <f>_xlfn.XLOOKUP(frasest[[#This Row],[autor_es]],autorest[autor_es],autorest[bio_la])</f>
        <v>Papa, Doctor Ecclesiae. Concilium Chalcedonense convocavit, Attilam ad portas Romae inhibuit. Primatus papalis et christologiae orthodoxae defensor.</v>
      </c>
      <c r="I326" t="str">
        <f>_xlfn.XLOOKUP(frasest[[#This Row],[autor_es]],autorest[autor_es],autorest[codigo])</f>
        <v>la</v>
      </c>
      <c r="J326" t="str">
        <f>_xlfn.XLOOKUP(frasest[[#This Row],[autor_es]],autorest[autor_es],autorest[idioma_es])</f>
        <v>Latín</v>
      </c>
      <c r="K326" t="str">
        <f>_xlfn.XLOOKUP(frasest[[#This Row],[autor_es]],autorest[autor_es],autorest[idioma_la])</f>
        <v>Lingua Latina</v>
      </c>
      <c r="L326" t="str">
        <f>_xlfn.XLOOKUP(frasest[[#This Row],[autor_es]],autorest[autor_es],autorest[nacion_es])</f>
        <v>Roma</v>
      </c>
      <c r="M326" t="str">
        <f>_xlfn.XLOOKUP(frasest[[#This Row],[autor_es]],autorest[autor_es],autorest[nacion_la])</f>
        <v>Roma</v>
      </c>
      <c r="N326" t="str">
        <f>_xlfn.XLOOKUP(frasest[[#This Row],[autor_es]],autorest[autor_es],autorest[epoca_es])</f>
        <v>Edad Antigua</v>
      </c>
      <c r="O326" t="str">
        <f>_xlfn.XLOOKUP(frasest[[#This Row],[autor_es]],autorest[autor_es],autorest[epoca_la])</f>
        <v>Antiquitas</v>
      </c>
    </row>
    <row r="327" spans="1:15">
      <c r="A327">
        <v>326</v>
      </c>
      <c r="B327" t="s">
        <v>900</v>
      </c>
      <c r="C327" t="s">
        <v>901</v>
      </c>
      <c r="D327" t="s">
        <v>901</v>
      </c>
      <c r="E327" t="s">
        <v>887</v>
      </c>
      <c r="F327" t="str">
        <f>_xlfn.XLOOKUP(frasest[[#This Row],[autor_es]],autorest[autor_es],autorest[autor_la])</f>
        <v>Leo Magnus</v>
      </c>
      <c r="G327" t="str">
        <f>_xlfn.XLOOKUP(frasest[[#This Row],[autor_es]],autorest[autor_es],autorest[bio_es])</f>
        <v>Papa, Doctor de la Iglesia. Convocó el Concilio de Calcedonia, detuvo a Atila en las puertas de Roma. Defensor de la primacía papal y la cristología ortodoxa.</v>
      </c>
      <c r="H327" t="str">
        <f>_xlfn.XLOOKUP(frasest[[#This Row],[autor_es]],autorest[autor_es],autorest[bio_la])</f>
        <v>Papa, Doctor Ecclesiae. Concilium Chalcedonense convocavit, Attilam ad portas Romae inhibuit. Primatus papalis et christologiae orthodoxae defensor.</v>
      </c>
      <c r="I327" t="str">
        <f>_xlfn.XLOOKUP(frasest[[#This Row],[autor_es]],autorest[autor_es],autorest[codigo])</f>
        <v>la</v>
      </c>
      <c r="J327" t="str">
        <f>_xlfn.XLOOKUP(frasest[[#This Row],[autor_es]],autorest[autor_es],autorest[idioma_es])</f>
        <v>Latín</v>
      </c>
      <c r="K327" t="str">
        <f>_xlfn.XLOOKUP(frasest[[#This Row],[autor_es]],autorest[autor_es],autorest[idioma_la])</f>
        <v>Lingua Latina</v>
      </c>
      <c r="L327" t="str">
        <f>_xlfn.XLOOKUP(frasest[[#This Row],[autor_es]],autorest[autor_es],autorest[nacion_es])</f>
        <v>Roma</v>
      </c>
      <c r="M327" t="str">
        <f>_xlfn.XLOOKUP(frasest[[#This Row],[autor_es]],autorest[autor_es],autorest[nacion_la])</f>
        <v>Roma</v>
      </c>
      <c r="N327" t="str">
        <f>_xlfn.XLOOKUP(frasest[[#This Row],[autor_es]],autorest[autor_es],autorest[epoca_es])</f>
        <v>Edad Antigua</v>
      </c>
      <c r="O327" t="str">
        <f>_xlfn.XLOOKUP(frasest[[#This Row],[autor_es]],autorest[autor_es],autorest[epoca_la])</f>
        <v>Antiquitas</v>
      </c>
    </row>
    <row r="328" spans="1:15">
      <c r="A328">
        <v>327</v>
      </c>
      <c r="B328" t="s">
        <v>902</v>
      </c>
      <c r="C328" t="s">
        <v>903</v>
      </c>
      <c r="D328" t="s">
        <v>903</v>
      </c>
      <c r="E328" t="s">
        <v>887</v>
      </c>
      <c r="F328" t="str">
        <f>_xlfn.XLOOKUP(frasest[[#This Row],[autor_es]],autorest[autor_es],autorest[autor_la])</f>
        <v>Leo Magnus</v>
      </c>
      <c r="G328" t="str">
        <f>_xlfn.XLOOKUP(frasest[[#This Row],[autor_es]],autorest[autor_es],autorest[bio_es])</f>
        <v>Papa, Doctor de la Iglesia. Convocó el Concilio de Calcedonia, detuvo a Atila en las puertas de Roma. Defensor de la primacía papal y la cristología ortodoxa.</v>
      </c>
      <c r="H328" t="str">
        <f>_xlfn.XLOOKUP(frasest[[#This Row],[autor_es]],autorest[autor_es],autorest[bio_la])</f>
        <v>Papa, Doctor Ecclesiae. Concilium Chalcedonense convocavit, Attilam ad portas Romae inhibuit. Primatus papalis et christologiae orthodoxae defensor.</v>
      </c>
      <c r="I328" t="str">
        <f>_xlfn.XLOOKUP(frasest[[#This Row],[autor_es]],autorest[autor_es],autorest[codigo])</f>
        <v>la</v>
      </c>
      <c r="J328" t="str">
        <f>_xlfn.XLOOKUP(frasest[[#This Row],[autor_es]],autorest[autor_es],autorest[idioma_es])</f>
        <v>Latín</v>
      </c>
      <c r="K328" t="str">
        <f>_xlfn.XLOOKUP(frasest[[#This Row],[autor_es]],autorest[autor_es],autorest[idioma_la])</f>
        <v>Lingua Latina</v>
      </c>
      <c r="L328" t="str">
        <f>_xlfn.XLOOKUP(frasest[[#This Row],[autor_es]],autorest[autor_es],autorest[nacion_es])</f>
        <v>Roma</v>
      </c>
      <c r="M328" t="str">
        <f>_xlfn.XLOOKUP(frasest[[#This Row],[autor_es]],autorest[autor_es],autorest[nacion_la])</f>
        <v>Roma</v>
      </c>
      <c r="N328" t="str">
        <f>_xlfn.XLOOKUP(frasest[[#This Row],[autor_es]],autorest[autor_es],autorest[epoca_es])</f>
        <v>Edad Antigua</v>
      </c>
      <c r="O328" t="str">
        <f>_xlfn.XLOOKUP(frasest[[#This Row],[autor_es]],autorest[autor_es],autorest[epoca_la])</f>
        <v>Antiquitas</v>
      </c>
    </row>
    <row r="329" spans="1:15">
      <c r="A329">
        <v>328</v>
      </c>
      <c r="B329" t="s">
        <v>904</v>
      </c>
      <c r="C329" t="s">
        <v>905</v>
      </c>
      <c r="D329" t="s">
        <v>905</v>
      </c>
      <c r="E329" t="s">
        <v>887</v>
      </c>
      <c r="F329" t="str">
        <f>_xlfn.XLOOKUP(frasest[[#This Row],[autor_es]],autorest[autor_es],autorest[autor_la])</f>
        <v>Leo Magnus</v>
      </c>
      <c r="G329" t="str">
        <f>_xlfn.XLOOKUP(frasest[[#This Row],[autor_es]],autorest[autor_es],autorest[bio_es])</f>
        <v>Papa, Doctor de la Iglesia. Convocó el Concilio de Calcedonia, detuvo a Atila en las puertas de Roma. Defensor de la primacía papal y la cristología ortodoxa.</v>
      </c>
      <c r="H329" t="str">
        <f>_xlfn.XLOOKUP(frasest[[#This Row],[autor_es]],autorest[autor_es],autorest[bio_la])</f>
        <v>Papa, Doctor Ecclesiae. Concilium Chalcedonense convocavit, Attilam ad portas Romae inhibuit. Primatus papalis et christologiae orthodoxae defensor.</v>
      </c>
      <c r="I329" t="str">
        <f>_xlfn.XLOOKUP(frasest[[#This Row],[autor_es]],autorest[autor_es],autorest[codigo])</f>
        <v>la</v>
      </c>
      <c r="J329" t="str">
        <f>_xlfn.XLOOKUP(frasest[[#This Row],[autor_es]],autorest[autor_es],autorest[idioma_es])</f>
        <v>Latín</v>
      </c>
      <c r="K329" t="str">
        <f>_xlfn.XLOOKUP(frasest[[#This Row],[autor_es]],autorest[autor_es],autorest[idioma_la])</f>
        <v>Lingua Latina</v>
      </c>
      <c r="L329" t="str">
        <f>_xlfn.XLOOKUP(frasest[[#This Row],[autor_es]],autorest[autor_es],autorest[nacion_es])</f>
        <v>Roma</v>
      </c>
      <c r="M329" t="str">
        <f>_xlfn.XLOOKUP(frasest[[#This Row],[autor_es]],autorest[autor_es],autorest[nacion_la])</f>
        <v>Roma</v>
      </c>
      <c r="N329" t="str">
        <f>_xlfn.XLOOKUP(frasest[[#This Row],[autor_es]],autorest[autor_es],autorest[epoca_es])</f>
        <v>Edad Antigua</v>
      </c>
      <c r="O329" t="str">
        <f>_xlfn.XLOOKUP(frasest[[#This Row],[autor_es]],autorest[autor_es],autorest[epoca_la])</f>
        <v>Antiquitas</v>
      </c>
    </row>
    <row r="330" spans="1:15">
      <c r="A330">
        <v>329</v>
      </c>
      <c r="B330" t="s">
        <v>906</v>
      </c>
      <c r="C330" t="s">
        <v>907</v>
      </c>
      <c r="D330" t="s">
        <v>907</v>
      </c>
      <c r="E330" t="s">
        <v>908</v>
      </c>
      <c r="F330" t="str">
        <f>_xlfn.XLOOKUP(frasest[[#This Row],[autor_es]],autorest[autor_es],autorest[autor_la])</f>
        <v>Cyprianus Carthaginensis</v>
      </c>
      <c r="G330" t="str">
        <f>_xlfn.XLOOKUP(frasest[[#This Row],[autor_es]],autorest[autor_es],autorest[bio_es])</f>
        <v>Obispo de Cartago, Padre de la Iglesia y mártir. Teólogo de la unidad eclesiástica, autor de "Sobre la unidad de la Iglesia". Martirizado durante la persecución de Valeriano.</v>
      </c>
      <c r="H330" t="str">
        <f>_xlfn.XLOOKUP(frasest[[#This Row],[autor_es]],autorest[autor_es],autorest[bio_la])</f>
        <v>Episcopus Carthaginensis, Pater Ecclesiae et martyr. Theologus unitatis ecclesiasticae, auctor "De unitate Ecclesiae". In persecutione Valeriani martyrizatus.</v>
      </c>
      <c r="I330" t="str">
        <f>_xlfn.XLOOKUP(frasest[[#This Row],[autor_es]],autorest[autor_es],autorest[codigo])</f>
        <v>la</v>
      </c>
      <c r="J330" t="str">
        <f>_xlfn.XLOOKUP(frasest[[#This Row],[autor_es]],autorest[autor_es],autorest[idioma_es])</f>
        <v>Latín</v>
      </c>
      <c r="K330" t="str">
        <f>_xlfn.XLOOKUP(frasest[[#This Row],[autor_es]],autorest[autor_es],autorest[idioma_la])</f>
        <v>Lingua Latina</v>
      </c>
      <c r="L330" t="str">
        <f>_xlfn.XLOOKUP(frasest[[#This Row],[autor_es]],autorest[autor_es],autorest[nacion_es])</f>
        <v>Roma</v>
      </c>
      <c r="M330" t="str">
        <f>_xlfn.XLOOKUP(frasest[[#This Row],[autor_es]],autorest[autor_es],autorest[nacion_la])</f>
        <v>Roma</v>
      </c>
      <c r="N330" t="str">
        <f>_xlfn.XLOOKUP(frasest[[#This Row],[autor_es]],autorest[autor_es],autorest[epoca_es])</f>
        <v>Edad Antigua</v>
      </c>
      <c r="O330" t="str">
        <f>_xlfn.XLOOKUP(frasest[[#This Row],[autor_es]],autorest[autor_es],autorest[epoca_la])</f>
        <v>Antiquitas</v>
      </c>
    </row>
    <row r="331" spans="1:15">
      <c r="A331">
        <v>330</v>
      </c>
      <c r="B331" t="s">
        <v>909</v>
      </c>
      <c r="C331" t="s">
        <v>910</v>
      </c>
      <c r="D331" t="s">
        <v>910</v>
      </c>
      <c r="E331" t="s">
        <v>908</v>
      </c>
      <c r="F331" t="str">
        <f>_xlfn.XLOOKUP(frasest[[#This Row],[autor_es]],autorest[autor_es],autorest[autor_la])</f>
        <v>Cyprianus Carthaginensis</v>
      </c>
      <c r="G331" t="str">
        <f>_xlfn.XLOOKUP(frasest[[#This Row],[autor_es]],autorest[autor_es],autorest[bio_es])</f>
        <v>Obispo de Cartago, Padre de la Iglesia y mártir. Teólogo de la unidad eclesiástica, autor de "Sobre la unidad de la Iglesia". Martirizado durante la persecución de Valeriano.</v>
      </c>
      <c r="H331" t="str">
        <f>_xlfn.XLOOKUP(frasest[[#This Row],[autor_es]],autorest[autor_es],autorest[bio_la])</f>
        <v>Episcopus Carthaginensis, Pater Ecclesiae et martyr. Theologus unitatis ecclesiasticae, auctor "De unitate Ecclesiae". In persecutione Valeriani martyrizatus.</v>
      </c>
      <c r="I331" t="str">
        <f>_xlfn.XLOOKUP(frasest[[#This Row],[autor_es]],autorest[autor_es],autorest[codigo])</f>
        <v>la</v>
      </c>
      <c r="J331" t="str">
        <f>_xlfn.XLOOKUP(frasest[[#This Row],[autor_es]],autorest[autor_es],autorest[idioma_es])</f>
        <v>Latín</v>
      </c>
      <c r="K331" t="str">
        <f>_xlfn.XLOOKUP(frasest[[#This Row],[autor_es]],autorest[autor_es],autorest[idioma_la])</f>
        <v>Lingua Latina</v>
      </c>
      <c r="L331" t="str">
        <f>_xlfn.XLOOKUP(frasest[[#This Row],[autor_es]],autorest[autor_es],autorest[nacion_es])</f>
        <v>Roma</v>
      </c>
      <c r="M331" t="str">
        <f>_xlfn.XLOOKUP(frasest[[#This Row],[autor_es]],autorest[autor_es],autorest[nacion_la])</f>
        <v>Roma</v>
      </c>
      <c r="N331" t="str">
        <f>_xlfn.XLOOKUP(frasest[[#This Row],[autor_es]],autorest[autor_es],autorest[epoca_es])</f>
        <v>Edad Antigua</v>
      </c>
      <c r="O331" t="str">
        <f>_xlfn.XLOOKUP(frasest[[#This Row],[autor_es]],autorest[autor_es],autorest[epoca_la])</f>
        <v>Antiquitas</v>
      </c>
    </row>
    <row r="332" spans="1:15">
      <c r="A332">
        <v>331</v>
      </c>
      <c r="B332" t="s">
        <v>911</v>
      </c>
      <c r="C332" t="s">
        <v>912</v>
      </c>
      <c r="D332" t="s">
        <v>912</v>
      </c>
      <c r="E332" t="s">
        <v>908</v>
      </c>
      <c r="F332" t="str">
        <f>_xlfn.XLOOKUP(frasest[[#This Row],[autor_es]],autorest[autor_es],autorest[autor_la])</f>
        <v>Cyprianus Carthaginensis</v>
      </c>
      <c r="G332" t="str">
        <f>_xlfn.XLOOKUP(frasest[[#This Row],[autor_es]],autorest[autor_es],autorest[bio_es])</f>
        <v>Obispo de Cartago, Padre de la Iglesia y mártir. Teólogo de la unidad eclesiástica, autor de "Sobre la unidad de la Iglesia". Martirizado durante la persecución de Valeriano.</v>
      </c>
      <c r="H332" t="str">
        <f>_xlfn.XLOOKUP(frasest[[#This Row],[autor_es]],autorest[autor_es],autorest[bio_la])</f>
        <v>Episcopus Carthaginensis, Pater Ecclesiae et martyr. Theologus unitatis ecclesiasticae, auctor "De unitate Ecclesiae". In persecutione Valeriani martyrizatus.</v>
      </c>
      <c r="I332" t="str">
        <f>_xlfn.XLOOKUP(frasest[[#This Row],[autor_es]],autorest[autor_es],autorest[codigo])</f>
        <v>la</v>
      </c>
      <c r="J332" t="str">
        <f>_xlfn.XLOOKUP(frasest[[#This Row],[autor_es]],autorest[autor_es],autorest[idioma_es])</f>
        <v>Latín</v>
      </c>
      <c r="K332" t="str">
        <f>_xlfn.XLOOKUP(frasest[[#This Row],[autor_es]],autorest[autor_es],autorest[idioma_la])</f>
        <v>Lingua Latina</v>
      </c>
      <c r="L332" t="str">
        <f>_xlfn.XLOOKUP(frasest[[#This Row],[autor_es]],autorest[autor_es],autorest[nacion_es])</f>
        <v>Roma</v>
      </c>
      <c r="M332" t="str">
        <f>_xlfn.XLOOKUP(frasest[[#This Row],[autor_es]],autorest[autor_es],autorest[nacion_la])</f>
        <v>Roma</v>
      </c>
      <c r="N332" t="str">
        <f>_xlfn.XLOOKUP(frasest[[#This Row],[autor_es]],autorest[autor_es],autorest[epoca_es])</f>
        <v>Edad Antigua</v>
      </c>
      <c r="O332" t="str">
        <f>_xlfn.XLOOKUP(frasest[[#This Row],[autor_es]],autorest[autor_es],autorest[epoca_la])</f>
        <v>Antiquitas</v>
      </c>
    </row>
    <row r="333" spans="1:15">
      <c r="A333">
        <v>332</v>
      </c>
      <c r="B333" t="s">
        <v>913</v>
      </c>
      <c r="C333" t="s">
        <v>914</v>
      </c>
      <c r="D333" t="s">
        <v>914</v>
      </c>
      <c r="E333" t="s">
        <v>908</v>
      </c>
      <c r="F333" t="str">
        <f>_xlfn.XLOOKUP(frasest[[#This Row],[autor_es]],autorest[autor_es],autorest[autor_la])</f>
        <v>Cyprianus Carthaginensis</v>
      </c>
      <c r="G333" t="str">
        <f>_xlfn.XLOOKUP(frasest[[#This Row],[autor_es]],autorest[autor_es],autorest[bio_es])</f>
        <v>Obispo de Cartago, Padre de la Iglesia y mártir. Teólogo de la unidad eclesiástica, autor de "Sobre la unidad de la Iglesia". Martirizado durante la persecución de Valeriano.</v>
      </c>
      <c r="H333" t="str">
        <f>_xlfn.XLOOKUP(frasest[[#This Row],[autor_es]],autorest[autor_es],autorest[bio_la])</f>
        <v>Episcopus Carthaginensis, Pater Ecclesiae et martyr. Theologus unitatis ecclesiasticae, auctor "De unitate Ecclesiae". In persecutione Valeriani martyrizatus.</v>
      </c>
      <c r="I333" t="str">
        <f>_xlfn.XLOOKUP(frasest[[#This Row],[autor_es]],autorest[autor_es],autorest[codigo])</f>
        <v>la</v>
      </c>
      <c r="J333" t="str">
        <f>_xlfn.XLOOKUP(frasest[[#This Row],[autor_es]],autorest[autor_es],autorest[idioma_es])</f>
        <v>Latín</v>
      </c>
      <c r="K333" t="str">
        <f>_xlfn.XLOOKUP(frasest[[#This Row],[autor_es]],autorest[autor_es],autorest[idioma_la])</f>
        <v>Lingua Latina</v>
      </c>
      <c r="L333" t="str">
        <f>_xlfn.XLOOKUP(frasest[[#This Row],[autor_es]],autorest[autor_es],autorest[nacion_es])</f>
        <v>Roma</v>
      </c>
      <c r="M333" t="str">
        <f>_xlfn.XLOOKUP(frasest[[#This Row],[autor_es]],autorest[autor_es],autorest[nacion_la])</f>
        <v>Roma</v>
      </c>
      <c r="N333" t="str">
        <f>_xlfn.XLOOKUP(frasest[[#This Row],[autor_es]],autorest[autor_es],autorest[epoca_es])</f>
        <v>Edad Antigua</v>
      </c>
      <c r="O333" t="str">
        <f>_xlfn.XLOOKUP(frasest[[#This Row],[autor_es]],autorest[autor_es],autorest[epoca_la])</f>
        <v>Antiquitas</v>
      </c>
    </row>
    <row r="334" spans="1:15">
      <c r="A334">
        <v>333</v>
      </c>
      <c r="B334" t="s">
        <v>915</v>
      </c>
      <c r="C334" t="s">
        <v>916</v>
      </c>
      <c r="D334" t="s">
        <v>916</v>
      </c>
      <c r="E334" t="s">
        <v>908</v>
      </c>
      <c r="F334" t="str">
        <f>_xlfn.XLOOKUP(frasest[[#This Row],[autor_es]],autorest[autor_es],autorest[autor_la])</f>
        <v>Cyprianus Carthaginensis</v>
      </c>
      <c r="G334" t="str">
        <f>_xlfn.XLOOKUP(frasest[[#This Row],[autor_es]],autorest[autor_es],autorest[bio_es])</f>
        <v>Obispo de Cartago, Padre de la Iglesia y mártir. Teólogo de la unidad eclesiástica, autor de "Sobre la unidad de la Iglesia". Martirizado durante la persecución de Valeriano.</v>
      </c>
      <c r="H334" t="str">
        <f>_xlfn.XLOOKUP(frasest[[#This Row],[autor_es]],autorest[autor_es],autorest[bio_la])</f>
        <v>Episcopus Carthaginensis, Pater Ecclesiae et martyr. Theologus unitatis ecclesiasticae, auctor "De unitate Ecclesiae". In persecutione Valeriani martyrizatus.</v>
      </c>
      <c r="I334" t="str">
        <f>_xlfn.XLOOKUP(frasest[[#This Row],[autor_es]],autorest[autor_es],autorest[codigo])</f>
        <v>la</v>
      </c>
      <c r="J334" t="str">
        <f>_xlfn.XLOOKUP(frasest[[#This Row],[autor_es]],autorest[autor_es],autorest[idioma_es])</f>
        <v>Latín</v>
      </c>
      <c r="K334" t="str">
        <f>_xlfn.XLOOKUP(frasest[[#This Row],[autor_es]],autorest[autor_es],autorest[idioma_la])</f>
        <v>Lingua Latina</v>
      </c>
      <c r="L334" t="str">
        <f>_xlfn.XLOOKUP(frasest[[#This Row],[autor_es]],autorest[autor_es],autorest[nacion_es])</f>
        <v>Roma</v>
      </c>
      <c r="M334" t="str">
        <f>_xlfn.XLOOKUP(frasest[[#This Row],[autor_es]],autorest[autor_es],autorest[nacion_la])</f>
        <v>Roma</v>
      </c>
      <c r="N334" t="str">
        <f>_xlfn.XLOOKUP(frasest[[#This Row],[autor_es]],autorest[autor_es],autorest[epoca_es])</f>
        <v>Edad Antigua</v>
      </c>
      <c r="O334" t="str">
        <f>_xlfn.XLOOKUP(frasest[[#This Row],[autor_es]],autorest[autor_es],autorest[epoca_la])</f>
        <v>Antiquitas</v>
      </c>
    </row>
    <row r="335" spans="1:15">
      <c r="A335">
        <v>334</v>
      </c>
      <c r="B335" t="s">
        <v>917</v>
      </c>
      <c r="C335" t="s">
        <v>918</v>
      </c>
      <c r="D335" t="s">
        <v>918</v>
      </c>
      <c r="E335" t="s">
        <v>908</v>
      </c>
      <c r="F335" t="str">
        <f>_xlfn.XLOOKUP(frasest[[#This Row],[autor_es]],autorest[autor_es],autorest[autor_la])</f>
        <v>Cyprianus Carthaginensis</v>
      </c>
      <c r="G335" t="str">
        <f>_xlfn.XLOOKUP(frasest[[#This Row],[autor_es]],autorest[autor_es],autorest[bio_es])</f>
        <v>Obispo de Cartago, Padre de la Iglesia y mártir. Teólogo de la unidad eclesiástica, autor de "Sobre la unidad de la Iglesia". Martirizado durante la persecución de Valeriano.</v>
      </c>
      <c r="H335" t="str">
        <f>_xlfn.XLOOKUP(frasest[[#This Row],[autor_es]],autorest[autor_es],autorest[bio_la])</f>
        <v>Episcopus Carthaginensis, Pater Ecclesiae et martyr. Theologus unitatis ecclesiasticae, auctor "De unitate Ecclesiae". In persecutione Valeriani martyrizatus.</v>
      </c>
      <c r="I335" t="str">
        <f>_xlfn.XLOOKUP(frasest[[#This Row],[autor_es]],autorest[autor_es],autorest[codigo])</f>
        <v>la</v>
      </c>
      <c r="J335" t="str">
        <f>_xlfn.XLOOKUP(frasest[[#This Row],[autor_es]],autorest[autor_es],autorest[idioma_es])</f>
        <v>Latín</v>
      </c>
      <c r="K335" t="str">
        <f>_xlfn.XLOOKUP(frasest[[#This Row],[autor_es]],autorest[autor_es],autorest[idioma_la])</f>
        <v>Lingua Latina</v>
      </c>
      <c r="L335" t="str">
        <f>_xlfn.XLOOKUP(frasest[[#This Row],[autor_es]],autorest[autor_es],autorest[nacion_es])</f>
        <v>Roma</v>
      </c>
      <c r="M335" t="str">
        <f>_xlfn.XLOOKUP(frasest[[#This Row],[autor_es]],autorest[autor_es],autorest[nacion_la])</f>
        <v>Roma</v>
      </c>
      <c r="N335" t="str">
        <f>_xlfn.XLOOKUP(frasest[[#This Row],[autor_es]],autorest[autor_es],autorest[epoca_es])</f>
        <v>Edad Antigua</v>
      </c>
      <c r="O335" t="str">
        <f>_xlfn.XLOOKUP(frasest[[#This Row],[autor_es]],autorest[autor_es],autorest[epoca_la])</f>
        <v>Antiquitas</v>
      </c>
    </row>
    <row r="336" spans="1:15">
      <c r="A336">
        <v>335</v>
      </c>
      <c r="B336" t="s">
        <v>919</v>
      </c>
      <c r="C336" t="s">
        <v>920</v>
      </c>
      <c r="D336" t="s">
        <v>920</v>
      </c>
      <c r="E336" t="s">
        <v>908</v>
      </c>
      <c r="F336" t="str">
        <f>_xlfn.XLOOKUP(frasest[[#This Row],[autor_es]],autorest[autor_es],autorest[autor_la])</f>
        <v>Cyprianus Carthaginensis</v>
      </c>
      <c r="G336" t="str">
        <f>_xlfn.XLOOKUP(frasest[[#This Row],[autor_es]],autorest[autor_es],autorest[bio_es])</f>
        <v>Obispo de Cartago, Padre de la Iglesia y mártir. Teólogo de la unidad eclesiástica, autor de "Sobre la unidad de la Iglesia". Martirizado durante la persecución de Valeriano.</v>
      </c>
      <c r="H336" t="str">
        <f>_xlfn.XLOOKUP(frasest[[#This Row],[autor_es]],autorest[autor_es],autorest[bio_la])</f>
        <v>Episcopus Carthaginensis, Pater Ecclesiae et martyr. Theologus unitatis ecclesiasticae, auctor "De unitate Ecclesiae". In persecutione Valeriani martyrizatus.</v>
      </c>
      <c r="I336" t="str">
        <f>_xlfn.XLOOKUP(frasest[[#This Row],[autor_es]],autorest[autor_es],autorest[codigo])</f>
        <v>la</v>
      </c>
      <c r="J336" t="str">
        <f>_xlfn.XLOOKUP(frasest[[#This Row],[autor_es]],autorest[autor_es],autorest[idioma_es])</f>
        <v>Latín</v>
      </c>
      <c r="K336" t="str">
        <f>_xlfn.XLOOKUP(frasest[[#This Row],[autor_es]],autorest[autor_es],autorest[idioma_la])</f>
        <v>Lingua Latina</v>
      </c>
      <c r="L336" t="str">
        <f>_xlfn.XLOOKUP(frasest[[#This Row],[autor_es]],autorest[autor_es],autorest[nacion_es])</f>
        <v>Roma</v>
      </c>
      <c r="M336" t="str">
        <f>_xlfn.XLOOKUP(frasest[[#This Row],[autor_es]],autorest[autor_es],autorest[nacion_la])</f>
        <v>Roma</v>
      </c>
      <c r="N336" t="str">
        <f>_xlfn.XLOOKUP(frasest[[#This Row],[autor_es]],autorest[autor_es],autorest[epoca_es])</f>
        <v>Edad Antigua</v>
      </c>
      <c r="O336" t="str">
        <f>_xlfn.XLOOKUP(frasest[[#This Row],[autor_es]],autorest[autor_es],autorest[epoca_la])</f>
        <v>Antiquitas</v>
      </c>
    </row>
    <row r="337" spans="1:15">
      <c r="A337">
        <v>336</v>
      </c>
      <c r="B337" t="s">
        <v>921</v>
      </c>
      <c r="C337" t="s">
        <v>922</v>
      </c>
      <c r="D337" t="s">
        <v>922</v>
      </c>
      <c r="E337" t="s">
        <v>908</v>
      </c>
      <c r="F337" t="str">
        <f>_xlfn.XLOOKUP(frasest[[#This Row],[autor_es]],autorest[autor_es],autorest[autor_la])</f>
        <v>Cyprianus Carthaginensis</v>
      </c>
      <c r="G337" t="str">
        <f>_xlfn.XLOOKUP(frasest[[#This Row],[autor_es]],autorest[autor_es],autorest[bio_es])</f>
        <v>Obispo de Cartago, Padre de la Iglesia y mártir. Teólogo de la unidad eclesiástica, autor de "Sobre la unidad de la Iglesia". Martirizado durante la persecución de Valeriano.</v>
      </c>
      <c r="H337" t="str">
        <f>_xlfn.XLOOKUP(frasest[[#This Row],[autor_es]],autorest[autor_es],autorest[bio_la])</f>
        <v>Episcopus Carthaginensis, Pater Ecclesiae et martyr. Theologus unitatis ecclesiasticae, auctor "De unitate Ecclesiae". In persecutione Valeriani martyrizatus.</v>
      </c>
      <c r="I337" t="str">
        <f>_xlfn.XLOOKUP(frasest[[#This Row],[autor_es]],autorest[autor_es],autorest[codigo])</f>
        <v>la</v>
      </c>
      <c r="J337" t="str">
        <f>_xlfn.XLOOKUP(frasest[[#This Row],[autor_es]],autorest[autor_es],autorest[idioma_es])</f>
        <v>Latín</v>
      </c>
      <c r="K337" t="str">
        <f>_xlfn.XLOOKUP(frasest[[#This Row],[autor_es]],autorest[autor_es],autorest[idioma_la])</f>
        <v>Lingua Latina</v>
      </c>
      <c r="L337" t="str">
        <f>_xlfn.XLOOKUP(frasest[[#This Row],[autor_es]],autorest[autor_es],autorest[nacion_es])</f>
        <v>Roma</v>
      </c>
      <c r="M337" t="str">
        <f>_xlfn.XLOOKUP(frasest[[#This Row],[autor_es]],autorest[autor_es],autorest[nacion_la])</f>
        <v>Roma</v>
      </c>
      <c r="N337" t="str">
        <f>_xlfn.XLOOKUP(frasest[[#This Row],[autor_es]],autorest[autor_es],autorest[epoca_es])</f>
        <v>Edad Antigua</v>
      </c>
      <c r="O337" t="str">
        <f>_xlfn.XLOOKUP(frasest[[#This Row],[autor_es]],autorest[autor_es],autorest[epoca_la])</f>
        <v>Antiquitas</v>
      </c>
    </row>
    <row r="338" spans="1:15">
      <c r="A338">
        <v>337</v>
      </c>
      <c r="B338" t="s">
        <v>923</v>
      </c>
      <c r="C338" t="s">
        <v>924</v>
      </c>
      <c r="D338" t="s">
        <v>924</v>
      </c>
      <c r="E338" t="s">
        <v>908</v>
      </c>
      <c r="F338" t="str">
        <f>_xlfn.XLOOKUP(frasest[[#This Row],[autor_es]],autorest[autor_es],autorest[autor_la])</f>
        <v>Cyprianus Carthaginensis</v>
      </c>
      <c r="G338" t="str">
        <f>_xlfn.XLOOKUP(frasest[[#This Row],[autor_es]],autorest[autor_es],autorest[bio_es])</f>
        <v>Obispo de Cartago, Padre de la Iglesia y mártir. Teólogo de la unidad eclesiástica, autor de "Sobre la unidad de la Iglesia". Martirizado durante la persecución de Valeriano.</v>
      </c>
      <c r="H338" t="str">
        <f>_xlfn.XLOOKUP(frasest[[#This Row],[autor_es]],autorest[autor_es],autorest[bio_la])</f>
        <v>Episcopus Carthaginensis, Pater Ecclesiae et martyr. Theologus unitatis ecclesiasticae, auctor "De unitate Ecclesiae". In persecutione Valeriani martyrizatus.</v>
      </c>
      <c r="I338" t="str">
        <f>_xlfn.XLOOKUP(frasest[[#This Row],[autor_es]],autorest[autor_es],autorest[codigo])</f>
        <v>la</v>
      </c>
      <c r="J338" t="str">
        <f>_xlfn.XLOOKUP(frasest[[#This Row],[autor_es]],autorest[autor_es],autorest[idioma_es])</f>
        <v>Latín</v>
      </c>
      <c r="K338" t="str">
        <f>_xlfn.XLOOKUP(frasest[[#This Row],[autor_es]],autorest[autor_es],autorest[idioma_la])</f>
        <v>Lingua Latina</v>
      </c>
      <c r="L338" t="str">
        <f>_xlfn.XLOOKUP(frasest[[#This Row],[autor_es]],autorest[autor_es],autorest[nacion_es])</f>
        <v>Roma</v>
      </c>
      <c r="M338" t="str">
        <f>_xlfn.XLOOKUP(frasest[[#This Row],[autor_es]],autorest[autor_es],autorest[nacion_la])</f>
        <v>Roma</v>
      </c>
      <c r="N338" t="str">
        <f>_xlfn.XLOOKUP(frasest[[#This Row],[autor_es]],autorest[autor_es],autorest[epoca_es])</f>
        <v>Edad Antigua</v>
      </c>
      <c r="O338" t="str">
        <f>_xlfn.XLOOKUP(frasest[[#This Row],[autor_es]],autorest[autor_es],autorest[epoca_la])</f>
        <v>Antiquitas</v>
      </c>
    </row>
    <row r="339" spans="1:15">
      <c r="A339">
        <v>338</v>
      </c>
      <c r="B339" t="s">
        <v>925</v>
      </c>
      <c r="C339" t="s">
        <v>926</v>
      </c>
      <c r="D339" t="s">
        <v>926</v>
      </c>
      <c r="E339" t="s">
        <v>908</v>
      </c>
      <c r="F339" t="str">
        <f>_xlfn.XLOOKUP(frasest[[#This Row],[autor_es]],autorest[autor_es],autorest[autor_la])</f>
        <v>Cyprianus Carthaginensis</v>
      </c>
      <c r="G339" t="str">
        <f>_xlfn.XLOOKUP(frasest[[#This Row],[autor_es]],autorest[autor_es],autorest[bio_es])</f>
        <v>Obispo de Cartago, Padre de la Iglesia y mártir. Teólogo de la unidad eclesiástica, autor de "Sobre la unidad de la Iglesia". Martirizado durante la persecución de Valeriano.</v>
      </c>
      <c r="H339" t="str">
        <f>_xlfn.XLOOKUP(frasest[[#This Row],[autor_es]],autorest[autor_es],autorest[bio_la])</f>
        <v>Episcopus Carthaginensis, Pater Ecclesiae et martyr. Theologus unitatis ecclesiasticae, auctor "De unitate Ecclesiae". In persecutione Valeriani martyrizatus.</v>
      </c>
      <c r="I339" t="str">
        <f>_xlfn.XLOOKUP(frasest[[#This Row],[autor_es]],autorest[autor_es],autorest[codigo])</f>
        <v>la</v>
      </c>
      <c r="J339" t="str">
        <f>_xlfn.XLOOKUP(frasest[[#This Row],[autor_es]],autorest[autor_es],autorest[idioma_es])</f>
        <v>Latín</v>
      </c>
      <c r="K339" t="str">
        <f>_xlfn.XLOOKUP(frasest[[#This Row],[autor_es]],autorest[autor_es],autorest[idioma_la])</f>
        <v>Lingua Latina</v>
      </c>
      <c r="L339" t="str">
        <f>_xlfn.XLOOKUP(frasest[[#This Row],[autor_es]],autorest[autor_es],autorest[nacion_es])</f>
        <v>Roma</v>
      </c>
      <c r="M339" t="str">
        <f>_xlfn.XLOOKUP(frasest[[#This Row],[autor_es]],autorest[autor_es],autorest[nacion_la])</f>
        <v>Roma</v>
      </c>
      <c r="N339" t="str">
        <f>_xlfn.XLOOKUP(frasest[[#This Row],[autor_es]],autorest[autor_es],autorest[epoca_es])</f>
        <v>Edad Antigua</v>
      </c>
      <c r="O339" t="str">
        <f>_xlfn.XLOOKUP(frasest[[#This Row],[autor_es]],autorest[autor_es],autorest[epoca_la])</f>
        <v>Antiquitas</v>
      </c>
    </row>
    <row r="340" spans="1:15">
      <c r="A340">
        <v>339</v>
      </c>
      <c r="B340" t="s">
        <v>927</v>
      </c>
      <c r="C340" t="s">
        <v>928</v>
      </c>
      <c r="D340" t="s">
        <v>928</v>
      </c>
      <c r="E340" t="s">
        <v>929</v>
      </c>
      <c r="F340" t="str">
        <f>_xlfn.XLOOKUP(frasest[[#This Row],[autor_es]],autorest[autor_es],autorest[autor_la])</f>
        <v>Anselmus Cantuariensis</v>
      </c>
      <c r="G340" t="str">
        <f>_xlfn.XLOOKUP(frasest[[#This Row],[autor_es]],autorest[autor_es],autorest[bio_es])</f>
        <v>Arzobispo de Canterbury, Doctor de la Iglesia y filósofo. Autor del argumento ontológico de la existencia de Dios. Padre de la escolástica.</v>
      </c>
      <c r="H340" t="str">
        <f>_xlfn.XLOOKUP(frasest[[#This Row],[autor_es]],autorest[autor_es],autorest[bio_la])</f>
        <v>Archiepiscopus Cantuariensis, Doctor Ecclesiae et philosophus. Auctor argumenti ontologici existentiae Dei. Pater scholasticae.</v>
      </c>
      <c r="I340" t="str">
        <f>_xlfn.XLOOKUP(frasest[[#This Row],[autor_es]],autorest[autor_es],autorest[codigo])</f>
        <v>la</v>
      </c>
      <c r="J340" t="str">
        <f>_xlfn.XLOOKUP(frasest[[#This Row],[autor_es]],autorest[autor_es],autorest[idioma_es])</f>
        <v>Latín</v>
      </c>
      <c r="K340" t="str">
        <f>_xlfn.XLOOKUP(frasest[[#This Row],[autor_es]],autorest[autor_es],autorest[idioma_la])</f>
        <v>Lingua Latina</v>
      </c>
      <c r="L340" t="str">
        <f>_xlfn.XLOOKUP(frasest[[#This Row],[autor_es]],autorest[autor_es],autorest[nacion_es])</f>
        <v>Italia</v>
      </c>
      <c r="M340" t="str">
        <f>_xlfn.XLOOKUP(frasest[[#This Row],[autor_es]],autorest[autor_es],autorest[nacion_la])</f>
        <v>Italia</v>
      </c>
      <c r="N340" t="str">
        <f>_xlfn.XLOOKUP(frasest[[#This Row],[autor_es]],autorest[autor_es],autorest[epoca_es])</f>
        <v>Edad Media</v>
      </c>
      <c r="O340" t="str">
        <f>_xlfn.XLOOKUP(frasest[[#This Row],[autor_es]],autorest[autor_es],autorest[epoca_la])</f>
        <v>Medium Aevum</v>
      </c>
    </row>
    <row r="341" spans="1:15">
      <c r="A341">
        <v>340</v>
      </c>
      <c r="B341" t="s">
        <v>930</v>
      </c>
      <c r="C341" t="s">
        <v>931</v>
      </c>
      <c r="D341" t="s">
        <v>931</v>
      </c>
      <c r="E341" t="s">
        <v>929</v>
      </c>
      <c r="F341" t="str">
        <f>_xlfn.XLOOKUP(frasest[[#This Row],[autor_es]],autorest[autor_es],autorest[autor_la])</f>
        <v>Anselmus Cantuariensis</v>
      </c>
      <c r="G341" t="str">
        <f>_xlfn.XLOOKUP(frasest[[#This Row],[autor_es]],autorest[autor_es],autorest[bio_es])</f>
        <v>Arzobispo de Canterbury, Doctor de la Iglesia y filósofo. Autor del argumento ontológico de la existencia de Dios. Padre de la escolástica.</v>
      </c>
      <c r="H341" t="str">
        <f>_xlfn.XLOOKUP(frasest[[#This Row],[autor_es]],autorest[autor_es],autorest[bio_la])</f>
        <v>Archiepiscopus Cantuariensis, Doctor Ecclesiae et philosophus. Auctor argumenti ontologici existentiae Dei. Pater scholasticae.</v>
      </c>
      <c r="I341" t="str">
        <f>_xlfn.XLOOKUP(frasest[[#This Row],[autor_es]],autorest[autor_es],autorest[codigo])</f>
        <v>la</v>
      </c>
      <c r="J341" t="str">
        <f>_xlfn.XLOOKUP(frasest[[#This Row],[autor_es]],autorest[autor_es],autorest[idioma_es])</f>
        <v>Latín</v>
      </c>
      <c r="K341" t="str">
        <f>_xlfn.XLOOKUP(frasest[[#This Row],[autor_es]],autorest[autor_es],autorest[idioma_la])</f>
        <v>Lingua Latina</v>
      </c>
      <c r="L341" t="str">
        <f>_xlfn.XLOOKUP(frasest[[#This Row],[autor_es]],autorest[autor_es],autorest[nacion_es])</f>
        <v>Italia</v>
      </c>
      <c r="M341" t="str">
        <f>_xlfn.XLOOKUP(frasest[[#This Row],[autor_es]],autorest[autor_es],autorest[nacion_la])</f>
        <v>Italia</v>
      </c>
      <c r="N341" t="str">
        <f>_xlfn.XLOOKUP(frasest[[#This Row],[autor_es]],autorest[autor_es],autorest[epoca_es])</f>
        <v>Edad Media</v>
      </c>
      <c r="O341" t="str">
        <f>_xlfn.XLOOKUP(frasest[[#This Row],[autor_es]],autorest[autor_es],autorest[epoca_la])</f>
        <v>Medium Aevum</v>
      </c>
    </row>
    <row r="342" spans="1:15">
      <c r="A342">
        <v>341</v>
      </c>
      <c r="B342" t="s">
        <v>932</v>
      </c>
      <c r="C342" t="s">
        <v>933</v>
      </c>
      <c r="D342" t="s">
        <v>933</v>
      </c>
      <c r="E342" t="s">
        <v>929</v>
      </c>
      <c r="F342" t="str">
        <f>_xlfn.XLOOKUP(frasest[[#This Row],[autor_es]],autorest[autor_es],autorest[autor_la])</f>
        <v>Anselmus Cantuariensis</v>
      </c>
      <c r="G342" t="str">
        <f>_xlfn.XLOOKUP(frasest[[#This Row],[autor_es]],autorest[autor_es],autorest[bio_es])</f>
        <v>Arzobispo de Canterbury, Doctor de la Iglesia y filósofo. Autor del argumento ontológico de la existencia de Dios. Padre de la escolástica.</v>
      </c>
      <c r="H342" t="str">
        <f>_xlfn.XLOOKUP(frasest[[#This Row],[autor_es]],autorest[autor_es],autorest[bio_la])</f>
        <v>Archiepiscopus Cantuariensis, Doctor Ecclesiae et philosophus. Auctor argumenti ontologici existentiae Dei. Pater scholasticae.</v>
      </c>
      <c r="I342" t="str">
        <f>_xlfn.XLOOKUP(frasest[[#This Row],[autor_es]],autorest[autor_es],autorest[codigo])</f>
        <v>la</v>
      </c>
      <c r="J342" t="str">
        <f>_xlfn.XLOOKUP(frasest[[#This Row],[autor_es]],autorest[autor_es],autorest[idioma_es])</f>
        <v>Latín</v>
      </c>
      <c r="K342" t="str">
        <f>_xlfn.XLOOKUP(frasest[[#This Row],[autor_es]],autorest[autor_es],autorest[idioma_la])</f>
        <v>Lingua Latina</v>
      </c>
      <c r="L342" t="str">
        <f>_xlfn.XLOOKUP(frasest[[#This Row],[autor_es]],autorest[autor_es],autorest[nacion_es])</f>
        <v>Italia</v>
      </c>
      <c r="M342" t="str">
        <f>_xlfn.XLOOKUP(frasest[[#This Row],[autor_es]],autorest[autor_es],autorest[nacion_la])</f>
        <v>Italia</v>
      </c>
      <c r="N342" t="str">
        <f>_xlfn.XLOOKUP(frasest[[#This Row],[autor_es]],autorest[autor_es],autorest[epoca_es])</f>
        <v>Edad Media</v>
      </c>
      <c r="O342" t="str">
        <f>_xlfn.XLOOKUP(frasest[[#This Row],[autor_es]],autorest[autor_es],autorest[epoca_la])</f>
        <v>Medium Aevum</v>
      </c>
    </row>
    <row r="343" spans="1:15">
      <c r="A343">
        <v>342</v>
      </c>
      <c r="B343" t="s">
        <v>934</v>
      </c>
      <c r="C343" t="s">
        <v>935</v>
      </c>
      <c r="D343" t="s">
        <v>935</v>
      </c>
      <c r="E343" t="s">
        <v>929</v>
      </c>
      <c r="F343" t="str">
        <f>_xlfn.XLOOKUP(frasest[[#This Row],[autor_es]],autorest[autor_es],autorest[autor_la])</f>
        <v>Anselmus Cantuariensis</v>
      </c>
      <c r="G343" t="str">
        <f>_xlfn.XLOOKUP(frasest[[#This Row],[autor_es]],autorest[autor_es],autorest[bio_es])</f>
        <v>Arzobispo de Canterbury, Doctor de la Iglesia y filósofo. Autor del argumento ontológico de la existencia de Dios. Padre de la escolástica.</v>
      </c>
      <c r="H343" t="str">
        <f>_xlfn.XLOOKUP(frasest[[#This Row],[autor_es]],autorest[autor_es],autorest[bio_la])</f>
        <v>Archiepiscopus Cantuariensis, Doctor Ecclesiae et philosophus. Auctor argumenti ontologici existentiae Dei. Pater scholasticae.</v>
      </c>
      <c r="I343" t="str">
        <f>_xlfn.XLOOKUP(frasest[[#This Row],[autor_es]],autorest[autor_es],autorest[codigo])</f>
        <v>la</v>
      </c>
      <c r="J343" t="str">
        <f>_xlfn.XLOOKUP(frasest[[#This Row],[autor_es]],autorest[autor_es],autorest[idioma_es])</f>
        <v>Latín</v>
      </c>
      <c r="K343" t="str">
        <f>_xlfn.XLOOKUP(frasest[[#This Row],[autor_es]],autorest[autor_es],autorest[idioma_la])</f>
        <v>Lingua Latina</v>
      </c>
      <c r="L343" t="str">
        <f>_xlfn.XLOOKUP(frasest[[#This Row],[autor_es]],autorest[autor_es],autorest[nacion_es])</f>
        <v>Italia</v>
      </c>
      <c r="M343" t="str">
        <f>_xlfn.XLOOKUP(frasest[[#This Row],[autor_es]],autorest[autor_es],autorest[nacion_la])</f>
        <v>Italia</v>
      </c>
      <c r="N343" t="str">
        <f>_xlfn.XLOOKUP(frasest[[#This Row],[autor_es]],autorest[autor_es],autorest[epoca_es])</f>
        <v>Edad Media</v>
      </c>
      <c r="O343" t="str">
        <f>_xlfn.XLOOKUP(frasest[[#This Row],[autor_es]],autorest[autor_es],autorest[epoca_la])</f>
        <v>Medium Aevum</v>
      </c>
    </row>
    <row r="344" spans="1:15">
      <c r="A344">
        <v>343</v>
      </c>
      <c r="B344" t="s">
        <v>936</v>
      </c>
      <c r="C344" t="s">
        <v>937</v>
      </c>
      <c r="D344" t="s">
        <v>937</v>
      </c>
      <c r="E344" t="s">
        <v>929</v>
      </c>
      <c r="F344" t="str">
        <f>_xlfn.XLOOKUP(frasest[[#This Row],[autor_es]],autorest[autor_es],autorest[autor_la])</f>
        <v>Anselmus Cantuariensis</v>
      </c>
      <c r="G344" t="str">
        <f>_xlfn.XLOOKUP(frasest[[#This Row],[autor_es]],autorest[autor_es],autorest[bio_es])</f>
        <v>Arzobispo de Canterbury, Doctor de la Iglesia y filósofo. Autor del argumento ontológico de la existencia de Dios. Padre de la escolástica.</v>
      </c>
      <c r="H344" t="str">
        <f>_xlfn.XLOOKUP(frasest[[#This Row],[autor_es]],autorest[autor_es],autorest[bio_la])</f>
        <v>Archiepiscopus Cantuariensis, Doctor Ecclesiae et philosophus. Auctor argumenti ontologici existentiae Dei. Pater scholasticae.</v>
      </c>
      <c r="I344" t="str">
        <f>_xlfn.XLOOKUP(frasest[[#This Row],[autor_es]],autorest[autor_es],autorest[codigo])</f>
        <v>la</v>
      </c>
      <c r="J344" t="str">
        <f>_xlfn.XLOOKUP(frasest[[#This Row],[autor_es]],autorest[autor_es],autorest[idioma_es])</f>
        <v>Latín</v>
      </c>
      <c r="K344" t="str">
        <f>_xlfn.XLOOKUP(frasest[[#This Row],[autor_es]],autorest[autor_es],autorest[idioma_la])</f>
        <v>Lingua Latina</v>
      </c>
      <c r="L344" t="str">
        <f>_xlfn.XLOOKUP(frasest[[#This Row],[autor_es]],autorest[autor_es],autorest[nacion_es])</f>
        <v>Italia</v>
      </c>
      <c r="M344" t="str">
        <f>_xlfn.XLOOKUP(frasest[[#This Row],[autor_es]],autorest[autor_es],autorest[nacion_la])</f>
        <v>Italia</v>
      </c>
      <c r="N344" t="str">
        <f>_xlfn.XLOOKUP(frasest[[#This Row],[autor_es]],autorest[autor_es],autorest[epoca_es])</f>
        <v>Edad Media</v>
      </c>
      <c r="O344" t="str">
        <f>_xlfn.XLOOKUP(frasest[[#This Row],[autor_es]],autorest[autor_es],autorest[epoca_la])</f>
        <v>Medium Aevum</v>
      </c>
    </row>
    <row r="345" spans="1:15">
      <c r="A345">
        <v>344</v>
      </c>
      <c r="B345" t="s">
        <v>938</v>
      </c>
      <c r="C345" t="s">
        <v>939</v>
      </c>
      <c r="D345" t="s">
        <v>939</v>
      </c>
      <c r="E345" t="s">
        <v>929</v>
      </c>
      <c r="F345" t="str">
        <f>_xlfn.XLOOKUP(frasest[[#This Row],[autor_es]],autorest[autor_es],autorest[autor_la])</f>
        <v>Anselmus Cantuariensis</v>
      </c>
      <c r="G345" t="str">
        <f>_xlfn.XLOOKUP(frasest[[#This Row],[autor_es]],autorest[autor_es],autorest[bio_es])</f>
        <v>Arzobispo de Canterbury, Doctor de la Iglesia y filósofo. Autor del argumento ontológico de la existencia de Dios. Padre de la escolástica.</v>
      </c>
      <c r="H345" t="str">
        <f>_xlfn.XLOOKUP(frasest[[#This Row],[autor_es]],autorest[autor_es],autorest[bio_la])</f>
        <v>Archiepiscopus Cantuariensis, Doctor Ecclesiae et philosophus. Auctor argumenti ontologici existentiae Dei. Pater scholasticae.</v>
      </c>
      <c r="I345" t="str">
        <f>_xlfn.XLOOKUP(frasest[[#This Row],[autor_es]],autorest[autor_es],autorest[codigo])</f>
        <v>la</v>
      </c>
      <c r="J345" t="str">
        <f>_xlfn.XLOOKUP(frasest[[#This Row],[autor_es]],autorest[autor_es],autorest[idioma_es])</f>
        <v>Latín</v>
      </c>
      <c r="K345" t="str">
        <f>_xlfn.XLOOKUP(frasest[[#This Row],[autor_es]],autorest[autor_es],autorest[idioma_la])</f>
        <v>Lingua Latina</v>
      </c>
      <c r="L345" t="str">
        <f>_xlfn.XLOOKUP(frasest[[#This Row],[autor_es]],autorest[autor_es],autorest[nacion_es])</f>
        <v>Italia</v>
      </c>
      <c r="M345" t="str">
        <f>_xlfn.XLOOKUP(frasest[[#This Row],[autor_es]],autorest[autor_es],autorest[nacion_la])</f>
        <v>Italia</v>
      </c>
      <c r="N345" t="str">
        <f>_xlfn.XLOOKUP(frasest[[#This Row],[autor_es]],autorest[autor_es],autorest[epoca_es])</f>
        <v>Edad Media</v>
      </c>
      <c r="O345" t="str">
        <f>_xlfn.XLOOKUP(frasest[[#This Row],[autor_es]],autorest[autor_es],autorest[epoca_la])</f>
        <v>Medium Aevum</v>
      </c>
    </row>
    <row r="346" spans="1:15">
      <c r="A346">
        <v>345</v>
      </c>
      <c r="B346" t="s">
        <v>940</v>
      </c>
      <c r="C346" t="s">
        <v>941</v>
      </c>
      <c r="D346" t="s">
        <v>941</v>
      </c>
      <c r="E346" t="s">
        <v>929</v>
      </c>
      <c r="F346" t="str">
        <f>_xlfn.XLOOKUP(frasest[[#This Row],[autor_es]],autorest[autor_es],autorest[autor_la])</f>
        <v>Anselmus Cantuariensis</v>
      </c>
      <c r="G346" t="str">
        <f>_xlfn.XLOOKUP(frasest[[#This Row],[autor_es]],autorest[autor_es],autorest[bio_es])</f>
        <v>Arzobispo de Canterbury, Doctor de la Iglesia y filósofo. Autor del argumento ontológico de la existencia de Dios. Padre de la escolástica.</v>
      </c>
      <c r="H346" t="str">
        <f>_xlfn.XLOOKUP(frasest[[#This Row],[autor_es]],autorest[autor_es],autorest[bio_la])</f>
        <v>Archiepiscopus Cantuariensis, Doctor Ecclesiae et philosophus. Auctor argumenti ontologici existentiae Dei. Pater scholasticae.</v>
      </c>
      <c r="I346" t="str">
        <f>_xlfn.XLOOKUP(frasest[[#This Row],[autor_es]],autorest[autor_es],autorest[codigo])</f>
        <v>la</v>
      </c>
      <c r="J346" t="str">
        <f>_xlfn.XLOOKUP(frasest[[#This Row],[autor_es]],autorest[autor_es],autorest[idioma_es])</f>
        <v>Latín</v>
      </c>
      <c r="K346" t="str">
        <f>_xlfn.XLOOKUP(frasest[[#This Row],[autor_es]],autorest[autor_es],autorest[idioma_la])</f>
        <v>Lingua Latina</v>
      </c>
      <c r="L346" t="str">
        <f>_xlfn.XLOOKUP(frasest[[#This Row],[autor_es]],autorest[autor_es],autorest[nacion_es])</f>
        <v>Italia</v>
      </c>
      <c r="M346" t="str">
        <f>_xlfn.XLOOKUP(frasest[[#This Row],[autor_es]],autorest[autor_es],autorest[nacion_la])</f>
        <v>Italia</v>
      </c>
      <c r="N346" t="str">
        <f>_xlfn.XLOOKUP(frasest[[#This Row],[autor_es]],autorest[autor_es],autorest[epoca_es])</f>
        <v>Edad Media</v>
      </c>
      <c r="O346" t="str">
        <f>_xlfn.XLOOKUP(frasest[[#This Row],[autor_es]],autorest[autor_es],autorest[epoca_la])</f>
        <v>Medium Aevum</v>
      </c>
    </row>
    <row r="347" spans="1:15">
      <c r="A347">
        <v>346</v>
      </c>
      <c r="B347" t="s">
        <v>942</v>
      </c>
      <c r="C347" t="s">
        <v>943</v>
      </c>
      <c r="D347" t="s">
        <v>943</v>
      </c>
      <c r="E347" t="s">
        <v>929</v>
      </c>
      <c r="F347" t="str">
        <f>_xlfn.XLOOKUP(frasest[[#This Row],[autor_es]],autorest[autor_es],autorest[autor_la])</f>
        <v>Anselmus Cantuariensis</v>
      </c>
      <c r="G347" t="str">
        <f>_xlfn.XLOOKUP(frasest[[#This Row],[autor_es]],autorest[autor_es],autorest[bio_es])</f>
        <v>Arzobispo de Canterbury, Doctor de la Iglesia y filósofo. Autor del argumento ontológico de la existencia de Dios. Padre de la escolástica.</v>
      </c>
      <c r="H347" t="str">
        <f>_xlfn.XLOOKUP(frasest[[#This Row],[autor_es]],autorest[autor_es],autorest[bio_la])</f>
        <v>Archiepiscopus Cantuariensis, Doctor Ecclesiae et philosophus. Auctor argumenti ontologici existentiae Dei. Pater scholasticae.</v>
      </c>
      <c r="I347" t="str">
        <f>_xlfn.XLOOKUP(frasest[[#This Row],[autor_es]],autorest[autor_es],autorest[codigo])</f>
        <v>la</v>
      </c>
      <c r="J347" t="str">
        <f>_xlfn.XLOOKUP(frasest[[#This Row],[autor_es]],autorest[autor_es],autorest[idioma_es])</f>
        <v>Latín</v>
      </c>
      <c r="K347" t="str">
        <f>_xlfn.XLOOKUP(frasest[[#This Row],[autor_es]],autorest[autor_es],autorest[idioma_la])</f>
        <v>Lingua Latina</v>
      </c>
      <c r="L347" t="str">
        <f>_xlfn.XLOOKUP(frasest[[#This Row],[autor_es]],autorest[autor_es],autorest[nacion_es])</f>
        <v>Italia</v>
      </c>
      <c r="M347" t="str">
        <f>_xlfn.XLOOKUP(frasest[[#This Row],[autor_es]],autorest[autor_es],autorest[nacion_la])</f>
        <v>Italia</v>
      </c>
      <c r="N347" t="str">
        <f>_xlfn.XLOOKUP(frasest[[#This Row],[autor_es]],autorest[autor_es],autorest[epoca_es])</f>
        <v>Edad Media</v>
      </c>
      <c r="O347" t="str">
        <f>_xlfn.XLOOKUP(frasest[[#This Row],[autor_es]],autorest[autor_es],autorest[epoca_la])</f>
        <v>Medium Aevum</v>
      </c>
    </row>
    <row r="348" spans="1:15">
      <c r="A348">
        <v>347</v>
      </c>
      <c r="B348" t="s">
        <v>944</v>
      </c>
      <c r="C348" t="s">
        <v>945</v>
      </c>
      <c r="D348" t="s">
        <v>945</v>
      </c>
      <c r="E348" t="s">
        <v>929</v>
      </c>
      <c r="F348" t="str">
        <f>_xlfn.XLOOKUP(frasest[[#This Row],[autor_es]],autorest[autor_es],autorest[autor_la])</f>
        <v>Anselmus Cantuariensis</v>
      </c>
      <c r="G348" t="str">
        <f>_xlfn.XLOOKUP(frasest[[#This Row],[autor_es]],autorest[autor_es],autorest[bio_es])</f>
        <v>Arzobispo de Canterbury, Doctor de la Iglesia y filósofo. Autor del argumento ontológico de la existencia de Dios. Padre de la escolástica.</v>
      </c>
      <c r="H348" t="str">
        <f>_xlfn.XLOOKUP(frasest[[#This Row],[autor_es]],autorest[autor_es],autorest[bio_la])</f>
        <v>Archiepiscopus Cantuariensis, Doctor Ecclesiae et philosophus. Auctor argumenti ontologici existentiae Dei. Pater scholasticae.</v>
      </c>
      <c r="I348" t="str">
        <f>_xlfn.XLOOKUP(frasest[[#This Row],[autor_es]],autorest[autor_es],autorest[codigo])</f>
        <v>la</v>
      </c>
      <c r="J348" t="str">
        <f>_xlfn.XLOOKUP(frasest[[#This Row],[autor_es]],autorest[autor_es],autorest[idioma_es])</f>
        <v>Latín</v>
      </c>
      <c r="K348" t="str">
        <f>_xlfn.XLOOKUP(frasest[[#This Row],[autor_es]],autorest[autor_es],autorest[idioma_la])</f>
        <v>Lingua Latina</v>
      </c>
      <c r="L348" t="str">
        <f>_xlfn.XLOOKUP(frasest[[#This Row],[autor_es]],autorest[autor_es],autorest[nacion_es])</f>
        <v>Italia</v>
      </c>
      <c r="M348" t="str">
        <f>_xlfn.XLOOKUP(frasest[[#This Row],[autor_es]],autorest[autor_es],autorest[nacion_la])</f>
        <v>Italia</v>
      </c>
      <c r="N348" t="str">
        <f>_xlfn.XLOOKUP(frasest[[#This Row],[autor_es]],autorest[autor_es],autorest[epoca_es])</f>
        <v>Edad Media</v>
      </c>
      <c r="O348" t="str">
        <f>_xlfn.XLOOKUP(frasest[[#This Row],[autor_es]],autorest[autor_es],autorest[epoca_la])</f>
        <v>Medium Aevum</v>
      </c>
    </row>
    <row r="349" spans="1:15">
      <c r="A349">
        <v>348</v>
      </c>
      <c r="B349" t="s">
        <v>946</v>
      </c>
      <c r="C349" t="s">
        <v>947</v>
      </c>
      <c r="D349" t="s">
        <v>947</v>
      </c>
      <c r="E349" t="s">
        <v>929</v>
      </c>
      <c r="F349" t="str">
        <f>_xlfn.XLOOKUP(frasest[[#This Row],[autor_es]],autorest[autor_es],autorest[autor_la])</f>
        <v>Anselmus Cantuariensis</v>
      </c>
      <c r="G349" t="str">
        <f>_xlfn.XLOOKUP(frasest[[#This Row],[autor_es]],autorest[autor_es],autorest[bio_es])</f>
        <v>Arzobispo de Canterbury, Doctor de la Iglesia y filósofo. Autor del argumento ontológico de la existencia de Dios. Padre de la escolástica.</v>
      </c>
      <c r="H349" t="str">
        <f>_xlfn.XLOOKUP(frasest[[#This Row],[autor_es]],autorest[autor_es],autorest[bio_la])</f>
        <v>Archiepiscopus Cantuariensis, Doctor Ecclesiae et philosophus. Auctor argumenti ontologici existentiae Dei. Pater scholasticae.</v>
      </c>
      <c r="I349" t="str">
        <f>_xlfn.XLOOKUP(frasest[[#This Row],[autor_es]],autorest[autor_es],autorest[codigo])</f>
        <v>la</v>
      </c>
      <c r="J349" t="str">
        <f>_xlfn.XLOOKUP(frasest[[#This Row],[autor_es]],autorest[autor_es],autorest[idioma_es])</f>
        <v>Latín</v>
      </c>
      <c r="K349" t="str">
        <f>_xlfn.XLOOKUP(frasest[[#This Row],[autor_es]],autorest[autor_es],autorest[idioma_la])</f>
        <v>Lingua Latina</v>
      </c>
      <c r="L349" t="str">
        <f>_xlfn.XLOOKUP(frasest[[#This Row],[autor_es]],autorest[autor_es],autorest[nacion_es])</f>
        <v>Italia</v>
      </c>
      <c r="M349" t="str">
        <f>_xlfn.XLOOKUP(frasest[[#This Row],[autor_es]],autorest[autor_es],autorest[nacion_la])</f>
        <v>Italia</v>
      </c>
      <c r="N349" t="str">
        <f>_xlfn.XLOOKUP(frasest[[#This Row],[autor_es]],autorest[autor_es],autorest[epoca_es])</f>
        <v>Edad Media</v>
      </c>
      <c r="O349" t="str">
        <f>_xlfn.XLOOKUP(frasest[[#This Row],[autor_es]],autorest[autor_es],autorest[epoca_la])</f>
        <v>Medium Aevum</v>
      </c>
    </row>
    <row r="350" spans="1:15">
      <c r="A350">
        <v>349</v>
      </c>
      <c r="B350" t="s">
        <v>948</v>
      </c>
      <c r="C350" t="s">
        <v>949</v>
      </c>
      <c r="D350" t="s">
        <v>949</v>
      </c>
      <c r="E350" t="s">
        <v>950</v>
      </c>
      <c r="F350" t="str">
        <f>_xlfn.XLOOKUP(frasest[[#This Row],[autor_es]],autorest[autor_es],autorest[autor_la])</f>
        <v>Gulielmus de Ockham</v>
      </c>
      <c r="G350" t="str">
        <f>_xlfn.XLOOKUP(frasest[[#This Row],[autor_es]],autorest[autor_es],autorest[bio_es])</f>
        <v>Filósofo y teólogo franciscano inglés. Padre del nominalismo, autor de la "navaja de Ockham" (principio de parsimonia). Defensor de la separación entre fe y razón.</v>
      </c>
      <c r="H350" t="str">
        <f>_xlfn.XLOOKUP(frasest[[#This Row],[autor_es]],autorest[autor_es],autorest[bio_la])</f>
        <v>Philosophus et theologus Franciscanus Anglicus. Pater nominalismi, auctor "novaculae Occami" (principium parsimoniae). Separationis inter fidem et rationem defensor.</v>
      </c>
      <c r="I350" t="str">
        <f>_xlfn.XLOOKUP(frasest[[#This Row],[autor_es]],autorest[autor_es],autorest[codigo])</f>
        <v>la</v>
      </c>
      <c r="J350" t="str">
        <f>_xlfn.XLOOKUP(frasest[[#This Row],[autor_es]],autorest[autor_es],autorest[idioma_es])</f>
        <v>Latín</v>
      </c>
      <c r="K350" t="str">
        <f>_xlfn.XLOOKUP(frasest[[#This Row],[autor_es]],autorest[autor_es],autorest[idioma_la])</f>
        <v>Lingua Latina</v>
      </c>
      <c r="L350" t="str">
        <f>_xlfn.XLOOKUP(frasest[[#This Row],[autor_es]],autorest[autor_es],autorest[nacion_es])</f>
        <v>Inglaterra</v>
      </c>
      <c r="M350" t="str">
        <f>_xlfn.XLOOKUP(frasest[[#This Row],[autor_es]],autorest[autor_es],autorest[nacion_la])</f>
        <v>Anglia</v>
      </c>
      <c r="N350" t="str">
        <f>_xlfn.XLOOKUP(frasest[[#This Row],[autor_es]],autorest[autor_es],autorest[epoca_es])</f>
        <v>Edad Media</v>
      </c>
      <c r="O350" t="str">
        <f>_xlfn.XLOOKUP(frasest[[#This Row],[autor_es]],autorest[autor_es],autorest[epoca_la])</f>
        <v>Medium Aevum</v>
      </c>
    </row>
    <row r="351" spans="1:15">
      <c r="A351">
        <v>350</v>
      </c>
      <c r="B351" t="s">
        <v>951</v>
      </c>
      <c r="C351" t="s">
        <v>952</v>
      </c>
      <c r="D351" t="s">
        <v>952</v>
      </c>
      <c r="E351" t="s">
        <v>950</v>
      </c>
      <c r="F351" t="str">
        <f>_xlfn.XLOOKUP(frasest[[#This Row],[autor_es]],autorest[autor_es],autorest[autor_la])</f>
        <v>Gulielmus de Ockham</v>
      </c>
      <c r="G351" t="str">
        <f>_xlfn.XLOOKUP(frasest[[#This Row],[autor_es]],autorest[autor_es],autorest[bio_es])</f>
        <v>Filósofo y teólogo franciscano inglés. Padre del nominalismo, autor de la "navaja de Ockham" (principio de parsimonia). Defensor de la separación entre fe y razón.</v>
      </c>
      <c r="H351" t="str">
        <f>_xlfn.XLOOKUP(frasest[[#This Row],[autor_es]],autorest[autor_es],autorest[bio_la])</f>
        <v>Philosophus et theologus Franciscanus Anglicus. Pater nominalismi, auctor "novaculae Occami" (principium parsimoniae). Separationis inter fidem et rationem defensor.</v>
      </c>
      <c r="I351" t="str">
        <f>_xlfn.XLOOKUP(frasest[[#This Row],[autor_es]],autorest[autor_es],autorest[codigo])</f>
        <v>la</v>
      </c>
      <c r="J351" t="str">
        <f>_xlfn.XLOOKUP(frasest[[#This Row],[autor_es]],autorest[autor_es],autorest[idioma_es])</f>
        <v>Latín</v>
      </c>
      <c r="K351" t="str">
        <f>_xlfn.XLOOKUP(frasest[[#This Row],[autor_es]],autorest[autor_es],autorest[idioma_la])</f>
        <v>Lingua Latina</v>
      </c>
      <c r="L351" t="str">
        <f>_xlfn.XLOOKUP(frasest[[#This Row],[autor_es]],autorest[autor_es],autorest[nacion_es])</f>
        <v>Inglaterra</v>
      </c>
      <c r="M351" t="str">
        <f>_xlfn.XLOOKUP(frasest[[#This Row],[autor_es]],autorest[autor_es],autorest[nacion_la])</f>
        <v>Anglia</v>
      </c>
      <c r="N351" t="str">
        <f>_xlfn.XLOOKUP(frasest[[#This Row],[autor_es]],autorest[autor_es],autorest[epoca_es])</f>
        <v>Edad Media</v>
      </c>
      <c r="O351" t="str">
        <f>_xlfn.XLOOKUP(frasest[[#This Row],[autor_es]],autorest[autor_es],autorest[epoca_la])</f>
        <v>Medium Aevum</v>
      </c>
    </row>
    <row r="352" spans="1:15">
      <c r="A352">
        <v>351</v>
      </c>
      <c r="B352" t="s">
        <v>953</v>
      </c>
      <c r="C352" t="s">
        <v>954</v>
      </c>
      <c r="D352" t="s">
        <v>954</v>
      </c>
      <c r="E352" t="s">
        <v>950</v>
      </c>
      <c r="F352" t="str">
        <f>_xlfn.XLOOKUP(frasest[[#This Row],[autor_es]],autorest[autor_es],autorest[autor_la])</f>
        <v>Gulielmus de Ockham</v>
      </c>
      <c r="G352" t="str">
        <f>_xlfn.XLOOKUP(frasest[[#This Row],[autor_es]],autorest[autor_es],autorest[bio_es])</f>
        <v>Filósofo y teólogo franciscano inglés. Padre del nominalismo, autor de la "navaja de Ockham" (principio de parsimonia). Defensor de la separación entre fe y razón.</v>
      </c>
      <c r="H352" t="str">
        <f>_xlfn.XLOOKUP(frasest[[#This Row],[autor_es]],autorest[autor_es],autorest[bio_la])</f>
        <v>Philosophus et theologus Franciscanus Anglicus. Pater nominalismi, auctor "novaculae Occami" (principium parsimoniae). Separationis inter fidem et rationem defensor.</v>
      </c>
      <c r="I352" t="str">
        <f>_xlfn.XLOOKUP(frasest[[#This Row],[autor_es]],autorest[autor_es],autorest[codigo])</f>
        <v>la</v>
      </c>
      <c r="J352" t="str">
        <f>_xlfn.XLOOKUP(frasest[[#This Row],[autor_es]],autorest[autor_es],autorest[idioma_es])</f>
        <v>Latín</v>
      </c>
      <c r="K352" t="str">
        <f>_xlfn.XLOOKUP(frasest[[#This Row],[autor_es]],autorest[autor_es],autorest[idioma_la])</f>
        <v>Lingua Latina</v>
      </c>
      <c r="L352" t="str">
        <f>_xlfn.XLOOKUP(frasest[[#This Row],[autor_es]],autorest[autor_es],autorest[nacion_es])</f>
        <v>Inglaterra</v>
      </c>
      <c r="M352" t="str">
        <f>_xlfn.XLOOKUP(frasest[[#This Row],[autor_es]],autorest[autor_es],autorest[nacion_la])</f>
        <v>Anglia</v>
      </c>
      <c r="N352" t="str">
        <f>_xlfn.XLOOKUP(frasest[[#This Row],[autor_es]],autorest[autor_es],autorest[epoca_es])</f>
        <v>Edad Media</v>
      </c>
      <c r="O352" t="str">
        <f>_xlfn.XLOOKUP(frasest[[#This Row],[autor_es]],autorest[autor_es],autorest[epoca_la])</f>
        <v>Medium Aevum</v>
      </c>
    </row>
    <row r="353" spans="1:15">
      <c r="A353">
        <v>352</v>
      </c>
      <c r="B353" t="s">
        <v>955</v>
      </c>
      <c r="C353" t="s">
        <v>956</v>
      </c>
      <c r="D353" t="s">
        <v>956</v>
      </c>
      <c r="E353" t="s">
        <v>950</v>
      </c>
      <c r="F353" t="str">
        <f>_xlfn.XLOOKUP(frasest[[#This Row],[autor_es]],autorest[autor_es],autorest[autor_la])</f>
        <v>Gulielmus de Ockham</v>
      </c>
      <c r="G353" t="str">
        <f>_xlfn.XLOOKUP(frasest[[#This Row],[autor_es]],autorest[autor_es],autorest[bio_es])</f>
        <v>Filósofo y teólogo franciscano inglés. Padre del nominalismo, autor de la "navaja de Ockham" (principio de parsimonia). Defensor de la separación entre fe y razón.</v>
      </c>
      <c r="H353" t="str">
        <f>_xlfn.XLOOKUP(frasest[[#This Row],[autor_es]],autorest[autor_es],autorest[bio_la])</f>
        <v>Philosophus et theologus Franciscanus Anglicus. Pater nominalismi, auctor "novaculae Occami" (principium parsimoniae). Separationis inter fidem et rationem defensor.</v>
      </c>
      <c r="I353" t="str">
        <f>_xlfn.XLOOKUP(frasest[[#This Row],[autor_es]],autorest[autor_es],autorest[codigo])</f>
        <v>la</v>
      </c>
      <c r="J353" t="str">
        <f>_xlfn.XLOOKUP(frasest[[#This Row],[autor_es]],autorest[autor_es],autorest[idioma_es])</f>
        <v>Latín</v>
      </c>
      <c r="K353" t="str">
        <f>_xlfn.XLOOKUP(frasest[[#This Row],[autor_es]],autorest[autor_es],autorest[idioma_la])</f>
        <v>Lingua Latina</v>
      </c>
      <c r="L353" t="str">
        <f>_xlfn.XLOOKUP(frasest[[#This Row],[autor_es]],autorest[autor_es],autorest[nacion_es])</f>
        <v>Inglaterra</v>
      </c>
      <c r="M353" t="str">
        <f>_xlfn.XLOOKUP(frasest[[#This Row],[autor_es]],autorest[autor_es],autorest[nacion_la])</f>
        <v>Anglia</v>
      </c>
      <c r="N353" t="str">
        <f>_xlfn.XLOOKUP(frasest[[#This Row],[autor_es]],autorest[autor_es],autorest[epoca_es])</f>
        <v>Edad Media</v>
      </c>
      <c r="O353" t="str">
        <f>_xlfn.XLOOKUP(frasest[[#This Row],[autor_es]],autorest[autor_es],autorest[epoca_la])</f>
        <v>Medium Aevum</v>
      </c>
    </row>
    <row r="354" spans="1:15">
      <c r="A354">
        <v>353</v>
      </c>
      <c r="B354" t="s">
        <v>957</v>
      </c>
      <c r="C354" t="s">
        <v>958</v>
      </c>
      <c r="D354" t="s">
        <v>958</v>
      </c>
      <c r="E354" t="s">
        <v>950</v>
      </c>
      <c r="F354" t="str">
        <f>_xlfn.XLOOKUP(frasest[[#This Row],[autor_es]],autorest[autor_es],autorest[autor_la])</f>
        <v>Gulielmus de Ockham</v>
      </c>
      <c r="G354" t="str">
        <f>_xlfn.XLOOKUP(frasest[[#This Row],[autor_es]],autorest[autor_es],autorest[bio_es])</f>
        <v>Filósofo y teólogo franciscano inglés. Padre del nominalismo, autor de la "navaja de Ockham" (principio de parsimonia). Defensor de la separación entre fe y razón.</v>
      </c>
      <c r="H354" t="str">
        <f>_xlfn.XLOOKUP(frasest[[#This Row],[autor_es]],autorest[autor_es],autorest[bio_la])</f>
        <v>Philosophus et theologus Franciscanus Anglicus. Pater nominalismi, auctor "novaculae Occami" (principium parsimoniae). Separationis inter fidem et rationem defensor.</v>
      </c>
      <c r="I354" t="str">
        <f>_xlfn.XLOOKUP(frasest[[#This Row],[autor_es]],autorest[autor_es],autorest[codigo])</f>
        <v>la</v>
      </c>
      <c r="J354" t="str">
        <f>_xlfn.XLOOKUP(frasest[[#This Row],[autor_es]],autorest[autor_es],autorest[idioma_es])</f>
        <v>Latín</v>
      </c>
      <c r="K354" t="str">
        <f>_xlfn.XLOOKUP(frasest[[#This Row],[autor_es]],autorest[autor_es],autorest[idioma_la])</f>
        <v>Lingua Latina</v>
      </c>
      <c r="L354" t="str">
        <f>_xlfn.XLOOKUP(frasest[[#This Row],[autor_es]],autorest[autor_es],autorest[nacion_es])</f>
        <v>Inglaterra</v>
      </c>
      <c r="M354" t="str">
        <f>_xlfn.XLOOKUP(frasest[[#This Row],[autor_es]],autorest[autor_es],autorest[nacion_la])</f>
        <v>Anglia</v>
      </c>
      <c r="N354" t="str">
        <f>_xlfn.XLOOKUP(frasest[[#This Row],[autor_es]],autorest[autor_es],autorest[epoca_es])</f>
        <v>Edad Media</v>
      </c>
      <c r="O354" t="str">
        <f>_xlfn.XLOOKUP(frasest[[#This Row],[autor_es]],autorest[autor_es],autorest[epoca_la])</f>
        <v>Medium Aevum</v>
      </c>
    </row>
    <row r="355" spans="1:15">
      <c r="A355">
        <v>354</v>
      </c>
      <c r="B355" t="s">
        <v>959</v>
      </c>
      <c r="C355" t="s">
        <v>960</v>
      </c>
      <c r="D355" t="s">
        <v>960</v>
      </c>
      <c r="E355" t="s">
        <v>950</v>
      </c>
      <c r="F355" t="str">
        <f>_xlfn.XLOOKUP(frasest[[#This Row],[autor_es]],autorest[autor_es],autorest[autor_la])</f>
        <v>Gulielmus de Ockham</v>
      </c>
      <c r="G355" t="str">
        <f>_xlfn.XLOOKUP(frasest[[#This Row],[autor_es]],autorest[autor_es],autorest[bio_es])</f>
        <v>Filósofo y teólogo franciscano inglés. Padre del nominalismo, autor de la "navaja de Ockham" (principio de parsimonia). Defensor de la separación entre fe y razón.</v>
      </c>
      <c r="H355" t="str">
        <f>_xlfn.XLOOKUP(frasest[[#This Row],[autor_es]],autorest[autor_es],autorest[bio_la])</f>
        <v>Philosophus et theologus Franciscanus Anglicus. Pater nominalismi, auctor "novaculae Occami" (principium parsimoniae). Separationis inter fidem et rationem defensor.</v>
      </c>
      <c r="I355" t="str">
        <f>_xlfn.XLOOKUP(frasest[[#This Row],[autor_es]],autorest[autor_es],autorest[codigo])</f>
        <v>la</v>
      </c>
      <c r="J355" t="str">
        <f>_xlfn.XLOOKUP(frasest[[#This Row],[autor_es]],autorest[autor_es],autorest[idioma_es])</f>
        <v>Latín</v>
      </c>
      <c r="K355" t="str">
        <f>_xlfn.XLOOKUP(frasest[[#This Row],[autor_es]],autorest[autor_es],autorest[idioma_la])</f>
        <v>Lingua Latina</v>
      </c>
      <c r="L355" t="str">
        <f>_xlfn.XLOOKUP(frasest[[#This Row],[autor_es]],autorest[autor_es],autorest[nacion_es])</f>
        <v>Inglaterra</v>
      </c>
      <c r="M355" t="str">
        <f>_xlfn.XLOOKUP(frasest[[#This Row],[autor_es]],autorest[autor_es],autorest[nacion_la])</f>
        <v>Anglia</v>
      </c>
      <c r="N355" t="str">
        <f>_xlfn.XLOOKUP(frasest[[#This Row],[autor_es]],autorest[autor_es],autorest[epoca_es])</f>
        <v>Edad Media</v>
      </c>
      <c r="O355" t="str">
        <f>_xlfn.XLOOKUP(frasest[[#This Row],[autor_es]],autorest[autor_es],autorest[epoca_la])</f>
        <v>Medium Aevum</v>
      </c>
    </row>
    <row r="356" spans="1:15">
      <c r="A356">
        <v>355</v>
      </c>
      <c r="B356" t="s">
        <v>961</v>
      </c>
      <c r="C356" t="s">
        <v>962</v>
      </c>
      <c r="D356" t="s">
        <v>962</v>
      </c>
      <c r="E356" t="s">
        <v>950</v>
      </c>
      <c r="F356" t="str">
        <f>_xlfn.XLOOKUP(frasest[[#This Row],[autor_es]],autorest[autor_es],autorest[autor_la])</f>
        <v>Gulielmus de Ockham</v>
      </c>
      <c r="G356" t="str">
        <f>_xlfn.XLOOKUP(frasest[[#This Row],[autor_es]],autorest[autor_es],autorest[bio_es])</f>
        <v>Filósofo y teólogo franciscano inglés. Padre del nominalismo, autor de la "navaja de Ockham" (principio de parsimonia). Defensor de la separación entre fe y razón.</v>
      </c>
      <c r="H356" t="str">
        <f>_xlfn.XLOOKUP(frasest[[#This Row],[autor_es]],autorest[autor_es],autorest[bio_la])</f>
        <v>Philosophus et theologus Franciscanus Anglicus. Pater nominalismi, auctor "novaculae Occami" (principium parsimoniae). Separationis inter fidem et rationem defensor.</v>
      </c>
      <c r="I356" t="str">
        <f>_xlfn.XLOOKUP(frasest[[#This Row],[autor_es]],autorest[autor_es],autorest[codigo])</f>
        <v>la</v>
      </c>
      <c r="J356" t="str">
        <f>_xlfn.XLOOKUP(frasest[[#This Row],[autor_es]],autorest[autor_es],autorest[idioma_es])</f>
        <v>Latín</v>
      </c>
      <c r="K356" t="str">
        <f>_xlfn.XLOOKUP(frasest[[#This Row],[autor_es]],autorest[autor_es],autorest[idioma_la])</f>
        <v>Lingua Latina</v>
      </c>
      <c r="L356" t="str">
        <f>_xlfn.XLOOKUP(frasest[[#This Row],[autor_es]],autorest[autor_es],autorest[nacion_es])</f>
        <v>Inglaterra</v>
      </c>
      <c r="M356" t="str">
        <f>_xlfn.XLOOKUP(frasest[[#This Row],[autor_es]],autorest[autor_es],autorest[nacion_la])</f>
        <v>Anglia</v>
      </c>
      <c r="N356" t="str">
        <f>_xlfn.XLOOKUP(frasest[[#This Row],[autor_es]],autorest[autor_es],autorest[epoca_es])</f>
        <v>Edad Media</v>
      </c>
      <c r="O356" t="str">
        <f>_xlfn.XLOOKUP(frasest[[#This Row],[autor_es]],autorest[autor_es],autorest[epoca_la])</f>
        <v>Medium Aevum</v>
      </c>
    </row>
    <row r="357" spans="1:15">
      <c r="A357">
        <v>356</v>
      </c>
      <c r="B357" t="s">
        <v>963</v>
      </c>
      <c r="C357" t="s">
        <v>964</v>
      </c>
      <c r="D357" t="s">
        <v>964</v>
      </c>
      <c r="E357" t="s">
        <v>950</v>
      </c>
      <c r="F357" t="str">
        <f>_xlfn.XLOOKUP(frasest[[#This Row],[autor_es]],autorest[autor_es],autorest[autor_la])</f>
        <v>Gulielmus de Ockham</v>
      </c>
      <c r="G357" t="str">
        <f>_xlfn.XLOOKUP(frasest[[#This Row],[autor_es]],autorest[autor_es],autorest[bio_es])</f>
        <v>Filósofo y teólogo franciscano inglés. Padre del nominalismo, autor de la "navaja de Ockham" (principio de parsimonia). Defensor de la separación entre fe y razón.</v>
      </c>
      <c r="H357" t="str">
        <f>_xlfn.XLOOKUP(frasest[[#This Row],[autor_es]],autorest[autor_es],autorest[bio_la])</f>
        <v>Philosophus et theologus Franciscanus Anglicus. Pater nominalismi, auctor "novaculae Occami" (principium parsimoniae). Separationis inter fidem et rationem defensor.</v>
      </c>
      <c r="I357" t="str">
        <f>_xlfn.XLOOKUP(frasest[[#This Row],[autor_es]],autorest[autor_es],autorest[codigo])</f>
        <v>la</v>
      </c>
      <c r="J357" t="str">
        <f>_xlfn.XLOOKUP(frasest[[#This Row],[autor_es]],autorest[autor_es],autorest[idioma_es])</f>
        <v>Latín</v>
      </c>
      <c r="K357" t="str">
        <f>_xlfn.XLOOKUP(frasest[[#This Row],[autor_es]],autorest[autor_es],autorest[idioma_la])</f>
        <v>Lingua Latina</v>
      </c>
      <c r="L357" t="str">
        <f>_xlfn.XLOOKUP(frasest[[#This Row],[autor_es]],autorest[autor_es],autorest[nacion_es])</f>
        <v>Inglaterra</v>
      </c>
      <c r="M357" t="str">
        <f>_xlfn.XLOOKUP(frasest[[#This Row],[autor_es]],autorest[autor_es],autorest[nacion_la])</f>
        <v>Anglia</v>
      </c>
      <c r="N357" t="str">
        <f>_xlfn.XLOOKUP(frasest[[#This Row],[autor_es]],autorest[autor_es],autorest[epoca_es])</f>
        <v>Edad Media</v>
      </c>
      <c r="O357" t="str">
        <f>_xlfn.XLOOKUP(frasest[[#This Row],[autor_es]],autorest[autor_es],autorest[epoca_la])</f>
        <v>Medium Aevum</v>
      </c>
    </row>
    <row r="358" spans="1:15">
      <c r="A358">
        <v>357</v>
      </c>
      <c r="B358" t="s">
        <v>965</v>
      </c>
      <c r="C358" t="s">
        <v>966</v>
      </c>
      <c r="D358" t="s">
        <v>966</v>
      </c>
      <c r="E358" t="s">
        <v>950</v>
      </c>
      <c r="F358" t="str">
        <f>_xlfn.XLOOKUP(frasest[[#This Row],[autor_es]],autorest[autor_es],autorest[autor_la])</f>
        <v>Gulielmus de Ockham</v>
      </c>
      <c r="G358" t="str">
        <f>_xlfn.XLOOKUP(frasest[[#This Row],[autor_es]],autorest[autor_es],autorest[bio_es])</f>
        <v>Filósofo y teólogo franciscano inglés. Padre del nominalismo, autor de la "navaja de Ockham" (principio de parsimonia). Defensor de la separación entre fe y razón.</v>
      </c>
      <c r="H358" t="str">
        <f>_xlfn.XLOOKUP(frasest[[#This Row],[autor_es]],autorest[autor_es],autorest[bio_la])</f>
        <v>Philosophus et theologus Franciscanus Anglicus. Pater nominalismi, auctor "novaculae Occami" (principium parsimoniae). Separationis inter fidem et rationem defensor.</v>
      </c>
      <c r="I358" t="str">
        <f>_xlfn.XLOOKUP(frasest[[#This Row],[autor_es]],autorest[autor_es],autorest[codigo])</f>
        <v>la</v>
      </c>
      <c r="J358" t="str">
        <f>_xlfn.XLOOKUP(frasest[[#This Row],[autor_es]],autorest[autor_es],autorest[idioma_es])</f>
        <v>Latín</v>
      </c>
      <c r="K358" t="str">
        <f>_xlfn.XLOOKUP(frasest[[#This Row],[autor_es]],autorest[autor_es],autorest[idioma_la])</f>
        <v>Lingua Latina</v>
      </c>
      <c r="L358" t="str">
        <f>_xlfn.XLOOKUP(frasest[[#This Row],[autor_es]],autorest[autor_es],autorest[nacion_es])</f>
        <v>Inglaterra</v>
      </c>
      <c r="M358" t="str">
        <f>_xlfn.XLOOKUP(frasest[[#This Row],[autor_es]],autorest[autor_es],autorest[nacion_la])</f>
        <v>Anglia</v>
      </c>
      <c r="N358" t="str">
        <f>_xlfn.XLOOKUP(frasest[[#This Row],[autor_es]],autorest[autor_es],autorest[epoca_es])</f>
        <v>Edad Media</v>
      </c>
      <c r="O358" t="str">
        <f>_xlfn.XLOOKUP(frasest[[#This Row],[autor_es]],autorest[autor_es],autorest[epoca_la])</f>
        <v>Medium Aevum</v>
      </c>
    </row>
    <row r="359" spans="1:15">
      <c r="A359">
        <v>358</v>
      </c>
      <c r="B359" t="s">
        <v>967</v>
      </c>
      <c r="C359" t="s">
        <v>968</v>
      </c>
      <c r="D359" t="s">
        <v>968</v>
      </c>
      <c r="E359" t="s">
        <v>950</v>
      </c>
      <c r="F359" t="str">
        <f>_xlfn.XLOOKUP(frasest[[#This Row],[autor_es]],autorest[autor_es],autorest[autor_la])</f>
        <v>Gulielmus de Ockham</v>
      </c>
      <c r="G359" t="str">
        <f>_xlfn.XLOOKUP(frasest[[#This Row],[autor_es]],autorest[autor_es],autorest[bio_es])</f>
        <v>Filósofo y teólogo franciscano inglés. Padre del nominalismo, autor de la "navaja de Ockham" (principio de parsimonia). Defensor de la separación entre fe y razón.</v>
      </c>
      <c r="H359" t="str">
        <f>_xlfn.XLOOKUP(frasest[[#This Row],[autor_es]],autorest[autor_es],autorest[bio_la])</f>
        <v>Philosophus et theologus Franciscanus Anglicus. Pater nominalismi, auctor "novaculae Occami" (principium parsimoniae). Separationis inter fidem et rationem defensor.</v>
      </c>
      <c r="I359" t="str">
        <f>_xlfn.XLOOKUP(frasest[[#This Row],[autor_es]],autorest[autor_es],autorest[codigo])</f>
        <v>la</v>
      </c>
      <c r="J359" t="str">
        <f>_xlfn.XLOOKUP(frasest[[#This Row],[autor_es]],autorest[autor_es],autorest[idioma_es])</f>
        <v>Latín</v>
      </c>
      <c r="K359" t="str">
        <f>_xlfn.XLOOKUP(frasest[[#This Row],[autor_es]],autorest[autor_es],autorest[idioma_la])</f>
        <v>Lingua Latina</v>
      </c>
      <c r="L359" t="str">
        <f>_xlfn.XLOOKUP(frasest[[#This Row],[autor_es]],autorest[autor_es],autorest[nacion_es])</f>
        <v>Inglaterra</v>
      </c>
      <c r="M359" t="str">
        <f>_xlfn.XLOOKUP(frasest[[#This Row],[autor_es]],autorest[autor_es],autorest[nacion_la])</f>
        <v>Anglia</v>
      </c>
      <c r="N359" t="str">
        <f>_xlfn.XLOOKUP(frasest[[#This Row],[autor_es]],autorest[autor_es],autorest[epoca_es])</f>
        <v>Edad Media</v>
      </c>
      <c r="O359" t="str">
        <f>_xlfn.XLOOKUP(frasest[[#This Row],[autor_es]],autorest[autor_es],autorest[epoca_la])</f>
        <v>Medium Aevum</v>
      </c>
    </row>
    <row r="360" spans="1:15">
      <c r="A360">
        <v>359</v>
      </c>
      <c r="B360" t="s">
        <v>969</v>
      </c>
      <c r="C360" t="s">
        <v>970</v>
      </c>
      <c r="D360" t="s">
        <v>970</v>
      </c>
      <c r="E360" t="s">
        <v>51</v>
      </c>
      <c r="F360" t="str">
        <f>_xlfn.XLOOKUP(frasest[[#This Row],[autor_es]],autorest[autor_es],autorest[autor_la])</f>
        <v>Aurelius Augustinus</v>
      </c>
      <c r="G360" t="str">
        <f>_xlfn.XLOOKUP(frasest[[#This Row],[autor_es]],autorest[autor_es],autorest[bio_es])</f>
        <v>Filósofo y teólogo cristiano.</v>
      </c>
      <c r="H360" t="str">
        <f>_xlfn.XLOOKUP(frasest[[#This Row],[autor_es]],autorest[autor_es],autorest[bio_la])</f>
        <v>Philosophus et theologus Christianus.</v>
      </c>
      <c r="I360" t="str">
        <f>_xlfn.XLOOKUP(frasest[[#This Row],[autor_es]],autorest[autor_es],autorest[codigo])</f>
        <v>la</v>
      </c>
      <c r="J360" t="str">
        <f>_xlfn.XLOOKUP(frasest[[#This Row],[autor_es]],autorest[autor_es],autorest[idioma_es])</f>
        <v>Latín</v>
      </c>
      <c r="K360" t="str">
        <f>_xlfn.XLOOKUP(frasest[[#This Row],[autor_es]],autorest[autor_es],autorest[idioma_la])</f>
        <v>Lingua Latina</v>
      </c>
      <c r="L360" t="str">
        <f>_xlfn.XLOOKUP(frasest[[#This Row],[autor_es]],autorest[autor_es],autorest[nacion_es])</f>
        <v>Roma</v>
      </c>
      <c r="M360" t="str">
        <f>_xlfn.XLOOKUP(frasest[[#This Row],[autor_es]],autorest[autor_es],autorest[nacion_la])</f>
        <v>Roma</v>
      </c>
      <c r="N360" t="str">
        <f>_xlfn.XLOOKUP(frasest[[#This Row],[autor_es]],autorest[autor_es],autorest[epoca_es])</f>
        <v>Edad Antigua</v>
      </c>
      <c r="O360" t="str">
        <f>_xlfn.XLOOKUP(frasest[[#This Row],[autor_es]],autorest[autor_es],autorest[epoca_la])</f>
        <v>Antiquitas</v>
      </c>
    </row>
    <row r="361" spans="1:15">
      <c r="A361">
        <v>360</v>
      </c>
      <c r="B361" t="s">
        <v>971</v>
      </c>
      <c r="C361" t="s">
        <v>972</v>
      </c>
      <c r="D361" t="s">
        <v>972</v>
      </c>
      <c r="E361" t="s">
        <v>51</v>
      </c>
      <c r="F361" t="str">
        <f>_xlfn.XLOOKUP(frasest[[#This Row],[autor_es]],autorest[autor_es],autorest[autor_la])</f>
        <v>Aurelius Augustinus</v>
      </c>
      <c r="G361" t="str">
        <f>_xlfn.XLOOKUP(frasest[[#This Row],[autor_es]],autorest[autor_es],autorest[bio_es])</f>
        <v>Filósofo y teólogo cristiano.</v>
      </c>
      <c r="H361" t="str">
        <f>_xlfn.XLOOKUP(frasest[[#This Row],[autor_es]],autorest[autor_es],autorest[bio_la])</f>
        <v>Philosophus et theologus Christianus.</v>
      </c>
      <c r="I361" t="str">
        <f>_xlfn.XLOOKUP(frasest[[#This Row],[autor_es]],autorest[autor_es],autorest[codigo])</f>
        <v>la</v>
      </c>
      <c r="J361" t="str">
        <f>_xlfn.XLOOKUP(frasest[[#This Row],[autor_es]],autorest[autor_es],autorest[idioma_es])</f>
        <v>Latín</v>
      </c>
      <c r="K361" t="str">
        <f>_xlfn.XLOOKUP(frasest[[#This Row],[autor_es]],autorest[autor_es],autorest[idioma_la])</f>
        <v>Lingua Latina</v>
      </c>
      <c r="L361" t="str">
        <f>_xlfn.XLOOKUP(frasest[[#This Row],[autor_es]],autorest[autor_es],autorest[nacion_es])</f>
        <v>Roma</v>
      </c>
      <c r="M361" t="str">
        <f>_xlfn.XLOOKUP(frasest[[#This Row],[autor_es]],autorest[autor_es],autorest[nacion_la])</f>
        <v>Roma</v>
      </c>
      <c r="N361" t="str">
        <f>_xlfn.XLOOKUP(frasest[[#This Row],[autor_es]],autorest[autor_es],autorest[epoca_es])</f>
        <v>Edad Antigua</v>
      </c>
      <c r="O361" t="str">
        <f>_xlfn.XLOOKUP(frasest[[#This Row],[autor_es]],autorest[autor_es],autorest[epoca_la])</f>
        <v>Antiquitas</v>
      </c>
    </row>
    <row r="362" spans="1:15">
      <c r="A362">
        <v>361</v>
      </c>
      <c r="B362" t="s">
        <v>973</v>
      </c>
      <c r="C362" t="s">
        <v>974</v>
      </c>
      <c r="D362" t="s">
        <v>974</v>
      </c>
      <c r="E362" t="s">
        <v>758</v>
      </c>
      <c r="F362" t="str">
        <f>_xlfn.XLOOKUP(frasest[[#This Row],[autor_es]],autorest[autor_es],autorest[autor_la])</f>
        <v>Athanasius Alexandrinus</v>
      </c>
      <c r="G362" t="str">
        <f>_xlfn.XLOOKUP(frasest[[#This Row],[autor_es]],autorest[autor_es],autorest[bio_es])</f>
        <v>Obispo de Alejandría, Doctor de la Iglesia y defensor de la ortodoxia nicena contra el arrianismo. Autor de la "Vida de San Antonio", influyente en la espiritualidad monástica.</v>
      </c>
      <c r="H362" t="str">
        <f>_xlfn.XLOOKUP(frasest[[#This Row],[autor_es]],autorest[autor_es],autorest[bio_la])</f>
        <v>Episcopus Alexandrinus, Doctor Ecclesiae et defensor orthodoxiae Nicaenae contra arianismum. Auctor "Vita Sancti Antonii", in spiritualitate monastica influens.</v>
      </c>
      <c r="I362" t="str">
        <f>_xlfn.XLOOKUP(frasest[[#This Row],[autor_es]],autorest[autor_es],autorest[codigo])</f>
        <v>la</v>
      </c>
      <c r="J362" t="str">
        <f>_xlfn.XLOOKUP(frasest[[#This Row],[autor_es]],autorest[autor_es],autorest[idioma_es])</f>
        <v>Latín</v>
      </c>
      <c r="K362" t="str">
        <f>_xlfn.XLOOKUP(frasest[[#This Row],[autor_es]],autorest[autor_es],autorest[idioma_la])</f>
        <v>Lingua Latina</v>
      </c>
      <c r="L362" t="str">
        <f>_xlfn.XLOOKUP(frasest[[#This Row],[autor_es]],autorest[autor_es],autorest[nacion_es])</f>
        <v>Roma</v>
      </c>
      <c r="M362" t="str">
        <f>_xlfn.XLOOKUP(frasest[[#This Row],[autor_es]],autorest[autor_es],autorest[nacion_la])</f>
        <v>Roma</v>
      </c>
      <c r="N362" t="str">
        <f>_xlfn.XLOOKUP(frasest[[#This Row],[autor_es]],autorest[autor_es],autorest[epoca_es])</f>
        <v>Edad Antigua</v>
      </c>
      <c r="O362" t="str">
        <f>_xlfn.XLOOKUP(frasest[[#This Row],[autor_es]],autorest[autor_es],autorest[epoca_la])</f>
        <v>Antiquitas</v>
      </c>
    </row>
    <row r="363" spans="1:15">
      <c r="A363">
        <v>362</v>
      </c>
      <c r="B363" t="s">
        <v>975</v>
      </c>
      <c r="C363" t="s">
        <v>976</v>
      </c>
      <c r="D363" t="s">
        <v>976</v>
      </c>
      <c r="E363" t="s">
        <v>157</v>
      </c>
      <c r="F363" t="str">
        <f>_xlfn.XLOOKUP(frasest[[#This Row],[autor_es]],autorest[autor_es],autorest[autor_la])</f>
        <v>Thomas Aquinas</v>
      </c>
      <c r="G363" t="str">
        <f>_xlfn.XLOOKUP(frasest[[#This Row],[autor_es]],autorest[autor_es],autorest[bio_es])</f>
        <v>Filósofo y teólogo italiano, representante de la Escolástica. Autor de la "Summa Theologica".</v>
      </c>
      <c r="H363" t="str">
        <f>_xlfn.XLOOKUP(frasest[[#This Row],[autor_es]],autorest[autor_es],autorest[bio_la])</f>
        <v>Philosophus et theologus Italicus, Scholasticae repraesentans. Auctor "Summa Theologica".</v>
      </c>
      <c r="I363" t="str">
        <f>_xlfn.XLOOKUP(frasest[[#This Row],[autor_es]],autorest[autor_es],autorest[codigo])</f>
        <v>la</v>
      </c>
      <c r="J363" t="str">
        <f>_xlfn.XLOOKUP(frasest[[#This Row],[autor_es]],autorest[autor_es],autorest[idioma_es])</f>
        <v>Latín</v>
      </c>
      <c r="K363" t="str">
        <f>_xlfn.XLOOKUP(frasest[[#This Row],[autor_es]],autorest[autor_es],autorest[idioma_la])</f>
        <v>Lingua Latina</v>
      </c>
      <c r="L363" t="str">
        <f>_xlfn.XLOOKUP(frasest[[#This Row],[autor_es]],autorest[autor_es],autorest[nacion_es])</f>
        <v>Italia</v>
      </c>
      <c r="M363" t="str">
        <f>_xlfn.XLOOKUP(frasest[[#This Row],[autor_es]],autorest[autor_es],autorest[nacion_la])</f>
        <v>Italia</v>
      </c>
      <c r="N363" t="str">
        <f>_xlfn.XLOOKUP(frasest[[#This Row],[autor_es]],autorest[autor_es],autorest[epoca_es])</f>
        <v>Edad Media</v>
      </c>
      <c r="O363" t="str">
        <f>_xlfn.XLOOKUP(frasest[[#This Row],[autor_es]],autorest[autor_es],autorest[epoca_la])</f>
        <v>Medium Aevum</v>
      </c>
    </row>
    <row r="364" spans="1:15">
      <c r="A364">
        <v>363</v>
      </c>
      <c r="B364" t="s">
        <v>969</v>
      </c>
      <c r="C364" t="s">
        <v>970</v>
      </c>
      <c r="D364" t="s">
        <v>970</v>
      </c>
      <c r="E364" t="s">
        <v>51</v>
      </c>
      <c r="F364" t="str">
        <f>_xlfn.XLOOKUP(frasest[[#This Row],[autor_es]],autorest[autor_es],autorest[autor_la])</f>
        <v>Aurelius Augustinus</v>
      </c>
      <c r="G364" t="str">
        <f>_xlfn.XLOOKUP(frasest[[#This Row],[autor_es]],autorest[autor_es],autorest[bio_es])</f>
        <v>Filósofo y teólogo cristiano.</v>
      </c>
      <c r="H364" t="str">
        <f>_xlfn.XLOOKUP(frasest[[#This Row],[autor_es]],autorest[autor_es],autorest[bio_la])</f>
        <v>Philosophus et theologus Christianus.</v>
      </c>
      <c r="I364" t="str">
        <f>_xlfn.XLOOKUP(frasest[[#This Row],[autor_es]],autorest[autor_es],autorest[codigo])</f>
        <v>la</v>
      </c>
      <c r="J364" t="str">
        <f>_xlfn.XLOOKUP(frasest[[#This Row],[autor_es]],autorest[autor_es],autorest[idioma_es])</f>
        <v>Latín</v>
      </c>
      <c r="K364" t="str">
        <f>_xlfn.XLOOKUP(frasest[[#This Row],[autor_es]],autorest[autor_es],autorest[idioma_la])</f>
        <v>Lingua Latina</v>
      </c>
      <c r="L364" t="str">
        <f>_xlfn.XLOOKUP(frasest[[#This Row],[autor_es]],autorest[autor_es],autorest[nacion_es])</f>
        <v>Roma</v>
      </c>
      <c r="M364" t="str">
        <f>_xlfn.XLOOKUP(frasest[[#This Row],[autor_es]],autorest[autor_es],autorest[nacion_la])</f>
        <v>Roma</v>
      </c>
      <c r="N364" t="str">
        <f>_xlfn.XLOOKUP(frasest[[#This Row],[autor_es]],autorest[autor_es],autorest[epoca_es])</f>
        <v>Edad Antigua</v>
      </c>
      <c r="O364" t="str">
        <f>_xlfn.XLOOKUP(frasest[[#This Row],[autor_es]],autorest[autor_es],autorest[epoca_la])</f>
        <v>Antiquitas</v>
      </c>
    </row>
    <row r="365" spans="1:15">
      <c r="A365">
        <v>364</v>
      </c>
      <c r="B365" t="s">
        <v>971</v>
      </c>
      <c r="C365" t="s">
        <v>972</v>
      </c>
      <c r="D365" t="s">
        <v>972</v>
      </c>
      <c r="E365" t="s">
        <v>51</v>
      </c>
      <c r="F365" t="str">
        <f>_xlfn.XLOOKUP(frasest[[#This Row],[autor_es]],autorest[autor_es],autorest[autor_la])</f>
        <v>Aurelius Augustinus</v>
      </c>
      <c r="G365" t="str">
        <f>_xlfn.XLOOKUP(frasest[[#This Row],[autor_es]],autorest[autor_es],autorest[bio_es])</f>
        <v>Filósofo y teólogo cristiano.</v>
      </c>
      <c r="H365" t="str">
        <f>_xlfn.XLOOKUP(frasest[[#This Row],[autor_es]],autorest[autor_es],autorest[bio_la])</f>
        <v>Philosophus et theologus Christianus.</v>
      </c>
      <c r="I365" t="str">
        <f>_xlfn.XLOOKUP(frasest[[#This Row],[autor_es]],autorest[autor_es],autorest[codigo])</f>
        <v>la</v>
      </c>
      <c r="J365" t="str">
        <f>_xlfn.XLOOKUP(frasest[[#This Row],[autor_es]],autorest[autor_es],autorest[idioma_es])</f>
        <v>Latín</v>
      </c>
      <c r="K365" t="str">
        <f>_xlfn.XLOOKUP(frasest[[#This Row],[autor_es]],autorest[autor_es],autorest[idioma_la])</f>
        <v>Lingua Latina</v>
      </c>
      <c r="L365" t="str">
        <f>_xlfn.XLOOKUP(frasest[[#This Row],[autor_es]],autorest[autor_es],autorest[nacion_es])</f>
        <v>Roma</v>
      </c>
      <c r="M365" t="str">
        <f>_xlfn.XLOOKUP(frasest[[#This Row],[autor_es]],autorest[autor_es],autorest[nacion_la])</f>
        <v>Roma</v>
      </c>
      <c r="N365" t="str">
        <f>_xlfn.XLOOKUP(frasest[[#This Row],[autor_es]],autorest[autor_es],autorest[epoca_es])</f>
        <v>Edad Antigua</v>
      </c>
      <c r="O365" t="str">
        <f>_xlfn.XLOOKUP(frasest[[#This Row],[autor_es]],autorest[autor_es],autorest[epoca_la])</f>
        <v>Antiquitas</v>
      </c>
    </row>
    <row r="366" spans="1:15">
      <c r="A366">
        <v>365</v>
      </c>
      <c r="B366" t="s">
        <v>973</v>
      </c>
      <c r="C366" t="s">
        <v>974</v>
      </c>
      <c r="D366" t="s">
        <v>974</v>
      </c>
      <c r="E366" t="s">
        <v>758</v>
      </c>
      <c r="F366" t="str">
        <f>_xlfn.XLOOKUP(frasest[[#This Row],[autor_es]],autorest[autor_es],autorest[autor_la])</f>
        <v>Athanasius Alexandrinus</v>
      </c>
      <c r="G366" t="str">
        <f>_xlfn.XLOOKUP(frasest[[#This Row],[autor_es]],autorest[autor_es],autorest[bio_es])</f>
        <v>Obispo de Alejandría, Doctor de la Iglesia y defensor de la ortodoxia nicena contra el arrianismo. Autor de la "Vida de San Antonio", influyente en la espiritualidad monástica.</v>
      </c>
      <c r="H366" t="str">
        <f>_xlfn.XLOOKUP(frasest[[#This Row],[autor_es]],autorest[autor_es],autorest[bio_la])</f>
        <v>Episcopus Alexandrinus, Doctor Ecclesiae et defensor orthodoxiae Nicaenae contra arianismum. Auctor "Vita Sancti Antonii", in spiritualitate monastica influens.</v>
      </c>
      <c r="I366" t="str">
        <f>_xlfn.XLOOKUP(frasest[[#This Row],[autor_es]],autorest[autor_es],autorest[codigo])</f>
        <v>la</v>
      </c>
      <c r="J366" t="str">
        <f>_xlfn.XLOOKUP(frasest[[#This Row],[autor_es]],autorest[autor_es],autorest[idioma_es])</f>
        <v>Latín</v>
      </c>
      <c r="K366" t="str">
        <f>_xlfn.XLOOKUP(frasest[[#This Row],[autor_es]],autorest[autor_es],autorest[idioma_la])</f>
        <v>Lingua Latina</v>
      </c>
      <c r="L366" t="str">
        <f>_xlfn.XLOOKUP(frasest[[#This Row],[autor_es]],autorest[autor_es],autorest[nacion_es])</f>
        <v>Roma</v>
      </c>
      <c r="M366" t="str">
        <f>_xlfn.XLOOKUP(frasest[[#This Row],[autor_es]],autorest[autor_es],autorest[nacion_la])</f>
        <v>Roma</v>
      </c>
      <c r="N366" t="str">
        <f>_xlfn.XLOOKUP(frasest[[#This Row],[autor_es]],autorest[autor_es],autorest[epoca_es])</f>
        <v>Edad Antigua</v>
      </c>
      <c r="O366" t="str">
        <f>_xlfn.XLOOKUP(frasest[[#This Row],[autor_es]],autorest[autor_es],autorest[epoca_la])</f>
        <v>Antiquitas</v>
      </c>
    </row>
    <row r="367" spans="1:15">
      <c r="A367">
        <v>366</v>
      </c>
      <c r="B367" t="s">
        <v>975</v>
      </c>
      <c r="C367" t="s">
        <v>976</v>
      </c>
      <c r="D367" t="s">
        <v>976</v>
      </c>
      <c r="E367" t="s">
        <v>157</v>
      </c>
      <c r="F367" t="str">
        <f>_xlfn.XLOOKUP(frasest[[#This Row],[autor_es]],autorest[autor_es],autorest[autor_la])</f>
        <v>Thomas Aquinas</v>
      </c>
      <c r="G367" t="str">
        <f>_xlfn.XLOOKUP(frasest[[#This Row],[autor_es]],autorest[autor_es],autorest[bio_es])</f>
        <v>Filósofo y teólogo italiano, representante de la Escolástica. Autor de la "Summa Theologica".</v>
      </c>
      <c r="H367" t="str">
        <f>_xlfn.XLOOKUP(frasest[[#This Row],[autor_es]],autorest[autor_es],autorest[bio_la])</f>
        <v>Philosophus et theologus Italicus, Scholasticae repraesentans. Auctor "Summa Theologica".</v>
      </c>
      <c r="I367" t="str">
        <f>_xlfn.XLOOKUP(frasest[[#This Row],[autor_es]],autorest[autor_es],autorest[codigo])</f>
        <v>la</v>
      </c>
      <c r="J367" t="str">
        <f>_xlfn.XLOOKUP(frasest[[#This Row],[autor_es]],autorest[autor_es],autorest[idioma_es])</f>
        <v>Latín</v>
      </c>
      <c r="K367" t="str">
        <f>_xlfn.XLOOKUP(frasest[[#This Row],[autor_es]],autorest[autor_es],autorest[idioma_la])</f>
        <v>Lingua Latina</v>
      </c>
      <c r="L367" t="str">
        <f>_xlfn.XLOOKUP(frasest[[#This Row],[autor_es]],autorest[autor_es],autorest[nacion_es])</f>
        <v>Italia</v>
      </c>
      <c r="M367" t="str">
        <f>_xlfn.XLOOKUP(frasest[[#This Row],[autor_es]],autorest[autor_es],autorest[nacion_la])</f>
        <v>Italia</v>
      </c>
      <c r="N367" t="str">
        <f>_xlfn.XLOOKUP(frasest[[#This Row],[autor_es]],autorest[autor_es],autorest[epoca_es])</f>
        <v>Edad Media</v>
      </c>
      <c r="O367" t="str">
        <f>_xlfn.XLOOKUP(frasest[[#This Row],[autor_es]],autorest[autor_es],autorest[epoca_la])</f>
        <v>Medium Aevum</v>
      </c>
    </row>
    <row r="368" spans="1:15">
      <c r="A368">
        <v>367</v>
      </c>
      <c r="B368" t="s">
        <v>977</v>
      </c>
      <c r="C368" t="s">
        <v>978</v>
      </c>
      <c r="D368" t="s">
        <v>978</v>
      </c>
      <c r="E368" t="s">
        <v>802</v>
      </c>
      <c r="F368" t="str">
        <f>_xlfn.XLOOKUP(frasest[[#This Row],[autor_es]],autorest[autor_es],autorest[autor_la])</f>
        <v>Gregorius Nazianzenus</v>
      </c>
      <c r="G368" t="str">
        <f>_xlfn.XLOOKUP(frasest[[#This Row],[autor_es]],autorest[autor_es],autorest[bio_es])</f>
        <v>Arzobispo de Constantinopla, Doctor de la Iglesia y Padre Capadocio. Llamado "el Teólogo", gran orador y defensor de la Trinidad. Uno de los tres Padres Capadocios.</v>
      </c>
      <c r="H368" t="str">
        <f>_xlfn.XLOOKUP(frasest[[#This Row],[autor_es]],autorest[autor_es],autorest[bio_la])</f>
        <v>Archiepiscopus Constantinopolitanus, Doctor Ecclesiae et Pater Cappadocius. "Theologus" vocatus, orator magnus et defensor Trinitatis. Unus ex tribus Patribus Cappadociis.</v>
      </c>
      <c r="I368" t="str">
        <f>_xlfn.XLOOKUP(frasest[[#This Row],[autor_es]],autorest[autor_es],autorest[codigo])</f>
        <v>la</v>
      </c>
      <c r="J368" t="str">
        <f>_xlfn.XLOOKUP(frasest[[#This Row],[autor_es]],autorest[autor_es],autorest[idioma_es])</f>
        <v>Latín</v>
      </c>
      <c r="K368" t="str">
        <f>_xlfn.XLOOKUP(frasest[[#This Row],[autor_es]],autorest[autor_es],autorest[idioma_la])</f>
        <v>Lingua Latina</v>
      </c>
      <c r="L368" t="str">
        <f>_xlfn.XLOOKUP(frasest[[#This Row],[autor_es]],autorest[autor_es],autorest[nacion_es])</f>
        <v>Roma</v>
      </c>
      <c r="M368" t="str">
        <f>_xlfn.XLOOKUP(frasest[[#This Row],[autor_es]],autorest[autor_es],autorest[nacion_la])</f>
        <v>Roma</v>
      </c>
      <c r="N368" t="str">
        <f>_xlfn.XLOOKUP(frasest[[#This Row],[autor_es]],autorest[autor_es],autorest[epoca_es])</f>
        <v>Edad Antigua</v>
      </c>
      <c r="O368" t="str">
        <f>_xlfn.XLOOKUP(frasest[[#This Row],[autor_es]],autorest[autor_es],autorest[epoca_la])</f>
        <v>Antiquitas</v>
      </c>
    </row>
    <row r="369" spans="1:15">
      <c r="A369">
        <v>368</v>
      </c>
      <c r="B369" t="s">
        <v>979</v>
      </c>
      <c r="C369" t="s">
        <v>980</v>
      </c>
      <c r="D369" t="s">
        <v>979</v>
      </c>
      <c r="E369" t="s">
        <v>981</v>
      </c>
      <c r="F369" t="str">
        <f>_xlfn.XLOOKUP(frasest[[#This Row],[autor_es]],autorest[autor_es],autorest[autor_la])</f>
        <v>Anonymous</v>
      </c>
      <c r="G369" s="4" t="str">
        <f>_xlfn.XLOOKUP(frasest[[#This Row],[autor_es]],autorest[autor_es],autorest[bio_es])</f>
        <v>Autor desconocido, usado para refranes y proverbios populares.</v>
      </c>
      <c r="H369" s="4" t="str">
        <f>_xlfn.XLOOKUP(frasest[[#This Row],[autor_es]],autorest[autor_es],autorest[bio_la])</f>
        <v>Auctor ignotus, usus pro proverbiorum popularium collectione.</v>
      </c>
      <c r="I369" t="str">
        <f>_xlfn.XLOOKUP(frasest[[#This Row],[autor_es]],autorest[autor_es],autorest[codigo])</f>
        <v>nd</v>
      </c>
      <c r="J369" t="str">
        <f>_xlfn.XLOOKUP(frasest[[#This Row],[autor_es]],autorest[autor_es],autorest[idioma_es])</f>
        <v>nd</v>
      </c>
      <c r="K369" s="4" t="str">
        <f>_xlfn.XLOOKUP(frasest[[#This Row],[autor_es]],autorest[autor_es],autorest[idioma_la])</f>
        <v>nd</v>
      </c>
      <c r="L369" t="str">
        <f>_xlfn.XLOOKUP(frasest[[#This Row],[autor_es]],autorest[autor_es],autorest[nacion_es])</f>
        <v>nd</v>
      </c>
      <c r="M369" t="str">
        <f>_xlfn.XLOOKUP(frasest[[#This Row],[autor_es]],autorest[autor_es],autorest[nacion_la])</f>
        <v>nd</v>
      </c>
      <c r="N369" t="str">
        <f>_xlfn.XLOOKUP(frasest[[#This Row],[autor_es]],autorest[autor_es],autorest[epoca_es])</f>
        <v>Epoca Desconocida</v>
      </c>
      <c r="O369" t="str">
        <f>_xlfn.XLOOKUP(frasest[[#This Row],[autor_es]],autorest[autor_es],autorest[epoca_la])</f>
        <v>Epocha Ignota</v>
      </c>
    </row>
    <row r="370" spans="1:15">
      <c r="A370">
        <v>369</v>
      </c>
      <c r="B370" t="s">
        <v>982</v>
      </c>
      <c r="C370" t="s">
        <v>983</v>
      </c>
      <c r="D370" t="s">
        <v>984</v>
      </c>
      <c r="E370" t="s">
        <v>985</v>
      </c>
      <c r="F370" t="str">
        <f>_xlfn.XLOOKUP(frasest[[#This Row],[autor_es]],autorest[autor_es],autorest[autor_la])</f>
        <v>Sententia Vasconica</v>
      </c>
      <c r="G370" s="4" t="str">
        <f>_xlfn.XLOOKUP(frasest[[#This Row],[autor_es]],autorest[autor_es],autorest[bio_es])</f>
        <v>Proverbios de la tradición oral vasca que reflejan la relación con la naturaleza, el trabajo y los valores comunitarios del pueblo vasco.</v>
      </c>
      <c r="H370" s="4" t="str">
        <f>_xlfn.XLOOKUP(frasest[[#This Row],[autor_es]],autorest[autor_es],autorest[bio_la])</f>
        <v>Collectio sententiarum Vasconicarum.</v>
      </c>
      <c r="I370" t="str">
        <f>_xlfn.XLOOKUP(frasest[[#This Row],[autor_es]],autorest[autor_es],autorest[codigo])</f>
        <v>eu</v>
      </c>
      <c r="J370" t="str">
        <f>_xlfn.XLOOKUP(frasest[[#This Row],[autor_es]],autorest[autor_es],autorest[idioma_es])</f>
        <v>Euskara</v>
      </c>
      <c r="K370" s="4" t="str">
        <f>_xlfn.XLOOKUP(frasest[[#This Row],[autor_es]],autorest[autor_es],autorest[idioma_la])</f>
        <v>Lingua Vasconica</v>
      </c>
      <c r="L370" t="str">
        <f>_xlfn.XLOOKUP(frasest[[#This Row],[autor_es]],autorest[autor_es],autorest[nacion_es])</f>
        <v>nd</v>
      </c>
      <c r="M370" t="str">
        <f>_xlfn.XLOOKUP(frasest[[#This Row],[autor_es]],autorest[autor_es],autorest[nacion_la])</f>
        <v>nd</v>
      </c>
      <c r="N370" t="str">
        <f>_xlfn.XLOOKUP(frasest[[#This Row],[autor_es]],autorest[autor_es],autorest[epoca_es])</f>
        <v>Epoca Desconocida</v>
      </c>
      <c r="O370" t="str">
        <f>_xlfn.XLOOKUP(frasest[[#This Row],[autor_es]],autorest[autor_es],autorest[epoca_la])</f>
        <v>Epocha Ignota</v>
      </c>
    </row>
    <row r="371" spans="1:15">
      <c r="A371">
        <v>370</v>
      </c>
      <c r="B371" t="s">
        <v>986</v>
      </c>
      <c r="C371" t="s">
        <v>987</v>
      </c>
      <c r="D371" t="s">
        <v>988</v>
      </c>
      <c r="E371" t="s">
        <v>989</v>
      </c>
      <c r="F371" t="str">
        <f>_xlfn.XLOOKUP(frasest[[#This Row],[autor_es]],autorest[autor_es],autorest[autor_la])</f>
        <v>Albertus Camus</v>
      </c>
      <c r="G371" s="4" t="str">
        <f>_xlfn.XLOOKUP(frasest[[#This Row],[autor_es]],autorest[autor_es],autorest[bio_es])</f>
        <v>Escritor, filósofo y periodista francés. Premio Nobel de Literatura en 1957, representante del existencialismo y el absurdo.</v>
      </c>
      <c r="H371" s="4" t="str">
        <f>_xlfn.XLOOKUP(frasest[[#This Row],[autor_es]],autorest[autor_es],autorest[bio_la])</f>
        <v>Scriba, philosophus et diurnarius Francogallicus. Praemium Nobel Litterarum anno 1957, existentialismus et absurdi repraesentans.</v>
      </c>
      <c r="I371" t="str">
        <f>_xlfn.XLOOKUP(frasest[[#This Row],[autor_es]],autorest[autor_es],autorest[codigo])</f>
        <v>fr</v>
      </c>
      <c r="J371" t="str">
        <f>_xlfn.XLOOKUP(frasest[[#This Row],[autor_es]],autorest[autor_es],autorest[idioma_es])</f>
        <v>Francés</v>
      </c>
      <c r="K371" s="4" t="str">
        <f>_xlfn.XLOOKUP(frasest[[#This Row],[autor_es]],autorest[autor_es],autorest[idioma_la])</f>
        <v>Lingua Gallica</v>
      </c>
      <c r="L371" t="str">
        <f>_xlfn.XLOOKUP(frasest[[#This Row],[autor_es]],autorest[autor_es],autorest[nacion_es])</f>
        <v>Francia</v>
      </c>
      <c r="M371" t="str">
        <f>_xlfn.XLOOKUP(frasest[[#This Row],[autor_es]],autorest[autor_es],autorest[nacion_la])</f>
        <v>Gallia</v>
      </c>
      <c r="N371" t="str">
        <f>_xlfn.XLOOKUP(frasest[[#This Row],[autor_es]],autorest[autor_es],autorest[epoca_es])</f>
        <v>Edad Contemporánea</v>
      </c>
      <c r="O371" t="str">
        <f>_xlfn.XLOOKUP(frasest[[#This Row],[autor_es]],autorest[autor_es],autorest[epoca_la])</f>
        <v>Aetas Contemporanea</v>
      </c>
    </row>
    <row r="372" spans="1:15">
      <c r="A372">
        <v>371</v>
      </c>
      <c r="B372" t="s">
        <v>990</v>
      </c>
      <c r="C372" t="s">
        <v>991</v>
      </c>
      <c r="D372" t="s">
        <v>992</v>
      </c>
      <c r="E372" t="s">
        <v>993</v>
      </c>
      <c r="F372" t="str">
        <f>_xlfn.XLOOKUP(frasest[[#This Row],[autor_es]],autorest[autor_es],autorest[autor_la])</f>
        <v>Beata Teresia Calcuttensis</v>
      </c>
      <c r="G372" s="4" t="str">
        <f>_xlfn.XLOOKUP(frasest[[#This Row],[autor_es]],autorest[autor_es],autorest[bio_es])</f>
        <v>Monja católica y misionera albanesa, fundadora de las Misioneras de la Caridad. Premio Nobel de la Paz 1979 por su trabajo con los más pobres.</v>
      </c>
      <c r="H372" s="4" t="str">
        <f>_xlfn.XLOOKUP(frasest[[#This Row],[autor_es]],autorest[autor_es],autorest[bio_la])</f>
        <v>Soror catholica et missionaria Albanensis, Missionariarum Caritatis fundatrix. Praemium Nobel Pacis anno 1979 propter laborem cum pauperrimis.</v>
      </c>
      <c r="I372" t="str">
        <f>_xlfn.XLOOKUP(frasest[[#This Row],[autor_es]],autorest[autor_es],autorest[codigo])</f>
        <v>sq</v>
      </c>
      <c r="J372" t="str">
        <f>_xlfn.XLOOKUP(frasest[[#This Row],[autor_es]],autorest[autor_es],autorest[idioma_es])</f>
        <v>Albanés</v>
      </c>
      <c r="K372" s="4" t="str">
        <f>_xlfn.XLOOKUP(frasest[[#This Row],[autor_es]],autorest[autor_es],autorest[idioma_la])</f>
        <v>Lingua Albanica</v>
      </c>
      <c r="L372" t="str">
        <f>_xlfn.XLOOKUP(frasest[[#This Row],[autor_es]],autorest[autor_es],autorest[nacion_es])</f>
        <v>Albania</v>
      </c>
      <c r="M372" t="str">
        <f>_xlfn.XLOOKUP(frasest[[#This Row],[autor_es]],autorest[autor_es],autorest[nacion_la])</f>
        <v>Albania</v>
      </c>
      <c r="N372" t="str">
        <f>_xlfn.XLOOKUP(frasest[[#This Row],[autor_es]],autorest[autor_es],autorest[epoca_es])</f>
        <v>Edad Contemporánea</v>
      </c>
      <c r="O372" t="str">
        <f>_xlfn.XLOOKUP(frasest[[#This Row],[autor_es]],autorest[autor_es],autorest[epoca_la])</f>
        <v>Aetas Contemporanea</v>
      </c>
    </row>
    <row r="373" spans="1:15">
      <c r="A373">
        <v>372</v>
      </c>
      <c r="B373" t="s">
        <v>994</v>
      </c>
      <c r="C373" t="s">
        <v>995</v>
      </c>
      <c r="D373" t="s">
        <v>996</v>
      </c>
      <c r="E373" t="s">
        <v>997</v>
      </c>
      <c r="F373" t="str">
        <f>_xlfn.XLOOKUP(frasest[[#This Row],[autor_es]],autorest[autor_es],autorest[autor_la])</f>
        <v>Sanctus Franciscus Assisiensis</v>
      </c>
      <c r="G373" s="4" t="str">
        <f>_xlfn.XLOOKUP(frasest[[#This Row],[autor_es]],autorest[autor_es],autorest[bio_es])</f>
        <v>Fraile católico italiano, fundador de la Orden Franciscana. Conocido por su amor a la naturaleza, la pobreza y la paz.</v>
      </c>
      <c r="H373" s="4" t="str">
        <f>_xlfn.XLOOKUP(frasest[[#This Row],[autor_es]],autorest[autor_es],autorest[bio_la])</f>
        <v>Frater catholicus Italicus, Ordinis Franciscani fundator. Notus propter amorem naturae, paupertatis et pacis.</v>
      </c>
      <c r="I373" t="str">
        <f>_xlfn.XLOOKUP(frasest[[#This Row],[autor_es]],autorest[autor_es],autorest[codigo])</f>
        <v>it</v>
      </c>
      <c r="J373" t="str">
        <f>_xlfn.XLOOKUP(frasest[[#This Row],[autor_es]],autorest[autor_es],autorest[idioma_es])</f>
        <v>Italiano</v>
      </c>
      <c r="K373" s="4" t="str">
        <f>_xlfn.XLOOKUP(frasest[[#This Row],[autor_es]],autorest[autor_es],autorest[idioma_la])</f>
        <v>Lingua Italica</v>
      </c>
      <c r="L373" t="str">
        <f>_xlfn.XLOOKUP(frasest[[#This Row],[autor_es]],autorest[autor_es],autorest[nacion_es])</f>
        <v>Italia</v>
      </c>
      <c r="M373" t="str">
        <f>_xlfn.XLOOKUP(frasest[[#This Row],[autor_es]],autorest[autor_es],autorest[nacion_la])</f>
        <v>Italia</v>
      </c>
      <c r="N373" t="str">
        <f>_xlfn.XLOOKUP(frasest[[#This Row],[autor_es]],autorest[autor_es],autorest[epoca_es])</f>
        <v>Edad Media</v>
      </c>
      <c r="O373" t="str">
        <f>_xlfn.XLOOKUP(frasest[[#This Row],[autor_es]],autorest[autor_es],autorest[epoca_la])</f>
        <v>Medium Aevum</v>
      </c>
    </row>
  </sheetData>
  <dataValidations count="1">
    <dataValidation type="list" allowBlank="1" showInputMessage="1" showErrorMessage="1" sqref="E2:E373" xr:uid="{8CEA02D7-0CD2-4489-A084-A259F01D7038}">
      <formula1>INDIRECT("'autores'!autorest[autor_es]")</formula1>
    </dataValidation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60CA4-B57D-4A83-AA63-646AD848A9F7}">
  <dimension ref="A1:N64"/>
  <sheetViews>
    <sheetView topLeftCell="G29" workbookViewId="0">
      <selection activeCell="M40" sqref="M40"/>
    </sheetView>
  </sheetViews>
  <sheetFormatPr defaultRowHeight="12.75"/>
  <cols>
    <col min="1" max="1" width="10.7109375" bestFit="1" customWidth="1"/>
    <col min="2" max="2" width="26.5703125" bestFit="1" customWidth="1"/>
    <col min="3" max="3" width="32.7109375" bestFit="1" customWidth="1"/>
    <col min="4" max="4" width="19.28515625" bestFit="1" customWidth="1"/>
    <col min="5" max="5" width="21" bestFit="1" customWidth="1"/>
    <col min="6" max="7" width="30.7109375" bestFit="1" customWidth="1"/>
    <col min="8" max="9" width="15.5703125" customWidth="1"/>
    <col min="10" max="11" width="12.140625" customWidth="1"/>
    <col min="12" max="12" width="18.5703125" bestFit="1" customWidth="1"/>
    <col min="13" max="13" width="23.28515625" customWidth="1"/>
    <col min="14" max="14" width="20" bestFit="1" customWidth="1"/>
  </cols>
  <sheetData>
    <row r="1" spans="1:14">
      <c r="A1" t="s">
        <v>998</v>
      </c>
      <c r="B1" t="s">
        <v>4</v>
      </c>
      <c r="C1" t="s">
        <v>5</v>
      </c>
      <c r="D1" t="s">
        <v>999</v>
      </c>
      <c r="E1" t="s">
        <v>1000</v>
      </c>
      <c r="F1" t="s">
        <v>6</v>
      </c>
      <c r="G1" t="s">
        <v>7</v>
      </c>
      <c r="H1" t="s">
        <v>9</v>
      </c>
      <c r="I1" t="s">
        <v>10</v>
      </c>
      <c r="J1" t="s">
        <v>8</v>
      </c>
      <c r="K1" t="s">
        <v>11</v>
      </c>
      <c r="L1" t="s">
        <v>12</v>
      </c>
      <c r="M1" t="s">
        <v>13</v>
      </c>
      <c r="N1" t="s">
        <v>14</v>
      </c>
    </row>
    <row r="2" spans="1:14">
      <c r="A2">
        <v>1</v>
      </c>
      <c r="B2" t="s">
        <v>59</v>
      </c>
      <c r="C2" t="s">
        <v>1001</v>
      </c>
      <c r="D2">
        <v>-65</v>
      </c>
      <c r="E2">
        <v>-8</v>
      </c>
      <c r="F2" t="s">
        <v>1002</v>
      </c>
      <c r="G2" t="s">
        <v>1003</v>
      </c>
      <c r="H2" t="s">
        <v>1004</v>
      </c>
      <c r="I2" t="str">
        <f>_xlfn.XLOOKUP(autorest[[#This Row],[idioma_es]],idiomast[idioma_es],idiomast[idioma_la])</f>
        <v>Lingua Latina</v>
      </c>
      <c r="J2" t="str">
        <f>_xlfn.XLOOKUP(autorest[[#This Row],[idioma_es]],idiomast[idioma_es],idiomast[codigo])</f>
        <v>la</v>
      </c>
      <c r="K2" t="s">
        <v>1005</v>
      </c>
      <c r="L2" t="str">
        <f>_xlfn.XLOOKUP(autorest[[#This Row],[nacion_es]],nacionest[nacion_es],nacionest[nacion_la])</f>
        <v>Roma</v>
      </c>
      <c r="M2" s="5" t="str" cm="1">
        <f t="array" ref="M2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2" t="str">
        <f>_xlfn.XLOOKUP(autorest[[#This Row],[epoca_es]],epocast[epoca_es],epocast[epoca_la])</f>
        <v>Antiquitas</v>
      </c>
    </row>
    <row r="3" spans="1:14">
      <c r="A3">
        <v>2</v>
      </c>
      <c r="B3" t="s">
        <v>43</v>
      </c>
      <c r="C3" t="s">
        <v>1006</v>
      </c>
      <c r="D3">
        <v>1596</v>
      </c>
      <c r="E3">
        <v>1650</v>
      </c>
      <c r="F3" t="s">
        <v>1007</v>
      </c>
      <c r="G3" t="s">
        <v>1008</v>
      </c>
      <c r="H3" t="s">
        <v>1004</v>
      </c>
      <c r="I3" t="str">
        <f>_xlfn.XLOOKUP(autorest[[#This Row],[idioma_es]],idiomast[idioma_es],idiomast[idioma_la])</f>
        <v>Lingua Latina</v>
      </c>
      <c r="J3" t="str">
        <f>_xlfn.XLOOKUP(autorest[[#This Row],[idioma_es]],idiomast[idioma_es],idiomast[codigo])</f>
        <v>la</v>
      </c>
      <c r="K3" t="s">
        <v>1009</v>
      </c>
      <c r="L3" t="s">
        <v>1010</v>
      </c>
      <c r="M3" s="5" t="str" cm="1">
        <f t="array" ref="M3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Moderna</v>
      </c>
      <c r="N3" s="4" t="str">
        <f>_xlfn.XLOOKUP(autorest[[#This Row],[epoca_es]],epocast[epoca_es],epocast[epoca_la])</f>
        <v>Nova Aetas</v>
      </c>
    </row>
    <row r="4" spans="1:14">
      <c r="A4">
        <v>3</v>
      </c>
      <c r="B4" t="s">
        <v>47</v>
      </c>
      <c r="C4" t="s">
        <v>1011</v>
      </c>
      <c r="D4">
        <v>1561</v>
      </c>
      <c r="E4">
        <v>1626</v>
      </c>
      <c r="F4" t="s">
        <v>1012</v>
      </c>
      <c r="G4" t="s">
        <v>1013</v>
      </c>
      <c r="H4" t="s">
        <v>1014</v>
      </c>
      <c r="I4" t="str">
        <f>_xlfn.XLOOKUP(autorest[[#This Row],[idioma_es]],idiomast[idioma_es],idiomast[idioma_la])</f>
        <v>Lingua Anglica</v>
      </c>
      <c r="J4" t="str">
        <f>_xlfn.XLOOKUP(autorest[[#This Row],[idioma_es]],idiomast[idioma_es],idiomast[codigo])</f>
        <v>en</v>
      </c>
      <c r="K4" t="s">
        <v>1015</v>
      </c>
      <c r="L4" t="s">
        <v>1016</v>
      </c>
      <c r="M4" s="5" t="str" cm="1">
        <f t="array" ref="M4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Moderna</v>
      </c>
      <c r="N4" s="4" t="str">
        <f>_xlfn.XLOOKUP(autorest[[#This Row],[epoca_es]],epocast[epoca_es],epocast[epoca_la])</f>
        <v>Nova Aetas</v>
      </c>
    </row>
    <row r="5" spans="1:14">
      <c r="A5">
        <v>4</v>
      </c>
      <c r="B5" t="s">
        <v>51</v>
      </c>
      <c r="C5" t="s">
        <v>1017</v>
      </c>
      <c r="D5">
        <v>354</v>
      </c>
      <c r="E5">
        <v>430</v>
      </c>
      <c r="F5" t="s">
        <v>1018</v>
      </c>
      <c r="G5" t="s">
        <v>1019</v>
      </c>
      <c r="H5" t="s">
        <v>1004</v>
      </c>
      <c r="I5" t="str">
        <f>_xlfn.XLOOKUP(autorest[[#This Row],[idioma_es]],idiomast[idioma_es],idiomast[idioma_la])</f>
        <v>Lingua Latina</v>
      </c>
      <c r="J5" t="str">
        <f>_xlfn.XLOOKUP(autorest[[#This Row],[idioma_es]],idiomast[idioma_es],idiomast[codigo])</f>
        <v>la</v>
      </c>
      <c r="K5" t="s">
        <v>1005</v>
      </c>
      <c r="L5" t="s">
        <v>1005</v>
      </c>
      <c r="M5" s="5" t="str" cm="1">
        <f t="array" ref="M5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5" s="4" t="str">
        <f>_xlfn.XLOOKUP(autorest[[#This Row],[epoca_es]],epocast[epoca_es],epocast[epoca_la])</f>
        <v>Antiquitas</v>
      </c>
    </row>
    <row r="6" spans="1:14">
      <c r="A6">
        <v>5</v>
      </c>
      <c r="B6" t="s">
        <v>63</v>
      </c>
      <c r="C6" t="s">
        <v>1020</v>
      </c>
      <c r="D6">
        <v>1564</v>
      </c>
      <c r="E6">
        <v>1616</v>
      </c>
      <c r="F6" t="s">
        <v>1021</v>
      </c>
      <c r="G6" t="s">
        <v>1022</v>
      </c>
      <c r="H6" t="s">
        <v>1014</v>
      </c>
      <c r="I6" t="str">
        <f>_xlfn.XLOOKUP(autorest[[#This Row],[idioma_es]],idiomast[idioma_es],idiomast[idioma_la])</f>
        <v>Lingua Anglica</v>
      </c>
      <c r="J6" t="str">
        <f>_xlfn.XLOOKUP(autorest[[#This Row],[idioma_es]],idiomast[idioma_es],idiomast[codigo])</f>
        <v>en</v>
      </c>
      <c r="K6" t="s">
        <v>1015</v>
      </c>
      <c r="L6" t="s">
        <v>1016</v>
      </c>
      <c r="M6" s="5" t="str" cm="1">
        <f t="array" ref="M6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Moderna</v>
      </c>
      <c r="N6" s="4" t="str">
        <f>_xlfn.XLOOKUP(autorest[[#This Row],[epoca_es]],epocast[epoca_es],epocast[epoca_la])</f>
        <v>Nova Aetas</v>
      </c>
    </row>
    <row r="7" spans="1:14">
      <c r="A7">
        <v>6</v>
      </c>
      <c r="B7" t="s">
        <v>37</v>
      </c>
      <c r="C7" t="s">
        <v>1023</v>
      </c>
      <c r="D7">
        <v>-990</v>
      </c>
      <c r="E7">
        <v>-931</v>
      </c>
      <c r="F7" t="s">
        <v>1024</v>
      </c>
      <c r="G7" t="s">
        <v>1025</v>
      </c>
      <c r="H7" t="s">
        <v>1026</v>
      </c>
      <c r="I7" t="str">
        <f>_xlfn.XLOOKUP(autorest[[#This Row],[idioma_es]],idiomast[idioma_es],idiomast[idioma_la])</f>
        <v>Lingua Hebraica</v>
      </c>
      <c r="J7" t="str">
        <f>_xlfn.XLOOKUP(autorest[[#This Row],[idioma_es]],idiomast[idioma_es],idiomast[codigo])</f>
        <v>he</v>
      </c>
      <c r="K7" t="s">
        <v>1027</v>
      </c>
      <c r="L7" t="s">
        <v>1027</v>
      </c>
      <c r="M7" s="5" t="str" cm="1">
        <f t="array" ref="M7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7" s="4" t="str">
        <f>_xlfn.XLOOKUP(autorest[[#This Row],[epoca_es]],epocast[epoca_es],epocast[epoca_la])</f>
        <v>Antiquitas</v>
      </c>
    </row>
    <row r="8" spans="1:14">
      <c r="A8">
        <v>7</v>
      </c>
      <c r="B8" t="s">
        <v>54</v>
      </c>
      <c r="C8" t="s">
        <v>1028</v>
      </c>
      <c r="D8">
        <v>1888</v>
      </c>
      <c r="E8">
        <v>1955</v>
      </c>
      <c r="F8" t="s">
        <v>1029</v>
      </c>
      <c r="G8" t="s">
        <v>1030</v>
      </c>
      <c r="H8" t="s">
        <v>1014</v>
      </c>
      <c r="I8" t="str">
        <f>_xlfn.XLOOKUP(autorest[[#This Row],[idioma_es]],idiomast[idioma_es],idiomast[idioma_la])</f>
        <v>Lingua Anglica</v>
      </c>
      <c r="J8" t="str">
        <f>_xlfn.XLOOKUP(autorest[[#This Row],[idioma_es]],idiomast[idioma_es],idiomast[codigo])</f>
        <v>en</v>
      </c>
      <c r="K8" t="s">
        <v>1031</v>
      </c>
      <c r="L8" t="s">
        <v>1032</v>
      </c>
      <c r="M8" s="5" t="str" cm="1">
        <f t="array" ref="M8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Contemporánea</v>
      </c>
      <c r="N8" s="4" t="str">
        <f>_xlfn.XLOOKUP(autorest[[#This Row],[epoca_es]],epocast[epoca_es],epocast[epoca_la])</f>
        <v>Aetas Contemporanea</v>
      </c>
    </row>
    <row r="9" spans="1:14">
      <c r="A9">
        <v>8</v>
      </c>
      <c r="B9" t="s">
        <v>981</v>
      </c>
      <c r="C9" t="s">
        <v>1033</v>
      </c>
      <c r="F9" t="s">
        <v>1034</v>
      </c>
      <c r="G9" t="s">
        <v>1035</v>
      </c>
      <c r="H9" t="s">
        <v>1036</v>
      </c>
      <c r="I9" t="str">
        <f>_xlfn.XLOOKUP(autorest[[#This Row],[idioma_es]],idiomast[idioma_es],idiomast[idioma_la])</f>
        <v>nd</v>
      </c>
      <c r="J9" t="str">
        <f>_xlfn.XLOOKUP(autorest[[#This Row],[idioma_es]],idiomast[idioma_es],idiomast[codigo])</f>
        <v>nd</v>
      </c>
      <c r="K9" t="s">
        <v>1036</v>
      </c>
      <c r="L9" t="s">
        <v>1036</v>
      </c>
      <c r="M9" s="5" t="str" cm="1">
        <f t="array" ref="M9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Epoca Desconocida</v>
      </c>
      <c r="N9" s="4" t="str">
        <f>_xlfn.XLOOKUP(autorest[[#This Row],[epoca_es]],epocast[epoca_es],epocast[epoca_la])</f>
        <v>Epocha Ignota</v>
      </c>
    </row>
    <row r="10" spans="1:14">
      <c r="A10">
        <v>9</v>
      </c>
      <c r="B10" t="s">
        <v>33</v>
      </c>
      <c r="C10" t="s">
        <v>1037</v>
      </c>
      <c r="F10" t="s">
        <v>1038</v>
      </c>
      <c r="G10" t="s">
        <v>1039</v>
      </c>
      <c r="H10" t="s">
        <v>1040</v>
      </c>
      <c r="I10" t="str">
        <f>_xlfn.XLOOKUP(autorest[[#This Row],[idioma_es]],idiomast[idioma_es],idiomast[idioma_la])</f>
        <v>Lingua Sinica</v>
      </c>
      <c r="J10" t="str">
        <f>_xlfn.XLOOKUP(autorest[[#This Row],[idioma_es]],idiomast[idioma_es],idiomast[codigo])</f>
        <v>zh</v>
      </c>
      <c r="K10" t="s">
        <v>1041</v>
      </c>
      <c r="L10" t="s">
        <v>1042</v>
      </c>
      <c r="M10" s="5" t="str" cm="1">
        <f t="array" ref="M10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Epoca Desconocida</v>
      </c>
      <c r="N10" s="4" t="str">
        <f>_xlfn.XLOOKUP(autorest[[#This Row],[epoca_es]],epocast[epoca_es],epocast[epoca_la])</f>
        <v>Epocha Ignota</v>
      </c>
    </row>
    <row r="11" spans="1:14">
      <c r="A11">
        <v>10</v>
      </c>
      <c r="B11" t="s">
        <v>25</v>
      </c>
      <c r="C11" t="s">
        <v>1043</v>
      </c>
      <c r="F11" t="s">
        <v>1044</v>
      </c>
      <c r="G11" t="s">
        <v>1045</v>
      </c>
      <c r="H11" t="s">
        <v>1046</v>
      </c>
      <c r="I11" t="str">
        <f>_xlfn.XLOOKUP(autorest[[#This Row],[idioma_es]],idiomast[idioma_es],idiomast[idioma_la])</f>
        <v>Lingua Iaponica</v>
      </c>
      <c r="J11" t="str">
        <f>_xlfn.XLOOKUP(autorest[[#This Row],[idioma_es]],idiomast[idioma_es],idiomast[codigo])</f>
        <v>ja</v>
      </c>
      <c r="K11" t="s">
        <v>1047</v>
      </c>
      <c r="L11" t="s">
        <v>1048</v>
      </c>
      <c r="M11" s="5" t="str" cm="1">
        <f t="array" ref="M11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Epoca Desconocida</v>
      </c>
      <c r="N11" s="4" t="str">
        <f>_xlfn.XLOOKUP(autorest[[#This Row],[epoca_es]],epocast[epoca_es],epocast[epoca_la])</f>
        <v>Epocha Ignota</v>
      </c>
    </row>
    <row r="12" spans="1:14">
      <c r="A12">
        <v>11</v>
      </c>
      <c r="B12" t="s">
        <v>18</v>
      </c>
      <c r="C12" t="s">
        <v>1049</v>
      </c>
      <c r="F12" t="s">
        <v>1050</v>
      </c>
      <c r="G12" t="s">
        <v>1051</v>
      </c>
      <c r="H12" t="s">
        <v>1052</v>
      </c>
      <c r="I12" t="str">
        <f>_xlfn.XLOOKUP(autorest[[#This Row],[idioma_es]],idiomast[idioma_es],idiomast[idioma_la])</f>
        <v>Lingua Gallica</v>
      </c>
      <c r="J12" t="str">
        <f>_xlfn.XLOOKUP(autorest[[#This Row],[idioma_es]],idiomast[idioma_es],idiomast[codigo])</f>
        <v>fr</v>
      </c>
      <c r="K12" t="s">
        <v>1009</v>
      </c>
      <c r="L12" t="s">
        <v>1010</v>
      </c>
      <c r="M12" s="5" t="str" cm="1">
        <f t="array" ref="M12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Epoca Desconocida</v>
      </c>
      <c r="N12" s="4" t="str">
        <f>_xlfn.XLOOKUP(autorest[[#This Row],[epoca_es]],epocast[epoca_es],epocast[epoca_la])</f>
        <v>Epocha Ignota</v>
      </c>
    </row>
    <row r="13" spans="1:14">
      <c r="A13">
        <v>12</v>
      </c>
      <c r="B13" t="s">
        <v>29</v>
      </c>
      <c r="C13" t="s">
        <v>1053</v>
      </c>
      <c r="F13" t="s">
        <v>1054</v>
      </c>
      <c r="G13" t="s">
        <v>1055</v>
      </c>
      <c r="H13" t="s">
        <v>1056</v>
      </c>
      <c r="I13" t="str">
        <f>_xlfn.XLOOKUP(autorest[[#This Row],[idioma_es]],idiomast[idioma_es],idiomast[idioma_la])</f>
        <v>Lingua Russica</v>
      </c>
      <c r="J13" t="str">
        <f>_xlfn.XLOOKUP(autorest[[#This Row],[idioma_es]],idiomast[idioma_es],idiomast[codigo])</f>
        <v>ru</v>
      </c>
      <c r="K13" t="s">
        <v>1057</v>
      </c>
      <c r="L13" t="s">
        <v>1058</v>
      </c>
      <c r="M13" s="5" t="str" cm="1">
        <f t="array" ref="M13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Epoca Desconocida</v>
      </c>
      <c r="N13" s="4" t="str">
        <f>_xlfn.XLOOKUP(autorest[[#This Row],[epoca_es]],epocast[epoca_es],epocast[epoca_la])</f>
        <v>Epocha Ignota</v>
      </c>
    </row>
    <row r="14" spans="1:14">
      <c r="A14">
        <v>13</v>
      </c>
      <c r="B14" t="s">
        <v>21</v>
      </c>
      <c r="C14" t="s">
        <v>1059</v>
      </c>
      <c r="F14" t="s">
        <v>1060</v>
      </c>
      <c r="G14" t="s">
        <v>1061</v>
      </c>
      <c r="H14" t="s">
        <v>1062</v>
      </c>
      <c r="I14" t="str">
        <f>_xlfn.XLOOKUP(autorest[[#This Row],[idioma_es]],idiomast[idioma_es],idiomast[idioma_la])</f>
        <v>Lingua Hispanica</v>
      </c>
      <c r="J14" t="str">
        <f>_xlfn.XLOOKUP(autorest[[#This Row],[idioma_es]],idiomast[idioma_es],idiomast[codigo])</f>
        <v>es</v>
      </c>
      <c r="K14" t="s">
        <v>1063</v>
      </c>
      <c r="L14" t="s">
        <v>1064</v>
      </c>
      <c r="M14" s="5" t="str" cm="1">
        <f t="array" ref="M14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Epoca Desconocida</v>
      </c>
      <c r="N14" s="4" t="str">
        <f>_xlfn.XLOOKUP(autorest[[#This Row],[epoca_es]],epocast[epoca_es],epocast[epoca_la])</f>
        <v>Epocha Ignota</v>
      </c>
    </row>
    <row r="15" spans="1:14">
      <c r="A15">
        <v>14</v>
      </c>
      <c r="B15" t="s">
        <v>985</v>
      </c>
      <c r="C15" t="s">
        <v>1065</v>
      </c>
      <c r="F15" t="s">
        <v>1066</v>
      </c>
      <c r="G15" t="s">
        <v>1067</v>
      </c>
      <c r="H15" t="s">
        <v>1068</v>
      </c>
      <c r="I15" t="str">
        <f>_xlfn.XLOOKUP(autorest[[#This Row],[idioma_es]],idiomast[idioma_es],idiomast[idioma_la])</f>
        <v>Lingua Vasconica</v>
      </c>
      <c r="J15" t="str">
        <f>_xlfn.XLOOKUP(autorest[[#This Row],[idioma_es]],idiomast[idioma_es],idiomast[codigo])</f>
        <v>eu</v>
      </c>
      <c r="K15" t="s">
        <v>1036</v>
      </c>
      <c r="L15" t="s">
        <v>1036</v>
      </c>
      <c r="M15" s="5" t="str" cm="1">
        <f t="array" ref="M15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Epoca Desconocida</v>
      </c>
      <c r="N15" s="4" t="str">
        <f>_xlfn.XLOOKUP(autorest[[#This Row],[epoca_es]],epocast[epoca_es],epocast[epoca_la])</f>
        <v>Epocha Ignota</v>
      </c>
    </row>
    <row r="16" spans="1:14">
      <c r="A16">
        <v>15</v>
      </c>
      <c r="B16" t="s">
        <v>71</v>
      </c>
      <c r="C16" t="s">
        <v>1069</v>
      </c>
      <c r="D16">
        <v>-100</v>
      </c>
      <c r="E16">
        <v>-44</v>
      </c>
      <c r="F16" t="s">
        <v>1070</v>
      </c>
      <c r="G16" t="s">
        <v>1071</v>
      </c>
      <c r="H16" t="s">
        <v>1004</v>
      </c>
      <c r="I16" t="str">
        <f>_xlfn.XLOOKUP(autorest[[#This Row],[idioma_es]],idiomast[idioma_es],idiomast[idioma_la])</f>
        <v>Lingua Latina</v>
      </c>
      <c r="J16" t="str">
        <f>_xlfn.XLOOKUP(autorest[[#This Row],[idioma_es]],idiomast[idioma_es],idiomast[codigo])</f>
        <v>la</v>
      </c>
      <c r="K16" t="s">
        <v>1005</v>
      </c>
      <c r="L16" t="s">
        <v>1005</v>
      </c>
      <c r="M16" s="5" t="str" cm="1">
        <f t="array" ref="M16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16" s="4" t="str">
        <f>_xlfn.XLOOKUP(autorest[[#This Row],[epoca_es]],epocast[epoca_es],epocast[epoca_la])</f>
        <v>Antiquitas</v>
      </c>
    </row>
    <row r="17" spans="1:14">
      <c r="A17">
        <v>16</v>
      </c>
      <c r="B17" t="s">
        <v>74</v>
      </c>
      <c r="C17" t="s">
        <v>1072</v>
      </c>
      <c r="D17">
        <v>-515</v>
      </c>
      <c r="E17">
        <v>-450</v>
      </c>
      <c r="F17" t="s">
        <v>1073</v>
      </c>
      <c r="G17" t="s">
        <v>1074</v>
      </c>
      <c r="H17" t="s">
        <v>1004</v>
      </c>
      <c r="I17" t="str">
        <f>_xlfn.XLOOKUP(autorest[[#This Row],[idioma_es]],idiomast[idioma_es],idiomast[idioma_la])</f>
        <v>Lingua Latina</v>
      </c>
      <c r="J17" t="str">
        <f>_xlfn.XLOOKUP(autorest[[#This Row],[idioma_es]],idiomast[idioma_es],idiomast[codigo])</f>
        <v>la</v>
      </c>
      <c r="K17" t="s">
        <v>1075</v>
      </c>
      <c r="L17" t="s">
        <v>1076</v>
      </c>
      <c r="M17" s="5" t="str" cm="1">
        <f t="array" ref="M17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17" s="4" t="str">
        <f>_xlfn.XLOOKUP(autorest[[#This Row],[epoca_es]],epocast[epoca_es],epocast[epoca_la])</f>
        <v>Antiquitas</v>
      </c>
    </row>
    <row r="18" spans="1:14">
      <c r="A18">
        <v>17</v>
      </c>
      <c r="B18" t="s">
        <v>81</v>
      </c>
      <c r="C18" t="s">
        <v>1077</v>
      </c>
      <c r="D18">
        <v>-551</v>
      </c>
      <c r="E18">
        <v>-479</v>
      </c>
      <c r="F18" t="s">
        <v>1078</v>
      </c>
      <c r="G18" t="s">
        <v>1079</v>
      </c>
      <c r="H18" t="s">
        <v>1040</v>
      </c>
      <c r="I18" t="str">
        <f>_xlfn.XLOOKUP(autorest[[#This Row],[idioma_es]],idiomast[idioma_es],idiomast[idioma_la])</f>
        <v>Lingua Sinica</v>
      </c>
      <c r="J18" t="str">
        <f>_xlfn.XLOOKUP(autorest[[#This Row],[idioma_es]],idiomast[idioma_es],idiomast[codigo])</f>
        <v>zh</v>
      </c>
      <c r="K18" t="s">
        <v>1041</v>
      </c>
      <c r="L18" t="s">
        <v>1042</v>
      </c>
      <c r="M18" s="5" t="str" cm="1">
        <f t="array" ref="M18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18" s="4" t="str">
        <f>_xlfn.XLOOKUP(autorest[[#This Row],[epoca_es]],epocast[epoca_es],epocast[epoca_la])</f>
        <v>Antiquitas</v>
      </c>
    </row>
    <row r="19" spans="1:14">
      <c r="A19">
        <v>18</v>
      </c>
      <c r="B19" t="s">
        <v>96</v>
      </c>
      <c r="C19" t="s">
        <v>1080</v>
      </c>
      <c r="D19">
        <v>560</v>
      </c>
      <c r="E19">
        <v>636</v>
      </c>
      <c r="F19" t="s">
        <v>1081</v>
      </c>
      <c r="G19" t="s">
        <v>1082</v>
      </c>
      <c r="H19" t="s">
        <v>1004</v>
      </c>
      <c r="I19" t="str">
        <f>_xlfn.XLOOKUP(autorest[[#This Row],[idioma_es]],idiomast[idioma_es],idiomast[idioma_la])</f>
        <v>Lingua Latina</v>
      </c>
      <c r="J19" t="str">
        <f>_xlfn.XLOOKUP(autorest[[#This Row],[idioma_es]],idiomast[idioma_es],idiomast[codigo])</f>
        <v>la</v>
      </c>
      <c r="K19" t="s">
        <v>1063</v>
      </c>
      <c r="L19" t="s">
        <v>1064</v>
      </c>
      <c r="M19" s="5" t="str" cm="1">
        <f t="array" ref="M19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Media</v>
      </c>
      <c r="N19" s="4" t="str">
        <f>_xlfn.XLOOKUP(autorest[[#This Row],[epoca_es]],epocast[epoca_es],epocast[epoca_la])</f>
        <v>Medium Aevum</v>
      </c>
    </row>
    <row r="20" spans="1:14">
      <c r="A20">
        <v>19</v>
      </c>
      <c r="B20" t="s">
        <v>144</v>
      </c>
      <c r="C20" t="s">
        <v>1083</v>
      </c>
      <c r="D20">
        <v>-4</v>
      </c>
      <c r="E20">
        <v>65</v>
      </c>
      <c r="F20" t="s">
        <v>1084</v>
      </c>
      <c r="G20" t="s">
        <v>1085</v>
      </c>
      <c r="H20" t="s">
        <v>1004</v>
      </c>
      <c r="I20" t="str">
        <f>_xlfn.XLOOKUP(autorest[[#This Row],[idioma_es]],idiomast[idioma_es],idiomast[idioma_la])</f>
        <v>Lingua Latina</v>
      </c>
      <c r="J20" t="str">
        <f>_xlfn.XLOOKUP(autorest[[#This Row],[idioma_es]],idiomast[idioma_es],idiomast[codigo])</f>
        <v>la</v>
      </c>
      <c r="K20" t="s">
        <v>1005</v>
      </c>
      <c r="L20" t="s">
        <v>1005</v>
      </c>
      <c r="M20" s="5" t="str" cm="1">
        <f t="array" ref="M20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20" s="4" t="str">
        <f>_xlfn.XLOOKUP(autorest[[#This Row],[epoca_es]],epocast[epoca_es],epocast[epoca_la])</f>
        <v>Antiquitas</v>
      </c>
    </row>
    <row r="21" spans="1:14">
      <c r="A21">
        <v>20</v>
      </c>
      <c r="B21" t="s">
        <v>157</v>
      </c>
      <c r="C21" t="s">
        <v>1086</v>
      </c>
      <c r="D21">
        <v>1225</v>
      </c>
      <c r="E21">
        <v>1274</v>
      </c>
      <c r="F21" t="s">
        <v>1087</v>
      </c>
      <c r="G21" t="s">
        <v>1088</v>
      </c>
      <c r="H21" t="s">
        <v>1004</v>
      </c>
      <c r="I21" t="str">
        <f>_xlfn.XLOOKUP(autorest[[#This Row],[idioma_es]],idiomast[idioma_es],idiomast[idioma_la])</f>
        <v>Lingua Latina</v>
      </c>
      <c r="J21" t="str">
        <f>_xlfn.XLOOKUP(autorest[[#This Row],[idioma_es]],idiomast[idioma_es],idiomast[codigo])</f>
        <v>la</v>
      </c>
      <c r="K21" t="s">
        <v>1089</v>
      </c>
      <c r="L21" t="s">
        <v>1089</v>
      </c>
      <c r="M21" s="5" t="str" cm="1">
        <f t="array" ref="M21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Media</v>
      </c>
      <c r="N21" s="4" t="str">
        <f>_xlfn.XLOOKUP(autorest[[#This Row],[epoca_es]],epocast[epoca_es],epocast[epoca_la])</f>
        <v>Medium Aevum</v>
      </c>
    </row>
    <row r="22" spans="1:14">
      <c r="A22">
        <v>21</v>
      </c>
      <c r="B22" t="s">
        <v>172</v>
      </c>
      <c r="C22" t="s">
        <v>172</v>
      </c>
      <c r="D22">
        <v>1844</v>
      </c>
      <c r="E22">
        <v>1900</v>
      </c>
      <c r="F22" t="s">
        <v>1090</v>
      </c>
      <c r="G22" t="s">
        <v>1091</v>
      </c>
      <c r="H22" t="s">
        <v>1092</v>
      </c>
      <c r="I22" t="str">
        <f>_xlfn.XLOOKUP(autorest[[#This Row],[idioma_es]],idiomast[idioma_es],idiomast[idioma_la])</f>
        <v>Lingua Germanica</v>
      </c>
      <c r="J22" t="str">
        <f>_xlfn.XLOOKUP(autorest[[#This Row],[idioma_es]],idiomast[idioma_es],idiomast[codigo])</f>
        <v>de</v>
      </c>
      <c r="K22" t="s">
        <v>1093</v>
      </c>
      <c r="L22" t="s">
        <v>1094</v>
      </c>
      <c r="M22" s="5" t="str" cm="1">
        <f t="array" ref="M22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Contemporánea</v>
      </c>
      <c r="N22" s="4" t="str">
        <f>_xlfn.XLOOKUP(autorest[[#This Row],[epoca_es]],epocast[epoca_es],epocast[epoca_la])</f>
        <v>Aetas Contemporanea</v>
      </c>
    </row>
    <row r="23" spans="1:14">
      <c r="A23">
        <v>22</v>
      </c>
      <c r="B23" t="s">
        <v>188</v>
      </c>
      <c r="C23" t="s">
        <v>188</v>
      </c>
      <c r="D23">
        <v>1874</v>
      </c>
      <c r="E23">
        <v>1936</v>
      </c>
      <c r="F23" t="s">
        <v>1095</v>
      </c>
      <c r="G23" t="s">
        <v>1096</v>
      </c>
      <c r="H23" t="s">
        <v>1014</v>
      </c>
      <c r="I23" t="str">
        <f>_xlfn.XLOOKUP(autorest[[#This Row],[idioma_es]],idiomast[idioma_es],idiomast[idioma_la])</f>
        <v>Lingua Anglica</v>
      </c>
      <c r="J23" t="str">
        <f>_xlfn.XLOOKUP(autorest[[#This Row],[idioma_es]],idiomast[idioma_es],idiomast[codigo])</f>
        <v>en</v>
      </c>
      <c r="K23" t="s">
        <v>1015</v>
      </c>
      <c r="L23" t="s">
        <v>1016</v>
      </c>
      <c r="M23" s="5" t="str" cm="1">
        <f t="array" ref="M23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Contemporánea</v>
      </c>
      <c r="N23" s="4" t="str">
        <f>_xlfn.XLOOKUP(autorest[[#This Row],[epoca_es]],epocast[epoca_es],epocast[epoca_la])</f>
        <v>Aetas Contemporanea</v>
      </c>
    </row>
    <row r="24" spans="1:14">
      <c r="A24">
        <v>23</v>
      </c>
      <c r="B24" t="s">
        <v>204</v>
      </c>
      <c r="C24" t="s">
        <v>1097</v>
      </c>
      <c r="D24">
        <v>1920</v>
      </c>
      <c r="E24">
        <v>2005</v>
      </c>
      <c r="F24" t="s">
        <v>1098</v>
      </c>
      <c r="G24" t="s">
        <v>1099</v>
      </c>
      <c r="H24" t="s">
        <v>1004</v>
      </c>
      <c r="I24" t="str">
        <f>_xlfn.XLOOKUP(autorest[[#This Row],[idioma_es]],idiomast[idioma_es],idiomast[idioma_la])</f>
        <v>Lingua Latina</v>
      </c>
      <c r="J24" t="str">
        <f>_xlfn.XLOOKUP(autorest[[#This Row],[idioma_es]],idiomast[idioma_es],idiomast[codigo])</f>
        <v>la</v>
      </c>
      <c r="K24" t="s">
        <v>1100</v>
      </c>
      <c r="L24" t="s">
        <v>1100</v>
      </c>
      <c r="M24" s="5" t="str" cm="1">
        <f t="array" ref="M24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Contemporánea</v>
      </c>
      <c r="N24" s="4" t="str">
        <f>_xlfn.XLOOKUP(autorest[[#This Row],[epoca_es]],epocast[epoca_es],epocast[epoca_la])</f>
        <v>Aetas Contemporanea</v>
      </c>
    </row>
    <row r="25" spans="1:14">
      <c r="A25">
        <v>24</v>
      </c>
      <c r="B25" t="s">
        <v>228</v>
      </c>
      <c r="C25" t="s">
        <v>1101</v>
      </c>
      <c r="D25">
        <v>1651</v>
      </c>
      <c r="E25">
        <v>1719</v>
      </c>
      <c r="F25" t="s">
        <v>1102</v>
      </c>
      <c r="G25" t="s">
        <v>1103</v>
      </c>
      <c r="H25" t="s">
        <v>1004</v>
      </c>
      <c r="I25" t="str">
        <f>_xlfn.XLOOKUP(autorest[[#This Row],[idioma_es]],idiomast[idioma_es],idiomast[idioma_la])</f>
        <v>Lingua Latina</v>
      </c>
      <c r="J25" t="str">
        <f>_xlfn.XLOOKUP(autorest[[#This Row],[idioma_es]],idiomast[idioma_es],idiomast[codigo])</f>
        <v>la</v>
      </c>
      <c r="K25" t="s">
        <v>1009</v>
      </c>
      <c r="L25" t="s">
        <v>1010</v>
      </c>
      <c r="M25" s="5" t="str" cm="1">
        <f t="array" ref="M25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Moderna</v>
      </c>
      <c r="N25" s="4" t="str">
        <f>_xlfn.XLOOKUP(autorest[[#This Row],[epoca_es]],epocast[epoca_es],epocast[epoca_la])</f>
        <v>Nova Aetas</v>
      </c>
    </row>
    <row r="26" spans="1:14">
      <c r="A26">
        <v>25</v>
      </c>
      <c r="B26" t="s">
        <v>232</v>
      </c>
      <c r="C26" t="s">
        <v>1104</v>
      </c>
      <c r="F26" t="s">
        <v>1105</v>
      </c>
      <c r="G26" t="s">
        <v>1106</v>
      </c>
      <c r="H26" t="s">
        <v>1107</v>
      </c>
      <c r="I26" t="str">
        <f>_xlfn.XLOOKUP(autorest[[#This Row],[idioma_es]],idiomast[idioma_es],idiomast[idioma_la])</f>
        <v>Lingua Arabica</v>
      </c>
      <c r="J26" t="str">
        <f>_xlfn.XLOOKUP(autorest[[#This Row],[idioma_es]],idiomast[idioma_es],idiomast[codigo])</f>
        <v>ar</v>
      </c>
      <c r="K26" t="s">
        <v>1108</v>
      </c>
      <c r="L26" t="s">
        <v>1108</v>
      </c>
      <c r="M26" s="5" t="str" cm="1">
        <f t="array" ref="M26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Epoca Desconocida</v>
      </c>
      <c r="N26" s="4" t="str">
        <f>_xlfn.XLOOKUP(autorest[[#This Row],[epoca_es]],epocast[epoca_es],epocast[epoca_la])</f>
        <v>Epocha Ignota</v>
      </c>
    </row>
    <row r="27" spans="1:14">
      <c r="A27">
        <v>26</v>
      </c>
      <c r="B27" t="s">
        <v>263</v>
      </c>
      <c r="C27" t="s">
        <v>1109</v>
      </c>
      <c r="F27" t="s">
        <v>1110</v>
      </c>
      <c r="G27" t="s">
        <v>1111</v>
      </c>
      <c r="H27" t="s">
        <v>1112</v>
      </c>
      <c r="I27" t="str">
        <f>_xlfn.XLOOKUP(autorest[[#This Row],[idioma_es]],idiomast[idioma_es],idiomast[idioma_la])</f>
        <v>Lingua Indica</v>
      </c>
      <c r="J27" t="str">
        <f>_xlfn.XLOOKUP(autorest[[#This Row],[idioma_es]],idiomast[idioma_es],idiomast[codigo])</f>
        <v>hi</v>
      </c>
      <c r="K27" t="s">
        <v>1113</v>
      </c>
      <c r="L27" t="s">
        <v>1113</v>
      </c>
      <c r="M27" s="5" t="str" cm="1">
        <f t="array" ref="M27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Epoca Desconocida</v>
      </c>
      <c r="N27" s="4" t="str">
        <f>_xlfn.XLOOKUP(autorest[[#This Row],[epoca_es]],epocast[epoca_es],epocast[epoca_la])</f>
        <v>Epocha Ignota</v>
      </c>
    </row>
    <row r="28" spans="1:14">
      <c r="A28">
        <v>27</v>
      </c>
      <c r="B28" t="s">
        <v>294</v>
      </c>
      <c r="C28" t="s">
        <v>1114</v>
      </c>
      <c r="D28">
        <v>1880</v>
      </c>
      <c r="E28">
        <v>1936</v>
      </c>
      <c r="F28" t="s">
        <v>1115</v>
      </c>
      <c r="G28" t="s">
        <v>1116</v>
      </c>
      <c r="H28" t="s">
        <v>1092</v>
      </c>
      <c r="I28" t="str">
        <f>_xlfn.XLOOKUP(autorest[[#This Row],[idioma_es]],idiomast[idioma_es],idiomast[idioma_la])</f>
        <v>Lingua Germanica</v>
      </c>
      <c r="J28" t="str">
        <f>_xlfn.XLOOKUP(autorest[[#This Row],[idioma_es]],idiomast[idioma_es],idiomast[codigo])</f>
        <v>de</v>
      </c>
      <c r="K28" t="s">
        <v>1093</v>
      </c>
      <c r="L28" t="s">
        <v>1094</v>
      </c>
      <c r="M28" s="5" t="str" cm="1">
        <f t="array" ref="M28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Contemporánea</v>
      </c>
      <c r="N28" s="4" t="str">
        <f>_xlfn.XLOOKUP(autorest[[#This Row],[epoca_es]],epocast[epoca_es],epocast[epoca_la])</f>
        <v>Aetas Contemporanea</v>
      </c>
    </row>
    <row r="29" spans="1:14">
      <c r="A29">
        <v>28</v>
      </c>
      <c r="B29" t="s">
        <v>309</v>
      </c>
      <c r="C29" t="s">
        <v>1117</v>
      </c>
      <c r="D29">
        <v>1547</v>
      </c>
      <c r="E29">
        <v>1616</v>
      </c>
      <c r="F29" t="s">
        <v>1118</v>
      </c>
      <c r="G29" t="s">
        <v>1119</v>
      </c>
      <c r="H29" t="s">
        <v>1062</v>
      </c>
      <c r="I29" t="str">
        <f>_xlfn.XLOOKUP(autorest[[#This Row],[idioma_es]],idiomast[idioma_es],idiomast[idioma_la])</f>
        <v>Lingua Hispanica</v>
      </c>
      <c r="J29" t="str">
        <f>_xlfn.XLOOKUP(autorest[[#This Row],[idioma_es]],idiomast[idioma_es],idiomast[codigo])</f>
        <v>es</v>
      </c>
      <c r="K29" t="s">
        <v>1063</v>
      </c>
      <c r="L29" t="s">
        <v>1064</v>
      </c>
      <c r="M29" s="5" t="str" cm="1">
        <f t="array" ref="M29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Moderna</v>
      </c>
      <c r="N29" s="4" t="str">
        <f>_xlfn.XLOOKUP(autorest[[#This Row],[epoca_es]],epocast[epoca_es],epocast[epoca_la])</f>
        <v>Nova Aetas</v>
      </c>
    </row>
    <row r="30" spans="1:14">
      <c r="A30">
        <v>29</v>
      </c>
      <c r="B30" t="s">
        <v>331</v>
      </c>
      <c r="C30" t="s">
        <v>1120</v>
      </c>
      <c r="D30">
        <v>1918</v>
      </c>
      <c r="E30">
        <v>2013</v>
      </c>
      <c r="F30" t="s">
        <v>1121</v>
      </c>
      <c r="G30" t="s">
        <v>1122</v>
      </c>
      <c r="H30" t="s">
        <v>1014</v>
      </c>
      <c r="I30" t="str">
        <f>_xlfn.XLOOKUP(autorest[[#This Row],[idioma_es]],idiomast[idioma_es],idiomast[idioma_la])</f>
        <v>Lingua Anglica</v>
      </c>
      <c r="J30" t="str">
        <f>_xlfn.XLOOKUP(autorest[[#This Row],[idioma_es]],idiomast[idioma_es],idiomast[codigo])</f>
        <v>en</v>
      </c>
      <c r="K30" t="s">
        <v>1123</v>
      </c>
      <c r="L30" t="s">
        <v>1124</v>
      </c>
      <c r="M30" s="5" t="str" cm="1">
        <f t="array" ref="M30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Contemporánea</v>
      </c>
      <c r="N30" s="4" t="str">
        <f>_xlfn.XLOOKUP(autorest[[#This Row],[epoca_es]],epocast[epoca_es],epocast[epoca_la])</f>
        <v>Aetas Contemporanea</v>
      </c>
    </row>
    <row r="31" spans="1:14">
      <c r="A31">
        <v>30</v>
      </c>
      <c r="B31" t="s">
        <v>335</v>
      </c>
      <c r="C31" t="s">
        <v>1125</v>
      </c>
      <c r="D31">
        <v>1869</v>
      </c>
      <c r="E31">
        <v>1948</v>
      </c>
      <c r="F31" t="s">
        <v>1126</v>
      </c>
      <c r="G31" t="s">
        <v>1127</v>
      </c>
      <c r="H31" t="s">
        <v>1014</v>
      </c>
      <c r="I31" t="str">
        <f>_xlfn.XLOOKUP(autorest[[#This Row],[idioma_es]],idiomast[idioma_es],idiomast[idioma_la])</f>
        <v>Lingua Anglica</v>
      </c>
      <c r="J31" t="str">
        <f>_xlfn.XLOOKUP(autorest[[#This Row],[idioma_es]],idiomast[idioma_es],idiomast[codigo])</f>
        <v>en</v>
      </c>
      <c r="K31" t="s">
        <v>1113</v>
      </c>
      <c r="L31" t="s">
        <v>1113</v>
      </c>
      <c r="M31" s="5" t="str" cm="1">
        <f t="array" ref="M31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Contemporánea</v>
      </c>
      <c r="N31" s="4" t="str">
        <f>_xlfn.XLOOKUP(autorest[[#This Row],[epoca_es]],epocast[epoca_es],epocast[epoca_la])</f>
        <v>Aetas Contemporanea</v>
      </c>
    </row>
    <row r="32" spans="1:14">
      <c r="A32">
        <v>31</v>
      </c>
      <c r="B32" t="s">
        <v>339</v>
      </c>
      <c r="C32" t="s">
        <v>1128</v>
      </c>
      <c r="D32">
        <v>1879</v>
      </c>
      <c r="E32">
        <v>1955</v>
      </c>
      <c r="F32" t="s">
        <v>1129</v>
      </c>
      <c r="G32" t="s">
        <v>1130</v>
      </c>
      <c r="H32" t="s">
        <v>1014</v>
      </c>
      <c r="I32" t="str">
        <f>_xlfn.XLOOKUP(autorest[[#This Row],[idioma_es]],idiomast[idioma_es],idiomast[idioma_la])</f>
        <v>Lingua Anglica</v>
      </c>
      <c r="J32" t="str">
        <f>_xlfn.XLOOKUP(autorest[[#This Row],[idioma_es]],idiomast[idioma_es],idiomast[codigo])</f>
        <v>en</v>
      </c>
      <c r="K32" t="s">
        <v>1093</v>
      </c>
      <c r="L32" t="s">
        <v>1094</v>
      </c>
      <c r="M32" s="5" t="str" cm="1">
        <f t="array" ref="M32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Contemporánea</v>
      </c>
      <c r="N32" s="4" t="str">
        <f>_xlfn.XLOOKUP(autorest[[#This Row],[epoca_es]],epocast[epoca_es],epocast[epoca_la])</f>
        <v>Aetas Contemporanea</v>
      </c>
    </row>
    <row r="33" spans="1:14">
      <c r="A33">
        <v>32</v>
      </c>
      <c r="B33" t="s">
        <v>343</v>
      </c>
      <c r="C33" t="s">
        <v>1131</v>
      </c>
      <c r="D33">
        <v>1929</v>
      </c>
      <c r="E33">
        <v>1968</v>
      </c>
      <c r="F33" t="s">
        <v>1132</v>
      </c>
      <c r="G33" t="s">
        <v>1133</v>
      </c>
      <c r="H33" t="s">
        <v>1014</v>
      </c>
      <c r="I33" t="str">
        <f>_xlfn.XLOOKUP(autorest[[#This Row],[idioma_es]],idiomast[idioma_es],idiomast[idioma_la])</f>
        <v>Lingua Anglica</v>
      </c>
      <c r="J33" t="str">
        <f>_xlfn.XLOOKUP(autorest[[#This Row],[idioma_es]],idiomast[idioma_es],idiomast[codigo])</f>
        <v>en</v>
      </c>
      <c r="K33" t="s">
        <v>1031</v>
      </c>
      <c r="L33" t="s">
        <v>1032</v>
      </c>
      <c r="M33" s="5" t="str" cm="1">
        <f t="array" ref="M33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Contemporánea</v>
      </c>
      <c r="N33" s="4" t="str">
        <f>_xlfn.XLOOKUP(autorest[[#This Row],[epoca_es]],epocast[epoca_es],epocast[epoca_la])</f>
        <v>Aetas Contemporanea</v>
      </c>
    </row>
    <row r="34" spans="1:14">
      <c r="A34">
        <v>33</v>
      </c>
      <c r="B34" t="s">
        <v>347</v>
      </c>
      <c r="C34" t="s">
        <v>1134</v>
      </c>
      <c r="D34">
        <v>1859</v>
      </c>
      <c r="E34">
        <v>1952</v>
      </c>
      <c r="F34" t="s">
        <v>1135</v>
      </c>
      <c r="G34" t="s">
        <v>1136</v>
      </c>
      <c r="H34" t="s">
        <v>1014</v>
      </c>
      <c r="I34" t="str">
        <f>_xlfn.XLOOKUP(autorest[[#This Row],[idioma_es]],idiomast[idioma_es],idiomast[idioma_la])</f>
        <v>Lingua Anglica</v>
      </c>
      <c r="J34" t="str">
        <f>_xlfn.XLOOKUP(autorest[[#This Row],[idioma_es]],idiomast[idioma_es],idiomast[codigo])</f>
        <v>en</v>
      </c>
      <c r="K34" t="s">
        <v>1031</v>
      </c>
      <c r="L34" t="s">
        <v>1032</v>
      </c>
      <c r="M34" s="5" t="str" cm="1">
        <f t="array" ref="M34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Contemporánea</v>
      </c>
      <c r="N34" s="4" t="str">
        <f>_xlfn.XLOOKUP(autorest[[#This Row],[epoca_es]],epocast[epoca_es],epocast[epoca_la])</f>
        <v>Aetas Contemporanea</v>
      </c>
    </row>
    <row r="35" spans="1:14">
      <c r="A35">
        <v>34</v>
      </c>
      <c r="B35" t="s">
        <v>351</v>
      </c>
      <c r="C35" t="s">
        <v>1137</v>
      </c>
      <c r="D35">
        <v>1706</v>
      </c>
      <c r="E35">
        <v>1790</v>
      </c>
      <c r="F35" t="s">
        <v>1138</v>
      </c>
      <c r="G35" t="s">
        <v>1139</v>
      </c>
      <c r="H35" t="s">
        <v>1014</v>
      </c>
      <c r="I35" t="str">
        <f>_xlfn.XLOOKUP(autorest[[#This Row],[idioma_es]],idiomast[idioma_es],idiomast[idioma_la])</f>
        <v>Lingua Anglica</v>
      </c>
      <c r="J35" t="str">
        <f>_xlfn.XLOOKUP(autorest[[#This Row],[idioma_es]],idiomast[idioma_es],idiomast[codigo])</f>
        <v>en</v>
      </c>
      <c r="K35" t="s">
        <v>1031</v>
      </c>
      <c r="L35" t="s">
        <v>1032</v>
      </c>
      <c r="M35" s="5" t="str" cm="1">
        <f t="array" ref="M35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Moderna</v>
      </c>
      <c r="N35" s="4" t="str">
        <f>_xlfn.XLOOKUP(autorest[[#This Row],[epoca_es]],epocast[epoca_es],epocast[epoca_la])</f>
        <v>Nova Aetas</v>
      </c>
    </row>
    <row r="36" spans="1:14">
      <c r="A36">
        <v>35</v>
      </c>
      <c r="B36" t="s">
        <v>354</v>
      </c>
      <c r="C36" t="s">
        <v>1140</v>
      </c>
      <c r="D36">
        <v>1452</v>
      </c>
      <c r="E36">
        <v>1519</v>
      </c>
      <c r="F36" t="s">
        <v>1141</v>
      </c>
      <c r="G36" t="s">
        <v>1142</v>
      </c>
      <c r="H36" t="s">
        <v>1004</v>
      </c>
      <c r="I36" t="str">
        <f>_xlfn.XLOOKUP(autorest[[#This Row],[idioma_es]],idiomast[idioma_es],idiomast[idioma_la])</f>
        <v>Lingua Latina</v>
      </c>
      <c r="J36" t="str">
        <f>_xlfn.XLOOKUP(autorest[[#This Row],[idioma_es]],idiomast[idioma_es],idiomast[codigo])</f>
        <v>la</v>
      </c>
      <c r="K36" t="s">
        <v>1089</v>
      </c>
      <c r="L36" t="s">
        <v>1089</v>
      </c>
      <c r="M36" s="5" t="str" cm="1">
        <f t="array" ref="M36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Media</v>
      </c>
      <c r="N36" s="4" t="str">
        <f>_xlfn.XLOOKUP(autorest[[#This Row],[epoca_es]],epocast[epoca_es],epocast[epoca_la])</f>
        <v>Medium Aevum</v>
      </c>
    </row>
    <row r="37" spans="1:14">
      <c r="A37">
        <v>36</v>
      </c>
      <c r="B37" t="s">
        <v>361</v>
      </c>
      <c r="C37" t="s">
        <v>1143</v>
      </c>
      <c r="F37" t="s">
        <v>1144</v>
      </c>
      <c r="G37" t="s">
        <v>1145</v>
      </c>
      <c r="H37" t="s">
        <v>1062</v>
      </c>
      <c r="I37" t="str">
        <f>_xlfn.XLOOKUP(autorest[[#This Row],[idioma_es]],idiomast[idioma_es],idiomast[idioma_la])</f>
        <v>Lingua Hispanica</v>
      </c>
      <c r="J37" t="str">
        <f>_xlfn.XLOOKUP(autorest[[#This Row],[idioma_es]],idiomast[idioma_es],idiomast[codigo])</f>
        <v>es</v>
      </c>
      <c r="K37" t="s">
        <v>1146</v>
      </c>
      <c r="L37" t="s">
        <v>1147</v>
      </c>
      <c r="M37" s="5" t="str" cm="1">
        <f t="array" ref="M37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Epoca Desconocida</v>
      </c>
      <c r="N37" s="4" t="str">
        <f>_xlfn.XLOOKUP(autorest[[#This Row],[epoca_es]],epocast[epoca_es],epocast[epoca_la])</f>
        <v>Epocha Ignota</v>
      </c>
    </row>
    <row r="38" spans="1:14">
      <c r="A38">
        <v>37</v>
      </c>
      <c r="B38" t="s">
        <v>989</v>
      </c>
      <c r="C38" t="s">
        <v>1148</v>
      </c>
      <c r="D38">
        <v>1913</v>
      </c>
      <c r="E38">
        <v>1960</v>
      </c>
      <c r="F38" t="s">
        <v>1149</v>
      </c>
      <c r="G38" t="s">
        <v>1150</v>
      </c>
      <c r="H38" t="s">
        <v>1052</v>
      </c>
      <c r="I38" t="str">
        <f>_xlfn.XLOOKUP(autorest[[#This Row],[idioma_es]],idiomast[idioma_es],idiomast[idioma_la])</f>
        <v>Lingua Gallica</v>
      </c>
      <c r="J38" t="str">
        <f>_xlfn.XLOOKUP(autorest[[#This Row],[idioma_es]],idiomast[idioma_es],idiomast[codigo])</f>
        <v>fr</v>
      </c>
      <c r="K38" t="s">
        <v>1009</v>
      </c>
      <c r="L38" t="s">
        <v>1010</v>
      </c>
      <c r="M38" s="5" t="str" cm="1">
        <f t="array" ref="M38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Contemporánea</v>
      </c>
      <c r="N38" s="4" t="str">
        <f>_xlfn.XLOOKUP(autorest[[#This Row],[epoca_es]],epocast[epoca_es],epocast[epoca_la])</f>
        <v>Aetas Contemporanea</v>
      </c>
    </row>
    <row r="39" spans="1:14">
      <c r="A39">
        <v>38</v>
      </c>
      <c r="B39" t="s">
        <v>993</v>
      </c>
      <c r="C39" t="s">
        <v>1151</v>
      </c>
      <c r="D39">
        <v>1910</v>
      </c>
      <c r="E39">
        <v>1997</v>
      </c>
      <c r="F39" t="s">
        <v>1152</v>
      </c>
      <c r="G39" t="s">
        <v>1153</v>
      </c>
      <c r="H39" t="s">
        <v>1154</v>
      </c>
      <c r="I39" t="str">
        <f>_xlfn.XLOOKUP(autorest[[#This Row],[idioma_es]],idiomast[idioma_es],idiomast[idioma_la])</f>
        <v>Lingua Albanica</v>
      </c>
      <c r="J39" t="str">
        <f>_xlfn.XLOOKUP(autorest[[#This Row],[idioma_es]],idiomast[idioma_es],idiomast[codigo])</f>
        <v>sq</v>
      </c>
      <c r="K39" t="s">
        <v>1155</v>
      </c>
      <c r="L39" t="s">
        <v>1155</v>
      </c>
      <c r="M39" s="5" t="str" cm="1">
        <f t="array" ref="M39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Contemporánea</v>
      </c>
      <c r="N39" s="4" t="str">
        <f>_xlfn.XLOOKUP(autorest[[#This Row],[epoca_es]],epocast[epoca_es],epocast[epoca_la])</f>
        <v>Aetas Contemporanea</v>
      </c>
    </row>
    <row r="40" spans="1:14">
      <c r="A40">
        <v>39</v>
      </c>
      <c r="B40" t="s">
        <v>997</v>
      </c>
      <c r="C40" t="s">
        <v>1156</v>
      </c>
      <c r="D40">
        <v>1182</v>
      </c>
      <c r="E40">
        <v>1226</v>
      </c>
      <c r="F40" t="s">
        <v>1157</v>
      </c>
      <c r="G40" t="s">
        <v>1158</v>
      </c>
      <c r="H40" t="s">
        <v>1159</v>
      </c>
      <c r="I40" t="str">
        <f>_xlfn.XLOOKUP(autorest[[#This Row],[idioma_es]],idiomast[idioma_es],idiomast[idioma_la])</f>
        <v>Lingua Italica</v>
      </c>
      <c r="J40" t="str">
        <f>_xlfn.XLOOKUP(autorest[[#This Row],[idioma_es]],idiomast[idioma_es],idiomast[codigo])</f>
        <v>it</v>
      </c>
      <c r="K40" t="s">
        <v>1089</v>
      </c>
      <c r="L40" t="s">
        <v>1089</v>
      </c>
      <c r="M40" s="5" t="str" cm="1">
        <f t="array" ref="M40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Media</v>
      </c>
      <c r="N40" s="4" t="str">
        <f>_xlfn.XLOOKUP(autorest[[#This Row],[epoca_es]],epocast[epoca_es],epocast[epoca_la])</f>
        <v>Medium Aevum</v>
      </c>
    </row>
    <row r="41" spans="1:14">
      <c r="A41">
        <v>40</v>
      </c>
      <c r="B41" t="s">
        <v>396</v>
      </c>
      <c r="C41" t="s">
        <v>1160</v>
      </c>
      <c r="D41">
        <v>-341</v>
      </c>
      <c r="E41">
        <v>-270</v>
      </c>
      <c r="F41" t="s">
        <v>1161</v>
      </c>
      <c r="G41" t="s">
        <v>1162</v>
      </c>
      <c r="H41" t="s">
        <v>1163</v>
      </c>
      <c r="I41" t="str">
        <f>_xlfn.XLOOKUP(autorest[[#This Row],[idioma_es]],idiomast[idioma_es],idiomast[idioma_la])</f>
        <v>Lingua Graeca</v>
      </c>
      <c r="J41" t="str">
        <f>_xlfn.XLOOKUP(autorest[[#This Row],[idioma_es]],idiomast[idioma_es],idiomast[codigo])</f>
        <v>el</v>
      </c>
      <c r="K41" t="s">
        <v>1075</v>
      </c>
      <c r="L41" t="s">
        <v>1076</v>
      </c>
      <c r="M41" s="5" t="str" cm="1">
        <f t="array" ref="M41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41" s="4" t="str">
        <f>_xlfn.XLOOKUP(autorest[[#This Row],[epoca_es]],epocast[epoca_es],epocast[epoca_la])</f>
        <v>Antiquitas</v>
      </c>
    </row>
    <row r="42" spans="1:14">
      <c r="A42">
        <v>41</v>
      </c>
      <c r="B42" t="s">
        <v>427</v>
      </c>
      <c r="C42" t="s">
        <v>1164</v>
      </c>
      <c r="D42">
        <v>121</v>
      </c>
      <c r="E42">
        <v>180</v>
      </c>
      <c r="F42" t="s">
        <v>1165</v>
      </c>
      <c r="G42" t="s">
        <v>1166</v>
      </c>
      <c r="H42" t="s">
        <v>1163</v>
      </c>
      <c r="I42" t="str">
        <f>_xlfn.XLOOKUP(autorest[[#This Row],[idioma_es]],idiomast[idioma_es],idiomast[idioma_la])</f>
        <v>Lingua Graeca</v>
      </c>
      <c r="J42" t="str">
        <f>_xlfn.XLOOKUP(autorest[[#This Row],[idioma_es]],idiomast[idioma_es],idiomast[codigo])</f>
        <v>el</v>
      </c>
      <c r="K42" t="s">
        <v>1005</v>
      </c>
      <c r="L42" t="s">
        <v>1005</v>
      </c>
      <c r="M42" s="5" t="str" cm="1">
        <f t="array" ref="M42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42" s="4" t="str">
        <f>_xlfn.XLOOKUP(autorest[[#This Row],[epoca_es]],epocast[epoca_es],epocast[epoca_la])</f>
        <v>Antiquitas</v>
      </c>
    </row>
    <row r="43" spans="1:14">
      <c r="A43">
        <v>42</v>
      </c>
      <c r="B43" t="s">
        <v>458</v>
      </c>
      <c r="C43" t="s">
        <v>1167</v>
      </c>
      <c r="D43">
        <v>-427</v>
      </c>
      <c r="E43">
        <v>-347</v>
      </c>
      <c r="F43" t="s">
        <v>1168</v>
      </c>
      <c r="G43" t="s">
        <v>1169</v>
      </c>
      <c r="H43" t="s">
        <v>1163</v>
      </c>
      <c r="I43" t="str">
        <f>_xlfn.XLOOKUP(autorest[[#This Row],[idioma_es]],idiomast[idioma_es],idiomast[idioma_la])</f>
        <v>Lingua Graeca</v>
      </c>
      <c r="J43" t="str">
        <f>_xlfn.XLOOKUP(autorest[[#This Row],[idioma_es]],idiomast[idioma_es],idiomast[codigo])</f>
        <v>el</v>
      </c>
      <c r="K43" t="s">
        <v>1075</v>
      </c>
      <c r="L43" t="s">
        <v>1076</v>
      </c>
      <c r="M43" s="5" t="str" cm="1">
        <f t="array" ref="M43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43" s="4" t="str">
        <f>_xlfn.XLOOKUP(autorest[[#This Row],[epoca_es]],epocast[epoca_es],epocast[epoca_la])</f>
        <v>Antiquitas</v>
      </c>
    </row>
    <row r="44" spans="1:14">
      <c r="A44">
        <v>43</v>
      </c>
      <c r="B44" t="s">
        <v>489</v>
      </c>
      <c r="C44" t="s">
        <v>1170</v>
      </c>
      <c r="D44">
        <v>-384</v>
      </c>
      <c r="E44">
        <v>-322</v>
      </c>
      <c r="F44" t="s">
        <v>1171</v>
      </c>
      <c r="G44" t="s">
        <v>1172</v>
      </c>
      <c r="H44" t="s">
        <v>1163</v>
      </c>
      <c r="I44" t="str">
        <f>_xlfn.XLOOKUP(autorest[[#This Row],[idioma_es]],idiomast[idioma_es],idiomast[idioma_la])</f>
        <v>Lingua Graeca</v>
      </c>
      <c r="J44" t="str">
        <f>_xlfn.XLOOKUP(autorest[[#This Row],[idioma_es]],idiomast[idioma_es],idiomast[codigo])</f>
        <v>el</v>
      </c>
      <c r="K44" t="s">
        <v>1075</v>
      </c>
      <c r="L44" t="s">
        <v>1076</v>
      </c>
      <c r="M44" s="5" t="str" cm="1">
        <f t="array" ref="M44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44" s="4" t="str">
        <f>_xlfn.XLOOKUP(autorest[[#This Row],[epoca_es]],epocast[epoca_es],epocast[epoca_la])</f>
        <v>Antiquitas</v>
      </c>
    </row>
    <row r="45" spans="1:14">
      <c r="A45">
        <v>44</v>
      </c>
      <c r="B45" t="s">
        <v>365</v>
      </c>
      <c r="C45" t="s">
        <v>1173</v>
      </c>
      <c r="D45">
        <v>-624</v>
      </c>
      <c r="E45">
        <v>-546</v>
      </c>
      <c r="F45" t="s">
        <v>1174</v>
      </c>
      <c r="G45" t="s">
        <v>1175</v>
      </c>
      <c r="H45" t="s">
        <v>1163</v>
      </c>
      <c r="I45" t="str">
        <f>_xlfn.XLOOKUP(autorest[[#This Row],[idioma_es]],idiomast[idioma_es],idiomast[idioma_la])</f>
        <v>Lingua Graeca</v>
      </c>
      <c r="J45" t="str">
        <f>_xlfn.XLOOKUP(autorest[[#This Row],[idioma_es]],idiomast[idioma_es],idiomast[codigo])</f>
        <v>el</v>
      </c>
      <c r="K45" t="s">
        <v>1075</v>
      </c>
      <c r="L45" t="s">
        <v>1076</v>
      </c>
      <c r="M45" s="5" t="str" cm="1">
        <f t="array" ref="M45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45" s="4" t="str">
        <f>_xlfn.XLOOKUP(autorest[[#This Row],[epoca_es]],epocast[epoca_es],epocast[epoca_la])</f>
        <v>Antiquitas</v>
      </c>
    </row>
    <row r="46" spans="1:14">
      <c r="A46">
        <v>45</v>
      </c>
      <c r="B46" t="s">
        <v>520</v>
      </c>
      <c r="C46" t="s">
        <v>1176</v>
      </c>
      <c r="D46">
        <v>-570</v>
      </c>
      <c r="E46">
        <v>-490</v>
      </c>
      <c r="F46" t="s">
        <v>1177</v>
      </c>
      <c r="G46" t="s">
        <v>1178</v>
      </c>
      <c r="H46" t="s">
        <v>1163</v>
      </c>
      <c r="I46" t="str">
        <f>_xlfn.XLOOKUP(autorest[[#This Row],[idioma_es]],idiomast[idioma_es],idiomast[idioma_la])</f>
        <v>Lingua Graeca</v>
      </c>
      <c r="J46" t="str">
        <f>_xlfn.XLOOKUP(autorest[[#This Row],[idioma_es]],idiomast[idioma_es],idiomast[codigo])</f>
        <v>el</v>
      </c>
      <c r="K46" t="s">
        <v>1075</v>
      </c>
      <c r="L46" t="s">
        <v>1076</v>
      </c>
      <c r="M46" s="5" t="str" cm="1">
        <f t="array" ref="M46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46" s="4" t="str">
        <f>_xlfn.XLOOKUP(autorest[[#This Row],[epoca_es]],epocast[epoca_es],epocast[epoca_la])</f>
        <v>Antiquitas</v>
      </c>
    </row>
    <row r="47" spans="1:14">
      <c r="A47">
        <v>46</v>
      </c>
      <c r="B47" t="s">
        <v>551</v>
      </c>
      <c r="C47" t="s">
        <v>1179</v>
      </c>
      <c r="D47">
        <v>-535</v>
      </c>
      <c r="E47">
        <v>-480</v>
      </c>
      <c r="F47" t="s">
        <v>1180</v>
      </c>
      <c r="G47" t="s">
        <v>1181</v>
      </c>
      <c r="H47" t="s">
        <v>1163</v>
      </c>
      <c r="I47" t="str">
        <f>_xlfn.XLOOKUP(autorest[[#This Row],[idioma_es]],idiomast[idioma_es],idiomast[idioma_la])</f>
        <v>Lingua Graeca</v>
      </c>
      <c r="J47" t="str">
        <f>_xlfn.XLOOKUP(autorest[[#This Row],[idioma_es]],idiomast[idioma_es],idiomast[codigo])</f>
        <v>el</v>
      </c>
      <c r="K47" t="s">
        <v>1075</v>
      </c>
      <c r="L47" t="s">
        <v>1076</v>
      </c>
      <c r="M47" s="5" t="str" cm="1">
        <f t="array" ref="M47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47" s="4" t="str">
        <f>_xlfn.XLOOKUP(autorest[[#This Row],[epoca_es]],epocast[epoca_es],epocast[epoca_la])</f>
        <v>Antiquitas</v>
      </c>
    </row>
    <row r="48" spans="1:14">
      <c r="A48">
        <v>47</v>
      </c>
      <c r="B48" t="s">
        <v>582</v>
      </c>
      <c r="C48" t="s">
        <v>1182</v>
      </c>
      <c r="D48">
        <v>-470</v>
      </c>
      <c r="E48">
        <v>-399</v>
      </c>
      <c r="F48" t="s">
        <v>1183</v>
      </c>
      <c r="G48" t="s">
        <v>1184</v>
      </c>
      <c r="H48" t="s">
        <v>1163</v>
      </c>
      <c r="I48" t="str">
        <f>_xlfn.XLOOKUP(autorest[[#This Row],[idioma_es]],idiomast[idioma_es],idiomast[idioma_la])</f>
        <v>Lingua Graeca</v>
      </c>
      <c r="J48" t="str">
        <f>_xlfn.XLOOKUP(autorest[[#This Row],[idioma_es]],idiomast[idioma_es],idiomast[codigo])</f>
        <v>el</v>
      </c>
      <c r="K48" t="s">
        <v>1075</v>
      </c>
      <c r="L48" t="s">
        <v>1076</v>
      </c>
      <c r="M48" s="5" t="str" cm="1">
        <f t="array" ref="M48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48" s="4" t="str">
        <f>_xlfn.XLOOKUP(autorest[[#This Row],[epoca_es]],epocast[epoca_es],epocast[epoca_la])</f>
        <v>Antiquitas</v>
      </c>
    </row>
    <row r="49" spans="1:14">
      <c r="A49">
        <v>48</v>
      </c>
      <c r="B49" t="s">
        <v>611</v>
      </c>
      <c r="C49" t="s">
        <v>1185</v>
      </c>
      <c r="D49">
        <v>-460</v>
      </c>
      <c r="E49">
        <v>-370</v>
      </c>
      <c r="F49" t="s">
        <v>1186</v>
      </c>
      <c r="G49" t="s">
        <v>1187</v>
      </c>
      <c r="H49" t="s">
        <v>1163</v>
      </c>
      <c r="I49" t="str">
        <f>_xlfn.XLOOKUP(autorest[[#This Row],[idioma_es]],idiomast[idioma_es],idiomast[idioma_la])</f>
        <v>Lingua Graeca</v>
      </c>
      <c r="J49" t="str">
        <f>_xlfn.XLOOKUP(autorest[[#This Row],[idioma_es]],idiomast[idioma_es],idiomast[codigo])</f>
        <v>el</v>
      </c>
      <c r="K49" t="s">
        <v>1075</v>
      </c>
      <c r="L49" t="s">
        <v>1076</v>
      </c>
      <c r="M49" s="5" t="str" cm="1">
        <f t="array" ref="M49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49" s="4" t="str">
        <f>_xlfn.XLOOKUP(autorest[[#This Row],[epoca_es]],epocast[epoca_es],epocast[epoca_la])</f>
        <v>Antiquitas</v>
      </c>
    </row>
    <row r="50" spans="1:14">
      <c r="A50">
        <v>49</v>
      </c>
      <c r="B50" t="s">
        <v>642</v>
      </c>
      <c r="C50" t="s">
        <v>1188</v>
      </c>
      <c r="D50">
        <v>-490</v>
      </c>
      <c r="E50">
        <v>-420</v>
      </c>
      <c r="F50" t="s">
        <v>1189</v>
      </c>
      <c r="G50" t="s">
        <v>1190</v>
      </c>
      <c r="H50" t="s">
        <v>1163</v>
      </c>
      <c r="I50" t="str">
        <f>_xlfn.XLOOKUP(autorest[[#This Row],[idioma_es]],idiomast[idioma_es],idiomast[idioma_la])</f>
        <v>Lingua Graeca</v>
      </c>
      <c r="J50" t="str">
        <f>_xlfn.XLOOKUP(autorest[[#This Row],[idioma_es]],idiomast[idioma_es],idiomast[codigo])</f>
        <v>el</v>
      </c>
      <c r="K50" t="s">
        <v>1075</v>
      </c>
      <c r="L50" t="s">
        <v>1076</v>
      </c>
      <c r="M50" s="5" t="str" cm="1">
        <f t="array" ref="M50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50" s="4" t="str">
        <f>_xlfn.XLOOKUP(autorest[[#This Row],[epoca_es]],epocast[epoca_es],epocast[epoca_la])</f>
        <v>Antiquitas</v>
      </c>
    </row>
    <row r="51" spans="1:14">
      <c r="A51">
        <v>50</v>
      </c>
      <c r="B51" t="s">
        <v>673</v>
      </c>
      <c r="C51" t="s">
        <v>1191</v>
      </c>
      <c r="D51">
        <v>35</v>
      </c>
      <c r="E51">
        <v>99</v>
      </c>
      <c r="F51" t="s">
        <v>1192</v>
      </c>
      <c r="G51" t="s">
        <v>1193</v>
      </c>
      <c r="H51" t="s">
        <v>1004</v>
      </c>
      <c r="I51" t="str">
        <f>_xlfn.XLOOKUP(autorest[[#This Row],[idioma_es]],idiomast[idioma_es],idiomast[idioma_la])</f>
        <v>Lingua Latina</v>
      </c>
      <c r="J51" t="str">
        <f>_xlfn.XLOOKUP(autorest[[#This Row],[idioma_es]],idiomast[idioma_es],idiomast[codigo])</f>
        <v>la</v>
      </c>
      <c r="K51" t="s">
        <v>1005</v>
      </c>
      <c r="L51" t="s">
        <v>1005</v>
      </c>
      <c r="M51" s="5" t="str" cm="1">
        <f t="array" ref="M51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51" s="4" t="str">
        <f>_xlfn.XLOOKUP(autorest[[#This Row],[epoca_es]],epocast[epoca_es],epocast[epoca_la])</f>
        <v>Antiquitas</v>
      </c>
    </row>
    <row r="52" spans="1:14">
      <c r="A52">
        <v>51</v>
      </c>
      <c r="B52" t="s">
        <v>695</v>
      </c>
      <c r="C52" t="s">
        <v>1194</v>
      </c>
      <c r="D52">
        <v>35</v>
      </c>
      <c r="E52">
        <v>107</v>
      </c>
      <c r="F52" t="s">
        <v>1195</v>
      </c>
      <c r="G52" t="s">
        <v>1196</v>
      </c>
      <c r="H52" t="s">
        <v>1004</v>
      </c>
      <c r="I52" t="str">
        <f>_xlfn.XLOOKUP(autorest[[#This Row],[idioma_es]],idiomast[idioma_es],idiomast[idioma_la])</f>
        <v>Lingua Latina</v>
      </c>
      <c r="J52" t="str">
        <f>_xlfn.XLOOKUP(autorest[[#This Row],[idioma_es]],idiomast[idioma_es],idiomast[codigo])</f>
        <v>la</v>
      </c>
      <c r="K52" t="s">
        <v>1005</v>
      </c>
      <c r="L52" t="s">
        <v>1005</v>
      </c>
      <c r="M52" s="5" t="str" cm="1">
        <f t="array" ref="M52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52" s="4" t="str">
        <f>_xlfn.XLOOKUP(autorest[[#This Row],[epoca_es]],epocast[epoca_es],epocast[epoca_la])</f>
        <v>Antiquitas</v>
      </c>
    </row>
    <row r="53" spans="1:14">
      <c r="A53">
        <v>52</v>
      </c>
      <c r="B53" t="s">
        <v>716</v>
      </c>
      <c r="C53" t="s">
        <v>1197</v>
      </c>
      <c r="D53">
        <v>70</v>
      </c>
      <c r="E53">
        <v>155</v>
      </c>
      <c r="F53" t="s">
        <v>1198</v>
      </c>
      <c r="G53" t="s">
        <v>1199</v>
      </c>
      <c r="H53" t="s">
        <v>1004</v>
      </c>
      <c r="I53" t="str">
        <f>_xlfn.XLOOKUP(autorest[[#This Row],[idioma_es]],idiomast[idioma_es],idiomast[idioma_la])</f>
        <v>Lingua Latina</v>
      </c>
      <c r="J53" t="str">
        <f>_xlfn.XLOOKUP(autorest[[#This Row],[idioma_es]],idiomast[idioma_es],idiomast[codigo])</f>
        <v>la</v>
      </c>
      <c r="K53" t="s">
        <v>1005</v>
      </c>
      <c r="L53" t="s">
        <v>1005</v>
      </c>
      <c r="M53" s="5" t="str" cm="1">
        <f t="array" ref="M53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53" s="4" t="str">
        <f>_xlfn.XLOOKUP(autorest[[#This Row],[epoca_es]],epocast[epoca_es],epocast[epoca_la])</f>
        <v>Antiquitas</v>
      </c>
    </row>
    <row r="54" spans="1:14">
      <c r="A54">
        <v>53</v>
      </c>
      <c r="B54" t="s">
        <v>737</v>
      </c>
      <c r="C54" t="s">
        <v>1200</v>
      </c>
      <c r="D54">
        <v>130</v>
      </c>
      <c r="E54">
        <v>202</v>
      </c>
      <c r="F54" t="s">
        <v>1201</v>
      </c>
      <c r="G54" t="s">
        <v>1202</v>
      </c>
      <c r="H54" t="s">
        <v>1004</v>
      </c>
      <c r="I54" t="str">
        <f>_xlfn.XLOOKUP(autorest[[#This Row],[idioma_es]],idiomast[idioma_es],idiomast[idioma_la])</f>
        <v>Lingua Latina</v>
      </c>
      <c r="J54" t="str">
        <f>_xlfn.XLOOKUP(autorest[[#This Row],[idioma_es]],idiomast[idioma_es],idiomast[codigo])</f>
        <v>la</v>
      </c>
      <c r="K54" t="s">
        <v>1005</v>
      </c>
      <c r="L54" t="s">
        <v>1005</v>
      </c>
      <c r="M54" s="5" t="str" cm="1">
        <f t="array" ref="M54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54" s="4" t="str">
        <f>_xlfn.XLOOKUP(autorest[[#This Row],[epoca_es]],epocast[epoca_es],epocast[epoca_la])</f>
        <v>Antiquitas</v>
      </c>
    </row>
    <row r="55" spans="1:14">
      <c r="A55">
        <v>54</v>
      </c>
      <c r="B55" t="s">
        <v>758</v>
      </c>
      <c r="C55" t="s">
        <v>1203</v>
      </c>
      <c r="D55">
        <v>296</v>
      </c>
      <c r="E55">
        <v>373</v>
      </c>
      <c r="F55" t="s">
        <v>1204</v>
      </c>
      <c r="G55" t="s">
        <v>1205</v>
      </c>
      <c r="H55" t="s">
        <v>1004</v>
      </c>
      <c r="I55" t="str">
        <f>_xlfn.XLOOKUP(autorest[[#This Row],[idioma_es]],idiomast[idioma_es],idiomast[idioma_la])</f>
        <v>Lingua Latina</v>
      </c>
      <c r="J55" t="str">
        <f>_xlfn.XLOOKUP(autorest[[#This Row],[idioma_es]],idiomast[idioma_es],idiomast[codigo])</f>
        <v>la</v>
      </c>
      <c r="K55" t="s">
        <v>1005</v>
      </c>
      <c r="L55" t="s">
        <v>1005</v>
      </c>
      <c r="M55" s="5" t="str" cm="1">
        <f t="array" ref="M55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55" s="4" t="str">
        <f>_xlfn.XLOOKUP(autorest[[#This Row],[epoca_es]],epocast[epoca_es],epocast[epoca_la])</f>
        <v>Antiquitas</v>
      </c>
    </row>
    <row r="56" spans="1:14">
      <c r="A56">
        <v>55</v>
      </c>
      <c r="B56" t="s">
        <v>780</v>
      </c>
      <c r="C56" t="s">
        <v>1206</v>
      </c>
      <c r="D56">
        <v>330</v>
      </c>
      <c r="E56">
        <v>379</v>
      </c>
      <c r="F56" t="s">
        <v>1207</v>
      </c>
      <c r="G56" t="s">
        <v>1208</v>
      </c>
      <c r="H56" t="s">
        <v>1004</v>
      </c>
      <c r="I56" t="str">
        <f>_xlfn.XLOOKUP(autorest[[#This Row],[idioma_es]],idiomast[idioma_es],idiomast[idioma_la])</f>
        <v>Lingua Latina</v>
      </c>
      <c r="J56" t="str">
        <f>_xlfn.XLOOKUP(autorest[[#This Row],[idioma_es]],idiomast[idioma_es],idiomast[codigo])</f>
        <v>la</v>
      </c>
      <c r="K56" t="s">
        <v>1005</v>
      </c>
      <c r="L56" t="s">
        <v>1005</v>
      </c>
      <c r="M56" s="5" t="str" cm="1">
        <f t="array" ref="M56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56" s="4" t="str">
        <f>_xlfn.XLOOKUP(autorest[[#This Row],[epoca_es]],epocast[epoca_es],epocast[epoca_la])</f>
        <v>Antiquitas</v>
      </c>
    </row>
    <row r="57" spans="1:14">
      <c r="A57">
        <v>56</v>
      </c>
      <c r="B57" t="s">
        <v>802</v>
      </c>
      <c r="C57" t="s">
        <v>1209</v>
      </c>
      <c r="D57">
        <v>329</v>
      </c>
      <c r="E57">
        <v>390</v>
      </c>
      <c r="F57" t="s">
        <v>1210</v>
      </c>
      <c r="G57" t="s">
        <v>1211</v>
      </c>
      <c r="H57" t="s">
        <v>1004</v>
      </c>
      <c r="I57" t="str">
        <f>_xlfn.XLOOKUP(autorest[[#This Row],[idioma_es]],idiomast[idioma_es],idiomast[idioma_la])</f>
        <v>Lingua Latina</v>
      </c>
      <c r="J57" t="str">
        <f>_xlfn.XLOOKUP(autorest[[#This Row],[idioma_es]],idiomast[idioma_es],idiomast[codigo])</f>
        <v>la</v>
      </c>
      <c r="K57" t="s">
        <v>1005</v>
      </c>
      <c r="L57" t="s">
        <v>1005</v>
      </c>
      <c r="M57" s="5" t="str" cm="1">
        <f t="array" ref="M57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57" s="4" t="str">
        <f>_xlfn.XLOOKUP(autorest[[#This Row],[epoca_es]],epocast[epoca_es],epocast[epoca_la])</f>
        <v>Antiquitas</v>
      </c>
    </row>
    <row r="58" spans="1:14">
      <c r="A58">
        <v>57</v>
      </c>
      <c r="B58" t="s">
        <v>823</v>
      </c>
      <c r="C58" t="s">
        <v>1212</v>
      </c>
      <c r="D58">
        <v>335</v>
      </c>
      <c r="E58">
        <v>394</v>
      </c>
      <c r="F58" t="s">
        <v>1213</v>
      </c>
      <c r="G58" t="s">
        <v>1214</v>
      </c>
      <c r="H58" t="s">
        <v>1004</v>
      </c>
      <c r="I58" t="str">
        <f>_xlfn.XLOOKUP(autorest[[#This Row],[idioma_es]],idiomast[idioma_es],idiomast[idioma_la])</f>
        <v>Lingua Latina</v>
      </c>
      <c r="J58" t="str">
        <f>_xlfn.XLOOKUP(autorest[[#This Row],[idioma_es]],idiomast[idioma_es],idiomast[codigo])</f>
        <v>la</v>
      </c>
      <c r="K58" t="s">
        <v>1005</v>
      </c>
      <c r="L58" t="s">
        <v>1005</v>
      </c>
      <c r="M58" s="5" t="str" cm="1">
        <f t="array" ref="M58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58" s="4" t="str">
        <f>_xlfn.XLOOKUP(autorest[[#This Row],[epoca_es]],epocast[epoca_es],epocast[epoca_la])</f>
        <v>Antiquitas</v>
      </c>
    </row>
    <row r="59" spans="1:14">
      <c r="A59">
        <v>58</v>
      </c>
      <c r="B59" t="s">
        <v>845</v>
      </c>
      <c r="C59" t="s">
        <v>1215</v>
      </c>
      <c r="D59">
        <v>340</v>
      </c>
      <c r="E59">
        <v>397</v>
      </c>
      <c r="F59" t="s">
        <v>1216</v>
      </c>
      <c r="G59" t="s">
        <v>1217</v>
      </c>
      <c r="H59" t="s">
        <v>1004</v>
      </c>
      <c r="I59" t="str">
        <f>_xlfn.XLOOKUP(autorest[[#This Row],[idioma_es]],idiomast[idioma_es],idiomast[idioma_la])</f>
        <v>Lingua Latina</v>
      </c>
      <c r="J59" t="str">
        <f>_xlfn.XLOOKUP(autorest[[#This Row],[idioma_es]],idiomast[idioma_es],idiomast[codigo])</f>
        <v>la</v>
      </c>
      <c r="K59" t="s">
        <v>1005</v>
      </c>
      <c r="L59" t="s">
        <v>1005</v>
      </c>
      <c r="M59" s="5" t="str" cm="1">
        <f t="array" ref="M59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59" s="4" t="str">
        <f>_xlfn.XLOOKUP(autorest[[#This Row],[epoca_es]],epocast[epoca_es],epocast[epoca_la])</f>
        <v>Antiquitas</v>
      </c>
    </row>
    <row r="60" spans="1:14">
      <c r="A60">
        <v>59</v>
      </c>
      <c r="B60" t="s">
        <v>866</v>
      </c>
      <c r="C60" t="s">
        <v>1218</v>
      </c>
      <c r="D60">
        <v>347</v>
      </c>
      <c r="E60">
        <v>420</v>
      </c>
      <c r="F60" t="s">
        <v>1219</v>
      </c>
      <c r="G60" t="s">
        <v>1220</v>
      </c>
      <c r="H60" t="s">
        <v>1004</v>
      </c>
      <c r="I60" t="str">
        <f>_xlfn.XLOOKUP(autorest[[#This Row],[idioma_es]],idiomast[idioma_es],idiomast[idioma_la])</f>
        <v>Lingua Latina</v>
      </c>
      <c r="J60" t="str">
        <f>_xlfn.XLOOKUP(autorest[[#This Row],[idioma_es]],idiomast[idioma_es],idiomast[codigo])</f>
        <v>la</v>
      </c>
      <c r="K60" t="s">
        <v>1005</v>
      </c>
      <c r="L60" t="s">
        <v>1005</v>
      </c>
      <c r="M60" s="5" t="str" cm="1">
        <f t="array" ref="M60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60" s="4" t="str">
        <f>_xlfn.XLOOKUP(autorest[[#This Row],[epoca_es]],epocast[epoca_es],epocast[epoca_la])</f>
        <v>Antiquitas</v>
      </c>
    </row>
    <row r="61" spans="1:14">
      <c r="A61">
        <v>60</v>
      </c>
      <c r="B61" t="s">
        <v>887</v>
      </c>
      <c r="C61" t="s">
        <v>1221</v>
      </c>
      <c r="D61">
        <v>400</v>
      </c>
      <c r="E61">
        <v>461</v>
      </c>
      <c r="F61" t="s">
        <v>1222</v>
      </c>
      <c r="G61" t="s">
        <v>1223</v>
      </c>
      <c r="H61" t="s">
        <v>1004</v>
      </c>
      <c r="I61" t="str">
        <f>_xlfn.XLOOKUP(autorest[[#This Row],[idioma_es]],idiomast[idioma_es],idiomast[idioma_la])</f>
        <v>Lingua Latina</v>
      </c>
      <c r="J61" t="str">
        <f>_xlfn.XLOOKUP(autorest[[#This Row],[idioma_es]],idiomast[idioma_es],idiomast[codigo])</f>
        <v>la</v>
      </c>
      <c r="K61" t="s">
        <v>1005</v>
      </c>
      <c r="L61" t="s">
        <v>1005</v>
      </c>
      <c r="M61" s="5" t="str" cm="1">
        <f t="array" ref="M61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61" s="4" t="str">
        <f>_xlfn.XLOOKUP(autorest[[#This Row],[epoca_es]],epocast[epoca_es],epocast[epoca_la])</f>
        <v>Antiquitas</v>
      </c>
    </row>
    <row r="62" spans="1:14">
      <c r="A62">
        <v>61</v>
      </c>
      <c r="B62" t="s">
        <v>908</v>
      </c>
      <c r="C62" t="s">
        <v>1224</v>
      </c>
      <c r="D62">
        <v>210</v>
      </c>
      <c r="E62">
        <v>258</v>
      </c>
      <c r="F62" t="s">
        <v>1225</v>
      </c>
      <c r="G62" t="s">
        <v>1226</v>
      </c>
      <c r="H62" t="s">
        <v>1004</v>
      </c>
      <c r="I62" t="str">
        <f>_xlfn.XLOOKUP(autorest[[#This Row],[idioma_es]],idiomast[idioma_es],idiomast[idioma_la])</f>
        <v>Lingua Latina</v>
      </c>
      <c r="J62" t="str">
        <f>_xlfn.XLOOKUP(autorest[[#This Row],[idioma_es]],idiomast[idioma_es],idiomast[codigo])</f>
        <v>la</v>
      </c>
      <c r="K62" t="s">
        <v>1005</v>
      </c>
      <c r="L62" t="s">
        <v>1005</v>
      </c>
      <c r="M62" s="5" t="str" cm="1">
        <f t="array" ref="M62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Antigua</v>
      </c>
      <c r="N62" s="4" t="str">
        <f>_xlfn.XLOOKUP(autorest[[#This Row],[epoca_es]],epocast[epoca_es],epocast[epoca_la])</f>
        <v>Antiquitas</v>
      </c>
    </row>
    <row r="63" spans="1:14">
      <c r="A63">
        <v>62</v>
      </c>
      <c r="B63" t="s">
        <v>929</v>
      </c>
      <c r="C63" t="s">
        <v>1227</v>
      </c>
      <c r="D63">
        <v>1033</v>
      </c>
      <c r="E63">
        <v>1109</v>
      </c>
      <c r="F63" t="s">
        <v>1228</v>
      </c>
      <c r="G63" t="s">
        <v>1229</v>
      </c>
      <c r="H63" t="s">
        <v>1004</v>
      </c>
      <c r="I63" t="str">
        <f>_xlfn.XLOOKUP(autorest[[#This Row],[idioma_es]],idiomast[idioma_es],idiomast[idioma_la])</f>
        <v>Lingua Latina</v>
      </c>
      <c r="J63" t="str">
        <f>_xlfn.XLOOKUP(autorest[[#This Row],[idioma_es]],idiomast[idioma_es],idiomast[codigo])</f>
        <v>la</v>
      </c>
      <c r="K63" t="s">
        <v>1089</v>
      </c>
      <c r="L63" t="s">
        <v>1089</v>
      </c>
      <c r="M63" s="5" t="str" cm="1">
        <f t="array" ref="M63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Media</v>
      </c>
      <c r="N63" s="4" t="str">
        <f>_xlfn.XLOOKUP(autorest[[#This Row],[epoca_es]],epocast[epoca_es],epocast[epoca_la])</f>
        <v>Medium Aevum</v>
      </c>
    </row>
    <row r="64" spans="1:14">
      <c r="A64">
        <v>63</v>
      </c>
      <c r="B64" t="s">
        <v>950</v>
      </c>
      <c r="C64" t="s">
        <v>1230</v>
      </c>
      <c r="D64">
        <v>1287</v>
      </c>
      <c r="E64">
        <v>1347</v>
      </c>
      <c r="F64" t="s">
        <v>1231</v>
      </c>
      <c r="G64" t="s">
        <v>1232</v>
      </c>
      <c r="H64" t="s">
        <v>1004</v>
      </c>
      <c r="I64" t="str">
        <f>_xlfn.XLOOKUP(autorest[[#This Row],[idioma_es]],idiomast[idioma_es],idiomast[idioma_la])</f>
        <v>Lingua Latina</v>
      </c>
      <c r="J64" t="str">
        <f>_xlfn.XLOOKUP(autorest[[#This Row],[idioma_es]],idiomast[idioma_es],idiomast[codigo])</f>
        <v>la</v>
      </c>
      <c r="K64" t="s">
        <v>1015</v>
      </c>
      <c r="L64" t="s">
        <v>1016</v>
      </c>
      <c r="M64" s="5" t="str" cm="1">
        <f t="array" ref="M64">IF(ISBLANK(autorest[[#This Row],[fecha_nacimiento]]),"Epoca Desconocida",IFERROR(INDEX(epocast[epoca_es],MATCH(1,(autorest[[#This Row],[fecha_nacimiento]]&gt;=epocast[inicio_ano])*(autorest[[#This Row],[fecha_nacimiento]]&lt;=epocast[fin_ano]),0)),"Epoca Desconocida"))</f>
        <v>Edad Media</v>
      </c>
      <c r="N64" s="4" t="str">
        <f>_xlfn.XLOOKUP(autorest[[#This Row],[epoca_es]],epocast[epoca_es],epocast[epoca_la])</f>
        <v>Medium Aevum</v>
      </c>
    </row>
  </sheetData>
  <dataValidations count="1">
    <dataValidation type="list" allowBlank="1" showInputMessage="1" showErrorMessage="1" sqref="H2:H64" xr:uid="{8B9B1E42-9AD2-46F0-A28F-4F204E517427}">
      <formula1>INDIRECT("'idiomas'!idiomast[idioma_es]")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44351-4F34-456C-8D4E-9197ADD87CA4}">
  <dimension ref="A1:D18"/>
  <sheetViews>
    <sheetView workbookViewId="0">
      <selection activeCell="A16" sqref="A16"/>
    </sheetView>
  </sheetViews>
  <sheetFormatPr defaultRowHeight="12.75"/>
  <cols>
    <col min="1" max="1" width="12.140625" bestFit="1" customWidth="1"/>
    <col min="2" max="2" width="9.5703125" bestFit="1" customWidth="1"/>
    <col min="3" max="3" width="12.5703125" bestFit="1" customWidth="1"/>
    <col min="4" max="4" width="16.42578125" bestFit="1" customWidth="1"/>
  </cols>
  <sheetData>
    <row r="1" spans="1:4">
      <c r="A1" t="s">
        <v>1233</v>
      </c>
      <c r="B1" t="s">
        <v>8</v>
      </c>
      <c r="C1" t="s">
        <v>9</v>
      </c>
      <c r="D1" t="s">
        <v>10</v>
      </c>
    </row>
    <row r="2" spans="1:4">
      <c r="A2">
        <v>1</v>
      </c>
      <c r="B2" t="s">
        <v>1234</v>
      </c>
      <c r="C2" t="s">
        <v>1062</v>
      </c>
      <c r="D2" t="s">
        <v>1235</v>
      </c>
    </row>
    <row r="3" spans="1:4">
      <c r="A3">
        <v>2</v>
      </c>
      <c r="B3" t="s">
        <v>1236</v>
      </c>
      <c r="C3" t="s">
        <v>1014</v>
      </c>
      <c r="D3" t="s">
        <v>1237</v>
      </c>
    </row>
    <row r="4" spans="1:4">
      <c r="A4">
        <v>3</v>
      </c>
      <c r="B4" t="s">
        <v>1238</v>
      </c>
      <c r="C4" t="s">
        <v>1052</v>
      </c>
      <c r="D4" t="s">
        <v>1239</v>
      </c>
    </row>
    <row r="5" spans="1:4">
      <c r="A5">
        <v>4</v>
      </c>
      <c r="B5" t="s">
        <v>1240</v>
      </c>
      <c r="C5" t="s">
        <v>1040</v>
      </c>
      <c r="D5" t="s">
        <v>1241</v>
      </c>
    </row>
    <row r="6" spans="1:4">
      <c r="A6">
        <v>5</v>
      </c>
      <c r="B6" t="s">
        <v>1242</v>
      </c>
      <c r="C6" t="s">
        <v>1004</v>
      </c>
      <c r="D6" t="s">
        <v>1243</v>
      </c>
    </row>
    <row r="7" spans="1:4">
      <c r="A7">
        <v>6</v>
      </c>
      <c r="B7" t="s">
        <v>1244</v>
      </c>
      <c r="C7" t="s">
        <v>1068</v>
      </c>
      <c r="D7" t="s">
        <v>1245</v>
      </c>
    </row>
    <row r="8" spans="1:4">
      <c r="A8">
        <v>7</v>
      </c>
      <c r="B8" t="s">
        <v>1246</v>
      </c>
      <c r="C8" t="s">
        <v>1046</v>
      </c>
      <c r="D8" t="s">
        <v>1247</v>
      </c>
    </row>
    <row r="9" spans="1:4">
      <c r="A9">
        <v>8</v>
      </c>
      <c r="B9" t="s">
        <v>1248</v>
      </c>
      <c r="C9" t="s">
        <v>1056</v>
      </c>
      <c r="D9" t="s">
        <v>1249</v>
      </c>
    </row>
    <row r="10" spans="1:4">
      <c r="A10">
        <v>9</v>
      </c>
      <c r="B10" t="s">
        <v>1250</v>
      </c>
      <c r="C10" t="s">
        <v>1092</v>
      </c>
      <c r="D10" t="s">
        <v>1251</v>
      </c>
    </row>
    <row r="11" spans="1:4">
      <c r="A11">
        <v>10</v>
      </c>
      <c r="B11" t="s">
        <v>1252</v>
      </c>
      <c r="C11" t="s">
        <v>1159</v>
      </c>
      <c r="D11" t="s">
        <v>1253</v>
      </c>
    </row>
    <row r="12" spans="1:4">
      <c r="A12">
        <v>11</v>
      </c>
      <c r="B12" t="s">
        <v>1254</v>
      </c>
      <c r="C12" t="s">
        <v>1255</v>
      </c>
      <c r="D12" t="s">
        <v>1256</v>
      </c>
    </row>
    <row r="13" spans="1:4">
      <c r="A13">
        <v>12</v>
      </c>
      <c r="B13" t="s">
        <v>1257</v>
      </c>
      <c r="C13" t="s">
        <v>1107</v>
      </c>
      <c r="D13" t="s">
        <v>1258</v>
      </c>
    </row>
    <row r="14" spans="1:4">
      <c r="A14">
        <v>13</v>
      </c>
      <c r="B14" t="s">
        <v>1259</v>
      </c>
      <c r="C14" t="s">
        <v>1112</v>
      </c>
      <c r="D14" t="s">
        <v>1260</v>
      </c>
    </row>
    <row r="15" spans="1:4">
      <c r="A15">
        <v>14</v>
      </c>
      <c r="B15" t="s">
        <v>1261</v>
      </c>
      <c r="C15" t="s">
        <v>1026</v>
      </c>
      <c r="D15" t="s">
        <v>1262</v>
      </c>
    </row>
    <row r="16" spans="1:4">
      <c r="A16">
        <v>15</v>
      </c>
      <c r="B16" t="s">
        <v>1263</v>
      </c>
      <c r="C16" t="s">
        <v>1154</v>
      </c>
      <c r="D16" t="s">
        <v>1264</v>
      </c>
    </row>
    <row r="17" spans="1:4">
      <c r="A17">
        <v>16</v>
      </c>
      <c r="B17" t="s">
        <v>1265</v>
      </c>
      <c r="C17" t="s">
        <v>1163</v>
      </c>
      <c r="D17" t="s">
        <v>1266</v>
      </c>
    </row>
    <row r="18" spans="1:4">
      <c r="A18">
        <v>999</v>
      </c>
      <c r="B18" t="s">
        <v>1036</v>
      </c>
      <c r="C18" t="s">
        <v>1036</v>
      </c>
      <c r="D18" t="s">
        <v>1036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5C269-7552-4D73-BB29-BFF3303354E5}">
  <dimension ref="A1:C20"/>
  <sheetViews>
    <sheetView workbookViewId="0">
      <selection activeCell="C21" sqref="C21"/>
    </sheetView>
  </sheetViews>
  <sheetFormatPr defaultRowHeight="12.75"/>
  <cols>
    <col min="1" max="1" width="12.140625" bestFit="1" customWidth="1"/>
    <col min="2" max="2" width="14.28515625" bestFit="1" customWidth="1"/>
    <col min="3" max="3" width="18.5703125" bestFit="1" customWidth="1"/>
  </cols>
  <sheetData>
    <row r="1" spans="1:3">
      <c r="A1" t="s">
        <v>1267</v>
      </c>
      <c r="B1" t="s">
        <v>11</v>
      </c>
      <c r="C1" t="s">
        <v>12</v>
      </c>
    </row>
    <row r="2" spans="1:3">
      <c r="A2">
        <v>1</v>
      </c>
      <c r="B2" t="s">
        <v>1005</v>
      </c>
      <c r="C2" t="s">
        <v>1005</v>
      </c>
    </row>
    <row r="3" spans="1:3">
      <c r="A3">
        <v>2</v>
      </c>
      <c r="B3" t="s">
        <v>1075</v>
      </c>
      <c r="C3" t="s">
        <v>1076</v>
      </c>
    </row>
    <row r="4" spans="1:3">
      <c r="A4">
        <v>3</v>
      </c>
      <c r="B4" t="s">
        <v>1009</v>
      </c>
      <c r="C4" t="s">
        <v>1010</v>
      </c>
    </row>
    <row r="5" spans="1:3">
      <c r="A5">
        <v>4</v>
      </c>
      <c r="B5" t="s">
        <v>1015</v>
      </c>
      <c r="C5" t="s">
        <v>1016</v>
      </c>
    </row>
    <row r="6" spans="1:3">
      <c r="A6">
        <v>5</v>
      </c>
      <c r="B6" t="s">
        <v>1063</v>
      </c>
      <c r="C6" t="s">
        <v>1064</v>
      </c>
    </row>
    <row r="7" spans="1:3">
      <c r="A7">
        <v>6</v>
      </c>
      <c r="B7" t="s">
        <v>1041</v>
      </c>
      <c r="C7" t="s">
        <v>1042</v>
      </c>
    </row>
    <row r="8" spans="1:3">
      <c r="A8">
        <v>7</v>
      </c>
      <c r="B8" t="s">
        <v>1047</v>
      </c>
      <c r="C8" t="s">
        <v>1048</v>
      </c>
    </row>
    <row r="9" spans="1:3">
      <c r="A9">
        <v>8</v>
      </c>
      <c r="B9" t="s">
        <v>1057</v>
      </c>
      <c r="C9" t="s">
        <v>1058</v>
      </c>
    </row>
    <row r="10" spans="1:3">
      <c r="A10">
        <v>9</v>
      </c>
      <c r="B10" t="s">
        <v>1093</v>
      </c>
      <c r="C10" t="s">
        <v>1094</v>
      </c>
    </row>
    <row r="11" spans="1:3">
      <c r="A11">
        <v>10</v>
      </c>
      <c r="B11" t="s">
        <v>1089</v>
      </c>
      <c r="C11" t="s">
        <v>1089</v>
      </c>
    </row>
    <row r="12" spans="1:3">
      <c r="A12">
        <v>11</v>
      </c>
      <c r="B12" t="s">
        <v>1027</v>
      </c>
      <c r="C12" t="s">
        <v>1027</v>
      </c>
    </row>
    <row r="13" spans="1:3">
      <c r="A13">
        <v>12</v>
      </c>
      <c r="B13" t="s">
        <v>1031</v>
      </c>
      <c r="C13" t="s">
        <v>1032</v>
      </c>
    </row>
    <row r="14" spans="1:3">
      <c r="A14">
        <v>13</v>
      </c>
      <c r="B14" t="s">
        <v>1108</v>
      </c>
      <c r="C14" t="s">
        <v>1108</v>
      </c>
    </row>
    <row r="15" spans="1:3">
      <c r="A15">
        <v>14</v>
      </c>
      <c r="B15" t="s">
        <v>1113</v>
      </c>
      <c r="C15" t="s">
        <v>1113</v>
      </c>
    </row>
    <row r="16" spans="1:3">
      <c r="A16">
        <v>15</v>
      </c>
      <c r="B16" t="s">
        <v>1146</v>
      </c>
      <c r="C16" t="s">
        <v>1147</v>
      </c>
    </row>
    <row r="17" spans="1:3">
      <c r="A17">
        <v>16</v>
      </c>
      <c r="B17" t="s">
        <v>1123</v>
      </c>
      <c r="C17" t="s">
        <v>1124</v>
      </c>
    </row>
    <row r="18" spans="1:3">
      <c r="A18">
        <v>17</v>
      </c>
      <c r="B18" t="s">
        <v>1155</v>
      </c>
      <c r="C18" t="s">
        <v>1155</v>
      </c>
    </row>
    <row r="19" spans="1:3">
      <c r="A19">
        <v>18</v>
      </c>
      <c r="B19" t="s">
        <v>1100</v>
      </c>
      <c r="C19" t="s">
        <v>1100</v>
      </c>
    </row>
    <row r="20" spans="1:3">
      <c r="A20">
        <v>999</v>
      </c>
      <c r="B20" t="s">
        <v>1036</v>
      </c>
      <c r="C20" t="s">
        <v>1036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1F611-F750-401C-8115-A020E38505DB}">
  <dimension ref="A1:E7"/>
  <sheetViews>
    <sheetView workbookViewId="0">
      <selection sqref="A1:E7"/>
    </sheetView>
  </sheetViews>
  <sheetFormatPr defaultRowHeight="12.75"/>
  <cols>
    <col min="1" max="1" width="11.42578125" bestFit="1" customWidth="1"/>
    <col min="2" max="2" width="19.5703125" bestFit="1" customWidth="1"/>
    <col min="3" max="3" width="20" bestFit="1" customWidth="1"/>
    <col min="4" max="4" width="12.5703125" bestFit="1" customWidth="1"/>
    <col min="5" max="5" width="10" bestFit="1" customWidth="1"/>
  </cols>
  <sheetData>
    <row r="1" spans="1:5">
      <c r="A1" t="s">
        <v>1268</v>
      </c>
      <c r="B1" t="s">
        <v>13</v>
      </c>
      <c r="C1" t="s">
        <v>14</v>
      </c>
      <c r="D1" t="s">
        <v>1269</v>
      </c>
      <c r="E1" t="s">
        <v>1270</v>
      </c>
    </row>
    <row r="2" spans="1:5">
      <c r="A2">
        <v>1</v>
      </c>
      <c r="B2" t="s">
        <v>1271</v>
      </c>
      <c r="C2" t="s">
        <v>1272</v>
      </c>
      <c r="D2" s="6">
        <v>-2500000</v>
      </c>
      <c r="E2" s="6">
        <v>-3500</v>
      </c>
    </row>
    <row r="3" spans="1:5">
      <c r="A3">
        <v>2</v>
      </c>
      <c r="B3" t="s">
        <v>1273</v>
      </c>
      <c r="C3" t="s">
        <v>1274</v>
      </c>
      <c r="D3" s="6">
        <v>-3500</v>
      </c>
      <c r="E3" s="6">
        <v>476</v>
      </c>
    </row>
    <row r="4" spans="1:5">
      <c r="A4">
        <v>3</v>
      </c>
      <c r="B4" t="s">
        <v>1275</v>
      </c>
      <c r="C4" t="s">
        <v>1276</v>
      </c>
      <c r="D4" s="6">
        <v>476</v>
      </c>
      <c r="E4" s="6">
        <v>1492</v>
      </c>
    </row>
    <row r="5" spans="1:5">
      <c r="A5">
        <v>4</v>
      </c>
      <c r="B5" t="s">
        <v>1277</v>
      </c>
      <c r="C5" t="s">
        <v>1278</v>
      </c>
      <c r="D5" s="6">
        <v>1492</v>
      </c>
      <c r="E5" s="6">
        <v>1789</v>
      </c>
    </row>
    <row r="6" spans="1:5">
      <c r="A6">
        <v>5</v>
      </c>
      <c r="B6" t="s">
        <v>1279</v>
      </c>
      <c r="C6" t="s">
        <v>1280</v>
      </c>
      <c r="D6" s="6">
        <v>1789</v>
      </c>
      <c r="E6" s="6">
        <v>2100</v>
      </c>
    </row>
    <row r="7" spans="1:5">
      <c r="A7">
        <v>999</v>
      </c>
      <c r="B7" t="s">
        <v>1281</v>
      </c>
      <c r="C7" t="s">
        <v>1282</v>
      </c>
      <c r="D7" s="6">
        <v>2100</v>
      </c>
      <c r="E7" s="6">
        <v>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4D15B-0277-4442-937E-7080007789CF}">
  <dimension ref="A1:B2"/>
  <sheetViews>
    <sheetView workbookViewId="0">
      <selection activeCell="D13" sqref="D13"/>
    </sheetView>
  </sheetViews>
  <sheetFormatPr defaultRowHeight="12.75"/>
  <cols>
    <col min="1" max="1" width="10.85546875" bestFit="1" customWidth="1"/>
  </cols>
  <sheetData>
    <row r="1" spans="1:2">
      <c r="A1" t="s">
        <v>1283</v>
      </c>
      <c r="B1">
        <f>COUNTA(frasest[id_cita])</f>
        <v>372</v>
      </c>
    </row>
    <row r="2" spans="1:2">
      <c r="A2" t="s">
        <v>1284</v>
      </c>
      <c r="B2">
        <f>COUNTA(autorest[id_autor])</f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DANIEL LOSADA IGLESIAS</cp:lastModifiedBy>
  <cp:revision>0</cp:revision>
  <dcterms:created xsi:type="dcterms:W3CDTF">2026-01-02T21:26:37Z</dcterms:created>
  <dcterms:modified xsi:type="dcterms:W3CDTF">2026-01-03T00:59:33Z</dcterms:modified>
  <cp:category/>
  <cp:contentStatus/>
</cp:coreProperties>
</file>