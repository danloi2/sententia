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015A7E83-1FD7-4281-875C-218C7574D585}" xr6:coauthVersionLast="47" xr6:coauthVersionMax="47" xr10:uidLastSave="{00000000-0000-0000-0000-000000000000}"/>
  <bookViews>
    <workbookView xWindow="0" yWindow="0" windowWidth="16384" windowHeight="8192" tabRatio="500"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L1520" i="1" l="1"/>
  <c r="J1520" i="1"/>
  <c r="H1520" i="1"/>
  <c r="G1520" i="1"/>
  <c r="F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G1519" i="1"/>
  <c r="G1518" i="1"/>
  <c r="G1517" i="1"/>
  <c r="G1516" i="1"/>
  <c r="G1515" i="1"/>
  <c r="G1514" i="1"/>
  <c r="G1513" i="1"/>
  <c r="G1512" i="1"/>
  <c r="G1511" i="1"/>
  <c r="G1510" i="1"/>
  <c r="G1509" i="1"/>
  <c r="G1508" i="1"/>
  <c r="G1507" i="1"/>
  <c r="G1506" i="1"/>
  <c r="G1505" i="1"/>
  <c r="G1504" i="1"/>
  <c r="G1503" i="1"/>
  <c r="G1502" i="1"/>
  <c r="G1501" i="1"/>
  <c r="G1500" i="1"/>
  <c r="G1499" i="1"/>
  <c r="G1498" i="1"/>
  <c r="G1497" i="1"/>
  <c r="G1496" i="1"/>
  <c r="G1495" i="1"/>
  <c r="G1494" i="1"/>
  <c r="G1493" i="1"/>
  <c r="G1492" i="1"/>
  <c r="G1491" i="1"/>
  <c r="G1490" i="1"/>
  <c r="G1489" i="1"/>
  <c r="G1488" i="1"/>
  <c r="G1487" i="1"/>
  <c r="G1486" i="1"/>
  <c r="G1485" i="1"/>
  <c r="G1484" i="1"/>
  <c r="G1483" i="1"/>
  <c r="G1482" i="1"/>
  <c r="G1481"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M117" i="2" a="1"/>
  <c r="M117" i="2" s="1"/>
  <c r="M116" i="2" a="1"/>
  <c r="M116" i="2" s="1"/>
  <c r="L117" i="2"/>
  <c r="L116" i="2"/>
  <c r="K117" i="2"/>
  <c r="K116" i="2"/>
  <c r="J117" i="2"/>
  <c r="J116" i="2"/>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G1480" i="1"/>
  <c r="G1479" i="1"/>
  <c r="G1478" i="1"/>
  <c r="G1477" i="1"/>
  <c r="G1476" i="1"/>
  <c r="G1475" i="1"/>
  <c r="G1474" i="1"/>
  <c r="G1473"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L1397" i="1"/>
  <c r="L1420" i="1"/>
  <c r="L1439" i="1"/>
  <c r="L1438" i="1"/>
  <c r="L1437" i="1"/>
  <c r="L1436" i="1"/>
  <c r="L1435" i="1"/>
  <c r="L1434" i="1"/>
  <c r="L1433" i="1"/>
  <c r="L1432" i="1"/>
  <c r="L1431" i="1"/>
  <c r="L1430" i="1"/>
  <c r="L1429" i="1"/>
  <c r="L1428" i="1"/>
  <c r="L1427" i="1"/>
  <c r="L1426" i="1"/>
  <c r="L1425" i="1"/>
  <c r="L1424" i="1"/>
  <c r="L1423" i="1"/>
  <c r="L1422" i="1"/>
  <c r="L1421" i="1"/>
  <c r="L1419" i="1"/>
  <c r="L1418" i="1"/>
  <c r="L1417" i="1"/>
  <c r="L1416" i="1"/>
  <c r="L1415" i="1"/>
  <c r="L1414" i="1"/>
  <c r="L1413" i="1"/>
  <c r="L1412" i="1"/>
  <c r="L1411" i="1"/>
  <c r="L1410" i="1"/>
  <c r="L1409" i="1"/>
  <c r="L1408" i="1"/>
  <c r="L1407" i="1"/>
  <c r="L1406" i="1"/>
  <c r="L1405" i="1"/>
  <c r="L1404" i="1"/>
  <c r="L1403" i="1"/>
  <c r="L1402" i="1"/>
  <c r="L1401" i="1"/>
  <c r="L140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L1399" i="1"/>
  <c r="L1398"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M115" i="2" a="1"/>
  <c r="M115" i="2" s="1"/>
  <c r="M114" i="2" a="1"/>
  <c r="M114" i="2" s="1"/>
  <c r="M113" i="2" a="1"/>
  <c r="M113" i="2" s="1"/>
  <c r="M112" i="2" a="1"/>
  <c r="M112" i="2" s="1"/>
  <c r="M111" i="2" a="1"/>
  <c r="M111" i="2" s="1"/>
  <c r="M110" i="2" a="1"/>
  <c r="M110" i="2" s="1"/>
  <c r="L115" i="2"/>
  <c r="L114" i="2"/>
  <c r="L113" i="2"/>
  <c r="L112" i="2"/>
  <c r="L111" i="2"/>
  <c r="L110" i="2"/>
  <c r="K115" i="2"/>
  <c r="K114" i="2"/>
  <c r="K113" i="2"/>
  <c r="K112" i="2"/>
  <c r="K111" i="2"/>
  <c r="K110" i="2"/>
  <c r="J115" i="2"/>
  <c r="J114" i="2"/>
  <c r="J113" i="2"/>
  <c r="J112" i="2"/>
  <c r="J111" i="2"/>
  <c r="J110" i="2"/>
  <c r="M109" i="2" a="1"/>
  <c r="M109" i="2" s="1"/>
  <c r="M108" i="2" a="1"/>
  <c r="M108" i="2" s="1"/>
  <c r="M107" i="2" a="1"/>
  <c r="M107" i="2" s="1"/>
  <c r="L109" i="2"/>
  <c r="L108" i="2"/>
  <c r="L107" i="2"/>
  <c r="K109" i="2"/>
  <c r="K108" i="2"/>
  <c r="K107" i="2"/>
  <c r="J109" i="2"/>
  <c r="J108" i="2"/>
  <c r="J107" i="2"/>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L667" i="1"/>
  <c r="L666" i="1"/>
  <c r="L665" i="1"/>
  <c r="L664" i="1"/>
  <c r="L663" i="1"/>
  <c r="L662" i="1"/>
  <c r="L661" i="1"/>
  <c r="L660" i="1"/>
  <c r="L659" i="1"/>
  <c r="L658" i="1"/>
  <c r="L657" i="1"/>
  <c r="J667" i="1"/>
  <c r="J666" i="1"/>
  <c r="J665" i="1"/>
  <c r="J664" i="1"/>
  <c r="J663" i="1"/>
  <c r="J662" i="1"/>
  <c r="J661" i="1"/>
  <c r="J660" i="1"/>
  <c r="J659" i="1"/>
  <c r="J658" i="1"/>
  <c r="J657" i="1"/>
  <c r="H667" i="1"/>
  <c r="H666" i="1"/>
  <c r="H665" i="1"/>
  <c r="H664" i="1"/>
  <c r="H663" i="1"/>
  <c r="H662" i="1"/>
  <c r="H661" i="1"/>
  <c r="H660" i="1"/>
  <c r="H659" i="1"/>
  <c r="H658" i="1"/>
  <c r="H657" i="1"/>
  <c r="G667" i="1"/>
  <c r="G666" i="1"/>
  <c r="G665" i="1"/>
  <c r="G664" i="1"/>
  <c r="G663" i="1"/>
  <c r="G662" i="1"/>
  <c r="G661" i="1"/>
  <c r="G660" i="1"/>
  <c r="G659" i="1"/>
  <c r="G658" i="1"/>
  <c r="G657" i="1"/>
  <c r="F667" i="1"/>
  <c r="F666" i="1"/>
  <c r="F665" i="1"/>
  <c r="F664" i="1"/>
  <c r="F663" i="1"/>
  <c r="F662" i="1"/>
  <c r="F661" i="1"/>
  <c r="F660" i="1"/>
  <c r="F659" i="1"/>
  <c r="F658" i="1"/>
  <c r="F657" i="1"/>
  <c r="L656" i="1"/>
  <c r="L655" i="1"/>
  <c r="L654" i="1"/>
  <c r="L653" i="1"/>
  <c r="L652" i="1"/>
  <c r="L651" i="1"/>
  <c r="L650" i="1"/>
  <c r="L649" i="1"/>
  <c r="J656" i="1"/>
  <c r="J655" i="1"/>
  <c r="J654" i="1"/>
  <c r="J653" i="1"/>
  <c r="J652" i="1"/>
  <c r="J651" i="1"/>
  <c r="J650" i="1"/>
  <c r="J649" i="1"/>
  <c r="H656" i="1"/>
  <c r="H655" i="1"/>
  <c r="H654" i="1"/>
  <c r="H653" i="1"/>
  <c r="H652" i="1"/>
  <c r="H651" i="1"/>
  <c r="H650" i="1"/>
  <c r="H649" i="1"/>
  <c r="G656" i="1"/>
  <c r="G655" i="1"/>
  <c r="G654" i="1"/>
  <c r="G653" i="1"/>
  <c r="G652" i="1"/>
  <c r="G651" i="1"/>
  <c r="G650" i="1"/>
  <c r="G649" i="1"/>
  <c r="F656" i="1"/>
  <c r="F655" i="1"/>
  <c r="F654" i="1"/>
  <c r="F653" i="1"/>
  <c r="F652" i="1"/>
  <c r="F651" i="1"/>
  <c r="F650" i="1"/>
  <c r="F649" i="1"/>
  <c r="L648" i="1"/>
  <c r="L647" i="1"/>
  <c r="L646" i="1"/>
  <c r="L645" i="1"/>
  <c r="L644" i="1"/>
  <c r="L643" i="1"/>
  <c r="L642" i="1"/>
  <c r="L641" i="1"/>
  <c r="J648" i="1"/>
  <c r="J647" i="1"/>
  <c r="J646" i="1"/>
  <c r="J645" i="1"/>
  <c r="J644" i="1"/>
  <c r="J643" i="1"/>
  <c r="J642" i="1"/>
  <c r="J641" i="1"/>
  <c r="H648" i="1"/>
  <c r="H647" i="1"/>
  <c r="H646" i="1"/>
  <c r="H645" i="1"/>
  <c r="H644" i="1"/>
  <c r="H643" i="1"/>
  <c r="H642" i="1"/>
  <c r="H641" i="1"/>
  <c r="G648" i="1"/>
  <c r="G647" i="1"/>
  <c r="G646" i="1"/>
  <c r="G645" i="1"/>
  <c r="G644" i="1"/>
  <c r="G643" i="1"/>
  <c r="G642" i="1"/>
  <c r="G641" i="1"/>
  <c r="F648" i="1"/>
  <c r="F647" i="1"/>
  <c r="F646" i="1"/>
  <c r="F645" i="1"/>
  <c r="F644" i="1"/>
  <c r="F643" i="1"/>
  <c r="F642" i="1"/>
  <c r="F641" i="1"/>
  <c r="L640" i="1"/>
  <c r="L639" i="1"/>
  <c r="L638" i="1"/>
  <c r="J640" i="1"/>
  <c r="J639" i="1"/>
  <c r="J638" i="1"/>
  <c r="H640" i="1"/>
  <c r="H639" i="1"/>
  <c r="H638" i="1"/>
  <c r="G640" i="1"/>
  <c r="G639" i="1"/>
  <c r="G638" i="1"/>
  <c r="F640" i="1"/>
  <c r="F639" i="1"/>
  <c r="F638" i="1"/>
  <c r="J105" i="2"/>
  <c r="M106" i="2" a="1"/>
  <c r="M106" i="2" s="1"/>
  <c r="M105" i="2" a="1"/>
  <c r="M105" i="2" s="1"/>
  <c r="L106" i="2"/>
  <c r="L105" i="2"/>
  <c r="K106" i="2"/>
  <c r="K105" i="2"/>
  <c r="J106" i="2"/>
  <c r="L637" i="1"/>
  <c r="L636" i="1"/>
  <c r="L635" i="1"/>
  <c r="L634" i="1"/>
  <c r="L633" i="1"/>
  <c r="L632" i="1"/>
  <c r="L631" i="1"/>
  <c r="J637" i="1"/>
  <c r="J636" i="1"/>
  <c r="J635" i="1"/>
  <c r="J634" i="1"/>
  <c r="J633" i="1"/>
  <c r="J632" i="1"/>
  <c r="J631" i="1"/>
  <c r="H637" i="1"/>
  <c r="H636" i="1"/>
  <c r="H635" i="1"/>
  <c r="H634" i="1"/>
  <c r="H633" i="1"/>
  <c r="H632" i="1"/>
  <c r="H631" i="1"/>
  <c r="G637" i="1"/>
  <c r="G636" i="1"/>
  <c r="G635" i="1"/>
  <c r="G634" i="1"/>
  <c r="G633" i="1"/>
  <c r="G632" i="1"/>
  <c r="G631" i="1"/>
  <c r="F637" i="1"/>
  <c r="F636" i="1"/>
  <c r="F635" i="1"/>
  <c r="F634" i="1"/>
  <c r="F633" i="1"/>
  <c r="F632" i="1"/>
  <c r="F631" i="1"/>
  <c r="M104" i="2" a="1"/>
  <c r="M104" i="2" s="1"/>
  <c r="L104" i="2"/>
  <c r="K104" i="2"/>
  <c r="J104" i="2"/>
  <c r="L630" i="1"/>
  <c r="L629" i="1"/>
  <c r="L628" i="1"/>
  <c r="L627" i="1"/>
  <c r="L626" i="1"/>
  <c r="L625" i="1"/>
  <c r="J630" i="1"/>
  <c r="J629" i="1"/>
  <c r="J628" i="1"/>
  <c r="J627" i="1"/>
  <c r="J626" i="1"/>
  <c r="J625" i="1"/>
  <c r="H630" i="1"/>
  <c r="H629" i="1"/>
  <c r="H628" i="1"/>
  <c r="H627" i="1"/>
  <c r="H626" i="1"/>
  <c r="H625" i="1"/>
  <c r="G630" i="1"/>
  <c r="G629" i="1"/>
  <c r="G628" i="1"/>
  <c r="G627" i="1"/>
  <c r="G626" i="1"/>
  <c r="G625" i="1"/>
  <c r="F630" i="1"/>
  <c r="F629" i="1"/>
  <c r="F628" i="1"/>
  <c r="F627" i="1"/>
  <c r="F626" i="1"/>
  <c r="F625" i="1"/>
  <c r="L624" i="1"/>
  <c r="L623" i="1"/>
  <c r="L622" i="1"/>
  <c r="L621" i="1"/>
  <c r="L620" i="1"/>
  <c r="L619" i="1"/>
  <c r="J624" i="1"/>
  <c r="J623" i="1"/>
  <c r="J622" i="1"/>
  <c r="J621" i="1"/>
  <c r="J620" i="1"/>
  <c r="J619" i="1"/>
  <c r="H624" i="1"/>
  <c r="H623" i="1"/>
  <c r="H622" i="1"/>
  <c r="H621" i="1"/>
  <c r="H620" i="1"/>
  <c r="H619" i="1"/>
  <c r="G624" i="1"/>
  <c r="G623" i="1"/>
  <c r="G622" i="1"/>
  <c r="G621" i="1"/>
  <c r="G620" i="1"/>
  <c r="G619" i="1"/>
  <c r="F624" i="1"/>
  <c r="F623" i="1"/>
  <c r="F622" i="1"/>
  <c r="F621" i="1"/>
  <c r="F620" i="1"/>
  <c r="F619" i="1"/>
  <c r="L618" i="1"/>
  <c r="L617" i="1"/>
  <c r="L616" i="1"/>
  <c r="L615" i="1"/>
  <c r="L614" i="1"/>
  <c r="L613" i="1"/>
  <c r="J618" i="1"/>
  <c r="J617" i="1"/>
  <c r="J616" i="1"/>
  <c r="J615" i="1"/>
  <c r="J614" i="1"/>
  <c r="J613" i="1"/>
  <c r="H618" i="1"/>
  <c r="H617" i="1"/>
  <c r="H616" i="1"/>
  <c r="H615" i="1"/>
  <c r="H614" i="1"/>
  <c r="H613" i="1"/>
  <c r="G618" i="1"/>
  <c r="G617" i="1"/>
  <c r="G616" i="1"/>
  <c r="G615" i="1"/>
  <c r="G614" i="1"/>
  <c r="G613" i="1"/>
  <c r="F618" i="1"/>
  <c r="F617" i="1"/>
  <c r="F616" i="1"/>
  <c r="F615" i="1"/>
  <c r="F614" i="1"/>
  <c r="F613" i="1"/>
  <c r="L612" i="1"/>
  <c r="L611" i="1"/>
  <c r="L610" i="1"/>
  <c r="L609" i="1"/>
  <c r="L608" i="1"/>
  <c r="L607" i="1"/>
  <c r="J612" i="1"/>
  <c r="J611" i="1"/>
  <c r="J610" i="1"/>
  <c r="J609" i="1"/>
  <c r="J608" i="1"/>
  <c r="J607" i="1"/>
  <c r="H612" i="1"/>
  <c r="H611" i="1"/>
  <c r="H610" i="1"/>
  <c r="H609" i="1"/>
  <c r="H608" i="1"/>
  <c r="H607" i="1"/>
  <c r="G612" i="1"/>
  <c r="G611" i="1"/>
  <c r="G610" i="1"/>
  <c r="G609" i="1"/>
  <c r="G608" i="1"/>
  <c r="G607" i="1"/>
  <c r="F612" i="1"/>
  <c r="F611" i="1"/>
  <c r="F610" i="1"/>
  <c r="F609" i="1"/>
  <c r="F608" i="1"/>
  <c r="F607" i="1"/>
  <c r="M103" i="2" a="1"/>
  <c r="M103" i="2" s="1"/>
  <c r="M102" i="2" a="1"/>
  <c r="M102" i="2" s="1"/>
  <c r="M101" i="2" a="1"/>
  <c r="M101" i="2" s="1"/>
  <c r="M100" i="2" a="1"/>
  <c r="M100" i="2" s="1"/>
  <c r="L103" i="2"/>
  <c r="L102" i="2"/>
  <c r="L101" i="2"/>
  <c r="L100" i="2"/>
  <c r="K103" i="2"/>
  <c r="K102" i="2"/>
  <c r="K101" i="2"/>
  <c r="K100" i="2"/>
  <c r="J103" i="2"/>
  <c r="J102" i="2"/>
  <c r="J101" i="2"/>
  <c r="J100" i="2"/>
  <c r="L606" i="1"/>
  <c r="L605" i="1"/>
  <c r="L604" i="1"/>
  <c r="L603" i="1"/>
  <c r="L602" i="1"/>
  <c r="L601" i="1"/>
  <c r="L600" i="1"/>
  <c r="J606" i="1"/>
  <c r="J605" i="1"/>
  <c r="J604" i="1"/>
  <c r="J603" i="1"/>
  <c r="J602" i="1"/>
  <c r="J601" i="1"/>
  <c r="J600" i="1"/>
  <c r="H606" i="1"/>
  <c r="H605" i="1"/>
  <c r="H604" i="1"/>
  <c r="H603" i="1"/>
  <c r="H602" i="1"/>
  <c r="H601" i="1"/>
  <c r="H600" i="1"/>
  <c r="G606" i="1"/>
  <c r="G605" i="1"/>
  <c r="G604" i="1"/>
  <c r="G603" i="1"/>
  <c r="G602" i="1"/>
  <c r="G601" i="1"/>
  <c r="G600" i="1"/>
  <c r="F606" i="1"/>
  <c r="F605" i="1"/>
  <c r="F604" i="1"/>
  <c r="F603" i="1"/>
  <c r="F602" i="1"/>
  <c r="F601" i="1"/>
  <c r="F600" i="1"/>
  <c r="L599" i="1"/>
  <c r="L598" i="1"/>
  <c r="L597" i="1"/>
  <c r="L596" i="1"/>
  <c r="L595" i="1"/>
  <c r="L594" i="1"/>
  <c r="J599" i="1"/>
  <c r="J598" i="1"/>
  <c r="J597" i="1"/>
  <c r="J596" i="1"/>
  <c r="J595" i="1"/>
  <c r="J594" i="1"/>
  <c r="H599" i="1"/>
  <c r="H598" i="1"/>
  <c r="H597" i="1"/>
  <c r="H596" i="1"/>
  <c r="H595" i="1"/>
  <c r="H594" i="1"/>
  <c r="G599" i="1"/>
  <c r="G598" i="1"/>
  <c r="G597" i="1"/>
  <c r="G596" i="1"/>
  <c r="G595" i="1"/>
  <c r="G594" i="1"/>
  <c r="F599" i="1"/>
  <c r="F598" i="1"/>
  <c r="F597" i="1"/>
  <c r="F596" i="1"/>
  <c r="F595" i="1"/>
  <c r="F594" i="1"/>
  <c r="L593" i="1"/>
  <c r="L592" i="1"/>
  <c r="L591" i="1"/>
  <c r="L590" i="1"/>
  <c r="L589" i="1"/>
  <c r="L588" i="1"/>
  <c r="J593" i="1"/>
  <c r="J592" i="1"/>
  <c r="J591" i="1"/>
  <c r="J590" i="1"/>
  <c r="J589" i="1"/>
  <c r="J588" i="1"/>
  <c r="H593" i="1"/>
  <c r="H592" i="1"/>
  <c r="H591" i="1"/>
  <c r="H590" i="1"/>
  <c r="H589" i="1"/>
  <c r="H588" i="1"/>
  <c r="G593" i="1"/>
  <c r="G592" i="1"/>
  <c r="G591" i="1"/>
  <c r="G590" i="1"/>
  <c r="G589" i="1"/>
  <c r="G588" i="1"/>
  <c r="F593" i="1"/>
  <c r="F592" i="1"/>
  <c r="F591" i="1"/>
  <c r="F590" i="1"/>
  <c r="F589" i="1"/>
  <c r="F588" i="1"/>
  <c r="M99" i="2" a="1"/>
  <c r="M99" i="2" s="1"/>
  <c r="M98" i="2" a="1"/>
  <c r="M98" i="2" s="1"/>
  <c r="M97" i="2" a="1"/>
  <c r="M97" i="2" s="1"/>
  <c r="L99" i="2"/>
  <c r="L98" i="2"/>
  <c r="L97" i="2"/>
  <c r="K99" i="2"/>
  <c r="K98" i="2"/>
  <c r="K97" i="2"/>
  <c r="J99" i="2"/>
  <c r="J98" i="2"/>
  <c r="J97" i="2"/>
  <c r="L587" i="1"/>
  <c r="L586" i="1"/>
  <c r="L585" i="1"/>
  <c r="L584" i="1"/>
  <c r="L583" i="1"/>
  <c r="L582" i="1"/>
  <c r="J587" i="1"/>
  <c r="J586" i="1"/>
  <c r="J585" i="1"/>
  <c r="J584" i="1"/>
  <c r="J583" i="1"/>
  <c r="J582" i="1"/>
  <c r="H587" i="1"/>
  <c r="H586" i="1"/>
  <c r="H585" i="1"/>
  <c r="H584" i="1"/>
  <c r="H583" i="1"/>
  <c r="H582" i="1"/>
  <c r="G587" i="1"/>
  <c r="G586" i="1"/>
  <c r="G585" i="1"/>
  <c r="G584" i="1"/>
  <c r="G583" i="1"/>
  <c r="G582" i="1"/>
  <c r="F587" i="1"/>
  <c r="F586" i="1"/>
  <c r="F585" i="1"/>
  <c r="F584" i="1"/>
  <c r="F583" i="1"/>
  <c r="F582" i="1"/>
  <c r="L581" i="1"/>
  <c r="L580" i="1"/>
  <c r="L579" i="1"/>
  <c r="L578" i="1"/>
  <c r="L577" i="1"/>
  <c r="L576" i="1"/>
  <c r="J581" i="1"/>
  <c r="J580" i="1"/>
  <c r="J579" i="1"/>
  <c r="J578" i="1"/>
  <c r="J577" i="1"/>
  <c r="J576" i="1"/>
  <c r="H581" i="1"/>
  <c r="H580" i="1"/>
  <c r="H579" i="1"/>
  <c r="H578" i="1"/>
  <c r="H577" i="1"/>
  <c r="H576" i="1"/>
  <c r="G581" i="1"/>
  <c r="G580" i="1"/>
  <c r="G579" i="1"/>
  <c r="G578" i="1"/>
  <c r="G577" i="1"/>
  <c r="G576" i="1"/>
  <c r="F581" i="1"/>
  <c r="F580" i="1"/>
  <c r="F579" i="1"/>
  <c r="F578" i="1"/>
  <c r="F577" i="1"/>
  <c r="F576" i="1"/>
  <c r="L575" i="1"/>
  <c r="L574" i="1"/>
  <c r="L573" i="1"/>
  <c r="L572" i="1"/>
  <c r="L571" i="1"/>
  <c r="L570" i="1"/>
  <c r="L569" i="1"/>
  <c r="L568" i="1"/>
  <c r="J575" i="1"/>
  <c r="J574" i="1"/>
  <c r="J573" i="1"/>
  <c r="J572" i="1"/>
  <c r="J571" i="1"/>
  <c r="J570" i="1"/>
  <c r="J569" i="1"/>
  <c r="J568" i="1"/>
  <c r="H575" i="1"/>
  <c r="H574" i="1"/>
  <c r="H573" i="1"/>
  <c r="H572" i="1"/>
  <c r="H571" i="1"/>
  <c r="H570" i="1"/>
  <c r="H569" i="1"/>
  <c r="H568" i="1"/>
  <c r="G575" i="1"/>
  <c r="G574" i="1"/>
  <c r="G573" i="1"/>
  <c r="G572" i="1"/>
  <c r="G571" i="1"/>
  <c r="G570" i="1"/>
  <c r="G569" i="1"/>
  <c r="G568" i="1"/>
  <c r="F575" i="1"/>
  <c r="F574" i="1"/>
  <c r="F573" i="1"/>
  <c r="F572" i="1"/>
  <c r="F571" i="1"/>
  <c r="F570" i="1"/>
  <c r="F569" i="1"/>
  <c r="F568" i="1"/>
  <c r="L567" i="1"/>
  <c r="L566" i="1"/>
  <c r="L565" i="1"/>
  <c r="L564" i="1"/>
  <c r="L563" i="1"/>
  <c r="L562" i="1"/>
  <c r="J567" i="1"/>
  <c r="J566" i="1"/>
  <c r="J565" i="1"/>
  <c r="J564" i="1"/>
  <c r="J563" i="1"/>
  <c r="J562" i="1"/>
  <c r="H567" i="1"/>
  <c r="H566" i="1"/>
  <c r="H565" i="1"/>
  <c r="H564" i="1"/>
  <c r="H563" i="1"/>
  <c r="H562" i="1"/>
  <c r="G567" i="1"/>
  <c r="G566" i="1"/>
  <c r="G565" i="1"/>
  <c r="G564" i="1"/>
  <c r="G563" i="1"/>
  <c r="G562" i="1"/>
  <c r="F567" i="1"/>
  <c r="F566" i="1"/>
  <c r="F565" i="1"/>
  <c r="F564" i="1"/>
  <c r="F563" i="1"/>
  <c r="F562" i="1"/>
  <c r="M96" i="2" a="1"/>
  <c r="M96" i="2" s="1"/>
  <c r="M95" i="2" a="1"/>
  <c r="M95" i="2" s="1"/>
  <c r="M94" i="2" a="1"/>
  <c r="M94" i="2" s="1"/>
  <c r="M93" i="2" a="1"/>
  <c r="M93" i="2" s="1"/>
  <c r="L96" i="2"/>
  <c r="L95" i="2"/>
  <c r="L94" i="2"/>
  <c r="L93" i="2"/>
  <c r="K96" i="2"/>
  <c r="K95" i="2"/>
  <c r="K94" i="2"/>
  <c r="K93" i="2"/>
  <c r="J96" i="2"/>
  <c r="J95" i="2"/>
  <c r="J94" i="2"/>
  <c r="J93" i="2"/>
  <c r="L561" i="1"/>
  <c r="L560" i="1"/>
  <c r="L559" i="1"/>
  <c r="L558" i="1"/>
  <c r="L557" i="1"/>
  <c r="L556" i="1"/>
  <c r="L555" i="1"/>
  <c r="L554" i="1"/>
  <c r="L553" i="1"/>
  <c r="L552" i="1"/>
  <c r="J561" i="1"/>
  <c r="J560" i="1"/>
  <c r="J559" i="1"/>
  <c r="J558" i="1"/>
  <c r="J557" i="1"/>
  <c r="J556" i="1"/>
  <c r="J555" i="1"/>
  <c r="J554" i="1"/>
  <c r="J553" i="1"/>
  <c r="J552" i="1"/>
  <c r="H561" i="1"/>
  <c r="H560" i="1"/>
  <c r="H559" i="1"/>
  <c r="H558" i="1"/>
  <c r="H557" i="1"/>
  <c r="H556" i="1"/>
  <c r="H555" i="1"/>
  <c r="H554" i="1"/>
  <c r="H553" i="1"/>
  <c r="H552" i="1"/>
  <c r="G561" i="1"/>
  <c r="G560" i="1"/>
  <c r="G559" i="1"/>
  <c r="G558" i="1"/>
  <c r="G557" i="1"/>
  <c r="G556" i="1"/>
  <c r="G555" i="1"/>
  <c r="G554" i="1"/>
  <c r="G553" i="1"/>
  <c r="G552" i="1"/>
  <c r="F561" i="1"/>
  <c r="F560" i="1"/>
  <c r="F559" i="1"/>
  <c r="F558" i="1"/>
  <c r="F557" i="1"/>
  <c r="F556" i="1"/>
  <c r="F555" i="1"/>
  <c r="F554" i="1"/>
  <c r="F553" i="1"/>
  <c r="F552" i="1"/>
  <c r="M92" i="2" a="1"/>
  <c r="M92" i="2" s="1"/>
  <c r="L92" i="2"/>
  <c r="K92" i="2"/>
  <c r="J92" i="2"/>
  <c r="L551" i="1"/>
  <c r="L550" i="1"/>
  <c r="L549" i="1"/>
  <c r="L548" i="1"/>
  <c r="L547" i="1"/>
  <c r="L546" i="1"/>
  <c r="L545" i="1"/>
  <c r="L544" i="1"/>
  <c r="J551" i="1"/>
  <c r="J550" i="1"/>
  <c r="J549" i="1"/>
  <c r="J548" i="1"/>
  <c r="J547" i="1"/>
  <c r="J546" i="1"/>
  <c r="J545" i="1"/>
  <c r="J544" i="1"/>
  <c r="H551" i="1"/>
  <c r="H550" i="1"/>
  <c r="H549" i="1"/>
  <c r="H548" i="1"/>
  <c r="H547" i="1"/>
  <c r="H546" i="1"/>
  <c r="H545" i="1"/>
  <c r="H544" i="1"/>
  <c r="G551" i="1"/>
  <c r="G550" i="1"/>
  <c r="G549" i="1"/>
  <c r="G548" i="1"/>
  <c r="G547" i="1"/>
  <c r="G546" i="1"/>
  <c r="G545" i="1"/>
  <c r="G544" i="1"/>
  <c r="F551" i="1"/>
  <c r="F550" i="1"/>
  <c r="F549" i="1"/>
  <c r="F548" i="1"/>
  <c r="F547" i="1"/>
  <c r="F546" i="1"/>
  <c r="F545" i="1"/>
  <c r="F544" i="1"/>
  <c r="M91" i="2" a="1"/>
  <c r="M91" i="2" s="1"/>
  <c r="L91" i="2"/>
  <c r="K91" i="2"/>
  <c r="J91" i="2"/>
  <c r="L543" i="1"/>
  <c r="L542" i="1"/>
  <c r="L541" i="1"/>
  <c r="L540" i="1"/>
  <c r="L539" i="1"/>
  <c r="L538" i="1"/>
  <c r="J543" i="1"/>
  <c r="J542" i="1"/>
  <c r="J541" i="1"/>
  <c r="J540" i="1"/>
  <c r="J539" i="1"/>
  <c r="J538" i="1"/>
  <c r="H543" i="1"/>
  <c r="H542" i="1"/>
  <c r="H541" i="1"/>
  <c r="H540" i="1"/>
  <c r="H539" i="1"/>
  <c r="H538" i="1"/>
  <c r="G543" i="1"/>
  <c r="G542" i="1"/>
  <c r="G541" i="1"/>
  <c r="G540" i="1"/>
  <c r="G539" i="1"/>
  <c r="G538" i="1"/>
  <c r="F543" i="1"/>
  <c r="F542" i="1"/>
  <c r="F541" i="1"/>
  <c r="F540" i="1"/>
  <c r="F539" i="1"/>
  <c r="F538" i="1"/>
  <c r="M90" i="2" a="1"/>
  <c r="M90" i="2" s="1"/>
  <c r="N90" i="2" s="1"/>
  <c r="L90" i="2"/>
  <c r="K90" i="2"/>
  <c r="J90" i="2"/>
  <c r="L537" i="1"/>
  <c r="L536" i="1"/>
  <c r="L535" i="1"/>
  <c r="L534" i="1"/>
  <c r="L533" i="1"/>
  <c r="L532" i="1"/>
  <c r="L531" i="1"/>
  <c r="L530" i="1"/>
  <c r="J537" i="1"/>
  <c r="J536" i="1"/>
  <c r="J535" i="1"/>
  <c r="J534" i="1"/>
  <c r="J533" i="1"/>
  <c r="J532" i="1"/>
  <c r="J531" i="1"/>
  <c r="J530" i="1"/>
  <c r="H537" i="1"/>
  <c r="H536" i="1"/>
  <c r="H535" i="1"/>
  <c r="H534" i="1"/>
  <c r="H533" i="1"/>
  <c r="H532" i="1"/>
  <c r="H531" i="1"/>
  <c r="H530" i="1"/>
  <c r="G537" i="1"/>
  <c r="G536" i="1"/>
  <c r="G535" i="1"/>
  <c r="G534" i="1"/>
  <c r="G533" i="1"/>
  <c r="G532" i="1"/>
  <c r="G531" i="1"/>
  <c r="G530" i="1"/>
  <c r="F537" i="1"/>
  <c r="F536" i="1"/>
  <c r="F535" i="1"/>
  <c r="F534" i="1"/>
  <c r="F533" i="1"/>
  <c r="F532" i="1"/>
  <c r="F531" i="1"/>
  <c r="F530" i="1"/>
  <c r="L529" i="1"/>
  <c r="L528" i="1"/>
  <c r="L527" i="1"/>
  <c r="L526" i="1"/>
  <c r="L525" i="1"/>
  <c r="L524" i="1"/>
  <c r="L523" i="1"/>
  <c r="L522" i="1"/>
  <c r="J529" i="1"/>
  <c r="J528" i="1"/>
  <c r="J527" i="1"/>
  <c r="J526" i="1"/>
  <c r="J525" i="1"/>
  <c r="J524" i="1"/>
  <c r="J523" i="1"/>
  <c r="J522" i="1"/>
  <c r="H529" i="1"/>
  <c r="H528" i="1"/>
  <c r="H527" i="1"/>
  <c r="H526" i="1"/>
  <c r="H525" i="1"/>
  <c r="H524" i="1"/>
  <c r="H523" i="1"/>
  <c r="H522" i="1"/>
  <c r="G529" i="1"/>
  <c r="G528" i="1"/>
  <c r="G527" i="1"/>
  <c r="G526" i="1"/>
  <c r="G525" i="1"/>
  <c r="G524" i="1"/>
  <c r="G523" i="1"/>
  <c r="G522" i="1"/>
  <c r="F529" i="1"/>
  <c r="F528" i="1"/>
  <c r="F527" i="1"/>
  <c r="F526" i="1"/>
  <c r="F525" i="1"/>
  <c r="F524" i="1"/>
  <c r="F523" i="1"/>
  <c r="F522" i="1"/>
  <c r="L521" i="1"/>
  <c r="L520" i="1"/>
  <c r="L519" i="1"/>
  <c r="L518" i="1"/>
  <c r="L517" i="1"/>
  <c r="L516" i="1"/>
  <c r="L515" i="1"/>
  <c r="L514" i="1"/>
  <c r="J521" i="1"/>
  <c r="J520" i="1"/>
  <c r="J519" i="1"/>
  <c r="J518" i="1"/>
  <c r="J517" i="1"/>
  <c r="J516" i="1"/>
  <c r="J515" i="1"/>
  <c r="J514" i="1"/>
  <c r="H521" i="1"/>
  <c r="H520" i="1"/>
  <c r="H519" i="1"/>
  <c r="H518" i="1"/>
  <c r="H517" i="1"/>
  <c r="H516" i="1"/>
  <c r="H515" i="1"/>
  <c r="H514" i="1"/>
  <c r="G521" i="1"/>
  <c r="G520" i="1"/>
  <c r="G519" i="1"/>
  <c r="G518" i="1"/>
  <c r="G517" i="1"/>
  <c r="G516" i="1"/>
  <c r="G515" i="1"/>
  <c r="G514" i="1"/>
  <c r="F521" i="1"/>
  <c r="F520" i="1"/>
  <c r="F519" i="1"/>
  <c r="F518" i="1"/>
  <c r="F517" i="1"/>
  <c r="F516" i="1"/>
  <c r="F515" i="1"/>
  <c r="F514" i="1"/>
  <c r="M89" i="2" a="1"/>
  <c r="M89" i="2" s="1"/>
  <c r="M88" i="2" a="1"/>
  <c r="M88" i="2" s="1"/>
  <c r="M87" i="2" a="1"/>
  <c r="M87" i="2" s="1"/>
  <c r="L89" i="2"/>
  <c r="L88" i="2"/>
  <c r="L87" i="2"/>
  <c r="K89" i="2"/>
  <c r="K88" i="2"/>
  <c r="K87" i="2"/>
  <c r="J89" i="2"/>
  <c r="J88" i="2"/>
  <c r="J87" i="2"/>
  <c r="L513" i="1"/>
  <c r="L512" i="1"/>
  <c r="L511" i="1"/>
  <c r="L510" i="1"/>
  <c r="L509" i="1"/>
  <c r="L508" i="1"/>
  <c r="J513" i="1"/>
  <c r="J512" i="1"/>
  <c r="J511" i="1"/>
  <c r="J510" i="1"/>
  <c r="J509" i="1"/>
  <c r="J508" i="1"/>
  <c r="H513" i="1"/>
  <c r="H512" i="1"/>
  <c r="H511" i="1"/>
  <c r="H510" i="1"/>
  <c r="H509" i="1"/>
  <c r="H508" i="1"/>
  <c r="G513" i="1"/>
  <c r="G512" i="1"/>
  <c r="G511" i="1"/>
  <c r="G510" i="1"/>
  <c r="G509" i="1"/>
  <c r="G508" i="1"/>
  <c r="F513" i="1"/>
  <c r="F512" i="1"/>
  <c r="F511" i="1"/>
  <c r="F510" i="1"/>
  <c r="F509" i="1"/>
  <c r="F508" i="1"/>
  <c r="L507" i="1"/>
  <c r="L506" i="1"/>
  <c r="L505" i="1"/>
  <c r="L504" i="1"/>
  <c r="L503" i="1"/>
  <c r="L502" i="1"/>
  <c r="J507" i="1"/>
  <c r="J506" i="1"/>
  <c r="J505" i="1"/>
  <c r="J504" i="1"/>
  <c r="J503" i="1"/>
  <c r="J502" i="1"/>
  <c r="H507" i="1"/>
  <c r="H506" i="1"/>
  <c r="H505" i="1"/>
  <c r="H504" i="1"/>
  <c r="H503" i="1"/>
  <c r="H502" i="1"/>
  <c r="G507" i="1"/>
  <c r="G506" i="1"/>
  <c r="G505" i="1"/>
  <c r="G504" i="1"/>
  <c r="G503" i="1"/>
  <c r="G502" i="1"/>
  <c r="F507" i="1"/>
  <c r="F506" i="1"/>
  <c r="F505" i="1"/>
  <c r="F504" i="1"/>
  <c r="F503" i="1"/>
  <c r="F502" i="1"/>
  <c r="L501" i="1"/>
  <c r="L500" i="1"/>
  <c r="L499" i="1"/>
  <c r="L498" i="1"/>
  <c r="L497" i="1"/>
  <c r="L496" i="1"/>
  <c r="J501" i="1"/>
  <c r="J500" i="1"/>
  <c r="J499" i="1"/>
  <c r="J498" i="1"/>
  <c r="J497" i="1"/>
  <c r="J496" i="1"/>
  <c r="H501" i="1"/>
  <c r="H500" i="1"/>
  <c r="H499" i="1"/>
  <c r="H498" i="1"/>
  <c r="H497" i="1"/>
  <c r="H496" i="1"/>
  <c r="G501" i="1"/>
  <c r="G500" i="1"/>
  <c r="G499" i="1"/>
  <c r="G498" i="1"/>
  <c r="G497" i="1"/>
  <c r="G496" i="1"/>
  <c r="F501" i="1"/>
  <c r="F500" i="1"/>
  <c r="F499" i="1"/>
  <c r="F498" i="1"/>
  <c r="F497" i="1"/>
  <c r="F496" i="1"/>
  <c r="L495" i="1"/>
  <c r="L494" i="1"/>
  <c r="L493" i="1"/>
  <c r="L492" i="1"/>
  <c r="L491" i="1"/>
  <c r="L490" i="1"/>
  <c r="J495" i="1"/>
  <c r="J494" i="1"/>
  <c r="J493" i="1"/>
  <c r="J492" i="1"/>
  <c r="J491" i="1"/>
  <c r="J490" i="1"/>
  <c r="H495" i="1"/>
  <c r="H494" i="1"/>
  <c r="H493" i="1"/>
  <c r="H492" i="1"/>
  <c r="H491" i="1"/>
  <c r="H490" i="1"/>
  <c r="G495" i="1"/>
  <c r="G494" i="1"/>
  <c r="G493" i="1"/>
  <c r="G492" i="1"/>
  <c r="G491" i="1"/>
  <c r="G490" i="1"/>
  <c r="F495" i="1"/>
  <c r="F494" i="1"/>
  <c r="F493" i="1"/>
  <c r="F492" i="1"/>
  <c r="F491" i="1"/>
  <c r="F490" i="1"/>
  <c r="L489" i="1"/>
  <c r="L488" i="1"/>
  <c r="L487" i="1"/>
  <c r="L486" i="1"/>
  <c r="L485" i="1"/>
  <c r="L484" i="1"/>
  <c r="J489" i="1"/>
  <c r="J488" i="1"/>
  <c r="J487" i="1"/>
  <c r="J486" i="1"/>
  <c r="J485" i="1"/>
  <c r="J484" i="1"/>
  <c r="H489" i="1"/>
  <c r="H488" i="1"/>
  <c r="H487" i="1"/>
  <c r="H486" i="1"/>
  <c r="H485" i="1"/>
  <c r="H484" i="1"/>
  <c r="G489" i="1"/>
  <c r="G488" i="1"/>
  <c r="G487" i="1"/>
  <c r="G486" i="1"/>
  <c r="G485" i="1"/>
  <c r="G484" i="1"/>
  <c r="F489" i="1"/>
  <c r="F488" i="1"/>
  <c r="F487" i="1"/>
  <c r="F486" i="1"/>
  <c r="F485" i="1"/>
  <c r="F484" i="1"/>
  <c r="L483" i="1"/>
  <c r="L482" i="1"/>
  <c r="L481" i="1"/>
  <c r="L480" i="1"/>
  <c r="L479" i="1"/>
  <c r="L478" i="1"/>
  <c r="J483" i="1"/>
  <c r="J482" i="1"/>
  <c r="J481" i="1"/>
  <c r="J480" i="1"/>
  <c r="J479" i="1"/>
  <c r="J478" i="1"/>
  <c r="H483" i="1"/>
  <c r="H482" i="1"/>
  <c r="H481" i="1"/>
  <c r="H480" i="1"/>
  <c r="H479" i="1"/>
  <c r="H478" i="1"/>
  <c r="G483" i="1"/>
  <c r="G482" i="1"/>
  <c r="G481" i="1"/>
  <c r="G480" i="1"/>
  <c r="G479" i="1"/>
  <c r="G478" i="1"/>
  <c r="F483" i="1"/>
  <c r="F482" i="1"/>
  <c r="F481" i="1"/>
  <c r="F480" i="1"/>
  <c r="F479" i="1"/>
  <c r="F478" i="1"/>
  <c r="L477" i="1"/>
  <c r="L476" i="1"/>
  <c r="L475" i="1"/>
  <c r="L474" i="1"/>
  <c r="L473" i="1"/>
  <c r="L472" i="1"/>
  <c r="J477" i="1"/>
  <c r="J476" i="1"/>
  <c r="J475" i="1"/>
  <c r="J474" i="1"/>
  <c r="J473" i="1"/>
  <c r="J472" i="1"/>
  <c r="H477" i="1"/>
  <c r="H476" i="1"/>
  <c r="H475" i="1"/>
  <c r="H474" i="1"/>
  <c r="H473" i="1"/>
  <c r="H472" i="1"/>
  <c r="G477" i="1"/>
  <c r="G476" i="1"/>
  <c r="G475" i="1"/>
  <c r="G474" i="1"/>
  <c r="G473" i="1"/>
  <c r="G472" i="1"/>
  <c r="F477" i="1"/>
  <c r="F476" i="1"/>
  <c r="F475" i="1"/>
  <c r="F474" i="1"/>
  <c r="F473" i="1"/>
  <c r="F472" i="1"/>
  <c r="M86" i="2" a="1"/>
  <c r="M86" i="2" s="1"/>
  <c r="M85" i="2" a="1"/>
  <c r="M85" i="2" s="1"/>
  <c r="M84" i="2" a="1"/>
  <c r="M84" i="2" s="1"/>
  <c r="M83" i="2" a="1"/>
  <c r="M83" i="2" s="1"/>
  <c r="M82" i="2" a="1"/>
  <c r="M82" i="2" s="1"/>
  <c r="M81" i="2" a="1"/>
  <c r="M81" i="2" s="1"/>
  <c r="M80" i="2" a="1"/>
  <c r="M80" i="2" s="1"/>
  <c r="L86" i="2"/>
  <c r="L85" i="2"/>
  <c r="L84" i="2"/>
  <c r="L83" i="2"/>
  <c r="L82" i="2"/>
  <c r="L81" i="2"/>
  <c r="L80" i="2"/>
  <c r="K86" i="2"/>
  <c r="K85" i="2"/>
  <c r="K84" i="2"/>
  <c r="K83" i="2"/>
  <c r="K82" i="2"/>
  <c r="K81" i="2"/>
  <c r="K80" i="2"/>
  <c r="J86" i="2"/>
  <c r="J85" i="2"/>
  <c r="J84" i="2"/>
  <c r="J83" i="2"/>
  <c r="J82" i="2"/>
  <c r="J81" i="2"/>
  <c r="J80" i="2"/>
  <c r="L471" i="1"/>
  <c r="L470" i="1"/>
  <c r="L469" i="1"/>
  <c r="L468" i="1"/>
  <c r="L467" i="1"/>
  <c r="L466" i="1"/>
  <c r="J471" i="1"/>
  <c r="J470" i="1"/>
  <c r="J469" i="1"/>
  <c r="J468" i="1"/>
  <c r="J467" i="1"/>
  <c r="J466" i="1"/>
  <c r="H471" i="1"/>
  <c r="H470" i="1"/>
  <c r="H469" i="1"/>
  <c r="H468" i="1"/>
  <c r="H467" i="1"/>
  <c r="H466" i="1"/>
  <c r="G471" i="1"/>
  <c r="G470" i="1"/>
  <c r="G469" i="1"/>
  <c r="G468" i="1"/>
  <c r="G467" i="1"/>
  <c r="G466" i="1"/>
  <c r="F471" i="1"/>
  <c r="F470" i="1"/>
  <c r="F469" i="1"/>
  <c r="F468" i="1"/>
  <c r="F467" i="1"/>
  <c r="F466" i="1"/>
  <c r="L465" i="1"/>
  <c r="L464" i="1"/>
  <c r="L463" i="1"/>
  <c r="L462" i="1"/>
  <c r="L461" i="1"/>
  <c r="L460" i="1"/>
  <c r="J465" i="1"/>
  <c r="J464" i="1"/>
  <c r="J463" i="1"/>
  <c r="J462" i="1"/>
  <c r="J461" i="1"/>
  <c r="J460" i="1"/>
  <c r="H465" i="1"/>
  <c r="H464" i="1"/>
  <c r="H463" i="1"/>
  <c r="H462" i="1"/>
  <c r="H461" i="1"/>
  <c r="H460" i="1"/>
  <c r="G465" i="1"/>
  <c r="G464" i="1"/>
  <c r="G463" i="1"/>
  <c r="G462" i="1"/>
  <c r="G461" i="1"/>
  <c r="G460" i="1"/>
  <c r="F465" i="1"/>
  <c r="F464" i="1"/>
  <c r="F463" i="1"/>
  <c r="F462" i="1"/>
  <c r="F461" i="1"/>
  <c r="F460" i="1"/>
  <c r="L459" i="1"/>
  <c r="L458" i="1"/>
  <c r="L457" i="1"/>
  <c r="L456" i="1"/>
  <c r="L455" i="1"/>
  <c r="L454" i="1"/>
  <c r="J459" i="1"/>
  <c r="J458" i="1"/>
  <c r="J457" i="1"/>
  <c r="J456" i="1"/>
  <c r="J455" i="1"/>
  <c r="J454" i="1"/>
  <c r="H459" i="1"/>
  <c r="H458" i="1"/>
  <c r="H457" i="1"/>
  <c r="H456" i="1"/>
  <c r="H455" i="1"/>
  <c r="H454" i="1"/>
  <c r="G459" i="1"/>
  <c r="G458" i="1"/>
  <c r="G457" i="1"/>
  <c r="G456" i="1"/>
  <c r="G455" i="1"/>
  <c r="G454" i="1"/>
  <c r="F459" i="1"/>
  <c r="F458" i="1"/>
  <c r="F457" i="1"/>
  <c r="F456" i="1"/>
  <c r="F455" i="1"/>
  <c r="F454" i="1"/>
  <c r="L453" i="1"/>
  <c r="L452" i="1"/>
  <c r="L451" i="1"/>
  <c r="L450" i="1"/>
  <c r="L449" i="1"/>
  <c r="L448" i="1"/>
  <c r="J453" i="1"/>
  <c r="J452" i="1"/>
  <c r="J451" i="1"/>
  <c r="J450" i="1"/>
  <c r="J449" i="1"/>
  <c r="J448" i="1"/>
  <c r="H453" i="1"/>
  <c r="H452" i="1"/>
  <c r="H451" i="1"/>
  <c r="H450" i="1"/>
  <c r="H449" i="1"/>
  <c r="H448" i="1"/>
  <c r="G453" i="1"/>
  <c r="G452" i="1"/>
  <c r="G451" i="1"/>
  <c r="G450" i="1"/>
  <c r="G449" i="1"/>
  <c r="G448" i="1"/>
  <c r="F453" i="1"/>
  <c r="F452" i="1"/>
  <c r="F451" i="1"/>
  <c r="F450" i="1"/>
  <c r="F449" i="1"/>
  <c r="F448" i="1"/>
  <c r="L447" i="1"/>
  <c r="L446" i="1"/>
  <c r="J447" i="1"/>
  <c r="J446" i="1"/>
  <c r="H447" i="1"/>
  <c r="H446" i="1"/>
  <c r="G447" i="1"/>
  <c r="G446" i="1"/>
  <c r="F447" i="1"/>
  <c r="F446" i="1"/>
  <c r="F442" i="1"/>
  <c r="F443" i="1"/>
  <c r="F444" i="1"/>
  <c r="F445" i="1"/>
  <c r="G442" i="1"/>
  <c r="G443" i="1"/>
  <c r="G444" i="1"/>
  <c r="G445" i="1"/>
  <c r="H442" i="1"/>
  <c r="H443" i="1"/>
  <c r="H444" i="1"/>
  <c r="H445" i="1"/>
  <c r="J442" i="1"/>
  <c r="J443" i="1"/>
  <c r="J444" i="1"/>
  <c r="J445" i="1"/>
  <c r="L442" i="1"/>
  <c r="L443" i="1"/>
  <c r="L444" i="1"/>
  <c r="L445" i="1"/>
  <c r="M79" i="2" a="1"/>
  <c r="M79" i="2" s="1"/>
  <c r="N79" i="2" s="1"/>
  <c r="L79" i="2"/>
  <c r="K79" i="2"/>
  <c r="J79" i="2"/>
  <c r="M78" i="2" a="1"/>
  <c r="M78" i="2" s="1"/>
  <c r="M77" i="2" a="1"/>
  <c r="M77" i="2" s="1"/>
  <c r="M76" i="2" a="1"/>
  <c r="M76" i="2" s="1"/>
  <c r="M75" i="2" a="1"/>
  <c r="M75" i="2" s="1"/>
  <c r="L78" i="2"/>
  <c r="L77" i="2"/>
  <c r="L76" i="2"/>
  <c r="L75" i="2"/>
  <c r="K78" i="2"/>
  <c r="K77" i="2"/>
  <c r="K76" i="2"/>
  <c r="K75" i="2"/>
  <c r="J78" i="2"/>
  <c r="J77" i="2"/>
  <c r="J76" i="2"/>
  <c r="J75" i="2"/>
  <c r="L441" i="1"/>
  <c r="L440" i="1"/>
  <c r="L439" i="1"/>
  <c r="L438" i="1"/>
  <c r="L437" i="1"/>
  <c r="L436" i="1"/>
  <c r="J441" i="1"/>
  <c r="J440" i="1"/>
  <c r="J439" i="1"/>
  <c r="J438" i="1"/>
  <c r="J437" i="1"/>
  <c r="J436" i="1"/>
  <c r="H441" i="1"/>
  <c r="H440" i="1"/>
  <c r="H439" i="1"/>
  <c r="H438" i="1"/>
  <c r="H437" i="1"/>
  <c r="H436" i="1"/>
  <c r="G441" i="1"/>
  <c r="G440" i="1"/>
  <c r="G439" i="1"/>
  <c r="G438" i="1"/>
  <c r="G437" i="1"/>
  <c r="G436" i="1"/>
  <c r="F441" i="1"/>
  <c r="F440" i="1"/>
  <c r="F439" i="1"/>
  <c r="F438" i="1"/>
  <c r="F437" i="1"/>
  <c r="F436" i="1"/>
  <c r="L435" i="1"/>
  <c r="L434" i="1"/>
  <c r="L433" i="1"/>
  <c r="L432" i="1"/>
  <c r="L431" i="1"/>
  <c r="L430" i="1"/>
  <c r="J435" i="1"/>
  <c r="J434" i="1"/>
  <c r="J433" i="1"/>
  <c r="J432" i="1"/>
  <c r="J431" i="1"/>
  <c r="J430" i="1"/>
  <c r="H435" i="1"/>
  <c r="H434" i="1"/>
  <c r="H433" i="1"/>
  <c r="H432" i="1"/>
  <c r="H431" i="1"/>
  <c r="H430" i="1"/>
  <c r="G435" i="1"/>
  <c r="G434" i="1"/>
  <c r="G433" i="1"/>
  <c r="G432" i="1"/>
  <c r="G431" i="1"/>
  <c r="G430" i="1"/>
  <c r="F435" i="1"/>
  <c r="F434" i="1"/>
  <c r="F433" i="1"/>
  <c r="F432" i="1"/>
  <c r="F431" i="1"/>
  <c r="F430" i="1"/>
  <c r="L429" i="1"/>
  <c r="L428" i="1"/>
  <c r="L427" i="1"/>
  <c r="L426" i="1"/>
  <c r="L425" i="1"/>
  <c r="L424" i="1"/>
  <c r="J429" i="1"/>
  <c r="J428" i="1"/>
  <c r="J427" i="1"/>
  <c r="J426" i="1"/>
  <c r="J425" i="1"/>
  <c r="J424" i="1"/>
  <c r="H429" i="1"/>
  <c r="H428" i="1"/>
  <c r="H427" i="1"/>
  <c r="H426" i="1"/>
  <c r="H425" i="1"/>
  <c r="H424" i="1"/>
  <c r="G429" i="1"/>
  <c r="G428" i="1"/>
  <c r="G427" i="1"/>
  <c r="G426" i="1"/>
  <c r="G425" i="1"/>
  <c r="G424" i="1"/>
  <c r="F429" i="1"/>
  <c r="F428" i="1"/>
  <c r="F427" i="1"/>
  <c r="F426" i="1"/>
  <c r="F425" i="1"/>
  <c r="F424" i="1"/>
  <c r="L423" i="1"/>
  <c r="L422" i="1"/>
  <c r="L421" i="1"/>
  <c r="L420" i="1"/>
  <c r="L419" i="1"/>
  <c r="L418" i="1"/>
  <c r="J423" i="1"/>
  <c r="J422" i="1"/>
  <c r="J421" i="1"/>
  <c r="J420" i="1"/>
  <c r="J419" i="1"/>
  <c r="J418" i="1"/>
  <c r="H423" i="1"/>
  <c r="H422" i="1"/>
  <c r="H421" i="1"/>
  <c r="H420" i="1"/>
  <c r="H419" i="1"/>
  <c r="H418" i="1"/>
  <c r="G423" i="1"/>
  <c r="G422" i="1"/>
  <c r="G421" i="1"/>
  <c r="G420" i="1"/>
  <c r="G419" i="1"/>
  <c r="G418" i="1"/>
  <c r="F423" i="1"/>
  <c r="F422" i="1"/>
  <c r="F421" i="1"/>
  <c r="F420" i="1"/>
  <c r="F419" i="1"/>
  <c r="F418" i="1"/>
  <c r="J74" i="2"/>
  <c r="K74" i="2"/>
  <c r="L74" i="2"/>
  <c r="M74" i="2" a="1"/>
  <c r="M74" i="2"/>
  <c r="N74" i="2"/>
  <c r="M73" i="2" a="1"/>
  <c r="M73" i="2" s="1"/>
  <c r="M72" i="2" a="1"/>
  <c r="M72" i="2" s="1"/>
  <c r="M71" i="2" a="1"/>
  <c r="M71" i="2" s="1"/>
  <c r="M70" i="2" a="1"/>
  <c r="M70" i="2" s="1"/>
  <c r="L73" i="2"/>
  <c r="L72" i="2"/>
  <c r="L71" i="2"/>
  <c r="L70" i="2"/>
  <c r="K73" i="2"/>
  <c r="K72" i="2"/>
  <c r="K71" i="2"/>
  <c r="K70" i="2"/>
  <c r="J73" i="2"/>
  <c r="J72" i="2"/>
  <c r="J71" i="2"/>
  <c r="J70" i="2"/>
  <c r="L417" i="1"/>
  <c r="L416" i="1"/>
  <c r="L415" i="1"/>
  <c r="L414" i="1"/>
  <c r="L413" i="1"/>
  <c r="L412" i="1"/>
  <c r="J417" i="1"/>
  <c r="J416" i="1"/>
  <c r="J415" i="1"/>
  <c r="J414" i="1"/>
  <c r="J413" i="1"/>
  <c r="J412" i="1"/>
  <c r="H417" i="1"/>
  <c r="H416" i="1"/>
  <c r="H415" i="1"/>
  <c r="H414" i="1"/>
  <c r="H413" i="1"/>
  <c r="H412" i="1"/>
  <c r="G417" i="1"/>
  <c r="G416" i="1"/>
  <c r="G415" i="1"/>
  <c r="G414" i="1"/>
  <c r="G413" i="1"/>
  <c r="G412" i="1"/>
  <c r="F417" i="1"/>
  <c r="F416" i="1"/>
  <c r="F415" i="1"/>
  <c r="F414" i="1"/>
  <c r="F413" i="1"/>
  <c r="F412" i="1"/>
  <c r="L411" i="1"/>
  <c r="L410" i="1"/>
  <c r="L409" i="1"/>
  <c r="L408" i="1"/>
  <c r="L407" i="1"/>
  <c r="L406" i="1"/>
  <c r="J411" i="1"/>
  <c r="J410" i="1"/>
  <c r="J409" i="1"/>
  <c r="J408" i="1"/>
  <c r="J407" i="1"/>
  <c r="J406" i="1"/>
  <c r="H411" i="1"/>
  <c r="H410" i="1"/>
  <c r="H409" i="1"/>
  <c r="H408" i="1"/>
  <c r="H407" i="1"/>
  <c r="H406" i="1"/>
  <c r="G411" i="1"/>
  <c r="G410" i="1"/>
  <c r="G409" i="1"/>
  <c r="G408" i="1"/>
  <c r="G407" i="1"/>
  <c r="G406" i="1"/>
  <c r="F411" i="1"/>
  <c r="F410" i="1"/>
  <c r="F409" i="1"/>
  <c r="F408" i="1"/>
  <c r="F407" i="1"/>
  <c r="F406" i="1"/>
  <c r="L405" i="1"/>
  <c r="L404" i="1"/>
  <c r="L403" i="1"/>
  <c r="L402" i="1"/>
  <c r="L401" i="1"/>
  <c r="L400" i="1"/>
  <c r="J405" i="1"/>
  <c r="J404" i="1"/>
  <c r="J403" i="1"/>
  <c r="J402" i="1"/>
  <c r="J401" i="1"/>
  <c r="J400" i="1"/>
  <c r="H405" i="1"/>
  <c r="H404" i="1"/>
  <c r="H403" i="1"/>
  <c r="H402" i="1"/>
  <c r="H401" i="1"/>
  <c r="H400" i="1"/>
  <c r="G405" i="1"/>
  <c r="G404" i="1"/>
  <c r="G403" i="1"/>
  <c r="G402" i="1"/>
  <c r="G401" i="1"/>
  <c r="G400" i="1"/>
  <c r="F405" i="1"/>
  <c r="F404" i="1"/>
  <c r="F403" i="1"/>
  <c r="F402" i="1"/>
  <c r="F401" i="1"/>
  <c r="F400" i="1"/>
  <c r="L399" i="1"/>
  <c r="L398" i="1"/>
  <c r="L397" i="1"/>
  <c r="L396" i="1"/>
  <c r="L395" i="1"/>
  <c r="L394" i="1"/>
  <c r="J399" i="1"/>
  <c r="J398" i="1"/>
  <c r="J397" i="1"/>
  <c r="J396" i="1"/>
  <c r="J395" i="1"/>
  <c r="J394" i="1"/>
  <c r="H399" i="1"/>
  <c r="H398" i="1"/>
  <c r="H397" i="1"/>
  <c r="H396" i="1"/>
  <c r="H395" i="1"/>
  <c r="H394" i="1"/>
  <c r="G399" i="1"/>
  <c r="G398" i="1"/>
  <c r="G397" i="1"/>
  <c r="G396" i="1"/>
  <c r="G395" i="1"/>
  <c r="G394" i="1"/>
  <c r="F399" i="1"/>
  <c r="F398" i="1"/>
  <c r="F397" i="1"/>
  <c r="F396" i="1"/>
  <c r="F395" i="1"/>
  <c r="F394" i="1"/>
  <c r="L393" i="1"/>
  <c r="L392" i="1"/>
  <c r="L391" i="1"/>
  <c r="L390" i="1"/>
  <c r="L389" i="1"/>
  <c r="J393" i="1"/>
  <c r="J392" i="1"/>
  <c r="J391" i="1"/>
  <c r="J390" i="1"/>
  <c r="J389" i="1"/>
  <c r="H393" i="1"/>
  <c r="H392" i="1"/>
  <c r="H391" i="1"/>
  <c r="H390" i="1"/>
  <c r="H389" i="1"/>
  <c r="G393" i="1"/>
  <c r="G392" i="1"/>
  <c r="G391" i="1"/>
  <c r="G390" i="1"/>
  <c r="G389" i="1"/>
  <c r="F393" i="1"/>
  <c r="F392" i="1"/>
  <c r="F391" i="1"/>
  <c r="F390" i="1"/>
  <c r="F389" i="1"/>
  <c r="M69" i="2" a="1"/>
  <c r="M69" i="2" s="1"/>
  <c r="M68" i="2" a="1"/>
  <c r="M68" i="2" s="1"/>
  <c r="M67" i="2" a="1"/>
  <c r="M67" i="2" s="1"/>
  <c r="M66" i="2" a="1"/>
  <c r="M66" i="2" s="1"/>
  <c r="M65" i="2" a="1"/>
  <c r="M65" i="2" s="1"/>
  <c r="L69" i="2"/>
  <c r="L68" i="2"/>
  <c r="L67" i="2"/>
  <c r="L66" i="2"/>
  <c r="L65" i="2"/>
  <c r="K69" i="2"/>
  <c r="K68" i="2"/>
  <c r="K67" i="2"/>
  <c r="K66" i="2"/>
  <c r="K65" i="2"/>
  <c r="J69" i="2"/>
  <c r="J68" i="2"/>
  <c r="J67" i="2"/>
  <c r="J66" i="2"/>
  <c r="J65" i="2"/>
  <c r="F388" i="1"/>
  <c r="G388" i="1"/>
  <c r="H388" i="1"/>
  <c r="I388" i="1"/>
  <c r="J388" i="1"/>
  <c r="K388" i="1"/>
  <c r="L388" i="1"/>
  <c r="M388" i="1"/>
  <c r="N388" i="1"/>
  <c r="F31" i="1"/>
  <c r="G31" i="1"/>
  <c r="H31" i="1"/>
  <c r="F32" i="1"/>
  <c r="G32" i="1"/>
  <c r="H32" i="1"/>
  <c r="F33" i="1"/>
  <c r="G33" i="1"/>
  <c r="H33" i="1"/>
  <c r="F34" i="1"/>
  <c r="G34" i="1"/>
  <c r="H34" i="1"/>
  <c r="F35" i="1"/>
  <c r="G35" i="1"/>
  <c r="H35" i="1"/>
  <c r="F36" i="1"/>
  <c r="G36" i="1"/>
  <c r="H36" i="1"/>
  <c r="F37" i="1"/>
  <c r="G37" i="1"/>
  <c r="H37" i="1"/>
  <c r="F38" i="1"/>
  <c r="G38" i="1"/>
  <c r="H38" i="1"/>
  <c r="F39" i="1"/>
  <c r="G39" i="1"/>
  <c r="H39" i="1"/>
  <c r="F40" i="1"/>
  <c r="G40" i="1"/>
  <c r="H40" i="1"/>
  <c r="L387" i="1"/>
  <c r="L386" i="1"/>
  <c r="L385" i="1"/>
  <c r="L384" i="1"/>
  <c r="L383" i="1"/>
  <c r="L382" i="1"/>
  <c r="L381" i="1"/>
  <c r="L380" i="1"/>
  <c r="J387" i="1"/>
  <c r="J386" i="1"/>
  <c r="J385" i="1"/>
  <c r="J384" i="1"/>
  <c r="J383" i="1"/>
  <c r="J382" i="1"/>
  <c r="J381" i="1"/>
  <c r="J380" i="1"/>
  <c r="H387" i="1"/>
  <c r="H386" i="1"/>
  <c r="H385" i="1"/>
  <c r="H384" i="1"/>
  <c r="H383" i="1"/>
  <c r="H382" i="1"/>
  <c r="H381" i="1"/>
  <c r="H380" i="1"/>
  <c r="G387" i="1"/>
  <c r="G386" i="1"/>
  <c r="G385" i="1"/>
  <c r="G384" i="1"/>
  <c r="G383" i="1"/>
  <c r="G382" i="1"/>
  <c r="G381" i="1"/>
  <c r="G380" i="1"/>
  <c r="F387" i="1"/>
  <c r="F386" i="1"/>
  <c r="F385" i="1"/>
  <c r="F384" i="1"/>
  <c r="F383" i="1"/>
  <c r="F382" i="1"/>
  <c r="F381" i="1"/>
  <c r="F380"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J379" i="1"/>
  <c r="J378" i="1"/>
  <c r="J377" i="1"/>
  <c r="J376" i="1"/>
  <c r="J375" i="1"/>
  <c r="J374" i="1"/>
  <c r="H379" i="1"/>
  <c r="H378" i="1"/>
  <c r="H377" i="1"/>
  <c r="H376" i="1"/>
  <c r="H375" i="1"/>
  <c r="H374" i="1"/>
  <c r="G379" i="1"/>
  <c r="G378" i="1"/>
  <c r="G377" i="1"/>
  <c r="G376" i="1"/>
  <c r="G375" i="1"/>
  <c r="G374" i="1"/>
  <c r="F379" i="1"/>
  <c r="F378" i="1"/>
  <c r="F377" i="1"/>
  <c r="F376" i="1"/>
  <c r="F375" i="1"/>
  <c r="F374" i="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M64" i="2" a="1"/>
  <c r="M64" i="2" s="1"/>
  <c r="N64" i="2" s="1"/>
  <c r="K64" i="2"/>
  <c r="J64" i="2"/>
  <c r="M373" i="1"/>
  <c r="M372" i="1"/>
  <c r="M371" i="1"/>
  <c r="M370" i="1"/>
  <c r="M369" i="1"/>
  <c r="J373" i="1"/>
  <c r="J372" i="1"/>
  <c r="J371" i="1"/>
  <c r="J370" i="1"/>
  <c r="J369" i="1"/>
  <c r="H373" i="1"/>
  <c r="H372" i="1"/>
  <c r="H371" i="1"/>
  <c r="H370" i="1"/>
  <c r="H369" i="1"/>
  <c r="G373" i="1"/>
  <c r="G372" i="1"/>
  <c r="G371" i="1"/>
  <c r="G370" i="1"/>
  <c r="G369" i="1"/>
  <c r="F373" i="1"/>
  <c r="F372" i="1"/>
  <c r="F371" i="1"/>
  <c r="F370" i="1"/>
  <c r="F369" i="1"/>
  <c r="B2" i="6"/>
  <c r="B1" i="6"/>
  <c r="M2" i="2" a="1"/>
  <c r="M2" i="2"/>
  <c r="N14" i="1" s="1"/>
  <c r="M3" i="2" a="1"/>
  <c r="M3" i="2"/>
  <c r="N9" i="1" s="1"/>
  <c r="M4" i="2" a="1"/>
  <c r="M4" i="2"/>
  <c r="N10" i="1" s="1"/>
  <c r="M5" i="2" a="1"/>
  <c r="M5" i="2"/>
  <c r="M6" i="2" a="1"/>
  <c r="M6" i="2"/>
  <c r="N15" i="1" s="1"/>
  <c r="M7" i="2" a="1"/>
  <c r="M7" i="2"/>
  <c r="M8" i="2" a="1"/>
  <c r="M8" i="2"/>
  <c r="N12" i="1" s="1"/>
  <c r="N369" i="1"/>
  <c r="M9" i="2" a="1"/>
  <c r="M9" i="2"/>
  <c r="M10" i="2" a="1"/>
  <c r="M10" i="2"/>
  <c r="M11" i="2" a="1"/>
  <c r="M11" i="2"/>
  <c r="N2" i="1" s="1"/>
  <c r="M12" i="2" a="1"/>
  <c r="M12" i="2"/>
  <c r="N5" i="1" s="1"/>
  <c r="M13" i="2" a="1"/>
  <c r="M13" i="2"/>
  <c r="M14" i="2" a="1"/>
  <c r="M14" i="2"/>
  <c r="M15" i="2" a="1"/>
  <c r="M15" i="2"/>
  <c r="N18" i="1" s="1"/>
  <c r="M16" i="2" a="1"/>
  <c r="M16" i="2"/>
  <c r="N19" i="1" s="1"/>
  <c r="M17" i="2" a="1"/>
  <c r="M17" i="2"/>
  <c r="M18" i="2" a="1"/>
  <c r="M18" i="2"/>
  <c r="M19" i="2" a="1"/>
  <c r="M19" i="2"/>
  <c r="M20" i="2" a="1"/>
  <c r="M20" i="2"/>
  <c r="M21" i="2" a="1"/>
  <c r="M21" i="2"/>
  <c r="M22" i="2" a="1"/>
  <c r="M22" i="2"/>
  <c r="M23" i="2" a="1"/>
  <c r="M23" i="2"/>
  <c r="M24" i="2" a="1"/>
  <c r="M24" i="2"/>
  <c r="N74" i="1" s="1"/>
  <c r="M25" i="2" a="1"/>
  <c r="M25" i="2"/>
  <c r="M26" i="2" a="1"/>
  <c r="M26" i="2"/>
  <c r="M27" i="2" a="1"/>
  <c r="M27" i="2"/>
  <c r="M28" i="2" a="1"/>
  <c r="M28" i="2"/>
  <c r="M29" i="2" a="1"/>
  <c r="M29" i="2"/>
  <c r="N111" i="1" s="1"/>
  <c r="M30" i="2" a="1"/>
  <c r="M30" i="2"/>
  <c r="N112" i="1" s="1"/>
  <c r="M31" i="2" a="1"/>
  <c r="M31" i="2"/>
  <c r="N113" i="1" s="1"/>
  <c r="M32" i="2" a="1"/>
  <c r="M32" i="2"/>
  <c r="N114" i="1" s="1"/>
  <c r="M33" i="2" a="1"/>
  <c r="M33" i="2"/>
  <c r="N115" i="1" s="1"/>
  <c r="M34" i="2" a="1"/>
  <c r="M34" i="2"/>
  <c r="N116" i="1" s="1"/>
  <c r="M35" i="2" a="1"/>
  <c r="M35" i="2"/>
  <c r="M36" i="2" a="1"/>
  <c r="M36" i="2"/>
  <c r="N119" i="1" s="1"/>
  <c r="M37" i="2" a="1"/>
  <c r="M37" i="2"/>
  <c r="N371" i="1" s="1"/>
  <c r="M38" i="2" a="1"/>
  <c r="M38" i="2"/>
  <c r="N372" i="1" s="1"/>
  <c r="M39" i="2" a="1"/>
  <c r="M39" i="2"/>
  <c r="N373" i="1" s="1"/>
  <c r="M40" i="2" a="1"/>
  <c r="M40" i="2"/>
  <c r="M41" i="2" a="1"/>
  <c r="M41" i="2"/>
  <c r="M42" i="2" a="1"/>
  <c r="M42" i="2"/>
  <c r="M43" i="2" a="1"/>
  <c r="M43" i="2"/>
  <c r="M44" i="2" a="1"/>
  <c r="M44" i="2"/>
  <c r="M45" i="2" a="1"/>
  <c r="M45" i="2"/>
  <c r="M46" i="2" a="1"/>
  <c r="M46" i="2"/>
  <c r="M47" i="2" a="1"/>
  <c r="M47" i="2"/>
  <c r="M48" i="2" a="1"/>
  <c r="M48" i="2"/>
  <c r="M49" i="2" a="1"/>
  <c r="M49" i="2"/>
  <c r="M50" i="2" a="1"/>
  <c r="M50" i="2"/>
  <c r="M51" i="2" a="1"/>
  <c r="M51" i="2"/>
  <c r="M52" i="2" a="1"/>
  <c r="M52" i="2"/>
  <c r="M53" i="2" a="1"/>
  <c r="M53" i="2"/>
  <c r="M54" i="2" a="1"/>
  <c r="M54" i="2"/>
  <c r="M55" i="2" a="1"/>
  <c r="M55" i="2"/>
  <c r="M56" i="2" a="1"/>
  <c r="M56" i="2"/>
  <c r="M57" i="2" a="1"/>
  <c r="M57" i="2"/>
  <c r="M58" i="2" a="1"/>
  <c r="M58" i="2"/>
  <c r="M59" i="2" a="1"/>
  <c r="M59" i="2"/>
  <c r="M60" i="2" a="1"/>
  <c r="M60" i="2"/>
  <c r="M61" i="2" a="1"/>
  <c r="M61" i="2"/>
  <c r="M62" i="2" a="1"/>
  <c r="M62" i="2"/>
  <c r="M63" i="2" a="1"/>
  <c r="M63" i="2"/>
  <c r="N3" i="2"/>
  <c r="O9" i="1" s="1"/>
  <c r="N4" i="2"/>
  <c r="O10" i="1" s="1"/>
  <c r="N5" i="2"/>
  <c r="N6" i="2"/>
  <c r="O15" i="1" s="1"/>
  <c r="N7" i="2"/>
  <c r="N8" i="2"/>
  <c r="O12" i="1" s="1"/>
  <c r="O369" i="1"/>
  <c r="N9" i="2"/>
  <c r="N10" i="2"/>
  <c r="N11" i="2"/>
  <c r="O2" i="1" s="1"/>
  <c r="N12" i="2"/>
  <c r="O5" i="1" s="1"/>
  <c r="N13" i="2"/>
  <c r="N14" i="2"/>
  <c r="N15" i="2"/>
  <c r="O18" i="1" s="1"/>
  <c r="N16" i="2"/>
  <c r="O19" i="1" s="1"/>
  <c r="N17" i="2"/>
  <c r="N18" i="2"/>
  <c r="N19" i="2"/>
  <c r="N20" i="2"/>
  <c r="N21" i="2"/>
  <c r="N22" i="2"/>
  <c r="N23" i="2"/>
  <c r="N24" i="2"/>
  <c r="O74" i="1" s="1"/>
  <c r="N25" i="2"/>
  <c r="N26" i="2"/>
  <c r="N27" i="2"/>
  <c r="N28" i="2"/>
  <c r="N29" i="2"/>
  <c r="O111" i="1" s="1"/>
  <c r="N30" i="2"/>
  <c r="O112" i="1" s="1"/>
  <c r="N31" i="2"/>
  <c r="O113" i="1" s="1"/>
  <c r="N32" i="2"/>
  <c r="O114" i="1" s="1"/>
  <c r="N33" i="2"/>
  <c r="O115" i="1" s="1"/>
  <c r="N34" i="2"/>
  <c r="O116" i="1" s="1"/>
  <c r="N35" i="2"/>
  <c r="N36" i="2"/>
  <c r="O119" i="1" s="1"/>
  <c r="N37" i="2"/>
  <c r="O371" i="1" s="1"/>
  <c r="N38" i="2"/>
  <c r="O372" i="1" s="1"/>
  <c r="N39" i="2"/>
  <c r="O373" i="1" s="1"/>
  <c r="N40" i="2"/>
  <c r="N41" i="2"/>
  <c r="N42" i="2"/>
  <c r="N43" i="2"/>
  <c r="N44" i="2"/>
  <c r="N45" i="2"/>
  <c r="N46" i="2"/>
  <c r="N47" i="2"/>
  <c r="N48" i="2"/>
  <c r="N49" i="2"/>
  <c r="N50" i="2"/>
  <c r="N51" i="2"/>
  <c r="N52" i="2"/>
  <c r="N53" i="2"/>
  <c r="N54" i="2"/>
  <c r="N55" i="2"/>
  <c r="N56" i="2"/>
  <c r="N57" i="2"/>
  <c r="N58" i="2"/>
  <c r="N59" i="2"/>
  <c r="N60" i="2"/>
  <c r="N61" i="2"/>
  <c r="N62" i="2"/>
  <c r="N63" i="2"/>
  <c r="N2" i="2"/>
  <c r="O14" i="1" s="1"/>
  <c r="M3" i="1"/>
  <c r="M4" i="1"/>
  <c r="M5" i="1"/>
  <c r="M6" i="1"/>
  <c r="M7" i="1"/>
  <c r="M8" i="1"/>
  <c r="M9" i="1"/>
  <c r="M10" i="1"/>
  <c r="M11" i="1"/>
  <c r="M12" i="1"/>
  <c r="M13"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2" i="1"/>
  <c r="M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2" i="1"/>
  <c r="K3" i="2"/>
  <c r="I9" i="1" s="1"/>
  <c r="K4" i="2"/>
  <c r="I10" i="1" s="1"/>
  <c r="K5" i="2"/>
  <c r="K6" i="2"/>
  <c r="I15" i="1" s="1"/>
  <c r="K7" i="2"/>
  <c r="K8" i="2"/>
  <c r="I12" i="1" s="1"/>
  <c r="I369" i="1"/>
  <c r="K9" i="2"/>
  <c r="K10" i="2"/>
  <c r="K11" i="2"/>
  <c r="I2" i="1" s="1"/>
  <c r="K12" i="2"/>
  <c r="I5" i="1" s="1"/>
  <c r="K13" i="2"/>
  <c r="K14" i="2"/>
  <c r="K15" i="2"/>
  <c r="I18" i="1" s="1"/>
  <c r="K16" i="2"/>
  <c r="I19" i="1" s="1"/>
  <c r="K17" i="2"/>
  <c r="K18" i="2"/>
  <c r="K19" i="2"/>
  <c r="K20" i="2"/>
  <c r="K21" i="2"/>
  <c r="K22" i="2"/>
  <c r="K23" i="2"/>
  <c r="K24" i="2"/>
  <c r="I74" i="1" s="1"/>
  <c r="K25" i="2"/>
  <c r="K26" i="2"/>
  <c r="K27" i="2"/>
  <c r="K28" i="2"/>
  <c r="K29" i="2"/>
  <c r="I111" i="1" s="1"/>
  <c r="K30" i="2"/>
  <c r="I112" i="1" s="1"/>
  <c r="K31" i="2"/>
  <c r="I113" i="1" s="1"/>
  <c r="K32" i="2"/>
  <c r="I114" i="1" s="1"/>
  <c r="K33" i="2"/>
  <c r="I115" i="1" s="1"/>
  <c r="K34" i="2"/>
  <c r="I116" i="1" s="1"/>
  <c r="K35" i="2"/>
  <c r="K36" i="2"/>
  <c r="I119" i="1" s="1"/>
  <c r="K37" i="2"/>
  <c r="I371" i="1" s="1"/>
  <c r="K38" i="2"/>
  <c r="I372" i="1" s="1"/>
  <c r="K39" i="2"/>
  <c r="I373" i="1" s="1"/>
  <c r="K40" i="2"/>
  <c r="K41" i="2"/>
  <c r="K42" i="2"/>
  <c r="K43" i="2"/>
  <c r="K44" i="2"/>
  <c r="K45" i="2"/>
  <c r="K46" i="2"/>
  <c r="K47" i="2"/>
  <c r="K48" i="2"/>
  <c r="K49" i="2"/>
  <c r="K50" i="2"/>
  <c r="K51" i="2"/>
  <c r="K52" i="2"/>
  <c r="K53" i="2"/>
  <c r="K54" i="2"/>
  <c r="K55" i="2"/>
  <c r="K56" i="2"/>
  <c r="K57" i="2"/>
  <c r="K58" i="2"/>
  <c r="K59" i="2"/>
  <c r="K60" i="2"/>
  <c r="K61" i="2"/>
  <c r="K62" i="2"/>
  <c r="K63" i="2"/>
  <c r="K2" i="2"/>
  <c r="I14" i="1" s="1"/>
  <c r="J3" i="2"/>
  <c r="K9" i="1" s="1"/>
  <c r="J4" i="2"/>
  <c r="K10" i="1" s="1"/>
  <c r="J5" i="2"/>
  <c r="J6" i="2"/>
  <c r="K15" i="1" s="1"/>
  <c r="J7" i="2"/>
  <c r="J8" i="2"/>
  <c r="K12" i="1" s="1"/>
  <c r="K369" i="1"/>
  <c r="J9" i="2"/>
  <c r="J10" i="2"/>
  <c r="J11" i="2"/>
  <c r="K2" i="1" s="1"/>
  <c r="J12" i="2"/>
  <c r="K5" i="1" s="1"/>
  <c r="J13" i="2"/>
  <c r="J14" i="2"/>
  <c r="J15" i="2"/>
  <c r="K18" i="1" s="1"/>
  <c r="J16" i="2"/>
  <c r="K19" i="1" s="1"/>
  <c r="J17" i="2"/>
  <c r="J18" i="2"/>
  <c r="J19" i="2"/>
  <c r="J20" i="2"/>
  <c r="J21" i="2"/>
  <c r="J22" i="2"/>
  <c r="J23" i="2"/>
  <c r="J24" i="2"/>
  <c r="K74" i="1" s="1"/>
  <c r="J25" i="2"/>
  <c r="J26" i="2"/>
  <c r="J27" i="2"/>
  <c r="J28" i="2"/>
  <c r="J29" i="2"/>
  <c r="K111" i="1" s="1"/>
  <c r="J30" i="2"/>
  <c r="K112" i="1" s="1"/>
  <c r="J31" i="2"/>
  <c r="K113" i="1" s="1"/>
  <c r="J32" i="2"/>
  <c r="K114" i="1" s="1"/>
  <c r="J33" i="2"/>
  <c r="K115" i="1" s="1"/>
  <c r="J34" i="2"/>
  <c r="K116" i="1" s="1"/>
  <c r="J35" i="2"/>
  <c r="J36" i="2"/>
  <c r="K119" i="1" s="1"/>
  <c r="J37" i="2"/>
  <c r="K371" i="1" s="1"/>
  <c r="J38" i="2"/>
  <c r="K372" i="1" s="1"/>
  <c r="J39" i="2"/>
  <c r="K373" i="1" s="1"/>
  <c r="J40" i="2"/>
  <c r="J41" i="2"/>
  <c r="J42" i="2"/>
  <c r="J43" i="2"/>
  <c r="J44" i="2"/>
  <c r="J45" i="2"/>
  <c r="J46" i="2"/>
  <c r="J47" i="2"/>
  <c r="J48" i="2"/>
  <c r="J49" i="2"/>
  <c r="J50" i="2"/>
  <c r="J51" i="2"/>
  <c r="J52" i="2"/>
  <c r="J53" i="2"/>
  <c r="J54" i="2"/>
  <c r="J55" i="2"/>
  <c r="J56" i="2"/>
  <c r="J57" i="2"/>
  <c r="J58" i="2"/>
  <c r="J59" i="2"/>
  <c r="J60" i="2"/>
  <c r="J61" i="2"/>
  <c r="J62" i="2"/>
  <c r="J63" i="2"/>
  <c r="J2" i="2"/>
  <c r="K14" i="1" s="1"/>
  <c r="F2"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F11" i="1"/>
  <c r="F12" i="1"/>
  <c r="F13" i="1"/>
  <c r="F14" i="1"/>
  <c r="F15" i="1"/>
  <c r="F16" i="1"/>
  <c r="F17" i="1"/>
  <c r="F18" i="1"/>
  <c r="F19" i="1"/>
  <c r="F20" i="1"/>
  <c r="F21" i="1"/>
  <c r="F22" i="1"/>
  <c r="F23" i="1"/>
  <c r="F24" i="1"/>
  <c r="F25" i="1"/>
  <c r="F26" i="1"/>
  <c r="F27" i="1"/>
  <c r="F28" i="1"/>
  <c r="F29" i="1"/>
  <c r="F3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4" i="1"/>
  <c r="F5" i="1"/>
  <c r="F6" i="1"/>
  <c r="F7" i="1"/>
  <c r="F8" i="1"/>
  <c r="F9" i="1"/>
  <c r="F10" i="1"/>
  <c r="F3" i="1"/>
  <c r="K1520" i="1" l="1"/>
  <c r="K1500" i="1"/>
  <c r="K1499" i="1"/>
  <c r="K1498" i="1"/>
  <c r="K1497" i="1"/>
  <c r="K1496" i="1"/>
  <c r="K1495" i="1"/>
  <c r="K1494" i="1"/>
  <c r="K1493" i="1"/>
  <c r="K1492" i="1"/>
  <c r="K1491" i="1"/>
  <c r="K1490" i="1"/>
  <c r="K1489" i="1"/>
  <c r="K1488" i="1"/>
  <c r="K1487" i="1"/>
  <c r="K1486" i="1"/>
  <c r="K1485" i="1"/>
  <c r="K1484" i="1"/>
  <c r="K1483" i="1"/>
  <c r="K1482" i="1"/>
  <c r="K1481" i="1"/>
  <c r="K1519" i="1"/>
  <c r="K1518" i="1"/>
  <c r="K1517" i="1"/>
  <c r="K1516" i="1"/>
  <c r="K1515" i="1"/>
  <c r="K1514" i="1"/>
  <c r="K1513" i="1"/>
  <c r="K1512" i="1"/>
  <c r="K1511" i="1"/>
  <c r="K1510" i="1"/>
  <c r="K1509" i="1"/>
  <c r="K1508" i="1"/>
  <c r="K1507" i="1"/>
  <c r="K1506" i="1"/>
  <c r="K1505" i="1"/>
  <c r="K1504" i="1"/>
  <c r="K1503" i="1"/>
  <c r="K1502" i="1"/>
  <c r="K1501" i="1"/>
  <c r="I1520" i="1"/>
  <c r="I1500" i="1"/>
  <c r="I1499" i="1"/>
  <c r="I1498" i="1"/>
  <c r="I1497" i="1"/>
  <c r="I1496" i="1"/>
  <c r="I1495" i="1"/>
  <c r="I1494" i="1"/>
  <c r="I1493" i="1"/>
  <c r="I1492" i="1"/>
  <c r="I1491" i="1"/>
  <c r="I1490" i="1"/>
  <c r="I1489" i="1"/>
  <c r="I1488" i="1"/>
  <c r="I1487" i="1"/>
  <c r="I1486" i="1"/>
  <c r="I1485" i="1"/>
  <c r="I1484" i="1"/>
  <c r="I1483" i="1"/>
  <c r="I1482" i="1"/>
  <c r="I1481" i="1"/>
  <c r="I1519" i="1"/>
  <c r="I1518" i="1"/>
  <c r="I1517" i="1"/>
  <c r="I1516" i="1"/>
  <c r="I1515" i="1"/>
  <c r="I1514" i="1"/>
  <c r="I1513" i="1"/>
  <c r="I1512" i="1"/>
  <c r="I1511" i="1"/>
  <c r="I1510" i="1"/>
  <c r="I1509" i="1"/>
  <c r="I1508" i="1"/>
  <c r="I1507" i="1"/>
  <c r="I1506" i="1"/>
  <c r="I1505" i="1"/>
  <c r="I1504" i="1"/>
  <c r="I1503" i="1"/>
  <c r="I1502" i="1"/>
  <c r="I1501" i="1"/>
  <c r="M1520" i="1"/>
  <c r="M1500" i="1"/>
  <c r="M1499" i="1"/>
  <c r="M1498" i="1"/>
  <c r="M1497" i="1"/>
  <c r="M1496" i="1"/>
  <c r="M1495" i="1"/>
  <c r="M1494" i="1"/>
  <c r="M1493" i="1"/>
  <c r="M1492" i="1"/>
  <c r="M1491" i="1"/>
  <c r="M1490" i="1"/>
  <c r="M1489" i="1"/>
  <c r="M1488" i="1"/>
  <c r="M1487" i="1"/>
  <c r="M1486" i="1"/>
  <c r="M1485" i="1"/>
  <c r="M1484" i="1"/>
  <c r="M1483" i="1"/>
  <c r="M1482" i="1"/>
  <c r="M1481" i="1"/>
  <c r="M1519" i="1"/>
  <c r="M1518" i="1"/>
  <c r="M1517" i="1"/>
  <c r="M1516" i="1"/>
  <c r="M1515" i="1"/>
  <c r="M1514" i="1"/>
  <c r="M1513" i="1"/>
  <c r="M1512" i="1"/>
  <c r="M1511" i="1"/>
  <c r="M1510" i="1"/>
  <c r="M1509" i="1"/>
  <c r="M1508" i="1"/>
  <c r="M1507" i="1"/>
  <c r="M1506" i="1"/>
  <c r="M1505" i="1"/>
  <c r="M1504" i="1"/>
  <c r="M1503" i="1"/>
  <c r="M1502" i="1"/>
  <c r="M1501" i="1"/>
  <c r="N116" i="2"/>
  <c r="N1520" i="1"/>
  <c r="N1500" i="1"/>
  <c r="N1499" i="1"/>
  <c r="N1498" i="1"/>
  <c r="N1497" i="1"/>
  <c r="N1496" i="1"/>
  <c r="N1495" i="1"/>
  <c r="N1494" i="1"/>
  <c r="N1493" i="1"/>
  <c r="N1492" i="1"/>
  <c r="N1491" i="1"/>
  <c r="N1490" i="1"/>
  <c r="N1489" i="1"/>
  <c r="N1488" i="1"/>
  <c r="N1487" i="1"/>
  <c r="N1486" i="1"/>
  <c r="N1485" i="1"/>
  <c r="N1484" i="1"/>
  <c r="N1483" i="1"/>
  <c r="N1482" i="1"/>
  <c r="N1481" i="1"/>
  <c r="N117" i="2"/>
  <c r="N1519" i="1"/>
  <c r="N1518" i="1"/>
  <c r="N1517" i="1"/>
  <c r="N1516" i="1"/>
  <c r="N1515" i="1"/>
  <c r="N1514" i="1"/>
  <c r="N1513" i="1"/>
  <c r="N1512" i="1"/>
  <c r="N1511" i="1"/>
  <c r="N1510" i="1"/>
  <c r="N1509" i="1"/>
  <c r="N1508" i="1"/>
  <c r="N1507" i="1"/>
  <c r="N1506" i="1"/>
  <c r="N1505" i="1"/>
  <c r="N1504" i="1"/>
  <c r="N1503" i="1"/>
  <c r="N1502" i="1"/>
  <c r="N1501" i="1"/>
  <c r="K1452" i="1"/>
  <c r="K1451" i="1"/>
  <c r="K1450" i="1"/>
  <c r="K1449" i="1"/>
  <c r="K1448" i="1"/>
  <c r="K1447" i="1"/>
  <c r="K1446" i="1"/>
  <c r="K1445" i="1"/>
  <c r="K1444" i="1"/>
  <c r="K1443" i="1"/>
  <c r="K1442" i="1"/>
  <c r="K1441" i="1"/>
  <c r="K1440" i="1"/>
  <c r="K1464" i="1"/>
  <c r="K1463" i="1"/>
  <c r="K1462" i="1"/>
  <c r="K1461" i="1"/>
  <c r="K1460" i="1"/>
  <c r="K1459" i="1"/>
  <c r="K1458" i="1"/>
  <c r="K1457" i="1"/>
  <c r="K1456" i="1"/>
  <c r="K1455" i="1"/>
  <c r="K1454" i="1"/>
  <c r="K1453" i="1"/>
  <c r="K1480" i="1"/>
  <c r="K1479" i="1"/>
  <c r="K1478" i="1"/>
  <c r="K1477" i="1"/>
  <c r="K1476" i="1"/>
  <c r="K1475" i="1"/>
  <c r="K1474" i="1"/>
  <c r="K1473" i="1"/>
  <c r="K1472" i="1"/>
  <c r="K1471" i="1"/>
  <c r="K1470" i="1"/>
  <c r="K1469" i="1"/>
  <c r="K1468" i="1"/>
  <c r="K1467" i="1"/>
  <c r="K1466" i="1"/>
  <c r="K1465" i="1"/>
  <c r="I1452" i="1"/>
  <c r="I1451" i="1"/>
  <c r="I1450" i="1"/>
  <c r="I1449" i="1"/>
  <c r="I1448" i="1"/>
  <c r="I1447" i="1"/>
  <c r="I1446" i="1"/>
  <c r="I1445" i="1"/>
  <c r="I1444" i="1"/>
  <c r="I1443" i="1"/>
  <c r="I1442" i="1"/>
  <c r="I1441" i="1"/>
  <c r="I1440" i="1"/>
  <c r="I1464" i="1"/>
  <c r="I1463" i="1"/>
  <c r="I1462" i="1"/>
  <c r="I1461" i="1"/>
  <c r="I1460" i="1"/>
  <c r="I1459" i="1"/>
  <c r="I1458" i="1"/>
  <c r="I1457" i="1"/>
  <c r="I1456" i="1"/>
  <c r="I1455" i="1"/>
  <c r="I1454" i="1"/>
  <c r="I1453" i="1"/>
  <c r="I1480" i="1"/>
  <c r="I1479" i="1"/>
  <c r="I1478" i="1"/>
  <c r="I1477" i="1"/>
  <c r="I1476" i="1"/>
  <c r="I1475" i="1"/>
  <c r="I1474" i="1"/>
  <c r="I1473" i="1"/>
  <c r="I1472" i="1"/>
  <c r="I1471" i="1"/>
  <c r="I1470" i="1"/>
  <c r="I1469" i="1"/>
  <c r="I1468" i="1"/>
  <c r="I1467" i="1"/>
  <c r="I1466" i="1"/>
  <c r="I1465" i="1"/>
  <c r="M1452" i="1"/>
  <c r="M1451" i="1"/>
  <c r="M1450" i="1"/>
  <c r="M1449" i="1"/>
  <c r="M1448" i="1"/>
  <c r="M1447" i="1"/>
  <c r="M1446" i="1"/>
  <c r="M1445" i="1"/>
  <c r="M1444" i="1"/>
  <c r="M1443" i="1"/>
  <c r="M1442" i="1"/>
  <c r="M1441" i="1"/>
  <c r="M1440" i="1"/>
  <c r="M1464" i="1"/>
  <c r="M1463" i="1"/>
  <c r="M1462" i="1"/>
  <c r="M1461" i="1"/>
  <c r="M1460" i="1"/>
  <c r="M1459" i="1"/>
  <c r="M1458" i="1"/>
  <c r="M1457" i="1"/>
  <c r="M1456" i="1"/>
  <c r="M1455" i="1"/>
  <c r="M1454" i="1"/>
  <c r="M1453" i="1"/>
  <c r="M1480" i="1"/>
  <c r="M1479" i="1"/>
  <c r="M1478" i="1"/>
  <c r="M1477" i="1"/>
  <c r="M1476" i="1"/>
  <c r="M1475" i="1"/>
  <c r="M1474" i="1"/>
  <c r="M1473" i="1"/>
  <c r="M1472" i="1"/>
  <c r="M1471" i="1"/>
  <c r="M1470" i="1"/>
  <c r="M1469" i="1"/>
  <c r="M1468" i="1"/>
  <c r="M1467" i="1"/>
  <c r="M1466" i="1"/>
  <c r="M1465" i="1"/>
  <c r="N113" i="2"/>
  <c r="N1452" i="1"/>
  <c r="N1451" i="1"/>
  <c r="N1450" i="1"/>
  <c r="N1449" i="1"/>
  <c r="N1448" i="1"/>
  <c r="N1447" i="1"/>
  <c r="N1446" i="1"/>
  <c r="N1445" i="1"/>
  <c r="N1444" i="1"/>
  <c r="N1443" i="1"/>
  <c r="N1442" i="1"/>
  <c r="N1441" i="1"/>
  <c r="N1440" i="1"/>
  <c r="N114" i="2"/>
  <c r="N1464" i="1"/>
  <c r="N1463" i="1"/>
  <c r="N1462" i="1"/>
  <c r="N1461" i="1"/>
  <c r="N1460" i="1"/>
  <c r="N1459" i="1"/>
  <c r="N1458" i="1"/>
  <c r="N1457" i="1"/>
  <c r="N1456" i="1"/>
  <c r="N1455" i="1"/>
  <c r="N1454" i="1"/>
  <c r="N1453" i="1"/>
  <c r="N115" i="2"/>
  <c r="N1480" i="1"/>
  <c r="N1479" i="1"/>
  <c r="N1478" i="1"/>
  <c r="N1477" i="1"/>
  <c r="N1476" i="1"/>
  <c r="N1475" i="1"/>
  <c r="N1474" i="1"/>
  <c r="N1473" i="1"/>
  <c r="N1472" i="1"/>
  <c r="N1471" i="1"/>
  <c r="N1470" i="1"/>
  <c r="N1469" i="1"/>
  <c r="N1468" i="1"/>
  <c r="N1467" i="1"/>
  <c r="N1466" i="1"/>
  <c r="N1465" i="1"/>
  <c r="K1370" i="1"/>
  <c r="K1369" i="1"/>
  <c r="K1368" i="1"/>
  <c r="K1367" i="1"/>
  <c r="K1366" i="1"/>
  <c r="K1365" i="1"/>
  <c r="K1364" i="1"/>
  <c r="K1363" i="1"/>
  <c r="K1362" i="1"/>
  <c r="K1361" i="1"/>
  <c r="K1380" i="1"/>
  <c r="K1379" i="1"/>
  <c r="K1378" i="1"/>
  <c r="K1377" i="1"/>
  <c r="K1376" i="1"/>
  <c r="K1375" i="1"/>
  <c r="K1374" i="1"/>
  <c r="K1373" i="1"/>
  <c r="K1372" i="1"/>
  <c r="K1371" i="1"/>
  <c r="K1399" i="1"/>
  <c r="K1398" i="1"/>
  <c r="K1397" i="1"/>
  <c r="K1396" i="1"/>
  <c r="K1395" i="1"/>
  <c r="K1394" i="1"/>
  <c r="K1393" i="1"/>
  <c r="K1392" i="1"/>
  <c r="K1391" i="1"/>
  <c r="K1390" i="1"/>
  <c r="K1389" i="1"/>
  <c r="K1388" i="1"/>
  <c r="K1387" i="1"/>
  <c r="K1386" i="1"/>
  <c r="K1385" i="1"/>
  <c r="K1384" i="1"/>
  <c r="K1383" i="1"/>
  <c r="K1382" i="1"/>
  <c r="K1381" i="1"/>
  <c r="I1370" i="1"/>
  <c r="I1369" i="1"/>
  <c r="I1368" i="1"/>
  <c r="I1367" i="1"/>
  <c r="I1366" i="1"/>
  <c r="I1365" i="1"/>
  <c r="I1364" i="1"/>
  <c r="I1363" i="1"/>
  <c r="I1362" i="1"/>
  <c r="I1361" i="1"/>
  <c r="I1380" i="1"/>
  <c r="I1379" i="1"/>
  <c r="I1378" i="1"/>
  <c r="I1377" i="1"/>
  <c r="I1376" i="1"/>
  <c r="I1375" i="1"/>
  <c r="I1374" i="1"/>
  <c r="I1373" i="1"/>
  <c r="I1372" i="1"/>
  <c r="I1371" i="1"/>
  <c r="I1399" i="1"/>
  <c r="I1398" i="1"/>
  <c r="I1397" i="1"/>
  <c r="I1396" i="1"/>
  <c r="I1395" i="1"/>
  <c r="I1394" i="1"/>
  <c r="I1393" i="1"/>
  <c r="I1392" i="1"/>
  <c r="I1391" i="1"/>
  <c r="I1390" i="1"/>
  <c r="I1389" i="1"/>
  <c r="I1388" i="1"/>
  <c r="I1387" i="1"/>
  <c r="I1386" i="1"/>
  <c r="I1385" i="1"/>
  <c r="I1384" i="1"/>
  <c r="I1383" i="1"/>
  <c r="I1382" i="1"/>
  <c r="I1381" i="1"/>
  <c r="M1370" i="1"/>
  <c r="M1369" i="1"/>
  <c r="M1368" i="1"/>
  <c r="M1367" i="1"/>
  <c r="M1366" i="1"/>
  <c r="M1365" i="1"/>
  <c r="M1364" i="1"/>
  <c r="M1363" i="1"/>
  <c r="M1362" i="1"/>
  <c r="M1361" i="1"/>
  <c r="M1380" i="1"/>
  <c r="M1379" i="1"/>
  <c r="M1378" i="1"/>
  <c r="M1377" i="1"/>
  <c r="M1376" i="1"/>
  <c r="M1375" i="1"/>
  <c r="M1374" i="1"/>
  <c r="M1373" i="1"/>
  <c r="M1372" i="1"/>
  <c r="M1371" i="1"/>
  <c r="M1399" i="1"/>
  <c r="M1398" i="1"/>
  <c r="M1397" i="1"/>
  <c r="M1396" i="1"/>
  <c r="M1395" i="1"/>
  <c r="M1394" i="1"/>
  <c r="M1393" i="1"/>
  <c r="M1392" i="1"/>
  <c r="M1391" i="1"/>
  <c r="M1390" i="1"/>
  <c r="M1389" i="1"/>
  <c r="M1388" i="1"/>
  <c r="M1387" i="1"/>
  <c r="M1386" i="1"/>
  <c r="M1385" i="1"/>
  <c r="M1384" i="1"/>
  <c r="M1383" i="1"/>
  <c r="M1382" i="1"/>
  <c r="M1381" i="1"/>
  <c r="N107" i="2"/>
  <c r="N1370" i="1"/>
  <c r="N1369" i="1"/>
  <c r="N1368" i="1"/>
  <c r="N1367" i="1"/>
  <c r="N1366" i="1"/>
  <c r="N1365" i="1"/>
  <c r="N1364" i="1"/>
  <c r="N1363" i="1"/>
  <c r="N1362" i="1"/>
  <c r="N1361" i="1"/>
  <c r="N108" i="2"/>
  <c r="N1380" i="1"/>
  <c r="N1379" i="1"/>
  <c r="N1378" i="1"/>
  <c r="N1377" i="1"/>
  <c r="N1376" i="1"/>
  <c r="N1375" i="1"/>
  <c r="N1374" i="1"/>
  <c r="N1373" i="1"/>
  <c r="N1372" i="1"/>
  <c r="N1371" i="1"/>
  <c r="N109" i="2"/>
  <c r="N1399" i="1"/>
  <c r="N1398" i="1"/>
  <c r="N1397" i="1"/>
  <c r="N1396" i="1"/>
  <c r="N1395" i="1"/>
  <c r="N1394" i="1"/>
  <c r="N1393" i="1"/>
  <c r="N1392" i="1"/>
  <c r="N1391" i="1"/>
  <c r="N1390" i="1"/>
  <c r="N1389" i="1"/>
  <c r="N1388" i="1"/>
  <c r="N1387" i="1"/>
  <c r="N1386" i="1"/>
  <c r="N1385" i="1"/>
  <c r="N1384" i="1"/>
  <c r="N1383" i="1"/>
  <c r="N1382" i="1"/>
  <c r="N1381" i="1"/>
  <c r="K1409" i="1"/>
  <c r="K1408" i="1"/>
  <c r="K1407" i="1"/>
  <c r="K1406" i="1"/>
  <c r="K1405" i="1"/>
  <c r="K1404" i="1"/>
  <c r="K1403" i="1"/>
  <c r="K1402" i="1"/>
  <c r="K1401" i="1"/>
  <c r="K1400" i="1"/>
  <c r="K1419" i="1"/>
  <c r="K1418" i="1"/>
  <c r="K1417" i="1"/>
  <c r="K1416" i="1"/>
  <c r="K1415" i="1"/>
  <c r="K1414" i="1"/>
  <c r="K1413" i="1"/>
  <c r="K1412" i="1"/>
  <c r="K1411" i="1"/>
  <c r="K1410" i="1"/>
  <c r="K1439" i="1"/>
  <c r="K1438" i="1"/>
  <c r="K1437" i="1"/>
  <c r="K1436" i="1"/>
  <c r="K1435" i="1"/>
  <c r="K1434" i="1"/>
  <c r="K1433" i="1"/>
  <c r="K1432" i="1"/>
  <c r="K1431" i="1"/>
  <c r="K1430" i="1"/>
  <c r="K1429" i="1"/>
  <c r="K1428" i="1"/>
  <c r="K1427" i="1"/>
  <c r="K1426" i="1"/>
  <c r="K1425" i="1"/>
  <c r="K1424" i="1"/>
  <c r="K1423" i="1"/>
  <c r="K1422" i="1"/>
  <c r="K1421" i="1"/>
  <c r="K1420" i="1"/>
  <c r="I1409" i="1"/>
  <c r="I1408" i="1"/>
  <c r="I1407" i="1"/>
  <c r="I1406" i="1"/>
  <c r="I1405" i="1"/>
  <c r="I1404" i="1"/>
  <c r="I1403" i="1"/>
  <c r="I1402" i="1"/>
  <c r="I1401" i="1"/>
  <c r="I1400" i="1"/>
  <c r="I1419" i="1"/>
  <c r="I1418" i="1"/>
  <c r="I1417" i="1"/>
  <c r="I1416" i="1"/>
  <c r="I1415" i="1"/>
  <c r="I1414" i="1"/>
  <c r="I1413" i="1"/>
  <c r="I1412" i="1"/>
  <c r="I1411" i="1"/>
  <c r="I1410" i="1"/>
  <c r="I1439" i="1"/>
  <c r="I1438" i="1"/>
  <c r="I1437" i="1"/>
  <c r="I1436" i="1"/>
  <c r="I1435" i="1"/>
  <c r="I1434" i="1"/>
  <c r="I1433" i="1"/>
  <c r="I1432" i="1"/>
  <c r="I1431" i="1"/>
  <c r="I1430" i="1"/>
  <c r="I1429" i="1"/>
  <c r="I1428" i="1"/>
  <c r="I1427" i="1"/>
  <c r="I1426" i="1"/>
  <c r="I1425" i="1"/>
  <c r="I1424" i="1"/>
  <c r="I1423" i="1"/>
  <c r="I1422" i="1"/>
  <c r="I1421" i="1"/>
  <c r="I1420" i="1"/>
  <c r="M1409" i="1"/>
  <c r="M1408" i="1"/>
  <c r="M1407" i="1"/>
  <c r="M1406" i="1"/>
  <c r="M1405" i="1"/>
  <c r="M1404" i="1"/>
  <c r="M1403" i="1"/>
  <c r="M1402" i="1"/>
  <c r="M1401" i="1"/>
  <c r="M1400" i="1"/>
  <c r="M1419" i="1"/>
  <c r="M1418" i="1"/>
  <c r="M1417" i="1"/>
  <c r="M1416" i="1"/>
  <c r="M1415" i="1"/>
  <c r="M1414" i="1"/>
  <c r="M1413" i="1"/>
  <c r="M1412" i="1"/>
  <c r="M1411" i="1"/>
  <c r="M1410" i="1"/>
  <c r="M1439" i="1"/>
  <c r="M1438" i="1"/>
  <c r="M1437" i="1"/>
  <c r="M1436" i="1"/>
  <c r="M1435" i="1"/>
  <c r="M1434" i="1"/>
  <c r="M1433" i="1"/>
  <c r="M1432" i="1"/>
  <c r="M1431" i="1"/>
  <c r="M1430" i="1"/>
  <c r="M1429" i="1"/>
  <c r="M1428" i="1"/>
  <c r="M1427" i="1"/>
  <c r="M1426" i="1"/>
  <c r="M1425" i="1"/>
  <c r="M1424" i="1"/>
  <c r="M1423" i="1"/>
  <c r="M1422" i="1"/>
  <c r="M1421" i="1"/>
  <c r="M1420" i="1"/>
  <c r="N110" i="2"/>
  <c r="N1409" i="1"/>
  <c r="N1408" i="1"/>
  <c r="N1407" i="1"/>
  <c r="N1406" i="1"/>
  <c r="N1405" i="1"/>
  <c r="N1404" i="1"/>
  <c r="N1403" i="1"/>
  <c r="N1402" i="1"/>
  <c r="N1401" i="1"/>
  <c r="N1400" i="1"/>
  <c r="N111" i="2"/>
  <c r="N1419" i="1"/>
  <c r="N1418" i="1"/>
  <c r="N1417" i="1"/>
  <c r="N1416" i="1"/>
  <c r="N1415" i="1"/>
  <c r="N1414" i="1"/>
  <c r="N1413" i="1"/>
  <c r="N1412" i="1"/>
  <c r="N1411" i="1"/>
  <c r="N1410" i="1"/>
  <c r="N112" i="2"/>
  <c r="N1439" i="1"/>
  <c r="N1438" i="1"/>
  <c r="N1437" i="1"/>
  <c r="N1436" i="1"/>
  <c r="N1435" i="1"/>
  <c r="N1434" i="1"/>
  <c r="N1433" i="1"/>
  <c r="N1432" i="1"/>
  <c r="N1431" i="1"/>
  <c r="N1430" i="1"/>
  <c r="N1429" i="1"/>
  <c r="N1428" i="1"/>
  <c r="N1427" i="1"/>
  <c r="N1426" i="1"/>
  <c r="N1425" i="1"/>
  <c r="N1424" i="1"/>
  <c r="N1423" i="1"/>
  <c r="N1422" i="1"/>
  <c r="N1421" i="1"/>
  <c r="N1420" i="1"/>
  <c r="K370"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I370"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O370" i="1"/>
  <c r="O907" i="1"/>
  <c r="O906" i="1"/>
  <c r="O905" i="1"/>
  <c r="O904" i="1"/>
  <c r="O903" i="1"/>
  <c r="O902" i="1"/>
  <c r="O901" i="1"/>
  <c r="O900"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1032" i="1"/>
  <c r="O1031" i="1"/>
  <c r="O1030" i="1"/>
  <c r="O1029" i="1"/>
  <c r="O1028" i="1"/>
  <c r="O1027" i="1"/>
  <c r="O1026" i="1"/>
  <c r="O1025"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1360" i="1"/>
  <c r="O1359" i="1"/>
  <c r="O1358" i="1"/>
  <c r="O1357" i="1"/>
  <c r="O1356" i="1"/>
  <c r="O1355" i="1"/>
  <c r="O1354" i="1"/>
  <c r="O1353"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N370"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K656" i="1"/>
  <c r="K655" i="1"/>
  <c r="K654" i="1"/>
  <c r="K653" i="1"/>
  <c r="K652" i="1"/>
  <c r="K651" i="1"/>
  <c r="K650" i="1"/>
  <c r="K649" i="1"/>
  <c r="K640" i="1"/>
  <c r="K639" i="1"/>
  <c r="I648" i="1"/>
  <c r="I647" i="1"/>
  <c r="I646" i="1"/>
  <c r="I645" i="1"/>
  <c r="I644" i="1"/>
  <c r="I643" i="1"/>
  <c r="I642" i="1"/>
  <c r="I641" i="1"/>
  <c r="I638" i="1"/>
  <c r="I656" i="1"/>
  <c r="I655" i="1"/>
  <c r="I654" i="1"/>
  <c r="I653" i="1"/>
  <c r="I652" i="1"/>
  <c r="I651" i="1"/>
  <c r="I650" i="1"/>
  <c r="I649" i="1"/>
  <c r="I640" i="1"/>
  <c r="I639" i="1"/>
  <c r="M648" i="1"/>
  <c r="M647" i="1"/>
  <c r="M646" i="1"/>
  <c r="M645" i="1"/>
  <c r="M644" i="1"/>
  <c r="M643" i="1"/>
  <c r="M642" i="1"/>
  <c r="M641" i="1"/>
  <c r="M638" i="1"/>
  <c r="M656" i="1"/>
  <c r="M655" i="1"/>
  <c r="M654" i="1"/>
  <c r="M653" i="1"/>
  <c r="M652" i="1"/>
  <c r="M651" i="1"/>
  <c r="M650" i="1"/>
  <c r="M649" i="1"/>
  <c r="M640" i="1"/>
  <c r="M639" i="1"/>
  <c r="N105" i="2"/>
  <c r="N648" i="1"/>
  <c r="N647" i="1"/>
  <c r="N646" i="1"/>
  <c r="N645" i="1"/>
  <c r="N644" i="1"/>
  <c r="N643" i="1"/>
  <c r="N642" i="1"/>
  <c r="N641" i="1"/>
  <c r="N638" i="1"/>
  <c r="N106" i="2"/>
  <c r="N656" i="1"/>
  <c r="N655" i="1"/>
  <c r="N654" i="1"/>
  <c r="N653" i="1"/>
  <c r="N652" i="1"/>
  <c r="N651" i="1"/>
  <c r="N650" i="1"/>
  <c r="N649" i="1"/>
  <c r="N640" i="1"/>
  <c r="N639" i="1"/>
  <c r="K648" i="1"/>
  <c r="K647" i="1"/>
  <c r="K646" i="1"/>
  <c r="K645" i="1"/>
  <c r="K644" i="1"/>
  <c r="K643" i="1"/>
  <c r="K642" i="1"/>
  <c r="K641" i="1"/>
  <c r="K638" i="1"/>
  <c r="K637" i="1"/>
  <c r="K636" i="1"/>
  <c r="K635" i="1"/>
  <c r="K634" i="1"/>
  <c r="K633" i="1"/>
  <c r="K632" i="1"/>
  <c r="K631" i="1"/>
  <c r="I637" i="1"/>
  <c r="I636" i="1"/>
  <c r="I635" i="1"/>
  <c r="I634" i="1"/>
  <c r="I633" i="1"/>
  <c r="I632" i="1"/>
  <c r="I631" i="1"/>
  <c r="M637" i="1"/>
  <c r="M636" i="1"/>
  <c r="M635" i="1"/>
  <c r="M634" i="1"/>
  <c r="M633" i="1"/>
  <c r="M632" i="1"/>
  <c r="M631" i="1"/>
  <c r="N104" i="2"/>
  <c r="N637" i="1"/>
  <c r="N636" i="1"/>
  <c r="N635" i="1"/>
  <c r="N634" i="1"/>
  <c r="N633" i="1"/>
  <c r="N632" i="1"/>
  <c r="N631" i="1"/>
  <c r="K612" i="1"/>
  <c r="K611" i="1"/>
  <c r="K610" i="1"/>
  <c r="K609" i="1"/>
  <c r="K608" i="1"/>
  <c r="K607" i="1"/>
  <c r="K618" i="1"/>
  <c r="K617" i="1"/>
  <c r="K616" i="1"/>
  <c r="K615" i="1"/>
  <c r="K614" i="1"/>
  <c r="K613" i="1"/>
  <c r="K624" i="1"/>
  <c r="K623" i="1"/>
  <c r="K622" i="1"/>
  <c r="K621" i="1"/>
  <c r="K620" i="1"/>
  <c r="K619" i="1"/>
  <c r="K630" i="1"/>
  <c r="K629" i="1"/>
  <c r="K628" i="1"/>
  <c r="K627" i="1"/>
  <c r="K626" i="1"/>
  <c r="K625" i="1"/>
  <c r="I612" i="1"/>
  <c r="I611" i="1"/>
  <c r="I610" i="1"/>
  <c r="I609" i="1"/>
  <c r="I608" i="1"/>
  <c r="I607" i="1"/>
  <c r="I618" i="1"/>
  <c r="I617" i="1"/>
  <c r="I616" i="1"/>
  <c r="I615" i="1"/>
  <c r="I614" i="1"/>
  <c r="I613" i="1"/>
  <c r="I624" i="1"/>
  <c r="I623" i="1"/>
  <c r="I622" i="1"/>
  <c r="I621" i="1"/>
  <c r="I620" i="1"/>
  <c r="I619" i="1"/>
  <c r="I630" i="1"/>
  <c r="I629" i="1"/>
  <c r="I628" i="1"/>
  <c r="I627" i="1"/>
  <c r="I626" i="1"/>
  <c r="I625" i="1"/>
  <c r="M612" i="1"/>
  <c r="M611" i="1"/>
  <c r="M610" i="1"/>
  <c r="M609" i="1"/>
  <c r="M608" i="1"/>
  <c r="M607" i="1"/>
  <c r="M618" i="1"/>
  <c r="M617" i="1"/>
  <c r="M616" i="1"/>
  <c r="M615" i="1"/>
  <c r="M614" i="1"/>
  <c r="M613" i="1"/>
  <c r="M624" i="1"/>
  <c r="M623" i="1"/>
  <c r="M622" i="1"/>
  <c r="M621" i="1"/>
  <c r="M620" i="1"/>
  <c r="M619" i="1"/>
  <c r="M630" i="1"/>
  <c r="M629" i="1"/>
  <c r="M628" i="1"/>
  <c r="M627" i="1"/>
  <c r="M626" i="1"/>
  <c r="M625" i="1"/>
  <c r="N100" i="2"/>
  <c r="N612" i="1"/>
  <c r="N611" i="1"/>
  <c r="N610" i="1"/>
  <c r="N609" i="1"/>
  <c r="N608" i="1"/>
  <c r="N607" i="1"/>
  <c r="N101" i="2"/>
  <c r="N618" i="1"/>
  <c r="N617" i="1"/>
  <c r="N616" i="1"/>
  <c r="N615" i="1"/>
  <c r="N614" i="1"/>
  <c r="N613" i="1"/>
  <c r="N102" i="2"/>
  <c r="N624" i="1"/>
  <c r="N623" i="1"/>
  <c r="N622" i="1"/>
  <c r="N621" i="1"/>
  <c r="N620" i="1"/>
  <c r="N619" i="1"/>
  <c r="N103" i="2"/>
  <c r="N630" i="1"/>
  <c r="N629" i="1"/>
  <c r="N628" i="1"/>
  <c r="N627" i="1"/>
  <c r="N626" i="1"/>
  <c r="N625" i="1"/>
  <c r="K593" i="1"/>
  <c r="K592" i="1"/>
  <c r="K591" i="1"/>
  <c r="K590" i="1"/>
  <c r="K589" i="1"/>
  <c r="K588" i="1"/>
  <c r="K599" i="1"/>
  <c r="K598" i="1"/>
  <c r="K597" i="1"/>
  <c r="K596" i="1"/>
  <c r="K595" i="1"/>
  <c r="K594" i="1"/>
  <c r="K606" i="1"/>
  <c r="K605" i="1"/>
  <c r="K604" i="1"/>
  <c r="K603" i="1"/>
  <c r="K602" i="1"/>
  <c r="K601" i="1"/>
  <c r="K600" i="1"/>
  <c r="I593" i="1"/>
  <c r="I592" i="1"/>
  <c r="I591" i="1"/>
  <c r="I590" i="1"/>
  <c r="I589" i="1"/>
  <c r="I588" i="1"/>
  <c r="I599" i="1"/>
  <c r="I598" i="1"/>
  <c r="I597" i="1"/>
  <c r="I596" i="1"/>
  <c r="I595" i="1"/>
  <c r="I594" i="1"/>
  <c r="I606" i="1"/>
  <c r="I605" i="1"/>
  <c r="I604" i="1"/>
  <c r="I603" i="1"/>
  <c r="I602" i="1"/>
  <c r="I601" i="1"/>
  <c r="I600" i="1"/>
  <c r="M593" i="1"/>
  <c r="M592" i="1"/>
  <c r="M591" i="1"/>
  <c r="M590" i="1"/>
  <c r="M589" i="1"/>
  <c r="M588" i="1"/>
  <c r="M599" i="1"/>
  <c r="M598" i="1"/>
  <c r="M597" i="1"/>
  <c r="M596" i="1"/>
  <c r="M595" i="1"/>
  <c r="M594" i="1"/>
  <c r="M606" i="1"/>
  <c r="M605" i="1"/>
  <c r="M604" i="1"/>
  <c r="M603" i="1"/>
  <c r="M602" i="1"/>
  <c r="M601" i="1"/>
  <c r="M600" i="1"/>
  <c r="N97" i="2"/>
  <c r="N593" i="1"/>
  <c r="N592" i="1"/>
  <c r="N591" i="1"/>
  <c r="N590" i="1"/>
  <c r="N589" i="1"/>
  <c r="N588" i="1"/>
  <c r="N98" i="2"/>
  <c r="N599" i="1"/>
  <c r="N598" i="1"/>
  <c r="N597" i="1"/>
  <c r="N596" i="1"/>
  <c r="N595" i="1"/>
  <c r="N594" i="1"/>
  <c r="N99" i="2"/>
  <c r="N606" i="1"/>
  <c r="N605" i="1"/>
  <c r="N604" i="1"/>
  <c r="N603" i="1"/>
  <c r="N602" i="1"/>
  <c r="N601" i="1"/>
  <c r="N600" i="1"/>
  <c r="K567" i="1"/>
  <c r="K566" i="1"/>
  <c r="K565" i="1"/>
  <c r="K564" i="1"/>
  <c r="K563" i="1"/>
  <c r="K562" i="1"/>
  <c r="K575" i="1"/>
  <c r="K574" i="1"/>
  <c r="K573" i="1"/>
  <c r="K572" i="1"/>
  <c r="K571" i="1"/>
  <c r="K570" i="1"/>
  <c r="K569" i="1"/>
  <c r="K568" i="1"/>
  <c r="K581" i="1"/>
  <c r="K580" i="1"/>
  <c r="K579" i="1"/>
  <c r="K578" i="1"/>
  <c r="K577" i="1"/>
  <c r="K576" i="1"/>
  <c r="K587" i="1"/>
  <c r="K586" i="1"/>
  <c r="K585" i="1"/>
  <c r="K584" i="1"/>
  <c r="K583" i="1"/>
  <c r="K582" i="1"/>
  <c r="I567" i="1"/>
  <c r="I566" i="1"/>
  <c r="I565" i="1"/>
  <c r="I564" i="1"/>
  <c r="I563" i="1"/>
  <c r="I562" i="1"/>
  <c r="I575" i="1"/>
  <c r="I574" i="1"/>
  <c r="I573" i="1"/>
  <c r="I572" i="1"/>
  <c r="I571" i="1"/>
  <c r="I570" i="1"/>
  <c r="I569" i="1"/>
  <c r="I568" i="1"/>
  <c r="I581" i="1"/>
  <c r="I580" i="1"/>
  <c r="I579" i="1"/>
  <c r="I578" i="1"/>
  <c r="I577" i="1"/>
  <c r="I576" i="1"/>
  <c r="I587" i="1"/>
  <c r="I586" i="1"/>
  <c r="I585" i="1"/>
  <c r="I584" i="1"/>
  <c r="I583" i="1"/>
  <c r="I582" i="1"/>
  <c r="M567" i="1"/>
  <c r="M566" i="1"/>
  <c r="M565" i="1"/>
  <c r="M564" i="1"/>
  <c r="M563" i="1"/>
  <c r="M562" i="1"/>
  <c r="M575" i="1"/>
  <c r="M574" i="1"/>
  <c r="M573" i="1"/>
  <c r="M572" i="1"/>
  <c r="M571" i="1"/>
  <c r="M570" i="1"/>
  <c r="M569" i="1"/>
  <c r="M568" i="1"/>
  <c r="M581" i="1"/>
  <c r="M580" i="1"/>
  <c r="M579" i="1"/>
  <c r="M578" i="1"/>
  <c r="M577" i="1"/>
  <c r="M576" i="1"/>
  <c r="M587" i="1"/>
  <c r="M586" i="1"/>
  <c r="M585" i="1"/>
  <c r="M584" i="1"/>
  <c r="M583" i="1"/>
  <c r="M582" i="1"/>
  <c r="N93" i="2"/>
  <c r="N567" i="1"/>
  <c r="N566" i="1"/>
  <c r="N565" i="1"/>
  <c r="N564" i="1"/>
  <c r="N563" i="1"/>
  <c r="N562" i="1"/>
  <c r="N94" i="2"/>
  <c r="N575" i="1"/>
  <c r="N574" i="1"/>
  <c r="N573" i="1"/>
  <c r="N572" i="1"/>
  <c r="N571" i="1"/>
  <c r="N570" i="1"/>
  <c r="N569" i="1"/>
  <c r="N568" i="1"/>
  <c r="N95" i="2"/>
  <c r="N581" i="1"/>
  <c r="N580" i="1"/>
  <c r="N579" i="1"/>
  <c r="N578" i="1"/>
  <c r="N577" i="1"/>
  <c r="N576" i="1"/>
  <c r="N96" i="2"/>
  <c r="N587" i="1"/>
  <c r="N586" i="1"/>
  <c r="N585" i="1"/>
  <c r="N584" i="1"/>
  <c r="N583" i="1"/>
  <c r="N582" i="1"/>
  <c r="K561" i="1"/>
  <c r="K560" i="1"/>
  <c r="K559" i="1"/>
  <c r="K558" i="1"/>
  <c r="K557" i="1"/>
  <c r="K556" i="1"/>
  <c r="K555" i="1"/>
  <c r="K554" i="1"/>
  <c r="K553" i="1"/>
  <c r="K552" i="1"/>
  <c r="I561" i="1"/>
  <c r="I560" i="1"/>
  <c r="I559" i="1"/>
  <c r="I558" i="1"/>
  <c r="I557" i="1"/>
  <c r="I556" i="1"/>
  <c r="I555" i="1"/>
  <c r="I554" i="1"/>
  <c r="I553" i="1"/>
  <c r="I552" i="1"/>
  <c r="M561" i="1"/>
  <c r="M560" i="1"/>
  <c r="M559" i="1"/>
  <c r="M558" i="1"/>
  <c r="M557" i="1"/>
  <c r="M556" i="1"/>
  <c r="M555" i="1"/>
  <c r="M554" i="1"/>
  <c r="M553" i="1"/>
  <c r="M552" i="1"/>
  <c r="N92" i="2"/>
  <c r="N561" i="1"/>
  <c r="N560" i="1"/>
  <c r="N559" i="1"/>
  <c r="N558" i="1"/>
  <c r="N557" i="1"/>
  <c r="N556" i="1"/>
  <c r="N555" i="1"/>
  <c r="N554" i="1"/>
  <c r="N553" i="1"/>
  <c r="N552" i="1"/>
  <c r="K551" i="1"/>
  <c r="K550" i="1"/>
  <c r="K549" i="1"/>
  <c r="K548" i="1"/>
  <c r="K547" i="1"/>
  <c r="K546" i="1"/>
  <c r="K545" i="1"/>
  <c r="K544" i="1"/>
  <c r="I551" i="1"/>
  <c r="I550" i="1"/>
  <c r="I549" i="1"/>
  <c r="I548" i="1"/>
  <c r="I547" i="1"/>
  <c r="I546" i="1"/>
  <c r="I545" i="1"/>
  <c r="I544" i="1"/>
  <c r="M551" i="1"/>
  <c r="M550" i="1"/>
  <c r="M549" i="1"/>
  <c r="M548" i="1"/>
  <c r="M547" i="1"/>
  <c r="M546" i="1"/>
  <c r="M545" i="1"/>
  <c r="M544" i="1"/>
  <c r="N91" i="2"/>
  <c r="N551" i="1"/>
  <c r="N550" i="1"/>
  <c r="N549" i="1"/>
  <c r="N548" i="1"/>
  <c r="N547" i="1"/>
  <c r="N546" i="1"/>
  <c r="N545" i="1"/>
  <c r="N544" i="1"/>
  <c r="K543" i="1"/>
  <c r="K542" i="1"/>
  <c r="K541" i="1"/>
  <c r="K540" i="1"/>
  <c r="K539" i="1"/>
  <c r="K538" i="1"/>
  <c r="I543" i="1"/>
  <c r="I542" i="1"/>
  <c r="I541" i="1"/>
  <c r="I540" i="1"/>
  <c r="I539" i="1"/>
  <c r="I538" i="1"/>
  <c r="M543" i="1"/>
  <c r="M542" i="1"/>
  <c r="M541" i="1"/>
  <c r="M540" i="1"/>
  <c r="M539" i="1"/>
  <c r="M538" i="1"/>
  <c r="N543" i="1"/>
  <c r="N542" i="1"/>
  <c r="N541" i="1"/>
  <c r="N540" i="1"/>
  <c r="N539" i="1"/>
  <c r="N538" i="1"/>
  <c r="K521" i="1"/>
  <c r="K520" i="1"/>
  <c r="K519" i="1"/>
  <c r="K518" i="1"/>
  <c r="K517" i="1"/>
  <c r="K516" i="1"/>
  <c r="K515" i="1"/>
  <c r="K514" i="1"/>
  <c r="K529" i="1"/>
  <c r="K528" i="1"/>
  <c r="K527" i="1"/>
  <c r="K526" i="1"/>
  <c r="K525" i="1"/>
  <c r="K524" i="1"/>
  <c r="K523" i="1"/>
  <c r="K522" i="1"/>
  <c r="K537" i="1"/>
  <c r="K536" i="1"/>
  <c r="K535" i="1"/>
  <c r="K534" i="1"/>
  <c r="K533" i="1"/>
  <c r="K532" i="1"/>
  <c r="K531" i="1"/>
  <c r="K530" i="1"/>
  <c r="I521" i="1"/>
  <c r="I520" i="1"/>
  <c r="I519" i="1"/>
  <c r="I518" i="1"/>
  <c r="I517" i="1"/>
  <c r="I516" i="1"/>
  <c r="I515" i="1"/>
  <c r="I514" i="1"/>
  <c r="I529" i="1"/>
  <c r="I528" i="1"/>
  <c r="I527" i="1"/>
  <c r="I526" i="1"/>
  <c r="I525" i="1"/>
  <c r="I524" i="1"/>
  <c r="I523" i="1"/>
  <c r="I522" i="1"/>
  <c r="I537" i="1"/>
  <c r="I536" i="1"/>
  <c r="I535" i="1"/>
  <c r="I534" i="1"/>
  <c r="I533" i="1"/>
  <c r="I532" i="1"/>
  <c r="I531" i="1"/>
  <c r="I530" i="1"/>
  <c r="M521" i="1"/>
  <c r="M520" i="1"/>
  <c r="M519" i="1"/>
  <c r="M518" i="1"/>
  <c r="M517" i="1"/>
  <c r="M516" i="1"/>
  <c r="M515" i="1"/>
  <c r="M514" i="1"/>
  <c r="M529" i="1"/>
  <c r="M528" i="1"/>
  <c r="M527" i="1"/>
  <c r="M526" i="1"/>
  <c r="M525" i="1"/>
  <c r="M524" i="1"/>
  <c r="M523" i="1"/>
  <c r="M522" i="1"/>
  <c r="M537" i="1"/>
  <c r="M536" i="1"/>
  <c r="M535" i="1"/>
  <c r="M534" i="1"/>
  <c r="M533" i="1"/>
  <c r="M532" i="1"/>
  <c r="M531" i="1"/>
  <c r="M530" i="1"/>
  <c r="N87" i="2"/>
  <c r="N521" i="1"/>
  <c r="N520" i="1"/>
  <c r="N519" i="1"/>
  <c r="N518" i="1"/>
  <c r="N517" i="1"/>
  <c r="N516" i="1"/>
  <c r="N515" i="1"/>
  <c r="N514" i="1"/>
  <c r="N88" i="2"/>
  <c r="N529" i="1"/>
  <c r="N528" i="1"/>
  <c r="N527" i="1"/>
  <c r="N526" i="1"/>
  <c r="N525" i="1"/>
  <c r="N524" i="1"/>
  <c r="N523" i="1"/>
  <c r="N522" i="1"/>
  <c r="N89" i="2"/>
  <c r="N537" i="1"/>
  <c r="N536" i="1"/>
  <c r="N535" i="1"/>
  <c r="N534" i="1"/>
  <c r="N533" i="1"/>
  <c r="N532" i="1"/>
  <c r="N531" i="1"/>
  <c r="N530" i="1"/>
  <c r="K477" i="1"/>
  <c r="K476" i="1"/>
  <c r="K475" i="1"/>
  <c r="K474" i="1"/>
  <c r="K473" i="1"/>
  <c r="K472" i="1"/>
  <c r="K483" i="1"/>
  <c r="K482" i="1"/>
  <c r="K481" i="1"/>
  <c r="K480" i="1"/>
  <c r="K479" i="1"/>
  <c r="K478" i="1"/>
  <c r="K489" i="1"/>
  <c r="K488" i="1"/>
  <c r="K487" i="1"/>
  <c r="K486" i="1"/>
  <c r="K485" i="1"/>
  <c r="K484" i="1"/>
  <c r="K495" i="1"/>
  <c r="K494" i="1"/>
  <c r="K493" i="1"/>
  <c r="K492" i="1"/>
  <c r="K491" i="1"/>
  <c r="K490" i="1"/>
  <c r="K501" i="1"/>
  <c r="K500" i="1"/>
  <c r="K499" i="1"/>
  <c r="K498" i="1"/>
  <c r="K497" i="1"/>
  <c r="K496" i="1"/>
  <c r="K507" i="1"/>
  <c r="K506" i="1"/>
  <c r="K505" i="1"/>
  <c r="K504" i="1"/>
  <c r="K503" i="1"/>
  <c r="K502" i="1"/>
  <c r="K513" i="1"/>
  <c r="K512" i="1"/>
  <c r="K511" i="1"/>
  <c r="K510" i="1"/>
  <c r="K509" i="1"/>
  <c r="K508" i="1"/>
  <c r="I477" i="1"/>
  <c r="I476" i="1"/>
  <c r="I475" i="1"/>
  <c r="I474" i="1"/>
  <c r="I473" i="1"/>
  <c r="I472" i="1"/>
  <c r="I483" i="1"/>
  <c r="I482" i="1"/>
  <c r="I481" i="1"/>
  <c r="I480" i="1"/>
  <c r="I479" i="1"/>
  <c r="I478" i="1"/>
  <c r="I489" i="1"/>
  <c r="I488" i="1"/>
  <c r="I487" i="1"/>
  <c r="I486" i="1"/>
  <c r="I485" i="1"/>
  <c r="I484" i="1"/>
  <c r="I495" i="1"/>
  <c r="I494" i="1"/>
  <c r="I493" i="1"/>
  <c r="I492" i="1"/>
  <c r="I491" i="1"/>
  <c r="I490" i="1"/>
  <c r="I501" i="1"/>
  <c r="I500" i="1"/>
  <c r="I499" i="1"/>
  <c r="I498" i="1"/>
  <c r="I497" i="1"/>
  <c r="I496" i="1"/>
  <c r="I507" i="1"/>
  <c r="I506" i="1"/>
  <c r="I505" i="1"/>
  <c r="I504" i="1"/>
  <c r="I503" i="1"/>
  <c r="I502" i="1"/>
  <c r="I513" i="1"/>
  <c r="I512" i="1"/>
  <c r="I511" i="1"/>
  <c r="I510" i="1"/>
  <c r="I509" i="1"/>
  <c r="I508" i="1"/>
  <c r="M477" i="1"/>
  <c r="M476" i="1"/>
  <c r="M475" i="1"/>
  <c r="M474" i="1"/>
  <c r="M473" i="1"/>
  <c r="M472" i="1"/>
  <c r="M483" i="1"/>
  <c r="M482" i="1"/>
  <c r="M481" i="1"/>
  <c r="M480" i="1"/>
  <c r="M479" i="1"/>
  <c r="M478" i="1"/>
  <c r="M489" i="1"/>
  <c r="M488" i="1"/>
  <c r="M487" i="1"/>
  <c r="M486" i="1"/>
  <c r="M485" i="1"/>
  <c r="M484" i="1"/>
  <c r="M495" i="1"/>
  <c r="M494" i="1"/>
  <c r="M493" i="1"/>
  <c r="M492" i="1"/>
  <c r="M491" i="1"/>
  <c r="M490" i="1"/>
  <c r="M501" i="1"/>
  <c r="M500" i="1"/>
  <c r="M499" i="1"/>
  <c r="M498" i="1"/>
  <c r="M497" i="1"/>
  <c r="M496" i="1"/>
  <c r="M507" i="1"/>
  <c r="M506" i="1"/>
  <c r="M505" i="1"/>
  <c r="M504" i="1"/>
  <c r="M503" i="1"/>
  <c r="M502" i="1"/>
  <c r="M513" i="1"/>
  <c r="M512" i="1"/>
  <c r="M511" i="1"/>
  <c r="M510" i="1"/>
  <c r="M509" i="1"/>
  <c r="M508" i="1"/>
  <c r="N80" i="2"/>
  <c r="N477" i="1"/>
  <c r="N476" i="1"/>
  <c r="N475" i="1"/>
  <c r="N474" i="1"/>
  <c r="N473" i="1"/>
  <c r="N472" i="1"/>
  <c r="N81" i="2"/>
  <c r="N483" i="1"/>
  <c r="N482" i="1"/>
  <c r="N481" i="1"/>
  <c r="N480" i="1"/>
  <c r="N479" i="1"/>
  <c r="N478" i="1"/>
  <c r="N82" i="2"/>
  <c r="N489" i="1"/>
  <c r="N488" i="1"/>
  <c r="N487" i="1"/>
  <c r="N486" i="1"/>
  <c r="N485" i="1"/>
  <c r="N484" i="1"/>
  <c r="N83" i="2"/>
  <c r="N495" i="1"/>
  <c r="N494" i="1"/>
  <c r="N493" i="1"/>
  <c r="N492" i="1"/>
  <c r="N491" i="1"/>
  <c r="N490" i="1"/>
  <c r="N84" i="2"/>
  <c r="N501" i="1"/>
  <c r="N500" i="1"/>
  <c r="N499" i="1"/>
  <c r="N498" i="1"/>
  <c r="N497" i="1"/>
  <c r="N496" i="1"/>
  <c r="N85" i="2"/>
  <c r="N507" i="1"/>
  <c r="N506" i="1"/>
  <c r="N505" i="1"/>
  <c r="N504" i="1"/>
  <c r="N503" i="1"/>
  <c r="N502" i="1"/>
  <c r="N86" i="2"/>
  <c r="N513" i="1"/>
  <c r="N512" i="1"/>
  <c r="N511" i="1"/>
  <c r="N510" i="1"/>
  <c r="N509" i="1"/>
  <c r="N508" i="1"/>
  <c r="O447" i="1"/>
  <c r="O446" i="1"/>
  <c r="O442" i="1"/>
  <c r="O443" i="1"/>
  <c r="O444" i="1"/>
  <c r="O445" i="1"/>
  <c r="N447" i="1"/>
  <c r="N446" i="1"/>
  <c r="N442" i="1"/>
  <c r="N443" i="1"/>
  <c r="N444" i="1"/>
  <c r="N445" i="1"/>
  <c r="M447" i="1"/>
  <c r="M446" i="1"/>
  <c r="M442" i="1"/>
  <c r="M443" i="1"/>
  <c r="M444" i="1"/>
  <c r="M445" i="1"/>
  <c r="I447" i="1"/>
  <c r="I446" i="1"/>
  <c r="I442" i="1"/>
  <c r="I443" i="1"/>
  <c r="I444" i="1"/>
  <c r="I445" i="1"/>
  <c r="K447" i="1"/>
  <c r="K446" i="1"/>
  <c r="K442" i="1"/>
  <c r="K443" i="1"/>
  <c r="K444" i="1"/>
  <c r="K445" i="1"/>
  <c r="K453" i="1"/>
  <c r="K452" i="1"/>
  <c r="K451" i="1"/>
  <c r="K450" i="1"/>
  <c r="K449" i="1"/>
  <c r="K448" i="1"/>
  <c r="K459" i="1"/>
  <c r="K458" i="1"/>
  <c r="K457" i="1"/>
  <c r="K456" i="1"/>
  <c r="K455" i="1"/>
  <c r="K454" i="1"/>
  <c r="K465" i="1"/>
  <c r="K464" i="1"/>
  <c r="K463" i="1"/>
  <c r="K462" i="1"/>
  <c r="K461" i="1"/>
  <c r="K460" i="1"/>
  <c r="K471" i="1"/>
  <c r="K470" i="1"/>
  <c r="K469" i="1"/>
  <c r="K468" i="1"/>
  <c r="K467" i="1"/>
  <c r="K466" i="1"/>
  <c r="I453" i="1"/>
  <c r="I452" i="1"/>
  <c r="I451" i="1"/>
  <c r="I450" i="1"/>
  <c r="I449" i="1"/>
  <c r="I448" i="1"/>
  <c r="I459" i="1"/>
  <c r="I458" i="1"/>
  <c r="I457" i="1"/>
  <c r="I456" i="1"/>
  <c r="I455" i="1"/>
  <c r="I454" i="1"/>
  <c r="I465" i="1"/>
  <c r="I464" i="1"/>
  <c r="I463" i="1"/>
  <c r="I462" i="1"/>
  <c r="I461" i="1"/>
  <c r="I460" i="1"/>
  <c r="I471" i="1"/>
  <c r="I470" i="1"/>
  <c r="I469" i="1"/>
  <c r="I468" i="1"/>
  <c r="I467" i="1"/>
  <c r="I466" i="1"/>
  <c r="M453" i="1"/>
  <c r="M452" i="1"/>
  <c r="M451" i="1"/>
  <c r="M450" i="1"/>
  <c r="M449" i="1"/>
  <c r="M448" i="1"/>
  <c r="M459" i="1"/>
  <c r="M458" i="1"/>
  <c r="M457" i="1"/>
  <c r="M456" i="1"/>
  <c r="M455" i="1"/>
  <c r="M454" i="1"/>
  <c r="M465" i="1"/>
  <c r="M464" i="1"/>
  <c r="M463" i="1"/>
  <c r="M462" i="1"/>
  <c r="M461" i="1"/>
  <c r="M460" i="1"/>
  <c r="M471" i="1"/>
  <c r="M470" i="1"/>
  <c r="M469" i="1"/>
  <c r="M468" i="1"/>
  <c r="M467" i="1"/>
  <c r="M466" i="1"/>
  <c r="N75" i="2"/>
  <c r="N453" i="1"/>
  <c r="N452" i="1"/>
  <c r="N451" i="1"/>
  <c r="N450" i="1"/>
  <c r="N449" i="1"/>
  <c r="N448" i="1"/>
  <c r="N76" i="2"/>
  <c r="N459" i="1"/>
  <c r="N458" i="1"/>
  <c r="N457" i="1"/>
  <c r="N456" i="1"/>
  <c r="N455" i="1"/>
  <c r="N454" i="1"/>
  <c r="N77" i="2"/>
  <c r="N465" i="1"/>
  <c r="N464" i="1"/>
  <c r="N463" i="1"/>
  <c r="N462" i="1"/>
  <c r="N461" i="1"/>
  <c r="N460" i="1"/>
  <c r="N78" i="2"/>
  <c r="N471" i="1"/>
  <c r="N470" i="1"/>
  <c r="N469" i="1"/>
  <c r="N468" i="1"/>
  <c r="N467" i="1"/>
  <c r="N466" i="1"/>
  <c r="K435" i="1"/>
  <c r="K434" i="1"/>
  <c r="K433" i="1"/>
  <c r="K432" i="1"/>
  <c r="K431" i="1"/>
  <c r="K430" i="1"/>
  <c r="K441" i="1"/>
  <c r="K440" i="1"/>
  <c r="K439" i="1"/>
  <c r="K438" i="1"/>
  <c r="K437" i="1"/>
  <c r="K436" i="1"/>
  <c r="I435" i="1"/>
  <c r="I434" i="1"/>
  <c r="I433" i="1"/>
  <c r="I432" i="1"/>
  <c r="I431" i="1"/>
  <c r="I430" i="1"/>
  <c r="I441" i="1"/>
  <c r="I440" i="1"/>
  <c r="I439" i="1"/>
  <c r="I438" i="1"/>
  <c r="I437" i="1"/>
  <c r="I436" i="1"/>
  <c r="M435" i="1"/>
  <c r="M434" i="1"/>
  <c r="M433" i="1"/>
  <c r="M432" i="1"/>
  <c r="M431" i="1"/>
  <c r="M430" i="1"/>
  <c r="M441" i="1"/>
  <c r="M440" i="1"/>
  <c r="M439" i="1"/>
  <c r="M438" i="1"/>
  <c r="M437" i="1"/>
  <c r="M436" i="1"/>
  <c r="N72" i="2"/>
  <c r="N435" i="1"/>
  <c r="N434" i="1"/>
  <c r="N433" i="1"/>
  <c r="N432" i="1"/>
  <c r="N431" i="1"/>
  <c r="N430" i="1"/>
  <c r="N73" i="2"/>
  <c r="N441" i="1"/>
  <c r="N440" i="1"/>
  <c r="N439" i="1"/>
  <c r="N438" i="1"/>
  <c r="N437" i="1"/>
  <c r="N436" i="1"/>
  <c r="K423" i="1"/>
  <c r="K422" i="1"/>
  <c r="K421" i="1"/>
  <c r="K420" i="1"/>
  <c r="K419" i="1"/>
  <c r="K418" i="1"/>
  <c r="K429" i="1"/>
  <c r="K428" i="1"/>
  <c r="K427" i="1"/>
  <c r="K426" i="1"/>
  <c r="K425" i="1"/>
  <c r="K424" i="1"/>
  <c r="I423" i="1"/>
  <c r="I422" i="1"/>
  <c r="I421" i="1"/>
  <c r="I420" i="1"/>
  <c r="I419" i="1"/>
  <c r="I418" i="1"/>
  <c r="I429" i="1"/>
  <c r="I428" i="1"/>
  <c r="I427" i="1"/>
  <c r="I426" i="1"/>
  <c r="I425" i="1"/>
  <c r="I424" i="1"/>
  <c r="M423" i="1"/>
  <c r="M422" i="1"/>
  <c r="M421" i="1"/>
  <c r="M420" i="1"/>
  <c r="M419" i="1"/>
  <c r="M418" i="1"/>
  <c r="M429" i="1"/>
  <c r="M428" i="1"/>
  <c r="M427" i="1"/>
  <c r="M426" i="1"/>
  <c r="M425" i="1"/>
  <c r="M424" i="1"/>
  <c r="N70" i="2"/>
  <c r="N423" i="1"/>
  <c r="N422" i="1"/>
  <c r="N421" i="1"/>
  <c r="N420" i="1"/>
  <c r="N419" i="1"/>
  <c r="N418" i="1"/>
  <c r="N71" i="2"/>
  <c r="N429" i="1"/>
  <c r="N428" i="1"/>
  <c r="N427" i="1"/>
  <c r="N426" i="1"/>
  <c r="N425" i="1"/>
  <c r="N424" i="1"/>
  <c r="K393" i="1"/>
  <c r="K392" i="1"/>
  <c r="K391" i="1"/>
  <c r="K390" i="1"/>
  <c r="K389" i="1"/>
  <c r="K399" i="1"/>
  <c r="K398" i="1"/>
  <c r="K397" i="1"/>
  <c r="K396" i="1"/>
  <c r="K395" i="1"/>
  <c r="K394" i="1"/>
  <c r="K405" i="1"/>
  <c r="K404" i="1"/>
  <c r="K403" i="1"/>
  <c r="K402" i="1"/>
  <c r="K401" i="1"/>
  <c r="K400" i="1"/>
  <c r="K411" i="1"/>
  <c r="K410" i="1"/>
  <c r="K409" i="1"/>
  <c r="K408" i="1"/>
  <c r="K407" i="1"/>
  <c r="K406" i="1"/>
  <c r="K417" i="1"/>
  <c r="K416" i="1"/>
  <c r="K415" i="1"/>
  <c r="K414" i="1"/>
  <c r="K413" i="1"/>
  <c r="K412" i="1"/>
  <c r="I393" i="1"/>
  <c r="I392" i="1"/>
  <c r="I391" i="1"/>
  <c r="I390" i="1"/>
  <c r="I389" i="1"/>
  <c r="I399" i="1"/>
  <c r="I398" i="1"/>
  <c r="I397" i="1"/>
  <c r="I396" i="1"/>
  <c r="I395" i="1"/>
  <c r="I394" i="1"/>
  <c r="I405" i="1"/>
  <c r="I404" i="1"/>
  <c r="I403" i="1"/>
  <c r="I402" i="1"/>
  <c r="I401" i="1"/>
  <c r="I400" i="1"/>
  <c r="I411" i="1"/>
  <c r="I410" i="1"/>
  <c r="I409" i="1"/>
  <c r="I408" i="1"/>
  <c r="I407" i="1"/>
  <c r="I406" i="1"/>
  <c r="I417" i="1"/>
  <c r="I416" i="1"/>
  <c r="I415" i="1"/>
  <c r="I414" i="1"/>
  <c r="I413" i="1"/>
  <c r="I412" i="1"/>
  <c r="M393" i="1"/>
  <c r="M392" i="1"/>
  <c r="M391" i="1"/>
  <c r="M390" i="1"/>
  <c r="M389" i="1"/>
  <c r="M399" i="1"/>
  <c r="M398" i="1"/>
  <c r="M397" i="1"/>
  <c r="M396" i="1"/>
  <c r="M395" i="1"/>
  <c r="M394" i="1"/>
  <c r="M405" i="1"/>
  <c r="M404" i="1"/>
  <c r="M403" i="1"/>
  <c r="M402" i="1"/>
  <c r="M401" i="1"/>
  <c r="M400" i="1"/>
  <c r="M411" i="1"/>
  <c r="M410" i="1"/>
  <c r="M409" i="1"/>
  <c r="M408" i="1"/>
  <c r="M407" i="1"/>
  <c r="M406" i="1"/>
  <c r="M417" i="1"/>
  <c r="M416" i="1"/>
  <c r="M415" i="1"/>
  <c r="M414" i="1"/>
  <c r="M413" i="1"/>
  <c r="M412" i="1"/>
  <c r="N65" i="2"/>
  <c r="N393" i="1"/>
  <c r="N392" i="1"/>
  <c r="N391" i="1"/>
  <c r="N390" i="1"/>
  <c r="N389" i="1"/>
  <c r="N66" i="2"/>
  <c r="N399" i="1"/>
  <c r="N398" i="1"/>
  <c r="N397" i="1"/>
  <c r="N396" i="1"/>
  <c r="N395" i="1"/>
  <c r="N394" i="1"/>
  <c r="N67" i="2"/>
  <c r="N405" i="1"/>
  <c r="N404" i="1"/>
  <c r="N403" i="1"/>
  <c r="N402" i="1"/>
  <c r="N401" i="1"/>
  <c r="N400" i="1"/>
  <c r="N68" i="2"/>
  <c r="N411" i="1"/>
  <c r="N410" i="1"/>
  <c r="N409" i="1"/>
  <c r="N408" i="1"/>
  <c r="N407" i="1"/>
  <c r="N406" i="1"/>
  <c r="N69" i="2"/>
  <c r="N417" i="1"/>
  <c r="N416" i="1"/>
  <c r="N415" i="1"/>
  <c r="N414" i="1"/>
  <c r="N413" i="1"/>
  <c r="N412" i="1"/>
  <c r="K387" i="1"/>
  <c r="K386" i="1"/>
  <c r="K385" i="1"/>
  <c r="K384" i="1"/>
  <c r="K383" i="1"/>
  <c r="K382" i="1"/>
  <c r="K381" i="1"/>
  <c r="K380" i="1"/>
  <c r="I387" i="1"/>
  <c r="I386" i="1"/>
  <c r="I385" i="1"/>
  <c r="I384" i="1"/>
  <c r="I383" i="1"/>
  <c r="I382" i="1"/>
  <c r="I381" i="1"/>
  <c r="I380" i="1"/>
  <c r="O387" i="1"/>
  <c r="O386" i="1"/>
  <c r="O385" i="1"/>
  <c r="O384" i="1"/>
  <c r="O383" i="1"/>
  <c r="O382" i="1"/>
  <c r="O381" i="1"/>
  <c r="O380" i="1"/>
  <c r="N387" i="1"/>
  <c r="N386" i="1"/>
  <c r="N385" i="1"/>
  <c r="N384" i="1"/>
  <c r="N383" i="1"/>
  <c r="N382" i="1"/>
  <c r="N381" i="1"/>
  <c r="N380" i="1"/>
  <c r="M387" i="1"/>
  <c r="M386" i="1"/>
  <c r="M385" i="1"/>
  <c r="M384" i="1"/>
  <c r="M383" i="1"/>
  <c r="M382" i="1"/>
  <c r="M381" i="1"/>
  <c r="M380" i="1"/>
  <c r="K117" i="1"/>
  <c r="K379" i="1"/>
  <c r="K378" i="1"/>
  <c r="K377" i="1"/>
  <c r="K376" i="1"/>
  <c r="K375" i="1"/>
  <c r="K374" i="1"/>
  <c r="I117" i="1"/>
  <c r="I379" i="1"/>
  <c r="I378" i="1"/>
  <c r="I377" i="1"/>
  <c r="I376" i="1"/>
  <c r="I375" i="1"/>
  <c r="I374" i="1"/>
  <c r="O117" i="1"/>
  <c r="O379" i="1"/>
  <c r="O378" i="1"/>
  <c r="O377" i="1"/>
  <c r="O376" i="1"/>
  <c r="O375" i="1"/>
  <c r="O374" i="1"/>
  <c r="N117" i="1"/>
  <c r="N379" i="1"/>
  <c r="N378" i="1"/>
  <c r="N377" i="1"/>
  <c r="N376" i="1"/>
  <c r="N375" i="1"/>
  <c r="N374" i="1"/>
  <c r="M379" i="1"/>
  <c r="M378" i="1"/>
  <c r="M377" i="1"/>
  <c r="M376" i="1"/>
  <c r="M375" i="1"/>
  <c r="M374" i="1"/>
  <c r="O350" i="1"/>
  <c r="O351" i="1"/>
  <c r="O352" i="1"/>
  <c r="O353" i="1"/>
  <c r="O354" i="1"/>
  <c r="O355" i="1"/>
  <c r="O356" i="1"/>
  <c r="O357" i="1"/>
  <c r="O358" i="1"/>
  <c r="O359" i="1"/>
  <c r="O340" i="1"/>
  <c r="O341" i="1"/>
  <c r="O342" i="1"/>
  <c r="O343" i="1"/>
  <c r="O344" i="1"/>
  <c r="O345" i="1"/>
  <c r="O346" i="1"/>
  <c r="O347" i="1"/>
  <c r="O348" i="1"/>
  <c r="O349" i="1"/>
  <c r="O330" i="1"/>
  <c r="O331" i="1"/>
  <c r="O332" i="1"/>
  <c r="O333" i="1"/>
  <c r="O334" i="1"/>
  <c r="O335" i="1"/>
  <c r="O336" i="1"/>
  <c r="O337" i="1"/>
  <c r="O338" i="1"/>
  <c r="O339" i="1"/>
  <c r="O320" i="1"/>
  <c r="O321" i="1"/>
  <c r="O322" i="1"/>
  <c r="O323" i="1"/>
  <c r="O324" i="1"/>
  <c r="O325" i="1"/>
  <c r="O326" i="1"/>
  <c r="O327" i="1"/>
  <c r="O328" i="1"/>
  <c r="O329" i="1"/>
  <c r="O310" i="1"/>
  <c r="O311" i="1"/>
  <c r="O312" i="1"/>
  <c r="O313" i="1"/>
  <c r="O314" i="1"/>
  <c r="O315" i="1"/>
  <c r="O316" i="1"/>
  <c r="O317" i="1"/>
  <c r="O318" i="1"/>
  <c r="O319" i="1"/>
  <c r="O300" i="1"/>
  <c r="O301" i="1"/>
  <c r="O302" i="1"/>
  <c r="O303" i="1"/>
  <c r="O304" i="1"/>
  <c r="O305" i="1"/>
  <c r="O306" i="1"/>
  <c r="O307" i="1"/>
  <c r="O308" i="1"/>
  <c r="O309" i="1"/>
  <c r="O290" i="1"/>
  <c r="O291" i="1"/>
  <c r="O292" i="1"/>
  <c r="O293" i="1"/>
  <c r="O294" i="1"/>
  <c r="O295" i="1"/>
  <c r="O296" i="1"/>
  <c r="O297" i="1"/>
  <c r="O298" i="1"/>
  <c r="O299" i="1"/>
  <c r="O280" i="1"/>
  <c r="O281" i="1"/>
  <c r="O282" i="1"/>
  <c r="O283" i="1"/>
  <c r="O284" i="1"/>
  <c r="O285" i="1"/>
  <c r="O286" i="1"/>
  <c r="O287" i="1"/>
  <c r="O288" i="1"/>
  <c r="O289" i="1"/>
  <c r="O368" i="1"/>
  <c r="O270" i="1"/>
  <c r="O271" i="1"/>
  <c r="O272" i="1"/>
  <c r="O273" i="1"/>
  <c r="O274" i="1"/>
  <c r="O275" i="1"/>
  <c r="O276" i="1"/>
  <c r="O277" i="1"/>
  <c r="O278" i="1"/>
  <c r="O279" i="1"/>
  <c r="O260" i="1"/>
  <c r="O261" i="1"/>
  <c r="O262" i="1"/>
  <c r="O263" i="1"/>
  <c r="O264" i="1"/>
  <c r="O265" i="1"/>
  <c r="O266" i="1"/>
  <c r="O267" i="1"/>
  <c r="O268" i="1"/>
  <c r="O269" i="1"/>
  <c r="O362" i="1"/>
  <c r="O366" i="1"/>
  <c r="O250" i="1"/>
  <c r="O251" i="1"/>
  <c r="O252" i="1"/>
  <c r="O253" i="1"/>
  <c r="O254" i="1"/>
  <c r="O255" i="1"/>
  <c r="O256" i="1"/>
  <c r="O257" i="1"/>
  <c r="O258" i="1"/>
  <c r="O259" i="1"/>
  <c r="O240" i="1"/>
  <c r="O241" i="1"/>
  <c r="O242" i="1"/>
  <c r="O243" i="1"/>
  <c r="O244" i="1"/>
  <c r="O245" i="1"/>
  <c r="O246" i="1"/>
  <c r="O247" i="1"/>
  <c r="O248" i="1"/>
  <c r="O249" i="1"/>
  <c r="O230" i="1"/>
  <c r="O231" i="1"/>
  <c r="O232" i="1"/>
  <c r="O233" i="1"/>
  <c r="O234" i="1"/>
  <c r="O235" i="1"/>
  <c r="O236" i="1"/>
  <c r="O237" i="1"/>
  <c r="O238" i="1"/>
  <c r="O239" i="1"/>
  <c r="O220" i="1"/>
  <c r="O221" i="1"/>
  <c r="O222" i="1"/>
  <c r="O223" i="1"/>
  <c r="O224" i="1"/>
  <c r="O225" i="1"/>
  <c r="O226" i="1"/>
  <c r="O227" i="1"/>
  <c r="O228" i="1"/>
  <c r="O229" i="1"/>
  <c r="O210" i="1"/>
  <c r="O211" i="1"/>
  <c r="O212" i="1"/>
  <c r="O213" i="1"/>
  <c r="O214" i="1"/>
  <c r="O215" i="1"/>
  <c r="O216" i="1"/>
  <c r="O217" i="1"/>
  <c r="O218" i="1"/>
  <c r="O219" i="1"/>
  <c r="O200" i="1"/>
  <c r="O201" i="1"/>
  <c r="O202" i="1"/>
  <c r="O203" i="1"/>
  <c r="O204" i="1"/>
  <c r="O205" i="1"/>
  <c r="O206" i="1"/>
  <c r="O207" i="1"/>
  <c r="O208" i="1"/>
  <c r="O209" i="1"/>
  <c r="O190" i="1"/>
  <c r="O191" i="1"/>
  <c r="O192" i="1"/>
  <c r="O193" i="1"/>
  <c r="O194" i="1"/>
  <c r="O195" i="1"/>
  <c r="O196" i="1"/>
  <c r="O197" i="1"/>
  <c r="O198" i="1"/>
  <c r="O199" i="1"/>
  <c r="O180" i="1"/>
  <c r="O181" i="1"/>
  <c r="O182" i="1"/>
  <c r="O183" i="1"/>
  <c r="O184" i="1"/>
  <c r="O185" i="1"/>
  <c r="O186" i="1"/>
  <c r="O187" i="1"/>
  <c r="O188" i="1"/>
  <c r="O189" i="1"/>
  <c r="O170" i="1"/>
  <c r="O171" i="1"/>
  <c r="O172" i="1"/>
  <c r="O173" i="1"/>
  <c r="O174" i="1"/>
  <c r="O175" i="1"/>
  <c r="O176" i="1"/>
  <c r="O177" i="1"/>
  <c r="O178" i="1"/>
  <c r="O179" i="1"/>
  <c r="O120" i="1"/>
  <c r="O121" i="1"/>
  <c r="O122" i="1"/>
  <c r="O123" i="1"/>
  <c r="O124" i="1"/>
  <c r="O125" i="1"/>
  <c r="O126" i="1"/>
  <c r="O127" i="1"/>
  <c r="O128" i="1"/>
  <c r="O129" i="1"/>
  <c r="O160" i="1"/>
  <c r="O161" i="1"/>
  <c r="O162" i="1"/>
  <c r="O163" i="1"/>
  <c r="O164" i="1"/>
  <c r="O165" i="1"/>
  <c r="O166" i="1"/>
  <c r="O167" i="1"/>
  <c r="O168" i="1"/>
  <c r="O169" i="1"/>
  <c r="O150" i="1"/>
  <c r="O151" i="1"/>
  <c r="O152" i="1"/>
  <c r="O153" i="1"/>
  <c r="O154" i="1"/>
  <c r="O155" i="1"/>
  <c r="O156" i="1"/>
  <c r="O157" i="1"/>
  <c r="O158" i="1"/>
  <c r="O159" i="1"/>
  <c r="O140" i="1"/>
  <c r="O141" i="1"/>
  <c r="O142" i="1"/>
  <c r="O143" i="1"/>
  <c r="O144" i="1"/>
  <c r="O145" i="1"/>
  <c r="O146" i="1"/>
  <c r="O147" i="1"/>
  <c r="O148" i="1"/>
  <c r="O149" i="1"/>
  <c r="O130" i="1"/>
  <c r="O131" i="1"/>
  <c r="O132" i="1"/>
  <c r="O133" i="1"/>
  <c r="O134" i="1"/>
  <c r="O135" i="1"/>
  <c r="O136" i="1"/>
  <c r="O137" i="1"/>
  <c r="O138" i="1"/>
  <c r="O139" i="1"/>
  <c r="O100" i="1"/>
  <c r="O101" i="1"/>
  <c r="O102" i="1"/>
  <c r="O103" i="1"/>
  <c r="O104" i="1"/>
  <c r="O105" i="1"/>
  <c r="O106" i="1"/>
  <c r="O107" i="1"/>
  <c r="O108" i="1"/>
  <c r="O109" i="1"/>
  <c r="O95" i="1"/>
  <c r="O96" i="1"/>
  <c r="O97" i="1"/>
  <c r="O98" i="1"/>
  <c r="O99" i="1"/>
  <c r="O85" i="1"/>
  <c r="O86" i="1"/>
  <c r="O87" i="1"/>
  <c r="O88" i="1"/>
  <c r="O89" i="1"/>
  <c r="O90" i="1"/>
  <c r="O91" i="1"/>
  <c r="O92" i="1"/>
  <c r="O93" i="1"/>
  <c r="O94" i="1"/>
  <c r="O75" i="1"/>
  <c r="O76" i="1"/>
  <c r="O77" i="1"/>
  <c r="O78" i="1"/>
  <c r="O79" i="1"/>
  <c r="O80" i="1"/>
  <c r="O81" i="1"/>
  <c r="O82" i="1"/>
  <c r="O83" i="1"/>
  <c r="O84" i="1"/>
  <c r="O64" i="1"/>
  <c r="O65" i="1"/>
  <c r="O66" i="1"/>
  <c r="O67" i="1"/>
  <c r="O68" i="1"/>
  <c r="O69" i="1"/>
  <c r="O70" i="1"/>
  <c r="O71" i="1"/>
  <c r="O72" i="1"/>
  <c r="O73" i="1"/>
  <c r="O59" i="1"/>
  <c r="O60" i="1"/>
  <c r="O61" i="1"/>
  <c r="O62" i="1"/>
  <c r="O63" i="1"/>
  <c r="O54" i="1"/>
  <c r="O55" i="1"/>
  <c r="O56" i="1"/>
  <c r="O57" i="1"/>
  <c r="O58" i="1"/>
  <c r="O49" i="1"/>
  <c r="O50" i="1"/>
  <c r="O51" i="1"/>
  <c r="O52" i="1"/>
  <c r="O53" i="1"/>
  <c r="O363" i="1"/>
  <c r="O367" i="1"/>
  <c r="O44" i="1"/>
  <c r="O45" i="1"/>
  <c r="O46" i="1"/>
  <c r="O47" i="1"/>
  <c r="O48" i="1"/>
  <c r="O26" i="1"/>
  <c r="O27" i="1"/>
  <c r="O28" i="1"/>
  <c r="O29" i="1"/>
  <c r="O21" i="1"/>
  <c r="O22" i="1"/>
  <c r="O23" i="1"/>
  <c r="O118" i="1"/>
  <c r="O3" i="1"/>
  <c r="O13" i="1"/>
  <c r="O16" i="1"/>
  <c r="O4" i="1"/>
  <c r="O37" i="1"/>
  <c r="O38" i="1"/>
  <c r="O39" i="1"/>
  <c r="O40" i="1"/>
  <c r="O41" i="1"/>
  <c r="O42" i="1"/>
  <c r="O43" i="1"/>
  <c r="O6" i="1"/>
  <c r="O17" i="1"/>
  <c r="O20" i="1"/>
  <c r="O30" i="1"/>
  <c r="O31" i="1"/>
  <c r="O32" i="1"/>
  <c r="O33" i="1"/>
  <c r="O34" i="1"/>
  <c r="O35" i="1"/>
  <c r="O36" i="1"/>
  <c r="O7" i="1"/>
  <c r="O8" i="1"/>
  <c r="O11" i="1"/>
  <c r="O24" i="1"/>
  <c r="O25" i="1"/>
  <c r="O110" i="1"/>
  <c r="O360" i="1"/>
  <c r="O361" i="1"/>
  <c r="O364" i="1"/>
  <c r="O365" i="1"/>
  <c r="N350" i="1"/>
  <c r="N351" i="1"/>
  <c r="N352" i="1"/>
  <c r="N353" i="1"/>
  <c r="N354" i="1"/>
  <c r="N355" i="1"/>
  <c r="N356" i="1"/>
  <c r="N357" i="1"/>
  <c r="N358" i="1"/>
  <c r="N359" i="1"/>
  <c r="N340" i="1"/>
  <c r="N341" i="1"/>
  <c r="N342" i="1"/>
  <c r="N343" i="1"/>
  <c r="N344" i="1"/>
  <c r="N345" i="1"/>
  <c r="N346" i="1"/>
  <c r="N347" i="1"/>
  <c r="N348" i="1"/>
  <c r="N349" i="1"/>
  <c r="N330" i="1"/>
  <c r="N331" i="1"/>
  <c r="N332" i="1"/>
  <c r="N333" i="1"/>
  <c r="N334" i="1"/>
  <c r="N335" i="1"/>
  <c r="N336" i="1"/>
  <c r="N337" i="1"/>
  <c r="N338" i="1"/>
  <c r="N339" i="1"/>
  <c r="N320" i="1"/>
  <c r="N321" i="1"/>
  <c r="N322" i="1"/>
  <c r="N323" i="1"/>
  <c r="N324" i="1"/>
  <c r="N325" i="1"/>
  <c r="N326" i="1"/>
  <c r="N327" i="1"/>
  <c r="N328" i="1"/>
  <c r="N329" i="1"/>
  <c r="N310" i="1"/>
  <c r="N311" i="1"/>
  <c r="N312" i="1"/>
  <c r="N313" i="1"/>
  <c r="N314" i="1"/>
  <c r="N315" i="1"/>
  <c r="N316" i="1"/>
  <c r="N317" i="1"/>
  <c r="N318" i="1"/>
  <c r="N319" i="1"/>
  <c r="N300" i="1"/>
  <c r="N301" i="1"/>
  <c r="N302" i="1"/>
  <c r="N303" i="1"/>
  <c r="N304" i="1"/>
  <c r="N305" i="1"/>
  <c r="N306" i="1"/>
  <c r="N307" i="1"/>
  <c r="N308" i="1"/>
  <c r="N309" i="1"/>
  <c r="N290" i="1"/>
  <c r="N291" i="1"/>
  <c r="N292" i="1"/>
  <c r="N293" i="1"/>
  <c r="N294" i="1"/>
  <c r="N295" i="1"/>
  <c r="N296" i="1"/>
  <c r="N297" i="1"/>
  <c r="N298" i="1"/>
  <c r="N299" i="1"/>
  <c r="N280" i="1"/>
  <c r="N281" i="1"/>
  <c r="N282" i="1"/>
  <c r="N283" i="1"/>
  <c r="N284" i="1"/>
  <c r="N285" i="1"/>
  <c r="N286" i="1"/>
  <c r="N287" i="1"/>
  <c r="N288" i="1"/>
  <c r="N289" i="1"/>
  <c r="N368" i="1"/>
  <c r="N270" i="1"/>
  <c r="N271" i="1"/>
  <c r="N272" i="1"/>
  <c r="N273" i="1"/>
  <c r="N274" i="1"/>
  <c r="N275" i="1"/>
  <c r="N276" i="1"/>
  <c r="N277" i="1"/>
  <c r="N278" i="1"/>
  <c r="N279" i="1"/>
  <c r="N260" i="1"/>
  <c r="N261" i="1"/>
  <c r="N262" i="1"/>
  <c r="N263" i="1"/>
  <c r="N264" i="1"/>
  <c r="N265" i="1"/>
  <c r="N266" i="1"/>
  <c r="N267" i="1"/>
  <c r="N268" i="1"/>
  <c r="N269" i="1"/>
  <c r="N362" i="1"/>
  <c r="N366" i="1"/>
  <c r="N250" i="1"/>
  <c r="N251" i="1"/>
  <c r="N252" i="1"/>
  <c r="N253" i="1"/>
  <c r="N254" i="1"/>
  <c r="N255" i="1"/>
  <c r="N256" i="1"/>
  <c r="N257" i="1"/>
  <c r="N258" i="1"/>
  <c r="N259" i="1"/>
  <c r="N240" i="1"/>
  <c r="N241" i="1"/>
  <c r="N242" i="1"/>
  <c r="N243" i="1"/>
  <c r="N244" i="1"/>
  <c r="N245" i="1"/>
  <c r="N246" i="1"/>
  <c r="N247" i="1"/>
  <c r="N248" i="1"/>
  <c r="N249" i="1"/>
  <c r="N230" i="1"/>
  <c r="N231" i="1"/>
  <c r="N232" i="1"/>
  <c r="N233" i="1"/>
  <c r="N234" i="1"/>
  <c r="N235" i="1"/>
  <c r="N236" i="1"/>
  <c r="N237" i="1"/>
  <c r="N238" i="1"/>
  <c r="N239" i="1"/>
  <c r="N220" i="1"/>
  <c r="N221" i="1"/>
  <c r="N222" i="1"/>
  <c r="N223" i="1"/>
  <c r="N224" i="1"/>
  <c r="N225" i="1"/>
  <c r="N226" i="1"/>
  <c r="N227" i="1"/>
  <c r="N228" i="1"/>
  <c r="N229" i="1"/>
  <c r="N210" i="1"/>
  <c r="N211" i="1"/>
  <c r="N212" i="1"/>
  <c r="N213" i="1"/>
  <c r="N214" i="1"/>
  <c r="N215" i="1"/>
  <c r="N216" i="1"/>
  <c r="N217" i="1"/>
  <c r="N218" i="1"/>
  <c r="N219" i="1"/>
  <c r="N200" i="1"/>
  <c r="N201" i="1"/>
  <c r="N202" i="1"/>
  <c r="N203" i="1"/>
  <c r="N204" i="1"/>
  <c r="N205" i="1"/>
  <c r="N206" i="1"/>
  <c r="N207" i="1"/>
  <c r="N208" i="1"/>
  <c r="N209" i="1"/>
  <c r="N190" i="1"/>
  <c r="N191" i="1"/>
  <c r="N192" i="1"/>
  <c r="N193" i="1"/>
  <c r="N194" i="1"/>
  <c r="N195" i="1"/>
  <c r="N196" i="1"/>
  <c r="N197" i="1"/>
  <c r="N198" i="1"/>
  <c r="N199" i="1"/>
  <c r="N180" i="1"/>
  <c r="N181" i="1"/>
  <c r="N182" i="1"/>
  <c r="N183" i="1"/>
  <c r="N184" i="1"/>
  <c r="N185" i="1"/>
  <c r="N186" i="1"/>
  <c r="N187" i="1"/>
  <c r="N188" i="1"/>
  <c r="N189" i="1"/>
  <c r="N170" i="1"/>
  <c r="N171" i="1"/>
  <c r="N172" i="1"/>
  <c r="N173" i="1"/>
  <c r="N174" i="1"/>
  <c r="N175" i="1"/>
  <c r="N176" i="1"/>
  <c r="N177" i="1"/>
  <c r="N178" i="1"/>
  <c r="N179" i="1"/>
  <c r="N120" i="1"/>
  <c r="N121" i="1"/>
  <c r="N122" i="1"/>
  <c r="N123" i="1"/>
  <c r="N124" i="1"/>
  <c r="N125" i="1"/>
  <c r="N126" i="1"/>
  <c r="N127" i="1"/>
  <c r="N128" i="1"/>
  <c r="N129" i="1"/>
  <c r="N160" i="1"/>
  <c r="N161" i="1"/>
  <c r="N162" i="1"/>
  <c r="N163" i="1"/>
  <c r="N164" i="1"/>
  <c r="N165" i="1"/>
  <c r="N166" i="1"/>
  <c r="N167" i="1"/>
  <c r="N168" i="1"/>
  <c r="N169" i="1"/>
  <c r="N150" i="1"/>
  <c r="N151" i="1"/>
  <c r="N152" i="1"/>
  <c r="N153" i="1"/>
  <c r="N154" i="1"/>
  <c r="N155" i="1"/>
  <c r="N156" i="1"/>
  <c r="N157" i="1"/>
  <c r="N158" i="1"/>
  <c r="N159" i="1"/>
  <c r="N140" i="1"/>
  <c r="N141" i="1"/>
  <c r="N142" i="1"/>
  <c r="N143" i="1"/>
  <c r="N144" i="1"/>
  <c r="N145" i="1"/>
  <c r="N146" i="1"/>
  <c r="N147" i="1"/>
  <c r="N148" i="1"/>
  <c r="N149" i="1"/>
  <c r="N130" i="1"/>
  <c r="N131" i="1"/>
  <c r="N132" i="1"/>
  <c r="N133" i="1"/>
  <c r="N134" i="1"/>
  <c r="N135" i="1"/>
  <c r="N136" i="1"/>
  <c r="N137" i="1"/>
  <c r="N138" i="1"/>
  <c r="N139" i="1"/>
  <c r="N100" i="1"/>
  <c r="N101" i="1"/>
  <c r="N102" i="1"/>
  <c r="N103" i="1"/>
  <c r="N104" i="1"/>
  <c r="N105" i="1"/>
  <c r="N106" i="1"/>
  <c r="N107" i="1"/>
  <c r="N108" i="1"/>
  <c r="N109" i="1"/>
  <c r="N95" i="1"/>
  <c r="N96" i="1"/>
  <c r="N97" i="1"/>
  <c r="N98" i="1"/>
  <c r="N99" i="1"/>
  <c r="N85" i="1"/>
  <c r="N86" i="1"/>
  <c r="N87" i="1"/>
  <c r="N88" i="1"/>
  <c r="N89" i="1"/>
  <c r="N90" i="1"/>
  <c r="N91" i="1"/>
  <c r="N92" i="1"/>
  <c r="N93" i="1"/>
  <c r="N94" i="1"/>
  <c r="N75" i="1"/>
  <c r="N76" i="1"/>
  <c r="N77" i="1"/>
  <c r="N78" i="1"/>
  <c r="N79" i="1"/>
  <c r="N80" i="1"/>
  <c r="N81" i="1"/>
  <c r="N82" i="1"/>
  <c r="N83" i="1"/>
  <c r="N84" i="1"/>
  <c r="N64" i="1"/>
  <c r="N65" i="1"/>
  <c r="N66" i="1"/>
  <c r="N67" i="1"/>
  <c r="N68" i="1"/>
  <c r="N69" i="1"/>
  <c r="N70" i="1"/>
  <c r="N71" i="1"/>
  <c r="N72" i="1"/>
  <c r="N73" i="1"/>
  <c r="N59" i="1"/>
  <c r="N60" i="1"/>
  <c r="N61" i="1"/>
  <c r="N62" i="1"/>
  <c r="N63" i="1"/>
  <c r="N54" i="1"/>
  <c r="N55" i="1"/>
  <c r="N56" i="1"/>
  <c r="N57" i="1"/>
  <c r="N58" i="1"/>
  <c r="N49" i="1"/>
  <c r="N50" i="1"/>
  <c r="N51" i="1"/>
  <c r="N52" i="1"/>
  <c r="N53" i="1"/>
  <c r="N363" i="1"/>
  <c r="N367" i="1"/>
  <c r="N44" i="1"/>
  <c r="N45" i="1"/>
  <c r="N46" i="1"/>
  <c r="N47" i="1"/>
  <c r="N48" i="1"/>
  <c r="N26" i="1"/>
  <c r="N27" i="1"/>
  <c r="N28" i="1"/>
  <c r="N29" i="1"/>
  <c r="N21" i="1"/>
  <c r="N22" i="1"/>
  <c r="N23" i="1"/>
  <c r="N118" i="1"/>
  <c r="N3" i="1"/>
  <c r="N13" i="1"/>
  <c r="N16" i="1"/>
  <c r="N4" i="1"/>
  <c r="N37" i="1"/>
  <c r="N38" i="1"/>
  <c r="N39" i="1"/>
  <c r="N40" i="1"/>
  <c r="N41" i="1"/>
  <c r="N42" i="1"/>
  <c r="N43" i="1"/>
  <c r="N6" i="1"/>
  <c r="N17" i="1"/>
  <c r="N20" i="1"/>
  <c r="N30" i="1"/>
  <c r="N31" i="1"/>
  <c r="N32" i="1"/>
  <c r="N33" i="1"/>
  <c r="N34" i="1"/>
  <c r="N35" i="1"/>
  <c r="N36" i="1"/>
  <c r="N7" i="1"/>
  <c r="N8" i="1"/>
  <c r="N11" i="1"/>
  <c r="N24" i="1"/>
  <c r="N25" i="1"/>
  <c r="N110" i="1"/>
  <c r="N360" i="1"/>
  <c r="N361" i="1"/>
  <c r="N364" i="1"/>
  <c r="N365" i="1"/>
  <c r="K350" i="1"/>
  <c r="K351" i="1"/>
  <c r="K352" i="1"/>
  <c r="K353" i="1"/>
  <c r="K354" i="1"/>
  <c r="K355" i="1"/>
  <c r="K356" i="1"/>
  <c r="K357" i="1"/>
  <c r="K358" i="1"/>
  <c r="K359" i="1"/>
  <c r="K340" i="1"/>
  <c r="K341" i="1"/>
  <c r="K342" i="1"/>
  <c r="K343" i="1"/>
  <c r="K344" i="1"/>
  <c r="K345" i="1"/>
  <c r="K346" i="1"/>
  <c r="K347" i="1"/>
  <c r="K348" i="1"/>
  <c r="K349" i="1"/>
  <c r="K330" i="1"/>
  <c r="K331" i="1"/>
  <c r="K332" i="1"/>
  <c r="K333" i="1"/>
  <c r="K334" i="1"/>
  <c r="K335" i="1"/>
  <c r="K336" i="1"/>
  <c r="K337" i="1"/>
  <c r="K338" i="1"/>
  <c r="K339" i="1"/>
  <c r="K320" i="1"/>
  <c r="K321" i="1"/>
  <c r="K322" i="1"/>
  <c r="K323" i="1"/>
  <c r="K324" i="1"/>
  <c r="K325" i="1"/>
  <c r="K326" i="1"/>
  <c r="K327" i="1"/>
  <c r="K328" i="1"/>
  <c r="K329" i="1"/>
  <c r="K310" i="1"/>
  <c r="K311" i="1"/>
  <c r="K312" i="1"/>
  <c r="K313" i="1"/>
  <c r="K314" i="1"/>
  <c r="K315" i="1"/>
  <c r="K316" i="1"/>
  <c r="K317" i="1"/>
  <c r="K318" i="1"/>
  <c r="K319" i="1"/>
  <c r="K300" i="1"/>
  <c r="K301" i="1"/>
  <c r="K302" i="1"/>
  <c r="K303" i="1"/>
  <c r="K304" i="1"/>
  <c r="K305" i="1"/>
  <c r="K306" i="1"/>
  <c r="K307" i="1"/>
  <c r="K308" i="1"/>
  <c r="K309" i="1"/>
  <c r="K290" i="1"/>
  <c r="K291" i="1"/>
  <c r="K292" i="1"/>
  <c r="K293" i="1"/>
  <c r="K294" i="1"/>
  <c r="K295" i="1"/>
  <c r="K296" i="1"/>
  <c r="K297" i="1"/>
  <c r="K298" i="1"/>
  <c r="K299" i="1"/>
  <c r="K280" i="1"/>
  <c r="K281" i="1"/>
  <c r="K282" i="1"/>
  <c r="K283" i="1"/>
  <c r="K284" i="1"/>
  <c r="K285" i="1"/>
  <c r="K286" i="1"/>
  <c r="K287" i="1"/>
  <c r="K288" i="1"/>
  <c r="K289" i="1"/>
  <c r="K368" i="1"/>
  <c r="K270" i="1"/>
  <c r="K271" i="1"/>
  <c r="K272" i="1"/>
  <c r="K273" i="1"/>
  <c r="K274" i="1"/>
  <c r="K275" i="1"/>
  <c r="K276" i="1"/>
  <c r="K277" i="1"/>
  <c r="K278" i="1"/>
  <c r="K279" i="1"/>
  <c r="K260" i="1"/>
  <c r="K261" i="1"/>
  <c r="K262" i="1"/>
  <c r="K263" i="1"/>
  <c r="K264" i="1"/>
  <c r="K265" i="1"/>
  <c r="K266" i="1"/>
  <c r="K267" i="1"/>
  <c r="K268" i="1"/>
  <c r="K269" i="1"/>
  <c r="K362" i="1"/>
  <c r="K366" i="1"/>
  <c r="K250" i="1"/>
  <c r="K251" i="1"/>
  <c r="K252" i="1"/>
  <c r="K253" i="1"/>
  <c r="K254" i="1"/>
  <c r="K255" i="1"/>
  <c r="K256" i="1"/>
  <c r="K257" i="1"/>
  <c r="K258" i="1"/>
  <c r="K259" i="1"/>
  <c r="K240" i="1"/>
  <c r="K241" i="1"/>
  <c r="K242" i="1"/>
  <c r="K243" i="1"/>
  <c r="K244" i="1"/>
  <c r="K245" i="1"/>
  <c r="K246" i="1"/>
  <c r="K247" i="1"/>
  <c r="K248" i="1"/>
  <c r="K249" i="1"/>
  <c r="K230" i="1"/>
  <c r="K231" i="1"/>
  <c r="K232" i="1"/>
  <c r="K233" i="1"/>
  <c r="K234" i="1"/>
  <c r="K235" i="1"/>
  <c r="K236" i="1"/>
  <c r="K237" i="1"/>
  <c r="K238" i="1"/>
  <c r="K239" i="1"/>
  <c r="K220" i="1"/>
  <c r="K221" i="1"/>
  <c r="K222" i="1"/>
  <c r="K223" i="1"/>
  <c r="K224" i="1"/>
  <c r="K225" i="1"/>
  <c r="K226" i="1"/>
  <c r="K227" i="1"/>
  <c r="K228" i="1"/>
  <c r="K229" i="1"/>
  <c r="K210" i="1"/>
  <c r="K211" i="1"/>
  <c r="K212" i="1"/>
  <c r="K213" i="1"/>
  <c r="K214" i="1"/>
  <c r="K215" i="1"/>
  <c r="K216" i="1"/>
  <c r="K217" i="1"/>
  <c r="K218" i="1"/>
  <c r="K219" i="1"/>
  <c r="K200" i="1"/>
  <c r="K201" i="1"/>
  <c r="K202" i="1"/>
  <c r="K203" i="1"/>
  <c r="K204" i="1"/>
  <c r="K205" i="1"/>
  <c r="K206" i="1"/>
  <c r="K207" i="1"/>
  <c r="K208" i="1"/>
  <c r="K209" i="1"/>
  <c r="K190" i="1"/>
  <c r="K191" i="1"/>
  <c r="K192" i="1"/>
  <c r="K193" i="1"/>
  <c r="K194" i="1"/>
  <c r="K195" i="1"/>
  <c r="K196" i="1"/>
  <c r="K197" i="1"/>
  <c r="K198" i="1"/>
  <c r="K199" i="1"/>
  <c r="K180" i="1"/>
  <c r="K181" i="1"/>
  <c r="K182" i="1"/>
  <c r="K183" i="1"/>
  <c r="K184" i="1"/>
  <c r="K185" i="1"/>
  <c r="K186" i="1"/>
  <c r="K187" i="1"/>
  <c r="K188" i="1"/>
  <c r="K189" i="1"/>
  <c r="K170" i="1"/>
  <c r="K171" i="1"/>
  <c r="K172" i="1"/>
  <c r="K173" i="1"/>
  <c r="K174" i="1"/>
  <c r="K175" i="1"/>
  <c r="K176" i="1"/>
  <c r="K177" i="1"/>
  <c r="K178" i="1"/>
  <c r="K179" i="1"/>
  <c r="K120" i="1"/>
  <c r="K121" i="1"/>
  <c r="K122" i="1"/>
  <c r="K123" i="1"/>
  <c r="K124" i="1"/>
  <c r="K125" i="1"/>
  <c r="K126" i="1"/>
  <c r="K127" i="1"/>
  <c r="K128" i="1"/>
  <c r="K129" i="1"/>
  <c r="K160" i="1"/>
  <c r="K161" i="1"/>
  <c r="K162" i="1"/>
  <c r="K163" i="1"/>
  <c r="K164" i="1"/>
  <c r="K165" i="1"/>
  <c r="K166" i="1"/>
  <c r="K167" i="1"/>
  <c r="K168" i="1"/>
  <c r="K169" i="1"/>
  <c r="K150" i="1"/>
  <c r="K151" i="1"/>
  <c r="K152" i="1"/>
  <c r="K153" i="1"/>
  <c r="K154" i="1"/>
  <c r="K155" i="1"/>
  <c r="K156" i="1"/>
  <c r="K157" i="1"/>
  <c r="K158" i="1"/>
  <c r="K159" i="1"/>
  <c r="K140" i="1"/>
  <c r="K141" i="1"/>
  <c r="K142" i="1"/>
  <c r="K143" i="1"/>
  <c r="K144" i="1"/>
  <c r="K145" i="1"/>
  <c r="K146" i="1"/>
  <c r="K147" i="1"/>
  <c r="K148" i="1"/>
  <c r="K149" i="1"/>
  <c r="K130" i="1"/>
  <c r="K131" i="1"/>
  <c r="K132" i="1"/>
  <c r="K133" i="1"/>
  <c r="K134" i="1"/>
  <c r="K135" i="1"/>
  <c r="K136" i="1"/>
  <c r="K137" i="1"/>
  <c r="K138" i="1"/>
  <c r="K139" i="1"/>
  <c r="K100" i="1"/>
  <c r="K101" i="1"/>
  <c r="K102" i="1"/>
  <c r="K103" i="1"/>
  <c r="K104" i="1"/>
  <c r="K105" i="1"/>
  <c r="K106" i="1"/>
  <c r="K107" i="1"/>
  <c r="K108" i="1"/>
  <c r="K109" i="1"/>
  <c r="K95" i="1"/>
  <c r="K96" i="1"/>
  <c r="K97" i="1"/>
  <c r="K98" i="1"/>
  <c r="K99" i="1"/>
  <c r="K85" i="1"/>
  <c r="K86" i="1"/>
  <c r="K87" i="1"/>
  <c r="K88" i="1"/>
  <c r="K89" i="1"/>
  <c r="K90" i="1"/>
  <c r="K91" i="1"/>
  <c r="K92" i="1"/>
  <c r="K93" i="1"/>
  <c r="K94" i="1"/>
  <c r="K75" i="1"/>
  <c r="K76" i="1"/>
  <c r="K77" i="1"/>
  <c r="K78" i="1"/>
  <c r="K79" i="1"/>
  <c r="K80" i="1"/>
  <c r="K81" i="1"/>
  <c r="K82" i="1"/>
  <c r="K83" i="1"/>
  <c r="K84" i="1"/>
  <c r="K64" i="1"/>
  <c r="K65" i="1"/>
  <c r="K66" i="1"/>
  <c r="K67" i="1"/>
  <c r="K68" i="1"/>
  <c r="K69" i="1"/>
  <c r="K70" i="1"/>
  <c r="K71" i="1"/>
  <c r="K72" i="1"/>
  <c r="K73" i="1"/>
  <c r="K59" i="1"/>
  <c r="K60" i="1"/>
  <c r="K61" i="1"/>
  <c r="K62" i="1"/>
  <c r="K63" i="1"/>
  <c r="K54" i="1"/>
  <c r="K55" i="1"/>
  <c r="K56" i="1"/>
  <c r="K57" i="1"/>
  <c r="K58" i="1"/>
  <c r="K49" i="1"/>
  <c r="K50" i="1"/>
  <c r="K51" i="1"/>
  <c r="K52" i="1"/>
  <c r="K53" i="1"/>
  <c r="K363" i="1"/>
  <c r="K367" i="1"/>
  <c r="K44" i="1"/>
  <c r="K45" i="1"/>
  <c r="K46" i="1"/>
  <c r="K47" i="1"/>
  <c r="K48" i="1"/>
  <c r="K26" i="1"/>
  <c r="K27" i="1"/>
  <c r="K28" i="1"/>
  <c r="K29" i="1"/>
  <c r="K21" i="1"/>
  <c r="K22" i="1"/>
  <c r="K23" i="1"/>
  <c r="K118" i="1"/>
  <c r="K3" i="1"/>
  <c r="K13" i="1"/>
  <c r="K16" i="1"/>
  <c r="K4" i="1"/>
  <c r="K37" i="1"/>
  <c r="K38" i="1"/>
  <c r="K39" i="1"/>
  <c r="K40" i="1"/>
  <c r="K41" i="1"/>
  <c r="K42" i="1"/>
  <c r="K43" i="1"/>
  <c r="K6" i="1"/>
  <c r="K17" i="1"/>
  <c r="K20" i="1"/>
  <c r="K30" i="1"/>
  <c r="K31" i="1"/>
  <c r="K32" i="1"/>
  <c r="K33" i="1"/>
  <c r="K34" i="1"/>
  <c r="K35" i="1"/>
  <c r="K36" i="1"/>
  <c r="K7" i="1"/>
  <c r="K8" i="1"/>
  <c r="K11" i="1"/>
  <c r="K24" i="1"/>
  <c r="K25" i="1"/>
  <c r="K110" i="1"/>
  <c r="K360" i="1"/>
  <c r="K361" i="1"/>
  <c r="K364" i="1"/>
  <c r="K365" i="1"/>
  <c r="I350" i="1"/>
  <c r="I351" i="1"/>
  <c r="I352" i="1"/>
  <c r="I353" i="1"/>
  <c r="I354" i="1"/>
  <c r="I355" i="1"/>
  <c r="I356" i="1"/>
  <c r="I357" i="1"/>
  <c r="I358" i="1"/>
  <c r="I359" i="1"/>
  <c r="I340" i="1"/>
  <c r="I341" i="1"/>
  <c r="I342" i="1"/>
  <c r="I343" i="1"/>
  <c r="I344" i="1"/>
  <c r="I345" i="1"/>
  <c r="I346" i="1"/>
  <c r="I347" i="1"/>
  <c r="I348" i="1"/>
  <c r="I349" i="1"/>
  <c r="I330" i="1"/>
  <c r="I331" i="1"/>
  <c r="I332" i="1"/>
  <c r="I333" i="1"/>
  <c r="I334" i="1"/>
  <c r="I335" i="1"/>
  <c r="I336" i="1"/>
  <c r="I337" i="1"/>
  <c r="I338" i="1"/>
  <c r="I339" i="1"/>
  <c r="I320" i="1"/>
  <c r="I321" i="1"/>
  <c r="I322" i="1"/>
  <c r="I323" i="1"/>
  <c r="I324" i="1"/>
  <c r="I325" i="1"/>
  <c r="I326" i="1"/>
  <c r="I327" i="1"/>
  <c r="I328" i="1"/>
  <c r="I329" i="1"/>
  <c r="I310" i="1"/>
  <c r="I311" i="1"/>
  <c r="I312" i="1"/>
  <c r="I313" i="1"/>
  <c r="I314" i="1"/>
  <c r="I315" i="1"/>
  <c r="I316" i="1"/>
  <c r="I317" i="1"/>
  <c r="I318" i="1"/>
  <c r="I319" i="1"/>
  <c r="I300" i="1"/>
  <c r="I301" i="1"/>
  <c r="I302" i="1"/>
  <c r="I303" i="1"/>
  <c r="I304" i="1"/>
  <c r="I305" i="1"/>
  <c r="I306" i="1"/>
  <c r="I307" i="1"/>
  <c r="I308" i="1"/>
  <c r="I309" i="1"/>
  <c r="I290" i="1"/>
  <c r="I291" i="1"/>
  <c r="I292" i="1"/>
  <c r="I293" i="1"/>
  <c r="I294" i="1"/>
  <c r="I295" i="1"/>
  <c r="I296" i="1"/>
  <c r="I297" i="1"/>
  <c r="I298" i="1"/>
  <c r="I299" i="1"/>
  <c r="I280" i="1"/>
  <c r="I281" i="1"/>
  <c r="I282" i="1"/>
  <c r="I283" i="1"/>
  <c r="I284" i="1"/>
  <c r="I285" i="1"/>
  <c r="I286" i="1"/>
  <c r="I287" i="1"/>
  <c r="I288" i="1"/>
  <c r="I289" i="1"/>
  <c r="I368" i="1"/>
  <c r="I270" i="1"/>
  <c r="I271" i="1"/>
  <c r="I272" i="1"/>
  <c r="I273" i="1"/>
  <c r="I274" i="1"/>
  <c r="I275" i="1"/>
  <c r="I276" i="1"/>
  <c r="I277" i="1"/>
  <c r="I278" i="1"/>
  <c r="I279" i="1"/>
  <c r="I260" i="1"/>
  <c r="I261" i="1"/>
  <c r="I262" i="1"/>
  <c r="I263" i="1"/>
  <c r="I264" i="1"/>
  <c r="I265" i="1"/>
  <c r="I266" i="1"/>
  <c r="I267" i="1"/>
  <c r="I268" i="1"/>
  <c r="I269" i="1"/>
  <c r="I362" i="1"/>
  <c r="I366" i="1"/>
  <c r="I250" i="1"/>
  <c r="I251" i="1"/>
  <c r="I252" i="1"/>
  <c r="I253" i="1"/>
  <c r="I254" i="1"/>
  <c r="I255" i="1"/>
  <c r="I256" i="1"/>
  <c r="I257" i="1"/>
  <c r="I258" i="1"/>
  <c r="I259" i="1"/>
  <c r="I240" i="1"/>
  <c r="I241" i="1"/>
  <c r="I242" i="1"/>
  <c r="I243" i="1"/>
  <c r="I244" i="1"/>
  <c r="I245" i="1"/>
  <c r="I246" i="1"/>
  <c r="I247" i="1"/>
  <c r="I248" i="1"/>
  <c r="I249" i="1"/>
  <c r="I230" i="1"/>
  <c r="I231" i="1"/>
  <c r="I232" i="1"/>
  <c r="I233" i="1"/>
  <c r="I234" i="1"/>
  <c r="I235" i="1"/>
  <c r="I236" i="1"/>
  <c r="I237" i="1"/>
  <c r="I238" i="1"/>
  <c r="I239" i="1"/>
  <c r="I220" i="1"/>
  <c r="I221" i="1"/>
  <c r="I222" i="1"/>
  <c r="I223" i="1"/>
  <c r="I224" i="1"/>
  <c r="I225" i="1"/>
  <c r="I226" i="1"/>
  <c r="I227" i="1"/>
  <c r="I228" i="1"/>
  <c r="I229" i="1"/>
  <c r="I210" i="1"/>
  <c r="I211" i="1"/>
  <c r="I212" i="1"/>
  <c r="I213" i="1"/>
  <c r="I214" i="1"/>
  <c r="I215" i="1"/>
  <c r="I216" i="1"/>
  <c r="I217" i="1"/>
  <c r="I218" i="1"/>
  <c r="I219" i="1"/>
  <c r="I200" i="1"/>
  <c r="I201" i="1"/>
  <c r="I202" i="1"/>
  <c r="I203" i="1"/>
  <c r="I204" i="1"/>
  <c r="I205" i="1"/>
  <c r="I206" i="1"/>
  <c r="I207" i="1"/>
  <c r="I208" i="1"/>
  <c r="I209" i="1"/>
  <c r="I190" i="1"/>
  <c r="I191" i="1"/>
  <c r="I192" i="1"/>
  <c r="I193" i="1"/>
  <c r="I194" i="1"/>
  <c r="I195" i="1"/>
  <c r="I196" i="1"/>
  <c r="I197" i="1"/>
  <c r="I198" i="1"/>
  <c r="I199" i="1"/>
  <c r="I180" i="1"/>
  <c r="I181" i="1"/>
  <c r="I182" i="1"/>
  <c r="I183" i="1"/>
  <c r="I184" i="1"/>
  <c r="I185" i="1"/>
  <c r="I186" i="1"/>
  <c r="I187" i="1"/>
  <c r="I188" i="1"/>
  <c r="I189" i="1"/>
  <c r="I170" i="1"/>
  <c r="I171" i="1"/>
  <c r="I172" i="1"/>
  <c r="I173" i="1"/>
  <c r="I174" i="1"/>
  <c r="I175" i="1"/>
  <c r="I176" i="1"/>
  <c r="I177" i="1"/>
  <c r="I178" i="1"/>
  <c r="I179" i="1"/>
  <c r="I120" i="1"/>
  <c r="I121" i="1"/>
  <c r="I122" i="1"/>
  <c r="I123" i="1"/>
  <c r="I124" i="1"/>
  <c r="I125" i="1"/>
  <c r="I126" i="1"/>
  <c r="I127" i="1"/>
  <c r="I128" i="1"/>
  <c r="I129" i="1"/>
  <c r="I160" i="1"/>
  <c r="I161" i="1"/>
  <c r="I162" i="1"/>
  <c r="I163" i="1"/>
  <c r="I164" i="1"/>
  <c r="I165" i="1"/>
  <c r="I166" i="1"/>
  <c r="I167" i="1"/>
  <c r="I168" i="1"/>
  <c r="I169" i="1"/>
  <c r="I150" i="1"/>
  <c r="I151" i="1"/>
  <c r="I152" i="1"/>
  <c r="I153" i="1"/>
  <c r="I154" i="1"/>
  <c r="I155" i="1"/>
  <c r="I156" i="1"/>
  <c r="I157" i="1"/>
  <c r="I158" i="1"/>
  <c r="I159" i="1"/>
  <c r="I140" i="1"/>
  <c r="I141" i="1"/>
  <c r="I142" i="1"/>
  <c r="I143" i="1"/>
  <c r="I144" i="1"/>
  <c r="I145" i="1"/>
  <c r="I146" i="1"/>
  <c r="I147" i="1"/>
  <c r="I148" i="1"/>
  <c r="I149" i="1"/>
  <c r="I130" i="1"/>
  <c r="I131" i="1"/>
  <c r="I132" i="1"/>
  <c r="I133" i="1"/>
  <c r="I134" i="1"/>
  <c r="I135" i="1"/>
  <c r="I136" i="1"/>
  <c r="I137" i="1"/>
  <c r="I138" i="1"/>
  <c r="I139" i="1"/>
  <c r="I100" i="1"/>
  <c r="I101" i="1"/>
  <c r="I102" i="1"/>
  <c r="I103" i="1"/>
  <c r="I104" i="1"/>
  <c r="I105" i="1"/>
  <c r="I106" i="1"/>
  <c r="I107" i="1"/>
  <c r="I108" i="1"/>
  <c r="I109" i="1"/>
  <c r="I95" i="1"/>
  <c r="I96" i="1"/>
  <c r="I97" i="1"/>
  <c r="I98" i="1"/>
  <c r="I99" i="1"/>
  <c r="I85" i="1"/>
  <c r="I86" i="1"/>
  <c r="I87" i="1"/>
  <c r="I88" i="1"/>
  <c r="I89" i="1"/>
  <c r="I90" i="1"/>
  <c r="I91" i="1"/>
  <c r="I92" i="1"/>
  <c r="I93" i="1"/>
  <c r="I94" i="1"/>
  <c r="I75" i="1"/>
  <c r="I76" i="1"/>
  <c r="I77" i="1"/>
  <c r="I78" i="1"/>
  <c r="I79" i="1"/>
  <c r="I80" i="1"/>
  <c r="I81" i="1"/>
  <c r="I82" i="1"/>
  <c r="I83" i="1"/>
  <c r="I84" i="1"/>
  <c r="I64" i="1"/>
  <c r="I65" i="1"/>
  <c r="I66" i="1"/>
  <c r="I67" i="1"/>
  <c r="I68" i="1"/>
  <c r="I69" i="1"/>
  <c r="I70" i="1"/>
  <c r="I71" i="1"/>
  <c r="I72" i="1"/>
  <c r="I73" i="1"/>
  <c r="I59" i="1"/>
  <c r="I60" i="1"/>
  <c r="I61" i="1"/>
  <c r="I62" i="1"/>
  <c r="I63" i="1"/>
  <c r="I54" i="1"/>
  <c r="I55" i="1"/>
  <c r="I56" i="1"/>
  <c r="I57" i="1"/>
  <c r="I58" i="1"/>
  <c r="I49" i="1"/>
  <c r="I50" i="1"/>
  <c r="I51" i="1"/>
  <c r="I52" i="1"/>
  <c r="I53" i="1"/>
  <c r="I363" i="1"/>
  <c r="I367" i="1"/>
  <c r="I44" i="1"/>
  <c r="I45" i="1"/>
  <c r="I46" i="1"/>
  <c r="I47" i="1"/>
  <c r="I48" i="1"/>
  <c r="I26" i="1"/>
  <c r="I27" i="1"/>
  <c r="I28" i="1"/>
  <c r="I29" i="1"/>
  <c r="I21" i="1"/>
  <c r="I22" i="1"/>
  <c r="I23" i="1"/>
  <c r="I118" i="1"/>
  <c r="I3" i="1"/>
  <c r="I13" i="1"/>
  <c r="I16" i="1"/>
  <c r="I4" i="1"/>
  <c r="I37" i="1"/>
  <c r="I38" i="1"/>
  <c r="I39" i="1"/>
  <c r="I40" i="1"/>
  <c r="I41" i="1"/>
  <c r="I42" i="1"/>
  <c r="I43" i="1"/>
  <c r="I6" i="1"/>
  <c r="I17" i="1"/>
  <c r="I20" i="1"/>
  <c r="I30" i="1"/>
  <c r="I31" i="1"/>
  <c r="I32" i="1"/>
  <c r="I33" i="1"/>
  <c r="I34" i="1"/>
  <c r="I35" i="1"/>
  <c r="I36" i="1"/>
  <c r="I7" i="1"/>
  <c r="I8" i="1"/>
  <c r="I11" i="1"/>
  <c r="I24" i="1"/>
  <c r="I25" i="1"/>
  <c r="I110" i="1"/>
  <c r="I360" i="1"/>
  <c r="I361" i="1"/>
  <c r="I364" i="1"/>
  <c r="I365" i="1"/>
  <c r="O1519" i="1" l="1"/>
  <c r="O1518" i="1"/>
  <c r="O1517" i="1"/>
  <c r="O1516" i="1"/>
  <c r="O1515" i="1"/>
  <c r="O1514" i="1"/>
  <c r="O1513" i="1"/>
  <c r="O1512" i="1"/>
  <c r="O1511" i="1"/>
  <c r="O1510" i="1"/>
  <c r="O1509" i="1"/>
  <c r="O1508" i="1"/>
  <c r="O1507" i="1"/>
  <c r="O1506" i="1"/>
  <c r="O1505" i="1"/>
  <c r="O1504" i="1"/>
  <c r="O1503" i="1"/>
  <c r="O1502" i="1"/>
  <c r="O1501" i="1"/>
  <c r="O1520" i="1"/>
  <c r="O1500" i="1"/>
  <c r="O1499" i="1"/>
  <c r="O1498" i="1"/>
  <c r="O1497" i="1"/>
  <c r="O1496" i="1"/>
  <c r="O1495" i="1"/>
  <c r="O1494" i="1"/>
  <c r="O1493" i="1"/>
  <c r="O1492" i="1"/>
  <c r="O1491" i="1"/>
  <c r="O1490" i="1"/>
  <c r="O1489" i="1"/>
  <c r="O1488" i="1"/>
  <c r="O1487" i="1"/>
  <c r="O1486" i="1"/>
  <c r="O1485" i="1"/>
  <c r="O1484" i="1"/>
  <c r="O1483" i="1"/>
  <c r="O1482" i="1"/>
  <c r="O1481" i="1"/>
  <c r="O1480" i="1"/>
  <c r="O1479" i="1"/>
  <c r="O1478" i="1"/>
  <c r="O1477" i="1"/>
  <c r="O1476" i="1"/>
  <c r="O1475" i="1"/>
  <c r="O1474" i="1"/>
  <c r="O1473" i="1"/>
  <c r="O1472" i="1"/>
  <c r="O1471" i="1"/>
  <c r="O1470" i="1"/>
  <c r="O1469" i="1"/>
  <c r="O1468" i="1"/>
  <c r="O1467" i="1"/>
  <c r="O1466" i="1"/>
  <c r="O1465" i="1"/>
  <c r="O1464" i="1"/>
  <c r="O1463" i="1"/>
  <c r="O1462" i="1"/>
  <c r="O1461" i="1"/>
  <c r="O1460" i="1"/>
  <c r="O1459" i="1"/>
  <c r="O1458" i="1"/>
  <c r="O1457" i="1"/>
  <c r="O1456" i="1"/>
  <c r="O1455" i="1"/>
  <c r="O1454" i="1"/>
  <c r="O1453" i="1"/>
  <c r="O1452" i="1"/>
  <c r="O1451" i="1"/>
  <c r="O1450" i="1"/>
  <c r="O1449" i="1"/>
  <c r="O1448" i="1"/>
  <c r="O1447" i="1"/>
  <c r="O1446" i="1"/>
  <c r="O1445" i="1"/>
  <c r="O1444" i="1"/>
  <c r="O1443" i="1"/>
  <c r="O1442" i="1"/>
  <c r="O1441" i="1"/>
  <c r="O1440" i="1"/>
  <c r="O1439" i="1"/>
  <c r="O1438" i="1"/>
  <c r="O1437" i="1"/>
  <c r="O1436" i="1"/>
  <c r="O1435" i="1"/>
  <c r="O1434" i="1"/>
  <c r="O1433" i="1"/>
  <c r="O1432" i="1"/>
  <c r="O1431" i="1"/>
  <c r="O1430" i="1"/>
  <c r="O1429" i="1"/>
  <c r="O1428" i="1"/>
  <c r="O1427" i="1"/>
  <c r="O1426" i="1"/>
  <c r="O1425" i="1"/>
  <c r="O1424" i="1"/>
  <c r="O1423" i="1"/>
  <c r="O1422" i="1"/>
  <c r="O1421" i="1"/>
  <c r="O1420" i="1"/>
  <c r="O1419" i="1"/>
  <c r="O1418" i="1"/>
  <c r="O1417" i="1"/>
  <c r="O1416" i="1"/>
  <c r="O1415" i="1"/>
  <c r="O1414" i="1"/>
  <c r="O1413" i="1"/>
  <c r="O1412" i="1"/>
  <c r="O1411" i="1"/>
  <c r="O1410" i="1"/>
  <c r="O1409" i="1"/>
  <c r="O1408" i="1"/>
  <c r="O1407" i="1"/>
  <c r="O1406" i="1"/>
  <c r="O1405" i="1"/>
  <c r="O1404" i="1"/>
  <c r="O1403" i="1"/>
  <c r="O1402" i="1"/>
  <c r="O1401" i="1"/>
  <c r="O1400" i="1"/>
  <c r="O1399" i="1"/>
  <c r="O1398" i="1"/>
  <c r="O1397" i="1"/>
  <c r="O1396" i="1"/>
  <c r="O1395" i="1"/>
  <c r="O1394" i="1"/>
  <c r="O1393" i="1"/>
  <c r="O1392" i="1"/>
  <c r="O1391" i="1"/>
  <c r="O1390" i="1"/>
  <c r="O1389" i="1"/>
  <c r="O1388" i="1"/>
  <c r="O1387" i="1"/>
  <c r="O1386" i="1"/>
  <c r="O1385" i="1"/>
  <c r="O1384" i="1"/>
  <c r="O1383" i="1"/>
  <c r="O1382" i="1"/>
  <c r="O1381" i="1"/>
  <c r="O1380" i="1"/>
  <c r="O1379" i="1"/>
  <c r="O1378" i="1"/>
  <c r="O1377" i="1"/>
  <c r="O1376" i="1"/>
  <c r="O1375" i="1"/>
  <c r="O1374" i="1"/>
  <c r="O1373" i="1"/>
  <c r="O1372" i="1"/>
  <c r="O1371" i="1"/>
  <c r="O1370" i="1"/>
  <c r="O1369" i="1"/>
  <c r="O1368" i="1"/>
  <c r="O1367" i="1"/>
  <c r="O1366" i="1"/>
  <c r="O1365" i="1"/>
  <c r="O1364" i="1"/>
  <c r="O1363" i="1"/>
  <c r="O1362" i="1"/>
  <c r="O1361" i="1"/>
  <c r="O656" i="1"/>
  <c r="O655" i="1"/>
  <c r="O654" i="1"/>
  <c r="O653" i="1"/>
  <c r="O652" i="1"/>
  <c r="O651" i="1"/>
  <c r="O650" i="1"/>
  <c r="O649" i="1"/>
  <c r="O640" i="1"/>
  <c r="O639" i="1"/>
  <c r="O648" i="1"/>
  <c r="O647" i="1"/>
  <c r="O646" i="1"/>
  <c r="O645" i="1"/>
  <c r="O644" i="1"/>
  <c r="O643" i="1"/>
  <c r="O642" i="1"/>
  <c r="O641" i="1"/>
  <c r="O638" i="1"/>
  <c r="O637" i="1"/>
  <c r="O636" i="1"/>
  <c r="O635" i="1"/>
  <c r="O634" i="1"/>
  <c r="O633" i="1"/>
  <c r="O632" i="1"/>
  <c r="O631" i="1"/>
  <c r="O630" i="1"/>
  <c r="O629" i="1"/>
  <c r="O628" i="1"/>
  <c r="O627"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<sst xmlns="http://schemas.openxmlformats.org/spreadsheetml/2006/main" count="7077" uniqueCount="4806">
  <si>
    <t>id_cita</t>
  </si>
  <si>
    <t>cita_es</t>
  </si>
  <si>
    <t>cita_la</t>
  </si>
  <si>
    <t>cita_original</t>
  </si>
  <si>
    <t>autor_es</t>
  </si>
  <si>
    <t>autor_la</t>
  </si>
  <si>
    <t>bio_es</t>
  </si>
  <si>
    <t>bio_la</t>
  </si>
  <si>
    <t>codigo</t>
  </si>
  <si>
    <t>idioma_es</t>
  </si>
  <si>
    <t>idioma_la</t>
  </si>
  <si>
    <t>nacion_es</t>
  </si>
  <si>
    <t>nacion_la</t>
  </si>
  <si>
    <t>epoca_es</t>
  </si>
  <si>
    <t>epoca_la</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</si>
  <si>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</si>
  <si>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</si>
  <si>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</si>
  <si>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</si>
  <si>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</si>
  <si>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</si>
  <si>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</si>
  <si>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</si>
  <si>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</si>
  <si>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</si>
  <si>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</si>
  <si>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</si>
  <si>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</si>
  <si>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</si>
  <si>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</si>
  <si>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</si>
  <si>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</si>
  <si>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</si>
  <si>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</si>
  <si>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</si>
  <si>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</si>
  <si>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</si>
  <si>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Salomón</t>
  </si>
  <si>
    <t>El amor es fuerte como la muerte; los celos son crueles como la tumba</t>
  </si>
  <si>
    <t>Fortis est amor sicut mors; dura est aemulatio sicut infernus</t>
  </si>
  <si>
    <t>Pienso, luego existo</t>
  </si>
  <si>
    <t>Cogito, ergo sum</t>
  </si>
  <si>
    <t>Cogito ergo sum</t>
  </si>
  <si>
    <t>René Descartes</t>
  </si>
  <si>
    <t>El conocimiento es poder</t>
  </si>
  <si>
    <t>Scientia potentia est</t>
  </si>
  <si>
    <t>Knowledge is power</t>
  </si>
  <si>
    <t>Francis Bacon</t>
  </si>
  <si>
    <t>La verdadera felicidad consiste en hacer el bien</t>
  </si>
  <si>
    <t>Vera felicitas in bonis operibus consistit</t>
  </si>
  <si>
    <t>Vera felicitas in bono faciendo consistit</t>
  </si>
  <si>
    <t>San Agustín</t>
  </si>
  <si>
    <t>Recuerda que la felicidad no depende de quién eres o qué tienes; depende únicamente de lo que piensas</t>
  </si>
  <si>
    <t>Memento felicitatem non pendere ab eo quod es aut habes, sed ab iis quae cogitas</t>
  </si>
  <si>
    <t>Dale Carnegie</t>
  </si>
  <si>
    <t>No dejes para mañana lo que puedas hacer hoy</t>
  </si>
  <si>
    <t>Noli in crastinum differre quod hodie facere potes</t>
  </si>
  <si>
    <t>Aprovecha el día</t>
  </si>
  <si>
    <t>Carpe diem</t>
  </si>
  <si>
    <t>Horacio</t>
  </si>
  <si>
    <t>Ser o no ser, esa es la cuestión</t>
  </si>
  <si>
    <t>Esse aut non esse, haec est quaestio</t>
  </si>
  <si>
    <t>To be, or not to be, that is the question</t>
  </si>
  <si>
    <t>Shakespeare</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</si>
  <si>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</si>
  <si>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</si>
  <si>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</si>
  <si>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</si>
  <si>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</si>
  <si>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</si>
  <si>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</si>
  <si>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</si>
  <si>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Nada surge de la nada</t>
  </si>
  <si>
    <t>Ex nihilo nihil fit</t>
  </si>
  <si>
    <t>Parménides</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</si>
  <si>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</si>
  <si>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</si>
  <si>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</si>
  <si>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</si>
  <si>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</si>
  <si>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 好之者不如乐之者</t>
  </si>
  <si>
    <t>Confucio</t>
  </si>
  <si>
    <t>Aprender sin reflexionar es inútil; reflexionar sin aprender es peligroso</t>
  </si>
  <si>
    <t>Discere sine cogitatione inutile est; cogitare sine doctrina periculosum est</t>
  </si>
  <si>
    <t>学而不思则罔 思而不学则殆</t>
  </si>
  <si>
    <t>No hagas a otros lo que no deseas para ti mismo</t>
  </si>
  <si>
    <t>Quod tibi non vis, alteri ne feceris</t>
  </si>
  <si>
    <t>己所不欲 勿施于人</t>
  </si>
  <si>
    <t>El amor lo conquista todo</t>
  </si>
  <si>
    <t>Amor omnia vincit</t>
  </si>
  <si>
    <t>Amor vincit omnia</t>
  </si>
  <si>
    <t>La fe busca el entendimiento</t>
  </si>
  <si>
    <t>Fides intellectum quaerit</t>
  </si>
  <si>
    <t>Fides quaerens intellectum</t>
  </si>
  <si>
    <t>Todo tiene su tiempo</t>
  </si>
  <si>
    <t>Omnia tempus habent</t>
  </si>
  <si>
    <t>Isidoro de Sevilla</t>
  </si>
  <si>
    <t>Las palabras vuelan, lo escrito permanece</t>
  </si>
  <si>
    <t>Verba volant, scripta manent</t>
  </si>
  <si>
    <t>La ignorancia de la ley no excusa</t>
  </si>
  <si>
    <t>Ignorantia legis non excusat</t>
  </si>
  <si>
    <t>Scientia est potestas</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</si>
  <si>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</si>
  <si>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</si>
  <si>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</si>
  <si>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</si>
  <si>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</si>
  <si>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</si>
  <si>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</si>
  <si>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</si>
  <si>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</si>
  <si>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</si>
  <si>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</si>
  <si>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</si>
  <si>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</si>
  <si>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</si>
  <si>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</si>
  <si>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</si>
  <si>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</si>
  <si>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</si>
  <si>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</si>
  <si>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</si>
  <si>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</si>
  <si>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</si>
  <si>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</si>
  <si>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</si>
  <si>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</si>
  <si>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</si>
  <si>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</si>
  <si>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</si>
  <si>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</si>
  <si>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</si>
  <si>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</si>
  <si>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</si>
  <si>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</si>
  <si>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</si>
  <si>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</si>
  <si>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</si>
  <si>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</si>
  <si>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</si>
  <si>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</si>
  <si>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</si>
  <si>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</si>
  <si>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Vita sine litteris mors est</t>
  </si>
  <si>
    <t>Séneca</t>
  </si>
  <si>
    <t>No hay camino fácil de la tierra a las estrellas</t>
  </si>
  <si>
    <t>Non est ad astra mollis e terris via</t>
  </si>
  <si>
    <t>Mientras estemos entre hombres, cultivemos la humanidad</t>
  </si>
  <si>
    <t>Dum inter homines sumus, humanitatem colamus</t>
  </si>
  <si>
    <t>Dum inter homines sumus, colamus humanitatem</t>
  </si>
  <si>
    <t>Cada uno es artífice de su propia fortuna</t>
  </si>
  <si>
    <t>Quisque est faber fortunae suae</t>
  </si>
  <si>
    <t>Faber est suae quisque fortunae</t>
  </si>
  <si>
    <t>Sin ira ni pasión</t>
  </si>
  <si>
    <t>Sine ira et studio</t>
  </si>
  <si>
    <t>La verdad es la adecuación del intelecto con la realidad</t>
  </si>
  <si>
    <t>Veritas est adaequatio rei et intellectus</t>
  </si>
  <si>
    <t>Santo Tomás de Aquino</t>
  </si>
  <si>
    <t>Amor a Dios y al prójimo</t>
  </si>
  <si>
    <t>Amor Dei et proximi</t>
  </si>
  <si>
    <t>Amor dei et proximi</t>
  </si>
  <si>
    <t>La fe y la razón están en armonía</t>
  </si>
  <si>
    <t>Fides et ratio concordant</t>
  </si>
  <si>
    <t>El bien común debe prevalecer sobre el bien individual</t>
  </si>
  <si>
    <t>Bonum commune praeferendum est bono singulari</t>
  </si>
  <si>
    <t>Bonum commune praefertur bono singulari</t>
  </si>
  <si>
    <t>El hombre busca el bien supremo</t>
  </si>
  <si>
    <t>Homo summum bonum quaerit</t>
  </si>
  <si>
    <t>Homo est summum bonum quaerens</t>
  </si>
  <si>
    <t>Dios ha muerto</t>
  </si>
  <si>
    <t>Deus mortuus est</t>
  </si>
  <si>
    <t>Gott ist tot</t>
  </si>
  <si>
    <t>Friedrich Nietzsche</t>
  </si>
  <si>
    <t>Lo que no me mata, me hace más fuerte</t>
  </si>
  <si>
    <t>Quod me non necat, fortiorem me facit</t>
  </si>
  <si>
    <t>Was mich nicht umbringt, macht mich stärker</t>
  </si>
  <si>
    <t>Sin música, la vida sería un error</t>
  </si>
  <si>
    <t>Sine musica vita error esset</t>
  </si>
  <si>
    <t>Ohne Musik wäre das Leben ein Irrtum</t>
  </si>
  <si>
    <t>El hombre es algo que debe ser superado</t>
  </si>
  <si>
    <t>Homo est aliquid quod superandum est</t>
  </si>
  <si>
    <t>Der Mensch ist etwas, das überwunden werden soll</t>
  </si>
  <si>
    <t>Siempre hay algo de locura en el amor. Pero también hay algo de razón en la locura</t>
  </si>
  <si>
    <t>Semper aliquid insaniae in amore est, sed etiam aliquid rationis in insania</t>
  </si>
  <si>
    <t>Es gibt immer etwas Wahnsinn in der Liebe. Aber es gibt auch immer etwas Vernunft im Wahnsinn</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</si>
  <si>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</si>
  <si>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</si>
  <si>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</si>
  <si>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</si>
  <si>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</si>
  <si>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</si>
  <si>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</si>
  <si>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</si>
  <si>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</si>
  <si>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</si>
  <si>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</si>
  <si>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</si>
  <si>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</si>
  <si>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Las falacias no dejan de ser falacias porque se conviertan en modas</t>
  </si>
  <si>
    <t>Fallaciae non desinunt fallaciae esse quia fiunt consuetudines</t>
  </si>
  <si>
    <t>Fallacies do not cease to be fallacies because they become fashions</t>
  </si>
  <si>
    <t>Tenemos que defender la verdad a toda costa, aunque volvamos a ser solamente doce</t>
  </si>
  <si>
    <t>Veritatem defendere oportet omni pretio, etiam si soli duodecim maneamus</t>
  </si>
  <si>
    <t>Veritatem defendere oportet omni pretio, etiam si solum duodecim restemus</t>
  </si>
  <si>
    <t>Juan Pablo II</t>
  </si>
  <si>
    <t>La fe es la luz que ilumina las tinieblas</t>
  </si>
  <si>
    <t>Fides est lux quae tenebras illuminat</t>
  </si>
  <si>
    <t>El amor todo lo vence</t>
  </si>
  <si>
    <t>Caritas omnia vincit</t>
  </si>
  <si>
    <t>Buscamos la paz en la tierra</t>
  </si>
  <si>
    <t>Pacem in terris quaerimus</t>
  </si>
  <si>
    <t>El Espíritu Santo nos guía hacia la verdad</t>
  </si>
  <si>
    <t>Spiritus Sanctus nos ad veritatem ducit</t>
  </si>
  <si>
    <t>Spiritus Sanctus nos ducit ad veritatem</t>
  </si>
  <si>
    <t>La verdad os hará libres</t>
  </si>
  <si>
    <t>Veritas vos liberabit</t>
  </si>
  <si>
    <t>Todas nuestras obras pongamos en Dios</t>
  </si>
  <si>
    <t>Omnia opera nostra in Deo ponamus</t>
  </si>
  <si>
    <t>La fuerza de la fe siempre vence al miedo</t>
  </si>
  <si>
    <t>Virtus fidei timorem semper vincit</t>
  </si>
  <si>
    <t>Fidei virtus semper vincit timorem</t>
  </si>
  <si>
    <t>Los hombres deben preservar su dignidad</t>
  </si>
  <si>
    <t>Homines dignitatem suam servare debent</t>
  </si>
  <si>
    <t>El amor a Dios y al prójimo es el fundamento de la vida</t>
  </si>
  <si>
    <t>Amor Dei et proximi est fundamentum vitae</t>
  </si>
  <si>
    <t>El hombre sin educación es como un cadáver</t>
  </si>
  <si>
    <t>Homo sine litteris quasi cadaver est</t>
  </si>
  <si>
    <t>Homo sine litteris mors est</t>
  </si>
  <si>
    <t>San Juan Bautista de La Salle</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</si>
  <si>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</si>
  <si>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</si>
  <si>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</si>
  <si>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</si>
  <si>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</si>
  <si>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</si>
  <si>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</si>
  <si>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</si>
  <si>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</si>
  <si>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</si>
  <si>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</si>
  <si>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</si>
  <si>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</si>
  <si>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</si>
  <si>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</si>
  <si>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</si>
  <si>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</si>
  <si>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</si>
  <si>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</si>
  <si>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</si>
  <si>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</si>
  <si>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</si>
  <si>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</si>
  <si>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</si>
  <si>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</si>
  <si>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</si>
  <si>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</si>
  <si>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</si>
  <si>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</si>
  <si>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</si>
  <si>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</si>
  <si>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</si>
  <si>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</si>
  <si>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</si>
  <si>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</si>
  <si>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</si>
  <si>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</si>
  <si>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</si>
  <si>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</si>
  <si>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</si>
  <si>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</si>
  <si>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</si>
  <si>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</si>
  <si>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</si>
  <si>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</si>
  <si>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</si>
  <si>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</si>
  <si>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</si>
  <si>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</si>
  <si>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</si>
  <si>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</si>
  <si>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</si>
  <si>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</si>
  <si>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</si>
  <si>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</si>
  <si>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</si>
  <si>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</si>
  <si>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</si>
  <si>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</si>
  <si>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</si>
  <si>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</si>
  <si>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</si>
  <si>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</si>
  <si>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</si>
  <si>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</si>
  <si>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</si>
  <si>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Cada civilización tiene su ciclo de nacimiento, crecimiento y decadencia</t>
  </si>
  <si>
    <t>Unaquaeque civilizatio habet цикл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</si>
  <si>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</si>
  <si>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</si>
  <si>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</si>
  <si>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</si>
  <si>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</si>
  <si>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</si>
  <si>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</si>
  <si>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</si>
  <si>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</si>
  <si>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</si>
  <si>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</si>
  <si>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</si>
  <si>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</si>
  <si>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El que lee mucho y anda mucho, ve mucho y sabe mucho</t>
  </si>
  <si>
    <t>Qui multum legit et multum ambulat, multum videt et multum scit</t>
  </si>
  <si>
    <t>La pluma es la lengua del alma</t>
  </si>
  <si>
    <t>Calamus lingua animae est</t>
  </si>
  <si>
    <t>Nunca pares de procurar ser mejor</t>
  </si>
  <si>
    <t>Numquam desine melius esse quaerere</t>
  </si>
  <si>
    <t>Cada uno es como Dios le hizo, y aun peor muchas veces</t>
  </si>
  <si>
    <t>Unusquisque est sicut Deus fecit, et saepe peior</t>
  </si>
  <si>
    <t>No es más que un sueño lo que se sueña en la vida</t>
  </si>
  <si>
    <t>Somnium solum est quod in vita somniatur</t>
  </si>
  <si>
    <t>La libertad, Sancho, es uno de los más preciosos dones que a los hombres dieron los cielos</t>
  </si>
  <si>
    <t>Libertas, Sancho, donum pretiosissimum est quod caelum hominibus dedit</t>
  </si>
  <si>
    <t>Dulcinea del Toboso, señora de mi pensamiento</t>
  </si>
  <si>
    <t>Dulcinea Tobosi, domina cogitationum mearum</t>
  </si>
  <si>
    <t>Cambiar la tristeza en contento es la más sabrosa medicina del alma</t>
  </si>
  <si>
    <t>Tristitiam in laetitiam mutare est medicamentum animae sapidissimum</t>
  </si>
  <si>
    <t>Conócete, acéptate, supérate</t>
  </si>
  <si>
    <t>Nosce te, accipe te, supera te</t>
  </si>
  <si>
    <t>La educación es el arma más poderosa que puedes usar para cambiar el mundo</t>
  </si>
  <si>
    <t>Educatio potentissimum telum est ad mundum mutandum</t>
  </si>
  <si>
    <t>Education is the most powerful weapon which you can use to change the world</t>
  </si>
  <si>
    <t>Nelson Mandela</t>
  </si>
  <si>
    <t>La verdadera educación consiste en obtener lo mejor de uno mismo</t>
  </si>
  <si>
    <t>Vera educatio consistit in optimo ex se ipsis obtinendo</t>
  </si>
  <si>
    <t>The true education consists in getting the best out of oneself</t>
  </si>
  <si>
    <t>Mahatma Gandhi</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</si>
  <si>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</si>
  <si>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</si>
  <si>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</si>
  <si>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</si>
  <si>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</si>
  <si>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</si>
  <si>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</si>
  <si>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</si>
  <si>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La educación no es preparación para la vida; la educación es la vida en sí misma</t>
  </si>
  <si>
    <t>Educatio non est praeparatio ad vitam; educatio ipsa vita est</t>
  </si>
  <si>
    <t>Education is not preparation for life; education is life itself</t>
  </si>
  <si>
    <t>John Dewey</t>
  </si>
  <si>
    <t>Una inversión en conocimiento paga el mejor interés</t>
  </si>
  <si>
    <t>Investitio in scientia optimum redditum praestat</t>
  </si>
  <si>
    <t>An investment in knowledge pays the best interest</t>
  </si>
  <si>
    <t>Benjamin Franklin</t>
  </si>
  <si>
    <t>El aprendizaje nunca cansa a la mente</t>
  </si>
  <si>
    <t>Disciplina animi numquam defatigat</t>
  </si>
  <si>
    <t>Leonardo Da Vinci</t>
  </si>
  <si>
    <t>Aprender sin pensar es esfuerzo perdido; pensar sin aprender, peligroso</t>
  </si>
  <si>
    <t>Discere sine cogitatione inutile est; cogitare sine discendo periculosum est</t>
  </si>
  <si>
    <t>學而不思則罔，思而不學則殆。</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</si>
  <si>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</si>
  <si>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</si>
  <si>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</si>
  <si>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</si>
  <si>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</si>
  <si>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</si>
  <si>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</si>
  <si>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</si>
  <si>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Todo está lleno de dioses.</t>
  </si>
  <si>
    <t>Omnia diis plena sunt.</t>
  </si>
  <si>
    <t>πάντα πλήρη θεῶν.</t>
  </si>
  <si>
    <t>El cosmos está animado.</t>
  </si>
  <si>
    <t>Mundus animatus est.</t>
  </si>
  <si>
    <t>ὁ κόσμος ἔμψυχός ἐστι.</t>
  </si>
  <si>
    <t>El alma mueve los cuerpos.</t>
  </si>
  <si>
    <t>Anima corpora movet.</t>
  </si>
  <si>
    <t>ψυχὴ κινεῖ τὰ σώματα.</t>
  </si>
  <si>
    <t>Todo procede de lo uno.</t>
  </si>
  <si>
    <t>Omnia ex uno procedunt.</t>
  </si>
  <si>
    <t>τὸ πᾶν ἐκ τοῦ ἑνός.</t>
  </si>
  <si>
    <t>Lo divino no tiene principio ni fin.</t>
  </si>
  <si>
    <t>Divinum nec principium nec finem habet.</t>
  </si>
  <si>
    <t>τὸ θεῖον οὔτε ἀρχὴν οὔτε τέλος ἔχει.</t>
  </si>
  <si>
    <t>Lo más poderoso es la necesidad.</t>
  </si>
  <si>
    <t>Necessitas potentissima est.</t>
  </si>
  <si>
    <t>ἰσχυρότατον ἀνάγκη.</t>
  </si>
  <si>
    <t>El tiempo es lo más sabio.</t>
  </si>
  <si>
    <t>Tempus sapientissimum est.</t>
  </si>
  <si>
    <t>χρόνος σοφώτατος.</t>
  </si>
  <si>
    <t>Conócete a ti mismo.</t>
  </si>
  <si>
    <t>Te ipsum nosce.</t>
  </si>
  <si>
    <t>γνῶθι σαυτόν.</t>
  </si>
  <si>
    <t>No te enriquezcas injustamente.</t>
  </si>
  <si>
    <t>Ne iniuste locupleteris.</t>
  </si>
  <si>
    <t>μὴ πλούτει κακῶς.</t>
  </si>
  <si>
    <t>La muerte no es nada para nosotros.</t>
  </si>
  <si>
    <t>Mors nihil ad nos pertinet.</t>
  </si>
  <si>
    <t>Μηδὲν πρὸς ἡμᾶς ὁ θάνατος.</t>
  </si>
  <si>
    <t>Epicuro</t>
  </si>
  <si>
    <t>Poco basta al sabio.</t>
  </si>
  <si>
    <t>Sapienti parvum satis est.</t>
  </si>
  <si>
    <t>Ἀρκέσει μικρὸν τῷ σοφῷ.</t>
  </si>
  <si>
    <t>El placer es principio y fin de la vida feliz.</t>
  </si>
  <si>
    <t>Voluptas principium et finis vitae beatae est.</t>
  </si>
  <si>
    <t>ἡδονὴ ἀρχὴ καὶ τέλος τοῦ μακαρίου βίου.</t>
  </si>
  <si>
    <t>No la mayor riqueza, sino la que basta.</t>
  </si>
  <si>
    <t>Non maxima divitia, sed sufficiens.</t>
  </si>
  <si>
    <t>οὐχ ὁ πλεῖστος πλοῦτος, ἀλλ᾽ ὁ ὀλίγος ἀρκῶν.</t>
  </si>
  <si>
    <t>La prudencia es el mayor bien.</t>
  </si>
  <si>
    <t>Prudentia summum bonum est.</t>
  </si>
  <si>
    <t>ἡ φρόνησις μέγιστον ἀγαθόν.</t>
  </si>
  <si>
    <t>No hay que temer a los dioses.</t>
  </si>
  <si>
    <t>Diis timendum non est.</t>
  </si>
  <si>
    <t>οὐ δεῖ φοβεῖσθαι τοὺς θεούς.</t>
  </si>
  <si>
    <t>El dolor es breve o soportable.</t>
  </si>
  <si>
    <t>Dolor brevis aut levis est.</t>
  </si>
  <si>
    <t>ὁ πόνος βραχύς ἢ ἐλαφρός.</t>
  </si>
  <si>
    <t>La amistad es el mayor bien de la vida.</t>
  </si>
  <si>
    <t>Amicitia summum vitae bonum est.</t>
  </si>
  <si>
    <t>φιλία μέγιστον τῆς ζωῆς ἀγαθόν.</t>
  </si>
  <si>
    <t>La felicidad no está en el lujo.</t>
  </si>
  <si>
    <t>Felicitas non in luxu est.</t>
  </si>
  <si>
    <t>οὐκ ἐν πολυτελείᾳ ἡ εὐδαιμονία.</t>
  </si>
  <si>
    <t>La riqueza natural es limitada.</t>
  </si>
  <si>
    <t>Naturalis divitia finita est.</t>
  </si>
  <si>
    <t>ὁ πλοῦτος τῆς φύσεως ὁριστός.</t>
  </si>
  <si>
    <t>Tu vida la hacen tus pensamientos.</t>
  </si>
  <si>
    <t>Vitam tuam opiniones tuae faciunt.</t>
  </si>
  <si>
    <t>Τὸν βίον σου ποιοῦνται αἱ ὑπολήψεις σου.</t>
  </si>
  <si>
    <t>Marco Aurelio</t>
  </si>
  <si>
    <t>No te perturben las cosas externas.</t>
  </si>
  <si>
    <t>Res externae te non perturbent.</t>
  </si>
  <si>
    <t>Μὴ ταράττεσθαι τὰ ἔξωθεν.</t>
  </si>
  <si>
    <t>Vivir conforme a la naturaleza.</t>
  </si>
  <si>
    <t>Secundum naturam vivere.</t>
  </si>
  <si>
    <t>Ζῆν κατὰ φύσιν.</t>
  </si>
  <si>
    <t>Todo sucede justamente.</t>
  </si>
  <si>
    <t>Omnia iuste fiunt.</t>
  </si>
  <si>
    <t>Ὅ,τι συμβαίνει, δικαίως συμβαίνει.</t>
  </si>
  <si>
    <t>El ser humano es pariente del ser humano.</t>
  </si>
  <si>
    <t>Homo homini cognatus est.</t>
  </si>
  <si>
    <t>ἄνθρωπος ἀνθρώπῳ συγγενής.</t>
  </si>
  <si>
    <t>Vivir poco, pero bien.</t>
  </si>
  <si>
    <t>Parum vivere, sed bene.</t>
  </si>
  <si>
    <t>ὀλίγον ζῆν, ἀλλὰ καλῶς.</t>
  </si>
  <si>
    <t>La felicidad está dentro.</t>
  </si>
  <si>
    <t>Felicitas intus est.</t>
  </si>
  <si>
    <t>ἔνδον ἡ εὐδαιμονία.</t>
  </si>
  <si>
    <t>Todo es transitorio.</t>
  </si>
  <si>
    <t>Omnia transitoria sunt.</t>
  </si>
  <si>
    <t>πᾶν παροδικόν.</t>
  </si>
  <si>
    <t>Recuerdo de la muerte.</t>
  </si>
  <si>
    <t>Memoria mortis.</t>
  </si>
  <si>
    <t>μνήμη θανάτου.</t>
  </si>
  <si>
    <t>La virtud se basta a sí misma.</t>
  </si>
  <si>
    <t>Virtus sibi sufficit.</t>
  </si>
  <si>
    <t>ἡ ἀρετὴ αὐτάρκης.</t>
  </si>
  <si>
    <t>La vida no examinada no merece ser vivida.</t>
  </si>
  <si>
    <t>Vita non examinata non est digna.</t>
  </si>
  <si>
    <t>Ἀνεξέταστος βίος οὐ βιωτὸς.</t>
  </si>
  <si>
    <t>Platón</t>
  </si>
  <si>
    <t>Nadie es malo voluntariamente.</t>
  </si>
  <si>
    <t>Nemo sponte malus est.</t>
  </si>
  <si>
    <t>Οὐδεὶς ἑκὼν κακός.</t>
  </si>
  <si>
    <t>La justicia es armonía del alma.</t>
  </si>
  <si>
    <t>Iustitia harmonia animae est.</t>
  </si>
  <si>
    <t>ἡ δικαιοσύνη ἁρμονία ψυχῆς.</t>
  </si>
  <si>
    <t>La educación es un segundo sol.</t>
  </si>
  <si>
    <t>Educatio alter sol est.</t>
  </si>
  <si>
    <t>ἡ παιδεία δεύτερος ἥλιος.</t>
  </si>
  <si>
    <t>La filosofía es preparación para la muerte.</t>
  </si>
  <si>
    <t>Philosophia mortis meditatio est.</t>
  </si>
  <si>
    <t>ἡ φιλοσοφία μελέτη θανάτου.</t>
  </si>
  <si>
    <t>El alma es inmortal.</t>
  </si>
  <si>
    <t>Anima immortalis est.</t>
  </si>
  <si>
    <t>ἡ ψυχὴ ἀθάνατος.</t>
  </si>
  <si>
    <t>El Bien es el mayor conocimiento.</t>
  </si>
  <si>
    <t>Bonum maximum studium est.</t>
  </si>
  <si>
    <t>τὸ ἀγαθὸν μέγιστον μάθημα.</t>
  </si>
  <si>
    <t>Amor de lo bello.</t>
  </si>
  <si>
    <t>Amor pulchri.</t>
  </si>
  <si>
    <t>ἔρως τοῦ καλοῦ.</t>
  </si>
  <si>
    <t>La ciudad es imagen del alma.</t>
  </si>
  <si>
    <t>Civitas animae imago est.</t>
  </si>
  <si>
    <t>πόλις ψυχῆς εἰκών.</t>
  </si>
  <si>
    <t>La sabiduría es virtud.</t>
  </si>
  <si>
    <t>Sapientia virtus est.</t>
  </si>
  <si>
    <t>σοφία ἀρετή.</t>
  </si>
  <si>
    <t>El hombre es un animal político.</t>
  </si>
  <si>
    <t>Homo natura animal politicum est.</t>
  </si>
  <si>
    <t>Ὁ ἄνθρωπος φύσει πολιτικὸν ζῷον.</t>
  </si>
  <si>
    <t>Aristóteles</t>
  </si>
  <si>
    <t>La felicidad es el fin de la vida.</t>
  </si>
  <si>
    <t>Felicitas finis vitae est.</t>
  </si>
  <si>
    <t>ἡ εὐδαιμονία τέλος τῆς ζωῆς.</t>
  </si>
  <si>
    <t>La virtud es un hábito electivo.</t>
  </si>
  <si>
    <t>Virtus habitus electivus est.</t>
  </si>
  <si>
    <t>ἡ ἀρετὴ ἕξις προαιρετική.</t>
  </si>
  <si>
    <t>El justo medio es lo mejor.</t>
  </si>
  <si>
    <t>Medium optimum est.</t>
  </si>
  <si>
    <t>τὸ μέσον ἄριστον.</t>
  </si>
  <si>
    <t>Nada hay en el intelecto que no haya estado antes en los sentidos.</t>
  </si>
  <si>
    <t>Nihil est in intellectu quod non prius fuerit in sensu.</t>
  </si>
  <si>
    <t>οὐθὲν ἐν τῷ νοῒ ὃ μὴ πρότερον ἐν ταῖς αἰσθήσεσιν.</t>
  </si>
  <si>
    <t>La naturaleza no hace nada en vano.</t>
  </si>
  <si>
    <t>Natura nihil frustra facit.</t>
  </si>
  <si>
    <t>ἡ φύσις οὐδὲν ποιεῖ μάτην.</t>
  </si>
  <si>
    <t>La ciudad existe por naturaleza.</t>
  </si>
  <si>
    <t>Civitas natura est.</t>
  </si>
  <si>
    <t>ἡ πόλις φύσει ἐστίν.</t>
  </si>
  <si>
    <t>El alma es la forma del cuerpo.</t>
  </si>
  <si>
    <t>Anima forma corporis est.</t>
  </si>
  <si>
    <t>ἡ ψυχὴ εἶδος σώματος.</t>
  </si>
  <si>
    <t>La prudencia es una virtud intelectual.</t>
  </si>
  <si>
    <t>Prudentia virtus intellectualis est.</t>
  </si>
  <si>
    <t>ἡ φρόνησις ἀρετὴ διανοητική.</t>
  </si>
  <si>
    <t>El amigo es otro yo.</t>
  </si>
  <si>
    <t>Amicus alter ego est.</t>
  </si>
  <si>
    <t>ὁ φίλος ἕτερος αὐτός.</t>
  </si>
  <si>
    <t>El número es el principio de todas las cosas.</t>
  </si>
  <si>
    <t>Numerus principium omnium rerum est.</t>
  </si>
  <si>
    <t>ἀριθμὸς ἀρχὴ πάντων.</t>
  </si>
  <si>
    <t>Pitágoras</t>
  </si>
  <si>
    <t>El alma es armonía.</t>
  </si>
  <si>
    <t>Anima harmonia est.</t>
  </si>
  <si>
    <t>ἁρμονία ἐστὶν ἡ ψυχή.</t>
  </si>
  <si>
    <t>Educad a los niños.</t>
  </si>
  <si>
    <t>Educate pueros.</t>
  </si>
  <si>
    <t>παίδευε τοὺς παῖδας.</t>
  </si>
  <si>
    <t>El principio es la mitad de todo.</t>
  </si>
  <si>
    <t>Principium dimidium totius est.</t>
  </si>
  <si>
    <t>ἡ ἀρχὴ ἥμισυ παντός.</t>
  </si>
  <si>
    <t>Mide tus deseos.</t>
  </si>
  <si>
    <t>Metire cupiditates tuas.</t>
  </si>
  <si>
    <t>μέτρει τὰς ἐπιθυμίας σου.</t>
  </si>
  <si>
    <t>El silencio es principio de sabiduría.</t>
  </si>
  <si>
    <t>Silentium sapientiae principium est.</t>
  </si>
  <si>
    <t>σιωπὴ ἀρχὴ σοφίας.</t>
  </si>
  <si>
    <t>La vida es breve, el arte largo.</t>
  </si>
  <si>
    <t>Vita brevis, ars longa.</t>
  </si>
  <si>
    <t>ὁ βίος βραχύς, ἡ δὲ τέχνη μακρά.</t>
  </si>
  <si>
    <t>La amistad es igualdad.</t>
  </si>
  <si>
    <t>Amicitia aequalitas est.</t>
  </si>
  <si>
    <t>φιλία ἰσότης.</t>
  </si>
  <si>
    <t>No hagas del cuerpo tumba del alma.</t>
  </si>
  <si>
    <t>Ne corpus sepulchrum animae facias.</t>
  </si>
  <si>
    <t>μὴ κατασκευάζειν σώματος τάφον ψυχῆς.</t>
  </si>
  <si>
    <t>La virtud es armonía.</t>
  </si>
  <si>
    <t>Virtus harmonia est.</t>
  </si>
  <si>
    <t>ἀρετὴ ἁρμονία ἐστίν.</t>
  </si>
  <si>
    <t>Todo fluye.</t>
  </si>
  <si>
    <t>Omnia fluunt.</t>
  </si>
  <si>
    <t>πάντα ῥεῖ.</t>
  </si>
  <si>
    <t>Heráclito</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</si>
  <si>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</si>
  <si>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</si>
  <si>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</si>
  <si>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</si>
  <si>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</si>
  <si>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</si>
  <si>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El carácter es destino del hombre.</t>
  </si>
  <si>
    <t>Character homini fatum est.</t>
  </si>
  <si>
    <t>ἦθος ἀνθρώπῳ δαίμων.</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</si>
  <si>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</si>
  <si>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</si>
  <si>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</si>
  <si>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Lo sabio es uno.</t>
  </si>
  <si>
    <t>Sapiens unum est.</t>
  </si>
  <si>
    <t>τὸ σοφόν ἐστιν ἕν.</t>
  </si>
  <si>
    <t>La armonía oculta es superior a la manifiesta.</t>
  </si>
  <si>
    <t>Harmonia occulta manifesta potior.</t>
  </si>
  <si>
    <t>κρυπτομένη ἁρμονίη φανερῆς κρείττων.</t>
  </si>
  <si>
    <t>No es mejor para los hombres que se cumpla todo cuanto desean.</t>
  </si>
  <si>
    <t>Non melius hominibus omnia quae cupiunt evenire.</t>
  </si>
  <si>
    <t>ἀνθρώποις γίνεσθαι ὁκόσα θέλουσιν οὐκ ἄμεινον.</t>
  </si>
  <si>
    <t>Fuego siemprevivo.</t>
  </si>
  <si>
    <t>Ignis semper vivens.</t>
  </si>
  <si>
    <t>πῦρ ἀείζωον.</t>
  </si>
  <si>
    <t>El camino hacia arriba y hacia abajo es uno y el mismo.</t>
  </si>
  <si>
    <t>Via sursum deorsum una eademque est.</t>
  </si>
  <si>
    <t>ὁδὸς ἄνω κάτω μία καὶ ὡυτή.</t>
  </si>
  <si>
    <t>Solo sé que no sé nada.</t>
  </si>
  <si>
    <t>Scio me nihil scire.</t>
  </si>
  <si>
    <t>ἓν οἶδα ὅτι οὐδὲν οἶδα.</t>
  </si>
  <si>
    <t>Sócrates</t>
  </si>
  <si>
    <t>Nosce te ipsum.</t>
  </si>
  <si>
    <t>γνῶθι σεαυτόν.</t>
  </si>
  <si>
    <t>Una vida sin examen no merece ser vivida.</t>
  </si>
  <si>
    <t>Vita inexaminata non est vivenda homini.</t>
  </si>
  <si>
    <t>ὁ ἀνεξέταστος βίος οὐ βιωτὸς ἀνθρώπῳ.</t>
  </si>
  <si>
    <t>Nadie yerra voluntariamente.</t>
  </si>
  <si>
    <t>Nemo sponte peccat.</t>
  </si>
  <si>
    <t>οὐδεὶς ἑκὼν ἁμαρτάνει.</t>
  </si>
  <si>
    <t>La virtud es conocimiento.</t>
  </si>
  <si>
    <t>Virtus scientia est.</t>
  </si>
  <si>
    <t>ἀρετὴ ἐπιστήμη.</t>
  </si>
  <si>
    <t>Mejor es sufrir injusticia que cometerla.</t>
  </si>
  <si>
    <t>Melius est iniuriam pati quam facere.</t>
  </si>
  <si>
    <t>κρεῖττον ἀδικεῖσθαι ἢ ἀδικεῖν.</t>
  </si>
  <si>
    <t>Mors nihil ad nos.</t>
  </si>
  <si>
    <t>θάνατος οὐδὲν πρὸς ἡμᾶς.</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</si>
  <si>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</si>
  <si>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</si>
  <si>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</si>
  <si>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</si>
  <si>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</si>
  <si>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</si>
  <si>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</si>
  <si>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</si>
  <si>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</si>
  <si>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</si>
  <si>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</si>
  <si>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</si>
  <si>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</si>
  <si>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Nada sucede en vano, todo por razón y necesidad.</t>
  </si>
  <si>
    <t>Nihil frustra fit, sed omnia ratione et necessitate.</t>
  </si>
  <si>
    <t>οὐδὲν χρῆμα μάτην γίνεται, ἀλλὰ πάντα ἐκ λόγου τε καὶ ὑπ᾽ ἀνάγκης.</t>
  </si>
  <si>
    <t>La alegría es el fin.</t>
  </si>
  <si>
    <t>Laetitia finis est.</t>
  </si>
  <si>
    <t>εὐθυμίη τέλος.</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</si>
  <si>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</si>
  <si>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</si>
  <si>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</si>
  <si>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La palabra es sombra de la acción.</t>
  </si>
  <si>
    <t>Verbum umbra operis est.</t>
  </si>
  <si>
    <t>λόγος ἔργου σκιή.</t>
  </si>
  <si>
    <t>La felicidad está en el alma.</t>
  </si>
  <si>
    <t>Felicitas in anima est.</t>
  </si>
  <si>
    <t>εὐδαιμονίη ψυχῆς.</t>
  </si>
  <si>
    <t>Muchos eruditos carecen de inteligencia.</t>
  </si>
  <si>
    <t>Multi eruditi intelligentia carent.</t>
  </si>
  <si>
    <t>πολλοὶ πολυμαθέες νοῦν οὐκ ἔχουσιν.</t>
  </si>
  <si>
    <t>Necesidad de la naturaleza.</t>
  </si>
  <si>
    <t>Necessitas naturae.</t>
  </si>
  <si>
    <t>ἀνάγκη φύσεως.</t>
  </si>
  <si>
    <t>El hombre es un pequeño cosmos.</t>
  </si>
  <si>
    <t>Homo parvus mundus est.</t>
  </si>
  <si>
    <t>μικρὸς κόσμος ἄνθρωπος.</t>
  </si>
  <si>
    <t>La filosofía es medicina del alma.</t>
  </si>
  <si>
    <t>Philosophia medicina animae est.</t>
  </si>
  <si>
    <t>ἰατρὸς ψυχῆς φιλοσοφία.</t>
  </si>
  <si>
    <t>El hombre es la medida de todas las cosas.</t>
  </si>
  <si>
    <t>Homo omnium rerum mensura est.</t>
  </si>
  <si>
    <t>πάντων χρημάτων μέτρον ἐστὶν ἄνθρωπος.</t>
  </si>
  <si>
    <t>Protágoras</t>
  </si>
  <si>
    <t>Sobre los dioses no puedo saber.</t>
  </si>
  <si>
    <t>De diis non possum scire.</t>
  </si>
  <si>
    <t>περὶ θεῶν οὐκ ἔχω εἰδέναι.</t>
  </si>
  <si>
    <t>Dos razones hay sobre cada cosa.</t>
  </si>
  <si>
    <t>Duo rationes de quaque re sunt.</t>
  </si>
  <si>
    <t>δύο λόγοι εἰσὶ περὶ παντός.</t>
  </si>
  <si>
    <t>La educación tiene raíz amarga, pero fruto dulce.</t>
  </si>
  <si>
    <t>Educatio radicem amaram, fructum dulcem habet.</t>
  </si>
  <si>
    <t>παιδεία ῥίζα πικρά, καρπὸς δὲ γλυκύς.</t>
  </si>
  <si>
    <t>El arte sin naturaleza es nada.</t>
  </si>
  <si>
    <t>Ars sine natura nihil est.</t>
  </si>
  <si>
    <t>τέχνη δίχα φύσεως οὐδέν.</t>
  </si>
  <si>
    <t>El que ejercita es superior al dotado por naturaleza.</t>
  </si>
  <si>
    <t>Qui exercet praestantior naturaliter apto.</t>
  </si>
  <si>
    <t>ὁ ἀσκῶν κρείττων τοῦ εὐφυοῦς.</t>
  </si>
  <si>
    <t>La virtud es enseñable.</t>
  </si>
  <si>
    <t>Virtus docibilis est.</t>
  </si>
  <si>
    <t>ἀρετὴ διδακτόν.</t>
  </si>
  <si>
    <t>La ley es tirana.</t>
  </si>
  <si>
    <t>Lex tyrannus est.</t>
  </si>
  <si>
    <t>νόμος τύραννος.</t>
  </si>
  <si>
    <t>Al hombre, naturaleza humana.</t>
  </si>
  <si>
    <t>Homini natura humana.</t>
  </si>
  <si>
    <t>ἀνθρώπῳ ἀνθρωπίνη φύσις.</t>
  </si>
  <si>
    <t>Sobre cada cosa hay razones opuestas.</t>
  </si>
  <si>
    <t>De quaque re rationes oppositae sunt.</t>
  </si>
  <si>
    <t>περὶ παντὸς ἀντικείμενοι λόγοι.</t>
  </si>
  <si>
    <t>Humillémonos bajo la mano poderosa de Dios.</t>
  </si>
  <si>
    <t>Humiliamur sub manu Dei omnipotente.</t>
  </si>
  <si>
    <t>Humiliamur sub manu Dei omnipotentem.</t>
  </si>
  <si>
    <t>San Clemente Romano</t>
  </si>
  <si>
    <t>Paz y concordia entre vosotros.</t>
  </si>
  <si>
    <t>Pax et concordia inter vos.</t>
  </si>
  <si>
    <t>La caridad no tiene división.</t>
  </si>
  <si>
    <t>Caritas non habet schisma.</t>
  </si>
  <si>
    <t>La fe y la humildad reciben la corona.</t>
  </si>
  <si>
    <t>Fides et humilitas coronam accipiunt.</t>
  </si>
  <si>
    <t>La obediencia a Dios es mejor que el sacrificio.</t>
  </si>
  <si>
    <t>Oboedientia Deo melior est sacrificio.</t>
  </si>
  <si>
    <t>Permaneced en la unidad del espíritu.</t>
  </si>
  <si>
    <t>In unitate spiritus manete.</t>
  </si>
  <si>
    <t>Dios mira a los humildes, conoce de lejos a los soberbios.</t>
  </si>
  <si>
    <t>Deus humiles videt, superbos a longe cognoscit.</t>
  </si>
  <si>
    <t>Sin fe es imposible agradar a Dios.</t>
  </si>
  <si>
    <t>Sine fide impossibile est placere Deo.</t>
  </si>
  <si>
    <t>La misericordia de Dios sobre todos.</t>
  </si>
  <si>
    <t>Misericordia Dei super omnes.</t>
  </si>
  <si>
    <t>El celo y la envidia trajeron la muerte.</t>
  </si>
  <si>
    <t>Zelus et invidia mortem attulerunt.</t>
  </si>
  <si>
    <t>Soy portador de Dios.</t>
  </si>
  <si>
    <t>Theophorus sum.</t>
  </si>
  <si>
    <t>Θεοφόρος εἰμί.</t>
  </si>
  <si>
    <t>San Ignacio de Antioquía</t>
  </si>
  <si>
    <t>Soy trigo de Cristo.</t>
  </si>
  <si>
    <t>Frumentum Christi sum.</t>
  </si>
  <si>
    <t>Donde está el obispo, allí está la Iglesia.</t>
  </si>
  <si>
    <t>Ubi episcopus, ibi Ecclesia.</t>
  </si>
  <si>
    <t>La Eucaristía es la carne de nuestro Salvador.</t>
  </si>
  <si>
    <t>Eucharistia caro Salvatoris nostri.</t>
  </si>
  <si>
    <t>El cristiano no vive para sí, sino para Cristo.</t>
  </si>
  <si>
    <t>Christianus vivit, non sibi, sed Christo.</t>
  </si>
  <si>
    <t>Dejadme ser pasto de las fieras.</t>
  </si>
  <si>
    <t>Sinite me bestiarum esse cibum.</t>
  </si>
  <si>
    <t>Mi amor ha sido crucificado.</t>
  </si>
  <si>
    <t>Meus amor crucifixus est.</t>
  </si>
  <si>
    <t>Una fe, una esperanza, una caridad.</t>
  </si>
  <si>
    <t>Una fides, una spes, una caritas.</t>
  </si>
  <si>
    <t>Permaneced en la unidad de Dios.</t>
  </si>
  <si>
    <t>In unitate Dei permanete.</t>
  </si>
  <si>
    <t>Entonces seré verdaderamente discípulo.</t>
  </si>
  <si>
    <t>Tunc vere discipulus ero.</t>
  </si>
  <si>
    <t>Ochenta y seis años sirvo al Señor.</t>
  </si>
  <si>
    <t>Octoginta sex annos Domino servio.</t>
  </si>
  <si>
    <t>San Policarpo de Esmirna</t>
  </si>
  <si>
    <t>Soy cristiano.</t>
  </si>
  <si>
    <t>Christianus sum.</t>
  </si>
  <si>
    <t>Quien no confiesa la cruz, es del diablo.</t>
  </si>
  <si>
    <t>Qui non confitetur crucem, ex diabolo est.</t>
  </si>
  <si>
    <t>Orad por los reyes y las autoridades.</t>
  </si>
  <si>
    <t>Orate pro regibus et potestatibus.</t>
  </si>
  <si>
    <t>La fe es madre de todos nosotros.</t>
  </si>
  <si>
    <t>Fides mater omnium nostrum.</t>
  </si>
  <si>
    <t>La misericordia y la paciencia vencen todo.</t>
  </si>
  <si>
    <t>Misericordia et patientia vincunt omnia.</t>
  </si>
  <si>
    <t>Permaneced en la verdad.</t>
  </si>
  <si>
    <t>In veritate permanete.</t>
  </si>
  <si>
    <t>La resurrección de Cristo es el fundamento de nuestra fe.</t>
  </si>
  <si>
    <t>Resurrectio Christi fundamentum fidei nostrae.</t>
  </si>
  <si>
    <t>Absteneos de la avaricia.</t>
  </si>
  <si>
    <t>Abstinete ab avaritia.</t>
  </si>
  <si>
    <t>El amor al prójimo es perfección.</t>
  </si>
  <si>
    <t>Dilectio proximi perfectio est.</t>
  </si>
  <si>
    <t>La gloria de Dios es el hombre que vive.</t>
  </si>
  <si>
    <t>Gloria Dei vivens homo.</t>
  </si>
  <si>
    <t>San Ireneo de Lyon</t>
  </si>
  <si>
    <t>La vida del hombre es la visión de Dios.</t>
  </si>
  <si>
    <t>Vita hominis visio Dei.</t>
  </si>
  <si>
    <t>El Verbo de Dios se hizo carne.</t>
  </si>
  <si>
    <t>Verbum Dei caro factum est.</t>
  </si>
  <si>
    <t>Donde está la Iglesia, allí está el Espíritu.</t>
  </si>
  <si>
    <t>Ubi Ecclesia, ibi Spiritus.</t>
  </si>
  <si>
    <t>Recapitulación de todo en Cristo.</t>
  </si>
  <si>
    <t>Recapitulatio omnium in Christo.</t>
  </si>
  <si>
    <t>La tradición apostólica es luz de verdad.</t>
  </si>
  <si>
    <t>Traditio apostolica lumen veritatis.</t>
  </si>
  <si>
    <t>Cristo se hizo lo que nosotros somos.</t>
  </si>
  <si>
    <t>Christus factus est quod sumus.</t>
  </si>
  <si>
    <t>Una sola fe en todo el mundo.</t>
  </si>
  <si>
    <t>Fides una in toto mundo.</t>
  </si>
  <si>
    <t>La herejía es división del alma.</t>
  </si>
  <si>
    <t>Haeresis divisio animae.</t>
  </si>
  <si>
    <t>En la unidad de la Iglesia está la salvación.</t>
  </si>
  <si>
    <t>In unitate Ecclesiae salus.</t>
  </si>
  <si>
    <t>Dios se hizo hombre para que nosotros fuéramos dioses.</t>
  </si>
  <si>
    <t>Deus homo factus est ut nos dii fieremus.</t>
  </si>
  <si>
    <t>San Atanasio</t>
  </si>
  <si>
    <t>Atanasio contra el mundo.</t>
  </si>
  <si>
    <t>Athanasius contra mundum.</t>
  </si>
  <si>
    <t>El Hijo de Dios es el Verbo del Padre.</t>
  </si>
  <si>
    <t>Filius Dei Verbum Patris.</t>
  </si>
  <si>
    <t>Consustancial con el Padre.</t>
  </si>
  <si>
    <t>Consubstantialis Patri.</t>
  </si>
  <si>
    <t>Homoousios to Patri.</t>
  </si>
  <si>
    <t>La encarnación es misterio de salvación.</t>
  </si>
  <si>
    <t>Incarnatio mysterium salutis.</t>
  </si>
  <si>
    <t>La Escritura se entiende por el Espíritu.</t>
  </si>
  <si>
    <t>Scriptura per Spiritum intelligitur.</t>
  </si>
  <si>
    <t>La verdad de Dios es inmutable.</t>
  </si>
  <si>
    <t>Veritas Dei immutabilis est.</t>
  </si>
  <si>
    <t>La vida monástica es vida de ángeles.</t>
  </si>
  <si>
    <t>Vita monastica angelorum vita.</t>
  </si>
  <si>
    <t>La fe de Nicea es la fe católica.</t>
  </si>
  <si>
    <t>Fides Nicaena fides catholica.</t>
  </si>
  <si>
    <t>En la cruz está nuestra victoria.</t>
  </si>
  <si>
    <t>In cruce victoria nostra.</t>
  </si>
  <si>
    <t>El Espíritu Santo es Dios.</t>
  </si>
  <si>
    <t>Spiritus Sanctus Deus est.</t>
  </si>
  <si>
    <t>San Basilio Magno</t>
  </si>
  <si>
    <t>La vida monástica es la verdadera filosofía.</t>
  </si>
  <si>
    <t>Monastica vita philosophia vera.</t>
  </si>
  <si>
    <t>La caridad es vínculo de perfección.</t>
  </si>
  <si>
    <t>Caritas vinculum perfectionis.</t>
  </si>
  <si>
    <t>La pobreza evangélica es tesoro.</t>
  </si>
  <si>
    <t>Paupertas evangelica thesaurus.</t>
  </si>
  <si>
    <t>La oración es ascenso de la mente a Dios.</t>
  </si>
  <si>
    <t>Oratio ascensus mentis ad Deum.</t>
  </si>
  <si>
    <t>La humildad es fundamento de la virtud.</t>
  </si>
  <si>
    <t>Humilitas fundamentum virtutis.</t>
  </si>
  <si>
    <t>La Escritura es camino al conocimiento de Dios.</t>
  </si>
  <si>
    <t>Scriptura via ad cognitionem Dei.</t>
  </si>
  <si>
    <t>Trinidad una naturaleza, tres personas.</t>
  </si>
  <si>
    <t>Trinitas una natura, tres personae.</t>
  </si>
  <si>
    <t>Las buenas obras son fruto de la fe.</t>
  </si>
  <si>
    <t>Bona opera fructus fidei.</t>
  </si>
  <si>
    <t>La vida contemplativa es el sumo bien.</t>
  </si>
  <si>
    <t>Vita contemplativa summum bonum.</t>
  </si>
  <si>
    <t>Teólogo es el que ora.</t>
  </si>
  <si>
    <t>Theologus est qui orat.</t>
  </si>
  <si>
    <t>Θεολόγος ὁ προσευχόμενος.</t>
  </si>
  <si>
    <t>San Gregorio Nacianceno</t>
  </si>
  <si>
    <t>La Trinidad es una luz.</t>
  </si>
  <si>
    <t>Trinitas lumen unum.</t>
  </si>
  <si>
    <t>El silencio es alabanza de Dios.</t>
  </si>
  <si>
    <t>Silentium Dei laus est.</t>
  </si>
  <si>
    <t>Cristo es pan vivo del cielo.</t>
  </si>
  <si>
    <t>Christus panis vivus de caelo.</t>
  </si>
  <si>
    <t>El Espíritu Santo es Dios perfecto.</t>
  </si>
  <si>
    <t>Spiritus Sanctus Deus perfectus.</t>
  </si>
  <si>
    <t>El bautismo es iluminación del alma.</t>
  </si>
  <si>
    <t>Baptismus illuminatio animae.</t>
  </si>
  <si>
    <t>El Verbo es elocuencia divina.</t>
  </si>
  <si>
    <t>Verbum eloquentia divina.</t>
  </si>
  <si>
    <t>La pureza del corazón es visión de Dios.</t>
  </si>
  <si>
    <t>Puritas cordis visio Dei.</t>
  </si>
  <si>
    <t>La filosofía es meditación de la muerte.</t>
  </si>
  <si>
    <t>Philosophia meditatio mortis.</t>
  </si>
  <si>
    <t>La amistad es imagen de la Trinidad.</t>
  </si>
  <si>
    <t>Amicitia imago Trinitatis.</t>
  </si>
  <si>
    <t>El hombre es imagen de Dios.</t>
  </si>
  <si>
    <t>Homo imago Dei.</t>
  </si>
  <si>
    <t>San Gregorio de Nisa</t>
  </si>
  <si>
    <t>Progreso perpetuo hacia Dios.</t>
  </si>
  <si>
    <t>Perpetua progressio ad Deum.</t>
  </si>
  <si>
    <t>Epektasis perpetua progressio.</t>
  </si>
  <si>
    <t>El alma siempre asciende.</t>
  </si>
  <si>
    <t>Anima semper ascendit.</t>
  </si>
  <si>
    <t>La virginidad es vida angélica.</t>
  </si>
  <si>
    <t>Virginitas vita angelica.</t>
  </si>
  <si>
    <t>Contemplación de la belleza divina.</t>
  </si>
  <si>
    <t>Contemplatio divinae pulchritudinis.</t>
  </si>
  <si>
    <t>Dios es incomprensible.</t>
  </si>
  <si>
    <t>Deus incomprehensibilis.</t>
  </si>
  <si>
    <t>La libertad es perfección de la naturaleza.</t>
  </si>
  <si>
    <t>Libertas perfectio naturae.</t>
  </si>
  <si>
    <t>La resurrección es restauración de la imagen.</t>
  </si>
  <si>
    <t>Resurrectio restauratio imaginis.</t>
  </si>
  <si>
    <t>Ascenso místico hacia la luz.</t>
  </si>
  <si>
    <t>Mysticus ascensus ad lucem.</t>
  </si>
  <si>
    <t>El amor es deseo infinito.</t>
  </si>
  <si>
    <t>Amor desiderium infinitum.</t>
  </si>
  <si>
    <t>El emperador está dentro de la Iglesia, no sobre ella.</t>
  </si>
  <si>
    <t>Imperator intra Ecclesiam, non supra Ecclesiam est.</t>
  </si>
  <si>
    <t>San Ambrosio</t>
  </si>
  <si>
    <t>Donde hay fe, hay libertad.</t>
  </si>
  <si>
    <t>Ubi fides, ibi libertas.</t>
  </si>
  <si>
    <t>El salmo es bendición del pueblo.</t>
  </si>
  <si>
    <t>Psalmus benedictio populi.</t>
  </si>
  <si>
    <t>La Eucaristía es pan de ángeles.</t>
  </si>
  <si>
    <t>Eucharistia panis angelorum.</t>
  </si>
  <si>
    <t>No agradó a Dios salvar a su pueblo por la dialéctica.</t>
  </si>
  <si>
    <t>Non in dialectica complacuit Deo salvum facere populum suum.</t>
  </si>
  <si>
    <t>La penitencia es segunda tabla tras el naufragio.</t>
  </si>
  <si>
    <t>Poenitentia secunda tabula post naufragium.</t>
  </si>
  <si>
    <t>La justicia hacia Dios se llama piedad.</t>
  </si>
  <si>
    <t>Iustitia erga Deum pietas dicitur.</t>
  </si>
  <si>
    <t>El himno es cántico espiritual.</t>
  </si>
  <si>
    <t>Hymnus canticorum spiritualium.</t>
  </si>
  <si>
    <t>Cristo resucitó, nuestra esperanza.</t>
  </si>
  <si>
    <t>Christus resurrexit, spes nostra.</t>
  </si>
  <si>
    <t>La fe busca, el intelecto encuentra.</t>
  </si>
  <si>
    <t>Fides quaerit, intellectus invenit.</t>
  </si>
  <si>
    <t>Ignorar las Escrituras es ignorar a Cristo.</t>
  </si>
  <si>
    <t>Ignoratio Scripturarum ignoratio Christi est.</t>
  </si>
  <si>
    <t>San Jerónimo</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</si>
  <si>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</si>
  <si>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</si>
  <si>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</si>
  <si>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</si>
  <si>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</si>
  <si>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</si>
  <si>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</si>
  <si>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</si>
  <si>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</si>
  <si>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</si>
  <si>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</si>
  <si>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</si>
  <si>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</si>
  <si>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</si>
  <si>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</si>
  <si>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</si>
  <si>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</si>
  <si>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</si>
  <si>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</si>
  <si>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</si>
  <si>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</si>
  <si>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</si>
  <si>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</si>
  <si>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</si>
  <si>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</si>
  <si>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</si>
  <si>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</si>
  <si>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</si>
  <si>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</si>
  <si>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</si>
  <si>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</si>
  <si>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</si>
  <si>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</si>
  <si>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</si>
  <si>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</si>
  <si>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</si>
  <si>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</si>
  <si>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</si>
  <si>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</si>
  <si>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</si>
  <si>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</si>
  <si>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</si>
  <si>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</si>
  <si>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</si>
  <si>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</si>
  <si>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</si>
  <si>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</si>
  <si>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</si>
  <si>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La oración es ascenso a Dios.</t>
  </si>
  <si>
    <t>Oratio ascensus ad Deum.</t>
  </si>
  <si>
    <t>La paciencia es la máxima virtud cristiana.</t>
  </si>
  <si>
    <t>Patientia Christiana virtus maxima.</t>
  </si>
  <si>
    <t>La caridad es vínculo de fraternidad.</t>
  </si>
  <si>
    <t>Caritas vinculum fraternitatis.</t>
  </si>
  <si>
    <t>Un Dios, una fe, un bautismo.</t>
  </si>
  <si>
    <t>Unus Deus, una fides, unum baptisma.</t>
  </si>
  <si>
    <t>El obispo en la Iglesia, la Iglesia en el obispo.</t>
  </si>
  <si>
    <t>Episcopus in Ecclesia, Ecclesia in episcopo.</t>
  </si>
  <si>
    <t>La limosna es satisfacción por el pecado.</t>
  </si>
  <si>
    <t>Eleemosyna satisfactio peccati.</t>
  </si>
  <si>
    <t>La fe que busca entender.</t>
  </si>
  <si>
    <t>Fides quaerens intellectum.</t>
  </si>
  <si>
    <t>San Anselmo de Canterbury</t>
  </si>
  <si>
    <t>Creo para entender.</t>
  </si>
  <si>
    <t>Credo ut intelligam.</t>
  </si>
  <si>
    <t>Dios es aquello mayor que lo cual nada puede pensarse.</t>
  </si>
  <si>
    <t>Deus est id quo maius cogitari nequit.</t>
  </si>
  <si>
    <t>La razón necesaria demuestra que Dios existe.</t>
  </si>
  <si>
    <t>Ratio necessaria demonstrat Deum esse.</t>
  </si>
  <si>
    <t>¿Por qué Dios se hizo hombre?</t>
  </si>
  <si>
    <t>Cur Deus homo.</t>
  </si>
  <si>
    <t>La satisfacción por el pecado es necesaria.</t>
  </si>
  <si>
    <t>Satisfactio pro peccato necessaria.</t>
  </si>
  <si>
    <t>La libertad del albedrío es poder de conservar la rectitud.</t>
  </si>
  <si>
    <t>Libertas arbitrii potentia servandi rectitudinem.</t>
  </si>
  <si>
    <t>La verdad es rectitud perceptible solo por la mente.</t>
  </si>
  <si>
    <t>Veritas est rectitudo sola mente perceptibilis.</t>
  </si>
  <si>
    <t>El Monologio y el Proslogio son fundamentos de teología.</t>
  </si>
  <si>
    <t>Monologion et Proslogion fundamenta theologiae.</t>
  </si>
  <si>
    <t>El deseo de ver a Dios es el sumo bien.</t>
  </si>
  <si>
    <t>Desiderium videndi Deum summum bonum.</t>
  </si>
  <si>
    <t>No se deben multiplicar los entes sin necesidad.</t>
  </si>
  <si>
    <t>Pluralitas non est ponenda sine necessitate.</t>
  </si>
  <si>
    <t>Plurality is not to be posited without necessity.</t>
  </si>
  <si>
    <t>Guillermo de Ockham</t>
  </si>
  <si>
    <t>En vano se hace con más lo que puede hacerse con menos.</t>
  </si>
  <si>
    <t>Frustra fit per plura quod potest fieri per pauciora.</t>
  </si>
  <si>
    <t>It is futile to do with more what can be done with fewer.</t>
  </si>
  <si>
    <t>Lo universal no es cosa.</t>
  </si>
  <si>
    <t>Universale non est res.</t>
  </si>
  <si>
    <t>The universal is not a thing.</t>
  </si>
  <si>
    <t>Los nombres son signos de cosas singulares.</t>
  </si>
  <si>
    <t>Nomina sunt signa rerum singularium.</t>
  </si>
  <si>
    <t>Names are signs of singular things.</t>
  </si>
  <si>
    <t>La fe y la razón son distintas.</t>
  </si>
  <si>
    <t>Fides et ratio distinctae sunt.</t>
  </si>
  <si>
    <t>Faith and reason are distinct.</t>
  </si>
  <si>
    <t>La teología no es ciencia.</t>
  </si>
  <si>
    <t>Theologia non est scientia.</t>
  </si>
  <si>
    <t>Theology is not a science.</t>
  </si>
  <si>
    <t>La potencia absoluta de Dios.</t>
  </si>
  <si>
    <t>Potentia Dei absoluta.</t>
  </si>
  <si>
    <t>The absolute power of God.</t>
  </si>
  <si>
    <t>La voluntad divina es ley suprema.</t>
  </si>
  <si>
    <t>Voluntas divina suprema lex.</t>
  </si>
  <si>
    <t>The divine will is the supreme law.</t>
  </si>
  <si>
    <t>La intuición de lo singular es principio del conocimiento.</t>
  </si>
  <si>
    <t>Intuitus singularis principium cognitionis.</t>
  </si>
  <si>
    <t>The intuition of the singular is the principle of knowledge.</t>
  </si>
  <si>
    <t>La libertad de la voluntad es fundamento de la moralidad.</t>
  </si>
  <si>
    <t>Libertas voluntatis fundamentum moralitatis.</t>
  </si>
  <si>
    <t>The freedom of the will is the foundation of morality.</t>
  </si>
  <si>
    <t>Si ves la caridad, ves la Trinidad.</t>
  </si>
  <si>
    <t>Si vides caritatem, vides Trinitatem.</t>
  </si>
  <si>
    <t>El Padre es Dios, el Hijo es Dios, el Espíritu Santo es Dios; y, sin embargo, no son tres dioses, sino un solo Dios.</t>
  </si>
  <si>
    <t>Pater est Deus, Filius est Deus, Spiritus Sanctus est Deus; et tamen non tres dii, sed unus Deus.</t>
  </si>
  <si>
    <t>La fe católica es esta: que adoremos a un solo Dios en la Trinidad, y a la Trinidad en la unidad.</t>
  </si>
  <si>
    <t>Fides catholica haec est: ut unum Deum in Trinitate, et Trinitatem in unitate veneremur.</t>
  </si>
  <si>
    <t>Las personas divinas se distinguen por sus relaciones, no por su esencia.</t>
  </si>
  <si>
    <t>Personae divinae distinguuntur relationibus, non essentia.</t>
  </si>
  <si>
    <t>Cuando pienso en el Uno, soy iluminado por el esplendor de los Tres; cuando distingo a los Tres, soy llevado de nuevo al Uno.</t>
  </si>
  <si>
    <t>Cum de Uno cogito, splendore Trium illuminor; cum Tres distinguo, ad Unum reducor.</t>
  </si>
  <si>
    <t>La esperanza es lo último que se pierde</t>
  </si>
  <si>
    <t>Spes ultima est quae amittitur</t>
  </si>
  <si>
    <t>Anónimo</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</si>
  <si>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</si>
  <si>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</si>
  <si>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</si>
  <si>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</si>
  <si>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</si>
  <si>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</si>
  <si>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</si>
  <si>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</si>
  <si>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No debemos esperar grandes cosas, sino hacer pequeñas cosas con gran amor</t>
  </si>
  <si>
    <t>Parva magna cum magno amore agere debemus</t>
  </si>
  <si>
    <t>Nuk duhet të presim gjëra të mëdha, por të bëjmë gjëra të vogla me dashuri të madhe</t>
  </si>
  <si>
    <t>Santa Teresa de Calcuta</t>
  </si>
  <si>
    <t>Comienza haciendo lo que es necesario, luego lo que es posible, y de repente estarás haciendo lo imposible</t>
  </si>
  <si>
    <t>Fac hoc quod necessarium est, deinde quod possibile, et subito facies impossibile</t>
  </si>
  <si>
    <t>Fac hoc quod necessarium est, deinde quod possibile, et subito facies impossibileComincia facendo ciò che è necessario, poi ciò che è possibile, e all’improvviso farai l’impossibile</t>
  </si>
  <si>
    <t>San Francisco de Asís</t>
  </si>
  <si>
    <t>La simplicidad es la máxima sofisticación.</t>
  </si>
  <si>
    <t>Simplicitas est ultima perfectio.</t>
  </si>
  <si>
    <t>La semplicità è l'ultima sofisticazione.</t>
  </si>
  <si>
    <t>Leonardo da Vinci</t>
  </si>
  <si>
    <t>La sabiduría es hija de la experiencia.</t>
  </si>
  <si>
    <t>Sapientia est filia experientiae.</t>
  </si>
  <si>
    <t>La sapienza è figliola della sperienzia.</t>
  </si>
  <si>
    <t>Mientras pensaba que estaba aprendiendo a vivir, he aprendido cómo morir.</t>
  </si>
  <si>
    <t>Dum cogitabam me discere vivere, didici mori.</t>
  </si>
  <si>
    <t>Mentre credevo di imparare a vivere, stavo imparando a morire.</t>
  </si>
  <si>
    <t>Quien de verdad sabe de qué habla, no encuentra razones para levantar la voz.</t>
  </si>
  <si>
    <t>Qui vere scit de quo loquitur, nullam rationem invenit vocem elevandi.</t>
  </si>
  <si>
    <t>Chi veramente sa di cosa parla, non trova ragioni per alzare la voce.</t>
  </si>
  <si>
    <t>Todo nuestro conocimiento tiene su origen en la percepción.</t>
  </si>
  <si>
    <t>Omnis nostra scientia originem habet in perceptione.</t>
  </si>
  <si>
    <t>Tutta la nostra conoscenza ha origine nelle percezioni.</t>
  </si>
  <si>
    <t>La pintura es poesía muda; la poesía pintura ciega.</t>
  </si>
  <si>
    <t>Pictura est poesis muta; poesis pictura caeca.</t>
  </si>
  <si>
    <t>La pittura è poesia muta; la poesia pittura cieca.</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</si>
  <si>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</si>
  <si>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</si>
  <si>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</si>
  <si>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</si>
  <si>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</si>
  <si>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</si>
  <si>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</si>
  <si>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</si>
  <si>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</si>
  <si>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</si>
  <si>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</si>
  <si>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</si>
  <si>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</si>
  <si>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</si>
  <si>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</si>
  <si>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</si>
  <si>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</si>
  <si>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</si>
  <si>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</si>
  <si>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</si>
  <si>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</si>
  <si>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</si>
  <si>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</si>
  <si>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</si>
  <si>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</si>
  <si>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San Juan de la Cruz</t>
  </si>
  <si>
    <t>Donde no hay amor pon amor y sacarás amor</t>
  </si>
  <si>
    <t>Ubi non est amor pone amorem et extrahe amorem</t>
  </si>
  <si>
    <t>El alma que anda en amor ni cansa ni se cansa</t>
  </si>
  <si>
    <t>Anima quae in amore ambulat nec fatigat nec fatigatur</t>
  </si>
  <si>
    <t>Buscad leyendo y hallaréis meditando</t>
  </si>
  <si>
    <t>Quaerite legendo et invenietis meditando</t>
  </si>
  <si>
    <t>Quien supiere morir a todo tendrá vida en todo</t>
  </si>
  <si>
    <t>Qui sciverit mori ad omnia habebit vitam in omnibus</t>
  </si>
  <si>
    <t>En la noche oscura del alma se encuentra la luz divina</t>
  </si>
  <si>
    <t>In nocte obscura animae lux divina invenitur</t>
  </si>
  <si>
    <t>Nada te turbe nada te espante todo se pasa Dios no se muda</t>
  </si>
  <si>
    <t>Nihil te perturbet nihil te terreat omnia transeunt Deus non mutatur</t>
  </si>
  <si>
    <t>Santa Teresa de Jesús</t>
  </si>
  <si>
    <t>La paciencia todo lo alcanza</t>
  </si>
  <si>
    <t>Patientia omnia consequitur</t>
  </si>
  <si>
    <t>Solo Dios basta</t>
  </si>
  <si>
    <t>Solus Deus sufficit</t>
  </si>
  <si>
    <t>Vivo sin vivir en mí y tan alta vida espero que muero porque no muero</t>
  </si>
  <si>
    <t>Vivo sine vivere in me et vitam tam altam spero ut moriar quia non morior</t>
  </si>
  <si>
    <t>La vida es una noche en una mala posada</t>
  </si>
  <si>
    <t>Vita est nox in deversorium malum</t>
  </si>
  <si>
    <t>Si en medio de las adversidades persevera el corazón con serenidad con gozo y con paz esto es amor</t>
  </si>
  <si>
    <t>Si in medio adversitatum perseverat cor cum serenitate gaudio et pace hoc est amor</t>
  </si>
  <si>
    <t>Alegría estudio y piedad</t>
  </si>
  <si>
    <t>Laetitia studium et pietas</t>
  </si>
  <si>
    <t>San Juan Bosco</t>
  </si>
  <si>
    <t>Si quieres una vida alegre y tranquila procura estar siempre en gracia de Dios</t>
  </si>
  <si>
    <t>Si vis vitam laetam et tranquillam cura ut semper in gratia Dei sis</t>
  </si>
  <si>
    <t>Ser bueno no consiste en no cometer ninguna falta sino en saber enmendarse</t>
  </si>
  <si>
    <t>Bonus esse non consistit in nullam culpam committere sed in scire emendare</t>
  </si>
  <si>
    <t>Estando siempre alegres ni cuenta nos daremos de lo pronto que pasa el tiempo</t>
  </si>
  <si>
    <t>Semper laeti nullum computum temporis transituri faciemus</t>
  </si>
  <si>
    <t>Dios favorece al hombre alegre</t>
  </si>
  <si>
    <t>Deus hominem laetum favet</t>
  </si>
  <si>
    <t>La base de la vida feliz de un joven es la comunión</t>
  </si>
  <si>
    <t>Basis vitae felicis iuvenis est communio</t>
  </si>
  <si>
    <t>Dios es amor</t>
  </si>
  <si>
    <t>Deus caritas est</t>
  </si>
  <si>
    <t>Benedicto XVI</t>
  </si>
  <si>
    <t>La razón no se salvará sin la fe pero la fe sin la razón no será humana</t>
  </si>
  <si>
    <t>Ratio sine fide non salvabitur sed fides sine ratione non erit humana</t>
  </si>
  <si>
    <t>Solo la verdad hace libres</t>
  </si>
  <si>
    <t>Sola veritas liberos facit</t>
  </si>
  <si>
    <t>La locura de la cruz es convertir el sufrimiento en grito de amor a Dios</t>
  </si>
  <si>
    <t>Insania crucis est dolorem convertere in clamorem amoris Dei</t>
  </si>
  <si>
    <t>Mi verdadero programa de gobierno es no hacer mi voluntad sino ponerme junto con toda la Iglesia</t>
  </si>
  <si>
    <t>Verum meum programma gubernationis est non voluntatem meam facere sed me cum tota Ecclesia ponere</t>
  </si>
  <si>
    <t>La verdad sin amor es dura el amor sin verdad es arbitrario</t>
  </si>
  <si>
    <t>Veritas sine amore dura est amor sine veritate arbitrarius est</t>
  </si>
  <si>
    <t>Después de mi muerte haré caer una lluvia de rosas</t>
  </si>
  <si>
    <t>Post mortem meam pluviam rosarum faciam cadere</t>
  </si>
  <si>
    <t>Après ma mort je ferai tomber une pluie de roses</t>
  </si>
  <si>
    <t>Santa Teresita de Lisieux</t>
  </si>
  <si>
    <t>Voy a pasar mi cielo haciendo el bien en la tierra</t>
  </si>
  <si>
    <t>Caelum meum transigam bonum in terra faciens</t>
  </si>
  <si>
    <t>Je passerai mon ciel à faire du bien sur la terre</t>
  </si>
  <si>
    <t>Yo no muero entro en la vida</t>
  </si>
  <si>
    <t>Non morior in vitam introeo</t>
  </si>
  <si>
    <t>Je ne meurs pas j'entre dans la vie</t>
  </si>
  <si>
    <t>Mi camino es la confianza y el amor</t>
  </si>
  <si>
    <t>Via mea est fiducia et amor</t>
  </si>
  <si>
    <t>Ma voie est la confiance et l'amour</t>
  </si>
  <si>
    <t>La verdadera santidad es humillarse y soportar las propias imperfecciones</t>
  </si>
  <si>
    <t>Vera sanctitas est se humiliare et imperfectiones proprias tolerare</t>
  </si>
  <si>
    <t>La vraie sainteté est de s'humilier et supporter ses imperfections</t>
  </si>
  <si>
    <t>Jesús mi alegría es amarte</t>
  </si>
  <si>
    <t>Iesu gaudium meum est te amare</t>
  </si>
  <si>
    <t>Jésus ma joie est de t'aimer</t>
  </si>
  <si>
    <t>Ayúdame a hacerlo por mí mismo</t>
  </si>
  <si>
    <t>Adiuva me ut id per me ipsum faciam</t>
  </si>
  <si>
    <t>Aiutami a farlo da solo</t>
  </si>
  <si>
    <t>María Montessori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</si>
  <si>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</si>
  <si>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</si>
  <si>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</si>
  <si>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Cualquier ayuda innecesaria es un obstáculo para el desarrollo</t>
  </si>
  <si>
    <t>Quodlibet auxilium non necessarium impedimentum progressui est</t>
  </si>
  <si>
    <t>Qualsiasi aiuto inutile è un ostacolo allo sviluppo</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</si>
  <si>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</si>
  <si>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</si>
  <si>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</si>
  <si>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Hemos de ser educados si queremos educar</t>
  </si>
  <si>
    <t>Educati esse debemus si volumus educare</t>
  </si>
  <si>
    <t>Dobbiamo essere educati se vogliamo educare</t>
  </si>
  <si>
    <t>La primera tarea es agitar la vida pero dejarla libre para que se desarrolle</t>
  </si>
  <si>
    <t>Primum munus est vitam agitare sed eam liberam relinquere ut se evolvat</t>
  </si>
  <si>
    <t>Il primo compito è agitare la vita ma lasciarla libera di svilupparsi</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</si>
  <si>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</si>
  <si>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</si>
  <si>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</si>
  <si>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</si>
  <si>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La educación no cambia el mundo cambia a las personas que van a cambiar el mundo</t>
  </si>
  <si>
    <t>Educatio mundum non mutat mutat personas quae mundum mutaturi sunt</t>
  </si>
  <si>
    <t>A educação não muda o mundo muda as pessoas que vão mudar o mundo</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</si>
  <si>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</si>
  <si>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</si>
  <si>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</si>
  <si>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No hay docencia sin discencia</t>
  </si>
  <si>
    <t>Non est docentia sine discentia</t>
  </si>
  <si>
    <t>Não há docência sem discência</t>
  </si>
  <si>
    <t>La educación es un acto de amor por tanto un acto de valor</t>
  </si>
  <si>
    <t>Educatio est actus amoris ergo actus fortitudinis</t>
  </si>
  <si>
    <t>A educação é um ato de amor portanto um ato de coragem</t>
  </si>
  <si>
    <t>Lucho por una educación que nos enseñe a pensar y no por una educación que nos enseñe a obedecer</t>
  </si>
  <si>
    <t>Pugno pro educatione quae nos docet cogitare non pro educatione quae nos docet oboedire</t>
  </si>
  <si>
    <t>Luto por uma educação que nos ensine a pensar e não por uma educação que nos ensine a obedecer</t>
  </si>
  <si>
    <t>Piedad y Letras</t>
  </si>
  <si>
    <t>Pietas et Litterae</t>
  </si>
  <si>
    <t>Pietà e Lettere</t>
  </si>
  <si>
    <t>San José de Calasanz</t>
  </si>
  <si>
    <t>Si desde la niñez el muchacho es imbuido diligentemente en la piedad y en las letras no hay que temer su edad avanzada</t>
  </si>
  <si>
    <t>Si ab infantia puer diligenter in pietate et litteris imbuatur non est timenda eius aetas provecta</t>
  </si>
  <si>
    <t>Se fin dall'infanzia il giovane è diligentemente istruito nella pietà e nelle lettere non c'è da temere la sua età avanzata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</si>
  <si>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</si>
  <si>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</si>
  <si>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Quanto all'accettare alunni poveri opera santamente ammettendo quanti ne vengono perché per loro fu fondato il nostro Istituto</t>
  </si>
  <si>
    <t>En la instrucción de los niños es necesario tener mucha paciencia</t>
  </si>
  <si>
    <t>In institutione puerorum necesse est multam patientiam habere</t>
  </si>
  <si>
    <t>Nell'istruzione dei bambini è necessario avere molta pazienza</t>
  </si>
  <si>
    <t>Amar es servir</t>
  </si>
  <si>
    <t>Amare est servire</t>
  </si>
  <si>
    <t>Amare è servire</t>
  </si>
  <si>
    <t>La educación es la base de toda la reforma de la humanidad</t>
  </si>
  <si>
    <t>Educatio est basis omnis reformationis humanitatis</t>
  </si>
  <si>
    <t>L'educazione è la base di ogni riforma dell'umanità</t>
  </si>
  <si>
    <t>La principal esperanza de una nación descansa en la adecuada educación de su juventud</t>
  </si>
  <si>
    <t>Praecipua spes nationis in apta educatione iuventutis suae consistit</t>
  </si>
  <si>
    <t>De voornaamste hoop van een natie rust op de juiste opvoeding van haar jeugd</t>
  </si>
  <si>
    <t>Erasmo de Rotterdam</t>
  </si>
  <si>
    <t>El colmo de la estupidez es aprender lo que luego hay que olvidar</t>
  </si>
  <si>
    <t>Summa stultitiae est discere quod postea obliviscendum sit</t>
  </si>
  <si>
    <t>Het toppunt van domheid is te leren wat je later moet vergeten</t>
  </si>
  <si>
    <t>No hay nada más desigual que tratar por igual a los desiguales</t>
  </si>
  <si>
    <t>Nihil est iniquius quam aequare inaequalia</t>
  </si>
  <si>
    <t>Niets is onrechtvaardiger dan gelijken te behandelen wat ongelijk is</t>
  </si>
  <si>
    <t>La verdadera amistad llega cuando el silencio entre dos parece ameno</t>
  </si>
  <si>
    <t>Vera amicitia advenit cum silentium inter duos amoenum videtur</t>
  </si>
  <si>
    <t>Ware vriendschap komt wanneer de stilte tussen twee mensen aangenaam lijkt</t>
  </si>
  <si>
    <t>Instruir a un niño es ante todo instruirse uno mismo</t>
  </si>
  <si>
    <t>Puerum instruere est ante omnia se ipsum instruere</t>
  </si>
  <si>
    <t>Een kind onderwijzen is vooral jezelf onderwijzen</t>
  </si>
  <si>
    <t>La mejor forma de educar a un niño es hacerle amar el conocimiento</t>
  </si>
  <si>
    <t>Optimus modus educandi puerum est facere eum cognitionem amare</t>
  </si>
  <si>
    <t>De beste manier om een kind op te voeden is hem kennis te laten liefhebben</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</si>
  <si>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</si>
  <si>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</si>
  <si>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</si>
  <si>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</si>
  <si>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La vida oscila como un péndulo entre el dolor y el aburrimiento</t>
  </si>
  <si>
    <t>Vita ut pendulum inter dolorem et taedium oscillat</t>
  </si>
  <si>
    <t>Das Leben schwingt wie ein Pendel zwischen Schmerz und Langeweile</t>
  </si>
  <si>
    <t>El hombre puede hacer lo que quiera pero no puede querer lo que quiera</t>
  </si>
  <si>
    <t>Homo facere potest quod vult sed non potest velle quod vult</t>
  </si>
  <si>
    <t>Der Mensch kann zwar tun was er will aber er kann nicht wollen was er will</t>
  </si>
  <si>
    <t>Leer es pensar con una cabeza ajena en lugar de la propia</t>
  </si>
  <si>
    <t>Legere est cogitare capite alieno loco proprio</t>
  </si>
  <si>
    <t>Lesen heißt mit einem fremden Kopf statt dem eigenen denken</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</si>
  <si>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</si>
  <si>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</si>
  <si>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</si>
  <si>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Un mendigo sano es más feliz que un rey enfermo</t>
  </si>
  <si>
    <t>Mendicus sanus felicior est quam rex aegrotus</t>
  </si>
  <si>
    <t>Ein gesunder Bettler ist glücklicher als ein kranker König</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</si>
  <si>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</si>
  <si>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</si>
  <si>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</si>
  <si>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</si>
  <si>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La acción es la expresión más completa de la libertad humana</t>
  </si>
  <si>
    <t>Actio est expressio plenissima libertatis humanae</t>
  </si>
  <si>
    <t>Handeln ist der vollkommenste Ausdruck menschlicher Freiheit</t>
  </si>
  <si>
    <t>La violencia nunca puede ser justificada en nombre de la libertad o la justicia</t>
  </si>
  <si>
    <t>Violentia numquam iustificari potest nomine libertatis aut iustitiae</t>
  </si>
  <si>
    <t>Gewalt kann niemals im Namen von Freiheit oder Gerechtigkeit gerechtfertigt werden</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</si>
  <si>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</si>
  <si>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</si>
  <si>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</si>
  <si>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La libertad no es un hecho es un deber y una responsabilidad</t>
  </si>
  <si>
    <t>Libertas non est factum sed officium et responsabilitas</t>
  </si>
  <si>
    <t>Freiheit ist keine Tatsache sondern eine Pflicht und Verantwortung</t>
  </si>
  <si>
    <t>El perdón es la clave de la acción y la libertad</t>
  </si>
  <si>
    <t>Venia est clavis actionis et libertatis</t>
  </si>
  <si>
    <t>Vergebung ist der Schlüssel zu Handlung und Freiheit</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</si>
  <si>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</si>
  <si>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</si>
  <si>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</si>
  <si>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</si>
  <si>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</si>
  <si>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</si>
  <si>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</si>
  <si>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</si>
  <si>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</si>
  <si>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</si>
  <si>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Atrévete a saber ten el valor de usar tu propia razón</t>
  </si>
  <si>
    <t>Aude sapere habe audaciam propria ratione utendi</t>
  </si>
  <si>
    <t>Wage zu wissen Habe Mut dich deines eigenen Verstandes zu bedienen</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</si>
  <si>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</si>
  <si>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</si>
  <si>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</si>
  <si>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</si>
  <si>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</si>
  <si>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</si>
  <si>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Yo soy yo y mi circunstancia y si no la salvo a ella no me salvo yo</t>
  </si>
  <si>
    <t>Ego sum ego et circumstantia mea et nisi eam servo me non servo</t>
  </si>
  <si>
    <t>José Ortega y Gasset</t>
  </si>
  <si>
    <t>La vida es lo que hacemos y lo que nos pasa</t>
  </si>
  <si>
    <t>Vita est quod facimus et quod nobis accidit</t>
  </si>
  <si>
    <t>Vivir es ocuparse con algo decidir ser esto o aquello</t>
  </si>
  <si>
    <t>Vivere est aliqua re occupari decernere hoc aut illud esse</t>
  </si>
  <si>
    <t>El hombre no tiene naturaleza sino que tiene historia</t>
  </si>
  <si>
    <t>Homo naturam non habet sed historiam habet</t>
  </si>
  <si>
    <t>Dime a qué prestas atención y te diré quién eres</t>
  </si>
  <si>
    <t>Dic mihi cui attentionem praebes et dicam tibi quis sis</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</si>
  <si>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</si>
  <si>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</si>
  <si>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</si>
  <si>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</si>
  <si>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</si>
  <si>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</si>
  <si>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La fe es la única fuerza capaz de vencer al porvenir</t>
  </si>
  <si>
    <t>Fides est unica vis capax vincere futurum</t>
  </si>
  <si>
    <t>Troen er den eneste kraft der kan overvinde fremtiden</t>
  </si>
  <si>
    <t>La vida solo puede ser comprendida mirando hacia atrás pero debe ser vivida mirando hacia adelante</t>
  </si>
  <si>
    <t>Vita solum intelligi potest respiciendo sed vivi debet prospiciendo</t>
  </si>
  <si>
    <t>Livet kan kun forstås baglæns men må leves forlæns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</si>
  <si>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</si>
  <si>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</si>
  <si>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</si>
  <si>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</si>
  <si>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</si>
  <si>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</si>
  <si>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La angustia es el vértigo de la libertad</t>
  </si>
  <si>
    <t>Angustia est vertigo libertatis</t>
  </si>
  <si>
    <t>Angsten er frihedens svimmelhed</t>
  </si>
  <si>
    <t>Enseñar todo a todos</t>
  </si>
  <si>
    <t>Omnes omnia docere</t>
  </si>
  <si>
    <t>Johann Amos Comenius</t>
  </si>
  <si>
    <t>La educación debe comenzar en la más tierna infancia</t>
  </si>
  <si>
    <t>Educatio ab infantia tenerissima incipi debet</t>
  </si>
  <si>
    <t>Educatio debet incipere in infantia tenerrima</t>
  </si>
  <si>
    <t>Los libros deben ser accesibles para todos especialmente para los niños</t>
  </si>
  <si>
    <t>Libri omnibus praesertim pueris accessibiles esse debent</t>
  </si>
  <si>
    <t>Libri debent esse accessibiles omnibus praecipue pueris</t>
  </si>
  <si>
    <t>La enseñanza debe ser agradable para que el aprendizaje sea duradero</t>
  </si>
  <si>
    <t>Doctrina iucunda esse debet ut apprehensio durabilis sit</t>
  </si>
  <si>
    <t>Docere debet esse iucundum ut discere sit durabile</t>
  </si>
  <si>
    <t>Nada debe enseñarse que no pueda ser puesto en práctica</t>
  </si>
  <si>
    <t>Nihil doceri debet quod in praxim poni non possit</t>
  </si>
  <si>
    <t>Nihil docendum quod in usum deduci nequit</t>
  </si>
  <si>
    <t>La escuela debe ser un taller de humanidad</t>
  </si>
  <si>
    <t>Schola debet esse officina humanitatis</t>
  </si>
  <si>
    <t>Schola sit officina humanitatis</t>
  </si>
  <si>
    <t>Nuestros primeros maestros son nuestros pies nuestras manos y nuestros ojos</t>
  </si>
  <si>
    <t>Primi magistri nostri sunt pedes manus et oculi nostri</t>
  </si>
  <si>
    <t>Nos premiers maîtres sont nos pieds nos mains et nos yeux</t>
  </si>
  <si>
    <t>Jean-Jacques Rousseau</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</si>
  <si>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</si>
  <si>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</si>
  <si>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</si>
  <si>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</si>
  <si>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</si>
  <si>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</si>
  <si>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</si>
  <si>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</si>
  <si>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</si>
  <si>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</si>
  <si>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</si>
  <si>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</si>
  <si>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</si>
  <si>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</si>
  <si>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</si>
  <si>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Nuestra influencia llega solo a donde llega nuestro amor</t>
  </si>
  <si>
    <t>Nostra influentia tantum pervenit quo amor noster pervenit</t>
  </si>
  <si>
    <t>Unser Einfluss reicht nur so weit wie unsere Liebe reicht</t>
  </si>
  <si>
    <t>Johann Heinrich Pestalozzi</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</si>
  <si>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</si>
  <si>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</si>
  <si>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</si>
  <si>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</si>
  <si>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</si>
  <si>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</si>
  <si>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</si>
  <si>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</si>
  <si>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</si>
  <si>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</si>
  <si>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</si>
  <si>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</si>
  <si>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</si>
  <si>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</si>
  <si>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</si>
  <si>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</si>
  <si>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</si>
  <si>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</si>
  <si>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</si>
  <si>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</si>
  <si>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</si>
  <si>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</si>
  <si>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</si>
  <si>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</si>
  <si>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</si>
  <si>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</si>
  <si>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</si>
  <si>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</si>
  <si>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</si>
  <si>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</si>
  <si>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</si>
  <si>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</si>
  <si>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</si>
  <si>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</si>
  <si>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</si>
  <si>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</si>
  <si>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</si>
  <si>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</si>
  <si>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</si>
  <si>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</si>
  <si>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</si>
  <si>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</si>
  <si>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</si>
  <si>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</si>
  <si>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</si>
  <si>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</si>
  <si>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</si>
  <si>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</si>
  <si>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</si>
  <si>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</si>
  <si>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</si>
  <si>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</si>
  <si>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</si>
  <si>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</si>
  <si>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</si>
  <si>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</si>
  <si>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</si>
  <si>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</si>
  <si>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</si>
  <si>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</si>
  <si>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</si>
  <si>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</si>
  <si>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</si>
  <si>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</si>
  <si>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</si>
  <si>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</si>
  <si>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</si>
  <si>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</si>
  <si>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</si>
  <si>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</si>
  <si>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</si>
  <si>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</si>
  <si>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</si>
  <si>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</si>
  <si>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</si>
  <si>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</si>
  <si>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</si>
  <si>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</si>
  <si>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</si>
  <si>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</si>
  <si>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</si>
  <si>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</si>
  <si>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</si>
  <si>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apprenhesionis</t>
  </si>
  <si>
    <t>Observer associer et exprimer sont les bases de l'apprentissage</t>
  </si>
  <si>
    <t>Hay que partir de los intereses del niño para lograr un aprendizaje significativo</t>
  </si>
  <si>
    <t>Oportet a puerorum interessibus proficisci ut apprenhensionem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</si>
  <si>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</si>
  <si>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</si>
  <si>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</si>
  <si>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</si>
  <si>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</si>
  <si>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</si>
  <si>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</si>
  <si>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</si>
  <si>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</si>
  <si>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</si>
  <si>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</si>
  <si>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</si>
  <si>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</si>
  <si>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</si>
  <si>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</si>
  <si>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</si>
  <si>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</si>
  <si>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</si>
  <si>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</si>
  <si>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</si>
  <si>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</si>
  <si>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</si>
  <si>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</si>
  <si>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</si>
  <si>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</si>
  <si>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</si>
  <si>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</si>
  <si>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</si>
  <si>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</si>
  <si>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</si>
  <si>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</si>
  <si>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</si>
  <si>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</si>
  <si>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</si>
  <si>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</si>
  <si>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</si>
  <si>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</si>
  <si>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</si>
  <si>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</si>
  <si>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</si>
  <si>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</si>
  <si>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</si>
  <si>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</si>
  <si>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</si>
  <si>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</si>
  <si>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</si>
  <si>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</si>
  <si>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</si>
  <si>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</si>
  <si>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</si>
  <si>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</si>
  <si>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</si>
  <si>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</si>
  <si>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</si>
  <si>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</si>
  <si>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</si>
  <si>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</si>
  <si>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La Eucaristía es mi autopista al cielo</t>
  </si>
  <si>
    <t>Eucharistia est via mea celeris ad caelum</t>
  </si>
  <si>
    <t>L'Eucaristia è la mia autostrada per il cielo</t>
  </si>
  <si>
    <t>Beato Carlo Acutis</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</si>
  <si>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</si>
  <si>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</si>
  <si>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</si>
  <si>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</si>
  <si>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</si>
  <si>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</si>
  <si>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</si>
  <si>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</si>
  <si>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</si>
  <si>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</si>
  <si>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</si>
  <si>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</si>
  <si>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</si>
  <si>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</si>
  <si>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</si>
  <si>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</si>
  <si>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</si>
  <si>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</si>
  <si>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</si>
  <si>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</si>
  <si>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</si>
  <si>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</si>
  <si>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</si>
  <si>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</si>
  <si>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</si>
  <si>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</si>
  <si>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cum libertate dimitte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</si>
  <si>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</si>
  <si>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</si>
  <si>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</si>
  <si>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</si>
  <si>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</si>
  <si>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</si>
  <si>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Pädagogik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</si>
  <si>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</si>
  <si>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</si>
  <si>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</si>
  <si>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</si>
  <si>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</si>
  <si>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</si>
  <si>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</si>
  <si>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</si>
  <si>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</si>
  <si>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</si>
  <si>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</si>
  <si>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</si>
  <si>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Para corregir no hay que temer El peor maestro es el maestro con miedo</t>
  </si>
  <si>
    <t>Ad corrigendum non est timendum Pessimus magister est magister cum timore</t>
  </si>
  <si>
    <t>La enseñanza de los niños es tal vez la forma más alta de buscar a Dios pero es también la más terrible en el sentido de una tremenda responsabilidad</t>
  </si>
  <si>
    <t>Doctrina puerorum est fortasse forma altissima Deum quaerendi sed est etiam terribilissima sensu tremendae responsabilitatis</t>
  </si>
  <si>
    <t>El futuro de los niños es siempre hoy Mañana será tarde</t>
  </si>
  <si>
    <t>Futurum puerorum semper hodie est Cras sera erit</t>
  </si>
  <si>
    <t>Donde hay un niño hay una misión</t>
  </si>
  <si>
    <t>Ubi puer est ibi missio est</t>
  </si>
  <si>
    <t>Dame el amor único de mi escuela que ni la quemadura de la belleza sea capaz de robarle mi ternura de todos los instantes</t>
  </si>
  <si>
    <t>Da mihi amorem unicum scholae meae ut nec ardor pulchritudinis capax sit furari mihi mansuetudinem omnium momentorum</t>
  </si>
  <si>
    <t>El maestro que trata de enseñar sin inspirar en el alumno el deseo de aprender está tratando de forjar un hierro frío</t>
  </si>
  <si>
    <t>Magister qui docere conatur sine inspirare in discipulo desiderium discendi ferrum frigidum cudere conatur</t>
  </si>
  <si>
    <t>Todo para la escuela todo para el niño</t>
  </si>
  <si>
    <t>Omnia pro schola omnia pro puero</t>
  </si>
  <si>
    <t>El amor a las niñas enseña más caminos a la que enseña que la pedagogía</t>
  </si>
  <si>
    <t>Amor ad puellas plures vias ei quae docet quam paedagogia docet</t>
  </si>
  <si>
    <t>Dame que alcance a hacer de una de mis niñas mi verso perfecto</t>
  </si>
  <si>
    <t>Da mihi ut consequar facere ex una puellarum mearum versum meum perfectum</t>
  </si>
  <si>
    <t>La inteligencia es la capacidad de resolver problemas o de crear productos valorados en un entorno cultural</t>
  </si>
  <si>
    <t>Intelligentia est facultas problemata solvendi aut producta in ambitu culturali aestimata creandi</t>
  </si>
  <si>
    <t>Intelligence is the ability to solve problems or to create products that are valued within a cultural setting</t>
  </si>
  <si>
    <t>Howard Gardner</t>
  </si>
  <si>
    <t>Cada ser humano tiene una combinación única de inteligencia Este es el desafío educativo fundamental estimular a cada alumno de una forma personalizada</t>
  </si>
  <si>
    <t>Unusquisque homo combinationem unicam intelligentiae habet Hoc est fundamentale educativum problema singulum discipulum modo personali stimulare</t>
  </si>
  <si>
    <t>Each human being has a unique combination of intelligence This is the fundamental educational challenge to stimulate each student in a personalized way</t>
  </si>
  <si>
    <t>No puede haber una única medida de la inteligencia ya que hay muchas formas diferentes de ser inteligente</t>
  </si>
  <si>
    <t>Non potest esse unica mensura intelligentiae cum multae formae diversae intelligentis esse existant</t>
  </si>
  <si>
    <t>There cannot be a single measure of intelligence because there are many different ways to be intelligent</t>
  </si>
  <si>
    <t>Es de suma importancia que reconozcamos y alimentemos todas las inteligencias humanas</t>
  </si>
  <si>
    <t>Maximi momenti est ut omnes intelligentias humanas agnoscamus et nutriamus</t>
  </si>
  <si>
    <t>It is of paramount importance that we recognize and nurture all human intelligences</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</si>
  <si>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</si>
  <si>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</si>
  <si>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</si>
  <si>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La pregunta no es qué tan inteligente eres sino en qué eres inteligente</t>
  </si>
  <si>
    <t>Quaestio non est quam intelligens es sed in quo intelligens es</t>
  </si>
  <si>
    <t>The question is not how intelligent are you but in what way are you intelligent</t>
  </si>
  <si>
    <t>La creatividad es tan importante como la alfabetización y debería ser tratada de la misma manera</t>
  </si>
  <si>
    <t>Creativitas tam gravis est quam litterarum scientia et eodem modo tractari deberet</t>
  </si>
  <si>
    <t>Creativity is as important as literacy and we should treat it with the same status</t>
  </si>
  <si>
    <t>Ken Robinson</t>
  </si>
  <si>
    <t>Si no estás preparado para equivocarte nunca llegarás a nada original</t>
  </si>
  <si>
    <t>Si non paratus es errare numquam ad aliquid originale pervenies</t>
  </si>
  <si>
    <t>If you're not prepared to be wrong you'll never come up with anything original</t>
  </si>
  <si>
    <t>Las escuelas matan la creatividad</t>
  </si>
  <si>
    <t>Scholae creativitatem necant</t>
  </si>
  <si>
    <t>Schools kill creativity</t>
  </si>
  <si>
    <t>La imaginación es la fuente de todo logro humano</t>
  </si>
  <si>
    <t>Imaginatio fons est omnis humani consecutionis</t>
  </si>
  <si>
    <t>Imagination is the source of every form of human achievement</t>
  </si>
  <si>
    <t>Los niños de ahora harán trabajos que aún no están inventados</t>
  </si>
  <si>
    <t>Pueri hodie opera facient quae nondum inventa sunt</t>
  </si>
  <si>
    <t>Children now will do jobs that haven't been invented yet</t>
  </si>
  <si>
    <t>La gente produce lo mejor cuando hace cosas que ama cuando está en su elemento</t>
  </si>
  <si>
    <t>Homines optimum producunt cum ea faciunt quae amant cum in suo elemento sunt</t>
  </si>
  <si>
    <t>People produce their best work when they're doing something they love when they're in their element</t>
  </si>
  <si>
    <t>No es acerca de estandarizar la educación es acerca de subir el estándar de la educación</t>
  </si>
  <si>
    <t>Non est de educatione standardizanda sed de standardem educationis elevando</t>
  </si>
  <si>
    <t>It's not about standardizing education it's about raising the standard of education</t>
  </si>
  <si>
    <t>La creatividad se aprende igual que se aprende a leer</t>
  </si>
  <si>
    <t>Creativitas discitur sicut discere legere</t>
  </si>
  <si>
    <t>Creativity is learned just as you learn to read</t>
  </si>
  <si>
    <t>La mayoría del aprendizaje humano se produce mediante la observación</t>
  </si>
  <si>
    <t>Maior pars apprenhesionis humanae per observationem producitur</t>
  </si>
  <si>
    <t>Most human learning occurs through observation</t>
  </si>
  <si>
    <t>Albert Bandura</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</si>
  <si>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</si>
  <si>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</si>
  <si>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</si>
  <si>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La autoeficacia es la creencia en las propias capacidades para organizar y ejecutar las acciones requeridas</t>
  </si>
  <si>
    <t>Autoeficacia est credentia in facultatibus propriis ad actiones requisitas organizandas et exsequendas</t>
  </si>
  <si>
    <t>Self-efficacy is the belief in one's capabilities to organize and execute the courses of action required</t>
  </si>
  <si>
    <t>El aprendizaje sería sumamente laborioso si tuviéramos que confiar solo en los efectos de nuestras propias acciones</t>
  </si>
  <si>
    <t>Apprehensio esset nimis laboriosa si solum in effectibus actionum nostrarum propriarum confidere deberemus</t>
  </si>
  <si>
    <t>Learning would be exceedingly laborious if we had to rely solely on the effects of our own actions</t>
  </si>
  <si>
    <t>Para poder enseñar a los demás primero hay que hacer y conocer</t>
  </si>
  <si>
    <t>Ut alios docere possis primo facere et cognoscere debes</t>
  </si>
  <si>
    <t>In order to teach others you must first do and know</t>
  </si>
  <si>
    <t>Los modelos son más que transmisores de información proveen contextos sociales que influyen en el comportamiento</t>
  </si>
  <si>
    <t>Exemplaria plus sunt quam transmissores informationis contextos sociales praebent qui in comportamentum influunt</t>
  </si>
  <si>
    <t>Models are more than transmitters of information they provide social contexts that influence behavior</t>
  </si>
  <si>
    <t>La educación es lo que sobrevive cuando lo aprendido ha sido olvidado</t>
  </si>
  <si>
    <t>Educatio est quod superest cum quod discitum est oblitum est</t>
  </si>
  <si>
    <t>Education is what survives when what has been learned has been forgotten</t>
  </si>
  <si>
    <t>B.F. Skinner</t>
  </si>
  <si>
    <t>Enseñamos con éxito cuando el estudiante aprende</t>
  </si>
  <si>
    <t>Cum successu docemus cum discipulus discit</t>
  </si>
  <si>
    <t>We teach successfully when the student learns</t>
  </si>
  <si>
    <t>El comportamiento es seguido por una consecuencia y la naturaleza de la consecuencia modifica la tendencia del organismo a repetir el comportamiento</t>
  </si>
  <si>
    <t>Comportamentum a consequentia sequitur et natura consequentiae tendentiam organismi comportamentum repetendi modificat</t>
  </si>
  <si>
    <t>Behavior is followed by a consequence and the nature of the consequence modifies the organisms tendency to repeat the behavior</t>
  </si>
  <si>
    <t>La forma en que se lleva a cabo el refuerzo positivo es más importante que la cantidad</t>
  </si>
  <si>
    <t>Modus quo reinfortium positivum peragitur gravior est quam quantitas</t>
  </si>
  <si>
    <t>The way positive reinforcement is carried out is more important than the amount</t>
  </si>
  <si>
    <t>No enseñamos a los estudiantes solo les damos las condiciones bajo las cuales pueden aprender</t>
  </si>
  <si>
    <t>Non docemus discipulos solum eis conditiones sub quibus discere possunt damus</t>
  </si>
  <si>
    <t>We do not teach students we simply give them the conditions under which they can learn</t>
  </si>
  <si>
    <t>El comportamiento real es sencillamente la combinación de reacciones reflejas innatas y de respuestas aprendidas</t>
  </si>
  <si>
    <t>Comportamentum verum est simpliciter combinatio reactionum reflexarum innatarum et responsionum discitarum</t>
  </si>
  <si>
    <t>Real behavior is simply the combination of innate reflex reactions and learned responses</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</si>
  <si>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</si>
  <si>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</si>
  <si>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</si>
  <si>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</si>
  <si>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La educación es el arte de ayudar al joven a alcanzar la plenitud de su forma humana</t>
  </si>
  <si>
    <t>Educatio est ars adiuvandi iuvenem ad plenitudinem formae suae humanae consequendam</t>
  </si>
  <si>
    <t>L'éducation est l'art d'aider le jeune à atteindre la plénitude de sa forme humaine</t>
  </si>
  <si>
    <t>El objeto de la educación no es formar esa abstracción platónica que es el hombre en sí mismo sino formar a un joven determinado</t>
  </si>
  <si>
    <t>Obiectum educationis non est formare abstractionem platonicam quae est homo in se ipso sed formare iuvenem determinatum</t>
  </si>
  <si>
    <t>L'objet de l'éducation n'est pas de former cette abstraction platonicienne qu'est l'homme en soi mais de former un jeune déterminé</t>
  </si>
  <si>
    <t>La educación del hombre es un despertar humano</t>
  </si>
  <si>
    <t>Educatio hominis est expergefactio humana</t>
  </si>
  <si>
    <t>L'éducation de l'homme est un éveil humain</t>
  </si>
  <si>
    <t>Liberar las buenas energías es el primer principio de la educación</t>
  </si>
  <si>
    <t>Liberare bonas energias est primum principium educationis</t>
  </si>
  <si>
    <t>Libérer les bonnes énergies est le premier principe de l'éducation</t>
  </si>
  <si>
    <t>La educación no debe forjar individuos sino asistir al dinamismo propio de la persona</t>
  </si>
  <si>
    <t>Educatio non debet individua cudere sed dynamismo proprio personae assistere</t>
  </si>
  <si>
    <t>L'éducation ne doit pas forger des individus mais assister le dynamisme propre de la personne</t>
  </si>
  <si>
    <t>El deber del educador moderno no es talar selvas sino regar desiertos</t>
  </si>
  <si>
    <t>Officium educatoris moderni non est silvas caedere sed deserta rigare</t>
  </si>
  <si>
    <t>The task of the modern educator is not to cut down jungles but to irrigate deserts</t>
  </si>
  <si>
    <t>C.S. Lewis</t>
  </si>
  <si>
    <t>La defensa adecuada contra los sentimientos falsos es inculcar sentimientos justos</t>
  </si>
  <si>
    <t>Defensio apta contra sentimenta falsa est sentimenta iusta inculcare</t>
  </si>
  <si>
    <t>The right defence against false sentiments is to inculcate just sentiments</t>
  </si>
  <si>
    <t>Hacemos hombres sin corazones y esperamos de ellos virtud y buen juicio</t>
  </si>
  <si>
    <t>Homines sine cordibus facimus et ab eis virtutem et iudicium bonum exspectamus</t>
  </si>
  <si>
    <t>We make men without chests and expect of them virtue and enterprise</t>
  </si>
  <si>
    <t>La educación sin valores por los cuales educar es pura vocación vacía</t>
  </si>
  <si>
    <t>Educatio sine valoribus propter quos educare est mera vocatio vacua</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</si>
  <si>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</si>
  <si>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</si>
  <si>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</si>
  <si>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</si>
  <si>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El fin de la educación es conseguir que el alumno tenga predilecciones y aversiones por lo que corresponde</t>
  </si>
  <si>
    <t>Finis educationis est consequi ut discipulus praedilectiones et aversiones pro eo quod convenit habeat</t>
  </si>
  <si>
    <t>The aim of education is to get the pupil to have likes and dislikes for what is fitting</t>
  </si>
  <si>
    <t>La escuela no es un parque de atracciones</t>
  </si>
  <si>
    <t>Schola non est locus oblectationis</t>
  </si>
  <si>
    <t>Gregorio Luri</t>
  </si>
  <si>
    <t>El saber riguroso no puede ser sino crítico mientras que la crítica sin rigor tiene mucho de pataleta</t>
  </si>
  <si>
    <t>Cognitio rigorosa non potest esse nisi critica dum critica sine rigore multum irae infantilis habet</t>
  </si>
  <si>
    <t>Sin instrucción no hay pensamiento crítico</t>
  </si>
  <si>
    <t>Sine instructione non est cogitatio critica</t>
  </si>
  <si>
    <t>El maestro consciente de su papel de magister no es el guardián celoso de la autonomía infantil sino el amante celoso de lo mejor que un niño puede llegar a ser</t>
  </si>
  <si>
    <t>Magister conscius muneris sui magistri non est custos zelotypus autonomiae infantilis sed amator zelotypus optimi quod puer fieri potest</t>
  </si>
  <si>
    <t>Creo que a los niños hay que darle en la escuela lo que no les van a proporcionar en ninguna parte más y es conocimiento riguroso</t>
  </si>
  <si>
    <t>Credo pueris in schola dandum esse id quod nusquam alibi habituri sunt et est cognitio rigorosa</t>
  </si>
  <si>
    <t>El conocimiento riguroso es en sí mismo un fenomenal educador emocional</t>
  </si>
  <si>
    <t>Cognitio rigorosa in se ipsa est phenomenalis educator emotionalis</t>
  </si>
  <si>
    <t>Una escuela sin convicciones y sin trayectoria no es una escuela aunque quizá pueda ser una entretenida guardería</t>
  </si>
  <si>
    <t>Schola sine convictionibus et sine itinere non est schola quamvis fortasse custodia oblectatoria esse possit</t>
  </si>
  <si>
    <t>Los profesores excelentes son evaluadores expertos de sus estudiantes</t>
  </si>
  <si>
    <t>Professores excellentes sunt aestimatores experti discipulorum suorum</t>
  </si>
  <si>
    <t>Excellent teachers are expert evaluators of their students</t>
  </si>
  <si>
    <t>John Hattie</t>
  </si>
  <si>
    <t>El aprendizaje visible ocurre cuando los profesores ven el aprendizaje a través de los ojos de los estudiantes</t>
  </si>
  <si>
    <t>Apprehensio visibilis occurrit cum professores apprenhensionem per oculos discipulorum vident</t>
  </si>
  <si>
    <t>Visible learning occurs when teachers see learning through the eyes of students</t>
  </si>
  <si>
    <t>Conoce tu impacto</t>
  </si>
  <si>
    <t>Cognosce impactum tuum</t>
  </si>
  <si>
    <t>Know thy impact</t>
  </si>
  <si>
    <t>La retroalimentación es una de las influencias más poderosas en el aprendizaje</t>
  </si>
  <si>
    <t>Reinfortium retro unum ex influentibus potentissimis in apprehensione est</t>
  </si>
  <si>
    <t>Feedback is one of the most powerful influences on learning</t>
  </si>
  <si>
    <t>Los maestros son los evaluadores de su propio efecto</t>
  </si>
  <si>
    <t>Magistri sunt aestimatores effectus sui proprii</t>
  </si>
  <si>
    <t>Teachers are evaluators of their own effect</t>
  </si>
  <si>
    <t>El aprendizaje visible significa que el aprendizaje es el objetivo explícito</t>
  </si>
  <si>
    <t>Apprehensio visibilis significat apprenhensionem esse scopum explicitum</t>
  </si>
  <si>
    <t>Visible learning means learning is the explicit goal</t>
  </si>
  <si>
    <t>La mente es una pizarra en blanco que se llena con la experiencia</t>
  </si>
  <si>
    <t>Mens est tabula rasa quae experientia impletur</t>
  </si>
  <si>
    <t>The mind is a blank slate filled by experience</t>
  </si>
  <si>
    <t>John Locke</t>
  </si>
  <si>
    <t>El trabajo del maestro no consiste tanto en enseñar todo lo apreciable como en producir en el alumno amor y estima por el conocimiento</t>
  </si>
  <si>
    <t>Opus magistri non tam consistit in omnia docenda quam in amore et aestimatione cognitionis in discipulo producendis</t>
  </si>
  <si>
    <t>The work of the teacher consists not so much in teaching all that is learnable as in producing in the pupil love and esteem for knowledge</t>
  </si>
  <si>
    <t>No hay nada en la mente que no haya estado antes en los sentidos</t>
  </si>
  <si>
    <t>Nihil est in intellectu quod non prius fuerit in sensu</t>
  </si>
  <si>
    <t>Nothing is in the intellect that was not first in the senses</t>
  </si>
  <si>
    <t>La lectura proporciona a la mente solo materiales de conocimiento es pensar lo que hace que lo que leemos sea nuestro</t>
  </si>
  <si>
    <t>Lectio menti sola materias cognitionis praebet cogitare est quod facit ut quod legimus nostrum sit</t>
  </si>
  <si>
    <t>Reading furnishes the mind only with materials of knowledge it is thinking that makes what we read ours</t>
  </si>
  <si>
    <t>Considero que la verdadera causa de que los hombres no conozcan mejor las cosas es que se contentan con palabras</t>
  </si>
  <si>
    <t>Existimo veram causam homines res melius non cognoscere esse quod verbis contenti sunt</t>
  </si>
  <si>
    <t>I think the true cause of men not knowing things better is that they content themselves with words</t>
  </si>
  <si>
    <t>Las acciones de los hombres son los mejores intérpretes de sus pensamientos</t>
  </si>
  <si>
    <t>Actiones hominum sunt optimi interpretes cogitationum suarum</t>
  </si>
  <si>
    <t>The actions of men are the best interpreters of their thoughts</t>
  </si>
  <si>
    <t>La verdadera educación consiste en abrir la mente no en llenarla</t>
  </si>
  <si>
    <t>Vera educatio consistit in mentem aperire non in eam implere</t>
  </si>
  <si>
    <t>True education consists in opening the mind not in filling it</t>
  </si>
  <si>
    <t>Rabindranath Tagore</t>
  </si>
  <si>
    <t>La educación más alta es la que no se limita a darnos la información sino que hace que nuestra vida esté en armonía con toda la existencia</t>
  </si>
  <si>
    <t>Educatio altissima est quae non solum informationem nobis dat sed vitam nostram in harmonia cum tota existentia facit</t>
  </si>
  <si>
    <t>The highest education is that which does not merely give us information but makes our life in harmony with all existence</t>
  </si>
  <si>
    <t>No puedes cruzar el mar simplemente mirando el agua</t>
  </si>
  <si>
    <t>Non potes mare transire simpliciter aquam spectans</t>
  </si>
  <si>
    <t>You can't cross the sea merely by staring at the water</t>
  </si>
  <si>
    <t>Un maestro nunca puede verdaderamente enseñar a menos que esté todavía aprendiendo</t>
  </si>
  <si>
    <t>Magister numquam vere docere potest nisi adhuc discit</t>
  </si>
  <si>
    <t>A teacher can never truly teach unless he is still learning himself</t>
  </si>
  <si>
    <t>La más alta educación es aquella que no simplemente nos da información sino que armoniza nuestra vida con toda la existencia</t>
  </si>
  <si>
    <t>Educatio suprema est illa quae non simpliciter nobis informationem dat sed vitam nostram cum tota existentia harmonizat</t>
  </si>
  <si>
    <t>Los niños son artistas vivos Los adultos son artistas vividos</t>
  </si>
  <si>
    <t>Pueri sunt artifices vivi Adulti sunt artifices vivendi experti</t>
  </si>
  <si>
    <t>Children are living artists Adults are lived artists</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</si>
  <si>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</si>
  <si>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</si>
  <si>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</si>
  <si>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</si>
  <si>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Los mapas conceptuales son herramientas para organizar y representar conocimiento</t>
  </si>
  <si>
    <t>Mappae conceptuales sunt instrumenta ad cognitionem organizandam et repraesentandam</t>
  </si>
  <si>
    <t>Concept maps are tools for organizing and representing knowledge</t>
  </si>
  <si>
    <t>El aprendizaje significativo ocurre cuando el estudiante relaciona conscientemente nuevos conceptos con conceptos que ya posee</t>
  </si>
  <si>
    <t>Apprehensio significativa occurrit cum discipulus conscie novos conceptus cum conceptibus quos iam habet relacionat</t>
  </si>
  <si>
    <t>Meaningful learning occurs when the learner consciously relates new concepts to concepts already possessed</t>
  </si>
  <si>
    <t>Los mapas conceptuales ayudan al estudiante a ver el significado del material de aprendizaje</t>
  </si>
  <si>
    <t>Mappae conceptuales discipulo adiuvant ad significationem materiae apprenhesionis videndum</t>
  </si>
  <si>
    <t>Concept maps help the learner to see the meaning of the learning material</t>
  </si>
  <si>
    <t>Aprender significativamente es aprender a aprender</t>
  </si>
  <si>
    <t>Significative discere est discere discere</t>
  </si>
  <si>
    <t>Learning meaningfully is learning to learn</t>
  </si>
  <si>
    <t>Un mapa conceptual es una herramienta para organizar y representar el conocimiento</t>
  </si>
  <si>
    <t>Mappa conceptualis est instrumentum ad cognitionem organizandam et repraesentandam</t>
  </si>
  <si>
    <t>A concept map is a tool for organizing and representing knowledge</t>
  </si>
  <si>
    <t>Si tuviese que reducir toda la psicología educativa a un solo principio enunciaría este El factor más importante que influye en el aprendizaje es lo que el alumno ya sabe Averígüese esto y enséñese consecuentemente</t>
  </si>
  <si>
    <t>Si totam psychologiam educativam ad unum principium reducere deberem hoc enuntiarem Factor gravissimus qui in apprenhensionem influit est quod discipulus iam scit Hoc investigetur et consequenter doceatur</t>
  </si>
  <si>
    <t>If I had to reduce all educational psychology to just one principle I would say this The most important single factor influencing learning is what the learner already knows Ascertain this and teach him accordingly</t>
  </si>
  <si>
    <t>David Ausubel</t>
  </si>
  <si>
    <t>El aprendizaje significativo ocurre cuando una nueva información se conecta con un concepto relevante preexistente en la estructura cognitiva</t>
  </si>
  <si>
    <t>Apprehensio significativa occurrit cum nova informatio cum conceptu relevanti praeexistenti in structura cognitiva conectitur</t>
  </si>
  <si>
    <t>Meaningful learning occurs when new information connects with a relevant preexisting concept in the cognitive structure</t>
  </si>
  <si>
    <t>La esencia del proceso de aprendizaje significativo reside en que las ideas expresadas simbólicamente son relacionadas de modo no arbitrario con lo que el alumno ya sabe</t>
  </si>
  <si>
    <t>Essentia processus apprenhesionis significativae in eo consistit quod ideae symbolice expressae modo non arbitrario cum eo quod discipulus iam scit relacionantur</t>
  </si>
  <si>
    <t>The essence of the meaningful learning process lies in that symbolically expressed ideas are related in a non-arbitrary way with what the learner already knows</t>
  </si>
  <si>
    <t>El alumno debe manifestar una disposición para relacionar sustancial y no arbitrariamente el nuevo material con su estructura cognoscitiva</t>
  </si>
  <si>
    <t>Discipulus dispositionem manifestare debet ad novum material substantialiter et non arbitrarie cum structura sua cognitiva relacionandum</t>
  </si>
  <si>
    <t>The learner must show a willingness to relate substantially and non-arbitrarily the new material with his cognitive structure</t>
  </si>
  <si>
    <t>Los organizadores previos son materiales introductorios presentados antes del aprendizaje en sí que tienen como propósito facilitar la asimilación</t>
  </si>
  <si>
    <t>Organizatores praevii sunt materiae introductoriae ante apprenhensionem ipsam praesentatae quarum propositum est assimilationem facilitare</t>
  </si>
  <si>
    <t>Advance organizers are introductory materials presented before the learning itself whose purpose is to facilitate assimilation</t>
  </si>
  <si>
    <t>El aprendizaje por descubrimiento no es necesariamente significativo ni el aprendizaje por recepción es obligatoriamente mecánico</t>
  </si>
  <si>
    <t>Apprehensio per inventionem non necessarie significativa est nec apprehensio per receptionem obligatorie mechanica est</t>
  </si>
  <si>
    <t>Discovery learning is not necessarily meaningful nor is reception learning necessarily mechanical</t>
  </si>
  <si>
    <t>La adquisición de un cuerpo de conocimiento claro estable y organizado de parte del educando es el variable independiente más significativa que influye sobre su capacidad para adquirir nuevos conocimientos</t>
  </si>
  <si>
    <t>Acquisitio corporis cognitionis clari stabilis et organizati ex parte educandi est variabilis independens maxime significativa quae in facultatem eius novam cognitionem acquirendi influit</t>
  </si>
  <si>
    <t>The acquisition of a clear stable and organized body of knowledge by the learner is the most significant independent variable influencing his capacity to acquire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</si>
  <si>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</si>
  <si>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</si>
  <si>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</si>
  <si>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</si>
  <si>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</si>
  <si>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</si>
  <si>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</si>
  <si>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</si>
  <si>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</si>
  <si>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</si>
  <si>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</si>
  <si>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</si>
  <si>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</si>
  <si>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</si>
  <si>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</si>
  <si>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</si>
  <si>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</si>
  <si>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</si>
  <si>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</si>
  <si>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</si>
  <si>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</si>
  <si>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</si>
  <si>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</si>
  <si>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</si>
  <si>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</si>
  <si>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</si>
  <si>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</si>
  <si>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</si>
  <si>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</si>
  <si>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</si>
  <si>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</si>
  <si>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</si>
  <si>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</si>
  <si>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</si>
  <si>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</si>
  <si>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</si>
  <si>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</si>
  <si>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</si>
  <si>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</si>
  <si>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</si>
  <si>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</si>
  <si>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</si>
  <si>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</si>
  <si>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</si>
  <si>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</si>
  <si>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</si>
  <si>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</si>
  <si>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</si>
  <si>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</si>
  <si>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</si>
  <si>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</si>
  <si>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</si>
  <si>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</si>
  <si>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</si>
  <si>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</si>
  <si>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</si>
  <si>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</si>
  <si>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</si>
  <si>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</si>
  <si>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</si>
  <si>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</si>
  <si>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</si>
  <si>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</si>
  <si>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</si>
  <si>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</si>
  <si>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</si>
  <si>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</si>
  <si>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</si>
  <si>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</si>
  <si>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</si>
  <si>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</si>
  <si>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</si>
  <si>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</si>
  <si>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</si>
  <si>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</si>
  <si>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</si>
  <si>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</si>
  <si>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</si>
  <si>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</si>
  <si>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</si>
  <si>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</si>
  <si>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</si>
  <si>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</si>
  <si>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</si>
  <si>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</si>
  <si>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</si>
  <si>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</si>
  <si>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</si>
  <si>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</si>
  <si>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</si>
  <si>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</si>
  <si>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</si>
  <si>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</si>
  <si>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</si>
  <si>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</si>
  <si>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</si>
  <si>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</si>
  <si>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</si>
  <si>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</si>
  <si>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</si>
  <si>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</si>
  <si>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</si>
  <si>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</si>
  <si>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</si>
  <si>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</si>
  <si>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</si>
  <si>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</si>
  <si>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</si>
  <si>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</si>
  <si>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</si>
  <si>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</si>
  <si>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</si>
  <si>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</si>
  <si>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</si>
  <si>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</si>
  <si>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</si>
  <si>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</si>
  <si>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</si>
  <si>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</si>
  <si>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</si>
  <si>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</si>
  <si>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</si>
  <si>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</si>
  <si>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</si>
  <si>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</si>
  <si>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</si>
  <si>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</si>
  <si>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</si>
  <si>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</si>
  <si>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</si>
  <si>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</si>
  <si>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</si>
  <si>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</si>
  <si>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</si>
  <si>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</si>
  <si>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</si>
  <si>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</si>
  <si>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</si>
  <si>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</si>
  <si>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</si>
  <si>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</si>
  <si>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</si>
  <si>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</si>
  <si>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</si>
  <si>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</si>
  <si>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</si>
  <si>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</si>
  <si>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</si>
  <si>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</si>
  <si>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</si>
  <si>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</si>
  <si>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</si>
  <si>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</si>
  <si>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</si>
  <si>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</si>
  <si>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</si>
  <si>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</si>
  <si>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</si>
  <si>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</si>
  <si>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</si>
  <si>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</si>
  <si>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</si>
  <si>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</si>
  <si>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</si>
  <si>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</si>
  <si>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</si>
  <si>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</si>
  <si>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</si>
  <si>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</si>
  <si>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</si>
  <si>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</si>
  <si>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</si>
  <si>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</si>
  <si>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</si>
  <si>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</si>
  <si>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</si>
  <si>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</si>
  <si>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</si>
  <si>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</si>
  <si>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</si>
  <si>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</si>
  <si>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</si>
  <si>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</si>
  <si>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</si>
  <si>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</si>
  <si>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</si>
  <si>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</si>
  <si>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</si>
  <si>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</si>
  <si>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</si>
  <si>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</si>
  <si>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</si>
  <si>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</si>
  <si>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</si>
  <si>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</si>
  <si>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</si>
  <si>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</si>
  <si>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</si>
  <si>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</si>
  <si>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</si>
  <si>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</si>
  <si>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</si>
  <si>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</si>
  <si>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</si>
  <si>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</si>
  <si>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</si>
  <si>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</si>
  <si>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</si>
  <si>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</si>
  <si>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</si>
  <si>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</si>
  <si>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</si>
  <si>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</si>
  <si>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</si>
  <si>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</si>
  <si>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</si>
  <si>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</si>
  <si>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</si>
  <si>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</si>
  <si>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</si>
  <si>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</si>
  <si>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</si>
  <si>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</si>
  <si>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</si>
  <si>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</si>
  <si>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</si>
  <si>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</si>
  <si>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</si>
  <si>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</si>
  <si>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</si>
  <si>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</si>
  <si>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</si>
  <si>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</si>
  <si>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</si>
  <si>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</si>
  <si>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</si>
  <si>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</si>
  <si>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</si>
  <si>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</si>
  <si>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</si>
  <si>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</si>
  <si>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</si>
  <si>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</si>
  <si>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</si>
  <si>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</si>
  <si>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</si>
  <si>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</si>
  <si>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</si>
  <si>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</si>
  <si>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</si>
  <si>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</si>
  <si>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</si>
  <si>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</si>
  <si>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</si>
  <si>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</si>
  <si>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</si>
  <si>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</si>
  <si>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</si>
  <si>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</si>
  <si>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</si>
  <si>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</si>
  <si>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</si>
  <si>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</si>
  <si>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</si>
  <si>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</si>
  <si>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</si>
  <si>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</si>
  <si>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</si>
  <si>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</si>
  <si>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</si>
  <si>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</si>
  <si>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</si>
  <si>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</si>
  <si>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</si>
  <si>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</si>
  <si>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</si>
  <si>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</si>
  <si>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</si>
  <si>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</si>
  <si>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</si>
  <si>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</si>
  <si>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</si>
  <si>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</si>
  <si>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</si>
  <si>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</si>
  <si>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</si>
  <si>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</si>
  <si>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</si>
  <si>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</si>
  <si>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</si>
  <si>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</si>
  <si>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</si>
  <si>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</si>
  <si>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</si>
  <si>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</si>
  <si>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</si>
  <si>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</si>
  <si>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</si>
  <si>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</si>
  <si>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</si>
  <si>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</si>
  <si>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</si>
  <si>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</si>
  <si>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</si>
  <si>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</si>
  <si>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</si>
  <si>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</si>
  <si>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</si>
  <si>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</si>
  <si>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</si>
  <si>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</si>
  <si>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</si>
  <si>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</si>
  <si>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</si>
  <si>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</si>
  <si>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</si>
  <si>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</si>
  <si>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</si>
  <si>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</si>
  <si>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</si>
  <si>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</si>
  <si>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</si>
  <si>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</si>
  <si>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</si>
  <si>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</si>
  <si>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</si>
  <si>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</si>
  <si>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</si>
  <si>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</si>
  <si>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</si>
  <si>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</si>
  <si>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</si>
  <si>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</si>
  <si>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</si>
  <si>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</si>
  <si>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</si>
  <si>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</si>
  <si>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</si>
  <si>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</si>
  <si>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</si>
  <si>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</si>
  <si>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</si>
  <si>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</si>
  <si>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</si>
  <si>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</si>
  <si>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</si>
  <si>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</si>
  <si>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</si>
  <si>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</si>
  <si>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</si>
  <si>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</si>
  <si>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</si>
  <si>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</si>
  <si>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</si>
  <si>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</si>
  <si>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</si>
  <si>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</si>
  <si>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</si>
  <si>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</si>
  <si>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</si>
  <si>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</si>
  <si>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</si>
  <si>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</si>
  <si>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</si>
  <si>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</si>
  <si>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</si>
  <si>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</si>
  <si>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</si>
  <si>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</si>
  <si>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</si>
  <si>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</si>
  <si>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</si>
  <si>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</si>
  <si>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</si>
  <si>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</si>
  <si>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</si>
  <si>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</si>
  <si>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</si>
  <si>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</si>
  <si>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</si>
  <si>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</si>
  <si>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</si>
  <si>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</si>
  <si>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</si>
  <si>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</si>
  <si>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</si>
  <si>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</si>
  <si>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</si>
  <si>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</si>
  <si>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</si>
  <si>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</si>
  <si>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</si>
  <si>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</si>
  <si>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</si>
  <si>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</si>
  <si>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</si>
  <si>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</si>
  <si>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</si>
  <si>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</si>
  <si>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</si>
  <si>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</si>
  <si>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</si>
  <si>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</si>
  <si>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</si>
  <si>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</si>
  <si>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</si>
  <si>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</si>
  <si>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</si>
  <si>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</si>
  <si>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</si>
  <si>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</si>
  <si>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</si>
  <si>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</si>
  <si>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</si>
  <si>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</si>
  <si>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</si>
  <si>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</si>
  <si>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</si>
  <si>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</si>
  <si>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</si>
  <si>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</si>
  <si>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</si>
  <si>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</si>
  <si>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</si>
  <si>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</si>
  <si>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</si>
  <si>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</si>
  <si>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</si>
  <si>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</si>
  <si>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</si>
  <si>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</si>
  <si>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</si>
  <si>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</si>
  <si>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</si>
  <si>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</si>
  <si>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</si>
  <si>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</si>
  <si>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</si>
  <si>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</si>
  <si>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</si>
  <si>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</si>
  <si>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</si>
  <si>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</si>
  <si>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</si>
  <si>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</si>
  <si>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</si>
  <si>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</si>
  <si>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</si>
  <si>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</si>
  <si>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</si>
  <si>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</si>
  <si>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</si>
  <si>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</si>
  <si>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</si>
  <si>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</si>
  <si>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</si>
  <si>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</si>
  <si>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</si>
  <si>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</si>
  <si>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</si>
  <si>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</si>
  <si>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</si>
  <si>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</si>
  <si>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</si>
  <si>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</si>
  <si>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</si>
  <si>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</si>
  <si>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</si>
  <si>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</si>
  <si>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</si>
  <si>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</si>
  <si>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</si>
  <si>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</si>
  <si>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</si>
  <si>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</si>
  <si>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</si>
  <si>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</si>
  <si>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</si>
  <si>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</si>
  <si>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</si>
  <si>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</si>
  <si>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</si>
  <si>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</si>
  <si>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</si>
  <si>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</si>
  <si>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</si>
  <si>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</si>
  <si>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</si>
  <si>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</si>
  <si>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</si>
  <si>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</si>
  <si>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</si>
  <si>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</si>
  <si>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</si>
  <si>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</si>
  <si>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</si>
  <si>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</si>
  <si>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</si>
  <si>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</si>
  <si>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</si>
  <si>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</si>
  <si>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</si>
  <si>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</si>
  <si>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</si>
  <si>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</si>
  <si>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</si>
  <si>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</si>
  <si>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</si>
  <si>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</si>
  <si>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</si>
  <si>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</si>
  <si>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</si>
  <si>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</si>
  <si>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</si>
  <si>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</si>
  <si>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</si>
  <si>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</si>
  <si>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</si>
  <si>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</si>
  <si>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</si>
  <si>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</si>
  <si>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</si>
  <si>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</si>
  <si>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</si>
  <si>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</si>
  <si>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</si>
  <si>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</si>
  <si>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</si>
  <si>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</si>
  <si>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</si>
  <si>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</si>
  <si>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</si>
  <si>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</si>
  <si>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</si>
  <si>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</si>
  <si>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</si>
  <si>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</si>
  <si>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</si>
  <si>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</si>
  <si>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</si>
  <si>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</si>
  <si>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</si>
  <si>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</si>
  <si>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</si>
  <si>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</si>
  <si>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</si>
  <si>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</si>
  <si>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</si>
  <si>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</si>
  <si>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</si>
  <si>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</si>
  <si>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</si>
  <si>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</si>
  <si>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</si>
  <si>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</si>
  <si>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</si>
  <si>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</si>
  <si>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</si>
  <si>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</si>
  <si>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</si>
  <si>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</si>
  <si>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</si>
  <si>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</si>
  <si>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</si>
  <si>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</si>
  <si>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</si>
  <si>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</si>
  <si>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</si>
  <si>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</si>
  <si>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</si>
  <si>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</si>
  <si>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</si>
  <si>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</si>
  <si>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</si>
  <si>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</si>
  <si>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</si>
  <si>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</si>
  <si>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</si>
  <si>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</si>
  <si>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</si>
  <si>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</si>
  <si>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</si>
  <si>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</si>
  <si>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</si>
  <si>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</si>
  <si>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</si>
  <si>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</si>
  <si>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</si>
  <si>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</si>
  <si>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</si>
  <si>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</si>
  <si>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</si>
  <si>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</si>
  <si>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</si>
  <si>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</si>
  <si>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</si>
  <si>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</si>
  <si>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</si>
  <si>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</si>
  <si>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</si>
  <si>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</si>
  <si>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</si>
  <si>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</si>
  <si>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</si>
  <si>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</si>
  <si>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</si>
  <si>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</si>
  <si>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</si>
  <si>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</si>
  <si>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</si>
  <si>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</si>
  <si>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</si>
  <si>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</si>
  <si>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</si>
  <si>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</si>
  <si>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</si>
  <si>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</si>
  <si>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</si>
  <si>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</si>
  <si>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</si>
  <si>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</si>
  <si>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</si>
  <si>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</si>
  <si>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</si>
  <si>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</si>
  <si>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</si>
  <si>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</si>
  <si>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</si>
  <si>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</si>
  <si>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</si>
  <si>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</si>
  <si>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</si>
  <si>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</si>
  <si>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</si>
  <si>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</si>
  <si>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</si>
  <si>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</si>
  <si>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</si>
  <si>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</si>
  <si>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</si>
  <si>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</si>
  <si>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</si>
  <si>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</si>
  <si>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</si>
  <si>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</si>
  <si>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</si>
  <si>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</si>
  <si>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</si>
  <si>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</si>
  <si>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</si>
  <si>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</si>
  <si>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</si>
  <si>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</si>
  <si>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</si>
  <si>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</si>
  <si>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</si>
  <si>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</si>
  <si>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</si>
  <si>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</si>
  <si>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</si>
  <si>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</si>
  <si>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</si>
  <si>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</si>
  <si>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</si>
  <si>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</si>
  <si>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</si>
  <si>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</si>
  <si>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</si>
  <si>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</si>
  <si>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</si>
  <si>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</si>
  <si>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</si>
  <si>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</si>
  <si>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</si>
  <si>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</si>
  <si>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</si>
  <si>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</si>
  <si>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</si>
  <si>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</si>
  <si>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</si>
  <si>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</si>
  <si>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</si>
  <si>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</si>
  <si>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</si>
  <si>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</si>
  <si>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</si>
  <si>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</si>
  <si>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</si>
  <si>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</si>
  <si>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</si>
  <si>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</si>
  <si>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</si>
  <si>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</si>
  <si>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</si>
  <si>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</si>
  <si>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</si>
  <si>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</si>
  <si>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</si>
  <si>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</si>
  <si>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</si>
  <si>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</si>
  <si>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</si>
  <si>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</si>
  <si>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</si>
  <si>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</si>
  <si>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</si>
  <si>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</si>
  <si>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</si>
  <si>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</si>
  <si>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</si>
  <si>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</si>
  <si>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</si>
  <si>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</si>
  <si>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</si>
  <si>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</si>
  <si>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</si>
  <si>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</si>
  <si>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</si>
  <si>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</si>
  <si>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</si>
  <si>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</si>
  <si>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</si>
  <si>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</si>
  <si>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</si>
  <si>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</si>
  <si>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</si>
  <si>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</si>
  <si>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</si>
  <si>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</si>
  <si>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</si>
  <si>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</si>
  <si>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</si>
  <si>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</si>
  <si>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</si>
  <si>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</si>
  <si>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</si>
  <si>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</si>
  <si>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</si>
  <si>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</si>
  <si>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</si>
  <si>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</si>
  <si>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</si>
  <si>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</si>
  <si>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</si>
  <si>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</si>
  <si>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</si>
  <si>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</si>
  <si>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</si>
  <si>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</si>
  <si>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</si>
  <si>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</si>
  <si>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</si>
  <si>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</si>
  <si>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</si>
  <si>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</si>
  <si>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</si>
  <si>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</si>
  <si>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</si>
  <si>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</si>
  <si>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</si>
  <si>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</si>
  <si>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</si>
  <si>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</si>
  <si>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</si>
  <si>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</si>
  <si>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</si>
  <si>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</si>
  <si>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</si>
  <si>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</si>
  <si>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</si>
  <si>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</si>
  <si>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</si>
  <si>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</si>
  <si>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</si>
  <si>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</si>
  <si>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</si>
  <si>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</si>
  <si>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</si>
  <si>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</si>
  <si>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</si>
  <si>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</si>
  <si>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</si>
  <si>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</si>
  <si>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</si>
  <si>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</si>
  <si>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</si>
  <si>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</si>
  <si>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</si>
  <si>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</si>
  <si>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</si>
  <si>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</si>
  <si>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</si>
  <si>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</si>
  <si>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</si>
  <si>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</si>
  <si>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</si>
  <si>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</si>
  <si>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</si>
  <si>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</si>
  <si>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</si>
  <si>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</si>
  <si>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</si>
  <si>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</si>
  <si>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</si>
  <si>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</si>
  <si>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</si>
  <si>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</si>
  <si>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</si>
  <si>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</si>
  <si>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</si>
  <si>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</si>
  <si>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</si>
  <si>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</si>
  <si>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</si>
  <si>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</si>
  <si>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</si>
  <si>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</si>
  <si>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</si>
  <si>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</si>
  <si>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</si>
  <si>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</si>
  <si>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</si>
  <si>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</si>
  <si>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</si>
  <si>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</si>
  <si>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</si>
  <si>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</si>
  <si>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</si>
  <si>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</si>
  <si>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</si>
  <si>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</si>
  <si>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</si>
  <si>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</si>
  <si>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</si>
  <si>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</si>
  <si>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</si>
  <si>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</si>
  <si>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</si>
  <si>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</si>
  <si>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</si>
  <si>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</si>
  <si>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</si>
  <si>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</si>
  <si>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</si>
  <si>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</si>
  <si>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</si>
  <si>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</si>
  <si>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</si>
  <si>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</si>
  <si>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</si>
  <si>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</si>
  <si>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</si>
  <si>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</si>
  <si>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</si>
  <si>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</si>
  <si>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</si>
  <si>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</si>
  <si>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</si>
  <si>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</si>
  <si>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</si>
  <si>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</si>
  <si>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</si>
  <si>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</si>
  <si>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</si>
  <si>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</si>
  <si>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</si>
  <si>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</si>
  <si>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</si>
  <si>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</si>
  <si>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</si>
  <si>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</si>
  <si>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</si>
  <si>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</si>
  <si>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</si>
  <si>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</si>
  <si>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</si>
  <si>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</si>
  <si>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</si>
  <si>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</si>
  <si>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</si>
  <si>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</si>
  <si>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</si>
  <si>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</si>
  <si>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</si>
  <si>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</si>
  <si>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</si>
  <si>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</si>
  <si>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</si>
  <si>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</si>
  <si>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</si>
  <si>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</si>
  <si>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</si>
  <si>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</si>
  <si>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</si>
  <si>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</si>
  <si>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</si>
  <si>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</si>
  <si>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</si>
  <si>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</si>
  <si>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</si>
  <si>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</si>
  <si>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</si>
  <si>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</si>
  <si>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</si>
  <si>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</si>
  <si>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</si>
  <si>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</si>
  <si>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</si>
  <si>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</si>
  <si>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</si>
  <si>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</si>
  <si>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</si>
  <si>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</si>
  <si>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</si>
  <si>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</si>
  <si>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</si>
  <si>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</si>
  <si>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</si>
  <si>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</si>
  <si>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</si>
  <si>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</si>
  <si>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</si>
  <si>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</si>
  <si>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</si>
  <si>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</si>
  <si>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</si>
  <si>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</si>
  <si>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</si>
  <si>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</si>
  <si>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</si>
  <si>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</si>
  <si>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</si>
  <si>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</si>
  <si>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</si>
  <si>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</si>
  <si>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</si>
  <si>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</si>
  <si>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</si>
  <si>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</si>
  <si>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</si>
  <si>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</si>
  <si>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</si>
  <si>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</si>
  <si>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</si>
  <si>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</si>
  <si>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</si>
  <si>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</si>
  <si>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</si>
  <si>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</si>
  <si>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</si>
  <si>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</si>
  <si>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</si>
  <si>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</si>
  <si>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</si>
  <si>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</si>
  <si>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</si>
  <si>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</si>
  <si>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</si>
  <si>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</si>
  <si>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</si>
  <si>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</si>
  <si>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</si>
  <si>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</si>
  <si>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</si>
  <si>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</si>
  <si>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</si>
  <si>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</si>
  <si>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</si>
  <si>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</si>
  <si>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</si>
  <si>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</si>
  <si>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</si>
  <si>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</si>
  <si>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</si>
  <si>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</si>
  <si>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</si>
  <si>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</si>
  <si>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</si>
  <si>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</si>
  <si>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</si>
  <si>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</si>
  <si>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</si>
  <si>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</si>
  <si>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</si>
  <si>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</si>
  <si>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</si>
  <si>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</si>
  <si>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</si>
  <si>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</si>
  <si>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</si>
  <si>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</si>
  <si>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</si>
  <si>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</si>
  <si>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</si>
  <si>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</si>
  <si>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</si>
  <si>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</si>
  <si>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</si>
  <si>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</si>
  <si>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</si>
  <si>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</si>
  <si>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</si>
  <si>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</si>
  <si>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</si>
  <si>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</si>
  <si>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</si>
  <si>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</si>
  <si>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</si>
  <si>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</si>
  <si>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</si>
  <si>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</si>
  <si>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</si>
  <si>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</si>
  <si>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</si>
  <si>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</si>
  <si>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</si>
  <si>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</si>
  <si>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</si>
  <si>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</si>
  <si>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</si>
  <si>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</si>
  <si>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</si>
  <si>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</si>
  <si>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</si>
  <si>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</si>
  <si>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</si>
  <si>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</si>
  <si>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</si>
  <si>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</si>
  <si>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</si>
  <si>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</si>
  <si>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</si>
  <si>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</si>
  <si>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</si>
  <si>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</si>
  <si>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</si>
  <si>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</si>
  <si>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</si>
  <si>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</si>
  <si>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</si>
  <si>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</si>
  <si>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</si>
  <si>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</si>
  <si>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</si>
  <si>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</si>
  <si>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</si>
  <si>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</si>
  <si>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</si>
  <si>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</si>
  <si>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</si>
  <si>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</si>
  <si>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</si>
  <si>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</si>
  <si>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</si>
  <si>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</si>
  <si>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</si>
  <si>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</si>
  <si>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</si>
  <si>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</si>
  <si>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</si>
  <si>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</si>
  <si>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</si>
  <si>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</si>
  <si>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</si>
  <si>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</si>
  <si>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</si>
  <si>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</si>
  <si>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</si>
  <si>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</si>
  <si>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</si>
  <si>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</si>
  <si>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</si>
  <si>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</si>
  <si>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</si>
  <si>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</si>
  <si>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</si>
  <si>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</si>
  <si>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</si>
  <si>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</si>
  <si>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</si>
  <si>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</si>
  <si>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</si>
  <si>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</si>
  <si>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</si>
  <si>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</si>
  <si>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</si>
  <si>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</si>
  <si>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</si>
  <si>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</si>
  <si>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</si>
  <si>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</si>
  <si>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</si>
  <si>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</si>
  <si>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</si>
  <si>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</si>
  <si>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</si>
  <si>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</si>
  <si>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</si>
  <si>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</si>
  <si>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</si>
  <si>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</si>
  <si>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</si>
  <si>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</si>
  <si>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</si>
  <si>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</si>
  <si>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</si>
  <si>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</si>
  <si>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</si>
  <si>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</si>
  <si>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</si>
  <si>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</si>
  <si>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</si>
  <si>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</si>
  <si>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</si>
  <si>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</si>
  <si>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</si>
  <si>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</si>
  <si>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</si>
  <si>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</si>
  <si>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</si>
  <si>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</si>
  <si>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</si>
  <si>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</si>
  <si>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</si>
  <si>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</si>
  <si>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</si>
  <si>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</si>
  <si>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</si>
  <si>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</si>
  <si>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</si>
  <si>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</si>
  <si>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</si>
  <si>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</si>
  <si>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</si>
  <si>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</si>
  <si>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</si>
  <si>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</si>
  <si>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</si>
  <si>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</si>
  <si>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</si>
  <si>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</si>
  <si>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</si>
  <si>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</si>
  <si>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</si>
  <si>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</si>
  <si>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</si>
  <si>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</si>
  <si>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</si>
  <si>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</si>
  <si>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</si>
  <si>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</si>
  <si>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</si>
  <si>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</si>
  <si>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</si>
  <si>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</si>
  <si>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</si>
  <si>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</si>
  <si>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</si>
  <si>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</si>
  <si>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</si>
  <si>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</si>
  <si>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</si>
  <si>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</si>
  <si>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</si>
  <si>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</si>
  <si>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</si>
  <si>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</si>
  <si>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</si>
  <si>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</si>
  <si>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</si>
  <si>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</si>
  <si>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</si>
  <si>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</si>
  <si>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</si>
  <si>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</si>
  <si>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</si>
  <si>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</si>
  <si>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</si>
  <si>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</si>
  <si>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</si>
  <si>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</si>
  <si>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</si>
  <si>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</si>
  <si>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</si>
  <si>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</si>
  <si>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</si>
  <si>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</si>
  <si>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</si>
  <si>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</si>
  <si>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</si>
  <si>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</si>
  <si>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</si>
  <si>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</si>
  <si>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</si>
  <si>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</si>
  <si>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</si>
  <si>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</si>
  <si>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</si>
  <si>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</si>
  <si>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</si>
  <si>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</si>
  <si>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</si>
  <si>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</si>
  <si>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</si>
  <si>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</si>
  <si>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</si>
  <si>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</si>
  <si>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</si>
  <si>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</si>
  <si>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</si>
  <si>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</si>
  <si>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</si>
  <si>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</si>
  <si>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</si>
  <si>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</si>
  <si>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</si>
  <si>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</si>
  <si>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</si>
  <si>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</si>
  <si>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</si>
  <si>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</si>
  <si>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</si>
  <si>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</si>
  <si>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</si>
  <si>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</si>
  <si>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</si>
  <si>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</si>
  <si>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</si>
  <si>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</si>
  <si>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</si>
  <si>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</si>
  <si>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</si>
  <si>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</si>
  <si>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</si>
  <si>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</si>
  <si>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</si>
  <si>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</si>
  <si>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</si>
  <si>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</si>
  <si>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</si>
  <si>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</si>
  <si>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</si>
  <si>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</si>
  <si>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</si>
  <si>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</si>
  <si>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</si>
  <si>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</si>
  <si>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</si>
  <si>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</si>
  <si>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</si>
  <si>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</si>
  <si>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</si>
  <si>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</si>
  <si>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</si>
  <si>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</si>
  <si>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</si>
  <si>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</si>
  <si>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</si>
  <si>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</si>
  <si>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</si>
  <si>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</si>
  <si>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</si>
  <si>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</si>
  <si>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</si>
  <si>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</si>
  <si>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</si>
  <si>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</si>
  <si>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</si>
  <si>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</si>
  <si>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</si>
  <si>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</si>
  <si>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</si>
  <si>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</si>
  <si>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</si>
  <si>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</si>
  <si>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</si>
  <si>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</si>
  <si>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</si>
  <si>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</si>
  <si>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</si>
  <si>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</si>
  <si>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</si>
  <si>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</si>
  <si>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</si>
  <si>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</si>
  <si>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</si>
  <si>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</si>
  <si>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</si>
  <si>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</si>
  <si>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</si>
  <si>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</si>
  <si>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</si>
  <si>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</si>
  <si>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</si>
  <si>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</si>
  <si>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</si>
  <si>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</si>
  <si>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</si>
  <si>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</si>
  <si>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</si>
  <si>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</si>
  <si>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</si>
  <si>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</si>
  <si>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</si>
  <si>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</si>
  <si>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</si>
  <si>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</si>
  <si>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</si>
  <si>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</si>
  <si>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</si>
  <si>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</si>
  <si>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</si>
  <si>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</si>
  <si>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</si>
  <si>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</si>
  <si>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</si>
  <si>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</si>
  <si>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</si>
  <si>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</si>
  <si>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</si>
  <si>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</si>
  <si>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</si>
  <si>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</si>
  <si>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</si>
  <si>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</si>
  <si>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</si>
  <si>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</si>
  <si>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</si>
  <si>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</si>
  <si>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</si>
  <si>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</si>
  <si>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</si>
  <si>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</si>
  <si>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</si>
  <si>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</si>
  <si>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</si>
  <si>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</si>
  <si>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</si>
  <si>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</si>
  <si>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</si>
  <si>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</si>
  <si>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</si>
  <si>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</si>
  <si>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</si>
  <si>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</si>
  <si>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</si>
  <si>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</si>
  <si>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</si>
  <si>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</si>
  <si>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</si>
  <si>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</si>
  <si>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</si>
  <si>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</si>
  <si>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</si>
  <si>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</si>
  <si>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</si>
  <si>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</si>
  <si>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</si>
  <si>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</si>
  <si>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</si>
  <si>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</si>
  <si>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</si>
  <si>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</si>
  <si>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</si>
  <si>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</si>
  <si>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</si>
  <si>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</si>
  <si>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</si>
  <si>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</si>
  <si>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</si>
  <si>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</si>
  <si>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</si>
  <si>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</si>
  <si>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</si>
  <si>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</si>
  <si>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</si>
  <si>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</si>
  <si>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</si>
  <si>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</si>
  <si>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</si>
  <si>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</si>
  <si>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</si>
  <si>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</si>
  <si>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</si>
  <si>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</si>
  <si>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</si>
  <si>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</si>
  <si>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</si>
  <si>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</si>
  <si>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</si>
  <si>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</si>
  <si>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</si>
  <si>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</si>
  <si>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</si>
  <si>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</si>
  <si>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</si>
  <si>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</si>
  <si>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</si>
  <si>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</si>
  <si>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</si>
  <si>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</si>
  <si>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</si>
  <si>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</si>
  <si>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</si>
  <si>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</si>
  <si>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</si>
  <si>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</si>
  <si>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</si>
  <si>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</si>
  <si>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</si>
  <si>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</si>
  <si>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</si>
  <si>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</si>
  <si>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</si>
  <si>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</si>
  <si>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</si>
  <si>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</si>
  <si>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</si>
  <si>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</si>
  <si>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</si>
  <si>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</si>
  <si>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</si>
  <si>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</si>
  <si>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</si>
  <si>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</si>
  <si>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</si>
  <si>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</si>
  <si>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</si>
  <si>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</si>
  <si>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</si>
  <si>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</si>
  <si>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</si>
  <si>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</si>
  <si>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</si>
  <si>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</si>
  <si>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</si>
  <si>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</si>
  <si>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</si>
  <si>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</si>
  <si>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</si>
  <si>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</si>
  <si>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</si>
  <si>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</si>
  <si>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</si>
  <si>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</si>
  <si>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</si>
  <si>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</si>
  <si>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</si>
  <si>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</si>
  <si>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</si>
  <si>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</si>
  <si>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</si>
  <si>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</si>
  <si>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</si>
  <si>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</si>
  <si>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</si>
  <si>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</si>
  <si>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</si>
  <si>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</si>
  <si>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</si>
  <si>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</si>
  <si>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</si>
  <si>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</si>
  <si>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</si>
  <si>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</si>
  <si>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</si>
  <si>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</si>
  <si>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</si>
  <si>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</si>
  <si>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</si>
  <si>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</si>
  <si>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</si>
  <si>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</si>
  <si>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</si>
  <si>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</si>
  <si>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</si>
  <si>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</si>
  <si>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</si>
  <si>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</si>
  <si>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</si>
  <si>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</si>
  <si>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</si>
  <si>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</si>
  <si>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</si>
  <si>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</si>
  <si>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</si>
  <si>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</si>
  <si>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</si>
  <si>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</si>
  <si>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</si>
  <si>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</si>
  <si>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</si>
  <si>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</si>
  <si>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</si>
  <si>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</si>
  <si>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</si>
  <si>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</si>
  <si>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</si>
  <si>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</si>
  <si>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</si>
  <si>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</si>
  <si>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</si>
  <si>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</si>
  <si>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</si>
  <si>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</si>
  <si>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</si>
  <si>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</si>
  <si>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</si>
  <si>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</si>
  <si>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</si>
  <si>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</si>
  <si>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</si>
  <si>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</si>
  <si>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</si>
  <si>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</si>
  <si>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</si>
  <si>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</si>
  <si>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</si>
  <si>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</si>
  <si>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</si>
  <si>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</si>
  <si>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</si>
  <si>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</si>
  <si>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</si>
  <si>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</si>
  <si>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</si>
  <si>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</si>
  <si>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</si>
  <si>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</si>
  <si>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</si>
  <si>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</si>
  <si>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</si>
  <si>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</si>
  <si>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</si>
  <si>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</si>
  <si>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</si>
  <si>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</si>
  <si>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</si>
  <si>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</si>
  <si>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</si>
  <si>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</si>
  <si>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</si>
  <si>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</si>
  <si>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</si>
  <si>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</si>
  <si>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</si>
  <si>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</si>
  <si>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</si>
  <si>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</si>
  <si>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</si>
  <si>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</si>
  <si>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</si>
  <si>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</si>
  <si>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</si>
  <si>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</si>
  <si>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</si>
  <si>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</si>
  <si>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</si>
  <si>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</si>
  <si>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</si>
  <si>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</si>
  <si>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</si>
  <si>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</si>
  <si>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</si>
  <si>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</si>
  <si>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</si>
  <si>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</si>
  <si>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</si>
  <si>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</si>
  <si>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</si>
  <si>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</si>
  <si>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</si>
  <si>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</si>
  <si>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</si>
  <si>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</si>
  <si>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</si>
  <si>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</si>
  <si>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</si>
  <si>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</si>
  <si>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</si>
  <si>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</si>
  <si>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</si>
  <si>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</si>
  <si>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</si>
  <si>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</si>
  <si>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</si>
  <si>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</si>
  <si>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</si>
  <si>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</si>
  <si>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</si>
  <si>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</si>
  <si>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</si>
  <si>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</si>
  <si>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</si>
  <si>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</si>
  <si>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</si>
  <si>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</si>
  <si>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</si>
  <si>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</si>
  <si>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</si>
  <si>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</si>
  <si>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</si>
  <si>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</si>
  <si>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</si>
  <si>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</si>
  <si>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</si>
  <si>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</si>
  <si>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</si>
  <si>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</si>
  <si>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</si>
  <si>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</si>
  <si>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</si>
  <si>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</si>
  <si>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</si>
  <si>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</si>
  <si>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</si>
  <si>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</si>
  <si>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</si>
  <si>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</si>
  <si>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</si>
  <si>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</si>
  <si>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</si>
  <si>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</si>
  <si>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</si>
  <si>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</si>
  <si>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</si>
  <si>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</si>
  <si>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</si>
  <si>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</si>
  <si>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</si>
  <si>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</si>
  <si>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</si>
  <si>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</si>
  <si>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</si>
  <si>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</si>
  <si>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</si>
  <si>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</si>
  <si>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</si>
  <si>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</si>
  <si>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</si>
  <si>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</si>
  <si>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</si>
  <si>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</si>
  <si>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</si>
  <si>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</si>
  <si>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</si>
  <si>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</si>
  <si>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</si>
  <si>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</si>
  <si>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</si>
  <si>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</si>
  <si>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</si>
  <si>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</si>
  <si>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</si>
  <si>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</si>
  <si>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</si>
  <si>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</si>
  <si>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</si>
  <si>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</si>
  <si>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</si>
  <si>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</si>
  <si>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</si>
  <si>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</si>
  <si>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</si>
  <si>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</si>
  <si>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</si>
  <si>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</si>
  <si>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</si>
  <si>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</si>
  <si>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</si>
  <si>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</si>
  <si>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</si>
  <si>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</si>
  <si>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</si>
  <si>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</si>
  <si>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</si>
  <si>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</si>
  <si>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</si>
  <si>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</si>
  <si>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</si>
  <si>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</si>
  <si>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</si>
  <si>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</si>
  <si>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</si>
  <si>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</si>
  <si>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</si>
  <si>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</si>
  <si>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</si>
  <si>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</si>
  <si>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</si>
  <si>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</si>
  <si>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</si>
  <si>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</si>
  <si>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</si>
  <si>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</si>
  <si>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</si>
  <si>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</si>
  <si>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</si>
  <si>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</si>
  <si>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</si>
  <si>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</si>
  <si>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</si>
  <si>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</si>
  <si>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</si>
  <si>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</si>
  <si>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</si>
  <si>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</si>
  <si>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</si>
  <si>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</si>
  <si>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</si>
  <si>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</si>
  <si>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</si>
  <si>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</si>
  <si>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</si>
  <si>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</si>
  <si>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</si>
  <si>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</si>
  <si>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</si>
  <si>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</si>
  <si>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</si>
  <si>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</si>
  <si>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</si>
  <si>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</si>
  <si>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</si>
  <si>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</si>
  <si>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</si>
  <si>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</si>
  <si>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</si>
  <si>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</si>
  <si>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</si>
  <si>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</si>
  <si>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</si>
  <si>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</si>
  <si>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</si>
  <si>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</si>
  <si>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</si>
  <si>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</si>
  <si>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</si>
  <si>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</si>
  <si>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</si>
  <si>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</si>
  <si>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</si>
  <si>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</si>
  <si>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</si>
  <si>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</si>
  <si>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</si>
  <si>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</si>
  <si>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</si>
  <si>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</si>
  <si>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</si>
  <si>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</si>
  <si>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</si>
  <si>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</si>
  <si>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</si>
  <si>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</si>
  <si>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</si>
  <si>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</si>
  <si>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</si>
  <si>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</si>
  <si>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</si>
  <si>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</si>
  <si>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</si>
  <si>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</si>
  <si>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</si>
  <si>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</si>
  <si>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</si>
  <si>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</si>
  <si>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</si>
  <si>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</si>
  <si>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</si>
  <si>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</si>
  <si>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</si>
  <si>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</si>
  <si>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</si>
  <si>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</si>
  <si>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</si>
  <si>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</si>
  <si>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</si>
  <si>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</si>
  <si>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</si>
  <si>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</si>
  <si>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</si>
  <si>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</si>
  <si>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</si>
  <si>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</si>
  <si>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</si>
  <si>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</si>
  <si>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</si>
  <si>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</si>
  <si>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</si>
  <si>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</si>
  <si>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</si>
  <si>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</si>
  <si>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</si>
  <si>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</si>
  <si>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</si>
  <si>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</si>
  <si>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</si>
  <si>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</si>
  <si>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</si>
  <si>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</si>
  <si>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</si>
  <si>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</si>
  <si>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</si>
  <si>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</si>
  <si>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</si>
  <si>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</si>
  <si>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</si>
  <si>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</si>
  <si>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</si>
  <si>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</si>
  <si>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</si>
  <si>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</si>
  <si>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</si>
  <si>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</si>
  <si>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</si>
  <si>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</si>
  <si>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</si>
  <si>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</si>
  <si>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</si>
  <si>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</si>
  <si>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</si>
  <si>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</si>
  <si>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</si>
  <si>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</si>
  <si>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</si>
  <si>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</si>
  <si>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</si>
  <si>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</si>
  <si>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</si>
  <si>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</si>
  <si>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</si>
  <si>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</si>
  <si>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</si>
  <si>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</si>
  <si>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</si>
  <si>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</si>
  <si>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</si>
  <si>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</si>
  <si>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</si>
  <si>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</si>
  <si>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</si>
  <si>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</si>
  <si>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</si>
  <si>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</si>
  <si>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</si>
  <si>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</si>
  <si>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</si>
  <si>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</si>
  <si>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</si>
  <si>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</si>
  <si>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</si>
  <si>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</si>
  <si>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</si>
  <si>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</si>
  <si>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</si>
  <si>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</si>
  <si>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</si>
  <si>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</si>
  <si>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</si>
  <si>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</si>
  <si>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</si>
  <si>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</si>
  <si>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</si>
  <si>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</si>
  <si>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</si>
  <si>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</si>
  <si>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</si>
  <si>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</si>
  <si>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</si>
  <si>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</si>
  <si>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</si>
  <si>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</si>
  <si>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</si>
  <si>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</si>
  <si>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</si>
  <si>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</si>
  <si>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</si>
  <si>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</si>
  <si>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</si>
  <si>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</si>
  <si>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</si>
  <si>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</si>
  <si>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</si>
  <si>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</si>
  <si>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</si>
  <si>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</si>
  <si>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</si>
  <si>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</si>
  <si>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</si>
  <si>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</si>
  <si>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</si>
  <si>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</si>
  <si>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</si>
  <si>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</si>
  <si>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</si>
  <si>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</si>
  <si>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</si>
  <si>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</si>
  <si>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</si>
  <si>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</si>
  <si>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</si>
  <si>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</si>
  <si>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</si>
  <si>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</si>
  <si>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</si>
  <si>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</si>
  <si>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</si>
  <si>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</si>
  <si>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</si>
  <si>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</si>
  <si>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</si>
  <si>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</si>
  <si>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</si>
  <si>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</si>
  <si>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</si>
  <si>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</si>
  <si>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</si>
  <si>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</si>
  <si>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</si>
  <si>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</si>
  <si>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</si>
  <si>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</si>
  <si>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</si>
  <si>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</si>
  <si>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</si>
  <si>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</si>
  <si>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</si>
  <si>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</si>
  <si>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</si>
  <si>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</si>
  <si>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</si>
  <si>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</si>
  <si>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</si>
  <si>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</si>
  <si>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</si>
  <si>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</si>
  <si>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</si>
  <si>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</si>
  <si>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</si>
  <si>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</si>
  <si>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</si>
  <si>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</si>
  <si>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</si>
  <si>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</si>
  <si>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</si>
  <si>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</si>
  <si>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</si>
  <si>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</si>
  <si>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</si>
  <si>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</si>
  <si>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</si>
  <si>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</si>
  <si>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</si>
  <si>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</si>
  <si>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</si>
  <si>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</si>
  <si>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</si>
  <si>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</si>
  <si>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</si>
  <si>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</si>
  <si>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</si>
  <si>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</si>
  <si>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</si>
  <si>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</si>
  <si>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</si>
  <si>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</si>
  <si>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</si>
  <si>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</si>
  <si>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</si>
  <si>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</si>
  <si>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</si>
  <si>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</si>
  <si>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</si>
  <si>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</si>
  <si>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</si>
  <si>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</si>
  <si>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</si>
  <si>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</si>
  <si>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</si>
  <si>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</si>
  <si>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</si>
  <si>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</si>
  <si>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</si>
  <si>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</si>
  <si>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</si>
  <si>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</si>
  <si>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</si>
  <si>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</si>
  <si>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</si>
  <si>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</si>
  <si>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</si>
  <si>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La alabanza es el más dulce de todos los sonidos</t>
  </si>
  <si>
    <t>Laus dulcissima omnium sonorum est</t>
  </si>
  <si>
    <t>Ἐπαίνος γλυκυτάτη πάντων φωνή ἐστιν</t>
  </si>
  <si>
    <t>El hombre cuerdo y prudente sabe sacar provecho incluso de sus enemigos</t>
  </si>
  <si>
    <t>Homo sapiens et prudens etiam ex hostibus commodum extrahere novit</t>
  </si>
  <si>
    <t>Φρόνιμος ἀνὴρ καὶ ἐξ ἐχθρῶν ὠφελεῖσθαι οἶδεν</t>
  </si>
  <si>
    <t>Interrogar es enseñar</t>
  </si>
  <si>
    <t>Interrogare docere est</t>
  </si>
  <si>
    <t>Ἐρωτᾶν διδάσκειν ἐστίν</t>
  </si>
  <si>
    <t>La obediencia voluntaria siempre es mejor que la forzada</t>
  </si>
  <si>
    <t>Oboedientia voluntaria semper melior est quam coacta</t>
  </si>
  <si>
    <t>Ἡ ἑκούσια πειθὼ κρείττων τῆς βιαίας</t>
  </si>
  <si>
    <t>Cuanto hay de bello y honesto los dioses no lo conceden a los hombres sino al precio de su trabajo y asiduidad</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</si>
  <si>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</si>
  <si>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</si>
  <si>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Es difícil obrar de manera que se vea uno libre de faltas y aun cuando ninguna se cometiera es difícil no topar con jueces ineptos</t>
  </si>
  <si>
    <t>Difficile est agere ut quis liber culpis videatur et etsi nulla commissa sit difficile est non incidere in iudices ineptos</t>
  </si>
  <si>
    <t>Χαλεπὸν ἀναμάρτητον εἶναι καὶ ἄν τις ᾖ χαλεπὸν μὴ κακοῖς κριταῖς περιπεσεῖν</t>
  </si>
  <si>
    <t>Cada cual debe esforzarse de modo que crea que él es el principal causante de la victoria</t>
  </si>
  <si>
    <t>Unusquisque laborare debet ut credat se praecipuam causam victoriae esse</t>
  </si>
  <si>
    <t>Ἕκαστον δεῖ οὕτω φιλοτιμεῖσθαι ὡς αὐτὸν μάλιστα αἴτιον τῆς νίκης</t>
  </si>
  <si>
    <t>No puede existir un valor digno de alabanza si no va acompañado por la prudencia</t>
  </si>
  <si>
    <t>Non potest existere virtus laude digna nisi prudentia comitetur</t>
  </si>
  <si>
    <t>Οὐκ ἔστιν ἐπαινετὴ ἀνδρεία ἄνευ φρονήσεως</t>
  </si>
  <si>
    <t>Cuántas gentes han sucumbido ante el infortunio por haber formado proyectos demasiado vastos nada más que porque se sentían fuertes</t>
  </si>
  <si>
    <t>Quam multi succubuerunt infortunio propter consilia nimis vasta tantum quia se fortes sentiebant</t>
  </si>
  <si>
    <t>Πόσοι ἀπώλοντο διὰ τὸ μεγάλα φρονεῖν ἰσχυροὶ ὄντες</t>
  </si>
  <si>
    <t>Consulta el ojo de tu enemigo pues es el primero que ve tus defectos</t>
  </si>
  <si>
    <t>Consulta oculum inimici tui quia primus videt vitia tua</t>
  </si>
  <si>
    <t>Σκέψαι τὸν ὀφθαλμὸν τοῦ ἐχθροῦ σου πρῶτος γὰρ τὰ ἐλαττώματά σου βλέπει</t>
  </si>
  <si>
    <t>Antístenes</t>
  </si>
  <si>
    <t>Los cuervos devoran a los muertos y los aduladores a los vivos</t>
  </si>
  <si>
    <t>Corvi mortuos devorant adulatores vivos</t>
  </si>
  <si>
    <t>Οἱ κόρακες τοὺς νεκροὺς κατεσθίουσιν οἱ κόλακες τοὺς ζῶντας</t>
  </si>
  <si>
    <t>Las pasiones tienen causas y no principios</t>
  </si>
  <si>
    <t>Passiones causas habent non principia</t>
  </si>
  <si>
    <t>Τὰ πάθη αἰτίας ἔχει οὐκ ἀρχάς</t>
  </si>
  <si>
    <t>Prefiero la locura a la voluptuosidad</t>
  </si>
  <si>
    <t>Malo insaniam quam voluptatem</t>
  </si>
  <si>
    <t>Μᾶλλον ἂν μανείην ἢ ἡσθείην</t>
  </si>
  <si>
    <t>El principio de la educación es el examen de los términos</t>
  </si>
  <si>
    <t>Principium educationis est examen terminorum</t>
  </si>
  <si>
    <t>Ἀρχὴ παιδεύσεως ἡ τῶν ὀνομάτων ἐπίσκεψις</t>
  </si>
  <si>
    <t>No huyáis jamás del trabajo es bueno y nos hace mejores</t>
  </si>
  <si>
    <t>Ne unquam laborem fugiatis bonus est et nos meliores facit</t>
  </si>
  <si>
    <t>Μὴ φεύγετε τὸν πόνον ἀγαθός ἐστι καὶ βελτίους ποιεῖ</t>
  </si>
  <si>
    <t>La virtud se basta a sí misma para la felicidad</t>
  </si>
  <si>
    <t>Virtus sibi ipsi sufficit ad felicitatem</t>
  </si>
  <si>
    <t>Ἀρετὴ αὔταρκες εἰς εὐδαιμονίαν</t>
  </si>
  <si>
    <t>Si hablan mal de vosotros soportadlo con más paciencia aún que si os apedrearan</t>
  </si>
  <si>
    <t>Si male de vobis loquuntur toleretis maiore patientia quam si lapidibus petimini</t>
  </si>
  <si>
    <t>Εἰ κακῶς λέγουσιν ὑμᾶς φέρετε μείζονι ἀνοχῇ ἢ εἰ λιθοβολοῖσθε</t>
  </si>
  <si>
    <t>Cuidaos de que os alaben los malos porque entonces habréis cometido muchos males</t>
  </si>
  <si>
    <t>Cavete ne vos mali laudent tunc enim multa mala commisistis</t>
  </si>
  <si>
    <t>Φυλάξασθε μὴ ὑμᾶς πονηροὶ ἐπαινῶσιν τότε γὰρ πολλὰ κακὰ πεποιήκατε</t>
  </si>
  <si>
    <t>Lo primero es la tarea de desaprender el mal que una vez aprendimos</t>
  </si>
  <si>
    <t>Primum est opus dediscere malum quod semel didicimus</t>
  </si>
  <si>
    <t>Πρῶτον ἔργον τὸ ἀπομανθάνειν τὸ κακὸν ὃ ἐμάθομεν</t>
  </si>
  <si>
    <t>Cada alma es y se convierte en lo que contempla</t>
  </si>
  <si>
    <t>Anima unaquaeque est et fit quod contemplatur</t>
  </si>
  <si>
    <t>Ἑκάστη ψυχὴ ἐστι καὶ γίνεται ὃ θεωρεῖ</t>
  </si>
  <si>
    <t>Plotino</t>
  </si>
  <si>
    <t>El alma humana encerrada en el cuerpo padece sufrimiento vive presa de la pena del temor y de todos los males</t>
  </si>
  <si>
    <t>Anima humana in corpore inclusa patitur dolorem vivit captiva doloris timoris et omnium malorum</t>
  </si>
  <si>
    <t>Ἡ ἀνθρωπίνη ψυχὴ ἐν τῷ σώματι κλειομένη πάσχει ζῇ αἰχμάλωτος λύπης φόβου καὶ πάντων κακῶν</t>
  </si>
  <si>
    <t>Es debilidad manifiesta no inquietarnos por los males de los demás y sólo pensar en evitarnos penas</t>
  </si>
  <si>
    <t>Infirmitas manifesta est non sollicitari de malis aliorum et tantum cogitare vitare nobis dolores</t>
  </si>
  <si>
    <t>Ἀσθένεια φανερά ἐστι μὴ ἀγωνιᾶν περὶ τῶν κακῶν ἄλλων καὶ μόνον σκέπτεσθαι φυγεῖν ἡμῖν λύπας</t>
  </si>
  <si>
    <t>Estoy esforzándome por reconducir lo que de divino hay en nosotros a lo que hay de divino en el universo</t>
  </si>
  <si>
    <t>Conor reducere quod divinum in nobis est ad id quod divinum in universo est</t>
  </si>
  <si>
    <t>Πειρῶμαι ἀναγαγεῖν τὸ θεῖον ἐν ἡμῖν πρὸς τὸ θεῖον ἐν τῷ παντί</t>
  </si>
  <si>
    <t>La grandeza de espíritu consiste en desdeñar las cosas de este mundo</t>
  </si>
  <si>
    <t>Magnitudo animi consistit in contemnendis rebus huius mundi</t>
  </si>
  <si>
    <t>Μεγαλοψυχία ἐν τῷ καταφρονεῖν τῶν τοῦδε τοῦ κόσμου</t>
  </si>
  <si>
    <t>Morir es cambiar de cuerpo como el actor cambia de traje</t>
  </si>
  <si>
    <t>Mori est mutare corpus sicut histrio mutat vestem</t>
  </si>
  <si>
    <t>Ἀποθνήσκειν ἐστὶ μεταβάλλειν σῶμα ὥσπερ ὑποκριτὴς ἀλλάσσει ἐσθῆτα</t>
  </si>
  <si>
    <t>Nuestro afán no consiste en estar libre del pecado sino en ser Dios</t>
  </si>
  <si>
    <t>Studium nostrum non consistit in esse liberum a peccato sed in esse Deum</t>
  </si>
  <si>
    <t>Ἡ σπουδὴ ἡμῶν οὐκ ἐν τῷ ἀναμάρτητον εἶναι ἀλλ᾽ ἐν τῷ θεὸν εἶναι</t>
  </si>
  <si>
    <t>Ser o pensar es la misma cosa El sujeto ya no se diferencia del objeto</t>
  </si>
  <si>
    <t>Esse vel cogitare idem est Subiectum iam non differt ab obiecto</t>
  </si>
  <si>
    <t>Εἶναι ἢ νοεῖν ταὐτόν ἐστι Τὸ ὑποκείμενον οὐκέτι διαφέρει τοῦ ἀντικειμένου</t>
  </si>
  <si>
    <t>Todo cuerpo está en el alma pero no toda alma está en el cuerpo</t>
  </si>
  <si>
    <t>Omne corpus in anima est sed non omnis anima in corpore est</t>
  </si>
  <si>
    <t>Πᾶν σῶμα ἐν ψυχῇ ἀλλ᾽ οὐ πᾶσα ψυχὴ ἐν σώματι</t>
  </si>
  <si>
    <t>El Uno está en todas partes y en ninguna parte</t>
  </si>
  <si>
    <t>Unum ubique est et nusquam</t>
  </si>
  <si>
    <t>Τὸ Ἓν πανταχοῦ καὶ οὐδαμοῦ</t>
  </si>
  <si>
    <t>La patria nuestra es aquella de la que partimos y nuestro Padre está allá</t>
  </si>
  <si>
    <t>Patria nostra est illa unde profecti sumus et Pater noster ibi est</t>
  </si>
  <si>
    <t>Ἡ πατρὶς ἡμῶν ἐκείνη ἐστὶν ὅθεν ἤλθομεν καὶ ὁ Πατὴρ ἡμῶν ἐκεῖ</t>
  </si>
  <si>
    <t>El alma es palabra de la Inteligencia es la actividad total y la vida total que emite la Inteligencia</t>
  </si>
  <si>
    <t>Anima verbum Intelligentiae est actus totus et vita tota quam Intelligentia emittit</t>
  </si>
  <si>
    <t>Ἡ ψυχὴ λόγος τοῦ Νοῦ ἐστιν ἐνέργεια ὅλη καὶ ζωὴ ὅλη ἣν ὁ Νοῦς προβάλλει</t>
  </si>
  <si>
    <t>Allí arriba el hombre es todo ojo</t>
  </si>
  <si>
    <t>Illic sursum homo totus oculus est</t>
  </si>
  <si>
    <t>Ἐκεῖ ἄνω ὁ ἄνθρωπος ὅλος ὀφθαλμός ἐστι</t>
  </si>
  <si>
    <t>La belleza es el resplandor de la verdad</t>
  </si>
  <si>
    <t>Pulchritudo splendor veritatis est</t>
  </si>
  <si>
    <t>Τὸ κάλλος λαμπρότης τῆς ἀληθείας ἐστίν</t>
  </si>
  <si>
    <t>Huye de todo lo corpóreo y corre hacia el Uno</t>
  </si>
  <si>
    <t>Fuge omne corporeum et curre ad Unum</t>
  </si>
  <si>
    <t>Φεῦγε πᾶν σωματικὸν καὶ τρέχε πρὸς τὸ Ἕν</t>
  </si>
  <si>
    <t>El alma no puede recordar nada de Dios si antes no se ha hecho semejante a Él</t>
  </si>
  <si>
    <t>Anima nihil de Deo meminisse potest nisi prius similis Ei facta sit</t>
  </si>
  <si>
    <t>Ἡ ψυχὴ οὐδὲν τοῦ Θεοῦ μνημονεῦσαι δύναται εἰ μὴ πρότερον ὁμοία Αὐτῷ γένηται</t>
  </si>
  <si>
    <t>La virtud es suficiente para la felicidad sin necesidad de cosas externas</t>
  </si>
  <si>
    <t>Virtus satis est ad felicitatem sine rebus externis</t>
  </si>
  <si>
    <t>Ἡ ἀρετὴ ἱκανὴ πρὸς εὐδαιμονίαν ἄνευ ἐξωτερικῶν</t>
  </si>
  <si>
    <t>La vida allá arriba es fácil y la verdad es madre de los seres y su nodriza</t>
  </si>
  <si>
    <t>Vita illic sursum facilis est et veritas mater entium et nutrix eorum</t>
  </si>
  <si>
    <t>Ἡ ζωὴ ἐκεῖ ἄνω ῥᾳδία καὶ ἡ ἀλήθεια μήτηρ τῶν ὄντων καὶ τροφός</t>
  </si>
  <si>
    <t>Cerrar los ojos y despertar a otra manera de ver</t>
  </si>
  <si>
    <t>Claudere oculos et expergisci ad alium modum videndi</t>
  </si>
  <si>
    <t>Κλεῖσαι τοὺς ὀφθαλμοὺς καὶ ἐγερθῆναι εἰς ἄλλον τρόπον βλέποντα</t>
  </si>
  <si>
    <t>No se puede entrar en la contemplación sino por medio de una meditación profunda una vida santa y la oración devota</t>
  </si>
  <si>
    <t>Non potest intrare in contemplationem nisi per meditationem profundam vitam sanctam et orationem devotam</t>
  </si>
  <si>
    <t>In contemplationem intrare non potest nisi per profundam meditationem sanctam vitam devotamque orationem</t>
  </si>
  <si>
    <t>San Buenaventura</t>
  </si>
  <si>
    <t>El origen de las cosas proclama el divino poder que las sacó de la nada la divina sabiduría que las hizo claramente diferentes y la divina bondad que las adornó largamente</t>
  </si>
  <si>
    <t>Origo rerum proclamat divinam potentiam quae eas ex nihilo eduxit divinam sapientiam quae eas clare distinctas fecit et divinam bonitatem quae eas large ornavit</t>
  </si>
  <si>
    <t>Rerum origo proclamat divinam potentiam quae eas de nihilo produxit divinam sapientiam quae eas manifeste distinxit et divinam bonitatem quae eas large ornavit</t>
  </si>
  <si>
    <t>El que con tantos esplendores de las cosas creadas no se ilustra está ciego</t>
  </si>
  <si>
    <t>Qui tantis splendoribus rerum creatarum non illustratur caecus est</t>
  </si>
  <si>
    <t>Qui tantis creatarum rerum splendoribus non illuminatur caecus est</t>
  </si>
  <si>
    <t>El que con tantos clamores no se despierta está sordo</t>
  </si>
  <si>
    <t>Qui tantis clamoribus non excitatur surdus est</t>
  </si>
  <si>
    <t>Qui tantis clamoribus non evigilat surdus est</t>
  </si>
  <si>
    <t>El que por todos estos efectos no alaba a Dios está mudo</t>
  </si>
  <si>
    <t>Qui propter omnes hos effectus Deum non laudat mutus est</t>
  </si>
  <si>
    <t>Qui ob omnes hos effectus Deum non laudat mutus est</t>
  </si>
  <si>
    <t>El que con tantos indicios no advierte al primer Principio es necio</t>
  </si>
  <si>
    <t>Qui tantis indiciis primum Principium non advertit stultus est</t>
  </si>
  <si>
    <t>Qui tantis signis primum Principium non cognoscit fatuus est</t>
  </si>
  <si>
    <t>Cristo es el camino y la puerta la escalera y el vehículo</t>
  </si>
  <si>
    <t>Christus via est et porta scala et vehiculum</t>
  </si>
  <si>
    <t>Christus via est et ianua scala et vehiculum</t>
  </si>
  <si>
    <t>Desde la creación del mundo las perfecciones invisibles de Dios se han hecho intelectualmente visibles por las creaturas</t>
  </si>
  <si>
    <t>A creatione mundi invisibiles Dei perfectiones intellectualiter visibiles per creaturas factae sunt</t>
  </si>
  <si>
    <t>A mundi creatione invisibiles Dei perfectiones per creaturas intellectu visibiles factae sunt</t>
  </si>
  <si>
    <t>Pasemos con Cristo crucificado de este mundo al Padre</t>
  </si>
  <si>
    <t>Transeamus cum Christo crucifixo ex hoc mundo ad Patrem</t>
  </si>
  <si>
    <t>Transeamus cum Christo crucifixo de hoc mundo ad Patrem</t>
  </si>
  <si>
    <t>La senda que conduce a la vida perenne es la que atraviesa el puente levantado por Cristo que es la cruz</t>
  </si>
  <si>
    <t>Semita quae ad vitam perennem ducit ea est quae pontem a Christo erectum transit qui crux est</t>
  </si>
  <si>
    <t>Via quae ad vitam aeternam ducit ea est quae per pontem a Christo erectum transit qui est crux</t>
  </si>
  <si>
    <t>Dudando llegamos a la investigación y por la investigación percibimos la verdad</t>
  </si>
  <si>
    <t>Dubitando ad inquisitionem pervenimus et per inquisitionem veritatem percipimus</t>
  </si>
  <si>
    <t>Dubitando ad inquisitionem venimus et inquirendo veritatem percipimus</t>
  </si>
  <si>
    <t>Pedro Abelardo</t>
  </si>
  <si>
    <t>La primera llave del saber es la interrogación asidua y frecuente</t>
  </si>
  <si>
    <t>Prima clavis scientiae est interrogatio assidua et frequens</t>
  </si>
  <si>
    <t>Prima clavis sapientiae est assidua atque frequens interrogatio</t>
  </si>
  <si>
    <t>La duda nos conduce a la investigación la investigación nos conduce a la verdad</t>
  </si>
  <si>
    <t>Dubitatio nos ducit ad inquisitionem inquisitio nos ducit ad veritatem</t>
  </si>
  <si>
    <t>Dubitatio ad inquisitionem ducit inquisitio ad veritatem perducit</t>
  </si>
  <si>
    <t>La autoridad tiene nariz de cera puede doblarse en uno u otro sentido</t>
  </si>
  <si>
    <t>Auctoritas cereum habet nasum potest flecti in unam vel alteram partem</t>
  </si>
  <si>
    <t>Auctoritas cereum nasum habet id est in diversam potest flecti partem</t>
  </si>
  <si>
    <t>Nada puede ser creído si primero no es entendido</t>
  </si>
  <si>
    <t>Nihil credi potest nisi prius intelligatur</t>
  </si>
  <si>
    <t>Nihil credendum est nisi prius intellectum</t>
  </si>
  <si>
    <t>El lenguaje engendra pensamientos y el pensamiento da origen al lenguaje</t>
  </si>
  <si>
    <t>Lingua generat cogitationes et cogitatio linguam gignit</t>
  </si>
  <si>
    <t>Sermo cogitationes gignit cogitatio sermonem parit</t>
  </si>
  <si>
    <t>No basta con hacer el bien sino que debemos hacerlo bien</t>
  </si>
  <si>
    <t>Non sufficit bonum facere sed bene facere debemus</t>
  </si>
  <si>
    <t>Non satis est bonum facere sed bene faciendum est</t>
  </si>
  <si>
    <t>La intención hace al pecador o al justo</t>
  </si>
  <si>
    <t>Intentio facit peccatorem vel iustum</t>
  </si>
  <si>
    <t>Intentio facit reum vel innocentem</t>
  </si>
  <si>
    <t>El amor sin conocimiento es ciego el conocimiento sin amor es estéril</t>
  </si>
  <si>
    <t>Amor sine cognitione caecus est cognitio sine amore sterilis est</t>
  </si>
  <si>
    <t>Amor sine scientia caecus scientia sine amore sterilis</t>
  </si>
  <si>
    <t>El estudio sin deseo es tortuoso el deseo sin estudio es peligroso</t>
  </si>
  <si>
    <t>Studium sine desiderio tortuosum est desiderium sine studio periculosum est</t>
  </si>
  <si>
    <t>Studium sine desiderio deforme desiderium sine studio periculosum</t>
  </si>
  <si>
    <t>Así se hunde la mente en la profunda desesperación cuando las tormentas de la vida aumentan el peso de las preocupaciones terrenales</t>
  </si>
  <si>
    <t>Sic mens in profundam desperationem mergitur cum vitae tempestates terrarum curarum pondus augent</t>
  </si>
  <si>
    <t>Sic mens profunda desperatione demergitur cum vitae procellae terrenorum onerum pondus augent</t>
  </si>
  <si>
    <t>Boecio</t>
  </si>
  <si>
    <t>Que los hombres se compongan y vivan en paz pongan el destino altivo bajo sus pies y miren impasibles la buena y la mala fortuna</t>
  </si>
  <si>
    <t>Ut homines se componant et in pace vivant fatum superbum sub pedibus ponant et aequo animo bonam malamque fortunam spectent</t>
  </si>
  <si>
    <t>Ut homines se componant pacemque colant fatum superbum pedibus calcent bona malaque fortuna aequo animo intueantur</t>
  </si>
  <si>
    <t>Ningún hombre es tan completamente feliz que algo en algún lugar no choque con su condición</t>
  </si>
  <si>
    <t>Nullus homo tam omnino felix est ut aliquid alicubi cum condicione sua non pugnet</t>
  </si>
  <si>
    <t>Nemo tam plene felix est quin aliquid alicubi condicioni suae repugnet</t>
  </si>
  <si>
    <t>Por qué entonces vosotros hombres mortales buscáis la felicidad fuera de vosotros mismos cuando esta reside dentro de vosotros</t>
  </si>
  <si>
    <t>Cur igitur vos homines mortales felicitatem extra vosmetipsos quaeritis cum haec intus in vobis resideat</t>
  </si>
  <si>
    <t>Cur igitur mortales felicitatem extra vos quaeritis cum ea intus in vobis habitet</t>
  </si>
  <si>
    <t>Si la felicidad es el bien supremo la Fortuna por su mutabilidad no puede esperar conducir a la felicidad</t>
  </si>
  <si>
    <t>Si felicitas summum bonum est Fortuna per mutabilitatem suam non potest sperare ad felicitatem ducere</t>
  </si>
  <si>
    <t>Si felicitas summum bonum est Fortuna propter mutabilitatem ad felicitatem perducere non potest</t>
  </si>
  <si>
    <t>Muchos hombres han sido famosos en su tiempo pero su memoria ha perecido porque no hubo historiadores que escribieran sobre ellos</t>
  </si>
  <si>
    <t>Multi homines suo tempore famosi fuerunt sed eorum memoria periit quia non fuerunt historici qui de eis scriberent</t>
  </si>
  <si>
    <t>Multi homines suo aevo celebres fuere sed memoria eorum interiit quia scriptores defuere</t>
  </si>
  <si>
    <t>El mundo en constante cambio mantiene una armonía y los elementos mantienen la paz cuya naturaleza es guerrear</t>
  </si>
  <si>
    <t>Mundus in constanti mutatione harmoniam servat et elementa pacem servant quorum natura est bellare</t>
  </si>
  <si>
    <t>Mundus continua mutatione harmoniam servat elementa pacem tenent quorum natura est pugnare</t>
  </si>
  <si>
    <t>El amor mantiene a las personas unidas por el vínculo sagrado y teje el santo lazo del puro amor</t>
  </si>
  <si>
    <t>Amor personas coniunctas tenet sacro vinculo et sanctum nexum puri amoris nectit</t>
  </si>
  <si>
    <t>Amor homines sacro foedere coniungit sanctumque vinculum puri amoris texet</t>
  </si>
  <si>
    <t>Oh feliz raza de hombres si el Amor que rige el cielo pudiera gobernar también vuestros corazones</t>
  </si>
  <si>
    <t>O felix hominum genus si Amor qui caelum regit corda quoque vestra regere posset</t>
  </si>
  <si>
    <t>O felix mortalium genus si Amor qui caelum regit corda etiam vestra gubernaret</t>
  </si>
  <si>
    <t>Quien desea sembrar en suelo virgen primero debe despojar los campos de maleza y arbustos</t>
  </si>
  <si>
    <t>Qui seminare desiderat in solo virgine prius debet agros a herbis et fruticibus purgare</t>
  </si>
  <si>
    <t>Qui in virgine solo serere vult prius agros zizaniis et vepribus purgare debet</t>
  </si>
  <si>
    <t>En toda la dedicación con la que se afanan en innumerables empresas los mortales transitan caminos diferentes aunque todos luchan por alcanzar un mismo objetivo la felicidad</t>
  </si>
  <si>
    <t>In omni dedicatione qua in innumeris inceptis laborant mortales vias diversas transeunt licet omnes pro eodem fine felicitate contendant</t>
  </si>
  <si>
    <t>Omni studio quo innumeris negotiis laborant mortales diversa itinera pergunt quamquam omnes ad eundem finem felicitatem contendant</t>
  </si>
  <si>
    <t>La felicidad es un estado perfeccionado por la presencia de todo lo que es bueno</t>
  </si>
  <si>
    <t>Felicitas est status perfectus praesentia omnium quae bona sunt</t>
  </si>
  <si>
    <t>Felicitas status perfectus est bonorum omnium congregatione perfectus</t>
  </si>
  <si>
    <t>No hay duda de que estos caminos hacia la felicidad son desvíos y no pueden llevarnos al destino que prometen</t>
  </si>
  <si>
    <t>Non est dubium quin hae viae ad felicitatem diverticula sint nec possint nos ad destinationem quam promittunt ducere</t>
  </si>
  <si>
    <t>Haud dubium est has vias ad felicitatem devia esse nec posse nos quo promittunt perducere</t>
  </si>
  <si>
    <t>Dichoso el hombre cuyos ojos una vez pudieron percibir la resplandeciente fuente del bien</t>
  </si>
  <si>
    <t>Beatus homo cuius oculi semel lucentem fontem boni percipere potuerunt</t>
  </si>
  <si>
    <t>Beatus homo cuius oculi splendorem fontis boni semel videre potuerunt</t>
  </si>
  <si>
    <t>La mayor causa de mi tristeza es que a pesar de contar con un buen timonel que guíe al mundo el mal puede existir</t>
  </si>
  <si>
    <t>Maxima causa tristitiae meae est quod licet bonus gubernator mundum regat malum existere potest</t>
  </si>
  <si>
    <t>Maxima tristitiae meae causa est quod quamvis bonus rector mundum gubernet malum esse potest</t>
  </si>
  <si>
    <t>Los buenos son siempre fuertes y los malvados siempre humildes y débiles</t>
  </si>
  <si>
    <t>Boni semper fortes sunt et mali semper humiles et debiles</t>
  </si>
  <si>
    <t>Boni semper validi mali semper imbecilles ac debiles</t>
  </si>
  <si>
    <t>La bondad misma se establece como una especie de recompensa común de la actividad humana</t>
  </si>
  <si>
    <t>Bonitas ipsa constituitur ut quaedam merces communis humanae activitatis</t>
  </si>
  <si>
    <t>Bonitas ipsa velut commune praemium humanae actionis constituitur</t>
  </si>
  <si>
    <t>Veamos lo que decreta la ley eterna si has dirigido tu mente a cosas más elevadas eres tú mismo quien te has llevado a un estado más excelente</t>
  </si>
  <si>
    <t>Videamus quid lex aeterna decernit si mentem tuam ad altiora direxisti tu ipse es qui te ad statum excellentiorem tulisti</t>
  </si>
  <si>
    <t>Videamus quid aeterna lex decernat si mentem ad altiora direxisti te ipsum ad excellentiorem statum provexisti</t>
  </si>
  <si>
    <t>No existe tal cosa como la casualidad y es una palabra completamente sin sentido</t>
  </si>
  <si>
    <t>Non existit talis res ut casus et est verbum omnino sine sensu</t>
  </si>
  <si>
    <t>Non est res talis ut casus et est vox plane sine mente</t>
  </si>
  <si>
    <t>Hay libertad pues sería imposible que existiera alguna naturaleza racional sin ella</t>
  </si>
  <si>
    <t>Est libertas nam impossibile esset ut natura rationalis aliqua sine ea existeret</t>
  </si>
  <si>
    <t>Libertas est nam fieri non potest ut natura rationalis sine ea sit</t>
  </si>
  <si>
    <t>La voluntad es más noble que el intelecto porque el amor une mientras el conocimiento separa</t>
  </si>
  <si>
    <t>Voluntas nobilior est intellectu quia amor unit dum cognitio separat</t>
  </si>
  <si>
    <t>Voluntas nobilior est quam intellectus quia amor coniungit cognitio vero dividit</t>
  </si>
  <si>
    <t>Juan Duns Escoto</t>
  </si>
  <si>
    <t>Dios no ama porque algo sea bueno sino que algo es bueno porque Dios lo ama</t>
  </si>
  <si>
    <t>Deus non amat quia aliquid bonum est sed aliquid bonum est quia Deus illud amat</t>
  </si>
  <si>
    <t>Deus non amat quia res bona est sed res bona est quia Deus eam amat</t>
  </si>
  <si>
    <t>La libertad no consiste en poder elegir entre el bien y el mal sino en la capacidad de autodeterminación</t>
  </si>
  <si>
    <t>Libertas non consistit in potentia eligendi inter bonum et malum sed in capacitate autodeterminationis</t>
  </si>
  <si>
    <t>Libertas non in electione inter bonum et malum consistit sed in capacitate se ipsum determinandi</t>
  </si>
  <si>
    <t>Todo lo que no es imposible puede ser realizado por Dios</t>
  </si>
  <si>
    <t>Omne quod non est impossibile potest a Deo fieri</t>
  </si>
  <si>
    <t>Quodcumque non implicat contradictionem a Deo fieri potest</t>
  </si>
  <si>
    <t>El ser se dice unívocamente de Dios y de las criaturas</t>
  </si>
  <si>
    <t>Ens univoce dicitur de Deo et de creaturis</t>
  </si>
  <si>
    <t>Ens univoce praedicatur de Deo et creaturis</t>
  </si>
  <si>
    <t>La materia no es pura potencia sino que tiene su propia actualidad</t>
  </si>
  <si>
    <t>Materia non est pura potentia sed habet propriam actualitatem</t>
  </si>
  <si>
    <t>Materia non est pura potentialitas sed suam habet actualitatem</t>
  </si>
  <si>
    <t>Cristo habría venido aunque no hubiera habido pecado</t>
  </si>
  <si>
    <t>Christus venisset etsi peccatum non fuisset</t>
  </si>
  <si>
    <t>Christus incarnatus fuisset etiam si Adam non peccasset</t>
  </si>
  <si>
    <t>La Inmaculada Concepción es razonable pues Dios pudo hacerlo fue conveniente hacerlo luego lo hizo</t>
  </si>
  <si>
    <t>Immaculata Conceptio rationabilis est quia Deus potuit facere decuit facere ergo fecit</t>
  </si>
  <si>
    <t>Potuit decuit ergo fecit</t>
  </si>
  <si>
    <t>Lo que es más perfecto debe atribuirse a María</t>
  </si>
  <si>
    <t>Quod perfectius est Mariae attribuendum est</t>
  </si>
  <si>
    <t>Quod excellentius est de Maria tenendum est</t>
  </si>
  <si>
    <t>La caridad perfecciona la voluntad como la sabiduría perfecciona el intelecto</t>
  </si>
  <si>
    <t>Caritas perficit voluntatem sicut sapientia perficit intellectum</t>
  </si>
  <si>
    <t>Charitas voluntatem perficit sicut sapientia intellectum</t>
  </si>
  <si>
    <t>Cada individuo posee su propia haecceitas que lo hace ser este y no otro</t>
  </si>
  <si>
    <t>Unusquisque individuum propriam habet haecceitatem quae facit ipsum esse hoc et non aliud</t>
  </si>
  <si>
    <t>Quodlibet individuum habet suam haecceitatem qua est hoc et non illud</t>
  </si>
  <si>
    <t>La ciencia teológica es práctica antes que especulativa</t>
  </si>
  <si>
    <t>Scientia theologica practica est potius quam speculativa</t>
  </si>
  <si>
    <t>Theologia magis practica est quam speculativa</t>
  </si>
  <si>
    <t>Dios ama con un amor de predilección a quien quiere amar</t>
  </si>
  <si>
    <t>Deus amat amore praedilectionis quem vult amare</t>
  </si>
  <si>
    <t>Deus diligit amore electionis quemcumque vult</t>
  </si>
  <si>
    <t>Las visiones que contemplé nunca las percibí durante el sueño ni en el reposo ni en el delirio</t>
  </si>
  <si>
    <t>Visiones quas contemplata sum numquam percepi in somno nec in quiete nec in delirio</t>
  </si>
  <si>
    <t>Visiones quas vidi numquam in somno nec vigilia nec delirio percepi</t>
  </si>
  <si>
    <t>Hildegarda de Bingen</t>
  </si>
  <si>
    <t>Lo que no veo lo desconozco puesto que no soy docta</t>
  </si>
  <si>
    <t>Quod non video ignoro quoniam non sum docta</t>
  </si>
  <si>
    <t>Quod non video nescio quia non sum litterata</t>
  </si>
  <si>
    <t>Escucha hay un Rey en la montaña sentado en su trono rodeado por sus columnas</t>
  </si>
  <si>
    <t>Audi est Rex in monte sedens in throno suo circumdatus columnis suis</t>
  </si>
  <si>
    <t>Audi Rex est in monte sedens super thronum suum circumdatus columnis</t>
  </si>
  <si>
    <t>El alma es sinfónica</t>
  </si>
  <si>
    <t>Anima symphonica est</t>
  </si>
  <si>
    <t>Anima symphonialis est</t>
  </si>
  <si>
    <t>La creación entera está llamada a ser una sinfonía de alabanza al Creador</t>
  </si>
  <si>
    <t>Creatio tota vocata est ut sit symphonia laudis Creatori</t>
  </si>
  <si>
    <t>Omnis creatura vocata est ad symphoniam laudis Creatoris</t>
  </si>
  <si>
    <t>Oh fuego del Espíritu Santo vida de la vida de toda creatura santa eres al dar vida a las formas</t>
  </si>
  <si>
    <t>O ignis Spiritus Sancti vita vitae omnis creaturae sanctus es vivificando formas</t>
  </si>
  <si>
    <t>O ignis Spiritus Paracliti vita vitae omnis creaturae sanctus es formas vivificans</t>
  </si>
  <si>
    <t>El ser humano es un instrumento de la sinfonía de Dios</t>
  </si>
  <si>
    <t>Homo instrumentum est symphoniae Dei</t>
  </si>
  <si>
    <t>Homo instrumentum symphoniae Dei est</t>
  </si>
  <si>
    <t>La viriditas es el poder de reverdecimiento la fuerza vital que Dios infunde en toda la creación</t>
  </si>
  <si>
    <t>Viriditas potestas revirescentiae est vis vitalis quam Deus in omnem creationem infundit</t>
  </si>
  <si>
    <t>Viriditas est vis germinativa quam Deus omni creaturae inspirat</t>
  </si>
  <si>
    <t>El alma es el soplo de vida del cuerpo el cuerpo es la sombra del alma</t>
  </si>
  <si>
    <t>Anima spiritus vitae corporis est corpus umbra animae est</t>
  </si>
  <si>
    <t>Anima halitus vitae corporis corpus umbra animae</t>
  </si>
  <si>
    <t>Mujer luminosa el cielo no tiene otra luz que la de la lámpara</t>
  </si>
  <si>
    <t>Mulier lucida caelum non habet aliam lucem quam lucernae</t>
  </si>
  <si>
    <t>O mulier lucida caelum non habet lucem nisi lucernae</t>
  </si>
  <si>
    <t>La palabra profética es como el resplandor del relámpago</t>
  </si>
  <si>
    <t>Verbum propheticum est sicut splendor fulguris</t>
  </si>
  <si>
    <t>Propheticum verbum fulguris splendorem habet</t>
  </si>
  <si>
    <t>La naturaleza entera está al servicio del hombre pero el hombre debe estar al servicio de Dios</t>
  </si>
  <si>
    <t>Natura tota in servitio hominis est sed homo in servitio Dei esse debet</t>
  </si>
  <si>
    <t>Omnis natura homini servit homo autem Deo servire debet</t>
  </si>
  <si>
    <t>Dios está en nosotros y nosotros estamos en Él</t>
  </si>
  <si>
    <t>Deus in nobis est et nos in Eo sumus</t>
  </si>
  <si>
    <t>Deus in nobis est nos in Deo sumus</t>
  </si>
  <si>
    <t>Maestro Eckhart</t>
  </si>
  <si>
    <t>El ojo con que veo a Dios es el mismo ojo con que Dios me ve</t>
  </si>
  <si>
    <t>Oculus quo Deum video idem oculus est quo Deus me videt</t>
  </si>
  <si>
    <t>Oculus quo video Deum idem est oculus quo Deus videt me</t>
  </si>
  <si>
    <t>Dios no está fuera de nosotros sino dentro de nosotros</t>
  </si>
  <si>
    <t>Deus non extra nos est sed intra nos est</t>
  </si>
  <si>
    <t>Deus non est extra nos sed intra nos</t>
  </si>
  <si>
    <t>El silencio es el lenguaje de Dios</t>
  </si>
  <si>
    <t>Silentium lingua Dei est</t>
  </si>
  <si>
    <t>Silentium sermo Dei est</t>
  </si>
  <si>
    <t>Aquí el fondo de Dios es mi fondo y mi fondo es el fondo de Dios</t>
  </si>
  <si>
    <t>Hic fundamentum Dei fundamentum meum est et fundamentum meum fundamentum Dei est</t>
  </si>
  <si>
    <t>Hic fundus Dei meus fundus est meus fundus Dei fundus</t>
  </si>
  <si>
    <t>Si el alma pudiera conocer a Dios sin el mundo el mundo no habría sido creado jamás</t>
  </si>
  <si>
    <t>Si anima Deum sine mundo cognoscere posset mundus numquam creatus fuisset</t>
  </si>
  <si>
    <t>Si anima Deum sine mundo cognoscere potuisset mundus numquam creatus esset</t>
  </si>
  <si>
    <t>El hombre que está establecido en la presencia de Dios no puede ser perturbado por nada</t>
  </si>
  <si>
    <t>Homo qui in praesentia Dei fundatus est non potest a re aliqua perturbari</t>
  </si>
  <si>
    <t>Homo in Dei praesentia fundatus a nullo turbari potest</t>
  </si>
  <si>
    <t>Cuando el alma alcanza la luz sin mezcla entonces penetra en su insignificancia</t>
  </si>
  <si>
    <t>Cum anima lucem sine mixtura attingit tunc in suam parvitatem penetrat</t>
  </si>
  <si>
    <t>Cum anima ad lucem puram pervenit in suam nihilitatem ingreditur</t>
  </si>
  <si>
    <t>Cada criatura es una palabra de Dios</t>
  </si>
  <si>
    <t>Omnis creatura verbum Dei est</t>
  </si>
  <si>
    <t>Quaelibet creatura sermo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</si>
  <si>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</si>
  <si>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</si>
  <si>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Si quis putat se per devotionem plus Dei accepturum quam in stabulo facit quasi Deum caperet et panno involveret</t>
  </si>
  <si>
    <t>Quien busca a Dios sin modo lo comprende tal como es en sí mismo</t>
  </si>
  <si>
    <t>Qui Deum sine modo quaerit eum comprehendit sicuti in se ipso est</t>
  </si>
  <si>
    <t>Qui Deum sine modo quaerit eum capit sicuti in se est</t>
  </si>
  <si>
    <t>Desde este fondo interior debes hacer todas tus obras sin porqué</t>
  </si>
  <si>
    <t>Ex hoc fundo interiori debes facere omnia opera tua sine quare</t>
  </si>
  <si>
    <t>Ex isto fundo interiori omnia opera tua sine quare facere debes</t>
  </si>
  <si>
    <t>Oh alma mía sal fuera Dios entra</t>
  </si>
  <si>
    <t>O anima mea exi foras Deus intrat</t>
  </si>
  <si>
    <t>O anima egredere Deus ingreditur</t>
  </si>
  <si>
    <t>La pobreza de espíritu significa no querer nada no saber nada no tener nada</t>
  </si>
  <si>
    <t>Paupertas spiritus significat nihil velle nihil scire nihil habere</t>
  </si>
  <si>
    <t>Paupertas spiritus est nihil velle nihil scire nihil possidere</t>
  </si>
  <si>
    <t>Dios nace en el alma cuando el alma muere en Dios</t>
  </si>
  <si>
    <t>Deus nascitur in anima cum anima moritur in Deo</t>
  </si>
  <si>
    <t>Deus in anima nascitur cum anima in Deo moritur</t>
  </si>
  <si>
    <t>Lo más grande que el hombre puede abandonar es abandonarse a sí mismo</t>
  </si>
  <si>
    <t>Maximum quod homo relinquere potest est se ipsum relinquere</t>
  </si>
  <si>
    <t>Summum quod homo dimittere potest est se ipsum dimittere</t>
  </si>
  <si>
    <t>En todo amar y servir</t>
  </si>
  <si>
    <t>In omnibus amare et servire</t>
  </si>
  <si>
    <t>San Ignacio de Loyola</t>
  </si>
  <si>
    <t>El amor se ha de poner más en las obras que en las palabras</t>
  </si>
  <si>
    <t>Amor magis in operibus quam in verbis ponendus est</t>
  </si>
  <si>
    <t>Reza como si todo dependiera de Dios trabaja como si todo dependiera de ti</t>
  </si>
  <si>
    <t>Ora quasi omnia a Deo pendeant labora quasi omnia a te pendeant</t>
  </si>
  <si>
    <t>Tomad Señor y recibid toda mi libertad mi memoria mi entendimiento y toda mi voluntad</t>
  </si>
  <si>
    <t>Sume Domine et recipe omnem meam libertatem meam memoriam intellectum atque omnem voluntatem</t>
  </si>
  <si>
    <t>Cuán vil me parece la tierra cuando miro al cielo</t>
  </si>
  <si>
    <t>Quam vilis mihi terra videtur cum caelum aspicio</t>
  </si>
  <si>
    <t>La renuncia de la voluntad propia vale más que resucitar a los muertos</t>
  </si>
  <si>
    <t>Renuntiatio propriae voluntatis plus valet quam mortuos suscitare</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</si>
  <si>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</si>
  <si>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</si>
  <si>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</si>
  <si>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</si>
  <si>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</si>
  <si>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</si>
  <si>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</si>
  <si>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</si>
  <si>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</si>
  <si>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</si>
  <si>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</si>
  <si>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</si>
  <si>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Haz lo que tienes que hacer como si fuera lo único que importa</t>
  </si>
  <si>
    <t>Fac quod facere debes quasi esset unica res quae refert</t>
  </si>
  <si>
    <t>Para quien ama nada es difícil</t>
  </si>
  <si>
    <t>Amanti nihil difficile</t>
  </si>
  <si>
    <t>Jesús sé mi guía condúceme</t>
  </si>
  <si>
    <t>Iesu esto dux meus deduc me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</si>
  <si>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</si>
  <si>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</si>
  <si>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</si>
  <si>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</si>
  <si>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Hacer bien todas las cosas ad maiorem Dei gloriam</t>
  </si>
  <si>
    <t>Bene facere omnia ad maiorem Dei gloriam</t>
  </si>
  <si>
    <t>No temer nunca porque Dios está conmigo</t>
  </si>
  <si>
    <t>Numquam timere quia Deus mecum est</t>
  </si>
  <si>
    <t>Actúa como si todo dependiera de ti sabiendo que en realidad todo depende de Dios</t>
  </si>
  <si>
    <t>Age quasi omnia a te pendeant sciens revera omnia a Deo pendere</t>
  </si>
  <si>
    <t>Si no consigo barco iré nadando</t>
  </si>
  <si>
    <t>Si navem non invenio natando ibo</t>
  </si>
  <si>
    <t>San Francisco Javier</t>
  </si>
  <si>
    <t>Basta Señor si me mandas tantos consuelos me volveré loco</t>
  </si>
  <si>
    <t>Satis Domine si tot consolationes mihi mandas insaniam</t>
  </si>
  <si>
    <t>No hay fronteras no hay confines solo Dios mi esperanza</t>
  </si>
  <si>
    <t>Non sunt termini non sunt fines solus Deus mea spes</t>
  </si>
  <si>
    <t>Dadme almas llevad todo lo demás</t>
  </si>
  <si>
    <t>Date mihi animas tollite cetera omnia</t>
  </si>
  <si>
    <t>Señor no me des tantos consuelos en esta vida pero si tu misericordia ha decidido dármelos llévame entonces todo entero a gozar plenamente de Ti</t>
  </si>
  <si>
    <t>Domine ne mihi tot consolationes in hac vita des sed si misericordia tua eas dare statuit tunc me totum rape ad te plene fruendum</t>
  </si>
  <si>
    <t>Oigo las voces de muchísimos no cristianos que dicen Danos maestros que nos enseñen la fe</t>
  </si>
  <si>
    <t>Audio voces plurimorum non Christianorum qui dicunt Date nobis magistros qui nos fidem doceant</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</si>
  <si>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</si>
  <si>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</si>
  <si>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Cristo me ha enviado no a los sabios y prudentes sino a los pobres y a los niños</t>
  </si>
  <si>
    <t>Christus me misit non ad sapientes et prudentes sed ad pauperes et parvulos</t>
  </si>
  <si>
    <t>Escogí por compañero en el trabajo que Dios me había dado en esta vida al muy amado y nunca bastante llorado Pablo de Santa Fe que Dios se llevó al cielo</t>
  </si>
  <si>
    <t>Elegi comitem in labore quem Deus mihi in hac vita dederat dilectissimum et numquam satis deflendum Paulum a Sancta Fide quem Deus ad caelum tulit</t>
  </si>
  <si>
    <t>Los peligros que se pasan por amor de Dios son descansos</t>
  </si>
  <si>
    <t>Pericula quae amore Dei transeunt requies sunt</t>
  </si>
  <si>
    <t>Ciegamente confiando solo en Dios el único que ha vencido a los demonios y ha puesto orden en el caos de la naturaleza creada se lanzó a las más arriesgadas aventuras</t>
  </si>
  <si>
    <t>Caeco modo solum in Deo confidens qui solus daemones vicit et ordinem in chao naturae creatae posuit se ad audacissimas res iactavit</t>
  </si>
  <si>
    <t>Para que sean útiles en la Compañía han de tener gran deseo de aprovechar a las almas y grande amor a la cruz</t>
  </si>
  <si>
    <t>Ut utiles sint in Societate magnum desiderium animabus proficiendi et magnum amorem crucis habere debent</t>
  </si>
  <si>
    <t>Toda mi consolación la tengo cuando leo las cartas de mis hermanos de la Compañía</t>
  </si>
  <si>
    <t>Omnem consolationem meam habeo cum litteras fratrum meorum Societatis lego</t>
  </si>
  <si>
    <t>Grande es la alegría que me da ver cómo el Señor escoge instrumentos tan débiles para hacer cosas tan grandes</t>
  </si>
  <si>
    <t>Magna est laetitia quae mihi datur videre quomodo Dominus instrumenta tam debilia eligit ad res tam magnas faciendas</t>
  </si>
  <si>
    <t>Haced a Dios la merced de creer que aquellos que parten para tierras de infieles con solo la fe por escudo no temen ni peligros ni dificultades</t>
  </si>
  <si>
    <t>Facite Deo gratiam credendi eos qui ad terras infidelium sola fide pro scuto proficiscuntur nec pericula nec difficultates timere</t>
  </si>
  <si>
    <t>Si pudiese escribir lo que veo y siento de las cosas de Dios de las que por acá he visto desharíamos los libros hechos</t>
  </si>
  <si>
    <t>Si scribere possem quod video et sentio de rebus Dei quas hic vidi libros factos dissolveremus</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</si>
  <si>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</si>
  <si>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</si>
  <si>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Todo lo que Dios me da es tanto y tanto que no querría más porque no puedo llevar más</t>
  </si>
  <si>
    <t>Totum quod Deus mihi dat tantum est et tantum ut non vellem plus quia plus portare non possum</t>
  </si>
  <si>
    <t xml:space="preserve">En estos lugares de infieles no hay otros amigos sino Dios y la cruz	</t>
  </si>
  <si>
    <t>In his locis infidelium non sunt alii amici nisi Deus et crux</t>
  </si>
  <si>
    <t>En estos lugares de infieles no hay otros amigos sino Dios y la cruz</t>
  </si>
  <si>
    <t>Para mayor gloria de Dios</t>
  </si>
  <si>
    <t>Ad maiorem Dei gloriam</t>
  </si>
  <si>
    <t>id_autor</t>
  </si>
  <si>
    <t>fecha_nacimiento</t>
  </si>
  <si>
    <t>fecha_fallecimiento</t>
  </si>
  <si>
    <t>Quintus Horatius Flaccus</t>
  </si>
  <si>
    <t>Poeta lírico romano, autor de "Carpe diem".</t>
  </si>
  <si>
    <t>Poeta lyricus Romanus, auctor "Carpe diem".</t>
  </si>
  <si>
    <t>Latín</t>
  </si>
  <si>
    <t>Roma</t>
  </si>
  <si>
    <t>Renatus Cartesius</t>
  </si>
  <si>
    <t>Filósofo y matemático francés.</t>
  </si>
  <si>
    <t>Philosophus et mathematicus Francogallicus.</t>
  </si>
  <si>
    <t>Francia</t>
  </si>
  <si>
    <t>Franciscus Bacon</t>
  </si>
  <si>
    <t>Filósofo y estadista inglés, autor de "El conocimiento es poder".</t>
  </si>
  <si>
    <t>Philosophus et civis Anglicus, auctor "Scientia potentia est".</t>
  </si>
  <si>
    <t>Inglés</t>
  </si>
  <si>
    <t>Reino Unido</t>
  </si>
  <si>
    <t>Aurelius Augustinus</t>
  </si>
  <si>
    <t>Filósofo y teólogo cristiano.</t>
  </si>
  <si>
    <t>Philosophus et theologus Christianus.</t>
  </si>
  <si>
    <t>Gulielmus Shakespeare</t>
  </si>
  <si>
    <t>Dramaturgo y poeta inglés, autor de Hamlet.</t>
  </si>
  <si>
    <t>Dramaturgus et poeta Anglicus, auctor "Hamlet".</t>
  </si>
  <si>
    <t>Salomon</t>
  </si>
  <si>
    <t>Rey de Israel, autor de proverbios y textos bíblicos.</t>
  </si>
  <si>
    <t>Rex Israel, auctor proverbiorum et textuum sacrorum.</t>
  </si>
  <si>
    <t>Hebreo</t>
  </si>
  <si>
    <t>Israel</t>
  </si>
  <si>
    <t>Daleus Carnegieus</t>
  </si>
  <si>
    <t>Escritor y conferencista estadounidense, autor de libros de desarrollo personal.</t>
  </si>
  <si>
    <t>Scriba et orator Americanus, auctor librorum de progressu personali.</t>
  </si>
  <si>
    <t>Estados Unidos</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</si>
  <si>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</si>
  <si>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</si>
  <si>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</si>
  <si>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</si>
  <si>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</si>
  <si>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</si>
  <si>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</si>
  <si>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</si>
  <si>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</si>
  <si>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</si>
  <si>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Sententia Gallica</t>
  </si>
  <si>
    <t>Refranes populares de la tradición oral francesa que transmiten observaciones sobre la vida, el trabajo y la conducta humana.</t>
  </si>
  <si>
    <t>Collectio sententiarum Gallicarum.</t>
  </si>
  <si>
    <t>Francés</t>
  </si>
  <si>
    <t>Sententia Russica</t>
  </si>
  <si>
    <t>Dichos tradicionales del pueblo ruso que condensan la experiencia colectiva, el ingenio y la filosofía popular transmitida de generación en generación.</t>
  </si>
  <si>
    <t>Collectio sententiarum Russicarum.</t>
  </si>
  <si>
    <t>Ruso</t>
  </si>
  <si>
    <t>Rusia</t>
  </si>
  <si>
    <t>Sententia Hispanica</t>
  </si>
  <si>
    <t>Refranes populares de la tradición oral hispana que expresan de forma breve y ingeniosa enseñanzas prácticas sobre la vida cotidiana.</t>
  </si>
  <si>
    <t>Collectio sententiarum Hispanicarum.</t>
  </si>
  <si>
    <t>Español</t>
  </si>
  <si>
    <t>España</t>
  </si>
  <si>
    <t>Sententia Vasconica</t>
  </si>
  <si>
    <t>Proverbios de la tradición oral vasca que reflejan la relación con la naturaleza, el trabajo y los valores comunitarios del pueblo vasco.</t>
  </si>
  <si>
    <t>Collectio sententiarum Vasconicarum.</t>
  </si>
  <si>
    <t>Euskara</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</si>
  <si>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</si>
  <si>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</si>
  <si>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</si>
  <si>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</si>
  <si>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</si>
  <si>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</si>
  <si>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</si>
  <si>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</si>
  <si>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</si>
  <si>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</si>
  <si>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Isidorus Hispalensis</t>
  </si>
  <si>
    <t>Arzobispo de Sevilla, erudito y escritor español. Autor de "Etimologías", obra enciclopédica que recoge gran parte del saber de su época.</t>
  </si>
  <si>
    <t>Archiepiscopus Hispaliensis, eruditus et scriptor Hispanicus, auctor "Etymologiae".</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</si>
  <si>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</si>
  <si>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</si>
  <si>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</si>
  <si>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Thomas Aquinas</t>
  </si>
  <si>
    <t>Filósofo y teólogo italiano, representante de la Escolástica. Autor de la "Summa Theologica".</t>
  </si>
  <si>
    <t>Philosophus et theologus Italicus, Scholasticae repraesentans. Auctor "Summa Theologica".</t>
  </si>
  <si>
    <t>Italia</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</si>
  <si>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</si>
  <si>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</si>
  <si>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</si>
  <si>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</si>
  <si>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Escritor, poeta, filósofo y periodista inglés. Famoso por sus ensayos, cuentos de misterio y defensa del cristianismo.</t>
  </si>
  <si>
    <t>Scriba, poeta, philosophus et diurnarius Anglicus. Notus pro essayis, fabulis mysteriis et Christianismi defensione.</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</si>
  <si>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</si>
  <si>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</si>
  <si>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</si>
  <si>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</si>
  <si>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</si>
  <si>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</si>
  <si>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</si>
  <si>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Proverbium Arabica</t>
  </si>
  <si>
    <t>Proverbios tradicionales de la cultura árabe que transmiten valores de hospitalidad, honor, paciencia y sabiduría práctica.</t>
  </si>
  <si>
    <t>Collectio sententiarum Arabicarum.</t>
  </si>
  <si>
    <t>Árabe</t>
  </si>
  <si>
    <t>Arabia Saudita</t>
  </si>
  <si>
    <t>Proverbium Indica</t>
  </si>
  <si>
    <t>Dichos tradicionales de la India que reflejan principios espirituales, filosóficos y morales influidos por el hinduismo y las tradiciones védicas.</t>
  </si>
  <si>
    <t>Collectio sententiarum Indicarum.</t>
  </si>
  <si>
    <t>Hindi</t>
  </si>
  <si>
    <t>India</t>
  </si>
  <si>
    <t>Oswaldus Spengler</t>
  </si>
  <si>
    <t>Filósofo e historiador alemán, autor de "La decadencia de Occidente".</t>
  </si>
  <si>
    <t>Philosophus et historicus Germanicus, auctor "Occidentis Decadentia".</t>
  </si>
  <si>
    <t>Michael Cervantes</t>
  </si>
  <si>
    <t>Novelista, poeta y dramaturgo español, autor de "Don Quijote de la Mancha".</t>
  </si>
  <si>
    <t>Scriba, poeta et dramatist Hispanicus, auctor "Don Quixote de la Mancha".</t>
  </si>
  <si>
    <t>Nelsonus Mandela</t>
  </si>
  <si>
    <t>Político y activista sudafricano, primer presidente negro de Sudáfrica y líder contra el apartheid.</t>
  </si>
  <si>
    <t>Politicus et activist Africanus Australis, primus praeses niger et apartheid adversator.</t>
  </si>
  <si>
    <t>Sudáfrica</t>
  </si>
  <si>
    <t>Mohandas Gandhi</t>
  </si>
  <si>
    <t>Líder político y espiritual de India, impulsor de la resistencia no violenta.</t>
  </si>
  <si>
    <t>Dux politicis et spiritualis Indiae, resistentiam non violentam promovere.</t>
  </si>
  <si>
    <t>Albertus Einstein</t>
  </si>
  <si>
    <t>Físico teórico alemán, desarrolló la teoría de la relatividad.</t>
  </si>
  <si>
    <t>Physicus theoreticus Germanicus, theoriam relativitatis excogitavit.</t>
  </si>
  <si>
    <t>Martin Luther King</t>
  </si>
  <si>
    <t>Líder del movimiento por los derechos civiles en Estados Unidos y activista por la igualdad racial.</t>
  </si>
  <si>
    <t>Dux iurium civilium et activist aequalitatis racialium in Civitatibus Foederatis.</t>
  </si>
  <si>
    <t>Ioannes Dewey</t>
  </si>
  <si>
    <t>Filósofo y pedagogo estadounidense, defensor de la educación progresista.</t>
  </si>
  <si>
    <t>Philosophus et paedagogus Americanus, educationem progressivam defendens.</t>
  </si>
  <si>
    <t>Benjaminus Franklin</t>
  </si>
  <si>
    <t>Político, científico y escritor estadounidense, uno de los Padres Fundadores de Estados Unidos.</t>
  </si>
  <si>
    <t>Politicus, sapiens et scriptor Americanus, unus ex Patribus Fundatoribus.</t>
  </si>
  <si>
    <t>Leonardus Vincius</t>
  </si>
  <si>
    <t>Artista, inventor y científico italiano del Renacimiento.</t>
  </si>
  <si>
    <t>Artifex, inventor et physicus Italicus Renaissance.</t>
  </si>
  <si>
    <t>Proverbium Tibetanum</t>
  </si>
  <si>
    <t>Proverbios de la tradición tibetana inspirados en la filosofía budista, centrados en la compasión, la impermanencia y el equilibrio interior.</t>
  </si>
  <si>
    <t>Collectio sententiarum Tibeticarum.</t>
  </si>
  <si>
    <t>Tíbet</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</si>
  <si>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</si>
  <si>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</si>
  <si>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</si>
  <si>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</si>
  <si>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</si>
  <si>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</si>
  <si>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</si>
  <si>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</si>
  <si>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</si>
  <si>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</si>
  <si>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</si>
  <si>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</si>
  <si>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</si>
  <si>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</si>
  <si>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</si>
  <si>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</si>
  <si>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Marcus Aurelius</t>
  </si>
  <si>
    <t>Emperador romano y filósofo estoico de la Edad Antigua, autor de las “Meditaciones”, obra clave del estoicismo práctico.</t>
  </si>
  <si>
    <t>Imperator Romanus et philosophus Stoicus Antiquitatis, auctor “Meditationum”, operis maximi in praxi Stoica.</t>
  </si>
  <si>
    <t>Plato</t>
  </si>
  <si>
    <t>Filósofo griego de la Edad Antigua, discípulo de Sócrates y maestro de Aristóteles, fundador de la Academia de Atenas.</t>
  </si>
  <si>
    <t>Philosophus Graecus Antiquitatis, discipulus Socratis et magister Aristotelis, Academiae Atheniensis conditor.</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</si>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</sst>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Arial"/>
      <family val="2"/>
      <charset val="1"/>
    </font>
    <font>
      <sz val="10"/>
      <name val="Noto Sans CJK SC"/>
      <family val="2"/>
      <charset val="1"/>
    </font>
    <font>
      <sz val="10"/>
      <name val="Noto Sans Devanagari"/>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0" fillId="0" borderId="0" xfId="0" applyNumberFormat="1"/>
    <xf numFmtId="0" fontId="0" fillId="0" borderId="0" xfId="0" applyNumberFormat="1" applyAlignment="1">
      <alignment wrapText="1"/>
    </xf>
  </cellXfs>
  <cellStyles count="1">
    <cellStyle name="Normal" xfId="0" builtinId="0"/>
  </cellStyles>
  <dxfs count="11">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O1520" totalsRowShown="0">
  <autoFilter ref="A1:O1520" xr:uid="{08C4EDF6-874E-40DA-81EE-FEA3EC34FA94}"/>
  <tableColumns count="15">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17" xr3:uid="{52E94910-38B7-40F6-A36C-1AA42FEDA98A}" name="autor_la">
      <calculatedColumnFormula>_xlfn.XLOOKUP(frasest[[#This Row],[autor_es]],autorest[autor_es],autorest[autor_la])</calculatedColumnFormula>
    </tableColumn>
    <tableColumn id="22" xr3:uid="{93C7EFE0-F545-4E02-AC1E-C05970A0A294}" name="bio_es" dataDxfId="10">
      <calculatedColumnFormula>_xlfn.XLOOKUP(frasest[[#This Row],[autor_es]],autorest[autor_es],autorest[bio_es])</calculatedColumnFormula>
    </tableColumn>
    <tableColumn id="21" xr3:uid="{DF6CCC9F-1ACF-4417-848B-4ACE70CDE421}" name="bio_la" dataDxfId="9">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8">
      <calculatedColumnFormula>_xlfn.XLOOKUP(frasest[[#This Row],[autor_es]],autorest[autor_es],autorest[idioma_la])</calculatedColumnFormula>
    </tableColumn>
    <tableColumn id="12" xr3:uid="{E910299F-FC4E-4353-B7BA-5BA43F91D763}" name="nacion_es" dataDxfId="7">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N117" totalsRowShown="0">
  <autoFilter ref="A1:N117" xr:uid="{31ACF983-0659-4011-91FD-499FC29B2EA9}"/>
  <tableColumns count="14">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3" totalsRowShown="0">
  <autoFilter ref="A1:D53"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520"/>
  <sheetViews>
    <sheetView tabSelected="1" topLeftCell="D1" zoomScaleNormal="100" workbookViewId="0">
      <selection activeCell="E1" sqref="E1"/>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32.7109375" bestFit="1" customWidth="1"/>
    <col min="7" max="8" width="32.7109375" customWidth="1"/>
    <col min="9" max="9" width="9.5703125" bestFit="1" customWidth="1"/>
    <col min="10" max="10" width="12.5703125" bestFit="1" customWidth="1"/>
    <col min="11" max="11" width="16.42578125" bestFit="1" customWidth="1"/>
    <col min="12" max="12" width="14.28515625" bestFit="1" customWidth="1"/>
    <col min="13" max="13" width="18.5703125" bestFit="1" customWidth="1"/>
    <col min="14" max="14" width="18" bestFit="1" customWidth="1"/>
    <col min="15" max="15" width="19.5703125" bestFit="1"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1</v>
      </c>
      <c r="B2" t="s">
        <v>15</v>
      </c>
      <c r="C2" t="s">
        <v>16</v>
      </c>
      <c r="D2" t="s">
        <v>17</v>
      </c>
      <c r="E2" t="s">
        <v>18</v>
      </c>
      <c r="F2" t="str">
        <f>_xlfn.XLOOKUP(frasest[[#This Row],[autor_es]],autorest[autor_es],autorest[autor_la])</f>
        <v>Sententia Gallica</v>
      </c>
      <c r="G2" t="str">
        <f>_xlfn.XLOOKUP(frasest[[#This Row],[autor_es]],autorest[autor_es],autorest[bio_es])</f>
        <v>Refranes populares de la tradición oral francesa que transmiten observaciones sobre la vida, el trabajo y la conducta humana.</v>
      </c>
      <c r="H2" t="str">
        <f>_xlfn.XLOOKUP(frasest[[#This Row],[autor_es]],autorest[autor_es],autorest[bio_la])</f>
        <v>Collectio sententiarum Gallicarum.</v>
      </c>
      <c r="I2" t="str">
        <f>_xlfn.XLOOKUP(frasest[[#This Row],[autor_es]],autorest[autor_es],autorest[codigo])</f>
        <v>fr</v>
      </c>
      <c r="J2" t="str">
        <f>_xlfn.XLOOKUP(frasest[[#This Row],[autor_es]],autorest[autor_es],autorest[idioma_es])</f>
        <v>Francés</v>
      </c>
      <c r="K2" t="str">
        <f>_xlfn.XLOOKUP(frasest[[#This Row],[autor_es]],autorest[autor_es],autorest[idioma_la])</f>
        <v>Lingua Gallica</v>
      </c>
      <c r="L2" t="str">
        <f>_xlfn.XLOOKUP(frasest[[#This Row],[autor_es]],autorest[autor_es],autorest[nacion_es])</f>
        <v>Francia</v>
      </c>
      <c r="M2" t="str">
        <f>_xlfn.XLOOKUP(frasest[[#This Row],[autor_es]],autorest[autor_es],autorest[nacion_la])</f>
        <v>Francia</v>
      </c>
      <c r="N2" t="str">
        <f>_xlfn.XLOOKUP(frasest[[#This Row],[autor_es]],autorest[autor_es],autorest[epoca_es])</f>
        <v>Epoca Desconocida</v>
      </c>
      <c r="O2" t="str">
        <f>_xlfn.XLOOKUP(frasest[[#This Row],[autor_es]],autorest[autor_es],autorest[epoca_la])</f>
        <v>Epocha Ignota</v>
      </c>
    </row>
    <row r="3" spans="1:15">
      <c r="A3">
        <v>2</v>
      </c>
      <c r="B3" t="s">
        <v>19</v>
      </c>
      <c r="C3" t="s">
        <v>20</v>
      </c>
      <c r="D3" t="s">
        <v>19</v>
      </c>
      <c r="E3" t="s">
        <v>21</v>
      </c>
      <c r="F3" t="str">
        <f>_xlfn.XLOOKUP(frasest[[#This Row],[autor_es]],autorest[autor_es],autorest[autor_la])</f>
        <v>Sententia Hispanica</v>
      </c>
      <c r="G3" t="str">
        <f>_xlfn.XLOOKUP(frasest[[#This Row],[autor_es]],autorest[autor_es],autorest[bio_es])</f>
        <v>Refranes populares de la tradición oral hispana que expresan de forma breve y ingeniosa enseñanzas prácticas sobre la vida cotidiana.</v>
      </c>
      <c r="H3" t="str">
        <f>_xlfn.XLOOKUP(frasest[[#This Row],[autor_es]],autorest[autor_es],autorest[bio_la])</f>
        <v>Collectio sententiarum Hispanicarum.</v>
      </c>
      <c r="I3" t="str">
        <f>_xlfn.XLOOKUP(frasest[[#This Row],[autor_es]],autorest[autor_es],autorest[codigo])</f>
        <v>es</v>
      </c>
      <c r="J3" t="str">
        <f>_xlfn.XLOOKUP(frasest[[#This Row],[autor_es]],autorest[autor_es],autorest[idioma_es])</f>
        <v>Español</v>
      </c>
      <c r="K3" t="str">
        <f>_xlfn.XLOOKUP(frasest[[#This Row],[autor_es]],autorest[autor_es],autorest[idioma_la])</f>
        <v>Lingua Hispanica</v>
      </c>
      <c r="L3" t="str">
        <f>_xlfn.XLOOKUP(frasest[[#This Row],[autor_es]],autorest[autor_es],autorest[nacion_es])</f>
        <v>España</v>
      </c>
      <c r="M3" t="str">
        <f>_xlfn.XLOOKUP(frasest[[#This Row],[autor_es]],autorest[autor_es],autorest[nacion_la])</f>
        <v>Hispania</v>
      </c>
      <c r="N3" t="str">
        <f>_xlfn.XLOOKUP(frasest[[#This Row],[autor_es]],autorest[autor_es],autorest[epoca_es])</f>
        <v>Epoca Desconocida</v>
      </c>
      <c r="O3" t="str">
        <f>_xlfn.XLOOKUP(frasest[[#This Row],[autor_es]],autorest[autor_es],autorest[epoca_la])</f>
        <v>Epocha Ignota</v>
      </c>
    </row>
    <row r="4" spans="1:15">
      <c r="A4">
        <v>3</v>
      </c>
      <c r="B4" t="s">
        <v>22</v>
      </c>
      <c r="C4" t="s">
        <v>23</v>
      </c>
      <c r="D4" s="1" t="s">
        <v>24</v>
      </c>
      <c r="E4" t="s">
        <v>25</v>
      </c>
      <c r="F4" t="str">
        <f>_xlfn.XLOOKUP(frasest[[#This Row],[autor_es]],autorest[autor_es],autorest[autor_la])</f>
        <v>Proverbium Iaponicum</v>
      </c>
      <c r="G4" t="str">
        <f>_xlfn.XLOOKUP(frasest[[#This Row],[autor_es]],autorest[autor_es],autorest[bio_es])</f>
        <v>Expresiones tradicionales de la cultura japonesa que resumen enseñanzas morales, filosóficas y prácticas derivadas del budismo, el sintoísmo y la experiencia popular.</v>
      </c>
      <c r="H4" t="str">
        <f>_xlfn.XLOOKUP(frasest[[#This Row],[autor_es]],autorest[autor_es],autorest[bio_la])</f>
        <v>Collectio sententiarum Iaponicarum.</v>
      </c>
      <c r="I4" t="str">
        <f>_xlfn.XLOOKUP(frasest[[#This Row],[autor_es]],autorest[autor_es],autorest[codigo])</f>
        <v>ja</v>
      </c>
      <c r="J4" t="str">
        <f>_xlfn.XLOOKUP(frasest[[#This Row],[autor_es]],autorest[autor_es],autorest[idioma_es])</f>
        <v>Japonés</v>
      </c>
      <c r="K4" t="str">
        <f>_xlfn.XLOOKUP(frasest[[#This Row],[autor_es]],autorest[autor_es],autorest[idioma_la])</f>
        <v>Lingua Iaponica</v>
      </c>
      <c r="L4" t="str">
        <f>_xlfn.XLOOKUP(frasest[[#This Row],[autor_es]],autorest[autor_es],autorest[nacion_es])</f>
        <v>Japón</v>
      </c>
      <c r="M4" t="str">
        <f>_xlfn.XLOOKUP(frasest[[#This Row],[autor_es]],autorest[autor_es],autorest[nacion_la])</f>
        <v>Iaponia</v>
      </c>
      <c r="N4" t="str">
        <f>_xlfn.XLOOKUP(frasest[[#This Row],[autor_es]],autorest[autor_es],autorest[epoca_es])</f>
        <v>Epoca Desconocida</v>
      </c>
      <c r="O4" t="str">
        <f>_xlfn.XLOOKUP(frasest[[#This Row],[autor_es]],autorest[autor_es],autorest[epoca_la])</f>
        <v>Epocha Ignota</v>
      </c>
    </row>
    <row r="5" spans="1:15">
      <c r="A5">
        <v>4</v>
      </c>
      <c r="B5" t="s">
        <v>26</v>
      </c>
      <c r="C5" t="s">
        <v>27</v>
      </c>
      <c r="D5" t="s">
        <v>28</v>
      </c>
      <c r="E5" t="s">
        <v>29</v>
      </c>
      <c r="F5" t="str">
        <f>_xlfn.XLOOKUP(frasest[[#This Row],[autor_es]],autorest[autor_es],autorest[autor_la])</f>
        <v>Sententia Russica</v>
      </c>
      <c r="G5" t="str">
        <f>_xlfn.XLOOKUP(frasest[[#This Row],[autor_es]],autorest[autor_es],autorest[bio_es])</f>
        <v>Dichos tradicionales del pueblo ruso que condensan la experiencia colectiva, el ingenio y la filosofía popular transmitida de generación en generación.</v>
      </c>
      <c r="H5" t="str">
        <f>_xlfn.XLOOKUP(frasest[[#This Row],[autor_es]],autorest[autor_es],autorest[bio_la])</f>
        <v>Collectio sententiarum Russicarum.</v>
      </c>
      <c r="I5" t="str">
        <f>_xlfn.XLOOKUP(frasest[[#This Row],[autor_es]],autorest[autor_es],autorest[codigo])</f>
        <v>ru</v>
      </c>
      <c r="J5" t="str">
        <f>_xlfn.XLOOKUP(frasest[[#This Row],[autor_es]],autorest[autor_es],autorest[idioma_es])</f>
        <v>Ruso</v>
      </c>
      <c r="K5" t="str">
        <f>_xlfn.XLOOKUP(frasest[[#This Row],[autor_es]],autorest[autor_es],autorest[idioma_la])</f>
        <v>Lingua Russica</v>
      </c>
      <c r="L5" t="str">
        <f>_xlfn.XLOOKUP(frasest[[#This Row],[autor_es]],autorest[autor_es],autorest[nacion_es])</f>
        <v>Rusia</v>
      </c>
      <c r="M5" t="str">
        <f>_xlfn.XLOOKUP(frasest[[#This Row],[autor_es]],autorest[autor_es],autorest[nacion_la])</f>
        <v>Russia</v>
      </c>
      <c r="N5" t="str">
        <f>_xlfn.XLOOKUP(frasest[[#This Row],[autor_es]],autorest[autor_es],autorest[epoca_es])</f>
        <v>Epoca Desconocida</v>
      </c>
      <c r="O5" t="str">
        <f>_xlfn.XLOOKUP(frasest[[#This Row],[autor_es]],autorest[autor_es],autorest[epoca_la])</f>
        <v>Epocha Ignota</v>
      </c>
    </row>
    <row r="6" spans="1:15">
      <c r="A6">
        <v>5</v>
      </c>
      <c r="B6" t="s">
        <v>30</v>
      </c>
      <c r="C6" t="s">
        <v>31</v>
      </c>
      <c r="D6" s="1" t="s">
        <v>32</v>
      </c>
      <c r="E6" t="s">
        <v>33</v>
      </c>
      <c r="F6" t="str">
        <f>_xlfn.XLOOKUP(frasest[[#This Row],[autor_es]],autorest[autor_es],autorest[autor_la])</f>
        <v>Proverbium Sinense</v>
      </c>
      <c r="G6" t="str">
        <f>_xlfn.XLOOKUP(frasest[[#This Row],[autor_es]],autorest[autor_es],autorest[bio_es])</f>
        <v>Conjunto de proverbios tradicionales de la cultura china que transmiten sabiduría popular, valores morales y enseñanzas prácticas transmitidas oralmente durante siglos.</v>
      </c>
      <c r="H6" t="str">
        <f>_xlfn.XLOOKUP(frasest[[#This Row],[autor_es]],autorest[autor_es],autorest[bio_la])</f>
        <v>Collectio sententiarum Sinensium, magnopere in cultura tradita.</v>
      </c>
      <c r="I6" t="str">
        <f>_xlfn.XLOOKUP(frasest[[#This Row],[autor_es]],autorest[autor_es],autorest[codigo])</f>
        <v>zh</v>
      </c>
      <c r="J6" t="str">
        <f>_xlfn.XLOOKUP(frasest[[#This Row],[autor_es]],autorest[autor_es],autorest[idioma_es])</f>
        <v>Chino</v>
      </c>
      <c r="K6" t="str">
        <f>_xlfn.XLOOKUP(frasest[[#This Row],[autor_es]],autorest[autor_es],autorest[idioma_la])</f>
        <v>Lingua Sinica</v>
      </c>
      <c r="L6" t="str">
        <f>_xlfn.XLOOKUP(frasest[[#This Row],[autor_es]],autorest[autor_es],autorest[nacion_es])</f>
        <v>China</v>
      </c>
      <c r="M6" t="str">
        <f>_xlfn.XLOOKUP(frasest[[#This Row],[autor_es]],autorest[autor_es],autorest[nacion_la])</f>
        <v>Sinae</v>
      </c>
      <c r="N6" t="str">
        <f>_xlfn.XLOOKUP(frasest[[#This Row],[autor_es]],autorest[autor_es],autorest[epoca_es])</f>
        <v>Epoca Desconocida</v>
      </c>
      <c r="O6" t="str">
        <f>_xlfn.XLOOKUP(frasest[[#This Row],[autor_es]],autorest[autor_es],autorest[epoca_la])</f>
        <v>Epocha Ignota</v>
      </c>
    </row>
    <row r="7" spans="1:15" ht="14.25">
      <c r="A7">
        <v>6</v>
      </c>
      <c r="B7" t="s">
        <v>34</v>
      </c>
      <c r="C7" t="s">
        <v>35</v>
      </c>
      <c r="D7" s="3" t="s">
        <v>36</v>
      </c>
      <c r="E7" t="s">
        <v>37</v>
      </c>
      <c r="F7" t="str">
        <f>_xlfn.XLOOKUP(frasest[[#This Row],[autor_es]],autorest[autor_es],autorest[autor_la])</f>
        <v>Salomon</v>
      </c>
      <c r="G7" t="str">
        <f>_xlfn.XLOOKUP(frasest[[#This Row],[autor_es]],autorest[autor_es],autorest[bio_es])</f>
        <v>Rey de Israel, autor de proverbios y textos bíblicos.</v>
      </c>
      <c r="H7" t="str">
        <f>_xlfn.XLOOKUP(frasest[[#This Row],[autor_es]],autorest[autor_es],autorest[bio_la])</f>
        <v>Rex Israel, auctor proverbiorum et textuum sacrorum.</v>
      </c>
      <c r="I7" t="str">
        <f>_xlfn.XLOOKUP(frasest[[#This Row],[autor_es]],autorest[autor_es],autorest[codigo])</f>
        <v>he</v>
      </c>
      <c r="J7" t="str">
        <f>_xlfn.XLOOKUP(frasest[[#This Row],[autor_es]],autorest[autor_es],autorest[idioma_es])</f>
        <v>Hebreo</v>
      </c>
      <c r="K7" t="str">
        <f>_xlfn.XLOOKUP(frasest[[#This Row],[autor_es]],autorest[autor_es],autorest[idioma_la])</f>
        <v>Lingua Hebraica</v>
      </c>
      <c r="L7" t="str">
        <f>_xlfn.XLOOKUP(frasest[[#This Row],[autor_es]],autorest[autor_es],autorest[nacion_es])</f>
        <v>Israel</v>
      </c>
      <c r="M7" t="str">
        <f>_xlfn.XLOOKUP(frasest[[#This Row],[autor_es]],autorest[autor_es],autorest[nacion_la])</f>
        <v>Israel</v>
      </c>
      <c r="N7" t="str">
        <f>_xlfn.XLOOKUP(frasest[[#This Row],[autor_es]],autorest[autor_es],autorest[epoca_es])</f>
        <v>Edad Antigua</v>
      </c>
      <c r="O7" t="str">
        <f>_xlfn.XLOOKUP(frasest[[#This Row],[autor_es]],autorest[autor_es],autorest[epoca_la])</f>
        <v>Antiquitas</v>
      </c>
    </row>
    <row r="8" spans="1:15">
      <c r="A8">
        <v>7</v>
      </c>
      <c r="B8" t="s">
        <v>38</v>
      </c>
      <c r="C8" t="s">
        <v>39</v>
      </c>
      <c r="D8" t="s">
        <v>38</v>
      </c>
      <c r="E8" t="s">
        <v>37</v>
      </c>
      <c r="F8" t="str">
        <f>_xlfn.XLOOKUP(frasest[[#This Row],[autor_es]],autorest[autor_es],autorest[autor_la])</f>
        <v>Salomon</v>
      </c>
      <c r="G8" t="str">
        <f>_xlfn.XLOOKUP(frasest[[#This Row],[autor_es]],autorest[autor_es],autorest[bio_es])</f>
        <v>Rey de Israel, autor de proverbios y textos bíblicos.</v>
      </c>
      <c r="H8" t="str">
        <f>_xlfn.XLOOKUP(frasest[[#This Row],[autor_es]],autorest[autor_es],autorest[bio_la])</f>
        <v>Rex Israel, auctor proverbiorum et textuum sacrorum.</v>
      </c>
      <c r="I8" t="str">
        <f>_xlfn.XLOOKUP(frasest[[#This Row],[autor_es]],autorest[autor_es],autorest[codigo])</f>
        <v>he</v>
      </c>
      <c r="J8" t="str">
        <f>_xlfn.XLOOKUP(frasest[[#This Row],[autor_es]],autorest[autor_es],autorest[idioma_es])</f>
        <v>Hebreo</v>
      </c>
      <c r="K8" t="str">
        <f>_xlfn.XLOOKUP(frasest[[#This Row],[autor_es]],autorest[autor_es],autorest[idioma_la])</f>
        <v>Lingua Hebraica</v>
      </c>
      <c r="L8" t="str">
        <f>_xlfn.XLOOKUP(frasest[[#This Row],[autor_es]],autorest[autor_es],autorest[nacion_es])</f>
        <v>Israel</v>
      </c>
      <c r="M8" t="str">
        <f>_xlfn.XLOOKUP(frasest[[#This Row],[autor_es]],autorest[autor_es],autorest[nacion_la])</f>
        <v>Israel</v>
      </c>
      <c r="N8" t="str">
        <f>_xlfn.XLOOKUP(frasest[[#This Row],[autor_es]],autorest[autor_es],autorest[epoca_es])</f>
        <v>Edad Antigua</v>
      </c>
      <c r="O8" t="str">
        <f>_xlfn.XLOOKUP(frasest[[#This Row],[autor_es]],autorest[autor_es],autorest[epoca_la])</f>
        <v>Antiquitas</v>
      </c>
    </row>
    <row r="9" spans="1:15">
      <c r="A9">
        <v>8</v>
      </c>
      <c r="B9" t="s">
        <v>40</v>
      </c>
      <c r="C9" t="s">
        <v>41</v>
      </c>
      <c r="D9" t="s">
        <v>42</v>
      </c>
      <c r="E9" t="s">
        <v>43</v>
      </c>
      <c r="F9" t="str">
        <f>_xlfn.XLOOKUP(frasest[[#This Row],[autor_es]],autorest[autor_es],autorest[autor_la])</f>
        <v>Renatus Cartesius</v>
      </c>
      <c r="G9" t="str">
        <f>_xlfn.XLOOKUP(frasest[[#This Row],[autor_es]],autorest[autor_es],autorest[bio_es])</f>
        <v>Filósofo y matemático francés.</v>
      </c>
      <c r="H9" t="str">
        <f>_xlfn.XLOOKUP(frasest[[#This Row],[autor_es]],autorest[autor_es],autorest[bio_la])</f>
        <v>Philosophus et mathematicus Francogallicus.</v>
      </c>
      <c r="I9" t="str">
        <f>_xlfn.XLOOKUP(frasest[[#This Row],[autor_es]],autorest[autor_es],autorest[codigo])</f>
        <v>la</v>
      </c>
      <c r="J9" t="str">
        <f>_xlfn.XLOOKUP(frasest[[#This Row],[autor_es]],autorest[autor_es],autorest[idioma_es])</f>
        <v>Latín</v>
      </c>
      <c r="K9" t="str">
        <f>_xlfn.XLOOKUP(frasest[[#This Row],[autor_es]],autorest[autor_es],autorest[idioma_la])</f>
        <v>Lingua Latina</v>
      </c>
      <c r="L9" t="str">
        <f>_xlfn.XLOOKUP(frasest[[#This Row],[autor_es]],autorest[autor_es],autorest[nacion_es])</f>
        <v>Francia</v>
      </c>
      <c r="M9" t="str">
        <f>_xlfn.XLOOKUP(frasest[[#This Row],[autor_es]],autorest[autor_es],autorest[nacion_la])</f>
        <v>Francia</v>
      </c>
      <c r="N9" t="str">
        <f>_xlfn.XLOOKUP(frasest[[#This Row],[autor_es]],autorest[autor_es],autorest[epoca_es])</f>
        <v>Edad Moderna</v>
      </c>
      <c r="O9" t="str">
        <f>_xlfn.XLOOKUP(frasest[[#This Row],[autor_es]],autorest[autor_es],autorest[epoca_la])</f>
        <v>Nova Aetas</v>
      </c>
    </row>
    <row r="10" spans="1:15">
      <c r="A10">
        <v>9</v>
      </c>
      <c r="B10" t="s">
        <v>44</v>
      </c>
      <c r="C10" t="s">
        <v>45</v>
      </c>
      <c r="D10" t="s">
        <v>46</v>
      </c>
      <c r="E10" t="s">
        <v>47</v>
      </c>
      <c r="F10" t="str">
        <f>_xlfn.XLOOKUP(frasest[[#This Row],[autor_es]],autorest[autor_es],autorest[autor_la])</f>
        <v>Franciscus Bacon</v>
      </c>
      <c r="G10" t="str">
        <f>_xlfn.XLOOKUP(frasest[[#This Row],[autor_es]],autorest[autor_es],autorest[bio_es])</f>
        <v>Filósofo y estadista inglés, autor de "El conocimiento es poder".</v>
      </c>
      <c r="H10" t="str">
        <f>_xlfn.XLOOKUP(frasest[[#This Row],[autor_es]],autorest[autor_es],autorest[bio_la])</f>
        <v>Philosophus et civis Anglicus, auctor "Scientia potentia est".</v>
      </c>
      <c r="I10" t="str">
        <f>_xlfn.XLOOKUP(frasest[[#This Row],[autor_es]],autorest[autor_es],autorest[codigo])</f>
        <v>en</v>
      </c>
      <c r="J10" t="str">
        <f>_xlfn.XLOOKUP(frasest[[#This Row],[autor_es]],autorest[autor_es],autorest[idioma_es])</f>
        <v>Inglés</v>
      </c>
      <c r="K10" t="str">
        <f>_xlfn.XLOOKUP(frasest[[#This Row],[autor_es]],autorest[autor_es],autorest[idioma_la])</f>
        <v>Lingua Anglica</v>
      </c>
      <c r="L10" t="str">
        <f>_xlfn.XLOOKUP(frasest[[#This Row],[autor_es]],autorest[autor_es],autorest[nacion_es])</f>
        <v>Reino Unido</v>
      </c>
      <c r="M10" t="str">
        <f>_xlfn.XLOOKUP(frasest[[#This Row],[autor_es]],autorest[autor_es],autorest[nacion_la])</f>
        <v>Regnum Unitum</v>
      </c>
      <c r="N10" t="str">
        <f>_xlfn.XLOOKUP(frasest[[#This Row],[autor_es]],autorest[autor_es],autorest[epoca_es])</f>
        <v>Edad Moderna</v>
      </c>
      <c r="O10" t="str">
        <f>_xlfn.XLOOKUP(frasest[[#This Row],[autor_es]],autorest[autor_es],autorest[epoca_la])</f>
        <v>Nova Aetas</v>
      </c>
    </row>
    <row r="11" spans="1:15">
      <c r="A11">
        <v>10</v>
      </c>
      <c r="B11" t="s">
        <v>48</v>
      </c>
      <c r="C11" t="s">
        <v>49</v>
      </c>
      <c r="D11" t="s">
        <v>50</v>
      </c>
      <c r="E11" t="s">
        <v>51</v>
      </c>
      <c r="F11" t="str">
        <f>_xlfn.XLOOKUP(frasest[[#This Row],[autor_es]],autorest[autor_es],autorest[autor_la])</f>
        <v>Aurelius Augustinus</v>
      </c>
      <c r="G11" t="str">
        <f>_xlfn.XLOOKUP(frasest[[#This Row],[autor_es]],autorest[autor_es],autorest[bio_es])</f>
        <v>Filósofo y teólogo cristiano.</v>
      </c>
      <c r="H11" t="str">
        <f>_xlfn.XLOOKUP(frasest[[#This Row],[autor_es]],autorest[autor_es],autorest[bio_la])</f>
        <v>Philosophus et theologus Christianus.</v>
      </c>
      <c r="I11" t="str">
        <f>_xlfn.XLOOKUP(frasest[[#This Row],[autor_es]],autorest[autor_es],autorest[codigo])</f>
        <v>la</v>
      </c>
      <c r="J11" t="str">
        <f>_xlfn.XLOOKUP(frasest[[#This Row],[autor_es]],autorest[autor_es],autorest[idioma_es])</f>
        <v>Latín</v>
      </c>
      <c r="K11" t="str">
        <f>_xlfn.XLOOKUP(frasest[[#This Row],[autor_es]],autorest[autor_es],autorest[idioma_la])</f>
        <v>Lingua Latina</v>
      </c>
      <c r="L11" t="str">
        <f>_xlfn.XLOOKUP(frasest[[#This Row],[autor_es]],autorest[autor_es],autorest[nacion_es])</f>
        <v>Roma</v>
      </c>
      <c r="M11" t="str">
        <f>_xlfn.XLOOKUP(frasest[[#This Row],[autor_es]],autorest[autor_es],autorest[nacion_la])</f>
        <v>Roma</v>
      </c>
      <c r="N11" t="str">
        <f>_xlfn.XLOOKUP(frasest[[#This Row],[autor_es]],autorest[autor_es],autorest[epoca_es])</f>
        <v>Edad Antigua</v>
      </c>
      <c r="O11" t="str">
        <f>_xlfn.XLOOKUP(frasest[[#This Row],[autor_es]],autorest[autor_es],autorest[epoca_la])</f>
        <v>Antiquitas</v>
      </c>
    </row>
    <row r="12" spans="1:15">
      <c r="A12">
        <v>11</v>
      </c>
      <c r="B12" t="s">
        <v>52</v>
      </c>
      <c r="C12" t="s">
        <v>53</v>
      </c>
      <c r="D12" t="s">
        <v>52</v>
      </c>
      <c r="E12" t="s">
        <v>54</v>
      </c>
      <c r="F12" t="str">
        <f>_xlfn.XLOOKUP(frasest[[#This Row],[autor_es]],autorest[autor_es],autorest[autor_la])</f>
        <v>Daleus Carnegieus</v>
      </c>
      <c r="G12" t="str">
        <f>_xlfn.XLOOKUP(frasest[[#This Row],[autor_es]],autorest[autor_es],autorest[bio_es])</f>
        <v>Escritor y conferencista estadounidense, autor de libros de desarrollo personal.</v>
      </c>
      <c r="H12" t="str">
        <f>_xlfn.XLOOKUP(frasest[[#This Row],[autor_es]],autorest[autor_es],autorest[bio_la])</f>
        <v>Scriba et orator Americanus, auctor librorum de progressu personali.</v>
      </c>
      <c r="I12" t="str">
        <f>_xlfn.XLOOKUP(frasest[[#This Row],[autor_es]],autorest[autor_es],autorest[codigo])</f>
        <v>en</v>
      </c>
      <c r="J12" t="str">
        <f>_xlfn.XLOOKUP(frasest[[#This Row],[autor_es]],autorest[autor_es],autorest[idioma_es])</f>
        <v>Inglés</v>
      </c>
      <c r="K12" t="str">
        <f>_xlfn.XLOOKUP(frasest[[#This Row],[autor_es]],autorest[autor_es],autorest[idioma_la])</f>
        <v>Lingua Anglica</v>
      </c>
      <c r="L12" t="str">
        <f>_xlfn.XLOOKUP(frasest[[#This Row],[autor_es]],autorest[autor_es],autorest[nacion_es])</f>
        <v>Estados Unidos</v>
      </c>
      <c r="M12" t="str">
        <f>_xlfn.XLOOKUP(frasest[[#This Row],[autor_es]],autorest[autor_es],autorest[nacion_la])</f>
        <v>Civitates Foederatae Americae</v>
      </c>
      <c r="N12" t="str">
        <f>_xlfn.XLOOKUP(frasest[[#This Row],[autor_es]],autorest[autor_es],autorest[epoca_es])</f>
        <v>Edad Contemporánea</v>
      </c>
      <c r="O12" t="str">
        <f>_xlfn.XLOOKUP(frasest[[#This Row],[autor_es]],autorest[autor_es],autorest[epoca_la])</f>
        <v>Aetas Contemporanea</v>
      </c>
    </row>
    <row r="13" spans="1:15">
      <c r="A13">
        <v>12</v>
      </c>
      <c r="B13" t="s">
        <v>55</v>
      </c>
      <c r="C13" t="s">
        <v>56</v>
      </c>
      <c r="D13" t="s">
        <v>55</v>
      </c>
      <c r="E13" t="s">
        <v>21</v>
      </c>
      <c r="F13" t="str">
        <f>_xlfn.XLOOKUP(frasest[[#This Row],[autor_es]],autorest[autor_es],autorest[autor_la])</f>
        <v>Sententia Hispanica</v>
      </c>
      <c r="G13" t="str">
        <f>_xlfn.XLOOKUP(frasest[[#This Row],[autor_es]],autorest[autor_es],autorest[bio_es])</f>
        <v>Refranes populares de la tradición oral hispana que expresan de forma breve y ingeniosa enseñanzas prácticas sobre la vida cotidiana.</v>
      </c>
      <c r="H13" t="str">
        <f>_xlfn.XLOOKUP(frasest[[#This Row],[autor_es]],autorest[autor_es],autorest[bio_la])</f>
        <v>Collectio sententiarum Hispanicarum.</v>
      </c>
      <c r="I13" t="str">
        <f>_xlfn.XLOOKUP(frasest[[#This Row],[autor_es]],autorest[autor_es],autorest[codigo])</f>
        <v>es</v>
      </c>
      <c r="J13" t="str">
        <f>_xlfn.XLOOKUP(frasest[[#This Row],[autor_es]],autorest[autor_es],autorest[idioma_es])</f>
        <v>Español</v>
      </c>
      <c r="K13" t="str">
        <f>_xlfn.XLOOKUP(frasest[[#This Row],[autor_es]],autorest[autor_es],autorest[idioma_la])</f>
        <v>Lingua Hispanica</v>
      </c>
      <c r="L13" t="str">
        <f>_xlfn.XLOOKUP(frasest[[#This Row],[autor_es]],autorest[autor_es],autorest[nacion_es])</f>
        <v>España</v>
      </c>
      <c r="M13" t="str">
        <f>_xlfn.XLOOKUP(frasest[[#This Row],[autor_es]],autorest[autor_es],autorest[nacion_la])</f>
        <v>Hispania</v>
      </c>
      <c r="N13" t="str">
        <f>_xlfn.XLOOKUP(frasest[[#This Row],[autor_es]],autorest[autor_es],autorest[epoca_es])</f>
        <v>Epoca Desconocida</v>
      </c>
      <c r="O13" t="str">
        <f>_xlfn.XLOOKUP(frasest[[#This Row],[autor_es]],autorest[autor_es],autorest[epoca_la])</f>
        <v>Epocha Ignota</v>
      </c>
    </row>
    <row r="14" spans="1:15">
      <c r="A14">
        <v>13</v>
      </c>
      <c r="B14" t="s">
        <v>57</v>
      </c>
      <c r="C14" t="s">
        <v>58</v>
      </c>
      <c r="D14" t="s">
        <v>58</v>
      </c>
      <c r="E14" t="s">
        <v>59</v>
      </c>
      <c r="F14" t="str">
        <f>_xlfn.XLOOKUP(frasest[[#This Row],[autor_es]],autorest[autor_es],autorest[autor_la])</f>
        <v>Quintus Horatius Flaccus</v>
      </c>
      <c r="G14" t="str">
        <f>_xlfn.XLOOKUP(frasest[[#This Row],[autor_es]],autorest[autor_es],autorest[bio_es])</f>
        <v>Poeta lírico romano, autor de "Carpe diem".</v>
      </c>
      <c r="H14" t="str">
        <f>_xlfn.XLOOKUP(frasest[[#This Row],[autor_es]],autorest[autor_es],autorest[bio_la])</f>
        <v>Poeta lyricus Romanus, auctor "Carpe diem".</v>
      </c>
      <c r="I14" t="str">
        <f>_xlfn.XLOOKUP(frasest[[#This Row],[autor_es]],autorest[autor_es],autorest[codigo])</f>
        <v>la</v>
      </c>
      <c r="J14" t="str">
        <f>_xlfn.XLOOKUP(frasest[[#This Row],[autor_es]],autorest[autor_es],autorest[idioma_es])</f>
        <v>Latín</v>
      </c>
      <c r="K14" t="str">
        <f>_xlfn.XLOOKUP(frasest[[#This Row],[autor_es]],autorest[autor_es],autorest[idioma_la])</f>
        <v>Lingua Latina</v>
      </c>
      <c r="L14" t="str">
        <f>_xlfn.XLOOKUP(frasest[[#This Row],[autor_es]],autorest[autor_es],autorest[nacion_es])</f>
        <v>Roma</v>
      </c>
      <c r="M14" t="str">
        <f>_xlfn.XLOOKUP(frasest[[#This Row],[autor_es]],autorest[autor_es],autorest[nacion_la])</f>
        <v>Roma</v>
      </c>
      <c r="N14" t="str">
        <f>_xlfn.XLOOKUP(frasest[[#This Row],[autor_es]],autorest[autor_es],autorest[epoca_es])</f>
        <v>Edad Antigua</v>
      </c>
      <c r="O14" t="str">
        <f>_xlfn.XLOOKUP(frasest[[#This Row],[autor_es]],autorest[autor_es],autorest[epoca_la])</f>
        <v>Antiquitas</v>
      </c>
    </row>
    <row r="15" spans="1:15">
      <c r="A15">
        <v>14</v>
      </c>
      <c r="B15" t="s">
        <v>60</v>
      </c>
      <c r="C15" t="s">
        <v>61</v>
      </c>
      <c r="D15" t="s">
        <v>62</v>
      </c>
      <c r="E15" t="s">
        <v>63</v>
      </c>
      <c r="F15" t="str">
        <f>_xlfn.XLOOKUP(frasest[[#This Row],[autor_es]],autorest[autor_es],autorest[autor_la])</f>
        <v>Gulielmus Shakespeare</v>
      </c>
      <c r="G15" t="str">
        <f>_xlfn.XLOOKUP(frasest[[#This Row],[autor_es]],autorest[autor_es],autorest[bio_es])</f>
        <v>Dramaturgo y poeta inglés, autor de Hamlet.</v>
      </c>
      <c r="H15" t="str">
        <f>_xlfn.XLOOKUP(frasest[[#This Row],[autor_es]],autorest[autor_es],autorest[bio_la])</f>
        <v>Dramaturgus et poeta Anglicus, auctor "Hamlet".</v>
      </c>
      <c r="I15" t="str">
        <f>_xlfn.XLOOKUP(frasest[[#This Row],[autor_es]],autorest[autor_es],autorest[codigo])</f>
        <v>en</v>
      </c>
      <c r="J15" t="str">
        <f>_xlfn.XLOOKUP(frasest[[#This Row],[autor_es]],autorest[autor_es],autorest[idioma_es])</f>
        <v>Inglés</v>
      </c>
      <c r="K15" t="str">
        <f>_xlfn.XLOOKUP(frasest[[#This Row],[autor_es]],autorest[autor_es],autorest[idioma_la])</f>
        <v>Lingua Anglica</v>
      </c>
      <c r="L15" t="str">
        <f>_xlfn.XLOOKUP(frasest[[#This Row],[autor_es]],autorest[autor_es],autorest[nacion_es])</f>
        <v>Reino Unido</v>
      </c>
      <c r="M15" t="str">
        <f>_xlfn.XLOOKUP(frasest[[#This Row],[autor_es]],autorest[autor_es],autorest[nacion_la])</f>
        <v>Regnum Unitum</v>
      </c>
      <c r="N15" t="str">
        <f>_xlfn.XLOOKUP(frasest[[#This Row],[autor_es]],autorest[autor_es],autorest[epoca_es])</f>
        <v>Edad Moderna</v>
      </c>
      <c r="O15" t="str">
        <f>_xlfn.XLOOKUP(frasest[[#This Row],[autor_es]],autorest[autor_es],autorest[epoca_la])</f>
        <v>Nova Aetas</v>
      </c>
    </row>
    <row r="16" spans="1:15">
      <c r="A16">
        <v>15</v>
      </c>
      <c r="B16" t="s">
        <v>64</v>
      </c>
      <c r="C16" t="s">
        <v>65</v>
      </c>
      <c r="D16" t="s">
        <v>64</v>
      </c>
      <c r="E16" t="s">
        <v>21</v>
      </c>
      <c r="F16" t="str">
        <f>_xlfn.XLOOKUP(frasest[[#This Row],[autor_es]],autorest[autor_es],autorest[autor_la])</f>
        <v>Sententia Hispanica</v>
      </c>
      <c r="G16" t="str">
        <f>_xlfn.XLOOKUP(frasest[[#This Row],[autor_es]],autorest[autor_es],autorest[bio_es])</f>
        <v>Refranes populares de la tradición oral hispana que expresan de forma breve y ingeniosa enseñanzas prácticas sobre la vida cotidiana.</v>
      </c>
      <c r="H16" t="str">
        <f>_xlfn.XLOOKUP(frasest[[#This Row],[autor_es]],autorest[autor_es],autorest[bio_la])</f>
        <v>Collectio sententiarum Hispanicarum.</v>
      </c>
      <c r="I16" t="str">
        <f>_xlfn.XLOOKUP(frasest[[#This Row],[autor_es]],autorest[autor_es],autorest[codigo])</f>
        <v>es</v>
      </c>
      <c r="J16" t="str">
        <f>_xlfn.XLOOKUP(frasest[[#This Row],[autor_es]],autorest[autor_es],autorest[idioma_es])</f>
        <v>Español</v>
      </c>
      <c r="K16" t="str">
        <f>_xlfn.XLOOKUP(frasest[[#This Row],[autor_es]],autorest[autor_es],autorest[idioma_la])</f>
        <v>Lingua Hispanica</v>
      </c>
      <c r="L16" t="str">
        <f>_xlfn.XLOOKUP(frasest[[#This Row],[autor_es]],autorest[autor_es],autorest[nacion_es])</f>
        <v>España</v>
      </c>
      <c r="M16" t="str">
        <f>_xlfn.XLOOKUP(frasest[[#This Row],[autor_es]],autorest[autor_es],autorest[nacion_la])</f>
        <v>Hispania</v>
      </c>
      <c r="N16" t="str">
        <f>_xlfn.XLOOKUP(frasest[[#This Row],[autor_es]],autorest[autor_es],autorest[epoca_es])</f>
        <v>Epoca Desconocida</v>
      </c>
      <c r="O16" t="str">
        <f>_xlfn.XLOOKUP(frasest[[#This Row],[autor_es]],autorest[autor_es],autorest[epoca_la])</f>
        <v>Epocha Ignota</v>
      </c>
    </row>
    <row r="17" spans="1:15">
      <c r="A17">
        <v>16</v>
      </c>
      <c r="B17" t="s">
        <v>66</v>
      </c>
      <c r="C17" t="s">
        <v>67</v>
      </c>
      <c r="D17" s="1" t="s">
        <v>68</v>
      </c>
      <c r="E17" t="s">
        <v>33</v>
      </c>
      <c r="F17" t="str">
        <f>_xlfn.XLOOKUP(frasest[[#This Row],[autor_es]],autorest[autor_es],autorest[autor_la])</f>
        <v>Proverbium Sinense</v>
      </c>
      <c r="G17" t="str">
        <f>_xlfn.XLOOKUP(frasest[[#This Row],[autor_es]],autorest[autor_es],autorest[bio_es])</f>
        <v>Conjunto de proverbios tradicionales de la cultura china que transmiten sabiduría popular, valores morales y enseñanzas prácticas transmitidas oralmente durante siglos.</v>
      </c>
      <c r="H17" t="str">
        <f>_xlfn.XLOOKUP(frasest[[#This Row],[autor_es]],autorest[autor_es],autorest[bio_la])</f>
        <v>Collectio sententiarum Sinensium, magnopere in cultura tradita.</v>
      </c>
      <c r="I17" t="str">
        <f>_xlfn.XLOOKUP(frasest[[#This Row],[autor_es]],autorest[autor_es],autorest[codigo])</f>
        <v>zh</v>
      </c>
      <c r="J17" t="str">
        <f>_xlfn.XLOOKUP(frasest[[#This Row],[autor_es]],autorest[autor_es],autorest[idioma_es])</f>
        <v>Chino</v>
      </c>
      <c r="K17" t="str">
        <f>_xlfn.XLOOKUP(frasest[[#This Row],[autor_es]],autorest[autor_es],autorest[idioma_la])</f>
        <v>Lingua Sinica</v>
      </c>
      <c r="L17" t="str">
        <f>_xlfn.XLOOKUP(frasest[[#This Row],[autor_es]],autorest[autor_es],autorest[nacion_es])</f>
        <v>China</v>
      </c>
      <c r="M17" t="str">
        <f>_xlfn.XLOOKUP(frasest[[#This Row],[autor_es]],autorest[autor_es],autorest[nacion_la])</f>
        <v>Sinae</v>
      </c>
      <c r="N17" t="str">
        <f>_xlfn.XLOOKUP(frasest[[#This Row],[autor_es]],autorest[autor_es],autorest[epoca_es])</f>
        <v>Epoca Desconocida</v>
      </c>
      <c r="O17" t="str">
        <f>_xlfn.XLOOKUP(frasest[[#This Row],[autor_es]],autorest[autor_es],autorest[epoca_la])</f>
        <v>Epocha Ignota</v>
      </c>
    </row>
    <row r="18" spans="1:15">
      <c r="A18">
        <v>17</v>
      </c>
      <c r="B18" t="s">
        <v>69</v>
      </c>
      <c r="C18" t="s">
        <v>70</v>
      </c>
      <c r="D18" t="s">
        <v>70</v>
      </c>
      <c r="E18" t="s">
        <v>71</v>
      </c>
      <c r="F18" t="str">
        <f>_xlfn.XLOOKUP(frasest[[#This Row],[autor_es]],autorest[autor_es],autorest[autor_la])</f>
        <v>Gaius Iulius Caesar</v>
      </c>
      <c r="G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H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I18" t="str">
        <f>_xlfn.XLOOKUP(frasest[[#This Row],[autor_es]],autorest[autor_es],autorest[codigo])</f>
        <v>la</v>
      </c>
      <c r="J18" t="str">
        <f>_xlfn.XLOOKUP(frasest[[#This Row],[autor_es]],autorest[autor_es],autorest[idioma_es])</f>
        <v>Latín</v>
      </c>
      <c r="K18" t="str">
        <f>_xlfn.XLOOKUP(frasest[[#This Row],[autor_es]],autorest[autor_es],autorest[idioma_la])</f>
        <v>Lingua Latina</v>
      </c>
      <c r="L18" t="str">
        <f>_xlfn.XLOOKUP(frasest[[#This Row],[autor_es]],autorest[autor_es],autorest[nacion_es])</f>
        <v>Roma</v>
      </c>
      <c r="M18" t="str">
        <f>_xlfn.XLOOKUP(frasest[[#This Row],[autor_es]],autorest[autor_es],autorest[nacion_la])</f>
        <v>Roma</v>
      </c>
      <c r="N18" t="str">
        <f>_xlfn.XLOOKUP(frasest[[#This Row],[autor_es]],autorest[autor_es],autorest[epoca_es])</f>
        <v>Edad Antigua</v>
      </c>
      <c r="O18" t="str">
        <f>_xlfn.XLOOKUP(frasest[[#This Row],[autor_es]],autorest[autor_es],autorest[epoca_la])</f>
        <v>Antiquitas</v>
      </c>
    </row>
    <row r="19" spans="1:15">
      <c r="A19">
        <v>18</v>
      </c>
      <c r="B19" t="s">
        <v>72</v>
      </c>
      <c r="C19" t="s">
        <v>73</v>
      </c>
      <c r="D19" t="s">
        <v>73</v>
      </c>
      <c r="E19" t="s">
        <v>74</v>
      </c>
      <c r="F19" t="str">
        <f>_xlfn.XLOOKUP(frasest[[#This Row],[autor_es]],autorest[autor_es],autorest[autor_la])</f>
        <v>Parmenides</v>
      </c>
      <c r="G19" t="str">
        <f>_xlfn.XLOOKUP(frasest[[#This Row],[autor_es]],autorest[autor_es],autorest[bio_es])</f>
        <v>Filósofo presocrático griego, fundador de la escuela eleática. Defendió la idea de la permanencia del ser y que nada surge de la nada.</v>
      </c>
      <c r="H19" t="str">
        <f>_xlfn.XLOOKUP(frasest[[#This Row],[autor_es]],autorest[autor_es],autorest[bio_la])</f>
        <v>Philosophus Praesocraticus Graecus, schola Eleatica conditor. Ideam constantiae entis defendit, nihil ex nihilo oriri.</v>
      </c>
      <c r="I19" t="str">
        <f>_xlfn.XLOOKUP(frasest[[#This Row],[autor_es]],autorest[autor_es],autorest[codigo])</f>
        <v>la</v>
      </c>
      <c r="J19" t="str">
        <f>_xlfn.XLOOKUP(frasest[[#This Row],[autor_es]],autorest[autor_es],autorest[idioma_es])</f>
        <v>Latín</v>
      </c>
      <c r="K19" t="str">
        <f>_xlfn.XLOOKUP(frasest[[#This Row],[autor_es]],autorest[autor_es],autorest[idioma_la])</f>
        <v>Lingua Latina</v>
      </c>
      <c r="L19" t="str">
        <f>_xlfn.XLOOKUP(frasest[[#This Row],[autor_es]],autorest[autor_es],autorest[nacion_es])</f>
        <v>Grecia</v>
      </c>
      <c r="M19" t="str">
        <f>_xlfn.XLOOKUP(frasest[[#This Row],[autor_es]],autorest[autor_es],autorest[nacion_la])</f>
        <v>Graecia</v>
      </c>
      <c r="N19" t="str">
        <f>_xlfn.XLOOKUP(frasest[[#This Row],[autor_es]],autorest[autor_es],autorest[epoca_es])</f>
        <v>Edad Antigua</v>
      </c>
      <c r="O19" t="str">
        <f>_xlfn.XLOOKUP(frasest[[#This Row],[autor_es]],autorest[autor_es],autorest[epoca_la])</f>
        <v>Antiquitas</v>
      </c>
    </row>
    <row r="20" spans="1:15">
      <c r="A20">
        <v>19</v>
      </c>
      <c r="B20" t="s">
        <v>75</v>
      </c>
      <c r="C20" t="s">
        <v>76</v>
      </c>
      <c r="D20" s="1" t="s">
        <v>77</v>
      </c>
      <c r="E20" t="s">
        <v>33</v>
      </c>
      <c r="F20" t="str">
        <f>_xlfn.XLOOKUP(frasest[[#This Row],[autor_es]],autorest[autor_es],autorest[autor_la])</f>
        <v>Proverbium Sinense</v>
      </c>
      <c r="G20" t="str">
        <f>_xlfn.XLOOKUP(frasest[[#This Row],[autor_es]],autorest[autor_es],autorest[bio_es])</f>
        <v>Conjunto de proverbios tradicionales de la cultura china que transmiten sabiduría popular, valores morales y enseñanzas prácticas transmitidas oralmente durante siglos.</v>
      </c>
      <c r="H20" t="str">
        <f>_xlfn.XLOOKUP(frasest[[#This Row],[autor_es]],autorest[autor_es],autorest[bio_la])</f>
        <v>Collectio sententiarum Sinensium, magnopere in cultura tradita.</v>
      </c>
      <c r="I20" t="str">
        <f>_xlfn.XLOOKUP(frasest[[#This Row],[autor_es]],autorest[autor_es],autorest[codigo])</f>
        <v>zh</v>
      </c>
      <c r="J20" t="str">
        <f>_xlfn.XLOOKUP(frasest[[#This Row],[autor_es]],autorest[autor_es],autorest[idioma_es])</f>
        <v>Chino</v>
      </c>
      <c r="K20" t="str">
        <f>_xlfn.XLOOKUP(frasest[[#This Row],[autor_es]],autorest[autor_es],autorest[idioma_la])</f>
        <v>Lingua Sinica</v>
      </c>
      <c r="L20" t="str">
        <f>_xlfn.XLOOKUP(frasest[[#This Row],[autor_es]],autorest[autor_es],autorest[nacion_es])</f>
        <v>China</v>
      </c>
      <c r="M20" t="str">
        <f>_xlfn.XLOOKUP(frasest[[#This Row],[autor_es]],autorest[autor_es],autorest[nacion_la])</f>
        <v>Sinae</v>
      </c>
      <c r="N20" t="str">
        <f>_xlfn.XLOOKUP(frasest[[#This Row],[autor_es]],autorest[autor_es],autorest[epoca_es])</f>
        <v>Epoca Desconocida</v>
      </c>
      <c r="O20" t="str">
        <f>_xlfn.XLOOKUP(frasest[[#This Row],[autor_es]],autorest[autor_es],autorest[epoca_la])</f>
        <v>Epocha Ignota</v>
      </c>
    </row>
    <row r="21" spans="1:15">
      <c r="A21">
        <v>20</v>
      </c>
      <c r="B21" t="s">
        <v>78</v>
      </c>
      <c r="C21" t="s">
        <v>79</v>
      </c>
      <c r="D21" s="1" t="s">
        <v>80</v>
      </c>
      <c r="E21" t="s">
        <v>81</v>
      </c>
      <c r="F21" t="str">
        <f>_xlfn.XLOOKUP(frasest[[#This Row],[autor_es]],autorest[autor_es],autorest[autor_la])</f>
        <v>Confucius</v>
      </c>
      <c r="G21" t="str">
        <f>_xlfn.XLOOKUP(frasest[[#This Row],[autor_es]],autorest[autor_es],autorest[bio_es])</f>
        <v>Filósofo y maestro chino, fundador del confucianismo. Sus enseñanzas influyeron profundamente en la cultura, ética y política de China.</v>
      </c>
      <c r="H21" t="str">
        <f>_xlfn.XLOOKUP(frasest[[#This Row],[autor_es]],autorest[autor_es],autorest[bio_la])</f>
        <v>Philosophus et magister Sinensis, confucianismi conditor. Doctrinae eius in culturam, ethicam et politicam Sinensem profunde influentes.</v>
      </c>
      <c r="I21" t="str">
        <f>_xlfn.XLOOKUP(frasest[[#This Row],[autor_es]],autorest[autor_es],autorest[codigo])</f>
        <v>zh</v>
      </c>
      <c r="J21" t="str">
        <f>_xlfn.XLOOKUP(frasest[[#This Row],[autor_es]],autorest[autor_es],autorest[idioma_es])</f>
        <v>Chino</v>
      </c>
      <c r="K21" t="str">
        <f>_xlfn.XLOOKUP(frasest[[#This Row],[autor_es]],autorest[autor_es],autorest[idioma_la])</f>
        <v>Lingua Sinica</v>
      </c>
      <c r="L21" t="str">
        <f>_xlfn.XLOOKUP(frasest[[#This Row],[autor_es]],autorest[autor_es],autorest[nacion_es])</f>
        <v>China</v>
      </c>
      <c r="M21" t="str">
        <f>_xlfn.XLOOKUP(frasest[[#This Row],[autor_es]],autorest[autor_es],autorest[nacion_la])</f>
        <v>Sinae</v>
      </c>
      <c r="N21" t="str">
        <f>_xlfn.XLOOKUP(frasest[[#This Row],[autor_es]],autorest[autor_es],autorest[epoca_es])</f>
        <v>Edad Antigua</v>
      </c>
      <c r="O21" t="str">
        <f>_xlfn.XLOOKUP(frasest[[#This Row],[autor_es]],autorest[autor_es],autorest[epoca_la])</f>
        <v>Antiquitas</v>
      </c>
    </row>
    <row r="22" spans="1:15">
      <c r="A22">
        <v>21</v>
      </c>
      <c r="B22" t="s">
        <v>82</v>
      </c>
      <c r="C22" t="s">
        <v>83</v>
      </c>
      <c r="D22" s="1" t="s">
        <v>84</v>
      </c>
      <c r="E22" t="s">
        <v>81</v>
      </c>
      <c r="F22" t="str">
        <f>_xlfn.XLOOKUP(frasest[[#This Row],[autor_es]],autorest[autor_es],autorest[autor_la])</f>
        <v>Confucius</v>
      </c>
      <c r="G22" t="str">
        <f>_xlfn.XLOOKUP(frasest[[#This Row],[autor_es]],autorest[autor_es],autorest[bio_es])</f>
        <v>Filósofo y maestro chino, fundador del confucianismo. Sus enseñanzas influyeron profundamente en la cultura, ética y política de China.</v>
      </c>
      <c r="H22" t="str">
        <f>_xlfn.XLOOKUP(frasest[[#This Row],[autor_es]],autorest[autor_es],autorest[bio_la])</f>
        <v>Philosophus et magister Sinensis, confucianismi conditor. Doctrinae eius in culturam, ethicam et politicam Sinensem profunde influentes.</v>
      </c>
      <c r="I22" t="str">
        <f>_xlfn.XLOOKUP(frasest[[#This Row],[autor_es]],autorest[autor_es],autorest[codigo])</f>
        <v>zh</v>
      </c>
      <c r="J22" t="str">
        <f>_xlfn.XLOOKUP(frasest[[#This Row],[autor_es]],autorest[autor_es],autorest[idioma_es])</f>
        <v>Chino</v>
      </c>
      <c r="K22" t="str">
        <f>_xlfn.XLOOKUP(frasest[[#This Row],[autor_es]],autorest[autor_es],autorest[idioma_la])</f>
        <v>Lingua Sinica</v>
      </c>
      <c r="L22" t="str">
        <f>_xlfn.XLOOKUP(frasest[[#This Row],[autor_es]],autorest[autor_es],autorest[nacion_es])</f>
        <v>China</v>
      </c>
      <c r="M22" t="str">
        <f>_xlfn.XLOOKUP(frasest[[#This Row],[autor_es]],autorest[autor_es],autorest[nacion_la])</f>
        <v>Sinae</v>
      </c>
      <c r="N22" t="str">
        <f>_xlfn.XLOOKUP(frasest[[#This Row],[autor_es]],autorest[autor_es],autorest[epoca_es])</f>
        <v>Edad Antigua</v>
      </c>
      <c r="O22" t="str">
        <f>_xlfn.XLOOKUP(frasest[[#This Row],[autor_es]],autorest[autor_es],autorest[epoca_la])</f>
        <v>Antiquitas</v>
      </c>
    </row>
    <row r="23" spans="1:15">
      <c r="A23">
        <v>22</v>
      </c>
      <c r="B23" t="s">
        <v>85</v>
      </c>
      <c r="C23" t="s">
        <v>86</v>
      </c>
      <c r="D23" s="1" t="s">
        <v>87</v>
      </c>
      <c r="E23" t="s">
        <v>81</v>
      </c>
      <c r="F23" t="str">
        <f>_xlfn.XLOOKUP(frasest[[#This Row],[autor_es]],autorest[autor_es],autorest[autor_la])</f>
        <v>Confucius</v>
      </c>
      <c r="G23" t="str">
        <f>_xlfn.XLOOKUP(frasest[[#This Row],[autor_es]],autorest[autor_es],autorest[bio_es])</f>
        <v>Filósofo y maestro chino, fundador del confucianismo. Sus enseñanzas influyeron profundamente en la cultura, ética y política de China.</v>
      </c>
      <c r="H23" t="str">
        <f>_xlfn.XLOOKUP(frasest[[#This Row],[autor_es]],autorest[autor_es],autorest[bio_la])</f>
        <v>Philosophus et magister Sinensis, confucianismi conditor. Doctrinae eius in culturam, ethicam et politicam Sinensem profunde influentes.</v>
      </c>
      <c r="I23" t="str">
        <f>_xlfn.XLOOKUP(frasest[[#This Row],[autor_es]],autorest[autor_es],autorest[codigo])</f>
        <v>zh</v>
      </c>
      <c r="J23" t="str">
        <f>_xlfn.XLOOKUP(frasest[[#This Row],[autor_es]],autorest[autor_es],autorest[idioma_es])</f>
        <v>Chino</v>
      </c>
      <c r="K23" t="str">
        <f>_xlfn.XLOOKUP(frasest[[#This Row],[autor_es]],autorest[autor_es],autorest[idioma_la])</f>
        <v>Lingua Sinica</v>
      </c>
      <c r="L23" t="str">
        <f>_xlfn.XLOOKUP(frasest[[#This Row],[autor_es]],autorest[autor_es],autorest[nacion_es])</f>
        <v>China</v>
      </c>
      <c r="M23" t="str">
        <f>_xlfn.XLOOKUP(frasest[[#This Row],[autor_es]],autorest[autor_es],autorest[nacion_la])</f>
        <v>Sinae</v>
      </c>
      <c r="N23" t="str">
        <f>_xlfn.XLOOKUP(frasest[[#This Row],[autor_es]],autorest[autor_es],autorest[epoca_es])</f>
        <v>Edad Antigua</v>
      </c>
      <c r="O23" t="str">
        <f>_xlfn.XLOOKUP(frasest[[#This Row],[autor_es]],autorest[autor_es],autorest[epoca_la])</f>
        <v>Antiquitas</v>
      </c>
    </row>
    <row r="24" spans="1:15">
      <c r="A24">
        <v>23</v>
      </c>
      <c r="B24" t="s">
        <v>88</v>
      </c>
      <c r="C24" t="s">
        <v>89</v>
      </c>
      <c r="D24" t="s">
        <v>90</v>
      </c>
      <c r="E24" t="s">
        <v>51</v>
      </c>
      <c r="F24" t="str">
        <f>_xlfn.XLOOKUP(frasest[[#This Row],[autor_es]],autorest[autor_es],autorest[autor_la])</f>
        <v>Aurelius Augustinus</v>
      </c>
      <c r="G24" t="str">
        <f>_xlfn.XLOOKUP(frasest[[#This Row],[autor_es]],autorest[autor_es],autorest[bio_es])</f>
        <v>Filósofo y teólogo cristiano.</v>
      </c>
      <c r="H24" t="str">
        <f>_xlfn.XLOOKUP(frasest[[#This Row],[autor_es]],autorest[autor_es],autorest[bio_la])</f>
        <v>Philosophus et theologus Christianus.</v>
      </c>
      <c r="I24" t="str">
        <f>_xlfn.XLOOKUP(frasest[[#This Row],[autor_es]],autorest[autor_es],autorest[codigo])</f>
        <v>la</v>
      </c>
      <c r="J24" t="str">
        <f>_xlfn.XLOOKUP(frasest[[#This Row],[autor_es]],autorest[autor_es],autorest[idioma_es])</f>
        <v>Latín</v>
      </c>
      <c r="K24" t="str">
        <f>_xlfn.XLOOKUP(frasest[[#This Row],[autor_es]],autorest[autor_es],autorest[idioma_la])</f>
        <v>Lingua Latina</v>
      </c>
      <c r="L24" t="str">
        <f>_xlfn.XLOOKUP(frasest[[#This Row],[autor_es]],autorest[autor_es],autorest[nacion_es])</f>
        <v>Roma</v>
      </c>
      <c r="M24" t="str">
        <f>_xlfn.XLOOKUP(frasest[[#This Row],[autor_es]],autorest[autor_es],autorest[nacion_la])</f>
        <v>Roma</v>
      </c>
      <c r="N24" t="str">
        <f>_xlfn.XLOOKUP(frasest[[#This Row],[autor_es]],autorest[autor_es],autorest[epoca_es])</f>
        <v>Edad Antigua</v>
      </c>
      <c r="O24" t="str">
        <f>_xlfn.XLOOKUP(frasest[[#This Row],[autor_es]],autorest[autor_es],autorest[epoca_la])</f>
        <v>Antiquitas</v>
      </c>
    </row>
    <row r="25" spans="1:15">
      <c r="A25">
        <v>24</v>
      </c>
      <c r="B25" t="s">
        <v>91</v>
      </c>
      <c r="C25" t="s">
        <v>92</v>
      </c>
      <c r="D25" t="s">
        <v>93</v>
      </c>
      <c r="E25" t="s">
        <v>51</v>
      </c>
      <c r="F25" t="str">
        <f>_xlfn.XLOOKUP(frasest[[#This Row],[autor_es]],autorest[autor_es],autorest[autor_la])</f>
        <v>Aurelius Augustinus</v>
      </c>
      <c r="G25" t="str">
        <f>_xlfn.XLOOKUP(frasest[[#This Row],[autor_es]],autorest[autor_es],autorest[bio_es])</f>
        <v>Filósofo y teólogo cristiano.</v>
      </c>
      <c r="H25" t="str">
        <f>_xlfn.XLOOKUP(frasest[[#This Row],[autor_es]],autorest[autor_es],autorest[bio_la])</f>
        <v>Philosophus et theologus Christianus.</v>
      </c>
      <c r="I25" t="str">
        <f>_xlfn.XLOOKUP(frasest[[#This Row],[autor_es]],autorest[autor_es],autorest[codigo])</f>
        <v>la</v>
      </c>
      <c r="J25" t="str">
        <f>_xlfn.XLOOKUP(frasest[[#This Row],[autor_es]],autorest[autor_es],autorest[idioma_es])</f>
        <v>Latín</v>
      </c>
      <c r="K25" t="str">
        <f>_xlfn.XLOOKUP(frasest[[#This Row],[autor_es]],autorest[autor_es],autorest[idioma_la])</f>
        <v>Lingua Latina</v>
      </c>
      <c r="L25" t="str">
        <f>_xlfn.XLOOKUP(frasest[[#This Row],[autor_es]],autorest[autor_es],autorest[nacion_es])</f>
        <v>Roma</v>
      </c>
      <c r="M25" t="str">
        <f>_xlfn.XLOOKUP(frasest[[#This Row],[autor_es]],autorest[autor_es],autorest[nacion_la])</f>
        <v>Roma</v>
      </c>
      <c r="N25" t="str">
        <f>_xlfn.XLOOKUP(frasest[[#This Row],[autor_es]],autorest[autor_es],autorest[epoca_es])</f>
        <v>Edad Antigua</v>
      </c>
      <c r="O25" t="str">
        <f>_xlfn.XLOOKUP(frasest[[#This Row],[autor_es]],autorest[autor_es],autorest[epoca_la])</f>
        <v>Antiquitas</v>
      </c>
    </row>
    <row r="26" spans="1:15">
      <c r="A26">
        <v>25</v>
      </c>
      <c r="B26" t="s">
        <v>94</v>
      </c>
      <c r="C26" t="s">
        <v>95</v>
      </c>
      <c r="D26" t="s">
        <v>95</v>
      </c>
      <c r="E26" t="s">
        <v>96</v>
      </c>
      <c r="F26" t="str">
        <f>_xlfn.XLOOKUP(frasest[[#This Row],[autor_es]],autorest[autor_es],autorest[autor_la])</f>
        <v>Isidorus Hispalensis</v>
      </c>
      <c r="G26" t="str">
        <f>_xlfn.XLOOKUP(frasest[[#This Row],[autor_es]],autorest[autor_es],autorest[bio_es])</f>
        <v>Arzobispo de Sevilla, erudito y escritor español. Autor de "Etimologías", obra enciclopédica que recoge gran parte del saber de su época.</v>
      </c>
      <c r="H26" t="str">
        <f>_xlfn.XLOOKUP(frasest[[#This Row],[autor_es]],autorest[autor_es],autorest[bio_la])</f>
        <v>Archiepiscopus Hispaliensis, eruditus et scriptor Hispanicus, auctor "Etymologiae".</v>
      </c>
      <c r="I26" t="str">
        <f>_xlfn.XLOOKUP(frasest[[#This Row],[autor_es]],autorest[autor_es],autorest[codigo])</f>
        <v>la</v>
      </c>
      <c r="J26" t="str">
        <f>_xlfn.XLOOKUP(frasest[[#This Row],[autor_es]],autorest[autor_es],autorest[idioma_es])</f>
        <v>Latín</v>
      </c>
      <c r="K26" t="str">
        <f>_xlfn.XLOOKUP(frasest[[#This Row],[autor_es]],autorest[autor_es],autorest[idioma_la])</f>
        <v>Lingua Latina</v>
      </c>
      <c r="L26" t="str">
        <f>_xlfn.XLOOKUP(frasest[[#This Row],[autor_es]],autorest[autor_es],autorest[nacion_es])</f>
        <v>España</v>
      </c>
      <c r="M26" t="str">
        <f>_xlfn.XLOOKUP(frasest[[#This Row],[autor_es]],autorest[autor_es],autorest[nacion_la])</f>
        <v>Hispania</v>
      </c>
      <c r="N26" t="str">
        <f>_xlfn.XLOOKUP(frasest[[#This Row],[autor_es]],autorest[autor_es],autorest[epoca_es])</f>
        <v>Edad Media</v>
      </c>
      <c r="O26" t="str">
        <f>_xlfn.XLOOKUP(frasest[[#This Row],[autor_es]],autorest[autor_es],autorest[epoca_la])</f>
        <v>Medium Aevum</v>
      </c>
    </row>
    <row r="27" spans="1:15">
      <c r="A27">
        <v>26</v>
      </c>
      <c r="B27" t="s">
        <v>97</v>
      </c>
      <c r="C27" t="s">
        <v>98</v>
      </c>
      <c r="D27" t="s">
        <v>98</v>
      </c>
      <c r="E27" t="s">
        <v>96</v>
      </c>
      <c r="F27" t="str">
        <f>_xlfn.XLOOKUP(frasest[[#This Row],[autor_es]],autorest[autor_es],autorest[autor_la])</f>
        <v>Isidorus Hispalensis</v>
      </c>
      <c r="G27" t="str">
        <f>_xlfn.XLOOKUP(frasest[[#This Row],[autor_es]],autorest[autor_es],autorest[bio_es])</f>
        <v>Arzobispo de Sevilla, erudito y escritor español. Autor de "Etimologías", obra enciclopédica que recoge gran parte del saber de su época.</v>
      </c>
      <c r="H27" t="str">
        <f>_xlfn.XLOOKUP(frasest[[#This Row],[autor_es]],autorest[autor_es],autorest[bio_la])</f>
        <v>Archiepiscopus Hispaliensis, eruditus et scriptor Hispanicus, auctor "Etymologiae".</v>
      </c>
      <c r="I27" t="str">
        <f>_xlfn.XLOOKUP(frasest[[#This Row],[autor_es]],autorest[autor_es],autorest[codigo])</f>
        <v>la</v>
      </c>
      <c r="J27" t="str">
        <f>_xlfn.XLOOKUP(frasest[[#This Row],[autor_es]],autorest[autor_es],autorest[idioma_es])</f>
        <v>Latín</v>
      </c>
      <c r="K27" t="str">
        <f>_xlfn.XLOOKUP(frasest[[#This Row],[autor_es]],autorest[autor_es],autorest[idioma_la])</f>
        <v>Lingua Latina</v>
      </c>
      <c r="L27" t="str">
        <f>_xlfn.XLOOKUP(frasest[[#This Row],[autor_es]],autorest[autor_es],autorest[nacion_es])</f>
        <v>España</v>
      </c>
      <c r="M27" t="str">
        <f>_xlfn.XLOOKUP(frasest[[#This Row],[autor_es]],autorest[autor_es],autorest[nacion_la])</f>
        <v>Hispania</v>
      </c>
      <c r="N27" t="str">
        <f>_xlfn.XLOOKUP(frasest[[#This Row],[autor_es]],autorest[autor_es],autorest[epoca_es])</f>
        <v>Edad Media</v>
      </c>
      <c r="O27" t="str">
        <f>_xlfn.XLOOKUP(frasest[[#This Row],[autor_es]],autorest[autor_es],autorest[epoca_la])</f>
        <v>Medium Aevum</v>
      </c>
    </row>
    <row r="28" spans="1:15">
      <c r="A28">
        <v>27</v>
      </c>
      <c r="B28" t="s">
        <v>99</v>
      </c>
      <c r="C28" t="s">
        <v>100</v>
      </c>
      <c r="D28" t="s">
        <v>100</v>
      </c>
      <c r="E28" t="s">
        <v>96</v>
      </c>
      <c r="F28" t="str">
        <f>_xlfn.XLOOKUP(frasest[[#This Row],[autor_es]],autorest[autor_es],autorest[autor_la])</f>
        <v>Isidorus Hispalensis</v>
      </c>
      <c r="G28" t="str">
        <f>_xlfn.XLOOKUP(frasest[[#This Row],[autor_es]],autorest[autor_es],autorest[bio_es])</f>
        <v>Arzobispo de Sevilla, erudito y escritor español. Autor de "Etimologías", obra enciclopédica que recoge gran parte del saber de su época.</v>
      </c>
      <c r="H28" t="str">
        <f>_xlfn.XLOOKUP(frasest[[#This Row],[autor_es]],autorest[autor_es],autorest[bio_la])</f>
        <v>Archiepiscopus Hispaliensis, eruditus et scriptor Hispanicus, auctor "Etymologiae".</v>
      </c>
      <c r="I28" t="str">
        <f>_xlfn.XLOOKUP(frasest[[#This Row],[autor_es]],autorest[autor_es],autorest[codigo])</f>
        <v>la</v>
      </c>
      <c r="J28" t="str">
        <f>_xlfn.XLOOKUP(frasest[[#This Row],[autor_es]],autorest[autor_es],autorest[idioma_es])</f>
        <v>Latín</v>
      </c>
      <c r="K28" t="str">
        <f>_xlfn.XLOOKUP(frasest[[#This Row],[autor_es]],autorest[autor_es],autorest[idioma_la])</f>
        <v>Lingua Latina</v>
      </c>
      <c r="L28" t="str">
        <f>_xlfn.XLOOKUP(frasest[[#This Row],[autor_es]],autorest[autor_es],autorest[nacion_es])</f>
        <v>España</v>
      </c>
      <c r="M28" t="str">
        <f>_xlfn.XLOOKUP(frasest[[#This Row],[autor_es]],autorest[autor_es],autorest[nacion_la])</f>
        <v>Hispania</v>
      </c>
      <c r="N28" t="str">
        <f>_xlfn.XLOOKUP(frasest[[#This Row],[autor_es]],autorest[autor_es],autorest[epoca_es])</f>
        <v>Edad Media</v>
      </c>
      <c r="O28" t="str">
        <f>_xlfn.XLOOKUP(frasest[[#This Row],[autor_es]],autorest[autor_es],autorest[epoca_la])</f>
        <v>Medium Aevum</v>
      </c>
    </row>
    <row r="29" spans="1:15">
      <c r="A29">
        <v>28</v>
      </c>
      <c r="B29" t="s">
        <v>44</v>
      </c>
      <c r="C29" t="s">
        <v>101</v>
      </c>
      <c r="D29" t="s">
        <v>45</v>
      </c>
      <c r="E29" t="s">
        <v>96</v>
      </c>
      <c r="F29" t="str">
        <f>_xlfn.XLOOKUP(frasest[[#This Row],[autor_es]],autorest[autor_es],autorest[autor_la])</f>
        <v>Isidorus Hispalensis</v>
      </c>
      <c r="G29" t="str">
        <f>_xlfn.XLOOKUP(frasest[[#This Row],[autor_es]],autorest[autor_es],autorest[bio_es])</f>
        <v>Arzobispo de Sevilla, erudito y escritor español. Autor de "Etimologías", obra enciclopédica que recoge gran parte del saber de su época.</v>
      </c>
      <c r="H29" t="str">
        <f>_xlfn.XLOOKUP(frasest[[#This Row],[autor_es]],autorest[autor_es],autorest[bio_la])</f>
        <v>Archiepiscopus Hispaliensis, eruditus et scriptor Hispanicus, auctor "Etymologiae".</v>
      </c>
      <c r="I29" t="str">
        <f>_xlfn.XLOOKUP(frasest[[#This Row],[autor_es]],autorest[autor_es],autorest[codigo])</f>
        <v>la</v>
      </c>
      <c r="J29" t="str">
        <f>_xlfn.XLOOKUP(frasest[[#This Row],[autor_es]],autorest[autor_es],autorest[idioma_es])</f>
        <v>Latín</v>
      </c>
      <c r="K29" t="str">
        <f>_xlfn.XLOOKUP(frasest[[#This Row],[autor_es]],autorest[autor_es],autorest[idioma_la])</f>
        <v>Lingua Latina</v>
      </c>
      <c r="L29" t="str">
        <f>_xlfn.XLOOKUP(frasest[[#This Row],[autor_es]],autorest[autor_es],autorest[nacion_es])</f>
        <v>España</v>
      </c>
      <c r="M29" t="str">
        <f>_xlfn.XLOOKUP(frasest[[#This Row],[autor_es]],autorest[autor_es],autorest[nacion_la])</f>
        <v>Hispania</v>
      </c>
      <c r="N29" t="str">
        <f>_xlfn.XLOOKUP(frasest[[#This Row],[autor_es]],autorest[autor_es],autorest[epoca_es])</f>
        <v>Edad Media</v>
      </c>
      <c r="O29" t="str">
        <f>_xlfn.XLOOKUP(frasest[[#This Row],[autor_es]],autorest[autor_es],autorest[epoca_la])</f>
        <v>Medium Aevum</v>
      </c>
    </row>
    <row r="30" spans="1:15">
      <c r="A30">
        <v>29</v>
      </c>
      <c r="B30" t="s">
        <v>102</v>
      </c>
      <c r="C30" t="s">
        <v>103</v>
      </c>
      <c r="D30" s="1" t="s">
        <v>104</v>
      </c>
      <c r="E30" t="s">
        <v>33</v>
      </c>
      <c r="F30" t="str">
        <f>_xlfn.XLOOKUP(frasest[[#This Row],[autor_es]],autorest[autor_es],autorest[autor_la])</f>
        <v>Proverbium Sinense</v>
      </c>
      <c r="G30" t="str">
        <f>_xlfn.XLOOKUP(frasest[[#This Row],[autor_es]],autorest[autor_es],autorest[bio_es])</f>
        <v>Conjunto de proverbios tradicionales de la cultura china que transmiten sabiduría popular, valores morales y enseñanzas prácticas transmitidas oralmente durante siglos.</v>
      </c>
      <c r="H30" t="str">
        <f>_xlfn.XLOOKUP(frasest[[#This Row],[autor_es]],autorest[autor_es],autorest[bio_la])</f>
        <v>Collectio sententiarum Sinensium, magnopere in cultura tradita.</v>
      </c>
      <c r="I30" t="str">
        <f>_xlfn.XLOOKUP(frasest[[#This Row],[autor_es]],autorest[autor_es],autorest[codigo])</f>
        <v>zh</v>
      </c>
      <c r="J30" t="str">
        <f>_xlfn.XLOOKUP(frasest[[#This Row],[autor_es]],autorest[autor_es],autorest[idioma_es])</f>
        <v>Chino</v>
      </c>
      <c r="K30" t="str">
        <f>_xlfn.XLOOKUP(frasest[[#This Row],[autor_es]],autorest[autor_es],autorest[idioma_la])</f>
        <v>Lingua Sinica</v>
      </c>
      <c r="L30" t="str">
        <f>_xlfn.XLOOKUP(frasest[[#This Row],[autor_es]],autorest[autor_es],autorest[nacion_es])</f>
        <v>China</v>
      </c>
      <c r="M30" t="str">
        <f>_xlfn.XLOOKUP(frasest[[#This Row],[autor_es]],autorest[autor_es],autorest[nacion_la])</f>
        <v>Sinae</v>
      </c>
      <c r="N30" t="str">
        <f>_xlfn.XLOOKUP(frasest[[#This Row],[autor_es]],autorest[autor_es],autorest[epoca_es])</f>
        <v>Epoca Desconocida</v>
      </c>
      <c r="O30" t="str">
        <f>_xlfn.XLOOKUP(frasest[[#This Row],[autor_es]],autorest[autor_es],autorest[epoca_la])</f>
        <v>Epocha Ignota</v>
      </c>
    </row>
    <row r="31" spans="1:15">
      <c r="A31">
        <v>30</v>
      </c>
      <c r="B31" t="s">
        <v>105</v>
      </c>
      <c r="C31" t="s">
        <v>106</v>
      </c>
      <c r="D31" s="1" t="s">
        <v>107</v>
      </c>
      <c r="E31" t="s">
        <v>33</v>
      </c>
      <c r="F31" t="str">
        <f>_xlfn.XLOOKUP(frasest[[#This Row],[autor_es]],autorest[autor_es],autorest[autor_la])</f>
        <v>Proverbium Sinense</v>
      </c>
      <c r="G31" t="str">
        <f>_xlfn.XLOOKUP(frasest[[#This Row],[autor_es]],autorest[autor_es],autorest[bio_es])</f>
        <v>Conjunto de proverbios tradicionales de la cultura china que transmiten sabiduría popular, valores morales y enseñanzas prácticas transmitidas oralmente durante siglos.</v>
      </c>
      <c r="H31" t="str">
        <f>_xlfn.XLOOKUP(frasest[[#This Row],[autor_es]],autorest[autor_es],autorest[bio_la])</f>
        <v>Collectio sententiarum Sinensium, magnopere in cultura tradita.</v>
      </c>
      <c r="I31" t="str">
        <f>_xlfn.XLOOKUP(frasest[[#This Row],[autor_es]],autorest[autor_es],autorest[codigo])</f>
        <v>zh</v>
      </c>
      <c r="J31" t="str">
        <f>_xlfn.XLOOKUP(frasest[[#This Row],[autor_es]],autorest[autor_es],autorest[idioma_es])</f>
        <v>Chino</v>
      </c>
      <c r="K31" t="str">
        <f>_xlfn.XLOOKUP(frasest[[#This Row],[autor_es]],autorest[autor_es],autorest[idioma_la])</f>
        <v>Lingua Sinica</v>
      </c>
      <c r="L31" t="str">
        <f>_xlfn.XLOOKUP(frasest[[#This Row],[autor_es]],autorest[autor_es],autorest[nacion_es])</f>
        <v>China</v>
      </c>
      <c r="M31" t="str">
        <f>_xlfn.XLOOKUP(frasest[[#This Row],[autor_es]],autorest[autor_es],autorest[nacion_la])</f>
        <v>Sinae</v>
      </c>
      <c r="N31" t="str">
        <f>_xlfn.XLOOKUP(frasest[[#This Row],[autor_es]],autorest[autor_es],autorest[epoca_es])</f>
        <v>Epoca Desconocida</v>
      </c>
      <c r="O31" t="str">
        <f>_xlfn.XLOOKUP(frasest[[#This Row],[autor_es]],autorest[autor_es],autorest[epoca_la])</f>
        <v>Epocha Ignota</v>
      </c>
    </row>
    <row r="32" spans="1:15">
      <c r="A32">
        <v>31</v>
      </c>
      <c r="B32" t="s">
        <v>108</v>
      </c>
      <c r="C32" t="s">
        <v>109</v>
      </c>
      <c r="D32" s="1" t="s">
        <v>110</v>
      </c>
      <c r="E32" t="s">
        <v>33</v>
      </c>
      <c r="F32" t="str">
        <f>_xlfn.XLOOKUP(frasest[[#This Row],[autor_es]],autorest[autor_es],autorest[autor_la])</f>
        <v>Proverbium Sinense</v>
      </c>
      <c r="G32" t="str">
        <f>_xlfn.XLOOKUP(frasest[[#This Row],[autor_es]],autorest[autor_es],autorest[bio_es])</f>
        <v>Conjunto de proverbios tradicionales de la cultura china que transmiten sabiduría popular, valores morales y enseñanzas prácticas transmitidas oralmente durante siglos.</v>
      </c>
      <c r="H32" t="str">
        <f>_xlfn.XLOOKUP(frasest[[#This Row],[autor_es]],autorest[autor_es],autorest[bio_la])</f>
        <v>Collectio sententiarum Sinensium, magnopere in cultura tradita.</v>
      </c>
      <c r="I32" t="str">
        <f>_xlfn.XLOOKUP(frasest[[#This Row],[autor_es]],autorest[autor_es],autorest[codigo])</f>
        <v>zh</v>
      </c>
      <c r="J32" t="str">
        <f>_xlfn.XLOOKUP(frasest[[#This Row],[autor_es]],autorest[autor_es],autorest[idioma_es])</f>
        <v>Chino</v>
      </c>
      <c r="K32" t="str">
        <f>_xlfn.XLOOKUP(frasest[[#This Row],[autor_es]],autorest[autor_es],autorest[idioma_la])</f>
        <v>Lingua Sinica</v>
      </c>
      <c r="L32" t="str">
        <f>_xlfn.XLOOKUP(frasest[[#This Row],[autor_es]],autorest[autor_es],autorest[nacion_es])</f>
        <v>China</v>
      </c>
      <c r="M32" t="str">
        <f>_xlfn.XLOOKUP(frasest[[#This Row],[autor_es]],autorest[autor_es],autorest[nacion_la])</f>
        <v>Sinae</v>
      </c>
      <c r="N32" t="str">
        <f>_xlfn.XLOOKUP(frasest[[#This Row],[autor_es]],autorest[autor_es],autorest[epoca_es])</f>
        <v>Epoca Desconocida</v>
      </c>
      <c r="O32" t="str">
        <f>_xlfn.XLOOKUP(frasest[[#This Row],[autor_es]],autorest[autor_es],autorest[epoca_la])</f>
        <v>Epocha Ignota</v>
      </c>
    </row>
    <row r="33" spans="1:15">
      <c r="A33">
        <v>32</v>
      </c>
      <c r="B33" t="s">
        <v>111</v>
      </c>
      <c r="C33" t="s">
        <v>112</v>
      </c>
      <c r="D33" s="1" t="s">
        <v>113</v>
      </c>
      <c r="E33" t="s">
        <v>33</v>
      </c>
      <c r="F33" t="str">
        <f>_xlfn.XLOOKUP(frasest[[#This Row],[autor_es]],autorest[autor_es],autorest[autor_la])</f>
        <v>Proverbium Sinense</v>
      </c>
      <c r="G33" t="str">
        <f>_xlfn.XLOOKUP(frasest[[#This Row],[autor_es]],autorest[autor_es],autorest[bio_es])</f>
        <v>Conjunto de proverbios tradicionales de la cultura china que transmiten sabiduría popular, valores morales y enseñanzas prácticas transmitidas oralmente durante siglos.</v>
      </c>
      <c r="H33" t="str">
        <f>_xlfn.XLOOKUP(frasest[[#This Row],[autor_es]],autorest[autor_es],autorest[bio_la])</f>
        <v>Collectio sententiarum Sinensium, magnopere in cultura tradita.</v>
      </c>
      <c r="I33" t="str">
        <f>_xlfn.XLOOKUP(frasest[[#This Row],[autor_es]],autorest[autor_es],autorest[codigo])</f>
        <v>zh</v>
      </c>
      <c r="J33" t="str">
        <f>_xlfn.XLOOKUP(frasest[[#This Row],[autor_es]],autorest[autor_es],autorest[idioma_es])</f>
        <v>Chino</v>
      </c>
      <c r="K33" t="str">
        <f>_xlfn.XLOOKUP(frasest[[#This Row],[autor_es]],autorest[autor_es],autorest[idioma_la])</f>
        <v>Lingua Sinica</v>
      </c>
      <c r="L33" t="str">
        <f>_xlfn.XLOOKUP(frasest[[#This Row],[autor_es]],autorest[autor_es],autorest[nacion_es])</f>
        <v>China</v>
      </c>
      <c r="M33" t="str">
        <f>_xlfn.XLOOKUP(frasest[[#This Row],[autor_es]],autorest[autor_es],autorest[nacion_la])</f>
        <v>Sinae</v>
      </c>
      <c r="N33" t="str">
        <f>_xlfn.XLOOKUP(frasest[[#This Row],[autor_es]],autorest[autor_es],autorest[epoca_es])</f>
        <v>Epoca Desconocida</v>
      </c>
      <c r="O33" t="str">
        <f>_xlfn.XLOOKUP(frasest[[#This Row],[autor_es]],autorest[autor_es],autorest[epoca_la])</f>
        <v>Epocha Ignota</v>
      </c>
    </row>
    <row r="34" spans="1:15">
      <c r="A34">
        <v>33</v>
      </c>
      <c r="B34" t="s">
        <v>114</v>
      </c>
      <c r="C34" t="s">
        <v>115</v>
      </c>
      <c r="D34" s="1" t="s">
        <v>116</v>
      </c>
      <c r="E34" t="s">
        <v>33</v>
      </c>
      <c r="F34" t="str">
        <f>_xlfn.XLOOKUP(frasest[[#This Row],[autor_es]],autorest[autor_es],autorest[autor_la])</f>
        <v>Proverbium Sinense</v>
      </c>
      <c r="G34" t="str">
        <f>_xlfn.XLOOKUP(frasest[[#This Row],[autor_es]],autorest[autor_es],autorest[bio_es])</f>
        <v>Conjunto de proverbios tradicionales de la cultura china que transmiten sabiduría popular, valores morales y enseñanzas prácticas transmitidas oralmente durante siglos.</v>
      </c>
      <c r="H34" t="str">
        <f>_xlfn.XLOOKUP(frasest[[#This Row],[autor_es]],autorest[autor_es],autorest[bio_la])</f>
        <v>Collectio sententiarum Sinensium, magnopere in cultura tradita.</v>
      </c>
      <c r="I34" t="str">
        <f>_xlfn.XLOOKUP(frasest[[#This Row],[autor_es]],autorest[autor_es],autorest[codigo])</f>
        <v>zh</v>
      </c>
      <c r="J34" t="str">
        <f>_xlfn.XLOOKUP(frasest[[#This Row],[autor_es]],autorest[autor_es],autorest[idioma_es])</f>
        <v>Chino</v>
      </c>
      <c r="K34" t="str">
        <f>_xlfn.XLOOKUP(frasest[[#This Row],[autor_es]],autorest[autor_es],autorest[idioma_la])</f>
        <v>Lingua Sinica</v>
      </c>
      <c r="L34" t="str">
        <f>_xlfn.XLOOKUP(frasest[[#This Row],[autor_es]],autorest[autor_es],autorest[nacion_es])</f>
        <v>China</v>
      </c>
      <c r="M34" t="str">
        <f>_xlfn.XLOOKUP(frasest[[#This Row],[autor_es]],autorest[autor_es],autorest[nacion_la])</f>
        <v>Sinae</v>
      </c>
      <c r="N34" t="str">
        <f>_xlfn.XLOOKUP(frasest[[#This Row],[autor_es]],autorest[autor_es],autorest[epoca_es])</f>
        <v>Epoca Desconocida</v>
      </c>
      <c r="O34" t="str">
        <f>_xlfn.XLOOKUP(frasest[[#This Row],[autor_es]],autorest[autor_es],autorest[epoca_la])</f>
        <v>Epocha Ignota</v>
      </c>
    </row>
    <row r="35" spans="1:15">
      <c r="A35">
        <v>34</v>
      </c>
      <c r="B35" t="s">
        <v>82</v>
      </c>
      <c r="C35" t="s">
        <v>83</v>
      </c>
      <c r="D35" s="1" t="s">
        <v>117</v>
      </c>
      <c r="E35" t="s">
        <v>33</v>
      </c>
      <c r="F35" t="str">
        <f>_xlfn.XLOOKUP(frasest[[#This Row],[autor_es]],autorest[autor_es],autorest[autor_la])</f>
        <v>Proverbium Sinense</v>
      </c>
      <c r="G35" t="str">
        <f>_xlfn.XLOOKUP(frasest[[#This Row],[autor_es]],autorest[autor_es],autorest[bio_es])</f>
        <v>Conjunto de proverbios tradicionales de la cultura china que transmiten sabiduría popular, valores morales y enseñanzas prácticas transmitidas oralmente durante siglos.</v>
      </c>
      <c r="H35" t="str">
        <f>_xlfn.XLOOKUP(frasest[[#This Row],[autor_es]],autorest[autor_es],autorest[bio_la])</f>
        <v>Collectio sententiarum Sinensium, magnopere in cultura tradita.</v>
      </c>
      <c r="I35" t="str">
        <f>_xlfn.XLOOKUP(frasest[[#This Row],[autor_es]],autorest[autor_es],autorest[codigo])</f>
        <v>zh</v>
      </c>
      <c r="J35" t="str">
        <f>_xlfn.XLOOKUP(frasest[[#This Row],[autor_es]],autorest[autor_es],autorest[idioma_es])</f>
        <v>Chino</v>
      </c>
      <c r="K35" t="str">
        <f>_xlfn.XLOOKUP(frasest[[#This Row],[autor_es]],autorest[autor_es],autorest[idioma_la])</f>
        <v>Lingua Sinica</v>
      </c>
      <c r="L35" t="str">
        <f>_xlfn.XLOOKUP(frasest[[#This Row],[autor_es]],autorest[autor_es],autorest[nacion_es])</f>
        <v>China</v>
      </c>
      <c r="M35" t="str">
        <f>_xlfn.XLOOKUP(frasest[[#This Row],[autor_es]],autorest[autor_es],autorest[nacion_la])</f>
        <v>Sinae</v>
      </c>
      <c r="N35" t="str">
        <f>_xlfn.XLOOKUP(frasest[[#This Row],[autor_es]],autorest[autor_es],autorest[epoca_es])</f>
        <v>Epoca Desconocida</v>
      </c>
      <c r="O35" t="str">
        <f>_xlfn.XLOOKUP(frasest[[#This Row],[autor_es]],autorest[autor_es],autorest[epoca_la])</f>
        <v>Epocha Ignota</v>
      </c>
    </row>
    <row r="36" spans="1:15">
      <c r="A36">
        <v>35</v>
      </c>
      <c r="B36" t="s">
        <v>118</v>
      </c>
      <c r="C36" t="s">
        <v>119</v>
      </c>
      <c r="D36" s="1" t="s">
        <v>120</v>
      </c>
      <c r="E36" t="s">
        <v>33</v>
      </c>
      <c r="F36" t="str">
        <f>_xlfn.XLOOKUP(frasest[[#This Row],[autor_es]],autorest[autor_es],autorest[autor_la])</f>
        <v>Proverbium Sinense</v>
      </c>
      <c r="G36" t="str">
        <f>_xlfn.XLOOKUP(frasest[[#This Row],[autor_es]],autorest[autor_es],autorest[bio_es])</f>
        <v>Conjunto de proverbios tradicionales de la cultura china que transmiten sabiduría popular, valores morales y enseñanzas prácticas transmitidas oralmente durante siglos.</v>
      </c>
      <c r="H36" t="str">
        <f>_xlfn.XLOOKUP(frasest[[#This Row],[autor_es]],autorest[autor_es],autorest[bio_la])</f>
        <v>Collectio sententiarum Sinensium, magnopere in cultura tradita.</v>
      </c>
      <c r="I36" t="str">
        <f>_xlfn.XLOOKUP(frasest[[#This Row],[autor_es]],autorest[autor_es],autorest[codigo])</f>
        <v>zh</v>
      </c>
      <c r="J36" t="str">
        <f>_xlfn.XLOOKUP(frasest[[#This Row],[autor_es]],autorest[autor_es],autorest[idioma_es])</f>
        <v>Chino</v>
      </c>
      <c r="K36" t="str">
        <f>_xlfn.XLOOKUP(frasest[[#This Row],[autor_es]],autorest[autor_es],autorest[idioma_la])</f>
        <v>Lingua Sinica</v>
      </c>
      <c r="L36" t="str">
        <f>_xlfn.XLOOKUP(frasest[[#This Row],[autor_es]],autorest[autor_es],autorest[nacion_es])</f>
        <v>China</v>
      </c>
      <c r="M36" t="str">
        <f>_xlfn.XLOOKUP(frasest[[#This Row],[autor_es]],autorest[autor_es],autorest[nacion_la])</f>
        <v>Sinae</v>
      </c>
      <c r="N36" t="str">
        <f>_xlfn.XLOOKUP(frasest[[#This Row],[autor_es]],autorest[autor_es],autorest[epoca_es])</f>
        <v>Epoca Desconocida</v>
      </c>
      <c r="O36" t="str">
        <f>_xlfn.XLOOKUP(frasest[[#This Row],[autor_es]],autorest[autor_es],autorest[epoca_la])</f>
        <v>Epocha Ignota</v>
      </c>
    </row>
    <row r="37" spans="1:15">
      <c r="A37">
        <v>36</v>
      </c>
      <c r="B37" t="s">
        <v>121</v>
      </c>
      <c r="C37" t="s">
        <v>122</v>
      </c>
      <c r="D37" s="1" t="s">
        <v>123</v>
      </c>
      <c r="E37" t="s">
        <v>25</v>
      </c>
      <c r="F37" t="str">
        <f>_xlfn.XLOOKUP(frasest[[#This Row],[autor_es]],autorest[autor_es],autorest[autor_la])</f>
        <v>Proverbium Iaponicum</v>
      </c>
      <c r="G37" t="str">
        <f>_xlfn.XLOOKUP(frasest[[#This Row],[autor_es]],autorest[autor_es],autorest[bio_es])</f>
        <v>Expresiones tradicionales de la cultura japonesa que resumen enseñanzas morales, filosóficas y prácticas derivadas del budismo, el sintoísmo y la experiencia popular.</v>
      </c>
      <c r="H37" t="str">
        <f>_xlfn.XLOOKUP(frasest[[#This Row],[autor_es]],autorest[autor_es],autorest[bio_la])</f>
        <v>Collectio sententiarum Iaponicarum.</v>
      </c>
      <c r="I37" t="str">
        <f>_xlfn.XLOOKUP(frasest[[#This Row],[autor_es]],autorest[autor_es],autorest[codigo])</f>
        <v>ja</v>
      </c>
      <c r="J37" t="str">
        <f>_xlfn.XLOOKUP(frasest[[#This Row],[autor_es]],autorest[autor_es],autorest[idioma_es])</f>
        <v>Japonés</v>
      </c>
      <c r="K37" t="str">
        <f>_xlfn.XLOOKUP(frasest[[#This Row],[autor_es]],autorest[autor_es],autorest[idioma_la])</f>
        <v>Lingua Iaponica</v>
      </c>
      <c r="L37" t="str">
        <f>_xlfn.XLOOKUP(frasest[[#This Row],[autor_es]],autorest[autor_es],autorest[nacion_es])</f>
        <v>Japón</v>
      </c>
      <c r="M37" t="str">
        <f>_xlfn.XLOOKUP(frasest[[#This Row],[autor_es]],autorest[autor_es],autorest[nacion_la])</f>
        <v>Iaponia</v>
      </c>
      <c r="N37" t="str">
        <f>_xlfn.XLOOKUP(frasest[[#This Row],[autor_es]],autorest[autor_es],autorest[epoca_es])</f>
        <v>Epoca Desconocida</v>
      </c>
      <c r="O37" t="str">
        <f>_xlfn.XLOOKUP(frasest[[#This Row],[autor_es]],autorest[autor_es],autorest[epoca_la])</f>
        <v>Epocha Ignota</v>
      </c>
    </row>
    <row r="38" spans="1:15">
      <c r="A38">
        <v>37</v>
      </c>
      <c r="B38" t="s">
        <v>124</v>
      </c>
      <c r="C38" t="s">
        <v>125</v>
      </c>
      <c r="D38" s="1" t="s">
        <v>126</v>
      </c>
      <c r="E38" t="s">
        <v>25</v>
      </c>
      <c r="F38" t="str">
        <f>_xlfn.XLOOKUP(frasest[[#This Row],[autor_es]],autorest[autor_es],autorest[autor_la])</f>
        <v>Proverbium Iaponicum</v>
      </c>
      <c r="G38" t="str">
        <f>_xlfn.XLOOKUP(frasest[[#This Row],[autor_es]],autorest[autor_es],autorest[bio_es])</f>
        <v>Expresiones tradicionales de la cultura japonesa que resumen enseñanzas morales, filosóficas y prácticas derivadas del budismo, el sintoísmo y la experiencia popular.</v>
      </c>
      <c r="H38" t="str">
        <f>_xlfn.XLOOKUP(frasest[[#This Row],[autor_es]],autorest[autor_es],autorest[bio_la])</f>
        <v>Collectio sententiarum Iaponicarum.</v>
      </c>
      <c r="I38" t="str">
        <f>_xlfn.XLOOKUP(frasest[[#This Row],[autor_es]],autorest[autor_es],autorest[codigo])</f>
        <v>ja</v>
      </c>
      <c r="J38" t="str">
        <f>_xlfn.XLOOKUP(frasest[[#This Row],[autor_es]],autorest[autor_es],autorest[idioma_es])</f>
        <v>Japonés</v>
      </c>
      <c r="K38" t="str">
        <f>_xlfn.XLOOKUP(frasest[[#This Row],[autor_es]],autorest[autor_es],autorest[idioma_la])</f>
        <v>Lingua Iaponica</v>
      </c>
      <c r="L38" t="str">
        <f>_xlfn.XLOOKUP(frasest[[#This Row],[autor_es]],autorest[autor_es],autorest[nacion_es])</f>
        <v>Japón</v>
      </c>
      <c r="M38" t="str">
        <f>_xlfn.XLOOKUP(frasest[[#This Row],[autor_es]],autorest[autor_es],autorest[nacion_la])</f>
        <v>Iaponia</v>
      </c>
      <c r="N38" t="str">
        <f>_xlfn.XLOOKUP(frasest[[#This Row],[autor_es]],autorest[autor_es],autorest[epoca_es])</f>
        <v>Epoca Desconocida</v>
      </c>
      <c r="O38" t="str">
        <f>_xlfn.XLOOKUP(frasest[[#This Row],[autor_es]],autorest[autor_es],autorest[epoca_la])</f>
        <v>Epocha Ignota</v>
      </c>
    </row>
    <row r="39" spans="1:15">
      <c r="A39">
        <v>38</v>
      </c>
      <c r="B39" t="s">
        <v>127</v>
      </c>
      <c r="C39" t="s">
        <v>128</v>
      </c>
      <c r="D39" s="1" t="s">
        <v>129</v>
      </c>
      <c r="E39" t="s">
        <v>25</v>
      </c>
      <c r="F39" t="str">
        <f>_xlfn.XLOOKUP(frasest[[#This Row],[autor_es]],autorest[autor_es],autorest[autor_la])</f>
        <v>Proverbium Iaponicum</v>
      </c>
      <c r="G39" t="str">
        <f>_xlfn.XLOOKUP(frasest[[#This Row],[autor_es]],autorest[autor_es],autorest[bio_es])</f>
        <v>Expresiones tradicionales de la cultura japonesa que resumen enseñanzas morales, filosóficas y prácticas derivadas del budismo, el sintoísmo y la experiencia popular.</v>
      </c>
      <c r="H39" t="str">
        <f>_xlfn.XLOOKUP(frasest[[#This Row],[autor_es]],autorest[autor_es],autorest[bio_la])</f>
        <v>Collectio sententiarum Iaponicarum.</v>
      </c>
      <c r="I39" t="str">
        <f>_xlfn.XLOOKUP(frasest[[#This Row],[autor_es]],autorest[autor_es],autorest[codigo])</f>
        <v>ja</v>
      </c>
      <c r="J39" t="str">
        <f>_xlfn.XLOOKUP(frasest[[#This Row],[autor_es]],autorest[autor_es],autorest[idioma_es])</f>
        <v>Japonés</v>
      </c>
      <c r="K39" t="str">
        <f>_xlfn.XLOOKUP(frasest[[#This Row],[autor_es]],autorest[autor_es],autorest[idioma_la])</f>
        <v>Lingua Iaponica</v>
      </c>
      <c r="L39" t="str">
        <f>_xlfn.XLOOKUP(frasest[[#This Row],[autor_es]],autorest[autor_es],autorest[nacion_es])</f>
        <v>Japón</v>
      </c>
      <c r="M39" t="str">
        <f>_xlfn.XLOOKUP(frasest[[#This Row],[autor_es]],autorest[autor_es],autorest[nacion_la])</f>
        <v>Iaponia</v>
      </c>
      <c r="N39" t="str">
        <f>_xlfn.XLOOKUP(frasest[[#This Row],[autor_es]],autorest[autor_es],autorest[epoca_es])</f>
        <v>Epoca Desconocida</v>
      </c>
      <c r="O39" t="str">
        <f>_xlfn.XLOOKUP(frasest[[#This Row],[autor_es]],autorest[autor_es],autorest[epoca_la])</f>
        <v>Epocha Ignota</v>
      </c>
    </row>
    <row r="40" spans="1:15">
      <c r="A40">
        <v>39</v>
      </c>
      <c r="B40" t="s">
        <v>130</v>
      </c>
      <c r="C40" t="s">
        <v>131</v>
      </c>
      <c r="D40" s="1" t="s">
        <v>132</v>
      </c>
      <c r="E40" t="s">
        <v>25</v>
      </c>
      <c r="F40" t="str">
        <f>_xlfn.XLOOKUP(frasest[[#This Row],[autor_es]],autorest[autor_es],autorest[autor_la])</f>
        <v>Proverbium Iaponicum</v>
      </c>
      <c r="G40" t="str">
        <f>_xlfn.XLOOKUP(frasest[[#This Row],[autor_es]],autorest[autor_es],autorest[bio_es])</f>
        <v>Expresiones tradicionales de la cultura japonesa que resumen enseñanzas morales, filosóficas y prácticas derivadas del budismo, el sintoísmo y la experiencia popular.</v>
      </c>
      <c r="H40" t="str">
        <f>_xlfn.XLOOKUP(frasest[[#This Row],[autor_es]],autorest[autor_es],autorest[bio_la])</f>
        <v>Collectio sententiarum Iaponicarum.</v>
      </c>
      <c r="I40" t="str">
        <f>_xlfn.XLOOKUP(frasest[[#This Row],[autor_es]],autorest[autor_es],autorest[codigo])</f>
        <v>ja</v>
      </c>
      <c r="J40" t="str">
        <f>_xlfn.XLOOKUP(frasest[[#This Row],[autor_es]],autorest[autor_es],autorest[idioma_es])</f>
        <v>Japonés</v>
      </c>
      <c r="K40" t="str">
        <f>_xlfn.XLOOKUP(frasest[[#This Row],[autor_es]],autorest[autor_es],autorest[idioma_la])</f>
        <v>Lingua Iaponica</v>
      </c>
      <c r="L40" t="str">
        <f>_xlfn.XLOOKUP(frasest[[#This Row],[autor_es]],autorest[autor_es],autorest[nacion_es])</f>
        <v>Japón</v>
      </c>
      <c r="M40" t="str">
        <f>_xlfn.XLOOKUP(frasest[[#This Row],[autor_es]],autorest[autor_es],autorest[nacion_la])</f>
        <v>Iaponia</v>
      </c>
      <c r="N40" t="str">
        <f>_xlfn.XLOOKUP(frasest[[#This Row],[autor_es]],autorest[autor_es],autorest[epoca_es])</f>
        <v>Epoca Desconocida</v>
      </c>
      <c r="O40" t="str">
        <f>_xlfn.XLOOKUP(frasest[[#This Row],[autor_es]],autorest[autor_es],autorest[epoca_la])</f>
        <v>Epocha Ignota</v>
      </c>
    </row>
    <row r="41" spans="1:15">
      <c r="A41">
        <v>40</v>
      </c>
      <c r="B41" t="s">
        <v>133</v>
      </c>
      <c r="C41" t="s">
        <v>134</v>
      </c>
      <c r="D41" s="1" t="s">
        <v>135</v>
      </c>
      <c r="E41" t="s">
        <v>25</v>
      </c>
      <c r="F41" t="str">
        <f>_xlfn.XLOOKUP(frasest[[#This Row],[autor_es]],autorest[autor_es],autorest[autor_la])</f>
        <v>Proverbium Iaponicum</v>
      </c>
      <c r="G41" t="str">
        <f>_xlfn.XLOOKUP(frasest[[#This Row],[autor_es]],autorest[autor_es],autorest[bio_es])</f>
        <v>Expresiones tradicionales de la cultura japonesa que resumen enseñanzas morales, filosóficas y prácticas derivadas del budismo, el sintoísmo y la experiencia popular.</v>
      </c>
      <c r="H41" t="str">
        <f>_xlfn.XLOOKUP(frasest[[#This Row],[autor_es]],autorest[autor_es],autorest[bio_la])</f>
        <v>Collectio sententiarum Iaponicarum.</v>
      </c>
      <c r="I41" t="str">
        <f>_xlfn.XLOOKUP(frasest[[#This Row],[autor_es]],autorest[autor_es],autorest[codigo])</f>
        <v>ja</v>
      </c>
      <c r="J41" t="str">
        <f>_xlfn.XLOOKUP(frasest[[#This Row],[autor_es]],autorest[autor_es],autorest[idioma_es])</f>
        <v>Japonés</v>
      </c>
      <c r="K41" t="str">
        <f>_xlfn.XLOOKUP(frasest[[#This Row],[autor_es]],autorest[autor_es],autorest[idioma_la])</f>
        <v>Lingua Iaponica</v>
      </c>
      <c r="L41" t="str">
        <f>_xlfn.XLOOKUP(frasest[[#This Row],[autor_es]],autorest[autor_es],autorest[nacion_es])</f>
        <v>Japón</v>
      </c>
      <c r="M41" t="str">
        <f>_xlfn.XLOOKUP(frasest[[#This Row],[autor_es]],autorest[autor_es],autorest[nacion_la])</f>
        <v>Iaponia</v>
      </c>
      <c r="N41" t="str">
        <f>_xlfn.XLOOKUP(frasest[[#This Row],[autor_es]],autorest[autor_es],autorest[epoca_es])</f>
        <v>Epoca Desconocida</v>
      </c>
      <c r="O41" t="str">
        <f>_xlfn.XLOOKUP(frasest[[#This Row],[autor_es]],autorest[autor_es],autorest[epoca_la])</f>
        <v>Epocha Ignota</v>
      </c>
    </row>
    <row r="42" spans="1:15">
      <c r="A42">
        <v>41</v>
      </c>
      <c r="B42" t="s">
        <v>136</v>
      </c>
      <c r="C42" t="s">
        <v>137</v>
      </c>
      <c r="D42" s="1" t="s">
        <v>138</v>
      </c>
      <c r="E42" t="s">
        <v>25</v>
      </c>
      <c r="F42" t="str">
        <f>_xlfn.XLOOKUP(frasest[[#This Row],[autor_es]],autorest[autor_es],autorest[autor_la])</f>
        <v>Proverbium Iaponicum</v>
      </c>
      <c r="G42" t="str">
        <f>_xlfn.XLOOKUP(frasest[[#This Row],[autor_es]],autorest[autor_es],autorest[bio_es])</f>
        <v>Expresiones tradicionales de la cultura japonesa que resumen enseñanzas morales, filosóficas y prácticas derivadas del budismo, el sintoísmo y la experiencia popular.</v>
      </c>
      <c r="H42" t="str">
        <f>_xlfn.XLOOKUP(frasest[[#This Row],[autor_es]],autorest[autor_es],autorest[bio_la])</f>
        <v>Collectio sententiarum Iaponicarum.</v>
      </c>
      <c r="I42" t="str">
        <f>_xlfn.XLOOKUP(frasest[[#This Row],[autor_es]],autorest[autor_es],autorest[codigo])</f>
        <v>ja</v>
      </c>
      <c r="J42" t="str">
        <f>_xlfn.XLOOKUP(frasest[[#This Row],[autor_es]],autorest[autor_es],autorest[idioma_es])</f>
        <v>Japonés</v>
      </c>
      <c r="K42" t="str">
        <f>_xlfn.XLOOKUP(frasest[[#This Row],[autor_es]],autorest[autor_es],autorest[idioma_la])</f>
        <v>Lingua Iaponica</v>
      </c>
      <c r="L42" t="str">
        <f>_xlfn.XLOOKUP(frasest[[#This Row],[autor_es]],autorest[autor_es],autorest[nacion_es])</f>
        <v>Japón</v>
      </c>
      <c r="M42" t="str">
        <f>_xlfn.XLOOKUP(frasest[[#This Row],[autor_es]],autorest[autor_es],autorest[nacion_la])</f>
        <v>Iaponia</v>
      </c>
      <c r="N42" t="str">
        <f>_xlfn.XLOOKUP(frasest[[#This Row],[autor_es]],autorest[autor_es],autorest[epoca_es])</f>
        <v>Epoca Desconocida</v>
      </c>
      <c r="O42" t="str">
        <f>_xlfn.XLOOKUP(frasest[[#This Row],[autor_es]],autorest[autor_es],autorest[epoca_la])</f>
        <v>Epocha Ignota</v>
      </c>
    </row>
    <row r="43" spans="1:15">
      <c r="A43">
        <v>42</v>
      </c>
      <c r="B43" t="s">
        <v>139</v>
      </c>
      <c r="C43" t="s">
        <v>140</v>
      </c>
      <c r="D43" s="1" t="s">
        <v>141</v>
      </c>
      <c r="E43" t="s">
        <v>25</v>
      </c>
      <c r="F43" t="str">
        <f>_xlfn.XLOOKUP(frasest[[#This Row],[autor_es]],autorest[autor_es],autorest[autor_la])</f>
        <v>Proverbium Iaponicum</v>
      </c>
      <c r="G43" t="str">
        <f>_xlfn.XLOOKUP(frasest[[#This Row],[autor_es]],autorest[autor_es],autorest[bio_es])</f>
        <v>Expresiones tradicionales de la cultura japonesa que resumen enseñanzas morales, filosóficas y prácticas derivadas del budismo, el sintoísmo y la experiencia popular.</v>
      </c>
      <c r="H43" t="str">
        <f>_xlfn.XLOOKUP(frasest[[#This Row],[autor_es]],autorest[autor_es],autorest[bio_la])</f>
        <v>Collectio sententiarum Iaponicarum.</v>
      </c>
      <c r="I43" t="str">
        <f>_xlfn.XLOOKUP(frasest[[#This Row],[autor_es]],autorest[autor_es],autorest[codigo])</f>
        <v>ja</v>
      </c>
      <c r="J43" t="str">
        <f>_xlfn.XLOOKUP(frasest[[#This Row],[autor_es]],autorest[autor_es],autorest[idioma_es])</f>
        <v>Japonés</v>
      </c>
      <c r="K43" t="str">
        <f>_xlfn.XLOOKUP(frasest[[#This Row],[autor_es]],autorest[autor_es],autorest[idioma_la])</f>
        <v>Lingua Iaponica</v>
      </c>
      <c r="L43" t="str">
        <f>_xlfn.XLOOKUP(frasest[[#This Row],[autor_es]],autorest[autor_es],autorest[nacion_es])</f>
        <v>Japón</v>
      </c>
      <c r="M43" t="str">
        <f>_xlfn.XLOOKUP(frasest[[#This Row],[autor_es]],autorest[autor_es],autorest[nacion_la])</f>
        <v>Iaponia</v>
      </c>
      <c r="N43" t="str">
        <f>_xlfn.XLOOKUP(frasest[[#This Row],[autor_es]],autorest[autor_es],autorest[epoca_es])</f>
        <v>Epoca Desconocida</v>
      </c>
      <c r="O43" t="str">
        <f>_xlfn.XLOOKUP(frasest[[#This Row],[autor_es]],autorest[autor_es],autorest[epoca_la])</f>
        <v>Epocha Ignota</v>
      </c>
    </row>
    <row r="44" spans="1:15">
      <c r="A44">
        <v>43</v>
      </c>
      <c r="B44" t="s">
        <v>142</v>
      </c>
      <c r="C44" t="s">
        <v>143</v>
      </c>
      <c r="D44" t="s">
        <v>143</v>
      </c>
      <c r="E44" t="s">
        <v>144</v>
      </c>
      <c r="F44" t="str">
        <f>_xlfn.XLOOKUP(frasest[[#This Row],[autor_es]],autorest[autor_es],autorest[autor_la])</f>
        <v>Lucius Annaeus Seneca</v>
      </c>
      <c r="G44" t="str">
        <f>_xlfn.XLOOKUP(frasest[[#This Row],[autor_es]],autorest[autor_es],autorest[bio_es])</f>
        <v>Filósofo, escritor y político romano, representante del estoicismo. Autor de numerosas cartas y tratados morales.</v>
      </c>
      <c r="H44" t="str">
        <f>_xlfn.XLOOKUP(frasest[[#This Row],[autor_es]],autorest[autor_es],autorest[bio_la])</f>
        <v>Philosophus, scriptor et politicus Romanus, stoicismus repraesentans. Multas epistulas et tractatus morales scripsit.</v>
      </c>
      <c r="I44" t="str">
        <f>_xlfn.XLOOKUP(frasest[[#This Row],[autor_es]],autorest[autor_es],autorest[codigo])</f>
        <v>la</v>
      </c>
      <c r="J44" t="str">
        <f>_xlfn.XLOOKUP(frasest[[#This Row],[autor_es]],autorest[autor_es],autorest[idioma_es])</f>
        <v>Latín</v>
      </c>
      <c r="K44" t="str">
        <f>_xlfn.XLOOKUP(frasest[[#This Row],[autor_es]],autorest[autor_es],autorest[idioma_la])</f>
        <v>Lingua Latina</v>
      </c>
      <c r="L44" t="str">
        <f>_xlfn.XLOOKUP(frasest[[#This Row],[autor_es]],autorest[autor_es],autorest[nacion_es])</f>
        <v>Roma</v>
      </c>
      <c r="M44" t="str">
        <f>_xlfn.XLOOKUP(frasest[[#This Row],[autor_es]],autorest[autor_es],autorest[nacion_la])</f>
        <v>Roma</v>
      </c>
      <c r="N44" t="str">
        <f>_xlfn.XLOOKUP(frasest[[#This Row],[autor_es]],autorest[autor_es],autorest[epoca_es])</f>
        <v>Edad Antigua</v>
      </c>
      <c r="O44" t="str">
        <f>_xlfn.XLOOKUP(frasest[[#This Row],[autor_es]],autorest[autor_es],autorest[epoca_la])</f>
        <v>Antiquitas</v>
      </c>
    </row>
    <row r="45" spans="1:15">
      <c r="A45">
        <v>44</v>
      </c>
      <c r="B45" t="s">
        <v>145</v>
      </c>
      <c r="C45" t="s">
        <v>146</v>
      </c>
      <c r="D45" t="s">
        <v>146</v>
      </c>
      <c r="E45" t="s">
        <v>144</v>
      </c>
      <c r="F45" t="str">
        <f>_xlfn.XLOOKUP(frasest[[#This Row],[autor_es]],autorest[autor_es],autorest[autor_la])</f>
        <v>Lucius Annaeus Seneca</v>
      </c>
      <c r="G45" t="str">
        <f>_xlfn.XLOOKUP(frasest[[#This Row],[autor_es]],autorest[autor_es],autorest[bio_es])</f>
        <v>Filósofo, escritor y político romano, representante del estoicismo. Autor de numerosas cartas y tratados morales.</v>
      </c>
      <c r="H45" t="str">
        <f>_xlfn.XLOOKUP(frasest[[#This Row],[autor_es]],autorest[autor_es],autorest[bio_la])</f>
        <v>Philosophus, scriptor et politicus Romanus, stoicismus repraesentans. Multas epistulas et tractatus morales scripsit.</v>
      </c>
      <c r="I45" t="str">
        <f>_xlfn.XLOOKUP(frasest[[#This Row],[autor_es]],autorest[autor_es],autorest[codigo])</f>
        <v>la</v>
      </c>
      <c r="J45" t="str">
        <f>_xlfn.XLOOKUP(frasest[[#This Row],[autor_es]],autorest[autor_es],autorest[idioma_es])</f>
        <v>Latín</v>
      </c>
      <c r="K45" t="str">
        <f>_xlfn.XLOOKUP(frasest[[#This Row],[autor_es]],autorest[autor_es],autorest[idioma_la])</f>
        <v>Lingua Latina</v>
      </c>
      <c r="L45" t="str">
        <f>_xlfn.XLOOKUP(frasest[[#This Row],[autor_es]],autorest[autor_es],autorest[nacion_es])</f>
        <v>Roma</v>
      </c>
      <c r="M45" t="str">
        <f>_xlfn.XLOOKUP(frasest[[#This Row],[autor_es]],autorest[autor_es],autorest[nacion_la])</f>
        <v>Roma</v>
      </c>
      <c r="N45" t="str">
        <f>_xlfn.XLOOKUP(frasest[[#This Row],[autor_es]],autorest[autor_es],autorest[epoca_es])</f>
        <v>Edad Antigua</v>
      </c>
      <c r="O45" t="str">
        <f>_xlfn.XLOOKUP(frasest[[#This Row],[autor_es]],autorest[autor_es],autorest[epoca_la])</f>
        <v>Antiquitas</v>
      </c>
    </row>
    <row r="46" spans="1:15">
      <c r="A46">
        <v>45</v>
      </c>
      <c r="B46" t="s">
        <v>147</v>
      </c>
      <c r="C46" t="s">
        <v>148</v>
      </c>
      <c r="D46" t="s">
        <v>149</v>
      </c>
      <c r="E46" t="s">
        <v>144</v>
      </c>
      <c r="F46" t="str">
        <f>_xlfn.XLOOKUP(frasest[[#This Row],[autor_es]],autorest[autor_es],autorest[autor_la])</f>
        <v>Lucius Annaeus Seneca</v>
      </c>
      <c r="G46" t="str">
        <f>_xlfn.XLOOKUP(frasest[[#This Row],[autor_es]],autorest[autor_es],autorest[bio_es])</f>
        <v>Filósofo, escritor y político romano, representante del estoicismo. Autor de numerosas cartas y tratados morales.</v>
      </c>
      <c r="H46" t="str">
        <f>_xlfn.XLOOKUP(frasest[[#This Row],[autor_es]],autorest[autor_es],autorest[bio_la])</f>
        <v>Philosophus, scriptor et politicus Romanus, stoicismus repraesentans. Multas epistulas et tractatus morales scripsit.</v>
      </c>
      <c r="I46" t="str">
        <f>_xlfn.XLOOKUP(frasest[[#This Row],[autor_es]],autorest[autor_es],autorest[codigo])</f>
        <v>la</v>
      </c>
      <c r="J46" t="str">
        <f>_xlfn.XLOOKUP(frasest[[#This Row],[autor_es]],autorest[autor_es],autorest[idioma_es])</f>
        <v>Latín</v>
      </c>
      <c r="K46" t="str">
        <f>_xlfn.XLOOKUP(frasest[[#This Row],[autor_es]],autorest[autor_es],autorest[idioma_la])</f>
        <v>Lingua Latina</v>
      </c>
      <c r="L46" t="str">
        <f>_xlfn.XLOOKUP(frasest[[#This Row],[autor_es]],autorest[autor_es],autorest[nacion_es])</f>
        <v>Roma</v>
      </c>
      <c r="M46" t="str">
        <f>_xlfn.XLOOKUP(frasest[[#This Row],[autor_es]],autorest[autor_es],autorest[nacion_la])</f>
        <v>Roma</v>
      </c>
      <c r="N46" t="str">
        <f>_xlfn.XLOOKUP(frasest[[#This Row],[autor_es]],autorest[autor_es],autorest[epoca_es])</f>
        <v>Edad Antigua</v>
      </c>
      <c r="O46" t="str">
        <f>_xlfn.XLOOKUP(frasest[[#This Row],[autor_es]],autorest[autor_es],autorest[epoca_la])</f>
        <v>Antiquitas</v>
      </c>
    </row>
    <row r="47" spans="1:15">
      <c r="A47">
        <v>46</v>
      </c>
      <c r="B47" t="s">
        <v>150</v>
      </c>
      <c r="C47" t="s">
        <v>151</v>
      </c>
      <c r="D47" t="s">
        <v>152</v>
      </c>
      <c r="E47" t="s">
        <v>144</v>
      </c>
      <c r="F47" t="str">
        <f>_xlfn.XLOOKUP(frasest[[#This Row],[autor_es]],autorest[autor_es],autorest[autor_la])</f>
        <v>Lucius Annaeus Seneca</v>
      </c>
      <c r="G47" t="str">
        <f>_xlfn.XLOOKUP(frasest[[#This Row],[autor_es]],autorest[autor_es],autorest[bio_es])</f>
        <v>Filósofo, escritor y político romano, representante del estoicismo. Autor de numerosas cartas y tratados morales.</v>
      </c>
      <c r="H47" t="str">
        <f>_xlfn.XLOOKUP(frasest[[#This Row],[autor_es]],autorest[autor_es],autorest[bio_la])</f>
        <v>Philosophus, scriptor et politicus Romanus, stoicismus repraesentans. Multas epistulas et tractatus morales scripsit.</v>
      </c>
      <c r="I47" t="str">
        <f>_xlfn.XLOOKUP(frasest[[#This Row],[autor_es]],autorest[autor_es],autorest[codigo])</f>
        <v>la</v>
      </c>
      <c r="J47" t="str">
        <f>_xlfn.XLOOKUP(frasest[[#This Row],[autor_es]],autorest[autor_es],autorest[idioma_es])</f>
        <v>Latín</v>
      </c>
      <c r="K47" t="str">
        <f>_xlfn.XLOOKUP(frasest[[#This Row],[autor_es]],autorest[autor_es],autorest[idioma_la])</f>
        <v>Lingua Latina</v>
      </c>
      <c r="L47" t="str">
        <f>_xlfn.XLOOKUP(frasest[[#This Row],[autor_es]],autorest[autor_es],autorest[nacion_es])</f>
        <v>Roma</v>
      </c>
      <c r="M47" t="str">
        <f>_xlfn.XLOOKUP(frasest[[#This Row],[autor_es]],autorest[autor_es],autorest[nacion_la])</f>
        <v>Roma</v>
      </c>
      <c r="N47" t="str">
        <f>_xlfn.XLOOKUP(frasest[[#This Row],[autor_es]],autorest[autor_es],autorest[epoca_es])</f>
        <v>Edad Antigua</v>
      </c>
      <c r="O47" t="str">
        <f>_xlfn.XLOOKUP(frasest[[#This Row],[autor_es]],autorest[autor_es],autorest[epoca_la])</f>
        <v>Antiquitas</v>
      </c>
    </row>
    <row r="48" spans="1:15">
      <c r="A48">
        <v>47</v>
      </c>
      <c r="B48" t="s">
        <v>153</v>
      </c>
      <c r="C48" t="s">
        <v>154</v>
      </c>
      <c r="D48" t="s">
        <v>154</v>
      </c>
      <c r="E48" t="s">
        <v>144</v>
      </c>
      <c r="F48" t="str">
        <f>_xlfn.XLOOKUP(frasest[[#This Row],[autor_es]],autorest[autor_es],autorest[autor_la])</f>
        <v>Lucius Annaeus Seneca</v>
      </c>
      <c r="G48" t="str">
        <f>_xlfn.XLOOKUP(frasest[[#This Row],[autor_es]],autorest[autor_es],autorest[bio_es])</f>
        <v>Filósofo, escritor y político romano, representante del estoicismo. Autor de numerosas cartas y tratados morales.</v>
      </c>
      <c r="H48" t="str">
        <f>_xlfn.XLOOKUP(frasest[[#This Row],[autor_es]],autorest[autor_es],autorest[bio_la])</f>
        <v>Philosophus, scriptor et politicus Romanus, stoicismus repraesentans. Multas epistulas et tractatus morales scripsit.</v>
      </c>
      <c r="I48" t="str">
        <f>_xlfn.XLOOKUP(frasest[[#This Row],[autor_es]],autorest[autor_es],autorest[codigo])</f>
        <v>la</v>
      </c>
      <c r="J48" t="str">
        <f>_xlfn.XLOOKUP(frasest[[#This Row],[autor_es]],autorest[autor_es],autorest[idioma_es])</f>
        <v>Latín</v>
      </c>
      <c r="K48" t="str">
        <f>_xlfn.XLOOKUP(frasest[[#This Row],[autor_es]],autorest[autor_es],autorest[idioma_la])</f>
        <v>Lingua Latina</v>
      </c>
      <c r="L48" t="str">
        <f>_xlfn.XLOOKUP(frasest[[#This Row],[autor_es]],autorest[autor_es],autorest[nacion_es])</f>
        <v>Roma</v>
      </c>
      <c r="M48" t="str">
        <f>_xlfn.XLOOKUP(frasest[[#This Row],[autor_es]],autorest[autor_es],autorest[nacion_la])</f>
        <v>Roma</v>
      </c>
      <c r="N48" t="str">
        <f>_xlfn.XLOOKUP(frasest[[#This Row],[autor_es]],autorest[autor_es],autorest[epoca_es])</f>
        <v>Edad Antigua</v>
      </c>
      <c r="O48" t="str">
        <f>_xlfn.XLOOKUP(frasest[[#This Row],[autor_es]],autorest[autor_es],autorest[epoca_la])</f>
        <v>Antiquitas</v>
      </c>
    </row>
    <row r="49" spans="1:15">
      <c r="A49">
        <v>48</v>
      </c>
      <c r="B49" t="s">
        <v>155</v>
      </c>
      <c r="C49" t="s">
        <v>156</v>
      </c>
      <c r="D49" t="s">
        <v>156</v>
      </c>
      <c r="E49" t="s">
        <v>157</v>
      </c>
      <c r="F49" t="str">
        <f>_xlfn.XLOOKUP(frasest[[#This Row],[autor_es]],autorest[autor_es],autorest[autor_la])</f>
        <v>Thomas Aquinas</v>
      </c>
      <c r="G49" t="str">
        <f>_xlfn.XLOOKUP(frasest[[#This Row],[autor_es]],autorest[autor_es],autorest[bio_es])</f>
        <v>Filósofo y teólogo italiano, representante de la Escolástica. Autor de la "Summa Theologica".</v>
      </c>
      <c r="H49" t="str">
        <f>_xlfn.XLOOKUP(frasest[[#This Row],[autor_es]],autorest[autor_es],autorest[bio_la])</f>
        <v>Philosophus et theologus Italicus, Scholasticae repraesentans. Auctor "Summa Theologica".</v>
      </c>
      <c r="I49" t="str">
        <f>_xlfn.XLOOKUP(frasest[[#This Row],[autor_es]],autorest[autor_es],autorest[codigo])</f>
        <v>la</v>
      </c>
      <c r="J49" t="str">
        <f>_xlfn.XLOOKUP(frasest[[#This Row],[autor_es]],autorest[autor_es],autorest[idioma_es])</f>
        <v>Latín</v>
      </c>
      <c r="K49" t="str">
        <f>_xlfn.XLOOKUP(frasest[[#This Row],[autor_es]],autorest[autor_es],autorest[idioma_la])</f>
        <v>Lingua Latina</v>
      </c>
      <c r="L49" t="str">
        <f>_xlfn.XLOOKUP(frasest[[#This Row],[autor_es]],autorest[autor_es],autorest[nacion_es])</f>
        <v>Italia</v>
      </c>
      <c r="M49" t="str">
        <f>_xlfn.XLOOKUP(frasest[[#This Row],[autor_es]],autorest[autor_es],autorest[nacion_la])</f>
        <v>Italia</v>
      </c>
      <c r="N49" t="str">
        <f>_xlfn.XLOOKUP(frasest[[#This Row],[autor_es]],autorest[autor_es],autorest[epoca_es])</f>
        <v>Edad Media</v>
      </c>
      <c r="O49" t="str">
        <f>_xlfn.XLOOKUP(frasest[[#This Row],[autor_es]],autorest[autor_es],autorest[epoca_la])</f>
        <v>Medium Aevum</v>
      </c>
    </row>
    <row r="50" spans="1:15">
      <c r="A50">
        <v>49</v>
      </c>
      <c r="B50" t="s">
        <v>158</v>
      </c>
      <c r="C50" t="s">
        <v>159</v>
      </c>
      <c r="D50" t="s">
        <v>160</v>
      </c>
      <c r="E50" t="s">
        <v>157</v>
      </c>
      <c r="F50" t="str">
        <f>_xlfn.XLOOKUP(frasest[[#This Row],[autor_es]],autorest[autor_es],autorest[autor_la])</f>
        <v>Thomas Aquinas</v>
      </c>
      <c r="G50" t="str">
        <f>_xlfn.XLOOKUP(frasest[[#This Row],[autor_es]],autorest[autor_es],autorest[bio_es])</f>
        <v>Filósofo y teólogo italiano, representante de la Escolástica. Autor de la "Summa Theologica".</v>
      </c>
      <c r="H50" t="str">
        <f>_xlfn.XLOOKUP(frasest[[#This Row],[autor_es]],autorest[autor_es],autorest[bio_la])</f>
        <v>Philosophus et theologus Italicus, Scholasticae repraesentans. Auctor "Summa Theologica".</v>
      </c>
      <c r="I50" t="str">
        <f>_xlfn.XLOOKUP(frasest[[#This Row],[autor_es]],autorest[autor_es],autorest[codigo])</f>
        <v>la</v>
      </c>
      <c r="J50" t="str">
        <f>_xlfn.XLOOKUP(frasest[[#This Row],[autor_es]],autorest[autor_es],autorest[idioma_es])</f>
        <v>Latín</v>
      </c>
      <c r="K50" t="str">
        <f>_xlfn.XLOOKUP(frasest[[#This Row],[autor_es]],autorest[autor_es],autorest[idioma_la])</f>
        <v>Lingua Latina</v>
      </c>
      <c r="L50" t="str">
        <f>_xlfn.XLOOKUP(frasest[[#This Row],[autor_es]],autorest[autor_es],autorest[nacion_es])</f>
        <v>Italia</v>
      </c>
      <c r="M50" t="str">
        <f>_xlfn.XLOOKUP(frasest[[#This Row],[autor_es]],autorest[autor_es],autorest[nacion_la])</f>
        <v>Italia</v>
      </c>
      <c r="N50" t="str">
        <f>_xlfn.XLOOKUP(frasest[[#This Row],[autor_es]],autorest[autor_es],autorest[epoca_es])</f>
        <v>Edad Media</v>
      </c>
      <c r="O50" t="str">
        <f>_xlfn.XLOOKUP(frasest[[#This Row],[autor_es]],autorest[autor_es],autorest[epoca_la])</f>
        <v>Medium Aevum</v>
      </c>
    </row>
    <row r="51" spans="1:15">
      <c r="A51">
        <v>50</v>
      </c>
      <c r="B51" t="s">
        <v>161</v>
      </c>
      <c r="C51" t="s">
        <v>162</v>
      </c>
      <c r="D51" t="s">
        <v>162</v>
      </c>
      <c r="E51" t="s">
        <v>157</v>
      </c>
      <c r="F51" t="str">
        <f>_xlfn.XLOOKUP(frasest[[#This Row],[autor_es]],autorest[autor_es],autorest[autor_la])</f>
        <v>Thomas Aquinas</v>
      </c>
      <c r="G51" t="str">
        <f>_xlfn.XLOOKUP(frasest[[#This Row],[autor_es]],autorest[autor_es],autorest[bio_es])</f>
        <v>Filósofo y teólogo italiano, representante de la Escolástica. Autor de la "Summa Theologica".</v>
      </c>
      <c r="H51" t="str">
        <f>_xlfn.XLOOKUP(frasest[[#This Row],[autor_es]],autorest[autor_es],autorest[bio_la])</f>
        <v>Philosophus et theologus Italicus, Scholasticae repraesentans. Auctor "Summa Theologica".</v>
      </c>
      <c r="I51" t="str">
        <f>_xlfn.XLOOKUP(frasest[[#This Row],[autor_es]],autorest[autor_es],autorest[codigo])</f>
        <v>la</v>
      </c>
      <c r="J51" t="str">
        <f>_xlfn.XLOOKUP(frasest[[#This Row],[autor_es]],autorest[autor_es],autorest[idioma_es])</f>
        <v>Latín</v>
      </c>
      <c r="K51" t="str">
        <f>_xlfn.XLOOKUP(frasest[[#This Row],[autor_es]],autorest[autor_es],autorest[idioma_la])</f>
        <v>Lingua Latina</v>
      </c>
      <c r="L51" t="str">
        <f>_xlfn.XLOOKUP(frasest[[#This Row],[autor_es]],autorest[autor_es],autorest[nacion_es])</f>
        <v>Italia</v>
      </c>
      <c r="M51" t="str">
        <f>_xlfn.XLOOKUP(frasest[[#This Row],[autor_es]],autorest[autor_es],autorest[nacion_la])</f>
        <v>Italia</v>
      </c>
      <c r="N51" t="str">
        <f>_xlfn.XLOOKUP(frasest[[#This Row],[autor_es]],autorest[autor_es],autorest[epoca_es])</f>
        <v>Edad Media</v>
      </c>
      <c r="O51" t="str">
        <f>_xlfn.XLOOKUP(frasest[[#This Row],[autor_es]],autorest[autor_es],autorest[epoca_la])</f>
        <v>Medium Aevum</v>
      </c>
    </row>
    <row r="52" spans="1:15">
      <c r="A52">
        <v>51</v>
      </c>
      <c r="B52" t="s">
        <v>163</v>
      </c>
      <c r="C52" t="s">
        <v>164</v>
      </c>
      <c r="D52" t="s">
        <v>165</v>
      </c>
      <c r="E52" t="s">
        <v>157</v>
      </c>
      <c r="F52" t="str">
        <f>_xlfn.XLOOKUP(frasest[[#This Row],[autor_es]],autorest[autor_es],autorest[autor_la])</f>
        <v>Thomas Aquinas</v>
      </c>
      <c r="G52" t="str">
        <f>_xlfn.XLOOKUP(frasest[[#This Row],[autor_es]],autorest[autor_es],autorest[bio_es])</f>
        <v>Filósofo y teólogo italiano, representante de la Escolástica. Autor de la "Summa Theologica".</v>
      </c>
      <c r="H52" t="str">
        <f>_xlfn.XLOOKUP(frasest[[#This Row],[autor_es]],autorest[autor_es],autorest[bio_la])</f>
        <v>Philosophus et theologus Italicus, Scholasticae repraesentans. Auctor "Summa Theologica".</v>
      </c>
      <c r="I52" t="str">
        <f>_xlfn.XLOOKUP(frasest[[#This Row],[autor_es]],autorest[autor_es],autorest[codigo])</f>
        <v>la</v>
      </c>
      <c r="J52" t="str">
        <f>_xlfn.XLOOKUP(frasest[[#This Row],[autor_es]],autorest[autor_es],autorest[idioma_es])</f>
        <v>Latín</v>
      </c>
      <c r="K52" t="str">
        <f>_xlfn.XLOOKUP(frasest[[#This Row],[autor_es]],autorest[autor_es],autorest[idioma_la])</f>
        <v>Lingua Latina</v>
      </c>
      <c r="L52" t="str">
        <f>_xlfn.XLOOKUP(frasest[[#This Row],[autor_es]],autorest[autor_es],autorest[nacion_es])</f>
        <v>Italia</v>
      </c>
      <c r="M52" t="str">
        <f>_xlfn.XLOOKUP(frasest[[#This Row],[autor_es]],autorest[autor_es],autorest[nacion_la])</f>
        <v>Italia</v>
      </c>
      <c r="N52" t="str">
        <f>_xlfn.XLOOKUP(frasest[[#This Row],[autor_es]],autorest[autor_es],autorest[epoca_es])</f>
        <v>Edad Media</v>
      </c>
      <c r="O52" t="str">
        <f>_xlfn.XLOOKUP(frasest[[#This Row],[autor_es]],autorest[autor_es],autorest[epoca_la])</f>
        <v>Medium Aevum</v>
      </c>
    </row>
    <row r="53" spans="1:15">
      <c r="A53">
        <v>52</v>
      </c>
      <c r="B53" t="s">
        <v>166</v>
      </c>
      <c r="C53" t="s">
        <v>167</v>
      </c>
      <c r="D53" t="s">
        <v>168</v>
      </c>
      <c r="E53" t="s">
        <v>157</v>
      </c>
      <c r="F53" t="str">
        <f>_xlfn.XLOOKUP(frasest[[#This Row],[autor_es]],autorest[autor_es],autorest[autor_la])</f>
        <v>Thomas Aquinas</v>
      </c>
      <c r="G53" t="str">
        <f>_xlfn.XLOOKUP(frasest[[#This Row],[autor_es]],autorest[autor_es],autorest[bio_es])</f>
        <v>Filósofo y teólogo italiano, representante de la Escolástica. Autor de la "Summa Theologica".</v>
      </c>
      <c r="H53" t="str">
        <f>_xlfn.XLOOKUP(frasest[[#This Row],[autor_es]],autorest[autor_es],autorest[bio_la])</f>
        <v>Philosophus et theologus Italicus, Scholasticae repraesentans. Auctor "Summa Theologica".</v>
      </c>
      <c r="I53" t="str">
        <f>_xlfn.XLOOKUP(frasest[[#This Row],[autor_es]],autorest[autor_es],autorest[codigo])</f>
        <v>la</v>
      </c>
      <c r="J53" t="str">
        <f>_xlfn.XLOOKUP(frasest[[#This Row],[autor_es]],autorest[autor_es],autorest[idioma_es])</f>
        <v>Latín</v>
      </c>
      <c r="K53" t="str">
        <f>_xlfn.XLOOKUP(frasest[[#This Row],[autor_es]],autorest[autor_es],autorest[idioma_la])</f>
        <v>Lingua Latina</v>
      </c>
      <c r="L53" t="str">
        <f>_xlfn.XLOOKUP(frasest[[#This Row],[autor_es]],autorest[autor_es],autorest[nacion_es])</f>
        <v>Italia</v>
      </c>
      <c r="M53" t="str">
        <f>_xlfn.XLOOKUP(frasest[[#This Row],[autor_es]],autorest[autor_es],autorest[nacion_la])</f>
        <v>Italia</v>
      </c>
      <c r="N53" t="str">
        <f>_xlfn.XLOOKUP(frasest[[#This Row],[autor_es]],autorest[autor_es],autorest[epoca_es])</f>
        <v>Edad Media</v>
      </c>
      <c r="O53" t="str">
        <f>_xlfn.XLOOKUP(frasest[[#This Row],[autor_es]],autorest[autor_es],autorest[epoca_la])</f>
        <v>Medium Aevum</v>
      </c>
    </row>
    <row r="54" spans="1:15">
      <c r="A54">
        <v>53</v>
      </c>
      <c r="B54" t="s">
        <v>169</v>
      </c>
      <c r="C54" t="s">
        <v>170</v>
      </c>
      <c r="D54" t="s">
        <v>171</v>
      </c>
      <c r="E54" t="s">
        <v>172</v>
      </c>
      <c r="F54" t="str">
        <f>_xlfn.XLOOKUP(frasest[[#This Row],[autor_es]],autorest[autor_es],autorest[autor_la])</f>
        <v>Friedrich Nietzsche</v>
      </c>
      <c r="G54" t="str">
        <f>_xlfn.XLOOKUP(frasest[[#This Row],[autor_es]],autorest[autor_es],autorest[bio_es])</f>
        <v>Filósofo, poeta y filólogo alemán. Autor de obras como "Así habló Zaratustra" y "Más allá del bien y del mal".</v>
      </c>
      <c r="H54" t="str">
        <f>_xlfn.XLOOKUP(frasest[[#This Row],[autor_es]],autorest[autor_es],autorest[bio_la])</f>
        <v>Philosophus, poeta et philologus Germanicus, auctor operum ut "Ita loquutus est Zarathustra" et "Ultra bonum et malum".</v>
      </c>
      <c r="I54" t="str">
        <f>_xlfn.XLOOKUP(frasest[[#This Row],[autor_es]],autorest[autor_es],autorest[codigo])</f>
        <v>de</v>
      </c>
      <c r="J54" t="str">
        <f>_xlfn.XLOOKUP(frasest[[#This Row],[autor_es]],autorest[autor_es],autorest[idioma_es])</f>
        <v>Alemán</v>
      </c>
      <c r="K54" t="str">
        <f>_xlfn.XLOOKUP(frasest[[#This Row],[autor_es]],autorest[autor_es],autorest[idioma_la])</f>
        <v>Lingua Germanica</v>
      </c>
      <c r="L54" t="str">
        <f>_xlfn.XLOOKUP(frasest[[#This Row],[autor_es]],autorest[autor_es],autorest[nacion_es])</f>
        <v>Alemania</v>
      </c>
      <c r="M54" t="str">
        <f>_xlfn.XLOOKUP(frasest[[#This Row],[autor_es]],autorest[autor_es],autorest[nacion_la])</f>
        <v>Germania</v>
      </c>
      <c r="N54" t="str">
        <f>_xlfn.XLOOKUP(frasest[[#This Row],[autor_es]],autorest[autor_es],autorest[epoca_es])</f>
        <v>Edad Contemporánea</v>
      </c>
      <c r="O54" t="str">
        <f>_xlfn.XLOOKUP(frasest[[#This Row],[autor_es]],autorest[autor_es],autorest[epoca_la])</f>
        <v>Aetas Contemporanea</v>
      </c>
    </row>
    <row r="55" spans="1:15">
      <c r="A55">
        <v>54</v>
      </c>
      <c r="B55" t="s">
        <v>173</v>
      </c>
      <c r="C55" t="s">
        <v>174</v>
      </c>
      <c r="D55" t="s">
        <v>175</v>
      </c>
      <c r="E55" t="s">
        <v>172</v>
      </c>
      <c r="F55" t="str">
        <f>_xlfn.XLOOKUP(frasest[[#This Row],[autor_es]],autorest[autor_es],autorest[autor_la])</f>
        <v>Friedrich Nietzsche</v>
      </c>
      <c r="G55" t="str">
        <f>_xlfn.XLOOKUP(frasest[[#This Row],[autor_es]],autorest[autor_es],autorest[bio_es])</f>
        <v>Filósofo, poeta y filólogo alemán. Autor de obras como "Así habló Zaratustra" y "Más allá del bien y del mal".</v>
      </c>
      <c r="H55" t="str">
        <f>_xlfn.XLOOKUP(frasest[[#This Row],[autor_es]],autorest[autor_es],autorest[bio_la])</f>
        <v>Philosophus, poeta et philologus Germanicus, auctor operum ut "Ita loquutus est Zarathustra" et "Ultra bonum et malum".</v>
      </c>
      <c r="I55" t="str">
        <f>_xlfn.XLOOKUP(frasest[[#This Row],[autor_es]],autorest[autor_es],autorest[codigo])</f>
        <v>de</v>
      </c>
      <c r="J55" t="str">
        <f>_xlfn.XLOOKUP(frasest[[#This Row],[autor_es]],autorest[autor_es],autorest[idioma_es])</f>
        <v>Alemán</v>
      </c>
      <c r="K55" t="str">
        <f>_xlfn.XLOOKUP(frasest[[#This Row],[autor_es]],autorest[autor_es],autorest[idioma_la])</f>
        <v>Lingua Germanica</v>
      </c>
      <c r="L55" t="str">
        <f>_xlfn.XLOOKUP(frasest[[#This Row],[autor_es]],autorest[autor_es],autorest[nacion_es])</f>
        <v>Alemania</v>
      </c>
      <c r="M55" t="str">
        <f>_xlfn.XLOOKUP(frasest[[#This Row],[autor_es]],autorest[autor_es],autorest[nacion_la])</f>
        <v>Germania</v>
      </c>
      <c r="N55" t="str">
        <f>_xlfn.XLOOKUP(frasest[[#This Row],[autor_es]],autorest[autor_es],autorest[epoca_es])</f>
        <v>Edad Contemporánea</v>
      </c>
      <c r="O55" t="str">
        <f>_xlfn.XLOOKUP(frasest[[#This Row],[autor_es]],autorest[autor_es],autorest[epoca_la])</f>
        <v>Aetas Contemporanea</v>
      </c>
    </row>
    <row r="56" spans="1:15">
      <c r="A56">
        <v>55</v>
      </c>
      <c r="B56" t="s">
        <v>176</v>
      </c>
      <c r="C56" t="s">
        <v>177</v>
      </c>
      <c r="D56" t="s">
        <v>178</v>
      </c>
      <c r="E56" t="s">
        <v>172</v>
      </c>
      <c r="F56" t="str">
        <f>_xlfn.XLOOKUP(frasest[[#This Row],[autor_es]],autorest[autor_es],autorest[autor_la])</f>
        <v>Friedrich Nietzsche</v>
      </c>
      <c r="G56" t="str">
        <f>_xlfn.XLOOKUP(frasest[[#This Row],[autor_es]],autorest[autor_es],autorest[bio_es])</f>
        <v>Filósofo, poeta y filólogo alemán. Autor de obras como "Así habló Zaratustra" y "Más allá del bien y del mal".</v>
      </c>
      <c r="H56" t="str">
        <f>_xlfn.XLOOKUP(frasest[[#This Row],[autor_es]],autorest[autor_es],autorest[bio_la])</f>
        <v>Philosophus, poeta et philologus Germanicus, auctor operum ut "Ita loquutus est Zarathustra" et "Ultra bonum et malum".</v>
      </c>
      <c r="I56" t="str">
        <f>_xlfn.XLOOKUP(frasest[[#This Row],[autor_es]],autorest[autor_es],autorest[codigo])</f>
        <v>de</v>
      </c>
      <c r="J56" t="str">
        <f>_xlfn.XLOOKUP(frasest[[#This Row],[autor_es]],autorest[autor_es],autorest[idioma_es])</f>
        <v>Alemán</v>
      </c>
      <c r="K56" t="str">
        <f>_xlfn.XLOOKUP(frasest[[#This Row],[autor_es]],autorest[autor_es],autorest[idioma_la])</f>
        <v>Lingua Germanica</v>
      </c>
      <c r="L56" t="str">
        <f>_xlfn.XLOOKUP(frasest[[#This Row],[autor_es]],autorest[autor_es],autorest[nacion_es])</f>
        <v>Alemania</v>
      </c>
      <c r="M56" t="str">
        <f>_xlfn.XLOOKUP(frasest[[#This Row],[autor_es]],autorest[autor_es],autorest[nacion_la])</f>
        <v>Germania</v>
      </c>
      <c r="N56" t="str">
        <f>_xlfn.XLOOKUP(frasest[[#This Row],[autor_es]],autorest[autor_es],autorest[epoca_es])</f>
        <v>Edad Contemporánea</v>
      </c>
      <c r="O56" t="str">
        <f>_xlfn.XLOOKUP(frasest[[#This Row],[autor_es]],autorest[autor_es],autorest[epoca_la])</f>
        <v>Aetas Contemporanea</v>
      </c>
    </row>
    <row r="57" spans="1:15">
      <c r="A57">
        <v>56</v>
      </c>
      <c r="B57" t="s">
        <v>179</v>
      </c>
      <c r="C57" t="s">
        <v>180</v>
      </c>
      <c r="D57" t="s">
        <v>181</v>
      </c>
      <c r="E57" t="s">
        <v>172</v>
      </c>
      <c r="F57" t="str">
        <f>_xlfn.XLOOKUP(frasest[[#This Row],[autor_es]],autorest[autor_es],autorest[autor_la])</f>
        <v>Friedrich Nietzsche</v>
      </c>
      <c r="G57" t="str">
        <f>_xlfn.XLOOKUP(frasest[[#This Row],[autor_es]],autorest[autor_es],autorest[bio_es])</f>
        <v>Filósofo, poeta y filólogo alemán. Autor de obras como "Así habló Zaratustra" y "Más allá del bien y del mal".</v>
      </c>
      <c r="H57" t="str">
        <f>_xlfn.XLOOKUP(frasest[[#This Row],[autor_es]],autorest[autor_es],autorest[bio_la])</f>
        <v>Philosophus, poeta et philologus Germanicus, auctor operum ut "Ita loquutus est Zarathustra" et "Ultra bonum et malum".</v>
      </c>
      <c r="I57" t="str">
        <f>_xlfn.XLOOKUP(frasest[[#This Row],[autor_es]],autorest[autor_es],autorest[codigo])</f>
        <v>de</v>
      </c>
      <c r="J57" t="str">
        <f>_xlfn.XLOOKUP(frasest[[#This Row],[autor_es]],autorest[autor_es],autorest[idioma_es])</f>
        <v>Alemán</v>
      </c>
      <c r="K57" t="str">
        <f>_xlfn.XLOOKUP(frasest[[#This Row],[autor_es]],autorest[autor_es],autorest[idioma_la])</f>
        <v>Lingua Germanica</v>
      </c>
      <c r="L57" t="str">
        <f>_xlfn.XLOOKUP(frasest[[#This Row],[autor_es]],autorest[autor_es],autorest[nacion_es])</f>
        <v>Alemania</v>
      </c>
      <c r="M57" t="str">
        <f>_xlfn.XLOOKUP(frasest[[#This Row],[autor_es]],autorest[autor_es],autorest[nacion_la])</f>
        <v>Germania</v>
      </c>
      <c r="N57" t="str">
        <f>_xlfn.XLOOKUP(frasest[[#This Row],[autor_es]],autorest[autor_es],autorest[epoca_es])</f>
        <v>Edad Contemporánea</v>
      </c>
      <c r="O57" t="str">
        <f>_xlfn.XLOOKUP(frasest[[#This Row],[autor_es]],autorest[autor_es],autorest[epoca_la])</f>
        <v>Aetas Contemporanea</v>
      </c>
    </row>
    <row r="58" spans="1:15">
      <c r="A58">
        <v>57</v>
      </c>
      <c r="B58" t="s">
        <v>182</v>
      </c>
      <c r="C58" t="s">
        <v>183</v>
      </c>
      <c r="D58" t="s">
        <v>184</v>
      </c>
      <c r="E58" t="s">
        <v>172</v>
      </c>
      <c r="F58" t="str">
        <f>_xlfn.XLOOKUP(frasest[[#This Row],[autor_es]],autorest[autor_es],autorest[autor_la])</f>
        <v>Friedrich Nietzsche</v>
      </c>
      <c r="G58" t="str">
        <f>_xlfn.XLOOKUP(frasest[[#This Row],[autor_es]],autorest[autor_es],autorest[bio_es])</f>
        <v>Filósofo, poeta y filólogo alemán. Autor de obras como "Así habló Zaratustra" y "Más allá del bien y del mal".</v>
      </c>
      <c r="H58" t="str">
        <f>_xlfn.XLOOKUP(frasest[[#This Row],[autor_es]],autorest[autor_es],autorest[bio_la])</f>
        <v>Philosophus, poeta et philologus Germanicus, auctor operum ut "Ita loquutus est Zarathustra" et "Ultra bonum et malum".</v>
      </c>
      <c r="I58" t="str">
        <f>_xlfn.XLOOKUP(frasest[[#This Row],[autor_es]],autorest[autor_es],autorest[codigo])</f>
        <v>de</v>
      </c>
      <c r="J58" t="str">
        <f>_xlfn.XLOOKUP(frasest[[#This Row],[autor_es]],autorest[autor_es],autorest[idioma_es])</f>
        <v>Alemán</v>
      </c>
      <c r="K58" t="str">
        <f>_xlfn.XLOOKUP(frasest[[#This Row],[autor_es]],autorest[autor_es],autorest[idioma_la])</f>
        <v>Lingua Germanica</v>
      </c>
      <c r="L58" t="str">
        <f>_xlfn.XLOOKUP(frasest[[#This Row],[autor_es]],autorest[autor_es],autorest[nacion_es])</f>
        <v>Alemania</v>
      </c>
      <c r="M58" t="str">
        <f>_xlfn.XLOOKUP(frasest[[#This Row],[autor_es]],autorest[autor_es],autorest[nacion_la])</f>
        <v>Germania</v>
      </c>
      <c r="N58" t="str">
        <f>_xlfn.XLOOKUP(frasest[[#This Row],[autor_es]],autorest[autor_es],autorest[epoca_es])</f>
        <v>Edad Contemporánea</v>
      </c>
      <c r="O58" t="str">
        <f>_xlfn.XLOOKUP(frasest[[#This Row],[autor_es]],autorest[autor_es],autorest[epoca_la])</f>
        <v>Aetas Contemporanea</v>
      </c>
    </row>
    <row r="59" spans="1:15">
      <c r="A59">
        <v>58</v>
      </c>
      <c r="B59" t="s">
        <v>185</v>
      </c>
      <c r="C59" t="s">
        <v>186</v>
      </c>
      <c r="D59" t="s">
        <v>187</v>
      </c>
      <c r="E59" t="s">
        <v>188</v>
      </c>
      <c r="F59" t="str">
        <f>_xlfn.XLOOKUP(frasest[[#This Row],[autor_es]],autorest[autor_es],autorest[autor_la])</f>
        <v>Gilbert Keith Chesterton</v>
      </c>
      <c r="G59" t="str">
        <f>_xlfn.XLOOKUP(frasest[[#This Row],[autor_es]],autorest[autor_es],autorest[bio_es])</f>
        <v>Escritor, poeta, filósofo y periodista inglés. Famoso por sus ensayos, cuentos de misterio y defensa del cristianismo.</v>
      </c>
      <c r="H59" t="str">
        <f>_xlfn.XLOOKUP(frasest[[#This Row],[autor_es]],autorest[autor_es],autorest[bio_la])</f>
        <v>Scriba, poeta, philosophus et diurnarius Anglicus. Notus pro essayis, fabulis mysteriis et Christianismi defensione.</v>
      </c>
      <c r="I59" t="str">
        <f>_xlfn.XLOOKUP(frasest[[#This Row],[autor_es]],autorest[autor_es],autorest[codigo])</f>
        <v>en</v>
      </c>
      <c r="J59" t="str">
        <f>_xlfn.XLOOKUP(frasest[[#This Row],[autor_es]],autorest[autor_es],autorest[idioma_es])</f>
        <v>Inglés</v>
      </c>
      <c r="K59" t="str">
        <f>_xlfn.XLOOKUP(frasest[[#This Row],[autor_es]],autorest[autor_es],autorest[idioma_la])</f>
        <v>Lingua Anglica</v>
      </c>
      <c r="L59" t="str">
        <f>_xlfn.XLOOKUP(frasest[[#This Row],[autor_es]],autorest[autor_es],autorest[nacion_es])</f>
        <v>Reino Unido</v>
      </c>
      <c r="M59" t="str">
        <f>_xlfn.XLOOKUP(frasest[[#This Row],[autor_es]],autorest[autor_es],autorest[nacion_la])</f>
        <v>Regnum Unitum</v>
      </c>
      <c r="N59" t="str">
        <f>_xlfn.XLOOKUP(frasest[[#This Row],[autor_es]],autorest[autor_es],autorest[epoca_es])</f>
        <v>Edad Contemporánea</v>
      </c>
      <c r="O59" t="str">
        <f>_xlfn.XLOOKUP(frasest[[#This Row],[autor_es]],autorest[autor_es],autorest[epoca_la])</f>
        <v>Aetas Contemporanea</v>
      </c>
    </row>
    <row r="60" spans="1:15">
      <c r="A60">
        <v>59</v>
      </c>
      <c r="B60" t="s">
        <v>189</v>
      </c>
      <c r="C60" t="s">
        <v>190</v>
      </c>
      <c r="D60" t="s">
        <v>191</v>
      </c>
      <c r="E60" t="s">
        <v>188</v>
      </c>
      <c r="F60" t="str">
        <f>_xlfn.XLOOKUP(frasest[[#This Row],[autor_es]],autorest[autor_es],autorest[autor_la])</f>
        <v>Gilbert Keith Chesterton</v>
      </c>
      <c r="G60" t="str">
        <f>_xlfn.XLOOKUP(frasest[[#This Row],[autor_es]],autorest[autor_es],autorest[bio_es])</f>
        <v>Escritor, poeta, filósofo y periodista inglés. Famoso por sus ensayos, cuentos de misterio y defensa del cristianismo.</v>
      </c>
      <c r="H60" t="str">
        <f>_xlfn.XLOOKUP(frasest[[#This Row],[autor_es]],autorest[autor_es],autorest[bio_la])</f>
        <v>Scriba, poeta, philosophus et diurnarius Anglicus. Notus pro essayis, fabulis mysteriis et Christianismi defensione.</v>
      </c>
      <c r="I60" t="str">
        <f>_xlfn.XLOOKUP(frasest[[#This Row],[autor_es]],autorest[autor_es],autorest[codigo])</f>
        <v>en</v>
      </c>
      <c r="J60" t="str">
        <f>_xlfn.XLOOKUP(frasest[[#This Row],[autor_es]],autorest[autor_es],autorest[idioma_es])</f>
        <v>Inglés</v>
      </c>
      <c r="K60" t="str">
        <f>_xlfn.XLOOKUP(frasest[[#This Row],[autor_es]],autorest[autor_es],autorest[idioma_la])</f>
        <v>Lingua Anglica</v>
      </c>
      <c r="L60" t="str">
        <f>_xlfn.XLOOKUP(frasest[[#This Row],[autor_es]],autorest[autor_es],autorest[nacion_es])</f>
        <v>Reino Unido</v>
      </c>
      <c r="M60" t="str">
        <f>_xlfn.XLOOKUP(frasest[[#This Row],[autor_es]],autorest[autor_es],autorest[nacion_la])</f>
        <v>Regnum Unitum</v>
      </c>
      <c r="N60" t="str">
        <f>_xlfn.XLOOKUP(frasest[[#This Row],[autor_es]],autorest[autor_es],autorest[epoca_es])</f>
        <v>Edad Contemporánea</v>
      </c>
      <c r="O60" t="str">
        <f>_xlfn.XLOOKUP(frasest[[#This Row],[autor_es]],autorest[autor_es],autorest[epoca_la])</f>
        <v>Aetas Contemporanea</v>
      </c>
    </row>
    <row r="61" spans="1:15">
      <c r="A61">
        <v>60</v>
      </c>
      <c r="B61" t="s">
        <v>192</v>
      </c>
      <c r="C61" t="s">
        <v>193</v>
      </c>
      <c r="D61" t="s">
        <v>194</v>
      </c>
      <c r="E61" t="s">
        <v>188</v>
      </c>
      <c r="F61" t="str">
        <f>_xlfn.XLOOKUP(frasest[[#This Row],[autor_es]],autorest[autor_es],autorest[autor_la])</f>
        <v>Gilbert Keith Chesterton</v>
      </c>
      <c r="G61" t="str">
        <f>_xlfn.XLOOKUP(frasest[[#This Row],[autor_es]],autorest[autor_es],autorest[bio_es])</f>
        <v>Escritor, poeta, filósofo y periodista inglés. Famoso por sus ensayos, cuentos de misterio y defensa del cristianismo.</v>
      </c>
      <c r="H61" t="str">
        <f>_xlfn.XLOOKUP(frasest[[#This Row],[autor_es]],autorest[autor_es],autorest[bio_la])</f>
        <v>Scriba, poeta, philosophus et diurnarius Anglicus. Notus pro essayis, fabulis mysteriis et Christianismi defensione.</v>
      </c>
      <c r="I61" t="str">
        <f>_xlfn.XLOOKUP(frasest[[#This Row],[autor_es]],autorest[autor_es],autorest[codigo])</f>
        <v>en</v>
      </c>
      <c r="J61" t="str">
        <f>_xlfn.XLOOKUP(frasest[[#This Row],[autor_es]],autorest[autor_es],autorest[idioma_es])</f>
        <v>Inglés</v>
      </c>
      <c r="K61" t="str">
        <f>_xlfn.XLOOKUP(frasest[[#This Row],[autor_es]],autorest[autor_es],autorest[idioma_la])</f>
        <v>Lingua Anglica</v>
      </c>
      <c r="L61" t="str">
        <f>_xlfn.XLOOKUP(frasest[[#This Row],[autor_es]],autorest[autor_es],autorest[nacion_es])</f>
        <v>Reino Unido</v>
      </c>
      <c r="M61" t="str">
        <f>_xlfn.XLOOKUP(frasest[[#This Row],[autor_es]],autorest[autor_es],autorest[nacion_la])</f>
        <v>Regnum Unitum</v>
      </c>
      <c r="N61" t="str">
        <f>_xlfn.XLOOKUP(frasest[[#This Row],[autor_es]],autorest[autor_es],autorest[epoca_es])</f>
        <v>Edad Contemporánea</v>
      </c>
      <c r="O61" t="str">
        <f>_xlfn.XLOOKUP(frasest[[#This Row],[autor_es]],autorest[autor_es],autorest[epoca_la])</f>
        <v>Aetas Contemporanea</v>
      </c>
    </row>
    <row r="62" spans="1:15">
      <c r="A62">
        <v>61</v>
      </c>
      <c r="B62" t="s">
        <v>195</v>
      </c>
      <c r="C62" t="s">
        <v>196</v>
      </c>
      <c r="D62" t="s">
        <v>197</v>
      </c>
      <c r="E62" t="s">
        <v>188</v>
      </c>
      <c r="F62" t="str">
        <f>_xlfn.XLOOKUP(frasest[[#This Row],[autor_es]],autorest[autor_es],autorest[autor_la])</f>
        <v>Gilbert Keith Chesterton</v>
      </c>
      <c r="G62" t="str">
        <f>_xlfn.XLOOKUP(frasest[[#This Row],[autor_es]],autorest[autor_es],autorest[bio_es])</f>
        <v>Escritor, poeta, filósofo y periodista inglés. Famoso por sus ensayos, cuentos de misterio y defensa del cristianismo.</v>
      </c>
      <c r="H62" t="str">
        <f>_xlfn.XLOOKUP(frasest[[#This Row],[autor_es]],autorest[autor_es],autorest[bio_la])</f>
        <v>Scriba, poeta, philosophus et diurnarius Anglicus. Notus pro essayis, fabulis mysteriis et Christianismi defensione.</v>
      </c>
      <c r="I62" t="str">
        <f>_xlfn.XLOOKUP(frasest[[#This Row],[autor_es]],autorest[autor_es],autorest[codigo])</f>
        <v>en</v>
      </c>
      <c r="J62" t="str">
        <f>_xlfn.XLOOKUP(frasest[[#This Row],[autor_es]],autorest[autor_es],autorest[idioma_es])</f>
        <v>Inglés</v>
      </c>
      <c r="K62" t="str">
        <f>_xlfn.XLOOKUP(frasest[[#This Row],[autor_es]],autorest[autor_es],autorest[idioma_la])</f>
        <v>Lingua Anglica</v>
      </c>
      <c r="L62" t="str">
        <f>_xlfn.XLOOKUP(frasest[[#This Row],[autor_es]],autorest[autor_es],autorest[nacion_es])</f>
        <v>Reino Unido</v>
      </c>
      <c r="M62" t="str">
        <f>_xlfn.XLOOKUP(frasest[[#This Row],[autor_es]],autorest[autor_es],autorest[nacion_la])</f>
        <v>Regnum Unitum</v>
      </c>
      <c r="N62" t="str">
        <f>_xlfn.XLOOKUP(frasest[[#This Row],[autor_es]],autorest[autor_es],autorest[epoca_es])</f>
        <v>Edad Contemporánea</v>
      </c>
      <c r="O62" t="str">
        <f>_xlfn.XLOOKUP(frasest[[#This Row],[autor_es]],autorest[autor_es],autorest[epoca_la])</f>
        <v>Aetas Contemporanea</v>
      </c>
    </row>
    <row r="63" spans="1:15">
      <c r="A63">
        <v>62</v>
      </c>
      <c r="B63" t="s">
        <v>198</v>
      </c>
      <c r="C63" t="s">
        <v>199</v>
      </c>
      <c r="D63" t="s">
        <v>200</v>
      </c>
      <c r="E63" t="s">
        <v>188</v>
      </c>
      <c r="F63" t="str">
        <f>_xlfn.XLOOKUP(frasest[[#This Row],[autor_es]],autorest[autor_es],autorest[autor_la])</f>
        <v>Gilbert Keith Chesterton</v>
      </c>
      <c r="G63" t="str">
        <f>_xlfn.XLOOKUP(frasest[[#This Row],[autor_es]],autorest[autor_es],autorest[bio_es])</f>
        <v>Escritor, poeta, filósofo y periodista inglés. Famoso por sus ensayos, cuentos de misterio y defensa del cristianismo.</v>
      </c>
      <c r="H63" t="str">
        <f>_xlfn.XLOOKUP(frasest[[#This Row],[autor_es]],autorest[autor_es],autorest[bio_la])</f>
        <v>Scriba, poeta, philosophus et diurnarius Anglicus. Notus pro essayis, fabulis mysteriis et Christianismi defensione.</v>
      </c>
      <c r="I63" t="str">
        <f>_xlfn.XLOOKUP(frasest[[#This Row],[autor_es]],autorest[autor_es],autorest[codigo])</f>
        <v>en</v>
      </c>
      <c r="J63" t="str">
        <f>_xlfn.XLOOKUP(frasest[[#This Row],[autor_es]],autorest[autor_es],autorest[idioma_es])</f>
        <v>Inglés</v>
      </c>
      <c r="K63" t="str">
        <f>_xlfn.XLOOKUP(frasest[[#This Row],[autor_es]],autorest[autor_es],autorest[idioma_la])</f>
        <v>Lingua Anglica</v>
      </c>
      <c r="L63" t="str">
        <f>_xlfn.XLOOKUP(frasest[[#This Row],[autor_es]],autorest[autor_es],autorest[nacion_es])</f>
        <v>Reino Unido</v>
      </c>
      <c r="M63" t="str">
        <f>_xlfn.XLOOKUP(frasest[[#This Row],[autor_es]],autorest[autor_es],autorest[nacion_la])</f>
        <v>Regnum Unitum</v>
      </c>
      <c r="N63" t="str">
        <f>_xlfn.XLOOKUP(frasest[[#This Row],[autor_es]],autorest[autor_es],autorest[epoca_es])</f>
        <v>Edad Contemporánea</v>
      </c>
      <c r="O63" t="str">
        <f>_xlfn.XLOOKUP(frasest[[#This Row],[autor_es]],autorest[autor_es],autorest[epoca_la])</f>
        <v>Aetas Contemporanea</v>
      </c>
    </row>
    <row r="64" spans="1:15">
      <c r="A64">
        <v>63</v>
      </c>
      <c r="B64" t="s">
        <v>201</v>
      </c>
      <c r="C64" t="s">
        <v>202</v>
      </c>
      <c r="D64" t="s">
        <v>203</v>
      </c>
      <c r="E64" t="s">
        <v>204</v>
      </c>
      <c r="F64" t="str">
        <f>_xlfn.XLOOKUP(frasest[[#This Row],[autor_es]],autorest[autor_es],autorest[autor_la])</f>
        <v>Ioannes Paulus II</v>
      </c>
      <c r="G64" t="str">
        <f>_xlfn.XLOOKUP(frasest[[#This Row],[autor_es]],autorest[autor_es],autorest[bio_es])</f>
        <v>Papa de la Iglesia Católica desde 1978 hasta 2005. Destacado por su labor pastoral, defensa de la vida y los derechos humanos.</v>
      </c>
      <c r="H64" t="str">
        <f>_xlfn.XLOOKUP(frasest[[#This Row],[autor_es]],autorest[autor_es],autorest[bio_la])</f>
        <v>Papa Ecclesiae Catholicae ab anno 1978 usque 2005. Labor pastoral, vitae tutela et iura humana praecipuus.</v>
      </c>
      <c r="I64" t="str">
        <f>_xlfn.XLOOKUP(frasest[[#This Row],[autor_es]],autorest[autor_es],autorest[codigo])</f>
        <v>la</v>
      </c>
      <c r="J64" t="str">
        <f>_xlfn.XLOOKUP(frasest[[#This Row],[autor_es]],autorest[autor_es],autorest[idioma_es])</f>
        <v>Latín</v>
      </c>
      <c r="K64" t="str">
        <f>_xlfn.XLOOKUP(frasest[[#This Row],[autor_es]],autorest[autor_es],autorest[idioma_la])</f>
        <v>Lingua Latina</v>
      </c>
      <c r="L64" t="str">
        <f>_xlfn.XLOOKUP(frasest[[#This Row],[autor_es]],autorest[autor_es],autorest[nacion_es])</f>
        <v>Polonia</v>
      </c>
      <c r="M64" t="str">
        <f>_xlfn.XLOOKUP(frasest[[#This Row],[autor_es]],autorest[autor_es],autorest[nacion_la])</f>
        <v>Polonia</v>
      </c>
      <c r="N64" t="str">
        <f>_xlfn.XLOOKUP(frasest[[#This Row],[autor_es]],autorest[autor_es],autorest[epoca_es])</f>
        <v>Edad Contemporánea</v>
      </c>
      <c r="O64" t="str">
        <f>_xlfn.XLOOKUP(frasest[[#This Row],[autor_es]],autorest[autor_es],autorest[epoca_la])</f>
        <v>Aetas Contemporanea</v>
      </c>
    </row>
    <row r="65" spans="1:15">
      <c r="A65">
        <v>64</v>
      </c>
      <c r="B65" t="s">
        <v>205</v>
      </c>
      <c r="C65" t="s">
        <v>206</v>
      </c>
      <c r="D65" t="s">
        <v>206</v>
      </c>
      <c r="E65" t="s">
        <v>204</v>
      </c>
      <c r="F65" t="str">
        <f>_xlfn.XLOOKUP(frasest[[#This Row],[autor_es]],autorest[autor_es],autorest[autor_la])</f>
        <v>Ioannes Paulus II</v>
      </c>
      <c r="G65" t="str">
        <f>_xlfn.XLOOKUP(frasest[[#This Row],[autor_es]],autorest[autor_es],autorest[bio_es])</f>
        <v>Papa de la Iglesia Católica desde 1978 hasta 2005. Destacado por su labor pastoral, defensa de la vida y los derechos humanos.</v>
      </c>
      <c r="H65" t="str">
        <f>_xlfn.XLOOKUP(frasest[[#This Row],[autor_es]],autorest[autor_es],autorest[bio_la])</f>
        <v>Papa Ecclesiae Catholicae ab anno 1978 usque 2005. Labor pastoral, vitae tutela et iura humana praecipuus.</v>
      </c>
      <c r="I65" t="str">
        <f>_xlfn.XLOOKUP(frasest[[#This Row],[autor_es]],autorest[autor_es],autorest[codigo])</f>
        <v>la</v>
      </c>
      <c r="J65" t="str">
        <f>_xlfn.XLOOKUP(frasest[[#This Row],[autor_es]],autorest[autor_es],autorest[idioma_es])</f>
        <v>Latín</v>
      </c>
      <c r="K65" t="str">
        <f>_xlfn.XLOOKUP(frasest[[#This Row],[autor_es]],autorest[autor_es],autorest[idioma_la])</f>
        <v>Lingua Latina</v>
      </c>
      <c r="L65" t="str">
        <f>_xlfn.XLOOKUP(frasest[[#This Row],[autor_es]],autorest[autor_es],autorest[nacion_es])</f>
        <v>Polonia</v>
      </c>
      <c r="M65" t="str">
        <f>_xlfn.XLOOKUP(frasest[[#This Row],[autor_es]],autorest[autor_es],autorest[nacion_la])</f>
        <v>Polonia</v>
      </c>
      <c r="N65" t="str">
        <f>_xlfn.XLOOKUP(frasest[[#This Row],[autor_es]],autorest[autor_es],autorest[epoca_es])</f>
        <v>Edad Contemporánea</v>
      </c>
      <c r="O65" t="str">
        <f>_xlfn.XLOOKUP(frasest[[#This Row],[autor_es]],autorest[autor_es],autorest[epoca_la])</f>
        <v>Aetas Contemporanea</v>
      </c>
    </row>
    <row r="66" spans="1:15">
      <c r="A66">
        <v>65</v>
      </c>
      <c r="B66" t="s">
        <v>207</v>
      </c>
      <c r="C66" t="s">
        <v>208</v>
      </c>
      <c r="D66" t="s">
        <v>208</v>
      </c>
      <c r="E66" t="s">
        <v>204</v>
      </c>
      <c r="F66" t="str">
        <f>_xlfn.XLOOKUP(frasest[[#This Row],[autor_es]],autorest[autor_es],autorest[autor_la])</f>
        <v>Ioannes Paulus II</v>
      </c>
      <c r="G66" t="str">
        <f>_xlfn.XLOOKUP(frasest[[#This Row],[autor_es]],autorest[autor_es],autorest[bio_es])</f>
        <v>Papa de la Iglesia Católica desde 1978 hasta 2005. Destacado por su labor pastoral, defensa de la vida y los derechos humanos.</v>
      </c>
      <c r="H66" t="str">
        <f>_xlfn.XLOOKUP(frasest[[#This Row],[autor_es]],autorest[autor_es],autorest[bio_la])</f>
        <v>Papa Ecclesiae Catholicae ab anno 1978 usque 2005. Labor pastoral, vitae tutela et iura humana praecipuus.</v>
      </c>
      <c r="I66" t="str">
        <f>_xlfn.XLOOKUP(frasest[[#This Row],[autor_es]],autorest[autor_es],autorest[codigo])</f>
        <v>la</v>
      </c>
      <c r="J66" t="str">
        <f>_xlfn.XLOOKUP(frasest[[#This Row],[autor_es]],autorest[autor_es],autorest[idioma_es])</f>
        <v>Latín</v>
      </c>
      <c r="K66" t="str">
        <f>_xlfn.XLOOKUP(frasest[[#This Row],[autor_es]],autorest[autor_es],autorest[idioma_la])</f>
        <v>Lingua Latina</v>
      </c>
      <c r="L66" t="str">
        <f>_xlfn.XLOOKUP(frasest[[#This Row],[autor_es]],autorest[autor_es],autorest[nacion_es])</f>
        <v>Polonia</v>
      </c>
      <c r="M66" t="str">
        <f>_xlfn.XLOOKUP(frasest[[#This Row],[autor_es]],autorest[autor_es],autorest[nacion_la])</f>
        <v>Polonia</v>
      </c>
      <c r="N66" t="str">
        <f>_xlfn.XLOOKUP(frasest[[#This Row],[autor_es]],autorest[autor_es],autorest[epoca_es])</f>
        <v>Edad Contemporánea</v>
      </c>
      <c r="O66" t="str">
        <f>_xlfn.XLOOKUP(frasest[[#This Row],[autor_es]],autorest[autor_es],autorest[epoca_la])</f>
        <v>Aetas Contemporanea</v>
      </c>
    </row>
    <row r="67" spans="1:15">
      <c r="A67">
        <v>66</v>
      </c>
      <c r="B67" t="s">
        <v>209</v>
      </c>
      <c r="C67" t="s">
        <v>210</v>
      </c>
      <c r="D67" t="s">
        <v>210</v>
      </c>
      <c r="E67" t="s">
        <v>204</v>
      </c>
      <c r="F67" t="str">
        <f>_xlfn.XLOOKUP(frasest[[#This Row],[autor_es]],autorest[autor_es],autorest[autor_la])</f>
        <v>Ioannes Paulus II</v>
      </c>
      <c r="G67" t="str">
        <f>_xlfn.XLOOKUP(frasest[[#This Row],[autor_es]],autorest[autor_es],autorest[bio_es])</f>
        <v>Papa de la Iglesia Católica desde 1978 hasta 2005. Destacado por su labor pastoral, defensa de la vida y los derechos humanos.</v>
      </c>
      <c r="H67" t="str">
        <f>_xlfn.XLOOKUP(frasest[[#This Row],[autor_es]],autorest[autor_es],autorest[bio_la])</f>
        <v>Papa Ecclesiae Catholicae ab anno 1978 usque 2005. Labor pastoral, vitae tutela et iura humana praecipuus.</v>
      </c>
      <c r="I67" t="str">
        <f>_xlfn.XLOOKUP(frasest[[#This Row],[autor_es]],autorest[autor_es],autorest[codigo])</f>
        <v>la</v>
      </c>
      <c r="J67" t="str">
        <f>_xlfn.XLOOKUP(frasest[[#This Row],[autor_es]],autorest[autor_es],autorest[idioma_es])</f>
        <v>Latín</v>
      </c>
      <c r="K67" t="str">
        <f>_xlfn.XLOOKUP(frasest[[#This Row],[autor_es]],autorest[autor_es],autorest[idioma_la])</f>
        <v>Lingua Latina</v>
      </c>
      <c r="L67" t="str">
        <f>_xlfn.XLOOKUP(frasest[[#This Row],[autor_es]],autorest[autor_es],autorest[nacion_es])</f>
        <v>Polonia</v>
      </c>
      <c r="M67" t="str">
        <f>_xlfn.XLOOKUP(frasest[[#This Row],[autor_es]],autorest[autor_es],autorest[nacion_la])</f>
        <v>Polonia</v>
      </c>
      <c r="N67" t="str">
        <f>_xlfn.XLOOKUP(frasest[[#This Row],[autor_es]],autorest[autor_es],autorest[epoca_es])</f>
        <v>Edad Contemporánea</v>
      </c>
      <c r="O67" t="str">
        <f>_xlfn.XLOOKUP(frasest[[#This Row],[autor_es]],autorest[autor_es],autorest[epoca_la])</f>
        <v>Aetas Contemporanea</v>
      </c>
    </row>
    <row r="68" spans="1:15">
      <c r="A68">
        <v>67</v>
      </c>
      <c r="B68" t="s">
        <v>211</v>
      </c>
      <c r="C68" t="s">
        <v>212</v>
      </c>
      <c r="D68" t="s">
        <v>213</v>
      </c>
      <c r="E68" t="s">
        <v>204</v>
      </c>
      <c r="F68" t="str">
        <f>_xlfn.XLOOKUP(frasest[[#This Row],[autor_es]],autorest[autor_es],autorest[autor_la])</f>
        <v>Ioannes Paulus II</v>
      </c>
      <c r="G68" t="str">
        <f>_xlfn.XLOOKUP(frasest[[#This Row],[autor_es]],autorest[autor_es],autorest[bio_es])</f>
        <v>Papa de la Iglesia Católica desde 1978 hasta 2005. Destacado por su labor pastoral, defensa de la vida y los derechos humanos.</v>
      </c>
      <c r="H68" t="str">
        <f>_xlfn.XLOOKUP(frasest[[#This Row],[autor_es]],autorest[autor_es],autorest[bio_la])</f>
        <v>Papa Ecclesiae Catholicae ab anno 1978 usque 2005. Labor pastoral, vitae tutela et iura humana praecipuus.</v>
      </c>
      <c r="I68" t="str">
        <f>_xlfn.XLOOKUP(frasest[[#This Row],[autor_es]],autorest[autor_es],autorest[codigo])</f>
        <v>la</v>
      </c>
      <c r="J68" t="str">
        <f>_xlfn.XLOOKUP(frasest[[#This Row],[autor_es]],autorest[autor_es],autorest[idioma_es])</f>
        <v>Latín</v>
      </c>
      <c r="K68" t="str">
        <f>_xlfn.XLOOKUP(frasest[[#This Row],[autor_es]],autorest[autor_es],autorest[idioma_la])</f>
        <v>Lingua Latina</v>
      </c>
      <c r="L68" t="str">
        <f>_xlfn.XLOOKUP(frasest[[#This Row],[autor_es]],autorest[autor_es],autorest[nacion_es])</f>
        <v>Polonia</v>
      </c>
      <c r="M68" t="str">
        <f>_xlfn.XLOOKUP(frasest[[#This Row],[autor_es]],autorest[autor_es],autorest[nacion_la])</f>
        <v>Polonia</v>
      </c>
      <c r="N68" t="str">
        <f>_xlfn.XLOOKUP(frasest[[#This Row],[autor_es]],autorest[autor_es],autorest[epoca_es])</f>
        <v>Edad Contemporánea</v>
      </c>
      <c r="O68" t="str">
        <f>_xlfn.XLOOKUP(frasest[[#This Row],[autor_es]],autorest[autor_es],autorest[epoca_la])</f>
        <v>Aetas Contemporanea</v>
      </c>
    </row>
    <row r="69" spans="1:15">
      <c r="A69">
        <v>68</v>
      </c>
      <c r="B69" t="s">
        <v>214</v>
      </c>
      <c r="C69" t="s">
        <v>215</v>
      </c>
      <c r="D69" t="s">
        <v>215</v>
      </c>
      <c r="E69" t="s">
        <v>204</v>
      </c>
      <c r="F69" t="str">
        <f>_xlfn.XLOOKUP(frasest[[#This Row],[autor_es]],autorest[autor_es],autorest[autor_la])</f>
        <v>Ioannes Paulus II</v>
      </c>
      <c r="G69" t="str">
        <f>_xlfn.XLOOKUP(frasest[[#This Row],[autor_es]],autorest[autor_es],autorest[bio_es])</f>
        <v>Papa de la Iglesia Católica desde 1978 hasta 2005. Destacado por su labor pastoral, defensa de la vida y los derechos humanos.</v>
      </c>
      <c r="H69" t="str">
        <f>_xlfn.XLOOKUP(frasest[[#This Row],[autor_es]],autorest[autor_es],autorest[bio_la])</f>
        <v>Papa Ecclesiae Catholicae ab anno 1978 usque 2005. Labor pastoral, vitae tutela et iura humana praecipuus.</v>
      </c>
      <c r="I69" t="str">
        <f>_xlfn.XLOOKUP(frasest[[#This Row],[autor_es]],autorest[autor_es],autorest[codigo])</f>
        <v>la</v>
      </c>
      <c r="J69" t="str">
        <f>_xlfn.XLOOKUP(frasest[[#This Row],[autor_es]],autorest[autor_es],autorest[idioma_es])</f>
        <v>Latín</v>
      </c>
      <c r="K69" t="str">
        <f>_xlfn.XLOOKUP(frasest[[#This Row],[autor_es]],autorest[autor_es],autorest[idioma_la])</f>
        <v>Lingua Latina</v>
      </c>
      <c r="L69" t="str">
        <f>_xlfn.XLOOKUP(frasest[[#This Row],[autor_es]],autorest[autor_es],autorest[nacion_es])</f>
        <v>Polonia</v>
      </c>
      <c r="M69" t="str">
        <f>_xlfn.XLOOKUP(frasest[[#This Row],[autor_es]],autorest[autor_es],autorest[nacion_la])</f>
        <v>Polonia</v>
      </c>
      <c r="N69" t="str">
        <f>_xlfn.XLOOKUP(frasest[[#This Row],[autor_es]],autorest[autor_es],autorest[epoca_es])</f>
        <v>Edad Contemporánea</v>
      </c>
      <c r="O69" t="str">
        <f>_xlfn.XLOOKUP(frasest[[#This Row],[autor_es]],autorest[autor_es],autorest[epoca_la])</f>
        <v>Aetas Contemporanea</v>
      </c>
    </row>
    <row r="70" spans="1:15">
      <c r="A70">
        <v>69</v>
      </c>
      <c r="B70" t="s">
        <v>216</v>
      </c>
      <c r="C70" t="s">
        <v>217</v>
      </c>
      <c r="D70" t="s">
        <v>217</v>
      </c>
      <c r="E70" t="s">
        <v>204</v>
      </c>
      <c r="F70" t="str">
        <f>_xlfn.XLOOKUP(frasest[[#This Row],[autor_es]],autorest[autor_es],autorest[autor_la])</f>
        <v>Ioannes Paulus II</v>
      </c>
      <c r="G70" t="str">
        <f>_xlfn.XLOOKUP(frasest[[#This Row],[autor_es]],autorest[autor_es],autorest[bio_es])</f>
        <v>Papa de la Iglesia Católica desde 1978 hasta 2005. Destacado por su labor pastoral, defensa de la vida y los derechos humanos.</v>
      </c>
      <c r="H70" t="str">
        <f>_xlfn.XLOOKUP(frasest[[#This Row],[autor_es]],autorest[autor_es],autorest[bio_la])</f>
        <v>Papa Ecclesiae Catholicae ab anno 1978 usque 2005. Labor pastoral, vitae tutela et iura humana praecipuus.</v>
      </c>
      <c r="I70" t="str">
        <f>_xlfn.XLOOKUP(frasest[[#This Row],[autor_es]],autorest[autor_es],autorest[codigo])</f>
        <v>la</v>
      </c>
      <c r="J70" t="str">
        <f>_xlfn.XLOOKUP(frasest[[#This Row],[autor_es]],autorest[autor_es],autorest[idioma_es])</f>
        <v>Latín</v>
      </c>
      <c r="K70" t="str">
        <f>_xlfn.XLOOKUP(frasest[[#This Row],[autor_es]],autorest[autor_es],autorest[idioma_la])</f>
        <v>Lingua Latina</v>
      </c>
      <c r="L70" t="str">
        <f>_xlfn.XLOOKUP(frasest[[#This Row],[autor_es]],autorest[autor_es],autorest[nacion_es])</f>
        <v>Polonia</v>
      </c>
      <c r="M70" t="str">
        <f>_xlfn.XLOOKUP(frasest[[#This Row],[autor_es]],autorest[autor_es],autorest[nacion_la])</f>
        <v>Polonia</v>
      </c>
      <c r="N70" t="str">
        <f>_xlfn.XLOOKUP(frasest[[#This Row],[autor_es]],autorest[autor_es],autorest[epoca_es])</f>
        <v>Edad Contemporánea</v>
      </c>
      <c r="O70" t="str">
        <f>_xlfn.XLOOKUP(frasest[[#This Row],[autor_es]],autorest[autor_es],autorest[epoca_la])</f>
        <v>Aetas Contemporanea</v>
      </c>
    </row>
    <row r="71" spans="1:15">
      <c r="A71">
        <v>70</v>
      </c>
      <c r="B71" t="s">
        <v>218</v>
      </c>
      <c r="C71" t="s">
        <v>219</v>
      </c>
      <c r="D71" t="s">
        <v>220</v>
      </c>
      <c r="E71" t="s">
        <v>204</v>
      </c>
      <c r="F71" t="str">
        <f>_xlfn.XLOOKUP(frasest[[#This Row],[autor_es]],autorest[autor_es],autorest[autor_la])</f>
        <v>Ioannes Paulus II</v>
      </c>
      <c r="G71" t="str">
        <f>_xlfn.XLOOKUP(frasest[[#This Row],[autor_es]],autorest[autor_es],autorest[bio_es])</f>
        <v>Papa de la Iglesia Católica desde 1978 hasta 2005. Destacado por su labor pastoral, defensa de la vida y los derechos humanos.</v>
      </c>
      <c r="H71" t="str">
        <f>_xlfn.XLOOKUP(frasest[[#This Row],[autor_es]],autorest[autor_es],autorest[bio_la])</f>
        <v>Papa Ecclesiae Catholicae ab anno 1978 usque 2005. Labor pastoral, vitae tutela et iura humana praecipuus.</v>
      </c>
      <c r="I71" t="str">
        <f>_xlfn.XLOOKUP(frasest[[#This Row],[autor_es]],autorest[autor_es],autorest[codigo])</f>
        <v>la</v>
      </c>
      <c r="J71" t="str">
        <f>_xlfn.XLOOKUP(frasest[[#This Row],[autor_es]],autorest[autor_es],autorest[idioma_es])</f>
        <v>Latín</v>
      </c>
      <c r="K71" t="str">
        <f>_xlfn.XLOOKUP(frasest[[#This Row],[autor_es]],autorest[autor_es],autorest[idioma_la])</f>
        <v>Lingua Latina</v>
      </c>
      <c r="L71" t="str">
        <f>_xlfn.XLOOKUP(frasest[[#This Row],[autor_es]],autorest[autor_es],autorest[nacion_es])</f>
        <v>Polonia</v>
      </c>
      <c r="M71" t="str">
        <f>_xlfn.XLOOKUP(frasest[[#This Row],[autor_es]],autorest[autor_es],autorest[nacion_la])</f>
        <v>Polonia</v>
      </c>
      <c r="N71" t="str">
        <f>_xlfn.XLOOKUP(frasest[[#This Row],[autor_es]],autorest[autor_es],autorest[epoca_es])</f>
        <v>Edad Contemporánea</v>
      </c>
      <c r="O71" t="str">
        <f>_xlfn.XLOOKUP(frasest[[#This Row],[autor_es]],autorest[autor_es],autorest[epoca_la])</f>
        <v>Aetas Contemporanea</v>
      </c>
    </row>
    <row r="72" spans="1:15">
      <c r="A72">
        <v>71</v>
      </c>
      <c r="B72" t="s">
        <v>221</v>
      </c>
      <c r="C72" t="s">
        <v>222</v>
      </c>
      <c r="D72" t="s">
        <v>222</v>
      </c>
      <c r="E72" t="s">
        <v>204</v>
      </c>
      <c r="F72" t="str">
        <f>_xlfn.XLOOKUP(frasest[[#This Row],[autor_es]],autorest[autor_es],autorest[autor_la])</f>
        <v>Ioannes Paulus II</v>
      </c>
      <c r="G72" t="str">
        <f>_xlfn.XLOOKUP(frasest[[#This Row],[autor_es]],autorest[autor_es],autorest[bio_es])</f>
        <v>Papa de la Iglesia Católica desde 1978 hasta 2005. Destacado por su labor pastoral, defensa de la vida y los derechos humanos.</v>
      </c>
      <c r="H72" t="str">
        <f>_xlfn.XLOOKUP(frasest[[#This Row],[autor_es]],autorest[autor_es],autorest[bio_la])</f>
        <v>Papa Ecclesiae Catholicae ab anno 1978 usque 2005. Labor pastoral, vitae tutela et iura humana praecipuus.</v>
      </c>
      <c r="I72" t="str">
        <f>_xlfn.XLOOKUP(frasest[[#This Row],[autor_es]],autorest[autor_es],autorest[codigo])</f>
        <v>la</v>
      </c>
      <c r="J72" t="str">
        <f>_xlfn.XLOOKUP(frasest[[#This Row],[autor_es]],autorest[autor_es],autorest[idioma_es])</f>
        <v>Latín</v>
      </c>
      <c r="K72" t="str">
        <f>_xlfn.XLOOKUP(frasest[[#This Row],[autor_es]],autorest[autor_es],autorest[idioma_la])</f>
        <v>Lingua Latina</v>
      </c>
      <c r="L72" t="str">
        <f>_xlfn.XLOOKUP(frasest[[#This Row],[autor_es]],autorest[autor_es],autorest[nacion_es])</f>
        <v>Polonia</v>
      </c>
      <c r="M72" t="str">
        <f>_xlfn.XLOOKUP(frasest[[#This Row],[autor_es]],autorest[autor_es],autorest[nacion_la])</f>
        <v>Polonia</v>
      </c>
      <c r="N72" t="str">
        <f>_xlfn.XLOOKUP(frasest[[#This Row],[autor_es]],autorest[autor_es],autorest[epoca_es])</f>
        <v>Edad Contemporánea</v>
      </c>
      <c r="O72" t="str">
        <f>_xlfn.XLOOKUP(frasest[[#This Row],[autor_es]],autorest[autor_es],autorest[epoca_la])</f>
        <v>Aetas Contemporanea</v>
      </c>
    </row>
    <row r="73" spans="1:15">
      <c r="A73">
        <v>72</v>
      </c>
      <c r="B73" t="s">
        <v>223</v>
      </c>
      <c r="C73" t="s">
        <v>224</v>
      </c>
      <c r="D73" t="s">
        <v>224</v>
      </c>
      <c r="E73" t="s">
        <v>204</v>
      </c>
      <c r="F73" t="str">
        <f>_xlfn.XLOOKUP(frasest[[#This Row],[autor_es]],autorest[autor_es],autorest[autor_la])</f>
        <v>Ioannes Paulus II</v>
      </c>
      <c r="G73" t="str">
        <f>_xlfn.XLOOKUP(frasest[[#This Row],[autor_es]],autorest[autor_es],autorest[bio_es])</f>
        <v>Papa de la Iglesia Católica desde 1978 hasta 2005. Destacado por su labor pastoral, defensa de la vida y los derechos humanos.</v>
      </c>
      <c r="H73" t="str">
        <f>_xlfn.XLOOKUP(frasest[[#This Row],[autor_es]],autorest[autor_es],autorest[bio_la])</f>
        <v>Papa Ecclesiae Catholicae ab anno 1978 usque 2005. Labor pastoral, vitae tutela et iura humana praecipuus.</v>
      </c>
      <c r="I73" t="str">
        <f>_xlfn.XLOOKUP(frasest[[#This Row],[autor_es]],autorest[autor_es],autorest[codigo])</f>
        <v>la</v>
      </c>
      <c r="J73" t="str">
        <f>_xlfn.XLOOKUP(frasest[[#This Row],[autor_es]],autorest[autor_es],autorest[idioma_es])</f>
        <v>Latín</v>
      </c>
      <c r="K73" t="str">
        <f>_xlfn.XLOOKUP(frasest[[#This Row],[autor_es]],autorest[autor_es],autorest[idioma_la])</f>
        <v>Lingua Latina</v>
      </c>
      <c r="L73" t="str">
        <f>_xlfn.XLOOKUP(frasest[[#This Row],[autor_es]],autorest[autor_es],autorest[nacion_es])</f>
        <v>Polonia</v>
      </c>
      <c r="M73" t="str">
        <f>_xlfn.XLOOKUP(frasest[[#This Row],[autor_es]],autorest[autor_es],autorest[nacion_la])</f>
        <v>Polonia</v>
      </c>
      <c r="N73" t="str">
        <f>_xlfn.XLOOKUP(frasest[[#This Row],[autor_es]],autorest[autor_es],autorest[epoca_es])</f>
        <v>Edad Contemporánea</v>
      </c>
      <c r="O73" t="str">
        <f>_xlfn.XLOOKUP(frasest[[#This Row],[autor_es]],autorest[autor_es],autorest[epoca_la])</f>
        <v>Aetas Contemporanea</v>
      </c>
    </row>
    <row r="74" spans="1:15">
      <c r="A74">
        <v>73</v>
      </c>
      <c r="B74" t="s">
        <v>225</v>
      </c>
      <c r="C74" t="s">
        <v>226</v>
      </c>
      <c r="D74" t="s">
        <v>227</v>
      </c>
      <c r="E74" t="s">
        <v>228</v>
      </c>
      <c r="F74" t="str">
        <f>_xlfn.XLOOKUP(frasest[[#This Row],[autor_es]],autorest[autor_es],autorest[autor_la])</f>
        <v>Sanctus Ioannes Baptista de La Salle</v>
      </c>
      <c r="G74" t="str">
        <f>_xlfn.XLOOKUP(frasest[[#This Row],[autor_es]],autorest[autor_es],autorest[bio_es])</f>
        <v>Sacerdote francés y fundador de los Hermanos de las Escuelas Cristianas, dedicados a la educación cristiana de los jóvenes, especialmente pobres.</v>
      </c>
      <c r="H74" t="str">
        <f>_xlfn.XLOOKUP(frasest[[#This Row],[autor_es]],autorest[autor_es],autorest[bio_la])</f>
        <v>Sacerdos Francogallicus, fratres Scholarium Christianorum fundator. Iuvenes praecipue pauperes educavit.</v>
      </c>
      <c r="I74" t="str">
        <f>_xlfn.XLOOKUP(frasest[[#This Row],[autor_es]],autorest[autor_es],autorest[codigo])</f>
        <v>la</v>
      </c>
      <c r="J74" t="str">
        <f>_xlfn.XLOOKUP(frasest[[#This Row],[autor_es]],autorest[autor_es],autorest[idioma_es])</f>
        <v>Latín</v>
      </c>
      <c r="K74" t="str">
        <f>_xlfn.XLOOKUP(frasest[[#This Row],[autor_es]],autorest[autor_es],autorest[idioma_la])</f>
        <v>Lingua Latina</v>
      </c>
      <c r="L74" t="str">
        <f>_xlfn.XLOOKUP(frasest[[#This Row],[autor_es]],autorest[autor_es],autorest[nacion_es])</f>
        <v>Francia</v>
      </c>
      <c r="M74" t="str">
        <f>_xlfn.XLOOKUP(frasest[[#This Row],[autor_es]],autorest[autor_es],autorest[nacion_la])</f>
        <v>Francia</v>
      </c>
      <c r="N74" t="str">
        <f>_xlfn.XLOOKUP(frasest[[#This Row],[autor_es]],autorest[autor_es],autorest[epoca_es])</f>
        <v>Edad Moderna</v>
      </c>
      <c r="O74" t="str">
        <f>_xlfn.XLOOKUP(frasest[[#This Row],[autor_es]],autorest[autor_es],autorest[epoca_la])</f>
        <v>Nova Aetas</v>
      </c>
    </row>
    <row r="75" spans="1:15" ht="14.25">
      <c r="A75">
        <v>74</v>
      </c>
      <c r="B75" t="s">
        <v>229</v>
      </c>
      <c r="C75" t="s">
        <v>230</v>
      </c>
      <c r="D75" s="2" t="s">
        <v>231</v>
      </c>
      <c r="E75" t="s">
        <v>232</v>
      </c>
      <c r="F75" t="str">
        <f>_xlfn.XLOOKUP(frasest[[#This Row],[autor_es]],autorest[autor_es],autorest[autor_la])</f>
        <v>Proverbium Arabica</v>
      </c>
      <c r="G75" t="str">
        <f>_xlfn.XLOOKUP(frasest[[#This Row],[autor_es]],autorest[autor_es],autorest[bio_es])</f>
        <v>Proverbios tradicionales de la cultura árabe que transmiten valores de hospitalidad, honor, paciencia y sabiduría práctica.</v>
      </c>
      <c r="H75" t="str">
        <f>_xlfn.XLOOKUP(frasest[[#This Row],[autor_es]],autorest[autor_es],autorest[bio_la])</f>
        <v>Collectio sententiarum Arabicarum.</v>
      </c>
      <c r="I75" t="str">
        <f>_xlfn.XLOOKUP(frasest[[#This Row],[autor_es]],autorest[autor_es],autorest[codigo])</f>
        <v>ar</v>
      </c>
      <c r="J75" t="str">
        <f>_xlfn.XLOOKUP(frasest[[#This Row],[autor_es]],autorest[autor_es],autorest[idioma_es])</f>
        <v>Árabe</v>
      </c>
      <c r="K75" t="str">
        <f>_xlfn.XLOOKUP(frasest[[#This Row],[autor_es]],autorest[autor_es],autorest[idioma_la])</f>
        <v>Lingua Arabica</v>
      </c>
      <c r="L75" t="str">
        <f>_xlfn.XLOOKUP(frasest[[#This Row],[autor_es]],autorest[autor_es],autorest[nacion_es])</f>
        <v>Arabia Saudita</v>
      </c>
      <c r="M75" t="str">
        <f>_xlfn.XLOOKUP(frasest[[#This Row],[autor_es]],autorest[autor_es],autorest[nacion_la])</f>
        <v>Arabia Saudita</v>
      </c>
      <c r="N75" t="str">
        <f>_xlfn.XLOOKUP(frasest[[#This Row],[autor_es]],autorest[autor_es],autorest[epoca_es])</f>
        <v>Epoca Desconocida</v>
      </c>
      <c r="O75" t="str">
        <f>_xlfn.XLOOKUP(frasest[[#This Row],[autor_es]],autorest[autor_es],autorest[epoca_la])</f>
        <v>Epocha Ignota</v>
      </c>
    </row>
    <row r="76" spans="1:15" ht="14.25">
      <c r="A76">
        <v>75</v>
      </c>
      <c r="B76" t="s">
        <v>233</v>
      </c>
      <c r="C76" t="s">
        <v>234</v>
      </c>
      <c r="D76" s="2" t="s">
        <v>235</v>
      </c>
      <c r="E76" t="s">
        <v>232</v>
      </c>
      <c r="F76" t="str">
        <f>_xlfn.XLOOKUP(frasest[[#This Row],[autor_es]],autorest[autor_es],autorest[autor_la])</f>
        <v>Proverbium Arabica</v>
      </c>
      <c r="G76" t="str">
        <f>_xlfn.XLOOKUP(frasest[[#This Row],[autor_es]],autorest[autor_es],autorest[bio_es])</f>
        <v>Proverbios tradicionales de la cultura árabe que transmiten valores de hospitalidad, honor, paciencia y sabiduría práctica.</v>
      </c>
      <c r="H76" t="str">
        <f>_xlfn.XLOOKUP(frasest[[#This Row],[autor_es]],autorest[autor_es],autorest[bio_la])</f>
        <v>Collectio sententiarum Arabicarum.</v>
      </c>
      <c r="I76" t="str">
        <f>_xlfn.XLOOKUP(frasest[[#This Row],[autor_es]],autorest[autor_es],autorest[codigo])</f>
        <v>ar</v>
      </c>
      <c r="J76" t="str">
        <f>_xlfn.XLOOKUP(frasest[[#This Row],[autor_es]],autorest[autor_es],autorest[idioma_es])</f>
        <v>Árabe</v>
      </c>
      <c r="K76" t="str">
        <f>_xlfn.XLOOKUP(frasest[[#This Row],[autor_es]],autorest[autor_es],autorest[idioma_la])</f>
        <v>Lingua Arabica</v>
      </c>
      <c r="L76" t="str">
        <f>_xlfn.XLOOKUP(frasest[[#This Row],[autor_es]],autorest[autor_es],autorest[nacion_es])</f>
        <v>Arabia Saudita</v>
      </c>
      <c r="M76" t="str">
        <f>_xlfn.XLOOKUP(frasest[[#This Row],[autor_es]],autorest[autor_es],autorest[nacion_la])</f>
        <v>Arabia Saudita</v>
      </c>
      <c r="N76" t="str">
        <f>_xlfn.XLOOKUP(frasest[[#This Row],[autor_es]],autorest[autor_es],autorest[epoca_es])</f>
        <v>Epoca Desconocida</v>
      </c>
      <c r="O76" t="str">
        <f>_xlfn.XLOOKUP(frasest[[#This Row],[autor_es]],autorest[autor_es],autorest[epoca_la])</f>
        <v>Epocha Ignota</v>
      </c>
    </row>
    <row r="77" spans="1:15" ht="14.25">
      <c r="A77">
        <v>76</v>
      </c>
      <c r="B77" t="s">
        <v>236</v>
      </c>
      <c r="C77" t="s">
        <v>237</v>
      </c>
      <c r="D77" s="2" t="s">
        <v>238</v>
      </c>
      <c r="E77" t="s">
        <v>232</v>
      </c>
      <c r="F77" t="str">
        <f>_xlfn.XLOOKUP(frasest[[#This Row],[autor_es]],autorest[autor_es],autorest[autor_la])</f>
        <v>Proverbium Arabica</v>
      </c>
      <c r="G77" t="str">
        <f>_xlfn.XLOOKUP(frasest[[#This Row],[autor_es]],autorest[autor_es],autorest[bio_es])</f>
        <v>Proverbios tradicionales de la cultura árabe que transmiten valores de hospitalidad, honor, paciencia y sabiduría práctica.</v>
      </c>
      <c r="H77" t="str">
        <f>_xlfn.XLOOKUP(frasest[[#This Row],[autor_es]],autorest[autor_es],autorest[bio_la])</f>
        <v>Collectio sententiarum Arabicarum.</v>
      </c>
      <c r="I77" t="str">
        <f>_xlfn.XLOOKUP(frasest[[#This Row],[autor_es]],autorest[autor_es],autorest[codigo])</f>
        <v>ar</v>
      </c>
      <c r="J77" t="str">
        <f>_xlfn.XLOOKUP(frasest[[#This Row],[autor_es]],autorest[autor_es],autorest[idioma_es])</f>
        <v>Árabe</v>
      </c>
      <c r="K77" t="str">
        <f>_xlfn.XLOOKUP(frasest[[#This Row],[autor_es]],autorest[autor_es],autorest[idioma_la])</f>
        <v>Lingua Arabica</v>
      </c>
      <c r="L77" t="str">
        <f>_xlfn.XLOOKUP(frasest[[#This Row],[autor_es]],autorest[autor_es],autorest[nacion_es])</f>
        <v>Arabia Saudita</v>
      </c>
      <c r="M77" t="str">
        <f>_xlfn.XLOOKUP(frasest[[#This Row],[autor_es]],autorest[autor_es],autorest[nacion_la])</f>
        <v>Arabia Saudita</v>
      </c>
      <c r="N77" t="str">
        <f>_xlfn.XLOOKUP(frasest[[#This Row],[autor_es]],autorest[autor_es],autorest[epoca_es])</f>
        <v>Epoca Desconocida</v>
      </c>
      <c r="O77" t="str">
        <f>_xlfn.XLOOKUP(frasest[[#This Row],[autor_es]],autorest[autor_es],autorest[epoca_la])</f>
        <v>Epocha Ignota</v>
      </c>
    </row>
    <row r="78" spans="1:15" ht="14.25">
      <c r="A78">
        <v>77</v>
      </c>
      <c r="B78" t="s">
        <v>239</v>
      </c>
      <c r="C78" t="s">
        <v>240</v>
      </c>
      <c r="D78" s="2" t="s">
        <v>241</v>
      </c>
      <c r="E78" t="s">
        <v>232</v>
      </c>
      <c r="F78" t="str">
        <f>_xlfn.XLOOKUP(frasest[[#This Row],[autor_es]],autorest[autor_es],autorest[autor_la])</f>
        <v>Proverbium Arabica</v>
      </c>
      <c r="G78" t="str">
        <f>_xlfn.XLOOKUP(frasest[[#This Row],[autor_es]],autorest[autor_es],autorest[bio_es])</f>
        <v>Proverbios tradicionales de la cultura árabe que transmiten valores de hospitalidad, honor, paciencia y sabiduría práctica.</v>
      </c>
      <c r="H78" t="str">
        <f>_xlfn.XLOOKUP(frasest[[#This Row],[autor_es]],autorest[autor_es],autorest[bio_la])</f>
        <v>Collectio sententiarum Arabicarum.</v>
      </c>
      <c r="I78" t="str">
        <f>_xlfn.XLOOKUP(frasest[[#This Row],[autor_es]],autorest[autor_es],autorest[codigo])</f>
        <v>ar</v>
      </c>
      <c r="J78" t="str">
        <f>_xlfn.XLOOKUP(frasest[[#This Row],[autor_es]],autorest[autor_es],autorest[idioma_es])</f>
        <v>Árabe</v>
      </c>
      <c r="K78" t="str">
        <f>_xlfn.XLOOKUP(frasest[[#This Row],[autor_es]],autorest[autor_es],autorest[idioma_la])</f>
        <v>Lingua Arabica</v>
      </c>
      <c r="L78" t="str">
        <f>_xlfn.XLOOKUP(frasest[[#This Row],[autor_es]],autorest[autor_es],autorest[nacion_es])</f>
        <v>Arabia Saudita</v>
      </c>
      <c r="M78" t="str">
        <f>_xlfn.XLOOKUP(frasest[[#This Row],[autor_es]],autorest[autor_es],autorest[nacion_la])</f>
        <v>Arabia Saudita</v>
      </c>
      <c r="N78" t="str">
        <f>_xlfn.XLOOKUP(frasest[[#This Row],[autor_es]],autorest[autor_es],autorest[epoca_es])</f>
        <v>Epoca Desconocida</v>
      </c>
      <c r="O78" t="str">
        <f>_xlfn.XLOOKUP(frasest[[#This Row],[autor_es]],autorest[autor_es],autorest[epoca_la])</f>
        <v>Epocha Ignota</v>
      </c>
    </row>
    <row r="79" spans="1:15" ht="14.25">
      <c r="A79">
        <v>78</v>
      </c>
      <c r="B79" t="s">
        <v>242</v>
      </c>
      <c r="C79" t="s">
        <v>243</v>
      </c>
      <c r="D79" s="2" t="s">
        <v>244</v>
      </c>
      <c r="E79" t="s">
        <v>232</v>
      </c>
      <c r="F79" t="str">
        <f>_xlfn.XLOOKUP(frasest[[#This Row],[autor_es]],autorest[autor_es],autorest[autor_la])</f>
        <v>Proverbium Arabica</v>
      </c>
      <c r="G79" t="str">
        <f>_xlfn.XLOOKUP(frasest[[#This Row],[autor_es]],autorest[autor_es],autorest[bio_es])</f>
        <v>Proverbios tradicionales de la cultura árabe que transmiten valores de hospitalidad, honor, paciencia y sabiduría práctica.</v>
      </c>
      <c r="H79" t="str">
        <f>_xlfn.XLOOKUP(frasest[[#This Row],[autor_es]],autorest[autor_es],autorest[bio_la])</f>
        <v>Collectio sententiarum Arabicarum.</v>
      </c>
      <c r="I79" t="str">
        <f>_xlfn.XLOOKUP(frasest[[#This Row],[autor_es]],autorest[autor_es],autorest[codigo])</f>
        <v>ar</v>
      </c>
      <c r="J79" t="str">
        <f>_xlfn.XLOOKUP(frasest[[#This Row],[autor_es]],autorest[autor_es],autorest[idioma_es])</f>
        <v>Árabe</v>
      </c>
      <c r="K79" t="str">
        <f>_xlfn.XLOOKUP(frasest[[#This Row],[autor_es]],autorest[autor_es],autorest[idioma_la])</f>
        <v>Lingua Arabica</v>
      </c>
      <c r="L79" t="str">
        <f>_xlfn.XLOOKUP(frasest[[#This Row],[autor_es]],autorest[autor_es],autorest[nacion_es])</f>
        <v>Arabia Saudita</v>
      </c>
      <c r="M79" t="str">
        <f>_xlfn.XLOOKUP(frasest[[#This Row],[autor_es]],autorest[autor_es],autorest[nacion_la])</f>
        <v>Arabia Saudita</v>
      </c>
      <c r="N79" t="str">
        <f>_xlfn.XLOOKUP(frasest[[#This Row],[autor_es]],autorest[autor_es],autorest[epoca_es])</f>
        <v>Epoca Desconocida</v>
      </c>
      <c r="O79" t="str">
        <f>_xlfn.XLOOKUP(frasest[[#This Row],[autor_es]],autorest[autor_es],autorest[epoca_la])</f>
        <v>Epocha Ignota</v>
      </c>
    </row>
    <row r="80" spans="1:15" ht="14.25">
      <c r="A80">
        <v>79</v>
      </c>
      <c r="B80" t="s">
        <v>245</v>
      </c>
      <c r="C80" t="s">
        <v>246</v>
      </c>
      <c r="D80" s="2" t="s">
        <v>247</v>
      </c>
      <c r="E80" t="s">
        <v>232</v>
      </c>
      <c r="F80" t="str">
        <f>_xlfn.XLOOKUP(frasest[[#This Row],[autor_es]],autorest[autor_es],autorest[autor_la])</f>
        <v>Proverbium Arabica</v>
      </c>
      <c r="G80" t="str">
        <f>_xlfn.XLOOKUP(frasest[[#This Row],[autor_es]],autorest[autor_es],autorest[bio_es])</f>
        <v>Proverbios tradicionales de la cultura árabe que transmiten valores de hospitalidad, honor, paciencia y sabiduría práctica.</v>
      </c>
      <c r="H80" t="str">
        <f>_xlfn.XLOOKUP(frasest[[#This Row],[autor_es]],autorest[autor_es],autorest[bio_la])</f>
        <v>Collectio sententiarum Arabicarum.</v>
      </c>
      <c r="I80" t="str">
        <f>_xlfn.XLOOKUP(frasest[[#This Row],[autor_es]],autorest[autor_es],autorest[codigo])</f>
        <v>ar</v>
      </c>
      <c r="J80" t="str">
        <f>_xlfn.XLOOKUP(frasest[[#This Row],[autor_es]],autorest[autor_es],autorest[idioma_es])</f>
        <v>Árabe</v>
      </c>
      <c r="K80" t="str">
        <f>_xlfn.XLOOKUP(frasest[[#This Row],[autor_es]],autorest[autor_es],autorest[idioma_la])</f>
        <v>Lingua Arabica</v>
      </c>
      <c r="L80" t="str">
        <f>_xlfn.XLOOKUP(frasest[[#This Row],[autor_es]],autorest[autor_es],autorest[nacion_es])</f>
        <v>Arabia Saudita</v>
      </c>
      <c r="M80" t="str">
        <f>_xlfn.XLOOKUP(frasest[[#This Row],[autor_es]],autorest[autor_es],autorest[nacion_la])</f>
        <v>Arabia Saudita</v>
      </c>
      <c r="N80" t="str">
        <f>_xlfn.XLOOKUP(frasest[[#This Row],[autor_es]],autorest[autor_es],autorest[epoca_es])</f>
        <v>Epoca Desconocida</v>
      </c>
      <c r="O80" t="str">
        <f>_xlfn.XLOOKUP(frasest[[#This Row],[autor_es]],autorest[autor_es],autorest[epoca_la])</f>
        <v>Epocha Ignota</v>
      </c>
    </row>
    <row r="81" spans="1:15" ht="14.25">
      <c r="A81">
        <v>80</v>
      </c>
      <c r="B81" t="s">
        <v>248</v>
      </c>
      <c r="C81" t="s">
        <v>249</v>
      </c>
      <c r="D81" s="2" t="s">
        <v>250</v>
      </c>
      <c r="E81" t="s">
        <v>232</v>
      </c>
      <c r="F81" t="str">
        <f>_xlfn.XLOOKUP(frasest[[#This Row],[autor_es]],autorest[autor_es],autorest[autor_la])</f>
        <v>Proverbium Arabica</v>
      </c>
      <c r="G81" t="str">
        <f>_xlfn.XLOOKUP(frasest[[#This Row],[autor_es]],autorest[autor_es],autorest[bio_es])</f>
        <v>Proverbios tradicionales de la cultura árabe que transmiten valores de hospitalidad, honor, paciencia y sabiduría práctica.</v>
      </c>
      <c r="H81" t="str">
        <f>_xlfn.XLOOKUP(frasest[[#This Row],[autor_es]],autorest[autor_es],autorest[bio_la])</f>
        <v>Collectio sententiarum Arabicarum.</v>
      </c>
      <c r="I81" t="str">
        <f>_xlfn.XLOOKUP(frasest[[#This Row],[autor_es]],autorest[autor_es],autorest[codigo])</f>
        <v>ar</v>
      </c>
      <c r="J81" t="str">
        <f>_xlfn.XLOOKUP(frasest[[#This Row],[autor_es]],autorest[autor_es],autorest[idioma_es])</f>
        <v>Árabe</v>
      </c>
      <c r="K81" t="str">
        <f>_xlfn.XLOOKUP(frasest[[#This Row],[autor_es]],autorest[autor_es],autorest[idioma_la])</f>
        <v>Lingua Arabica</v>
      </c>
      <c r="L81" t="str">
        <f>_xlfn.XLOOKUP(frasest[[#This Row],[autor_es]],autorest[autor_es],autorest[nacion_es])</f>
        <v>Arabia Saudita</v>
      </c>
      <c r="M81" t="str">
        <f>_xlfn.XLOOKUP(frasest[[#This Row],[autor_es]],autorest[autor_es],autorest[nacion_la])</f>
        <v>Arabia Saudita</v>
      </c>
      <c r="N81" t="str">
        <f>_xlfn.XLOOKUP(frasest[[#This Row],[autor_es]],autorest[autor_es],autorest[epoca_es])</f>
        <v>Epoca Desconocida</v>
      </c>
      <c r="O81" t="str">
        <f>_xlfn.XLOOKUP(frasest[[#This Row],[autor_es]],autorest[autor_es],autorest[epoca_la])</f>
        <v>Epocha Ignota</v>
      </c>
    </row>
    <row r="82" spans="1:15" ht="14.25">
      <c r="A82">
        <v>81</v>
      </c>
      <c r="B82" t="s">
        <v>251</v>
      </c>
      <c r="C82" t="s">
        <v>252</v>
      </c>
      <c r="D82" s="2" t="s">
        <v>253</v>
      </c>
      <c r="E82" t="s">
        <v>232</v>
      </c>
      <c r="F82" t="str">
        <f>_xlfn.XLOOKUP(frasest[[#This Row],[autor_es]],autorest[autor_es],autorest[autor_la])</f>
        <v>Proverbium Arabica</v>
      </c>
      <c r="G82" t="str">
        <f>_xlfn.XLOOKUP(frasest[[#This Row],[autor_es]],autorest[autor_es],autorest[bio_es])</f>
        <v>Proverbios tradicionales de la cultura árabe que transmiten valores de hospitalidad, honor, paciencia y sabiduría práctica.</v>
      </c>
      <c r="H82" t="str">
        <f>_xlfn.XLOOKUP(frasest[[#This Row],[autor_es]],autorest[autor_es],autorest[bio_la])</f>
        <v>Collectio sententiarum Arabicarum.</v>
      </c>
      <c r="I82" t="str">
        <f>_xlfn.XLOOKUP(frasest[[#This Row],[autor_es]],autorest[autor_es],autorest[codigo])</f>
        <v>ar</v>
      </c>
      <c r="J82" t="str">
        <f>_xlfn.XLOOKUP(frasest[[#This Row],[autor_es]],autorest[autor_es],autorest[idioma_es])</f>
        <v>Árabe</v>
      </c>
      <c r="K82" t="str">
        <f>_xlfn.XLOOKUP(frasest[[#This Row],[autor_es]],autorest[autor_es],autorest[idioma_la])</f>
        <v>Lingua Arabica</v>
      </c>
      <c r="L82" t="str">
        <f>_xlfn.XLOOKUP(frasest[[#This Row],[autor_es]],autorest[autor_es],autorest[nacion_es])</f>
        <v>Arabia Saudita</v>
      </c>
      <c r="M82" t="str">
        <f>_xlfn.XLOOKUP(frasest[[#This Row],[autor_es]],autorest[autor_es],autorest[nacion_la])</f>
        <v>Arabia Saudita</v>
      </c>
      <c r="N82" t="str">
        <f>_xlfn.XLOOKUP(frasest[[#This Row],[autor_es]],autorest[autor_es],autorest[epoca_es])</f>
        <v>Epoca Desconocida</v>
      </c>
      <c r="O82" t="str">
        <f>_xlfn.XLOOKUP(frasest[[#This Row],[autor_es]],autorest[autor_es],autorest[epoca_la])</f>
        <v>Epocha Ignota</v>
      </c>
    </row>
    <row r="83" spans="1:15" ht="14.25">
      <c r="A83">
        <v>82</v>
      </c>
      <c r="B83" t="s">
        <v>254</v>
      </c>
      <c r="C83" t="s">
        <v>255</v>
      </c>
      <c r="D83" s="2" t="s">
        <v>256</v>
      </c>
      <c r="E83" t="s">
        <v>232</v>
      </c>
      <c r="F83" t="str">
        <f>_xlfn.XLOOKUP(frasest[[#This Row],[autor_es]],autorest[autor_es],autorest[autor_la])</f>
        <v>Proverbium Arabica</v>
      </c>
      <c r="G83" t="str">
        <f>_xlfn.XLOOKUP(frasest[[#This Row],[autor_es]],autorest[autor_es],autorest[bio_es])</f>
        <v>Proverbios tradicionales de la cultura árabe que transmiten valores de hospitalidad, honor, paciencia y sabiduría práctica.</v>
      </c>
      <c r="H83" t="str">
        <f>_xlfn.XLOOKUP(frasest[[#This Row],[autor_es]],autorest[autor_es],autorest[bio_la])</f>
        <v>Collectio sententiarum Arabicarum.</v>
      </c>
      <c r="I83" t="str">
        <f>_xlfn.XLOOKUP(frasest[[#This Row],[autor_es]],autorest[autor_es],autorest[codigo])</f>
        <v>ar</v>
      </c>
      <c r="J83" t="str">
        <f>_xlfn.XLOOKUP(frasest[[#This Row],[autor_es]],autorest[autor_es],autorest[idioma_es])</f>
        <v>Árabe</v>
      </c>
      <c r="K83" t="str">
        <f>_xlfn.XLOOKUP(frasest[[#This Row],[autor_es]],autorest[autor_es],autorest[idioma_la])</f>
        <v>Lingua Arabica</v>
      </c>
      <c r="L83" t="str">
        <f>_xlfn.XLOOKUP(frasest[[#This Row],[autor_es]],autorest[autor_es],autorest[nacion_es])</f>
        <v>Arabia Saudita</v>
      </c>
      <c r="M83" t="str">
        <f>_xlfn.XLOOKUP(frasest[[#This Row],[autor_es]],autorest[autor_es],autorest[nacion_la])</f>
        <v>Arabia Saudita</v>
      </c>
      <c r="N83" t="str">
        <f>_xlfn.XLOOKUP(frasest[[#This Row],[autor_es]],autorest[autor_es],autorest[epoca_es])</f>
        <v>Epoca Desconocida</v>
      </c>
      <c r="O83" t="str">
        <f>_xlfn.XLOOKUP(frasest[[#This Row],[autor_es]],autorest[autor_es],autorest[epoca_la])</f>
        <v>Epocha Ignota</v>
      </c>
    </row>
    <row r="84" spans="1:15" ht="14.25">
      <c r="A84">
        <v>83</v>
      </c>
      <c r="B84" t="s">
        <v>257</v>
      </c>
      <c r="C84" t="s">
        <v>258</v>
      </c>
      <c r="D84" s="2" t="s">
        <v>259</v>
      </c>
      <c r="E84" t="s">
        <v>232</v>
      </c>
      <c r="F84" t="str">
        <f>_xlfn.XLOOKUP(frasest[[#This Row],[autor_es]],autorest[autor_es],autorest[autor_la])</f>
        <v>Proverbium Arabica</v>
      </c>
      <c r="G84" t="str">
        <f>_xlfn.XLOOKUP(frasest[[#This Row],[autor_es]],autorest[autor_es],autorest[bio_es])</f>
        <v>Proverbios tradicionales de la cultura árabe que transmiten valores de hospitalidad, honor, paciencia y sabiduría práctica.</v>
      </c>
      <c r="H84" t="str">
        <f>_xlfn.XLOOKUP(frasest[[#This Row],[autor_es]],autorest[autor_es],autorest[bio_la])</f>
        <v>Collectio sententiarum Arabicarum.</v>
      </c>
      <c r="I84" t="str">
        <f>_xlfn.XLOOKUP(frasest[[#This Row],[autor_es]],autorest[autor_es],autorest[codigo])</f>
        <v>ar</v>
      </c>
      <c r="J84" t="str">
        <f>_xlfn.XLOOKUP(frasest[[#This Row],[autor_es]],autorest[autor_es],autorest[idioma_es])</f>
        <v>Árabe</v>
      </c>
      <c r="K84" t="str">
        <f>_xlfn.XLOOKUP(frasest[[#This Row],[autor_es]],autorest[autor_es],autorest[idioma_la])</f>
        <v>Lingua Arabica</v>
      </c>
      <c r="L84" t="str">
        <f>_xlfn.XLOOKUP(frasest[[#This Row],[autor_es]],autorest[autor_es],autorest[nacion_es])</f>
        <v>Arabia Saudita</v>
      </c>
      <c r="M84" t="str">
        <f>_xlfn.XLOOKUP(frasest[[#This Row],[autor_es]],autorest[autor_es],autorest[nacion_la])</f>
        <v>Arabia Saudita</v>
      </c>
      <c r="N84" t="str">
        <f>_xlfn.XLOOKUP(frasest[[#This Row],[autor_es]],autorest[autor_es],autorest[epoca_es])</f>
        <v>Epoca Desconocida</v>
      </c>
      <c r="O84" t="str">
        <f>_xlfn.XLOOKUP(frasest[[#This Row],[autor_es]],autorest[autor_es],autorest[epoca_la])</f>
        <v>Epocha Ignota</v>
      </c>
    </row>
    <row r="85" spans="1:15" ht="14.25">
      <c r="A85">
        <v>84</v>
      </c>
      <c r="B85" t="s">
        <v>260</v>
      </c>
      <c r="C85" t="s">
        <v>261</v>
      </c>
      <c r="D85" s="2" t="s">
        <v>262</v>
      </c>
      <c r="E85" t="s">
        <v>263</v>
      </c>
      <c r="F85" t="str">
        <f>_xlfn.XLOOKUP(frasest[[#This Row],[autor_es]],autorest[autor_es],autorest[autor_la])</f>
        <v>Proverbium Indica</v>
      </c>
      <c r="G85" t="str">
        <f>_xlfn.XLOOKUP(frasest[[#This Row],[autor_es]],autorest[autor_es],autorest[bio_es])</f>
        <v>Dichos tradicionales de la India que reflejan principios espirituales, filosóficos y morales influidos por el hinduismo y las tradiciones védicas.</v>
      </c>
      <c r="H85" t="str">
        <f>_xlfn.XLOOKUP(frasest[[#This Row],[autor_es]],autorest[autor_es],autorest[bio_la])</f>
        <v>Collectio sententiarum Indicarum.</v>
      </c>
      <c r="I85" t="str">
        <f>_xlfn.XLOOKUP(frasest[[#This Row],[autor_es]],autorest[autor_es],autorest[codigo])</f>
        <v>hi</v>
      </c>
      <c r="J85" t="str">
        <f>_xlfn.XLOOKUP(frasest[[#This Row],[autor_es]],autorest[autor_es],autorest[idioma_es])</f>
        <v>Hindi</v>
      </c>
      <c r="K85" t="str">
        <f>_xlfn.XLOOKUP(frasest[[#This Row],[autor_es]],autorest[autor_es],autorest[idioma_la])</f>
        <v>Lingua Indica</v>
      </c>
      <c r="L85" t="str">
        <f>_xlfn.XLOOKUP(frasest[[#This Row],[autor_es]],autorest[autor_es],autorest[nacion_es])</f>
        <v>India</v>
      </c>
      <c r="M85" t="str">
        <f>_xlfn.XLOOKUP(frasest[[#This Row],[autor_es]],autorest[autor_es],autorest[nacion_la])</f>
        <v>India</v>
      </c>
      <c r="N85" t="str">
        <f>_xlfn.XLOOKUP(frasest[[#This Row],[autor_es]],autorest[autor_es],autorest[epoca_es])</f>
        <v>Epoca Desconocida</v>
      </c>
      <c r="O85" t="str">
        <f>_xlfn.XLOOKUP(frasest[[#This Row],[autor_es]],autorest[autor_es],autorest[epoca_la])</f>
        <v>Epocha Ignota</v>
      </c>
    </row>
    <row r="86" spans="1:15" ht="14.25">
      <c r="A86">
        <v>85</v>
      </c>
      <c r="B86" t="s">
        <v>264</v>
      </c>
      <c r="C86" t="s">
        <v>265</v>
      </c>
      <c r="D86" s="2" t="s">
        <v>266</v>
      </c>
      <c r="E86" t="s">
        <v>263</v>
      </c>
      <c r="F86" t="str">
        <f>_xlfn.XLOOKUP(frasest[[#This Row],[autor_es]],autorest[autor_es],autorest[autor_la])</f>
        <v>Proverbium Indica</v>
      </c>
      <c r="G86" t="str">
        <f>_xlfn.XLOOKUP(frasest[[#This Row],[autor_es]],autorest[autor_es],autorest[bio_es])</f>
        <v>Dichos tradicionales de la India que reflejan principios espirituales, filosóficos y morales influidos por el hinduismo y las tradiciones védicas.</v>
      </c>
      <c r="H86" t="str">
        <f>_xlfn.XLOOKUP(frasest[[#This Row],[autor_es]],autorest[autor_es],autorest[bio_la])</f>
        <v>Collectio sententiarum Indicarum.</v>
      </c>
      <c r="I86" t="str">
        <f>_xlfn.XLOOKUP(frasest[[#This Row],[autor_es]],autorest[autor_es],autorest[codigo])</f>
        <v>hi</v>
      </c>
      <c r="J86" t="str">
        <f>_xlfn.XLOOKUP(frasest[[#This Row],[autor_es]],autorest[autor_es],autorest[idioma_es])</f>
        <v>Hindi</v>
      </c>
      <c r="K86" t="str">
        <f>_xlfn.XLOOKUP(frasest[[#This Row],[autor_es]],autorest[autor_es],autorest[idioma_la])</f>
        <v>Lingua Indica</v>
      </c>
      <c r="L86" t="str">
        <f>_xlfn.XLOOKUP(frasest[[#This Row],[autor_es]],autorest[autor_es],autorest[nacion_es])</f>
        <v>India</v>
      </c>
      <c r="M86" t="str">
        <f>_xlfn.XLOOKUP(frasest[[#This Row],[autor_es]],autorest[autor_es],autorest[nacion_la])</f>
        <v>India</v>
      </c>
      <c r="N86" t="str">
        <f>_xlfn.XLOOKUP(frasest[[#This Row],[autor_es]],autorest[autor_es],autorest[epoca_es])</f>
        <v>Epoca Desconocida</v>
      </c>
      <c r="O86" t="str">
        <f>_xlfn.XLOOKUP(frasest[[#This Row],[autor_es]],autorest[autor_es],autorest[epoca_la])</f>
        <v>Epocha Ignota</v>
      </c>
    </row>
    <row r="87" spans="1:15" ht="14.25">
      <c r="A87">
        <v>86</v>
      </c>
      <c r="B87" t="s">
        <v>267</v>
      </c>
      <c r="C87" t="s">
        <v>268</v>
      </c>
      <c r="D87" s="2" t="s">
        <v>269</v>
      </c>
      <c r="E87" t="s">
        <v>263</v>
      </c>
      <c r="F87" t="str">
        <f>_xlfn.XLOOKUP(frasest[[#This Row],[autor_es]],autorest[autor_es],autorest[autor_la])</f>
        <v>Proverbium Indica</v>
      </c>
      <c r="G87" t="str">
        <f>_xlfn.XLOOKUP(frasest[[#This Row],[autor_es]],autorest[autor_es],autorest[bio_es])</f>
        <v>Dichos tradicionales de la India que reflejan principios espirituales, filosóficos y morales influidos por el hinduismo y las tradiciones védicas.</v>
      </c>
      <c r="H87" t="str">
        <f>_xlfn.XLOOKUP(frasest[[#This Row],[autor_es]],autorest[autor_es],autorest[bio_la])</f>
        <v>Collectio sententiarum Indicarum.</v>
      </c>
      <c r="I87" t="str">
        <f>_xlfn.XLOOKUP(frasest[[#This Row],[autor_es]],autorest[autor_es],autorest[codigo])</f>
        <v>hi</v>
      </c>
      <c r="J87" t="str">
        <f>_xlfn.XLOOKUP(frasest[[#This Row],[autor_es]],autorest[autor_es],autorest[idioma_es])</f>
        <v>Hindi</v>
      </c>
      <c r="K87" t="str">
        <f>_xlfn.XLOOKUP(frasest[[#This Row],[autor_es]],autorest[autor_es],autorest[idioma_la])</f>
        <v>Lingua Indica</v>
      </c>
      <c r="L87" t="str">
        <f>_xlfn.XLOOKUP(frasest[[#This Row],[autor_es]],autorest[autor_es],autorest[nacion_es])</f>
        <v>India</v>
      </c>
      <c r="M87" t="str">
        <f>_xlfn.XLOOKUP(frasest[[#This Row],[autor_es]],autorest[autor_es],autorest[nacion_la])</f>
        <v>India</v>
      </c>
      <c r="N87" t="str">
        <f>_xlfn.XLOOKUP(frasest[[#This Row],[autor_es]],autorest[autor_es],autorest[epoca_es])</f>
        <v>Epoca Desconocida</v>
      </c>
      <c r="O87" t="str">
        <f>_xlfn.XLOOKUP(frasest[[#This Row],[autor_es]],autorest[autor_es],autorest[epoca_la])</f>
        <v>Epocha Ignota</v>
      </c>
    </row>
    <row r="88" spans="1:15" ht="14.25">
      <c r="A88">
        <v>87</v>
      </c>
      <c r="B88" t="s">
        <v>270</v>
      </c>
      <c r="C88" t="s">
        <v>271</v>
      </c>
      <c r="D88" s="2" t="s">
        <v>272</v>
      </c>
      <c r="E88" t="s">
        <v>263</v>
      </c>
      <c r="F88" t="str">
        <f>_xlfn.XLOOKUP(frasest[[#This Row],[autor_es]],autorest[autor_es],autorest[autor_la])</f>
        <v>Proverbium Indica</v>
      </c>
      <c r="G88" t="str">
        <f>_xlfn.XLOOKUP(frasest[[#This Row],[autor_es]],autorest[autor_es],autorest[bio_es])</f>
        <v>Dichos tradicionales de la India que reflejan principios espirituales, filosóficos y morales influidos por el hinduismo y las tradiciones védicas.</v>
      </c>
      <c r="H88" t="str">
        <f>_xlfn.XLOOKUP(frasest[[#This Row],[autor_es]],autorest[autor_es],autorest[bio_la])</f>
        <v>Collectio sententiarum Indicarum.</v>
      </c>
      <c r="I88" t="str">
        <f>_xlfn.XLOOKUP(frasest[[#This Row],[autor_es]],autorest[autor_es],autorest[codigo])</f>
        <v>hi</v>
      </c>
      <c r="J88" t="str">
        <f>_xlfn.XLOOKUP(frasest[[#This Row],[autor_es]],autorest[autor_es],autorest[idioma_es])</f>
        <v>Hindi</v>
      </c>
      <c r="K88" t="str">
        <f>_xlfn.XLOOKUP(frasest[[#This Row],[autor_es]],autorest[autor_es],autorest[idioma_la])</f>
        <v>Lingua Indica</v>
      </c>
      <c r="L88" t="str">
        <f>_xlfn.XLOOKUP(frasest[[#This Row],[autor_es]],autorest[autor_es],autorest[nacion_es])</f>
        <v>India</v>
      </c>
      <c r="M88" t="str">
        <f>_xlfn.XLOOKUP(frasest[[#This Row],[autor_es]],autorest[autor_es],autorest[nacion_la])</f>
        <v>India</v>
      </c>
      <c r="N88" t="str">
        <f>_xlfn.XLOOKUP(frasest[[#This Row],[autor_es]],autorest[autor_es],autorest[epoca_es])</f>
        <v>Epoca Desconocida</v>
      </c>
      <c r="O88" t="str">
        <f>_xlfn.XLOOKUP(frasest[[#This Row],[autor_es]],autorest[autor_es],autorest[epoca_la])</f>
        <v>Epocha Ignota</v>
      </c>
    </row>
    <row r="89" spans="1:15" ht="14.25">
      <c r="A89">
        <v>88</v>
      </c>
      <c r="B89" t="s">
        <v>273</v>
      </c>
      <c r="C89" t="s">
        <v>274</v>
      </c>
      <c r="D89" s="2" t="s">
        <v>275</v>
      </c>
      <c r="E89" t="s">
        <v>263</v>
      </c>
      <c r="F89" t="str">
        <f>_xlfn.XLOOKUP(frasest[[#This Row],[autor_es]],autorest[autor_es],autorest[autor_la])</f>
        <v>Proverbium Indica</v>
      </c>
      <c r="G89" t="str">
        <f>_xlfn.XLOOKUP(frasest[[#This Row],[autor_es]],autorest[autor_es],autorest[bio_es])</f>
        <v>Dichos tradicionales de la India que reflejan principios espirituales, filosóficos y morales influidos por el hinduismo y las tradiciones védicas.</v>
      </c>
      <c r="H89" t="str">
        <f>_xlfn.XLOOKUP(frasest[[#This Row],[autor_es]],autorest[autor_es],autorest[bio_la])</f>
        <v>Collectio sententiarum Indicarum.</v>
      </c>
      <c r="I89" t="str">
        <f>_xlfn.XLOOKUP(frasest[[#This Row],[autor_es]],autorest[autor_es],autorest[codigo])</f>
        <v>hi</v>
      </c>
      <c r="J89" t="str">
        <f>_xlfn.XLOOKUP(frasest[[#This Row],[autor_es]],autorest[autor_es],autorest[idioma_es])</f>
        <v>Hindi</v>
      </c>
      <c r="K89" t="str">
        <f>_xlfn.XLOOKUP(frasest[[#This Row],[autor_es]],autorest[autor_es],autorest[idioma_la])</f>
        <v>Lingua Indica</v>
      </c>
      <c r="L89" t="str">
        <f>_xlfn.XLOOKUP(frasest[[#This Row],[autor_es]],autorest[autor_es],autorest[nacion_es])</f>
        <v>India</v>
      </c>
      <c r="M89" t="str">
        <f>_xlfn.XLOOKUP(frasest[[#This Row],[autor_es]],autorest[autor_es],autorest[nacion_la])</f>
        <v>India</v>
      </c>
      <c r="N89" t="str">
        <f>_xlfn.XLOOKUP(frasest[[#This Row],[autor_es]],autorest[autor_es],autorest[epoca_es])</f>
        <v>Epoca Desconocida</v>
      </c>
      <c r="O89" t="str">
        <f>_xlfn.XLOOKUP(frasest[[#This Row],[autor_es]],autorest[autor_es],autorest[epoca_la])</f>
        <v>Epocha Ignota</v>
      </c>
    </row>
    <row r="90" spans="1:15" ht="14.25">
      <c r="A90">
        <v>89</v>
      </c>
      <c r="B90" t="s">
        <v>276</v>
      </c>
      <c r="C90" t="s">
        <v>277</v>
      </c>
      <c r="D90" s="2" t="s">
        <v>278</v>
      </c>
      <c r="E90" t="s">
        <v>263</v>
      </c>
      <c r="F90" t="str">
        <f>_xlfn.XLOOKUP(frasest[[#This Row],[autor_es]],autorest[autor_es],autorest[autor_la])</f>
        <v>Proverbium Indica</v>
      </c>
      <c r="G90" t="str">
        <f>_xlfn.XLOOKUP(frasest[[#This Row],[autor_es]],autorest[autor_es],autorest[bio_es])</f>
        <v>Dichos tradicionales de la India que reflejan principios espirituales, filosóficos y morales influidos por el hinduismo y las tradiciones védicas.</v>
      </c>
      <c r="H90" t="str">
        <f>_xlfn.XLOOKUP(frasest[[#This Row],[autor_es]],autorest[autor_es],autorest[bio_la])</f>
        <v>Collectio sententiarum Indicarum.</v>
      </c>
      <c r="I90" t="str">
        <f>_xlfn.XLOOKUP(frasest[[#This Row],[autor_es]],autorest[autor_es],autorest[codigo])</f>
        <v>hi</v>
      </c>
      <c r="J90" t="str">
        <f>_xlfn.XLOOKUP(frasest[[#This Row],[autor_es]],autorest[autor_es],autorest[idioma_es])</f>
        <v>Hindi</v>
      </c>
      <c r="K90" t="str">
        <f>_xlfn.XLOOKUP(frasest[[#This Row],[autor_es]],autorest[autor_es],autorest[idioma_la])</f>
        <v>Lingua Indica</v>
      </c>
      <c r="L90" t="str">
        <f>_xlfn.XLOOKUP(frasest[[#This Row],[autor_es]],autorest[autor_es],autorest[nacion_es])</f>
        <v>India</v>
      </c>
      <c r="M90" t="str">
        <f>_xlfn.XLOOKUP(frasest[[#This Row],[autor_es]],autorest[autor_es],autorest[nacion_la])</f>
        <v>India</v>
      </c>
      <c r="N90" t="str">
        <f>_xlfn.XLOOKUP(frasest[[#This Row],[autor_es]],autorest[autor_es],autorest[epoca_es])</f>
        <v>Epoca Desconocida</v>
      </c>
      <c r="O90" t="str">
        <f>_xlfn.XLOOKUP(frasest[[#This Row],[autor_es]],autorest[autor_es],autorest[epoca_la])</f>
        <v>Epocha Ignota</v>
      </c>
    </row>
    <row r="91" spans="1:15" ht="14.25">
      <c r="A91">
        <v>90</v>
      </c>
      <c r="B91" t="s">
        <v>279</v>
      </c>
      <c r="C91" t="s">
        <v>280</v>
      </c>
      <c r="D91" s="2" t="s">
        <v>281</v>
      </c>
      <c r="E91" t="s">
        <v>263</v>
      </c>
      <c r="F91" t="str">
        <f>_xlfn.XLOOKUP(frasest[[#This Row],[autor_es]],autorest[autor_es],autorest[autor_la])</f>
        <v>Proverbium Indica</v>
      </c>
      <c r="G91" t="str">
        <f>_xlfn.XLOOKUP(frasest[[#This Row],[autor_es]],autorest[autor_es],autorest[bio_es])</f>
        <v>Dichos tradicionales de la India que reflejan principios espirituales, filosóficos y morales influidos por el hinduismo y las tradiciones védicas.</v>
      </c>
      <c r="H91" t="str">
        <f>_xlfn.XLOOKUP(frasest[[#This Row],[autor_es]],autorest[autor_es],autorest[bio_la])</f>
        <v>Collectio sententiarum Indicarum.</v>
      </c>
      <c r="I91" t="str">
        <f>_xlfn.XLOOKUP(frasest[[#This Row],[autor_es]],autorest[autor_es],autorest[codigo])</f>
        <v>hi</v>
      </c>
      <c r="J91" t="str">
        <f>_xlfn.XLOOKUP(frasest[[#This Row],[autor_es]],autorest[autor_es],autorest[idioma_es])</f>
        <v>Hindi</v>
      </c>
      <c r="K91" t="str">
        <f>_xlfn.XLOOKUP(frasest[[#This Row],[autor_es]],autorest[autor_es],autorest[idioma_la])</f>
        <v>Lingua Indica</v>
      </c>
      <c r="L91" t="str">
        <f>_xlfn.XLOOKUP(frasest[[#This Row],[autor_es]],autorest[autor_es],autorest[nacion_es])</f>
        <v>India</v>
      </c>
      <c r="M91" t="str">
        <f>_xlfn.XLOOKUP(frasest[[#This Row],[autor_es]],autorest[autor_es],autorest[nacion_la])</f>
        <v>India</v>
      </c>
      <c r="N91" t="str">
        <f>_xlfn.XLOOKUP(frasest[[#This Row],[autor_es]],autorest[autor_es],autorest[epoca_es])</f>
        <v>Epoca Desconocida</v>
      </c>
      <c r="O91" t="str">
        <f>_xlfn.XLOOKUP(frasest[[#This Row],[autor_es]],autorest[autor_es],autorest[epoca_la])</f>
        <v>Epocha Ignota</v>
      </c>
    </row>
    <row r="92" spans="1:15" ht="14.25">
      <c r="A92">
        <v>91</v>
      </c>
      <c r="B92" t="s">
        <v>282</v>
      </c>
      <c r="C92" t="s">
        <v>283</v>
      </c>
      <c r="D92" s="2" t="s">
        <v>284</v>
      </c>
      <c r="E92" t="s">
        <v>263</v>
      </c>
      <c r="F92" t="str">
        <f>_xlfn.XLOOKUP(frasest[[#This Row],[autor_es]],autorest[autor_es],autorest[autor_la])</f>
        <v>Proverbium Indica</v>
      </c>
      <c r="G92" t="str">
        <f>_xlfn.XLOOKUP(frasest[[#This Row],[autor_es]],autorest[autor_es],autorest[bio_es])</f>
        <v>Dichos tradicionales de la India que reflejan principios espirituales, filosóficos y morales influidos por el hinduismo y las tradiciones védicas.</v>
      </c>
      <c r="H92" t="str">
        <f>_xlfn.XLOOKUP(frasest[[#This Row],[autor_es]],autorest[autor_es],autorest[bio_la])</f>
        <v>Collectio sententiarum Indicarum.</v>
      </c>
      <c r="I92" t="str">
        <f>_xlfn.XLOOKUP(frasest[[#This Row],[autor_es]],autorest[autor_es],autorest[codigo])</f>
        <v>hi</v>
      </c>
      <c r="J92" t="str">
        <f>_xlfn.XLOOKUP(frasest[[#This Row],[autor_es]],autorest[autor_es],autorest[idioma_es])</f>
        <v>Hindi</v>
      </c>
      <c r="K92" t="str">
        <f>_xlfn.XLOOKUP(frasest[[#This Row],[autor_es]],autorest[autor_es],autorest[idioma_la])</f>
        <v>Lingua Indica</v>
      </c>
      <c r="L92" t="str">
        <f>_xlfn.XLOOKUP(frasest[[#This Row],[autor_es]],autorest[autor_es],autorest[nacion_es])</f>
        <v>India</v>
      </c>
      <c r="M92" t="str">
        <f>_xlfn.XLOOKUP(frasest[[#This Row],[autor_es]],autorest[autor_es],autorest[nacion_la])</f>
        <v>India</v>
      </c>
      <c r="N92" t="str">
        <f>_xlfn.XLOOKUP(frasest[[#This Row],[autor_es]],autorest[autor_es],autorest[epoca_es])</f>
        <v>Epoca Desconocida</v>
      </c>
      <c r="O92" t="str">
        <f>_xlfn.XLOOKUP(frasest[[#This Row],[autor_es]],autorest[autor_es],autorest[epoca_la])</f>
        <v>Epocha Ignota</v>
      </c>
    </row>
    <row r="93" spans="1:15" ht="14.25">
      <c r="A93">
        <v>92</v>
      </c>
      <c r="B93" t="s">
        <v>285</v>
      </c>
      <c r="C93" t="s">
        <v>286</v>
      </c>
      <c r="D93" s="2" t="s">
        <v>287</v>
      </c>
      <c r="E93" t="s">
        <v>263</v>
      </c>
      <c r="F93" t="str">
        <f>_xlfn.XLOOKUP(frasest[[#This Row],[autor_es]],autorest[autor_es],autorest[autor_la])</f>
        <v>Proverbium Indica</v>
      </c>
      <c r="G93" t="str">
        <f>_xlfn.XLOOKUP(frasest[[#This Row],[autor_es]],autorest[autor_es],autorest[bio_es])</f>
        <v>Dichos tradicionales de la India que reflejan principios espirituales, filosóficos y morales influidos por el hinduismo y las tradiciones védicas.</v>
      </c>
      <c r="H93" t="str">
        <f>_xlfn.XLOOKUP(frasest[[#This Row],[autor_es]],autorest[autor_es],autorest[bio_la])</f>
        <v>Collectio sententiarum Indicarum.</v>
      </c>
      <c r="I93" t="str">
        <f>_xlfn.XLOOKUP(frasest[[#This Row],[autor_es]],autorest[autor_es],autorest[codigo])</f>
        <v>hi</v>
      </c>
      <c r="J93" t="str">
        <f>_xlfn.XLOOKUP(frasest[[#This Row],[autor_es]],autorest[autor_es],autorest[idioma_es])</f>
        <v>Hindi</v>
      </c>
      <c r="K93" t="str">
        <f>_xlfn.XLOOKUP(frasest[[#This Row],[autor_es]],autorest[autor_es],autorest[idioma_la])</f>
        <v>Lingua Indica</v>
      </c>
      <c r="L93" t="str">
        <f>_xlfn.XLOOKUP(frasest[[#This Row],[autor_es]],autorest[autor_es],autorest[nacion_es])</f>
        <v>India</v>
      </c>
      <c r="M93" t="str">
        <f>_xlfn.XLOOKUP(frasest[[#This Row],[autor_es]],autorest[autor_es],autorest[nacion_la])</f>
        <v>India</v>
      </c>
      <c r="N93" t="str">
        <f>_xlfn.XLOOKUP(frasest[[#This Row],[autor_es]],autorest[autor_es],autorest[epoca_es])</f>
        <v>Epoca Desconocida</v>
      </c>
      <c r="O93" t="str">
        <f>_xlfn.XLOOKUP(frasest[[#This Row],[autor_es]],autorest[autor_es],autorest[epoca_la])</f>
        <v>Epocha Ignota</v>
      </c>
    </row>
    <row r="94" spans="1:15" ht="14.25">
      <c r="A94">
        <v>93</v>
      </c>
      <c r="B94" t="s">
        <v>288</v>
      </c>
      <c r="C94" t="s">
        <v>289</v>
      </c>
      <c r="D94" s="2" t="s">
        <v>290</v>
      </c>
      <c r="E94" t="s">
        <v>263</v>
      </c>
      <c r="F94" t="str">
        <f>_xlfn.XLOOKUP(frasest[[#This Row],[autor_es]],autorest[autor_es],autorest[autor_la])</f>
        <v>Proverbium Indica</v>
      </c>
      <c r="G94" t="str">
        <f>_xlfn.XLOOKUP(frasest[[#This Row],[autor_es]],autorest[autor_es],autorest[bio_es])</f>
        <v>Dichos tradicionales de la India que reflejan principios espirituales, filosóficos y morales influidos por el hinduismo y las tradiciones védicas.</v>
      </c>
      <c r="H94" t="str">
        <f>_xlfn.XLOOKUP(frasest[[#This Row],[autor_es]],autorest[autor_es],autorest[bio_la])</f>
        <v>Collectio sententiarum Indicarum.</v>
      </c>
      <c r="I94" t="str">
        <f>_xlfn.XLOOKUP(frasest[[#This Row],[autor_es]],autorest[autor_es],autorest[codigo])</f>
        <v>hi</v>
      </c>
      <c r="J94" t="str">
        <f>_xlfn.XLOOKUP(frasest[[#This Row],[autor_es]],autorest[autor_es],autorest[idioma_es])</f>
        <v>Hindi</v>
      </c>
      <c r="K94" t="str">
        <f>_xlfn.XLOOKUP(frasest[[#This Row],[autor_es]],autorest[autor_es],autorest[idioma_la])</f>
        <v>Lingua Indica</v>
      </c>
      <c r="L94" t="str">
        <f>_xlfn.XLOOKUP(frasest[[#This Row],[autor_es]],autorest[autor_es],autorest[nacion_es])</f>
        <v>India</v>
      </c>
      <c r="M94" t="str">
        <f>_xlfn.XLOOKUP(frasest[[#This Row],[autor_es]],autorest[autor_es],autorest[nacion_la])</f>
        <v>India</v>
      </c>
      <c r="N94" t="str">
        <f>_xlfn.XLOOKUP(frasest[[#This Row],[autor_es]],autorest[autor_es],autorest[epoca_es])</f>
        <v>Epoca Desconocida</v>
      </c>
      <c r="O94" t="str">
        <f>_xlfn.XLOOKUP(frasest[[#This Row],[autor_es]],autorest[autor_es],autorest[epoca_la])</f>
        <v>Epocha Ignota</v>
      </c>
    </row>
    <row r="95" spans="1:15">
      <c r="A95">
        <v>94</v>
      </c>
      <c r="B95" t="s">
        <v>291</v>
      </c>
      <c r="C95" t="s">
        <v>292</v>
      </c>
      <c r="D95" t="s">
        <v>293</v>
      </c>
      <c r="E95" t="s">
        <v>294</v>
      </c>
      <c r="F95" t="str">
        <f>_xlfn.XLOOKUP(frasest[[#This Row],[autor_es]],autorest[autor_es],autorest[autor_la])</f>
        <v>Oswaldus Spengler</v>
      </c>
      <c r="G95" t="str">
        <f>_xlfn.XLOOKUP(frasest[[#This Row],[autor_es]],autorest[autor_es],autorest[bio_es])</f>
        <v>Filósofo e historiador alemán, autor de "La decadencia de Occidente".</v>
      </c>
      <c r="H95" t="str">
        <f>_xlfn.XLOOKUP(frasest[[#This Row],[autor_es]],autorest[autor_es],autorest[bio_la])</f>
        <v>Philosophus et historicus Germanicus, auctor "Occidentis Decadentia".</v>
      </c>
      <c r="I95" t="str">
        <f>_xlfn.XLOOKUP(frasest[[#This Row],[autor_es]],autorest[autor_es],autorest[codigo])</f>
        <v>de</v>
      </c>
      <c r="J95" t="str">
        <f>_xlfn.XLOOKUP(frasest[[#This Row],[autor_es]],autorest[autor_es],autorest[idioma_es])</f>
        <v>Alemán</v>
      </c>
      <c r="K95" t="str">
        <f>_xlfn.XLOOKUP(frasest[[#This Row],[autor_es]],autorest[autor_es],autorest[idioma_la])</f>
        <v>Lingua Germanica</v>
      </c>
      <c r="L95" t="str">
        <f>_xlfn.XLOOKUP(frasest[[#This Row],[autor_es]],autorest[autor_es],autorest[nacion_es])</f>
        <v>Alemania</v>
      </c>
      <c r="M95" t="str">
        <f>_xlfn.XLOOKUP(frasest[[#This Row],[autor_es]],autorest[autor_es],autorest[nacion_la])</f>
        <v>Germania</v>
      </c>
      <c r="N95" t="str">
        <f>_xlfn.XLOOKUP(frasest[[#This Row],[autor_es]],autorest[autor_es],autorest[epoca_es])</f>
        <v>Edad Contemporánea</v>
      </c>
      <c r="O95" t="str">
        <f>_xlfn.XLOOKUP(frasest[[#This Row],[autor_es]],autorest[autor_es],autorest[epoca_la])</f>
        <v>Aetas Contemporanea</v>
      </c>
    </row>
    <row r="96" spans="1:15">
      <c r="A96">
        <v>95</v>
      </c>
      <c r="B96" t="s">
        <v>295</v>
      </c>
      <c r="C96" t="s">
        <v>296</v>
      </c>
      <c r="D96" t="s">
        <v>297</v>
      </c>
      <c r="E96" t="s">
        <v>294</v>
      </c>
      <c r="F96" t="str">
        <f>_xlfn.XLOOKUP(frasest[[#This Row],[autor_es]],autorest[autor_es],autorest[autor_la])</f>
        <v>Oswaldus Spengler</v>
      </c>
      <c r="G96" t="str">
        <f>_xlfn.XLOOKUP(frasest[[#This Row],[autor_es]],autorest[autor_es],autorest[bio_es])</f>
        <v>Filósofo e historiador alemán, autor de "La decadencia de Occidente".</v>
      </c>
      <c r="H96" t="str">
        <f>_xlfn.XLOOKUP(frasest[[#This Row],[autor_es]],autorest[autor_es],autorest[bio_la])</f>
        <v>Philosophus et historicus Germanicus, auctor "Occidentis Decadentia".</v>
      </c>
      <c r="I96" t="str">
        <f>_xlfn.XLOOKUP(frasest[[#This Row],[autor_es]],autorest[autor_es],autorest[codigo])</f>
        <v>de</v>
      </c>
      <c r="J96" t="str">
        <f>_xlfn.XLOOKUP(frasest[[#This Row],[autor_es]],autorest[autor_es],autorest[idioma_es])</f>
        <v>Alemán</v>
      </c>
      <c r="K96" t="str">
        <f>_xlfn.XLOOKUP(frasest[[#This Row],[autor_es]],autorest[autor_es],autorest[idioma_la])</f>
        <v>Lingua Germanica</v>
      </c>
      <c r="L96" t="str">
        <f>_xlfn.XLOOKUP(frasest[[#This Row],[autor_es]],autorest[autor_es],autorest[nacion_es])</f>
        <v>Alemania</v>
      </c>
      <c r="M96" t="str">
        <f>_xlfn.XLOOKUP(frasest[[#This Row],[autor_es]],autorest[autor_es],autorest[nacion_la])</f>
        <v>Germania</v>
      </c>
      <c r="N96" t="str">
        <f>_xlfn.XLOOKUP(frasest[[#This Row],[autor_es]],autorest[autor_es],autorest[epoca_es])</f>
        <v>Edad Contemporánea</v>
      </c>
      <c r="O96" t="str">
        <f>_xlfn.XLOOKUP(frasest[[#This Row],[autor_es]],autorest[autor_es],autorest[epoca_la])</f>
        <v>Aetas Contemporanea</v>
      </c>
    </row>
    <row r="97" spans="1:15">
      <c r="A97">
        <v>96</v>
      </c>
      <c r="B97" t="s">
        <v>298</v>
      </c>
      <c r="C97" t="s">
        <v>299</v>
      </c>
      <c r="D97" t="s">
        <v>300</v>
      </c>
      <c r="E97" t="s">
        <v>294</v>
      </c>
      <c r="F97" t="str">
        <f>_xlfn.XLOOKUP(frasest[[#This Row],[autor_es]],autorest[autor_es],autorest[autor_la])</f>
        <v>Oswaldus Spengler</v>
      </c>
      <c r="G97" t="str">
        <f>_xlfn.XLOOKUP(frasest[[#This Row],[autor_es]],autorest[autor_es],autorest[bio_es])</f>
        <v>Filósofo e historiador alemán, autor de "La decadencia de Occidente".</v>
      </c>
      <c r="H97" t="str">
        <f>_xlfn.XLOOKUP(frasest[[#This Row],[autor_es]],autorest[autor_es],autorest[bio_la])</f>
        <v>Philosophus et historicus Germanicus, auctor "Occidentis Decadentia".</v>
      </c>
      <c r="I97" t="str">
        <f>_xlfn.XLOOKUP(frasest[[#This Row],[autor_es]],autorest[autor_es],autorest[codigo])</f>
        <v>de</v>
      </c>
      <c r="J97" t="str">
        <f>_xlfn.XLOOKUP(frasest[[#This Row],[autor_es]],autorest[autor_es],autorest[idioma_es])</f>
        <v>Alemán</v>
      </c>
      <c r="K97" t="str">
        <f>_xlfn.XLOOKUP(frasest[[#This Row],[autor_es]],autorest[autor_es],autorest[idioma_la])</f>
        <v>Lingua Germanica</v>
      </c>
      <c r="L97" t="str">
        <f>_xlfn.XLOOKUP(frasest[[#This Row],[autor_es]],autorest[autor_es],autorest[nacion_es])</f>
        <v>Alemania</v>
      </c>
      <c r="M97" t="str">
        <f>_xlfn.XLOOKUP(frasest[[#This Row],[autor_es]],autorest[autor_es],autorest[nacion_la])</f>
        <v>Germania</v>
      </c>
      <c r="N97" t="str">
        <f>_xlfn.XLOOKUP(frasest[[#This Row],[autor_es]],autorest[autor_es],autorest[epoca_es])</f>
        <v>Edad Contemporánea</v>
      </c>
      <c r="O97" t="str">
        <f>_xlfn.XLOOKUP(frasest[[#This Row],[autor_es]],autorest[autor_es],autorest[epoca_la])</f>
        <v>Aetas Contemporanea</v>
      </c>
    </row>
    <row r="98" spans="1:15">
      <c r="A98">
        <v>97</v>
      </c>
      <c r="B98" t="s">
        <v>301</v>
      </c>
      <c r="C98" t="s">
        <v>302</v>
      </c>
      <c r="D98" t="s">
        <v>303</v>
      </c>
      <c r="E98" t="s">
        <v>294</v>
      </c>
      <c r="F98" t="str">
        <f>_xlfn.XLOOKUP(frasest[[#This Row],[autor_es]],autorest[autor_es],autorest[autor_la])</f>
        <v>Oswaldus Spengler</v>
      </c>
      <c r="G98" t="str">
        <f>_xlfn.XLOOKUP(frasest[[#This Row],[autor_es]],autorest[autor_es],autorest[bio_es])</f>
        <v>Filósofo e historiador alemán, autor de "La decadencia de Occidente".</v>
      </c>
      <c r="H98" t="str">
        <f>_xlfn.XLOOKUP(frasest[[#This Row],[autor_es]],autorest[autor_es],autorest[bio_la])</f>
        <v>Philosophus et historicus Germanicus, auctor "Occidentis Decadentia".</v>
      </c>
      <c r="I98" t="str">
        <f>_xlfn.XLOOKUP(frasest[[#This Row],[autor_es]],autorest[autor_es],autorest[codigo])</f>
        <v>de</v>
      </c>
      <c r="J98" t="str">
        <f>_xlfn.XLOOKUP(frasest[[#This Row],[autor_es]],autorest[autor_es],autorest[idioma_es])</f>
        <v>Alemán</v>
      </c>
      <c r="K98" t="str">
        <f>_xlfn.XLOOKUP(frasest[[#This Row],[autor_es]],autorest[autor_es],autorest[idioma_la])</f>
        <v>Lingua Germanica</v>
      </c>
      <c r="L98" t="str">
        <f>_xlfn.XLOOKUP(frasest[[#This Row],[autor_es]],autorest[autor_es],autorest[nacion_es])</f>
        <v>Alemania</v>
      </c>
      <c r="M98" t="str">
        <f>_xlfn.XLOOKUP(frasest[[#This Row],[autor_es]],autorest[autor_es],autorest[nacion_la])</f>
        <v>Germania</v>
      </c>
      <c r="N98" t="str">
        <f>_xlfn.XLOOKUP(frasest[[#This Row],[autor_es]],autorest[autor_es],autorest[epoca_es])</f>
        <v>Edad Contemporánea</v>
      </c>
      <c r="O98" t="str">
        <f>_xlfn.XLOOKUP(frasest[[#This Row],[autor_es]],autorest[autor_es],autorest[epoca_la])</f>
        <v>Aetas Contemporanea</v>
      </c>
    </row>
    <row r="99" spans="1:15">
      <c r="A99">
        <v>98</v>
      </c>
      <c r="B99" t="s">
        <v>304</v>
      </c>
      <c r="C99" t="s">
        <v>305</v>
      </c>
      <c r="D99" t="s">
        <v>306</v>
      </c>
      <c r="E99" t="s">
        <v>294</v>
      </c>
      <c r="F99" t="str">
        <f>_xlfn.XLOOKUP(frasest[[#This Row],[autor_es]],autorest[autor_es],autorest[autor_la])</f>
        <v>Oswaldus Spengler</v>
      </c>
      <c r="G99" t="str">
        <f>_xlfn.XLOOKUP(frasest[[#This Row],[autor_es]],autorest[autor_es],autorest[bio_es])</f>
        <v>Filósofo e historiador alemán, autor de "La decadencia de Occidente".</v>
      </c>
      <c r="H99" t="str">
        <f>_xlfn.XLOOKUP(frasest[[#This Row],[autor_es]],autorest[autor_es],autorest[bio_la])</f>
        <v>Philosophus et historicus Germanicus, auctor "Occidentis Decadentia".</v>
      </c>
      <c r="I99" t="str">
        <f>_xlfn.XLOOKUP(frasest[[#This Row],[autor_es]],autorest[autor_es],autorest[codigo])</f>
        <v>de</v>
      </c>
      <c r="J99" t="str">
        <f>_xlfn.XLOOKUP(frasest[[#This Row],[autor_es]],autorest[autor_es],autorest[idioma_es])</f>
        <v>Alemán</v>
      </c>
      <c r="K99" t="str">
        <f>_xlfn.XLOOKUP(frasest[[#This Row],[autor_es]],autorest[autor_es],autorest[idioma_la])</f>
        <v>Lingua Germanica</v>
      </c>
      <c r="L99" t="str">
        <f>_xlfn.XLOOKUP(frasest[[#This Row],[autor_es]],autorest[autor_es],autorest[nacion_es])</f>
        <v>Alemania</v>
      </c>
      <c r="M99" t="str">
        <f>_xlfn.XLOOKUP(frasest[[#This Row],[autor_es]],autorest[autor_es],autorest[nacion_la])</f>
        <v>Germania</v>
      </c>
      <c r="N99" t="str">
        <f>_xlfn.XLOOKUP(frasest[[#This Row],[autor_es]],autorest[autor_es],autorest[epoca_es])</f>
        <v>Edad Contemporánea</v>
      </c>
      <c r="O99" t="str">
        <f>_xlfn.XLOOKUP(frasest[[#This Row],[autor_es]],autorest[autor_es],autorest[epoca_la])</f>
        <v>Aetas Contemporanea</v>
      </c>
    </row>
    <row r="100" spans="1:15">
      <c r="A100">
        <v>99</v>
      </c>
      <c r="B100" t="s">
        <v>307</v>
      </c>
      <c r="C100" t="s">
        <v>308</v>
      </c>
      <c r="D100" t="s">
        <v>307</v>
      </c>
      <c r="E100" t="s">
        <v>309</v>
      </c>
      <c r="F100" t="str">
        <f>_xlfn.XLOOKUP(frasest[[#This Row],[autor_es]],autorest[autor_es],autorest[autor_la])</f>
        <v>Michael Cervantes</v>
      </c>
      <c r="G100" t="str">
        <f>_xlfn.XLOOKUP(frasest[[#This Row],[autor_es]],autorest[autor_es],autorest[bio_es])</f>
        <v>Novelista, poeta y dramaturgo español, autor de "Don Quijote de la Mancha".</v>
      </c>
      <c r="H100" t="str">
        <f>_xlfn.XLOOKUP(frasest[[#This Row],[autor_es]],autorest[autor_es],autorest[bio_la])</f>
        <v>Scriba, poeta et dramatist Hispanicus, auctor "Don Quixote de la Mancha".</v>
      </c>
      <c r="I100" t="str">
        <f>_xlfn.XLOOKUP(frasest[[#This Row],[autor_es]],autorest[autor_es],autorest[codigo])</f>
        <v>es</v>
      </c>
      <c r="J100" t="str">
        <f>_xlfn.XLOOKUP(frasest[[#This Row],[autor_es]],autorest[autor_es],autorest[idioma_es])</f>
        <v>Español</v>
      </c>
      <c r="K100" t="str">
        <f>_xlfn.XLOOKUP(frasest[[#This Row],[autor_es]],autorest[autor_es],autorest[idioma_la])</f>
        <v>Lingua Hispanica</v>
      </c>
      <c r="L100" t="str">
        <f>_xlfn.XLOOKUP(frasest[[#This Row],[autor_es]],autorest[autor_es],autorest[nacion_es])</f>
        <v>España</v>
      </c>
      <c r="M100" t="str">
        <f>_xlfn.XLOOKUP(frasest[[#This Row],[autor_es]],autorest[autor_es],autorest[nacion_la])</f>
        <v>Hispania</v>
      </c>
      <c r="N100" t="str">
        <f>_xlfn.XLOOKUP(frasest[[#This Row],[autor_es]],autorest[autor_es],autorest[epoca_es])</f>
        <v>Edad Moderna</v>
      </c>
      <c r="O100" t="str">
        <f>_xlfn.XLOOKUP(frasest[[#This Row],[autor_es]],autorest[autor_es],autorest[epoca_la])</f>
        <v>Nova Aetas</v>
      </c>
    </row>
    <row r="101" spans="1:15">
      <c r="A101">
        <v>100</v>
      </c>
      <c r="B101" t="s">
        <v>310</v>
      </c>
      <c r="C101" t="s">
        <v>311</v>
      </c>
      <c r="D101" t="s">
        <v>310</v>
      </c>
      <c r="E101" t="s">
        <v>309</v>
      </c>
      <c r="F101" t="str">
        <f>_xlfn.XLOOKUP(frasest[[#This Row],[autor_es]],autorest[autor_es],autorest[autor_la])</f>
        <v>Michael Cervantes</v>
      </c>
      <c r="G101" t="str">
        <f>_xlfn.XLOOKUP(frasest[[#This Row],[autor_es]],autorest[autor_es],autorest[bio_es])</f>
        <v>Novelista, poeta y dramaturgo español, autor de "Don Quijote de la Mancha".</v>
      </c>
      <c r="H101" t="str">
        <f>_xlfn.XLOOKUP(frasest[[#This Row],[autor_es]],autorest[autor_es],autorest[bio_la])</f>
        <v>Scriba, poeta et dramatist Hispanicus, auctor "Don Quixote de la Mancha".</v>
      </c>
      <c r="I101" t="str">
        <f>_xlfn.XLOOKUP(frasest[[#This Row],[autor_es]],autorest[autor_es],autorest[codigo])</f>
        <v>es</v>
      </c>
      <c r="J101" t="str">
        <f>_xlfn.XLOOKUP(frasest[[#This Row],[autor_es]],autorest[autor_es],autorest[idioma_es])</f>
        <v>Español</v>
      </c>
      <c r="K101" t="str">
        <f>_xlfn.XLOOKUP(frasest[[#This Row],[autor_es]],autorest[autor_es],autorest[idioma_la])</f>
        <v>Lingua Hispanica</v>
      </c>
      <c r="L101" t="str">
        <f>_xlfn.XLOOKUP(frasest[[#This Row],[autor_es]],autorest[autor_es],autorest[nacion_es])</f>
        <v>España</v>
      </c>
      <c r="M101" t="str">
        <f>_xlfn.XLOOKUP(frasest[[#This Row],[autor_es]],autorest[autor_es],autorest[nacion_la])</f>
        <v>Hispania</v>
      </c>
      <c r="N101" t="str">
        <f>_xlfn.XLOOKUP(frasest[[#This Row],[autor_es]],autorest[autor_es],autorest[epoca_es])</f>
        <v>Edad Moderna</v>
      </c>
      <c r="O101" t="str">
        <f>_xlfn.XLOOKUP(frasest[[#This Row],[autor_es]],autorest[autor_es],autorest[epoca_la])</f>
        <v>Nova Aetas</v>
      </c>
    </row>
    <row r="102" spans="1:15">
      <c r="A102">
        <v>101</v>
      </c>
      <c r="B102" t="s">
        <v>312</v>
      </c>
      <c r="C102" t="s">
        <v>313</v>
      </c>
      <c r="D102" t="s">
        <v>312</v>
      </c>
      <c r="E102" t="s">
        <v>309</v>
      </c>
      <c r="F102" t="str">
        <f>_xlfn.XLOOKUP(frasest[[#This Row],[autor_es]],autorest[autor_es],autorest[autor_la])</f>
        <v>Michael Cervantes</v>
      </c>
      <c r="G102" t="str">
        <f>_xlfn.XLOOKUP(frasest[[#This Row],[autor_es]],autorest[autor_es],autorest[bio_es])</f>
        <v>Novelista, poeta y dramaturgo español, autor de "Don Quijote de la Mancha".</v>
      </c>
      <c r="H102" t="str">
        <f>_xlfn.XLOOKUP(frasest[[#This Row],[autor_es]],autorest[autor_es],autorest[bio_la])</f>
        <v>Scriba, poeta et dramatist Hispanicus, auctor "Don Quixote de la Mancha".</v>
      </c>
      <c r="I102" t="str">
        <f>_xlfn.XLOOKUP(frasest[[#This Row],[autor_es]],autorest[autor_es],autorest[codigo])</f>
        <v>es</v>
      </c>
      <c r="J102" t="str">
        <f>_xlfn.XLOOKUP(frasest[[#This Row],[autor_es]],autorest[autor_es],autorest[idioma_es])</f>
        <v>Español</v>
      </c>
      <c r="K102" t="str">
        <f>_xlfn.XLOOKUP(frasest[[#This Row],[autor_es]],autorest[autor_es],autorest[idioma_la])</f>
        <v>Lingua Hispanica</v>
      </c>
      <c r="L102" t="str">
        <f>_xlfn.XLOOKUP(frasest[[#This Row],[autor_es]],autorest[autor_es],autorest[nacion_es])</f>
        <v>España</v>
      </c>
      <c r="M102" t="str">
        <f>_xlfn.XLOOKUP(frasest[[#This Row],[autor_es]],autorest[autor_es],autorest[nacion_la])</f>
        <v>Hispania</v>
      </c>
      <c r="N102" t="str">
        <f>_xlfn.XLOOKUP(frasest[[#This Row],[autor_es]],autorest[autor_es],autorest[epoca_es])</f>
        <v>Edad Moderna</v>
      </c>
      <c r="O102" t="str">
        <f>_xlfn.XLOOKUP(frasest[[#This Row],[autor_es]],autorest[autor_es],autorest[epoca_la])</f>
        <v>Nova Aetas</v>
      </c>
    </row>
    <row r="103" spans="1:15">
      <c r="A103">
        <v>102</v>
      </c>
      <c r="B103" t="s">
        <v>314</v>
      </c>
      <c r="C103" t="s">
        <v>315</v>
      </c>
      <c r="D103" t="s">
        <v>314</v>
      </c>
      <c r="E103" t="s">
        <v>309</v>
      </c>
      <c r="F103" t="str">
        <f>_xlfn.XLOOKUP(frasest[[#This Row],[autor_es]],autorest[autor_es],autorest[autor_la])</f>
        <v>Michael Cervantes</v>
      </c>
      <c r="G103" t="str">
        <f>_xlfn.XLOOKUP(frasest[[#This Row],[autor_es]],autorest[autor_es],autorest[bio_es])</f>
        <v>Novelista, poeta y dramaturgo español, autor de "Don Quijote de la Mancha".</v>
      </c>
      <c r="H103" t="str">
        <f>_xlfn.XLOOKUP(frasest[[#This Row],[autor_es]],autorest[autor_es],autorest[bio_la])</f>
        <v>Scriba, poeta et dramatist Hispanicus, auctor "Don Quixote de la Mancha".</v>
      </c>
      <c r="I103" t="str">
        <f>_xlfn.XLOOKUP(frasest[[#This Row],[autor_es]],autorest[autor_es],autorest[codigo])</f>
        <v>es</v>
      </c>
      <c r="J103" t="str">
        <f>_xlfn.XLOOKUP(frasest[[#This Row],[autor_es]],autorest[autor_es],autorest[idioma_es])</f>
        <v>Español</v>
      </c>
      <c r="K103" t="str">
        <f>_xlfn.XLOOKUP(frasest[[#This Row],[autor_es]],autorest[autor_es],autorest[idioma_la])</f>
        <v>Lingua Hispanica</v>
      </c>
      <c r="L103" t="str">
        <f>_xlfn.XLOOKUP(frasest[[#This Row],[autor_es]],autorest[autor_es],autorest[nacion_es])</f>
        <v>España</v>
      </c>
      <c r="M103" t="str">
        <f>_xlfn.XLOOKUP(frasest[[#This Row],[autor_es]],autorest[autor_es],autorest[nacion_la])</f>
        <v>Hispania</v>
      </c>
      <c r="N103" t="str">
        <f>_xlfn.XLOOKUP(frasest[[#This Row],[autor_es]],autorest[autor_es],autorest[epoca_es])</f>
        <v>Edad Moderna</v>
      </c>
      <c r="O103" t="str">
        <f>_xlfn.XLOOKUP(frasest[[#This Row],[autor_es]],autorest[autor_es],autorest[epoca_la])</f>
        <v>Nova Aetas</v>
      </c>
    </row>
    <row r="104" spans="1:15">
      <c r="A104">
        <v>103</v>
      </c>
      <c r="B104" t="s">
        <v>316</v>
      </c>
      <c r="C104" t="s">
        <v>317</v>
      </c>
      <c r="D104" t="s">
        <v>316</v>
      </c>
      <c r="E104" t="s">
        <v>309</v>
      </c>
      <c r="F104" t="str">
        <f>_xlfn.XLOOKUP(frasest[[#This Row],[autor_es]],autorest[autor_es],autorest[autor_la])</f>
        <v>Michael Cervantes</v>
      </c>
      <c r="G104" t="str">
        <f>_xlfn.XLOOKUP(frasest[[#This Row],[autor_es]],autorest[autor_es],autorest[bio_es])</f>
        <v>Novelista, poeta y dramaturgo español, autor de "Don Quijote de la Mancha".</v>
      </c>
      <c r="H104" t="str">
        <f>_xlfn.XLOOKUP(frasest[[#This Row],[autor_es]],autorest[autor_es],autorest[bio_la])</f>
        <v>Scriba, poeta et dramatist Hispanicus, auctor "Don Quixote de la Mancha".</v>
      </c>
      <c r="I104" t="str">
        <f>_xlfn.XLOOKUP(frasest[[#This Row],[autor_es]],autorest[autor_es],autorest[codigo])</f>
        <v>es</v>
      </c>
      <c r="J104" t="str">
        <f>_xlfn.XLOOKUP(frasest[[#This Row],[autor_es]],autorest[autor_es],autorest[idioma_es])</f>
        <v>Español</v>
      </c>
      <c r="K104" t="str">
        <f>_xlfn.XLOOKUP(frasest[[#This Row],[autor_es]],autorest[autor_es],autorest[idioma_la])</f>
        <v>Lingua Hispanica</v>
      </c>
      <c r="L104" t="str">
        <f>_xlfn.XLOOKUP(frasest[[#This Row],[autor_es]],autorest[autor_es],autorest[nacion_es])</f>
        <v>España</v>
      </c>
      <c r="M104" t="str">
        <f>_xlfn.XLOOKUP(frasest[[#This Row],[autor_es]],autorest[autor_es],autorest[nacion_la])</f>
        <v>Hispania</v>
      </c>
      <c r="N104" t="str">
        <f>_xlfn.XLOOKUP(frasest[[#This Row],[autor_es]],autorest[autor_es],autorest[epoca_es])</f>
        <v>Edad Moderna</v>
      </c>
      <c r="O104" t="str">
        <f>_xlfn.XLOOKUP(frasest[[#This Row],[autor_es]],autorest[autor_es],autorest[epoca_la])</f>
        <v>Nova Aetas</v>
      </c>
    </row>
    <row r="105" spans="1:15">
      <c r="A105">
        <v>104</v>
      </c>
      <c r="B105" t="s">
        <v>318</v>
      </c>
      <c r="C105" t="s">
        <v>319</v>
      </c>
      <c r="D105" t="s">
        <v>318</v>
      </c>
      <c r="E105" t="s">
        <v>309</v>
      </c>
      <c r="F105" t="str">
        <f>_xlfn.XLOOKUP(frasest[[#This Row],[autor_es]],autorest[autor_es],autorest[autor_la])</f>
        <v>Michael Cervantes</v>
      </c>
      <c r="G105" t="str">
        <f>_xlfn.XLOOKUP(frasest[[#This Row],[autor_es]],autorest[autor_es],autorest[bio_es])</f>
        <v>Novelista, poeta y dramaturgo español, autor de "Don Quijote de la Mancha".</v>
      </c>
      <c r="H105" t="str">
        <f>_xlfn.XLOOKUP(frasest[[#This Row],[autor_es]],autorest[autor_es],autorest[bio_la])</f>
        <v>Scriba, poeta et dramatist Hispanicus, auctor "Don Quixote de la Mancha".</v>
      </c>
      <c r="I105" t="str">
        <f>_xlfn.XLOOKUP(frasest[[#This Row],[autor_es]],autorest[autor_es],autorest[codigo])</f>
        <v>es</v>
      </c>
      <c r="J105" t="str">
        <f>_xlfn.XLOOKUP(frasest[[#This Row],[autor_es]],autorest[autor_es],autorest[idioma_es])</f>
        <v>Español</v>
      </c>
      <c r="K105" t="str">
        <f>_xlfn.XLOOKUP(frasest[[#This Row],[autor_es]],autorest[autor_es],autorest[idioma_la])</f>
        <v>Lingua Hispanica</v>
      </c>
      <c r="L105" t="str">
        <f>_xlfn.XLOOKUP(frasest[[#This Row],[autor_es]],autorest[autor_es],autorest[nacion_es])</f>
        <v>España</v>
      </c>
      <c r="M105" t="str">
        <f>_xlfn.XLOOKUP(frasest[[#This Row],[autor_es]],autorest[autor_es],autorest[nacion_la])</f>
        <v>Hispania</v>
      </c>
      <c r="N105" t="str">
        <f>_xlfn.XLOOKUP(frasest[[#This Row],[autor_es]],autorest[autor_es],autorest[epoca_es])</f>
        <v>Edad Moderna</v>
      </c>
      <c r="O105" t="str">
        <f>_xlfn.XLOOKUP(frasest[[#This Row],[autor_es]],autorest[autor_es],autorest[epoca_la])</f>
        <v>Nova Aetas</v>
      </c>
    </row>
    <row r="106" spans="1:15">
      <c r="A106">
        <v>105</v>
      </c>
      <c r="B106" t="s">
        <v>320</v>
      </c>
      <c r="C106" t="s">
        <v>321</v>
      </c>
      <c r="D106" t="s">
        <v>320</v>
      </c>
      <c r="E106" t="s">
        <v>309</v>
      </c>
      <c r="F106" t="str">
        <f>_xlfn.XLOOKUP(frasest[[#This Row],[autor_es]],autorest[autor_es],autorest[autor_la])</f>
        <v>Michael Cervantes</v>
      </c>
      <c r="G106" t="str">
        <f>_xlfn.XLOOKUP(frasest[[#This Row],[autor_es]],autorest[autor_es],autorest[bio_es])</f>
        <v>Novelista, poeta y dramaturgo español, autor de "Don Quijote de la Mancha".</v>
      </c>
      <c r="H106" t="str">
        <f>_xlfn.XLOOKUP(frasest[[#This Row],[autor_es]],autorest[autor_es],autorest[bio_la])</f>
        <v>Scriba, poeta et dramatist Hispanicus, auctor "Don Quixote de la Mancha".</v>
      </c>
      <c r="I106" t="str">
        <f>_xlfn.XLOOKUP(frasest[[#This Row],[autor_es]],autorest[autor_es],autorest[codigo])</f>
        <v>es</v>
      </c>
      <c r="J106" t="str">
        <f>_xlfn.XLOOKUP(frasest[[#This Row],[autor_es]],autorest[autor_es],autorest[idioma_es])</f>
        <v>Español</v>
      </c>
      <c r="K106" t="str">
        <f>_xlfn.XLOOKUP(frasest[[#This Row],[autor_es]],autorest[autor_es],autorest[idioma_la])</f>
        <v>Lingua Hispanica</v>
      </c>
      <c r="L106" t="str">
        <f>_xlfn.XLOOKUP(frasest[[#This Row],[autor_es]],autorest[autor_es],autorest[nacion_es])</f>
        <v>España</v>
      </c>
      <c r="M106" t="str">
        <f>_xlfn.XLOOKUP(frasest[[#This Row],[autor_es]],autorest[autor_es],autorest[nacion_la])</f>
        <v>Hispania</v>
      </c>
      <c r="N106" t="str">
        <f>_xlfn.XLOOKUP(frasest[[#This Row],[autor_es]],autorest[autor_es],autorest[epoca_es])</f>
        <v>Edad Moderna</v>
      </c>
      <c r="O106" t="str">
        <f>_xlfn.XLOOKUP(frasest[[#This Row],[autor_es]],autorest[autor_es],autorest[epoca_la])</f>
        <v>Nova Aetas</v>
      </c>
    </row>
    <row r="107" spans="1:15">
      <c r="A107">
        <v>106</v>
      </c>
      <c r="B107" t="s">
        <v>310</v>
      </c>
      <c r="C107" t="s">
        <v>311</v>
      </c>
      <c r="D107" t="s">
        <v>310</v>
      </c>
      <c r="E107" t="s">
        <v>309</v>
      </c>
      <c r="F107" t="str">
        <f>_xlfn.XLOOKUP(frasest[[#This Row],[autor_es]],autorest[autor_es],autorest[autor_la])</f>
        <v>Michael Cervantes</v>
      </c>
      <c r="G107" t="str">
        <f>_xlfn.XLOOKUP(frasest[[#This Row],[autor_es]],autorest[autor_es],autorest[bio_es])</f>
        <v>Novelista, poeta y dramaturgo español, autor de "Don Quijote de la Mancha".</v>
      </c>
      <c r="H107" t="str">
        <f>_xlfn.XLOOKUP(frasest[[#This Row],[autor_es]],autorest[autor_es],autorest[bio_la])</f>
        <v>Scriba, poeta et dramatist Hispanicus, auctor "Don Quixote de la Mancha".</v>
      </c>
      <c r="I107" t="str">
        <f>_xlfn.XLOOKUP(frasest[[#This Row],[autor_es]],autorest[autor_es],autorest[codigo])</f>
        <v>es</v>
      </c>
      <c r="J107" t="str">
        <f>_xlfn.XLOOKUP(frasest[[#This Row],[autor_es]],autorest[autor_es],autorest[idioma_es])</f>
        <v>Español</v>
      </c>
      <c r="K107" t="str">
        <f>_xlfn.XLOOKUP(frasest[[#This Row],[autor_es]],autorest[autor_es],autorest[idioma_la])</f>
        <v>Lingua Hispanica</v>
      </c>
      <c r="L107" t="str">
        <f>_xlfn.XLOOKUP(frasest[[#This Row],[autor_es]],autorest[autor_es],autorest[nacion_es])</f>
        <v>España</v>
      </c>
      <c r="M107" t="str">
        <f>_xlfn.XLOOKUP(frasest[[#This Row],[autor_es]],autorest[autor_es],autorest[nacion_la])</f>
        <v>Hispania</v>
      </c>
      <c r="N107" t="str">
        <f>_xlfn.XLOOKUP(frasest[[#This Row],[autor_es]],autorest[autor_es],autorest[epoca_es])</f>
        <v>Edad Moderna</v>
      </c>
      <c r="O107" t="str">
        <f>_xlfn.XLOOKUP(frasest[[#This Row],[autor_es]],autorest[autor_es],autorest[epoca_la])</f>
        <v>Nova Aetas</v>
      </c>
    </row>
    <row r="108" spans="1:15">
      <c r="A108">
        <v>107</v>
      </c>
      <c r="B108" t="s">
        <v>322</v>
      </c>
      <c r="C108" t="s">
        <v>323</v>
      </c>
      <c r="D108" t="s">
        <v>322</v>
      </c>
      <c r="E108" t="s">
        <v>309</v>
      </c>
      <c r="F108" t="str">
        <f>_xlfn.XLOOKUP(frasest[[#This Row],[autor_es]],autorest[autor_es],autorest[autor_la])</f>
        <v>Michael Cervantes</v>
      </c>
      <c r="G108" t="str">
        <f>_xlfn.XLOOKUP(frasest[[#This Row],[autor_es]],autorest[autor_es],autorest[bio_es])</f>
        <v>Novelista, poeta y dramaturgo español, autor de "Don Quijote de la Mancha".</v>
      </c>
      <c r="H108" t="str">
        <f>_xlfn.XLOOKUP(frasest[[#This Row],[autor_es]],autorest[autor_es],autorest[bio_la])</f>
        <v>Scriba, poeta et dramatist Hispanicus, auctor "Don Quixote de la Mancha".</v>
      </c>
      <c r="I108" t="str">
        <f>_xlfn.XLOOKUP(frasest[[#This Row],[autor_es]],autorest[autor_es],autorest[codigo])</f>
        <v>es</v>
      </c>
      <c r="J108" t="str">
        <f>_xlfn.XLOOKUP(frasest[[#This Row],[autor_es]],autorest[autor_es],autorest[idioma_es])</f>
        <v>Español</v>
      </c>
      <c r="K108" t="str">
        <f>_xlfn.XLOOKUP(frasest[[#This Row],[autor_es]],autorest[autor_es],autorest[idioma_la])</f>
        <v>Lingua Hispanica</v>
      </c>
      <c r="L108" t="str">
        <f>_xlfn.XLOOKUP(frasest[[#This Row],[autor_es]],autorest[autor_es],autorest[nacion_es])</f>
        <v>España</v>
      </c>
      <c r="M108" t="str">
        <f>_xlfn.XLOOKUP(frasest[[#This Row],[autor_es]],autorest[autor_es],autorest[nacion_la])</f>
        <v>Hispania</v>
      </c>
      <c r="N108" t="str">
        <f>_xlfn.XLOOKUP(frasest[[#This Row],[autor_es]],autorest[autor_es],autorest[epoca_es])</f>
        <v>Edad Moderna</v>
      </c>
      <c r="O108" t="str">
        <f>_xlfn.XLOOKUP(frasest[[#This Row],[autor_es]],autorest[autor_es],autorest[epoca_la])</f>
        <v>Nova Aetas</v>
      </c>
    </row>
    <row r="109" spans="1:15">
      <c r="A109">
        <v>108</v>
      </c>
      <c r="B109" t="s">
        <v>324</v>
      </c>
      <c r="C109" t="s">
        <v>325</v>
      </c>
      <c r="D109" t="s">
        <v>324</v>
      </c>
      <c r="E109" t="s">
        <v>309</v>
      </c>
      <c r="F109" t="str">
        <f>_xlfn.XLOOKUP(frasest[[#This Row],[autor_es]],autorest[autor_es],autorest[autor_la])</f>
        <v>Michael Cervantes</v>
      </c>
      <c r="G109" t="str">
        <f>_xlfn.XLOOKUP(frasest[[#This Row],[autor_es]],autorest[autor_es],autorest[bio_es])</f>
        <v>Novelista, poeta y dramaturgo español, autor de "Don Quijote de la Mancha".</v>
      </c>
      <c r="H109" t="str">
        <f>_xlfn.XLOOKUP(frasest[[#This Row],[autor_es]],autorest[autor_es],autorest[bio_la])</f>
        <v>Scriba, poeta et dramatist Hispanicus, auctor "Don Quixote de la Mancha".</v>
      </c>
      <c r="I109" t="str">
        <f>_xlfn.XLOOKUP(frasest[[#This Row],[autor_es]],autorest[autor_es],autorest[codigo])</f>
        <v>es</v>
      </c>
      <c r="J109" t="str">
        <f>_xlfn.XLOOKUP(frasest[[#This Row],[autor_es]],autorest[autor_es],autorest[idioma_es])</f>
        <v>Español</v>
      </c>
      <c r="K109" t="str">
        <f>_xlfn.XLOOKUP(frasest[[#This Row],[autor_es]],autorest[autor_es],autorest[idioma_la])</f>
        <v>Lingua Hispanica</v>
      </c>
      <c r="L109" t="str">
        <f>_xlfn.XLOOKUP(frasest[[#This Row],[autor_es]],autorest[autor_es],autorest[nacion_es])</f>
        <v>España</v>
      </c>
      <c r="M109" t="str">
        <f>_xlfn.XLOOKUP(frasest[[#This Row],[autor_es]],autorest[autor_es],autorest[nacion_la])</f>
        <v>Hispania</v>
      </c>
      <c r="N109" t="str">
        <f>_xlfn.XLOOKUP(frasest[[#This Row],[autor_es]],autorest[autor_es],autorest[epoca_es])</f>
        <v>Edad Moderna</v>
      </c>
      <c r="O109" t="str">
        <f>_xlfn.XLOOKUP(frasest[[#This Row],[autor_es]],autorest[autor_es],autorest[epoca_la])</f>
        <v>Nova Aetas</v>
      </c>
    </row>
    <row r="110" spans="1:15">
      <c r="A110">
        <v>109</v>
      </c>
      <c r="B110" t="s">
        <v>326</v>
      </c>
      <c r="C110" t="s">
        <v>327</v>
      </c>
      <c r="D110" t="s">
        <v>327</v>
      </c>
      <c r="E110" t="s">
        <v>51</v>
      </c>
      <c r="F110" t="str">
        <f>_xlfn.XLOOKUP(frasest[[#This Row],[autor_es]],autorest[autor_es],autorest[autor_la])</f>
        <v>Aurelius Augustinus</v>
      </c>
      <c r="G110" t="str">
        <f>_xlfn.XLOOKUP(frasest[[#This Row],[autor_es]],autorest[autor_es],autorest[bio_es])</f>
        <v>Filósofo y teólogo cristiano.</v>
      </c>
      <c r="H110" t="str">
        <f>_xlfn.XLOOKUP(frasest[[#This Row],[autor_es]],autorest[autor_es],autorest[bio_la])</f>
        <v>Philosophus et theologus Christianus.</v>
      </c>
      <c r="I110" t="str">
        <f>_xlfn.XLOOKUP(frasest[[#This Row],[autor_es]],autorest[autor_es],autorest[codigo])</f>
        <v>la</v>
      </c>
      <c r="J110" t="str">
        <f>_xlfn.XLOOKUP(frasest[[#This Row],[autor_es]],autorest[autor_es],autorest[idioma_es])</f>
        <v>Latín</v>
      </c>
      <c r="K110" t="str">
        <f>_xlfn.XLOOKUP(frasest[[#This Row],[autor_es]],autorest[autor_es],autorest[idioma_la])</f>
        <v>Lingua Latina</v>
      </c>
      <c r="L110" t="str">
        <f>_xlfn.XLOOKUP(frasest[[#This Row],[autor_es]],autorest[autor_es],autorest[nacion_es])</f>
        <v>Roma</v>
      </c>
      <c r="M110" t="str">
        <f>_xlfn.XLOOKUP(frasest[[#This Row],[autor_es]],autorest[autor_es],autorest[nacion_la])</f>
        <v>Roma</v>
      </c>
      <c r="N110" t="str">
        <f>_xlfn.XLOOKUP(frasest[[#This Row],[autor_es]],autorest[autor_es],autorest[epoca_es])</f>
        <v>Edad Antigua</v>
      </c>
      <c r="O110" t="str">
        <f>_xlfn.XLOOKUP(frasest[[#This Row],[autor_es]],autorest[autor_es],autorest[epoca_la])</f>
        <v>Antiquitas</v>
      </c>
    </row>
    <row r="111" spans="1:15">
      <c r="A111">
        <v>110</v>
      </c>
      <c r="B111" t="s">
        <v>328</v>
      </c>
      <c r="C111" t="s">
        <v>329</v>
      </c>
      <c r="D111" t="s">
        <v>330</v>
      </c>
      <c r="E111" t="s">
        <v>331</v>
      </c>
      <c r="F111" t="str">
        <f>_xlfn.XLOOKUP(frasest[[#This Row],[autor_es]],autorest[autor_es],autorest[autor_la])</f>
        <v>Nelsonus Mandela</v>
      </c>
      <c r="G111" t="str">
        <f>_xlfn.XLOOKUP(frasest[[#This Row],[autor_es]],autorest[autor_es],autorest[bio_es])</f>
        <v>Político y activista sudafricano, primer presidente negro de Sudáfrica y líder contra el apartheid.</v>
      </c>
      <c r="H111" t="str">
        <f>_xlfn.XLOOKUP(frasest[[#This Row],[autor_es]],autorest[autor_es],autorest[bio_la])</f>
        <v>Politicus et activist Africanus Australis, primus praeses niger et apartheid adversator.</v>
      </c>
      <c r="I111" t="str">
        <f>_xlfn.XLOOKUP(frasest[[#This Row],[autor_es]],autorest[autor_es],autorest[codigo])</f>
        <v>en</v>
      </c>
      <c r="J111" t="str">
        <f>_xlfn.XLOOKUP(frasest[[#This Row],[autor_es]],autorest[autor_es],autorest[idioma_es])</f>
        <v>Inglés</v>
      </c>
      <c r="K111" t="str">
        <f>_xlfn.XLOOKUP(frasest[[#This Row],[autor_es]],autorest[autor_es],autorest[idioma_la])</f>
        <v>Lingua Anglica</v>
      </c>
      <c r="L111" t="str">
        <f>_xlfn.XLOOKUP(frasest[[#This Row],[autor_es]],autorest[autor_es],autorest[nacion_es])</f>
        <v>Sudáfrica</v>
      </c>
      <c r="M111" t="str">
        <f>_xlfn.XLOOKUP(frasest[[#This Row],[autor_es]],autorest[autor_es],autorest[nacion_la])</f>
        <v>Africa Australis</v>
      </c>
      <c r="N111" t="str">
        <f>_xlfn.XLOOKUP(frasest[[#This Row],[autor_es]],autorest[autor_es],autorest[epoca_es])</f>
        <v>Edad Contemporánea</v>
      </c>
      <c r="O111" t="str">
        <f>_xlfn.XLOOKUP(frasest[[#This Row],[autor_es]],autorest[autor_es],autorest[epoca_la])</f>
        <v>Aetas Contemporanea</v>
      </c>
    </row>
    <row r="112" spans="1:15">
      <c r="A112">
        <v>111</v>
      </c>
      <c r="B112" t="s">
        <v>332</v>
      </c>
      <c r="C112" t="s">
        <v>333</v>
      </c>
      <c r="D112" t="s">
        <v>334</v>
      </c>
      <c r="E112" t="s">
        <v>335</v>
      </c>
      <c r="F112" t="str">
        <f>_xlfn.XLOOKUP(frasest[[#This Row],[autor_es]],autorest[autor_es],autorest[autor_la])</f>
        <v>Mohandas Gandhi</v>
      </c>
      <c r="G112" t="str">
        <f>_xlfn.XLOOKUP(frasest[[#This Row],[autor_es]],autorest[autor_es],autorest[bio_es])</f>
        <v>Líder político y espiritual de India, impulsor de la resistencia no violenta.</v>
      </c>
      <c r="H112" t="str">
        <f>_xlfn.XLOOKUP(frasest[[#This Row],[autor_es]],autorest[autor_es],autorest[bio_la])</f>
        <v>Dux politicis et spiritualis Indiae, resistentiam non violentam promovere.</v>
      </c>
      <c r="I112" t="str">
        <f>_xlfn.XLOOKUP(frasest[[#This Row],[autor_es]],autorest[autor_es],autorest[codigo])</f>
        <v>en</v>
      </c>
      <c r="J112" t="str">
        <f>_xlfn.XLOOKUP(frasest[[#This Row],[autor_es]],autorest[autor_es],autorest[idioma_es])</f>
        <v>Inglés</v>
      </c>
      <c r="K112" t="str">
        <f>_xlfn.XLOOKUP(frasest[[#This Row],[autor_es]],autorest[autor_es],autorest[idioma_la])</f>
        <v>Lingua Anglica</v>
      </c>
      <c r="L112" t="str">
        <f>_xlfn.XLOOKUP(frasest[[#This Row],[autor_es]],autorest[autor_es],autorest[nacion_es])</f>
        <v>India</v>
      </c>
      <c r="M112" t="str">
        <f>_xlfn.XLOOKUP(frasest[[#This Row],[autor_es]],autorest[autor_es],autorest[nacion_la])</f>
        <v>India</v>
      </c>
      <c r="N112" t="str">
        <f>_xlfn.XLOOKUP(frasest[[#This Row],[autor_es]],autorest[autor_es],autorest[epoca_es])</f>
        <v>Edad Contemporánea</v>
      </c>
      <c r="O112" t="str">
        <f>_xlfn.XLOOKUP(frasest[[#This Row],[autor_es]],autorest[autor_es],autorest[epoca_la])</f>
        <v>Aetas Contemporanea</v>
      </c>
    </row>
    <row r="113" spans="1:15">
      <c r="A113">
        <v>112</v>
      </c>
      <c r="B113" t="s">
        <v>336</v>
      </c>
      <c r="C113" t="s">
        <v>337</v>
      </c>
      <c r="D113" t="s">
        <v>338</v>
      </c>
      <c r="E113" t="s">
        <v>339</v>
      </c>
      <c r="F113" t="str">
        <f>_xlfn.XLOOKUP(frasest[[#This Row],[autor_es]],autorest[autor_es],autorest[autor_la])</f>
        <v>Albertus Einstein</v>
      </c>
      <c r="G113" t="str">
        <f>_xlfn.XLOOKUP(frasest[[#This Row],[autor_es]],autorest[autor_es],autorest[bio_es])</f>
        <v>Físico teórico alemán, desarrolló la teoría de la relatividad.</v>
      </c>
      <c r="H113" t="str">
        <f>_xlfn.XLOOKUP(frasest[[#This Row],[autor_es]],autorest[autor_es],autorest[bio_la])</f>
        <v>Physicus theoreticus Germanicus, theoriam relativitatis excogitavit.</v>
      </c>
      <c r="I113" t="str">
        <f>_xlfn.XLOOKUP(frasest[[#This Row],[autor_es]],autorest[autor_es],autorest[codigo])</f>
        <v>en</v>
      </c>
      <c r="J113" t="str">
        <f>_xlfn.XLOOKUP(frasest[[#This Row],[autor_es]],autorest[autor_es],autorest[idioma_es])</f>
        <v>Inglés</v>
      </c>
      <c r="K113" t="str">
        <f>_xlfn.XLOOKUP(frasest[[#This Row],[autor_es]],autorest[autor_es],autorest[idioma_la])</f>
        <v>Lingua Anglica</v>
      </c>
      <c r="L113" t="str">
        <f>_xlfn.XLOOKUP(frasest[[#This Row],[autor_es]],autorest[autor_es],autorest[nacion_es])</f>
        <v>Alemania</v>
      </c>
      <c r="M113" t="str">
        <f>_xlfn.XLOOKUP(frasest[[#This Row],[autor_es]],autorest[autor_es],autorest[nacion_la])</f>
        <v>Germania</v>
      </c>
      <c r="N113" t="str">
        <f>_xlfn.XLOOKUP(frasest[[#This Row],[autor_es]],autorest[autor_es],autorest[epoca_es])</f>
        <v>Edad Contemporánea</v>
      </c>
      <c r="O113" t="str">
        <f>_xlfn.XLOOKUP(frasest[[#This Row],[autor_es]],autorest[autor_es],autorest[epoca_la])</f>
        <v>Aetas Contemporanea</v>
      </c>
    </row>
    <row r="114" spans="1:15">
      <c r="A114">
        <v>113</v>
      </c>
      <c r="B114" t="s">
        <v>340</v>
      </c>
      <c r="C114" t="s">
        <v>341</v>
      </c>
      <c r="D114" t="s">
        <v>342</v>
      </c>
      <c r="E114" t="s">
        <v>343</v>
      </c>
      <c r="F114" t="str">
        <f>_xlfn.XLOOKUP(frasest[[#This Row],[autor_es]],autorest[autor_es],autorest[autor_la])</f>
        <v>Martin Luther King</v>
      </c>
      <c r="G114" t="str">
        <f>_xlfn.XLOOKUP(frasest[[#This Row],[autor_es]],autorest[autor_es],autorest[bio_es])</f>
        <v>Líder del movimiento por los derechos civiles en Estados Unidos y activista por la igualdad racial.</v>
      </c>
      <c r="H114" t="str">
        <f>_xlfn.XLOOKUP(frasest[[#This Row],[autor_es]],autorest[autor_es],autorest[bio_la])</f>
        <v>Dux iurium civilium et activist aequalitatis racialium in Civitatibus Foederatis.</v>
      </c>
      <c r="I114" t="str">
        <f>_xlfn.XLOOKUP(frasest[[#This Row],[autor_es]],autorest[autor_es],autorest[codigo])</f>
        <v>en</v>
      </c>
      <c r="J114" t="str">
        <f>_xlfn.XLOOKUP(frasest[[#This Row],[autor_es]],autorest[autor_es],autorest[idioma_es])</f>
        <v>Inglés</v>
      </c>
      <c r="K114" t="str">
        <f>_xlfn.XLOOKUP(frasest[[#This Row],[autor_es]],autorest[autor_es],autorest[idioma_la])</f>
        <v>Lingua Anglica</v>
      </c>
      <c r="L114" t="str">
        <f>_xlfn.XLOOKUP(frasest[[#This Row],[autor_es]],autorest[autor_es],autorest[nacion_es])</f>
        <v>Estados Unidos</v>
      </c>
      <c r="M114" t="str">
        <f>_xlfn.XLOOKUP(frasest[[#This Row],[autor_es]],autorest[autor_es],autorest[nacion_la])</f>
        <v>Civitates Foederatae Americae</v>
      </c>
      <c r="N114" t="str">
        <f>_xlfn.XLOOKUP(frasest[[#This Row],[autor_es]],autorest[autor_es],autorest[epoca_es])</f>
        <v>Edad Contemporánea</v>
      </c>
      <c r="O114" t="str">
        <f>_xlfn.XLOOKUP(frasest[[#This Row],[autor_es]],autorest[autor_es],autorest[epoca_la])</f>
        <v>Aetas Contemporanea</v>
      </c>
    </row>
    <row r="115" spans="1:15">
      <c r="A115">
        <v>114</v>
      </c>
      <c r="B115" t="s">
        <v>344</v>
      </c>
      <c r="C115" t="s">
        <v>345</v>
      </c>
      <c r="D115" t="s">
        <v>346</v>
      </c>
      <c r="E115" t="s">
        <v>347</v>
      </c>
      <c r="F115" t="str">
        <f>_xlfn.XLOOKUP(frasest[[#This Row],[autor_es]],autorest[autor_es],autorest[autor_la])</f>
        <v>Ioannes Dewey</v>
      </c>
      <c r="G115" t="str">
        <f>_xlfn.XLOOKUP(frasest[[#This Row],[autor_es]],autorest[autor_es],autorest[bio_es])</f>
        <v>Filósofo y pedagogo estadounidense, defensor de la educación progresista.</v>
      </c>
      <c r="H115" t="str">
        <f>_xlfn.XLOOKUP(frasest[[#This Row],[autor_es]],autorest[autor_es],autorest[bio_la])</f>
        <v>Philosophus et paedagogus Americanus, educationem progressivam defendens.</v>
      </c>
      <c r="I115" t="str">
        <f>_xlfn.XLOOKUP(frasest[[#This Row],[autor_es]],autorest[autor_es],autorest[codigo])</f>
        <v>en</v>
      </c>
      <c r="J115" t="str">
        <f>_xlfn.XLOOKUP(frasest[[#This Row],[autor_es]],autorest[autor_es],autorest[idioma_es])</f>
        <v>Inglés</v>
      </c>
      <c r="K115" t="str">
        <f>_xlfn.XLOOKUP(frasest[[#This Row],[autor_es]],autorest[autor_es],autorest[idioma_la])</f>
        <v>Lingua Anglica</v>
      </c>
      <c r="L115" t="str">
        <f>_xlfn.XLOOKUP(frasest[[#This Row],[autor_es]],autorest[autor_es],autorest[nacion_es])</f>
        <v>Estados Unidos</v>
      </c>
      <c r="M115" t="str">
        <f>_xlfn.XLOOKUP(frasest[[#This Row],[autor_es]],autorest[autor_es],autorest[nacion_la])</f>
        <v>Civitates Foederatae Americae</v>
      </c>
      <c r="N115" t="str">
        <f>_xlfn.XLOOKUP(frasest[[#This Row],[autor_es]],autorest[autor_es],autorest[epoca_es])</f>
        <v>Edad Contemporánea</v>
      </c>
      <c r="O115" t="str">
        <f>_xlfn.XLOOKUP(frasest[[#This Row],[autor_es]],autorest[autor_es],autorest[epoca_la])</f>
        <v>Aetas Contemporanea</v>
      </c>
    </row>
    <row r="116" spans="1:15">
      <c r="A116">
        <v>115</v>
      </c>
      <c r="B116" t="s">
        <v>348</v>
      </c>
      <c r="C116" t="s">
        <v>349</v>
      </c>
      <c r="D116" t="s">
        <v>350</v>
      </c>
      <c r="E116" t="s">
        <v>351</v>
      </c>
      <c r="F116" t="str">
        <f>_xlfn.XLOOKUP(frasest[[#This Row],[autor_es]],autorest[autor_es],autorest[autor_la])</f>
        <v>Benjaminus Franklin</v>
      </c>
      <c r="G116" t="str">
        <f>_xlfn.XLOOKUP(frasest[[#This Row],[autor_es]],autorest[autor_es],autorest[bio_es])</f>
        <v>Político, científico y escritor estadounidense, uno de los Padres Fundadores de Estados Unidos.</v>
      </c>
      <c r="H116" t="str">
        <f>_xlfn.XLOOKUP(frasest[[#This Row],[autor_es]],autorest[autor_es],autorest[bio_la])</f>
        <v>Politicus, sapiens et scriptor Americanus, unus ex Patribus Fundatoribus.</v>
      </c>
      <c r="I116" t="str">
        <f>_xlfn.XLOOKUP(frasest[[#This Row],[autor_es]],autorest[autor_es],autorest[codigo])</f>
        <v>en</v>
      </c>
      <c r="J116" t="str">
        <f>_xlfn.XLOOKUP(frasest[[#This Row],[autor_es]],autorest[autor_es],autorest[idioma_es])</f>
        <v>Inglés</v>
      </c>
      <c r="K116" t="str">
        <f>_xlfn.XLOOKUP(frasest[[#This Row],[autor_es]],autorest[autor_es],autorest[idioma_la])</f>
        <v>Lingua Anglica</v>
      </c>
      <c r="L116" t="str">
        <f>_xlfn.XLOOKUP(frasest[[#This Row],[autor_es]],autorest[autor_es],autorest[nacion_es])</f>
        <v>Estados Unidos</v>
      </c>
      <c r="M116" t="str">
        <f>_xlfn.XLOOKUP(frasest[[#This Row],[autor_es]],autorest[autor_es],autorest[nacion_la])</f>
        <v>Civitates Foederatae Americae</v>
      </c>
      <c r="N116" t="str">
        <f>_xlfn.XLOOKUP(frasest[[#This Row],[autor_es]],autorest[autor_es],autorest[epoca_es])</f>
        <v>Edad Moderna</v>
      </c>
      <c r="O116" t="str">
        <f>_xlfn.XLOOKUP(frasest[[#This Row],[autor_es]],autorest[autor_es],autorest[epoca_la])</f>
        <v>Nova Aetas</v>
      </c>
    </row>
    <row r="117" spans="1:15">
      <c r="A117">
        <v>116</v>
      </c>
      <c r="B117" t="s">
        <v>352</v>
      </c>
      <c r="C117" t="s">
        <v>353</v>
      </c>
      <c r="D117" t="s">
        <v>353</v>
      </c>
      <c r="E117" t="s">
        <v>354</v>
      </c>
      <c r="F117" t="str">
        <f>_xlfn.XLOOKUP(frasest[[#This Row],[autor_es]],autorest[autor_es],autorest[autor_la])</f>
        <v>Leonardus Vincius</v>
      </c>
      <c r="G117" t="str">
        <f>_xlfn.XLOOKUP(frasest[[#This Row],[autor_es]],autorest[autor_es],autorest[bio_es])</f>
        <v>Artista, inventor y científico italiano del Renacimiento.</v>
      </c>
      <c r="H117" t="str">
        <f>_xlfn.XLOOKUP(frasest[[#This Row],[autor_es]],autorest[autor_es],autorest[bio_la])</f>
        <v>Artifex, inventor et physicus Italicus Renaissance.</v>
      </c>
      <c r="I117" t="str">
        <f>_xlfn.XLOOKUP(frasest[[#This Row],[autor_es]],autorest[autor_es],autorest[codigo])</f>
        <v>la</v>
      </c>
      <c r="J117" t="str">
        <f>_xlfn.XLOOKUP(frasest[[#This Row],[autor_es]],autorest[autor_es],autorest[idioma_es])</f>
        <v>Latín</v>
      </c>
      <c r="K117" t="str">
        <f>_xlfn.XLOOKUP(frasest[[#This Row],[autor_es]],autorest[autor_es],autorest[idioma_la])</f>
        <v>Lingua Latina</v>
      </c>
      <c r="L117" t="str">
        <f>_xlfn.XLOOKUP(frasest[[#This Row],[autor_es]],autorest[autor_es],autorest[nacion_es])</f>
        <v>Italia</v>
      </c>
      <c r="M117" t="str">
        <f>_xlfn.XLOOKUP(frasest[[#This Row],[autor_es]],autorest[autor_es],autorest[nacion_la])</f>
        <v>Italia</v>
      </c>
      <c r="N117" t="str">
        <f>_xlfn.XLOOKUP(frasest[[#This Row],[autor_es]],autorest[autor_es],autorest[epoca_es])</f>
        <v>Edad Media</v>
      </c>
      <c r="O117" t="str">
        <f>_xlfn.XLOOKUP(frasest[[#This Row],[autor_es]],autorest[autor_es],autorest[epoca_la])</f>
        <v>Medium Aevum</v>
      </c>
    </row>
    <row r="118" spans="1:15">
      <c r="A118">
        <v>117</v>
      </c>
      <c r="B118" t="s">
        <v>355</v>
      </c>
      <c r="C118" t="s">
        <v>356</v>
      </c>
      <c r="D118" s="1" t="s">
        <v>357</v>
      </c>
      <c r="E118" t="s">
        <v>81</v>
      </c>
      <c r="F118" t="str">
        <f>_xlfn.XLOOKUP(frasest[[#This Row],[autor_es]],autorest[autor_es],autorest[autor_la])</f>
        <v>Confucius</v>
      </c>
      <c r="G118" t="str">
        <f>_xlfn.XLOOKUP(frasest[[#This Row],[autor_es]],autorest[autor_es],autorest[bio_es])</f>
        <v>Filósofo y maestro chino, fundador del confucianismo. Sus enseñanzas influyeron profundamente en la cultura, ética y política de China.</v>
      </c>
      <c r="H118" t="str">
        <f>_xlfn.XLOOKUP(frasest[[#This Row],[autor_es]],autorest[autor_es],autorest[bio_la])</f>
        <v>Philosophus et magister Sinensis, confucianismi conditor. Doctrinae eius in culturam, ethicam et politicam Sinensem profunde influentes.</v>
      </c>
      <c r="I118" t="str">
        <f>_xlfn.XLOOKUP(frasest[[#This Row],[autor_es]],autorest[autor_es],autorest[codigo])</f>
        <v>zh</v>
      </c>
      <c r="J118" t="str">
        <f>_xlfn.XLOOKUP(frasest[[#This Row],[autor_es]],autorest[autor_es],autorest[idioma_es])</f>
        <v>Chino</v>
      </c>
      <c r="K118" t="str">
        <f>_xlfn.XLOOKUP(frasest[[#This Row],[autor_es]],autorest[autor_es],autorest[idioma_la])</f>
        <v>Lingua Sinica</v>
      </c>
      <c r="L118" t="str">
        <f>_xlfn.XLOOKUP(frasest[[#This Row],[autor_es]],autorest[autor_es],autorest[nacion_es])</f>
        <v>China</v>
      </c>
      <c r="M118" t="str">
        <f>_xlfn.XLOOKUP(frasest[[#This Row],[autor_es]],autorest[autor_es],autorest[nacion_la])</f>
        <v>Sinae</v>
      </c>
      <c r="N118" t="str">
        <f>_xlfn.XLOOKUP(frasest[[#This Row],[autor_es]],autorest[autor_es],autorest[epoca_es])</f>
        <v>Edad Antigua</v>
      </c>
      <c r="O118" t="str">
        <f>_xlfn.XLOOKUP(frasest[[#This Row],[autor_es]],autorest[autor_es],autorest[epoca_la])</f>
        <v>Antiquitas</v>
      </c>
    </row>
    <row r="119" spans="1:15" ht="14.25">
      <c r="A119">
        <v>118</v>
      </c>
      <c r="B119" t="s">
        <v>358</v>
      </c>
      <c r="C119" t="s">
        <v>359</v>
      </c>
      <c r="D119" s="2" t="s">
        <v>360</v>
      </c>
      <c r="E119" t="s">
        <v>361</v>
      </c>
      <c r="F119" t="str">
        <f>_xlfn.XLOOKUP(frasest[[#This Row],[autor_es]],autorest[autor_es],autorest[autor_la])</f>
        <v>Proverbium Tibetanum</v>
      </c>
      <c r="G119" t="str">
        <f>_xlfn.XLOOKUP(frasest[[#This Row],[autor_es]],autorest[autor_es],autorest[bio_es])</f>
        <v>Proverbios de la tradición tibetana inspirados en la filosofía budista, centrados en la compasión, la impermanencia y el equilibrio interior.</v>
      </c>
      <c r="H119" t="str">
        <f>_xlfn.XLOOKUP(frasest[[#This Row],[autor_es]],autorest[autor_es],autorest[bio_la])</f>
        <v>Collectio sententiarum Tibeticarum.</v>
      </c>
      <c r="I119" t="str">
        <f>_xlfn.XLOOKUP(frasest[[#This Row],[autor_es]],autorest[autor_es],autorest[codigo])</f>
        <v>es</v>
      </c>
      <c r="J119" t="str">
        <f>_xlfn.XLOOKUP(frasest[[#This Row],[autor_es]],autorest[autor_es],autorest[idioma_es])</f>
        <v>Español</v>
      </c>
      <c r="K119" t="str">
        <f>_xlfn.XLOOKUP(frasest[[#This Row],[autor_es]],autorest[autor_es],autorest[idioma_la])</f>
        <v>Lingua Hispanica</v>
      </c>
      <c r="L119" t="str">
        <f>_xlfn.XLOOKUP(frasest[[#This Row],[autor_es]],autorest[autor_es],autorest[nacion_es])</f>
        <v>Tíbet</v>
      </c>
      <c r="M119" t="str">
        <f>_xlfn.XLOOKUP(frasest[[#This Row],[autor_es]],autorest[autor_es],autorest[nacion_la])</f>
        <v>Thibetum</v>
      </c>
      <c r="N119" t="str">
        <f>_xlfn.XLOOKUP(frasest[[#This Row],[autor_es]],autorest[autor_es],autorest[epoca_es])</f>
        <v>Epoca Desconocida</v>
      </c>
      <c r="O119" t="str">
        <f>_xlfn.XLOOKUP(frasest[[#This Row],[autor_es]],autorest[autor_es],autorest[epoca_la])</f>
        <v>Epocha Ignota</v>
      </c>
    </row>
    <row r="120" spans="1:15">
      <c r="A120">
        <v>119</v>
      </c>
      <c r="B120" t="s">
        <v>362</v>
      </c>
      <c r="C120" t="s">
        <v>363</v>
      </c>
      <c r="D120" t="s">
        <v>364</v>
      </c>
      <c r="E120" t="s">
        <v>365</v>
      </c>
      <c r="F120" t="str">
        <f>_xlfn.XLOOKUP(frasest[[#This Row],[autor_es]],autorest[autor_es],autorest[autor_la])</f>
        <v>Thales Miletaeus</v>
      </c>
      <c r="G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0" t="str">
        <f>_xlfn.XLOOKUP(frasest[[#This Row],[autor_es]],autorest[autor_es],autorest[bio_la])</f>
        <v>Philosophus Graecus Praesocraticus Miletaeus, primus philosophus Occidentis et unus ex Septem Sapientibus. Praedixit eclipsis solis anno 585 a.C. et aquam substantiam primordialem proposuit.</v>
      </c>
      <c r="I120" t="str">
        <f>_xlfn.XLOOKUP(frasest[[#This Row],[autor_es]],autorest[autor_es],autorest[codigo])</f>
        <v>el</v>
      </c>
      <c r="J120" t="str">
        <f>_xlfn.XLOOKUP(frasest[[#This Row],[autor_es]],autorest[autor_es],autorest[idioma_es])</f>
        <v>Griego</v>
      </c>
      <c r="K120" t="str">
        <f>_xlfn.XLOOKUP(frasest[[#This Row],[autor_es]],autorest[autor_es],autorest[idioma_la])</f>
        <v>Lingua Graeca</v>
      </c>
      <c r="L120" t="str">
        <f>_xlfn.XLOOKUP(frasest[[#This Row],[autor_es]],autorest[autor_es],autorest[nacion_es])</f>
        <v>Grecia</v>
      </c>
      <c r="M120" t="str">
        <f>_xlfn.XLOOKUP(frasest[[#This Row],[autor_es]],autorest[autor_es],autorest[nacion_la])</f>
        <v>Graecia</v>
      </c>
      <c r="N120" t="str">
        <f>_xlfn.XLOOKUP(frasest[[#This Row],[autor_es]],autorest[autor_es],autorest[epoca_es])</f>
        <v>Edad Antigua</v>
      </c>
      <c r="O120" t="str">
        <f>_xlfn.XLOOKUP(frasest[[#This Row],[autor_es]],autorest[autor_es],autorest[epoca_la])</f>
        <v>Antiquitas</v>
      </c>
    </row>
    <row r="121" spans="1:15">
      <c r="A121">
        <v>120</v>
      </c>
      <c r="B121" t="s">
        <v>366</v>
      </c>
      <c r="C121" t="s">
        <v>367</v>
      </c>
      <c r="D121" t="s">
        <v>368</v>
      </c>
      <c r="E121" t="s">
        <v>365</v>
      </c>
      <c r="F121" t="str">
        <f>_xlfn.XLOOKUP(frasest[[#This Row],[autor_es]],autorest[autor_es],autorest[autor_la])</f>
        <v>Thales Miletaeus</v>
      </c>
      <c r="G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1" t="str">
        <f>_xlfn.XLOOKUP(frasest[[#This Row],[autor_es]],autorest[autor_es],autorest[bio_la])</f>
        <v>Philosophus Graecus Praesocraticus Miletaeus, primus philosophus Occidentis et unus ex Septem Sapientibus. Praedixit eclipsis solis anno 585 a.C. et aquam substantiam primordialem proposuit.</v>
      </c>
      <c r="I121" t="str">
        <f>_xlfn.XLOOKUP(frasest[[#This Row],[autor_es]],autorest[autor_es],autorest[codigo])</f>
        <v>el</v>
      </c>
      <c r="J121" t="str">
        <f>_xlfn.XLOOKUP(frasest[[#This Row],[autor_es]],autorest[autor_es],autorest[idioma_es])</f>
        <v>Griego</v>
      </c>
      <c r="K121" t="str">
        <f>_xlfn.XLOOKUP(frasest[[#This Row],[autor_es]],autorest[autor_es],autorest[idioma_la])</f>
        <v>Lingua Graeca</v>
      </c>
      <c r="L121" t="str">
        <f>_xlfn.XLOOKUP(frasest[[#This Row],[autor_es]],autorest[autor_es],autorest[nacion_es])</f>
        <v>Grecia</v>
      </c>
      <c r="M121" t="str">
        <f>_xlfn.XLOOKUP(frasest[[#This Row],[autor_es]],autorest[autor_es],autorest[nacion_la])</f>
        <v>Graecia</v>
      </c>
      <c r="N121" t="str">
        <f>_xlfn.XLOOKUP(frasest[[#This Row],[autor_es]],autorest[autor_es],autorest[epoca_es])</f>
        <v>Edad Antigua</v>
      </c>
      <c r="O121" t="str">
        <f>_xlfn.XLOOKUP(frasest[[#This Row],[autor_es]],autorest[autor_es],autorest[epoca_la])</f>
        <v>Antiquitas</v>
      </c>
    </row>
    <row r="122" spans="1:15">
      <c r="A122">
        <v>121</v>
      </c>
      <c r="B122" t="s">
        <v>369</v>
      </c>
      <c r="C122" t="s">
        <v>370</v>
      </c>
      <c r="D122" t="s">
        <v>371</v>
      </c>
      <c r="E122" t="s">
        <v>365</v>
      </c>
      <c r="F122" t="str">
        <f>_xlfn.XLOOKUP(frasest[[#This Row],[autor_es]],autorest[autor_es],autorest[autor_la])</f>
        <v>Thales Miletaeus</v>
      </c>
      <c r="G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2" t="str">
        <f>_xlfn.XLOOKUP(frasest[[#This Row],[autor_es]],autorest[autor_es],autorest[bio_la])</f>
        <v>Philosophus Graecus Praesocraticus Miletaeus, primus philosophus Occidentis et unus ex Septem Sapientibus. Praedixit eclipsis solis anno 585 a.C. et aquam substantiam primordialem proposuit.</v>
      </c>
      <c r="I122" t="str">
        <f>_xlfn.XLOOKUP(frasest[[#This Row],[autor_es]],autorest[autor_es],autorest[codigo])</f>
        <v>el</v>
      </c>
      <c r="J122" t="str">
        <f>_xlfn.XLOOKUP(frasest[[#This Row],[autor_es]],autorest[autor_es],autorest[idioma_es])</f>
        <v>Griego</v>
      </c>
      <c r="K122" t="str">
        <f>_xlfn.XLOOKUP(frasest[[#This Row],[autor_es]],autorest[autor_es],autorest[idioma_la])</f>
        <v>Lingua Graeca</v>
      </c>
      <c r="L122" t="str">
        <f>_xlfn.XLOOKUP(frasest[[#This Row],[autor_es]],autorest[autor_es],autorest[nacion_es])</f>
        <v>Grecia</v>
      </c>
      <c r="M122" t="str">
        <f>_xlfn.XLOOKUP(frasest[[#This Row],[autor_es]],autorest[autor_es],autorest[nacion_la])</f>
        <v>Graecia</v>
      </c>
      <c r="N122" t="str">
        <f>_xlfn.XLOOKUP(frasest[[#This Row],[autor_es]],autorest[autor_es],autorest[epoca_es])</f>
        <v>Edad Antigua</v>
      </c>
      <c r="O122" t="str">
        <f>_xlfn.XLOOKUP(frasest[[#This Row],[autor_es]],autorest[autor_es],autorest[epoca_la])</f>
        <v>Antiquitas</v>
      </c>
    </row>
    <row r="123" spans="1:15">
      <c r="A123">
        <v>122</v>
      </c>
      <c r="B123" t="s">
        <v>372</v>
      </c>
      <c r="C123" t="s">
        <v>373</v>
      </c>
      <c r="D123" t="s">
        <v>374</v>
      </c>
      <c r="E123" t="s">
        <v>365</v>
      </c>
      <c r="F123" t="str">
        <f>_xlfn.XLOOKUP(frasest[[#This Row],[autor_es]],autorest[autor_es],autorest[autor_la])</f>
        <v>Thales Miletaeus</v>
      </c>
      <c r="G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3" t="str">
        <f>_xlfn.XLOOKUP(frasest[[#This Row],[autor_es]],autorest[autor_es],autorest[bio_la])</f>
        <v>Philosophus Graecus Praesocraticus Miletaeus, primus philosophus Occidentis et unus ex Septem Sapientibus. Praedixit eclipsis solis anno 585 a.C. et aquam substantiam primordialem proposuit.</v>
      </c>
      <c r="I123" t="str">
        <f>_xlfn.XLOOKUP(frasest[[#This Row],[autor_es]],autorest[autor_es],autorest[codigo])</f>
        <v>el</v>
      </c>
      <c r="J123" t="str">
        <f>_xlfn.XLOOKUP(frasest[[#This Row],[autor_es]],autorest[autor_es],autorest[idioma_es])</f>
        <v>Griego</v>
      </c>
      <c r="K123" t="str">
        <f>_xlfn.XLOOKUP(frasest[[#This Row],[autor_es]],autorest[autor_es],autorest[idioma_la])</f>
        <v>Lingua Graeca</v>
      </c>
      <c r="L123" t="str">
        <f>_xlfn.XLOOKUP(frasest[[#This Row],[autor_es]],autorest[autor_es],autorest[nacion_es])</f>
        <v>Grecia</v>
      </c>
      <c r="M123" t="str">
        <f>_xlfn.XLOOKUP(frasest[[#This Row],[autor_es]],autorest[autor_es],autorest[nacion_la])</f>
        <v>Graecia</v>
      </c>
      <c r="N123" t="str">
        <f>_xlfn.XLOOKUP(frasest[[#This Row],[autor_es]],autorest[autor_es],autorest[epoca_es])</f>
        <v>Edad Antigua</v>
      </c>
      <c r="O123" t="str">
        <f>_xlfn.XLOOKUP(frasest[[#This Row],[autor_es]],autorest[autor_es],autorest[epoca_la])</f>
        <v>Antiquitas</v>
      </c>
    </row>
    <row r="124" spans="1:15">
      <c r="A124">
        <v>123</v>
      </c>
      <c r="B124" t="s">
        <v>375</v>
      </c>
      <c r="C124" t="s">
        <v>376</v>
      </c>
      <c r="D124" t="s">
        <v>377</v>
      </c>
      <c r="E124" t="s">
        <v>365</v>
      </c>
      <c r="F124" t="str">
        <f>_xlfn.XLOOKUP(frasest[[#This Row],[autor_es]],autorest[autor_es],autorest[autor_la])</f>
        <v>Thales Miletaeus</v>
      </c>
      <c r="G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4" t="str">
        <f>_xlfn.XLOOKUP(frasest[[#This Row],[autor_es]],autorest[autor_es],autorest[bio_la])</f>
        <v>Philosophus Graecus Praesocraticus Miletaeus, primus philosophus Occidentis et unus ex Septem Sapientibus. Praedixit eclipsis solis anno 585 a.C. et aquam substantiam primordialem proposuit.</v>
      </c>
      <c r="I124" t="str">
        <f>_xlfn.XLOOKUP(frasest[[#This Row],[autor_es]],autorest[autor_es],autorest[codigo])</f>
        <v>el</v>
      </c>
      <c r="J124" t="str">
        <f>_xlfn.XLOOKUP(frasest[[#This Row],[autor_es]],autorest[autor_es],autorest[idioma_es])</f>
        <v>Griego</v>
      </c>
      <c r="K124" t="str">
        <f>_xlfn.XLOOKUP(frasest[[#This Row],[autor_es]],autorest[autor_es],autorest[idioma_la])</f>
        <v>Lingua Graeca</v>
      </c>
      <c r="L124" t="str">
        <f>_xlfn.XLOOKUP(frasest[[#This Row],[autor_es]],autorest[autor_es],autorest[nacion_es])</f>
        <v>Grecia</v>
      </c>
      <c r="M124" t="str">
        <f>_xlfn.XLOOKUP(frasest[[#This Row],[autor_es]],autorest[autor_es],autorest[nacion_la])</f>
        <v>Graecia</v>
      </c>
      <c r="N124" t="str">
        <f>_xlfn.XLOOKUP(frasest[[#This Row],[autor_es]],autorest[autor_es],autorest[epoca_es])</f>
        <v>Edad Antigua</v>
      </c>
      <c r="O124" t="str">
        <f>_xlfn.XLOOKUP(frasest[[#This Row],[autor_es]],autorest[autor_es],autorest[epoca_la])</f>
        <v>Antiquitas</v>
      </c>
    </row>
    <row r="125" spans="1:15">
      <c r="A125">
        <v>124</v>
      </c>
      <c r="B125" t="s">
        <v>378</v>
      </c>
      <c r="C125" t="s">
        <v>379</v>
      </c>
      <c r="D125" t="s">
        <v>380</v>
      </c>
      <c r="E125" t="s">
        <v>365</v>
      </c>
      <c r="F125" t="str">
        <f>_xlfn.XLOOKUP(frasest[[#This Row],[autor_es]],autorest[autor_es],autorest[autor_la])</f>
        <v>Thales Miletaeus</v>
      </c>
      <c r="G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5" t="str">
        <f>_xlfn.XLOOKUP(frasest[[#This Row],[autor_es]],autorest[autor_es],autorest[bio_la])</f>
        <v>Philosophus Graecus Praesocraticus Miletaeus, primus philosophus Occidentis et unus ex Septem Sapientibus. Praedixit eclipsis solis anno 585 a.C. et aquam substantiam primordialem proposuit.</v>
      </c>
      <c r="I125" t="str">
        <f>_xlfn.XLOOKUP(frasest[[#This Row],[autor_es]],autorest[autor_es],autorest[codigo])</f>
        <v>el</v>
      </c>
      <c r="J125" t="str">
        <f>_xlfn.XLOOKUP(frasest[[#This Row],[autor_es]],autorest[autor_es],autorest[idioma_es])</f>
        <v>Griego</v>
      </c>
      <c r="K125" t="str">
        <f>_xlfn.XLOOKUP(frasest[[#This Row],[autor_es]],autorest[autor_es],autorest[idioma_la])</f>
        <v>Lingua Graeca</v>
      </c>
      <c r="L125" t="str">
        <f>_xlfn.XLOOKUP(frasest[[#This Row],[autor_es]],autorest[autor_es],autorest[nacion_es])</f>
        <v>Grecia</v>
      </c>
      <c r="M125" t="str">
        <f>_xlfn.XLOOKUP(frasest[[#This Row],[autor_es]],autorest[autor_es],autorest[nacion_la])</f>
        <v>Graecia</v>
      </c>
      <c r="N125" t="str">
        <f>_xlfn.XLOOKUP(frasest[[#This Row],[autor_es]],autorest[autor_es],autorest[epoca_es])</f>
        <v>Edad Antigua</v>
      </c>
      <c r="O125" t="str">
        <f>_xlfn.XLOOKUP(frasest[[#This Row],[autor_es]],autorest[autor_es],autorest[epoca_la])</f>
        <v>Antiquitas</v>
      </c>
    </row>
    <row r="126" spans="1:15">
      <c r="A126">
        <v>125</v>
      </c>
      <c r="B126" t="s">
        <v>381</v>
      </c>
      <c r="C126" t="s">
        <v>382</v>
      </c>
      <c r="D126" t="s">
        <v>383</v>
      </c>
      <c r="E126" t="s">
        <v>365</v>
      </c>
      <c r="F126" t="str">
        <f>_xlfn.XLOOKUP(frasest[[#This Row],[autor_es]],autorest[autor_es],autorest[autor_la])</f>
        <v>Thales Miletaeus</v>
      </c>
      <c r="G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6" t="str">
        <f>_xlfn.XLOOKUP(frasest[[#This Row],[autor_es]],autorest[autor_es],autorest[bio_la])</f>
        <v>Philosophus Graecus Praesocraticus Miletaeus, primus philosophus Occidentis et unus ex Septem Sapientibus. Praedixit eclipsis solis anno 585 a.C. et aquam substantiam primordialem proposuit.</v>
      </c>
      <c r="I126" t="str">
        <f>_xlfn.XLOOKUP(frasest[[#This Row],[autor_es]],autorest[autor_es],autorest[codigo])</f>
        <v>el</v>
      </c>
      <c r="J126" t="str">
        <f>_xlfn.XLOOKUP(frasest[[#This Row],[autor_es]],autorest[autor_es],autorest[idioma_es])</f>
        <v>Griego</v>
      </c>
      <c r="K126" t="str">
        <f>_xlfn.XLOOKUP(frasest[[#This Row],[autor_es]],autorest[autor_es],autorest[idioma_la])</f>
        <v>Lingua Graeca</v>
      </c>
      <c r="L126" t="str">
        <f>_xlfn.XLOOKUP(frasest[[#This Row],[autor_es]],autorest[autor_es],autorest[nacion_es])</f>
        <v>Grecia</v>
      </c>
      <c r="M126" t="str">
        <f>_xlfn.XLOOKUP(frasest[[#This Row],[autor_es]],autorest[autor_es],autorest[nacion_la])</f>
        <v>Graecia</v>
      </c>
      <c r="N126" t="str">
        <f>_xlfn.XLOOKUP(frasest[[#This Row],[autor_es]],autorest[autor_es],autorest[epoca_es])</f>
        <v>Edad Antigua</v>
      </c>
      <c r="O126" t="str">
        <f>_xlfn.XLOOKUP(frasest[[#This Row],[autor_es]],autorest[autor_es],autorest[epoca_la])</f>
        <v>Antiquitas</v>
      </c>
    </row>
    <row r="127" spans="1:15">
      <c r="A127">
        <v>126</v>
      </c>
      <c r="B127" t="s">
        <v>384</v>
      </c>
      <c r="C127" t="s">
        <v>385</v>
      </c>
      <c r="D127" t="s">
        <v>386</v>
      </c>
      <c r="E127" t="s">
        <v>365</v>
      </c>
      <c r="F127" t="str">
        <f>_xlfn.XLOOKUP(frasest[[#This Row],[autor_es]],autorest[autor_es],autorest[autor_la])</f>
        <v>Thales Miletaeus</v>
      </c>
      <c r="G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7" t="str">
        <f>_xlfn.XLOOKUP(frasest[[#This Row],[autor_es]],autorest[autor_es],autorest[bio_la])</f>
        <v>Philosophus Graecus Praesocraticus Miletaeus, primus philosophus Occidentis et unus ex Septem Sapientibus. Praedixit eclipsis solis anno 585 a.C. et aquam substantiam primordialem proposuit.</v>
      </c>
      <c r="I127" t="str">
        <f>_xlfn.XLOOKUP(frasest[[#This Row],[autor_es]],autorest[autor_es],autorest[codigo])</f>
        <v>el</v>
      </c>
      <c r="J127" t="str">
        <f>_xlfn.XLOOKUP(frasest[[#This Row],[autor_es]],autorest[autor_es],autorest[idioma_es])</f>
        <v>Griego</v>
      </c>
      <c r="K127" t="str">
        <f>_xlfn.XLOOKUP(frasest[[#This Row],[autor_es]],autorest[autor_es],autorest[idioma_la])</f>
        <v>Lingua Graeca</v>
      </c>
      <c r="L127" t="str">
        <f>_xlfn.XLOOKUP(frasest[[#This Row],[autor_es]],autorest[autor_es],autorest[nacion_es])</f>
        <v>Grecia</v>
      </c>
      <c r="M127" t="str">
        <f>_xlfn.XLOOKUP(frasest[[#This Row],[autor_es]],autorest[autor_es],autorest[nacion_la])</f>
        <v>Graecia</v>
      </c>
      <c r="N127" t="str">
        <f>_xlfn.XLOOKUP(frasest[[#This Row],[autor_es]],autorest[autor_es],autorest[epoca_es])</f>
        <v>Edad Antigua</v>
      </c>
      <c r="O127" t="str">
        <f>_xlfn.XLOOKUP(frasest[[#This Row],[autor_es]],autorest[autor_es],autorest[epoca_la])</f>
        <v>Antiquitas</v>
      </c>
    </row>
    <row r="128" spans="1:15">
      <c r="A128">
        <v>127</v>
      </c>
      <c r="B128" t="s">
        <v>387</v>
      </c>
      <c r="C128" t="s">
        <v>388</v>
      </c>
      <c r="D128" t="s">
        <v>389</v>
      </c>
      <c r="E128" t="s">
        <v>365</v>
      </c>
      <c r="F128" t="str">
        <f>_xlfn.XLOOKUP(frasest[[#This Row],[autor_es]],autorest[autor_es],autorest[autor_la])</f>
        <v>Thales Miletaeus</v>
      </c>
      <c r="G128"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8" t="str">
        <f>_xlfn.XLOOKUP(frasest[[#This Row],[autor_es]],autorest[autor_es],autorest[bio_la])</f>
        <v>Philosophus Graecus Praesocraticus Miletaeus, primus philosophus Occidentis et unus ex Septem Sapientibus. Praedixit eclipsis solis anno 585 a.C. et aquam substantiam primordialem proposuit.</v>
      </c>
      <c r="I128" t="str">
        <f>_xlfn.XLOOKUP(frasest[[#This Row],[autor_es]],autorest[autor_es],autorest[codigo])</f>
        <v>el</v>
      </c>
      <c r="J128" t="str">
        <f>_xlfn.XLOOKUP(frasest[[#This Row],[autor_es]],autorest[autor_es],autorest[idioma_es])</f>
        <v>Griego</v>
      </c>
      <c r="K128" t="str">
        <f>_xlfn.XLOOKUP(frasest[[#This Row],[autor_es]],autorest[autor_es],autorest[idioma_la])</f>
        <v>Lingua Graeca</v>
      </c>
      <c r="L128" t="str">
        <f>_xlfn.XLOOKUP(frasest[[#This Row],[autor_es]],autorest[autor_es],autorest[nacion_es])</f>
        <v>Grecia</v>
      </c>
      <c r="M128" t="str">
        <f>_xlfn.XLOOKUP(frasest[[#This Row],[autor_es]],autorest[autor_es],autorest[nacion_la])</f>
        <v>Graecia</v>
      </c>
      <c r="N128" t="str">
        <f>_xlfn.XLOOKUP(frasest[[#This Row],[autor_es]],autorest[autor_es],autorest[epoca_es])</f>
        <v>Edad Antigua</v>
      </c>
      <c r="O128" t="str">
        <f>_xlfn.XLOOKUP(frasest[[#This Row],[autor_es]],autorest[autor_es],autorest[epoca_la])</f>
        <v>Antiquitas</v>
      </c>
    </row>
    <row r="129" spans="1:15">
      <c r="A129">
        <v>128</v>
      </c>
      <c r="B129" t="s">
        <v>390</v>
      </c>
      <c r="C129" t="s">
        <v>391</v>
      </c>
      <c r="D129" t="s">
        <v>392</v>
      </c>
      <c r="E129" t="s">
        <v>365</v>
      </c>
      <c r="F129" t="str">
        <f>_xlfn.XLOOKUP(frasest[[#This Row],[autor_es]],autorest[autor_es],autorest[autor_la])</f>
        <v>Thales Miletaeus</v>
      </c>
      <c r="G129"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9" t="str">
        <f>_xlfn.XLOOKUP(frasest[[#This Row],[autor_es]],autorest[autor_es],autorest[bio_la])</f>
        <v>Philosophus Graecus Praesocraticus Miletaeus, primus philosophus Occidentis et unus ex Septem Sapientibus. Praedixit eclipsis solis anno 585 a.C. et aquam substantiam primordialem proposuit.</v>
      </c>
      <c r="I129" t="str">
        <f>_xlfn.XLOOKUP(frasest[[#This Row],[autor_es]],autorest[autor_es],autorest[codigo])</f>
        <v>el</v>
      </c>
      <c r="J129" t="str">
        <f>_xlfn.XLOOKUP(frasest[[#This Row],[autor_es]],autorest[autor_es],autorest[idioma_es])</f>
        <v>Griego</v>
      </c>
      <c r="K129" t="str">
        <f>_xlfn.XLOOKUP(frasest[[#This Row],[autor_es]],autorest[autor_es],autorest[idioma_la])</f>
        <v>Lingua Graeca</v>
      </c>
      <c r="L129" t="str">
        <f>_xlfn.XLOOKUP(frasest[[#This Row],[autor_es]],autorest[autor_es],autorest[nacion_es])</f>
        <v>Grecia</v>
      </c>
      <c r="M129" t="str">
        <f>_xlfn.XLOOKUP(frasest[[#This Row],[autor_es]],autorest[autor_es],autorest[nacion_la])</f>
        <v>Graecia</v>
      </c>
      <c r="N129" t="str">
        <f>_xlfn.XLOOKUP(frasest[[#This Row],[autor_es]],autorest[autor_es],autorest[epoca_es])</f>
        <v>Edad Antigua</v>
      </c>
      <c r="O129" t="str">
        <f>_xlfn.XLOOKUP(frasest[[#This Row],[autor_es]],autorest[autor_es],autorest[epoca_la])</f>
        <v>Antiquitas</v>
      </c>
    </row>
    <row r="130" spans="1:15">
      <c r="A130">
        <v>129</v>
      </c>
      <c r="B130" t="s">
        <v>393</v>
      </c>
      <c r="C130" t="s">
        <v>394</v>
      </c>
      <c r="D130" t="s">
        <v>395</v>
      </c>
      <c r="E130" t="s">
        <v>396</v>
      </c>
      <c r="F130" t="str">
        <f>_xlfn.XLOOKUP(frasest[[#This Row],[autor_es]],autorest[autor_es],autorest[autor_la])</f>
        <v>Epicurus</v>
      </c>
      <c r="G130" t="str">
        <f>_xlfn.XLOOKUP(frasest[[#This Row],[autor_es]],autorest[autor_es],autorest[bio_es])</f>
        <v>Filósofo griego de la Edad Antigua, fundador del epicureísmo, que defendía la búsqueda racional del placer moderado como camino a la felicidad.</v>
      </c>
      <c r="H130" t="str">
        <f>_xlfn.XLOOKUP(frasest[[#This Row],[autor_es]],autorest[autor_es],autorest[bio_la])</f>
        <v>Philosophus Graecus Antiquitatis, scholae Epicureae conditor, qui voluptatem moderatam ratione quaesitam viam ad felicitatem esse docebat.</v>
      </c>
      <c r="I130" t="str">
        <f>_xlfn.XLOOKUP(frasest[[#This Row],[autor_es]],autorest[autor_es],autorest[codigo])</f>
        <v>el</v>
      </c>
      <c r="J130" t="str">
        <f>_xlfn.XLOOKUP(frasest[[#This Row],[autor_es]],autorest[autor_es],autorest[idioma_es])</f>
        <v>Griego</v>
      </c>
      <c r="K130" t="str">
        <f>_xlfn.XLOOKUP(frasest[[#This Row],[autor_es]],autorest[autor_es],autorest[idioma_la])</f>
        <v>Lingua Graeca</v>
      </c>
      <c r="L130" t="str">
        <f>_xlfn.XLOOKUP(frasest[[#This Row],[autor_es]],autorest[autor_es],autorest[nacion_es])</f>
        <v>Grecia</v>
      </c>
      <c r="M130" t="str">
        <f>_xlfn.XLOOKUP(frasest[[#This Row],[autor_es]],autorest[autor_es],autorest[nacion_la])</f>
        <v>Graecia</v>
      </c>
      <c r="N130" t="str">
        <f>_xlfn.XLOOKUP(frasest[[#This Row],[autor_es]],autorest[autor_es],autorest[epoca_es])</f>
        <v>Edad Antigua</v>
      </c>
      <c r="O130" t="str">
        <f>_xlfn.XLOOKUP(frasest[[#This Row],[autor_es]],autorest[autor_es],autorest[epoca_la])</f>
        <v>Antiquitas</v>
      </c>
    </row>
    <row r="131" spans="1:15">
      <c r="A131">
        <v>130</v>
      </c>
      <c r="B131" t="s">
        <v>397</v>
      </c>
      <c r="C131" t="s">
        <v>398</v>
      </c>
      <c r="D131" t="s">
        <v>399</v>
      </c>
      <c r="E131" t="s">
        <v>396</v>
      </c>
      <c r="F131" t="str">
        <f>_xlfn.XLOOKUP(frasest[[#This Row],[autor_es]],autorest[autor_es],autorest[autor_la])</f>
        <v>Epicurus</v>
      </c>
      <c r="G131" t="str">
        <f>_xlfn.XLOOKUP(frasest[[#This Row],[autor_es]],autorest[autor_es],autorest[bio_es])</f>
        <v>Filósofo griego de la Edad Antigua, fundador del epicureísmo, que defendía la búsqueda racional del placer moderado como camino a la felicidad.</v>
      </c>
      <c r="H131" t="str">
        <f>_xlfn.XLOOKUP(frasest[[#This Row],[autor_es]],autorest[autor_es],autorest[bio_la])</f>
        <v>Philosophus Graecus Antiquitatis, scholae Epicureae conditor, qui voluptatem moderatam ratione quaesitam viam ad felicitatem esse docebat.</v>
      </c>
      <c r="I131" t="str">
        <f>_xlfn.XLOOKUP(frasest[[#This Row],[autor_es]],autorest[autor_es],autorest[codigo])</f>
        <v>el</v>
      </c>
      <c r="J131" t="str">
        <f>_xlfn.XLOOKUP(frasest[[#This Row],[autor_es]],autorest[autor_es],autorest[idioma_es])</f>
        <v>Griego</v>
      </c>
      <c r="K131" t="str">
        <f>_xlfn.XLOOKUP(frasest[[#This Row],[autor_es]],autorest[autor_es],autorest[idioma_la])</f>
        <v>Lingua Graeca</v>
      </c>
      <c r="L131" t="str">
        <f>_xlfn.XLOOKUP(frasest[[#This Row],[autor_es]],autorest[autor_es],autorest[nacion_es])</f>
        <v>Grecia</v>
      </c>
      <c r="M131" t="str">
        <f>_xlfn.XLOOKUP(frasest[[#This Row],[autor_es]],autorest[autor_es],autorest[nacion_la])</f>
        <v>Graecia</v>
      </c>
      <c r="N131" t="str">
        <f>_xlfn.XLOOKUP(frasest[[#This Row],[autor_es]],autorest[autor_es],autorest[epoca_es])</f>
        <v>Edad Antigua</v>
      </c>
      <c r="O131" t="str">
        <f>_xlfn.XLOOKUP(frasest[[#This Row],[autor_es]],autorest[autor_es],autorest[epoca_la])</f>
        <v>Antiquitas</v>
      </c>
    </row>
    <row r="132" spans="1:15">
      <c r="A132">
        <v>131</v>
      </c>
      <c r="B132" t="s">
        <v>400</v>
      </c>
      <c r="C132" t="s">
        <v>401</v>
      </c>
      <c r="D132" t="s">
        <v>402</v>
      </c>
      <c r="E132" t="s">
        <v>396</v>
      </c>
      <c r="F132" t="str">
        <f>_xlfn.XLOOKUP(frasest[[#This Row],[autor_es]],autorest[autor_es],autorest[autor_la])</f>
        <v>Epicurus</v>
      </c>
      <c r="G132" t="str">
        <f>_xlfn.XLOOKUP(frasest[[#This Row],[autor_es]],autorest[autor_es],autorest[bio_es])</f>
        <v>Filósofo griego de la Edad Antigua, fundador del epicureísmo, que defendía la búsqueda racional del placer moderado como camino a la felicidad.</v>
      </c>
      <c r="H132" t="str">
        <f>_xlfn.XLOOKUP(frasest[[#This Row],[autor_es]],autorest[autor_es],autorest[bio_la])</f>
        <v>Philosophus Graecus Antiquitatis, scholae Epicureae conditor, qui voluptatem moderatam ratione quaesitam viam ad felicitatem esse docebat.</v>
      </c>
      <c r="I132" t="str">
        <f>_xlfn.XLOOKUP(frasest[[#This Row],[autor_es]],autorest[autor_es],autorest[codigo])</f>
        <v>el</v>
      </c>
      <c r="J132" t="str">
        <f>_xlfn.XLOOKUP(frasest[[#This Row],[autor_es]],autorest[autor_es],autorest[idioma_es])</f>
        <v>Griego</v>
      </c>
      <c r="K132" t="str">
        <f>_xlfn.XLOOKUP(frasest[[#This Row],[autor_es]],autorest[autor_es],autorest[idioma_la])</f>
        <v>Lingua Graeca</v>
      </c>
      <c r="L132" t="str">
        <f>_xlfn.XLOOKUP(frasest[[#This Row],[autor_es]],autorest[autor_es],autorest[nacion_es])</f>
        <v>Grecia</v>
      </c>
      <c r="M132" t="str">
        <f>_xlfn.XLOOKUP(frasest[[#This Row],[autor_es]],autorest[autor_es],autorest[nacion_la])</f>
        <v>Graecia</v>
      </c>
      <c r="N132" t="str">
        <f>_xlfn.XLOOKUP(frasest[[#This Row],[autor_es]],autorest[autor_es],autorest[epoca_es])</f>
        <v>Edad Antigua</v>
      </c>
      <c r="O132" t="str">
        <f>_xlfn.XLOOKUP(frasest[[#This Row],[autor_es]],autorest[autor_es],autorest[epoca_la])</f>
        <v>Antiquitas</v>
      </c>
    </row>
    <row r="133" spans="1:15">
      <c r="A133">
        <v>132</v>
      </c>
      <c r="B133" t="s">
        <v>403</v>
      </c>
      <c r="C133" t="s">
        <v>404</v>
      </c>
      <c r="D133" t="s">
        <v>405</v>
      </c>
      <c r="E133" t="s">
        <v>396</v>
      </c>
      <c r="F133" t="str">
        <f>_xlfn.XLOOKUP(frasest[[#This Row],[autor_es]],autorest[autor_es],autorest[autor_la])</f>
        <v>Epicurus</v>
      </c>
      <c r="G133" t="str">
        <f>_xlfn.XLOOKUP(frasest[[#This Row],[autor_es]],autorest[autor_es],autorest[bio_es])</f>
        <v>Filósofo griego de la Edad Antigua, fundador del epicureísmo, que defendía la búsqueda racional del placer moderado como camino a la felicidad.</v>
      </c>
      <c r="H133" t="str">
        <f>_xlfn.XLOOKUP(frasest[[#This Row],[autor_es]],autorest[autor_es],autorest[bio_la])</f>
        <v>Philosophus Graecus Antiquitatis, scholae Epicureae conditor, qui voluptatem moderatam ratione quaesitam viam ad felicitatem esse docebat.</v>
      </c>
      <c r="I133" t="str">
        <f>_xlfn.XLOOKUP(frasest[[#This Row],[autor_es]],autorest[autor_es],autorest[codigo])</f>
        <v>el</v>
      </c>
      <c r="J133" t="str">
        <f>_xlfn.XLOOKUP(frasest[[#This Row],[autor_es]],autorest[autor_es],autorest[idioma_es])</f>
        <v>Griego</v>
      </c>
      <c r="K133" t="str">
        <f>_xlfn.XLOOKUP(frasest[[#This Row],[autor_es]],autorest[autor_es],autorest[idioma_la])</f>
        <v>Lingua Graeca</v>
      </c>
      <c r="L133" t="str">
        <f>_xlfn.XLOOKUP(frasest[[#This Row],[autor_es]],autorest[autor_es],autorest[nacion_es])</f>
        <v>Grecia</v>
      </c>
      <c r="M133" t="str">
        <f>_xlfn.XLOOKUP(frasest[[#This Row],[autor_es]],autorest[autor_es],autorest[nacion_la])</f>
        <v>Graecia</v>
      </c>
      <c r="N133" t="str">
        <f>_xlfn.XLOOKUP(frasest[[#This Row],[autor_es]],autorest[autor_es],autorest[epoca_es])</f>
        <v>Edad Antigua</v>
      </c>
      <c r="O133" t="str">
        <f>_xlfn.XLOOKUP(frasest[[#This Row],[autor_es]],autorest[autor_es],autorest[epoca_la])</f>
        <v>Antiquitas</v>
      </c>
    </row>
    <row r="134" spans="1:15">
      <c r="A134">
        <v>133</v>
      </c>
      <c r="B134" t="s">
        <v>406</v>
      </c>
      <c r="C134" t="s">
        <v>407</v>
      </c>
      <c r="D134" t="s">
        <v>408</v>
      </c>
      <c r="E134" t="s">
        <v>396</v>
      </c>
      <c r="F134" t="str">
        <f>_xlfn.XLOOKUP(frasest[[#This Row],[autor_es]],autorest[autor_es],autorest[autor_la])</f>
        <v>Epicurus</v>
      </c>
      <c r="G134" t="str">
        <f>_xlfn.XLOOKUP(frasest[[#This Row],[autor_es]],autorest[autor_es],autorest[bio_es])</f>
        <v>Filósofo griego de la Edad Antigua, fundador del epicureísmo, que defendía la búsqueda racional del placer moderado como camino a la felicidad.</v>
      </c>
      <c r="H134" t="str">
        <f>_xlfn.XLOOKUP(frasest[[#This Row],[autor_es]],autorest[autor_es],autorest[bio_la])</f>
        <v>Philosophus Graecus Antiquitatis, scholae Epicureae conditor, qui voluptatem moderatam ratione quaesitam viam ad felicitatem esse docebat.</v>
      </c>
      <c r="I134" t="str">
        <f>_xlfn.XLOOKUP(frasest[[#This Row],[autor_es]],autorest[autor_es],autorest[codigo])</f>
        <v>el</v>
      </c>
      <c r="J134" t="str">
        <f>_xlfn.XLOOKUP(frasest[[#This Row],[autor_es]],autorest[autor_es],autorest[idioma_es])</f>
        <v>Griego</v>
      </c>
      <c r="K134" t="str">
        <f>_xlfn.XLOOKUP(frasest[[#This Row],[autor_es]],autorest[autor_es],autorest[idioma_la])</f>
        <v>Lingua Graeca</v>
      </c>
      <c r="L134" t="str">
        <f>_xlfn.XLOOKUP(frasest[[#This Row],[autor_es]],autorest[autor_es],autorest[nacion_es])</f>
        <v>Grecia</v>
      </c>
      <c r="M134" t="str">
        <f>_xlfn.XLOOKUP(frasest[[#This Row],[autor_es]],autorest[autor_es],autorest[nacion_la])</f>
        <v>Graecia</v>
      </c>
      <c r="N134" t="str">
        <f>_xlfn.XLOOKUP(frasest[[#This Row],[autor_es]],autorest[autor_es],autorest[epoca_es])</f>
        <v>Edad Antigua</v>
      </c>
      <c r="O134" t="str">
        <f>_xlfn.XLOOKUP(frasest[[#This Row],[autor_es]],autorest[autor_es],autorest[epoca_la])</f>
        <v>Antiquitas</v>
      </c>
    </row>
    <row r="135" spans="1:15">
      <c r="A135">
        <v>134</v>
      </c>
      <c r="B135" t="s">
        <v>409</v>
      </c>
      <c r="C135" t="s">
        <v>410</v>
      </c>
      <c r="D135" t="s">
        <v>411</v>
      </c>
      <c r="E135" t="s">
        <v>396</v>
      </c>
      <c r="F135" t="str">
        <f>_xlfn.XLOOKUP(frasest[[#This Row],[autor_es]],autorest[autor_es],autorest[autor_la])</f>
        <v>Epicurus</v>
      </c>
      <c r="G135" t="str">
        <f>_xlfn.XLOOKUP(frasest[[#This Row],[autor_es]],autorest[autor_es],autorest[bio_es])</f>
        <v>Filósofo griego de la Edad Antigua, fundador del epicureísmo, que defendía la búsqueda racional del placer moderado como camino a la felicidad.</v>
      </c>
      <c r="H135" t="str">
        <f>_xlfn.XLOOKUP(frasest[[#This Row],[autor_es]],autorest[autor_es],autorest[bio_la])</f>
        <v>Philosophus Graecus Antiquitatis, scholae Epicureae conditor, qui voluptatem moderatam ratione quaesitam viam ad felicitatem esse docebat.</v>
      </c>
      <c r="I135" t="str">
        <f>_xlfn.XLOOKUP(frasest[[#This Row],[autor_es]],autorest[autor_es],autorest[codigo])</f>
        <v>el</v>
      </c>
      <c r="J135" t="str">
        <f>_xlfn.XLOOKUP(frasest[[#This Row],[autor_es]],autorest[autor_es],autorest[idioma_es])</f>
        <v>Griego</v>
      </c>
      <c r="K135" t="str">
        <f>_xlfn.XLOOKUP(frasest[[#This Row],[autor_es]],autorest[autor_es],autorest[idioma_la])</f>
        <v>Lingua Graeca</v>
      </c>
      <c r="L135" t="str">
        <f>_xlfn.XLOOKUP(frasest[[#This Row],[autor_es]],autorest[autor_es],autorest[nacion_es])</f>
        <v>Grecia</v>
      </c>
      <c r="M135" t="str">
        <f>_xlfn.XLOOKUP(frasest[[#This Row],[autor_es]],autorest[autor_es],autorest[nacion_la])</f>
        <v>Graecia</v>
      </c>
      <c r="N135" t="str">
        <f>_xlfn.XLOOKUP(frasest[[#This Row],[autor_es]],autorest[autor_es],autorest[epoca_es])</f>
        <v>Edad Antigua</v>
      </c>
      <c r="O135" t="str">
        <f>_xlfn.XLOOKUP(frasest[[#This Row],[autor_es]],autorest[autor_es],autorest[epoca_la])</f>
        <v>Antiquitas</v>
      </c>
    </row>
    <row r="136" spans="1:15">
      <c r="A136">
        <v>135</v>
      </c>
      <c r="B136" t="s">
        <v>412</v>
      </c>
      <c r="C136" t="s">
        <v>413</v>
      </c>
      <c r="D136" t="s">
        <v>414</v>
      </c>
      <c r="E136" t="s">
        <v>396</v>
      </c>
      <c r="F136" t="str">
        <f>_xlfn.XLOOKUP(frasest[[#This Row],[autor_es]],autorest[autor_es],autorest[autor_la])</f>
        <v>Epicurus</v>
      </c>
      <c r="G136" t="str">
        <f>_xlfn.XLOOKUP(frasest[[#This Row],[autor_es]],autorest[autor_es],autorest[bio_es])</f>
        <v>Filósofo griego de la Edad Antigua, fundador del epicureísmo, que defendía la búsqueda racional del placer moderado como camino a la felicidad.</v>
      </c>
      <c r="H136" t="str">
        <f>_xlfn.XLOOKUP(frasest[[#This Row],[autor_es]],autorest[autor_es],autorest[bio_la])</f>
        <v>Philosophus Graecus Antiquitatis, scholae Epicureae conditor, qui voluptatem moderatam ratione quaesitam viam ad felicitatem esse docebat.</v>
      </c>
      <c r="I136" t="str">
        <f>_xlfn.XLOOKUP(frasest[[#This Row],[autor_es]],autorest[autor_es],autorest[codigo])</f>
        <v>el</v>
      </c>
      <c r="J136" t="str">
        <f>_xlfn.XLOOKUP(frasest[[#This Row],[autor_es]],autorest[autor_es],autorest[idioma_es])</f>
        <v>Griego</v>
      </c>
      <c r="K136" t="str">
        <f>_xlfn.XLOOKUP(frasest[[#This Row],[autor_es]],autorest[autor_es],autorest[idioma_la])</f>
        <v>Lingua Graeca</v>
      </c>
      <c r="L136" t="str">
        <f>_xlfn.XLOOKUP(frasest[[#This Row],[autor_es]],autorest[autor_es],autorest[nacion_es])</f>
        <v>Grecia</v>
      </c>
      <c r="M136" t="str">
        <f>_xlfn.XLOOKUP(frasest[[#This Row],[autor_es]],autorest[autor_es],autorest[nacion_la])</f>
        <v>Graecia</v>
      </c>
      <c r="N136" t="str">
        <f>_xlfn.XLOOKUP(frasest[[#This Row],[autor_es]],autorest[autor_es],autorest[epoca_es])</f>
        <v>Edad Antigua</v>
      </c>
      <c r="O136" t="str">
        <f>_xlfn.XLOOKUP(frasest[[#This Row],[autor_es]],autorest[autor_es],autorest[epoca_la])</f>
        <v>Antiquitas</v>
      </c>
    </row>
    <row r="137" spans="1:15">
      <c r="A137">
        <v>136</v>
      </c>
      <c r="B137" t="s">
        <v>415</v>
      </c>
      <c r="C137" t="s">
        <v>416</v>
      </c>
      <c r="D137" t="s">
        <v>417</v>
      </c>
      <c r="E137" t="s">
        <v>396</v>
      </c>
      <c r="F137" t="str">
        <f>_xlfn.XLOOKUP(frasest[[#This Row],[autor_es]],autorest[autor_es],autorest[autor_la])</f>
        <v>Epicurus</v>
      </c>
      <c r="G137" t="str">
        <f>_xlfn.XLOOKUP(frasest[[#This Row],[autor_es]],autorest[autor_es],autorest[bio_es])</f>
        <v>Filósofo griego de la Edad Antigua, fundador del epicureísmo, que defendía la búsqueda racional del placer moderado como camino a la felicidad.</v>
      </c>
      <c r="H137" t="str">
        <f>_xlfn.XLOOKUP(frasest[[#This Row],[autor_es]],autorest[autor_es],autorest[bio_la])</f>
        <v>Philosophus Graecus Antiquitatis, scholae Epicureae conditor, qui voluptatem moderatam ratione quaesitam viam ad felicitatem esse docebat.</v>
      </c>
      <c r="I137" t="str">
        <f>_xlfn.XLOOKUP(frasest[[#This Row],[autor_es]],autorest[autor_es],autorest[codigo])</f>
        <v>el</v>
      </c>
      <c r="J137" t="str">
        <f>_xlfn.XLOOKUP(frasest[[#This Row],[autor_es]],autorest[autor_es],autorest[idioma_es])</f>
        <v>Griego</v>
      </c>
      <c r="K137" t="str">
        <f>_xlfn.XLOOKUP(frasest[[#This Row],[autor_es]],autorest[autor_es],autorest[idioma_la])</f>
        <v>Lingua Graeca</v>
      </c>
      <c r="L137" t="str">
        <f>_xlfn.XLOOKUP(frasest[[#This Row],[autor_es]],autorest[autor_es],autorest[nacion_es])</f>
        <v>Grecia</v>
      </c>
      <c r="M137" t="str">
        <f>_xlfn.XLOOKUP(frasest[[#This Row],[autor_es]],autorest[autor_es],autorest[nacion_la])</f>
        <v>Graecia</v>
      </c>
      <c r="N137" t="str">
        <f>_xlfn.XLOOKUP(frasest[[#This Row],[autor_es]],autorest[autor_es],autorest[epoca_es])</f>
        <v>Edad Antigua</v>
      </c>
      <c r="O137" t="str">
        <f>_xlfn.XLOOKUP(frasest[[#This Row],[autor_es]],autorest[autor_es],autorest[epoca_la])</f>
        <v>Antiquitas</v>
      </c>
    </row>
    <row r="138" spans="1:15">
      <c r="A138">
        <v>137</v>
      </c>
      <c r="B138" t="s">
        <v>418</v>
      </c>
      <c r="C138" t="s">
        <v>419</v>
      </c>
      <c r="D138" t="s">
        <v>420</v>
      </c>
      <c r="E138" t="s">
        <v>396</v>
      </c>
      <c r="F138" t="str">
        <f>_xlfn.XLOOKUP(frasest[[#This Row],[autor_es]],autorest[autor_es],autorest[autor_la])</f>
        <v>Epicurus</v>
      </c>
      <c r="G138" t="str">
        <f>_xlfn.XLOOKUP(frasest[[#This Row],[autor_es]],autorest[autor_es],autorest[bio_es])</f>
        <v>Filósofo griego de la Edad Antigua, fundador del epicureísmo, que defendía la búsqueda racional del placer moderado como camino a la felicidad.</v>
      </c>
      <c r="H138" t="str">
        <f>_xlfn.XLOOKUP(frasest[[#This Row],[autor_es]],autorest[autor_es],autorest[bio_la])</f>
        <v>Philosophus Graecus Antiquitatis, scholae Epicureae conditor, qui voluptatem moderatam ratione quaesitam viam ad felicitatem esse docebat.</v>
      </c>
      <c r="I138" t="str">
        <f>_xlfn.XLOOKUP(frasest[[#This Row],[autor_es]],autorest[autor_es],autorest[codigo])</f>
        <v>el</v>
      </c>
      <c r="J138" t="str">
        <f>_xlfn.XLOOKUP(frasest[[#This Row],[autor_es]],autorest[autor_es],autorest[idioma_es])</f>
        <v>Griego</v>
      </c>
      <c r="K138" t="str">
        <f>_xlfn.XLOOKUP(frasest[[#This Row],[autor_es]],autorest[autor_es],autorest[idioma_la])</f>
        <v>Lingua Graeca</v>
      </c>
      <c r="L138" t="str">
        <f>_xlfn.XLOOKUP(frasest[[#This Row],[autor_es]],autorest[autor_es],autorest[nacion_es])</f>
        <v>Grecia</v>
      </c>
      <c r="M138" t="str">
        <f>_xlfn.XLOOKUP(frasest[[#This Row],[autor_es]],autorest[autor_es],autorest[nacion_la])</f>
        <v>Graecia</v>
      </c>
      <c r="N138" t="str">
        <f>_xlfn.XLOOKUP(frasest[[#This Row],[autor_es]],autorest[autor_es],autorest[epoca_es])</f>
        <v>Edad Antigua</v>
      </c>
      <c r="O138" t="str">
        <f>_xlfn.XLOOKUP(frasest[[#This Row],[autor_es]],autorest[autor_es],autorest[epoca_la])</f>
        <v>Antiquitas</v>
      </c>
    </row>
    <row r="139" spans="1:15">
      <c r="A139">
        <v>138</v>
      </c>
      <c r="B139" t="s">
        <v>421</v>
      </c>
      <c r="C139" t="s">
        <v>422</v>
      </c>
      <c r="D139" t="s">
        <v>423</v>
      </c>
      <c r="E139" t="s">
        <v>396</v>
      </c>
      <c r="F139" t="str">
        <f>_xlfn.XLOOKUP(frasest[[#This Row],[autor_es]],autorest[autor_es],autorest[autor_la])</f>
        <v>Epicurus</v>
      </c>
      <c r="G139" t="str">
        <f>_xlfn.XLOOKUP(frasest[[#This Row],[autor_es]],autorest[autor_es],autorest[bio_es])</f>
        <v>Filósofo griego de la Edad Antigua, fundador del epicureísmo, que defendía la búsqueda racional del placer moderado como camino a la felicidad.</v>
      </c>
      <c r="H139" t="str">
        <f>_xlfn.XLOOKUP(frasest[[#This Row],[autor_es]],autorest[autor_es],autorest[bio_la])</f>
        <v>Philosophus Graecus Antiquitatis, scholae Epicureae conditor, qui voluptatem moderatam ratione quaesitam viam ad felicitatem esse docebat.</v>
      </c>
      <c r="I139" t="str">
        <f>_xlfn.XLOOKUP(frasest[[#This Row],[autor_es]],autorest[autor_es],autorest[codigo])</f>
        <v>el</v>
      </c>
      <c r="J139" t="str">
        <f>_xlfn.XLOOKUP(frasest[[#This Row],[autor_es]],autorest[autor_es],autorest[idioma_es])</f>
        <v>Griego</v>
      </c>
      <c r="K139" t="str">
        <f>_xlfn.XLOOKUP(frasest[[#This Row],[autor_es]],autorest[autor_es],autorest[idioma_la])</f>
        <v>Lingua Graeca</v>
      </c>
      <c r="L139" t="str">
        <f>_xlfn.XLOOKUP(frasest[[#This Row],[autor_es]],autorest[autor_es],autorest[nacion_es])</f>
        <v>Grecia</v>
      </c>
      <c r="M139" t="str">
        <f>_xlfn.XLOOKUP(frasest[[#This Row],[autor_es]],autorest[autor_es],autorest[nacion_la])</f>
        <v>Graecia</v>
      </c>
      <c r="N139" t="str">
        <f>_xlfn.XLOOKUP(frasest[[#This Row],[autor_es]],autorest[autor_es],autorest[epoca_es])</f>
        <v>Edad Antigua</v>
      </c>
      <c r="O139" t="str">
        <f>_xlfn.XLOOKUP(frasest[[#This Row],[autor_es]],autorest[autor_es],autorest[epoca_la])</f>
        <v>Antiquitas</v>
      </c>
    </row>
    <row r="140" spans="1:15">
      <c r="A140">
        <v>139</v>
      </c>
      <c r="B140" t="s">
        <v>424</v>
      </c>
      <c r="C140" t="s">
        <v>425</v>
      </c>
      <c r="D140" t="s">
        <v>426</v>
      </c>
      <c r="E140" t="s">
        <v>427</v>
      </c>
      <c r="F140" t="str">
        <f>_xlfn.XLOOKUP(frasest[[#This Row],[autor_es]],autorest[autor_es],autorest[autor_la])</f>
        <v>Marcus Aurelius</v>
      </c>
      <c r="G140" t="str">
        <f>_xlfn.XLOOKUP(frasest[[#This Row],[autor_es]],autorest[autor_es],autorest[bio_es])</f>
        <v>Emperador romano y filósofo estoico de la Edad Antigua, autor de las “Meditaciones”, obra clave del estoicismo práctico.</v>
      </c>
      <c r="H140" t="str">
        <f>_xlfn.XLOOKUP(frasest[[#This Row],[autor_es]],autorest[autor_es],autorest[bio_la])</f>
        <v>Imperator Romanus et philosophus Stoicus Antiquitatis, auctor “Meditationum”, operis maximi in praxi Stoica.</v>
      </c>
      <c r="I140" t="str">
        <f>_xlfn.XLOOKUP(frasest[[#This Row],[autor_es]],autorest[autor_es],autorest[codigo])</f>
        <v>el</v>
      </c>
      <c r="J140" t="str">
        <f>_xlfn.XLOOKUP(frasest[[#This Row],[autor_es]],autorest[autor_es],autorest[idioma_es])</f>
        <v>Griego</v>
      </c>
      <c r="K140" t="str">
        <f>_xlfn.XLOOKUP(frasest[[#This Row],[autor_es]],autorest[autor_es],autorest[idioma_la])</f>
        <v>Lingua Graeca</v>
      </c>
      <c r="L140" t="str">
        <f>_xlfn.XLOOKUP(frasest[[#This Row],[autor_es]],autorest[autor_es],autorest[nacion_es])</f>
        <v>Roma</v>
      </c>
      <c r="M140" t="str">
        <f>_xlfn.XLOOKUP(frasest[[#This Row],[autor_es]],autorest[autor_es],autorest[nacion_la])</f>
        <v>Roma</v>
      </c>
      <c r="N140" t="str">
        <f>_xlfn.XLOOKUP(frasest[[#This Row],[autor_es]],autorest[autor_es],autorest[epoca_es])</f>
        <v>Edad Antigua</v>
      </c>
      <c r="O140" t="str">
        <f>_xlfn.XLOOKUP(frasest[[#This Row],[autor_es]],autorest[autor_es],autorest[epoca_la])</f>
        <v>Antiquitas</v>
      </c>
    </row>
    <row r="141" spans="1:15">
      <c r="A141">
        <v>140</v>
      </c>
      <c r="B141" t="s">
        <v>428</v>
      </c>
      <c r="C141" t="s">
        <v>429</v>
      </c>
      <c r="D141" t="s">
        <v>430</v>
      </c>
      <c r="E141" t="s">
        <v>427</v>
      </c>
      <c r="F141" t="str">
        <f>_xlfn.XLOOKUP(frasest[[#This Row],[autor_es]],autorest[autor_es],autorest[autor_la])</f>
        <v>Marcus Aurelius</v>
      </c>
      <c r="G141" t="str">
        <f>_xlfn.XLOOKUP(frasest[[#This Row],[autor_es]],autorest[autor_es],autorest[bio_es])</f>
        <v>Emperador romano y filósofo estoico de la Edad Antigua, autor de las “Meditaciones”, obra clave del estoicismo práctico.</v>
      </c>
      <c r="H141" t="str">
        <f>_xlfn.XLOOKUP(frasest[[#This Row],[autor_es]],autorest[autor_es],autorest[bio_la])</f>
        <v>Imperator Romanus et philosophus Stoicus Antiquitatis, auctor “Meditationum”, operis maximi in praxi Stoica.</v>
      </c>
      <c r="I141" t="str">
        <f>_xlfn.XLOOKUP(frasest[[#This Row],[autor_es]],autorest[autor_es],autorest[codigo])</f>
        <v>el</v>
      </c>
      <c r="J141" t="str">
        <f>_xlfn.XLOOKUP(frasest[[#This Row],[autor_es]],autorest[autor_es],autorest[idioma_es])</f>
        <v>Griego</v>
      </c>
      <c r="K141" t="str">
        <f>_xlfn.XLOOKUP(frasest[[#This Row],[autor_es]],autorest[autor_es],autorest[idioma_la])</f>
        <v>Lingua Graeca</v>
      </c>
      <c r="L141" t="str">
        <f>_xlfn.XLOOKUP(frasest[[#This Row],[autor_es]],autorest[autor_es],autorest[nacion_es])</f>
        <v>Roma</v>
      </c>
      <c r="M141" t="str">
        <f>_xlfn.XLOOKUP(frasest[[#This Row],[autor_es]],autorest[autor_es],autorest[nacion_la])</f>
        <v>Roma</v>
      </c>
      <c r="N141" t="str">
        <f>_xlfn.XLOOKUP(frasest[[#This Row],[autor_es]],autorest[autor_es],autorest[epoca_es])</f>
        <v>Edad Antigua</v>
      </c>
      <c r="O141" t="str">
        <f>_xlfn.XLOOKUP(frasest[[#This Row],[autor_es]],autorest[autor_es],autorest[epoca_la])</f>
        <v>Antiquitas</v>
      </c>
    </row>
    <row r="142" spans="1:15">
      <c r="A142">
        <v>141</v>
      </c>
      <c r="B142" t="s">
        <v>431</v>
      </c>
      <c r="C142" t="s">
        <v>432</v>
      </c>
      <c r="D142" t="s">
        <v>433</v>
      </c>
      <c r="E142" t="s">
        <v>427</v>
      </c>
      <c r="F142" t="str">
        <f>_xlfn.XLOOKUP(frasest[[#This Row],[autor_es]],autorest[autor_es],autorest[autor_la])</f>
        <v>Marcus Aurelius</v>
      </c>
      <c r="G142" t="str">
        <f>_xlfn.XLOOKUP(frasest[[#This Row],[autor_es]],autorest[autor_es],autorest[bio_es])</f>
        <v>Emperador romano y filósofo estoico de la Edad Antigua, autor de las “Meditaciones”, obra clave del estoicismo práctico.</v>
      </c>
      <c r="H142" t="str">
        <f>_xlfn.XLOOKUP(frasest[[#This Row],[autor_es]],autorest[autor_es],autorest[bio_la])</f>
        <v>Imperator Romanus et philosophus Stoicus Antiquitatis, auctor “Meditationum”, operis maximi in praxi Stoica.</v>
      </c>
      <c r="I142" t="str">
        <f>_xlfn.XLOOKUP(frasest[[#This Row],[autor_es]],autorest[autor_es],autorest[codigo])</f>
        <v>el</v>
      </c>
      <c r="J142" t="str">
        <f>_xlfn.XLOOKUP(frasest[[#This Row],[autor_es]],autorest[autor_es],autorest[idioma_es])</f>
        <v>Griego</v>
      </c>
      <c r="K142" t="str">
        <f>_xlfn.XLOOKUP(frasest[[#This Row],[autor_es]],autorest[autor_es],autorest[idioma_la])</f>
        <v>Lingua Graeca</v>
      </c>
      <c r="L142" t="str">
        <f>_xlfn.XLOOKUP(frasest[[#This Row],[autor_es]],autorest[autor_es],autorest[nacion_es])</f>
        <v>Roma</v>
      </c>
      <c r="M142" t="str">
        <f>_xlfn.XLOOKUP(frasest[[#This Row],[autor_es]],autorest[autor_es],autorest[nacion_la])</f>
        <v>Roma</v>
      </c>
      <c r="N142" t="str">
        <f>_xlfn.XLOOKUP(frasest[[#This Row],[autor_es]],autorest[autor_es],autorest[epoca_es])</f>
        <v>Edad Antigua</v>
      </c>
      <c r="O142" t="str">
        <f>_xlfn.XLOOKUP(frasest[[#This Row],[autor_es]],autorest[autor_es],autorest[epoca_la])</f>
        <v>Antiquitas</v>
      </c>
    </row>
    <row r="143" spans="1:15">
      <c r="A143">
        <v>142</v>
      </c>
      <c r="B143" t="s">
        <v>434</v>
      </c>
      <c r="C143" t="s">
        <v>435</v>
      </c>
      <c r="D143" t="s">
        <v>436</v>
      </c>
      <c r="E143" t="s">
        <v>427</v>
      </c>
      <c r="F143" t="str">
        <f>_xlfn.XLOOKUP(frasest[[#This Row],[autor_es]],autorest[autor_es],autorest[autor_la])</f>
        <v>Marcus Aurelius</v>
      </c>
      <c r="G143" t="str">
        <f>_xlfn.XLOOKUP(frasest[[#This Row],[autor_es]],autorest[autor_es],autorest[bio_es])</f>
        <v>Emperador romano y filósofo estoico de la Edad Antigua, autor de las “Meditaciones”, obra clave del estoicismo práctico.</v>
      </c>
      <c r="H143" t="str">
        <f>_xlfn.XLOOKUP(frasest[[#This Row],[autor_es]],autorest[autor_es],autorest[bio_la])</f>
        <v>Imperator Romanus et philosophus Stoicus Antiquitatis, auctor “Meditationum”, operis maximi in praxi Stoica.</v>
      </c>
      <c r="I143" t="str">
        <f>_xlfn.XLOOKUP(frasest[[#This Row],[autor_es]],autorest[autor_es],autorest[codigo])</f>
        <v>el</v>
      </c>
      <c r="J143" t="str">
        <f>_xlfn.XLOOKUP(frasest[[#This Row],[autor_es]],autorest[autor_es],autorest[idioma_es])</f>
        <v>Griego</v>
      </c>
      <c r="K143" t="str">
        <f>_xlfn.XLOOKUP(frasest[[#This Row],[autor_es]],autorest[autor_es],autorest[idioma_la])</f>
        <v>Lingua Graeca</v>
      </c>
      <c r="L143" t="str">
        <f>_xlfn.XLOOKUP(frasest[[#This Row],[autor_es]],autorest[autor_es],autorest[nacion_es])</f>
        <v>Roma</v>
      </c>
      <c r="M143" t="str">
        <f>_xlfn.XLOOKUP(frasest[[#This Row],[autor_es]],autorest[autor_es],autorest[nacion_la])</f>
        <v>Roma</v>
      </c>
      <c r="N143" t="str">
        <f>_xlfn.XLOOKUP(frasest[[#This Row],[autor_es]],autorest[autor_es],autorest[epoca_es])</f>
        <v>Edad Antigua</v>
      </c>
      <c r="O143" t="str">
        <f>_xlfn.XLOOKUP(frasest[[#This Row],[autor_es]],autorest[autor_es],autorest[epoca_la])</f>
        <v>Antiquitas</v>
      </c>
    </row>
    <row r="144" spans="1:15">
      <c r="A144">
        <v>143</v>
      </c>
      <c r="B144" t="s">
        <v>437</v>
      </c>
      <c r="C144" t="s">
        <v>438</v>
      </c>
      <c r="D144" t="s">
        <v>439</v>
      </c>
      <c r="E144" t="s">
        <v>427</v>
      </c>
      <c r="F144" t="str">
        <f>_xlfn.XLOOKUP(frasest[[#This Row],[autor_es]],autorest[autor_es],autorest[autor_la])</f>
        <v>Marcus Aurelius</v>
      </c>
      <c r="G144" t="str">
        <f>_xlfn.XLOOKUP(frasest[[#This Row],[autor_es]],autorest[autor_es],autorest[bio_es])</f>
        <v>Emperador romano y filósofo estoico de la Edad Antigua, autor de las “Meditaciones”, obra clave del estoicismo práctico.</v>
      </c>
      <c r="H144" t="str">
        <f>_xlfn.XLOOKUP(frasest[[#This Row],[autor_es]],autorest[autor_es],autorest[bio_la])</f>
        <v>Imperator Romanus et philosophus Stoicus Antiquitatis, auctor “Meditationum”, operis maximi in praxi Stoica.</v>
      </c>
      <c r="I144" t="str">
        <f>_xlfn.XLOOKUP(frasest[[#This Row],[autor_es]],autorest[autor_es],autorest[codigo])</f>
        <v>el</v>
      </c>
      <c r="J144" t="str">
        <f>_xlfn.XLOOKUP(frasest[[#This Row],[autor_es]],autorest[autor_es],autorest[idioma_es])</f>
        <v>Griego</v>
      </c>
      <c r="K144" t="str">
        <f>_xlfn.XLOOKUP(frasest[[#This Row],[autor_es]],autorest[autor_es],autorest[idioma_la])</f>
        <v>Lingua Graeca</v>
      </c>
      <c r="L144" t="str">
        <f>_xlfn.XLOOKUP(frasest[[#This Row],[autor_es]],autorest[autor_es],autorest[nacion_es])</f>
        <v>Roma</v>
      </c>
      <c r="M144" t="str">
        <f>_xlfn.XLOOKUP(frasest[[#This Row],[autor_es]],autorest[autor_es],autorest[nacion_la])</f>
        <v>Roma</v>
      </c>
      <c r="N144" t="str">
        <f>_xlfn.XLOOKUP(frasest[[#This Row],[autor_es]],autorest[autor_es],autorest[epoca_es])</f>
        <v>Edad Antigua</v>
      </c>
      <c r="O144" t="str">
        <f>_xlfn.XLOOKUP(frasest[[#This Row],[autor_es]],autorest[autor_es],autorest[epoca_la])</f>
        <v>Antiquitas</v>
      </c>
    </row>
    <row r="145" spans="1:15">
      <c r="A145">
        <v>144</v>
      </c>
      <c r="B145" t="s">
        <v>440</v>
      </c>
      <c r="C145" t="s">
        <v>441</v>
      </c>
      <c r="D145" t="s">
        <v>442</v>
      </c>
      <c r="E145" t="s">
        <v>427</v>
      </c>
      <c r="F145" t="str">
        <f>_xlfn.XLOOKUP(frasest[[#This Row],[autor_es]],autorest[autor_es],autorest[autor_la])</f>
        <v>Marcus Aurelius</v>
      </c>
      <c r="G145" t="str">
        <f>_xlfn.XLOOKUP(frasest[[#This Row],[autor_es]],autorest[autor_es],autorest[bio_es])</f>
        <v>Emperador romano y filósofo estoico de la Edad Antigua, autor de las “Meditaciones”, obra clave del estoicismo práctico.</v>
      </c>
      <c r="H145" t="str">
        <f>_xlfn.XLOOKUP(frasest[[#This Row],[autor_es]],autorest[autor_es],autorest[bio_la])</f>
        <v>Imperator Romanus et philosophus Stoicus Antiquitatis, auctor “Meditationum”, operis maximi in praxi Stoica.</v>
      </c>
      <c r="I145" t="str">
        <f>_xlfn.XLOOKUP(frasest[[#This Row],[autor_es]],autorest[autor_es],autorest[codigo])</f>
        <v>el</v>
      </c>
      <c r="J145" t="str">
        <f>_xlfn.XLOOKUP(frasest[[#This Row],[autor_es]],autorest[autor_es],autorest[idioma_es])</f>
        <v>Griego</v>
      </c>
      <c r="K145" t="str">
        <f>_xlfn.XLOOKUP(frasest[[#This Row],[autor_es]],autorest[autor_es],autorest[idioma_la])</f>
        <v>Lingua Graeca</v>
      </c>
      <c r="L145" t="str">
        <f>_xlfn.XLOOKUP(frasest[[#This Row],[autor_es]],autorest[autor_es],autorest[nacion_es])</f>
        <v>Roma</v>
      </c>
      <c r="M145" t="str">
        <f>_xlfn.XLOOKUP(frasest[[#This Row],[autor_es]],autorest[autor_es],autorest[nacion_la])</f>
        <v>Roma</v>
      </c>
      <c r="N145" t="str">
        <f>_xlfn.XLOOKUP(frasest[[#This Row],[autor_es]],autorest[autor_es],autorest[epoca_es])</f>
        <v>Edad Antigua</v>
      </c>
      <c r="O145" t="str">
        <f>_xlfn.XLOOKUP(frasest[[#This Row],[autor_es]],autorest[autor_es],autorest[epoca_la])</f>
        <v>Antiquitas</v>
      </c>
    </row>
    <row r="146" spans="1:15">
      <c r="A146">
        <v>145</v>
      </c>
      <c r="B146" t="s">
        <v>443</v>
      </c>
      <c r="C146" t="s">
        <v>444</v>
      </c>
      <c r="D146" t="s">
        <v>445</v>
      </c>
      <c r="E146" t="s">
        <v>427</v>
      </c>
      <c r="F146" t="str">
        <f>_xlfn.XLOOKUP(frasest[[#This Row],[autor_es]],autorest[autor_es],autorest[autor_la])</f>
        <v>Marcus Aurelius</v>
      </c>
      <c r="G146" t="str">
        <f>_xlfn.XLOOKUP(frasest[[#This Row],[autor_es]],autorest[autor_es],autorest[bio_es])</f>
        <v>Emperador romano y filósofo estoico de la Edad Antigua, autor de las “Meditaciones”, obra clave del estoicismo práctico.</v>
      </c>
      <c r="H146" t="str">
        <f>_xlfn.XLOOKUP(frasest[[#This Row],[autor_es]],autorest[autor_es],autorest[bio_la])</f>
        <v>Imperator Romanus et philosophus Stoicus Antiquitatis, auctor “Meditationum”, operis maximi in praxi Stoica.</v>
      </c>
      <c r="I146" t="str">
        <f>_xlfn.XLOOKUP(frasest[[#This Row],[autor_es]],autorest[autor_es],autorest[codigo])</f>
        <v>el</v>
      </c>
      <c r="J146" t="str">
        <f>_xlfn.XLOOKUP(frasest[[#This Row],[autor_es]],autorest[autor_es],autorest[idioma_es])</f>
        <v>Griego</v>
      </c>
      <c r="K146" t="str">
        <f>_xlfn.XLOOKUP(frasest[[#This Row],[autor_es]],autorest[autor_es],autorest[idioma_la])</f>
        <v>Lingua Graeca</v>
      </c>
      <c r="L146" t="str">
        <f>_xlfn.XLOOKUP(frasest[[#This Row],[autor_es]],autorest[autor_es],autorest[nacion_es])</f>
        <v>Roma</v>
      </c>
      <c r="M146" t="str">
        <f>_xlfn.XLOOKUP(frasest[[#This Row],[autor_es]],autorest[autor_es],autorest[nacion_la])</f>
        <v>Roma</v>
      </c>
      <c r="N146" t="str">
        <f>_xlfn.XLOOKUP(frasest[[#This Row],[autor_es]],autorest[autor_es],autorest[epoca_es])</f>
        <v>Edad Antigua</v>
      </c>
      <c r="O146" t="str">
        <f>_xlfn.XLOOKUP(frasest[[#This Row],[autor_es]],autorest[autor_es],autorest[epoca_la])</f>
        <v>Antiquitas</v>
      </c>
    </row>
    <row r="147" spans="1:15">
      <c r="A147">
        <v>146</v>
      </c>
      <c r="B147" t="s">
        <v>446</v>
      </c>
      <c r="C147" t="s">
        <v>447</v>
      </c>
      <c r="D147" t="s">
        <v>448</v>
      </c>
      <c r="E147" t="s">
        <v>427</v>
      </c>
      <c r="F147" t="str">
        <f>_xlfn.XLOOKUP(frasest[[#This Row],[autor_es]],autorest[autor_es],autorest[autor_la])</f>
        <v>Marcus Aurelius</v>
      </c>
      <c r="G147" t="str">
        <f>_xlfn.XLOOKUP(frasest[[#This Row],[autor_es]],autorest[autor_es],autorest[bio_es])</f>
        <v>Emperador romano y filósofo estoico de la Edad Antigua, autor de las “Meditaciones”, obra clave del estoicismo práctico.</v>
      </c>
      <c r="H147" t="str">
        <f>_xlfn.XLOOKUP(frasest[[#This Row],[autor_es]],autorest[autor_es],autorest[bio_la])</f>
        <v>Imperator Romanus et philosophus Stoicus Antiquitatis, auctor “Meditationum”, operis maximi in praxi Stoica.</v>
      </c>
      <c r="I147" t="str">
        <f>_xlfn.XLOOKUP(frasest[[#This Row],[autor_es]],autorest[autor_es],autorest[codigo])</f>
        <v>el</v>
      </c>
      <c r="J147" t="str">
        <f>_xlfn.XLOOKUP(frasest[[#This Row],[autor_es]],autorest[autor_es],autorest[idioma_es])</f>
        <v>Griego</v>
      </c>
      <c r="K147" t="str">
        <f>_xlfn.XLOOKUP(frasest[[#This Row],[autor_es]],autorest[autor_es],autorest[idioma_la])</f>
        <v>Lingua Graeca</v>
      </c>
      <c r="L147" t="str">
        <f>_xlfn.XLOOKUP(frasest[[#This Row],[autor_es]],autorest[autor_es],autorest[nacion_es])</f>
        <v>Roma</v>
      </c>
      <c r="M147" t="str">
        <f>_xlfn.XLOOKUP(frasest[[#This Row],[autor_es]],autorest[autor_es],autorest[nacion_la])</f>
        <v>Roma</v>
      </c>
      <c r="N147" t="str">
        <f>_xlfn.XLOOKUP(frasest[[#This Row],[autor_es]],autorest[autor_es],autorest[epoca_es])</f>
        <v>Edad Antigua</v>
      </c>
      <c r="O147" t="str">
        <f>_xlfn.XLOOKUP(frasest[[#This Row],[autor_es]],autorest[autor_es],autorest[epoca_la])</f>
        <v>Antiquitas</v>
      </c>
    </row>
    <row r="148" spans="1:15">
      <c r="A148">
        <v>147</v>
      </c>
      <c r="B148" t="s">
        <v>449</v>
      </c>
      <c r="C148" t="s">
        <v>450</v>
      </c>
      <c r="D148" t="s">
        <v>451</v>
      </c>
      <c r="E148" t="s">
        <v>427</v>
      </c>
      <c r="F148" t="str">
        <f>_xlfn.XLOOKUP(frasest[[#This Row],[autor_es]],autorest[autor_es],autorest[autor_la])</f>
        <v>Marcus Aurelius</v>
      </c>
      <c r="G148" t="str">
        <f>_xlfn.XLOOKUP(frasest[[#This Row],[autor_es]],autorest[autor_es],autorest[bio_es])</f>
        <v>Emperador romano y filósofo estoico de la Edad Antigua, autor de las “Meditaciones”, obra clave del estoicismo práctico.</v>
      </c>
      <c r="H148" t="str">
        <f>_xlfn.XLOOKUP(frasest[[#This Row],[autor_es]],autorest[autor_es],autorest[bio_la])</f>
        <v>Imperator Romanus et philosophus Stoicus Antiquitatis, auctor “Meditationum”, operis maximi in praxi Stoica.</v>
      </c>
      <c r="I148" t="str">
        <f>_xlfn.XLOOKUP(frasest[[#This Row],[autor_es]],autorest[autor_es],autorest[codigo])</f>
        <v>el</v>
      </c>
      <c r="J148" t="str">
        <f>_xlfn.XLOOKUP(frasest[[#This Row],[autor_es]],autorest[autor_es],autorest[idioma_es])</f>
        <v>Griego</v>
      </c>
      <c r="K148" t="str">
        <f>_xlfn.XLOOKUP(frasest[[#This Row],[autor_es]],autorest[autor_es],autorest[idioma_la])</f>
        <v>Lingua Graeca</v>
      </c>
      <c r="L148" t="str">
        <f>_xlfn.XLOOKUP(frasest[[#This Row],[autor_es]],autorest[autor_es],autorest[nacion_es])</f>
        <v>Roma</v>
      </c>
      <c r="M148" t="str">
        <f>_xlfn.XLOOKUP(frasest[[#This Row],[autor_es]],autorest[autor_es],autorest[nacion_la])</f>
        <v>Roma</v>
      </c>
      <c r="N148" t="str">
        <f>_xlfn.XLOOKUP(frasest[[#This Row],[autor_es]],autorest[autor_es],autorest[epoca_es])</f>
        <v>Edad Antigua</v>
      </c>
      <c r="O148" t="str">
        <f>_xlfn.XLOOKUP(frasest[[#This Row],[autor_es]],autorest[autor_es],autorest[epoca_la])</f>
        <v>Antiquitas</v>
      </c>
    </row>
    <row r="149" spans="1:15">
      <c r="A149">
        <v>148</v>
      </c>
      <c r="B149" t="s">
        <v>452</v>
      </c>
      <c r="C149" t="s">
        <v>453</v>
      </c>
      <c r="D149" t="s">
        <v>454</v>
      </c>
      <c r="E149" t="s">
        <v>427</v>
      </c>
      <c r="F149" t="str">
        <f>_xlfn.XLOOKUP(frasest[[#This Row],[autor_es]],autorest[autor_es],autorest[autor_la])</f>
        <v>Marcus Aurelius</v>
      </c>
      <c r="G149" t="str">
        <f>_xlfn.XLOOKUP(frasest[[#This Row],[autor_es]],autorest[autor_es],autorest[bio_es])</f>
        <v>Emperador romano y filósofo estoico de la Edad Antigua, autor de las “Meditaciones”, obra clave del estoicismo práctico.</v>
      </c>
      <c r="H149" t="str">
        <f>_xlfn.XLOOKUP(frasest[[#This Row],[autor_es]],autorest[autor_es],autorest[bio_la])</f>
        <v>Imperator Romanus et philosophus Stoicus Antiquitatis, auctor “Meditationum”, operis maximi in praxi Stoica.</v>
      </c>
      <c r="I149" t="str">
        <f>_xlfn.XLOOKUP(frasest[[#This Row],[autor_es]],autorest[autor_es],autorest[codigo])</f>
        <v>el</v>
      </c>
      <c r="J149" t="str">
        <f>_xlfn.XLOOKUP(frasest[[#This Row],[autor_es]],autorest[autor_es],autorest[idioma_es])</f>
        <v>Griego</v>
      </c>
      <c r="K149" t="str">
        <f>_xlfn.XLOOKUP(frasest[[#This Row],[autor_es]],autorest[autor_es],autorest[idioma_la])</f>
        <v>Lingua Graeca</v>
      </c>
      <c r="L149" t="str">
        <f>_xlfn.XLOOKUP(frasest[[#This Row],[autor_es]],autorest[autor_es],autorest[nacion_es])</f>
        <v>Roma</v>
      </c>
      <c r="M149" t="str">
        <f>_xlfn.XLOOKUP(frasest[[#This Row],[autor_es]],autorest[autor_es],autorest[nacion_la])</f>
        <v>Roma</v>
      </c>
      <c r="N149" t="str">
        <f>_xlfn.XLOOKUP(frasest[[#This Row],[autor_es]],autorest[autor_es],autorest[epoca_es])</f>
        <v>Edad Antigua</v>
      </c>
      <c r="O149" t="str">
        <f>_xlfn.XLOOKUP(frasest[[#This Row],[autor_es]],autorest[autor_es],autorest[epoca_la])</f>
        <v>Antiquitas</v>
      </c>
    </row>
    <row r="150" spans="1:15">
      <c r="A150">
        <v>149</v>
      </c>
      <c r="B150" t="s">
        <v>455</v>
      </c>
      <c r="C150" t="s">
        <v>456</v>
      </c>
      <c r="D150" t="s">
        <v>457</v>
      </c>
      <c r="E150" t="s">
        <v>458</v>
      </c>
      <c r="F150" t="str">
        <f>_xlfn.XLOOKUP(frasest[[#This Row],[autor_es]],autorest[autor_es],autorest[autor_la])</f>
        <v>Plato</v>
      </c>
      <c r="G150" t="str">
        <f>_xlfn.XLOOKUP(frasest[[#This Row],[autor_es]],autorest[autor_es],autorest[bio_es])</f>
        <v>Filósofo griego de la Edad Antigua, discípulo de Sócrates y maestro de Aristóteles, fundador de la Academia de Atenas.</v>
      </c>
      <c r="H150" t="str">
        <f>_xlfn.XLOOKUP(frasest[[#This Row],[autor_es]],autorest[autor_es],autorest[bio_la])</f>
        <v>Philosophus Graecus Antiquitatis, discipulus Socratis et magister Aristotelis, Academiae Atheniensis conditor.</v>
      </c>
      <c r="I150" t="str">
        <f>_xlfn.XLOOKUP(frasest[[#This Row],[autor_es]],autorest[autor_es],autorest[codigo])</f>
        <v>el</v>
      </c>
      <c r="J150" t="str">
        <f>_xlfn.XLOOKUP(frasest[[#This Row],[autor_es]],autorest[autor_es],autorest[idioma_es])</f>
        <v>Griego</v>
      </c>
      <c r="K150" t="str">
        <f>_xlfn.XLOOKUP(frasest[[#This Row],[autor_es]],autorest[autor_es],autorest[idioma_la])</f>
        <v>Lingua Graeca</v>
      </c>
      <c r="L150" t="str">
        <f>_xlfn.XLOOKUP(frasest[[#This Row],[autor_es]],autorest[autor_es],autorest[nacion_es])</f>
        <v>Grecia</v>
      </c>
      <c r="M150" t="str">
        <f>_xlfn.XLOOKUP(frasest[[#This Row],[autor_es]],autorest[autor_es],autorest[nacion_la])</f>
        <v>Graecia</v>
      </c>
      <c r="N150" t="str">
        <f>_xlfn.XLOOKUP(frasest[[#This Row],[autor_es]],autorest[autor_es],autorest[epoca_es])</f>
        <v>Edad Antigua</v>
      </c>
      <c r="O150" t="str">
        <f>_xlfn.XLOOKUP(frasest[[#This Row],[autor_es]],autorest[autor_es],autorest[epoca_la])</f>
        <v>Antiquitas</v>
      </c>
    </row>
    <row r="151" spans="1:15">
      <c r="A151">
        <v>150</v>
      </c>
      <c r="B151" t="s">
        <v>459</v>
      </c>
      <c r="C151" t="s">
        <v>460</v>
      </c>
      <c r="D151" t="s">
        <v>461</v>
      </c>
      <c r="E151" t="s">
        <v>458</v>
      </c>
      <c r="F151" t="str">
        <f>_xlfn.XLOOKUP(frasest[[#This Row],[autor_es]],autorest[autor_es],autorest[autor_la])</f>
        <v>Plato</v>
      </c>
      <c r="G151" t="str">
        <f>_xlfn.XLOOKUP(frasest[[#This Row],[autor_es]],autorest[autor_es],autorest[bio_es])</f>
        <v>Filósofo griego de la Edad Antigua, discípulo de Sócrates y maestro de Aristóteles, fundador de la Academia de Atenas.</v>
      </c>
      <c r="H151" t="str">
        <f>_xlfn.XLOOKUP(frasest[[#This Row],[autor_es]],autorest[autor_es],autorest[bio_la])</f>
        <v>Philosophus Graecus Antiquitatis, discipulus Socratis et magister Aristotelis, Academiae Atheniensis conditor.</v>
      </c>
      <c r="I151" t="str">
        <f>_xlfn.XLOOKUP(frasest[[#This Row],[autor_es]],autorest[autor_es],autorest[codigo])</f>
        <v>el</v>
      </c>
      <c r="J151" t="str">
        <f>_xlfn.XLOOKUP(frasest[[#This Row],[autor_es]],autorest[autor_es],autorest[idioma_es])</f>
        <v>Griego</v>
      </c>
      <c r="K151" t="str">
        <f>_xlfn.XLOOKUP(frasest[[#This Row],[autor_es]],autorest[autor_es],autorest[idioma_la])</f>
        <v>Lingua Graeca</v>
      </c>
      <c r="L151" t="str">
        <f>_xlfn.XLOOKUP(frasest[[#This Row],[autor_es]],autorest[autor_es],autorest[nacion_es])</f>
        <v>Grecia</v>
      </c>
      <c r="M151" t="str">
        <f>_xlfn.XLOOKUP(frasest[[#This Row],[autor_es]],autorest[autor_es],autorest[nacion_la])</f>
        <v>Graecia</v>
      </c>
      <c r="N151" t="str">
        <f>_xlfn.XLOOKUP(frasest[[#This Row],[autor_es]],autorest[autor_es],autorest[epoca_es])</f>
        <v>Edad Antigua</v>
      </c>
      <c r="O151" t="str">
        <f>_xlfn.XLOOKUP(frasest[[#This Row],[autor_es]],autorest[autor_es],autorest[epoca_la])</f>
        <v>Antiquitas</v>
      </c>
    </row>
    <row r="152" spans="1:15">
      <c r="A152">
        <v>151</v>
      </c>
      <c r="B152" t="s">
        <v>462</v>
      </c>
      <c r="C152" t="s">
        <v>463</v>
      </c>
      <c r="D152" t="s">
        <v>464</v>
      </c>
      <c r="E152" t="s">
        <v>458</v>
      </c>
      <c r="F152" t="str">
        <f>_xlfn.XLOOKUP(frasest[[#This Row],[autor_es]],autorest[autor_es],autorest[autor_la])</f>
        <v>Plato</v>
      </c>
      <c r="G152" t="str">
        <f>_xlfn.XLOOKUP(frasest[[#This Row],[autor_es]],autorest[autor_es],autorest[bio_es])</f>
        <v>Filósofo griego de la Edad Antigua, discípulo de Sócrates y maestro de Aristóteles, fundador de la Academia de Atenas.</v>
      </c>
      <c r="H152" t="str">
        <f>_xlfn.XLOOKUP(frasest[[#This Row],[autor_es]],autorest[autor_es],autorest[bio_la])</f>
        <v>Philosophus Graecus Antiquitatis, discipulus Socratis et magister Aristotelis, Academiae Atheniensis conditor.</v>
      </c>
      <c r="I152" t="str">
        <f>_xlfn.XLOOKUP(frasest[[#This Row],[autor_es]],autorest[autor_es],autorest[codigo])</f>
        <v>el</v>
      </c>
      <c r="J152" t="str">
        <f>_xlfn.XLOOKUP(frasest[[#This Row],[autor_es]],autorest[autor_es],autorest[idioma_es])</f>
        <v>Griego</v>
      </c>
      <c r="K152" t="str">
        <f>_xlfn.XLOOKUP(frasest[[#This Row],[autor_es]],autorest[autor_es],autorest[idioma_la])</f>
        <v>Lingua Graeca</v>
      </c>
      <c r="L152" t="str">
        <f>_xlfn.XLOOKUP(frasest[[#This Row],[autor_es]],autorest[autor_es],autorest[nacion_es])</f>
        <v>Grecia</v>
      </c>
      <c r="M152" t="str">
        <f>_xlfn.XLOOKUP(frasest[[#This Row],[autor_es]],autorest[autor_es],autorest[nacion_la])</f>
        <v>Graecia</v>
      </c>
      <c r="N152" t="str">
        <f>_xlfn.XLOOKUP(frasest[[#This Row],[autor_es]],autorest[autor_es],autorest[epoca_es])</f>
        <v>Edad Antigua</v>
      </c>
      <c r="O152" t="str">
        <f>_xlfn.XLOOKUP(frasest[[#This Row],[autor_es]],autorest[autor_es],autorest[epoca_la])</f>
        <v>Antiquitas</v>
      </c>
    </row>
    <row r="153" spans="1:15">
      <c r="A153">
        <v>152</v>
      </c>
      <c r="B153" t="s">
        <v>465</v>
      </c>
      <c r="C153" t="s">
        <v>466</v>
      </c>
      <c r="D153" t="s">
        <v>467</v>
      </c>
      <c r="E153" t="s">
        <v>458</v>
      </c>
      <c r="F153" t="str">
        <f>_xlfn.XLOOKUP(frasest[[#This Row],[autor_es]],autorest[autor_es],autorest[autor_la])</f>
        <v>Plato</v>
      </c>
      <c r="G153" t="str">
        <f>_xlfn.XLOOKUP(frasest[[#This Row],[autor_es]],autorest[autor_es],autorest[bio_es])</f>
        <v>Filósofo griego de la Edad Antigua, discípulo de Sócrates y maestro de Aristóteles, fundador de la Academia de Atenas.</v>
      </c>
      <c r="H153" t="str">
        <f>_xlfn.XLOOKUP(frasest[[#This Row],[autor_es]],autorest[autor_es],autorest[bio_la])</f>
        <v>Philosophus Graecus Antiquitatis, discipulus Socratis et magister Aristotelis, Academiae Atheniensis conditor.</v>
      </c>
      <c r="I153" t="str">
        <f>_xlfn.XLOOKUP(frasest[[#This Row],[autor_es]],autorest[autor_es],autorest[codigo])</f>
        <v>el</v>
      </c>
      <c r="J153" t="str">
        <f>_xlfn.XLOOKUP(frasest[[#This Row],[autor_es]],autorest[autor_es],autorest[idioma_es])</f>
        <v>Griego</v>
      </c>
      <c r="K153" t="str">
        <f>_xlfn.XLOOKUP(frasest[[#This Row],[autor_es]],autorest[autor_es],autorest[idioma_la])</f>
        <v>Lingua Graeca</v>
      </c>
      <c r="L153" t="str">
        <f>_xlfn.XLOOKUP(frasest[[#This Row],[autor_es]],autorest[autor_es],autorest[nacion_es])</f>
        <v>Grecia</v>
      </c>
      <c r="M153" t="str">
        <f>_xlfn.XLOOKUP(frasest[[#This Row],[autor_es]],autorest[autor_es],autorest[nacion_la])</f>
        <v>Graecia</v>
      </c>
      <c r="N153" t="str">
        <f>_xlfn.XLOOKUP(frasest[[#This Row],[autor_es]],autorest[autor_es],autorest[epoca_es])</f>
        <v>Edad Antigua</v>
      </c>
      <c r="O153" t="str">
        <f>_xlfn.XLOOKUP(frasest[[#This Row],[autor_es]],autorest[autor_es],autorest[epoca_la])</f>
        <v>Antiquitas</v>
      </c>
    </row>
    <row r="154" spans="1:15">
      <c r="A154">
        <v>153</v>
      </c>
      <c r="B154" t="s">
        <v>468</v>
      </c>
      <c r="C154" t="s">
        <v>469</v>
      </c>
      <c r="D154" t="s">
        <v>470</v>
      </c>
      <c r="E154" t="s">
        <v>458</v>
      </c>
      <c r="F154" t="str">
        <f>_xlfn.XLOOKUP(frasest[[#This Row],[autor_es]],autorest[autor_es],autorest[autor_la])</f>
        <v>Plato</v>
      </c>
      <c r="G154" t="str">
        <f>_xlfn.XLOOKUP(frasest[[#This Row],[autor_es]],autorest[autor_es],autorest[bio_es])</f>
        <v>Filósofo griego de la Edad Antigua, discípulo de Sócrates y maestro de Aristóteles, fundador de la Academia de Atenas.</v>
      </c>
      <c r="H154" t="str">
        <f>_xlfn.XLOOKUP(frasest[[#This Row],[autor_es]],autorest[autor_es],autorest[bio_la])</f>
        <v>Philosophus Graecus Antiquitatis, discipulus Socratis et magister Aristotelis, Academiae Atheniensis conditor.</v>
      </c>
      <c r="I154" t="str">
        <f>_xlfn.XLOOKUP(frasest[[#This Row],[autor_es]],autorest[autor_es],autorest[codigo])</f>
        <v>el</v>
      </c>
      <c r="J154" t="str">
        <f>_xlfn.XLOOKUP(frasest[[#This Row],[autor_es]],autorest[autor_es],autorest[idioma_es])</f>
        <v>Griego</v>
      </c>
      <c r="K154" t="str">
        <f>_xlfn.XLOOKUP(frasest[[#This Row],[autor_es]],autorest[autor_es],autorest[idioma_la])</f>
        <v>Lingua Graeca</v>
      </c>
      <c r="L154" t="str">
        <f>_xlfn.XLOOKUP(frasest[[#This Row],[autor_es]],autorest[autor_es],autorest[nacion_es])</f>
        <v>Grecia</v>
      </c>
      <c r="M154" t="str">
        <f>_xlfn.XLOOKUP(frasest[[#This Row],[autor_es]],autorest[autor_es],autorest[nacion_la])</f>
        <v>Graecia</v>
      </c>
      <c r="N154" t="str">
        <f>_xlfn.XLOOKUP(frasest[[#This Row],[autor_es]],autorest[autor_es],autorest[epoca_es])</f>
        <v>Edad Antigua</v>
      </c>
      <c r="O154" t="str">
        <f>_xlfn.XLOOKUP(frasest[[#This Row],[autor_es]],autorest[autor_es],autorest[epoca_la])</f>
        <v>Antiquitas</v>
      </c>
    </row>
    <row r="155" spans="1:15">
      <c r="A155">
        <v>154</v>
      </c>
      <c r="B155" t="s">
        <v>471</v>
      </c>
      <c r="C155" t="s">
        <v>472</v>
      </c>
      <c r="D155" t="s">
        <v>473</v>
      </c>
      <c r="E155" t="s">
        <v>458</v>
      </c>
      <c r="F155" t="str">
        <f>_xlfn.XLOOKUP(frasest[[#This Row],[autor_es]],autorest[autor_es],autorest[autor_la])</f>
        <v>Plato</v>
      </c>
      <c r="G155" t="str">
        <f>_xlfn.XLOOKUP(frasest[[#This Row],[autor_es]],autorest[autor_es],autorest[bio_es])</f>
        <v>Filósofo griego de la Edad Antigua, discípulo de Sócrates y maestro de Aristóteles, fundador de la Academia de Atenas.</v>
      </c>
      <c r="H155" t="str">
        <f>_xlfn.XLOOKUP(frasest[[#This Row],[autor_es]],autorest[autor_es],autorest[bio_la])</f>
        <v>Philosophus Graecus Antiquitatis, discipulus Socratis et magister Aristotelis, Academiae Atheniensis conditor.</v>
      </c>
      <c r="I155" t="str">
        <f>_xlfn.XLOOKUP(frasest[[#This Row],[autor_es]],autorest[autor_es],autorest[codigo])</f>
        <v>el</v>
      </c>
      <c r="J155" t="str">
        <f>_xlfn.XLOOKUP(frasest[[#This Row],[autor_es]],autorest[autor_es],autorest[idioma_es])</f>
        <v>Griego</v>
      </c>
      <c r="K155" t="str">
        <f>_xlfn.XLOOKUP(frasest[[#This Row],[autor_es]],autorest[autor_es],autorest[idioma_la])</f>
        <v>Lingua Graeca</v>
      </c>
      <c r="L155" t="str">
        <f>_xlfn.XLOOKUP(frasest[[#This Row],[autor_es]],autorest[autor_es],autorest[nacion_es])</f>
        <v>Grecia</v>
      </c>
      <c r="M155" t="str">
        <f>_xlfn.XLOOKUP(frasest[[#This Row],[autor_es]],autorest[autor_es],autorest[nacion_la])</f>
        <v>Graecia</v>
      </c>
      <c r="N155" t="str">
        <f>_xlfn.XLOOKUP(frasest[[#This Row],[autor_es]],autorest[autor_es],autorest[epoca_es])</f>
        <v>Edad Antigua</v>
      </c>
      <c r="O155" t="str">
        <f>_xlfn.XLOOKUP(frasest[[#This Row],[autor_es]],autorest[autor_es],autorest[epoca_la])</f>
        <v>Antiquitas</v>
      </c>
    </row>
    <row r="156" spans="1:15">
      <c r="A156">
        <v>155</v>
      </c>
      <c r="B156" t="s">
        <v>474</v>
      </c>
      <c r="C156" t="s">
        <v>475</v>
      </c>
      <c r="D156" t="s">
        <v>476</v>
      </c>
      <c r="E156" t="s">
        <v>458</v>
      </c>
      <c r="F156" t="str">
        <f>_xlfn.XLOOKUP(frasest[[#This Row],[autor_es]],autorest[autor_es],autorest[autor_la])</f>
        <v>Plato</v>
      </c>
      <c r="G156" t="str">
        <f>_xlfn.XLOOKUP(frasest[[#This Row],[autor_es]],autorest[autor_es],autorest[bio_es])</f>
        <v>Filósofo griego de la Edad Antigua, discípulo de Sócrates y maestro de Aristóteles, fundador de la Academia de Atenas.</v>
      </c>
      <c r="H156" t="str">
        <f>_xlfn.XLOOKUP(frasest[[#This Row],[autor_es]],autorest[autor_es],autorest[bio_la])</f>
        <v>Philosophus Graecus Antiquitatis, discipulus Socratis et magister Aristotelis, Academiae Atheniensis conditor.</v>
      </c>
      <c r="I156" t="str">
        <f>_xlfn.XLOOKUP(frasest[[#This Row],[autor_es]],autorest[autor_es],autorest[codigo])</f>
        <v>el</v>
      </c>
      <c r="J156" t="str">
        <f>_xlfn.XLOOKUP(frasest[[#This Row],[autor_es]],autorest[autor_es],autorest[idioma_es])</f>
        <v>Griego</v>
      </c>
      <c r="K156" t="str">
        <f>_xlfn.XLOOKUP(frasest[[#This Row],[autor_es]],autorest[autor_es],autorest[idioma_la])</f>
        <v>Lingua Graeca</v>
      </c>
      <c r="L156" t="str">
        <f>_xlfn.XLOOKUP(frasest[[#This Row],[autor_es]],autorest[autor_es],autorest[nacion_es])</f>
        <v>Grecia</v>
      </c>
      <c r="M156" t="str">
        <f>_xlfn.XLOOKUP(frasest[[#This Row],[autor_es]],autorest[autor_es],autorest[nacion_la])</f>
        <v>Graecia</v>
      </c>
      <c r="N156" t="str">
        <f>_xlfn.XLOOKUP(frasest[[#This Row],[autor_es]],autorest[autor_es],autorest[epoca_es])</f>
        <v>Edad Antigua</v>
      </c>
      <c r="O156" t="str">
        <f>_xlfn.XLOOKUP(frasest[[#This Row],[autor_es]],autorest[autor_es],autorest[epoca_la])</f>
        <v>Antiquitas</v>
      </c>
    </row>
    <row r="157" spans="1:15">
      <c r="A157">
        <v>156</v>
      </c>
      <c r="B157" t="s">
        <v>477</v>
      </c>
      <c r="C157" t="s">
        <v>478</v>
      </c>
      <c r="D157" t="s">
        <v>479</v>
      </c>
      <c r="E157" t="s">
        <v>458</v>
      </c>
      <c r="F157" t="str">
        <f>_xlfn.XLOOKUP(frasest[[#This Row],[autor_es]],autorest[autor_es],autorest[autor_la])</f>
        <v>Plato</v>
      </c>
      <c r="G157" t="str">
        <f>_xlfn.XLOOKUP(frasest[[#This Row],[autor_es]],autorest[autor_es],autorest[bio_es])</f>
        <v>Filósofo griego de la Edad Antigua, discípulo de Sócrates y maestro de Aristóteles, fundador de la Academia de Atenas.</v>
      </c>
      <c r="H157" t="str">
        <f>_xlfn.XLOOKUP(frasest[[#This Row],[autor_es]],autorest[autor_es],autorest[bio_la])</f>
        <v>Philosophus Graecus Antiquitatis, discipulus Socratis et magister Aristotelis, Academiae Atheniensis conditor.</v>
      </c>
      <c r="I157" t="str">
        <f>_xlfn.XLOOKUP(frasest[[#This Row],[autor_es]],autorest[autor_es],autorest[codigo])</f>
        <v>el</v>
      </c>
      <c r="J157" t="str">
        <f>_xlfn.XLOOKUP(frasest[[#This Row],[autor_es]],autorest[autor_es],autorest[idioma_es])</f>
        <v>Griego</v>
      </c>
      <c r="K157" t="str">
        <f>_xlfn.XLOOKUP(frasest[[#This Row],[autor_es]],autorest[autor_es],autorest[idioma_la])</f>
        <v>Lingua Graeca</v>
      </c>
      <c r="L157" t="str">
        <f>_xlfn.XLOOKUP(frasest[[#This Row],[autor_es]],autorest[autor_es],autorest[nacion_es])</f>
        <v>Grecia</v>
      </c>
      <c r="M157" t="str">
        <f>_xlfn.XLOOKUP(frasest[[#This Row],[autor_es]],autorest[autor_es],autorest[nacion_la])</f>
        <v>Graecia</v>
      </c>
      <c r="N157" t="str">
        <f>_xlfn.XLOOKUP(frasest[[#This Row],[autor_es]],autorest[autor_es],autorest[epoca_es])</f>
        <v>Edad Antigua</v>
      </c>
      <c r="O157" t="str">
        <f>_xlfn.XLOOKUP(frasest[[#This Row],[autor_es]],autorest[autor_es],autorest[epoca_la])</f>
        <v>Antiquitas</v>
      </c>
    </row>
    <row r="158" spans="1:15">
      <c r="A158">
        <v>157</v>
      </c>
      <c r="B158" t="s">
        <v>480</v>
      </c>
      <c r="C158" t="s">
        <v>481</v>
      </c>
      <c r="D158" t="s">
        <v>482</v>
      </c>
      <c r="E158" t="s">
        <v>458</v>
      </c>
      <c r="F158" t="str">
        <f>_xlfn.XLOOKUP(frasest[[#This Row],[autor_es]],autorest[autor_es],autorest[autor_la])</f>
        <v>Plato</v>
      </c>
      <c r="G158" t="str">
        <f>_xlfn.XLOOKUP(frasest[[#This Row],[autor_es]],autorest[autor_es],autorest[bio_es])</f>
        <v>Filósofo griego de la Edad Antigua, discípulo de Sócrates y maestro de Aristóteles, fundador de la Academia de Atenas.</v>
      </c>
      <c r="H158" t="str">
        <f>_xlfn.XLOOKUP(frasest[[#This Row],[autor_es]],autorest[autor_es],autorest[bio_la])</f>
        <v>Philosophus Graecus Antiquitatis, discipulus Socratis et magister Aristotelis, Academiae Atheniensis conditor.</v>
      </c>
      <c r="I158" t="str">
        <f>_xlfn.XLOOKUP(frasest[[#This Row],[autor_es]],autorest[autor_es],autorest[codigo])</f>
        <v>el</v>
      </c>
      <c r="J158" t="str">
        <f>_xlfn.XLOOKUP(frasest[[#This Row],[autor_es]],autorest[autor_es],autorest[idioma_es])</f>
        <v>Griego</v>
      </c>
      <c r="K158" t="str">
        <f>_xlfn.XLOOKUP(frasest[[#This Row],[autor_es]],autorest[autor_es],autorest[idioma_la])</f>
        <v>Lingua Graeca</v>
      </c>
      <c r="L158" t="str">
        <f>_xlfn.XLOOKUP(frasest[[#This Row],[autor_es]],autorest[autor_es],autorest[nacion_es])</f>
        <v>Grecia</v>
      </c>
      <c r="M158" t="str">
        <f>_xlfn.XLOOKUP(frasest[[#This Row],[autor_es]],autorest[autor_es],autorest[nacion_la])</f>
        <v>Graecia</v>
      </c>
      <c r="N158" t="str">
        <f>_xlfn.XLOOKUP(frasest[[#This Row],[autor_es]],autorest[autor_es],autorest[epoca_es])</f>
        <v>Edad Antigua</v>
      </c>
      <c r="O158" t="str">
        <f>_xlfn.XLOOKUP(frasest[[#This Row],[autor_es]],autorest[autor_es],autorest[epoca_la])</f>
        <v>Antiquitas</v>
      </c>
    </row>
    <row r="159" spans="1:15">
      <c r="A159">
        <v>158</v>
      </c>
      <c r="B159" t="s">
        <v>483</v>
      </c>
      <c r="C159" t="s">
        <v>484</v>
      </c>
      <c r="D159" t="s">
        <v>485</v>
      </c>
      <c r="E159" t="s">
        <v>458</v>
      </c>
      <c r="F159" t="str">
        <f>_xlfn.XLOOKUP(frasest[[#This Row],[autor_es]],autorest[autor_es],autorest[autor_la])</f>
        <v>Plato</v>
      </c>
      <c r="G159" t="str">
        <f>_xlfn.XLOOKUP(frasest[[#This Row],[autor_es]],autorest[autor_es],autorest[bio_es])</f>
        <v>Filósofo griego de la Edad Antigua, discípulo de Sócrates y maestro de Aristóteles, fundador de la Academia de Atenas.</v>
      </c>
      <c r="H159" t="str">
        <f>_xlfn.XLOOKUP(frasest[[#This Row],[autor_es]],autorest[autor_es],autorest[bio_la])</f>
        <v>Philosophus Graecus Antiquitatis, discipulus Socratis et magister Aristotelis, Academiae Atheniensis conditor.</v>
      </c>
      <c r="I159" t="str">
        <f>_xlfn.XLOOKUP(frasest[[#This Row],[autor_es]],autorest[autor_es],autorest[codigo])</f>
        <v>el</v>
      </c>
      <c r="J159" t="str">
        <f>_xlfn.XLOOKUP(frasest[[#This Row],[autor_es]],autorest[autor_es],autorest[idioma_es])</f>
        <v>Griego</v>
      </c>
      <c r="K159" t="str">
        <f>_xlfn.XLOOKUP(frasest[[#This Row],[autor_es]],autorest[autor_es],autorest[idioma_la])</f>
        <v>Lingua Graeca</v>
      </c>
      <c r="L159" t="str">
        <f>_xlfn.XLOOKUP(frasest[[#This Row],[autor_es]],autorest[autor_es],autorest[nacion_es])</f>
        <v>Grecia</v>
      </c>
      <c r="M159" t="str">
        <f>_xlfn.XLOOKUP(frasest[[#This Row],[autor_es]],autorest[autor_es],autorest[nacion_la])</f>
        <v>Graecia</v>
      </c>
      <c r="N159" t="str">
        <f>_xlfn.XLOOKUP(frasest[[#This Row],[autor_es]],autorest[autor_es],autorest[epoca_es])</f>
        <v>Edad Antigua</v>
      </c>
      <c r="O159" t="str">
        <f>_xlfn.XLOOKUP(frasest[[#This Row],[autor_es]],autorest[autor_es],autorest[epoca_la])</f>
        <v>Antiquitas</v>
      </c>
    </row>
    <row r="160" spans="1:15">
      <c r="A160">
        <v>159</v>
      </c>
      <c r="B160" t="s">
        <v>486</v>
      </c>
      <c r="C160" t="s">
        <v>487</v>
      </c>
      <c r="D160" t="s">
        <v>488</v>
      </c>
      <c r="E160" t="s">
        <v>489</v>
      </c>
      <c r="F160" t="str">
        <f>_xlfn.XLOOKUP(frasest[[#This Row],[autor_es]],autorest[autor_es],autorest[autor_la])</f>
        <v>Aristoteles</v>
      </c>
      <c r="G160" t="str">
        <f>_xlfn.XLOOKUP(frasest[[#This Row],[autor_es]],autorest[autor_es],autorest[bio_es])</f>
        <v>Filósofo griego de la Edad Antigua, discípulo de Platón y maestro de Alejandro Magno, figura central del pensamiento lógico, ético y metafísico.</v>
      </c>
      <c r="H160" t="str">
        <f>_xlfn.XLOOKUP(frasest[[#This Row],[autor_es]],autorest[autor_es],autorest[bio_la])</f>
        <v>Philosophus Graecus Antiquitatis, discipulus Platonis et magister Alexandri Magni, pars maxima in logica, ethica et metaphysica.</v>
      </c>
      <c r="I160" t="str">
        <f>_xlfn.XLOOKUP(frasest[[#This Row],[autor_es]],autorest[autor_es],autorest[codigo])</f>
        <v>el</v>
      </c>
      <c r="J160" t="str">
        <f>_xlfn.XLOOKUP(frasest[[#This Row],[autor_es]],autorest[autor_es],autorest[idioma_es])</f>
        <v>Griego</v>
      </c>
      <c r="K160" t="str">
        <f>_xlfn.XLOOKUP(frasest[[#This Row],[autor_es]],autorest[autor_es],autorest[idioma_la])</f>
        <v>Lingua Graeca</v>
      </c>
      <c r="L160" t="str">
        <f>_xlfn.XLOOKUP(frasest[[#This Row],[autor_es]],autorest[autor_es],autorest[nacion_es])</f>
        <v>Grecia</v>
      </c>
      <c r="M160" t="str">
        <f>_xlfn.XLOOKUP(frasest[[#This Row],[autor_es]],autorest[autor_es],autorest[nacion_la])</f>
        <v>Graecia</v>
      </c>
      <c r="N160" t="str">
        <f>_xlfn.XLOOKUP(frasest[[#This Row],[autor_es]],autorest[autor_es],autorest[epoca_es])</f>
        <v>Edad Antigua</v>
      </c>
      <c r="O160" t="str">
        <f>_xlfn.XLOOKUP(frasest[[#This Row],[autor_es]],autorest[autor_es],autorest[epoca_la])</f>
        <v>Antiquitas</v>
      </c>
    </row>
    <row r="161" spans="1:15">
      <c r="A161">
        <v>160</v>
      </c>
      <c r="B161" t="s">
        <v>490</v>
      </c>
      <c r="C161" t="s">
        <v>491</v>
      </c>
      <c r="D161" t="s">
        <v>492</v>
      </c>
      <c r="E161" t="s">
        <v>489</v>
      </c>
      <c r="F161" t="str">
        <f>_xlfn.XLOOKUP(frasest[[#This Row],[autor_es]],autorest[autor_es],autorest[autor_la])</f>
        <v>Aristoteles</v>
      </c>
      <c r="G161" t="str">
        <f>_xlfn.XLOOKUP(frasest[[#This Row],[autor_es]],autorest[autor_es],autorest[bio_es])</f>
        <v>Filósofo griego de la Edad Antigua, discípulo de Platón y maestro de Alejandro Magno, figura central del pensamiento lógico, ético y metafísico.</v>
      </c>
      <c r="H161" t="str">
        <f>_xlfn.XLOOKUP(frasest[[#This Row],[autor_es]],autorest[autor_es],autorest[bio_la])</f>
        <v>Philosophus Graecus Antiquitatis, discipulus Platonis et magister Alexandri Magni, pars maxima in logica, ethica et metaphysica.</v>
      </c>
      <c r="I161" t="str">
        <f>_xlfn.XLOOKUP(frasest[[#This Row],[autor_es]],autorest[autor_es],autorest[codigo])</f>
        <v>el</v>
      </c>
      <c r="J161" t="str">
        <f>_xlfn.XLOOKUP(frasest[[#This Row],[autor_es]],autorest[autor_es],autorest[idioma_es])</f>
        <v>Griego</v>
      </c>
      <c r="K161" t="str">
        <f>_xlfn.XLOOKUP(frasest[[#This Row],[autor_es]],autorest[autor_es],autorest[idioma_la])</f>
        <v>Lingua Graeca</v>
      </c>
      <c r="L161" t="str">
        <f>_xlfn.XLOOKUP(frasest[[#This Row],[autor_es]],autorest[autor_es],autorest[nacion_es])</f>
        <v>Grecia</v>
      </c>
      <c r="M161" t="str">
        <f>_xlfn.XLOOKUP(frasest[[#This Row],[autor_es]],autorest[autor_es],autorest[nacion_la])</f>
        <v>Graecia</v>
      </c>
      <c r="N161" t="str">
        <f>_xlfn.XLOOKUP(frasest[[#This Row],[autor_es]],autorest[autor_es],autorest[epoca_es])</f>
        <v>Edad Antigua</v>
      </c>
      <c r="O161" t="str">
        <f>_xlfn.XLOOKUP(frasest[[#This Row],[autor_es]],autorest[autor_es],autorest[epoca_la])</f>
        <v>Antiquitas</v>
      </c>
    </row>
    <row r="162" spans="1:15">
      <c r="A162">
        <v>161</v>
      </c>
      <c r="B162" t="s">
        <v>493</v>
      </c>
      <c r="C162" t="s">
        <v>494</v>
      </c>
      <c r="D162" t="s">
        <v>495</v>
      </c>
      <c r="E162" t="s">
        <v>489</v>
      </c>
      <c r="F162" t="str">
        <f>_xlfn.XLOOKUP(frasest[[#This Row],[autor_es]],autorest[autor_es],autorest[autor_la])</f>
        <v>Aristoteles</v>
      </c>
      <c r="G162" t="str">
        <f>_xlfn.XLOOKUP(frasest[[#This Row],[autor_es]],autorest[autor_es],autorest[bio_es])</f>
        <v>Filósofo griego de la Edad Antigua, discípulo de Platón y maestro de Alejandro Magno, figura central del pensamiento lógico, ético y metafísico.</v>
      </c>
      <c r="H162" t="str">
        <f>_xlfn.XLOOKUP(frasest[[#This Row],[autor_es]],autorest[autor_es],autorest[bio_la])</f>
        <v>Philosophus Graecus Antiquitatis, discipulus Platonis et magister Alexandri Magni, pars maxima in logica, ethica et metaphysica.</v>
      </c>
      <c r="I162" t="str">
        <f>_xlfn.XLOOKUP(frasest[[#This Row],[autor_es]],autorest[autor_es],autorest[codigo])</f>
        <v>el</v>
      </c>
      <c r="J162" t="str">
        <f>_xlfn.XLOOKUP(frasest[[#This Row],[autor_es]],autorest[autor_es],autorest[idioma_es])</f>
        <v>Griego</v>
      </c>
      <c r="K162" t="str">
        <f>_xlfn.XLOOKUP(frasest[[#This Row],[autor_es]],autorest[autor_es],autorest[idioma_la])</f>
        <v>Lingua Graeca</v>
      </c>
      <c r="L162" t="str">
        <f>_xlfn.XLOOKUP(frasest[[#This Row],[autor_es]],autorest[autor_es],autorest[nacion_es])</f>
        <v>Grecia</v>
      </c>
      <c r="M162" t="str">
        <f>_xlfn.XLOOKUP(frasest[[#This Row],[autor_es]],autorest[autor_es],autorest[nacion_la])</f>
        <v>Graecia</v>
      </c>
      <c r="N162" t="str">
        <f>_xlfn.XLOOKUP(frasest[[#This Row],[autor_es]],autorest[autor_es],autorest[epoca_es])</f>
        <v>Edad Antigua</v>
      </c>
      <c r="O162" t="str">
        <f>_xlfn.XLOOKUP(frasest[[#This Row],[autor_es]],autorest[autor_es],autorest[epoca_la])</f>
        <v>Antiquitas</v>
      </c>
    </row>
    <row r="163" spans="1:15">
      <c r="A163">
        <v>162</v>
      </c>
      <c r="B163" t="s">
        <v>496</v>
      </c>
      <c r="C163" t="s">
        <v>497</v>
      </c>
      <c r="D163" t="s">
        <v>498</v>
      </c>
      <c r="E163" t="s">
        <v>489</v>
      </c>
      <c r="F163" t="str">
        <f>_xlfn.XLOOKUP(frasest[[#This Row],[autor_es]],autorest[autor_es],autorest[autor_la])</f>
        <v>Aristoteles</v>
      </c>
      <c r="G163" t="str">
        <f>_xlfn.XLOOKUP(frasest[[#This Row],[autor_es]],autorest[autor_es],autorest[bio_es])</f>
        <v>Filósofo griego de la Edad Antigua, discípulo de Platón y maestro de Alejandro Magno, figura central del pensamiento lógico, ético y metafísico.</v>
      </c>
      <c r="H163" t="str">
        <f>_xlfn.XLOOKUP(frasest[[#This Row],[autor_es]],autorest[autor_es],autorest[bio_la])</f>
        <v>Philosophus Graecus Antiquitatis, discipulus Platonis et magister Alexandri Magni, pars maxima in logica, ethica et metaphysica.</v>
      </c>
      <c r="I163" t="str">
        <f>_xlfn.XLOOKUP(frasest[[#This Row],[autor_es]],autorest[autor_es],autorest[codigo])</f>
        <v>el</v>
      </c>
      <c r="J163" t="str">
        <f>_xlfn.XLOOKUP(frasest[[#This Row],[autor_es]],autorest[autor_es],autorest[idioma_es])</f>
        <v>Griego</v>
      </c>
      <c r="K163" t="str">
        <f>_xlfn.XLOOKUP(frasest[[#This Row],[autor_es]],autorest[autor_es],autorest[idioma_la])</f>
        <v>Lingua Graeca</v>
      </c>
      <c r="L163" t="str">
        <f>_xlfn.XLOOKUP(frasest[[#This Row],[autor_es]],autorest[autor_es],autorest[nacion_es])</f>
        <v>Grecia</v>
      </c>
      <c r="M163" t="str">
        <f>_xlfn.XLOOKUP(frasest[[#This Row],[autor_es]],autorest[autor_es],autorest[nacion_la])</f>
        <v>Graecia</v>
      </c>
      <c r="N163" t="str">
        <f>_xlfn.XLOOKUP(frasest[[#This Row],[autor_es]],autorest[autor_es],autorest[epoca_es])</f>
        <v>Edad Antigua</v>
      </c>
      <c r="O163" t="str">
        <f>_xlfn.XLOOKUP(frasest[[#This Row],[autor_es]],autorest[autor_es],autorest[epoca_la])</f>
        <v>Antiquitas</v>
      </c>
    </row>
    <row r="164" spans="1:15">
      <c r="A164">
        <v>163</v>
      </c>
      <c r="B164" t="s">
        <v>499</v>
      </c>
      <c r="C164" t="s">
        <v>500</v>
      </c>
      <c r="D164" t="s">
        <v>501</v>
      </c>
      <c r="E164" t="s">
        <v>489</v>
      </c>
      <c r="F164" t="str">
        <f>_xlfn.XLOOKUP(frasest[[#This Row],[autor_es]],autorest[autor_es],autorest[autor_la])</f>
        <v>Aristoteles</v>
      </c>
      <c r="G164" t="str">
        <f>_xlfn.XLOOKUP(frasest[[#This Row],[autor_es]],autorest[autor_es],autorest[bio_es])</f>
        <v>Filósofo griego de la Edad Antigua, discípulo de Platón y maestro de Alejandro Magno, figura central del pensamiento lógico, ético y metafísico.</v>
      </c>
      <c r="H164" t="str">
        <f>_xlfn.XLOOKUP(frasest[[#This Row],[autor_es]],autorest[autor_es],autorest[bio_la])</f>
        <v>Philosophus Graecus Antiquitatis, discipulus Platonis et magister Alexandri Magni, pars maxima in logica, ethica et metaphysica.</v>
      </c>
      <c r="I164" t="str">
        <f>_xlfn.XLOOKUP(frasest[[#This Row],[autor_es]],autorest[autor_es],autorest[codigo])</f>
        <v>el</v>
      </c>
      <c r="J164" t="str">
        <f>_xlfn.XLOOKUP(frasest[[#This Row],[autor_es]],autorest[autor_es],autorest[idioma_es])</f>
        <v>Griego</v>
      </c>
      <c r="K164" t="str">
        <f>_xlfn.XLOOKUP(frasest[[#This Row],[autor_es]],autorest[autor_es],autorest[idioma_la])</f>
        <v>Lingua Graeca</v>
      </c>
      <c r="L164" t="str">
        <f>_xlfn.XLOOKUP(frasest[[#This Row],[autor_es]],autorest[autor_es],autorest[nacion_es])</f>
        <v>Grecia</v>
      </c>
      <c r="M164" t="str">
        <f>_xlfn.XLOOKUP(frasest[[#This Row],[autor_es]],autorest[autor_es],autorest[nacion_la])</f>
        <v>Graecia</v>
      </c>
      <c r="N164" t="str">
        <f>_xlfn.XLOOKUP(frasest[[#This Row],[autor_es]],autorest[autor_es],autorest[epoca_es])</f>
        <v>Edad Antigua</v>
      </c>
      <c r="O164" t="str">
        <f>_xlfn.XLOOKUP(frasest[[#This Row],[autor_es]],autorest[autor_es],autorest[epoca_la])</f>
        <v>Antiquitas</v>
      </c>
    </row>
    <row r="165" spans="1:15">
      <c r="A165">
        <v>164</v>
      </c>
      <c r="B165" t="s">
        <v>502</v>
      </c>
      <c r="C165" t="s">
        <v>503</v>
      </c>
      <c r="D165" t="s">
        <v>504</v>
      </c>
      <c r="E165" t="s">
        <v>489</v>
      </c>
      <c r="F165" t="str">
        <f>_xlfn.XLOOKUP(frasest[[#This Row],[autor_es]],autorest[autor_es],autorest[autor_la])</f>
        <v>Aristoteles</v>
      </c>
      <c r="G165" t="str">
        <f>_xlfn.XLOOKUP(frasest[[#This Row],[autor_es]],autorest[autor_es],autorest[bio_es])</f>
        <v>Filósofo griego de la Edad Antigua, discípulo de Platón y maestro de Alejandro Magno, figura central del pensamiento lógico, ético y metafísico.</v>
      </c>
      <c r="H165" t="str">
        <f>_xlfn.XLOOKUP(frasest[[#This Row],[autor_es]],autorest[autor_es],autorest[bio_la])</f>
        <v>Philosophus Graecus Antiquitatis, discipulus Platonis et magister Alexandri Magni, pars maxima in logica, ethica et metaphysica.</v>
      </c>
      <c r="I165" t="str">
        <f>_xlfn.XLOOKUP(frasest[[#This Row],[autor_es]],autorest[autor_es],autorest[codigo])</f>
        <v>el</v>
      </c>
      <c r="J165" t="str">
        <f>_xlfn.XLOOKUP(frasest[[#This Row],[autor_es]],autorest[autor_es],autorest[idioma_es])</f>
        <v>Griego</v>
      </c>
      <c r="K165" t="str">
        <f>_xlfn.XLOOKUP(frasest[[#This Row],[autor_es]],autorest[autor_es],autorest[idioma_la])</f>
        <v>Lingua Graeca</v>
      </c>
      <c r="L165" t="str">
        <f>_xlfn.XLOOKUP(frasest[[#This Row],[autor_es]],autorest[autor_es],autorest[nacion_es])</f>
        <v>Grecia</v>
      </c>
      <c r="M165" t="str">
        <f>_xlfn.XLOOKUP(frasest[[#This Row],[autor_es]],autorest[autor_es],autorest[nacion_la])</f>
        <v>Graecia</v>
      </c>
      <c r="N165" t="str">
        <f>_xlfn.XLOOKUP(frasest[[#This Row],[autor_es]],autorest[autor_es],autorest[epoca_es])</f>
        <v>Edad Antigua</v>
      </c>
      <c r="O165" t="str">
        <f>_xlfn.XLOOKUP(frasest[[#This Row],[autor_es]],autorest[autor_es],autorest[epoca_la])</f>
        <v>Antiquitas</v>
      </c>
    </row>
    <row r="166" spans="1:15">
      <c r="A166">
        <v>165</v>
      </c>
      <c r="B166" t="s">
        <v>505</v>
      </c>
      <c r="C166" t="s">
        <v>506</v>
      </c>
      <c r="D166" t="s">
        <v>507</v>
      </c>
      <c r="E166" t="s">
        <v>489</v>
      </c>
      <c r="F166" t="str">
        <f>_xlfn.XLOOKUP(frasest[[#This Row],[autor_es]],autorest[autor_es],autorest[autor_la])</f>
        <v>Aristoteles</v>
      </c>
      <c r="G166" t="str">
        <f>_xlfn.XLOOKUP(frasest[[#This Row],[autor_es]],autorest[autor_es],autorest[bio_es])</f>
        <v>Filósofo griego de la Edad Antigua, discípulo de Platón y maestro de Alejandro Magno, figura central del pensamiento lógico, ético y metafísico.</v>
      </c>
      <c r="H166" t="str">
        <f>_xlfn.XLOOKUP(frasest[[#This Row],[autor_es]],autorest[autor_es],autorest[bio_la])</f>
        <v>Philosophus Graecus Antiquitatis, discipulus Platonis et magister Alexandri Magni, pars maxima in logica, ethica et metaphysica.</v>
      </c>
      <c r="I166" t="str">
        <f>_xlfn.XLOOKUP(frasest[[#This Row],[autor_es]],autorest[autor_es],autorest[codigo])</f>
        <v>el</v>
      </c>
      <c r="J166" t="str">
        <f>_xlfn.XLOOKUP(frasest[[#This Row],[autor_es]],autorest[autor_es],autorest[idioma_es])</f>
        <v>Griego</v>
      </c>
      <c r="K166" t="str">
        <f>_xlfn.XLOOKUP(frasest[[#This Row],[autor_es]],autorest[autor_es],autorest[idioma_la])</f>
        <v>Lingua Graeca</v>
      </c>
      <c r="L166" t="str">
        <f>_xlfn.XLOOKUP(frasest[[#This Row],[autor_es]],autorest[autor_es],autorest[nacion_es])</f>
        <v>Grecia</v>
      </c>
      <c r="M166" t="str">
        <f>_xlfn.XLOOKUP(frasest[[#This Row],[autor_es]],autorest[autor_es],autorest[nacion_la])</f>
        <v>Graecia</v>
      </c>
      <c r="N166" t="str">
        <f>_xlfn.XLOOKUP(frasest[[#This Row],[autor_es]],autorest[autor_es],autorest[epoca_es])</f>
        <v>Edad Antigua</v>
      </c>
      <c r="O166" t="str">
        <f>_xlfn.XLOOKUP(frasest[[#This Row],[autor_es]],autorest[autor_es],autorest[epoca_la])</f>
        <v>Antiquitas</v>
      </c>
    </row>
    <row r="167" spans="1:15">
      <c r="A167">
        <v>166</v>
      </c>
      <c r="B167" t="s">
        <v>508</v>
      </c>
      <c r="C167" t="s">
        <v>509</v>
      </c>
      <c r="D167" t="s">
        <v>510</v>
      </c>
      <c r="E167" t="s">
        <v>489</v>
      </c>
      <c r="F167" t="str">
        <f>_xlfn.XLOOKUP(frasest[[#This Row],[autor_es]],autorest[autor_es],autorest[autor_la])</f>
        <v>Aristoteles</v>
      </c>
      <c r="G167" t="str">
        <f>_xlfn.XLOOKUP(frasest[[#This Row],[autor_es]],autorest[autor_es],autorest[bio_es])</f>
        <v>Filósofo griego de la Edad Antigua, discípulo de Platón y maestro de Alejandro Magno, figura central del pensamiento lógico, ético y metafísico.</v>
      </c>
      <c r="H167" t="str">
        <f>_xlfn.XLOOKUP(frasest[[#This Row],[autor_es]],autorest[autor_es],autorest[bio_la])</f>
        <v>Philosophus Graecus Antiquitatis, discipulus Platonis et magister Alexandri Magni, pars maxima in logica, ethica et metaphysica.</v>
      </c>
      <c r="I167" t="str">
        <f>_xlfn.XLOOKUP(frasest[[#This Row],[autor_es]],autorest[autor_es],autorest[codigo])</f>
        <v>el</v>
      </c>
      <c r="J167" t="str">
        <f>_xlfn.XLOOKUP(frasest[[#This Row],[autor_es]],autorest[autor_es],autorest[idioma_es])</f>
        <v>Griego</v>
      </c>
      <c r="K167" t="str">
        <f>_xlfn.XLOOKUP(frasest[[#This Row],[autor_es]],autorest[autor_es],autorest[idioma_la])</f>
        <v>Lingua Graeca</v>
      </c>
      <c r="L167" t="str">
        <f>_xlfn.XLOOKUP(frasest[[#This Row],[autor_es]],autorest[autor_es],autorest[nacion_es])</f>
        <v>Grecia</v>
      </c>
      <c r="M167" t="str">
        <f>_xlfn.XLOOKUP(frasest[[#This Row],[autor_es]],autorest[autor_es],autorest[nacion_la])</f>
        <v>Graecia</v>
      </c>
      <c r="N167" t="str">
        <f>_xlfn.XLOOKUP(frasest[[#This Row],[autor_es]],autorest[autor_es],autorest[epoca_es])</f>
        <v>Edad Antigua</v>
      </c>
      <c r="O167" t="str">
        <f>_xlfn.XLOOKUP(frasest[[#This Row],[autor_es]],autorest[autor_es],autorest[epoca_la])</f>
        <v>Antiquitas</v>
      </c>
    </row>
    <row r="168" spans="1:15">
      <c r="A168">
        <v>167</v>
      </c>
      <c r="B168" t="s">
        <v>511</v>
      </c>
      <c r="C168" t="s">
        <v>512</v>
      </c>
      <c r="D168" t="s">
        <v>513</v>
      </c>
      <c r="E168" t="s">
        <v>489</v>
      </c>
      <c r="F168" t="str">
        <f>_xlfn.XLOOKUP(frasest[[#This Row],[autor_es]],autorest[autor_es],autorest[autor_la])</f>
        <v>Aristoteles</v>
      </c>
      <c r="G168" t="str">
        <f>_xlfn.XLOOKUP(frasest[[#This Row],[autor_es]],autorest[autor_es],autorest[bio_es])</f>
        <v>Filósofo griego de la Edad Antigua, discípulo de Platón y maestro de Alejandro Magno, figura central del pensamiento lógico, ético y metafísico.</v>
      </c>
      <c r="H168" t="str">
        <f>_xlfn.XLOOKUP(frasest[[#This Row],[autor_es]],autorest[autor_es],autorest[bio_la])</f>
        <v>Philosophus Graecus Antiquitatis, discipulus Platonis et magister Alexandri Magni, pars maxima in logica, ethica et metaphysica.</v>
      </c>
      <c r="I168" t="str">
        <f>_xlfn.XLOOKUP(frasest[[#This Row],[autor_es]],autorest[autor_es],autorest[codigo])</f>
        <v>el</v>
      </c>
      <c r="J168" t="str">
        <f>_xlfn.XLOOKUP(frasest[[#This Row],[autor_es]],autorest[autor_es],autorest[idioma_es])</f>
        <v>Griego</v>
      </c>
      <c r="K168" t="str">
        <f>_xlfn.XLOOKUP(frasest[[#This Row],[autor_es]],autorest[autor_es],autorest[idioma_la])</f>
        <v>Lingua Graeca</v>
      </c>
      <c r="L168" t="str">
        <f>_xlfn.XLOOKUP(frasest[[#This Row],[autor_es]],autorest[autor_es],autorest[nacion_es])</f>
        <v>Grecia</v>
      </c>
      <c r="M168" t="str">
        <f>_xlfn.XLOOKUP(frasest[[#This Row],[autor_es]],autorest[autor_es],autorest[nacion_la])</f>
        <v>Graecia</v>
      </c>
      <c r="N168" t="str">
        <f>_xlfn.XLOOKUP(frasest[[#This Row],[autor_es]],autorest[autor_es],autorest[epoca_es])</f>
        <v>Edad Antigua</v>
      </c>
      <c r="O168" t="str">
        <f>_xlfn.XLOOKUP(frasest[[#This Row],[autor_es]],autorest[autor_es],autorest[epoca_la])</f>
        <v>Antiquitas</v>
      </c>
    </row>
    <row r="169" spans="1:15">
      <c r="A169">
        <v>168</v>
      </c>
      <c r="B169" t="s">
        <v>514</v>
      </c>
      <c r="C169" t="s">
        <v>515</v>
      </c>
      <c r="D169" t="s">
        <v>516</v>
      </c>
      <c r="E169" t="s">
        <v>489</v>
      </c>
      <c r="F169" t="str">
        <f>_xlfn.XLOOKUP(frasest[[#This Row],[autor_es]],autorest[autor_es],autorest[autor_la])</f>
        <v>Aristoteles</v>
      </c>
      <c r="G169" t="str">
        <f>_xlfn.XLOOKUP(frasest[[#This Row],[autor_es]],autorest[autor_es],autorest[bio_es])</f>
        <v>Filósofo griego de la Edad Antigua, discípulo de Platón y maestro de Alejandro Magno, figura central del pensamiento lógico, ético y metafísico.</v>
      </c>
      <c r="H169" t="str">
        <f>_xlfn.XLOOKUP(frasest[[#This Row],[autor_es]],autorest[autor_es],autorest[bio_la])</f>
        <v>Philosophus Graecus Antiquitatis, discipulus Platonis et magister Alexandri Magni, pars maxima in logica, ethica et metaphysica.</v>
      </c>
      <c r="I169" t="str">
        <f>_xlfn.XLOOKUP(frasest[[#This Row],[autor_es]],autorest[autor_es],autorest[codigo])</f>
        <v>el</v>
      </c>
      <c r="J169" t="str">
        <f>_xlfn.XLOOKUP(frasest[[#This Row],[autor_es]],autorest[autor_es],autorest[idioma_es])</f>
        <v>Griego</v>
      </c>
      <c r="K169" t="str">
        <f>_xlfn.XLOOKUP(frasest[[#This Row],[autor_es]],autorest[autor_es],autorest[idioma_la])</f>
        <v>Lingua Graeca</v>
      </c>
      <c r="L169" t="str">
        <f>_xlfn.XLOOKUP(frasest[[#This Row],[autor_es]],autorest[autor_es],autorest[nacion_es])</f>
        <v>Grecia</v>
      </c>
      <c r="M169" t="str">
        <f>_xlfn.XLOOKUP(frasest[[#This Row],[autor_es]],autorest[autor_es],autorest[nacion_la])</f>
        <v>Graecia</v>
      </c>
      <c r="N169" t="str">
        <f>_xlfn.XLOOKUP(frasest[[#This Row],[autor_es]],autorest[autor_es],autorest[epoca_es])</f>
        <v>Edad Antigua</v>
      </c>
      <c r="O169" t="str">
        <f>_xlfn.XLOOKUP(frasest[[#This Row],[autor_es]],autorest[autor_es],autorest[epoca_la])</f>
        <v>Antiquitas</v>
      </c>
    </row>
    <row r="170" spans="1:15">
      <c r="A170">
        <v>169</v>
      </c>
      <c r="B170" t="s">
        <v>517</v>
      </c>
      <c r="C170" t="s">
        <v>518</v>
      </c>
      <c r="D170" t="s">
        <v>519</v>
      </c>
      <c r="E170" t="s">
        <v>520</v>
      </c>
      <c r="F170" t="str">
        <f>_xlfn.XLOOKUP(frasest[[#This Row],[autor_es]],autorest[autor_es],autorest[autor_la])</f>
        <v>Pythagoras</v>
      </c>
      <c r="G170" t="str">
        <f>_xlfn.XLOOKUP(frasest[[#This Row],[autor_es]],autorest[autor_es],autorest[bio_es])</f>
        <v>Filósofo y matemático griego de Samos, fundador del pitagorismo. Propuso la inmortalidad del alma, la transmigración y el número como principio de la realidad.</v>
      </c>
      <c r="H170" t="str">
        <f>_xlfn.XLOOKUP(frasest[[#This Row],[autor_es]],autorest[autor_es],autorest[bio_la])</f>
        <v>Philosophus et mathematicus Graecus Samius, pythagorismi conditor. Immortalitatem animae, transmigrationem et numerum principium rerum proposuit.</v>
      </c>
      <c r="I170" t="str">
        <f>_xlfn.XLOOKUP(frasest[[#This Row],[autor_es]],autorest[autor_es],autorest[codigo])</f>
        <v>el</v>
      </c>
      <c r="J170" t="str">
        <f>_xlfn.XLOOKUP(frasest[[#This Row],[autor_es]],autorest[autor_es],autorest[idioma_es])</f>
        <v>Griego</v>
      </c>
      <c r="K170" t="str">
        <f>_xlfn.XLOOKUP(frasest[[#This Row],[autor_es]],autorest[autor_es],autorest[idioma_la])</f>
        <v>Lingua Graeca</v>
      </c>
      <c r="L170" t="str">
        <f>_xlfn.XLOOKUP(frasest[[#This Row],[autor_es]],autorest[autor_es],autorest[nacion_es])</f>
        <v>Grecia</v>
      </c>
      <c r="M170" t="str">
        <f>_xlfn.XLOOKUP(frasest[[#This Row],[autor_es]],autorest[autor_es],autorest[nacion_la])</f>
        <v>Graecia</v>
      </c>
      <c r="N170" t="str">
        <f>_xlfn.XLOOKUP(frasest[[#This Row],[autor_es]],autorest[autor_es],autorest[epoca_es])</f>
        <v>Edad Antigua</v>
      </c>
      <c r="O170" t="str">
        <f>_xlfn.XLOOKUP(frasest[[#This Row],[autor_es]],autorest[autor_es],autorest[epoca_la])</f>
        <v>Antiquitas</v>
      </c>
    </row>
    <row r="171" spans="1:15">
      <c r="A171">
        <v>170</v>
      </c>
      <c r="B171" t="s">
        <v>521</v>
      </c>
      <c r="C171" t="s">
        <v>522</v>
      </c>
      <c r="D171" t="s">
        <v>523</v>
      </c>
      <c r="E171" t="s">
        <v>520</v>
      </c>
      <c r="F171" t="str">
        <f>_xlfn.XLOOKUP(frasest[[#This Row],[autor_es]],autorest[autor_es],autorest[autor_la])</f>
        <v>Pythagoras</v>
      </c>
      <c r="G171" t="str">
        <f>_xlfn.XLOOKUP(frasest[[#This Row],[autor_es]],autorest[autor_es],autorest[bio_es])</f>
        <v>Filósofo y matemático griego de Samos, fundador del pitagorismo. Propuso la inmortalidad del alma, la transmigración y el número como principio de la realidad.</v>
      </c>
      <c r="H171" t="str">
        <f>_xlfn.XLOOKUP(frasest[[#This Row],[autor_es]],autorest[autor_es],autorest[bio_la])</f>
        <v>Philosophus et mathematicus Graecus Samius, pythagorismi conditor. Immortalitatem animae, transmigrationem et numerum principium rerum proposuit.</v>
      </c>
      <c r="I171" t="str">
        <f>_xlfn.XLOOKUP(frasest[[#This Row],[autor_es]],autorest[autor_es],autorest[codigo])</f>
        <v>el</v>
      </c>
      <c r="J171" t="str">
        <f>_xlfn.XLOOKUP(frasest[[#This Row],[autor_es]],autorest[autor_es],autorest[idioma_es])</f>
        <v>Griego</v>
      </c>
      <c r="K171" t="str">
        <f>_xlfn.XLOOKUP(frasest[[#This Row],[autor_es]],autorest[autor_es],autorest[idioma_la])</f>
        <v>Lingua Graeca</v>
      </c>
      <c r="L171" t="str">
        <f>_xlfn.XLOOKUP(frasest[[#This Row],[autor_es]],autorest[autor_es],autorest[nacion_es])</f>
        <v>Grecia</v>
      </c>
      <c r="M171" t="str">
        <f>_xlfn.XLOOKUP(frasest[[#This Row],[autor_es]],autorest[autor_es],autorest[nacion_la])</f>
        <v>Graecia</v>
      </c>
      <c r="N171" t="str">
        <f>_xlfn.XLOOKUP(frasest[[#This Row],[autor_es]],autorest[autor_es],autorest[epoca_es])</f>
        <v>Edad Antigua</v>
      </c>
      <c r="O171" t="str">
        <f>_xlfn.XLOOKUP(frasest[[#This Row],[autor_es]],autorest[autor_es],autorest[epoca_la])</f>
        <v>Antiquitas</v>
      </c>
    </row>
    <row r="172" spans="1:15">
      <c r="A172">
        <v>171</v>
      </c>
      <c r="B172" t="s">
        <v>524</v>
      </c>
      <c r="C172" t="s">
        <v>525</v>
      </c>
      <c r="D172" t="s">
        <v>526</v>
      </c>
      <c r="E172" t="s">
        <v>520</v>
      </c>
      <c r="F172" t="str">
        <f>_xlfn.XLOOKUP(frasest[[#This Row],[autor_es]],autorest[autor_es],autorest[autor_la])</f>
        <v>Pythagoras</v>
      </c>
      <c r="G172" t="str">
        <f>_xlfn.XLOOKUP(frasest[[#This Row],[autor_es]],autorest[autor_es],autorest[bio_es])</f>
        <v>Filósofo y matemático griego de Samos, fundador del pitagorismo. Propuso la inmortalidad del alma, la transmigración y el número como principio de la realidad.</v>
      </c>
      <c r="H172" t="str">
        <f>_xlfn.XLOOKUP(frasest[[#This Row],[autor_es]],autorest[autor_es],autorest[bio_la])</f>
        <v>Philosophus et mathematicus Graecus Samius, pythagorismi conditor. Immortalitatem animae, transmigrationem et numerum principium rerum proposuit.</v>
      </c>
      <c r="I172" t="str">
        <f>_xlfn.XLOOKUP(frasest[[#This Row],[autor_es]],autorest[autor_es],autorest[codigo])</f>
        <v>el</v>
      </c>
      <c r="J172" t="str">
        <f>_xlfn.XLOOKUP(frasest[[#This Row],[autor_es]],autorest[autor_es],autorest[idioma_es])</f>
        <v>Griego</v>
      </c>
      <c r="K172" t="str">
        <f>_xlfn.XLOOKUP(frasest[[#This Row],[autor_es]],autorest[autor_es],autorest[idioma_la])</f>
        <v>Lingua Graeca</v>
      </c>
      <c r="L172" t="str">
        <f>_xlfn.XLOOKUP(frasest[[#This Row],[autor_es]],autorest[autor_es],autorest[nacion_es])</f>
        <v>Grecia</v>
      </c>
      <c r="M172" t="str">
        <f>_xlfn.XLOOKUP(frasest[[#This Row],[autor_es]],autorest[autor_es],autorest[nacion_la])</f>
        <v>Graecia</v>
      </c>
      <c r="N172" t="str">
        <f>_xlfn.XLOOKUP(frasest[[#This Row],[autor_es]],autorest[autor_es],autorest[epoca_es])</f>
        <v>Edad Antigua</v>
      </c>
      <c r="O172" t="str">
        <f>_xlfn.XLOOKUP(frasest[[#This Row],[autor_es]],autorest[autor_es],autorest[epoca_la])</f>
        <v>Antiquitas</v>
      </c>
    </row>
    <row r="173" spans="1:15">
      <c r="A173">
        <v>172</v>
      </c>
      <c r="B173" t="s">
        <v>527</v>
      </c>
      <c r="C173" t="s">
        <v>528</v>
      </c>
      <c r="D173" t="s">
        <v>529</v>
      </c>
      <c r="E173" t="s">
        <v>520</v>
      </c>
      <c r="F173" t="str">
        <f>_xlfn.XLOOKUP(frasest[[#This Row],[autor_es]],autorest[autor_es],autorest[autor_la])</f>
        <v>Pythagoras</v>
      </c>
      <c r="G173" t="str">
        <f>_xlfn.XLOOKUP(frasest[[#This Row],[autor_es]],autorest[autor_es],autorest[bio_es])</f>
        <v>Filósofo y matemático griego de Samos, fundador del pitagorismo. Propuso la inmortalidad del alma, la transmigración y el número como principio de la realidad.</v>
      </c>
      <c r="H173" t="str">
        <f>_xlfn.XLOOKUP(frasest[[#This Row],[autor_es]],autorest[autor_es],autorest[bio_la])</f>
        <v>Philosophus et mathematicus Graecus Samius, pythagorismi conditor. Immortalitatem animae, transmigrationem et numerum principium rerum proposuit.</v>
      </c>
      <c r="I173" t="str">
        <f>_xlfn.XLOOKUP(frasest[[#This Row],[autor_es]],autorest[autor_es],autorest[codigo])</f>
        <v>el</v>
      </c>
      <c r="J173" t="str">
        <f>_xlfn.XLOOKUP(frasest[[#This Row],[autor_es]],autorest[autor_es],autorest[idioma_es])</f>
        <v>Griego</v>
      </c>
      <c r="K173" t="str">
        <f>_xlfn.XLOOKUP(frasest[[#This Row],[autor_es]],autorest[autor_es],autorest[idioma_la])</f>
        <v>Lingua Graeca</v>
      </c>
      <c r="L173" t="str">
        <f>_xlfn.XLOOKUP(frasest[[#This Row],[autor_es]],autorest[autor_es],autorest[nacion_es])</f>
        <v>Grecia</v>
      </c>
      <c r="M173" t="str">
        <f>_xlfn.XLOOKUP(frasest[[#This Row],[autor_es]],autorest[autor_es],autorest[nacion_la])</f>
        <v>Graecia</v>
      </c>
      <c r="N173" t="str">
        <f>_xlfn.XLOOKUP(frasest[[#This Row],[autor_es]],autorest[autor_es],autorest[epoca_es])</f>
        <v>Edad Antigua</v>
      </c>
      <c r="O173" t="str">
        <f>_xlfn.XLOOKUP(frasest[[#This Row],[autor_es]],autorest[autor_es],autorest[epoca_la])</f>
        <v>Antiquitas</v>
      </c>
    </row>
    <row r="174" spans="1:15">
      <c r="A174">
        <v>173</v>
      </c>
      <c r="B174" t="s">
        <v>530</v>
      </c>
      <c r="C174" t="s">
        <v>531</v>
      </c>
      <c r="D174" t="s">
        <v>532</v>
      </c>
      <c r="E174" t="s">
        <v>520</v>
      </c>
      <c r="F174" t="str">
        <f>_xlfn.XLOOKUP(frasest[[#This Row],[autor_es]],autorest[autor_es],autorest[autor_la])</f>
        <v>Pythagoras</v>
      </c>
      <c r="G174" t="str">
        <f>_xlfn.XLOOKUP(frasest[[#This Row],[autor_es]],autorest[autor_es],autorest[bio_es])</f>
        <v>Filósofo y matemático griego de Samos, fundador del pitagorismo. Propuso la inmortalidad del alma, la transmigración y el número como principio de la realidad.</v>
      </c>
      <c r="H174" t="str">
        <f>_xlfn.XLOOKUP(frasest[[#This Row],[autor_es]],autorest[autor_es],autorest[bio_la])</f>
        <v>Philosophus et mathematicus Graecus Samius, pythagorismi conditor. Immortalitatem animae, transmigrationem et numerum principium rerum proposuit.</v>
      </c>
      <c r="I174" t="str">
        <f>_xlfn.XLOOKUP(frasest[[#This Row],[autor_es]],autorest[autor_es],autorest[codigo])</f>
        <v>el</v>
      </c>
      <c r="J174" t="str">
        <f>_xlfn.XLOOKUP(frasest[[#This Row],[autor_es]],autorest[autor_es],autorest[idioma_es])</f>
        <v>Griego</v>
      </c>
      <c r="K174" t="str">
        <f>_xlfn.XLOOKUP(frasest[[#This Row],[autor_es]],autorest[autor_es],autorest[idioma_la])</f>
        <v>Lingua Graeca</v>
      </c>
      <c r="L174" t="str">
        <f>_xlfn.XLOOKUP(frasest[[#This Row],[autor_es]],autorest[autor_es],autorest[nacion_es])</f>
        <v>Grecia</v>
      </c>
      <c r="M174" t="str">
        <f>_xlfn.XLOOKUP(frasest[[#This Row],[autor_es]],autorest[autor_es],autorest[nacion_la])</f>
        <v>Graecia</v>
      </c>
      <c r="N174" t="str">
        <f>_xlfn.XLOOKUP(frasest[[#This Row],[autor_es]],autorest[autor_es],autorest[epoca_es])</f>
        <v>Edad Antigua</v>
      </c>
      <c r="O174" t="str">
        <f>_xlfn.XLOOKUP(frasest[[#This Row],[autor_es]],autorest[autor_es],autorest[epoca_la])</f>
        <v>Antiquitas</v>
      </c>
    </row>
    <row r="175" spans="1:15">
      <c r="A175">
        <v>174</v>
      </c>
      <c r="B175" t="s">
        <v>533</v>
      </c>
      <c r="C175" t="s">
        <v>534</v>
      </c>
      <c r="D175" t="s">
        <v>535</v>
      </c>
      <c r="E175" t="s">
        <v>520</v>
      </c>
      <c r="F175" t="str">
        <f>_xlfn.XLOOKUP(frasest[[#This Row],[autor_es]],autorest[autor_es],autorest[autor_la])</f>
        <v>Pythagoras</v>
      </c>
      <c r="G175" t="str">
        <f>_xlfn.XLOOKUP(frasest[[#This Row],[autor_es]],autorest[autor_es],autorest[bio_es])</f>
        <v>Filósofo y matemático griego de Samos, fundador del pitagorismo. Propuso la inmortalidad del alma, la transmigración y el número como principio de la realidad.</v>
      </c>
      <c r="H175" t="str">
        <f>_xlfn.XLOOKUP(frasest[[#This Row],[autor_es]],autorest[autor_es],autorest[bio_la])</f>
        <v>Philosophus et mathematicus Graecus Samius, pythagorismi conditor. Immortalitatem animae, transmigrationem et numerum principium rerum proposuit.</v>
      </c>
      <c r="I175" t="str">
        <f>_xlfn.XLOOKUP(frasest[[#This Row],[autor_es]],autorest[autor_es],autorest[codigo])</f>
        <v>el</v>
      </c>
      <c r="J175" t="str">
        <f>_xlfn.XLOOKUP(frasest[[#This Row],[autor_es]],autorest[autor_es],autorest[idioma_es])</f>
        <v>Griego</v>
      </c>
      <c r="K175" t="str">
        <f>_xlfn.XLOOKUP(frasest[[#This Row],[autor_es]],autorest[autor_es],autorest[idioma_la])</f>
        <v>Lingua Graeca</v>
      </c>
      <c r="L175" t="str">
        <f>_xlfn.XLOOKUP(frasest[[#This Row],[autor_es]],autorest[autor_es],autorest[nacion_es])</f>
        <v>Grecia</v>
      </c>
      <c r="M175" t="str">
        <f>_xlfn.XLOOKUP(frasest[[#This Row],[autor_es]],autorest[autor_es],autorest[nacion_la])</f>
        <v>Graecia</v>
      </c>
      <c r="N175" t="str">
        <f>_xlfn.XLOOKUP(frasest[[#This Row],[autor_es]],autorest[autor_es],autorest[epoca_es])</f>
        <v>Edad Antigua</v>
      </c>
      <c r="O175" t="str">
        <f>_xlfn.XLOOKUP(frasest[[#This Row],[autor_es]],autorest[autor_es],autorest[epoca_la])</f>
        <v>Antiquitas</v>
      </c>
    </row>
    <row r="176" spans="1:15">
      <c r="A176">
        <v>175</v>
      </c>
      <c r="B176" t="s">
        <v>536</v>
      </c>
      <c r="C176" t="s">
        <v>537</v>
      </c>
      <c r="D176" t="s">
        <v>538</v>
      </c>
      <c r="E176" t="s">
        <v>520</v>
      </c>
      <c r="F176" t="str">
        <f>_xlfn.XLOOKUP(frasest[[#This Row],[autor_es]],autorest[autor_es],autorest[autor_la])</f>
        <v>Pythagoras</v>
      </c>
      <c r="G176" t="str">
        <f>_xlfn.XLOOKUP(frasest[[#This Row],[autor_es]],autorest[autor_es],autorest[bio_es])</f>
        <v>Filósofo y matemático griego de Samos, fundador del pitagorismo. Propuso la inmortalidad del alma, la transmigración y el número como principio de la realidad.</v>
      </c>
      <c r="H176" t="str">
        <f>_xlfn.XLOOKUP(frasest[[#This Row],[autor_es]],autorest[autor_es],autorest[bio_la])</f>
        <v>Philosophus et mathematicus Graecus Samius, pythagorismi conditor. Immortalitatem animae, transmigrationem et numerum principium rerum proposuit.</v>
      </c>
      <c r="I176" t="str">
        <f>_xlfn.XLOOKUP(frasest[[#This Row],[autor_es]],autorest[autor_es],autorest[codigo])</f>
        <v>el</v>
      </c>
      <c r="J176" t="str">
        <f>_xlfn.XLOOKUP(frasest[[#This Row],[autor_es]],autorest[autor_es],autorest[idioma_es])</f>
        <v>Griego</v>
      </c>
      <c r="K176" t="str">
        <f>_xlfn.XLOOKUP(frasest[[#This Row],[autor_es]],autorest[autor_es],autorest[idioma_la])</f>
        <v>Lingua Graeca</v>
      </c>
      <c r="L176" t="str">
        <f>_xlfn.XLOOKUP(frasest[[#This Row],[autor_es]],autorest[autor_es],autorest[nacion_es])</f>
        <v>Grecia</v>
      </c>
      <c r="M176" t="str">
        <f>_xlfn.XLOOKUP(frasest[[#This Row],[autor_es]],autorest[autor_es],autorest[nacion_la])</f>
        <v>Graecia</v>
      </c>
      <c r="N176" t="str">
        <f>_xlfn.XLOOKUP(frasest[[#This Row],[autor_es]],autorest[autor_es],autorest[epoca_es])</f>
        <v>Edad Antigua</v>
      </c>
      <c r="O176" t="str">
        <f>_xlfn.XLOOKUP(frasest[[#This Row],[autor_es]],autorest[autor_es],autorest[epoca_la])</f>
        <v>Antiquitas</v>
      </c>
    </row>
    <row r="177" spans="1:15">
      <c r="A177">
        <v>176</v>
      </c>
      <c r="B177" t="s">
        <v>539</v>
      </c>
      <c r="C177" t="s">
        <v>540</v>
      </c>
      <c r="D177" t="s">
        <v>541</v>
      </c>
      <c r="E177" t="s">
        <v>520</v>
      </c>
      <c r="F177" t="str">
        <f>_xlfn.XLOOKUP(frasest[[#This Row],[autor_es]],autorest[autor_es],autorest[autor_la])</f>
        <v>Pythagoras</v>
      </c>
      <c r="G177" t="str">
        <f>_xlfn.XLOOKUP(frasest[[#This Row],[autor_es]],autorest[autor_es],autorest[bio_es])</f>
        <v>Filósofo y matemático griego de Samos, fundador del pitagorismo. Propuso la inmortalidad del alma, la transmigración y el número como principio de la realidad.</v>
      </c>
      <c r="H177" t="str">
        <f>_xlfn.XLOOKUP(frasest[[#This Row],[autor_es]],autorest[autor_es],autorest[bio_la])</f>
        <v>Philosophus et mathematicus Graecus Samius, pythagorismi conditor. Immortalitatem animae, transmigrationem et numerum principium rerum proposuit.</v>
      </c>
      <c r="I177" t="str">
        <f>_xlfn.XLOOKUP(frasest[[#This Row],[autor_es]],autorest[autor_es],autorest[codigo])</f>
        <v>el</v>
      </c>
      <c r="J177" t="str">
        <f>_xlfn.XLOOKUP(frasest[[#This Row],[autor_es]],autorest[autor_es],autorest[idioma_es])</f>
        <v>Griego</v>
      </c>
      <c r="K177" t="str">
        <f>_xlfn.XLOOKUP(frasest[[#This Row],[autor_es]],autorest[autor_es],autorest[idioma_la])</f>
        <v>Lingua Graeca</v>
      </c>
      <c r="L177" t="str">
        <f>_xlfn.XLOOKUP(frasest[[#This Row],[autor_es]],autorest[autor_es],autorest[nacion_es])</f>
        <v>Grecia</v>
      </c>
      <c r="M177" t="str">
        <f>_xlfn.XLOOKUP(frasest[[#This Row],[autor_es]],autorest[autor_es],autorest[nacion_la])</f>
        <v>Graecia</v>
      </c>
      <c r="N177" t="str">
        <f>_xlfn.XLOOKUP(frasest[[#This Row],[autor_es]],autorest[autor_es],autorest[epoca_es])</f>
        <v>Edad Antigua</v>
      </c>
      <c r="O177" t="str">
        <f>_xlfn.XLOOKUP(frasest[[#This Row],[autor_es]],autorest[autor_es],autorest[epoca_la])</f>
        <v>Antiquitas</v>
      </c>
    </row>
    <row r="178" spans="1:15">
      <c r="A178">
        <v>177</v>
      </c>
      <c r="B178" t="s">
        <v>542</v>
      </c>
      <c r="C178" t="s">
        <v>543</v>
      </c>
      <c r="D178" t="s">
        <v>544</v>
      </c>
      <c r="E178" t="s">
        <v>520</v>
      </c>
      <c r="F178" t="str">
        <f>_xlfn.XLOOKUP(frasest[[#This Row],[autor_es]],autorest[autor_es],autorest[autor_la])</f>
        <v>Pythagoras</v>
      </c>
      <c r="G178" t="str">
        <f>_xlfn.XLOOKUP(frasest[[#This Row],[autor_es]],autorest[autor_es],autorest[bio_es])</f>
        <v>Filósofo y matemático griego de Samos, fundador del pitagorismo. Propuso la inmortalidad del alma, la transmigración y el número como principio de la realidad.</v>
      </c>
      <c r="H178" t="str">
        <f>_xlfn.XLOOKUP(frasest[[#This Row],[autor_es]],autorest[autor_es],autorest[bio_la])</f>
        <v>Philosophus et mathematicus Graecus Samius, pythagorismi conditor. Immortalitatem animae, transmigrationem et numerum principium rerum proposuit.</v>
      </c>
      <c r="I178" t="str">
        <f>_xlfn.XLOOKUP(frasest[[#This Row],[autor_es]],autorest[autor_es],autorest[codigo])</f>
        <v>el</v>
      </c>
      <c r="J178" t="str">
        <f>_xlfn.XLOOKUP(frasest[[#This Row],[autor_es]],autorest[autor_es],autorest[idioma_es])</f>
        <v>Griego</v>
      </c>
      <c r="K178" t="str">
        <f>_xlfn.XLOOKUP(frasest[[#This Row],[autor_es]],autorest[autor_es],autorest[idioma_la])</f>
        <v>Lingua Graeca</v>
      </c>
      <c r="L178" t="str">
        <f>_xlfn.XLOOKUP(frasest[[#This Row],[autor_es]],autorest[autor_es],autorest[nacion_es])</f>
        <v>Grecia</v>
      </c>
      <c r="M178" t="str">
        <f>_xlfn.XLOOKUP(frasest[[#This Row],[autor_es]],autorest[autor_es],autorest[nacion_la])</f>
        <v>Graecia</v>
      </c>
      <c r="N178" t="str">
        <f>_xlfn.XLOOKUP(frasest[[#This Row],[autor_es]],autorest[autor_es],autorest[epoca_es])</f>
        <v>Edad Antigua</v>
      </c>
      <c r="O178" t="str">
        <f>_xlfn.XLOOKUP(frasest[[#This Row],[autor_es]],autorest[autor_es],autorest[epoca_la])</f>
        <v>Antiquitas</v>
      </c>
    </row>
    <row r="179" spans="1:15">
      <c r="A179">
        <v>178</v>
      </c>
      <c r="B179" t="s">
        <v>545</v>
      </c>
      <c r="C179" t="s">
        <v>546</v>
      </c>
      <c r="D179" t="s">
        <v>547</v>
      </c>
      <c r="E179" t="s">
        <v>520</v>
      </c>
      <c r="F179" t="str">
        <f>_xlfn.XLOOKUP(frasest[[#This Row],[autor_es]],autorest[autor_es],autorest[autor_la])</f>
        <v>Pythagoras</v>
      </c>
      <c r="G179" t="str">
        <f>_xlfn.XLOOKUP(frasest[[#This Row],[autor_es]],autorest[autor_es],autorest[bio_es])</f>
        <v>Filósofo y matemático griego de Samos, fundador del pitagorismo. Propuso la inmortalidad del alma, la transmigración y el número como principio de la realidad.</v>
      </c>
      <c r="H179" t="str">
        <f>_xlfn.XLOOKUP(frasest[[#This Row],[autor_es]],autorest[autor_es],autorest[bio_la])</f>
        <v>Philosophus et mathematicus Graecus Samius, pythagorismi conditor. Immortalitatem animae, transmigrationem et numerum principium rerum proposuit.</v>
      </c>
      <c r="I179" t="str">
        <f>_xlfn.XLOOKUP(frasest[[#This Row],[autor_es]],autorest[autor_es],autorest[codigo])</f>
        <v>el</v>
      </c>
      <c r="J179" t="str">
        <f>_xlfn.XLOOKUP(frasest[[#This Row],[autor_es]],autorest[autor_es],autorest[idioma_es])</f>
        <v>Griego</v>
      </c>
      <c r="K179" t="str">
        <f>_xlfn.XLOOKUP(frasest[[#This Row],[autor_es]],autorest[autor_es],autorest[idioma_la])</f>
        <v>Lingua Graeca</v>
      </c>
      <c r="L179" t="str">
        <f>_xlfn.XLOOKUP(frasest[[#This Row],[autor_es]],autorest[autor_es],autorest[nacion_es])</f>
        <v>Grecia</v>
      </c>
      <c r="M179" t="str">
        <f>_xlfn.XLOOKUP(frasest[[#This Row],[autor_es]],autorest[autor_es],autorest[nacion_la])</f>
        <v>Graecia</v>
      </c>
      <c r="N179" t="str">
        <f>_xlfn.XLOOKUP(frasest[[#This Row],[autor_es]],autorest[autor_es],autorest[epoca_es])</f>
        <v>Edad Antigua</v>
      </c>
      <c r="O179" t="str">
        <f>_xlfn.XLOOKUP(frasest[[#This Row],[autor_es]],autorest[autor_es],autorest[epoca_la])</f>
        <v>Antiquitas</v>
      </c>
    </row>
    <row r="180" spans="1:15">
      <c r="A180">
        <v>179</v>
      </c>
      <c r="B180" t="s">
        <v>548</v>
      </c>
      <c r="C180" t="s">
        <v>549</v>
      </c>
      <c r="D180" t="s">
        <v>550</v>
      </c>
      <c r="E180" t="s">
        <v>551</v>
      </c>
      <c r="F180" t="str">
        <f>_xlfn.XLOOKUP(frasest[[#This Row],[autor_es]],autorest[autor_es],autorest[autor_la])</f>
        <v>Heraclitus</v>
      </c>
      <c r="G180" t="str">
        <f>_xlfn.XLOOKUP(frasest[[#This Row],[autor_es]],autorest[autor_es],autorest[bio_es])</f>
        <v>Filósofo presocrático griego de Éfeso. Propuso el flujo perpetuo de la realidad (panta rhei) y el fuego como elemento primordial.</v>
      </c>
      <c r="H180" t="str">
        <f>_xlfn.XLOOKUP(frasest[[#This Row],[autor_es]],autorest[autor_es],autorest[bio_la])</f>
        <v>Philosophus Praesocraticus Graecus Ephesius. Fluxum perpetuum rerum (panta rhei) et ignem elementum primordiale proposuit.</v>
      </c>
      <c r="I180" t="str">
        <f>_xlfn.XLOOKUP(frasest[[#This Row],[autor_es]],autorest[autor_es],autorest[codigo])</f>
        <v>el</v>
      </c>
      <c r="J180" t="str">
        <f>_xlfn.XLOOKUP(frasest[[#This Row],[autor_es]],autorest[autor_es],autorest[idioma_es])</f>
        <v>Griego</v>
      </c>
      <c r="K180" t="str">
        <f>_xlfn.XLOOKUP(frasest[[#This Row],[autor_es]],autorest[autor_es],autorest[idioma_la])</f>
        <v>Lingua Graeca</v>
      </c>
      <c r="L180" t="str">
        <f>_xlfn.XLOOKUP(frasest[[#This Row],[autor_es]],autorest[autor_es],autorest[nacion_es])</f>
        <v>Grecia</v>
      </c>
      <c r="M180" t="str">
        <f>_xlfn.XLOOKUP(frasest[[#This Row],[autor_es]],autorest[autor_es],autorest[nacion_la])</f>
        <v>Graecia</v>
      </c>
      <c r="N180" t="str">
        <f>_xlfn.XLOOKUP(frasest[[#This Row],[autor_es]],autorest[autor_es],autorest[epoca_es])</f>
        <v>Edad Antigua</v>
      </c>
      <c r="O180" t="str">
        <f>_xlfn.XLOOKUP(frasest[[#This Row],[autor_es]],autorest[autor_es],autorest[epoca_la])</f>
        <v>Antiquitas</v>
      </c>
    </row>
    <row r="181" spans="1:15">
      <c r="A181">
        <v>180</v>
      </c>
      <c r="B181" t="s">
        <v>552</v>
      </c>
      <c r="C181" t="s">
        <v>553</v>
      </c>
      <c r="D181" t="s">
        <v>554</v>
      </c>
      <c r="E181" t="s">
        <v>551</v>
      </c>
      <c r="F181" t="str">
        <f>_xlfn.XLOOKUP(frasest[[#This Row],[autor_es]],autorest[autor_es],autorest[autor_la])</f>
        <v>Heraclitus</v>
      </c>
      <c r="G181" t="str">
        <f>_xlfn.XLOOKUP(frasest[[#This Row],[autor_es]],autorest[autor_es],autorest[bio_es])</f>
        <v>Filósofo presocrático griego de Éfeso. Propuso el flujo perpetuo de la realidad (panta rhei) y el fuego como elemento primordial.</v>
      </c>
      <c r="H181" t="str">
        <f>_xlfn.XLOOKUP(frasest[[#This Row],[autor_es]],autorest[autor_es],autorest[bio_la])</f>
        <v>Philosophus Praesocraticus Graecus Ephesius. Fluxum perpetuum rerum (panta rhei) et ignem elementum primordiale proposuit.</v>
      </c>
      <c r="I181" t="str">
        <f>_xlfn.XLOOKUP(frasest[[#This Row],[autor_es]],autorest[autor_es],autorest[codigo])</f>
        <v>el</v>
      </c>
      <c r="J181" t="str">
        <f>_xlfn.XLOOKUP(frasest[[#This Row],[autor_es]],autorest[autor_es],autorest[idioma_es])</f>
        <v>Griego</v>
      </c>
      <c r="K181" t="str">
        <f>_xlfn.XLOOKUP(frasest[[#This Row],[autor_es]],autorest[autor_es],autorest[idioma_la])</f>
        <v>Lingua Graeca</v>
      </c>
      <c r="L181" t="str">
        <f>_xlfn.XLOOKUP(frasest[[#This Row],[autor_es]],autorest[autor_es],autorest[nacion_es])</f>
        <v>Grecia</v>
      </c>
      <c r="M181" t="str">
        <f>_xlfn.XLOOKUP(frasest[[#This Row],[autor_es]],autorest[autor_es],autorest[nacion_la])</f>
        <v>Graecia</v>
      </c>
      <c r="N181" t="str">
        <f>_xlfn.XLOOKUP(frasest[[#This Row],[autor_es]],autorest[autor_es],autorest[epoca_es])</f>
        <v>Edad Antigua</v>
      </c>
      <c r="O181" t="str">
        <f>_xlfn.XLOOKUP(frasest[[#This Row],[autor_es]],autorest[autor_es],autorest[epoca_la])</f>
        <v>Antiquitas</v>
      </c>
    </row>
    <row r="182" spans="1:15">
      <c r="A182">
        <v>181</v>
      </c>
      <c r="B182" t="s">
        <v>555</v>
      </c>
      <c r="C182" t="s">
        <v>556</v>
      </c>
      <c r="D182" t="s">
        <v>557</v>
      </c>
      <c r="E182" t="s">
        <v>551</v>
      </c>
      <c r="F182" t="str">
        <f>_xlfn.XLOOKUP(frasest[[#This Row],[autor_es]],autorest[autor_es],autorest[autor_la])</f>
        <v>Heraclitus</v>
      </c>
      <c r="G182" t="str">
        <f>_xlfn.XLOOKUP(frasest[[#This Row],[autor_es]],autorest[autor_es],autorest[bio_es])</f>
        <v>Filósofo presocrático griego de Éfeso. Propuso el flujo perpetuo de la realidad (panta rhei) y el fuego como elemento primordial.</v>
      </c>
      <c r="H182" t="str">
        <f>_xlfn.XLOOKUP(frasest[[#This Row],[autor_es]],autorest[autor_es],autorest[bio_la])</f>
        <v>Philosophus Praesocraticus Graecus Ephesius. Fluxum perpetuum rerum (panta rhei) et ignem elementum primordiale proposuit.</v>
      </c>
      <c r="I182" t="str">
        <f>_xlfn.XLOOKUP(frasest[[#This Row],[autor_es]],autorest[autor_es],autorest[codigo])</f>
        <v>el</v>
      </c>
      <c r="J182" t="str">
        <f>_xlfn.XLOOKUP(frasest[[#This Row],[autor_es]],autorest[autor_es],autorest[idioma_es])</f>
        <v>Griego</v>
      </c>
      <c r="K182" t="str">
        <f>_xlfn.XLOOKUP(frasest[[#This Row],[autor_es]],autorest[autor_es],autorest[idioma_la])</f>
        <v>Lingua Graeca</v>
      </c>
      <c r="L182" t="str">
        <f>_xlfn.XLOOKUP(frasest[[#This Row],[autor_es]],autorest[autor_es],autorest[nacion_es])</f>
        <v>Grecia</v>
      </c>
      <c r="M182" t="str">
        <f>_xlfn.XLOOKUP(frasest[[#This Row],[autor_es]],autorest[autor_es],autorest[nacion_la])</f>
        <v>Graecia</v>
      </c>
      <c r="N182" t="str">
        <f>_xlfn.XLOOKUP(frasest[[#This Row],[autor_es]],autorest[autor_es],autorest[epoca_es])</f>
        <v>Edad Antigua</v>
      </c>
      <c r="O182" t="str">
        <f>_xlfn.XLOOKUP(frasest[[#This Row],[autor_es]],autorest[autor_es],autorest[epoca_la])</f>
        <v>Antiquitas</v>
      </c>
    </row>
    <row r="183" spans="1:15">
      <c r="A183">
        <v>182</v>
      </c>
      <c r="B183" t="s">
        <v>558</v>
      </c>
      <c r="C183" t="s">
        <v>559</v>
      </c>
      <c r="D183" t="s">
        <v>560</v>
      </c>
      <c r="E183" t="s">
        <v>551</v>
      </c>
      <c r="F183" t="str">
        <f>_xlfn.XLOOKUP(frasest[[#This Row],[autor_es]],autorest[autor_es],autorest[autor_la])</f>
        <v>Heraclitus</v>
      </c>
      <c r="G183" t="str">
        <f>_xlfn.XLOOKUP(frasest[[#This Row],[autor_es]],autorest[autor_es],autorest[bio_es])</f>
        <v>Filósofo presocrático griego de Éfeso. Propuso el flujo perpetuo de la realidad (panta rhei) y el fuego como elemento primordial.</v>
      </c>
      <c r="H183" t="str">
        <f>_xlfn.XLOOKUP(frasest[[#This Row],[autor_es]],autorest[autor_es],autorest[bio_la])</f>
        <v>Philosophus Praesocraticus Graecus Ephesius. Fluxum perpetuum rerum (panta rhei) et ignem elementum primordiale proposuit.</v>
      </c>
      <c r="I183" t="str">
        <f>_xlfn.XLOOKUP(frasest[[#This Row],[autor_es]],autorest[autor_es],autorest[codigo])</f>
        <v>el</v>
      </c>
      <c r="J183" t="str">
        <f>_xlfn.XLOOKUP(frasest[[#This Row],[autor_es]],autorest[autor_es],autorest[idioma_es])</f>
        <v>Griego</v>
      </c>
      <c r="K183" t="str">
        <f>_xlfn.XLOOKUP(frasest[[#This Row],[autor_es]],autorest[autor_es],autorest[idioma_la])</f>
        <v>Lingua Graeca</v>
      </c>
      <c r="L183" t="str">
        <f>_xlfn.XLOOKUP(frasest[[#This Row],[autor_es]],autorest[autor_es],autorest[nacion_es])</f>
        <v>Grecia</v>
      </c>
      <c r="M183" t="str">
        <f>_xlfn.XLOOKUP(frasest[[#This Row],[autor_es]],autorest[autor_es],autorest[nacion_la])</f>
        <v>Graecia</v>
      </c>
      <c r="N183" t="str">
        <f>_xlfn.XLOOKUP(frasest[[#This Row],[autor_es]],autorest[autor_es],autorest[epoca_es])</f>
        <v>Edad Antigua</v>
      </c>
      <c r="O183" t="str">
        <f>_xlfn.XLOOKUP(frasest[[#This Row],[autor_es]],autorest[autor_es],autorest[epoca_la])</f>
        <v>Antiquitas</v>
      </c>
    </row>
    <row r="184" spans="1:15">
      <c r="A184">
        <v>183</v>
      </c>
      <c r="B184" t="s">
        <v>561</v>
      </c>
      <c r="C184" t="s">
        <v>562</v>
      </c>
      <c r="D184" t="s">
        <v>563</v>
      </c>
      <c r="E184" t="s">
        <v>551</v>
      </c>
      <c r="F184" t="str">
        <f>_xlfn.XLOOKUP(frasest[[#This Row],[autor_es]],autorest[autor_es],autorest[autor_la])</f>
        <v>Heraclitus</v>
      </c>
      <c r="G184" t="str">
        <f>_xlfn.XLOOKUP(frasest[[#This Row],[autor_es]],autorest[autor_es],autorest[bio_es])</f>
        <v>Filósofo presocrático griego de Éfeso. Propuso el flujo perpetuo de la realidad (panta rhei) y el fuego como elemento primordial.</v>
      </c>
      <c r="H184" t="str">
        <f>_xlfn.XLOOKUP(frasest[[#This Row],[autor_es]],autorest[autor_es],autorest[bio_la])</f>
        <v>Philosophus Praesocraticus Graecus Ephesius. Fluxum perpetuum rerum (panta rhei) et ignem elementum primordiale proposuit.</v>
      </c>
      <c r="I184" t="str">
        <f>_xlfn.XLOOKUP(frasest[[#This Row],[autor_es]],autorest[autor_es],autorest[codigo])</f>
        <v>el</v>
      </c>
      <c r="J184" t="str">
        <f>_xlfn.XLOOKUP(frasest[[#This Row],[autor_es]],autorest[autor_es],autorest[idioma_es])</f>
        <v>Griego</v>
      </c>
      <c r="K184" t="str">
        <f>_xlfn.XLOOKUP(frasest[[#This Row],[autor_es]],autorest[autor_es],autorest[idioma_la])</f>
        <v>Lingua Graeca</v>
      </c>
      <c r="L184" t="str">
        <f>_xlfn.XLOOKUP(frasest[[#This Row],[autor_es]],autorest[autor_es],autorest[nacion_es])</f>
        <v>Grecia</v>
      </c>
      <c r="M184" t="str">
        <f>_xlfn.XLOOKUP(frasest[[#This Row],[autor_es]],autorest[autor_es],autorest[nacion_la])</f>
        <v>Graecia</v>
      </c>
      <c r="N184" t="str">
        <f>_xlfn.XLOOKUP(frasest[[#This Row],[autor_es]],autorest[autor_es],autorest[epoca_es])</f>
        <v>Edad Antigua</v>
      </c>
      <c r="O184" t="str">
        <f>_xlfn.XLOOKUP(frasest[[#This Row],[autor_es]],autorest[autor_es],autorest[epoca_la])</f>
        <v>Antiquitas</v>
      </c>
    </row>
    <row r="185" spans="1:15">
      <c r="A185">
        <v>184</v>
      </c>
      <c r="B185" t="s">
        <v>564</v>
      </c>
      <c r="C185" t="s">
        <v>565</v>
      </c>
      <c r="D185" t="s">
        <v>566</v>
      </c>
      <c r="E185" t="s">
        <v>551</v>
      </c>
      <c r="F185" t="str">
        <f>_xlfn.XLOOKUP(frasest[[#This Row],[autor_es]],autorest[autor_es],autorest[autor_la])</f>
        <v>Heraclitus</v>
      </c>
      <c r="G185" t="str">
        <f>_xlfn.XLOOKUP(frasest[[#This Row],[autor_es]],autorest[autor_es],autorest[bio_es])</f>
        <v>Filósofo presocrático griego de Éfeso. Propuso el flujo perpetuo de la realidad (panta rhei) y el fuego como elemento primordial.</v>
      </c>
      <c r="H185" t="str">
        <f>_xlfn.XLOOKUP(frasest[[#This Row],[autor_es]],autorest[autor_es],autorest[bio_la])</f>
        <v>Philosophus Praesocraticus Graecus Ephesius. Fluxum perpetuum rerum (panta rhei) et ignem elementum primordiale proposuit.</v>
      </c>
      <c r="I185" t="str">
        <f>_xlfn.XLOOKUP(frasest[[#This Row],[autor_es]],autorest[autor_es],autorest[codigo])</f>
        <v>el</v>
      </c>
      <c r="J185" t="str">
        <f>_xlfn.XLOOKUP(frasest[[#This Row],[autor_es]],autorest[autor_es],autorest[idioma_es])</f>
        <v>Griego</v>
      </c>
      <c r="K185" t="str">
        <f>_xlfn.XLOOKUP(frasest[[#This Row],[autor_es]],autorest[autor_es],autorest[idioma_la])</f>
        <v>Lingua Graeca</v>
      </c>
      <c r="L185" t="str">
        <f>_xlfn.XLOOKUP(frasest[[#This Row],[autor_es]],autorest[autor_es],autorest[nacion_es])</f>
        <v>Grecia</v>
      </c>
      <c r="M185" t="str">
        <f>_xlfn.XLOOKUP(frasest[[#This Row],[autor_es]],autorest[autor_es],autorest[nacion_la])</f>
        <v>Graecia</v>
      </c>
      <c r="N185" t="str">
        <f>_xlfn.XLOOKUP(frasest[[#This Row],[autor_es]],autorest[autor_es],autorest[epoca_es])</f>
        <v>Edad Antigua</v>
      </c>
      <c r="O185" t="str">
        <f>_xlfn.XLOOKUP(frasest[[#This Row],[autor_es]],autorest[autor_es],autorest[epoca_la])</f>
        <v>Antiquitas</v>
      </c>
    </row>
    <row r="186" spans="1:15">
      <c r="A186">
        <v>185</v>
      </c>
      <c r="B186" t="s">
        <v>567</v>
      </c>
      <c r="C186" t="s">
        <v>568</v>
      </c>
      <c r="D186" t="s">
        <v>569</v>
      </c>
      <c r="E186" t="s">
        <v>551</v>
      </c>
      <c r="F186" t="str">
        <f>_xlfn.XLOOKUP(frasest[[#This Row],[autor_es]],autorest[autor_es],autorest[autor_la])</f>
        <v>Heraclitus</v>
      </c>
      <c r="G186" t="str">
        <f>_xlfn.XLOOKUP(frasest[[#This Row],[autor_es]],autorest[autor_es],autorest[bio_es])</f>
        <v>Filósofo presocrático griego de Éfeso. Propuso el flujo perpetuo de la realidad (panta rhei) y el fuego como elemento primordial.</v>
      </c>
      <c r="H186" t="str">
        <f>_xlfn.XLOOKUP(frasest[[#This Row],[autor_es]],autorest[autor_es],autorest[bio_la])</f>
        <v>Philosophus Praesocraticus Graecus Ephesius. Fluxum perpetuum rerum (panta rhei) et ignem elementum primordiale proposuit.</v>
      </c>
      <c r="I186" t="str">
        <f>_xlfn.XLOOKUP(frasest[[#This Row],[autor_es]],autorest[autor_es],autorest[codigo])</f>
        <v>el</v>
      </c>
      <c r="J186" t="str">
        <f>_xlfn.XLOOKUP(frasest[[#This Row],[autor_es]],autorest[autor_es],autorest[idioma_es])</f>
        <v>Griego</v>
      </c>
      <c r="K186" t="str">
        <f>_xlfn.XLOOKUP(frasest[[#This Row],[autor_es]],autorest[autor_es],autorest[idioma_la])</f>
        <v>Lingua Graeca</v>
      </c>
      <c r="L186" t="str">
        <f>_xlfn.XLOOKUP(frasest[[#This Row],[autor_es]],autorest[autor_es],autorest[nacion_es])</f>
        <v>Grecia</v>
      </c>
      <c r="M186" t="str">
        <f>_xlfn.XLOOKUP(frasest[[#This Row],[autor_es]],autorest[autor_es],autorest[nacion_la])</f>
        <v>Graecia</v>
      </c>
      <c r="N186" t="str">
        <f>_xlfn.XLOOKUP(frasest[[#This Row],[autor_es]],autorest[autor_es],autorest[epoca_es])</f>
        <v>Edad Antigua</v>
      </c>
      <c r="O186" t="str">
        <f>_xlfn.XLOOKUP(frasest[[#This Row],[autor_es]],autorest[autor_es],autorest[epoca_la])</f>
        <v>Antiquitas</v>
      </c>
    </row>
    <row r="187" spans="1:15">
      <c r="A187">
        <v>186</v>
      </c>
      <c r="B187" t="s">
        <v>570</v>
      </c>
      <c r="C187" t="s">
        <v>571</v>
      </c>
      <c r="D187" t="s">
        <v>572</v>
      </c>
      <c r="E187" t="s">
        <v>551</v>
      </c>
      <c r="F187" t="str">
        <f>_xlfn.XLOOKUP(frasest[[#This Row],[autor_es]],autorest[autor_es],autorest[autor_la])</f>
        <v>Heraclitus</v>
      </c>
      <c r="G187" t="str">
        <f>_xlfn.XLOOKUP(frasest[[#This Row],[autor_es]],autorest[autor_es],autorest[bio_es])</f>
        <v>Filósofo presocrático griego de Éfeso. Propuso el flujo perpetuo de la realidad (panta rhei) y el fuego como elemento primordial.</v>
      </c>
      <c r="H187" t="str">
        <f>_xlfn.XLOOKUP(frasest[[#This Row],[autor_es]],autorest[autor_es],autorest[bio_la])</f>
        <v>Philosophus Praesocraticus Graecus Ephesius. Fluxum perpetuum rerum (panta rhei) et ignem elementum primordiale proposuit.</v>
      </c>
      <c r="I187" t="str">
        <f>_xlfn.XLOOKUP(frasest[[#This Row],[autor_es]],autorest[autor_es],autorest[codigo])</f>
        <v>el</v>
      </c>
      <c r="J187" t="str">
        <f>_xlfn.XLOOKUP(frasest[[#This Row],[autor_es]],autorest[autor_es],autorest[idioma_es])</f>
        <v>Griego</v>
      </c>
      <c r="K187" t="str">
        <f>_xlfn.XLOOKUP(frasest[[#This Row],[autor_es]],autorest[autor_es],autorest[idioma_la])</f>
        <v>Lingua Graeca</v>
      </c>
      <c r="L187" t="str">
        <f>_xlfn.XLOOKUP(frasest[[#This Row],[autor_es]],autorest[autor_es],autorest[nacion_es])</f>
        <v>Grecia</v>
      </c>
      <c r="M187" t="str">
        <f>_xlfn.XLOOKUP(frasest[[#This Row],[autor_es]],autorest[autor_es],autorest[nacion_la])</f>
        <v>Graecia</v>
      </c>
      <c r="N187" t="str">
        <f>_xlfn.XLOOKUP(frasest[[#This Row],[autor_es]],autorest[autor_es],autorest[epoca_es])</f>
        <v>Edad Antigua</v>
      </c>
      <c r="O187" t="str">
        <f>_xlfn.XLOOKUP(frasest[[#This Row],[autor_es]],autorest[autor_es],autorest[epoca_la])</f>
        <v>Antiquitas</v>
      </c>
    </row>
    <row r="188" spans="1:15">
      <c r="A188">
        <v>187</v>
      </c>
      <c r="B188" t="s">
        <v>573</v>
      </c>
      <c r="C188" t="s">
        <v>574</v>
      </c>
      <c r="D188" t="s">
        <v>575</v>
      </c>
      <c r="E188" t="s">
        <v>551</v>
      </c>
      <c r="F188" t="str">
        <f>_xlfn.XLOOKUP(frasest[[#This Row],[autor_es]],autorest[autor_es],autorest[autor_la])</f>
        <v>Heraclitus</v>
      </c>
      <c r="G188" t="str">
        <f>_xlfn.XLOOKUP(frasest[[#This Row],[autor_es]],autorest[autor_es],autorest[bio_es])</f>
        <v>Filósofo presocrático griego de Éfeso. Propuso el flujo perpetuo de la realidad (panta rhei) y el fuego como elemento primordial.</v>
      </c>
      <c r="H188" t="str">
        <f>_xlfn.XLOOKUP(frasest[[#This Row],[autor_es]],autorest[autor_es],autorest[bio_la])</f>
        <v>Philosophus Praesocraticus Graecus Ephesius. Fluxum perpetuum rerum (panta rhei) et ignem elementum primordiale proposuit.</v>
      </c>
      <c r="I188" t="str">
        <f>_xlfn.XLOOKUP(frasest[[#This Row],[autor_es]],autorest[autor_es],autorest[codigo])</f>
        <v>el</v>
      </c>
      <c r="J188" t="str">
        <f>_xlfn.XLOOKUP(frasest[[#This Row],[autor_es]],autorest[autor_es],autorest[idioma_es])</f>
        <v>Griego</v>
      </c>
      <c r="K188" t="str">
        <f>_xlfn.XLOOKUP(frasest[[#This Row],[autor_es]],autorest[autor_es],autorest[idioma_la])</f>
        <v>Lingua Graeca</v>
      </c>
      <c r="L188" t="str">
        <f>_xlfn.XLOOKUP(frasest[[#This Row],[autor_es]],autorest[autor_es],autorest[nacion_es])</f>
        <v>Grecia</v>
      </c>
      <c r="M188" t="str">
        <f>_xlfn.XLOOKUP(frasest[[#This Row],[autor_es]],autorest[autor_es],autorest[nacion_la])</f>
        <v>Graecia</v>
      </c>
      <c r="N188" t="str">
        <f>_xlfn.XLOOKUP(frasest[[#This Row],[autor_es]],autorest[autor_es],autorest[epoca_es])</f>
        <v>Edad Antigua</v>
      </c>
      <c r="O188" t="str">
        <f>_xlfn.XLOOKUP(frasest[[#This Row],[autor_es]],autorest[autor_es],autorest[epoca_la])</f>
        <v>Antiquitas</v>
      </c>
    </row>
    <row r="189" spans="1:15">
      <c r="A189">
        <v>188</v>
      </c>
      <c r="B189" t="s">
        <v>576</v>
      </c>
      <c r="C189" t="s">
        <v>577</v>
      </c>
      <c r="D189" t="s">
        <v>578</v>
      </c>
      <c r="E189" t="s">
        <v>551</v>
      </c>
      <c r="F189" t="str">
        <f>_xlfn.XLOOKUP(frasest[[#This Row],[autor_es]],autorest[autor_es],autorest[autor_la])</f>
        <v>Heraclitus</v>
      </c>
      <c r="G189" t="str">
        <f>_xlfn.XLOOKUP(frasest[[#This Row],[autor_es]],autorest[autor_es],autorest[bio_es])</f>
        <v>Filósofo presocrático griego de Éfeso. Propuso el flujo perpetuo de la realidad (panta rhei) y el fuego como elemento primordial.</v>
      </c>
      <c r="H189" t="str">
        <f>_xlfn.XLOOKUP(frasest[[#This Row],[autor_es]],autorest[autor_es],autorest[bio_la])</f>
        <v>Philosophus Praesocraticus Graecus Ephesius. Fluxum perpetuum rerum (panta rhei) et ignem elementum primordiale proposuit.</v>
      </c>
      <c r="I189" t="str">
        <f>_xlfn.XLOOKUP(frasest[[#This Row],[autor_es]],autorest[autor_es],autorest[codigo])</f>
        <v>el</v>
      </c>
      <c r="J189" t="str">
        <f>_xlfn.XLOOKUP(frasest[[#This Row],[autor_es]],autorest[autor_es],autorest[idioma_es])</f>
        <v>Griego</v>
      </c>
      <c r="K189" t="str">
        <f>_xlfn.XLOOKUP(frasest[[#This Row],[autor_es]],autorest[autor_es],autorest[idioma_la])</f>
        <v>Lingua Graeca</v>
      </c>
      <c r="L189" t="str">
        <f>_xlfn.XLOOKUP(frasest[[#This Row],[autor_es]],autorest[autor_es],autorest[nacion_es])</f>
        <v>Grecia</v>
      </c>
      <c r="M189" t="str">
        <f>_xlfn.XLOOKUP(frasest[[#This Row],[autor_es]],autorest[autor_es],autorest[nacion_la])</f>
        <v>Graecia</v>
      </c>
      <c r="N189" t="str">
        <f>_xlfn.XLOOKUP(frasest[[#This Row],[autor_es]],autorest[autor_es],autorest[epoca_es])</f>
        <v>Edad Antigua</v>
      </c>
      <c r="O189" t="str">
        <f>_xlfn.XLOOKUP(frasest[[#This Row],[autor_es]],autorest[autor_es],autorest[epoca_la])</f>
        <v>Antiquitas</v>
      </c>
    </row>
    <row r="190" spans="1:15">
      <c r="A190">
        <v>189</v>
      </c>
      <c r="B190" t="s">
        <v>579</v>
      </c>
      <c r="C190" t="s">
        <v>580</v>
      </c>
      <c r="D190" t="s">
        <v>581</v>
      </c>
      <c r="E190" t="s">
        <v>582</v>
      </c>
      <c r="F190" t="str">
        <f>_xlfn.XLOOKUP(frasest[[#This Row],[autor_es]],autorest[autor_es],autorest[autor_la])</f>
        <v>Socrates</v>
      </c>
      <c r="G190" t="str">
        <f>_xlfn.XLOOKUP(frasest[[#This Row],[autor_es]],autorest[autor_es],autorest[bio_es])</f>
        <v>Filósofo griego de Atenas, fundador de la filosofía moral occidental. Maestro de Platón, desarrolló el método mayéutico. Fue condenado a muerte por impiedad.</v>
      </c>
      <c r="H190" t="str">
        <f>_xlfn.XLOOKUP(frasest[[#This Row],[autor_es]],autorest[autor_es],autorest[bio_la])</f>
        <v>Philosophus Graecus Atheniensis, philosophiae moralis Occidentalis conditor. Magister Platonis, methodum maieuticam elaboravit. Morte damnatus propter impietatem.</v>
      </c>
      <c r="I190" t="str">
        <f>_xlfn.XLOOKUP(frasest[[#This Row],[autor_es]],autorest[autor_es],autorest[codigo])</f>
        <v>el</v>
      </c>
      <c r="J190" t="str">
        <f>_xlfn.XLOOKUP(frasest[[#This Row],[autor_es]],autorest[autor_es],autorest[idioma_es])</f>
        <v>Griego</v>
      </c>
      <c r="K190" t="str">
        <f>_xlfn.XLOOKUP(frasest[[#This Row],[autor_es]],autorest[autor_es],autorest[idioma_la])</f>
        <v>Lingua Graeca</v>
      </c>
      <c r="L190" t="str">
        <f>_xlfn.XLOOKUP(frasest[[#This Row],[autor_es]],autorest[autor_es],autorest[nacion_es])</f>
        <v>Grecia</v>
      </c>
      <c r="M190" t="str">
        <f>_xlfn.XLOOKUP(frasest[[#This Row],[autor_es]],autorest[autor_es],autorest[nacion_la])</f>
        <v>Graecia</v>
      </c>
      <c r="N190" t="str">
        <f>_xlfn.XLOOKUP(frasest[[#This Row],[autor_es]],autorest[autor_es],autorest[epoca_es])</f>
        <v>Edad Antigua</v>
      </c>
      <c r="O190" t="str">
        <f>_xlfn.XLOOKUP(frasest[[#This Row],[autor_es]],autorest[autor_es],autorest[epoca_la])</f>
        <v>Antiquitas</v>
      </c>
    </row>
    <row r="191" spans="1:15">
      <c r="A191">
        <v>190</v>
      </c>
      <c r="B191" t="s">
        <v>387</v>
      </c>
      <c r="C191" t="s">
        <v>583</v>
      </c>
      <c r="D191" t="s">
        <v>584</v>
      </c>
      <c r="E191" t="s">
        <v>582</v>
      </c>
      <c r="F191" t="str">
        <f>_xlfn.XLOOKUP(frasest[[#This Row],[autor_es]],autorest[autor_es],autorest[autor_la])</f>
        <v>Socrates</v>
      </c>
      <c r="G191" t="str">
        <f>_xlfn.XLOOKUP(frasest[[#This Row],[autor_es]],autorest[autor_es],autorest[bio_es])</f>
        <v>Filósofo griego de Atenas, fundador de la filosofía moral occidental. Maestro de Platón, desarrolló el método mayéutico. Fue condenado a muerte por impiedad.</v>
      </c>
      <c r="H191" t="str">
        <f>_xlfn.XLOOKUP(frasest[[#This Row],[autor_es]],autorest[autor_es],autorest[bio_la])</f>
        <v>Philosophus Graecus Atheniensis, philosophiae moralis Occidentalis conditor. Magister Platonis, methodum maieuticam elaboravit. Morte damnatus propter impietatem.</v>
      </c>
      <c r="I191" t="str">
        <f>_xlfn.XLOOKUP(frasest[[#This Row],[autor_es]],autorest[autor_es],autorest[codigo])</f>
        <v>el</v>
      </c>
      <c r="J191" t="str">
        <f>_xlfn.XLOOKUP(frasest[[#This Row],[autor_es]],autorest[autor_es],autorest[idioma_es])</f>
        <v>Griego</v>
      </c>
      <c r="K191" t="str">
        <f>_xlfn.XLOOKUP(frasest[[#This Row],[autor_es]],autorest[autor_es],autorest[idioma_la])</f>
        <v>Lingua Graeca</v>
      </c>
      <c r="L191" t="str">
        <f>_xlfn.XLOOKUP(frasest[[#This Row],[autor_es]],autorest[autor_es],autorest[nacion_es])</f>
        <v>Grecia</v>
      </c>
      <c r="M191" t="str">
        <f>_xlfn.XLOOKUP(frasest[[#This Row],[autor_es]],autorest[autor_es],autorest[nacion_la])</f>
        <v>Graecia</v>
      </c>
      <c r="N191" t="str">
        <f>_xlfn.XLOOKUP(frasest[[#This Row],[autor_es]],autorest[autor_es],autorest[epoca_es])</f>
        <v>Edad Antigua</v>
      </c>
      <c r="O191" t="str">
        <f>_xlfn.XLOOKUP(frasest[[#This Row],[autor_es]],autorest[autor_es],autorest[epoca_la])</f>
        <v>Antiquitas</v>
      </c>
    </row>
    <row r="192" spans="1:15">
      <c r="A192">
        <v>191</v>
      </c>
      <c r="B192" t="s">
        <v>585</v>
      </c>
      <c r="C192" t="s">
        <v>586</v>
      </c>
      <c r="D192" t="s">
        <v>587</v>
      </c>
      <c r="E192" t="s">
        <v>582</v>
      </c>
      <c r="F192" t="str">
        <f>_xlfn.XLOOKUP(frasest[[#This Row],[autor_es]],autorest[autor_es],autorest[autor_la])</f>
        <v>Socrates</v>
      </c>
      <c r="G192" t="str">
        <f>_xlfn.XLOOKUP(frasest[[#This Row],[autor_es]],autorest[autor_es],autorest[bio_es])</f>
        <v>Filósofo griego de Atenas, fundador de la filosofía moral occidental. Maestro de Platón, desarrolló el método mayéutico. Fue condenado a muerte por impiedad.</v>
      </c>
      <c r="H192" t="str">
        <f>_xlfn.XLOOKUP(frasest[[#This Row],[autor_es]],autorest[autor_es],autorest[bio_la])</f>
        <v>Philosophus Graecus Atheniensis, philosophiae moralis Occidentalis conditor. Magister Platonis, methodum maieuticam elaboravit. Morte damnatus propter impietatem.</v>
      </c>
      <c r="I192" t="str">
        <f>_xlfn.XLOOKUP(frasest[[#This Row],[autor_es]],autorest[autor_es],autorest[codigo])</f>
        <v>el</v>
      </c>
      <c r="J192" t="str">
        <f>_xlfn.XLOOKUP(frasest[[#This Row],[autor_es]],autorest[autor_es],autorest[idioma_es])</f>
        <v>Griego</v>
      </c>
      <c r="K192" t="str">
        <f>_xlfn.XLOOKUP(frasest[[#This Row],[autor_es]],autorest[autor_es],autorest[idioma_la])</f>
        <v>Lingua Graeca</v>
      </c>
      <c r="L192" t="str">
        <f>_xlfn.XLOOKUP(frasest[[#This Row],[autor_es]],autorest[autor_es],autorest[nacion_es])</f>
        <v>Grecia</v>
      </c>
      <c r="M192" t="str">
        <f>_xlfn.XLOOKUP(frasest[[#This Row],[autor_es]],autorest[autor_es],autorest[nacion_la])</f>
        <v>Graecia</v>
      </c>
      <c r="N192" t="str">
        <f>_xlfn.XLOOKUP(frasest[[#This Row],[autor_es]],autorest[autor_es],autorest[epoca_es])</f>
        <v>Edad Antigua</v>
      </c>
      <c r="O192" t="str">
        <f>_xlfn.XLOOKUP(frasest[[#This Row],[autor_es]],autorest[autor_es],autorest[epoca_la])</f>
        <v>Antiquitas</v>
      </c>
    </row>
    <row r="193" spans="1:15">
      <c r="A193">
        <v>192</v>
      </c>
      <c r="B193" t="s">
        <v>588</v>
      </c>
      <c r="C193" t="s">
        <v>589</v>
      </c>
      <c r="D193" t="s">
        <v>590</v>
      </c>
      <c r="E193" t="s">
        <v>582</v>
      </c>
      <c r="F193" t="str">
        <f>_xlfn.XLOOKUP(frasest[[#This Row],[autor_es]],autorest[autor_es],autorest[autor_la])</f>
        <v>Socrates</v>
      </c>
      <c r="G193" t="str">
        <f>_xlfn.XLOOKUP(frasest[[#This Row],[autor_es]],autorest[autor_es],autorest[bio_es])</f>
        <v>Filósofo griego de Atenas, fundador de la filosofía moral occidental. Maestro de Platón, desarrolló el método mayéutico. Fue condenado a muerte por impiedad.</v>
      </c>
      <c r="H193" t="str">
        <f>_xlfn.XLOOKUP(frasest[[#This Row],[autor_es]],autorest[autor_es],autorest[bio_la])</f>
        <v>Philosophus Graecus Atheniensis, philosophiae moralis Occidentalis conditor. Magister Platonis, methodum maieuticam elaboravit. Morte damnatus propter impietatem.</v>
      </c>
      <c r="I193" t="str">
        <f>_xlfn.XLOOKUP(frasest[[#This Row],[autor_es]],autorest[autor_es],autorest[codigo])</f>
        <v>el</v>
      </c>
      <c r="J193" t="str">
        <f>_xlfn.XLOOKUP(frasest[[#This Row],[autor_es]],autorest[autor_es],autorest[idioma_es])</f>
        <v>Griego</v>
      </c>
      <c r="K193" t="str">
        <f>_xlfn.XLOOKUP(frasest[[#This Row],[autor_es]],autorest[autor_es],autorest[idioma_la])</f>
        <v>Lingua Graeca</v>
      </c>
      <c r="L193" t="str">
        <f>_xlfn.XLOOKUP(frasest[[#This Row],[autor_es]],autorest[autor_es],autorest[nacion_es])</f>
        <v>Grecia</v>
      </c>
      <c r="M193" t="str">
        <f>_xlfn.XLOOKUP(frasest[[#This Row],[autor_es]],autorest[autor_es],autorest[nacion_la])</f>
        <v>Graecia</v>
      </c>
      <c r="N193" t="str">
        <f>_xlfn.XLOOKUP(frasest[[#This Row],[autor_es]],autorest[autor_es],autorest[epoca_es])</f>
        <v>Edad Antigua</v>
      </c>
      <c r="O193" t="str">
        <f>_xlfn.XLOOKUP(frasest[[#This Row],[autor_es]],autorest[autor_es],autorest[epoca_la])</f>
        <v>Antiquitas</v>
      </c>
    </row>
    <row r="194" spans="1:15">
      <c r="A194">
        <v>193</v>
      </c>
      <c r="B194" t="s">
        <v>591</v>
      </c>
      <c r="C194" t="s">
        <v>592</v>
      </c>
      <c r="D194" t="s">
        <v>593</v>
      </c>
      <c r="E194" t="s">
        <v>582</v>
      </c>
      <c r="F194" t="str">
        <f>_xlfn.XLOOKUP(frasest[[#This Row],[autor_es]],autorest[autor_es],autorest[autor_la])</f>
        <v>Socrates</v>
      </c>
      <c r="G194" t="str">
        <f>_xlfn.XLOOKUP(frasest[[#This Row],[autor_es]],autorest[autor_es],autorest[bio_es])</f>
        <v>Filósofo griego de Atenas, fundador de la filosofía moral occidental. Maestro de Platón, desarrolló el método mayéutico. Fue condenado a muerte por impiedad.</v>
      </c>
      <c r="H194" t="str">
        <f>_xlfn.XLOOKUP(frasest[[#This Row],[autor_es]],autorest[autor_es],autorest[bio_la])</f>
        <v>Philosophus Graecus Atheniensis, philosophiae moralis Occidentalis conditor. Magister Platonis, methodum maieuticam elaboravit. Morte damnatus propter impietatem.</v>
      </c>
      <c r="I194" t="str">
        <f>_xlfn.XLOOKUP(frasest[[#This Row],[autor_es]],autorest[autor_es],autorest[codigo])</f>
        <v>el</v>
      </c>
      <c r="J194" t="str">
        <f>_xlfn.XLOOKUP(frasest[[#This Row],[autor_es]],autorest[autor_es],autorest[idioma_es])</f>
        <v>Griego</v>
      </c>
      <c r="K194" t="str">
        <f>_xlfn.XLOOKUP(frasest[[#This Row],[autor_es]],autorest[autor_es],autorest[idioma_la])</f>
        <v>Lingua Graeca</v>
      </c>
      <c r="L194" t="str">
        <f>_xlfn.XLOOKUP(frasest[[#This Row],[autor_es]],autorest[autor_es],autorest[nacion_es])</f>
        <v>Grecia</v>
      </c>
      <c r="M194" t="str">
        <f>_xlfn.XLOOKUP(frasest[[#This Row],[autor_es]],autorest[autor_es],autorest[nacion_la])</f>
        <v>Graecia</v>
      </c>
      <c r="N194" t="str">
        <f>_xlfn.XLOOKUP(frasest[[#This Row],[autor_es]],autorest[autor_es],autorest[epoca_es])</f>
        <v>Edad Antigua</v>
      </c>
      <c r="O194" t="str">
        <f>_xlfn.XLOOKUP(frasest[[#This Row],[autor_es]],autorest[autor_es],autorest[epoca_la])</f>
        <v>Antiquitas</v>
      </c>
    </row>
    <row r="195" spans="1:15">
      <c r="A195">
        <v>194</v>
      </c>
      <c r="B195" t="s">
        <v>594</v>
      </c>
      <c r="C195" t="s">
        <v>595</v>
      </c>
      <c r="D195" t="s">
        <v>596</v>
      </c>
      <c r="E195" t="s">
        <v>582</v>
      </c>
      <c r="F195" t="str">
        <f>_xlfn.XLOOKUP(frasest[[#This Row],[autor_es]],autorest[autor_es],autorest[autor_la])</f>
        <v>Socrates</v>
      </c>
      <c r="G195" t="str">
        <f>_xlfn.XLOOKUP(frasest[[#This Row],[autor_es]],autorest[autor_es],autorest[bio_es])</f>
        <v>Filósofo griego de Atenas, fundador de la filosofía moral occidental. Maestro de Platón, desarrolló el método mayéutico. Fue condenado a muerte por impiedad.</v>
      </c>
      <c r="H195" t="str">
        <f>_xlfn.XLOOKUP(frasest[[#This Row],[autor_es]],autorest[autor_es],autorest[bio_la])</f>
        <v>Philosophus Graecus Atheniensis, philosophiae moralis Occidentalis conditor. Magister Platonis, methodum maieuticam elaboravit. Morte damnatus propter impietatem.</v>
      </c>
      <c r="I195" t="str">
        <f>_xlfn.XLOOKUP(frasest[[#This Row],[autor_es]],autorest[autor_es],autorest[codigo])</f>
        <v>el</v>
      </c>
      <c r="J195" t="str">
        <f>_xlfn.XLOOKUP(frasest[[#This Row],[autor_es]],autorest[autor_es],autorest[idioma_es])</f>
        <v>Griego</v>
      </c>
      <c r="K195" t="str">
        <f>_xlfn.XLOOKUP(frasest[[#This Row],[autor_es]],autorest[autor_es],autorest[idioma_la])</f>
        <v>Lingua Graeca</v>
      </c>
      <c r="L195" t="str">
        <f>_xlfn.XLOOKUP(frasest[[#This Row],[autor_es]],autorest[autor_es],autorest[nacion_es])</f>
        <v>Grecia</v>
      </c>
      <c r="M195" t="str">
        <f>_xlfn.XLOOKUP(frasest[[#This Row],[autor_es]],autorest[autor_es],autorest[nacion_la])</f>
        <v>Graecia</v>
      </c>
      <c r="N195" t="str">
        <f>_xlfn.XLOOKUP(frasest[[#This Row],[autor_es]],autorest[autor_es],autorest[epoca_es])</f>
        <v>Edad Antigua</v>
      </c>
      <c r="O195" t="str">
        <f>_xlfn.XLOOKUP(frasest[[#This Row],[autor_es]],autorest[autor_es],autorest[epoca_la])</f>
        <v>Antiquitas</v>
      </c>
    </row>
    <row r="196" spans="1:15">
      <c r="A196">
        <v>195</v>
      </c>
      <c r="B196" t="s">
        <v>393</v>
      </c>
      <c r="C196" t="s">
        <v>597</v>
      </c>
      <c r="D196" t="s">
        <v>598</v>
      </c>
      <c r="E196" t="s">
        <v>582</v>
      </c>
      <c r="F196" t="str">
        <f>_xlfn.XLOOKUP(frasest[[#This Row],[autor_es]],autorest[autor_es],autorest[autor_la])</f>
        <v>Socrates</v>
      </c>
      <c r="G196" t="str">
        <f>_xlfn.XLOOKUP(frasest[[#This Row],[autor_es]],autorest[autor_es],autorest[bio_es])</f>
        <v>Filósofo griego de Atenas, fundador de la filosofía moral occidental. Maestro de Platón, desarrolló el método mayéutico. Fue condenado a muerte por impiedad.</v>
      </c>
      <c r="H196" t="str">
        <f>_xlfn.XLOOKUP(frasest[[#This Row],[autor_es]],autorest[autor_es],autorest[bio_la])</f>
        <v>Philosophus Graecus Atheniensis, philosophiae moralis Occidentalis conditor. Magister Platonis, methodum maieuticam elaboravit. Morte damnatus propter impietatem.</v>
      </c>
      <c r="I196" t="str">
        <f>_xlfn.XLOOKUP(frasest[[#This Row],[autor_es]],autorest[autor_es],autorest[codigo])</f>
        <v>el</v>
      </c>
      <c r="J196" t="str">
        <f>_xlfn.XLOOKUP(frasest[[#This Row],[autor_es]],autorest[autor_es],autorest[idioma_es])</f>
        <v>Griego</v>
      </c>
      <c r="K196" t="str">
        <f>_xlfn.XLOOKUP(frasest[[#This Row],[autor_es]],autorest[autor_es],autorest[idioma_la])</f>
        <v>Lingua Graeca</v>
      </c>
      <c r="L196" t="str">
        <f>_xlfn.XLOOKUP(frasest[[#This Row],[autor_es]],autorest[autor_es],autorest[nacion_es])</f>
        <v>Grecia</v>
      </c>
      <c r="M196" t="str">
        <f>_xlfn.XLOOKUP(frasest[[#This Row],[autor_es]],autorest[autor_es],autorest[nacion_la])</f>
        <v>Graecia</v>
      </c>
      <c r="N196" t="str">
        <f>_xlfn.XLOOKUP(frasest[[#This Row],[autor_es]],autorest[autor_es],autorest[epoca_es])</f>
        <v>Edad Antigua</v>
      </c>
      <c r="O196" t="str">
        <f>_xlfn.XLOOKUP(frasest[[#This Row],[autor_es]],autorest[autor_es],autorest[epoca_la])</f>
        <v>Antiquitas</v>
      </c>
    </row>
    <row r="197" spans="1:15">
      <c r="A197">
        <v>196</v>
      </c>
      <c r="B197" t="s">
        <v>599</v>
      </c>
      <c r="C197" t="s">
        <v>600</v>
      </c>
      <c r="D197" t="s">
        <v>601</v>
      </c>
      <c r="E197" t="s">
        <v>582</v>
      </c>
      <c r="F197" t="str">
        <f>_xlfn.XLOOKUP(frasest[[#This Row],[autor_es]],autorest[autor_es],autorest[autor_la])</f>
        <v>Socrates</v>
      </c>
      <c r="G197" t="str">
        <f>_xlfn.XLOOKUP(frasest[[#This Row],[autor_es]],autorest[autor_es],autorest[bio_es])</f>
        <v>Filósofo griego de Atenas, fundador de la filosofía moral occidental. Maestro de Platón, desarrolló el método mayéutico. Fue condenado a muerte por impiedad.</v>
      </c>
      <c r="H197" t="str">
        <f>_xlfn.XLOOKUP(frasest[[#This Row],[autor_es]],autorest[autor_es],autorest[bio_la])</f>
        <v>Philosophus Graecus Atheniensis, philosophiae moralis Occidentalis conditor. Magister Platonis, methodum maieuticam elaboravit. Morte damnatus propter impietatem.</v>
      </c>
      <c r="I197" t="str">
        <f>_xlfn.XLOOKUP(frasest[[#This Row],[autor_es]],autorest[autor_es],autorest[codigo])</f>
        <v>el</v>
      </c>
      <c r="J197" t="str">
        <f>_xlfn.XLOOKUP(frasest[[#This Row],[autor_es]],autorest[autor_es],autorest[idioma_es])</f>
        <v>Griego</v>
      </c>
      <c r="K197" t="str">
        <f>_xlfn.XLOOKUP(frasest[[#This Row],[autor_es]],autorest[autor_es],autorest[idioma_la])</f>
        <v>Lingua Graeca</v>
      </c>
      <c r="L197" t="str">
        <f>_xlfn.XLOOKUP(frasest[[#This Row],[autor_es]],autorest[autor_es],autorest[nacion_es])</f>
        <v>Grecia</v>
      </c>
      <c r="M197" t="str">
        <f>_xlfn.XLOOKUP(frasest[[#This Row],[autor_es]],autorest[autor_es],autorest[nacion_la])</f>
        <v>Graecia</v>
      </c>
      <c r="N197" t="str">
        <f>_xlfn.XLOOKUP(frasest[[#This Row],[autor_es]],autorest[autor_es],autorest[epoca_es])</f>
        <v>Edad Antigua</v>
      </c>
      <c r="O197" t="str">
        <f>_xlfn.XLOOKUP(frasest[[#This Row],[autor_es]],autorest[autor_es],autorest[epoca_la])</f>
        <v>Antiquitas</v>
      </c>
    </row>
    <row r="198" spans="1:15">
      <c r="A198">
        <v>197</v>
      </c>
      <c r="B198" t="s">
        <v>602</v>
      </c>
      <c r="C198" t="s">
        <v>603</v>
      </c>
      <c r="D198" t="s">
        <v>604</v>
      </c>
      <c r="E198" t="s">
        <v>582</v>
      </c>
      <c r="F198" t="str">
        <f>_xlfn.XLOOKUP(frasest[[#This Row],[autor_es]],autorest[autor_es],autorest[autor_la])</f>
        <v>Socrates</v>
      </c>
      <c r="G198" t="str">
        <f>_xlfn.XLOOKUP(frasest[[#This Row],[autor_es]],autorest[autor_es],autorest[bio_es])</f>
        <v>Filósofo griego de Atenas, fundador de la filosofía moral occidental. Maestro de Platón, desarrolló el método mayéutico. Fue condenado a muerte por impiedad.</v>
      </c>
      <c r="H198" t="str">
        <f>_xlfn.XLOOKUP(frasest[[#This Row],[autor_es]],autorest[autor_es],autorest[bio_la])</f>
        <v>Philosophus Graecus Atheniensis, philosophiae moralis Occidentalis conditor. Magister Platonis, methodum maieuticam elaboravit. Morte damnatus propter impietatem.</v>
      </c>
      <c r="I198" t="str">
        <f>_xlfn.XLOOKUP(frasest[[#This Row],[autor_es]],autorest[autor_es],autorest[codigo])</f>
        <v>el</v>
      </c>
      <c r="J198" t="str">
        <f>_xlfn.XLOOKUP(frasest[[#This Row],[autor_es]],autorest[autor_es],autorest[idioma_es])</f>
        <v>Griego</v>
      </c>
      <c r="K198" t="str">
        <f>_xlfn.XLOOKUP(frasest[[#This Row],[autor_es]],autorest[autor_es],autorest[idioma_la])</f>
        <v>Lingua Graeca</v>
      </c>
      <c r="L198" t="str">
        <f>_xlfn.XLOOKUP(frasest[[#This Row],[autor_es]],autorest[autor_es],autorest[nacion_es])</f>
        <v>Grecia</v>
      </c>
      <c r="M198" t="str">
        <f>_xlfn.XLOOKUP(frasest[[#This Row],[autor_es]],autorest[autor_es],autorest[nacion_la])</f>
        <v>Graecia</v>
      </c>
      <c r="N198" t="str">
        <f>_xlfn.XLOOKUP(frasest[[#This Row],[autor_es]],autorest[autor_es],autorest[epoca_es])</f>
        <v>Edad Antigua</v>
      </c>
      <c r="O198" t="str">
        <f>_xlfn.XLOOKUP(frasest[[#This Row],[autor_es]],autorest[autor_es],autorest[epoca_la])</f>
        <v>Antiquitas</v>
      </c>
    </row>
    <row r="199" spans="1:15">
      <c r="A199">
        <v>198</v>
      </c>
      <c r="B199" t="s">
        <v>605</v>
      </c>
      <c r="C199" t="s">
        <v>606</v>
      </c>
      <c r="D199" t="s">
        <v>607</v>
      </c>
      <c r="E199" t="s">
        <v>582</v>
      </c>
      <c r="F199" t="str">
        <f>_xlfn.XLOOKUP(frasest[[#This Row],[autor_es]],autorest[autor_es],autorest[autor_la])</f>
        <v>Socrates</v>
      </c>
      <c r="G199" t="str">
        <f>_xlfn.XLOOKUP(frasest[[#This Row],[autor_es]],autorest[autor_es],autorest[bio_es])</f>
        <v>Filósofo griego de Atenas, fundador de la filosofía moral occidental. Maestro de Platón, desarrolló el método mayéutico. Fue condenado a muerte por impiedad.</v>
      </c>
      <c r="H199" t="str">
        <f>_xlfn.XLOOKUP(frasest[[#This Row],[autor_es]],autorest[autor_es],autorest[bio_la])</f>
        <v>Philosophus Graecus Atheniensis, philosophiae moralis Occidentalis conditor. Magister Platonis, methodum maieuticam elaboravit. Morte damnatus propter impietatem.</v>
      </c>
      <c r="I199" t="str">
        <f>_xlfn.XLOOKUP(frasest[[#This Row],[autor_es]],autorest[autor_es],autorest[codigo])</f>
        <v>el</v>
      </c>
      <c r="J199" t="str">
        <f>_xlfn.XLOOKUP(frasest[[#This Row],[autor_es]],autorest[autor_es],autorest[idioma_es])</f>
        <v>Griego</v>
      </c>
      <c r="K199" t="str">
        <f>_xlfn.XLOOKUP(frasest[[#This Row],[autor_es]],autorest[autor_es],autorest[idioma_la])</f>
        <v>Lingua Graeca</v>
      </c>
      <c r="L199" t="str">
        <f>_xlfn.XLOOKUP(frasest[[#This Row],[autor_es]],autorest[autor_es],autorest[nacion_es])</f>
        <v>Grecia</v>
      </c>
      <c r="M199" t="str">
        <f>_xlfn.XLOOKUP(frasest[[#This Row],[autor_es]],autorest[autor_es],autorest[nacion_la])</f>
        <v>Graecia</v>
      </c>
      <c r="N199" t="str">
        <f>_xlfn.XLOOKUP(frasest[[#This Row],[autor_es]],autorest[autor_es],autorest[epoca_es])</f>
        <v>Edad Antigua</v>
      </c>
      <c r="O199" t="str">
        <f>_xlfn.XLOOKUP(frasest[[#This Row],[autor_es]],autorest[autor_es],autorest[epoca_la])</f>
        <v>Antiquitas</v>
      </c>
    </row>
    <row r="200" spans="1:15">
      <c r="A200">
        <v>199</v>
      </c>
      <c r="B200" t="s">
        <v>608</v>
      </c>
      <c r="C200" t="s">
        <v>609</v>
      </c>
      <c r="D200" t="s">
        <v>610</v>
      </c>
      <c r="E200" t="s">
        <v>611</v>
      </c>
      <c r="F200" t="str">
        <f>_xlfn.XLOOKUP(frasest[[#This Row],[autor_es]],autorest[autor_es],autorest[autor_la])</f>
        <v>Democritus</v>
      </c>
      <c r="G200" t="str">
        <f>_xlfn.XLOOKUP(frasest[[#This Row],[autor_es]],autorest[autor_es],autorest[bio_es])</f>
        <v>Filósofo griego de Abdera, fundador del atomismo junto a Leucipo. Propuso que el universo está compuesto por átomos indivisibles en el vacío.</v>
      </c>
      <c r="H200" t="str">
        <f>_xlfn.XLOOKUP(frasest[[#This Row],[autor_es]],autorest[autor_es],autorest[bio_la])</f>
        <v>Philosophus Graecus Abderita, atomismi conditor cum Leucippo. Universum ex atomis indivisibilibus in vacuo compositum proposuit.</v>
      </c>
      <c r="I200" t="str">
        <f>_xlfn.XLOOKUP(frasest[[#This Row],[autor_es]],autorest[autor_es],autorest[codigo])</f>
        <v>el</v>
      </c>
      <c r="J200" t="str">
        <f>_xlfn.XLOOKUP(frasest[[#This Row],[autor_es]],autorest[autor_es],autorest[idioma_es])</f>
        <v>Griego</v>
      </c>
      <c r="K200" t="str">
        <f>_xlfn.XLOOKUP(frasest[[#This Row],[autor_es]],autorest[autor_es],autorest[idioma_la])</f>
        <v>Lingua Graeca</v>
      </c>
      <c r="L200" t="str">
        <f>_xlfn.XLOOKUP(frasest[[#This Row],[autor_es]],autorest[autor_es],autorest[nacion_es])</f>
        <v>Grecia</v>
      </c>
      <c r="M200" t="str">
        <f>_xlfn.XLOOKUP(frasest[[#This Row],[autor_es]],autorest[autor_es],autorest[nacion_la])</f>
        <v>Graecia</v>
      </c>
      <c r="N200" t="str">
        <f>_xlfn.XLOOKUP(frasest[[#This Row],[autor_es]],autorest[autor_es],autorest[epoca_es])</f>
        <v>Edad Antigua</v>
      </c>
      <c r="O200" t="str">
        <f>_xlfn.XLOOKUP(frasest[[#This Row],[autor_es]],autorest[autor_es],autorest[epoca_la])</f>
        <v>Antiquitas</v>
      </c>
    </row>
    <row r="201" spans="1:15">
      <c r="A201">
        <v>200</v>
      </c>
      <c r="B201" t="s">
        <v>612</v>
      </c>
      <c r="C201" t="s">
        <v>613</v>
      </c>
      <c r="D201" t="s">
        <v>614</v>
      </c>
      <c r="E201" t="s">
        <v>611</v>
      </c>
      <c r="F201" t="str">
        <f>_xlfn.XLOOKUP(frasest[[#This Row],[autor_es]],autorest[autor_es],autorest[autor_la])</f>
        <v>Democritus</v>
      </c>
      <c r="G201" t="str">
        <f>_xlfn.XLOOKUP(frasest[[#This Row],[autor_es]],autorest[autor_es],autorest[bio_es])</f>
        <v>Filósofo griego de Abdera, fundador del atomismo junto a Leucipo. Propuso que el universo está compuesto por átomos indivisibles en el vacío.</v>
      </c>
      <c r="H201" t="str">
        <f>_xlfn.XLOOKUP(frasest[[#This Row],[autor_es]],autorest[autor_es],autorest[bio_la])</f>
        <v>Philosophus Graecus Abderita, atomismi conditor cum Leucippo. Universum ex atomis indivisibilibus in vacuo compositum proposuit.</v>
      </c>
      <c r="I201" t="str">
        <f>_xlfn.XLOOKUP(frasest[[#This Row],[autor_es]],autorest[autor_es],autorest[codigo])</f>
        <v>el</v>
      </c>
      <c r="J201" t="str">
        <f>_xlfn.XLOOKUP(frasest[[#This Row],[autor_es]],autorest[autor_es],autorest[idioma_es])</f>
        <v>Griego</v>
      </c>
      <c r="K201" t="str">
        <f>_xlfn.XLOOKUP(frasest[[#This Row],[autor_es]],autorest[autor_es],autorest[idioma_la])</f>
        <v>Lingua Graeca</v>
      </c>
      <c r="L201" t="str">
        <f>_xlfn.XLOOKUP(frasest[[#This Row],[autor_es]],autorest[autor_es],autorest[nacion_es])</f>
        <v>Grecia</v>
      </c>
      <c r="M201" t="str">
        <f>_xlfn.XLOOKUP(frasest[[#This Row],[autor_es]],autorest[autor_es],autorest[nacion_la])</f>
        <v>Graecia</v>
      </c>
      <c r="N201" t="str">
        <f>_xlfn.XLOOKUP(frasest[[#This Row],[autor_es]],autorest[autor_es],autorest[epoca_es])</f>
        <v>Edad Antigua</v>
      </c>
      <c r="O201" t="str">
        <f>_xlfn.XLOOKUP(frasest[[#This Row],[autor_es]],autorest[autor_es],autorest[epoca_la])</f>
        <v>Antiquitas</v>
      </c>
    </row>
    <row r="202" spans="1:15">
      <c r="A202">
        <v>201</v>
      </c>
      <c r="B202" t="s">
        <v>615</v>
      </c>
      <c r="C202" t="s">
        <v>616</v>
      </c>
      <c r="D202" t="s">
        <v>617</v>
      </c>
      <c r="E202" t="s">
        <v>611</v>
      </c>
      <c r="F202" t="str">
        <f>_xlfn.XLOOKUP(frasest[[#This Row],[autor_es]],autorest[autor_es],autorest[autor_la])</f>
        <v>Democritus</v>
      </c>
      <c r="G202" t="str">
        <f>_xlfn.XLOOKUP(frasest[[#This Row],[autor_es]],autorest[autor_es],autorest[bio_es])</f>
        <v>Filósofo griego de Abdera, fundador del atomismo junto a Leucipo. Propuso que el universo está compuesto por átomos indivisibles en el vacío.</v>
      </c>
      <c r="H202" t="str">
        <f>_xlfn.XLOOKUP(frasest[[#This Row],[autor_es]],autorest[autor_es],autorest[bio_la])</f>
        <v>Philosophus Graecus Abderita, atomismi conditor cum Leucippo. Universum ex atomis indivisibilibus in vacuo compositum proposuit.</v>
      </c>
      <c r="I202" t="str">
        <f>_xlfn.XLOOKUP(frasest[[#This Row],[autor_es]],autorest[autor_es],autorest[codigo])</f>
        <v>el</v>
      </c>
      <c r="J202" t="str">
        <f>_xlfn.XLOOKUP(frasest[[#This Row],[autor_es]],autorest[autor_es],autorest[idioma_es])</f>
        <v>Griego</v>
      </c>
      <c r="K202" t="str">
        <f>_xlfn.XLOOKUP(frasest[[#This Row],[autor_es]],autorest[autor_es],autorest[idioma_la])</f>
        <v>Lingua Graeca</v>
      </c>
      <c r="L202" t="str">
        <f>_xlfn.XLOOKUP(frasest[[#This Row],[autor_es]],autorest[autor_es],autorest[nacion_es])</f>
        <v>Grecia</v>
      </c>
      <c r="M202" t="str">
        <f>_xlfn.XLOOKUP(frasest[[#This Row],[autor_es]],autorest[autor_es],autorest[nacion_la])</f>
        <v>Graecia</v>
      </c>
      <c r="N202" t="str">
        <f>_xlfn.XLOOKUP(frasest[[#This Row],[autor_es]],autorest[autor_es],autorest[epoca_es])</f>
        <v>Edad Antigua</v>
      </c>
      <c r="O202" t="str">
        <f>_xlfn.XLOOKUP(frasest[[#This Row],[autor_es]],autorest[autor_es],autorest[epoca_la])</f>
        <v>Antiquitas</v>
      </c>
    </row>
    <row r="203" spans="1:15">
      <c r="A203">
        <v>202</v>
      </c>
      <c r="B203" t="s">
        <v>618</v>
      </c>
      <c r="C203" t="s">
        <v>619</v>
      </c>
      <c r="D203" t="s">
        <v>620</v>
      </c>
      <c r="E203" t="s">
        <v>611</v>
      </c>
      <c r="F203" t="str">
        <f>_xlfn.XLOOKUP(frasest[[#This Row],[autor_es]],autorest[autor_es],autorest[autor_la])</f>
        <v>Democritus</v>
      </c>
      <c r="G203" t="str">
        <f>_xlfn.XLOOKUP(frasest[[#This Row],[autor_es]],autorest[autor_es],autorest[bio_es])</f>
        <v>Filósofo griego de Abdera, fundador del atomismo junto a Leucipo. Propuso que el universo está compuesto por átomos indivisibles en el vacío.</v>
      </c>
      <c r="H203" t="str">
        <f>_xlfn.XLOOKUP(frasest[[#This Row],[autor_es]],autorest[autor_es],autorest[bio_la])</f>
        <v>Philosophus Graecus Abderita, atomismi conditor cum Leucippo. Universum ex atomis indivisibilibus in vacuo compositum proposuit.</v>
      </c>
      <c r="I203" t="str">
        <f>_xlfn.XLOOKUP(frasest[[#This Row],[autor_es]],autorest[autor_es],autorest[codigo])</f>
        <v>el</v>
      </c>
      <c r="J203" t="str">
        <f>_xlfn.XLOOKUP(frasest[[#This Row],[autor_es]],autorest[autor_es],autorest[idioma_es])</f>
        <v>Griego</v>
      </c>
      <c r="K203" t="str">
        <f>_xlfn.XLOOKUP(frasest[[#This Row],[autor_es]],autorest[autor_es],autorest[idioma_la])</f>
        <v>Lingua Graeca</v>
      </c>
      <c r="L203" t="str">
        <f>_xlfn.XLOOKUP(frasest[[#This Row],[autor_es]],autorest[autor_es],autorest[nacion_es])</f>
        <v>Grecia</v>
      </c>
      <c r="M203" t="str">
        <f>_xlfn.XLOOKUP(frasest[[#This Row],[autor_es]],autorest[autor_es],autorest[nacion_la])</f>
        <v>Graecia</v>
      </c>
      <c r="N203" t="str">
        <f>_xlfn.XLOOKUP(frasest[[#This Row],[autor_es]],autorest[autor_es],autorest[epoca_es])</f>
        <v>Edad Antigua</v>
      </c>
      <c r="O203" t="str">
        <f>_xlfn.XLOOKUP(frasest[[#This Row],[autor_es]],autorest[autor_es],autorest[epoca_la])</f>
        <v>Antiquitas</v>
      </c>
    </row>
    <row r="204" spans="1:15">
      <c r="A204">
        <v>203</v>
      </c>
      <c r="B204" t="s">
        <v>621</v>
      </c>
      <c r="C204" t="s">
        <v>622</v>
      </c>
      <c r="D204" t="s">
        <v>623</v>
      </c>
      <c r="E204" t="s">
        <v>611</v>
      </c>
      <c r="F204" t="str">
        <f>_xlfn.XLOOKUP(frasest[[#This Row],[autor_es]],autorest[autor_es],autorest[autor_la])</f>
        <v>Democritus</v>
      </c>
      <c r="G204" t="str">
        <f>_xlfn.XLOOKUP(frasest[[#This Row],[autor_es]],autorest[autor_es],autorest[bio_es])</f>
        <v>Filósofo griego de Abdera, fundador del atomismo junto a Leucipo. Propuso que el universo está compuesto por átomos indivisibles en el vacío.</v>
      </c>
      <c r="H204" t="str">
        <f>_xlfn.XLOOKUP(frasest[[#This Row],[autor_es]],autorest[autor_es],autorest[bio_la])</f>
        <v>Philosophus Graecus Abderita, atomismi conditor cum Leucippo. Universum ex atomis indivisibilibus in vacuo compositum proposuit.</v>
      </c>
      <c r="I204" t="str">
        <f>_xlfn.XLOOKUP(frasest[[#This Row],[autor_es]],autorest[autor_es],autorest[codigo])</f>
        <v>el</v>
      </c>
      <c r="J204" t="str">
        <f>_xlfn.XLOOKUP(frasest[[#This Row],[autor_es]],autorest[autor_es],autorest[idioma_es])</f>
        <v>Griego</v>
      </c>
      <c r="K204" t="str">
        <f>_xlfn.XLOOKUP(frasest[[#This Row],[autor_es]],autorest[autor_es],autorest[idioma_la])</f>
        <v>Lingua Graeca</v>
      </c>
      <c r="L204" t="str">
        <f>_xlfn.XLOOKUP(frasest[[#This Row],[autor_es]],autorest[autor_es],autorest[nacion_es])</f>
        <v>Grecia</v>
      </c>
      <c r="M204" t="str">
        <f>_xlfn.XLOOKUP(frasest[[#This Row],[autor_es]],autorest[autor_es],autorest[nacion_la])</f>
        <v>Graecia</v>
      </c>
      <c r="N204" t="str">
        <f>_xlfn.XLOOKUP(frasest[[#This Row],[autor_es]],autorest[autor_es],autorest[epoca_es])</f>
        <v>Edad Antigua</v>
      </c>
      <c r="O204" t="str">
        <f>_xlfn.XLOOKUP(frasest[[#This Row],[autor_es]],autorest[autor_es],autorest[epoca_la])</f>
        <v>Antiquitas</v>
      </c>
    </row>
    <row r="205" spans="1:15">
      <c r="A205">
        <v>204</v>
      </c>
      <c r="B205" t="s">
        <v>624</v>
      </c>
      <c r="C205" t="s">
        <v>625</v>
      </c>
      <c r="D205" t="s">
        <v>626</v>
      </c>
      <c r="E205" t="s">
        <v>611</v>
      </c>
      <c r="F205" t="str">
        <f>_xlfn.XLOOKUP(frasest[[#This Row],[autor_es]],autorest[autor_es],autorest[autor_la])</f>
        <v>Democritus</v>
      </c>
      <c r="G205" t="str">
        <f>_xlfn.XLOOKUP(frasest[[#This Row],[autor_es]],autorest[autor_es],autorest[bio_es])</f>
        <v>Filósofo griego de Abdera, fundador del atomismo junto a Leucipo. Propuso que el universo está compuesto por átomos indivisibles en el vacío.</v>
      </c>
      <c r="H205" t="str">
        <f>_xlfn.XLOOKUP(frasest[[#This Row],[autor_es]],autorest[autor_es],autorest[bio_la])</f>
        <v>Philosophus Graecus Abderita, atomismi conditor cum Leucippo. Universum ex atomis indivisibilibus in vacuo compositum proposuit.</v>
      </c>
      <c r="I205" t="str">
        <f>_xlfn.XLOOKUP(frasest[[#This Row],[autor_es]],autorest[autor_es],autorest[codigo])</f>
        <v>el</v>
      </c>
      <c r="J205" t="str">
        <f>_xlfn.XLOOKUP(frasest[[#This Row],[autor_es]],autorest[autor_es],autorest[idioma_es])</f>
        <v>Griego</v>
      </c>
      <c r="K205" t="str">
        <f>_xlfn.XLOOKUP(frasest[[#This Row],[autor_es]],autorest[autor_es],autorest[idioma_la])</f>
        <v>Lingua Graeca</v>
      </c>
      <c r="L205" t="str">
        <f>_xlfn.XLOOKUP(frasest[[#This Row],[autor_es]],autorest[autor_es],autorest[nacion_es])</f>
        <v>Grecia</v>
      </c>
      <c r="M205" t="str">
        <f>_xlfn.XLOOKUP(frasest[[#This Row],[autor_es]],autorest[autor_es],autorest[nacion_la])</f>
        <v>Graecia</v>
      </c>
      <c r="N205" t="str">
        <f>_xlfn.XLOOKUP(frasest[[#This Row],[autor_es]],autorest[autor_es],autorest[epoca_es])</f>
        <v>Edad Antigua</v>
      </c>
      <c r="O205" t="str">
        <f>_xlfn.XLOOKUP(frasest[[#This Row],[autor_es]],autorest[autor_es],autorest[epoca_la])</f>
        <v>Antiquitas</v>
      </c>
    </row>
    <row r="206" spans="1:15">
      <c r="A206">
        <v>205</v>
      </c>
      <c r="B206" t="s">
        <v>627</v>
      </c>
      <c r="C206" t="s">
        <v>628</v>
      </c>
      <c r="D206" t="s">
        <v>629</v>
      </c>
      <c r="E206" t="s">
        <v>611</v>
      </c>
      <c r="F206" t="str">
        <f>_xlfn.XLOOKUP(frasest[[#This Row],[autor_es]],autorest[autor_es],autorest[autor_la])</f>
        <v>Democritus</v>
      </c>
      <c r="G206" t="str">
        <f>_xlfn.XLOOKUP(frasest[[#This Row],[autor_es]],autorest[autor_es],autorest[bio_es])</f>
        <v>Filósofo griego de Abdera, fundador del atomismo junto a Leucipo. Propuso que el universo está compuesto por átomos indivisibles en el vacío.</v>
      </c>
      <c r="H206" t="str">
        <f>_xlfn.XLOOKUP(frasest[[#This Row],[autor_es]],autorest[autor_es],autorest[bio_la])</f>
        <v>Philosophus Graecus Abderita, atomismi conditor cum Leucippo. Universum ex atomis indivisibilibus in vacuo compositum proposuit.</v>
      </c>
      <c r="I206" t="str">
        <f>_xlfn.XLOOKUP(frasest[[#This Row],[autor_es]],autorest[autor_es],autorest[codigo])</f>
        <v>el</v>
      </c>
      <c r="J206" t="str">
        <f>_xlfn.XLOOKUP(frasest[[#This Row],[autor_es]],autorest[autor_es],autorest[idioma_es])</f>
        <v>Griego</v>
      </c>
      <c r="K206" t="str">
        <f>_xlfn.XLOOKUP(frasest[[#This Row],[autor_es]],autorest[autor_es],autorest[idioma_la])</f>
        <v>Lingua Graeca</v>
      </c>
      <c r="L206" t="str">
        <f>_xlfn.XLOOKUP(frasest[[#This Row],[autor_es]],autorest[autor_es],autorest[nacion_es])</f>
        <v>Grecia</v>
      </c>
      <c r="M206" t="str">
        <f>_xlfn.XLOOKUP(frasest[[#This Row],[autor_es]],autorest[autor_es],autorest[nacion_la])</f>
        <v>Graecia</v>
      </c>
      <c r="N206" t="str">
        <f>_xlfn.XLOOKUP(frasest[[#This Row],[autor_es]],autorest[autor_es],autorest[epoca_es])</f>
        <v>Edad Antigua</v>
      </c>
      <c r="O206" t="str">
        <f>_xlfn.XLOOKUP(frasest[[#This Row],[autor_es]],autorest[autor_es],autorest[epoca_la])</f>
        <v>Antiquitas</v>
      </c>
    </row>
    <row r="207" spans="1:15">
      <c r="A207">
        <v>206</v>
      </c>
      <c r="B207" t="s">
        <v>630</v>
      </c>
      <c r="C207" t="s">
        <v>631</v>
      </c>
      <c r="D207" t="s">
        <v>632</v>
      </c>
      <c r="E207" t="s">
        <v>611</v>
      </c>
      <c r="F207" t="str">
        <f>_xlfn.XLOOKUP(frasest[[#This Row],[autor_es]],autorest[autor_es],autorest[autor_la])</f>
        <v>Democritus</v>
      </c>
      <c r="G207" t="str">
        <f>_xlfn.XLOOKUP(frasest[[#This Row],[autor_es]],autorest[autor_es],autorest[bio_es])</f>
        <v>Filósofo griego de Abdera, fundador del atomismo junto a Leucipo. Propuso que el universo está compuesto por átomos indivisibles en el vacío.</v>
      </c>
      <c r="H207" t="str">
        <f>_xlfn.XLOOKUP(frasest[[#This Row],[autor_es]],autorest[autor_es],autorest[bio_la])</f>
        <v>Philosophus Graecus Abderita, atomismi conditor cum Leucippo. Universum ex atomis indivisibilibus in vacuo compositum proposuit.</v>
      </c>
      <c r="I207" t="str">
        <f>_xlfn.XLOOKUP(frasest[[#This Row],[autor_es]],autorest[autor_es],autorest[codigo])</f>
        <v>el</v>
      </c>
      <c r="J207" t="str">
        <f>_xlfn.XLOOKUP(frasest[[#This Row],[autor_es]],autorest[autor_es],autorest[idioma_es])</f>
        <v>Griego</v>
      </c>
      <c r="K207" t="str">
        <f>_xlfn.XLOOKUP(frasest[[#This Row],[autor_es]],autorest[autor_es],autorest[idioma_la])</f>
        <v>Lingua Graeca</v>
      </c>
      <c r="L207" t="str">
        <f>_xlfn.XLOOKUP(frasest[[#This Row],[autor_es]],autorest[autor_es],autorest[nacion_es])</f>
        <v>Grecia</v>
      </c>
      <c r="M207" t="str">
        <f>_xlfn.XLOOKUP(frasest[[#This Row],[autor_es]],autorest[autor_es],autorest[nacion_la])</f>
        <v>Graecia</v>
      </c>
      <c r="N207" t="str">
        <f>_xlfn.XLOOKUP(frasest[[#This Row],[autor_es]],autorest[autor_es],autorest[epoca_es])</f>
        <v>Edad Antigua</v>
      </c>
      <c r="O207" t="str">
        <f>_xlfn.XLOOKUP(frasest[[#This Row],[autor_es]],autorest[autor_es],autorest[epoca_la])</f>
        <v>Antiquitas</v>
      </c>
    </row>
    <row r="208" spans="1:15">
      <c r="A208">
        <v>207</v>
      </c>
      <c r="B208" t="s">
        <v>633</v>
      </c>
      <c r="C208" t="s">
        <v>634</v>
      </c>
      <c r="D208" t="s">
        <v>635</v>
      </c>
      <c r="E208" t="s">
        <v>611</v>
      </c>
      <c r="F208" t="str">
        <f>_xlfn.XLOOKUP(frasest[[#This Row],[autor_es]],autorest[autor_es],autorest[autor_la])</f>
        <v>Democritus</v>
      </c>
      <c r="G208" t="str">
        <f>_xlfn.XLOOKUP(frasest[[#This Row],[autor_es]],autorest[autor_es],autorest[bio_es])</f>
        <v>Filósofo griego de Abdera, fundador del atomismo junto a Leucipo. Propuso que el universo está compuesto por átomos indivisibles en el vacío.</v>
      </c>
      <c r="H208" t="str">
        <f>_xlfn.XLOOKUP(frasest[[#This Row],[autor_es]],autorest[autor_es],autorest[bio_la])</f>
        <v>Philosophus Graecus Abderita, atomismi conditor cum Leucippo. Universum ex atomis indivisibilibus in vacuo compositum proposuit.</v>
      </c>
      <c r="I208" t="str">
        <f>_xlfn.XLOOKUP(frasest[[#This Row],[autor_es]],autorest[autor_es],autorest[codigo])</f>
        <v>el</v>
      </c>
      <c r="J208" t="str">
        <f>_xlfn.XLOOKUP(frasest[[#This Row],[autor_es]],autorest[autor_es],autorest[idioma_es])</f>
        <v>Griego</v>
      </c>
      <c r="K208" t="str">
        <f>_xlfn.XLOOKUP(frasest[[#This Row],[autor_es]],autorest[autor_es],autorest[idioma_la])</f>
        <v>Lingua Graeca</v>
      </c>
      <c r="L208" t="str">
        <f>_xlfn.XLOOKUP(frasest[[#This Row],[autor_es]],autorest[autor_es],autorest[nacion_es])</f>
        <v>Grecia</v>
      </c>
      <c r="M208" t="str">
        <f>_xlfn.XLOOKUP(frasest[[#This Row],[autor_es]],autorest[autor_es],autorest[nacion_la])</f>
        <v>Graecia</v>
      </c>
      <c r="N208" t="str">
        <f>_xlfn.XLOOKUP(frasest[[#This Row],[autor_es]],autorest[autor_es],autorest[epoca_es])</f>
        <v>Edad Antigua</v>
      </c>
      <c r="O208" t="str">
        <f>_xlfn.XLOOKUP(frasest[[#This Row],[autor_es]],autorest[autor_es],autorest[epoca_la])</f>
        <v>Antiquitas</v>
      </c>
    </row>
    <row r="209" spans="1:15">
      <c r="A209">
        <v>208</v>
      </c>
      <c r="B209" t="s">
        <v>636</v>
      </c>
      <c r="C209" t="s">
        <v>637</v>
      </c>
      <c r="D209" t="s">
        <v>638</v>
      </c>
      <c r="E209" t="s">
        <v>611</v>
      </c>
      <c r="F209" t="str">
        <f>_xlfn.XLOOKUP(frasest[[#This Row],[autor_es]],autorest[autor_es],autorest[autor_la])</f>
        <v>Democritus</v>
      </c>
      <c r="G209" t="str">
        <f>_xlfn.XLOOKUP(frasest[[#This Row],[autor_es]],autorest[autor_es],autorest[bio_es])</f>
        <v>Filósofo griego de Abdera, fundador del atomismo junto a Leucipo. Propuso que el universo está compuesto por átomos indivisibles en el vacío.</v>
      </c>
      <c r="H209" t="str">
        <f>_xlfn.XLOOKUP(frasest[[#This Row],[autor_es]],autorest[autor_es],autorest[bio_la])</f>
        <v>Philosophus Graecus Abderita, atomismi conditor cum Leucippo. Universum ex atomis indivisibilibus in vacuo compositum proposuit.</v>
      </c>
      <c r="I209" t="str">
        <f>_xlfn.XLOOKUP(frasest[[#This Row],[autor_es]],autorest[autor_es],autorest[codigo])</f>
        <v>el</v>
      </c>
      <c r="J209" t="str">
        <f>_xlfn.XLOOKUP(frasest[[#This Row],[autor_es]],autorest[autor_es],autorest[idioma_es])</f>
        <v>Griego</v>
      </c>
      <c r="K209" t="str">
        <f>_xlfn.XLOOKUP(frasest[[#This Row],[autor_es]],autorest[autor_es],autorest[idioma_la])</f>
        <v>Lingua Graeca</v>
      </c>
      <c r="L209" t="str">
        <f>_xlfn.XLOOKUP(frasest[[#This Row],[autor_es]],autorest[autor_es],autorest[nacion_es])</f>
        <v>Grecia</v>
      </c>
      <c r="M209" t="str">
        <f>_xlfn.XLOOKUP(frasest[[#This Row],[autor_es]],autorest[autor_es],autorest[nacion_la])</f>
        <v>Graecia</v>
      </c>
      <c r="N209" t="str">
        <f>_xlfn.XLOOKUP(frasest[[#This Row],[autor_es]],autorest[autor_es],autorest[epoca_es])</f>
        <v>Edad Antigua</v>
      </c>
      <c r="O209" t="str">
        <f>_xlfn.XLOOKUP(frasest[[#This Row],[autor_es]],autorest[autor_es],autorest[epoca_la])</f>
        <v>Antiquitas</v>
      </c>
    </row>
    <row r="210" spans="1:15">
      <c r="A210">
        <v>209</v>
      </c>
      <c r="B210" t="s">
        <v>639</v>
      </c>
      <c r="C210" t="s">
        <v>640</v>
      </c>
      <c r="D210" t="s">
        <v>641</v>
      </c>
      <c r="E210" t="s">
        <v>642</v>
      </c>
      <c r="F210" t="str">
        <f>_xlfn.XLOOKUP(frasest[[#This Row],[autor_es]],autorest[autor_es],autorest[autor_la])</f>
        <v>Protagoras</v>
      </c>
      <c r="G210" t="str">
        <f>_xlfn.XLOOKUP(frasest[[#This Row],[autor_es]],autorest[autor_es],autorest[bio_es])</f>
        <v>Filósofo sofista griego de Abdera, precursor de la enseñanza retórica profesional. Autor de la máxima "El hombre es la medida de todas las cosas".</v>
      </c>
      <c r="H210" t="str">
        <f>_xlfn.XLOOKUP(frasest[[#This Row],[autor_es]],autorest[autor_es],autorest[bio_la])</f>
        <v>Philosophus sophista Graecus Abderita, rhetoricae artis professionalis praecursor. Auctor sententiae "Homo mensura omnium rerum est".</v>
      </c>
      <c r="I210" t="str">
        <f>_xlfn.XLOOKUP(frasest[[#This Row],[autor_es]],autorest[autor_es],autorest[codigo])</f>
        <v>el</v>
      </c>
      <c r="J210" t="str">
        <f>_xlfn.XLOOKUP(frasest[[#This Row],[autor_es]],autorest[autor_es],autorest[idioma_es])</f>
        <v>Griego</v>
      </c>
      <c r="K210" t="str">
        <f>_xlfn.XLOOKUP(frasest[[#This Row],[autor_es]],autorest[autor_es],autorest[idioma_la])</f>
        <v>Lingua Graeca</v>
      </c>
      <c r="L210" t="str">
        <f>_xlfn.XLOOKUP(frasest[[#This Row],[autor_es]],autorest[autor_es],autorest[nacion_es])</f>
        <v>Grecia</v>
      </c>
      <c r="M210" t="str">
        <f>_xlfn.XLOOKUP(frasest[[#This Row],[autor_es]],autorest[autor_es],autorest[nacion_la])</f>
        <v>Graecia</v>
      </c>
      <c r="N210" t="str">
        <f>_xlfn.XLOOKUP(frasest[[#This Row],[autor_es]],autorest[autor_es],autorest[epoca_es])</f>
        <v>Edad Antigua</v>
      </c>
      <c r="O210" t="str">
        <f>_xlfn.XLOOKUP(frasest[[#This Row],[autor_es]],autorest[autor_es],autorest[epoca_la])</f>
        <v>Antiquitas</v>
      </c>
    </row>
    <row r="211" spans="1:15">
      <c r="A211">
        <v>210</v>
      </c>
      <c r="B211" t="s">
        <v>643</v>
      </c>
      <c r="C211" t="s">
        <v>644</v>
      </c>
      <c r="D211" t="s">
        <v>645</v>
      </c>
      <c r="E211" t="s">
        <v>642</v>
      </c>
      <c r="F211" t="str">
        <f>_xlfn.XLOOKUP(frasest[[#This Row],[autor_es]],autorest[autor_es],autorest[autor_la])</f>
        <v>Protagoras</v>
      </c>
      <c r="G211" t="str">
        <f>_xlfn.XLOOKUP(frasest[[#This Row],[autor_es]],autorest[autor_es],autorest[bio_es])</f>
        <v>Filósofo sofista griego de Abdera, precursor de la enseñanza retórica profesional. Autor de la máxima "El hombre es la medida de todas las cosas".</v>
      </c>
      <c r="H211" t="str">
        <f>_xlfn.XLOOKUP(frasest[[#This Row],[autor_es]],autorest[autor_es],autorest[bio_la])</f>
        <v>Philosophus sophista Graecus Abderita, rhetoricae artis professionalis praecursor. Auctor sententiae "Homo mensura omnium rerum est".</v>
      </c>
      <c r="I211" t="str">
        <f>_xlfn.XLOOKUP(frasest[[#This Row],[autor_es]],autorest[autor_es],autorest[codigo])</f>
        <v>el</v>
      </c>
      <c r="J211" t="str">
        <f>_xlfn.XLOOKUP(frasest[[#This Row],[autor_es]],autorest[autor_es],autorest[idioma_es])</f>
        <v>Griego</v>
      </c>
      <c r="K211" t="str">
        <f>_xlfn.XLOOKUP(frasest[[#This Row],[autor_es]],autorest[autor_es],autorest[idioma_la])</f>
        <v>Lingua Graeca</v>
      </c>
      <c r="L211" t="str">
        <f>_xlfn.XLOOKUP(frasest[[#This Row],[autor_es]],autorest[autor_es],autorest[nacion_es])</f>
        <v>Grecia</v>
      </c>
      <c r="M211" t="str">
        <f>_xlfn.XLOOKUP(frasest[[#This Row],[autor_es]],autorest[autor_es],autorest[nacion_la])</f>
        <v>Graecia</v>
      </c>
      <c r="N211" t="str">
        <f>_xlfn.XLOOKUP(frasest[[#This Row],[autor_es]],autorest[autor_es],autorest[epoca_es])</f>
        <v>Edad Antigua</v>
      </c>
      <c r="O211" t="str">
        <f>_xlfn.XLOOKUP(frasest[[#This Row],[autor_es]],autorest[autor_es],autorest[epoca_la])</f>
        <v>Antiquitas</v>
      </c>
    </row>
    <row r="212" spans="1:15">
      <c r="A212">
        <v>211</v>
      </c>
      <c r="B212" t="s">
        <v>646</v>
      </c>
      <c r="C212" t="s">
        <v>647</v>
      </c>
      <c r="D212" t="s">
        <v>648</v>
      </c>
      <c r="E212" t="s">
        <v>642</v>
      </c>
      <c r="F212" t="str">
        <f>_xlfn.XLOOKUP(frasest[[#This Row],[autor_es]],autorest[autor_es],autorest[autor_la])</f>
        <v>Protagoras</v>
      </c>
      <c r="G212" t="str">
        <f>_xlfn.XLOOKUP(frasest[[#This Row],[autor_es]],autorest[autor_es],autorest[bio_es])</f>
        <v>Filósofo sofista griego de Abdera, precursor de la enseñanza retórica profesional. Autor de la máxima "El hombre es la medida de todas las cosas".</v>
      </c>
      <c r="H212" t="str">
        <f>_xlfn.XLOOKUP(frasest[[#This Row],[autor_es]],autorest[autor_es],autorest[bio_la])</f>
        <v>Philosophus sophista Graecus Abderita, rhetoricae artis professionalis praecursor. Auctor sententiae "Homo mensura omnium rerum est".</v>
      </c>
      <c r="I212" t="str">
        <f>_xlfn.XLOOKUP(frasest[[#This Row],[autor_es]],autorest[autor_es],autorest[codigo])</f>
        <v>el</v>
      </c>
      <c r="J212" t="str">
        <f>_xlfn.XLOOKUP(frasest[[#This Row],[autor_es]],autorest[autor_es],autorest[idioma_es])</f>
        <v>Griego</v>
      </c>
      <c r="K212" t="str">
        <f>_xlfn.XLOOKUP(frasest[[#This Row],[autor_es]],autorest[autor_es],autorest[idioma_la])</f>
        <v>Lingua Graeca</v>
      </c>
      <c r="L212" t="str">
        <f>_xlfn.XLOOKUP(frasest[[#This Row],[autor_es]],autorest[autor_es],autorest[nacion_es])</f>
        <v>Grecia</v>
      </c>
      <c r="M212" t="str">
        <f>_xlfn.XLOOKUP(frasest[[#This Row],[autor_es]],autorest[autor_es],autorest[nacion_la])</f>
        <v>Graecia</v>
      </c>
      <c r="N212" t="str">
        <f>_xlfn.XLOOKUP(frasest[[#This Row],[autor_es]],autorest[autor_es],autorest[epoca_es])</f>
        <v>Edad Antigua</v>
      </c>
      <c r="O212" t="str">
        <f>_xlfn.XLOOKUP(frasest[[#This Row],[autor_es]],autorest[autor_es],autorest[epoca_la])</f>
        <v>Antiquitas</v>
      </c>
    </row>
    <row r="213" spans="1:15">
      <c r="A213">
        <v>212</v>
      </c>
      <c r="B213" t="s">
        <v>649</v>
      </c>
      <c r="C213" t="s">
        <v>650</v>
      </c>
      <c r="D213" t="s">
        <v>651</v>
      </c>
      <c r="E213" t="s">
        <v>642</v>
      </c>
      <c r="F213" t="str">
        <f>_xlfn.XLOOKUP(frasest[[#This Row],[autor_es]],autorest[autor_es],autorest[autor_la])</f>
        <v>Protagoras</v>
      </c>
      <c r="G213" t="str">
        <f>_xlfn.XLOOKUP(frasest[[#This Row],[autor_es]],autorest[autor_es],autorest[bio_es])</f>
        <v>Filósofo sofista griego de Abdera, precursor de la enseñanza retórica profesional. Autor de la máxima "El hombre es la medida de todas las cosas".</v>
      </c>
      <c r="H213" t="str">
        <f>_xlfn.XLOOKUP(frasest[[#This Row],[autor_es]],autorest[autor_es],autorest[bio_la])</f>
        <v>Philosophus sophista Graecus Abderita, rhetoricae artis professionalis praecursor. Auctor sententiae "Homo mensura omnium rerum est".</v>
      </c>
      <c r="I213" t="str">
        <f>_xlfn.XLOOKUP(frasest[[#This Row],[autor_es]],autorest[autor_es],autorest[codigo])</f>
        <v>el</v>
      </c>
      <c r="J213" t="str">
        <f>_xlfn.XLOOKUP(frasest[[#This Row],[autor_es]],autorest[autor_es],autorest[idioma_es])</f>
        <v>Griego</v>
      </c>
      <c r="K213" t="str">
        <f>_xlfn.XLOOKUP(frasest[[#This Row],[autor_es]],autorest[autor_es],autorest[idioma_la])</f>
        <v>Lingua Graeca</v>
      </c>
      <c r="L213" t="str">
        <f>_xlfn.XLOOKUP(frasest[[#This Row],[autor_es]],autorest[autor_es],autorest[nacion_es])</f>
        <v>Grecia</v>
      </c>
      <c r="M213" t="str">
        <f>_xlfn.XLOOKUP(frasest[[#This Row],[autor_es]],autorest[autor_es],autorest[nacion_la])</f>
        <v>Graecia</v>
      </c>
      <c r="N213" t="str">
        <f>_xlfn.XLOOKUP(frasest[[#This Row],[autor_es]],autorest[autor_es],autorest[epoca_es])</f>
        <v>Edad Antigua</v>
      </c>
      <c r="O213" t="str">
        <f>_xlfn.XLOOKUP(frasest[[#This Row],[autor_es]],autorest[autor_es],autorest[epoca_la])</f>
        <v>Antiquitas</v>
      </c>
    </row>
    <row r="214" spans="1:15">
      <c r="A214">
        <v>213</v>
      </c>
      <c r="B214" t="s">
        <v>652</v>
      </c>
      <c r="C214" t="s">
        <v>653</v>
      </c>
      <c r="D214" t="s">
        <v>654</v>
      </c>
      <c r="E214" t="s">
        <v>642</v>
      </c>
      <c r="F214" t="str">
        <f>_xlfn.XLOOKUP(frasest[[#This Row],[autor_es]],autorest[autor_es],autorest[autor_la])</f>
        <v>Protagoras</v>
      </c>
      <c r="G214" t="str">
        <f>_xlfn.XLOOKUP(frasest[[#This Row],[autor_es]],autorest[autor_es],autorest[bio_es])</f>
        <v>Filósofo sofista griego de Abdera, precursor de la enseñanza retórica profesional. Autor de la máxima "El hombre es la medida de todas las cosas".</v>
      </c>
      <c r="H214" t="str">
        <f>_xlfn.XLOOKUP(frasest[[#This Row],[autor_es]],autorest[autor_es],autorest[bio_la])</f>
        <v>Philosophus sophista Graecus Abderita, rhetoricae artis professionalis praecursor. Auctor sententiae "Homo mensura omnium rerum est".</v>
      </c>
      <c r="I214" t="str">
        <f>_xlfn.XLOOKUP(frasest[[#This Row],[autor_es]],autorest[autor_es],autorest[codigo])</f>
        <v>el</v>
      </c>
      <c r="J214" t="str">
        <f>_xlfn.XLOOKUP(frasest[[#This Row],[autor_es]],autorest[autor_es],autorest[idioma_es])</f>
        <v>Griego</v>
      </c>
      <c r="K214" t="str">
        <f>_xlfn.XLOOKUP(frasest[[#This Row],[autor_es]],autorest[autor_es],autorest[idioma_la])</f>
        <v>Lingua Graeca</v>
      </c>
      <c r="L214" t="str">
        <f>_xlfn.XLOOKUP(frasest[[#This Row],[autor_es]],autorest[autor_es],autorest[nacion_es])</f>
        <v>Grecia</v>
      </c>
      <c r="M214" t="str">
        <f>_xlfn.XLOOKUP(frasest[[#This Row],[autor_es]],autorest[autor_es],autorest[nacion_la])</f>
        <v>Graecia</v>
      </c>
      <c r="N214" t="str">
        <f>_xlfn.XLOOKUP(frasest[[#This Row],[autor_es]],autorest[autor_es],autorest[epoca_es])</f>
        <v>Edad Antigua</v>
      </c>
      <c r="O214" t="str">
        <f>_xlfn.XLOOKUP(frasest[[#This Row],[autor_es]],autorest[autor_es],autorest[epoca_la])</f>
        <v>Antiquitas</v>
      </c>
    </row>
    <row r="215" spans="1:15">
      <c r="A215">
        <v>214</v>
      </c>
      <c r="B215" t="s">
        <v>655</v>
      </c>
      <c r="C215" t="s">
        <v>656</v>
      </c>
      <c r="D215" t="s">
        <v>657</v>
      </c>
      <c r="E215" t="s">
        <v>642</v>
      </c>
      <c r="F215" t="str">
        <f>_xlfn.XLOOKUP(frasest[[#This Row],[autor_es]],autorest[autor_es],autorest[autor_la])</f>
        <v>Protagoras</v>
      </c>
      <c r="G215" t="str">
        <f>_xlfn.XLOOKUP(frasest[[#This Row],[autor_es]],autorest[autor_es],autorest[bio_es])</f>
        <v>Filósofo sofista griego de Abdera, precursor de la enseñanza retórica profesional. Autor de la máxima "El hombre es la medida de todas las cosas".</v>
      </c>
      <c r="H215" t="str">
        <f>_xlfn.XLOOKUP(frasest[[#This Row],[autor_es]],autorest[autor_es],autorest[bio_la])</f>
        <v>Philosophus sophista Graecus Abderita, rhetoricae artis professionalis praecursor. Auctor sententiae "Homo mensura omnium rerum est".</v>
      </c>
      <c r="I215" t="str">
        <f>_xlfn.XLOOKUP(frasest[[#This Row],[autor_es]],autorest[autor_es],autorest[codigo])</f>
        <v>el</v>
      </c>
      <c r="J215" t="str">
        <f>_xlfn.XLOOKUP(frasest[[#This Row],[autor_es]],autorest[autor_es],autorest[idioma_es])</f>
        <v>Griego</v>
      </c>
      <c r="K215" t="str">
        <f>_xlfn.XLOOKUP(frasest[[#This Row],[autor_es]],autorest[autor_es],autorest[idioma_la])</f>
        <v>Lingua Graeca</v>
      </c>
      <c r="L215" t="str">
        <f>_xlfn.XLOOKUP(frasest[[#This Row],[autor_es]],autorest[autor_es],autorest[nacion_es])</f>
        <v>Grecia</v>
      </c>
      <c r="M215" t="str">
        <f>_xlfn.XLOOKUP(frasest[[#This Row],[autor_es]],autorest[autor_es],autorest[nacion_la])</f>
        <v>Graecia</v>
      </c>
      <c r="N215" t="str">
        <f>_xlfn.XLOOKUP(frasest[[#This Row],[autor_es]],autorest[autor_es],autorest[epoca_es])</f>
        <v>Edad Antigua</v>
      </c>
      <c r="O215" t="str">
        <f>_xlfn.XLOOKUP(frasest[[#This Row],[autor_es]],autorest[autor_es],autorest[epoca_la])</f>
        <v>Antiquitas</v>
      </c>
    </row>
    <row r="216" spans="1:15">
      <c r="A216">
        <v>215</v>
      </c>
      <c r="B216" t="s">
        <v>658</v>
      </c>
      <c r="C216" t="s">
        <v>659</v>
      </c>
      <c r="D216" t="s">
        <v>660</v>
      </c>
      <c r="E216" t="s">
        <v>642</v>
      </c>
      <c r="F216" t="str">
        <f>_xlfn.XLOOKUP(frasest[[#This Row],[autor_es]],autorest[autor_es],autorest[autor_la])</f>
        <v>Protagoras</v>
      </c>
      <c r="G216" t="str">
        <f>_xlfn.XLOOKUP(frasest[[#This Row],[autor_es]],autorest[autor_es],autorest[bio_es])</f>
        <v>Filósofo sofista griego de Abdera, precursor de la enseñanza retórica profesional. Autor de la máxima "El hombre es la medida de todas las cosas".</v>
      </c>
      <c r="H216" t="str">
        <f>_xlfn.XLOOKUP(frasest[[#This Row],[autor_es]],autorest[autor_es],autorest[bio_la])</f>
        <v>Philosophus sophista Graecus Abderita, rhetoricae artis professionalis praecursor. Auctor sententiae "Homo mensura omnium rerum est".</v>
      </c>
      <c r="I216" t="str">
        <f>_xlfn.XLOOKUP(frasest[[#This Row],[autor_es]],autorest[autor_es],autorest[codigo])</f>
        <v>el</v>
      </c>
      <c r="J216" t="str">
        <f>_xlfn.XLOOKUP(frasest[[#This Row],[autor_es]],autorest[autor_es],autorest[idioma_es])</f>
        <v>Griego</v>
      </c>
      <c r="K216" t="str">
        <f>_xlfn.XLOOKUP(frasest[[#This Row],[autor_es]],autorest[autor_es],autorest[idioma_la])</f>
        <v>Lingua Graeca</v>
      </c>
      <c r="L216" t="str">
        <f>_xlfn.XLOOKUP(frasest[[#This Row],[autor_es]],autorest[autor_es],autorest[nacion_es])</f>
        <v>Grecia</v>
      </c>
      <c r="M216" t="str">
        <f>_xlfn.XLOOKUP(frasest[[#This Row],[autor_es]],autorest[autor_es],autorest[nacion_la])</f>
        <v>Graecia</v>
      </c>
      <c r="N216" t="str">
        <f>_xlfn.XLOOKUP(frasest[[#This Row],[autor_es]],autorest[autor_es],autorest[epoca_es])</f>
        <v>Edad Antigua</v>
      </c>
      <c r="O216" t="str">
        <f>_xlfn.XLOOKUP(frasest[[#This Row],[autor_es]],autorest[autor_es],autorest[epoca_la])</f>
        <v>Antiquitas</v>
      </c>
    </row>
    <row r="217" spans="1:15">
      <c r="A217">
        <v>216</v>
      </c>
      <c r="B217" t="s">
        <v>661</v>
      </c>
      <c r="C217" t="s">
        <v>662</v>
      </c>
      <c r="D217" t="s">
        <v>663</v>
      </c>
      <c r="E217" t="s">
        <v>642</v>
      </c>
      <c r="F217" t="str">
        <f>_xlfn.XLOOKUP(frasest[[#This Row],[autor_es]],autorest[autor_es],autorest[autor_la])</f>
        <v>Protagoras</v>
      </c>
      <c r="G217" t="str">
        <f>_xlfn.XLOOKUP(frasest[[#This Row],[autor_es]],autorest[autor_es],autorest[bio_es])</f>
        <v>Filósofo sofista griego de Abdera, precursor de la enseñanza retórica profesional. Autor de la máxima "El hombre es la medida de todas las cosas".</v>
      </c>
      <c r="H217" t="str">
        <f>_xlfn.XLOOKUP(frasest[[#This Row],[autor_es]],autorest[autor_es],autorest[bio_la])</f>
        <v>Philosophus sophista Graecus Abderita, rhetoricae artis professionalis praecursor. Auctor sententiae "Homo mensura omnium rerum est".</v>
      </c>
      <c r="I217" t="str">
        <f>_xlfn.XLOOKUP(frasest[[#This Row],[autor_es]],autorest[autor_es],autorest[codigo])</f>
        <v>el</v>
      </c>
      <c r="J217" t="str">
        <f>_xlfn.XLOOKUP(frasest[[#This Row],[autor_es]],autorest[autor_es],autorest[idioma_es])</f>
        <v>Griego</v>
      </c>
      <c r="K217" t="str">
        <f>_xlfn.XLOOKUP(frasest[[#This Row],[autor_es]],autorest[autor_es],autorest[idioma_la])</f>
        <v>Lingua Graeca</v>
      </c>
      <c r="L217" t="str">
        <f>_xlfn.XLOOKUP(frasest[[#This Row],[autor_es]],autorest[autor_es],autorest[nacion_es])</f>
        <v>Grecia</v>
      </c>
      <c r="M217" t="str">
        <f>_xlfn.XLOOKUP(frasest[[#This Row],[autor_es]],autorest[autor_es],autorest[nacion_la])</f>
        <v>Graecia</v>
      </c>
      <c r="N217" t="str">
        <f>_xlfn.XLOOKUP(frasest[[#This Row],[autor_es]],autorest[autor_es],autorest[epoca_es])</f>
        <v>Edad Antigua</v>
      </c>
      <c r="O217" t="str">
        <f>_xlfn.XLOOKUP(frasest[[#This Row],[autor_es]],autorest[autor_es],autorest[epoca_la])</f>
        <v>Antiquitas</v>
      </c>
    </row>
    <row r="218" spans="1:15">
      <c r="A218">
        <v>217</v>
      </c>
      <c r="B218" t="s">
        <v>664</v>
      </c>
      <c r="C218" t="s">
        <v>665</v>
      </c>
      <c r="D218" t="s">
        <v>666</v>
      </c>
      <c r="E218" t="s">
        <v>642</v>
      </c>
      <c r="F218" t="str">
        <f>_xlfn.XLOOKUP(frasest[[#This Row],[autor_es]],autorest[autor_es],autorest[autor_la])</f>
        <v>Protagoras</v>
      </c>
      <c r="G218" t="str">
        <f>_xlfn.XLOOKUP(frasest[[#This Row],[autor_es]],autorest[autor_es],autorest[bio_es])</f>
        <v>Filósofo sofista griego de Abdera, precursor de la enseñanza retórica profesional. Autor de la máxima "El hombre es la medida de todas las cosas".</v>
      </c>
      <c r="H218" t="str">
        <f>_xlfn.XLOOKUP(frasest[[#This Row],[autor_es]],autorest[autor_es],autorest[bio_la])</f>
        <v>Philosophus sophista Graecus Abderita, rhetoricae artis professionalis praecursor. Auctor sententiae "Homo mensura omnium rerum est".</v>
      </c>
      <c r="I218" t="str">
        <f>_xlfn.XLOOKUP(frasest[[#This Row],[autor_es]],autorest[autor_es],autorest[codigo])</f>
        <v>el</v>
      </c>
      <c r="J218" t="str">
        <f>_xlfn.XLOOKUP(frasest[[#This Row],[autor_es]],autorest[autor_es],autorest[idioma_es])</f>
        <v>Griego</v>
      </c>
      <c r="K218" t="str">
        <f>_xlfn.XLOOKUP(frasest[[#This Row],[autor_es]],autorest[autor_es],autorest[idioma_la])</f>
        <v>Lingua Graeca</v>
      </c>
      <c r="L218" t="str">
        <f>_xlfn.XLOOKUP(frasest[[#This Row],[autor_es]],autorest[autor_es],autorest[nacion_es])</f>
        <v>Grecia</v>
      </c>
      <c r="M218" t="str">
        <f>_xlfn.XLOOKUP(frasest[[#This Row],[autor_es]],autorest[autor_es],autorest[nacion_la])</f>
        <v>Graecia</v>
      </c>
      <c r="N218" t="str">
        <f>_xlfn.XLOOKUP(frasest[[#This Row],[autor_es]],autorest[autor_es],autorest[epoca_es])</f>
        <v>Edad Antigua</v>
      </c>
      <c r="O218" t="str">
        <f>_xlfn.XLOOKUP(frasest[[#This Row],[autor_es]],autorest[autor_es],autorest[epoca_la])</f>
        <v>Antiquitas</v>
      </c>
    </row>
    <row r="219" spans="1:15">
      <c r="A219">
        <v>218</v>
      </c>
      <c r="B219" t="s">
        <v>667</v>
      </c>
      <c r="C219" t="s">
        <v>668</v>
      </c>
      <c r="D219" t="s">
        <v>669</v>
      </c>
      <c r="E219" t="s">
        <v>642</v>
      </c>
      <c r="F219" t="str">
        <f>_xlfn.XLOOKUP(frasest[[#This Row],[autor_es]],autorest[autor_es],autorest[autor_la])</f>
        <v>Protagoras</v>
      </c>
      <c r="G219" t="str">
        <f>_xlfn.XLOOKUP(frasest[[#This Row],[autor_es]],autorest[autor_es],autorest[bio_es])</f>
        <v>Filósofo sofista griego de Abdera, precursor de la enseñanza retórica profesional. Autor de la máxima "El hombre es la medida de todas las cosas".</v>
      </c>
      <c r="H219" t="str">
        <f>_xlfn.XLOOKUP(frasest[[#This Row],[autor_es]],autorest[autor_es],autorest[bio_la])</f>
        <v>Philosophus sophista Graecus Abderita, rhetoricae artis professionalis praecursor. Auctor sententiae "Homo mensura omnium rerum est".</v>
      </c>
      <c r="I219" t="str">
        <f>_xlfn.XLOOKUP(frasest[[#This Row],[autor_es]],autorest[autor_es],autorest[codigo])</f>
        <v>el</v>
      </c>
      <c r="J219" t="str">
        <f>_xlfn.XLOOKUP(frasest[[#This Row],[autor_es]],autorest[autor_es],autorest[idioma_es])</f>
        <v>Griego</v>
      </c>
      <c r="K219" t="str">
        <f>_xlfn.XLOOKUP(frasest[[#This Row],[autor_es]],autorest[autor_es],autorest[idioma_la])</f>
        <v>Lingua Graeca</v>
      </c>
      <c r="L219" t="str">
        <f>_xlfn.XLOOKUP(frasest[[#This Row],[autor_es]],autorest[autor_es],autorest[nacion_es])</f>
        <v>Grecia</v>
      </c>
      <c r="M219" t="str">
        <f>_xlfn.XLOOKUP(frasest[[#This Row],[autor_es]],autorest[autor_es],autorest[nacion_la])</f>
        <v>Graecia</v>
      </c>
      <c r="N219" t="str">
        <f>_xlfn.XLOOKUP(frasest[[#This Row],[autor_es]],autorest[autor_es],autorest[epoca_es])</f>
        <v>Edad Antigua</v>
      </c>
      <c r="O219" t="str">
        <f>_xlfn.XLOOKUP(frasest[[#This Row],[autor_es]],autorest[autor_es],autorest[epoca_la])</f>
        <v>Antiquitas</v>
      </c>
    </row>
    <row r="220" spans="1:15">
      <c r="A220">
        <v>219</v>
      </c>
      <c r="B220" t="s">
        <v>670</v>
      </c>
      <c r="C220" t="s">
        <v>671</v>
      </c>
      <c r="D220" t="s">
        <v>672</v>
      </c>
      <c r="E220" t="s">
        <v>673</v>
      </c>
      <c r="F220" t="str">
        <f>_xlfn.XLOOKUP(frasest[[#This Row],[autor_es]],autorest[autor_es],autorest[autor_la])</f>
        <v>Clemens Romanus</v>
      </c>
      <c r="G220" t="str">
        <f>_xlfn.XLOOKUP(frasest[[#This Row],[autor_es]],autorest[autor_es],autorest[bio_es])</f>
        <v>Cuarto papa de la Iglesia, Padre Apostólico y mártir. Autor de la carta a los Corintios, documento papal más antiguo después de las epístolas de San Pedro.</v>
      </c>
      <c r="H220" t="str">
        <f>_xlfn.XLOOKUP(frasest[[#This Row],[autor_es]],autorest[autor_es],autorest[bio_la])</f>
        <v>Quartus Papa Ecclesiae, Pater Apostolicus et martyr. Auctor epistulae ad Corinthios, documentum pontificale antiquissimum post epistulas Sancti Petri.</v>
      </c>
      <c r="I220" t="str">
        <f>_xlfn.XLOOKUP(frasest[[#This Row],[autor_es]],autorest[autor_es],autorest[codigo])</f>
        <v>la</v>
      </c>
      <c r="J220" t="str">
        <f>_xlfn.XLOOKUP(frasest[[#This Row],[autor_es]],autorest[autor_es],autorest[idioma_es])</f>
        <v>Latín</v>
      </c>
      <c r="K220" t="str">
        <f>_xlfn.XLOOKUP(frasest[[#This Row],[autor_es]],autorest[autor_es],autorest[idioma_la])</f>
        <v>Lingua Latina</v>
      </c>
      <c r="L220" t="str">
        <f>_xlfn.XLOOKUP(frasest[[#This Row],[autor_es]],autorest[autor_es],autorest[nacion_es])</f>
        <v>Roma</v>
      </c>
      <c r="M220" t="str">
        <f>_xlfn.XLOOKUP(frasest[[#This Row],[autor_es]],autorest[autor_es],autorest[nacion_la])</f>
        <v>Roma</v>
      </c>
      <c r="N220" t="str">
        <f>_xlfn.XLOOKUP(frasest[[#This Row],[autor_es]],autorest[autor_es],autorest[epoca_es])</f>
        <v>Edad Antigua</v>
      </c>
      <c r="O220" t="str">
        <f>_xlfn.XLOOKUP(frasest[[#This Row],[autor_es]],autorest[autor_es],autorest[epoca_la])</f>
        <v>Antiquitas</v>
      </c>
    </row>
    <row r="221" spans="1:15">
      <c r="A221">
        <v>220</v>
      </c>
      <c r="B221" t="s">
        <v>674</v>
      </c>
      <c r="C221" t="s">
        <v>675</v>
      </c>
      <c r="D221" t="s">
        <v>675</v>
      </c>
      <c r="E221" t="s">
        <v>673</v>
      </c>
      <c r="F221" t="str">
        <f>_xlfn.XLOOKUP(frasest[[#This Row],[autor_es]],autorest[autor_es],autorest[autor_la])</f>
        <v>Clemens Romanus</v>
      </c>
      <c r="G221" t="str">
        <f>_xlfn.XLOOKUP(frasest[[#This Row],[autor_es]],autorest[autor_es],autorest[bio_es])</f>
        <v>Cuarto papa de la Iglesia, Padre Apostólico y mártir. Autor de la carta a los Corintios, documento papal más antiguo después de las epístolas de San Pedro.</v>
      </c>
      <c r="H221" t="str">
        <f>_xlfn.XLOOKUP(frasest[[#This Row],[autor_es]],autorest[autor_es],autorest[bio_la])</f>
        <v>Quartus Papa Ecclesiae, Pater Apostolicus et martyr. Auctor epistulae ad Corinthios, documentum pontificale antiquissimum post epistulas Sancti Petri.</v>
      </c>
      <c r="I221" t="str">
        <f>_xlfn.XLOOKUP(frasest[[#This Row],[autor_es]],autorest[autor_es],autorest[codigo])</f>
        <v>la</v>
      </c>
      <c r="J221" t="str">
        <f>_xlfn.XLOOKUP(frasest[[#This Row],[autor_es]],autorest[autor_es],autorest[idioma_es])</f>
        <v>Latín</v>
      </c>
      <c r="K221" t="str">
        <f>_xlfn.XLOOKUP(frasest[[#This Row],[autor_es]],autorest[autor_es],autorest[idioma_la])</f>
        <v>Lingua Latina</v>
      </c>
      <c r="L221" t="str">
        <f>_xlfn.XLOOKUP(frasest[[#This Row],[autor_es]],autorest[autor_es],autorest[nacion_es])</f>
        <v>Roma</v>
      </c>
      <c r="M221" t="str">
        <f>_xlfn.XLOOKUP(frasest[[#This Row],[autor_es]],autorest[autor_es],autorest[nacion_la])</f>
        <v>Roma</v>
      </c>
      <c r="N221" t="str">
        <f>_xlfn.XLOOKUP(frasest[[#This Row],[autor_es]],autorest[autor_es],autorest[epoca_es])</f>
        <v>Edad Antigua</v>
      </c>
      <c r="O221" t="str">
        <f>_xlfn.XLOOKUP(frasest[[#This Row],[autor_es]],autorest[autor_es],autorest[epoca_la])</f>
        <v>Antiquitas</v>
      </c>
    </row>
    <row r="222" spans="1:15">
      <c r="A222">
        <v>221</v>
      </c>
      <c r="B222" t="s">
        <v>676</v>
      </c>
      <c r="C222" t="s">
        <v>677</v>
      </c>
      <c r="D222" t="s">
        <v>677</v>
      </c>
      <c r="E222" t="s">
        <v>673</v>
      </c>
      <c r="F222" t="str">
        <f>_xlfn.XLOOKUP(frasest[[#This Row],[autor_es]],autorest[autor_es],autorest[autor_la])</f>
        <v>Clemens Romanus</v>
      </c>
      <c r="G222" t="str">
        <f>_xlfn.XLOOKUP(frasest[[#This Row],[autor_es]],autorest[autor_es],autorest[bio_es])</f>
        <v>Cuarto papa de la Iglesia, Padre Apostólico y mártir. Autor de la carta a los Corintios, documento papal más antiguo después de las epístolas de San Pedro.</v>
      </c>
      <c r="H222" t="str">
        <f>_xlfn.XLOOKUP(frasest[[#This Row],[autor_es]],autorest[autor_es],autorest[bio_la])</f>
        <v>Quartus Papa Ecclesiae, Pater Apostolicus et martyr. Auctor epistulae ad Corinthios, documentum pontificale antiquissimum post epistulas Sancti Petri.</v>
      </c>
      <c r="I222" t="str">
        <f>_xlfn.XLOOKUP(frasest[[#This Row],[autor_es]],autorest[autor_es],autorest[codigo])</f>
        <v>la</v>
      </c>
      <c r="J222" t="str">
        <f>_xlfn.XLOOKUP(frasest[[#This Row],[autor_es]],autorest[autor_es],autorest[idioma_es])</f>
        <v>Latín</v>
      </c>
      <c r="K222" t="str">
        <f>_xlfn.XLOOKUP(frasest[[#This Row],[autor_es]],autorest[autor_es],autorest[idioma_la])</f>
        <v>Lingua Latina</v>
      </c>
      <c r="L222" t="str">
        <f>_xlfn.XLOOKUP(frasest[[#This Row],[autor_es]],autorest[autor_es],autorest[nacion_es])</f>
        <v>Roma</v>
      </c>
      <c r="M222" t="str">
        <f>_xlfn.XLOOKUP(frasest[[#This Row],[autor_es]],autorest[autor_es],autorest[nacion_la])</f>
        <v>Roma</v>
      </c>
      <c r="N222" t="str">
        <f>_xlfn.XLOOKUP(frasest[[#This Row],[autor_es]],autorest[autor_es],autorest[epoca_es])</f>
        <v>Edad Antigua</v>
      </c>
      <c r="O222" t="str">
        <f>_xlfn.XLOOKUP(frasest[[#This Row],[autor_es]],autorest[autor_es],autorest[epoca_la])</f>
        <v>Antiquitas</v>
      </c>
    </row>
    <row r="223" spans="1:15">
      <c r="A223">
        <v>222</v>
      </c>
      <c r="B223" t="s">
        <v>678</v>
      </c>
      <c r="C223" t="s">
        <v>679</v>
      </c>
      <c r="D223" t="s">
        <v>679</v>
      </c>
      <c r="E223" t="s">
        <v>673</v>
      </c>
      <c r="F223" t="str">
        <f>_xlfn.XLOOKUP(frasest[[#This Row],[autor_es]],autorest[autor_es],autorest[autor_la])</f>
        <v>Clemens Romanus</v>
      </c>
      <c r="G223" t="str">
        <f>_xlfn.XLOOKUP(frasest[[#This Row],[autor_es]],autorest[autor_es],autorest[bio_es])</f>
        <v>Cuarto papa de la Iglesia, Padre Apostólico y mártir. Autor de la carta a los Corintios, documento papal más antiguo después de las epístolas de San Pedro.</v>
      </c>
      <c r="H223" t="str">
        <f>_xlfn.XLOOKUP(frasest[[#This Row],[autor_es]],autorest[autor_es],autorest[bio_la])</f>
        <v>Quartus Papa Ecclesiae, Pater Apostolicus et martyr. Auctor epistulae ad Corinthios, documentum pontificale antiquissimum post epistulas Sancti Petri.</v>
      </c>
      <c r="I223" t="str">
        <f>_xlfn.XLOOKUP(frasest[[#This Row],[autor_es]],autorest[autor_es],autorest[codigo])</f>
        <v>la</v>
      </c>
      <c r="J223" t="str">
        <f>_xlfn.XLOOKUP(frasest[[#This Row],[autor_es]],autorest[autor_es],autorest[idioma_es])</f>
        <v>Latín</v>
      </c>
      <c r="K223" t="str">
        <f>_xlfn.XLOOKUP(frasest[[#This Row],[autor_es]],autorest[autor_es],autorest[idioma_la])</f>
        <v>Lingua Latina</v>
      </c>
      <c r="L223" t="str">
        <f>_xlfn.XLOOKUP(frasest[[#This Row],[autor_es]],autorest[autor_es],autorest[nacion_es])</f>
        <v>Roma</v>
      </c>
      <c r="M223" t="str">
        <f>_xlfn.XLOOKUP(frasest[[#This Row],[autor_es]],autorest[autor_es],autorest[nacion_la])</f>
        <v>Roma</v>
      </c>
      <c r="N223" t="str">
        <f>_xlfn.XLOOKUP(frasest[[#This Row],[autor_es]],autorest[autor_es],autorest[epoca_es])</f>
        <v>Edad Antigua</v>
      </c>
      <c r="O223" t="str">
        <f>_xlfn.XLOOKUP(frasest[[#This Row],[autor_es]],autorest[autor_es],autorest[epoca_la])</f>
        <v>Antiquitas</v>
      </c>
    </row>
    <row r="224" spans="1:15">
      <c r="A224">
        <v>223</v>
      </c>
      <c r="B224" t="s">
        <v>680</v>
      </c>
      <c r="C224" t="s">
        <v>681</v>
      </c>
      <c r="D224" t="s">
        <v>681</v>
      </c>
      <c r="E224" t="s">
        <v>673</v>
      </c>
      <c r="F224" t="str">
        <f>_xlfn.XLOOKUP(frasest[[#This Row],[autor_es]],autorest[autor_es],autorest[autor_la])</f>
        <v>Clemens Romanus</v>
      </c>
      <c r="G224" t="str">
        <f>_xlfn.XLOOKUP(frasest[[#This Row],[autor_es]],autorest[autor_es],autorest[bio_es])</f>
        <v>Cuarto papa de la Iglesia, Padre Apostólico y mártir. Autor de la carta a los Corintios, documento papal más antiguo después de las epístolas de San Pedro.</v>
      </c>
      <c r="H224" t="str">
        <f>_xlfn.XLOOKUP(frasest[[#This Row],[autor_es]],autorest[autor_es],autorest[bio_la])</f>
        <v>Quartus Papa Ecclesiae, Pater Apostolicus et martyr. Auctor epistulae ad Corinthios, documentum pontificale antiquissimum post epistulas Sancti Petri.</v>
      </c>
      <c r="I224" t="str">
        <f>_xlfn.XLOOKUP(frasest[[#This Row],[autor_es]],autorest[autor_es],autorest[codigo])</f>
        <v>la</v>
      </c>
      <c r="J224" t="str">
        <f>_xlfn.XLOOKUP(frasest[[#This Row],[autor_es]],autorest[autor_es],autorest[idioma_es])</f>
        <v>Latín</v>
      </c>
      <c r="K224" t="str">
        <f>_xlfn.XLOOKUP(frasest[[#This Row],[autor_es]],autorest[autor_es],autorest[idioma_la])</f>
        <v>Lingua Latina</v>
      </c>
      <c r="L224" t="str">
        <f>_xlfn.XLOOKUP(frasest[[#This Row],[autor_es]],autorest[autor_es],autorest[nacion_es])</f>
        <v>Roma</v>
      </c>
      <c r="M224" t="str">
        <f>_xlfn.XLOOKUP(frasest[[#This Row],[autor_es]],autorest[autor_es],autorest[nacion_la])</f>
        <v>Roma</v>
      </c>
      <c r="N224" t="str">
        <f>_xlfn.XLOOKUP(frasest[[#This Row],[autor_es]],autorest[autor_es],autorest[epoca_es])</f>
        <v>Edad Antigua</v>
      </c>
      <c r="O224" t="str">
        <f>_xlfn.XLOOKUP(frasest[[#This Row],[autor_es]],autorest[autor_es],autorest[epoca_la])</f>
        <v>Antiquitas</v>
      </c>
    </row>
    <row r="225" spans="1:15">
      <c r="A225">
        <v>224</v>
      </c>
      <c r="B225" t="s">
        <v>682</v>
      </c>
      <c r="C225" t="s">
        <v>683</v>
      </c>
      <c r="D225" t="s">
        <v>683</v>
      </c>
      <c r="E225" t="s">
        <v>673</v>
      </c>
      <c r="F225" t="str">
        <f>_xlfn.XLOOKUP(frasest[[#This Row],[autor_es]],autorest[autor_es],autorest[autor_la])</f>
        <v>Clemens Romanus</v>
      </c>
      <c r="G225" t="str">
        <f>_xlfn.XLOOKUP(frasest[[#This Row],[autor_es]],autorest[autor_es],autorest[bio_es])</f>
        <v>Cuarto papa de la Iglesia, Padre Apostólico y mártir. Autor de la carta a los Corintios, documento papal más antiguo después de las epístolas de San Pedro.</v>
      </c>
      <c r="H225" t="str">
        <f>_xlfn.XLOOKUP(frasest[[#This Row],[autor_es]],autorest[autor_es],autorest[bio_la])</f>
        <v>Quartus Papa Ecclesiae, Pater Apostolicus et martyr. Auctor epistulae ad Corinthios, documentum pontificale antiquissimum post epistulas Sancti Petri.</v>
      </c>
      <c r="I225" t="str">
        <f>_xlfn.XLOOKUP(frasest[[#This Row],[autor_es]],autorest[autor_es],autorest[codigo])</f>
        <v>la</v>
      </c>
      <c r="J225" t="str">
        <f>_xlfn.XLOOKUP(frasest[[#This Row],[autor_es]],autorest[autor_es],autorest[idioma_es])</f>
        <v>Latín</v>
      </c>
      <c r="K225" t="str">
        <f>_xlfn.XLOOKUP(frasest[[#This Row],[autor_es]],autorest[autor_es],autorest[idioma_la])</f>
        <v>Lingua Latina</v>
      </c>
      <c r="L225" t="str">
        <f>_xlfn.XLOOKUP(frasest[[#This Row],[autor_es]],autorest[autor_es],autorest[nacion_es])</f>
        <v>Roma</v>
      </c>
      <c r="M225" t="str">
        <f>_xlfn.XLOOKUP(frasest[[#This Row],[autor_es]],autorest[autor_es],autorest[nacion_la])</f>
        <v>Roma</v>
      </c>
      <c r="N225" t="str">
        <f>_xlfn.XLOOKUP(frasest[[#This Row],[autor_es]],autorest[autor_es],autorest[epoca_es])</f>
        <v>Edad Antigua</v>
      </c>
      <c r="O225" t="str">
        <f>_xlfn.XLOOKUP(frasest[[#This Row],[autor_es]],autorest[autor_es],autorest[epoca_la])</f>
        <v>Antiquitas</v>
      </c>
    </row>
    <row r="226" spans="1:15">
      <c r="A226">
        <v>225</v>
      </c>
      <c r="B226" t="s">
        <v>684</v>
      </c>
      <c r="C226" t="s">
        <v>685</v>
      </c>
      <c r="D226" t="s">
        <v>685</v>
      </c>
      <c r="E226" t="s">
        <v>673</v>
      </c>
      <c r="F226" t="str">
        <f>_xlfn.XLOOKUP(frasest[[#This Row],[autor_es]],autorest[autor_es],autorest[autor_la])</f>
        <v>Clemens Romanus</v>
      </c>
      <c r="G226" t="str">
        <f>_xlfn.XLOOKUP(frasest[[#This Row],[autor_es]],autorest[autor_es],autorest[bio_es])</f>
        <v>Cuarto papa de la Iglesia, Padre Apostólico y mártir. Autor de la carta a los Corintios, documento papal más antiguo después de las epístolas de San Pedro.</v>
      </c>
      <c r="H226" t="str">
        <f>_xlfn.XLOOKUP(frasest[[#This Row],[autor_es]],autorest[autor_es],autorest[bio_la])</f>
        <v>Quartus Papa Ecclesiae, Pater Apostolicus et martyr. Auctor epistulae ad Corinthios, documentum pontificale antiquissimum post epistulas Sancti Petri.</v>
      </c>
      <c r="I226" t="str">
        <f>_xlfn.XLOOKUP(frasest[[#This Row],[autor_es]],autorest[autor_es],autorest[codigo])</f>
        <v>la</v>
      </c>
      <c r="J226" t="str">
        <f>_xlfn.XLOOKUP(frasest[[#This Row],[autor_es]],autorest[autor_es],autorest[idioma_es])</f>
        <v>Latín</v>
      </c>
      <c r="K226" t="str">
        <f>_xlfn.XLOOKUP(frasest[[#This Row],[autor_es]],autorest[autor_es],autorest[idioma_la])</f>
        <v>Lingua Latina</v>
      </c>
      <c r="L226" t="str">
        <f>_xlfn.XLOOKUP(frasest[[#This Row],[autor_es]],autorest[autor_es],autorest[nacion_es])</f>
        <v>Roma</v>
      </c>
      <c r="M226" t="str">
        <f>_xlfn.XLOOKUP(frasest[[#This Row],[autor_es]],autorest[autor_es],autorest[nacion_la])</f>
        <v>Roma</v>
      </c>
      <c r="N226" t="str">
        <f>_xlfn.XLOOKUP(frasest[[#This Row],[autor_es]],autorest[autor_es],autorest[epoca_es])</f>
        <v>Edad Antigua</v>
      </c>
      <c r="O226" t="str">
        <f>_xlfn.XLOOKUP(frasest[[#This Row],[autor_es]],autorest[autor_es],autorest[epoca_la])</f>
        <v>Antiquitas</v>
      </c>
    </row>
    <row r="227" spans="1:15">
      <c r="A227">
        <v>226</v>
      </c>
      <c r="B227" t="s">
        <v>686</v>
      </c>
      <c r="C227" t="s">
        <v>687</v>
      </c>
      <c r="D227" t="s">
        <v>687</v>
      </c>
      <c r="E227" t="s">
        <v>673</v>
      </c>
      <c r="F227" t="str">
        <f>_xlfn.XLOOKUP(frasest[[#This Row],[autor_es]],autorest[autor_es],autorest[autor_la])</f>
        <v>Clemens Romanus</v>
      </c>
      <c r="G227" t="str">
        <f>_xlfn.XLOOKUP(frasest[[#This Row],[autor_es]],autorest[autor_es],autorest[bio_es])</f>
        <v>Cuarto papa de la Iglesia, Padre Apostólico y mártir. Autor de la carta a los Corintios, documento papal más antiguo después de las epístolas de San Pedro.</v>
      </c>
      <c r="H227" t="str">
        <f>_xlfn.XLOOKUP(frasest[[#This Row],[autor_es]],autorest[autor_es],autorest[bio_la])</f>
        <v>Quartus Papa Ecclesiae, Pater Apostolicus et martyr. Auctor epistulae ad Corinthios, documentum pontificale antiquissimum post epistulas Sancti Petri.</v>
      </c>
      <c r="I227" t="str">
        <f>_xlfn.XLOOKUP(frasest[[#This Row],[autor_es]],autorest[autor_es],autorest[codigo])</f>
        <v>la</v>
      </c>
      <c r="J227" t="str">
        <f>_xlfn.XLOOKUP(frasest[[#This Row],[autor_es]],autorest[autor_es],autorest[idioma_es])</f>
        <v>Latín</v>
      </c>
      <c r="K227" t="str">
        <f>_xlfn.XLOOKUP(frasest[[#This Row],[autor_es]],autorest[autor_es],autorest[idioma_la])</f>
        <v>Lingua Latina</v>
      </c>
      <c r="L227" t="str">
        <f>_xlfn.XLOOKUP(frasest[[#This Row],[autor_es]],autorest[autor_es],autorest[nacion_es])</f>
        <v>Roma</v>
      </c>
      <c r="M227" t="str">
        <f>_xlfn.XLOOKUP(frasest[[#This Row],[autor_es]],autorest[autor_es],autorest[nacion_la])</f>
        <v>Roma</v>
      </c>
      <c r="N227" t="str">
        <f>_xlfn.XLOOKUP(frasest[[#This Row],[autor_es]],autorest[autor_es],autorest[epoca_es])</f>
        <v>Edad Antigua</v>
      </c>
      <c r="O227" t="str">
        <f>_xlfn.XLOOKUP(frasest[[#This Row],[autor_es]],autorest[autor_es],autorest[epoca_la])</f>
        <v>Antiquitas</v>
      </c>
    </row>
    <row r="228" spans="1:15">
      <c r="A228">
        <v>227</v>
      </c>
      <c r="B228" t="s">
        <v>688</v>
      </c>
      <c r="C228" t="s">
        <v>689</v>
      </c>
      <c r="D228" t="s">
        <v>689</v>
      </c>
      <c r="E228" t="s">
        <v>673</v>
      </c>
      <c r="F228" t="str">
        <f>_xlfn.XLOOKUP(frasest[[#This Row],[autor_es]],autorest[autor_es],autorest[autor_la])</f>
        <v>Clemens Romanus</v>
      </c>
      <c r="G228" t="str">
        <f>_xlfn.XLOOKUP(frasest[[#This Row],[autor_es]],autorest[autor_es],autorest[bio_es])</f>
        <v>Cuarto papa de la Iglesia, Padre Apostólico y mártir. Autor de la carta a los Corintios, documento papal más antiguo después de las epístolas de San Pedro.</v>
      </c>
      <c r="H228" t="str">
        <f>_xlfn.XLOOKUP(frasest[[#This Row],[autor_es]],autorest[autor_es],autorest[bio_la])</f>
        <v>Quartus Papa Ecclesiae, Pater Apostolicus et martyr. Auctor epistulae ad Corinthios, documentum pontificale antiquissimum post epistulas Sancti Petri.</v>
      </c>
      <c r="I228" t="str">
        <f>_xlfn.XLOOKUP(frasest[[#This Row],[autor_es]],autorest[autor_es],autorest[codigo])</f>
        <v>la</v>
      </c>
      <c r="J228" t="str">
        <f>_xlfn.XLOOKUP(frasest[[#This Row],[autor_es]],autorest[autor_es],autorest[idioma_es])</f>
        <v>Latín</v>
      </c>
      <c r="K228" t="str">
        <f>_xlfn.XLOOKUP(frasest[[#This Row],[autor_es]],autorest[autor_es],autorest[idioma_la])</f>
        <v>Lingua Latina</v>
      </c>
      <c r="L228" t="str">
        <f>_xlfn.XLOOKUP(frasest[[#This Row],[autor_es]],autorest[autor_es],autorest[nacion_es])</f>
        <v>Roma</v>
      </c>
      <c r="M228" t="str">
        <f>_xlfn.XLOOKUP(frasest[[#This Row],[autor_es]],autorest[autor_es],autorest[nacion_la])</f>
        <v>Roma</v>
      </c>
      <c r="N228" t="str">
        <f>_xlfn.XLOOKUP(frasest[[#This Row],[autor_es]],autorest[autor_es],autorest[epoca_es])</f>
        <v>Edad Antigua</v>
      </c>
      <c r="O228" t="str">
        <f>_xlfn.XLOOKUP(frasest[[#This Row],[autor_es]],autorest[autor_es],autorest[epoca_la])</f>
        <v>Antiquitas</v>
      </c>
    </row>
    <row r="229" spans="1:15">
      <c r="A229">
        <v>228</v>
      </c>
      <c r="B229" t="s">
        <v>690</v>
      </c>
      <c r="C229" t="s">
        <v>691</v>
      </c>
      <c r="D229" t="s">
        <v>691</v>
      </c>
      <c r="E229" t="s">
        <v>673</v>
      </c>
      <c r="F229" t="str">
        <f>_xlfn.XLOOKUP(frasest[[#This Row],[autor_es]],autorest[autor_es],autorest[autor_la])</f>
        <v>Clemens Romanus</v>
      </c>
      <c r="G229" t="str">
        <f>_xlfn.XLOOKUP(frasest[[#This Row],[autor_es]],autorest[autor_es],autorest[bio_es])</f>
        <v>Cuarto papa de la Iglesia, Padre Apostólico y mártir. Autor de la carta a los Corintios, documento papal más antiguo después de las epístolas de San Pedro.</v>
      </c>
      <c r="H229" t="str">
        <f>_xlfn.XLOOKUP(frasest[[#This Row],[autor_es]],autorest[autor_es],autorest[bio_la])</f>
        <v>Quartus Papa Ecclesiae, Pater Apostolicus et martyr. Auctor epistulae ad Corinthios, documentum pontificale antiquissimum post epistulas Sancti Petri.</v>
      </c>
      <c r="I229" t="str">
        <f>_xlfn.XLOOKUP(frasest[[#This Row],[autor_es]],autorest[autor_es],autorest[codigo])</f>
        <v>la</v>
      </c>
      <c r="J229" t="str">
        <f>_xlfn.XLOOKUP(frasest[[#This Row],[autor_es]],autorest[autor_es],autorest[idioma_es])</f>
        <v>Latín</v>
      </c>
      <c r="K229" t="str">
        <f>_xlfn.XLOOKUP(frasest[[#This Row],[autor_es]],autorest[autor_es],autorest[idioma_la])</f>
        <v>Lingua Latina</v>
      </c>
      <c r="L229" t="str">
        <f>_xlfn.XLOOKUP(frasest[[#This Row],[autor_es]],autorest[autor_es],autorest[nacion_es])</f>
        <v>Roma</v>
      </c>
      <c r="M229" t="str">
        <f>_xlfn.XLOOKUP(frasest[[#This Row],[autor_es]],autorest[autor_es],autorest[nacion_la])</f>
        <v>Roma</v>
      </c>
      <c r="N229" t="str">
        <f>_xlfn.XLOOKUP(frasest[[#This Row],[autor_es]],autorest[autor_es],autorest[epoca_es])</f>
        <v>Edad Antigua</v>
      </c>
      <c r="O229" t="str">
        <f>_xlfn.XLOOKUP(frasest[[#This Row],[autor_es]],autorest[autor_es],autorest[epoca_la])</f>
        <v>Antiquitas</v>
      </c>
    </row>
    <row r="230" spans="1:15">
      <c r="A230">
        <v>229</v>
      </c>
      <c r="B230" t="s">
        <v>692</v>
      </c>
      <c r="C230" t="s">
        <v>693</v>
      </c>
      <c r="D230" t="s">
        <v>694</v>
      </c>
      <c r="E230" t="s">
        <v>695</v>
      </c>
      <c r="F230" t="str">
        <f>_xlfn.XLOOKUP(frasest[[#This Row],[autor_es]],autorest[autor_es],autorest[autor_la])</f>
        <v>Ignatius Antiochenus</v>
      </c>
      <c r="G230" t="str">
        <f>_xlfn.XLOOKUP(frasest[[#This Row],[autor_es]],autorest[autor_es],autorest[bio_es])</f>
        <v>Obispo de Antioquía, mártir y Padre Apostólico. Discípulo de San Juan Evangelista, martirizado en Roma. Autor de siete cartas escritas camino al martirio.</v>
      </c>
      <c r="H230" t="str">
        <f>_xlfn.XLOOKUP(frasest[[#This Row],[autor_es]],autorest[autor_es],autorest[bio_la])</f>
        <v>Episcopus Antiochenus, martyr et Pater Apostolicus. Discipulus Sancti Ioannis Evangelistae, Romae martyrizatus. Auctor septem epistularum in via ad martyrium scriptarum.</v>
      </c>
      <c r="I230" t="str">
        <f>_xlfn.XLOOKUP(frasest[[#This Row],[autor_es]],autorest[autor_es],autorest[codigo])</f>
        <v>la</v>
      </c>
      <c r="J230" t="str">
        <f>_xlfn.XLOOKUP(frasest[[#This Row],[autor_es]],autorest[autor_es],autorest[idioma_es])</f>
        <v>Latín</v>
      </c>
      <c r="K230" t="str">
        <f>_xlfn.XLOOKUP(frasest[[#This Row],[autor_es]],autorest[autor_es],autorest[idioma_la])</f>
        <v>Lingua Latina</v>
      </c>
      <c r="L230" t="str">
        <f>_xlfn.XLOOKUP(frasest[[#This Row],[autor_es]],autorest[autor_es],autorest[nacion_es])</f>
        <v>Roma</v>
      </c>
      <c r="M230" t="str">
        <f>_xlfn.XLOOKUP(frasest[[#This Row],[autor_es]],autorest[autor_es],autorest[nacion_la])</f>
        <v>Roma</v>
      </c>
      <c r="N230" t="str">
        <f>_xlfn.XLOOKUP(frasest[[#This Row],[autor_es]],autorest[autor_es],autorest[epoca_es])</f>
        <v>Edad Antigua</v>
      </c>
      <c r="O230" t="str">
        <f>_xlfn.XLOOKUP(frasest[[#This Row],[autor_es]],autorest[autor_es],autorest[epoca_la])</f>
        <v>Antiquitas</v>
      </c>
    </row>
    <row r="231" spans="1:15">
      <c r="A231">
        <v>230</v>
      </c>
      <c r="B231" t="s">
        <v>696</v>
      </c>
      <c r="C231" t="s">
        <v>697</v>
      </c>
      <c r="D231" t="s">
        <v>697</v>
      </c>
      <c r="E231" t="s">
        <v>695</v>
      </c>
      <c r="F231" t="str">
        <f>_xlfn.XLOOKUP(frasest[[#This Row],[autor_es]],autorest[autor_es],autorest[autor_la])</f>
        <v>Ignatius Antiochenus</v>
      </c>
      <c r="G231" t="str">
        <f>_xlfn.XLOOKUP(frasest[[#This Row],[autor_es]],autorest[autor_es],autorest[bio_es])</f>
        <v>Obispo de Antioquía, mártir y Padre Apostólico. Discípulo de San Juan Evangelista, martirizado en Roma. Autor de siete cartas escritas camino al martirio.</v>
      </c>
      <c r="H231" t="str">
        <f>_xlfn.XLOOKUP(frasest[[#This Row],[autor_es]],autorest[autor_es],autorest[bio_la])</f>
        <v>Episcopus Antiochenus, martyr et Pater Apostolicus. Discipulus Sancti Ioannis Evangelistae, Romae martyrizatus. Auctor septem epistularum in via ad martyrium scriptarum.</v>
      </c>
      <c r="I231" t="str">
        <f>_xlfn.XLOOKUP(frasest[[#This Row],[autor_es]],autorest[autor_es],autorest[codigo])</f>
        <v>la</v>
      </c>
      <c r="J231" t="str">
        <f>_xlfn.XLOOKUP(frasest[[#This Row],[autor_es]],autorest[autor_es],autorest[idioma_es])</f>
        <v>Latín</v>
      </c>
      <c r="K231" t="str">
        <f>_xlfn.XLOOKUP(frasest[[#This Row],[autor_es]],autorest[autor_es],autorest[idioma_la])</f>
        <v>Lingua Latina</v>
      </c>
      <c r="L231" t="str">
        <f>_xlfn.XLOOKUP(frasest[[#This Row],[autor_es]],autorest[autor_es],autorest[nacion_es])</f>
        <v>Roma</v>
      </c>
      <c r="M231" t="str">
        <f>_xlfn.XLOOKUP(frasest[[#This Row],[autor_es]],autorest[autor_es],autorest[nacion_la])</f>
        <v>Roma</v>
      </c>
      <c r="N231" t="str">
        <f>_xlfn.XLOOKUP(frasest[[#This Row],[autor_es]],autorest[autor_es],autorest[epoca_es])</f>
        <v>Edad Antigua</v>
      </c>
      <c r="O231" t="str">
        <f>_xlfn.XLOOKUP(frasest[[#This Row],[autor_es]],autorest[autor_es],autorest[epoca_la])</f>
        <v>Antiquitas</v>
      </c>
    </row>
    <row r="232" spans="1:15">
      <c r="A232">
        <v>231</v>
      </c>
      <c r="B232" t="s">
        <v>698</v>
      </c>
      <c r="C232" t="s">
        <v>699</v>
      </c>
      <c r="D232" t="s">
        <v>699</v>
      </c>
      <c r="E232" t="s">
        <v>695</v>
      </c>
      <c r="F232" t="str">
        <f>_xlfn.XLOOKUP(frasest[[#This Row],[autor_es]],autorest[autor_es],autorest[autor_la])</f>
        <v>Ignatius Antiochenus</v>
      </c>
      <c r="G232" t="str">
        <f>_xlfn.XLOOKUP(frasest[[#This Row],[autor_es]],autorest[autor_es],autorest[bio_es])</f>
        <v>Obispo de Antioquía, mártir y Padre Apostólico. Discípulo de San Juan Evangelista, martirizado en Roma. Autor de siete cartas escritas camino al martirio.</v>
      </c>
      <c r="H232" t="str">
        <f>_xlfn.XLOOKUP(frasest[[#This Row],[autor_es]],autorest[autor_es],autorest[bio_la])</f>
        <v>Episcopus Antiochenus, martyr et Pater Apostolicus. Discipulus Sancti Ioannis Evangelistae, Romae martyrizatus. Auctor septem epistularum in via ad martyrium scriptarum.</v>
      </c>
      <c r="I232" t="str">
        <f>_xlfn.XLOOKUP(frasest[[#This Row],[autor_es]],autorest[autor_es],autorest[codigo])</f>
        <v>la</v>
      </c>
      <c r="J232" t="str">
        <f>_xlfn.XLOOKUP(frasest[[#This Row],[autor_es]],autorest[autor_es],autorest[idioma_es])</f>
        <v>Latín</v>
      </c>
      <c r="K232" t="str">
        <f>_xlfn.XLOOKUP(frasest[[#This Row],[autor_es]],autorest[autor_es],autorest[idioma_la])</f>
        <v>Lingua Latina</v>
      </c>
      <c r="L232" t="str">
        <f>_xlfn.XLOOKUP(frasest[[#This Row],[autor_es]],autorest[autor_es],autorest[nacion_es])</f>
        <v>Roma</v>
      </c>
      <c r="M232" t="str">
        <f>_xlfn.XLOOKUP(frasest[[#This Row],[autor_es]],autorest[autor_es],autorest[nacion_la])</f>
        <v>Roma</v>
      </c>
      <c r="N232" t="str">
        <f>_xlfn.XLOOKUP(frasest[[#This Row],[autor_es]],autorest[autor_es],autorest[epoca_es])</f>
        <v>Edad Antigua</v>
      </c>
      <c r="O232" t="str">
        <f>_xlfn.XLOOKUP(frasest[[#This Row],[autor_es]],autorest[autor_es],autorest[epoca_la])</f>
        <v>Antiquitas</v>
      </c>
    </row>
    <row r="233" spans="1:15">
      <c r="A233">
        <v>232</v>
      </c>
      <c r="B233" t="s">
        <v>700</v>
      </c>
      <c r="C233" t="s">
        <v>701</v>
      </c>
      <c r="D233" t="s">
        <v>701</v>
      </c>
      <c r="E233" t="s">
        <v>695</v>
      </c>
      <c r="F233" t="str">
        <f>_xlfn.XLOOKUP(frasest[[#This Row],[autor_es]],autorest[autor_es],autorest[autor_la])</f>
        <v>Ignatius Antiochenus</v>
      </c>
      <c r="G233" t="str">
        <f>_xlfn.XLOOKUP(frasest[[#This Row],[autor_es]],autorest[autor_es],autorest[bio_es])</f>
        <v>Obispo de Antioquía, mártir y Padre Apostólico. Discípulo de San Juan Evangelista, martirizado en Roma. Autor de siete cartas escritas camino al martirio.</v>
      </c>
      <c r="H233" t="str">
        <f>_xlfn.XLOOKUP(frasest[[#This Row],[autor_es]],autorest[autor_es],autorest[bio_la])</f>
        <v>Episcopus Antiochenus, martyr et Pater Apostolicus. Discipulus Sancti Ioannis Evangelistae, Romae martyrizatus. Auctor septem epistularum in via ad martyrium scriptarum.</v>
      </c>
      <c r="I233" t="str">
        <f>_xlfn.XLOOKUP(frasest[[#This Row],[autor_es]],autorest[autor_es],autorest[codigo])</f>
        <v>la</v>
      </c>
      <c r="J233" t="str">
        <f>_xlfn.XLOOKUP(frasest[[#This Row],[autor_es]],autorest[autor_es],autorest[idioma_es])</f>
        <v>Latín</v>
      </c>
      <c r="K233" t="str">
        <f>_xlfn.XLOOKUP(frasest[[#This Row],[autor_es]],autorest[autor_es],autorest[idioma_la])</f>
        <v>Lingua Latina</v>
      </c>
      <c r="L233" t="str">
        <f>_xlfn.XLOOKUP(frasest[[#This Row],[autor_es]],autorest[autor_es],autorest[nacion_es])</f>
        <v>Roma</v>
      </c>
      <c r="M233" t="str">
        <f>_xlfn.XLOOKUP(frasest[[#This Row],[autor_es]],autorest[autor_es],autorest[nacion_la])</f>
        <v>Roma</v>
      </c>
      <c r="N233" t="str">
        <f>_xlfn.XLOOKUP(frasest[[#This Row],[autor_es]],autorest[autor_es],autorest[epoca_es])</f>
        <v>Edad Antigua</v>
      </c>
      <c r="O233" t="str">
        <f>_xlfn.XLOOKUP(frasest[[#This Row],[autor_es]],autorest[autor_es],autorest[epoca_la])</f>
        <v>Antiquitas</v>
      </c>
    </row>
    <row r="234" spans="1:15">
      <c r="A234">
        <v>233</v>
      </c>
      <c r="B234" t="s">
        <v>702</v>
      </c>
      <c r="C234" t="s">
        <v>703</v>
      </c>
      <c r="D234" t="s">
        <v>703</v>
      </c>
      <c r="E234" t="s">
        <v>695</v>
      </c>
      <c r="F234" t="str">
        <f>_xlfn.XLOOKUP(frasest[[#This Row],[autor_es]],autorest[autor_es],autorest[autor_la])</f>
        <v>Ignatius Antiochenus</v>
      </c>
      <c r="G234" t="str">
        <f>_xlfn.XLOOKUP(frasest[[#This Row],[autor_es]],autorest[autor_es],autorest[bio_es])</f>
        <v>Obispo de Antioquía, mártir y Padre Apostólico. Discípulo de San Juan Evangelista, martirizado en Roma. Autor de siete cartas escritas camino al martirio.</v>
      </c>
      <c r="H234" t="str">
        <f>_xlfn.XLOOKUP(frasest[[#This Row],[autor_es]],autorest[autor_es],autorest[bio_la])</f>
        <v>Episcopus Antiochenus, martyr et Pater Apostolicus. Discipulus Sancti Ioannis Evangelistae, Romae martyrizatus. Auctor septem epistularum in via ad martyrium scriptarum.</v>
      </c>
      <c r="I234" t="str">
        <f>_xlfn.XLOOKUP(frasest[[#This Row],[autor_es]],autorest[autor_es],autorest[codigo])</f>
        <v>la</v>
      </c>
      <c r="J234" t="str">
        <f>_xlfn.XLOOKUP(frasest[[#This Row],[autor_es]],autorest[autor_es],autorest[idioma_es])</f>
        <v>Latín</v>
      </c>
      <c r="K234" t="str">
        <f>_xlfn.XLOOKUP(frasest[[#This Row],[autor_es]],autorest[autor_es],autorest[idioma_la])</f>
        <v>Lingua Latina</v>
      </c>
      <c r="L234" t="str">
        <f>_xlfn.XLOOKUP(frasest[[#This Row],[autor_es]],autorest[autor_es],autorest[nacion_es])</f>
        <v>Roma</v>
      </c>
      <c r="M234" t="str">
        <f>_xlfn.XLOOKUP(frasest[[#This Row],[autor_es]],autorest[autor_es],autorest[nacion_la])</f>
        <v>Roma</v>
      </c>
      <c r="N234" t="str">
        <f>_xlfn.XLOOKUP(frasest[[#This Row],[autor_es]],autorest[autor_es],autorest[epoca_es])</f>
        <v>Edad Antigua</v>
      </c>
      <c r="O234" t="str">
        <f>_xlfn.XLOOKUP(frasest[[#This Row],[autor_es]],autorest[autor_es],autorest[epoca_la])</f>
        <v>Antiquitas</v>
      </c>
    </row>
    <row r="235" spans="1:15">
      <c r="A235">
        <v>234</v>
      </c>
      <c r="B235" t="s">
        <v>704</v>
      </c>
      <c r="C235" t="s">
        <v>705</v>
      </c>
      <c r="D235" t="s">
        <v>705</v>
      </c>
      <c r="E235" t="s">
        <v>695</v>
      </c>
      <c r="F235" t="str">
        <f>_xlfn.XLOOKUP(frasest[[#This Row],[autor_es]],autorest[autor_es],autorest[autor_la])</f>
        <v>Ignatius Antiochenus</v>
      </c>
      <c r="G235" t="str">
        <f>_xlfn.XLOOKUP(frasest[[#This Row],[autor_es]],autorest[autor_es],autorest[bio_es])</f>
        <v>Obispo de Antioquía, mártir y Padre Apostólico. Discípulo de San Juan Evangelista, martirizado en Roma. Autor de siete cartas escritas camino al martirio.</v>
      </c>
      <c r="H235" t="str">
        <f>_xlfn.XLOOKUP(frasest[[#This Row],[autor_es]],autorest[autor_es],autorest[bio_la])</f>
        <v>Episcopus Antiochenus, martyr et Pater Apostolicus. Discipulus Sancti Ioannis Evangelistae, Romae martyrizatus. Auctor septem epistularum in via ad martyrium scriptarum.</v>
      </c>
      <c r="I235" t="str">
        <f>_xlfn.XLOOKUP(frasest[[#This Row],[autor_es]],autorest[autor_es],autorest[codigo])</f>
        <v>la</v>
      </c>
      <c r="J235" t="str">
        <f>_xlfn.XLOOKUP(frasest[[#This Row],[autor_es]],autorest[autor_es],autorest[idioma_es])</f>
        <v>Latín</v>
      </c>
      <c r="K235" t="str">
        <f>_xlfn.XLOOKUP(frasest[[#This Row],[autor_es]],autorest[autor_es],autorest[idioma_la])</f>
        <v>Lingua Latina</v>
      </c>
      <c r="L235" t="str">
        <f>_xlfn.XLOOKUP(frasest[[#This Row],[autor_es]],autorest[autor_es],autorest[nacion_es])</f>
        <v>Roma</v>
      </c>
      <c r="M235" t="str">
        <f>_xlfn.XLOOKUP(frasest[[#This Row],[autor_es]],autorest[autor_es],autorest[nacion_la])</f>
        <v>Roma</v>
      </c>
      <c r="N235" t="str">
        <f>_xlfn.XLOOKUP(frasest[[#This Row],[autor_es]],autorest[autor_es],autorest[epoca_es])</f>
        <v>Edad Antigua</v>
      </c>
      <c r="O235" t="str">
        <f>_xlfn.XLOOKUP(frasest[[#This Row],[autor_es]],autorest[autor_es],autorest[epoca_la])</f>
        <v>Antiquitas</v>
      </c>
    </row>
    <row r="236" spans="1:15">
      <c r="A236">
        <v>235</v>
      </c>
      <c r="B236" t="s">
        <v>706</v>
      </c>
      <c r="C236" t="s">
        <v>707</v>
      </c>
      <c r="D236" t="s">
        <v>707</v>
      </c>
      <c r="E236" t="s">
        <v>695</v>
      </c>
      <c r="F236" t="str">
        <f>_xlfn.XLOOKUP(frasest[[#This Row],[autor_es]],autorest[autor_es],autorest[autor_la])</f>
        <v>Ignatius Antiochenus</v>
      </c>
      <c r="G236" t="str">
        <f>_xlfn.XLOOKUP(frasest[[#This Row],[autor_es]],autorest[autor_es],autorest[bio_es])</f>
        <v>Obispo de Antioquía, mártir y Padre Apostólico. Discípulo de San Juan Evangelista, martirizado en Roma. Autor de siete cartas escritas camino al martirio.</v>
      </c>
      <c r="H236" t="str">
        <f>_xlfn.XLOOKUP(frasest[[#This Row],[autor_es]],autorest[autor_es],autorest[bio_la])</f>
        <v>Episcopus Antiochenus, martyr et Pater Apostolicus. Discipulus Sancti Ioannis Evangelistae, Romae martyrizatus. Auctor septem epistularum in via ad martyrium scriptarum.</v>
      </c>
      <c r="I236" t="str">
        <f>_xlfn.XLOOKUP(frasest[[#This Row],[autor_es]],autorest[autor_es],autorest[codigo])</f>
        <v>la</v>
      </c>
      <c r="J236" t="str">
        <f>_xlfn.XLOOKUP(frasest[[#This Row],[autor_es]],autorest[autor_es],autorest[idioma_es])</f>
        <v>Latín</v>
      </c>
      <c r="K236" t="str">
        <f>_xlfn.XLOOKUP(frasest[[#This Row],[autor_es]],autorest[autor_es],autorest[idioma_la])</f>
        <v>Lingua Latina</v>
      </c>
      <c r="L236" t="str">
        <f>_xlfn.XLOOKUP(frasest[[#This Row],[autor_es]],autorest[autor_es],autorest[nacion_es])</f>
        <v>Roma</v>
      </c>
      <c r="M236" t="str">
        <f>_xlfn.XLOOKUP(frasest[[#This Row],[autor_es]],autorest[autor_es],autorest[nacion_la])</f>
        <v>Roma</v>
      </c>
      <c r="N236" t="str">
        <f>_xlfn.XLOOKUP(frasest[[#This Row],[autor_es]],autorest[autor_es],autorest[epoca_es])</f>
        <v>Edad Antigua</v>
      </c>
      <c r="O236" t="str">
        <f>_xlfn.XLOOKUP(frasest[[#This Row],[autor_es]],autorest[autor_es],autorest[epoca_la])</f>
        <v>Antiquitas</v>
      </c>
    </row>
    <row r="237" spans="1:15">
      <c r="A237">
        <v>236</v>
      </c>
      <c r="B237" t="s">
        <v>708</v>
      </c>
      <c r="C237" t="s">
        <v>709</v>
      </c>
      <c r="D237" t="s">
        <v>709</v>
      </c>
      <c r="E237" t="s">
        <v>695</v>
      </c>
      <c r="F237" t="str">
        <f>_xlfn.XLOOKUP(frasest[[#This Row],[autor_es]],autorest[autor_es],autorest[autor_la])</f>
        <v>Ignatius Antiochenus</v>
      </c>
      <c r="G237" t="str">
        <f>_xlfn.XLOOKUP(frasest[[#This Row],[autor_es]],autorest[autor_es],autorest[bio_es])</f>
        <v>Obispo de Antioquía, mártir y Padre Apostólico. Discípulo de San Juan Evangelista, martirizado en Roma. Autor de siete cartas escritas camino al martirio.</v>
      </c>
      <c r="H237" t="str">
        <f>_xlfn.XLOOKUP(frasest[[#This Row],[autor_es]],autorest[autor_es],autorest[bio_la])</f>
        <v>Episcopus Antiochenus, martyr et Pater Apostolicus. Discipulus Sancti Ioannis Evangelistae, Romae martyrizatus. Auctor septem epistularum in via ad martyrium scriptarum.</v>
      </c>
      <c r="I237" t="str">
        <f>_xlfn.XLOOKUP(frasest[[#This Row],[autor_es]],autorest[autor_es],autorest[codigo])</f>
        <v>la</v>
      </c>
      <c r="J237" t="str">
        <f>_xlfn.XLOOKUP(frasest[[#This Row],[autor_es]],autorest[autor_es],autorest[idioma_es])</f>
        <v>Latín</v>
      </c>
      <c r="K237" t="str">
        <f>_xlfn.XLOOKUP(frasest[[#This Row],[autor_es]],autorest[autor_es],autorest[idioma_la])</f>
        <v>Lingua Latina</v>
      </c>
      <c r="L237" t="str">
        <f>_xlfn.XLOOKUP(frasest[[#This Row],[autor_es]],autorest[autor_es],autorest[nacion_es])</f>
        <v>Roma</v>
      </c>
      <c r="M237" t="str">
        <f>_xlfn.XLOOKUP(frasest[[#This Row],[autor_es]],autorest[autor_es],autorest[nacion_la])</f>
        <v>Roma</v>
      </c>
      <c r="N237" t="str">
        <f>_xlfn.XLOOKUP(frasest[[#This Row],[autor_es]],autorest[autor_es],autorest[epoca_es])</f>
        <v>Edad Antigua</v>
      </c>
      <c r="O237" t="str">
        <f>_xlfn.XLOOKUP(frasest[[#This Row],[autor_es]],autorest[autor_es],autorest[epoca_la])</f>
        <v>Antiquitas</v>
      </c>
    </row>
    <row r="238" spans="1:15">
      <c r="A238">
        <v>237</v>
      </c>
      <c r="B238" t="s">
        <v>710</v>
      </c>
      <c r="C238" t="s">
        <v>711</v>
      </c>
      <c r="D238" t="s">
        <v>711</v>
      </c>
      <c r="E238" t="s">
        <v>695</v>
      </c>
      <c r="F238" t="str">
        <f>_xlfn.XLOOKUP(frasest[[#This Row],[autor_es]],autorest[autor_es],autorest[autor_la])</f>
        <v>Ignatius Antiochenus</v>
      </c>
      <c r="G238" t="str">
        <f>_xlfn.XLOOKUP(frasest[[#This Row],[autor_es]],autorest[autor_es],autorest[bio_es])</f>
        <v>Obispo de Antioquía, mártir y Padre Apostólico. Discípulo de San Juan Evangelista, martirizado en Roma. Autor de siete cartas escritas camino al martirio.</v>
      </c>
      <c r="H238" t="str">
        <f>_xlfn.XLOOKUP(frasest[[#This Row],[autor_es]],autorest[autor_es],autorest[bio_la])</f>
        <v>Episcopus Antiochenus, martyr et Pater Apostolicus. Discipulus Sancti Ioannis Evangelistae, Romae martyrizatus. Auctor septem epistularum in via ad martyrium scriptarum.</v>
      </c>
      <c r="I238" t="str">
        <f>_xlfn.XLOOKUP(frasest[[#This Row],[autor_es]],autorest[autor_es],autorest[codigo])</f>
        <v>la</v>
      </c>
      <c r="J238" t="str">
        <f>_xlfn.XLOOKUP(frasest[[#This Row],[autor_es]],autorest[autor_es],autorest[idioma_es])</f>
        <v>Latín</v>
      </c>
      <c r="K238" t="str">
        <f>_xlfn.XLOOKUP(frasest[[#This Row],[autor_es]],autorest[autor_es],autorest[idioma_la])</f>
        <v>Lingua Latina</v>
      </c>
      <c r="L238" t="str">
        <f>_xlfn.XLOOKUP(frasest[[#This Row],[autor_es]],autorest[autor_es],autorest[nacion_es])</f>
        <v>Roma</v>
      </c>
      <c r="M238" t="str">
        <f>_xlfn.XLOOKUP(frasest[[#This Row],[autor_es]],autorest[autor_es],autorest[nacion_la])</f>
        <v>Roma</v>
      </c>
      <c r="N238" t="str">
        <f>_xlfn.XLOOKUP(frasest[[#This Row],[autor_es]],autorest[autor_es],autorest[epoca_es])</f>
        <v>Edad Antigua</v>
      </c>
      <c r="O238" t="str">
        <f>_xlfn.XLOOKUP(frasest[[#This Row],[autor_es]],autorest[autor_es],autorest[epoca_la])</f>
        <v>Antiquitas</v>
      </c>
    </row>
    <row r="239" spans="1:15">
      <c r="A239">
        <v>238</v>
      </c>
      <c r="B239" t="s">
        <v>712</v>
      </c>
      <c r="C239" t="s">
        <v>713</v>
      </c>
      <c r="D239" t="s">
        <v>713</v>
      </c>
      <c r="E239" t="s">
        <v>695</v>
      </c>
      <c r="F239" t="str">
        <f>_xlfn.XLOOKUP(frasest[[#This Row],[autor_es]],autorest[autor_es],autorest[autor_la])</f>
        <v>Ignatius Antiochenus</v>
      </c>
      <c r="G239" t="str">
        <f>_xlfn.XLOOKUP(frasest[[#This Row],[autor_es]],autorest[autor_es],autorest[bio_es])</f>
        <v>Obispo de Antioquía, mártir y Padre Apostólico. Discípulo de San Juan Evangelista, martirizado en Roma. Autor de siete cartas escritas camino al martirio.</v>
      </c>
      <c r="H239" t="str">
        <f>_xlfn.XLOOKUP(frasest[[#This Row],[autor_es]],autorest[autor_es],autorest[bio_la])</f>
        <v>Episcopus Antiochenus, martyr et Pater Apostolicus. Discipulus Sancti Ioannis Evangelistae, Romae martyrizatus. Auctor septem epistularum in via ad martyrium scriptarum.</v>
      </c>
      <c r="I239" t="str">
        <f>_xlfn.XLOOKUP(frasest[[#This Row],[autor_es]],autorest[autor_es],autorest[codigo])</f>
        <v>la</v>
      </c>
      <c r="J239" t="str">
        <f>_xlfn.XLOOKUP(frasest[[#This Row],[autor_es]],autorest[autor_es],autorest[idioma_es])</f>
        <v>Latín</v>
      </c>
      <c r="K239" t="str">
        <f>_xlfn.XLOOKUP(frasest[[#This Row],[autor_es]],autorest[autor_es],autorest[idioma_la])</f>
        <v>Lingua Latina</v>
      </c>
      <c r="L239" t="str">
        <f>_xlfn.XLOOKUP(frasest[[#This Row],[autor_es]],autorest[autor_es],autorest[nacion_es])</f>
        <v>Roma</v>
      </c>
      <c r="M239" t="str">
        <f>_xlfn.XLOOKUP(frasest[[#This Row],[autor_es]],autorest[autor_es],autorest[nacion_la])</f>
        <v>Roma</v>
      </c>
      <c r="N239" t="str">
        <f>_xlfn.XLOOKUP(frasest[[#This Row],[autor_es]],autorest[autor_es],autorest[epoca_es])</f>
        <v>Edad Antigua</v>
      </c>
      <c r="O239" t="str">
        <f>_xlfn.XLOOKUP(frasest[[#This Row],[autor_es]],autorest[autor_es],autorest[epoca_la])</f>
        <v>Antiquitas</v>
      </c>
    </row>
    <row r="240" spans="1:15">
      <c r="A240">
        <v>239</v>
      </c>
      <c r="B240" t="s">
        <v>714</v>
      </c>
      <c r="C240" t="s">
        <v>715</v>
      </c>
      <c r="D240" t="s">
        <v>715</v>
      </c>
      <c r="E240" t="s">
        <v>716</v>
      </c>
      <c r="F240" t="str">
        <f>_xlfn.XLOOKUP(frasest[[#This Row],[autor_es]],autorest[autor_es],autorest[autor_la])</f>
        <v>Polycarpus Smyrnaeus</v>
      </c>
      <c r="G240" t="str">
        <f>_xlfn.XLOOKUP(frasest[[#This Row],[autor_es]],autorest[autor_es],autorest[bio_es])</f>
        <v>Obispo de Esmirna, mártir y Padre Apostólico. Discípulo del apóstol Juan, martirizado a los 86 años. Una de las tres figuras principales de los Padres Apostólicos.</v>
      </c>
      <c r="H240" t="str">
        <f>_xlfn.XLOOKUP(frasest[[#This Row],[autor_es]],autorest[autor_es],autorest[bio_la])</f>
        <v>Episcopus Smyrnaeus, martyr et Pater Apostolicus. Discipulus apostoli Ioannis, octoginta sex annos natus martyrizatus. Una ex tribus figuris principalibus Patrum Apostolicorum.</v>
      </c>
      <c r="I240" t="str">
        <f>_xlfn.XLOOKUP(frasest[[#This Row],[autor_es]],autorest[autor_es],autorest[codigo])</f>
        <v>la</v>
      </c>
      <c r="J240" t="str">
        <f>_xlfn.XLOOKUP(frasest[[#This Row],[autor_es]],autorest[autor_es],autorest[idioma_es])</f>
        <v>Latín</v>
      </c>
      <c r="K240" t="str">
        <f>_xlfn.XLOOKUP(frasest[[#This Row],[autor_es]],autorest[autor_es],autorest[idioma_la])</f>
        <v>Lingua Latina</v>
      </c>
      <c r="L240" t="str">
        <f>_xlfn.XLOOKUP(frasest[[#This Row],[autor_es]],autorest[autor_es],autorest[nacion_es])</f>
        <v>Roma</v>
      </c>
      <c r="M240" t="str">
        <f>_xlfn.XLOOKUP(frasest[[#This Row],[autor_es]],autorest[autor_es],autorest[nacion_la])</f>
        <v>Roma</v>
      </c>
      <c r="N240" t="str">
        <f>_xlfn.XLOOKUP(frasest[[#This Row],[autor_es]],autorest[autor_es],autorest[epoca_es])</f>
        <v>Edad Antigua</v>
      </c>
      <c r="O240" t="str">
        <f>_xlfn.XLOOKUP(frasest[[#This Row],[autor_es]],autorest[autor_es],autorest[epoca_la])</f>
        <v>Antiquitas</v>
      </c>
    </row>
    <row r="241" spans="1:15">
      <c r="A241">
        <v>240</v>
      </c>
      <c r="B241" t="s">
        <v>717</v>
      </c>
      <c r="C241" t="s">
        <v>718</v>
      </c>
      <c r="D241" t="s">
        <v>718</v>
      </c>
      <c r="E241" t="s">
        <v>716</v>
      </c>
      <c r="F241" t="str">
        <f>_xlfn.XLOOKUP(frasest[[#This Row],[autor_es]],autorest[autor_es],autorest[autor_la])</f>
        <v>Polycarpus Smyrnaeus</v>
      </c>
      <c r="G241" t="str">
        <f>_xlfn.XLOOKUP(frasest[[#This Row],[autor_es]],autorest[autor_es],autorest[bio_es])</f>
        <v>Obispo de Esmirna, mártir y Padre Apostólico. Discípulo del apóstol Juan, martirizado a los 86 años. Una de las tres figuras principales de los Padres Apostólicos.</v>
      </c>
      <c r="H241" t="str">
        <f>_xlfn.XLOOKUP(frasest[[#This Row],[autor_es]],autorest[autor_es],autorest[bio_la])</f>
        <v>Episcopus Smyrnaeus, martyr et Pater Apostolicus. Discipulus apostoli Ioannis, octoginta sex annos natus martyrizatus. Una ex tribus figuris principalibus Patrum Apostolicorum.</v>
      </c>
      <c r="I241" t="str">
        <f>_xlfn.XLOOKUP(frasest[[#This Row],[autor_es]],autorest[autor_es],autorest[codigo])</f>
        <v>la</v>
      </c>
      <c r="J241" t="str">
        <f>_xlfn.XLOOKUP(frasest[[#This Row],[autor_es]],autorest[autor_es],autorest[idioma_es])</f>
        <v>Latín</v>
      </c>
      <c r="K241" t="str">
        <f>_xlfn.XLOOKUP(frasest[[#This Row],[autor_es]],autorest[autor_es],autorest[idioma_la])</f>
        <v>Lingua Latina</v>
      </c>
      <c r="L241" t="str">
        <f>_xlfn.XLOOKUP(frasest[[#This Row],[autor_es]],autorest[autor_es],autorest[nacion_es])</f>
        <v>Roma</v>
      </c>
      <c r="M241" t="str">
        <f>_xlfn.XLOOKUP(frasest[[#This Row],[autor_es]],autorest[autor_es],autorest[nacion_la])</f>
        <v>Roma</v>
      </c>
      <c r="N241" t="str">
        <f>_xlfn.XLOOKUP(frasest[[#This Row],[autor_es]],autorest[autor_es],autorest[epoca_es])</f>
        <v>Edad Antigua</v>
      </c>
      <c r="O241" t="str">
        <f>_xlfn.XLOOKUP(frasest[[#This Row],[autor_es]],autorest[autor_es],autorest[epoca_la])</f>
        <v>Antiquitas</v>
      </c>
    </row>
    <row r="242" spans="1:15">
      <c r="A242">
        <v>241</v>
      </c>
      <c r="B242" t="s">
        <v>719</v>
      </c>
      <c r="C242" t="s">
        <v>720</v>
      </c>
      <c r="D242" t="s">
        <v>720</v>
      </c>
      <c r="E242" t="s">
        <v>716</v>
      </c>
      <c r="F242" t="str">
        <f>_xlfn.XLOOKUP(frasest[[#This Row],[autor_es]],autorest[autor_es],autorest[autor_la])</f>
        <v>Polycarpus Smyrnaeus</v>
      </c>
      <c r="G242" t="str">
        <f>_xlfn.XLOOKUP(frasest[[#This Row],[autor_es]],autorest[autor_es],autorest[bio_es])</f>
        <v>Obispo de Esmirna, mártir y Padre Apostólico. Discípulo del apóstol Juan, martirizado a los 86 años. Una de las tres figuras principales de los Padres Apostólicos.</v>
      </c>
      <c r="H242" t="str">
        <f>_xlfn.XLOOKUP(frasest[[#This Row],[autor_es]],autorest[autor_es],autorest[bio_la])</f>
        <v>Episcopus Smyrnaeus, martyr et Pater Apostolicus. Discipulus apostoli Ioannis, octoginta sex annos natus martyrizatus. Una ex tribus figuris principalibus Patrum Apostolicorum.</v>
      </c>
      <c r="I242" t="str">
        <f>_xlfn.XLOOKUP(frasest[[#This Row],[autor_es]],autorest[autor_es],autorest[codigo])</f>
        <v>la</v>
      </c>
      <c r="J242" t="str">
        <f>_xlfn.XLOOKUP(frasest[[#This Row],[autor_es]],autorest[autor_es],autorest[idioma_es])</f>
        <v>Latín</v>
      </c>
      <c r="K242" t="str">
        <f>_xlfn.XLOOKUP(frasest[[#This Row],[autor_es]],autorest[autor_es],autorest[idioma_la])</f>
        <v>Lingua Latina</v>
      </c>
      <c r="L242" t="str">
        <f>_xlfn.XLOOKUP(frasest[[#This Row],[autor_es]],autorest[autor_es],autorest[nacion_es])</f>
        <v>Roma</v>
      </c>
      <c r="M242" t="str">
        <f>_xlfn.XLOOKUP(frasest[[#This Row],[autor_es]],autorest[autor_es],autorest[nacion_la])</f>
        <v>Roma</v>
      </c>
      <c r="N242" t="str">
        <f>_xlfn.XLOOKUP(frasest[[#This Row],[autor_es]],autorest[autor_es],autorest[epoca_es])</f>
        <v>Edad Antigua</v>
      </c>
      <c r="O242" t="str">
        <f>_xlfn.XLOOKUP(frasest[[#This Row],[autor_es]],autorest[autor_es],autorest[epoca_la])</f>
        <v>Antiquitas</v>
      </c>
    </row>
    <row r="243" spans="1:15">
      <c r="A243">
        <v>242</v>
      </c>
      <c r="B243" t="s">
        <v>721</v>
      </c>
      <c r="C243" t="s">
        <v>722</v>
      </c>
      <c r="D243" t="s">
        <v>722</v>
      </c>
      <c r="E243" t="s">
        <v>716</v>
      </c>
      <c r="F243" t="str">
        <f>_xlfn.XLOOKUP(frasest[[#This Row],[autor_es]],autorest[autor_es],autorest[autor_la])</f>
        <v>Polycarpus Smyrnaeus</v>
      </c>
      <c r="G243" t="str">
        <f>_xlfn.XLOOKUP(frasest[[#This Row],[autor_es]],autorest[autor_es],autorest[bio_es])</f>
        <v>Obispo de Esmirna, mártir y Padre Apostólico. Discípulo del apóstol Juan, martirizado a los 86 años. Una de las tres figuras principales de los Padres Apostólicos.</v>
      </c>
      <c r="H243" t="str">
        <f>_xlfn.XLOOKUP(frasest[[#This Row],[autor_es]],autorest[autor_es],autorest[bio_la])</f>
        <v>Episcopus Smyrnaeus, martyr et Pater Apostolicus. Discipulus apostoli Ioannis, octoginta sex annos natus martyrizatus. Una ex tribus figuris principalibus Patrum Apostolicorum.</v>
      </c>
      <c r="I243" t="str">
        <f>_xlfn.XLOOKUP(frasest[[#This Row],[autor_es]],autorest[autor_es],autorest[codigo])</f>
        <v>la</v>
      </c>
      <c r="J243" t="str">
        <f>_xlfn.XLOOKUP(frasest[[#This Row],[autor_es]],autorest[autor_es],autorest[idioma_es])</f>
        <v>Latín</v>
      </c>
      <c r="K243" t="str">
        <f>_xlfn.XLOOKUP(frasest[[#This Row],[autor_es]],autorest[autor_es],autorest[idioma_la])</f>
        <v>Lingua Latina</v>
      </c>
      <c r="L243" t="str">
        <f>_xlfn.XLOOKUP(frasest[[#This Row],[autor_es]],autorest[autor_es],autorest[nacion_es])</f>
        <v>Roma</v>
      </c>
      <c r="M243" t="str">
        <f>_xlfn.XLOOKUP(frasest[[#This Row],[autor_es]],autorest[autor_es],autorest[nacion_la])</f>
        <v>Roma</v>
      </c>
      <c r="N243" t="str">
        <f>_xlfn.XLOOKUP(frasest[[#This Row],[autor_es]],autorest[autor_es],autorest[epoca_es])</f>
        <v>Edad Antigua</v>
      </c>
      <c r="O243" t="str">
        <f>_xlfn.XLOOKUP(frasest[[#This Row],[autor_es]],autorest[autor_es],autorest[epoca_la])</f>
        <v>Antiquitas</v>
      </c>
    </row>
    <row r="244" spans="1:15">
      <c r="A244">
        <v>243</v>
      </c>
      <c r="B244" t="s">
        <v>723</v>
      </c>
      <c r="C244" t="s">
        <v>724</v>
      </c>
      <c r="D244" t="s">
        <v>724</v>
      </c>
      <c r="E244" t="s">
        <v>716</v>
      </c>
      <c r="F244" t="str">
        <f>_xlfn.XLOOKUP(frasest[[#This Row],[autor_es]],autorest[autor_es],autorest[autor_la])</f>
        <v>Polycarpus Smyrnaeus</v>
      </c>
      <c r="G244" t="str">
        <f>_xlfn.XLOOKUP(frasest[[#This Row],[autor_es]],autorest[autor_es],autorest[bio_es])</f>
        <v>Obispo de Esmirna, mártir y Padre Apostólico. Discípulo del apóstol Juan, martirizado a los 86 años. Una de las tres figuras principales de los Padres Apostólicos.</v>
      </c>
      <c r="H244" t="str">
        <f>_xlfn.XLOOKUP(frasest[[#This Row],[autor_es]],autorest[autor_es],autorest[bio_la])</f>
        <v>Episcopus Smyrnaeus, martyr et Pater Apostolicus. Discipulus apostoli Ioannis, octoginta sex annos natus martyrizatus. Una ex tribus figuris principalibus Patrum Apostolicorum.</v>
      </c>
      <c r="I244" t="str">
        <f>_xlfn.XLOOKUP(frasest[[#This Row],[autor_es]],autorest[autor_es],autorest[codigo])</f>
        <v>la</v>
      </c>
      <c r="J244" t="str">
        <f>_xlfn.XLOOKUP(frasest[[#This Row],[autor_es]],autorest[autor_es],autorest[idioma_es])</f>
        <v>Latín</v>
      </c>
      <c r="K244" t="str">
        <f>_xlfn.XLOOKUP(frasest[[#This Row],[autor_es]],autorest[autor_es],autorest[idioma_la])</f>
        <v>Lingua Latina</v>
      </c>
      <c r="L244" t="str">
        <f>_xlfn.XLOOKUP(frasest[[#This Row],[autor_es]],autorest[autor_es],autorest[nacion_es])</f>
        <v>Roma</v>
      </c>
      <c r="M244" t="str">
        <f>_xlfn.XLOOKUP(frasest[[#This Row],[autor_es]],autorest[autor_es],autorest[nacion_la])</f>
        <v>Roma</v>
      </c>
      <c r="N244" t="str">
        <f>_xlfn.XLOOKUP(frasest[[#This Row],[autor_es]],autorest[autor_es],autorest[epoca_es])</f>
        <v>Edad Antigua</v>
      </c>
      <c r="O244" t="str">
        <f>_xlfn.XLOOKUP(frasest[[#This Row],[autor_es]],autorest[autor_es],autorest[epoca_la])</f>
        <v>Antiquitas</v>
      </c>
    </row>
    <row r="245" spans="1:15">
      <c r="A245">
        <v>244</v>
      </c>
      <c r="B245" t="s">
        <v>725</v>
      </c>
      <c r="C245" t="s">
        <v>726</v>
      </c>
      <c r="D245" t="s">
        <v>726</v>
      </c>
      <c r="E245" t="s">
        <v>716</v>
      </c>
      <c r="F245" t="str">
        <f>_xlfn.XLOOKUP(frasest[[#This Row],[autor_es]],autorest[autor_es],autorest[autor_la])</f>
        <v>Polycarpus Smyrnaeus</v>
      </c>
      <c r="G245" t="str">
        <f>_xlfn.XLOOKUP(frasest[[#This Row],[autor_es]],autorest[autor_es],autorest[bio_es])</f>
        <v>Obispo de Esmirna, mártir y Padre Apostólico. Discípulo del apóstol Juan, martirizado a los 86 años. Una de las tres figuras principales de los Padres Apostólicos.</v>
      </c>
      <c r="H245" t="str">
        <f>_xlfn.XLOOKUP(frasest[[#This Row],[autor_es]],autorest[autor_es],autorest[bio_la])</f>
        <v>Episcopus Smyrnaeus, martyr et Pater Apostolicus. Discipulus apostoli Ioannis, octoginta sex annos natus martyrizatus. Una ex tribus figuris principalibus Patrum Apostolicorum.</v>
      </c>
      <c r="I245" t="str">
        <f>_xlfn.XLOOKUP(frasest[[#This Row],[autor_es]],autorest[autor_es],autorest[codigo])</f>
        <v>la</v>
      </c>
      <c r="J245" t="str">
        <f>_xlfn.XLOOKUP(frasest[[#This Row],[autor_es]],autorest[autor_es],autorest[idioma_es])</f>
        <v>Latín</v>
      </c>
      <c r="K245" t="str">
        <f>_xlfn.XLOOKUP(frasest[[#This Row],[autor_es]],autorest[autor_es],autorest[idioma_la])</f>
        <v>Lingua Latina</v>
      </c>
      <c r="L245" t="str">
        <f>_xlfn.XLOOKUP(frasest[[#This Row],[autor_es]],autorest[autor_es],autorest[nacion_es])</f>
        <v>Roma</v>
      </c>
      <c r="M245" t="str">
        <f>_xlfn.XLOOKUP(frasest[[#This Row],[autor_es]],autorest[autor_es],autorest[nacion_la])</f>
        <v>Roma</v>
      </c>
      <c r="N245" t="str">
        <f>_xlfn.XLOOKUP(frasest[[#This Row],[autor_es]],autorest[autor_es],autorest[epoca_es])</f>
        <v>Edad Antigua</v>
      </c>
      <c r="O245" t="str">
        <f>_xlfn.XLOOKUP(frasest[[#This Row],[autor_es]],autorest[autor_es],autorest[epoca_la])</f>
        <v>Antiquitas</v>
      </c>
    </row>
    <row r="246" spans="1:15">
      <c r="A246">
        <v>245</v>
      </c>
      <c r="B246" t="s">
        <v>727</v>
      </c>
      <c r="C246" t="s">
        <v>728</v>
      </c>
      <c r="D246" t="s">
        <v>728</v>
      </c>
      <c r="E246" t="s">
        <v>716</v>
      </c>
      <c r="F246" t="str">
        <f>_xlfn.XLOOKUP(frasest[[#This Row],[autor_es]],autorest[autor_es],autorest[autor_la])</f>
        <v>Polycarpus Smyrnaeus</v>
      </c>
      <c r="G246" t="str">
        <f>_xlfn.XLOOKUP(frasest[[#This Row],[autor_es]],autorest[autor_es],autorest[bio_es])</f>
        <v>Obispo de Esmirna, mártir y Padre Apostólico. Discípulo del apóstol Juan, martirizado a los 86 años. Una de las tres figuras principales de los Padres Apostólicos.</v>
      </c>
      <c r="H246" t="str">
        <f>_xlfn.XLOOKUP(frasest[[#This Row],[autor_es]],autorest[autor_es],autorest[bio_la])</f>
        <v>Episcopus Smyrnaeus, martyr et Pater Apostolicus. Discipulus apostoli Ioannis, octoginta sex annos natus martyrizatus. Una ex tribus figuris principalibus Patrum Apostolicorum.</v>
      </c>
      <c r="I246" t="str">
        <f>_xlfn.XLOOKUP(frasest[[#This Row],[autor_es]],autorest[autor_es],autorest[codigo])</f>
        <v>la</v>
      </c>
      <c r="J246" t="str">
        <f>_xlfn.XLOOKUP(frasest[[#This Row],[autor_es]],autorest[autor_es],autorest[idioma_es])</f>
        <v>Latín</v>
      </c>
      <c r="K246" t="str">
        <f>_xlfn.XLOOKUP(frasest[[#This Row],[autor_es]],autorest[autor_es],autorest[idioma_la])</f>
        <v>Lingua Latina</v>
      </c>
      <c r="L246" t="str">
        <f>_xlfn.XLOOKUP(frasest[[#This Row],[autor_es]],autorest[autor_es],autorest[nacion_es])</f>
        <v>Roma</v>
      </c>
      <c r="M246" t="str">
        <f>_xlfn.XLOOKUP(frasest[[#This Row],[autor_es]],autorest[autor_es],autorest[nacion_la])</f>
        <v>Roma</v>
      </c>
      <c r="N246" t="str">
        <f>_xlfn.XLOOKUP(frasest[[#This Row],[autor_es]],autorest[autor_es],autorest[epoca_es])</f>
        <v>Edad Antigua</v>
      </c>
      <c r="O246" t="str">
        <f>_xlfn.XLOOKUP(frasest[[#This Row],[autor_es]],autorest[autor_es],autorest[epoca_la])</f>
        <v>Antiquitas</v>
      </c>
    </row>
    <row r="247" spans="1:15">
      <c r="A247">
        <v>246</v>
      </c>
      <c r="B247" t="s">
        <v>729</v>
      </c>
      <c r="C247" t="s">
        <v>730</v>
      </c>
      <c r="D247" t="s">
        <v>730</v>
      </c>
      <c r="E247" t="s">
        <v>716</v>
      </c>
      <c r="F247" t="str">
        <f>_xlfn.XLOOKUP(frasest[[#This Row],[autor_es]],autorest[autor_es],autorest[autor_la])</f>
        <v>Polycarpus Smyrnaeus</v>
      </c>
      <c r="G247" t="str">
        <f>_xlfn.XLOOKUP(frasest[[#This Row],[autor_es]],autorest[autor_es],autorest[bio_es])</f>
        <v>Obispo de Esmirna, mártir y Padre Apostólico. Discípulo del apóstol Juan, martirizado a los 86 años. Una de las tres figuras principales de los Padres Apostólicos.</v>
      </c>
      <c r="H247" t="str">
        <f>_xlfn.XLOOKUP(frasest[[#This Row],[autor_es]],autorest[autor_es],autorest[bio_la])</f>
        <v>Episcopus Smyrnaeus, martyr et Pater Apostolicus. Discipulus apostoli Ioannis, octoginta sex annos natus martyrizatus. Una ex tribus figuris principalibus Patrum Apostolicorum.</v>
      </c>
      <c r="I247" t="str">
        <f>_xlfn.XLOOKUP(frasest[[#This Row],[autor_es]],autorest[autor_es],autorest[codigo])</f>
        <v>la</v>
      </c>
      <c r="J247" t="str">
        <f>_xlfn.XLOOKUP(frasest[[#This Row],[autor_es]],autorest[autor_es],autorest[idioma_es])</f>
        <v>Latín</v>
      </c>
      <c r="K247" t="str">
        <f>_xlfn.XLOOKUP(frasest[[#This Row],[autor_es]],autorest[autor_es],autorest[idioma_la])</f>
        <v>Lingua Latina</v>
      </c>
      <c r="L247" t="str">
        <f>_xlfn.XLOOKUP(frasest[[#This Row],[autor_es]],autorest[autor_es],autorest[nacion_es])</f>
        <v>Roma</v>
      </c>
      <c r="M247" t="str">
        <f>_xlfn.XLOOKUP(frasest[[#This Row],[autor_es]],autorest[autor_es],autorest[nacion_la])</f>
        <v>Roma</v>
      </c>
      <c r="N247" t="str">
        <f>_xlfn.XLOOKUP(frasest[[#This Row],[autor_es]],autorest[autor_es],autorest[epoca_es])</f>
        <v>Edad Antigua</v>
      </c>
      <c r="O247" t="str">
        <f>_xlfn.XLOOKUP(frasest[[#This Row],[autor_es]],autorest[autor_es],autorest[epoca_la])</f>
        <v>Antiquitas</v>
      </c>
    </row>
    <row r="248" spans="1:15">
      <c r="A248">
        <v>247</v>
      </c>
      <c r="B248" t="s">
        <v>731</v>
      </c>
      <c r="C248" t="s">
        <v>732</v>
      </c>
      <c r="D248" t="s">
        <v>732</v>
      </c>
      <c r="E248" t="s">
        <v>716</v>
      </c>
      <c r="F248" t="str">
        <f>_xlfn.XLOOKUP(frasest[[#This Row],[autor_es]],autorest[autor_es],autorest[autor_la])</f>
        <v>Polycarpus Smyrnaeus</v>
      </c>
      <c r="G248" t="str">
        <f>_xlfn.XLOOKUP(frasest[[#This Row],[autor_es]],autorest[autor_es],autorest[bio_es])</f>
        <v>Obispo de Esmirna, mártir y Padre Apostólico. Discípulo del apóstol Juan, martirizado a los 86 años. Una de las tres figuras principales de los Padres Apostólicos.</v>
      </c>
      <c r="H248" t="str">
        <f>_xlfn.XLOOKUP(frasest[[#This Row],[autor_es]],autorest[autor_es],autorest[bio_la])</f>
        <v>Episcopus Smyrnaeus, martyr et Pater Apostolicus. Discipulus apostoli Ioannis, octoginta sex annos natus martyrizatus. Una ex tribus figuris principalibus Patrum Apostolicorum.</v>
      </c>
      <c r="I248" t="str">
        <f>_xlfn.XLOOKUP(frasest[[#This Row],[autor_es]],autorest[autor_es],autorest[codigo])</f>
        <v>la</v>
      </c>
      <c r="J248" t="str">
        <f>_xlfn.XLOOKUP(frasest[[#This Row],[autor_es]],autorest[autor_es],autorest[idioma_es])</f>
        <v>Latín</v>
      </c>
      <c r="K248" t="str">
        <f>_xlfn.XLOOKUP(frasest[[#This Row],[autor_es]],autorest[autor_es],autorest[idioma_la])</f>
        <v>Lingua Latina</v>
      </c>
      <c r="L248" t="str">
        <f>_xlfn.XLOOKUP(frasest[[#This Row],[autor_es]],autorest[autor_es],autorest[nacion_es])</f>
        <v>Roma</v>
      </c>
      <c r="M248" t="str">
        <f>_xlfn.XLOOKUP(frasest[[#This Row],[autor_es]],autorest[autor_es],autorest[nacion_la])</f>
        <v>Roma</v>
      </c>
      <c r="N248" t="str">
        <f>_xlfn.XLOOKUP(frasest[[#This Row],[autor_es]],autorest[autor_es],autorest[epoca_es])</f>
        <v>Edad Antigua</v>
      </c>
      <c r="O248" t="str">
        <f>_xlfn.XLOOKUP(frasest[[#This Row],[autor_es]],autorest[autor_es],autorest[epoca_la])</f>
        <v>Antiquitas</v>
      </c>
    </row>
    <row r="249" spans="1:15">
      <c r="A249">
        <v>248</v>
      </c>
      <c r="B249" t="s">
        <v>733</v>
      </c>
      <c r="C249" t="s">
        <v>734</v>
      </c>
      <c r="D249" t="s">
        <v>734</v>
      </c>
      <c r="E249" t="s">
        <v>716</v>
      </c>
      <c r="F249" t="str">
        <f>_xlfn.XLOOKUP(frasest[[#This Row],[autor_es]],autorest[autor_es],autorest[autor_la])</f>
        <v>Polycarpus Smyrnaeus</v>
      </c>
      <c r="G249" t="str">
        <f>_xlfn.XLOOKUP(frasest[[#This Row],[autor_es]],autorest[autor_es],autorest[bio_es])</f>
        <v>Obispo de Esmirna, mártir y Padre Apostólico. Discípulo del apóstol Juan, martirizado a los 86 años. Una de las tres figuras principales de los Padres Apostólicos.</v>
      </c>
      <c r="H249" t="str">
        <f>_xlfn.XLOOKUP(frasest[[#This Row],[autor_es]],autorest[autor_es],autorest[bio_la])</f>
        <v>Episcopus Smyrnaeus, martyr et Pater Apostolicus. Discipulus apostoli Ioannis, octoginta sex annos natus martyrizatus. Una ex tribus figuris principalibus Patrum Apostolicorum.</v>
      </c>
      <c r="I249" t="str">
        <f>_xlfn.XLOOKUP(frasest[[#This Row],[autor_es]],autorest[autor_es],autorest[codigo])</f>
        <v>la</v>
      </c>
      <c r="J249" t="str">
        <f>_xlfn.XLOOKUP(frasest[[#This Row],[autor_es]],autorest[autor_es],autorest[idioma_es])</f>
        <v>Latín</v>
      </c>
      <c r="K249" t="str">
        <f>_xlfn.XLOOKUP(frasest[[#This Row],[autor_es]],autorest[autor_es],autorest[idioma_la])</f>
        <v>Lingua Latina</v>
      </c>
      <c r="L249" t="str">
        <f>_xlfn.XLOOKUP(frasest[[#This Row],[autor_es]],autorest[autor_es],autorest[nacion_es])</f>
        <v>Roma</v>
      </c>
      <c r="M249" t="str">
        <f>_xlfn.XLOOKUP(frasest[[#This Row],[autor_es]],autorest[autor_es],autorest[nacion_la])</f>
        <v>Roma</v>
      </c>
      <c r="N249" t="str">
        <f>_xlfn.XLOOKUP(frasest[[#This Row],[autor_es]],autorest[autor_es],autorest[epoca_es])</f>
        <v>Edad Antigua</v>
      </c>
      <c r="O249" t="str">
        <f>_xlfn.XLOOKUP(frasest[[#This Row],[autor_es]],autorest[autor_es],autorest[epoca_la])</f>
        <v>Antiquitas</v>
      </c>
    </row>
    <row r="250" spans="1:15">
      <c r="A250">
        <v>249</v>
      </c>
      <c r="B250" t="s">
        <v>735</v>
      </c>
      <c r="C250" t="s">
        <v>736</v>
      </c>
      <c r="D250" t="s">
        <v>736</v>
      </c>
      <c r="E250" t="s">
        <v>737</v>
      </c>
      <c r="F250" t="str">
        <f>_xlfn.XLOOKUP(frasest[[#This Row],[autor_es]],autorest[autor_es],autorest[autor_la])</f>
        <v>Irenaeus Lugdunensis</v>
      </c>
      <c r="G250" t="str">
        <f>_xlfn.XLOOKUP(frasest[[#This Row],[autor_es]],autorest[autor_es],autorest[bio_es])</f>
        <v>Obispo de Lyon, Padre de la Iglesia y mártir. Discípulo de San Policarpo, combatió el gnosticismo. Primer teólogo que consideró esenciales los cuatro evangelios canónicos.</v>
      </c>
      <c r="H250" t="str">
        <f>_xlfn.XLOOKUP(frasest[[#This Row],[autor_es]],autorest[autor_es],autorest[bio_la])</f>
        <v>Episcopus Lugdunensis, Pater Ecclesiae et martyr. Discipulus Sancti Polycarpi, gnosticismum impugnavit. Primus theologus quattuor evangelia canonica essentialia consideravit.</v>
      </c>
      <c r="I250" t="str">
        <f>_xlfn.XLOOKUP(frasest[[#This Row],[autor_es]],autorest[autor_es],autorest[codigo])</f>
        <v>la</v>
      </c>
      <c r="J250" t="str">
        <f>_xlfn.XLOOKUP(frasest[[#This Row],[autor_es]],autorest[autor_es],autorest[idioma_es])</f>
        <v>Latín</v>
      </c>
      <c r="K250" t="str">
        <f>_xlfn.XLOOKUP(frasest[[#This Row],[autor_es]],autorest[autor_es],autorest[idioma_la])</f>
        <v>Lingua Latina</v>
      </c>
      <c r="L250" t="str">
        <f>_xlfn.XLOOKUP(frasest[[#This Row],[autor_es]],autorest[autor_es],autorest[nacion_es])</f>
        <v>Roma</v>
      </c>
      <c r="M250" t="str">
        <f>_xlfn.XLOOKUP(frasest[[#This Row],[autor_es]],autorest[autor_es],autorest[nacion_la])</f>
        <v>Roma</v>
      </c>
      <c r="N250" t="str">
        <f>_xlfn.XLOOKUP(frasest[[#This Row],[autor_es]],autorest[autor_es],autorest[epoca_es])</f>
        <v>Edad Antigua</v>
      </c>
      <c r="O250" t="str">
        <f>_xlfn.XLOOKUP(frasest[[#This Row],[autor_es]],autorest[autor_es],autorest[epoca_la])</f>
        <v>Antiquitas</v>
      </c>
    </row>
    <row r="251" spans="1:15">
      <c r="A251">
        <v>250</v>
      </c>
      <c r="B251" t="s">
        <v>738</v>
      </c>
      <c r="C251" t="s">
        <v>739</v>
      </c>
      <c r="D251" t="s">
        <v>739</v>
      </c>
      <c r="E251" t="s">
        <v>737</v>
      </c>
      <c r="F251" t="str">
        <f>_xlfn.XLOOKUP(frasest[[#This Row],[autor_es]],autorest[autor_es],autorest[autor_la])</f>
        <v>Irenaeus Lugdunensis</v>
      </c>
      <c r="G251" t="str">
        <f>_xlfn.XLOOKUP(frasest[[#This Row],[autor_es]],autorest[autor_es],autorest[bio_es])</f>
        <v>Obispo de Lyon, Padre de la Iglesia y mártir. Discípulo de San Policarpo, combatió el gnosticismo. Primer teólogo que consideró esenciales los cuatro evangelios canónicos.</v>
      </c>
      <c r="H251" t="str">
        <f>_xlfn.XLOOKUP(frasest[[#This Row],[autor_es]],autorest[autor_es],autorest[bio_la])</f>
        <v>Episcopus Lugdunensis, Pater Ecclesiae et martyr. Discipulus Sancti Polycarpi, gnosticismum impugnavit. Primus theologus quattuor evangelia canonica essentialia consideravit.</v>
      </c>
      <c r="I251" t="str">
        <f>_xlfn.XLOOKUP(frasest[[#This Row],[autor_es]],autorest[autor_es],autorest[codigo])</f>
        <v>la</v>
      </c>
      <c r="J251" t="str">
        <f>_xlfn.XLOOKUP(frasest[[#This Row],[autor_es]],autorest[autor_es],autorest[idioma_es])</f>
        <v>Latín</v>
      </c>
      <c r="K251" t="str">
        <f>_xlfn.XLOOKUP(frasest[[#This Row],[autor_es]],autorest[autor_es],autorest[idioma_la])</f>
        <v>Lingua Latina</v>
      </c>
      <c r="L251" t="str">
        <f>_xlfn.XLOOKUP(frasest[[#This Row],[autor_es]],autorest[autor_es],autorest[nacion_es])</f>
        <v>Roma</v>
      </c>
      <c r="M251" t="str">
        <f>_xlfn.XLOOKUP(frasest[[#This Row],[autor_es]],autorest[autor_es],autorest[nacion_la])</f>
        <v>Roma</v>
      </c>
      <c r="N251" t="str">
        <f>_xlfn.XLOOKUP(frasest[[#This Row],[autor_es]],autorest[autor_es],autorest[epoca_es])</f>
        <v>Edad Antigua</v>
      </c>
      <c r="O251" t="str">
        <f>_xlfn.XLOOKUP(frasest[[#This Row],[autor_es]],autorest[autor_es],autorest[epoca_la])</f>
        <v>Antiquitas</v>
      </c>
    </row>
    <row r="252" spans="1:15">
      <c r="A252">
        <v>251</v>
      </c>
      <c r="B252" t="s">
        <v>740</v>
      </c>
      <c r="C252" t="s">
        <v>741</v>
      </c>
      <c r="D252" t="s">
        <v>741</v>
      </c>
      <c r="E252" t="s">
        <v>737</v>
      </c>
      <c r="F252" t="str">
        <f>_xlfn.XLOOKUP(frasest[[#This Row],[autor_es]],autorest[autor_es],autorest[autor_la])</f>
        <v>Irenaeus Lugdunensis</v>
      </c>
      <c r="G252" t="str">
        <f>_xlfn.XLOOKUP(frasest[[#This Row],[autor_es]],autorest[autor_es],autorest[bio_es])</f>
        <v>Obispo de Lyon, Padre de la Iglesia y mártir. Discípulo de San Policarpo, combatió el gnosticismo. Primer teólogo que consideró esenciales los cuatro evangelios canónicos.</v>
      </c>
      <c r="H252" t="str">
        <f>_xlfn.XLOOKUP(frasest[[#This Row],[autor_es]],autorest[autor_es],autorest[bio_la])</f>
        <v>Episcopus Lugdunensis, Pater Ecclesiae et martyr. Discipulus Sancti Polycarpi, gnosticismum impugnavit. Primus theologus quattuor evangelia canonica essentialia consideravit.</v>
      </c>
      <c r="I252" t="str">
        <f>_xlfn.XLOOKUP(frasest[[#This Row],[autor_es]],autorest[autor_es],autorest[codigo])</f>
        <v>la</v>
      </c>
      <c r="J252" t="str">
        <f>_xlfn.XLOOKUP(frasest[[#This Row],[autor_es]],autorest[autor_es],autorest[idioma_es])</f>
        <v>Latín</v>
      </c>
      <c r="K252" t="str">
        <f>_xlfn.XLOOKUP(frasest[[#This Row],[autor_es]],autorest[autor_es],autorest[idioma_la])</f>
        <v>Lingua Latina</v>
      </c>
      <c r="L252" t="str">
        <f>_xlfn.XLOOKUP(frasest[[#This Row],[autor_es]],autorest[autor_es],autorest[nacion_es])</f>
        <v>Roma</v>
      </c>
      <c r="M252" t="str">
        <f>_xlfn.XLOOKUP(frasest[[#This Row],[autor_es]],autorest[autor_es],autorest[nacion_la])</f>
        <v>Roma</v>
      </c>
      <c r="N252" t="str">
        <f>_xlfn.XLOOKUP(frasest[[#This Row],[autor_es]],autorest[autor_es],autorest[epoca_es])</f>
        <v>Edad Antigua</v>
      </c>
      <c r="O252" t="str">
        <f>_xlfn.XLOOKUP(frasest[[#This Row],[autor_es]],autorest[autor_es],autorest[epoca_la])</f>
        <v>Antiquitas</v>
      </c>
    </row>
    <row r="253" spans="1:15">
      <c r="A253">
        <v>252</v>
      </c>
      <c r="B253" t="s">
        <v>742</v>
      </c>
      <c r="C253" t="s">
        <v>743</v>
      </c>
      <c r="D253" t="s">
        <v>743</v>
      </c>
      <c r="E253" t="s">
        <v>737</v>
      </c>
      <c r="F253" t="str">
        <f>_xlfn.XLOOKUP(frasest[[#This Row],[autor_es]],autorest[autor_es],autorest[autor_la])</f>
        <v>Irenaeus Lugdunensis</v>
      </c>
      <c r="G253" t="str">
        <f>_xlfn.XLOOKUP(frasest[[#This Row],[autor_es]],autorest[autor_es],autorest[bio_es])</f>
        <v>Obispo de Lyon, Padre de la Iglesia y mártir. Discípulo de San Policarpo, combatió el gnosticismo. Primer teólogo que consideró esenciales los cuatro evangelios canónicos.</v>
      </c>
      <c r="H253" t="str">
        <f>_xlfn.XLOOKUP(frasest[[#This Row],[autor_es]],autorest[autor_es],autorest[bio_la])</f>
        <v>Episcopus Lugdunensis, Pater Ecclesiae et martyr. Discipulus Sancti Polycarpi, gnosticismum impugnavit. Primus theologus quattuor evangelia canonica essentialia consideravit.</v>
      </c>
      <c r="I253" t="str">
        <f>_xlfn.XLOOKUP(frasest[[#This Row],[autor_es]],autorest[autor_es],autorest[codigo])</f>
        <v>la</v>
      </c>
      <c r="J253" t="str">
        <f>_xlfn.XLOOKUP(frasest[[#This Row],[autor_es]],autorest[autor_es],autorest[idioma_es])</f>
        <v>Latín</v>
      </c>
      <c r="K253" t="str">
        <f>_xlfn.XLOOKUP(frasest[[#This Row],[autor_es]],autorest[autor_es],autorest[idioma_la])</f>
        <v>Lingua Latina</v>
      </c>
      <c r="L253" t="str">
        <f>_xlfn.XLOOKUP(frasest[[#This Row],[autor_es]],autorest[autor_es],autorest[nacion_es])</f>
        <v>Roma</v>
      </c>
      <c r="M253" t="str">
        <f>_xlfn.XLOOKUP(frasest[[#This Row],[autor_es]],autorest[autor_es],autorest[nacion_la])</f>
        <v>Roma</v>
      </c>
      <c r="N253" t="str">
        <f>_xlfn.XLOOKUP(frasest[[#This Row],[autor_es]],autorest[autor_es],autorest[epoca_es])</f>
        <v>Edad Antigua</v>
      </c>
      <c r="O253" t="str">
        <f>_xlfn.XLOOKUP(frasest[[#This Row],[autor_es]],autorest[autor_es],autorest[epoca_la])</f>
        <v>Antiquitas</v>
      </c>
    </row>
    <row r="254" spans="1:15">
      <c r="A254">
        <v>253</v>
      </c>
      <c r="B254" t="s">
        <v>744</v>
      </c>
      <c r="C254" t="s">
        <v>745</v>
      </c>
      <c r="D254" t="s">
        <v>745</v>
      </c>
      <c r="E254" t="s">
        <v>737</v>
      </c>
      <c r="F254" t="str">
        <f>_xlfn.XLOOKUP(frasest[[#This Row],[autor_es]],autorest[autor_es],autorest[autor_la])</f>
        <v>Irenaeus Lugdunensis</v>
      </c>
      <c r="G254" t="str">
        <f>_xlfn.XLOOKUP(frasest[[#This Row],[autor_es]],autorest[autor_es],autorest[bio_es])</f>
        <v>Obispo de Lyon, Padre de la Iglesia y mártir. Discípulo de San Policarpo, combatió el gnosticismo. Primer teólogo que consideró esenciales los cuatro evangelios canónicos.</v>
      </c>
      <c r="H254" t="str">
        <f>_xlfn.XLOOKUP(frasest[[#This Row],[autor_es]],autorest[autor_es],autorest[bio_la])</f>
        <v>Episcopus Lugdunensis, Pater Ecclesiae et martyr. Discipulus Sancti Polycarpi, gnosticismum impugnavit. Primus theologus quattuor evangelia canonica essentialia consideravit.</v>
      </c>
      <c r="I254" t="str">
        <f>_xlfn.XLOOKUP(frasest[[#This Row],[autor_es]],autorest[autor_es],autorest[codigo])</f>
        <v>la</v>
      </c>
      <c r="J254" t="str">
        <f>_xlfn.XLOOKUP(frasest[[#This Row],[autor_es]],autorest[autor_es],autorest[idioma_es])</f>
        <v>Latín</v>
      </c>
      <c r="K254" t="str">
        <f>_xlfn.XLOOKUP(frasest[[#This Row],[autor_es]],autorest[autor_es],autorest[idioma_la])</f>
        <v>Lingua Latina</v>
      </c>
      <c r="L254" t="str">
        <f>_xlfn.XLOOKUP(frasest[[#This Row],[autor_es]],autorest[autor_es],autorest[nacion_es])</f>
        <v>Roma</v>
      </c>
      <c r="M254" t="str">
        <f>_xlfn.XLOOKUP(frasest[[#This Row],[autor_es]],autorest[autor_es],autorest[nacion_la])</f>
        <v>Roma</v>
      </c>
      <c r="N254" t="str">
        <f>_xlfn.XLOOKUP(frasest[[#This Row],[autor_es]],autorest[autor_es],autorest[epoca_es])</f>
        <v>Edad Antigua</v>
      </c>
      <c r="O254" t="str">
        <f>_xlfn.XLOOKUP(frasest[[#This Row],[autor_es]],autorest[autor_es],autorest[epoca_la])</f>
        <v>Antiquitas</v>
      </c>
    </row>
    <row r="255" spans="1:15">
      <c r="A255">
        <v>254</v>
      </c>
      <c r="B255" t="s">
        <v>746</v>
      </c>
      <c r="C255" t="s">
        <v>747</v>
      </c>
      <c r="D255" t="s">
        <v>747</v>
      </c>
      <c r="E255" t="s">
        <v>737</v>
      </c>
      <c r="F255" t="str">
        <f>_xlfn.XLOOKUP(frasest[[#This Row],[autor_es]],autorest[autor_es],autorest[autor_la])</f>
        <v>Irenaeus Lugdunensis</v>
      </c>
      <c r="G255" t="str">
        <f>_xlfn.XLOOKUP(frasest[[#This Row],[autor_es]],autorest[autor_es],autorest[bio_es])</f>
        <v>Obispo de Lyon, Padre de la Iglesia y mártir. Discípulo de San Policarpo, combatió el gnosticismo. Primer teólogo que consideró esenciales los cuatro evangelios canónicos.</v>
      </c>
      <c r="H255" t="str">
        <f>_xlfn.XLOOKUP(frasest[[#This Row],[autor_es]],autorest[autor_es],autorest[bio_la])</f>
        <v>Episcopus Lugdunensis, Pater Ecclesiae et martyr. Discipulus Sancti Polycarpi, gnosticismum impugnavit. Primus theologus quattuor evangelia canonica essentialia consideravit.</v>
      </c>
      <c r="I255" t="str">
        <f>_xlfn.XLOOKUP(frasest[[#This Row],[autor_es]],autorest[autor_es],autorest[codigo])</f>
        <v>la</v>
      </c>
      <c r="J255" t="str">
        <f>_xlfn.XLOOKUP(frasest[[#This Row],[autor_es]],autorest[autor_es],autorest[idioma_es])</f>
        <v>Latín</v>
      </c>
      <c r="K255" t="str">
        <f>_xlfn.XLOOKUP(frasest[[#This Row],[autor_es]],autorest[autor_es],autorest[idioma_la])</f>
        <v>Lingua Latina</v>
      </c>
      <c r="L255" t="str">
        <f>_xlfn.XLOOKUP(frasest[[#This Row],[autor_es]],autorest[autor_es],autorest[nacion_es])</f>
        <v>Roma</v>
      </c>
      <c r="M255" t="str">
        <f>_xlfn.XLOOKUP(frasest[[#This Row],[autor_es]],autorest[autor_es],autorest[nacion_la])</f>
        <v>Roma</v>
      </c>
      <c r="N255" t="str">
        <f>_xlfn.XLOOKUP(frasest[[#This Row],[autor_es]],autorest[autor_es],autorest[epoca_es])</f>
        <v>Edad Antigua</v>
      </c>
      <c r="O255" t="str">
        <f>_xlfn.XLOOKUP(frasest[[#This Row],[autor_es]],autorest[autor_es],autorest[epoca_la])</f>
        <v>Antiquitas</v>
      </c>
    </row>
    <row r="256" spans="1:15">
      <c r="A256">
        <v>255</v>
      </c>
      <c r="B256" t="s">
        <v>748</v>
      </c>
      <c r="C256" t="s">
        <v>749</v>
      </c>
      <c r="D256" t="s">
        <v>749</v>
      </c>
      <c r="E256" t="s">
        <v>737</v>
      </c>
      <c r="F256" t="str">
        <f>_xlfn.XLOOKUP(frasest[[#This Row],[autor_es]],autorest[autor_es],autorest[autor_la])</f>
        <v>Irenaeus Lugdunensis</v>
      </c>
      <c r="G256" t="str">
        <f>_xlfn.XLOOKUP(frasest[[#This Row],[autor_es]],autorest[autor_es],autorest[bio_es])</f>
        <v>Obispo de Lyon, Padre de la Iglesia y mártir. Discípulo de San Policarpo, combatió el gnosticismo. Primer teólogo que consideró esenciales los cuatro evangelios canónicos.</v>
      </c>
      <c r="H256" t="str">
        <f>_xlfn.XLOOKUP(frasest[[#This Row],[autor_es]],autorest[autor_es],autorest[bio_la])</f>
        <v>Episcopus Lugdunensis, Pater Ecclesiae et martyr. Discipulus Sancti Polycarpi, gnosticismum impugnavit. Primus theologus quattuor evangelia canonica essentialia consideravit.</v>
      </c>
      <c r="I256" t="str">
        <f>_xlfn.XLOOKUP(frasest[[#This Row],[autor_es]],autorest[autor_es],autorest[codigo])</f>
        <v>la</v>
      </c>
      <c r="J256" t="str">
        <f>_xlfn.XLOOKUP(frasest[[#This Row],[autor_es]],autorest[autor_es],autorest[idioma_es])</f>
        <v>Latín</v>
      </c>
      <c r="K256" t="str">
        <f>_xlfn.XLOOKUP(frasest[[#This Row],[autor_es]],autorest[autor_es],autorest[idioma_la])</f>
        <v>Lingua Latina</v>
      </c>
      <c r="L256" t="str">
        <f>_xlfn.XLOOKUP(frasest[[#This Row],[autor_es]],autorest[autor_es],autorest[nacion_es])</f>
        <v>Roma</v>
      </c>
      <c r="M256" t="str">
        <f>_xlfn.XLOOKUP(frasest[[#This Row],[autor_es]],autorest[autor_es],autorest[nacion_la])</f>
        <v>Roma</v>
      </c>
      <c r="N256" t="str">
        <f>_xlfn.XLOOKUP(frasest[[#This Row],[autor_es]],autorest[autor_es],autorest[epoca_es])</f>
        <v>Edad Antigua</v>
      </c>
      <c r="O256" t="str">
        <f>_xlfn.XLOOKUP(frasest[[#This Row],[autor_es]],autorest[autor_es],autorest[epoca_la])</f>
        <v>Antiquitas</v>
      </c>
    </row>
    <row r="257" spans="1:15">
      <c r="A257">
        <v>256</v>
      </c>
      <c r="B257" t="s">
        <v>750</v>
      </c>
      <c r="C257" t="s">
        <v>751</v>
      </c>
      <c r="D257" t="s">
        <v>751</v>
      </c>
      <c r="E257" t="s">
        <v>737</v>
      </c>
      <c r="F257" t="str">
        <f>_xlfn.XLOOKUP(frasest[[#This Row],[autor_es]],autorest[autor_es],autorest[autor_la])</f>
        <v>Irenaeus Lugdunensis</v>
      </c>
      <c r="G257" t="str">
        <f>_xlfn.XLOOKUP(frasest[[#This Row],[autor_es]],autorest[autor_es],autorest[bio_es])</f>
        <v>Obispo de Lyon, Padre de la Iglesia y mártir. Discípulo de San Policarpo, combatió el gnosticismo. Primer teólogo que consideró esenciales los cuatro evangelios canónicos.</v>
      </c>
      <c r="H257" t="str">
        <f>_xlfn.XLOOKUP(frasest[[#This Row],[autor_es]],autorest[autor_es],autorest[bio_la])</f>
        <v>Episcopus Lugdunensis, Pater Ecclesiae et martyr. Discipulus Sancti Polycarpi, gnosticismum impugnavit. Primus theologus quattuor evangelia canonica essentialia consideravit.</v>
      </c>
      <c r="I257" t="str">
        <f>_xlfn.XLOOKUP(frasest[[#This Row],[autor_es]],autorest[autor_es],autorest[codigo])</f>
        <v>la</v>
      </c>
      <c r="J257" t="str">
        <f>_xlfn.XLOOKUP(frasest[[#This Row],[autor_es]],autorest[autor_es],autorest[idioma_es])</f>
        <v>Latín</v>
      </c>
      <c r="K257" t="str">
        <f>_xlfn.XLOOKUP(frasest[[#This Row],[autor_es]],autorest[autor_es],autorest[idioma_la])</f>
        <v>Lingua Latina</v>
      </c>
      <c r="L257" t="str">
        <f>_xlfn.XLOOKUP(frasest[[#This Row],[autor_es]],autorest[autor_es],autorest[nacion_es])</f>
        <v>Roma</v>
      </c>
      <c r="M257" t="str">
        <f>_xlfn.XLOOKUP(frasest[[#This Row],[autor_es]],autorest[autor_es],autorest[nacion_la])</f>
        <v>Roma</v>
      </c>
      <c r="N257" t="str">
        <f>_xlfn.XLOOKUP(frasest[[#This Row],[autor_es]],autorest[autor_es],autorest[epoca_es])</f>
        <v>Edad Antigua</v>
      </c>
      <c r="O257" t="str">
        <f>_xlfn.XLOOKUP(frasest[[#This Row],[autor_es]],autorest[autor_es],autorest[epoca_la])</f>
        <v>Antiquitas</v>
      </c>
    </row>
    <row r="258" spans="1:15">
      <c r="A258">
        <v>257</v>
      </c>
      <c r="B258" t="s">
        <v>752</v>
      </c>
      <c r="C258" t="s">
        <v>753</v>
      </c>
      <c r="D258" t="s">
        <v>753</v>
      </c>
      <c r="E258" t="s">
        <v>737</v>
      </c>
      <c r="F258" t="str">
        <f>_xlfn.XLOOKUP(frasest[[#This Row],[autor_es]],autorest[autor_es],autorest[autor_la])</f>
        <v>Irenaeus Lugdunensis</v>
      </c>
      <c r="G258" t="str">
        <f>_xlfn.XLOOKUP(frasest[[#This Row],[autor_es]],autorest[autor_es],autorest[bio_es])</f>
        <v>Obispo de Lyon, Padre de la Iglesia y mártir. Discípulo de San Policarpo, combatió el gnosticismo. Primer teólogo que consideró esenciales los cuatro evangelios canónicos.</v>
      </c>
      <c r="H258" t="str">
        <f>_xlfn.XLOOKUP(frasest[[#This Row],[autor_es]],autorest[autor_es],autorest[bio_la])</f>
        <v>Episcopus Lugdunensis, Pater Ecclesiae et martyr. Discipulus Sancti Polycarpi, gnosticismum impugnavit. Primus theologus quattuor evangelia canonica essentialia consideravit.</v>
      </c>
      <c r="I258" t="str">
        <f>_xlfn.XLOOKUP(frasest[[#This Row],[autor_es]],autorest[autor_es],autorest[codigo])</f>
        <v>la</v>
      </c>
      <c r="J258" t="str">
        <f>_xlfn.XLOOKUP(frasest[[#This Row],[autor_es]],autorest[autor_es],autorest[idioma_es])</f>
        <v>Latín</v>
      </c>
      <c r="K258" t="str">
        <f>_xlfn.XLOOKUP(frasest[[#This Row],[autor_es]],autorest[autor_es],autorest[idioma_la])</f>
        <v>Lingua Latina</v>
      </c>
      <c r="L258" t="str">
        <f>_xlfn.XLOOKUP(frasest[[#This Row],[autor_es]],autorest[autor_es],autorest[nacion_es])</f>
        <v>Roma</v>
      </c>
      <c r="M258" t="str">
        <f>_xlfn.XLOOKUP(frasest[[#This Row],[autor_es]],autorest[autor_es],autorest[nacion_la])</f>
        <v>Roma</v>
      </c>
      <c r="N258" t="str">
        <f>_xlfn.XLOOKUP(frasest[[#This Row],[autor_es]],autorest[autor_es],autorest[epoca_es])</f>
        <v>Edad Antigua</v>
      </c>
      <c r="O258" t="str">
        <f>_xlfn.XLOOKUP(frasest[[#This Row],[autor_es]],autorest[autor_es],autorest[epoca_la])</f>
        <v>Antiquitas</v>
      </c>
    </row>
    <row r="259" spans="1:15">
      <c r="A259">
        <v>258</v>
      </c>
      <c r="B259" t="s">
        <v>754</v>
      </c>
      <c r="C259" t="s">
        <v>755</v>
      </c>
      <c r="D259" t="s">
        <v>755</v>
      </c>
      <c r="E259" t="s">
        <v>737</v>
      </c>
      <c r="F259" t="str">
        <f>_xlfn.XLOOKUP(frasest[[#This Row],[autor_es]],autorest[autor_es],autorest[autor_la])</f>
        <v>Irenaeus Lugdunensis</v>
      </c>
      <c r="G259" t="str">
        <f>_xlfn.XLOOKUP(frasest[[#This Row],[autor_es]],autorest[autor_es],autorest[bio_es])</f>
        <v>Obispo de Lyon, Padre de la Iglesia y mártir. Discípulo de San Policarpo, combatió el gnosticismo. Primer teólogo que consideró esenciales los cuatro evangelios canónicos.</v>
      </c>
      <c r="H259" t="str">
        <f>_xlfn.XLOOKUP(frasest[[#This Row],[autor_es]],autorest[autor_es],autorest[bio_la])</f>
        <v>Episcopus Lugdunensis, Pater Ecclesiae et martyr. Discipulus Sancti Polycarpi, gnosticismum impugnavit. Primus theologus quattuor evangelia canonica essentialia consideravit.</v>
      </c>
      <c r="I259" t="str">
        <f>_xlfn.XLOOKUP(frasest[[#This Row],[autor_es]],autorest[autor_es],autorest[codigo])</f>
        <v>la</v>
      </c>
      <c r="J259" t="str">
        <f>_xlfn.XLOOKUP(frasest[[#This Row],[autor_es]],autorest[autor_es],autorest[idioma_es])</f>
        <v>Latín</v>
      </c>
      <c r="K259" t="str">
        <f>_xlfn.XLOOKUP(frasest[[#This Row],[autor_es]],autorest[autor_es],autorest[idioma_la])</f>
        <v>Lingua Latina</v>
      </c>
      <c r="L259" t="str">
        <f>_xlfn.XLOOKUP(frasest[[#This Row],[autor_es]],autorest[autor_es],autorest[nacion_es])</f>
        <v>Roma</v>
      </c>
      <c r="M259" t="str">
        <f>_xlfn.XLOOKUP(frasest[[#This Row],[autor_es]],autorest[autor_es],autorest[nacion_la])</f>
        <v>Roma</v>
      </c>
      <c r="N259" t="str">
        <f>_xlfn.XLOOKUP(frasest[[#This Row],[autor_es]],autorest[autor_es],autorest[epoca_es])</f>
        <v>Edad Antigua</v>
      </c>
      <c r="O259" t="str">
        <f>_xlfn.XLOOKUP(frasest[[#This Row],[autor_es]],autorest[autor_es],autorest[epoca_la])</f>
        <v>Antiquitas</v>
      </c>
    </row>
    <row r="260" spans="1:15">
      <c r="A260">
        <v>259</v>
      </c>
      <c r="B260" t="s">
        <v>756</v>
      </c>
      <c r="C260" t="s">
        <v>757</v>
      </c>
      <c r="D260" t="s">
        <v>757</v>
      </c>
      <c r="E260" t="s">
        <v>758</v>
      </c>
      <c r="F260" t="str">
        <f>_xlfn.XLOOKUP(frasest[[#This Row],[autor_es]],autorest[autor_es],autorest[autor_la])</f>
        <v>Athanasius Alexandrinus</v>
      </c>
      <c r="G260" t="str">
        <f>_xlfn.XLOOKUP(frasest[[#This Row],[autor_es]],autorest[autor_es],autorest[bio_es])</f>
        <v>Obispo de Alejandría, Doctor de la Iglesia y defensor de la ortodoxia nicena contra el arrianismo. Autor de la "Vida de San Antonio", influyente en la espiritualidad monástica.</v>
      </c>
      <c r="H260" t="str">
        <f>_xlfn.XLOOKUP(frasest[[#This Row],[autor_es]],autorest[autor_es],autorest[bio_la])</f>
        <v>Episcopus Alexandrinus, Doctor Ecclesiae et defensor orthodoxiae Nicaenae contra arianismum. Auctor "Vita Sancti Antonii", in spiritualitate monastica influens.</v>
      </c>
      <c r="I260" t="str">
        <f>_xlfn.XLOOKUP(frasest[[#This Row],[autor_es]],autorest[autor_es],autorest[codigo])</f>
        <v>la</v>
      </c>
      <c r="J260" t="str">
        <f>_xlfn.XLOOKUP(frasest[[#This Row],[autor_es]],autorest[autor_es],autorest[idioma_es])</f>
        <v>Latín</v>
      </c>
      <c r="K260" t="str">
        <f>_xlfn.XLOOKUP(frasest[[#This Row],[autor_es]],autorest[autor_es],autorest[idioma_la])</f>
        <v>Lingua Latina</v>
      </c>
      <c r="L260" t="str">
        <f>_xlfn.XLOOKUP(frasest[[#This Row],[autor_es]],autorest[autor_es],autorest[nacion_es])</f>
        <v>Roma</v>
      </c>
      <c r="M260" t="str">
        <f>_xlfn.XLOOKUP(frasest[[#This Row],[autor_es]],autorest[autor_es],autorest[nacion_la])</f>
        <v>Roma</v>
      </c>
      <c r="N260" t="str">
        <f>_xlfn.XLOOKUP(frasest[[#This Row],[autor_es]],autorest[autor_es],autorest[epoca_es])</f>
        <v>Edad Antigua</v>
      </c>
      <c r="O260" t="str">
        <f>_xlfn.XLOOKUP(frasest[[#This Row],[autor_es]],autorest[autor_es],autorest[epoca_la])</f>
        <v>Antiquitas</v>
      </c>
    </row>
    <row r="261" spans="1:15">
      <c r="A261">
        <v>260</v>
      </c>
      <c r="B261" t="s">
        <v>759</v>
      </c>
      <c r="C261" t="s">
        <v>760</v>
      </c>
      <c r="D261" t="s">
        <v>760</v>
      </c>
      <c r="E261" t="s">
        <v>758</v>
      </c>
      <c r="F261" t="str">
        <f>_xlfn.XLOOKUP(frasest[[#This Row],[autor_es]],autorest[autor_es],autorest[autor_la])</f>
        <v>Athanasius Alexandrinus</v>
      </c>
      <c r="G261" t="str">
        <f>_xlfn.XLOOKUP(frasest[[#This Row],[autor_es]],autorest[autor_es],autorest[bio_es])</f>
        <v>Obispo de Alejandría, Doctor de la Iglesia y defensor de la ortodoxia nicena contra el arrianismo. Autor de la "Vida de San Antonio", influyente en la espiritualidad monástica.</v>
      </c>
      <c r="H261" t="str">
        <f>_xlfn.XLOOKUP(frasest[[#This Row],[autor_es]],autorest[autor_es],autorest[bio_la])</f>
        <v>Episcopus Alexandrinus, Doctor Ecclesiae et defensor orthodoxiae Nicaenae contra arianismum. Auctor "Vita Sancti Antonii", in spiritualitate monastica influens.</v>
      </c>
      <c r="I261" t="str">
        <f>_xlfn.XLOOKUP(frasest[[#This Row],[autor_es]],autorest[autor_es],autorest[codigo])</f>
        <v>la</v>
      </c>
      <c r="J261" t="str">
        <f>_xlfn.XLOOKUP(frasest[[#This Row],[autor_es]],autorest[autor_es],autorest[idioma_es])</f>
        <v>Latín</v>
      </c>
      <c r="K261" t="str">
        <f>_xlfn.XLOOKUP(frasest[[#This Row],[autor_es]],autorest[autor_es],autorest[idioma_la])</f>
        <v>Lingua Latina</v>
      </c>
      <c r="L261" t="str">
        <f>_xlfn.XLOOKUP(frasest[[#This Row],[autor_es]],autorest[autor_es],autorest[nacion_es])</f>
        <v>Roma</v>
      </c>
      <c r="M261" t="str">
        <f>_xlfn.XLOOKUP(frasest[[#This Row],[autor_es]],autorest[autor_es],autorest[nacion_la])</f>
        <v>Roma</v>
      </c>
      <c r="N261" t="str">
        <f>_xlfn.XLOOKUP(frasest[[#This Row],[autor_es]],autorest[autor_es],autorest[epoca_es])</f>
        <v>Edad Antigua</v>
      </c>
      <c r="O261" t="str">
        <f>_xlfn.XLOOKUP(frasest[[#This Row],[autor_es]],autorest[autor_es],autorest[epoca_la])</f>
        <v>Antiquitas</v>
      </c>
    </row>
    <row r="262" spans="1:15">
      <c r="A262">
        <v>261</v>
      </c>
      <c r="B262" t="s">
        <v>761</v>
      </c>
      <c r="C262" t="s">
        <v>762</v>
      </c>
      <c r="D262" t="s">
        <v>762</v>
      </c>
      <c r="E262" t="s">
        <v>758</v>
      </c>
      <c r="F262" t="str">
        <f>_xlfn.XLOOKUP(frasest[[#This Row],[autor_es]],autorest[autor_es],autorest[autor_la])</f>
        <v>Athanasius Alexandrinus</v>
      </c>
      <c r="G262" t="str">
        <f>_xlfn.XLOOKUP(frasest[[#This Row],[autor_es]],autorest[autor_es],autorest[bio_es])</f>
        <v>Obispo de Alejandría, Doctor de la Iglesia y defensor de la ortodoxia nicena contra el arrianismo. Autor de la "Vida de San Antonio", influyente en la espiritualidad monástica.</v>
      </c>
      <c r="H262" t="str">
        <f>_xlfn.XLOOKUP(frasest[[#This Row],[autor_es]],autorest[autor_es],autorest[bio_la])</f>
        <v>Episcopus Alexandrinus, Doctor Ecclesiae et defensor orthodoxiae Nicaenae contra arianismum. Auctor "Vita Sancti Antonii", in spiritualitate monastica influens.</v>
      </c>
      <c r="I262" t="str">
        <f>_xlfn.XLOOKUP(frasest[[#This Row],[autor_es]],autorest[autor_es],autorest[codigo])</f>
        <v>la</v>
      </c>
      <c r="J262" t="str">
        <f>_xlfn.XLOOKUP(frasest[[#This Row],[autor_es]],autorest[autor_es],autorest[idioma_es])</f>
        <v>Latín</v>
      </c>
      <c r="K262" t="str">
        <f>_xlfn.XLOOKUP(frasest[[#This Row],[autor_es]],autorest[autor_es],autorest[idioma_la])</f>
        <v>Lingua Latina</v>
      </c>
      <c r="L262" t="str">
        <f>_xlfn.XLOOKUP(frasest[[#This Row],[autor_es]],autorest[autor_es],autorest[nacion_es])</f>
        <v>Roma</v>
      </c>
      <c r="M262" t="str">
        <f>_xlfn.XLOOKUP(frasest[[#This Row],[autor_es]],autorest[autor_es],autorest[nacion_la])</f>
        <v>Roma</v>
      </c>
      <c r="N262" t="str">
        <f>_xlfn.XLOOKUP(frasest[[#This Row],[autor_es]],autorest[autor_es],autorest[epoca_es])</f>
        <v>Edad Antigua</v>
      </c>
      <c r="O262" t="str">
        <f>_xlfn.XLOOKUP(frasest[[#This Row],[autor_es]],autorest[autor_es],autorest[epoca_la])</f>
        <v>Antiquitas</v>
      </c>
    </row>
    <row r="263" spans="1:15">
      <c r="A263">
        <v>262</v>
      </c>
      <c r="B263" t="s">
        <v>763</v>
      </c>
      <c r="C263" t="s">
        <v>764</v>
      </c>
      <c r="D263" t="s">
        <v>765</v>
      </c>
      <c r="E263" t="s">
        <v>758</v>
      </c>
      <c r="F263" t="str">
        <f>_xlfn.XLOOKUP(frasest[[#This Row],[autor_es]],autorest[autor_es],autorest[autor_la])</f>
        <v>Athanasius Alexandrinus</v>
      </c>
      <c r="G263" t="str">
        <f>_xlfn.XLOOKUP(frasest[[#This Row],[autor_es]],autorest[autor_es],autorest[bio_es])</f>
        <v>Obispo de Alejandría, Doctor de la Iglesia y defensor de la ortodoxia nicena contra el arrianismo. Autor de la "Vida de San Antonio", influyente en la espiritualidad monástica.</v>
      </c>
      <c r="H263" t="str">
        <f>_xlfn.XLOOKUP(frasest[[#This Row],[autor_es]],autorest[autor_es],autorest[bio_la])</f>
        <v>Episcopus Alexandrinus, Doctor Ecclesiae et defensor orthodoxiae Nicaenae contra arianismum. Auctor "Vita Sancti Antonii", in spiritualitate monastica influens.</v>
      </c>
      <c r="I263" t="str">
        <f>_xlfn.XLOOKUP(frasest[[#This Row],[autor_es]],autorest[autor_es],autorest[codigo])</f>
        <v>la</v>
      </c>
      <c r="J263" t="str">
        <f>_xlfn.XLOOKUP(frasest[[#This Row],[autor_es]],autorest[autor_es],autorest[idioma_es])</f>
        <v>Latín</v>
      </c>
      <c r="K263" t="str">
        <f>_xlfn.XLOOKUP(frasest[[#This Row],[autor_es]],autorest[autor_es],autorest[idioma_la])</f>
        <v>Lingua Latina</v>
      </c>
      <c r="L263" t="str">
        <f>_xlfn.XLOOKUP(frasest[[#This Row],[autor_es]],autorest[autor_es],autorest[nacion_es])</f>
        <v>Roma</v>
      </c>
      <c r="M263" t="str">
        <f>_xlfn.XLOOKUP(frasest[[#This Row],[autor_es]],autorest[autor_es],autorest[nacion_la])</f>
        <v>Roma</v>
      </c>
      <c r="N263" t="str">
        <f>_xlfn.XLOOKUP(frasest[[#This Row],[autor_es]],autorest[autor_es],autorest[epoca_es])</f>
        <v>Edad Antigua</v>
      </c>
      <c r="O263" t="str">
        <f>_xlfn.XLOOKUP(frasest[[#This Row],[autor_es]],autorest[autor_es],autorest[epoca_la])</f>
        <v>Antiquitas</v>
      </c>
    </row>
    <row r="264" spans="1:15">
      <c r="A264">
        <v>263</v>
      </c>
      <c r="B264" t="s">
        <v>766</v>
      </c>
      <c r="C264" t="s">
        <v>767</v>
      </c>
      <c r="D264" t="s">
        <v>767</v>
      </c>
      <c r="E264" t="s">
        <v>758</v>
      </c>
      <c r="F264" t="str">
        <f>_xlfn.XLOOKUP(frasest[[#This Row],[autor_es]],autorest[autor_es],autorest[autor_la])</f>
        <v>Athanasius Alexandrinus</v>
      </c>
      <c r="G264" t="str">
        <f>_xlfn.XLOOKUP(frasest[[#This Row],[autor_es]],autorest[autor_es],autorest[bio_es])</f>
        <v>Obispo de Alejandría, Doctor de la Iglesia y defensor de la ortodoxia nicena contra el arrianismo. Autor de la "Vida de San Antonio", influyente en la espiritualidad monástica.</v>
      </c>
      <c r="H264" t="str">
        <f>_xlfn.XLOOKUP(frasest[[#This Row],[autor_es]],autorest[autor_es],autorest[bio_la])</f>
        <v>Episcopus Alexandrinus, Doctor Ecclesiae et defensor orthodoxiae Nicaenae contra arianismum. Auctor "Vita Sancti Antonii", in spiritualitate monastica influens.</v>
      </c>
      <c r="I264" t="str">
        <f>_xlfn.XLOOKUP(frasest[[#This Row],[autor_es]],autorest[autor_es],autorest[codigo])</f>
        <v>la</v>
      </c>
      <c r="J264" t="str">
        <f>_xlfn.XLOOKUP(frasest[[#This Row],[autor_es]],autorest[autor_es],autorest[idioma_es])</f>
        <v>Latín</v>
      </c>
      <c r="K264" t="str">
        <f>_xlfn.XLOOKUP(frasest[[#This Row],[autor_es]],autorest[autor_es],autorest[idioma_la])</f>
        <v>Lingua Latina</v>
      </c>
      <c r="L264" t="str">
        <f>_xlfn.XLOOKUP(frasest[[#This Row],[autor_es]],autorest[autor_es],autorest[nacion_es])</f>
        <v>Roma</v>
      </c>
      <c r="M264" t="str">
        <f>_xlfn.XLOOKUP(frasest[[#This Row],[autor_es]],autorest[autor_es],autorest[nacion_la])</f>
        <v>Roma</v>
      </c>
      <c r="N264" t="str">
        <f>_xlfn.XLOOKUP(frasest[[#This Row],[autor_es]],autorest[autor_es],autorest[epoca_es])</f>
        <v>Edad Antigua</v>
      </c>
      <c r="O264" t="str">
        <f>_xlfn.XLOOKUP(frasest[[#This Row],[autor_es]],autorest[autor_es],autorest[epoca_la])</f>
        <v>Antiquitas</v>
      </c>
    </row>
    <row r="265" spans="1:15">
      <c r="A265">
        <v>264</v>
      </c>
      <c r="B265" t="s">
        <v>768</v>
      </c>
      <c r="C265" t="s">
        <v>769</v>
      </c>
      <c r="D265" t="s">
        <v>769</v>
      </c>
      <c r="E265" t="s">
        <v>758</v>
      </c>
      <c r="F265" t="str">
        <f>_xlfn.XLOOKUP(frasest[[#This Row],[autor_es]],autorest[autor_es],autorest[autor_la])</f>
        <v>Athanasius Alexandrinus</v>
      </c>
      <c r="G265" t="str">
        <f>_xlfn.XLOOKUP(frasest[[#This Row],[autor_es]],autorest[autor_es],autorest[bio_es])</f>
        <v>Obispo de Alejandría, Doctor de la Iglesia y defensor de la ortodoxia nicena contra el arrianismo. Autor de la "Vida de San Antonio", influyente en la espiritualidad monástica.</v>
      </c>
      <c r="H265" t="str">
        <f>_xlfn.XLOOKUP(frasest[[#This Row],[autor_es]],autorest[autor_es],autorest[bio_la])</f>
        <v>Episcopus Alexandrinus, Doctor Ecclesiae et defensor orthodoxiae Nicaenae contra arianismum. Auctor "Vita Sancti Antonii", in spiritualitate monastica influens.</v>
      </c>
      <c r="I265" t="str">
        <f>_xlfn.XLOOKUP(frasest[[#This Row],[autor_es]],autorest[autor_es],autorest[codigo])</f>
        <v>la</v>
      </c>
      <c r="J265" t="str">
        <f>_xlfn.XLOOKUP(frasest[[#This Row],[autor_es]],autorest[autor_es],autorest[idioma_es])</f>
        <v>Latín</v>
      </c>
      <c r="K265" t="str">
        <f>_xlfn.XLOOKUP(frasest[[#This Row],[autor_es]],autorest[autor_es],autorest[idioma_la])</f>
        <v>Lingua Latina</v>
      </c>
      <c r="L265" t="str">
        <f>_xlfn.XLOOKUP(frasest[[#This Row],[autor_es]],autorest[autor_es],autorest[nacion_es])</f>
        <v>Roma</v>
      </c>
      <c r="M265" t="str">
        <f>_xlfn.XLOOKUP(frasest[[#This Row],[autor_es]],autorest[autor_es],autorest[nacion_la])</f>
        <v>Roma</v>
      </c>
      <c r="N265" t="str">
        <f>_xlfn.XLOOKUP(frasest[[#This Row],[autor_es]],autorest[autor_es],autorest[epoca_es])</f>
        <v>Edad Antigua</v>
      </c>
      <c r="O265" t="str">
        <f>_xlfn.XLOOKUP(frasest[[#This Row],[autor_es]],autorest[autor_es],autorest[epoca_la])</f>
        <v>Antiquitas</v>
      </c>
    </row>
    <row r="266" spans="1:15">
      <c r="A266">
        <v>265</v>
      </c>
      <c r="B266" t="s">
        <v>770</v>
      </c>
      <c r="C266" t="s">
        <v>771</v>
      </c>
      <c r="D266" t="s">
        <v>771</v>
      </c>
      <c r="E266" t="s">
        <v>758</v>
      </c>
      <c r="F266" t="str">
        <f>_xlfn.XLOOKUP(frasest[[#This Row],[autor_es]],autorest[autor_es],autorest[autor_la])</f>
        <v>Athanasius Alexandrinus</v>
      </c>
      <c r="G266" t="str">
        <f>_xlfn.XLOOKUP(frasest[[#This Row],[autor_es]],autorest[autor_es],autorest[bio_es])</f>
        <v>Obispo de Alejandría, Doctor de la Iglesia y defensor de la ortodoxia nicena contra el arrianismo. Autor de la "Vida de San Antonio", influyente en la espiritualidad monástica.</v>
      </c>
      <c r="H266" t="str">
        <f>_xlfn.XLOOKUP(frasest[[#This Row],[autor_es]],autorest[autor_es],autorest[bio_la])</f>
        <v>Episcopus Alexandrinus, Doctor Ecclesiae et defensor orthodoxiae Nicaenae contra arianismum. Auctor "Vita Sancti Antonii", in spiritualitate monastica influens.</v>
      </c>
      <c r="I266" t="str">
        <f>_xlfn.XLOOKUP(frasest[[#This Row],[autor_es]],autorest[autor_es],autorest[codigo])</f>
        <v>la</v>
      </c>
      <c r="J266" t="str">
        <f>_xlfn.XLOOKUP(frasest[[#This Row],[autor_es]],autorest[autor_es],autorest[idioma_es])</f>
        <v>Latín</v>
      </c>
      <c r="K266" t="str">
        <f>_xlfn.XLOOKUP(frasest[[#This Row],[autor_es]],autorest[autor_es],autorest[idioma_la])</f>
        <v>Lingua Latina</v>
      </c>
      <c r="L266" t="str">
        <f>_xlfn.XLOOKUP(frasest[[#This Row],[autor_es]],autorest[autor_es],autorest[nacion_es])</f>
        <v>Roma</v>
      </c>
      <c r="M266" t="str">
        <f>_xlfn.XLOOKUP(frasest[[#This Row],[autor_es]],autorest[autor_es],autorest[nacion_la])</f>
        <v>Roma</v>
      </c>
      <c r="N266" t="str">
        <f>_xlfn.XLOOKUP(frasest[[#This Row],[autor_es]],autorest[autor_es],autorest[epoca_es])</f>
        <v>Edad Antigua</v>
      </c>
      <c r="O266" t="str">
        <f>_xlfn.XLOOKUP(frasest[[#This Row],[autor_es]],autorest[autor_es],autorest[epoca_la])</f>
        <v>Antiquitas</v>
      </c>
    </row>
    <row r="267" spans="1:15">
      <c r="A267">
        <v>266</v>
      </c>
      <c r="B267" t="s">
        <v>772</v>
      </c>
      <c r="C267" t="s">
        <v>773</v>
      </c>
      <c r="D267" t="s">
        <v>773</v>
      </c>
      <c r="E267" t="s">
        <v>758</v>
      </c>
      <c r="F267" t="str">
        <f>_xlfn.XLOOKUP(frasest[[#This Row],[autor_es]],autorest[autor_es],autorest[autor_la])</f>
        <v>Athanasius Alexandrinus</v>
      </c>
      <c r="G267" t="str">
        <f>_xlfn.XLOOKUP(frasest[[#This Row],[autor_es]],autorest[autor_es],autorest[bio_es])</f>
        <v>Obispo de Alejandría, Doctor de la Iglesia y defensor de la ortodoxia nicena contra el arrianismo. Autor de la "Vida de San Antonio", influyente en la espiritualidad monástica.</v>
      </c>
      <c r="H267" t="str">
        <f>_xlfn.XLOOKUP(frasest[[#This Row],[autor_es]],autorest[autor_es],autorest[bio_la])</f>
        <v>Episcopus Alexandrinus, Doctor Ecclesiae et defensor orthodoxiae Nicaenae contra arianismum. Auctor "Vita Sancti Antonii", in spiritualitate monastica influens.</v>
      </c>
      <c r="I267" t="str">
        <f>_xlfn.XLOOKUP(frasest[[#This Row],[autor_es]],autorest[autor_es],autorest[codigo])</f>
        <v>la</v>
      </c>
      <c r="J267" t="str">
        <f>_xlfn.XLOOKUP(frasest[[#This Row],[autor_es]],autorest[autor_es],autorest[idioma_es])</f>
        <v>Latín</v>
      </c>
      <c r="K267" t="str">
        <f>_xlfn.XLOOKUP(frasest[[#This Row],[autor_es]],autorest[autor_es],autorest[idioma_la])</f>
        <v>Lingua Latina</v>
      </c>
      <c r="L267" t="str">
        <f>_xlfn.XLOOKUP(frasest[[#This Row],[autor_es]],autorest[autor_es],autorest[nacion_es])</f>
        <v>Roma</v>
      </c>
      <c r="M267" t="str">
        <f>_xlfn.XLOOKUP(frasest[[#This Row],[autor_es]],autorest[autor_es],autorest[nacion_la])</f>
        <v>Roma</v>
      </c>
      <c r="N267" t="str">
        <f>_xlfn.XLOOKUP(frasest[[#This Row],[autor_es]],autorest[autor_es],autorest[epoca_es])</f>
        <v>Edad Antigua</v>
      </c>
      <c r="O267" t="str">
        <f>_xlfn.XLOOKUP(frasest[[#This Row],[autor_es]],autorest[autor_es],autorest[epoca_la])</f>
        <v>Antiquitas</v>
      </c>
    </row>
    <row r="268" spans="1:15">
      <c r="A268">
        <v>267</v>
      </c>
      <c r="B268" t="s">
        <v>774</v>
      </c>
      <c r="C268" t="s">
        <v>775</v>
      </c>
      <c r="D268" t="s">
        <v>775</v>
      </c>
      <c r="E268" t="s">
        <v>758</v>
      </c>
      <c r="F268" t="str">
        <f>_xlfn.XLOOKUP(frasest[[#This Row],[autor_es]],autorest[autor_es],autorest[autor_la])</f>
        <v>Athanasius Alexandrinus</v>
      </c>
      <c r="G268" t="str">
        <f>_xlfn.XLOOKUP(frasest[[#This Row],[autor_es]],autorest[autor_es],autorest[bio_es])</f>
        <v>Obispo de Alejandría, Doctor de la Iglesia y defensor de la ortodoxia nicena contra el arrianismo. Autor de la "Vida de San Antonio", influyente en la espiritualidad monástica.</v>
      </c>
      <c r="H268" t="str">
        <f>_xlfn.XLOOKUP(frasest[[#This Row],[autor_es]],autorest[autor_es],autorest[bio_la])</f>
        <v>Episcopus Alexandrinus, Doctor Ecclesiae et defensor orthodoxiae Nicaenae contra arianismum. Auctor "Vita Sancti Antonii", in spiritualitate monastica influens.</v>
      </c>
      <c r="I268" t="str">
        <f>_xlfn.XLOOKUP(frasest[[#This Row],[autor_es]],autorest[autor_es],autorest[codigo])</f>
        <v>la</v>
      </c>
      <c r="J268" t="str">
        <f>_xlfn.XLOOKUP(frasest[[#This Row],[autor_es]],autorest[autor_es],autorest[idioma_es])</f>
        <v>Latín</v>
      </c>
      <c r="K268" t="str">
        <f>_xlfn.XLOOKUP(frasest[[#This Row],[autor_es]],autorest[autor_es],autorest[idioma_la])</f>
        <v>Lingua Latina</v>
      </c>
      <c r="L268" t="str">
        <f>_xlfn.XLOOKUP(frasest[[#This Row],[autor_es]],autorest[autor_es],autorest[nacion_es])</f>
        <v>Roma</v>
      </c>
      <c r="M268" t="str">
        <f>_xlfn.XLOOKUP(frasest[[#This Row],[autor_es]],autorest[autor_es],autorest[nacion_la])</f>
        <v>Roma</v>
      </c>
      <c r="N268" t="str">
        <f>_xlfn.XLOOKUP(frasest[[#This Row],[autor_es]],autorest[autor_es],autorest[epoca_es])</f>
        <v>Edad Antigua</v>
      </c>
      <c r="O268" t="str">
        <f>_xlfn.XLOOKUP(frasest[[#This Row],[autor_es]],autorest[autor_es],autorest[epoca_la])</f>
        <v>Antiquitas</v>
      </c>
    </row>
    <row r="269" spans="1:15">
      <c r="A269">
        <v>268</v>
      </c>
      <c r="B269" t="s">
        <v>776</v>
      </c>
      <c r="C269" t="s">
        <v>777</v>
      </c>
      <c r="D269" t="s">
        <v>777</v>
      </c>
      <c r="E269" t="s">
        <v>758</v>
      </c>
      <c r="F269" t="str">
        <f>_xlfn.XLOOKUP(frasest[[#This Row],[autor_es]],autorest[autor_es],autorest[autor_la])</f>
        <v>Athanasius Alexandrinus</v>
      </c>
      <c r="G269" t="str">
        <f>_xlfn.XLOOKUP(frasest[[#This Row],[autor_es]],autorest[autor_es],autorest[bio_es])</f>
        <v>Obispo de Alejandría, Doctor de la Iglesia y defensor de la ortodoxia nicena contra el arrianismo. Autor de la "Vida de San Antonio", influyente en la espiritualidad monástica.</v>
      </c>
      <c r="H269" t="str">
        <f>_xlfn.XLOOKUP(frasest[[#This Row],[autor_es]],autorest[autor_es],autorest[bio_la])</f>
        <v>Episcopus Alexandrinus, Doctor Ecclesiae et defensor orthodoxiae Nicaenae contra arianismum. Auctor "Vita Sancti Antonii", in spiritualitate monastica influens.</v>
      </c>
      <c r="I269" t="str">
        <f>_xlfn.XLOOKUP(frasest[[#This Row],[autor_es]],autorest[autor_es],autorest[codigo])</f>
        <v>la</v>
      </c>
      <c r="J269" t="str">
        <f>_xlfn.XLOOKUP(frasest[[#This Row],[autor_es]],autorest[autor_es],autorest[idioma_es])</f>
        <v>Latín</v>
      </c>
      <c r="K269" t="str">
        <f>_xlfn.XLOOKUP(frasest[[#This Row],[autor_es]],autorest[autor_es],autorest[idioma_la])</f>
        <v>Lingua Latina</v>
      </c>
      <c r="L269" t="str">
        <f>_xlfn.XLOOKUP(frasest[[#This Row],[autor_es]],autorest[autor_es],autorest[nacion_es])</f>
        <v>Roma</v>
      </c>
      <c r="M269" t="str">
        <f>_xlfn.XLOOKUP(frasest[[#This Row],[autor_es]],autorest[autor_es],autorest[nacion_la])</f>
        <v>Roma</v>
      </c>
      <c r="N269" t="str">
        <f>_xlfn.XLOOKUP(frasest[[#This Row],[autor_es]],autorest[autor_es],autorest[epoca_es])</f>
        <v>Edad Antigua</v>
      </c>
      <c r="O269" t="str">
        <f>_xlfn.XLOOKUP(frasest[[#This Row],[autor_es]],autorest[autor_es],autorest[epoca_la])</f>
        <v>Antiquitas</v>
      </c>
    </row>
    <row r="270" spans="1:15">
      <c r="A270">
        <v>269</v>
      </c>
      <c r="B270" t="s">
        <v>778</v>
      </c>
      <c r="C270" t="s">
        <v>779</v>
      </c>
      <c r="D270" t="s">
        <v>779</v>
      </c>
      <c r="E270" t="s">
        <v>780</v>
      </c>
      <c r="F270" t="str">
        <f>_xlfn.XLOOKUP(frasest[[#This Row],[autor_es]],autorest[autor_es],autorest[autor_la])</f>
        <v>Basilius Magnus</v>
      </c>
      <c r="G270" t="str">
        <f>_xlfn.XLOOKUP(frasest[[#This Row],[autor_es]],autorest[autor_es],autorest[bio_es])</f>
        <v>Obispo de Cesarea, Doctor de la Iglesia y Padre Capadocio. Hermano de San Gregorio de Nisa, organizador del monaquismo oriental y defensor de la ortodoxia nicena.</v>
      </c>
      <c r="H270" t="str">
        <f>_xlfn.XLOOKUP(frasest[[#This Row],[autor_es]],autorest[autor_es],autorest[bio_la])</f>
        <v>Episcopus Caesariensis, Doctor Ecclesiae et Pater Cappadocius. Frater Sancti Gregorii Nysseni, monasticismi orientalis organizator et orthodoxiae Nicaenae defensor.</v>
      </c>
      <c r="I270" t="str">
        <f>_xlfn.XLOOKUP(frasest[[#This Row],[autor_es]],autorest[autor_es],autorest[codigo])</f>
        <v>la</v>
      </c>
      <c r="J270" t="str">
        <f>_xlfn.XLOOKUP(frasest[[#This Row],[autor_es]],autorest[autor_es],autorest[idioma_es])</f>
        <v>Latín</v>
      </c>
      <c r="K270" t="str">
        <f>_xlfn.XLOOKUP(frasest[[#This Row],[autor_es]],autorest[autor_es],autorest[idioma_la])</f>
        <v>Lingua Latina</v>
      </c>
      <c r="L270" t="str">
        <f>_xlfn.XLOOKUP(frasest[[#This Row],[autor_es]],autorest[autor_es],autorest[nacion_es])</f>
        <v>Roma</v>
      </c>
      <c r="M270" t="str">
        <f>_xlfn.XLOOKUP(frasest[[#This Row],[autor_es]],autorest[autor_es],autorest[nacion_la])</f>
        <v>Roma</v>
      </c>
      <c r="N270" t="str">
        <f>_xlfn.XLOOKUP(frasest[[#This Row],[autor_es]],autorest[autor_es],autorest[epoca_es])</f>
        <v>Edad Antigua</v>
      </c>
      <c r="O270" t="str">
        <f>_xlfn.XLOOKUP(frasest[[#This Row],[autor_es]],autorest[autor_es],autorest[epoca_la])</f>
        <v>Antiquitas</v>
      </c>
    </row>
    <row r="271" spans="1:15">
      <c r="A271">
        <v>270</v>
      </c>
      <c r="B271" t="s">
        <v>781</v>
      </c>
      <c r="C271" t="s">
        <v>782</v>
      </c>
      <c r="D271" t="s">
        <v>782</v>
      </c>
      <c r="E271" t="s">
        <v>780</v>
      </c>
      <c r="F271" t="str">
        <f>_xlfn.XLOOKUP(frasest[[#This Row],[autor_es]],autorest[autor_es],autorest[autor_la])</f>
        <v>Basilius Magnus</v>
      </c>
      <c r="G271" t="str">
        <f>_xlfn.XLOOKUP(frasest[[#This Row],[autor_es]],autorest[autor_es],autorest[bio_es])</f>
        <v>Obispo de Cesarea, Doctor de la Iglesia y Padre Capadocio. Hermano de San Gregorio de Nisa, organizador del monaquismo oriental y defensor de la ortodoxia nicena.</v>
      </c>
      <c r="H271" t="str">
        <f>_xlfn.XLOOKUP(frasest[[#This Row],[autor_es]],autorest[autor_es],autorest[bio_la])</f>
        <v>Episcopus Caesariensis, Doctor Ecclesiae et Pater Cappadocius. Frater Sancti Gregorii Nysseni, monasticismi orientalis organizator et orthodoxiae Nicaenae defensor.</v>
      </c>
      <c r="I271" t="str">
        <f>_xlfn.XLOOKUP(frasest[[#This Row],[autor_es]],autorest[autor_es],autorest[codigo])</f>
        <v>la</v>
      </c>
      <c r="J271" t="str">
        <f>_xlfn.XLOOKUP(frasest[[#This Row],[autor_es]],autorest[autor_es],autorest[idioma_es])</f>
        <v>Latín</v>
      </c>
      <c r="K271" t="str">
        <f>_xlfn.XLOOKUP(frasest[[#This Row],[autor_es]],autorest[autor_es],autorest[idioma_la])</f>
        <v>Lingua Latina</v>
      </c>
      <c r="L271" t="str">
        <f>_xlfn.XLOOKUP(frasest[[#This Row],[autor_es]],autorest[autor_es],autorest[nacion_es])</f>
        <v>Roma</v>
      </c>
      <c r="M271" t="str">
        <f>_xlfn.XLOOKUP(frasest[[#This Row],[autor_es]],autorest[autor_es],autorest[nacion_la])</f>
        <v>Roma</v>
      </c>
      <c r="N271" t="str">
        <f>_xlfn.XLOOKUP(frasest[[#This Row],[autor_es]],autorest[autor_es],autorest[epoca_es])</f>
        <v>Edad Antigua</v>
      </c>
      <c r="O271" t="str">
        <f>_xlfn.XLOOKUP(frasest[[#This Row],[autor_es]],autorest[autor_es],autorest[epoca_la])</f>
        <v>Antiquitas</v>
      </c>
    </row>
    <row r="272" spans="1:15">
      <c r="A272">
        <v>271</v>
      </c>
      <c r="B272" t="s">
        <v>783</v>
      </c>
      <c r="C272" t="s">
        <v>784</v>
      </c>
      <c r="D272" t="s">
        <v>784</v>
      </c>
      <c r="E272" t="s">
        <v>780</v>
      </c>
      <c r="F272" t="str">
        <f>_xlfn.XLOOKUP(frasest[[#This Row],[autor_es]],autorest[autor_es],autorest[autor_la])</f>
        <v>Basilius Magnus</v>
      </c>
      <c r="G272" t="str">
        <f>_xlfn.XLOOKUP(frasest[[#This Row],[autor_es]],autorest[autor_es],autorest[bio_es])</f>
        <v>Obispo de Cesarea, Doctor de la Iglesia y Padre Capadocio. Hermano de San Gregorio de Nisa, organizador del monaquismo oriental y defensor de la ortodoxia nicena.</v>
      </c>
      <c r="H272" t="str">
        <f>_xlfn.XLOOKUP(frasest[[#This Row],[autor_es]],autorest[autor_es],autorest[bio_la])</f>
        <v>Episcopus Caesariensis, Doctor Ecclesiae et Pater Cappadocius. Frater Sancti Gregorii Nysseni, monasticismi orientalis organizator et orthodoxiae Nicaenae defensor.</v>
      </c>
      <c r="I272" t="str">
        <f>_xlfn.XLOOKUP(frasest[[#This Row],[autor_es]],autorest[autor_es],autorest[codigo])</f>
        <v>la</v>
      </c>
      <c r="J272" t="str">
        <f>_xlfn.XLOOKUP(frasest[[#This Row],[autor_es]],autorest[autor_es],autorest[idioma_es])</f>
        <v>Latín</v>
      </c>
      <c r="K272" t="str">
        <f>_xlfn.XLOOKUP(frasest[[#This Row],[autor_es]],autorest[autor_es],autorest[idioma_la])</f>
        <v>Lingua Latina</v>
      </c>
      <c r="L272" t="str">
        <f>_xlfn.XLOOKUP(frasest[[#This Row],[autor_es]],autorest[autor_es],autorest[nacion_es])</f>
        <v>Roma</v>
      </c>
      <c r="M272" t="str">
        <f>_xlfn.XLOOKUP(frasest[[#This Row],[autor_es]],autorest[autor_es],autorest[nacion_la])</f>
        <v>Roma</v>
      </c>
      <c r="N272" t="str">
        <f>_xlfn.XLOOKUP(frasest[[#This Row],[autor_es]],autorest[autor_es],autorest[epoca_es])</f>
        <v>Edad Antigua</v>
      </c>
      <c r="O272" t="str">
        <f>_xlfn.XLOOKUP(frasest[[#This Row],[autor_es]],autorest[autor_es],autorest[epoca_la])</f>
        <v>Antiquitas</v>
      </c>
    </row>
    <row r="273" spans="1:15">
      <c r="A273">
        <v>272</v>
      </c>
      <c r="B273" t="s">
        <v>785</v>
      </c>
      <c r="C273" t="s">
        <v>786</v>
      </c>
      <c r="D273" t="s">
        <v>786</v>
      </c>
      <c r="E273" t="s">
        <v>780</v>
      </c>
      <c r="F273" t="str">
        <f>_xlfn.XLOOKUP(frasest[[#This Row],[autor_es]],autorest[autor_es],autorest[autor_la])</f>
        <v>Basilius Magnus</v>
      </c>
      <c r="G273" t="str">
        <f>_xlfn.XLOOKUP(frasest[[#This Row],[autor_es]],autorest[autor_es],autorest[bio_es])</f>
        <v>Obispo de Cesarea, Doctor de la Iglesia y Padre Capadocio. Hermano de San Gregorio de Nisa, organizador del monaquismo oriental y defensor de la ortodoxia nicena.</v>
      </c>
      <c r="H273" t="str">
        <f>_xlfn.XLOOKUP(frasest[[#This Row],[autor_es]],autorest[autor_es],autorest[bio_la])</f>
        <v>Episcopus Caesariensis, Doctor Ecclesiae et Pater Cappadocius. Frater Sancti Gregorii Nysseni, monasticismi orientalis organizator et orthodoxiae Nicaenae defensor.</v>
      </c>
      <c r="I273" t="str">
        <f>_xlfn.XLOOKUP(frasest[[#This Row],[autor_es]],autorest[autor_es],autorest[codigo])</f>
        <v>la</v>
      </c>
      <c r="J273" t="str">
        <f>_xlfn.XLOOKUP(frasest[[#This Row],[autor_es]],autorest[autor_es],autorest[idioma_es])</f>
        <v>Latín</v>
      </c>
      <c r="K273" t="str">
        <f>_xlfn.XLOOKUP(frasest[[#This Row],[autor_es]],autorest[autor_es],autorest[idioma_la])</f>
        <v>Lingua Latina</v>
      </c>
      <c r="L273" t="str">
        <f>_xlfn.XLOOKUP(frasest[[#This Row],[autor_es]],autorest[autor_es],autorest[nacion_es])</f>
        <v>Roma</v>
      </c>
      <c r="M273" t="str">
        <f>_xlfn.XLOOKUP(frasest[[#This Row],[autor_es]],autorest[autor_es],autorest[nacion_la])</f>
        <v>Roma</v>
      </c>
      <c r="N273" t="str">
        <f>_xlfn.XLOOKUP(frasest[[#This Row],[autor_es]],autorest[autor_es],autorest[epoca_es])</f>
        <v>Edad Antigua</v>
      </c>
      <c r="O273" t="str">
        <f>_xlfn.XLOOKUP(frasest[[#This Row],[autor_es]],autorest[autor_es],autorest[epoca_la])</f>
        <v>Antiquitas</v>
      </c>
    </row>
    <row r="274" spans="1:15">
      <c r="A274">
        <v>273</v>
      </c>
      <c r="B274" t="s">
        <v>787</v>
      </c>
      <c r="C274" t="s">
        <v>788</v>
      </c>
      <c r="D274" t="s">
        <v>788</v>
      </c>
      <c r="E274" t="s">
        <v>780</v>
      </c>
      <c r="F274" t="str">
        <f>_xlfn.XLOOKUP(frasest[[#This Row],[autor_es]],autorest[autor_es],autorest[autor_la])</f>
        <v>Basilius Magnus</v>
      </c>
      <c r="G274" t="str">
        <f>_xlfn.XLOOKUP(frasest[[#This Row],[autor_es]],autorest[autor_es],autorest[bio_es])</f>
        <v>Obispo de Cesarea, Doctor de la Iglesia y Padre Capadocio. Hermano de San Gregorio de Nisa, organizador del monaquismo oriental y defensor de la ortodoxia nicena.</v>
      </c>
      <c r="H274" t="str">
        <f>_xlfn.XLOOKUP(frasest[[#This Row],[autor_es]],autorest[autor_es],autorest[bio_la])</f>
        <v>Episcopus Caesariensis, Doctor Ecclesiae et Pater Cappadocius. Frater Sancti Gregorii Nysseni, monasticismi orientalis organizator et orthodoxiae Nicaenae defensor.</v>
      </c>
      <c r="I274" t="str">
        <f>_xlfn.XLOOKUP(frasest[[#This Row],[autor_es]],autorest[autor_es],autorest[codigo])</f>
        <v>la</v>
      </c>
      <c r="J274" t="str">
        <f>_xlfn.XLOOKUP(frasest[[#This Row],[autor_es]],autorest[autor_es],autorest[idioma_es])</f>
        <v>Latín</v>
      </c>
      <c r="K274" t="str">
        <f>_xlfn.XLOOKUP(frasest[[#This Row],[autor_es]],autorest[autor_es],autorest[idioma_la])</f>
        <v>Lingua Latina</v>
      </c>
      <c r="L274" t="str">
        <f>_xlfn.XLOOKUP(frasest[[#This Row],[autor_es]],autorest[autor_es],autorest[nacion_es])</f>
        <v>Roma</v>
      </c>
      <c r="M274" t="str">
        <f>_xlfn.XLOOKUP(frasest[[#This Row],[autor_es]],autorest[autor_es],autorest[nacion_la])</f>
        <v>Roma</v>
      </c>
      <c r="N274" t="str">
        <f>_xlfn.XLOOKUP(frasest[[#This Row],[autor_es]],autorest[autor_es],autorest[epoca_es])</f>
        <v>Edad Antigua</v>
      </c>
      <c r="O274" t="str">
        <f>_xlfn.XLOOKUP(frasest[[#This Row],[autor_es]],autorest[autor_es],autorest[epoca_la])</f>
        <v>Antiquitas</v>
      </c>
    </row>
    <row r="275" spans="1:15">
      <c r="A275">
        <v>274</v>
      </c>
      <c r="B275" t="s">
        <v>789</v>
      </c>
      <c r="C275" t="s">
        <v>790</v>
      </c>
      <c r="D275" t="s">
        <v>790</v>
      </c>
      <c r="E275" t="s">
        <v>780</v>
      </c>
      <c r="F275" t="str">
        <f>_xlfn.XLOOKUP(frasest[[#This Row],[autor_es]],autorest[autor_es],autorest[autor_la])</f>
        <v>Basilius Magnus</v>
      </c>
      <c r="G275" t="str">
        <f>_xlfn.XLOOKUP(frasest[[#This Row],[autor_es]],autorest[autor_es],autorest[bio_es])</f>
        <v>Obispo de Cesarea, Doctor de la Iglesia y Padre Capadocio. Hermano de San Gregorio de Nisa, organizador del monaquismo oriental y defensor de la ortodoxia nicena.</v>
      </c>
      <c r="H275" t="str">
        <f>_xlfn.XLOOKUP(frasest[[#This Row],[autor_es]],autorest[autor_es],autorest[bio_la])</f>
        <v>Episcopus Caesariensis, Doctor Ecclesiae et Pater Cappadocius. Frater Sancti Gregorii Nysseni, monasticismi orientalis organizator et orthodoxiae Nicaenae defensor.</v>
      </c>
      <c r="I275" t="str">
        <f>_xlfn.XLOOKUP(frasest[[#This Row],[autor_es]],autorest[autor_es],autorest[codigo])</f>
        <v>la</v>
      </c>
      <c r="J275" t="str">
        <f>_xlfn.XLOOKUP(frasest[[#This Row],[autor_es]],autorest[autor_es],autorest[idioma_es])</f>
        <v>Latín</v>
      </c>
      <c r="K275" t="str">
        <f>_xlfn.XLOOKUP(frasest[[#This Row],[autor_es]],autorest[autor_es],autorest[idioma_la])</f>
        <v>Lingua Latina</v>
      </c>
      <c r="L275" t="str">
        <f>_xlfn.XLOOKUP(frasest[[#This Row],[autor_es]],autorest[autor_es],autorest[nacion_es])</f>
        <v>Roma</v>
      </c>
      <c r="M275" t="str">
        <f>_xlfn.XLOOKUP(frasest[[#This Row],[autor_es]],autorest[autor_es],autorest[nacion_la])</f>
        <v>Roma</v>
      </c>
      <c r="N275" t="str">
        <f>_xlfn.XLOOKUP(frasest[[#This Row],[autor_es]],autorest[autor_es],autorest[epoca_es])</f>
        <v>Edad Antigua</v>
      </c>
      <c r="O275" t="str">
        <f>_xlfn.XLOOKUP(frasest[[#This Row],[autor_es]],autorest[autor_es],autorest[epoca_la])</f>
        <v>Antiquitas</v>
      </c>
    </row>
    <row r="276" spans="1:15">
      <c r="A276">
        <v>275</v>
      </c>
      <c r="B276" t="s">
        <v>791</v>
      </c>
      <c r="C276" t="s">
        <v>792</v>
      </c>
      <c r="D276" t="s">
        <v>792</v>
      </c>
      <c r="E276" t="s">
        <v>780</v>
      </c>
      <c r="F276" t="str">
        <f>_xlfn.XLOOKUP(frasest[[#This Row],[autor_es]],autorest[autor_es],autorest[autor_la])</f>
        <v>Basilius Magnus</v>
      </c>
      <c r="G276" t="str">
        <f>_xlfn.XLOOKUP(frasest[[#This Row],[autor_es]],autorest[autor_es],autorest[bio_es])</f>
        <v>Obispo de Cesarea, Doctor de la Iglesia y Padre Capadocio. Hermano de San Gregorio de Nisa, organizador del monaquismo oriental y defensor de la ortodoxia nicena.</v>
      </c>
      <c r="H276" t="str">
        <f>_xlfn.XLOOKUP(frasest[[#This Row],[autor_es]],autorest[autor_es],autorest[bio_la])</f>
        <v>Episcopus Caesariensis, Doctor Ecclesiae et Pater Cappadocius. Frater Sancti Gregorii Nysseni, monasticismi orientalis organizator et orthodoxiae Nicaenae defensor.</v>
      </c>
      <c r="I276" t="str">
        <f>_xlfn.XLOOKUP(frasest[[#This Row],[autor_es]],autorest[autor_es],autorest[codigo])</f>
        <v>la</v>
      </c>
      <c r="J276" t="str">
        <f>_xlfn.XLOOKUP(frasest[[#This Row],[autor_es]],autorest[autor_es],autorest[idioma_es])</f>
        <v>Latín</v>
      </c>
      <c r="K276" t="str">
        <f>_xlfn.XLOOKUP(frasest[[#This Row],[autor_es]],autorest[autor_es],autorest[idioma_la])</f>
        <v>Lingua Latina</v>
      </c>
      <c r="L276" t="str">
        <f>_xlfn.XLOOKUP(frasest[[#This Row],[autor_es]],autorest[autor_es],autorest[nacion_es])</f>
        <v>Roma</v>
      </c>
      <c r="M276" t="str">
        <f>_xlfn.XLOOKUP(frasest[[#This Row],[autor_es]],autorest[autor_es],autorest[nacion_la])</f>
        <v>Roma</v>
      </c>
      <c r="N276" t="str">
        <f>_xlfn.XLOOKUP(frasest[[#This Row],[autor_es]],autorest[autor_es],autorest[epoca_es])</f>
        <v>Edad Antigua</v>
      </c>
      <c r="O276" t="str">
        <f>_xlfn.XLOOKUP(frasest[[#This Row],[autor_es]],autorest[autor_es],autorest[epoca_la])</f>
        <v>Antiquitas</v>
      </c>
    </row>
    <row r="277" spans="1:15">
      <c r="A277">
        <v>276</v>
      </c>
      <c r="B277" t="s">
        <v>793</v>
      </c>
      <c r="C277" t="s">
        <v>794</v>
      </c>
      <c r="D277" t="s">
        <v>794</v>
      </c>
      <c r="E277" t="s">
        <v>780</v>
      </c>
      <c r="F277" t="str">
        <f>_xlfn.XLOOKUP(frasest[[#This Row],[autor_es]],autorest[autor_es],autorest[autor_la])</f>
        <v>Basilius Magnus</v>
      </c>
      <c r="G277" t="str">
        <f>_xlfn.XLOOKUP(frasest[[#This Row],[autor_es]],autorest[autor_es],autorest[bio_es])</f>
        <v>Obispo de Cesarea, Doctor de la Iglesia y Padre Capadocio. Hermano de San Gregorio de Nisa, organizador del monaquismo oriental y defensor de la ortodoxia nicena.</v>
      </c>
      <c r="H277" t="str">
        <f>_xlfn.XLOOKUP(frasest[[#This Row],[autor_es]],autorest[autor_es],autorest[bio_la])</f>
        <v>Episcopus Caesariensis, Doctor Ecclesiae et Pater Cappadocius. Frater Sancti Gregorii Nysseni, monasticismi orientalis organizator et orthodoxiae Nicaenae defensor.</v>
      </c>
      <c r="I277" t="str">
        <f>_xlfn.XLOOKUP(frasest[[#This Row],[autor_es]],autorest[autor_es],autorest[codigo])</f>
        <v>la</v>
      </c>
      <c r="J277" t="str">
        <f>_xlfn.XLOOKUP(frasest[[#This Row],[autor_es]],autorest[autor_es],autorest[idioma_es])</f>
        <v>Latín</v>
      </c>
      <c r="K277" t="str">
        <f>_xlfn.XLOOKUP(frasest[[#This Row],[autor_es]],autorest[autor_es],autorest[idioma_la])</f>
        <v>Lingua Latina</v>
      </c>
      <c r="L277" t="str">
        <f>_xlfn.XLOOKUP(frasest[[#This Row],[autor_es]],autorest[autor_es],autorest[nacion_es])</f>
        <v>Roma</v>
      </c>
      <c r="M277" t="str">
        <f>_xlfn.XLOOKUP(frasest[[#This Row],[autor_es]],autorest[autor_es],autorest[nacion_la])</f>
        <v>Roma</v>
      </c>
      <c r="N277" t="str">
        <f>_xlfn.XLOOKUP(frasest[[#This Row],[autor_es]],autorest[autor_es],autorest[epoca_es])</f>
        <v>Edad Antigua</v>
      </c>
      <c r="O277" t="str">
        <f>_xlfn.XLOOKUP(frasest[[#This Row],[autor_es]],autorest[autor_es],autorest[epoca_la])</f>
        <v>Antiquitas</v>
      </c>
    </row>
    <row r="278" spans="1:15">
      <c r="A278">
        <v>277</v>
      </c>
      <c r="B278" t="s">
        <v>795</v>
      </c>
      <c r="C278" t="s">
        <v>796</v>
      </c>
      <c r="D278" t="s">
        <v>796</v>
      </c>
      <c r="E278" t="s">
        <v>780</v>
      </c>
      <c r="F278" t="str">
        <f>_xlfn.XLOOKUP(frasest[[#This Row],[autor_es]],autorest[autor_es],autorest[autor_la])</f>
        <v>Basilius Magnus</v>
      </c>
      <c r="G278" t="str">
        <f>_xlfn.XLOOKUP(frasest[[#This Row],[autor_es]],autorest[autor_es],autorest[bio_es])</f>
        <v>Obispo de Cesarea, Doctor de la Iglesia y Padre Capadocio. Hermano de San Gregorio de Nisa, organizador del monaquismo oriental y defensor de la ortodoxia nicena.</v>
      </c>
      <c r="H278" t="str">
        <f>_xlfn.XLOOKUP(frasest[[#This Row],[autor_es]],autorest[autor_es],autorest[bio_la])</f>
        <v>Episcopus Caesariensis, Doctor Ecclesiae et Pater Cappadocius. Frater Sancti Gregorii Nysseni, monasticismi orientalis organizator et orthodoxiae Nicaenae defensor.</v>
      </c>
      <c r="I278" t="str">
        <f>_xlfn.XLOOKUP(frasest[[#This Row],[autor_es]],autorest[autor_es],autorest[codigo])</f>
        <v>la</v>
      </c>
      <c r="J278" t="str">
        <f>_xlfn.XLOOKUP(frasest[[#This Row],[autor_es]],autorest[autor_es],autorest[idioma_es])</f>
        <v>Latín</v>
      </c>
      <c r="K278" t="str">
        <f>_xlfn.XLOOKUP(frasest[[#This Row],[autor_es]],autorest[autor_es],autorest[idioma_la])</f>
        <v>Lingua Latina</v>
      </c>
      <c r="L278" t="str">
        <f>_xlfn.XLOOKUP(frasest[[#This Row],[autor_es]],autorest[autor_es],autorest[nacion_es])</f>
        <v>Roma</v>
      </c>
      <c r="M278" t="str">
        <f>_xlfn.XLOOKUP(frasest[[#This Row],[autor_es]],autorest[autor_es],autorest[nacion_la])</f>
        <v>Roma</v>
      </c>
      <c r="N278" t="str">
        <f>_xlfn.XLOOKUP(frasest[[#This Row],[autor_es]],autorest[autor_es],autorest[epoca_es])</f>
        <v>Edad Antigua</v>
      </c>
      <c r="O278" t="str">
        <f>_xlfn.XLOOKUP(frasest[[#This Row],[autor_es]],autorest[autor_es],autorest[epoca_la])</f>
        <v>Antiquitas</v>
      </c>
    </row>
    <row r="279" spans="1:15">
      <c r="A279">
        <v>278</v>
      </c>
      <c r="B279" t="s">
        <v>797</v>
      </c>
      <c r="C279" t="s">
        <v>798</v>
      </c>
      <c r="D279" t="s">
        <v>798</v>
      </c>
      <c r="E279" t="s">
        <v>780</v>
      </c>
      <c r="F279" t="str">
        <f>_xlfn.XLOOKUP(frasest[[#This Row],[autor_es]],autorest[autor_es],autorest[autor_la])</f>
        <v>Basilius Magnus</v>
      </c>
      <c r="G279" t="str">
        <f>_xlfn.XLOOKUP(frasest[[#This Row],[autor_es]],autorest[autor_es],autorest[bio_es])</f>
        <v>Obispo de Cesarea, Doctor de la Iglesia y Padre Capadocio. Hermano de San Gregorio de Nisa, organizador del monaquismo oriental y defensor de la ortodoxia nicena.</v>
      </c>
      <c r="H279" t="str">
        <f>_xlfn.XLOOKUP(frasest[[#This Row],[autor_es]],autorest[autor_es],autorest[bio_la])</f>
        <v>Episcopus Caesariensis, Doctor Ecclesiae et Pater Cappadocius. Frater Sancti Gregorii Nysseni, monasticismi orientalis organizator et orthodoxiae Nicaenae defensor.</v>
      </c>
      <c r="I279" t="str">
        <f>_xlfn.XLOOKUP(frasest[[#This Row],[autor_es]],autorest[autor_es],autorest[codigo])</f>
        <v>la</v>
      </c>
      <c r="J279" t="str">
        <f>_xlfn.XLOOKUP(frasest[[#This Row],[autor_es]],autorest[autor_es],autorest[idioma_es])</f>
        <v>Latín</v>
      </c>
      <c r="K279" t="str">
        <f>_xlfn.XLOOKUP(frasest[[#This Row],[autor_es]],autorest[autor_es],autorest[idioma_la])</f>
        <v>Lingua Latina</v>
      </c>
      <c r="L279" t="str">
        <f>_xlfn.XLOOKUP(frasest[[#This Row],[autor_es]],autorest[autor_es],autorest[nacion_es])</f>
        <v>Roma</v>
      </c>
      <c r="M279" t="str">
        <f>_xlfn.XLOOKUP(frasest[[#This Row],[autor_es]],autorest[autor_es],autorest[nacion_la])</f>
        <v>Roma</v>
      </c>
      <c r="N279" t="str">
        <f>_xlfn.XLOOKUP(frasest[[#This Row],[autor_es]],autorest[autor_es],autorest[epoca_es])</f>
        <v>Edad Antigua</v>
      </c>
      <c r="O279" t="str">
        <f>_xlfn.XLOOKUP(frasest[[#This Row],[autor_es]],autorest[autor_es],autorest[epoca_la])</f>
        <v>Antiquitas</v>
      </c>
    </row>
    <row r="280" spans="1:15">
      <c r="A280">
        <v>279</v>
      </c>
      <c r="B280" t="s">
        <v>799</v>
      </c>
      <c r="C280" t="s">
        <v>800</v>
      </c>
      <c r="D280" t="s">
        <v>801</v>
      </c>
      <c r="E280" t="s">
        <v>802</v>
      </c>
      <c r="F280" t="str">
        <f>_xlfn.XLOOKUP(frasest[[#This Row],[autor_es]],autorest[autor_es],autorest[autor_la])</f>
        <v>Gregorius Nazianzenus</v>
      </c>
      <c r="G280" t="str">
        <f>_xlfn.XLOOKUP(frasest[[#This Row],[autor_es]],autorest[autor_es],autorest[bio_es])</f>
        <v>Arzobispo de Constantinopla, Doctor de la Iglesia y Padre Capadocio. Llamado "el Teólogo", gran orador y defensor de la Trinidad. Uno de los tres Padres Capadocios.</v>
      </c>
      <c r="H280" t="str">
        <f>_xlfn.XLOOKUP(frasest[[#This Row],[autor_es]],autorest[autor_es],autorest[bio_la])</f>
        <v>Archiepiscopus Constantinopolitanus, Doctor Ecclesiae et Pater Cappadocius. "Theologus" vocatus, orator magnus et defensor Trinitatis. Unus ex tribus Patribus Cappadociis.</v>
      </c>
      <c r="I280" t="str">
        <f>_xlfn.XLOOKUP(frasest[[#This Row],[autor_es]],autorest[autor_es],autorest[codigo])</f>
        <v>la</v>
      </c>
      <c r="J280" t="str">
        <f>_xlfn.XLOOKUP(frasest[[#This Row],[autor_es]],autorest[autor_es],autorest[idioma_es])</f>
        <v>Latín</v>
      </c>
      <c r="K280" t="str">
        <f>_xlfn.XLOOKUP(frasest[[#This Row],[autor_es]],autorest[autor_es],autorest[idioma_la])</f>
        <v>Lingua Latina</v>
      </c>
      <c r="L280" t="str">
        <f>_xlfn.XLOOKUP(frasest[[#This Row],[autor_es]],autorest[autor_es],autorest[nacion_es])</f>
        <v>Roma</v>
      </c>
      <c r="M280" t="str">
        <f>_xlfn.XLOOKUP(frasest[[#This Row],[autor_es]],autorest[autor_es],autorest[nacion_la])</f>
        <v>Roma</v>
      </c>
      <c r="N280" t="str">
        <f>_xlfn.XLOOKUP(frasest[[#This Row],[autor_es]],autorest[autor_es],autorest[epoca_es])</f>
        <v>Edad Antigua</v>
      </c>
      <c r="O280" t="str">
        <f>_xlfn.XLOOKUP(frasest[[#This Row],[autor_es]],autorest[autor_es],autorest[epoca_la])</f>
        <v>Antiquitas</v>
      </c>
    </row>
    <row r="281" spans="1:15">
      <c r="A281">
        <v>280</v>
      </c>
      <c r="B281" t="s">
        <v>803</v>
      </c>
      <c r="C281" t="s">
        <v>804</v>
      </c>
      <c r="D281" t="s">
        <v>804</v>
      </c>
      <c r="E281" t="s">
        <v>802</v>
      </c>
      <c r="F281" t="str">
        <f>_xlfn.XLOOKUP(frasest[[#This Row],[autor_es]],autorest[autor_es],autorest[autor_la])</f>
        <v>Gregorius Nazianzenus</v>
      </c>
      <c r="G281" t="str">
        <f>_xlfn.XLOOKUP(frasest[[#This Row],[autor_es]],autorest[autor_es],autorest[bio_es])</f>
        <v>Arzobispo de Constantinopla, Doctor de la Iglesia y Padre Capadocio. Llamado "el Teólogo", gran orador y defensor de la Trinidad. Uno de los tres Padres Capadocios.</v>
      </c>
      <c r="H281" t="str">
        <f>_xlfn.XLOOKUP(frasest[[#This Row],[autor_es]],autorest[autor_es],autorest[bio_la])</f>
        <v>Archiepiscopus Constantinopolitanus, Doctor Ecclesiae et Pater Cappadocius. "Theologus" vocatus, orator magnus et defensor Trinitatis. Unus ex tribus Patribus Cappadociis.</v>
      </c>
      <c r="I281" t="str">
        <f>_xlfn.XLOOKUP(frasest[[#This Row],[autor_es]],autorest[autor_es],autorest[codigo])</f>
        <v>la</v>
      </c>
      <c r="J281" t="str">
        <f>_xlfn.XLOOKUP(frasest[[#This Row],[autor_es]],autorest[autor_es],autorest[idioma_es])</f>
        <v>Latín</v>
      </c>
      <c r="K281" t="str">
        <f>_xlfn.XLOOKUP(frasest[[#This Row],[autor_es]],autorest[autor_es],autorest[idioma_la])</f>
        <v>Lingua Latina</v>
      </c>
      <c r="L281" t="str">
        <f>_xlfn.XLOOKUP(frasest[[#This Row],[autor_es]],autorest[autor_es],autorest[nacion_es])</f>
        <v>Roma</v>
      </c>
      <c r="M281" t="str">
        <f>_xlfn.XLOOKUP(frasest[[#This Row],[autor_es]],autorest[autor_es],autorest[nacion_la])</f>
        <v>Roma</v>
      </c>
      <c r="N281" t="str">
        <f>_xlfn.XLOOKUP(frasest[[#This Row],[autor_es]],autorest[autor_es],autorest[epoca_es])</f>
        <v>Edad Antigua</v>
      </c>
      <c r="O281" t="str">
        <f>_xlfn.XLOOKUP(frasest[[#This Row],[autor_es]],autorest[autor_es],autorest[epoca_la])</f>
        <v>Antiquitas</v>
      </c>
    </row>
    <row r="282" spans="1:15">
      <c r="A282">
        <v>281</v>
      </c>
      <c r="B282" t="s">
        <v>805</v>
      </c>
      <c r="C282" t="s">
        <v>806</v>
      </c>
      <c r="D282" t="s">
        <v>806</v>
      </c>
      <c r="E282" t="s">
        <v>802</v>
      </c>
      <c r="F282" t="str">
        <f>_xlfn.XLOOKUP(frasest[[#This Row],[autor_es]],autorest[autor_es],autorest[autor_la])</f>
        <v>Gregorius Nazianzenus</v>
      </c>
      <c r="G282" t="str">
        <f>_xlfn.XLOOKUP(frasest[[#This Row],[autor_es]],autorest[autor_es],autorest[bio_es])</f>
        <v>Arzobispo de Constantinopla, Doctor de la Iglesia y Padre Capadocio. Llamado "el Teólogo", gran orador y defensor de la Trinidad. Uno de los tres Padres Capadocios.</v>
      </c>
      <c r="H282" t="str">
        <f>_xlfn.XLOOKUP(frasest[[#This Row],[autor_es]],autorest[autor_es],autorest[bio_la])</f>
        <v>Archiepiscopus Constantinopolitanus, Doctor Ecclesiae et Pater Cappadocius. "Theologus" vocatus, orator magnus et defensor Trinitatis. Unus ex tribus Patribus Cappadociis.</v>
      </c>
      <c r="I282" t="str">
        <f>_xlfn.XLOOKUP(frasest[[#This Row],[autor_es]],autorest[autor_es],autorest[codigo])</f>
        <v>la</v>
      </c>
      <c r="J282" t="str">
        <f>_xlfn.XLOOKUP(frasest[[#This Row],[autor_es]],autorest[autor_es],autorest[idioma_es])</f>
        <v>Latín</v>
      </c>
      <c r="K282" t="str">
        <f>_xlfn.XLOOKUP(frasest[[#This Row],[autor_es]],autorest[autor_es],autorest[idioma_la])</f>
        <v>Lingua Latina</v>
      </c>
      <c r="L282" t="str">
        <f>_xlfn.XLOOKUP(frasest[[#This Row],[autor_es]],autorest[autor_es],autorest[nacion_es])</f>
        <v>Roma</v>
      </c>
      <c r="M282" t="str">
        <f>_xlfn.XLOOKUP(frasest[[#This Row],[autor_es]],autorest[autor_es],autorest[nacion_la])</f>
        <v>Roma</v>
      </c>
      <c r="N282" t="str">
        <f>_xlfn.XLOOKUP(frasest[[#This Row],[autor_es]],autorest[autor_es],autorest[epoca_es])</f>
        <v>Edad Antigua</v>
      </c>
      <c r="O282" t="str">
        <f>_xlfn.XLOOKUP(frasest[[#This Row],[autor_es]],autorest[autor_es],autorest[epoca_la])</f>
        <v>Antiquitas</v>
      </c>
    </row>
    <row r="283" spans="1:15">
      <c r="A283">
        <v>282</v>
      </c>
      <c r="B283" t="s">
        <v>807</v>
      </c>
      <c r="C283" t="s">
        <v>808</v>
      </c>
      <c r="D283" t="s">
        <v>808</v>
      </c>
      <c r="E283" t="s">
        <v>802</v>
      </c>
      <c r="F283" t="str">
        <f>_xlfn.XLOOKUP(frasest[[#This Row],[autor_es]],autorest[autor_es],autorest[autor_la])</f>
        <v>Gregorius Nazianzenus</v>
      </c>
      <c r="G283" t="str">
        <f>_xlfn.XLOOKUP(frasest[[#This Row],[autor_es]],autorest[autor_es],autorest[bio_es])</f>
        <v>Arzobispo de Constantinopla, Doctor de la Iglesia y Padre Capadocio. Llamado "el Teólogo", gran orador y defensor de la Trinidad. Uno de los tres Padres Capadocios.</v>
      </c>
      <c r="H283" t="str">
        <f>_xlfn.XLOOKUP(frasest[[#This Row],[autor_es]],autorest[autor_es],autorest[bio_la])</f>
        <v>Archiepiscopus Constantinopolitanus, Doctor Ecclesiae et Pater Cappadocius. "Theologus" vocatus, orator magnus et defensor Trinitatis. Unus ex tribus Patribus Cappadociis.</v>
      </c>
      <c r="I283" t="str">
        <f>_xlfn.XLOOKUP(frasest[[#This Row],[autor_es]],autorest[autor_es],autorest[codigo])</f>
        <v>la</v>
      </c>
      <c r="J283" t="str">
        <f>_xlfn.XLOOKUP(frasest[[#This Row],[autor_es]],autorest[autor_es],autorest[idioma_es])</f>
        <v>Latín</v>
      </c>
      <c r="K283" t="str">
        <f>_xlfn.XLOOKUP(frasest[[#This Row],[autor_es]],autorest[autor_es],autorest[idioma_la])</f>
        <v>Lingua Latina</v>
      </c>
      <c r="L283" t="str">
        <f>_xlfn.XLOOKUP(frasest[[#This Row],[autor_es]],autorest[autor_es],autorest[nacion_es])</f>
        <v>Roma</v>
      </c>
      <c r="M283" t="str">
        <f>_xlfn.XLOOKUP(frasest[[#This Row],[autor_es]],autorest[autor_es],autorest[nacion_la])</f>
        <v>Roma</v>
      </c>
      <c r="N283" t="str">
        <f>_xlfn.XLOOKUP(frasest[[#This Row],[autor_es]],autorest[autor_es],autorest[epoca_es])</f>
        <v>Edad Antigua</v>
      </c>
      <c r="O283" t="str">
        <f>_xlfn.XLOOKUP(frasest[[#This Row],[autor_es]],autorest[autor_es],autorest[epoca_la])</f>
        <v>Antiquitas</v>
      </c>
    </row>
    <row r="284" spans="1:15">
      <c r="A284">
        <v>283</v>
      </c>
      <c r="B284" t="s">
        <v>809</v>
      </c>
      <c r="C284" t="s">
        <v>810</v>
      </c>
      <c r="D284" t="s">
        <v>810</v>
      </c>
      <c r="E284" t="s">
        <v>802</v>
      </c>
      <c r="F284" t="str">
        <f>_xlfn.XLOOKUP(frasest[[#This Row],[autor_es]],autorest[autor_es],autorest[autor_la])</f>
        <v>Gregorius Nazianzenus</v>
      </c>
      <c r="G284" t="str">
        <f>_xlfn.XLOOKUP(frasest[[#This Row],[autor_es]],autorest[autor_es],autorest[bio_es])</f>
        <v>Arzobispo de Constantinopla, Doctor de la Iglesia y Padre Capadocio. Llamado "el Teólogo", gran orador y defensor de la Trinidad. Uno de los tres Padres Capadocios.</v>
      </c>
      <c r="H284" t="str">
        <f>_xlfn.XLOOKUP(frasest[[#This Row],[autor_es]],autorest[autor_es],autorest[bio_la])</f>
        <v>Archiepiscopus Constantinopolitanus, Doctor Ecclesiae et Pater Cappadocius. "Theologus" vocatus, orator magnus et defensor Trinitatis. Unus ex tribus Patribus Cappadociis.</v>
      </c>
      <c r="I284" t="str">
        <f>_xlfn.XLOOKUP(frasest[[#This Row],[autor_es]],autorest[autor_es],autorest[codigo])</f>
        <v>la</v>
      </c>
      <c r="J284" t="str">
        <f>_xlfn.XLOOKUP(frasest[[#This Row],[autor_es]],autorest[autor_es],autorest[idioma_es])</f>
        <v>Latín</v>
      </c>
      <c r="K284" t="str">
        <f>_xlfn.XLOOKUP(frasest[[#This Row],[autor_es]],autorest[autor_es],autorest[idioma_la])</f>
        <v>Lingua Latina</v>
      </c>
      <c r="L284" t="str">
        <f>_xlfn.XLOOKUP(frasest[[#This Row],[autor_es]],autorest[autor_es],autorest[nacion_es])</f>
        <v>Roma</v>
      </c>
      <c r="M284" t="str">
        <f>_xlfn.XLOOKUP(frasest[[#This Row],[autor_es]],autorest[autor_es],autorest[nacion_la])</f>
        <v>Roma</v>
      </c>
      <c r="N284" t="str">
        <f>_xlfn.XLOOKUP(frasest[[#This Row],[autor_es]],autorest[autor_es],autorest[epoca_es])</f>
        <v>Edad Antigua</v>
      </c>
      <c r="O284" t="str">
        <f>_xlfn.XLOOKUP(frasest[[#This Row],[autor_es]],autorest[autor_es],autorest[epoca_la])</f>
        <v>Antiquitas</v>
      </c>
    </row>
    <row r="285" spans="1:15">
      <c r="A285">
        <v>284</v>
      </c>
      <c r="B285" t="s">
        <v>811</v>
      </c>
      <c r="C285" t="s">
        <v>812</v>
      </c>
      <c r="D285" t="s">
        <v>812</v>
      </c>
      <c r="E285" t="s">
        <v>802</v>
      </c>
      <c r="F285" t="str">
        <f>_xlfn.XLOOKUP(frasest[[#This Row],[autor_es]],autorest[autor_es],autorest[autor_la])</f>
        <v>Gregorius Nazianzenus</v>
      </c>
      <c r="G285" t="str">
        <f>_xlfn.XLOOKUP(frasest[[#This Row],[autor_es]],autorest[autor_es],autorest[bio_es])</f>
        <v>Arzobispo de Constantinopla, Doctor de la Iglesia y Padre Capadocio. Llamado "el Teólogo", gran orador y defensor de la Trinidad. Uno de los tres Padres Capadocios.</v>
      </c>
      <c r="H285" t="str">
        <f>_xlfn.XLOOKUP(frasest[[#This Row],[autor_es]],autorest[autor_es],autorest[bio_la])</f>
        <v>Archiepiscopus Constantinopolitanus, Doctor Ecclesiae et Pater Cappadocius. "Theologus" vocatus, orator magnus et defensor Trinitatis. Unus ex tribus Patribus Cappadociis.</v>
      </c>
      <c r="I285" t="str">
        <f>_xlfn.XLOOKUP(frasest[[#This Row],[autor_es]],autorest[autor_es],autorest[codigo])</f>
        <v>la</v>
      </c>
      <c r="J285" t="str">
        <f>_xlfn.XLOOKUP(frasest[[#This Row],[autor_es]],autorest[autor_es],autorest[idioma_es])</f>
        <v>Latín</v>
      </c>
      <c r="K285" t="str">
        <f>_xlfn.XLOOKUP(frasest[[#This Row],[autor_es]],autorest[autor_es],autorest[idioma_la])</f>
        <v>Lingua Latina</v>
      </c>
      <c r="L285" t="str">
        <f>_xlfn.XLOOKUP(frasest[[#This Row],[autor_es]],autorest[autor_es],autorest[nacion_es])</f>
        <v>Roma</v>
      </c>
      <c r="M285" t="str">
        <f>_xlfn.XLOOKUP(frasest[[#This Row],[autor_es]],autorest[autor_es],autorest[nacion_la])</f>
        <v>Roma</v>
      </c>
      <c r="N285" t="str">
        <f>_xlfn.XLOOKUP(frasest[[#This Row],[autor_es]],autorest[autor_es],autorest[epoca_es])</f>
        <v>Edad Antigua</v>
      </c>
      <c r="O285" t="str">
        <f>_xlfn.XLOOKUP(frasest[[#This Row],[autor_es]],autorest[autor_es],autorest[epoca_la])</f>
        <v>Antiquitas</v>
      </c>
    </row>
    <row r="286" spans="1:15">
      <c r="A286">
        <v>285</v>
      </c>
      <c r="B286" t="s">
        <v>813</v>
      </c>
      <c r="C286" t="s">
        <v>814</v>
      </c>
      <c r="D286" t="s">
        <v>814</v>
      </c>
      <c r="E286" t="s">
        <v>802</v>
      </c>
      <c r="F286" t="str">
        <f>_xlfn.XLOOKUP(frasest[[#This Row],[autor_es]],autorest[autor_es],autorest[autor_la])</f>
        <v>Gregorius Nazianzenus</v>
      </c>
      <c r="G286" t="str">
        <f>_xlfn.XLOOKUP(frasest[[#This Row],[autor_es]],autorest[autor_es],autorest[bio_es])</f>
        <v>Arzobispo de Constantinopla, Doctor de la Iglesia y Padre Capadocio. Llamado "el Teólogo", gran orador y defensor de la Trinidad. Uno de los tres Padres Capadocios.</v>
      </c>
      <c r="H286" t="str">
        <f>_xlfn.XLOOKUP(frasest[[#This Row],[autor_es]],autorest[autor_es],autorest[bio_la])</f>
        <v>Archiepiscopus Constantinopolitanus, Doctor Ecclesiae et Pater Cappadocius. "Theologus" vocatus, orator magnus et defensor Trinitatis. Unus ex tribus Patribus Cappadociis.</v>
      </c>
      <c r="I286" t="str">
        <f>_xlfn.XLOOKUP(frasest[[#This Row],[autor_es]],autorest[autor_es],autorest[codigo])</f>
        <v>la</v>
      </c>
      <c r="J286" t="str">
        <f>_xlfn.XLOOKUP(frasest[[#This Row],[autor_es]],autorest[autor_es],autorest[idioma_es])</f>
        <v>Latín</v>
      </c>
      <c r="K286" t="str">
        <f>_xlfn.XLOOKUP(frasest[[#This Row],[autor_es]],autorest[autor_es],autorest[idioma_la])</f>
        <v>Lingua Latina</v>
      </c>
      <c r="L286" t="str">
        <f>_xlfn.XLOOKUP(frasest[[#This Row],[autor_es]],autorest[autor_es],autorest[nacion_es])</f>
        <v>Roma</v>
      </c>
      <c r="M286" t="str">
        <f>_xlfn.XLOOKUP(frasest[[#This Row],[autor_es]],autorest[autor_es],autorest[nacion_la])</f>
        <v>Roma</v>
      </c>
      <c r="N286" t="str">
        <f>_xlfn.XLOOKUP(frasest[[#This Row],[autor_es]],autorest[autor_es],autorest[epoca_es])</f>
        <v>Edad Antigua</v>
      </c>
      <c r="O286" t="str">
        <f>_xlfn.XLOOKUP(frasest[[#This Row],[autor_es]],autorest[autor_es],autorest[epoca_la])</f>
        <v>Antiquitas</v>
      </c>
    </row>
    <row r="287" spans="1:15">
      <c r="A287">
        <v>286</v>
      </c>
      <c r="B287" t="s">
        <v>815</v>
      </c>
      <c r="C287" t="s">
        <v>816</v>
      </c>
      <c r="D287" t="s">
        <v>816</v>
      </c>
      <c r="E287" t="s">
        <v>802</v>
      </c>
      <c r="F287" t="str">
        <f>_xlfn.XLOOKUP(frasest[[#This Row],[autor_es]],autorest[autor_es],autorest[autor_la])</f>
        <v>Gregorius Nazianzenus</v>
      </c>
      <c r="G287" t="str">
        <f>_xlfn.XLOOKUP(frasest[[#This Row],[autor_es]],autorest[autor_es],autorest[bio_es])</f>
        <v>Arzobispo de Constantinopla, Doctor de la Iglesia y Padre Capadocio. Llamado "el Teólogo", gran orador y defensor de la Trinidad. Uno de los tres Padres Capadocios.</v>
      </c>
      <c r="H287" t="str">
        <f>_xlfn.XLOOKUP(frasest[[#This Row],[autor_es]],autorest[autor_es],autorest[bio_la])</f>
        <v>Archiepiscopus Constantinopolitanus, Doctor Ecclesiae et Pater Cappadocius. "Theologus" vocatus, orator magnus et defensor Trinitatis. Unus ex tribus Patribus Cappadociis.</v>
      </c>
      <c r="I287" t="str">
        <f>_xlfn.XLOOKUP(frasest[[#This Row],[autor_es]],autorest[autor_es],autorest[codigo])</f>
        <v>la</v>
      </c>
      <c r="J287" t="str">
        <f>_xlfn.XLOOKUP(frasest[[#This Row],[autor_es]],autorest[autor_es],autorest[idioma_es])</f>
        <v>Latín</v>
      </c>
      <c r="K287" t="str">
        <f>_xlfn.XLOOKUP(frasest[[#This Row],[autor_es]],autorest[autor_es],autorest[idioma_la])</f>
        <v>Lingua Latina</v>
      </c>
      <c r="L287" t="str">
        <f>_xlfn.XLOOKUP(frasest[[#This Row],[autor_es]],autorest[autor_es],autorest[nacion_es])</f>
        <v>Roma</v>
      </c>
      <c r="M287" t="str">
        <f>_xlfn.XLOOKUP(frasest[[#This Row],[autor_es]],autorest[autor_es],autorest[nacion_la])</f>
        <v>Roma</v>
      </c>
      <c r="N287" t="str">
        <f>_xlfn.XLOOKUP(frasest[[#This Row],[autor_es]],autorest[autor_es],autorest[epoca_es])</f>
        <v>Edad Antigua</v>
      </c>
      <c r="O287" t="str">
        <f>_xlfn.XLOOKUP(frasest[[#This Row],[autor_es]],autorest[autor_es],autorest[epoca_la])</f>
        <v>Antiquitas</v>
      </c>
    </row>
    <row r="288" spans="1:15">
      <c r="A288">
        <v>287</v>
      </c>
      <c r="B288" t="s">
        <v>817</v>
      </c>
      <c r="C288" t="s">
        <v>818</v>
      </c>
      <c r="D288" t="s">
        <v>818</v>
      </c>
      <c r="E288" t="s">
        <v>802</v>
      </c>
      <c r="F288" t="str">
        <f>_xlfn.XLOOKUP(frasest[[#This Row],[autor_es]],autorest[autor_es],autorest[autor_la])</f>
        <v>Gregorius Nazianzenus</v>
      </c>
      <c r="G288" t="str">
        <f>_xlfn.XLOOKUP(frasest[[#This Row],[autor_es]],autorest[autor_es],autorest[bio_es])</f>
        <v>Arzobispo de Constantinopla, Doctor de la Iglesia y Padre Capadocio. Llamado "el Teólogo", gran orador y defensor de la Trinidad. Uno de los tres Padres Capadocios.</v>
      </c>
      <c r="H288" t="str">
        <f>_xlfn.XLOOKUP(frasest[[#This Row],[autor_es]],autorest[autor_es],autorest[bio_la])</f>
        <v>Archiepiscopus Constantinopolitanus, Doctor Ecclesiae et Pater Cappadocius. "Theologus" vocatus, orator magnus et defensor Trinitatis. Unus ex tribus Patribus Cappadociis.</v>
      </c>
      <c r="I288" t="str">
        <f>_xlfn.XLOOKUP(frasest[[#This Row],[autor_es]],autorest[autor_es],autorest[codigo])</f>
        <v>la</v>
      </c>
      <c r="J288" t="str">
        <f>_xlfn.XLOOKUP(frasest[[#This Row],[autor_es]],autorest[autor_es],autorest[idioma_es])</f>
        <v>Latín</v>
      </c>
      <c r="K288" t="str">
        <f>_xlfn.XLOOKUP(frasest[[#This Row],[autor_es]],autorest[autor_es],autorest[idioma_la])</f>
        <v>Lingua Latina</v>
      </c>
      <c r="L288" t="str">
        <f>_xlfn.XLOOKUP(frasest[[#This Row],[autor_es]],autorest[autor_es],autorest[nacion_es])</f>
        <v>Roma</v>
      </c>
      <c r="M288" t="str">
        <f>_xlfn.XLOOKUP(frasest[[#This Row],[autor_es]],autorest[autor_es],autorest[nacion_la])</f>
        <v>Roma</v>
      </c>
      <c r="N288" t="str">
        <f>_xlfn.XLOOKUP(frasest[[#This Row],[autor_es]],autorest[autor_es],autorest[epoca_es])</f>
        <v>Edad Antigua</v>
      </c>
      <c r="O288" t="str">
        <f>_xlfn.XLOOKUP(frasest[[#This Row],[autor_es]],autorest[autor_es],autorest[epoca_la])</f>
        <v>Antiquitas</v>
      </c>
    </row>
    <row r="289" spans="1:15">
      <c r="A289">
        <v>288</v>
      </c>
      <c r="B289" t="s">
        <v>819</v>
      </c>
      <c r="C289" t="s">
        <v>820</v>
      </c>
      <c r="D289" t="s">
        <v>820</v>
      </c>
      <c r="E289" t="s">
        <v>802</v>
      </c>
      <c r="F289" t="str">
        <f>_xlfn.XLOOKUP(frasest[[#This Row],[autor_es]],autorest[autor_es],autorest[autor_la])</f>
        <v>Gregorius Nazianzenus</v>
      </c>
      <c r="G289" t="str">
        <f>_xlfn.XLOOKUP(frasest[[#This Row],[autor_es]],autorest[autor_es],autorest[bio_es])</f>
        <v>Arzobispo de Constantinopla, Doctor de la Iglesia y Padre Capadocio. Llamado "el Teólogo", gran orador y defensor de la Trinidad. Uno de los tres Padres Capadocios.</v>
      </c>
      <c r="H289" t="str">
        <f>_xlfn.XLOOKUP(frasest[[#This Row],[autor_es]],autorest[autor_es],autorest[bio_la])</f>
        <v>Archiepiscopus Constantinopolitanus, Doctor Ecclesiae et Pater Cappadocius. "Theologus" vocatus, orator magnus et defensor Trinitatis. Unus ex tribus Patribus Cappadociis.</v>
      </c>
      <c r="I289" t="str">
        <f>_xlfn.XLOOKUP(frasest[[#This Row],[autor_es]],autorest[autor_es],autorest[codigo])</f>
        <v>la</v>
      </c>
      <c r="J289" t="str">
        <f>_xlfn.XLOOKUP(frasest[[#This Row],[autor_es]],autorest[autor_es],autorest[idioma_es])</f>
        <v>Latín</v>
      </c>
      <c r="K289" t="str">
        <f>_xlfn.XLOOKUP(frasest[[#This Row],[autor_es]],autorest[autor_es],autorest[idioma_la])</f>
        <v>Lingua Latina</v>
      </c>
      <c r="L289" t="str">
        <f>_xlfn.XLOOKUP(frasest[[#This Row],[autor_es]],autorest[autor_es],autorest[nacion_es])</f>
        <v>Roma</v>
      </c>
      <c r="M289" t="str">
        <f>_xlfn.XLOOKUP(frasest[[#This Row],[autor_es]],autorest[autor_es],autorest[nacion_la])</f>
        <v>Roma</v>
      </c>
      <c r="N289" t="str">
        <f>_xlfn.XLOOKUP(frasest[[#This Row],[autor_es]],autorest[autor_es],autorest[epoca_es])</f>
        <v>Edad Antigua</v>
      </c>
      <c r="O289" t="str">
        <f>_xlfn.XLOOKUP(frasest[[#This Row],[autor_es]],autorest[autor_es],autorest[epoca_la])</f>
        <v>Antiquitas</v>
      </c>
    </row>
    <row r="290" spans="1:15">
      <c r="A290">
        <v>289</v>
      </c>
      <c r="B290" t="s">
        <v>821</v>
      </c>
      <c r="C290" t="s">
        <v>822</v>
      </c>
      <c r="D290" t="s">
        <v>822</v>
      </c>
      <c r="E290" t="s">
        <v>823</v>
      </c>
      <c r="F290" t="str">
        <f>_xlfn.XLOOKUP(frasest[[#This Row],[autor_es]],autorest[autor_es],autorest[autor_la])</f>
        <v>Gregorius Nyssenus</v>
      </c>
      <c r="G290" t="str">
        <f>_xlfn.XLOOKUP(frasest[[#This Row],[autor_es]],autorest[autor_es],autorest[bio_es])</f>
        <v>Obispo de Nisa, Doctor de la Iglesia y Padre Capadocio. Hermano de San Basilio Magno, teólogo místico y filósofo cristiano. Uno de los tres Padres Capadocios.</v>
      </c>
      <c r="H290" t="str">
        <f>_xlfn.XLOOKUP(frasest[[#This Row],[autor_es]],autorest[autor_es],autorest[bio_la])</f>
        <v>Episcopus Nyssenus, Doctor Ecclesiae et Pater Cappadocius. Frater Sancti Basilii Magni, theologus mysticus et philosophus Christianus. Unus ex tribus Patribus Cappadociis.</v>
      </c>
      <c r="I290" t="str">
        <f>_xlfn.XLOOKUP(frasest[[#This Row],[autor_es]],autorest[autor_es],autorest[codigo])</f>
        <v>la</v>
      </c>
      <c r="J290" t="str">
        <f>_xlfn.XLOOKUP(frasest[[#This Row],[autor_es]],autorest[autor_es],autorest[idioma_es])</f>
        <v>Latín</v>
      </c>
      <c r="K290" t="str">
        <f>_xlfn.XLOOKUP(frasest[[#This Row],[autor_es]],autorest[autor_es],autorest[idioma_la])</f>
        <v>Lingua Latina</v>
      </c>
      <c r="L290" t="str">
        <f>_xlfn.XLOOKUP(frasest[[#This Row],[autor_es]],autorest[autor_es],autorest[nacion_es])</f>
        <v>Roma</v>
      </c>
      <c r="M290" t="str">
        <f>_xlfn.XLOOKUP(frasest[[#This Row],[autor_es]],autorest[autor_es],autorest[nacion_la])</f>
        <v>Roma</v>
      </c>
      <c r="N290" t="str">
        <f>_xlfn.XLOOKUP(frasest[[#This Row],[autor_es]],autorest[autor_es],autorest[epoca_es])</f>
        <v>Edad Antigua</v>
      </c>
      <c r="O290" t="str">
        <f>_xlfn.XLOOKUP(frasest[[#This Row],[autor_es]],autorest[autor_es],autorest[epoca_la])</f>
        <v>Antiquitas</v>
      </c>
    </row>
    <row r="291" spans="1:15">
      <c r="A291">
        <v>290</v>
      </c>
      <c r="B291" t="s">
        <v>824</v>
      </c>
      <c r="C291" t="s">
        <v>825</v>
      </c>
      <c r="D291" t="s">
        <v>826</v>
      </c>
      <c r="E291" t="s">
        <v>823</v>
      </c>
      <c r="F291" t="str">
        <f>_xlfn.XLOOKUP(frasest[[#This Row],[autor_es]],autorest[autor_es],autorest[autor_la])</f>
        <v>Gregorius Nyssenus</v>
      </c>
      <c r="G291" t="str">
        <f>_xlfn.XLOOKUP(frasest[[#This Row],[autor_es]],autorest[autor_es],autorest[bio_es])</f>
        <v>Obispo de Nisa, Doctor de la Iglesia y Padre Capadocio. Hermano de San Basilio Magno, teólogo místico y filósofo cristiano. Uno de los tres Padres Capadocios.</v>
      </c>
      <c r="H291" t="str">
        <f>_xlfn.XLOOKUP(frasest[[#This Row],[autor_es]],autorest[autor_es],autorest[bio_la])</f>
        <v>Episcopus Nyssenus, Doctor Ecclesiae et Pater Cappadocius. Frater Sancti Basilii Magni, theologus mysticus et philosophus Christianus. Unus ex tribus Patribus Cappadociis.</v>
      </c>
      <c r="I291" t="str">
        <f>_xlfn.XLOOKUP(frasest[[#This Row],[autor_es]],autorest[autor_es],autorest[codigo])</f>
        <v>la</v>
      </c>
      <c r="J291" t="str">
        <f>_xlfn.XLOOKUP(frasest[[#This Row],[autor_es]],autorest[autor_es],autorest[idioma_es])</f>
        <v>Latín</v>
      </c>
      <c r="K291" t="str">
        <f>_xlfn.XLOOKUP(frasest[[#This Row],[autor_es]],autorest[autor_es],autorest[idioma_la])</f>
        <v>Lingua Latina</v>
      </c>
      <c r="L291" t="str">
        <f>_xlfn.XLOOKUP(frasest[[#This Row],[autor_es]],autorest[autor_es],autorest[nacion_es])</f>
        <v>Roma</v>
      </c>
      <c r="M291" t="str">
        <f>_xlfn.XLOOKUP(frasest[[#This Row],[autor_es]],autorest[autor_es],autorest[nacion_la])</f>
        <v>Roma</v>
      </c>
      <c r="N291" t="str">
        <f>_xlfn.XLOOKUP(frasest[[#This Row],[autor_es]],autorest[autor_es],autorest[epoca_es])</f>
        <v>Edad Antigua</v>
      </c>
      <c r="O291" t="str">
        <f>_xlfn.XLOOKUP(frasest[[#This Row],[autor_es]],autorest[autor_es],autorest[epoca_la])</f>
        <v>Antiquitas</v>
      </c>
    </row>
    <row r="292" spans="1:15">
      <c r="A292">
        <v>291</v>
      </c>
      <c r="B292" t="s">
        <v>827</v>
      </c>
      <c r="C292" t="s">
        <v>828</v>
      </c>
      <c r="D292" t="s">
        <v>828</v>
      </c>
      <c r="E292" t="s">
        <v>823</v>
      </c>
      <c r="F292" t="str">
        <f>_xlfn.XLOOKUP(frasest[[#This Row],[autor_es]],autorest[autor_es],autorest[autor_la])</f>
        <v>Gregorius Nyssenus</v>
      </c>
      <c r="G292" t="str">
        <f>_xlfn.XLOOKUP(frasest[[#This Row],[autor_es]],autorest[autor_es],autorest[bio_es])</f>
        <v>Obispo de Nisa, Doctor de la Iglesia y Padre Capadocio. Hermano de San Basilio Magno, teólogo místico y filósofo cristiano. Uno de los tres Padres Capadocios.</v>
      </c>
      <c r="H292" t="str">
        <f>_xlfn.XLOOKUP(frasest[[#This Row],[autor_es]],autorest[autor_es],autorest[bio_la])</f>
        <v>Episcopus Nyssenus, Doctor Ecclesiae et Pater Cappadocius. Frater Sancti Basilii Magni, theologus mysticus et philosophus Christianus. Unus ex tribus Patribus Cappadociis.</v>
      </c>
      <c r="I292" t="str">
        <f>_xlfn.XLOOKUP(frasest[[#This Row],[autor_es]],autorest[autor_es],autorest[codigo])</f>
        <v>la</v>
      </c>
      <c r="J292" t="str">
        <f>_xlfn.XLOOKUP(frasest[[#This Row],[autor_es]],autorest[autor_es],autorest[idioma_es])</f>
        <v>Latín</v>
      </c>
      <c r="K292" t="str">
        <f>_xlfn.XLOOKUP(frasest[[#This Row],[autor_es]],autorest[autor_es],autorest[idioma_la])</f>
        <v>Lingua Latina</v>
      </c>
      <c r="L292" t="str">
        <f>_xlfn.XLOOKUP(frasest[[#This Row],[autor_es]],autorest[autor_es],autorest[nacion_es])</f>
        <v>Roma</v>
      </c>
      <c r="M292" t="str">
        <f>_xlfn.XLOOKUP(frasest[[#This Row],[autor_es]],autorest[autor_es],autorest[nacion_la])</f>
        <v>Roma</v>
      </c>
      <c r="N292" t="str">
        <f>_xlfn.XLOOKUP(frasest[[#This Row],[autor_es]],autorest[autor_es],autorest[epoca_es])</f>
        <v>Edad Antigua</v>
      </c>
      <c r="O292" t="str">
        <f>_xlfn.XLOOKUP(frasest[[#This Row],[autor_es]],autorest[autor_es],autorest[epoca_la])</f>
        <v>Antiquitas</v>
      </c>
    </row>
    <row r="293" spans="1:15">
      <c r="A293">
        <v>292</v>
      </c>
      <c r="B293" t="s">
        <v>829</v>
      </c>
      <c r="C293" t="s">
        <v>830</v>
      </c>
      <c r="D293" t="s">
        <v>830</v>
      </c>
      <c r="E293" t="s">
        <v>823</v>
      </c>
      <c r="F293" t="str">
        <f>_xlfn.XLOOKUP(frasest[[#This Row],[autor_es]],autorest[autor_es],autorest[autor_la])</f>
        <v>Gregorius Nyssenus</v>
      </c>
      <c r="G293" t="str">
        <f>_xlfn.XLOOKUP(frasest[[#This Row],[autor_es]],autorest[autor_es],autorest[bio_es])</f>
        <v>Obispo de Nisa, Doctor de la Iglesia y Padre Capadocio. Hermano de San Basilio Magno, teólogo místico y filósofo cristiano. Uno de los tres Padres Capadocios.</v>
      </c>
      <c r="H293" t="str">
        <f>_xlfn.XLOOKUP(frasest[[#This Row],[autor_es]],autorest[autor_es],autorest[bio_la])</f>
        <v>Episcopus Nyssenus, Doctor Ecclesiae et Pater Cappadocius. Frater Sancti Basilii Magni, theologus mysticus et philosophus Christianus. Unus ex tribus Patribus Cappadociis.</v>
      </c>
      <c r="I293" t="str">
        <f>_xlfn.XLOOKUP(frasest[[#This Row],[autor_es]],autorest[autor_es],autorest[codigo])</f>
        <v>la</v>
      </c>
      <c r="J293" t="str">
        <f>_xlfn.XLOOKUP(frasest[[#This Row],[autor_es]],autorest[autor_es],autorest[idioma_es])</f>
        <v>Latín</v>
      </c>
      <c r="K293" t="str">
        <f>_xlfn.XLOOKUP(frasest[[#This Row],[autor_es]],autorest[autor_es],autorest[idioma_la])</f>
        <v>Lingua Latina</v>
      </c>
      <c r="L293" t="str">
        <f>_xlfn.XLOOKUP(frasest[[#This Row],[autor_es]],autorest[autor_es],autorest[nacion_es])</f>
        <v>Roma</v>
      </c>
      <c r="M293" t="str">
        <f>_xlfn.XLOOKUP(frasest[[#This Row],[autor_es]],autorest[autor_es],autorest[nacion_la])</f>
        <v>Roma</v>
      </c>
      <c r="N293" t="str">
        <f>_xlfn.XLOOKUP(frasest[[#This Row],[autor_es]],autorest[autor_es],autorest[epoca_es])</f>
        <v>Edad Antigua</v>
      </c>
      <c r="O293" t="str">
        <f>_xlfn.XLOOKUP(frasest[[#This Row],[autor_es]],autorest[autor_es],autorest[epoca_la])</f>
        <v>Antiquitas</v>
      </c>
    </row>
    <row r="294" spans="1:15">
      <c r="A294">
        <v>293</v>
      </c>
      <c r="B294" t="s">
        <v>831</v>
      </c>
      <c r="C294" t="s">
        <v>832</v>
      </c>
      <c r="D294" t="s">
        <v>832</v>
      </c>
      <c r="E294" t="s">
        <v>823</v>
      </c>
      <c r="F294" t="str">
        <f>_xlfn.XLOOKUP(frasest[[#This Row],[autor_es]],autorest[autor_es],autorest[autor_la])</f>
        <v>Gregorius Nyssenus</v>
      </c>
      <c r="G294" t="str">
        <f>_xlfn.XLOOKUP(frasest[[#This Row],[autor_es]],autorest[autor_es],autorest[bio_es])</f>
        <v>Obispo de Nisa, Doctor de la Iglesia y Padre Capadocio. Hermano de San Basilio Magno, teólogo místico y filósofo cristiano. Uno de los tres Padres Capadocios.</v>
      </c>
      <c r="H294" t="str">
        <f>_xlfn.XLOOKUP(frasest[[#This Row],[autor_es]],autorest[autor_es],autorest[bio_la])</f>
        <v>Episcopus Nyssenus, Doctor Ecclesiae et Pater Cappadocius. Frater Sancti Basilii Magni, theologus mysticus et philosophus Christianus. Unus ex tribus Patribus Cappadociis.</v>
      </c>
      <c r="I294" t="str">
        <f>_xlfn.XLOOKUP(frasest[[#This Row],[autor_es]],autorest[autor_es],autorest[codigo])</f>
        <v>la</v>
      </c>
      <c r="J294" t="str">
        <f>_xlfn.XLOOKUP(frasest[[#This Row],[autor_es]],autorest[autor_es],autorest[idioma_es])</f>
        <v>Latín</v>
      </c>
      <c r="K294" t="str">
        <f>_xlfn.XLOOKUP(frasest[[#This Row],[autor_es]],autorest[autor_es],autorest[idioma_la])</f>
        <v>Lingua Latina</v>
      </c>
      <c r="L294" t="str">
        <f>_xlfn.XLOOKUP(frasest[[#This Row],[autor_es]],autorest[autor_es],autorest[nacion_es])</f>
        <v>Roma</v>
      </c>
      <c r="M294" t="str">
        <f>_xlfn.XLOOKUP(frasest[[#This Row],[autor_es]],autorest[autor_es],autorest[nacion_la])</f>
        <v>Roma</v>
      </c>
      <c r="N294" t="str">
        <f>_xlfn.XLOOKUP(frasest[[#This Row],[autor_es]],autorest[autor_es],autorest[epoca_es])</f>
        <v>Edad Antigua</v>
      </c>
      <c r="O294" t="str">
        <f>_xlfn.XLOOKUP(frasest[[#This Row],[autor_es]],autorest[autor_es],autorest[epoca_la])</f>
        <v>Antiquitas</v>
      </c>
    </row>
    <row r="295" spans="1:15">
      <c r="A295">
        <v>294</v>
      </c>
      <c r="B295" t="s">
        <v>833</v>
      </c>
      <c r="C295" t="s">
        <v>834</v>
      </c>
      <c r="D295" t="s">
        <v>834</v>
      </c>
      <c r="E295" t="s">
        <v>823</v>
      </c>
      <c r="F295" t="str">
        <f>_xlfn.XLOOKUP(frasest[[#This Row],[autor_es]],autorest[autor_es],autorest[autor_la])</f>
        <v>Gregorius Nyssenus</v>
      </c>
      <c r="G295" t="str">
        <f>_xlfn.XLOOKUP(frasest[[#This Row],[autor_es]],autorest[autor_es],autorest[bio_es])</f>
        <v>Obispo de Nisa, Doctor de la Iglesia y Padre Capadocio. Hermano de San Basilio Magno, teólogo místico y filósofo cristiano. Uno de los tres Padres Capadocios.</v>
      </c>
      <c r="H295" t="str">
        <f>_xlfn.XLOOKUP(frasest[[#This Row],[autor_es]],autorest[autor_es],autorest[bio_la])</f>
        <v>Episcopus Nyssenus, Doctor Ecclesiae et Pater Cappadocius. Frater Sancti Basilii Magni, theologus mysticus et philosophus Christianus. Unus ex tribus Patribus Cappadociis.</v>
      </c>
      <c r="I295" t="str">
        <f>_xlfn.XLOOKUP(frasest[[#This Row],[autor_es]],autorest[autor_es],autorest[codigo])</f>
        <v>la</v>
      </c>
      <c r="J295" t="str">
        <f>_xlfn.XLOOKUP(frasest[[#This Row],[autor_es]],autorest[autor_es],autorest[idioma_es])</f>
        <v>Latín</v>
      </c>
      <c r="K295" t="str">
        <f>_xlfn.XLOOKUP(frasest[[#This Row],[autor_es]],autorest[autor_es],autorest[idioma_la])</f>
        <v>Lingua Latina</v>
      </c>
      <c r="L295" t="str">
        <f>_xlfn.XLOOKUP(frasest[[#This Row],[autor_es]],autorest[autor_es],autorest[nacion_es])</f>
        <v>Roma</v>
      </c>
      <c r="M295" t="str">
        <f>_xlfn.XLOOKUP(frasest[[#This Row],[autor_es]],autorest[autor_es],autorest[nacion_la])</f>
        <v>Roma</v>
      </c>
      <c r="N295" t="str">
        <f>_xlfn.XLOOKUP(frasest[[#This Row],[autor_es]],autorest[autor_es],autorest[epoca_es])</f>
        <v>Edad Antigua</v>
      </c>
      <c r="O295" t="str">
        <f>_xlfn.XLOOKUP(frasest[[#This Row],[autor_es]],autorest[autor_es],autorest[epoca_la])</f>
        <v>Antiquitas</v>
      </c>
    </row>
    <row r="296" spans="1:15">
      <c r="A296">
        <v>295</v>
      </c>
      <c r="B296" t="s">
        <v>835</v>
      </c>
      <c r="C296" t="s">
        <v>836</v>
      </c>
      <c r="D296" t="s">
        <v>836</v>
      </c>
      <c r="E296" t="s">
        <v>823</v>
      </c>
      <c r="F296" t="str">
        <f>_xlfn.XLOOKUP(frasest[[#This Row],[autor_es]],autorest[autor_es],autorest[autor_la])</f>
        <v>Gregorius Nyssenus</v>
      </c>
      <c r="G296" t="str">
        <f>_xlfn.XLOOKUP(frasest[[#This Row],[autor_es]],autorest[autor_es],autorest[bio_es])</f>
        <v>Obispo de Nisa, Doctor de la Iglesia y Padre Capadocio. Hermano de San Basilio Magno, teólogo místico y filósofo cristiano. Uno de los tres Padres Capadocios.</v>
      </c>
      <c r="H296" t="str">
        <f>_xlfn.XLOOKUP(frasest[[#This Row],[autor_es]],autorest[autor_es],autorest[bio_la])</f>
        <v>Episcopus Nyssenus, Doctor Ecclesiae et Pater Cappadocius. Frater Sancti Basilii Magni, theologus mysticus et philosophus Christianus. Unus ex tribus Patribus Cappadociis.</v>
      </c>
      <c r="I296" t="str">
        <f>_xlfn.XLOOKUP(frasest[[#This Row],[autor_es]],autorest[autor_es],autorest[codigo])</f>
        <v>la</v>
      </c>
      <c r="J296" t="str">
        <f>_xlfn.XLOOKUP(frasest[[#This Row],[autor_es]],autorest[autor_es],autorest[idioma_es])</f>
        <v>Latín</v>
      </c>
      <c r="K296" t="str">
        <f>_xlfn.XLOOKUP(frasest[[#This Row],[autor_es]],autorest[autor_es],autorest[idioma_la])</f>
        <v>Lingua Latina</v>
      </c>
      <c r="L296" t="str">
        <f>_xlfn.XLOOKUP(frasest[[#This Row],[autor_es]],autorest[autor_es],autorest[nacion_es])</f>
        <v>Roma</v>
      </c>
      <c r="M296" t="str">
        <f>_xlfn.XLOOKUP(frasest[[#This Row],[autor_es]],autorest[autor_es],autorest[nacion_la])</f>
        <v>Roma</v>
      </c>
      <c r="N296" t="str">
        <f>_xlfn.XLOOKUP(frasest[[#This Row],[autor_es]],autorest[autor_es],autorest[epoca_es])</f>
        <v>Edad Antigua</v>
      </c>
      <c r="O296" t="str">
        <f>_xlfn.XLOOKUP(frasest[[#This Row],[autor_es]],autorest[autor_es],autorest[epoca_la])</f>
        <v>Antiquitas</v>
      </c>
    </row>
    <row r="297" spans="1:15">
      <c r="A297">
        <v>296</v>
      </c>
      <c r="B297" t="s">
        <v>837</v>
      </c>
      <c r="C297" t="s">
        <v>838</v>
      </c>
      <c r="D297" t="s">
        <v>838</v>
      </c>
      <c r="E297" t="s">
        <v>823</v>
      </c>
      <c r="F297" t="str">
        <f>_xlfn.XLOOKUP(frasest[[#This Row],[autor_es]],autorest[autor_es],autorest[autor_la])</f>
        <v>Gregorius Nyssenus</v>
      </c>
      <c r="G297" t="str">
        <f>_xlfn.XLOOKUP(frasest[[#This Row],[autor_es]],autorest[autor_es],autorest[bio_es])</f>
        <v>Obispo de Nisa, Doctor de la Iglesia y Padre Capadocio. Hermano de San Basilio Magno, teólogo místico y filósofo cristiano. Uno de los tres Padres Capadocios.</v>
      </c>
      <c r="H297" t="str">
        <f>_xlfn.XLOOKUP(frasest[[#This Row],[autor_es]],autorest[autor_es],autorest[bio_la])</f>
        <v>Episcopus Nyssenus, Doctor Ecclesiae et Pater Cappadocius. Frater Sancti Basilii Magni, theologus mysticus et philosophus Christianus. Unus ex tribus Patribus Cappadociis.</v>
      </c>
      <c r="I297" t="str">
        <f>_xlfn.XLOOKUP(frasest[[#This Row],[autor_es]],autorest[autor_es],autorest[codigo])</f>
        <v>la</v>
      </c>
      <c r="J297" t="str">
        <f>_xlfn.XLOOKUP(frasest[[#This Row],[autor_es]],autorest[autor_es],autorest[idioma_es])</f>
        <v>Latín</v>
      </c>
      <c r="K297" t="str">
        <f>_xlfn.XLOOKUP(frasest[[#This Row],[autor_es]],autorest[autor_es],autorest[idioma_la])</f>
        <v>Lingua Latina</v>
      </c>
      <c r="L297" t="str">
        <f>_xlfn.XLOOKUP(frasest[[#This Row],[autor_es]],autorest[autor_es],autorest[nacion_es])</f>
        <v>Roma</v>
      </c>
      <c r="M297" t="str">
        <f>_xlfn.XLOOKUP(frasest[[#This Row],[autor_es]],autorest[autor_es],autorest[nacion_la])</f>
        <v>Roma</v>
      </c>
      <c r="N297" t="str">
        <f>_xlfn.XLOOKUP(frasest[[#This Row],[autor_es]],autorest[autor_es],autorest[epoca_es])</f>
        <v>Edad Antigua</v>
      </c>
      <c r="O297" t="str">
        <f>_xlfn.XLOOKUP(frasest[[#This Row],[autor_es]],autorest[autor_es],autorest[epoca_la])</f>
        <v>Antiquitas</v>
      </c>
    </row>
    <row r="298" spans="1:15">
      <c r="A298">
        <v>297</v>
      </c>
      <c r="B298" t="s">
        <v>839</v>
      </c>
      <c r="C298" t="s">
        <v>840</v>
      </c>
      <c r="D298" t="s">
        <v>840</v>
      </c>
      <c r="E298" t="s">
        <v>823</v>
      </c>
      <c r="F298" t="str">
        <f>_xlfn.XLOOKUP(frasest[[#This Row],[autor_es]],autorest[autor_es],autorest[autor_la])</f>
        <v>Gregorius Nyssenus</v>
      </c>
      <c r="G298" t="str">
        <f>_xlfn.XLOOKUP(frasest[[#This Row],[autor_es]],autorest[autor_es],autorest[bio_es])</f>
        <v>Obispo de Nisa, Doctor de la Iglesia y Padre Capadocio. Hermano de San Basilio Magno, teólogo místico y filósofo cristiano. Uno de los tres Padres Capadocios.</v>
      </c>
      <c r="H298" t="str">
        <f>_xlfn.XLOOKUP(frasest[[#This Row],[autor_es]],autorest[autor_es],autorest[bio_la])</f>
        <v>Episcopus Nyssenus, Doctor Ecclesiae et Pater Cappadocius. Frater Sancti Basilii Magni, theologus mysticus et philosophus Christianus. Unus ex tribus Patribus Cappadociis.</v>
      </c>
      <c r="I298" t="str">
        <f>_xlfn.XLOOKUP(frasest[[#This Row],[autor_es]],autorest[autor_es],autorest[codigo])</f>
        <v>la</v>
      </c>
      <c r="J298" t="str">
        <f>_xlfn.XLOOKUP(frasest[[#This Row],[autor_es]],autorest[autor_es],autorest[idioma_es])</f>
        <v>Latín</v>
      </c>
      <c r="K298" t="str">
        <f>_xlfn.XLOOKUP(frasest[[#This Row],[autor_es]],autorest[autor_es],autorest[idioma_la])</f>
        <v>Lingua Latina</v>
      </c>
      <c r="L298" t="str">
        <f>_xlfn.XLOOKUP(frasest[[#This Row],[autor_es]],autorest[autor_es],autorest[nacion_es])</f>
        <v>Roma</v>
      </c>
      <c r="M298" t="str">
        <f>_xlfn.XLOOKUP(frasest[[#This Row],[autor_es]],autorest[autor_es],autorest[nacion_la])</f>
        <v>Roma</v>
      </c>
      <c r="N298" t="str">
        <f>_xlfn.XLOOKUP(frasest[[#This Row],[autor_es]],autorest[autor_es],autorest[epoca_es])</f>
        <v>Edad Antigua</v>
      </c>
      <c r="O298" t="str">
        <f>_xlfn.XLOOKUP(frasest[[#This Row],[autor_es]],autorest[autor_es],autorest[epoca_la])</f>
        <v>Antiquitas</v>
      </c>
    </row>
    <row r="299" spans="1:15">
      <c r="A299">
        <v>298</v>
      </c>
      <c r="B299" t="s">
        <v>841</v>
      </c>
      <c r="C299" t="s">
        <v>842</v>
      </c>
      <c r="D299" t="s">
        <v>842</v>
      </c>
      <c r="E299" t="s">
        <v>823</v>
      </c>
      <c r="F299" t="str">
        <f>_xlfn.XLOOKUP(frasest[[#This Row],[autor_es]],autorest[autor_es],autorest[autor_la])</f>
        <v>Gregorius Nyssenus</v>
      </c>
      <c r="G299" t="str">
        <f>_xlfn.XLOOKUP(frasest[[#This Row],[autor_es]],autorest[autor_es],autorest[bio_es])</f>
        <v>Obispo de Nisa, Doctor de la Iglesia y Padre Capadocio. Hermano de San Basilio Magno, teólogo místico y filósofo cristiano. Uno de los tres Padres Capadocios.</v>
      </c>
      <c r="H299" t="str">
        <f>_xlfn.XLOOKUP(frasest[[#This Row],[autor_es]],autorest[autor_es],autorest[bio_la])</f>
        <v>Episcopus Nyssenus, Doctor Ecclesiae et Pater Cappadocius. Frater Sancti Basilii Magni, theologus mysticus et philosophus Christianus. Unus ex tribus Patribus Cappadociis.</v>
      </c>
      <c r="I299" t="str">
        <f>_xlfn.XLOOKUP(frasest[[#This Row],[autor_es]],autorest[autor_es],autorest[codigo])</f>
        <v>la</v>
      </c>
      <c r="J299" t="str">
        <f>_xlfn.XLOOKUP(frasest[[#This Row],[autor_es]],autorest[autor_es],autorest[idioma_es])</f>
        <v>Latín</v>
      </c>
      <c r="K299" t="str">
        <f>_xlfn.XLOOKUP(frasest[[#This Row],[autor_es]],autorest[autor_es],autorest[idioma_la])</f>
        <v>Lingua Latina</v>
      </c>
      <c r="L299" t="str">
        <f>_xlfn.XLOOKUP(frasest[[#This Row],[autor_es]],autorest[autor_es],autorest[nacion_es])</f>
        <v>Roma</v>
      </c>
      <c r="M299" t="str">
        <f>_xlfn.XLOOKUP(frasest[[#This Row],[autor_es]],autorest[autor_es],autorest[nacion_la])</f>
        <v>Roma</v>
      </c>
      <c r="N299" t="str">
        <f>_xlfn.XLOOKUP(frasest[[#This Row],[autor_es]],autorest[autor_es],autorest[epoca_es])</f>
        <v>Edad Antigua</v>
      </c>
      <c r="O299" t="str">
        <f>_xlfn.XLOOKUP(frasest[[#This Row],[autor_es]],autorest[autor_es],autorest[epoca_la])</f>
        <v>Antiquitas</v>
      </c>
    </row>
    <row r="300" spans="1:15">
      <c r="A300">
        <v>299</v>
      </c>
      <c r="B300" t="s">
        <v>843</v>
      </c>
      <c r="C300" t="s">
        <v>844</v>
      </c>
      <c r="D300" t="s">
        <v>844</v>
      </c>
      <c r="E300" t="s">
        <v>845</v>
      </c>
      <c r="F300" t="str">
        <f>_xlfn.XLOOKUP(frasest[[#This Row],[autor_es]],autorest[autor_es],autorest[autor_la])</f>
        <v>Ambrosius Mediolanensis</v>
      </c>
      <c r="G300" t="str">
        <f>_xlfn.XLOOKUP(frasest[[#This Row],[autor_es]],autorest[autor_es],autorest[bio_es])</f>
        <v>Obispo de Milán, Doctor de la Iglesia y Padre Latino. Maestro de San Agustín, defensor de la ortodoxia y autoridad moral frente al poder imperial.</v>
      </c>
      <c r="H300" t="str">
        <f>_xlfn.XLOOKUP(frasest[[#This Row],[autor_es]],autorest[autor_es],autorest[bio_la])</f>
        <v>Episcopus Mediolanensis, Doctor Ecclesiae et Pater Latinus. Magister Sancti Augustini, orthodoxiae defensor et auctoritas moralis contra imperium.</v>
      </c>
      <c r="I300" t="str">
        <f>_xlfn.XLOOKUP(frasest[[#This Row],[autor_es]],autorest[autor_es],autorest[codigo])</f>
        <v>la</v>
      </c>
      <c r="J300" t="str">
        <f>_xlfn.XLOOKUP(frasest[[#This Row],[autor_es]],autorest[autor_es],autorest[idioma_es])</f>
        <v>Latín</v>
      </c>
      <c r="K300" t="str">
        <f>_xlfn.XLOOKUP(frasest[[#This Row],[autor_es]],autorest[autor_es],autorest[idioma_la])</f>
        <v>Lingua Latina</v>
      </c>
      <c r="L300" t="str">
        <f>_xlfn.XLOOKUP(frasest[[#This Row],[autor_es]],autorest[autor_es],autorest[nacion_es])</f>
        <v>Roma</v>
      </c>
      <c r="M300" t="str">
        <f>_xlfn.XLOOKUP(frasest[[#This Row],[autor_es]],autorest[autor_es],autorest[nacion_la])</f>
        <v>Roma</v>
      </c>
      <c r="N300" t="str">
        <f>_xlfn.XLOOKUP(frasest[[#This Row],[autor_es]],autorest[autor_es],autorest[epoca_es])</f>
        <v>Edad Antigua</v>
      </c>
      <c r="O300" t="str">
        <f>_xlfn.XLOOKUP(frasest[[#This Row],[autor_es]],autorest[autor_es],autorest[epoca_la])</f>
        <v>Antiquitas</v>
      </c>
    </row>
    <row r="301" spans="1:15">
      <c r="A301">
        <v>300</v>
      </c>
      <c r="B301" t="s">
        <v>846</v>
      </c>
      <c r="C301" t="s">
        <v>847</v>
      </c>
      <c r="D301" t="s">
        <v>847</v>
      </c>
      <c r="E301" t="s">
        <v>845</v>
      </c>
      <c r="F301" t="str">
        <f>_xlfn.XLOOKUP(frasest[[#This Row],[autor_es]],autorest[autor_es],autorest[autor_la])</f>
        <v>Ambrosius Mediolanensis</v>
      </c>
      <c r="G301" t="str">
        <f>_xlfn.XLOOKUP(frasest[[#This Row],[autor_es]],autorest[autor_es],autorest[bio_es])</f>
        <v>Obispo de Milán, Doctor de la Iglesia y Padre Latino. Maestro de San Agustín, defensor de la ortodoxia y autoridad moral frente al poder imperial.</v>
      </c>
      <c r="H301" t="str">
        <f>_xlfn.XLOOKUP(frasest[[#This Row],[autor_es]],autorest[autor_es],autorest[bio_la])</f>
        <v>Episcopus Mediolanensis, Doctor Ecclesiae et Pater Latinus. Magister Sancti Augustini, orthodoxiae defensor et auctoritas moralis contra imperium.</v>
      </c>
      <c r="I301" t="str">
        <f>_xlfn.XLOOKUP(frasest[[#This Row],[autor_es]],autorest[autor_es],autorest[codigo])</f>
        <v>la</v>
      </c>
      <c r="J301" t="str">
        <f>_xlfn.XLOOKUP(frasest[[#This Row],[autor_es]],autorest[autor_es],autorest[idioma_es])</f>
        <v>Latín</v>
      </c>
      <c r="K301" t="str">
        <f>_xlfn.XLOOKUP(frasest[[#This Row],[autor_es]],autorest[autor_es],autorest[idioma_la])</f>
        <v>Lingua Latina</v>
      </c>
      <c r="L301" t="str">
        <f>_xlfn.XLOOKUP(frasest[[#This Row],[autor_es]],autorest[autor_es],autorest[nacion_es])</f>
        <v>Roma</v>
      </c>
      <c r="M301" t="str">
        <f>_xlfn.XLOOKUP(frasest[[#This Row],[autor_es]],autorest[autor_es],autorest[nacion_la])</f>
        <v>Roma</v>
      </c>
      <c r="N301" t="str">
        <f>_xlfn.XLOOKUP(frasest[[#This Row],[autor_es]],autorest[autor_es],autorest[epoca_es])</f>
        <v>Edad Antigua</v>
      </c>
      <c r="O301" t="str">
        <f>_xlfn.XLOOKUP(frasest[[#This Row],[autor_es]],autorest[autor_es],autorest[epoca_la])</f>
        <v>Antiquitas</v>
      </c>
    </row>
    <row r="302" spans="1:15">
      <c r="A302">
        <v>301</v>
      </c>
      <c r="B302" t="s">
        <v>848</v>
      </c>
      <c r="C302" t="s">
        <v>849</v>
      </c>
      <c r="D302" t="s">
        <v>849</v>
      </c>
      <c r="E302" t="s">
        <v>845</v>
      </c>
      <c r="F302" t="str">
        <f>_xlfn.XLOOKUP(frasest[[#This Row],[autor_es]],autorest[autor_es],autorest[autor_la])</f>
        <v>Ambrosius Mediolanensis</v>
      </c>
      <c r="G302" t="str">
        <f>_xlfn.XLOOKUP(frasest[[#This Row],[autor_es]],autorest[autor_es],autorest[bio_es])</f>
        <v>Obispo de Milán, Doctor de la Iglesia y Padre Latino. Maestro de San Agustín, defensor de la ortodoxia y autoridad moral frente al poder imperial.</v>
      </c>
      <c r="H302" t="str">
        <f>_xlfn.XLOOKUP(frasest[[#This Row],[autor_es]],autorest[autor_es],autorest[bio_la])</f>
        <v>Episcopus Mediolanensis, Doctor Ecclesiae et Pater Latinus. Magister Sancti Augustini, orthodoxiae defensor et auctoritas moralis contra imperium.</v>
      </c>
      <c r="I302" t="str">
        <f>_xlfn.XLOOKUP(frasest[[#This Row],[autor_es]],autorest[autor_es],autorest[codigo])</f>
        <v>la</v>
      </c>
      <c r="J302" t="str">
        <f>_xlfn.XLOOKUP(frasest[[#This Row],[autor_es]],autorest[autor_es],autorest[idioma_es])</f>
        <v>Latín</v>
      </c>
      <c r="K302" t="str">
        <f>_xlfn.XLOOKUP(frasest[[#This Row],[autor_es]],autorest[autor_es],autorest[idioma_la])</f>
        <v>Lingua Latina</v>
      </c>
      <c r="L302" t="str">
        <f>_xlfn.XLOOKUP(frasest[[#This Row],[autor_es]],autorest[autor_es],autorest[nacion_es])</f>
        <v>Roma</v>
      </c>
      <c r="M302" t="str">
        <f>_xlfn.XLOOKUP(frasest[[#This Row],[autor_es]],autorest[autor_es],autorest[nacion_la])</f>
        <v>Roma</v>
      </c>
      <c r="N302" t="str">
        <f>_xlfn.XLOOKUP(frasest[[#This Row],[autor_es]],autorest[autor_es],autorest[epoca_es])</f>
        <v>Edad Antigua</v>
      </c>
      <c r="O302" t="str">
        <f>_xlfn.XLOOKUP(frasest[[#This Row],[autor_es]],autorest[autor_es],autorest[epoca_la])</f>
        <v>Antiquitas</v>
      </c>
    </row>
    <row r="303" spans="1:15">
      <c r="A303">
        <v>302</v>
      </c>
      <c r="B303" t="s">
        <v>850</v>
      </c>
      <c r="C303" t="s">
        <v>851</v>
      </c>
      <c r="D303" t="s">
        <v>851</v>
      </c>
      <c r="E303" t="s">
        <v>845</v>
      </c>
      <c r="F303" t="str">
        <f>_xlfn.XLOOKUP(frasest[[#This Row],[autor_es]],autorest[autor_es],autorest[autor_la])</f>
        <v>Ambrosius Mediolanensis</v>
      </c>
      <c r="G303" t="str">
        <f>_xlfn.XLOOKUP(frasest[[#This Row],[autor_es]],autorest[autor_es],autorest[bio_es])</f>
        <v>Obispo de Milán, Doctor de la Iglesia y Padre Latino. Maestro de San Agustín, defensor de la ortodoxia y autoridad moral frente al poder imperial.</v>
      </c>
      <c r="H303" t="str">
        <f>_xlfn.XLOOKUP(frasest[[#This Row],[autor_es]],autorest[autor_es],autorest[bio_la])</f>
        <v>Episcopus Mediolanensis, Doctor Ecclesiae et Pater Latinus. Magister Sancti Augustini, orthodoxiae defensor et auctoritas moralis contra imperium.</v>
      </c>
      <c r="I303" t="str">
        <f>_xlfn.XLOOKUP(frasest[[#This Row],[autor_es]],autorest[autor_es],autorest[codigo])</f>
        <v>la</v>
      </c>
      <c r="J303" t="str">
        <f>_xlfn.XLOOKUP(frasest[[#This Row],[autor_es]],autorest[autor_es],autorest[idioma_es])</f>
        <v>Latín</v>
      </c>
      <c r="K303" t="str">
        <f>_xlfn.XLOOKUP(frasest[[#This Row],[autor_es]],autorest[autor_es],autorest[idioma_la])</f>
        <v>Lingua Latina</v>
      </c>
      <c r="L303" t="str">
        <f>_xlfn.XLOOKUP(frasest[[#This Row],[autor_es]],autorest[autor_es],autorest[nacion_es])</f>
        <v>Roma</v>
      </c>
      <c r="M303" t="str">
        <f>_xlfn.XLOOKUP(frasest[[#This Row],[autor_es]],autorest[autor_es],autorest[nacion_la])</f>
        <v>Roma</v>
      </c>
      <c r="N303" t="str">
        <f>_xlfn.XLOOKUP(frasest[[#This Row],[autor_es]],autorest[autor_es],autorest[epoca_es])</f>
        <v>Edad Antigua</v>
      </c>
      <c r="O303" t="str">
        <f>_xlfn.XLOOKUP(frasest[[#This Row],[autor_es]],autorest[autor_es],autorest[epoca_la])</f>
        <v>Antiquitas</v>
      </c>
    </row>
    <row r="304" spans="1:15">
      <c r="A304">
        <v>303</v>
      </c>
      <c r="B304" t="s">
        <v>852</v>
      </c>
      <c r="C304" t="s">
        <v>853</v>
      </c>
      <c r="D304" t="s">
        <v>853</v>
      </c>
      <c r="E304" t="s">
        <v>845</v>
      </c>
      <c r="F304" t="str">
        <f>_xlfn.XLOOKUP(frasest[[#This Row],[autor_es]],autorest[autor_es],autorest[autor_la])</f>
        <v>Ambrosius Mediolanensis</v>
      </c>
      <c r="G304" t="str">
        <f>_xlfn.XLOOKUP(frasest[[#This Row],[autor_es]],autorest[autor_es],autorest[bio_es])</f>
        <v>Obispo de Milán, Doctor de la Iglesia y Padre Latino. Maestro de San Agustín, defensor de la ortodoxia y autoridad moral frente al poder imperial.</v>
      </c>
      <c r="H304" t="str">
        <f>_xlfn.XLOOKUP(frasest[[#This Row],[autor_es]],autorest[autor_es],autorest[bio_la])</f>
        <v>Episcopus Mediolanensis, Doctor Ecclesiae et Pater Latinus. Magister Sancti Augustini, orthodoxiae defensor et auctoritas moralis contra imperium.</v>
      </c>
      <c r="I304" t="str">
        <f>_xlfn.XLOOKUP(frasest[[#This Row],[autor_es]],autorest[autor_es],autorest[codigo])</f>
        <v>la</v>
      </c>
      <c r="J304" t="str">
        <f>_xlfn.XLOOKUP(frasest[[#This Row],[autor_es]],autorest[autor_es],autorest[idioma_es])</f>
        <v>Latín</v>
      </c>
      <c r="K304" t="str">
        <f>_xlfn.XLOOKUP(frasest[[#This Row],[autor_es]],autorest[autor_es],autorest[idioma_la])</f>
        <v>Lingua Latina</v>
      </c>
      <c r="L304" t="str">
        <f>_xlfn.XLOOKUP(frasest[[#This Row],[autor_es]],autorest[autor_es],autorest[nacion_es])</f>
        <v>Roma</v>
      </c>
      <c r="M304" t="str">
        <f>_xlfn.XLOOKUP(frasest[[#This Row],[autor_es]],autorest[autor_es],autorest[nacion_la])</f>
        <v>Roma</v>
      </c>
      <c r="N304" t="str">
        <f>_xlfn.XLOOKUP(frasest[[#This Row],[autor_es]],autorest[autor_es],autorest[epoca_es])</f>
        <v>Edad Antigua</v>
      </c>
      <c r="O304" t="str">
        <f>_xlfn.XLOOKUP(frasest[[#This Row],[autor_es]],autorest[autor_es],autorest[epoca_la])</f>
        <v>Antiquitas</v>
      </c>
    </row>
    <row r="305" spans="1:15">
      <c r="A305">
        <v>304</v>
      </c>
      <c r="B305" t="s">
        <v>854</v>
      </c>
      <c r="C305" t="s">
        <v>855</v>
      </c>
      <c r="D305" t="s">
        <v>855</v>
      </c>
      <c r="E305" t="s">
        <v>845</v>
      </c>
      <c r="F305" t="str">
        <f>_xlfn.XLOOKUP(frasest[[#This Row],[autor_es]],autorest[autor_es],autorest[autor_la])</f>
        <v>Ambrosius Mediolanensis</v>
      </c>
      <c r="G305" t="str">
        <f>_xlfn.XLOOKUP(frasest[[#This Row],[autor_es]],autorest[autor_es],autorest[bio_es])</f>
        <v>Obispo de Milán, Doctor de la Iglesia y Padre Latino. Maestro de San Agustín, defensor de la ortodoxia y autoridad moral frente al poder imperial.</v>
      </c>
      <c r="H305" t="str">
        <f>_xlfn.XLOOKUP(frasest[[#This Row],[autor_es]],autorest[autor_es],autorest[bio_la])</f>
        <v>Episcopus Mediolanensis, Doctor Ecclesiae et Pater Latinus. Magister Sancti Augustini, orthodoxiae defensor et auctoritas moralis contra imperium.</v>
      </c>
      <c r="I305" t="str">
        <f>_xlfn.XLOOKUP(frasest[[#This Row],[autor_es]],autorest[autor_es],autorest[codigo])</f>
        <v>la</v>
      </c>
      <c r="J305" t="str">
        <f>_xlfn.XLOOKUP(frasest[[#This Row],[autor_es]],autorest[autor_es],autorest[idioma_es])</f>
        <v>Latín</v>
      </c>
      <c r="K305" t="str">
        <f>_xlfn.XLOOKUP(frasest[[#This Row],[autor_es]],autorest[autor_es],autorest[idioma_la])</f>
        <v>Lingua Latina</v>
      </c>
      <c r="L305" t="str">
        <f>_xlfn.XLOOKUP(frasest[[#This Row],[autor_es]],autorest[autor_es],autorest[nacion_es])</f>
        <v>Roma</v>
      </c>
      <c r="M305" t="str">
        <f>_xlfn.XLOOKUP(frasest[[#This Row],[autor_es]],autorest[autor_es],autorest[nacion_la])</f>
        <v>Roma</v>
      </c>
      <c r="N305" t="str">
        <f>_xlfn.XLOOKUP(frasest[[#This Row],[autor_es]],autorest[autor_es],autorest[epoca_es])</f>
        <v>Edad Antigua</v>
      </c>
      <c r="O305" t="str">
        <f>_xlfn.XLOOKUP(frasest[[#This Row],[autor_es]],autorest[autor_es],autorest[epoca_la])</f>
        <v>Antiquitas</v>
      </c>
    </row>
    <row r="306" spans="1:15">
      <c r="A306">
        <v>305</v>
      </c>
      <c r="B306" t="s">
        <v>856</v>
      </c>
      <c r="C306" t="s">
        <v>857</v>
      </c>
      <c r="D306" t="s">
        <v>857</v>
      </c>
      <c r="E306" t="s">
        <v>845</v>
      </c>
      <c r="F306" t="str">
        <f>_xlfn.XLOOKUP(frasest[[#This Row],[autor_es]],autorest[autor_es],autorest[autor_la])</f>
        <v>Ambrosius Mediolanensis</v>
      </c>
      <c r="G306" t="str">
        <f>_xlfn.XLOOKUP(frasest[[#This Row],[autor_es]],autorest[autor_es],autorest[bio_es])</f>
        <v>Obispo de Milán, Doctor de la Iglesia y Padre Latino. Maestro de San Agustín, defensor de la ortodoxia y autoridad moral frente al poder imperial.</v>
      </c>
      <c r="H306" t="str">
        <f>_xlfn.XLOOKUP(frasest[[#This Row],[autor_es]],autorest[autor_es],autorest[bio_la])</f>
        <v>Episcopus Mediolanensis, Doctor Ecclesiae et Pater Latinus. Magister Sancti Augustini, orthodoxiae defensor et auctoritas moralis contra imperium.</v>
      </c>
      <c r="I306" t="str">
        <f>_xlfn.XLOOKUP(frasest[[#This Row],[autor_es]],autorest[autor_es],autorest[codigo])</f>
        <v>la</v>
      </c>
      <c r="J306" t="str">
        <f>_xlfn.XLOOKUP(frasest[[#This Row],[autor_es]],autorest[autor_es],autorest[idioma_es])</f>
        <v>Latín</v>
      </c>
      <c r="K306" t="str">
        <f>_xlfn.XLOOKUP(frasest[[#This Row],[autor_es]],autorest[autor_es],autorest[idioma_la])</f>
        <v>Lingua Latina</v>
      </c>
      <c r="L306" t="str">
        <f>_xlfn.XLOOKUP(frasest[[#This Row],[autor_es]],autorest[autor_es],autorest[nacion_es])</f>
        <v>Roma</v>
      </c>
      <c r="M306" t="str">
        <f>_xlfn.XLOOKUP(frasest[[#This Row],[autor_es]],autorest[autor_es],autorest[nacion_la])</f>
        <v>Roma</v>
      </c>
      <c r="N306" t="str">
        <f>_xlfn.XLOOKUP(frasest[[#This Row],[autor_es]],autorest[autor_es],autorest[epoca_es])</f>
        <v>Edad Antigua</v>
      </c>
      <c r="O306" t="str">
        <f>_xlfn.XLOOKUP(frasest[[#This Row],[autor_es]],autorest[autor_es],autorest[epoca_la])</f>
        <v>Antiquitas</v>
      </c>
    </row>
    <row r="307" spans="1:15">
      <c r="A307">
        <v>306</v>
      </c>
      <c r="B307" t="s">
        <v>858</v>
      </c>
      <c r="C307" t="s">
        <v>859</v>
      </c>
      <c r="D307" t="s">
        <v>859</v>
      </c>
      <c r="E307" t="s">
        <v>845</v>
      </c>
      <c r="F307" t="str">
        <f>_xlfn.XLOOKUP(frasest[[#This Row],[autor_es]],autorest[autor_es],autorest[autor_la])</f>
        <v>Ambrosius Mediolanensis</v>
      </c>
      <c r="G307" t="str">
        <f>_xlfn.XLOOKUP(frasest[[#This Row],[autor_es]],autorest[autor_es],autorest[bio_es])</f>
        <v>Obispo de Milán, Doctor de la Iglesia y Padre Latino. Maestro de San Agustín, defensor de la ortodoxia y autoridad moral frente al poder imperial.</v>
      </c>
      <c r="H307" t="str">
        <f>_xlfn.XLOOKUP(frasest[[#This Row],[autor_es]],autorest[autor_es],autorest[bio_la])</f>
        <v>Episcopus Mediolanensis, Doctor Ecclesiae et Pater Latinus. Magister Sancti Augustini, orthodoxiae defensor et auctoritas moralis contra imperium.</v>
      </c>
      <c r="I307" t="str">
        <f>_xlfn.XLOOKUP(frasest[[#This Row],[autor_es]],autorest[autor_es],autorest[codigo])</f>
        <v>la</v>
      </c>
      <c r="J307" t="str">
        <f>_xlfn.XLOOKUP(frasest[[#This Row],[autor_es]],autorest[autor_es],autorest[idioma_es])</f>
        <v>Latín</v>
      </c>
      <c r="K307" t="str">
        <f>_xlfn.XLOOKUP(frasest[[#This Row],[autor_es]],autorest[autor_es],autorest[idioma_la])</f>
        <v>Lingua Latina</v>
      </c>
      <c r="L307" t="str">
        <f>_xlfn.XLOOKUP(frasest[[#This Row],[autor_es]],autorest[autor_es],autorest[nacion_es])</f>
        <v>Roma</v>
      </c>
      <c r="M307" t="str">
        <f>_xlfn.XLOOKUP(frasest[[#This Row],[autor_es]],autorest[autor_es],autorest[nacion_la])</f>
        <v>Roma</v>
      </c>
      <c r="N307" t="str">
        <f>_xlfn.XLOOKUP(frasest[[#This Row],[autor_es]],autorest[autor_es],autorest[epoca_es])</f>
        <v>Edad Antigua</v>
      </c>
      <c r="O307" t="str">
        <f>_xlfn.XLOOKUP(frasest[[#This Row],[autor_es]],autorest[autor_es],autorest[epoca_la])</f>
        <v>Antiquitas</v>
      </c>
    </row>
    <row r="308" spans="1:15">
      <c r="A308">
        <v>307</v>
      </c>
      <c r="B308" t="s">
        <v>860</v>
      </c>
      <c r="C308" t="s">
        <v>861</v>
      </c>
      <c r="D308" t="s">
        <v>861</v>
      </c>
      <c r="E308" t="s">
        <v>845</v>
      </c>
      <c r="F308" t="str">
        <f>_xlfn.XLOOKUP(frasest[[#This Row],[autor_es]],autorest[autor_es],autorest[autor_la])</f>
        <v>Ambrosius Mediolanensis</v>
      </c>
      <c r="G308" t="str">
        <f>_xlfn.XLOOKUP(frasest[[#This Row],[autor_es]],autorest[autor_es],autorest[bio_es])</f>
        <v>Obispo de Milán, Doctor de la Iglesia y Padre Latino. Maestro de San Agustín, defensor de la ortodoxia y autoridad moral frente al poder imperial.</v>
      </c>
      <c r="H308" t="str">
        <f>_xlfn.XLOOKUP(frasest[[#This Row],[autor_es]],autorest[autor_es],autorest[bio_la])</f>
        <v>Episcopus Mediolanensis, Doctor Ecclesiae et Pater Latinus. Magister Sancti Augustini, orthodoxiae defensor et auctoritas moralis contra imperium.</v>
      </c>
      <c r="I308" t="str">
        <f>_xlfn.XLOOKUP(frasest[[#This Row],[autor_es]],autorest[autor_es],autorest[codigo])</f>
        <v>la</v>
      </c>
      <c r="J308" t="str">
        <f>_xlfn.XLOOKUP(frasest[[#This Row],[autor_es]],autorest[autor_es],autorest[idioma_es])</f>
        <v>Latín</v>
      </c>
      <c r="K308" t="str">
        <f>_xlfn.XLOOKUP(frasest[[#This Row],[autor_es]],autorest[autor_es],autorest[idioma_la])</f>
        <v>Lingua Latina</v>
      </c>
      <c r="L308" t="str">
        <f>_xlfn.XLOOKUP(frasest[[#This Row],[autor_es]],autorest[autor_es],autorest[nacion_es])</f>
        <v>Roma</v>
      </c>
      <c r="M308" t="str">
        <f>_xlfn.XLOOKUP(frasest[[#This Row],[autor_es]],autorest[autor_es],autorest[nacion_la])</f>
        <v>Roma</v>
      </c>
      <c r="N308" t="str">
        <f>_xlfn.XLOOKUP(frasest[[#This Row],[autor_es]],autorest[autor_es],autorest[epoca_es])</f>
        <v>Edad Antigua</v>
      </c>
      <c r="O308" t="str">
        <f>_xlfn.XLOOKUP(frasest[[#This Row],[autor_es]],autorest[autor_es],autorest[epoca_la])</f>
        <v>Antiquitas</v>
      </c>
    </row>
    <row r="309" spans="1:15">
      <c r="A309">
        <v>308</v>
      </c>
      <c r="B309" t="s">
        <v>862</v>
      </c>
      <c r="C309" t="s">
        <v>863</v>
      </c>
      <c r="D309" t="s">
        <v>863</v>
      </c>
      <c r="E309" t="s">
        <v>845</v>
      </c>
      <c r="F309" t="str">
        <f>_xlfn.XLOOKUP(frasest[[#This Row],[autor_es]],autorest[autor_es],autorest[autor_la])</f>
        <v>Ambrosius Mediolanensis</v>
      </c>
      <c r="G309" t="str">
        <f>_xlfn.XLOOKUP(frasest[[#This Row],[autor_es]],autorest[autor_es],autorest[bio_es])</f>
        <v>Obispo de Milán, Doctor de la Iglesia y Padre Latino. Maestro de San Agustín, defensor de la ortodoxia y autoridad moral frente al poder imperial.</v>
      </c>
      <c r="H309" t="str">
        <f>_xlfn.XLOOKUP(frasest[[#This Row],[autor_es]],autorest[autor_es],autorest[bio_la])</f>
        <v>Episcopus Mediolanensis, Doctor Ecclesiae et Pater Latinus. Magister Sancti Augustini, orthodoxiae defensor et auctoritas moralis contra imperium.</v>
      </c>
      <c r="I309" t="str">
        <f>_xlfn.XLOOKUP(frasest[[#This Row],[autor_es]],autorest[autor_es],autorest[codigo])</f>
        <v>la</v>
      </c>
      <c r="J309" t="str">
        <f>_xlfn.XLOOKUP(frasest[[#This Row],[autor_es]],autorest[autor_es],autorest[idioma_es])</f>
        <v>Latín</v>
      </c>
      <c r="K309" t="str">
        <f>_xlfn.XLOOKUP(frasest[[#This Row],[autor_es]],autorest[autor_es],autorest[idioma_la])</f>
        <v>Lingua Latina</v>
      </c>
      <c r="L309" t="str">
        <f>_xlfn.XLOOKUP(frasest[[#This Row],[autor_es]],autorest[autor_es],autorest[nacion_es])</f>
        <v>Roma</v>
      </c>
      <c r="M309" t="str">
        <f>_xlfn.XLOOKUP(frasest[[#This Row],[autor_es]],autorest[autor_es],autorest[nacion_la])</f>
        <v>Roma</v>
      </c>
      <c r="N309" t="str">
        <f>_xlfn.XLOOKUP(frasest[[#This Row],[autor_es]],autorest[autor_es],autorest[epoca_es])</f>
        <v>Edad Antigua</v>
      </c>
      <c r="O309" t="str">
        <f>_xlfn.XLOOKUP(frasest[[#This Row],[autor_es]],autorest[autor_es],autorest[epoca_la])</f>
        <v>Antiquitas</v>
      </c>
    </row>
    <row r="310" spans="1:15">
      <c r="A310">
        <v>309</v>
      </c>
      <c r="B310" t="s">
        <v>864</v>
      </c>
      <c r="C310" t="s">
        <v>865</v>
      </c>
      <c r="D310" t="s">
        <v>865</v>
      </c>
      <c r="E310" t="s">
        <v>866</v>
      </c>
      <c r="F310" t="str">
        <f>_xlfn.XLOOKUP(frasest[[#This Row],[autor_es]],autorest[autor_es],autorest[autor_la])</f>
        <v>Hieronymus Stridonensis</v>
      </c>
      <c r="G310" t="str">
        <f>_xlfn.XLOOKUP(frasest[[#This Row],[autor_es]],autorest[autor_es],autorest[bio_es])</f>
        <v>Padre y Doctor de la Iglesia, traductor de la Biblia al latín (Vulgata). Erudito políglota, asceta y polemista, patrono de los traductores.</v>
      </c>
      <c r="H310" t="str">
        <f>_xlfn.XLOOKUP(frasest[[#This Row],[autor_es]],autorest[autor_es],autorest[bio_la])</f>
        <v>Pater et Doctor Ecclesiae, translator Bibliae in Latinum (Vulgata). Eruditus polyglottus, asceta et polemista, patronus interpretum.</v>
      </c>
      <c r="I310" t="str">
        <f>_xlfn.XLOOKUP(frasest[[#This Row],[autor_es]],autorest[autor_es],autorest[codigo])</f>
        <v>la</v>
      </c>
      <c r="J310" t="str">
        <f>_xlfn.XLOOKUP(frasest[[#This Row],[autor_es]],autorest[autor_es],autorest[idioma_es])</f>
        <v>Latín</v>
      </c>
      <c r="K310" t="str">
        <f>_xlfn.XLOOKUP(frasest[[#This Row],[autor_es]],autorest[autor_es],autorest[idioma_la])</f>
        <v>Lingua Latina</v>
      </c>
      <c r="L310" t="str">
        <f>_xlfn.XLOOKUP(frasest[[#This Row],[autor_es]],autorest[autor_es],autorest[nacion_es])</f>
        <v>Roma</v>
      </c>
      <c r="M310" t="str">
        <f>_xlfn.XLOOKUP(frasest[[#This Row],[autor_es]],autorest[autor_es],autorest[nacion_la])</f>
        <v>Roma</v>
      </c>
      <c r="N310" t="str">
        <f>_xlfn.XLOOKUP(frasest[[#This Row],[autor_es]],autorest[autor_es],autorest[epoca_es])</f>
        <v>Edad Antigua</v>
      </c>
      <c r="O310" t="str">
        <f>_xlfn.XLOOKUP(frasest[[#This Row],[autor_es]],autorest[autor_es],autorest[epoca_la])</f>
        <v>Antiquitas</v>
      </c>
    </row>
    <row r="311" spans="1:15">
      <c r="A311">
        <v>310</v>
      </c>
      <c r="B311" t="s">
        <v>867</v>
      </c>
      <c r="C311" t="s">
        <v>868</v>
      </c>
      <c r="D311" t="s">
        <v>868</v>
      </c>
      <c r="E311" t="s">
        <v>866</v>
      </c>
      <c r="F311" t="str">
        <f>_xlfn.XLOOKUP(frasest[[#This Row],[autor_es]],autorest[autor_es],autorest[autor_la])</f>
        <v>Hieronymus Stridonensis</v>
      </c>
      <c r="G311" t="str">
        <f>_xlfn.XLOOKUP(frasest[[#This Row],[autor_es]],autorest[autor_es],autorest[bio_es])</f>
        <v>Padre y Doctor de la Iglesia, traductor de la Biblia al latín (Vulgata). Erudito políglota, asceta y polemista, patrono de los traductores.</v>
      </c>
      <c r="H311" t="str">
        <f>_xlfn.XLOOKUP(frasest[[#This Row],[autor_es]],autorest[autor_es],autorest[bio_la])</f>
        <v>Pater et Doctor Ecclesiae, translator Bibliae in Latinum (Vulgata). Eruditus polyglottus, asceta et polemista, patronus interpretum.</v>
      </c>
      <c r="I311" t="str">
        <f>_xlfn.XLOOKUP(frasest[[#This Row],[autor_es]],autorest[autor_es],autorest[codigo])</f>
        <v>la</v>
      </c>
      <c r="J311" t="str">
        <f>_xlfn.XLOOKUP(frasest[[#This Row],[autor_es]],autorest[autor_es],autorest[idioma_es])</f>
        <v>Latín</v>
      </c>
      <c r="K311" t="str">
        <f>_xlfn.XLOOKUP(frasest[[#This Row],[autor_es]],autorest[autor_es],autorest[idioma_la])</f>
        <v>Lingua Latina</v>
      </c>
      <c r="L311" t="str">
        <f>_xlfn.XLOOKUP(frasest[[#This Row],[autor_es]],autorest[autor_es],autorest[nacion_es])</f>
        <v>Roma</v>
      </c>
      <c r="M311" t="str">
        <f>_xlfn.XLOOKUP(frasest[[#This Row],[autor_es]],autorest[autor_es],autorest[nacion_la])</f>
        <v>Roma</v>
      </c>
      <c r="N311" t="str">
        <f>_xlfn.XLOOKUP(frasest[[#This Row],[autor_es]],autorest[autor_es],autorest[epoca_es])</f>
        <v>Edad Antigua</v>
      </c>
      <c r="O311" t="str">
        <f>_xlfn.XLOOKUP(frasest[[#This Row],[autor_es]],autorest[autor_es],autorest[epoca_la])</f>
        <v>Antiquitas</v>
      </c>
    </row>
    <row r="312" spans="1:15">
      <c r="A312">
        <v>311</v>
      </c>
      <c r="B312" t="s">
        <v>869</v>
      </c>
      <c r="C312" t="s">
        <v>870</v>
      </c>
      <c r="D312" t="s">
        <v>870</v>
      </c>
      <c r="E312" t="s">
        <v>866</v>
      </c>
      <c r="F312" t="str">
        <f>_xlfn.XLOOKUP(frasest[[#This Row],[autor_es]],autorest[autor_es],autorest[autor_la])</f>
        <v>Hieronymus Stridonensis</v>
      </c>
      <c r="G312" t="str">
        <f>_xlfn.XLOOKUP(frasest[[#This Row],[autor_es]],autorest[autor_es],autorest[bio_es])</f>
        <v>Padre y Doctor de la Iglesia, traductor de la Biblia al latín (Vulgata). Erudito políglota, asceta y polemista, patrono de los traductores.</v>
      </c>
      <c r="H312" t="str">
        <f>_xlfn.XLOOKUP(frasest[[#This Row],[autor_es]],autorest[autor_es],autorest[bio_la])</f>
        <v>Pater et Doctor Ecclesiae, translator Bibliae in Latinum (Vulgata). Eruditus polyglottus, asceta et polemista, patronus interpretum.</v>
      </c>
      <c r="I312" t="str">
        <f>_xlfn.XLOOKUP(frasest[[#This Row],[autor_es]],autorest[autor_es],autorest[codigo])</f>
        <v>la</v>
      </c>
      <c r="J312" t="str">
        <f>_xlfn.XLOOKUP(frasest[[#This Row],[autor_es]],autorest[autor_es],autorest[idioma_es])</f>
        <v>Latín</v>
      </c>
      <c r="K312" t="str">
        <f>_xlfn.XLOOKUP(frasest[[#This Row],[autor_es]],autorest[autor_es],autorest[idioma_la])</f>
        <v>Lingua Latina</v>
      </c>
      <c r="L312" t="str">
        <f>_xlfn.XLOOKUP(frasest[[#This Row],[autor_es]],autorest[autor_es],autorest[nacion_es])</f>
        <v>Roma</v>
      </c>
      <c r="M312" t="str">
        <f>_xlfn.XLOOKUP(frasest[[#This Row],[autor_es]],autorest[autor_es],autorest[nacion_la])</f>
        <v>Roma</v>
      </c>
      <c r="N312" t="str">
        <f>_xlfn.XLOOKUP(frasest[[#This Row],[autor_es]],autorest[autor_es],autorest[epoca_es])</f>
        <v>Edad Antigua</v>
      </c>
      <c r="O312" t="str">
        <f>_xlfn.XLOOKUP(frasest[[#This Row],[autor_es]],autorest[autor_es],autorest[epoca_la])</f>
        <v>Antiquitas</v>
      </c>
    </row>
    <row r="313" spans="1:15">
      <c r="A313">
        <v>312</v>
      </c>
      <c r="B313" t="s">
        <v>871</v>
      </c>
      <c r="C313" t="s">
        <v>872</v>
      </c>
      <c r="D313" t="s">
        <v>872</v>
      </c>
      <c r="E313" t="s">
        <v>866</v>
      </c>
      <c r="F313" t="str">
        <f>_xlfn.XLOOKUP(frasest[[#This Row],[autor_es]],autorest[autor_es],autorest[autor_la])</f>
        <v>Hieronymus Stridonensis</v>
      </c>
      <c r="G313" t="str">
        <f>_xlfn.XLOOKUP(frasest[[#This Row],[autor_es]],autorest[autor_es],autorest[bio_es])</f>
        <v>Padre y Doctor de la Iglesia, traductor de la Biblia al latín (Vulgata). Erudito políglota, asceta y polemista, patrono de los traductores.</v>
      </c>
      <c r="H313" t="str">
        <f>_xlfn.XLOOKUP(frasest[[#This Row],[autor_es]],autorest[autor_es],autorest[bio_la])</f>
        <v>Pater et Doctor Ecclesiae, translator Bibliae in Latinum (Vulgata). Eruditus polyglottus, asceta et polemista, patronus interpretum.</v>
      </c>
      <c r="I313" t="str">
        <f>_xlfn.XLOOKUP(frasest[[#This Row],[autor_es]],autorest[autor_es],autorest[codigo])</f>
        <v>la</v>
      </c>
      <c r="J313" t="str">
        <f>_xlfn.XLOOKUP(frasest[[#This Row],[autor_es]],autorest[autor_es],autorest[idioma_es])</f>
        <v>Latín</v>
      </c>
      <c r="K313" t="str">
        <f>_xlfn.XLOOKUP(frasest[[#This Row],[autor_es]],autorest[autor_es],autorest[idioma_la])</f>
        <v>Lingua Latina</v>
      </c>
      <c r="L313" t="str">
        <f>_xlfn.XLOOKUP(frasest[[#This Row],[autor_es]],autorest[autor_es],autorest[nacion_es])</f>
        <v>Roma</v>
      </c>
      <c r="M313" t="str">
        <f>_xlfn.XLOOKUP(frasest[[#This Row],[autor_es]],autorest[autor_es],autorest[nacion_la])</f>
        <v>Roma</v>
      </c>
      <c r="N313" t="str">
        <f>_xlfn.XLOOKUP(frasest[[#This Row],[autor_es]],autorest[autor_es],autorest[epoca_es])</f>
        <v>Edad Antigua</v>
      </c>
      <c r="O313" t="str">
        <f>_xlfn.XLOOKUP(frasest[[#This Row],[autor_es]],autorest[autor_es],autorest[epoca_la])</f>
        <v>Antiquitas</v>
      </c>
    </row>
    <row r="314" spans="1:15">
      <c r="A314">
        <v>313</v>
      </c>
      <c r="B314" t="s">
        <v>873</v>
      </c>
      <c r="C314" t="s">
        <v>874</v>
      </c>
      <c r="D314" t="s">
        <v>874</v>
      </c>
      <c r="E314" t="s">
        <v>866</v>
      </c>
      <c r="F314" t="str">
        <f>_xlfn.XLOOKUP(frasest[[#This Row],[autor_es]],autorest[autor_es],autorest[autor_la])</f>
        <v>Hieronymus Stridonensis</v>
      </c>
      <c r="G314" t="str">
        <f>_xlfn.XLOOKUP(frasest[[#This Row],[autor_es]],autorest[autor_es],autorest[bio_es])</f>
        <v>Padre y Doctor de la Iglesia, traductor de la Biblia al latín (Vulgata). Erudito políglota, asceta y polemista, patrono de los traductores.</v>
      </c>
      <c r="H314" t="str">
        <f>_xlfn.XLOOKUP(frasest[[#This Row],[autor_es]],autorest[autor_es],autorest[bio_la])</f>
        <v>Pater et Doctor Ecclesiae, translator Bibliae in Latinum (Vulgata). Eruditus polyglottus, asceta et polemista, patronus interpretum.</v>
      </c>
      <c r="I314" t="str">
        <f>_xlfn.XLOOKUP(frasest[[#This Row],[autor_es]],autorest[autor_es],autorest[codigo])</f>
        <v>la</v>
      </c>
      <c r="J314" t="str">
        <f>_xlfn.XLOOKUP(frasest[[#This Row],[autor_es]],autorest[autor_es],autorest[idioma_es])</f>
        <v>Latín</v>
      </c>
      <c r="K314" t="str">
        <f>_xlfn.XLOOKUP(frasest[[#This Row],[autor_es]],autorest[autor_es],autorest[idioma_la])</f>
        <v>Lingua Latina</v>
      </c>
      <c r="L314" t="str">
        <f>_xlfn.XLOOKUP(frasest[[#This Row],[autor_es]],autorest[autor_es],autorest[nacion_es])</f>
        <v>Roma</v>
      </c>
      <c r="M314" t="str">
        <f>_xlfn.XLOOKUP(frasest[[#This Row],[autor_es]],autorest[autor_es],autorest[nacion_la])</f>
        <v>Roma</v>
      </c>
      <c r="N314" t="str">
        <f>_xlfn.XLOOKUP(frasest[[#This Row],[autor_es]],autorest[autor_es],autorest[epoca_es])</f>
        <v>Edad Antigua</v>
      </c>
      <c r="O314" t="str">
        <f>_xlfn.XLOOKUP(frasest[[#This Row],[autor_es]],autorest[autor_es],autorest[epoca_la])</f>
        <v>Antiquitas</v>
      </c>
    </row>
    <row r="315" spans="1:15">
      <c r="A315">
        <v>314</v>
      </c>
      <c r="B315" t="s">
        <v>875</v>
      </c>
      <c r="C315" t="s">
        <v>876</v>
      </c>
      <c r="D315" t="s">
        <v>876</v>
      </c>
      <c r="E315" t="s">
        <v>866</v>
      </c>
      <c r="F315" t="str">
        <f>_xlfn.XLOOKUP(frasest[[#This Row],[autor_es]],autorest[autor_es],autorest[autor_la])</f>
        <v>Hieronymus Stridonensis</v>
      </c>
      <c r="G315" t="str">
        <f>_xlfn.XLOOKUP(frasest[[#This Row],[autor_es]],autorest[autor_es],autorest[bio_es])</f>
        <v>Padre y Doctor de la Iglesia, traductor de la Biblia al latín (Vulgata). Erudito políglota, asceta y polemista, patrono de los traductores.</v>
      </c>
      <c r="H315" t="str">
        <f>_xlfn.XLOOKUP(frasest[[#This Row],[autor_es]],autorest[autor_es],autorest[bio_la])</f>
        <v>Pater et Doctor Ecclesiae, translator Bibliae in Latinum (Vulgata). Eruditus polyglottus, asceta et polemista, patronus interpretum.</v>
      </c>
      <c r="I315" t="str">
        <f>_xlfn.XLOOKUP(frasest[[#This Row],[autor_es]],autorest[autor_es],autorest[codigo])</f>
        <v>la</v>
      </c>
      <c r="J315" t="str">
        <f>_xlfn.XLOOKUP(frasest[[#This Row],[autor_es]],autorest[autor_es],autorest[idioma_es])</f>
        <v>Latín</v>
      </c>
      <c r="K315" t="str">
        <f>_xlfn.XLOOKUP(frasest[[#This Row],[autor_es]],autorest[autor_es],autorest[idioma_la])</f>
        <v>Lingua Latina</v>
      </c>
      <c r="L315" t="str">
        <f>_xlfn.XLOOKUP(frasest[[#This Row],[autor_es]],autorest[autor_es],autorest[nacion_es])</f>
        <v>Roma</v>
      </c>
      <c r="M315" t="str">
        <f>_xlfn.XLOOKUP(frasest[[#This Row],[autor_es]],autorest[autor_es],autorest[nacion_la])</f>
        <v>Roma</v>
      </c>
      <c r="N315" t="str">
        <f>_xlfn.XLOOKUP(frasest[[#This Row],[autor_es]],autorest[autor_es],autorest[epoca_es])</f>
        <v>Edad Antigua</v>
      </c>
      <c r="O315" t="str">
        <f>_xlfn.XLOOKUP(frasest[[#This Row],[autor_es]],autorest[autor_es],autorest[epoca_la])</f>
        <v>Antiquitas</v>
      </c>
    </row>
    <row r="316" spans="1:15">
      <c r="A316">
        <v>315</v>
      </c>
      <c r="B316" t="s">
        <v>877</v>
      </c>
      <c r="C316" t="s">
        <v>878</v>
      </c>
      <c r="D316" t="s">
        <v>878</v>
      </c>
      <c r="E316" t="s">
        <v>866</v>
      </c>
      <c r="F316" t="str">
        <f>_xlfn.XLOOKUP(frasest[[#This Row],[autor_es]],autorest[autor_es],autorest[autor_la])</f>
        <v>Hieronymus Stridonensis</v>
      </c>
      <c r="G316" t="str">
        <f>_xlfn.XLOOKUP(frasest[[#This Row],[autor_es]],autorest[autor_es],autorest[bio_es])</f>
        <v>Padre y Doctor de la Iglesia, traductor de la Biblia al latín (Vulgata). Erudito políglota, asceta y polemista, patrono de los traductores.</v>
      </c>
      <c r="H316" t="str">
        <f>_xlfn.XLOOKUP(frasest[[#This Row],[autor_es]],autorest[autor_es],autorest[bio_la])</f>
        <v>Pater et Doctor Ecclesiae, translator Bibliae in Latinum (Vulgata). Eruditus polyglottus, asceta et polemista, patronus interpretum.</v>
      </c>
      <c r="I316" t="str">
        <f>_xlfn.XLOOKUP(frasest[[#This Row],[autor_es]],autorest[autor_es],autorest[codigo])</f>
        <v>la</v>
      </c>
      <c r="J316" t="str">
        <f>_xlfn.XLOOKUP(frasest[[#This Row],[autor_es]],autorest[autor_es],autorest[idioma_es])</f>
        <v>Latín</v>
      </c>
      <c r="K316" t="str">
        <f>_xlfn.XLOOKUP(frasest[[#This Row],[autor_es]],autorest[autor_es],autorest[idioma_la])</f>
        <v>Lingua Latina</v>
      </c>
      <c r="L316" t="str">
        <f>_xlfn.XLOOKUP(frasest[[#This Row],[autor_es]],autorest[autor_es],autorest[nacion_es])</f>
        <v>Roma</v>
      </c>
      <c r="M316" t="str">
        <f>_xlfn.XLOOKUP(frasest[[#This Row],[autor_es]],autorest[autor_es],autorest[nacion_la])</f>
        <v>Roma</v>
      </c>
      <c r="N316" t="str">
        <f>_xlfn.XLOOKUP(frasest[[#This Row],[autor_es]],autorest[autor_es],autorest[epoca_es])</f>
        <v>Edad Antigua</v>
      </c>
      <c r="O316" t="str">
        <f>_xlfn.XLOOKUP(frasest[[#This Row],[autor_es]],autorest[autor_es],autorest[epoca_la])</f>
        <v>Antiquitas</v>
      </c>
    </row>
    <row r="317" spans="1:15">
      <c r="A317">
        <v>316</v>
      </c>
      <c r="B317" t="s">
        <v>879</v>
      </c>
      <c r="C317" t="s">
        <v>880</v>
      </c>
      <c r="D317" t="s">
        <v>880</v>
      </c>
      <c r="E317" t="s">
        <v>866</v>
      </c>
      <c r="F317" t="str">
        <f>_xlfn.XLOOKUP(frasest[[#This Row],[autor_es]],autorest[autor_es],autorest[autor_la])</f>
        <v>Hieronymus Stridonensis</v>
      </c>
      <c r="G317" t="str">
        <f>_xlfn.XLOOKUP(frasest[[#This Row],[autor_es]],autorest[autor_es],autorest[bio_es])</f>
        <v>Padre y Doctor de la Iglesia, traductor de la Biblia al latín (Vulgata). Erudito políglota, asceta y polemista, patrono de los traductores.</v>
      </c>
      <c r="H317" t="str">
        <f>_xlfn.XLOOKUP(frasest[[#This Row],[autor_es]],autorest[autor_es],autorest[bio_la])</f>
        <v>Pater et Doctor Ecclesiae, translator Bibliae in Latinum (Vulgata). Eruditus polyglottus, asceta et polemista, patronus interpretum.</v>
      </c>
      <c r="I317" t="str">
        <f>_xlfn.XLOOKUP(frasest[[#This Row],[autor_es]],autorest[autor_es],autorest[codigo])</f>
        <v>la</v>
      </c>
      <c r="J317" t="str">
        <f>_xlfn.XLOOKUP(frasest[[#This Row],[autor_es]],autorest[autor_es],autorest[idioma_es])</f>
        <v>Latín</v>
      </c>
      <c r="K317" t="str">
        <f>_xlfn.XLOOKUP(frasest[[#This Row],[autor_es]],autorest[autor_es],autorest[idioma_la])</f>
        <v>Lingua Latina</v>
      </c>
      <c r="L317" t="str">
        <f>_xlfn.XLOOKUP(frasest[[#This Row],[autor_es]],autorest[autor_es],autorest[nacion_es])</f>
        <v>Roma</v>
      </c>
      <c r="M317" t="str">
        <f>_xlfn.XLOOKUP(frasest[[#This Row],[autor_es]],autorest[autor_es],autorest[nacion_la])</f>
        <v>Roma</v>
      </c>
      <c r="N317" t="str">
        <f>_xlfn.XLOOKUP(frasest[[#This Row],[autor_es]],autorest[autor_es],autorest[epoca_es])</f>
        <v>Edad Antigua</v>
      </c>
      <c r="O317" t="str">
        <f>_xlfn.XLOOKUP(frasest[[#This Row],[autor_es]],autorest[autor_es],autorest[epoca_la])</f>
        <v>Antiquitas</v>
      </c>
    </row>
    <row r="318" spans="1:15">
      <c r="A318">
        <v>317</v>
      </c>
      <c r="B318" t="s">
        <v>881</v>
      </c>
      <c r="C318" t="s">
        <v>882</v>
      </c>
      <c r="D318" t="s">
        <v>882</v>
      </c>
      <c r="E318" t="s">
        <v>866</v>
      </c>
      <c r="F318" t="str">
        <f>_xlfn.XLOOKUP(frasest[[#This Row],[autor_es]],autorest[autor_es],autorest[autor_la])</f>
        <v>Hieronymus Stridonensis</v>
      </c>
      <c r="G318" t="str">
        <f>_xlfn.XLOOKUP(frasest[[#This Row],[autor_es]],autorest[autor_es],autorest[bio_es])</f>
        <v>Padre y Doctor de la Iglesia, traductor de la Biblia al latín (Vulgata). Erudito políglota, asceta y polemista, patrono de los traductores.</v>
      </c>
      <c r="H318" t="str">
        <f>_xlfn.XLOOKUP(frasest[[#This Row],[autor_es]],autorest[autor_es],autorest[bio_la])</f>
        <v>Pater et Doctor Ecclesiae, translator Bibliae in Latinum (Vulgata). Eruditus polyglottus, asceta et polemista, patronus interpretum.</v>
      </c>
      <c r="I318" t="str">
        <f>_xlfn.XLOOKUP(frasest[[#This Row],[autor_es]],autorest[autor_es],autorest[codigo])</f>
        <v>la</v>
      </c>
      <c r="J318" t="str">
        <f>_xlfn.XLOOKUP(frasest[[#This Row],[autor_es]],autorest[autor_es],autorest[idioma_es])</f>
        <v>Latín</v>
      </c>
      <c r="K318" t="str">
        <f>_xlfn.XLOOKUP(frasest[[#This Row],[autor_es]],autorest[autor_es],autorest[idioma_la])</f>
        <v>Lingua Latina</v>
      </c>
      <c r="L318" t="str">
        <f>_xlfn.XLOOKUP(frasest[[#This Row],[autor_es]],autorest[autor_es],autorest[nacion_es])</f>
        <v>Roma</v>
      </c>
      <c r="M318" t="str">
        <f>_xlfn.XLOOKUP(frasest[[#This Row],[autor_es]],autorest[autor_es],autorest[nacion_la])</f>
        <v>Roma</v>
      </c>
      <c r="N318" t="str">
        <f>_xlfn.XLOOKUP(frasest[[#This Row],[autor_es]],autorest[autor_es],autorest[epoca_es])</f>
        <v>Edad Antigua</v>
      </c>
      <c r="O318" t="str">
        <f>_xlfn.XLOOKUP(frasest[[#This Row],[autor_es]],autorest[autor_es],autorest[epoca_la])</f>
        <v>Antiquitas</v>
      </c>
    </row>
    <row r="319" spans="1:15">
      <c r="A319">
        <v>318</v>
      </c>
      <c r="B319" t="s">
        <v>883</v>
      </c>
      <c r="C319" t="s">
        <v>884</v>
      </c>
      <c r="D319" t="s">
        <v>884</v>
      </c>
      <c r="E319" t="s">
        <v>866</v>
      </c>
      <c r="F319" t="str">
        <f>_xlfn.XLOOKUP(frasest[[#This Row],[autor_es]],autorest[autor_es],autorest[autor_la])</f>
        <v>Hieronymus Stridonensis</v>
      </c>
      <c r="G319" t="str">
        <f>_xlfn.XLOOKUP(frasest[[#This Row],[autor_es]],autorest[autor_es],autorest[bio_es])</f>
        <v>Padre y Doctor de la Iglesia, traductor de la Biblia al latín (Vulgata). Erudito políglota, asceta y polemista, patrono de los traductores.</v>
      </c>
      <c r="H319" t="str">
        <f>_xlfn.XLOOKUP(frasest[[#This Row],[autor_es]],autorest[autor_es],autorest[bio_la])</f>
        <v>Pater et Doctor Ecclesiae, translator Bibliae in Latinum (Vulgata). Eruditus polyglottus, asceta et polemista, patronus interpretum.</v>
      </c>
      <c r="I319" t="str">
        <f>_xlfn.XLOOKUP(frasest[[#This Row],[autor_es]],autorest[autor_es],autorest[codigo])</f>
        <v>la</v>
      </c>
      <c r="J319" t="str">
        <f>_xlfn.XLOOKUP(frasest[[#This Row],[autor_es]],autorest[autor_es],autorest[idioma_es])</f>
        <v>Latín</v>
      </c>
      <c r="K319" t="str">
        <f>_xlfn.XLOOKUP(frasest[[#This Row],[autor_es]],autorest[autor_es],autorest[idioma_la])</f>
        <v>Lingua Latina</v>
      </c>
      <c r="L319" t="str">
        <f>_xlfn.XLOOKUP(frasest[[#This Row],[autor_es]],autorest[autor_es],autorest[nacion_es])</f>
        <v>Roma</v>
      </c>
      <c r="M319" t="str">
        <f>_xlfn.XLOOKUP(frasest[[#This Row],[autor_es]],autorest[autor_es],autorest[nacion_la])</f>
        <v>Roma</v>
      </c>
      <c r="N319" t="str">
        <f>_xlfn.XLOOKUP(frasest[[#This Row],[autor_es]],autorest[autor_es],autorest[epoca_es])</f>
        <v>Edad Antigua</v>
      </c>
      <c r="O319" t="str">
        <f>_xlfn.XLOOKUP(frasest[[#This Row],[autor_es]],autorest[autor_es],autorest[epoca_la])</f>
        <v>Antiquitas</v>
      </c>
    </row>
    <row r="320" spans="1:15">
      <c r="A320">
        <v>319</v>
      </c>
      <c r="B320" t="s">
        <v>885</v>
      </c>
      <c r="C320" t="s">
        <v>886</v>
      </c>
      <c r="D320" t="s">
        <v>886</v>
      </c>
      <c r="E320" t="s">
        <v>887</v>
      </c>
      <c r="F320" t="str">
        <f>_xlfn.XLOOKUP(frasest[[#This Row],[autor_es]],autorest[autor_es],autorest[autor_la])</f>
        <v>Leo Magnus</v>
      </c>
      <c r="G320" t="str">
        <f>_xlfn.XLOOKUP(frasest[[#This Row],[autor_es]],autorest[autor_es],autorest[bio_es])</f>
        <v>Papa, Doctor de la Iglesia. Convocó el Concilio de Calcedonia, detuvo a Atila en las puertas de Roma. Defensor de la primacía papal y la cristología ortodoxa.</v>
      </c>
      <c r="H320" t="str">
        <f>_xlfn.XLOOKUP(frasest[[#This Row],[autor_es]],autorest[autor_es],autorest[bio_la])</f>
        <v>Papa, Doctor Ecclesiae. Concilium Chalcedonense convocavit, Attilam ad portas Romae inhibuit. Primatus papalis et christologiae orthodoxae defensor.</v>
      </c>
      <c r="I320" t="str">
        <f>_xlfn.XLOOKUP(frasest[[#This Row],[autor_es]],autorest[autor_es],autorest[codigo])</f>
        <v>la</v>
      </c>
      <c r="J320" t="str">
        <f>_xlfn.XLOOKUP(frasest[[#This Row],[autor_es]],autorest[autor_es],autorest[idioma_es])</f>
        <v>Latín</v>
      </c>
      <c r="K320" t="str">
        <f>_xlfn.XLOOKUP(frasest[[#This Row],[autor_es]],autorest[autor_es],autorest[idioma_la])</f>
        <v>Lingua Latina</v>
      </c>
      <c r="L320" t="str">
        <f>_xlfn.XLOOKUP(frasest[[#This Row],[autor_es]],autorest[autor_es],autorest[nacion_es])</f>
        <v>Roma</v>
      </c>
      <c r="M320" t="str">
        <f>_xlfn.XLOOKUP(frasest[[#This Row],[autor_es]],autorest[autor_es],autorest[nacion_la])</f>
        <v>Roma</v>
      </c>
      <c r="N320" t="str">
        <f>_xlfn.XLOOKUP(frasest[[#This Row],[autor_es]],autorest[autor_es],autorest[epoca_es])</f>
        <v>Edad Antigua</v>
      </c>
      <c r="O320" t="str">
        <f>_xlfn.XLOOKUP(frasest[[#This Row],[autor_es]],autorest[autor_es],autorest[epoca_la])</f>
        <v>Antiquitas</v>
      </c>
    </row>
    <row r="321" spans="1:15">
      <c r="A321">
        <v>320</v>
      </c>
      <c r="B321" t="s">
        <v>888</v>
      </c>
      <c r="C321" t="s">
        <v>889</v>
      </c>
      <c r="D321" t="s">
        <v>889</v>
      </c>
      <c r="E321" t="s">
        <v>887</v>
      </c>
      <c r="F321" t="str">
        <f>_xlfn.XLOOKUP(frasest[[#This Row],[autor_es]],autorest[autor_es],autorest[autor_la])</f>
        <v>Leo Magnus</v>
      </c>
      <c r="G321" t="str">
        <f>_xlfn.XLOOKUP(frasest[[#This Row],[autor_es]],autorest[autor_es],autorest[bio_es])</f>
        <v>Papa, Doctor de la Iglesia. Convocó el Concilio de Calcedonia, detuvo a Atila en las puertas de Roma. Defensor de la primacía papal y la cristología ortodoxa.</v>
      </c>
      <c r="H321" t="str">
        <f>_xlfn.XLOOKUP(frasest[[#This Row],[autor_es]],autorest[autor_es],autorest[bio_la])</f>
        <v>Papa, Doctor Ecclesiae. Concilium Chalcedonense convocavit, Attilam ad portas Romae inhibuit. Primatus papalis et christologiae orthodoxae defensor.</v>
      </c>
      <c r="I321" t="str">
        <f>_xlfn.XLOOKUP(frasest[[#This Row],[autor_es]],autorest[autor_es],autorest[codigo])</f>
        <v>la</v>
      </c>
      <c r="J321" t="str">
        <f>_xlfn.XLOOKUP(frasest[[#This Row],[autor_es]],autorest[autor_es],autorest[idioma_es])</f>
        <v>Latín</v>
      </c>
      <c r="K321" t="str">
        <f>_xlfn.XLOOKUP(frasest[[#This Row],[autor_es]],autorest[autor_es],autorest[idioma_la])</f>
        <v>Lingua Latina</v>
      </c>
      <c r="L321" t="str">
        <f>_xlfn.XLOOKUP(frasest[[#This Row],[autor_es]],autorest[autor_es],autorest[nacion_es])</f>
        <v>Roma</v>
      </c>
      <c r="M321" t="str">
        <f>_xlfn.XLOOKUP(frasest[[#This Row],[autor_es]],autorest[autor_es],autorest[nacion_la])</f>
        <v>Roma</v>
      </c>
      <c r="N321" t="str">
        <f>_xlfn.XLOOKUP(frasest[[#This Row],[autor_es]],autorest[autor_es],autorest[epoca_es])</f>
        <v>Edad Antigua</v>
      </c>
      <c r="O321" t="str">
        <f>_xlfn.XLOOKUP(frasest[[#This Row],[autor_es]],autorest[autor_es],autorest[epoca_la])</f>
        <v>Antiquitas</v>
      </c>
    </row>
    <row r="322" spans="1:15">
      <c r="A322">
        <v>321</v>
      </c>
      <c r="B322" t="s">
        <v>890</v>
      </c>
      <c r="C322" t="s">
        <v>891</v>
      </c>
      <c r="D322" t="s">
        <v>891</v>
      </c>
      <c r="E322" t="s">
        <v>887</v>
      </c>
      <c r="F322" t="str">
        <f>_xlfn.XLOOKUP(frasest[[#This Row],[autor_es]],autorest[autor_es],autorest[autor_la])</f>
        <v>Leo Magnus</v>
      </c>
      <c r="G322" t="str">
        <f>_xlfn.XLOOKUP(frasest[[#This Row],[autor_es]],autorest[autor_es],autorest[bio_es])</f>
        <v>Papa, Doctor de la Iglesia. Convocó el Concilio de Calcedonia, detuvo a Atila en las puertas de Roma. Defensor de la primacía papal y la cristología ortodoxa.</v>
      </c>
      <c r="H322" t="str">
        <f>_xlfn.XLOOKUP(frasest[[#This Row],[autor_es]],autorest[autor_es],autorest[bio_la])</f>
        <v>Papa, Doctor Ecclesiae. Concilium Chalcedonense convocavit, Attilam ad portas Romae inhibuit. Primatus papalis et christologiae orthodoxae defensor.</v>
      </c>
      <c r="I322" t="str">
        <f>_xlfn.XLOOKUP(frasest[[#This Row],[autor_es]],autorest[autor_es],autorest[codigo])</f>
        <v>la</v>
      </c>
      <c r="J322" t="str">
        <f>_xlfn.XLOOKUP(frasest[[#This Row],[autor_es]],autorest[autor_es],autorest[idioma_es])</f>
        <v>Latín</v>
      </c>
      <c r="K322" t="str">
        <f>_xlfn.XLOOKUP(frasest[[#This Row],[autor_es]],autorest[autor_es],autorest[idioma_la])</f>
        <v>Lingua Latina</v>
      </c>
      <c r="L322" t="str">
        <f>_xlfn.XLOOKUP(frasest[[#This Row],[autor_es]],autorest[autor_es],autorest[nacion_es])</f>
        <v>Roma</v>
      </c>
      <c r="M322" t="str">
        <f>_xlfn.XLOOKUP(frasest[[#This Row],[autor_es]],autorest[autor_es],autorest[nacion_la])</f>
        <v>Roma</v>
      </c>
      <c r="N322" t="str">
        <f>_xlfn.XLOOKUP(frasest[[#This Row],[autor_es]],autorest[autor_es],autorest[epoca_es])</f>
        <v>Edad Antigua</v>
      </c>
      <c r="O322" t="str">
        <f>_xlfn.XLOOKUP(frasest[[#This Row],[autor_es]],autorest[autor_es],autorest[epoca_la])</f>
        <v>Antiquitas</v>
      </c>
    </row>
    <row r="323" spans="1:15">
      <c r="A323">
        <v>322</v>
      </c>
      <c r="B323" t="s">
        <v>892</v>
      </c>
      <c r="C323" t="s">
        <v>893</v>
      </c>
      <c r="D323" t="s">
        <v>893</v>
      </c>
      <c r="E323" t="s">
        <v>887</v>
      </c>
      <c r="F323" t="str">
        <f>_xlfn.XLOOKUP(frasest[[#This Row],[autor_es]],autorest[autor_es],autorest[autor_la])</f>
        <v>Leo Magnus</v>
      </c>
      <c r="G323" t="str">
        <f>_xlfn.XLOOKUP(frasest[[#This Row],[autor_es]],autorest[autor_es],autorest[bio_es])</f>
        <v>Papa, Doctor de la Iglesia. Convocó el Concilio de Calcedonia, detuvo a Atila en las puertas de Roma. Defensor de la primacía papal y la cristología ortodoxa.</v>
      </c>
      <c r="H323" t="str">
        <f>_xlfn.XLOOKUP(frasest[[#This Row],[autor_es]],autorest[autor_es],autorest[bio_la])</f>
        <v>Papa, Doctor Ecclesiae. Concilium Chalcedonense convocavit, Attilam ad portas Romae inhibuit. Primatus papalis et christologiae orthodoxae defensor.</v>
      </c>
      <c r="I323" t="str">
        <f>_xlfn.XLOOKUP(frasest[[#This Row],[autor_es]],autorest[autor_es],autorest[codigo])</f>
        <v>la</v>
      </c>
      <c r="J323" t="str">
        <f>_xlfn.XLOOKUP(frasest[[#This Row],[autor_es]],autorest[autor_es],autorest[idioma_es])</f>
        <v>Latín</v>
      </c>
      <c r="K323" t="str">
        <f>_xlfn.XLOOKUP(frasest[[#This Row],[autor_es]],autorest[autor_es],autorest[idioma_la])</f>
        <v>Lingua Latina</v>
      </c>
      <c r="L323" t="str">
        <f>_xlfn.XLOOKUP(frasest[[#This Row],[autor_es]],autorest[autor_es],autorest[nacion_es])</f>
        <v>Roma</v>
      </c>
      <c r="M323" t="str">
        <f>_xlfn.XLOOKUP(frasest[[#This Row],[autor_es]],autorest[autor_es],autorest[nacion_la])</f>
        <v>Roma</v>
      </c>
      <c r="N323" t="str">
        <f>_xlfn.XLOOKUP(frasest[[#This Row],[autor_es]],autorest[autor_es],autorest[epoca_es])</f>
        <v>Edad Antigua</v>
      </c>
      <c r="O323" t="str">
        <f>_xlfn.XLOOKUP(frasest[[#This Row],[autor_es]],autorest[autor_es],autorest[epoca_la])</f>
        <v>Antiquitas</v>
      </c>
    </row>
    <row r="324" spans="1:15">
      <c r="A324">
        <v>323</v>
      </c>
      <c r="B324" t="s">
        <v>894</v>
      </c>
      <c r="C324" t="s">
        <v>895</v>
      </c>
      <c r="D324" t="s">
        <v>895</v>
      </c>
      <c r="E324" t="s">
        <v>887</v>
      </c>
      <c r="F324" t="str">
        <f>_xlfn.XLOOKUP(frasest[[#This Row],[autor_es]],autorest[autor_es],autorest[autor_la])</f>
        <v>Leo Magnus</v>
      </c>
      <c r="G324" t="str">
        <f>_xlfn.XLOOKUP(frasest[[#This Row],[autor_es]],autorest[autor_es],autorest[bio_es])</f>
        <v>Papa, Doctor de la Iglesia. Convocó el Concilio de Calcedonia, detuvo a Atila en las puertas de Roma. Defensor de la primacía papal y la cristología ortodoxa.</v>
      </c>
      <c r="H324" t="str">
        <f>_xlfn.XLOOKUP(frasest[[#This Row],[autor_es]],autorest[autor_es],autorest[bio_la])</f>
        <v>Papa, Doctor Ecclesiae. Concilium Chalcedonense convocavit, Attilam ad portas Romae inhibuit. Primatus papalis et christologiae orthodoxae defensor.</v>
      </c>
      <c r="I324" t="str">
        <f>_xlfn.XLOOKUP(frasest[[#This Row],[autor_es]],autorest[autor_es],autorest[codigo])</f>
        <v>la</v>
      </c>
      <c r="J324" t="str">
        <f>_xlfn.XLOOKUP(frasest[[#This Row],[autor_es]],autorest[autor_es],autorest[idioma_es])</f>
        <v>Latín</v>
      </c>
      <c r="K324" t="str">
        <f>_xlfn.XLOOKUP(frasest[[#This Row],[autor_es]],autorest[autor_es],autorest[idioma_la])</f>
        <v>Lingua Latina</v>
      </c>
      <c r="L324" t="str">
        <f>_xlfn.XLOOKUP(frasest[[#This Row],[autor_es]],autorest[autor_es],autorest[nacion_es])</f>
        <v>Roma</v>
      </c>
      <c r="M324" t="str">
        <f>_xlfn.XLOOKUP(frasest[[#This Row],[autor_es]],autorest[autor_es],autorest[nacion_la])</f>
        <v>Roma</v>
      </c>
      <c r="N324" t="str">
        <f>_xlfn.XLOOKUP(frasest[[#This Row],[autor_es]],autorest[autor_es],autorest[epoca_es])</f>
        <v>Edad Antigua</v>
      </c>
      <c r="O324" t="str">
        <f>_xlfn.XLOOKUP(frasest[[#This Row],[autor_es]],autorest[autor_es],autorest[epoca_la])</f>
        <v>Antiquitas</v>
      </c>
    </row>
    <row r="325" spans="1:15">
      <c r="A325">
        <v>324</v>
      </c>
      <c r="B325" t="s">
        <v>896</v>
      </c>
      <c r="C325" t="s">
        <v>897</v>
      </c>
      <c r="D325" t="s">
        <v>897</v>
      </c>
      <c r="E325" t="s">
        <v>887</v>
      </c>
      <c r="F325" t="str">
        <f>_xlfn.XLOOKUP(frasest[[#This Row],[autor_es]],autorest[autor_es],autorest[autor_la])</f>
        <v>Leo Magnus</v>
      </c>
      <c r="G325" t="str">
        <f>_xlfn.XLOOKUP(frasest[[#This Row],[autor_es]],autorest[autor_es],autorest[bio_es])</f>
        <v>Papa, Doctor de la Iglesia. Convocó el Concilio de Calcedonia, detuvo a Atila en las puertas de Roma. Defensor de la primacía papal y la cristología ortodoxa.</v>
      </c>
      <c r="H325" t="str">
        <f>_xlfn.XLOOKUP(frasest[[#This Row],[autor_es]],autorest[autor_es],autorest[bio_la])</f>
        <v>Papa, Doctor Ecclesiae. Concilium Chalcedonense convocavit, Attilam ad portas Romae inhibuit. Primatus papalis et christologiae orthodoxae defensor.</v>
      </c>
      <c r="I325" t="str">
        <f>_xlfn.XLOOKUP(frasest[[#This Row],[autor_es]],autorest[autor_es],autorest[codigo])</f>
        <v>la</v>
      </c>
      <c r="J325" t="str">
        <f>_xlfn.XLOOKUP(frasest[[#This Row],[autor_es]],autorest[autor_es],autorest[idioma_es])</f>
        <v>Latín</v>
      </c>
      <c r="K325" t="str">
        <f>_xlfn.XLOOKUP(frasest[[#This Row],[autor_es]],autorest[autor_es],autorest[idioma_la])</f>
        <v>Lingua Latina</v>
      </c>
      <c r="L325" t="str">
        <f>_xlfn.XLOOKUP(frasest[[#This Row],[autor_es]],autorest[autor_es],autorest[nacion_es])</f>
        <v>Roma</v>
      </c>
      <c r="M325" t="str">
        <f>_xlfn.XLOOKUP(frasest[[#This Row],[autor_es]],autorest[autor_es],autorest[nacion_la])</f>
        <v>Roma</v>
      </c>
      <c r="N325" t="str">
        <f>_xlfn.XLOOKUP(frasest[[#This Row],[autor_es]],autorest[autor_es],autorest[epoca_es])</f>
        <v>Edad Antigua</v>
      </c>
      <c r="O325" t="str">
        <f>_xlfn.XLOOKUP(frasest[[#This Row],[autor_es]],autorest[autor_es],autorest[epoca_la])</f>
        <v>Antiquitas</v>
      </c>
    </row>
    <row r="326" spans="1:15">
      <c r="A326">
        <v>325</v>
      </c>
      <c r="B326" t="s">
        <v>898</v>
      </c>
      <c r="C326" t="s">
        <v>899</v>
      </c>
      <c r="D326" t="s">
        <v>899</v>
      </c>
      <c r="E326" t="s">
        <v>887</v>
      </c>
      <c r="F326" t="str">
        <f>_xlfn.XLOOKUP(frasest[[#This Row],[autor_es]],autorest[autor_es],autorest[autor_la])</f>
        <v>Leo Magnus</v>
      </c>
      <c r="G326" t="str">
        <f>_xlfn.XLOOKUP(frasest[[#This Row],[autor_es]],autorest[autor_es],autorest[bio_es])</f>
        <v>Papa, Doctor de la Iglesia. Convocó el Concilio de Calcedonia, detuvo a Atila en las puertas de Roma. Defensor de la primacía papal y la cristología ortodoxa.</v>
      </c>
      <c r="H326" t="str">
        <f>_xlfn.XLOOKUP(frasest[[#This Row],[autor_es]],autorest[autor_es],autorest[bio_la])</f>
        <v>Papa, Doctor Ecclesiae. Concilium Chalcedonense convocavit, Attilam ad portas Romae inhibuit. Primatus papalis et christologiae orthodoxae defensor.</v>
      </c>
      <c r="I326" t="str">
        <f>_xlfn.XLOOKUP(frasest[[#This Row],[autor_es]],autorest[autor_es],autorest[codigo])</f>
        <v>la</v>
      </c>
      <c r="J326" t="str">
        <f>_xlfn.XLOOKUP(frasest[[#This Row],[autor_es]],autorest[autor_es],autorest[idioma_es])</f>
        <v>Latín</v>
      </c>
      <c r="K326" t="str">
        <f>_xlfn.XLOOKUP(frasest[[#This Row],[autor_es]],autorest[autor_es],autorest[idioma_la])</f>
        <v>Lingua Latina</v>
      </c>
      <c r="L326" t="str">
        <f>_xlfn.XLOOKUP(frasest[[#This Row],[autor_es]],autorest[autor_es],autorest[nacion_es])</f>
        <v>Roma</v>
      </c>
      <c r="M326" t="str">
        <f>_xlfn.XLOOKUP(frasest[[#This Row],[autor_es]],autorest[autor_es],autorest[nacion_la])</f>
        <v>Roma</v>
      </c>
      <c r="N326" t="str">
        <f>_xlfn.XLOOKUP(frasest[[#This Row],[autor_es]],autorest[autor_es],autorest[epoca_es])</f>
        <v>Edad Antigua</v>
      </c>
      <c r="O326" t="str">
        <f>_xlfn.XLOOKUP(frasest[[#This Row],[autor_es]],autorest[autor_es],autorest[epoca_la])</f>
        <v>Antiquitas</v>
      </c>
    </row>
    <row r="327" spans="1:15">
      <c r="A327">
        <v>326</v>
      </c>
      <c r="B327" t="s">
        <v>900</v>
      </c>
      <c r="C327" t="s">
        <v>901</v>
      </c>
      <c r="D327" t="s">
        <v>901</v>
      </c>
      <c r="E327" t="s">
        <v>887</v>
      </c>
      <c r="F327" t="str">
        <f>_xlfn.XLOOKUP(frasest[[#This Row],[autor_es]],autorest[autor_es],autorest[autor_la])</f>
        <v>Leo Magnus</v>
      </c>
      <c r="G327" t="str">
        <f>_xlfn.XLOOKUP(frasest[[#This Row],[autor_es]],autorest[autor_es],autorest[bio_es])</f>
        <v>Papa, Doctor de la Iglesia. Convocó el Concilio de Calcedonia, detuvo a Atila en las puertas de Roma. Defensor de la primacía papal y la cristología ortodoxa.</v>
      </c>
      <c r="H327" t="str">
        <f>_xlfn.XLOOKUP(frasest[[#This Row],[autor_es]],autorest[autor_es],autorest[bio_la])</f>
        <v>Papa, Doctor Ecclesiae. Concilium Chalcedonense convocavit, Attilam ad portas Romae inhibuit. Primatus papalis et christologiae orthodoxae defensor.</v>
      </c>
      <c r="I327" t="str">
        <f>_xlfn.XLOOKUP(frasest[[#This Row],[autor_es]],autorest[autor_es],autorest[codigo])</f>
        <v>la</v>
      </c>
      <c r="J327" t="str">
        <f>_xlfn.XLOOKUP(frasest[[#This Row],[autor_es]],autorest[autor_es],autorest[idioma_es])</f>
        <v>Latín</v>
      </c>
      <c r="K327" t="str">
        <f>_xlfn.XLOOKUP(frasest[[#This Row],[autor_es]],autorest[autor_es],autorest[idioma_la])</f>
        <v>Lingua Latina</v>
      </c>
      <c r="L327" t="str">
        <f>_xlfn.XLOOKUP(frasest[[#This Row],[autor_es]],autorest[autor_es],autorest[nacion_es])</f>
        <v>Roma</v>
      </c>
      <c r="M327" t="str">
        <f>_xlfn.XLOOKUP(frasest[[#This Row],[autor_es]],autorest[autor_es],autorest[nacion_la])</f>
        <v>Roma</v>
      </c>
      <c r="N327" t="str">
        <f>_xlfn.XLOOKUP(frasest[[#This Row],[autor_es]],autorest[autor_es],autorest[epoca_es])</f>
        <v>Edad Antigua</v>
      </c>
      <c r="O327" t="str">
        <f>_xlfn.XLOOKUP(frasest[[#This Row],[autor_es]],autorest[autor_es],autorest[epoca_la])</f>
        <v>Antiquitas</v>
      </c>
    </row>
    <row r="328" spans="1:15">
      <c r="A328">
        <v>327</v>
      </c>
      <c r="B328" t="s">
        <v>902</v>
      </c>
      <c r="C328" t="s">
        <v>903</v>
      </c>
      <c r="D328" t="s">
        <v>903</v>
      </c>
      <c r="E328" t="s">
        <v>887</v>
      </c>
      <c r="F328" t="str">
        <f>_xlfn.XLOOKUP(frasest[[#This Row],[autor_es]],autorest[autor_es],autorest[autor_la])</f>
        <v>Leo Magnus</v>
      </c>
      <c r="G328" t="str">
        <f>_xlfn.XLOOKUP(frasest[[#This Row],[autor_es]],autorest[autor_es],autorest[bio_es])</f>
        <v>Papa, Doctor de la Iglesia. Convocó el Concilio de Calcedonia, detuvo a Atila en las puertas de Roma. Defensor de la primacía papal y la cristología ortodoxa.</v>
      </c>
      <c r="H328" t="str">
        <f>_xlfn.XLOOKUP(frasest[[#This Row],[autor_es]],autorest[autor_es],autorest[bio_la])</f>
        <v>Papa, Doctor Ecclesiae. Concilium Chalcedonense convocavit, Attilam ad portas Romae inhibuit. Primatus papalis et christologiae orthodoxae defensor.</v>
      </c>
      <c r="I328" t="str">
        <f>_xlfn.XLOOKUP(frasest[[#This Row],[autor_es]],autorest[autor_es],autorest[codigo])</f>
        <v>la</v>
      </c>
      <c r="J328" t="str">
        <f>_xlfn.XLOOKUP(frasest[[#This Row],[autor_es]],autorest[autor_es],autorest[idioma_es])</f>
        <v>Latín</v>
      </c>
      <c r="K328" t="str">
        <f>_xlfn.XLOOKUP(frasest[[#This Row],[autor_es]],autorest[autor_es],autorest[idioma_la])</f>
        <v>Lingua Latina</v>
      </c>
      <c r="L328" t="str">
        <f>_xlfn.XLOOKUP(frasest[[#This Row],[autor_es]],autorest[autor_es],autorest[nacion_es])</f>
        <v>Roma</v>
      </c>
      <c r="M328" t="str">
        <f>_xlfn.XLOOKUP(frasest[[#This Row],[autor_es]],autorest[autor_es],autorest[nacion_la])</f>
        <v>Roma</v>
      </c>
      <c r="N328" t="str">
        <f>_xlfn.XLOOKUP(frasest[[#This Row],[autor_es]],autorest[autor_es],autorest[epoca_es])</f>
        <v>Edad Antigua</v>
      </c>
      <c r="O328" t="str">
        <f>_xlfn.XLOOKUP(frasest[[#This Row],[autor_es]],autorest[autor_es],autorest[epoca_la])</f>
        <v>Antiquitas</v>
      </c>
    </row>
    <row r="329" spans="1:15">
      <c r="A329">
        <v>328</v>
      </c>
      <c r="B329" t="s">
        <v>904</v>
      </c>
      <c r="C329" t="s">
        <v>905</v>
      </c>
      <c r="D329" t="s">
        <v>905</v>
      </c>
      <c r="E329" t="s">
        <v>887</v>
      </c>
      <c r="F329" t="str">
        <f>_xlfn.XLOOKUP(frasest[[#This Row],[autor_es]],autorest[autor_es],autorest[autor_la])</f>
        <v>Leo Magnus</v>
      </c>
      <c r="G329" t="str">
        <f>_xlfn.XLOOKUP(frasest[[#This Row],[autor_es]],autorest[autor_es],autorest[bio_es])</f>
        <v>Papa, Doctor de la Iglesia. Convocó el Concilio de Calcedonia, detuvo a Atila en las puertas de Roma. Defensor de la primacía papal y la cristología ortodoxa.</v>
      </c>
      <c r="H329" t="str">
        <f>_xlfn.XLOOKUP(frasest[[#This Row],[autor_es]],autorest[autor_es],autorest[bio_la])</f>
        <v>Papa, Doctor Ecclesiae. Concilium Chalcedonense convocavit, Attilam ad portas Romae inhibuit. Primatus papalis et christologiae orthodoxae defensor.</v>
      </c>
      <c r="I329" t="str">
        <f>_xlfn.XLOOKUP(frasest[[#This Row],[autor_es]],autorest[autor_es],autorest[codigo])</f>
        <v>la</v>
      </c>
      <c r="J329" t="str">
        <f>_xlfn.XLOOKUP(frasest[[#This Row],[autor_es]],autorest[autor_es],autorest[idioma_es])</f>
        <v>Latín</v>
      </c>
      <c r="K329" t="str">
        <f>_xlfn.XLOOKUP(frasest[[#This Row],[autor_es]],autorest[autor_es],autorest[idioma_la])</f>
        <v>Lingua Latina</v>
      </c>
      <c r="L329" t="str">
        <f>_xlfn.XLOOKUP(frasest[[#This Row],[autor_es]],autorest[autor_es],autorest[nacion_es])</f>
        <v>Roma</v>
      </c>
      <c r="M329" t="str">
        <f>_xlfn.XLOOKUP(frasest[[#This Row],[autor_es]],autorest[autor_es],autorest[nacion_la])</f>
        <v>Roma</v>
      </c>
      <c r="N329" t="str">
        <f>_xlfn.XLOOKUP(frasest[[#This Row],[autor_es]],autorest[autor_es],autorest[epoca_es])</f>
        <v>Edad Antigua</v>
      </c>
      <c r="O329" t="str">
        <f>_xlfn.XLOOKUP(frasest[[#This Row],[autor_es]],autorest[autor_es],autorest[epoca_la])</f>
        <v>Antiquitas</v>
      </c>
    </row>
    <row r="330" spans="1:15">
      <c r="A330">
        <v>329</v>
      </c>
      <c r="B330" t="s">
        <v>906</v>
      </c>
      <c r="C330" t="s">
        <v>907</v>
      </c>
      <c r="D330" t="s">
        <v>907</v>
      </c>
      <c r="E330" t="s">
        <v>908</v>
      </c>
      <c r="F330" t="str">
        <f>_xlfn.XLOOKUP(frasest[[#This Row],[autor_es]],autorest[autor_es],autorest[autor_la])</f>
        <v>Cyprianus Carthaginensis</v>
      </c>
      <c r="G330" t="str">
        <f>_xlfn.XLOOKUP(frasest[[#This Row],[autor_es]],autorest[autor_es],autorest[bio_es])</f>
        <v>Obispo de Cartago, Padre de la Iglesia y mártir. Teólogo de la unidad eclesiástica, autor de "Sobre la unidad de la Iglesia". Martirizado durante la persecución de Valeriano.</v>
      </c>
      <c r="H330" t="str">
        <f>_xlfn.XLOOKUP(frasest[[#This Row],[autor_es]],autorest[autor_es],autorest[bio_la])</f>
        <v>Episcopus Carthaginensis, Pater Ecclesiae et martyr. Theologus unitatis ecclesiasticae, auctor "De unitate Ecclesiae". In persecutione Valeriani martyrizatus.</v>
      </c>
      <c r="I330" t="str">
        <f>_xlfn.XLOOKUP(frasest[[#This Row],[autor_es]],autorest[autor_es],autorest[codigo])</f>
        <v>la</v>
      </c>
      <c r="J330" t="str">
        <f>_xlfn.XLOOKUP(frasest[[#This Row],[autor_es]],autorest[autor_es],autorest[idioma_es])</f>
        <v>Latín</v>
      </c>
      <c r="K330" t="str">
        <f>_xlfn.XLOOKUP(frasest[[#This Row],[autor_es]],autorest[autor_es],autorest[idioma_la])</f>
        <v>Lingua Latina</v>
      </c>
      <c r="L330" t="str">
        <f>_xlfn.XLOOKUP(frasest[[#This Row],[autor_es]],autorest[autor_es],autorest[nacion_es])</f>
        <v>Roma</v>
      </c>
      <c r="M330" t="str">
        <f>_xlfn.XLOOKUP(frasest[[#This Row],[autor_es]],autorest[autor_es],autorest[nacion_la])</f>
        <v>Roma</v>
      </c>
      <c r="N330" t="str">
        <f>_xlfn.XLOOKUP(frasest[[#This Row],[autor_es]],autorest[autor_es],autorest[epoca_es])</f>
        <v>Edad Antigua</v>
      </c>
      <c r="O330" t="str">
        <f>_xlfn.XLOOKUP(frasest[[#This Row],[autor_es]],autorest[autor_es],autorest[epoca_la])</f>
        <v>Antiquitas</v>
      </c>
    </row>
    <row r="331" spans="1:15">
      <c r="A331">
        <v>330</v>
      </c>
      <c r="B331" t="s">
        <v>909</v>
      </c>
      <c r="C331" t="s">
        <v>910</v>
      </c>
      <c r="D331" t="s">
        <v>910</v>
      </c>
      <c r="E331" t="s">
        <v>908</v>
      </c>
      <c r="F331" t="str">
        <f>_xlfn.XLOOKUP(frasest[[#This Row],[autor_es]],autorest[autor_es],autorest[autor_la])</f>
        <v>Cyprianus Carthaginensis</v>
      </c>
      <c r="G331" t="str">
        <f>_xlfn.XLOOKUP(frasest[[#This Row],[autor_es]],autorest[autor_es],autorest[bio_es])</f>
        <v>Obispo de Cartago, Padre de la Iglesia y mártir. Teólogo de la unidad eclesiástica, autor de "Sobre la unidad de la Iglesia". Martirizado durante la persecución de Valeriano.</v>
      </c>
      <c r="H331" t="str">
        <f>_xlfn.XLOOKUP(frasest[[#This Row],[autor_es]],autorest[autor_es],autorest[bio_la])</f>
        <v>Episcopus Carthaginensis, Pater Ecclesiae et martyr. Theologus unitatis ecclesiasticae, auctor "De unitate Ecclesiae". In persecutione Valeriani martyrizatus.</v>
      </c>
      <c r="I331" t="str">
        <f>_xlfn.XLOOKUP(frasest[[#This Row],[autor_es]],autorest[autor_es],autorest[codigo])</f>
        <v>la</v>
      </c>
      <c r="J331" t="str">
        <f>_xlfn.XLOOKUP(frasest[[#This Row],[autor_es]],autorest[autor_es],autorest[idioma_es])</f>
        <v>Latín</v>
      </c>
      <c r="K331" t="str">
        <f>_xlfn.XLOOKUP(frasest[[#This Row],[autor_es]],autorest[autor_es],autorest[idioma_la])</f>
        <v>Lingua Latina</v>
      </c>
      <c r="L331" t="str">
        <f>_xlfn.XLOOKUP(frasest[[#This Row],[autor_es]],autorest[autor_es],autorest[nacion_es])</f>
        <v>Roma</v>
      </c>
      <c r="M331" t="str">
        <f>_xlfn.XLOOKUP(frasest[[#This Row],[autor_es]],autorest[autor_es],autorest[nacion_la])</f>
        <v>Roma</v>
      </c>
      <c r="N331" t="str">
        <f>_xlfn.XLOOKUP(frasest[[#This Row],[autor_es]],autorest[autor_es],autorest[epoca_es])</f>
        <v>Edad Antigua</v>
      </c>
      <c r="O331" t="str">
        <f>_xlfn.XLOOKUP(frasest[[#This Row],[autor_es]],autorest[autor_es],autorest[epoca_la])</f>
        <v>Antiquitas</v>
      </c>
    </row>
    <row r="332" spans="1:15">
      <c r="A332">
        <v>331</v>
      </c>
      <c r="B332" t="s">
        <v>911</v>
      </c>
      <c r="C332" t="s">
        <v>912</v>
      </c>
      <c r="D332" t="s">
        <v>912</v>
      </c>
      <c r="E332" t="s">
        <v>908</v>
      </c>
      <c r="F332" t="str">
        <f>_xlfn.XLOOKUP(frasest[[#This Row],[autor_es]],autorest[autor_es],autorest[autor_la])</f>
        <v>Cyprianus Carthaginensis</v>
      </c>
      <c r="G332" t="str">
        <f>_xlfn.XLOOKUP(frasest[[#This Row],[autor_es]],autorest[autor_es],autorest[bio_es])</f>
        <v>Obispo de Cartago, Padre de la Iglesia y mártir. Teólogo de la unidad eclesiástica, autor de "Sobre la unidad de la Iglesia". Martirizado durante la persecución de Valeriano.</v>
      </c>
      <c r="H332" t="str">
        <f>_xlfn.XLOOKUP(frasest[[#This Row],[autor_es]],autorest[autor_es],autorest[bio_la])</f>
        <v>Episcopus Carthaginensis, Pater Ecclesiae et martyr. Theologus unitatis ecclesiasticae, auctor "De unitate Ecclesiae". In persecutione Valeriani martyrizatus.</v>
      </c>
      <c r="I332" t="str">
        <f>_xlfn.XLOOKUP(frasest[[#This Row],[autor_es]],autorest[autor_es],autorest[codigo])</f>
        <v>la</v>
      </c>
      <c r="J332" t="str">
        <f>_xlfn.XLOOKUP(frasest[[#This Row],[autor_es]],autorest[autor_es],autorest[idioma_es])</f>
        <v>Latín</v>
      </c>
      <c r="K332" t="str">
        <f>_xlfn.XLOOKUP(frasest[[#This Row],[autor_es]],autorest[autor_es],autorest[idioma_la])</f>
        <v>Lingua Latina</v>
      </c>
      <c r="L332" t="str">
        <f>_xlfn.XLOOKUP(frasest[[#This Row],[autor_es]],autorest[autor_es],autorest[nacion_es])</f>
        <v>Roma</v>
      </c>
      <c r="M332" t="str">
        <f>_xlfn.XLOOKUP(frasest[[#This Row],[autor_es]],autorest[autor_es],autorest[nacion_la])</f>
        <v>Roma</v>
      </c>
      <c r="N332" t="str">
        <f>_xlfn.XLOOKUP(frasest[[#This Row],[autor_es]],autorest[autor_es],autorest[epoca_es])</f>
        <v>Edad Antigua</v>
      </c>
      <c r="O332" t="str">
        <f>_xlfn.XLOOKUP(frasest[[#This Row],[autor_es]],autorest[autor_es],autorest[epoca_la])</f>
        <v>Antiquitas</v>
      </c>
    </row>
    <row r="333" spans="1:15">
      <c r="A333">
        <v>332</v>
      </c>
      <c r="B333" t="s">
        <v>913</v>
      </c>
      <c r="C333" t="s">
        <v>914</v>
      </c>
      <c r="D333" t="s">
        <v>914</v>
      </c>
      <c r="E333" t="s">
        <v>908</v>
      </c>
      <c r="F333" t="str">
        <f>_xlfn.XLOOKUP(frasest[[#This Row],[autor_es]],autorest[autor_es],autorest[autor_la])</f>
        <v>Cyprianus Carthaginensis</v>
      </c>
      <c r="G333" t="str">
        <f>_xlfn.XLOOKUP(frasest[[#This Row],[autor_es]],autorest[autor_es],autorest[bio_es])</f>
        <v>Obispo de Cartago, Padre de la Iglesia y mártir. Teólogo de la unidad eclesiástica, autor de "Sobre la unidad de la Iglesia". Martirizado durante la persecución de Valeriano.</v>
      </c>
      <c r="H333" t="str">
        <f>_xlfn.XLOOKUP(frasest[[#This Row],[autor_es]],autorest[autor_es],autorest[bio_la])</f>
        <v>Episcopus Carthaginensis, Pater Ecclesiae et martyr. Theologus unitatis ecclesiasticae, auctor "De unitate Ecclesiae". In persecutione Valeriani martyrizatus.</v>
      </c>
      <c r="I333" t="str">
        <f>_xlfn.XLOOKUP(frasest[[#This Row],[autor_es]],autorest[autor_es],autorest[codigo])</f>
        <v>la</v>
      </c>
      <c r="J333" t="str">
        <f>_xlfn.XLOOKUP(frasest[[#This Row],[autor_es]],autorest[autor_es],autorest[idioma_es])</f>
        <v>Latín</v>
      </c>
      <c r="K333" t="str">
        <f>_xlfn.XLOOKUP(frasest[[#This Row],[autor_es]],autorest[autor_es],autorest[idioma_la])</f>
        <v>Lingua Latina</v>
      </c>
      <c r="L333" t="str">
        <f>_xlfn.XLOOKUP(frasest[[#This Row],[autor_es]],autorest[autor_es],autorest[nacion_es])</f>
        <v>Roma</v>
      </c>
      <c r="M333" t="str">
        <f>_xlfn.XLOOKUP(frasest[[#This Row],[autor_es]],autorest[autor_es],autorest[nacion_la])</f>
        <v>Roma</v>
      </c>
      <c r="N333" t="str">
        <f>_xlfn.XLOOKUP(frasest[[#This Row],[autor_es]],autorest[autor_es],autorest[epoca_es])</f>
        <v>Edad Antigua</v>
      </c>
      <c r="O333" t="str">
        <f>_xlfn.XLOOKUP(frasest[[#This Row],[autor_es]],autorest[autor_es],autorest[epoca_la])</f>
        <v>Antiquitas</v>
      </c>
    </row>
    <row r="334" spans="1:15">
      <c r="A334">
        <v>333</v>
      </c>
      <c r="B334" t="s">
        <v>915</v>
      </c>
      <c r="C334" t="s">
        <v>916</v>
      </c>
      <c r="D334" t="s">
        <v>916</v>
      </c>
      <c r="E334" t="s">
        <v>908</v>
      </c>
      <c r="F334" t="str">
        <f>_xlfn.XLOOKUP(frasest[[#This Row],[autor_es]],autorest[autor_es],autorest[autor_la])</f>
        <v>Cyprianus Carthaginensis</v>
      </c>
      <c r="G334" t="str">
        <f>_xlfn.XLOOKUP(frasest[[#This Row],[autor_es]],autorest[autor_es],autorest[bio_es])</f>
        <v>Obispo de Cartago, Padre de la Iglesia y mártir. Teólogo de la unidad eclesiástica, autor de "Sobre la unidad de la Iglesia". Martirizado durante la persecución de Valeriano.</v>
      </c>
      <c r="H334" t="str">
        <f>_xlfn.XLOOKUP(frasest[[#This Row],[autor_es]],autorest[autor_es],autorest[bio_la])</f>
        <v>Episcopus Carthaginensis, Pater Ecclesiae et martyr. Theologus unitatis ecclesiasticae, auctor "De unitate Ecclesiae". In persecutione Valeriani martyrizatus.</v>
      </c>
      <c r="I334" t="str">
        <f>_xlfn.XLOOKUP(frasest[[#This Row],[autor_es]],autorest[autor_es],autorest[codigo])</f>
        <v>la</v>
      </c>
      <c r="J334" t="str">
        <f>_xlfn.XLOOKUP(frasest[[#This Row],[autor_es]],autorest[autor_es],autorest[idioma_es])</f>
        <v>Latín</v>
      </c>
      <c r="K334" t="str">
        <f>_xlfn.XLOOKUP(frasest[[#This Row],[autor_es]],autorest[autor_es],autorest[idioma_la])</f>
        <v>Lingua Latina</v>
      </c>
      <c r="L334" t="str">
        <f>_xlfn.XLOOKUP(frasest[[#This Row],[autor_es]],autorest[autor_es],autorest[nacion_es])</f>
        <v>Roma</v>
      </c>
      <c r="M334" t="str">
        <f>_xlfn.XLOOKUP(frasest[[#This Row],[autor_es]],autorest[autor_es],autorest[nacion_la])</f>
        <v>Roma</v>
      </c>
      <c r="N334" t="str">
        <f>_xlfn.XLOOKUP(frasest[[#This Row],[autor_es]],autorest[autor_es],autorest[epoca_es])</f>
        <v>Edad Antigua</v>
      </c>
      <c r="O334" t="str">
        <f>_xlfn.XLOOKUP(frasest[[#This Row],[autor_es]],autorest[autor_es],autorest[epoca_la])</f>
        <v>Antiquitas</v>
      </c>
    </row>
    <row r="335" spans="1:15">
      <c r="A335">
        <v>334</v>
      </c>
      <c r="B335" t="s">
        <v>917</v>
      </c>
      <c r="C335" t="s">
        <v>918</v>
      </c>
      <c r="D335" t="s">
        <v>918</v>
      </c>
      <c r="E335" t="s">
        <v>908</v>
      </c>
      <c r="F335" t="str">
        <f>_xlfn.XLOOKUP(frasest[[#This Row],[autor_es]],autorest[autor_es],autorest[autor_la])</f>
        <v>Cyprianus Carthaginensis</v>
      </c>
      <c r="G335" t="str">
        <f>_xlfn.XLOOKUP(frasest[[#This Row],[autor_es]],autorest[autor_es],autorest[bio_es])</f>
        <v>Obispo de Cartago, Padre de la Iglesia y mártir. Teólogo de la unidad eclesiástica, autor de "Sobre la unidad de la Iglesia". Martirizado durante la persecución de Valeriano.</v>
      </c>
      <c r="H335" t="str">
        <f>_xlfn.XLOOKUP(frasest[[#This Row],[autor_es]],autorest[autor_es],autorest[bio_la])</f>
        <v>Episcopus Carthaginensis, Pater Ecclesiae et martyr. Theologus unitatis ecclesiasticae, auctor "De unitate Ecclesiae". In persecutione Valeriani martyrizatus.</v>
      </c>
      <c r="I335" t="str">
        <f>_xlfn.XLOOKUP(frasest[[#This Row],[autor_es]],autorest[autor_es],autorest[codigo])</f>
        <v>la</v>
      </c>
      <c r="J335" t="str">
        <f>_xlfn.XLOOKUP(frasest[[#This Row],[autor_es]],autorest[autor_es],autorest[idioma_es])</f>
        <v>Latín</v>
      </c>
      <c r="K335" t="str">
        <f>_xlfn.XLOOKUP(frasest[[#This Row],[autor_es]],autorest[autor_es],autorest[idioma_la])</f>
        <v>Lingua Latina</v>
      </c>
      <c r="L335" t="str">
        <f>_xlfn.XLOOKUP(frasest[[#This Row],[autor_es]],autorest[autor_es],autorest[nacion_es])</f>
        <v>Roma</v>
      </c>
      <c r="M335" t="str">
        <f>_xlfn.XLOOKUP(frasest[[#This Row],[autor_es]],autorest[autor_es],autorest[nacion_la])</f>
        <v>Roma</v>
      </c>
      <c r="N335" t="str">
        <f>_xlfn.XLOOKUP(frasest[[#This Row],[autor_es]],autorest[autor_es],autorest[epoca_es])</f>
        <v>Edad Antigua</v>
      </c>
      <c r="O335" t="str">
        <f>_xlfn.XLOOKUP(frasest[[#This Row],[autor_es]],autorest[autor_es],autorest[epoca_la])</f>
        <v>Antiquitas</v>
      </c>
    </row>
    <row r="336" spans="1:15">
      <c r="A336">
        <v>335</v>
      </c>
      <c r="B336" t="s">
        <v>919</v>
      </c>
      <c r="C336" t="s">
        <v>920</v>
      </c>
      <c r="D336" t="s">
        <v>920</v>
      </c>
      <c r="E336" t="s">
        <v>908</v>
      </c>
      <c r="F336" t="str">
        <f>_xlfn.XLOOKUP(frasest[[#This Row],[autor_es]],autorest[autor_es],autorest[autor_la])</f>
        <v>Cyprianus Carthaginensis</v>
      </c>
      <c r="G336" t="str">
        <f>_xlfn.XLOOKUP(frasest[[#This Row],[autor_es]],autorest[autor_es],autorest[bio_es])</f>
        <v>Obispo de Cartago, Padre de la Iglesia y mártir. Teólogo de la unidad eclesiástica, autor de "Sobre la unidad de la Iglesia". Martirizado durante la persecución de Valeriano.</v>
      </c>
      <c r="H336" t="str">
        <f>_xlfn.XLOOKUP(frasest[[#This Row],[autor_es]],autorest[autor_es],autorest[bio_la])</f>
        <v>Episcopus Carthaginensis, Pater Ecclesiae et martyr. Theologus unitatis ecclesiasticae, auctor "De unitate Ecclesiae". In persecutione Valeriani martyrizatus.</v>
      </c>
      <c r="I336" t="str">
        <f>_xlfn.XLOOKUP(frasest[[#This Row],[autor_es]],autorest[autor_es],autorest[codigo])</f>
        <v>la</v>
      </c>
      <c r="J336" t="str">
        <f>_xlfn.XLOOKUP(frasest[[#This Row],[autor_es]],autorest[autor_es],autorest[idioma_es])</f>
        <v>Latín</v>
      </c>
      <c r="K336" t="str">
        <f>_xlfn.XLOOKUP(frasest[[#This Row],[autor_es]],autorest[autor_es],autorest[idioma_la])</f>
        <v>Lingua Latina</v>
      </c>
      <c r="L336" t="str">
        <f>_xlfn.XLOOKUP(frasest[[#This Row],[autor_es]],autorest[autor_es],autorest[nacion_es])</f>
        <v>Roma</v>
      </c>
      <c r="M336" t="str">
        <f>_xlfn.XLOOKUP(frasest[[#This Row],[autor_es]],autorest[autor_es],autorest[nacion_la])</f>
        <v>Roma</v>
      </c>
      <c r="N336" t="str">
        <f>_xlfn.XLOOKUP(frasest[[#This Row],[autor_es]],autorest[autor_es],autorest[epoca_es])</f>
        <v>Edad Antigua</v>
      </c>
      <c r="O336" t="str">
        <f>_xlfn.XLOOKUP(frasest[[#This Row],[autor_es]],autorest[autor_es],autorest[epoca_la])</f>
        <v>Antiquitas</v>
      </c>
    </row>
    <row r="337" spans="1:15">
      <c r="A337">
        <v>336</v>
      </c>
      <c r="B337" t="s">
        <v>921</v>
      </c>
      <c r="C337" t="s">
        <v>922</v>
      </c>
      <c r="D337" t="s">
        <v>922</v>
      </c>
      <c r="E337" t="s">
        <v>908</v>
      </c>
      <c r="F337" t="str">
        <f>_xlfn.XLOOKUP(frasest[[#This Row],[autor_es]],autorest[autor_es],autorest[autor_la])</f>
        <v>Cyprianus Carthaginensis</v>
      </c>
      <c r="G337" t="str">
        <f>_xlfn.XLOOKUP(frasest[[#This Row],[autor_es]],autorest[autor_es],autorest[bio_es])</f>
        <v>Obispo de Cartago, Padre de la Iglesia y mártir. Teólogo de la unidad eclesiástica, autor de "Sobre la unidad de la Iglesia". Martirizado durante la persecución de Valeriano.</v>
      </c>
      <c r="H337" t="str">
        <f>_xlfn.XLOOKUP(frasest[[#This Row],[autor_es]],autorest[autor_es],autorest[bio_la])</f>
        <v>Episcopus Carthaginensis, Pater Ecclesiae et martyr. Theologus unitatis ecclesiasticae, auctor "De unitate Ecclesiae". In persecutione Valeriani martyrizatus.</v>
      </c>
      <c r="I337" t="str">
        <f>_xlfn.XLOOKUP(frasest[[#This Row],[autor_es]],autorest[autor_es],autorest[codigo])</f>
        <v>la</v>
      </c>
      <c r="J337" t="str">
        <f>_xlfn.XLOOKUP(frasest[[#This Row],[autor_es]],autorest[autor_es],autorest[idioma_es])</f>
        <v>Latín</v>
      </c>
      <c r="K337" t="str">
        <f>_xlfn.XLOOKUP(frasest[[#This Row],[autor_es]],autorest[autor_es],autorest[idioma_la])</f>
        <v>Lingua Latina</v>
      </c>
      <c r="L337" t="str">
        <f>_xlfn.XLOOKUP(frasest[[#This Row],[autor_es]],autorest[autor_es],autorest[nacion_es])</f>
        <v>Roma</v>
      </c>
      <c r="M337" t="str">
        <f>_xlfn.XLOOKUP(frasest[[#This Row],[autor_es]],autorest[autor_es],autorest[nacion_la])</f>
        <v>Roma</v>
      </c>
      <c r="N337" t="str">
        <f>_xlfn.XLOOKUP(frasest[[#This Row],[autor_es]],autorest[autor_es],autorest[epoca_es])</f>
        <v>Edad Antigua</v>
      </c>
      <c r="O337" t="str">
        <f>_xlfn.XLOOKUP(frasest[[#This Row],[autor_es]],autorest[autor_es],autorest[epoca_la])</f>
        <v>Antiquitas</v>
      </c>
    </row>
    <row r="338" spans="1:15">
      <c r="A338">
        <v>337</v>
      </c>
      <c r="B338" t="s">
        <v>923</v>
      </c>
      <c r="C338" t="s">
        <v>924</v>
      </c>
      <c r="D338" t="s">
        <v>924</v>
      </c>
      <c r="E338" t="s">
        <v>908</v>
      </c>
      <c r="F338" t="str">
        <f>_xlfn.XLOOKUP(frasest[[#This Row],[autor_es]],autorest[autor_es],autorest[autor_la])</f>
        <v>Cyprianus Carthaginensis</v>
      </c>
      <c r="G338" t="str">
        <f>_xlfn.XLOOKUP(frasest[[#This Row],[autor_es]],autorest[autor_es],autorest[bio_es])</f>
        <v>Obispo de Cartago, Padre de la Iglesia y mártir. Teólogo de la unidad eclesiástica, autor de "Sobre la unidad de la Iglesia". Martirizado durante la persecución de Valeriano.</v>
      </c>
      <c r="H338" t="str">
        <f>_xlfn.XLOOKUP(frasest[[#This Row],[autor_es]],autorest[autor_es],autorest[bio_la])</f>
        <v>Episcopus Carthaginensis, Pater Ecclesiae et martyr. Theologus unitatis ecclesiasticae, auctor "De unitate Ecclesiae". In persecutione Valeriani martyrizatus.</v>
      </c>
      <c r="I338" t="str">
        <f>_xlfn.XLOOKUP(frasest[[#This Row],[autor_es]],autorest[autor_es],autorest[codigo])</f>
        <v>la</v>
      </c>
      <c r="J338" t="str">
        <f>_xlfn.XLOOKUP(frasest[[#This Row],[autor_es]],autorest[autor_es],autorest[idioma_es])</f>
        <v>Latín</v>
      </c>
      <c r="K338" t="str">
        <f>_xlfn.XLOOKUP(frasest[[#This Row],[autor_es]],autorest[autor_es],autorest[idioma_la])</f>
        <v>Lingua Latina</v>
      </c>
      <c r="L338" t="str">
        <f>_xlfn.XLOOKUP(frasest[[#This Row],[autor_es]],autorest[autor_es],autorest[nacion_es])</f>
        <v>Roma</v>
      </c>
      <c r="M338" t="str">
        <f>_xlfn.XLOOKUP(frasest[[#This Row],[autor_es]],autorest[autor_es],autorest[nacion_la])</f>
        <v>Roma</v>
      </c>
      <c r="N338" t="str">
        <f>_xlfn.XLOOKUP(frasest[[#This Row],[autor_es]],autorest[autor_es],autorest[epoca_es])</f>
        <v>Edad Antigua</v>
      </c>
      <c r="O338" t="str">
        <f>_xlfn.XLOOKUP(frasest[[#This Row],[autor_es]],autorest[autor_es],autorest[epoca_la])</f>
        <v>Antiquitas</v>
      </c>
    </row>
    <row r="339" spans="1:15">
      <c r="A339">
        <v>338</v>
      </c>
      <c r="B339" t="s">
        <v>925</v>
      </c>
      <c r="C339" t="s">
        <v>926</v>
      </c>
      <c r="D339" t="s">
        <v>926</v>
      </c>
      <c r="E339" t="s">
        <v>908</v>
      </c>
      <c r="F339" t="str">
        <f>_xlfn.XLOOKUP(frasest[[#This Row],[autor_es]],autorest[autor_es],autorest[autor_la])</f>
        <v>Cyprianus Carthaginensis</v>
      </c>
      <c r="G339" t="str">
        <f>_xlfn.XLOOKUP(frasest[[#This Row],[autor_es]],autorest[autor_es],autorest[bio_es])</f>
        <v>Obispo de Cartago, Padre de la Iglesia y mártir. Teólogo de la unidad eclesiástica, autor de "Sobre la unidad de la Iglesia". Martirizado durante la persecución de Valeriano.</v>
      </c>
      <c r="H339" t="str">
        <f>_xlfn.XLOOKUP(frasest[[#This Row],[autor_es]],autorest[autor_es],autorest[bio_la])</f>
        <v>Episcopus Carthaginensis, Pater Ecclesiae et martyr. Theologus unitatis ecclesiasticae, auctor "De unitate Ecclesiae". In persecutione Valeriani martyrizatus.</v>
      </c>
      <c r="I339" t="str">
        <f>_xlfn.XLOOKUP(frasest[[#This Row],[autor_es]],autorest[autor_es],autorest[codigo])</f>
        <v>la</v>
      </c>
      <c r="J339" t="str">
        <f>_xlfn.XLOOKUP(frasest[[#This Row],[autor_es]],autorest[autor_es],autorest[idioma_es])</f>
        <v>Latín</v>
      </c>
      <c r="K339" t="str">
        <f>_xlfn.XLOOKUP(frasest[[#This Row],[autor_es]],autorest[autor_es],autorest[idioma_la])</f>
        <v>Lingua Latina</v>
      </c>
      <c r="L339" t="str">
        <f>_xlfn.XLOOKUP(frasest[[#This Row],[autor_es]],autorest[autor_es],autorest[nacion_es])</f>
        <v>Roma</v>
      </c>
      <c r="M339" t="str">
        <f>_xlfn.XLOOKUP(frasest[[#This Row],[autor_es]],autorest[autor_es],autorest[nacion_la])</f>
        <v>Roma</v>
      </c>
      <c r="N339" t="str">
        <f>_xlfn.XLOOKUP(frasest[[#This Row],[autor_es]],autorest[autor_es],autorest[epoca_es])</f>
        <v>Edad Antigua</v>
      </c>
      <c r="O339" t="str">
        <f>_xlfn.XLOOKUP(frasest[[#This Row],[autor_es]],autorest[autor_es],autorest[epoca_la])</f>
        <v>Antiquitas</v>
      </c>
    </row>
    <row r="340" spans="1:15">
      <c r="A340">
        <v>339</v>
      </c>
      <c r="B340" t="s">
        <v>927</v>
      </c>
      <c r="C340" t="s">
        <v>928</v>
      </c>
      <c r="D340" t="s">
        <v>928</v>
      </c>
      <c r="E340" t="s">
        <v>929</v>
      </c>
      <c r="F340" t="str">
        <f>_xlfn.XLOOKUP(frasest[[#This Row],[autor_es]],autorest[autor_es],autorest[autor_la])</f>
        <v>Anselmus Cantuariensis</v>
      </c>
      <c r="G340" t="str">
        <f>_xlfn.XLOOKUP(frasest[[#This Row],[autor_es]],autorest[autor_es],autorest[bio_es])</f>
        <v>Arzobispo de Canterbury, Doctor de la Iglesia y filósofo. Autor del argumento ontológico de la existencia de Dios. Padre de la escolástica.</v>
      </c>
      <c r="H340" t="str">
        <f>_xlfn.XLOOKUP(frasest[[#This Row],[autor_es]],autorest[autor_es],autorest[bio_la])</f>
        <v>Archiepiscopus Cantuariensis, Doctor Ecclesiae et philosophus. Auctor argumenti ontologici existentiae Dei. Pater scholasticae.</v>
      </c>
      <c r="I340" t="str">
        <f>_xlfn.XLOOKUP(frasest[[#This Row],[autor_es]],autorest[autor_es],autorest[codigo])</f>
        <v>la</v>
      </c>
      <c r="J340" t="str">
        <f>_xlfn.XLOOKUP(frasest[[#This Row],[autor_es]],autorest[autor_es],autorest[idioma_es])</f>
        <v>Latín</v>
      </c>
      <c r="K340" t="str">
        <f>_xlfn.XLOOKUP(frasest[[#This Row],[autor_es]],autorest[autor_es],autorest[idioma_la])</f>
        <v>Lingua Latina</v>
      </c>
      <c r="L340" t="str">
        <f>_xlfn.XLOOKUP(frasest[[#This Row],[autor_es]],autorest[autor_es],autorest[nacion_es])</f>
        <v>Italia</v>
      </c>
      <c r="M340" t="str">
        <f>_xlfn.XLOOKUP(frasest[[#This Row],[autor_es]],autorest[autor_es],autorest[nacion_la])</f>
        <v>Italia</v>
      </c>
      <c r="N340" t="str">
        <f>_xlfn.XLOOKUP(frasest[[#This Row],[autor_es]],autorest[autor_es],autorest[epoca_es])</f>
        <v>Edad Media</v>
      </c>
      <c r="O340" t="str">
        <f>_xlfn.XLOOKUP(frasest[[#This Row],[autor_es]],autorest[autor_es],autorest[epoca_la])</f>
        <v>Medium Aevum</v>
      </c>
    </row>
    <row r="341" spans="1:15">
      <c r="A341">
        <v>340</v>
      </c>
      <c r="B341" t="s">
        <v>930</v>
      </c>
      <c r="C341" t="s">
        <v>931</v>
      </c>
      <c r="D341" t="s">
        <v>931</v>
      </c>
      <c r="E341" t="s">
        <v>929</v>
      </c>
      <c r="F341" t="str">
        <f>_xlfn.XLOOKUP(frasest[[#This Row],[autor_es]],autorest[autor_es],autorest[autor_la])</f>
        <v>Anselmus Cantuariensis</v>
      </c>
      <c r="G341" t="str">
        <f>_xlfn.XLOOKUP(frasest[[#This Row],[autor_es]],autorest[autor_es],autorest[bio_es])</f>
        <v>Arzobispo de Canterbury, Doctor de la Iglesia y filósofo. Autor del argumento ontológico de la existencia de Dios. Padre de la escolástica.</v>
      </c>
      <c r="H341" t="str">
        <f>_xlfn.XLOOKUP(frasest[[#This Row],[autor_es]],autorest[autor_es],autorest[bio_la])</f>
        <v>Archiepiscopus Cantuariensis, Doctor Ecclesiae et philosophus. Auctor argumenti ontologici existentiae Dei. Pater scholasticae.</v>
      </c>
      <c r="I341" t="str">
        <f>_xlfn.XLOOKUP(frasest[[#This Row],[autor_es]],autorest[autor_es],autorest[codigo])</f>
        <v>la</v>
      </c>
      <c r="J341" t="str">
        <f>_xlfn.XLOOKUP(frasest[[#This Row],[autor_es]],autorest[autor_es],autorest[idioma_es])</f>
        <v>Latín</v>
      </c>
      <c r="K341" t="str">
        <f>_xlfn.XLOOKUP(frasest[[#This Row],[autor_es]],autorest[autor_es],autorest[idioma_la])</f>
        <v>Lingua Latina</v>
      </c>
      <c r="L341" t="str">
        <f>_xlfn.XLOOKUP(frasest[[#This Row],[autor_es]],autorest[autor_es],autorest[nacion_es])</f>
        <v>Italia</v>
      </c>
      <c r="M341" t="str">
        <f>_xlfn.XLOOKUP(frasest[[#This Row],[autor_es]],autorest[autor_es],autorest[nacion_la])</f>
        <v>Italia</v>
      </c>
      <c r="N341" t="str">
        <f>_xlfn.XLOOKUP(frasest[[#This Row],[autor_es]],autorest[autor_es],autorest[epoca_es])</f>
        <v>Edad Media</v>
      </c>
      <c r="O341" t="str">
        <f>_xlfn.XLOOKUP(frasest[[#This Row],[autor_es]],autorest[autor_es],autorest[epoca_la])</f>
        <v>Medium Aevum</v>
      </c>
    </row>
    <row r="342" spans="1:15">
      <c r="A342">
        <v>341</v>
      </c>
      <c r="B342" t="s">
        <v>932</v>
      </c>
      <c r="C342" t="s">
        <v>933</v>
      </c>
      <c r="D342" t="s">
        <v>933</v>
      </c>
      <c r="E342" t="s">
        <v>929</v>
      </c>
      <c r="F342" t="str">
        <f>_xlfn.XLOOKUP(frasest[[#This Row],[autor_es]],autorest[autor_es],autorest[autor_la])</f>
        <v>Anselmus Cantuariensis</v>
      </c>
      <c r="G342" t="str">
        <f>_xlfn.XLOOKUP(frasest[[#This Row],[autor_es]],autorest[autor_es],autorest[bio_es])</f>
        <v>Arzobispo de Canterbury, Doctor de la Iglesia y filósofo. Autor del argumento ontológico de la existencia de Dios. Padre de la escolástica.</v>
      </c>
      <c r="H342" t="str">
        <f>_xlfn.XLOOKUP(frasest[[#This Row],[autor_es]],autorest[autor_es],autorest[bio_la])</f>
        <v>Archiepiscopus Cantuariensis, Doctor Ecclesiae et philosophus. Auctor argumenti ontologici existentiae Dei. Pater scholasticae.</v>
      </c>
      <c r="I342" t="str">
        <f>_xlfn.XLOOKUP(frasest[[#This Row],[autor_es]],autorest[autor_es],autorest[codigo])</f>
        <v>la</v>
      </c>
      <c r="J342" t="str">
        <f>_xlfn.XLOOKUP(frasest[[#This Row],[autor_es]],autorest[autor_es],autorest[idioma_es])</f>
        <v>Latín</v>
      </c>
      <c r="K342" t="str">
        <f>_xlfn.XLOOKUP(frasest[[#This Row],[autor_es]],autorest[autor_es],autorest[idioma_la])</f>
        <v>Lingua Latina</v>
      </c>
      <c r="L342" t="str">
        <f>_xlfn.XLOOKUP(frasest[[#This Row],[autor_es]],autorest[autor_es],autorest[nacion_es])</f>
        <v>Italia</v>
      </c>
      <c r="M342" t="str">
        <f>_xlfn.XLOOKUP(frasest[[#This Row],[autor_es]],autorest[autor_es],autorest[nacion_la])</f>
        <v>Italia</v>
      </c>
      <c r="N342" t="str">
        <f>_xlfn.XLOOKUP(frasest[[#This Row],[autor_es]],autorest[autor_es],autorest[epoca_es])</f>
        <v>Edad Media</v>
      </c>
      <c r="O342" t="str">
        <f>_xlfn.XLOOKUP(frasest[[#This Row],[autor_es]],autorest[autor_es],autorest[epoca_la])</f>
        <v>Medium Aevum</v>
      </c>
    </row>
    <row r="343" spans="1:15">
      <c r="A343">
        <v>342</v>
      </c>
      <c r="B343" t="s">
        <v>934</v>
      </c>
      <c r="C343" t="s">
        <v>935</v>
      </c>
      <c r="D343" t="s">
        <v>935</v>
      </c>
      <c r="E343" t="s">
        <v>929</v>
      </c>
      <c r="F343" t="str">
        <f>_xlfn.XLOOKUP(frasest[[#This Row],[autor_es]],autorest[autor_es],autorest[autor_la])</f>
        <v>Anselmus Cantuariensis</v>
      </c>
      <c r="G343" t="str">
        <f>_xlfn.XLOOKUP(frasest[[#This Row],[autor_es]],autorest[autor_es],autorest[bio_es])</f>
        <v>Arzobispo de Canterbury, Doctor de la Iglesia y filósofo. Autor del argumento ontológico de la existencia de Dios. Padre de la escolástica.</v>
      </c>
      <c r="H343" t="str">
        <f>_xlfn.XLOOKUP(frasest[[#This Row],[autor_es]],autorest[autor_es],autorest[bio_la])</f>
        <v>Archiepiscopus Cantuariensis, Doctor Ecclesiae et philosophus. Auctor argumenti ontologici existentiae Dei. Pater scholasticae.</v>
      </c>
      <c r="I343" t="str">
        <f>_xlfn.XLOOKUP(frasest[[#This Row],[autor_es]],autorest[autor_es],autorest[codigo])</f>
        <v>la</v>
      </c>
      <c r="J343" t="str">
        <f>_xlfn.XLOOKUP(frasest[[#This Row],[autor_es]],autorest[autor_es],autorest[idioma_es])</f>
        <v>Latín</v>
      </c>
      <c r="K343" t="str">
        <f>_xlfn.XLOOKUP(frasest[[#This Row],[autor_es]],autorest[autor_es],autorest[idioma_la])</f>
        <v>Lingua Latina</v>
      </c>
      <c r="L343" t="str">
        <f>_xlfn.XLOOKUP(frasest[[#This Row],[autor_es]],autorest[autor_es],autorest[nacion_es])</f>
        <v>Italia</v>
      </c>
      <c r="M343" t="str">
        <f>_xlfn.XLOOKUP(frasest[[#This Row],[autor_es]],autorest[autor_es],autorest[nacion_la])</f>
        <v>Italia</v>
      </c>
      <c r="N343" t="str">
        <f>_xlfn.XLOOKUP(frasest[[#This Row],[autor_es]],autorest[autor_es],autorest[epoca_es])</f>
        <v>Edad Media</v>
      </c>
      <c r="O343" t="str">
        <f>_xlfn.XLOOKUP(frasest[[#This Row],[autor_es]],autorest[autor_es],autorest[epoca_la])</f>
        <v>Medium Aevum</v>
      </c>
    </row>
    <row r="344" spans="1:15">
      <c r="A344">
        <v>343</v>
      </c>
      <c r="B344" t="s">
        <v>936</v>
      </c>
      <c r="C344" t="s">
        <v>937</v>
      </c>
      <c r="D344" t="s">
        <v>937</v>
      </c>
      <c r="E344" t="s">
        <v>929</v>
      </c>
      <c r="F344" t="str">
        <f>_xlfn.XLOOKUP(frasest[[#This Row],[autor_es]],autorest[autor_es],autorest[autor_la])</f>
        <v>Anselmus Cantuariensis</v>
      </c>
      <c r="G344" t="str">
        <f>_xlfn.XLOOKUP(frasest[[#This Row],[autor_es]],autorest[autor_es],autorest[bio_es])</f>
        <v>Arzobispo de Canterbury, Doctor de la Iglesia y filósofo. Autor del argumento ontológico de la existencia de Dios. Padre de la escolástica.</v>
      </c>
      <c r="H344" t="str">
        <f>_xlfn.XLOOKUP(frasest[[#This Row],[autor_es]],autorest[autor_es],autorest[bio_la])</f>
        <v>Archiepiscopus Cantuariensis, Doctor Ecclesiae et philosophus. Auctor argumenti ontologici existentiae Dei. Pater scholasticae.</v>
      </c>
      <c r="I344" t="str">
        <f>_xlfn.XLOOKUP(frasest[[#This Row],[autor_es]],autorest[autor_es],autorest[codigo])</f>
        <v>la</v>
      </c>
      <c r="J344" t="str">
        <f>_xlfn.XLOOKUP(frasest[[#This Row],[autor_es]],autorest[autor_es],autorest[idioma_es])</f>
        <v>Latín</v>
      </c>
      <c r="K344" t="str">
        <f>_xlfn.XLOOKUP(frasest[[#This Row],[autor_es]],autorest[autor_es],autorest[idioma_la])</f>
        <v>Lingua Latina</v>
      </c>
      <c r="L344" t="str">
        <f>_xlfn.XLOOKUP(frasest[[#This Row],[autor_es]],autorest[autor_es],autorest[nacion_es])</f>
        <v>Italia</v>
      </c>
      <c r="M344" t="str">
        <f>_xlfn.XLOOKUP(frasest[[#This Row],[autor_es]],autorest[autor_es],autorest[nacion_la])</f>
        <v>Italia</v>
      </c>
      <c r="N344" t="str">
        <f>_xlfn.XLOOKUP(frasest[[#This Row],[autor_es]],autorest[autor_es],autorest[epoca_es])</f>
        <v>Edad Media</v>
      </c>
      <c r="O344" t="str">
        <f>_xlfn.XLOOKUP(frasest[[#This Row],[autor_es]],autorest[autor_es],autorest[epoca_la])</f>
        <v>Medium Aevum</v>
      </c>
    </row>
    <row r="345" spans="1:15">
      <c r="A345">
        <v>344</v>
      </c>
      <c r="B345" t="s">
        <v>938</v>
      </c>
      <c r="C345" t="s">
        <v>939</v>
      </c>
      <c r="D345" t="s">
        <v>939</v>
      </c>
      <c r="E345" t="s">
        <v>929</v>
      </c>
      <c r="F345" t="str">
        <f>_xlfn.XLOOKUP(frasest[[#This Row],[autor_es]],autorest[autor_es],autorest[autor_la])</f>
        <v>Anselmus Cantuariensis</v>
      </c>
      <c r="G345" t="str">
        <f>_xlfn.XLOOKUP(frasest[[#This Row],[autor_es]],autorest[autor_es],autorest[bio_es])</f>
        <v>Arzobispo de Canterbury, Doctor de la Iglesia y filósofo. Autor del argumento ontológico de la existencia de Dios. Padre de la escolástica.</v>
      </c>
      <c r="H345" t="str">
        <f>_xlfn.XLOOKUP(frasest[[#This Row],[autor_es]],autorest[autor_es],autorest[bio_la])</f>
        <v>Archiepiscopus Cantuariensis, Doctor Ecclesiae et philosophus. Auctor argumenti ontologici existentiae Dei. Pater scholasticae.</v>
      </c>
      <c r="I345" t="str">
        <f>_xlfn.XLOOKUP(frasest[[#This Row],[autor_es]],autorest[autor_es],autorest[codigo])</f>
        <v>la</v>
      </c>
      <c r="J345" t="str">
        <f>_xlfn.XLOOKUP(frasest[[#This Row],[autor_es]],autorest[autor_es],autorest[idioma_es])</f>
        <v>Latín</v>
      </c>
      <c r="K345" t="str">
        <f>_xlfn.XLOOKUP(frasest[[#This Row],[autor_es]],autorest[autor_es],autorest[idioma_la])</f>
        <v>Lingua Latina</v>
      </c>
      <c r="L345" t="str">
        <f>_xlfn.XLOOKUP(frasest[[#This Row],[autor_es]],autorest[autor_es],autorest[nacion_es])</f>
        <v>Italia</v>
      </c>
      <c r="M345" t="str">
        <f>_xlfn.XLOOKUP(frasest[[#This Row],[autor_es]],autorest[autor_es],autorest[nacion_la])</f>
        <v>Italia</v>
      </c>
      <c r="N345" t="str">
        <f>_xlfn.XLOOKUP(frasest[[#This Row],[autor_es]],autorest[autor_es],autorest[epoca_es])</f>
        <v>Edad Media</v>
      </c>
      <c r="O345" t="str">
        <f>_xlfn.XLOOKUP(frasest[[#This Row],[autor_es]],autorest[autor_es],autorest[epoca_la])</f>
        <v>Medium Aevum</v>
      </c>
    </row>
    <row r="346" spans="1:15">
      <c r="A346">
        <v>345</v>
      </c>
      <c r="B346" t="s">
        <v>940</v>
      </c>
      <c r="C346" t="s">
        <v>941</v>
      </c>
      <c r="D346" t="s">
        <v>941</v>
      </c>
      <c r="E346" t="s">
        <v>929</v>
      </c>
      <c r="F346" t="str">
        <f>_xlfn.XLOOKUP(frasest[[#This Row],[autor_es]],autorest[autor_es],autorest[autor_la])</f>
        <v>Anselmus Cantuariensis</v>
      </c>
      <c r="G346" t="str">
        <f>_xlfn.XLOOKUP(frasest[[#This Row],[autor_es]],autorest[autor_es],autorest[bio_es])</f>
        <v>Arzobispo de Canterbury, Doctor de la Iglesia y filósofo. Autor del argumento ontológico de la existencia de Dios. Padre de la escolástica.</v>
      </c>
      <c r="H346" t="str">
        <f>_xlfn.XLOOKUP(frasest[[#This Row],[autor_es]],autorest[autor_es],autorest[bio_la])</f>
        <v>Archiepiscopus Cantuariensis, Doctor Ecclesiae et philosophus. Auctor argumenti ontologici existentiae Dei. Pater scholasticae.</v>
      </c>
      <c r="I346" t="str">
        <f>_xlfn.XLOOKUP(frasest[[#This Row],[autor_es]],autorest[autor_es],autorest[codigo])</f>
        <v>la</v>
      </c>
      <c r="J346" t="str">
        <f>_xlfn.XLOOKUP(frasest[[#This Row],[autor_es]],autorest[autor_es],autorest[idioma_es])</f>
        <v>Latín</v>
      </c>
      <c r="K346" t="str">
        <f>_xlfn.XLOOKUP(frasest[[#This Row],[autor_es]],autorest[autor_es],autorest[idioma_la])</f>
        <v>Lingua Latina</v>
      </c>
      <c r="L346" t="str">
        <f>_xlfn.XLOOKUP(frasest[[#This Row],[autor_es]],autorest[autor_es],autorest[nacion_es])</f>
        <v>Italia</v>
      </c>
      <c r="M346" t="str">
        <f>_xlfn.XLOOKUP(frasest[[#This Row],[autor_es]],autorest[autor_es],autorest[nacion_la])</f>
        <v>Italia</v>
      </c>
      <c r="N346" t="str">
        <f>_xlfn.XLOOKUP(frasest[[#This Row],[autor_es]],autorest[autor_es],autorest[epoca_es])</f>
        <v>Edad Media</v>
      </c>
      <c r="O346" t="str">
        <f>_xlfn.XLOOKUP(frasest[[#This Row],[autor_es]],autorest[autor_es],autorest[epoca_la])</f>
        <v>Medium Aevum</v>
      </c>
    </row>
    <row r="347" spans="1:15">
      <c r="A347">
        <v>346</v>
      </c>
      <c r="B347" t="s">
        <v>942</v>
      </c>
      <c r="C347" t="s">
        <v>943</v>
      </c>
      <c r="D347" t="s">
        <v>943</v>
      </c>
      <c r="E347" t="s">
        <v>929</v>
      </c>
      <c r="F347" t="str">
        <f>_xlfn.XLOOKUP(frasest[[#This Row],[autor_es]],autorest[autor_es],autorest[autor_la])</f>
        <v>Anselmus Cantuariensis</v>
      </c>
      <c r="G347" t="str">
        <f>_xlfn.XLOOKUP(frasest[[#This Row],[autor_es]],autorest[autor_es],autorest[bio_es])</f>
        <v>Arzobispo de Canterbury, Doctor de la Iglesia y filósofo. Autor del argumento ontológico de la existencia de Dios. Padre de la escolástica.</v>
      </c>
      <c r="H347" t="str">
        <f>_xlfn.XLOOKUP(frasest[[#This Row],[autor_es]],autorest[autor_es],autorest[bio_la])</f>
        <v>Archiepiscopus Cantuariensis, Doctor Ecclesiae et philosophus. Auctor argumenti ontologici existentiae Dei. Pater scholasticae.</v>
      </c>
      <c r="I347" t="str">
        <f>_xlfn.XLOOKUP(frasest[[#This Row],[autor_es]],autorest[autor_es],autorest[codigo])</f>
        <v>la</v>
      </c>
      <c r="J347" t="str">
        <f>_xlfn.XLOOKUP(frasest[[#This Row],[autor_es]],autorest[autor_es],autorest[idioma_es])</f>
        <v>Latín</v>
      </c>
      <c r="K347" t="str">
        <f>_xlfn.XLOOKUP(frasest[[#This Row],[autor_es]],autorest[autor_es],autorest[idioma_la])</f>
        <v>Lingua Latina</v>
      </c>
      <c r="L347" t="str">
        <f>_xlfn.XLOOKUP(frasest[[#This Row],[autor_es]],autorest[autor_es],autorest[nacion_es])</f>
        <v>Italia</v>
      </c>
      <c r="M347" t="str">
        <f>_xlfn.XLOOKUP(frasest[[#This Row],[autor_es]],autorest[autor_es],autorest[nacion_la])</f>
        <v>Italia</v>
      </c>
      <c r="N347" t="str">
        <f>_xlfn.XLOOKUP(frasest[[#This Row],[autor_es]],autorest[autor_es],autorest[epoca_es])</f>
        <v>Edad Media</v>
      </c>
      <c r="O347" t="str">
        <f>_xlfn.XLOOKUP(frasest[[#This Row],[autor_es]],autorest[autor_es],autorest[epoca_la])</f>
        <v>Medium Aevum</v>
      </c>
    </row>
    <row r="348" spans="1:15">
      <c r="A348">
        <v>347</v>
      </c>
      <c r="B348" t="s">
        <v>944</v>
      </c>
      <c r="C348" t="s">
        <v>945</v>
      </c>
      <c r="D348" t="s">
        <v>945</v>
      </c>
      <c r="E348" t="s">
        <v>929</v>
      </c>
      <c r="F348" t="str">
        <f>_xlfn.XLOOKUP(frasest[[#This Row],[autor_es]],autorest[autor_es],autorest[autor_la])</f>
        <v>Anselmus Cantuariensis</v>
      </c>
      <c r="G348" t="str">
        <f>_xlfn.XLOOKUP(frasest[[#This Row],[autor_es]],autorest[autor_es],autorest[bio_es])</f>
        <v>Arzobispo de Canterbury, Doctor de la Iglesia y filósofo. Autor del argumento ontológico de la existencia de Dios. Padre de la escolástica.</v>
      </c>
      <c r="H348" t="str">
        <f>_xlfn.XLOOKUP(frasest[[#This Row],[autor_es]],autorest[autor_es],autorest[bio_la])</f>
        <v>Archiepiscopus Cantuariensis, Doctor Ecclesiae et philosophus. Auctor argumenti ontologici existentiae Dei. Pater scholasticae.</v>
      </c>
      <c r="I348" t="str">
        <f>_xlfn.XLOOKUP(frasest[[#This Row],[autor_es]],autorest[autor_es],autorest[codigo])</f>
        <v>la</v>
      </c>
      <c r="J348" t="str">
        <f>_xlfn.XLOOKUP(frasest[[#This Row],[autor_es]],autorest[autor_es],autorest[idioma_es])</f>
        <v>Latín</v>
      </c>
      <c r="K348" t="str">
        <f>_xlfn.XLOOKUP(frasest[[#This Row],[autor_es]],autorest[autor_es],autorest[idioma_la])</f>
        <v>Lingua Latina</v>
      </c>
      <c r="L348" t="str">
        <f>_xlfn.XLOOKUP(frasest[[#This Row],[autor_es]],autorest[autor_es],autorest[nacion_es])</f>
        <v>Italia</v>
      </c>
      <c r="M348" t="str">
        <f>_xlfn.XLOOKUP(frasest[[#This Row],[autor_es]],autorest[autor_es],autorest[nacion_la])</f>
        <v>Italia</v>
      </c>
      <c r="N348" t="str">
        <f>_xlfn.XLOOKUP(frasest[[#This Row],[autor_es]],autorest[autor_es],autorest[epoca_es])</f>
        <v>Edad Media</v>
      </c>
      <c r="O348" t="str">
        <f>_xlfn.XLOOKUP(frasest[[#This Row],[autor_es]],autorest[autor_es],autorest[epoca_la])</f>
        <v>Medium Aevum</v>
      </c>
    </row>
    <row r="349" spans="1:15">
      <c r="A349">
        <v>348</v>
      </c>
      <c r="B349" t="s">
        <v>946</v>
      </c>
      <c r="C349" t="s">
        <v>947</v>
      </c>
      <c r="D349" t="s">
        <v>947</v>
      </c>
      <c r="E349" t="s">
        <v>929</v>
      </c>
      <c r="F349" t="str">
        <f>_xlfn.XLOOKUP(frasest[[#This Row],[autor_es]],autorest[autor_es],autorest[autor_la])</f>
        <v>Anselmus Cantuariensis</v>
      </c>
      <c r="G349" t="str">
        <f>_xlfn.XLOOKUP(frasest[[#This Row],[autor_es]],autorest[autor_es],autorest[bio_es])</f>
        <v>Arzobispo de Canterbury, Doctor de la Iglesia y filósofo. Autor del argumento ontológico de la existencia de Dios. Padre de la escolástica.</v>
      </c>
      <c r="H349" t="str">
        <f>_xlfn.XLOOKUP(frasest[[#This Row],[autor_es]],autorest[autor_es],autorest[bio_la])</f>
        <v>Archiepiscopus Cantuariensis, Doctor Ecclesiae et philosophus. Auctor argumenti ontologici existentiae Dei. Pater scholasticae.</v>
      </c>
      <c r="I349" t="str">
        <f>_xlfn.XLOOKUP(frasest[[#This Row],[autor_es]],autorest[autor_es],autorest[codigo])</f>
        <v>la</v>
      </c>
      <c r="J349" t="str">
        <f>_xlfn.XLOOKUP(frasest[[#This Row],[autor_es]],autorest[autor_es],autorest[idioma_es])</f>
        <v>Latín</v>
      </c>
      <c r="K349" t="str">
        <f>_xlfn.XLOOKUP(frasest[[#This Row],[autor_es]],autorest[autor_es],autorest[idioma_la])</f>
        <v>Lingua Latina</v>
      </c>
      <c r="L349" t="str">
        <f>_xlfn.XLOOKUP(frasest[[#This Row],[autor_es]],autorest[autor_es],autorest[nacion_es])</f>
        <v>Italia</v>
      </c>
      <c r="M349" t="str">
        <f>_xlfn.XLOOKUP(frasest[[#This Row],[autor_es]],autorest[autor_es],autorest[nacion_la])</f>
        <v>Italia</v>
      </c>
      <c r="N349" t="str">
        <f>_xlfn.XLOOKUP(frasest[[#This Row],[autor_es]],autorest[autor_es],autorest[epoca_es])</f>
        <v>Edad Media</v>
      </c>
      <c r="O349" t="str">
        <f>_xlfn.XLOOKUP(frasest[[#This Row],[autor_es]],autorest[autor_es],autorest[epoca_la])</f>
        <v>Medium Aevum</v>
      </c>
    </row>
    <row r="350" spans="1:15">
      <c r="A350">
        <v>349</v>
      </c>
      <c r="B350" t="s">
        <v>948</v>
      </c>
      <c r="C350" t="s">
        <v>949</v>
      </c>
      <c r="D350" t="s">
        <v>950</v>
      </c>
      <c r="E350" t="s">
        <v>951</v>
      </c>
      <c r="F350" t="str">
        <f>_xlfn.XLOOKUP(frasest[[#This Row],[autor_es]],autorest[autor_es],autorest[autor_la])</f>
        <v>Gulielmus de Ockham</v>
      </c>
      <c r="G350" t="str">
        <f>_xlfn.XLOOKUP(frasest[[#This Row],[autor_es]],autorest[autor_es],autorest[bio_es])</f>
        <v>Filósofo y teólogo franciscano inglés. Padre del nominalismo, autor de la "navaja de Ockham" (principio de parsimonia). Defensor de la separación entre fe y razón.</v>
      </c>
      <c r="H350" t="str">
        <f>_xlfn.XLOOKUP(frasest[[#This Row],[autor_es]],autorest[autor_es],autorest[bio_la])</f>
        <v>Philosophus et theologus Franciscanus Anglicus. Pater nominalismi, auctor "novaculae Occami" (principium parsimoniae). Separationis inter fidem et rationem defensor.</v>
      </c>
      <c r="I350" t="str">
        <f>_xlfn.XLOOKUP(frasest[[#This Row],[autor_es]],autorest[autor_es],autorest[codigo])</f>
        <v>en</v>
      </c>
      <c r="J350" t="str">
        <f>_xlfn.XLOOKUP(frasest[[#This Row],[autor_es]],autorest[autor_es],autorest[idioma_es])</f>
        <v>Inglés</v>
      </c>
      <c r="K350" t="str">
        <f>_xlfn.XLOOKUP(frasest[[#This Row],[autor_es]],autorest[autor_es],autorest[idioma_la])</f>
        <v>Lingua Anglica</v>
      </c>
      <c r="L350" t="str">
        <f>_xlfn.XLOOKUP(frasest[[#This Row],[autor_es]],autorest[autor_es],autorest[nacion_es])</f>
        <v>Reino Unido</v>
      </c>
      <c r="M350" t="str">
        <f>_xlfn.XLOOKUP(frasest[[#This Row],[autor_es]],autorest[autor_es],autorest[nacion_la])</f>
        <v>Regnum Unitum</v>
      </c>
      <c r="N350" t="str">
        <f>_xlfn.XLOOKUP(frasest[[#This Row],[autor_es]],autorest[autor_es],autorest[epoca_es])</f>
        <v>Edad Media</v>
      </c>
      <c r="O350" t="str">
        <f>_xlfn.XLOOKUP(frasest[[#This Row],[autor_es]],autorest[autor_es],autorest[epoca_la])</f>
        <v>Medium Aevum</v>
      </c>
    </row>
    <row r="351" spans="1:15">
      <c r="A351">
        <v>350</v>
      </c>
      <c r="B351" t="s">
        <v>952</v>
      </c>
      <c r="C351" t="s">
        <v>953</v>
      </c>
      <c r="D351" t="s">
        <v>954</v>
      </c>
      <c r="E351" t="s">
        <v>951</v>
      </c>
      <c r="F351" t="str">
        <f>_xlfn.XLOOKUP(frasest[[#This Row],[autor_es]],autorest[autor_es],autorest[autor_la])</f>
        <v>Gulielmus de Ockham</v>
      </c>
      <c r="G351" t="str">
        <f>_xlfn.XLOOKUP(frasest[[#This Row],[autor_es]],autorest[autor_es],autorest[bio_es])</f>
        <v>Filósofo y teólogo franciscano inglés. Padre del nominalismo, autor de la "navaja de Ockham" (principio de parsimonia). Defensor de la separación entre fe y razón.</v>
      </c>
      <c r="H351" t="str">
        <f>_xlfn.XLOOKUP(frasest[[#This Row],[autor_es]],autorest[autor_es],autorest[bio_la])</f>
        <v>Philosophus et theologus Franciscanus Anglicus. Pater nominalismi, auctor "novaculae Occami" (principium parsimoniae). Separationis inter fidem et rationem defensor.</v>
      </c>
      <c r="I351" t="str">
        <f>_xlfn.XLOOKUP(frasest[[#This Row],[autor_es]],autorest[autor_es],autorest[codigo])</f>
        <v>en</v>
      </c>
      <c r="J351" t="str">
        <f>_xlfn.XLOOKUP(frasest[[#This Row],[autor_es]],autorest[autor_es],autorest[idioma_es])</f>
        <v>Inglés</v>
      </c>
      <c r="K351" t="str">
        <f>_xlfn.XLOOKUP(frasest[[#This Row],[autor_es]],autorest[autor_es],autorest[idioma_la])</f>
        <v>Lingua Anglica</v>
      </c>
      <c r="L351" t="str">
        <f>_xlfn.XLOOKUP(frasest[[#This Row],[autor_es]],autorest[autor_es],autorest[nacion_es])</f>
        <v>Reino Unido</v>
      </c>
      <c r="M351" t="str">
        <f>_xlfn.XLOOKUP(frasest[[#This Row],[autor_es]],autorest[autor_es],autorest[nacion_la])</f>
        <v>Regnum Unitum</v>
      </c>
      <c r="N351" t="str">
        <f>_xlfn.XLOOKUP(frasest[[#This Row],[autor_es]],autorest[autor_es],autorest[epoca_es])</f>
        <v>Edad Media</v>
      </c>
      <c r="O351" t="str">
        <f>_xlfn.XLOOKUP(frasest[[#This Row],[autor_es]],autorest[autor_es],autorest[epoca_la])</f>
        <v>Medium Aevum</v>
      </c>
    </row>
    <row r="352" spans="1:15">
      <c r="A352">
        <v>351</v>
      </c>
      <c r="B352" t="s">
        <v>955</v>
      </c>
      <c r="C352" t="s">
        <v>956</v>
      </c>
      <c r="D352" t="s">
        <v>957</v>
      </c>
      <c r="E352" t="s">
        <v>951</v>
      </c>
      <c r="F352" t="str">
        <f>_xlfn.XLOOKUP(frasest[[#This Row],[autor_es]],autorest[autor_es],autorest[autor_la])</f>
        <v>Gulielmus de Ockham</v>
      </c>
      <c r="G352" t="str">
        <f>_xlfn.XLOOKUP(frasest[[#This Row],[autor_es]],autorest[autor_es],autorest[bio_es])</f>
        <v>Filósofo y teólogo franciscano inglés. Padre del nominalismo, autor de la "navaja de Ockham" (principio de parsimonia). Defensor de la separación entre fe y razón.</v>
      </c>
      <c r="H352" t="str">
        <f>_xlfn.XLOOKUP(frasest[[#This Row],[autor_es]],autorest[autor_es],autorest[bio_la])</f>
        <v>Philosophus et theologus Franciscanus Anglicus. Pater nominalismi, auctor "novaculae Occami" (principium parsimoniae). Separationis inter fidem et rationem defensor.</v>
      </c>
      <c r="I352" t="str">
        <f>_xlfn.XLOOKUP(frasest[[#This Row],[autor_es]],autorest[autor_es],autorest[codigo])</f>
        <v>en</v>
      </c>
      <c r="J352" t="str">
        <f>_xlfn.XLOOKUP(frasest[[#This Row],[autor_es]],autorest[autor_es],autorest[idioma_es])</f>
        <v>Inglés</v>
      </c>
      <c r="K352" t="str">
        <f>_xlfn.XLOOKUP(frasest[[#This Row],[autor_es]],autorest[autor_es],autorest[idioma_la])</f>
        <v>Lingua Anglica</v>
      </c>
      <c r="L352" t="str">
        <f>_xlfn.XLOOKUP(frasest[[#This Row],[autor_es]],autorest[autor_es],autorest[nacion_es])</f>
        <v>Reino Unido</v>
      </c>
      <c r="M352" t="str">
        <f>_xlfn.XLOOKUP(frasest[[#This Row],[autor_es]],autorest[autor_es],autorest[nacion_la])</f>
        <v>Regnum Unitum</v>
      </c>
      <c r="N352" t="str">
        <f>_xlfn.XLOOKUP(frasest[[#This Row],[autor_es]],autorest[autor_es],autorest[epoca_es])</f>
        <v>Edad Media</v>
      </c>
      <c r="O352" t="str">
        <f>_xlfn.XLOOKUP(frasest[[#This Row],[autor_es]],autorest[autor_es],autorest[epoca_la])</f>
        <v>Medium Aevum</v>
      </c>
    </row>
    <row r="353" spans="1:15">
      <c r="A353">
        <v>352</v>
      </c>
      <c r="B353" t="s">
        <v>958</v>
      </c>
      <c r="C353" t="s">
        <v>959</v>
      </c>
      <c r="D353" t="s">
        <v>960</v>
      </c>
      <c r="E353" t="s">
        <v>951</v>
      </c>
      <c r="F353" t="str">
        <f>_xlfn.XLOOKUP(frasest[[#This Row],[autor_es]],autorest[autor_es],autorest[autor_la])</f>
        <v>Gulielmus de Ockham</v>
      </c>
      <c r="G353" t="str">
        <f>_xlfn.XLOOKUP(frasest[[#This Row],[autor_es]],autorest[autor_es],autorest[bio_es])</f>
        <v>Filósofo y teólogo franciscano inglés. Padre del nominalismo, autor de la "navaja de Ockham" (principio de parsimonia). Defensor de la separación entre fe y razón.</v>
      </c>
      <c r="H353" t="str">
        <f>_xlfn.XLOOKUP(frasest[[#This Row],[autor_es]],autorest[autor_es],autorest[bio_la])</f>
        <v>Philosophus et theologus Franciscanus Anglicus. Pater nominalismi, auctor "novaculae Occami" (principium parsimoniae). Separationis inter fidem et rationem defensor.</v>
      </c>
      <c r="I353" t="str">
        <f>_xlfn.XLOOKUP(frasest[[#This Row],[autor_es]],autorest[autor_es],autorest[codigo])</f>
        <v>en</v>
      </c>
      <c r="J353" t="str">
        <f>_xlfn.XLOOKUP(frasest[[#This Row],[autor_es]],autorest[autor_es],autorest[idioma_es])</f>
        <v>Inglés</v>
      </c>
      <c r="K353" t="str">
        <f>_xlfn.XLOOKUP(frasest[[#This Row],[autor_es]],autorest[autor_es],autorest[idioma_la])</f>
        <v>Lingua Anglica</v>
      </c>
      <c r="L353" t="str">
        <f>_xlfn.XLOOKUP(frasest[[#This Row],[autor_es]],autorest[autor_es],autorest[nacion_es])</f>
        <v>Reino Unido</v>
      </c>
      <c r="M353" t="str">
        <f>_xlfn.XLOOKUP(frasest[[#This Row],[autor_es]],autorest[autor_es],autorest[nacion_la])</f>
        <v>Regnum Unitum</v>
      </c>
      <c r="N353" t="str">
        <f>_xlfn.XLOOKUP(frasest[[#This Row],[autor_es]],autorest[autor_es],autorest[epoca_es])</f>
        <v>Edad Media</v>
      </c>
      <c r="O353" t="str">
        <f>_xlfn.XLOOKUP(frasest[[#This Row],[autor_es]],autorest[autor_es],autorest[epoca_la])</f>
        <v>Medium Aevum</v>
      </c>
    </row>
    <row r="354" spans="1:15">
      <c r="A354">
        <v>353</v>
      </c>
      <c r="B354" t="s">
        <v>961</v>
      </c>
      <c r="C354" t="s">
        <v>962</v>
      </c>
      <c r="D354" t="s">
        <v>963</v>
      </c>
      <c r="E354" t="s">
        <v>951</v>
      </c>
      <c r="F354" t="str">
        <f>_xlfn.XLOOKUP(frasest[[#This Row],[autor_es]],autorest[autor_es],autorest[autor_la])</f>
        <v>Gulielmus de Ockham</v>
      </c>
      <c r="G354" t="str">
        <f>_xlfn.XLOOKUP(frasest[[#This Row],[autor_es]],autorest[autor_es],autorest[bio_es])</f>
        <v>Filósofo y teólogo franciscano inglés. Padre del nominalismo, autor de la "navaja de Ockham" (principio de parsimonia). Defensor de la separación entre fe y razón.</v>
      </c>
      <c r="H354" t="str">
        <f>_xlfn.XLOOKUP(frasest[[#This Row],[autor_es]],autorest[autor_es],autorest[bio_la])</f>
        <v>Philosophus et theologus Franciscanus Anglicus. Pater nominalismi, auctor "novaculae Occami" (principium parsimoniae). Separationis inter fidem et rationem defensor.</v>
      </c>
      <c r="I354" t="str">
        <f>_xlfn.XLOOKUP(frasest[[#This Row],[autor_es]],autorest[autor_es],autorest[codigo])</f>
        <v>en</v>
      </c>
      <c r="J354" t="str">
        <f>_xlfn.XLOOKUP(frasest[[#This Row],[autor_es]],autorest[autor_es],autorest[idioma_es])</f>
        <v>Inglés</v>
      </c>
      <c r="K354" t="str">
        <f>_xlfn.XLOOKUP(frasest[[#This Row],[autor_es]],autorest[autor_es],autorest[idioma_la])</f>
        <v>Lingua Anglica</v>
      </c>
      <c r="L354" t="str">
        <f>_xlfn.XLOOKUP(frasest[[#This Row],[autor_es]],autorest[autor_es],autorest[nacion_es])</f>
        <v>Reino Unido</v>
      </c>
      <c r="M354" t="str">
        <f>_xlfn.XLOOKUP(frasest[[#This Row],[autor_es]],autorest[autor_es],autorest[nacion_la])</f>
        <v>Regnum Unitum</v>
      </c>
      <c r="N354" t="str">
        <f>_xlfn.XLOOKUP(frasest[[#This Row],[autor_es]],autorest[autor_es],autorest[epoca_es])</f>
        <v>Edad Media</v>
      </c>
      <c r="O354" t="str">
        <f>_xlfn.XLOOKUP(frasest[[#This Row],[autor_es]],autorest[autor_es],autorest[epoca_la])</f>
        <v>Medium Aevum</v>
      </c>
    </row>
    <row r="355" spans="1:15">
      <c r="A355">
        <v>354</v>
      </c>
      <c r="B355" t="s">
        <v>964</v>
      </c>
      <c r="C355" t="s">
        <v>965</v>
      </c>
      <c r="D355" t="s">
        <v>966</v>
      </c>
      <c r="E355" t="s">
        <v>951</v>
      </c>
      <c r="F355" t="str">
        <f>_xlfn.XLOOKUP(frasest[[#This Row],[autor_es]],autorest[autor_es],autorest[autor_la])</f>
        <v>Gulielmus de Ockham</v>
      </c>
      <c r="G355" t="str">
        <f>_xlfn.XLOOKUP(frasest[[#This Row],[autor_es]],autorest[autor_es],autorest[bio_es])</f>
        <v>Filósofo y teólogo franciscano inglés. Padre del nominalismo, autor de la "navaja de Ockham" (principio de parsimonia). Defensor de la separación entre fe y razón.</v>
      </c>
      <c r="H355" t="str">
        <f>_xlfn.XLOOKUP(frasest[[#This Row],[autor_es]],autorest[autor_es],autorest[bio_la])</f>
        <v>Philosophus et theologus Franciscanus Anglicus. Pater nominalismi, auctor "novaculae Occami" (principium parsimoniae). Separationis inter fidem et rationem defensor.</v>
      </c>
      <c r="I355" t="str">
        <f>_xlfn.XLOOKUP(frasest[[#This Row],[autor_es]],autorest[autor_es],autorest[codigo])</f>
        <v>en</v>
      </c>
      <c r="J355" t="str">
        <f>_xlfn.XLOOKUP(frasest[[#This Row],[autor_es]],autorest[autor_es],autorest[idioma_es])</f>
        <v>Inglés</v>
      </c>
      <c r="K355" t="str">
        <f>_xlfn.XLOOKUP(frasest[[#This Row],[autor_es]],autorest[autor_es],autorest[idioma_la])</f>
        <v>Lingua Anglica</v>
      </c>
      <c r="L355" t="str">
        <f>_xlfn.XLOOKUP(frasest[[#This Row],[autor_es]],autorest[autor_es],autorest[nacion_es])</f>
        <v>Reino Unido</v>
      </c>
      <c r="M355" t="str">
        <f>_xlfn.XLOOKUP(frasest[[#This Row],[autor_es]],autorest[autor_es],autorest[nacion_la])</f>
        <v>Regnum Unitum</v>
      </c>
      <c r="N355" t="str">
        <f>_xlfn.XLOOKUP(frasest[[#This Row],[autor_es]],autorest[autor_es],autorest[epoca_es])</f>
        <v>Edad Media</v>
      </c>
      <c r="O355" t="str">
        <f>_xlfn.XLOOKUP(frasest[[#This Row],[autor_es]],autorest[autor_es],autorest[epoca_la])</f>
        <v>Medium Aevum</v>
      </c>
    </row>
    <row r="356" spans="1:15">
      <c r="A356">
        <v>355</v>
      </c>
      <c r="B356" t="s">
        <v>967</v>
      </c>
      <c r="C356" t="s">
        <v>968</v>
      </c>
      <c r="D356" t="s">
        <v>969</v>
      </c>
      <c r="E356" t="s">
        <v>951</v>
      </c>
      <c r="F356" t="str">
        <f>_xlfn.XLOOKUP(frasest[[#This Row],[autor_es]],autorest[autor_es],autorest[autor_la])</f>
        <v>Gulielmus de Ockham</v>
      </c>
      <c r="G356" t="str">
        <f>_xlfn.XLOOKUP(frasest[[#This Row],[autor_es]],autorest[autor_es],autorest[bio_es])</f>
        <v>Filósofo y teólogo franciscano inglés. Padre del nominalismo, autor de la "navaja de Ockham" (principio de parsimonia). Defensor de la separación entre fe y razón.</v>
      </c>
      <c r="H356" t="str">
        <f>_xlfn.XLOOKUP(frasest[[#This Row],[autor_es]],autorest[autor_es],autorest[bio_la])</f>
        <v>Philosophus et theologus Franciscanus Anglicus. Pater nominalismi, auctor "novaculae Occami" (principium parsimoniae). Separationis inter fidem et rationem defensor.</v>
      </c>
      <c r="I356" t="str">
        <f>_xlfn.XLOOKUP(frasest[[#This Row],[autor_es]],autorest[autor_es],autorest[codigo])</f>
        <v>en</v>
      </c>
      <c r="J356" t="str">
        <f>_xlfn.XLOOKUP(frasest[[#This Row],[autor_es]],autorest[autor_es],autorest[idioma_es])</f>
        <v>Inglés</v>
      </c>
      <c r="K356" t="str">
        <f>_xlfn.XLOOKUP(frasest[[#This Row],[autor_es]],autorest[autor_es],autorest[idioma_la])</f>
        <v>Lingua Anglica</v>
      </c>
      <c r="L356" t="str">
        <f>_xlfn.XLOOKUP(frasest[[#This Row],[autor_es]],autorest[autor_es],autorest[nacion_es])</f>
        <v>Reino Unido</v>
      </c>
      <c r="M356" t="str">
        <f>_xlfn.XLOOKUP(frasest[[#This Row],[autor_es]],autorest[autor_es],autorest[nacion_la])</f>
        <v>Regnum Unitum</v>
      </c>
      <c r="N356" t="str">
        <f>_xlfn.XLOOKUP(frasest[[#This Row],[autor_es]],autorest[autor_es],autorest[epoca_es])</f>
        <v>Edad Media</v>
      </c>
      <c r="O356" t="str">
        <f>_xlfn.XLOOKUP(frasest[[#This Row],[autor_es]],autorest[autor_es],autorest[epoca_la])</f>
        <v>Medium Aevum</v>
      </c>
    </row>
    <row r="357" spans="1:15">
      <c r="A357">
        <v>356</v>
      </c>
      <c r="B357" t="s">
        <v>970</v>
      </c>
      <c r="C357" t="s">
        <v>971</v>
      </c>
      <c r="D357" t="s">
        <v>972</v>
      </c>
      <c r="E357" t="s">
        <v>951</v>
      </c>
      <c r="F357" t="str">
        <f>_xlfn.XLOOKUP(frasest[[#This Row],[autor_es]],autorest[autor_es],autorest[autor_la])</f>
        <v>Gulielmus de Ockham</v>
      </c>
      <c r="G357" t="str">
        <f>_xlfn.XLOOKUP(frasest[[#This Row],[autor_es]],autorest[autor_es],autorest[bio_es])</f>
        <v>Filósofo y teólogo franciscano inglés. Padre del nominalismo, autor de la "navaja de Ockham" (principio de parsimonia). Defensor de la separación entre fe y razón.</v>
      </c>
      <c r="H357" t="str">
        <f>_xlfn.XLOOKUP(frasest[[#This Row],[autor_es]],autorest[autor_es],autorest[bio_la])</f>
        <v>Philosophus et theologus Franciscanus Anglicus. Pater nominalismi, auctor "novaculae Occami" (principium parsimoniae). Separationis inter fidem et rationem defensor.</v>
      </c>
      <c r="I357" t="str">
        <f>_xlfn.XLOOKUP(frasest[[#This Row],[autor_es]],autorest[autor_es],autorest[codigo])</f>
        <v>en</v>
      </c>
      <c r="J357" t="str">
        <f>_xlfn.XLOOKUP(frasest[[#This Row],[autor_es]],autorest[autor_es],autorest[idioma_es])</f>
        <v>Inglés</v>
      </c>
      <c r="K357" t="str">
        <f>_xlfn.XLOOKUP(frasest[[#This Row],[autor_es]],autorest[autor_es],autorest[idioma_la])</f>
        <v>Lingua Anglica</v>
      </c>
      <c r="L357" t="str">
        <f>_xlfn.XLOOKUP(frasest[[#This Row],[autor_es]],autorest[autor_es],autorest[nacion_es])</f>
        <v>Reino Unido</v>
      </c>
      <c r="M357" t="str">
        <f>_xlfn.XLOOKUP(frasest[[#This Row],[autor_es]],autorest[autor_es],autorest[nacion_la])</f>
        <v>Regnum Unitum</v>
      </c>
      <c r="N357" t="str">
        <f>_xlfn.XLOOKUP(frasest[[#This Row],[autor_es]],autorest[autor_es],autorest[epoca_es])</f>
        <v>Edad Media</v>
      </c>
      <c r="O357" t="str">
        <f>_xlfn.XLOOKUP(frasest[[#This Row],[autor_es]],autorest[autor_es],autorest[epoca_la])</f>
        <v>Medium Aevum</v>
      </c>
    </row>
    <row r="358" spans="1:15">
      <c r="A358">
        <v>357</v>
      </c>
      <c r="B358" t="s">
        <v>973</v>
      </c>
      <c r="C358" t="s">
        <v>974</v>
      </c>
      <c r="D358" t="s">
        <v>975</v>
      </c>
      <c r="E358" t="s">
        <v>951</v>
      </c>
      <c r="F358" t="str">
        <f>_xlfn.XLOOKUP(frasest[[#This Row],[autor_es]],autorest[autor_es],autorest[autor_la])</f>
        <v>Gulielmus de Ockham</v>
      </c>
      <c r="G358" t="str">
        <f>_xlfn.XLOOKUP(frasest[[#This Row],[autor_es]],autorest[autor_es],autorest[bio_es])</f>
        <v>Filósofo y teólogo franciscano inglés. Padre del nominalismo, autor de la "navaja de Ockham" (principio de parsimonia). Defensor de la separación entre fe y razón.</v>
      </c>
      <c r="H358" t="str">
        <f>_xlfn.XLOOKUP(frasest[[#This Row],[autor_es]],autorest[autor_es],autorest[bio_la])</f>
        <v>Philosophus et theologus Franciscanus Anglicus. Pater nominalismi, auctor "novaculae Occami" (principium parsimoniae). Separationis inter fidem et rationem defensor.</v>
      </c>
      <c r="I358" t="str">
        <f>_xlfn.XLOOKUP(frasest[[#This Row],[autor_es]],autorest[autor_es],autorest[codigo])</f>
        <v>en</v>
      </c>
      <c r="J358" t="str">
        <f>_xlfn.XLOOKUP(frasest[[#This Row],[autor_es]],autorest[autor_es],autorest[idioma_es])</f>
        <v>Inglés</v>
      </c>
      <c r="K358" t="str">
        <f>_xlfn.XLOOKUP(frasest[[#This Row],[autor_es]],autorest[autor_es],autorest[idioma_la])</f>
        <v>Lingua Anglica</v>
      </c>
      <c r="L358" t="str">
        <f>_xlfn.XLOOKUP(frasest[[#This Row],[autor_es]],autorest[autor_es],autorest[nacion_es])</f>
        <v>Reino Unido</v>
      </c>
      <c r="M358" t="str">
        <f>_xlfn.XLOOKUP(frasest[[#This Row],[autor_es]],autorest[autor_es],autorest[nacion_la])</f>
        <v>Regnum Unitum</v>
      </c>
      <c r="N358" t="str">
        <f>_xlfn.XLOOKUP(frasest[[#This Row],[autor_es]],autorest[autor_es],autorest[epoca_es])</f>
        <v>Edad Media</v>
      </c>
      <c r="O358" t="str">
        <f>_xlfn.XLOOKUP(frasest[[#This Row],[autor_es]],autorest[autor_es],autorest[epoca_la])</f>
        <v>Medium Aevum</v>
      </c>
    </row>
    <row r="359" spans="1:15">
      <c r="A359">
        <v>358</v>
      </c>
      <c r="B359" t="s">
        <v>976</v>
      </c>
      <c r="C359" t="s">
        <v>977</v>
      </c>
      <c r="D359" t="s">
        <v>978</v>
      </c>
      <c r="E359" t="s">
        <v>951</v>
      </c>
      <c r="F359" t="str">
        <f>_xlfn.XLOOKUP(frasest[[#This Row],[autor_es]],autorest[autor_es],autorest[autor_la])</f>
        <v>Gulielmus de Ockham</v>
      </c>
      <c r="G359" t="str">
        <f>_xlfn.XLOOKUP(frasest[[#This Row],[autor_es]],autorest[autor_es],autorest[bio_es])</f>
        <v>Filósofo y teólogo franciscano inglés. Padre del nominalismo, autor de la "navaja de Ockham" (principio de parsimonia). Defensor de la separación entre fe y razón.</v>
      </c>
      <c r="H359" t="str">
        <f>_xlfn.XLOOKUP(frasest[[#This Row],[autor_es]],autorest[autor_es],autorest[bio_la])</f>
        <v>Philosophus et theologus Franciscanus Anglicus. Pater nominalismi, auctor "novaculae Occami" (principium parsimoniae). Separationis inter fidem et rationem defensor.</v>
      </c>
      <c r="I359" t="str">
        <f>_xlfn.XLOOKUP(frasest[[#This Row],[autor_es]],autorest[autor_es],autorest[codigo])</f>
        <v>en</v>
      </c>
      <c r="J359" t="str">
        <f>_xlfn.XLOOKUP(frasest[[#This Row],[autor_es]],autorest[autor_es],autorest[idioma_es])</f>
        <v>Inglés</v>
      </c>
      <c r="K359" t="str">
        <f>_xlfn.XLOOKUP(frasest[[#This Row],[autor_es]],autorest[autor_es],autorest[idioma_la])</f>
        <v>Lingua Anglica</v>
      </c>
      <c r="L359" t="str">
        <f>_xlfn.XLOOKUP(frasest[[#This Row],[autor_es]],autorest[autor_es],autorest[nacion_es])</f>
        <v>Reino Unido</v>
      </c>
      <c r="M359" t="str">
        <f>_xlfn.XLOOKUP(frasest[[#This Row],[autor_es]],autorest[autor_es],autorest[nacion_la])</f>
        <v>Regnum Unitum</v>
      </c>
      <c r="N359" t="str">
        <f>_xlfn.XLOOKUP(frasest[[#This Row],[autor_es]],autorest[autor_es],autorest[epoca_es])</f>
        <v>Edad Media</v>
      </c>
      <c r="O359" t="str">
        <f>_xlfn.XLOOKUP(frasest[[#This Row],[autor_es]],autorest[autor_es],autorest[epoca_la])</f>
        <v>Medium Aevum</v>
      </c>
    </row>
    <row r="360" spans="1:15">
      <c r="A360">
        <v>359</v>
      </c>
      <c r="B360" t="s">
        <v>979</v>
      </c>
      <c r="C360" t="s">
        <v>980</v>
      </c>
      <c r="D360" t="s">
        <v>980</v>
      </c>
      <c r="E360" t="s">
        <v>51</v>
      </c>
      <c r="F360" t="str">
        <f>_xlfn.XLOOKUP(frasest[[#This Row],[autor_es]],autorest[autor_es],autorest[autor_la])</f>
        <v>Aurelius Augustinus</v>
      </c>
      <c r="G360" t="str">
        <f>_xlfn.XLOOKUP(frasest[[#This Row],[autor_es]],autorest[autor_es],autorest[bio_es])</f>
        <v>Filósofo y teólogo cristiano.</v>
      </c>
      <c r="H360" t="str">
        <f>_xlfn.XLOOKUP(frasest[[#This Row],[autor_es]],autorest[autor_es],autorest[bio_la])</f>
        <v>Philosophus et theologus Christianus.</v>
      </c>
      <c r="I360" t="str">
        <f>_xlfn.XLOOKUP(frasest[[#This Row],[autor_es]],autorest[autor_es],autorest[codigo])</f>
        <v>la</v>
      </c>
      <c r="J360" t="str">
        <f>_xlfn.XLOOKUP(frasest[[#This Row],[autor_es]],autorest[autor_es],autorest[idioma_es])</f>
        <v>Latín</v>
      </c>
      <c r="K360" t="str">
        <f>_xlfn.XLOOKUP(frasest[[#This Row],[autor_es]],autorest[autor_es],autorest[idioma_la])</f>
        <v>Lingua Latina</v>
      </c>
      <c r="L360" t="str">
        <f>_xlfn.XLOOKUP(frasest[[#This Row],[autor_es]],autorest[autor_es],autorest[nacion_es])</f>
        <v>Roma</v>
      </c>
      <c r="M360" t="str">
        <f>_xlfn.XLOOKUP(frasest[[#This Row],[autor_es]],autorest[autor_es],autorest[nacion_la])</f>
        <v>Roma</v>
      </c>
      <c r="N360" t="str">
        <f>_xlfn.XLOOKUP(frasest[[#This Row],[autor_es]],autorest[autor_es],autorest[epoca_es])</f>
        <v>Edad Antigua</v>
      </c>
      <c r="O360" t="str">
        <f>_xlfn.XLOOKUP(frasest[[#This Row],[autor_es]],autorest[autor_es],autorest[epoca_la])</f>
        <v>Antiquitas</v>
      </c>
    </row>
    <row r="361" spans="1:15">
      <c r="A361">
        <v>360</v>
      </c>
      <c r="B361" t="s">
        <v>981</v>
      </c>
      <c r="C361" t="s">
        <v>982</v>
      </c>
      <c r="D361" t="s">
        <v>982</v>
      </c>
      <c r="E361" t="s">
        <v>51</v>
      </c>
      <c r="F361" t="str">
        <f>_xlfn.XLOOKUP(frasest[[#This Row],[autor_es]],autorest[autor_es],autorest[autor_la])</f>
        <v>Aurelius Augustinus</v>
      </c>
      <c r="G361" t="str">
        <f>_xlfn.XLOOKUP(frasest[[#This Row],[autor_es]],autorest[autor_es],autorest[bio_es])</f>
        <v>Filósofo y teólogo cristiano.</v>
      </c>
      <c r="H361" t="str">
        <f>_xlfn.XLOOKUP(frasest[[#This Row],[autor_es]],autorest[autor_es],autorest[bio_la])</f>
        <v>Philosophus et theologus Christianus.</v>
      </c>
      <c r="I361" t="str">
        <f>_xlfn.XLOOKUP(frasest[[#This Row],[autor_es]],autorest[autor_es],autorest[codigo])</f>
        <v>la</v>
      </c>
      <c r="J361" t="str">
        <f>_xlfn.XLOOKUP(frasest[[#This Row],[autor_es]],autorest[autor_es],autorest[idioma_es])</f>
        <v>Latín</v>
      </c>
      <c r="K361" t="str">
        <f>_xlfn.XLOOKUP(frasest[[#This Row],[autor_es]],autorest[autor_es],autorest[idioma_la])</f>
        <v>Lingua Latina</v>
      </c>
      <c r="L361" t="str">
        <f>_xlfn.XLOOKUP(frasest[[#This Row],[autor_es]],autorest[autor_es],autorest[nacion_es])</f>
        <v>Roma</v>
      </c>
      <c r="M361" t="str">
        <f>_xlfn.XLOOKUP(frasest[[#This Row],[autor_es]],autorest[autor_es],autorest[nacion_la])</f>
        <v>Roma</v>
      </c>
      <c r="N361" t="str">
        <f>_xlfn.XLOOKUP(frasest[[#This Row],[autor_es]],autorest[autor_es],autorest[epoca_es])</f>
        <v>Edad Antigua</v>
      </c>
      <c r="O361" t="str">
        <f>_xlfn.XLOOKUP(frasest[[#This Row],[autor_es]],autorest[autor_es],autorest[epoca_la])</f>
        <v>Antiquitas</v>
      </c>
    </row>
    <row r="362" spans="1:15">
      <c r="A362">
        <v>361</v>
      </c>
      <c r="B362" t="s">
        <v>983</v>
      </c>
      <c r="C362" t="s">
        <v>984</v>
      </c>
      <c r="D362" t="s">
        <v>984</v>
      </c>
      <c r="E362" t="s">
        <v>758</v>
      </c>
      <c r="F362" t="str">
        <f>_xlfn.XLOOKUP(frasest[[#This Row],[autor_es]],autorest[autor_es],autorest[autor_la])</f>
        <v>Athanasius Alexandrinus</v>
      </c>
      <c r="G362" t="str">
        <f>_xlfn.XLOOKUP(frasest[[#This Row],[autor_es]],autorest[autor_es],autorest[bio_es])</f>
        <v>Obispo de Alejandría, Doctor de la Iglesia y defensor de la ortodoxia nicena contra el arrianismo. Autor de la "Vida de San Antonio", influyente en la espiritualidad monástica.</v>
      </c>
      <c r="H362" t="str">
        <f>_xlfn.XLOOKUP(frasest[[#This Row],[autor_es]],autorest[autor_es],autorest[bio_la])</f>
        <v>Episcopus Alexandrinus, Doctor Ecclesiae et defensor orthodoxiae Nicaenae contra arianismum. Auctor "Vita Sancti Antonii", in spiritualitate monastica influens.</v>
      </c>
      <c r="I362" t="str">
        <f>_xlfn.XLOOKUP(frasest[[#This Row],[autor_es]],autorest[autor_es],autorest[codigo])</f>
        <v>la</v>
      </c>
      <c r="J362" t="str">
        <f>_xlfn.XLOOKUP(frasest[[#This Row],[autor_es]],autorest[autor_es],autorest[idioma_es])</f>
        <v>Latín</v>
      </c>
      <c r="K362" t="str">
        <f>_xlfn.XLOOKUP(frasest[[#This Row],[autor_es]],autorest[autor_es],autorest[idioma_la])</f>
        <v>Lingua Latina</v>
      </c>
      <c r="L362" t="str">
        <f>_xlfn.XLOOKUP(frasest[[#This Row],[autor_es]],autorest[autor_es],autorest[nacion_es])</f>
        <v>Roma</v>
      </c>
      <c r="M362" t="str">
        <f>_xlfn.XLOOKUP(frasest[[#This Row],[autor_es]],autorest[autor_es],autorest[nacion_la])</f>
        <v>Roma</v>
      </c>
      <c r="N362" t="str">
        <f>_xlfn.XLOOKUP(frasest[[#This Row],[autor_es]],autorest[autor_es],autorest[epoca_es])</f>
        <v>Edad Antigua</v>
      </c>
      <c r="O362" t="str">
        <f>_xlfn.XLOOKUP(frasest[[#This Row],[autor_es]],autorest[autor_es],autorest[epoca_la])</f>
        <v>Antiquitas</v>
      </c>
    </row>
    <row r="363" spans="1:15">
      <c r="A363">
        <v>362</v>
      </c>
      <c r="B363" t="s">
        <v>985</v>
      </c>
      <c r="C363" t="s">
        <v>986</v>
      </c>
      <c r="D363" t="s">
        <v>986</v>
      </c>
      <c r="E363" t="s">
        <v>157</v>
      </c>
      <c r="F363" t="str">
        <f>_xlfn.XLOOKUP(frasest[[#This Row],[autor_es]],autorest[autor_es],autorest[autor_la])</f>
        <v>Thomas Aquinas</v>
      </c>
      <c r="G363" t="str">
        <f>_xlfn.XLOOKUP(frasest[[#This Row],[autor_es]],autorest[autor_es],autorest[bio_es])</f>
        <v>Filósofo y teólogo italiano, representante de la Escolástica. Autor de la "Summa Theologica".</v>
      </c>
      <c r="H363" t="str">
        <f>_xlfn.XLOOKUP(frasest[[#This Row],[autor_es]],autorest[autor_es],autorest[bio_la])</f>
        <v>Philosophus et theologus Italicus, Scholasticae repraesentans. Auctor "Summa Theologica".</v>
      </c>
      <c r="I363" t="str">
        <f>_xlfn.XLOOKUP(frasest[[#This Row],[autor_es]],autorest[autor_es],autorest[codigo])</f>
        <v>la</v>
      </c>
      <c r="J363" t="str">
        <f>_xlfn.XLOOKUP(frasest[[#This Row],[autor_es]],autorest[autor_es],autorest[idioma_es])</f>
        <v>Latín</v>
      </c>
      <c r="K363" t="str">
        <f>_xlfn.XLOOKUP(frasest[[#This Row],[autor_es]],autorest[autor_es],autorest[idioma_la])</f>
        <v>Lingua Latina</v>
      </c>
      <c r="L363" t="str">
        <f>_xlfn.XLOOKUP(frasest[[#This Row],[autor_es]],autorest[autor_es],autorest[nacion_es])</f>
        <v>Italia</v>
      </c>
      <c r="M363" t="str">
        <f>_xlfn.XLOOKUP(frasest[[#This Row],[autor_es]],autorest[autor_es],autorest[nacion_la])</f>
        <v>Italia</v>
      </c>
      <c r="N363" t="str">
        <f>_xlfn.XLOOKUP(frasest[[#This Row],[autor_es]],autorest[autor_es],autorest[epoca_es])</f>
        <v>Edad Media</v>
      </c>
      <c r="O363" t="str">
        <f>_xlfn.XLOOKUP(frasest[[#This Row],[autor_es]],autorest[autor_es],autorest[epoca_la])</f>
        <v>Medium Aevum</v>
      </c>
    </row>
    <row r="364" spans="1:15">
      <c r="A364">
        <v>363</v>
      </c>
      <c r="B364" t="s">
        <v>979</v>
      </c>
      <c r="C364" t="s">
        <v>980</v>
      </c>
      <c r="D364" t="s">
        <v>980</v>
      </c>
      <c r="E364" t="s">
        <v>51</v>
      </c>
      <c r="F364" t="str">
        <f>_xlfn.XLOOKUP(frasest[[#This Row],[autor_es]],autorest[autor_es],autorest[autor_la])</f>
        <v>Aurelius Augustinus</v>
      </c>
      <c r="G364" t="str">
        <f>_xlfn.XLOOKUP(frasest[[#This Row],[autor_es]],autorest[autor_es],autorest[bio_es])</f>
        <v>Filósofo y teólogo cristiano.</v>
      </c>
      <c r="H364" t="str">
        <f>_xlfn.XLOOKUP(frasest[[#This Row],[autor_es]],autorest[autor_es],autorest[bio_la])</f>
        <v>Philosophus et theologus Christianus.</v>
      </c>
      <c r="I364" t="str">
        <f>_xlfn.XLOOKUP(frasest[[#This Row],[autor_es]],autorest[autor_es],autorest[codigo])</f>
        <v>la</v>
      </c>
      <c r="J364" t="str">
        <f>_xlfn.XLOOKUP(frasest[[#This Row],[autor_es]],autorest[autor_es],autorest[idioma_es])</f>
        <v>Latín</v>
      </c>
      <c r="K364" t="str">
        <f>_xlfn.XLOOKUP(frasest[[#This Row],[autor_es]],autorest[autor_es],autorest[idioma_la])</f>
        <v>Lingua Latina</v>
      </c>
      <c r="L364" t="str">
        <f>_xlfn.XLOOKUP(frasest[[#This Row],[autor_es]],autorest[autor_es],autorest[nacion_es])</f>
        <v>Roma</v>
      </c>
      <c r="M364" t="str">
        <f>_xlfn.XLOOKUP(frasest[[#This Row],[autor_es]],autorest[autor_es],autorest[nacion_la])</f>
        <v>Roma</v>
      </c>
      <c r="N364" t="str">
        <f>_xlfn.XLOOKUP(frasest[[#This Row],[autor_es]],autorest[autor_es],autorest[epoca_es])</f>
        <v>Edad Antigua</v>
      </c>
      <c r="O364" t="str">
        <f>_xlfn.XLOOKUP(frasest[[#This Row],[autor_es]],autorest[autor_es],autorest[epoca_la])</f>
        <v>Antiquitas</v>
      </c>
    </row>
    <row r="365" spans="1:15">
      <c r="A365">
        <v>364</v>
      </c>
      <c r="B365" t="s">
        <v>981</v>
      </c>
      <c r="C365" t="s">
        <v>982</v>
      </c>
      <c r="D365" t="s">
        <v>982</v>
      </c>
      <c r="E365" t="s">
        <v>51</v>
      </c>
      <c r="F365" t="str">
        <f>_xlfn.XLOOKUP(frasest[[#This Row],[autor_es]],autorest[autor_es],autorest[autor_la])</f>
        <v>Aurelius Augustinus</v>
      </c>
      <c r="G365" t="str">
        <f>_xlfn.XLOOKUP(frasest[[#This Row],[autor_es]],autorest[autor_es],autorest[bio_es])</f>
        <v>Filósofo y teólogo cristiano.</v>
      </c>
      <c r="H365" t="str">
        <f>_xlfn.XLOOKUP(frasest[[#This Row],[autor_es]],autorest[autor_es],autorest[bio_la])</f>
        <v>Philosophus et theologus Christianus.</v>
      </c>
      <c r="I365" t="str">
        <f>_xlfn.XLOOKUP(frasest[[#This Row],[autor_es]],autorest[autor_es],autorest[codigo])</f>
        <v>la</v>
      </c>
      <c r="J365" t="str">
        <f>_xlfn.XLOOKUP(frasest[[#This Row],[autor_es]],autorest[autor_es],autorest[idioma_es])</f>
        <v>Latín</v>
      </c>
      <c r="K365" t="str">
        <f>_xlfn.XLOOKUP(frasest[[#This Row],[autor_es]],autorest[autor_es],autorest[idioma_la])</f>
        <v>Lingua Latina</v>
      </c>
      <c r="L365" t="str">
        <f>_xlfn.XLOOKUP(frasest[[#This Row],[autor_es]],autorest[autor_es],autorest[nacion_es])</f>
        <v>Roma</v>
      </c>
      <c r="M365" t="str">
        <f>_xlfn.XLOOKUP(frasest[[#This Row],[autor_es]],autorest[autor_es],autorest[nacion_la])</f>
        <v>Roma</v>
      </c>
      <c r="N365" t="str">
        <f>_xlfn.XLOOKUP(frasest[[#This Row],[autor_es]],autorest[autor_es],autorest[epoca_es])</f>
        <v>Edad Antigua</v>
      </c>
      <c r="O365" t="str">
        <f>_xlfn.XLOOKUP(frasest[[#This Row],[autor_es]],autorest[autor_es],autorest[epoca_la])</f>
        <v>Antiquitas</v>
      </c>
    </row>
    <row r="366" spans="1:15">
      <c r="A366">
        <v>365</v>
      </c>
      <c r="B366" t="s">
        <v>983</v>
      </c>
      <c r="C366" t="s">
        <v>984</v>
      </c>
      <c r="D366" t="s">
        <v>984</v>
      </c>
      <c r="E366" t="s">
        <v>758</v>
      </c>
      <c r="F366" t="str">
        <f>_xlfn.XLOOKUP(frasest[[#This Row],[autor_es]],autorest[autor_es],autorest[autor_la])</f>
        <v>Athanasius Alexandrinus</v>
      </c>
      <c r="G366" t="str">
        <f>_xlfn.XLOOKUP(frasest[[#This Row],[autor_es]],autorest[autor_es],autorest[bio_es])</f>
        <v>Obispo de Alejandría, Doctor de la Iglesia y defensor de la ortodoxia nicena contra el arrianismo. Autor de la "Vida de San Antonio", influyente en la espiritualidad monástica.</v>
      </c>
      <c r="H366" t="str">
        <f>_xlfn.XLOOKUP(frasest[[#This Row],[autor_es]],autorest[autor_es],autorest[bio_la])</f>
        <v>Episcopus Alexandrinus, Doctor Ecclesiae et defensor orthodoxiae Nicaenae contra arianismum. Auctor "Vita Sancti Antonii", in spiritualitate monastica influens.</v>
      </c>
      <c r="I366" t="str">
        <f>_xlfn.XLOOKUP(frasest[[#This Row],[autor_es]],autorest[autor_es],autorest[codigo])</f>
        <v>la</v>
      </c>
      <c r="J366" t="str">
        <f>_xlfn.XLOOKUP(frasest[[#This Row],[autor_es]],autorest[autor_es],autorest[idioma_es])</f>
        <v>Latín</v>
      </c>
      <c r="K366" t="str">
        <f>_xlfn.XLOOKUP(frasest[[#This Row],[autor_es]],autorest[autor_es],autorest[idioma_la])</f>
        <v>Lingua Latina</v>
      </c>
      <c r="L366" t="str">
        <f>_xlfn.XLOOKUP(frasest[[#This Row],[autor_es]],autorest[autor_es],autorest[nacion_es])</f>
        <v>Roma</v>
      </c>
      <c r="M366" t="str">
        <f>_xlfn.XLOOKUP(frasest[[#This Row],[autor_es]],autorest[autor_es],autorest[nacion_la])</f>
        <v>Roma</v>
      </c>
      <c r="N366" t="str">
        <f>_xlfn.XLOOKUP(frasest[[#This Row],[autor_es]],autorest[autor_es],autorest[epoca_es])</f>
        <v>Edad Antigua</v>
      </c>
      <c r="O366" t="str">
        <f>_xlfn.XLOOKUP(frasest[[#This Row],[autor_es]],autorest[autor_es],autorest[epoca_la])</f>
        <v>Antiquitas</v>
      </c>
    </row>
    <row r="367" spans="1:15">
      <c r="A367">
        <v>366</v>
      </c>
      <c r="B367" t="s">
        <v>985</v>
      </c>
      <c r="C367" t="s">
        <v>986</v>
      </c>
      <c r="D367" t="s">
        <v>986</v>
      </c>
      <c r="E367" t="s">
        <v>157</v>
      </c>
      <c r="F367" t="str">
        <f>_xlfn.XLOOKUP(frasest[[#This Row],[autor_es]],autorest[autor_es],autorest[autor_la])</f>
        <v>Thomas Aquinas</v>
      </c>
      <c r="G367" t="str">
        <f>_xlfn.XLOOKUP(frasest[[#This Row],[autor_es]],autorest[autor_es],autorest[bio_es])</f>
        <v>Filósofo y teólogo italiano, representante de la Escolástica. Autor de la "Summa Theologica".</v>
      </c>
      <c r="H367" t="str">
        <f>_xlfn.XLOOKUP(frasest[[#This Row],[autor_es]],autorest[autor_es],autorest[bio_la])</f>
        <v>Philosophus et theologus Italicus, Scholasticae repraesentans. Auctor "Summa Theologica".</v>
      </c>
      <c r="I367" t="str">
        <f>_xlfn.XLOOKUP(frasest[[#This Row],[autor_es]],autorest[autor_es],autorest[codigo])</f>
        <v>la</v>
      </c>
      <c r="J367" t="str">
        <f>_xlfn.XLOOKUP(frasest[[#This Row],[autor_es]],autorest[autor_es],autorest[idioma_es])</f>
        <v>Latín</v>
      </c>
      <c r="K367" t="str">
        <f>_xlfn.XLOOKUP(frasest[[#This Row],[autor_es]],autorest[autor_es],autorest[idioma_la])</f>
        <v>Lingua Latina</v>
      </c>
      <c r="L367" t="str">
        <f>_xlfn.XLOOKUP(frasest[[#This Row],[autor_es]],autorest[autor_es],autorest[nacion_es])</f>
        <v>Italia</v>
      </c>
      <c r="M367" t="str">
        <f>_xlfn.XLOOKUP(frasest[[#This Row],[autor_es]],autorest[autor_es],autorest[nacion_la])</f>
        <v>Italia</v>
      </c>
      <c r="N367" t="str">
        <f>_xlfn.XLOOKUP(frasest[[#This Row],[autor_es]],autorest[autor_es],autorest[epoca_es])</f>
        <v>Edad Media</v>
      </c>
      <c r="O367" t="str">
        <f>_xlfn.XLOOKUP(frasest[[#This Row],[autor_es]],autorest[autor_es],autorest[epoca_la])</f>
        <v>Medium Aevum</v>
      </c>
    </row>
    <row r="368" spans="1:15">
      <c r="A368">
        <v>367</v>
      </c>
      <c r="B368" t="s">
        <v>987</v>
      </c>
      <c r="C368" t="s">
        <v>988</v>
      </c>
      <c r="D368" t="s">
        <v>988</v>
      </c>
      <c r="E368" t="s">
        <v>802</v>
      </c>
      <c r="F368" t="str">
        <f>_xlfn.XLOOKUP(frasest[[#This Row],[autor_es]],autorest[autor_es],autorest[autor_la])</f>
        <v>Gregorius Nazianzenus</v>
      </c>
      <c r="G368" t="str">
        <f>_xlfn.XLOOKUP(frasest[[#This Row],[autor_es]],autorest[autor_es],autorest[bio_es])</f>
        <v>Arzobispo de Constantinopla, Doctor de la Iglesia y Padre Capadocio. Llamado "el Teólogo", gran orador y defensor de la Trinidad. Uno de los tres Padres Capadocios.</v>
      </c>
      <c r="H368" t="str">
        <f>_xlfn.XLOOKUP(frasest[[#This Row],[autor_es]],autorest[autor_es],autorest[bio_la])</f>
        <v>Archiepiscopus Constantinopolitanus, Doctor Ecclesiae et Pater Cappadocius. "Theologus" vocatus, orator magnus et defensor Trinitatis. Unus ex tribus Patribus Cappadociis.</v>
      </c>
      <c r="I368" t="str">
        <f>_xlfn.XLOOKUP(frasest[[#This Row],[autor_es]],autorest[autor_es],autorest[codigo])</f>
        <v>la</v>
      </c>
      <c r="J368" t="str">
        <f>_xlfn.XLOOKUP(frasest[[#This Row],[autor_es]],autorest[autor_es],autorest[idioma_es])</f>
        <v>Latín</v>
      </c>
      <c r="K368" t="str">
        <f>_xlfn.XLOOKUP(frasest[[#This Row],[autor_es]],autorest[autor_es],autorest[idioma_la])</f>
        <v>Lingua Latina</v>
      </c>
      <c r="L368" t="str">
        <f>_xlfn.XLOOKUP(frasest[[#This Row],[autor_es]],autorest[autor_es],autorest[nacion_es])</f>
        <v>Roma</v>
      </c>
      <c r="M368" t="str">
        <f>_xlfn.XLOOKUP(frasest[[#This Row],[autor_es]],autorest[autor_es],autorest[nacion_la])</f>
        <v>Roma</v>
      </c>
      <c r="N368" t="str">
        <f>_xlfn.XLOOKUP(frasest[[#This Row],[autor_es]],autorest[autor_es],autorest[epoca_es])</f>
        <v>Edad Antigua</v>
      </c>
      <c r="O368" t="str">
        <f>_xlfn.XLOOKUP(frasest[[#This Row],[autor_es]],autorest[autor_es],autorest[epoca_la])</f>
        <v>Antiquitas</v>
      </c>
    </row>
    <row r="369" spans="1:15">
      <c r="A369">
        <v>368</v>
      </c>
      <c r="B369" t="s">
        <v>989</v>
      </c>
      <c r="C369" t="s">
        <v>990</v>
      </c>
      <c r="D369" t="s">
        <v>989</v>
      </c>
      <c r="E369" t="s">
        <v>991</v>
      </c>
      <c r="F369" t="str">
        <f>_xlfn.XLOOKUP(frasest[[#This Row],[autor_es]],autorest[autor_es],autorest[autor_la])</f>
        <v>Anonymous</v>
      </c>
      <c r="G369" t="str">
        <f>_xlfn.XLOOKUP(frasest[[#This Row],[autor_es]],autorest[autor_es],autorest[bio_es])</f>
        <v>Autor desconocido, usado para refranes y proverbios populares.</v>
      </c>
      <c r="H369" t="str">
        <f>_xlfn.XLOOKUP(frasest[[#This Row],[autor_es]],autorest[autor_es],autorest[bio_la])</f>
        <v>Auctor ignotus, usus pro proverbiorum popularium collectione.</v>
      </c>
      <c r="I369" t="e">
        <f>_xlfn.XLOOKUP(frasest[[#This Row],[autor_es]],autorest[autor_es],autorest[codigo])</f>
        <v>#N/A</v>
      </c>
      <c r="J369" t="str">
        <f>_xlfn.XLOOKUP(frasest[[#This Row],[autor_es]],autorest[autor_es],autorest[idioma_es])</f>
        <v>nd</v>
      </c>
      <c r="K369" t="e">
        <f>_xlfn.XLOOKUP(frasest[[#This Row],[autor_es]],autorest[autor_es],autorest[idioma_la])</f>
        <v>#N/A</v>
      </c>
      <c r="L369" t="str">
        <f>_xlfn.XLOOKUP(frasest[[#This Row],[autor_es]],autorest[autor_es],autorest[nacion_es])</f>
        <v>nd</v>
      </c>
      <c r="M369" t="e">
        <f>_xlfn.XLOOKUP(frasest[[#This Row],[autor_es]],autorest[autor_es],autorest[nacion_la])</f>
        <v>#N/A</v>
      </c>
      <c r="N369" t="str">
        <f>_xlfn.XLOOKUP(frasest[[#This Row],[autor_es]],autorest[autor_es],autorest[epoca_es])</f>
        <v>Epoca Desconocida</v>
      </c>
      <c r="O369" t="str">
        <f>_xlfn.XLOOKUP(frasest[[#This Row],[autor_es]],autorest[autor_es],autorest[epoca_la])</f>
        <v>Epocha Ignota</v>
      </c>
    </row>
    <row r="370" spans="1:15">
      <c r="A370">
        <v>369</v>
      </c>
      <c r="B370" t="s">
        <v>992</v>
      </c>
      <c r="C370" t="s">
        <v>993</v>
      </c>
      <c r="D370" t="s">
        <v>994</v>
      </c>
      <c r="E370" t="s">
        <v>995</v>
      </c>
      <c r="F370" t="str">
        <f>_xlfn.XLOOKUP(frasest[[#This Row],[autor_es]],autorest[autor_es],autorest[autor_la])</f>
        <v>Sententia Vasconica</v>
      </c>
      <c r="G370" t="str">
        <f>_xlfn.XLOOKUP(frasest[[#This Row],[autor_es]],autorest[autor_es],autorest[bio_es])</f>
        <v>Proverbios de la tradición oral vasca que reflejan la relación con la naturaleza, el trabajo y los valores comunitarios del pueblo vasco.</v>
      </c>
      <c r="H370" t="str">
        <f>_xlfn.XLOOKUP(frasest[[#This Row],[autor_es]],autorest[autor_es],autorest[bio_la])</f>
        <v>Collectio sententiarum Vasconicarum.</v>
      </c>
      <c r="I370" t="str">
        <f>_xlfn.XLOOKUP(frasest[[#This Row],[autor_es]],autorest[autor_es],autorest[codigo])</f>
        <v>eu</v>
      </c>
      <c r="J370" t="str">
        <f>_xlfn.XLOOKUP(frasest[[#This Row],[autor_es]],autorest[autor_es],autorest[idioma_es])</f>
        <v>Euskara</v>
      </c>
      <c r="K370" t="str">
        <f>_xlfn.XLOOKUP(frasest[[#This Row],[autor_es]],autorest[autor_es],autorest[idioma_la])</f>
        <v>Lingua Vasconica</v>
      </c>
      <c r="L370" t="str">
        <f>_xlfn.XLOOKUP(frasest[[#This Row],[autor_es]],autorest[autor_es],autorest[nacion_es])</f>
        <v>España</v>
      </c>
      <c r="M370" t="str">
        <f>_xlfn.XLOOKUP(frasest[[#This Row],[autor_es]],autorest[autor_es],autorest[nacion_la])</f>
        <v>Hispania</v>
      </c>
      <c r="N370" t="str">
        <f>_xlfn.XLOOKUP(frasest[[#This Row],[autor_es]],autorest[autor_es],autorest[epoca_es])</f>
        <v>Epoca Desconocida</v>
      </c>
      <c r="O370" t="str">
        <f>_xlfn.XLOOKUP(frasest[[#This Row],[autor_es]],autorest[autor_es],autorest[epoca_la])</f>
        <v>Epocha Ignota</v>
      </c>
    </row>
    <row r="371" spans="1:15">
      <c r="A371">
        <v>370</v>
      </c>
      <c r="B371" t="s">
        <v>996</v>
      </c>
      <c r="C371" t="s">
        <v>997</v>
      </c>
      <c r="D371" t="s">
        <v>998</v>
      </c>
      <c r="E371" t="s">
        <v>999</v>
      </c>
      <c r="F371" t="str">
        <f>_xlfn.XLOOKUP(frasest[[#This Row],[autor_es]],autorest[autor_es],autorest[autor_la])</f>
        <v>Albertus Camus</v>
      </c>
      <c r="G371" t="str">
        <f>_xlfn.XLOOKUP(frasest[[#This Row],[autor_es]],autorest[autor_es],autorest[bio_es])</f>
        <v>Escritor, filósofo y periodista francés. Premio Nobel de Literatura en 1957, representante del existencialismo y el absurdo.</v>
      </c>
      <c r="H371" t="str">
        <f>_xlfn.XLOOKUP(frasest[[#This Row],[autor_es]],autorest[autor_es],autorest[bio_la])</f>
        <v>Scriba, philosophus et diurnarius Francogallicus. Praemium Nobel Litterarum anno 1957, existentialismus et absurdi repraesentans.</v>
      </c>
      <c r="I371" t="str">
        <f>_xlfn.XLOOKUP(frasest[[#This Row],[autor_es]],autorest[autor_es],autorest[codigo])</f>
        <v>fr</v>
      </c>
      <c r="J371" t="str">
        <f>_xlfn.XLOOKUP(frasest[[#This Row],[autor_es]],autorest[autor_es],autorest[idioma_es])</f>
        <v>Francés</v>
      </c>
      <c r="K371" t="str">
        <f>_xlfn.XLOOKUP(frasest[[#This Row],[autor_es]],autorest[autor_es],autorest[idioma_la])</f>
        <v>Lingua Gallica</v>
      </c>
      <c r="L371" t="str">
        <f>_xlfn.XLOOKUP(frasest[[#This Row],[autor_es]],autorest[autor_es],autorest[nacion_es])</f>
        <v>Francia</v>
      </c>
      <c r="M371" t="str">
        <f>_xlfn.XLOOKUP(frasest[[#This Row],[autor_es]],autorest[autor_es],autorest[nacion_la])</f>
        <v>Francia</v>
      </c>
      <c r="N371" t="str">
        <f>_xlfn.XLOOKUP(frasest[[#This Row],[autor_es]],autorest[autor_es],autorest[epoca_es])</f>
        <v>Edad Contemporánea</v>
      </c>
      <c r="O371" t="str">
        <f>_xlfn.XLOOKUP(frasest[[#This Row],[autor_es]],autorest[autor_es],autorest[epoca_la])</f>
        <v>Aetas Contemporanea</v>
      </c>
    </row>
    <row r="372" spans="1:15">
      <c r="A372">
        <v>371</v>
      </c>
      <c r="B372" t="s">
        <v>1000</v>
      </c>
      <c r="C372" t="s">
        <v>1001</v>
      </c>
      <c r="D372" t="s">
        <v>1002</v>
      </c>
      <c r="E372" t="s">
        <v>1003</v>
      </c>
      <c r="F372" t="str">
        <f>_xlfn.XLOOKUP(frasest[[#This Row],[autor_es]],autorest[autor_es],autorest[autor_la])</f>
        <v>Beata Teresia Calcuttensis</v>
      </c>
      <c r="G372" t="str">
        <f>_xlfn.XLOOKUP(frasest[[#This Row],[autor_es]],autorest[autor_es],autorest[bio_es])</f>
        <v>Monja católica y misionera albanesa, fundadora de las Misioneras de la Caridad. Premio Nobel de la Paz 1979 por su trabajo con los más pobres.</v>
      </c>
      <c r="H372" t="str">
        <f>_xlfn.XLOOKUP(frasest[[#This Row],[autor_es]],autorest[autor_es],autorest[bio_la])</f>
        <v>Soror catholica et missionaria Albanensis, Missionariarum Caritatis fundatrix. Praemium Nobel Pacis anno 1979 propter laborem cum pauperrimis.</v>
      </c>
      <c r="I372" t="str">
        <f>_xlfn.XLOOKUP(frasest[[#This Row],[autor_es]],autorest[autor_es],autorest[codigo])</f>
        <v>sq</v>
      </c>
      <c r="J372" t="str">
        <f>_xlfn.XLOOKUP(frasest[[#This Row],[autor_es]],autorest[autor_es],autorest[idioma_es])</f>
        <v>Albanés</v>
      </c>
      <c r="K372" t="str">
        <f>_xlfn.XLOOKUP(frasest[[#This Row],[autor_es]],autorest[autor_es],autorest[idioma_la])</f>
        <v>Lingua Albanica</v>
      </c>
      <c r="L372" t="str">
        <f>_xlfn.XLOOKUP(frasest[[#This Row],[autor_es]],autorest[autor_es],autorest[nacion_es])</f>
        <v>Albania</v>
      </c>
      <c r="M372" t="str">
        <f>_xlfn.XLOOKUP(frasest[[#This Row],[autor_es]],autorest[autor_es],autorest[nacion_la])</f>
        <v>Albania</v>
      </c>
      <c r="N372" t="str">
        <f>_xlfn.XLOOKUP(frasest[[#This Row],[autor_es]],autorest[autor_es],autorest[epoca_es])</f>
        <v>Edad Contemporánea</v>
      </c>
      <c r="O372" t="str">
        <f>_xlfn.XLOOKUP(frasest[[#This Row],[autor_es]],autorest[autor_es],autorest[epoca_la])</f>
        <v>Aetas Contemporanea</v>
      </c>
    </row>
    <row r="373" spans="1:15">
      <c r="A373">
        <v>372</v>
      </c>
      <c r="B373" t="s">
        <v>1004</v>
      </c>
      <c r="C373" t="s">
        <v>1005</v>
      </c>
      <c r="D373" t="s">
        <v>1006</v>
      </c>
      <c r="E373" t="s">
        <v>1007</v>
      </c>
      <c r="F373" t="str">
        <f>_xlfn.XLOOKUP(frasest[[#This Row],[autor_es]],autorest[autor_es],autorest[autor_la])</f>
        <v>Sanctus Franciscus Assisiensis</v>
      </c>
      <c r="G373" t="str">
        <f>_xlfn.XLOOKUP(frasest[[#This Row],[autor_es]],autorest[autor_es],autorest[bio_es])</f>
        <v>Fraile católico italiano, fundador de la Orden Franciscana. Conocido por su amor a la naturaleza, la pobreza y la paz.</v>
      </c>
      <c r="H373" t="str">
        <f>_xlfn.XLOOKUP(frasest[[#This Row],[autor_es]],autorest[autor_es],autorest[bio_la])</f>
        <v>Frater catholicus Italicus, Ordinis Franciscani fundator. Notus propter amorem naturae, paupertatis et pacis.</v>
      </c>
      <c r="I373" t="str">
        <f>_xlfn.XLOOKUP(frasest[[#This Row],[autor_es]],autorest[autor_es],autorest[codigo])</f>
        <v>it</v>
      </c>
      <c r="J373" t="str">
        <f>_xlfn.XLOOKUP(frasest[[#This Row],[autor_es]],autorest[autor_es],autorest[idioma_es])</f>
        <v>Italiano</v>
      </c>
      <c r="K373" t="str">
        <f>_xlfn.XLOOKUP(frasest[[#This Row],[autor_es]],autorest[autor_es],autorest[idioma_la])</f>
        <v>Lingua Italica</v>
      </c>
      <c r="L373" t="str">
        <f>_xlfn.XLOOKUP(frasest[[#This Row],[autor_es]],autorest[autor_es],autorest[nacion_es])</f>
        <v>Italia</v>
      </c>
      <c r="M373" t="str">
        <f>_xlfn.XLOOKUP(frasest[[#This Row],[autor_es]],autorest[autor_es],autorest[nacion_la])</f>
        <v>Italia</v>
      </c>
      <c r="N373" t="str">
        <f>_xlfn.XLOOKUP(frasest[[#This Row],[autor_es]],autorest[autor_es],autorest[epoca_es])</f>
        <v>Edad Media</v>
      </c>
      <c r="O373" t="str">
        <f>_xlfn.XLOOKUP(frasest[[#This Row],[autor_es]],autorest[autor_es],autorest[epoca_la])</f>
        <v>Medium Aevum</v>
      </c>
    </row>
    <row r="374" spans="1:15">
      <c r="A374">
        <v>373</v>
      </c>
      <c r="B374" t="s">
        <v>1008</v>
      </c>
      <c r="C374" t="s">
        <v>1009</v>
      </c>
      <c r="D374" t="s">
        <v>1010</v>
      </c>
      <c r="E374" t="s">
        <v>1011</v>
      </c>
      <c r="F374" t="str">
        <f>_xlfn.XLOOKUP(frasest[[#This Row],[autor_es]],autorest[autor_es],autorest[autor_la])</f>
        <v>Leonardus Vincius</v>
      </c>
      <c r="G374" s="6" t="str">
        <f>_xlfn.XLOOKUP(frasest[[#This Row],[autor_es]],autorest[autor_es],autorest[bio_es])</f>
        <v>Artista, inventor y científico italiano del Renacimiento.</v>
      </c>
      <c r="H374" s="6" t="str">
        <f>_xlfn.XLOOKUP(frasest[[#This Row],[autor_es]],autorest[autor_es],autorest[bio_la])</f>
        <v>Artifex, inventor et physicus Italicus Renaissance.</v>
      </c>
      <c r="I374" t="str">
        <f>_xlfn.XLOOKUP(frasest[[#This Row],[autor_es]],autorest[autor_es],autorest[codigo])</f>
        <v>la</v>
      </c>
      <c r="J374" t="str">
        <f>_xlfn.XLOOKUP(frasest[[#This Row],[autor_es]],autorest[autor_es],autorest[idioma_es])</f>
        <v>Latín</v>
      </c>
      <c r="K374" s="6" t="str">
        <f>_xlfn.XLOOKUP(frasest[[#This Row],[autor_es]],autorest[autor_es],autorest[idioma_la])</f>
        <v>Lingua Latina</v>
      </c>
      <c r="L374" t="str">
        <f>_xlfn.XLOOKUP(frasest[[#This Row],[autor_es]],autorest[autor_es],autorest[nacion_es])</f>
        <v>Italia</v>
      </c>
      <c r="M374" t="str">
        <f>_xlfn.XLOOKUP(frasest[[#This Row],[autor_es]],autorest[autor_es],autorest[nacion_la])</f>
        <v>Italia</v>
      </c>
      <c r="N374" t="str">
        <f>_xlfn.XLOOKUP(frasest[[#This Row],[autor_es]],autorest[autor_es],autorest[epoca_es])</f>
        <v>Edad Media</v>
      </c>
      <c r="O374" t="str">
        <f>_xlfn.XLOOKUP(frasest[[#This Row],[autor_es]],autorest[autor_es],autorest[epoca_la])</f>
        <v>Medium Aevum</v>
      </c>
    </row>
    <row r="375" spans="1:15">
      <c r="A375">
        <v>374</v>
      </c>
      <c r="B375" t="s">
        <v>1012</v>
      </c>
      <c r="C375" t="s">
        <v>1013</v>
      </c>
      <c r="D375" t="s">
        <v>1014</v>
      </c>
      <c r="E375" t="s">
        <v>1011</v>
      </c>
      <c r="F375" t="str">
        <f>_xlfn.XLOOKUP(frasest[[#This Row],[autor_es]],autorest[autor_es],autorest[autor_la])</f>
        <v>Leonardus Vincius</v>
      </c>
      <c r="G375" s="6" t="str">
        <f>_xlfn.XLOOKUP(frasest[[#This Row],[autor_es]],autorest[autor_es],autorest[bio_es])</f>
        <v>Artista, inventor y científico italiano del Renacimiento.</v>
      </c>
      <c r="H375" s="6" t="str">
        <f>_xlfn.XLOOKUP(frasest[[#This Row],[autor_es]],autorest[autor_es],autorest[bio_la])</f>
        <v>Artifex, inventor et physicus Italicus Renaissance.</v>
      </c>
      <c r="I375" t="str">
        <f>_xlfn.XLOOKUP(frasest[[#This Row],[autor_es]],autorest[autor_es],autorest[codigo])</f>
        <v>la</v>
      </c>
      <c r="J375" t="str">
        <f>_xlfn.XLOOKUP(frasest[[#This Row],[autor_es]],autorest[autor_es],autorest[idioma_es])</f>
        <v>Latín</v>
      </c>
      <c r="K375" s="6" t="str">
        <f>_xlfn.XLOOKUP(frasest[[#This Row],[autor_es]],autorest[autor_es],autorest[idioma_la])</f>
        <v>Lingua Latina</v>
      </c>
      <c r="L375" t="str">
        <f>_xlfn.XLOOKUP(frasest[[#This Row],[autor_es]],autorest[autor_es],autorest[nacion_es])</f>
        <v>Italia</v>
      </c>
      <c r="M375" t="str">
        <f>_xlfn.XLOOKUP(frasest[[#This Row],[autor_es]],autorest[autor_es],autorest[nacion_la])</f>
        <v>Italia</v>
      </c>
      <c r="N375" t="str">
        <f>_xlfn.XLOOKUP(frasest[[#This Row],[autor_es]],autorest[autor_es],autorest[epoca_es])</f>
        <v>Edad Media</v>
      </c>
      <c r="O375" t="str">
        <f>_xlfn.XLOOKUP(frasest[[#This Row],[autor_es]],autorest[autor_es],autorest[epoca_la])</f>
        <v>Medium Aevum</v>
      </c>
    </row>
    <row r="376" spans="1:15">
      <c r="A376">
        <v>375</v>
      </c>
      <c r="B376" t="s">
        <v>1015</v>
      </c>
      <c r="C376" t="s">
        <v>1016</v>
      </c>
      <c r="D376" t="s">
        <v>1017</v>
      </c>
      <c r="E376" t="s">
        <v>1011</v>
      </c>
      <c r="F376" t="str">
        <f>_xlfn.XLOOKUP(frasest[[#This Row],[autor_es]],autorest[autor_es],autorest[autor_la])</f>
        <v>Leonardus Vincius</v>
      </c>
      <c r="G376" s="6" t="str">
        <f>_xlfn.XLOOKUP(frasest[[#This Row],[autor_es]],autorest[autor_es],autorest[bio_es])</f>
        <v>Artista, inventor y científico italiano del Renacimiento.</v>
      </c>
      <c r="H376" s="6" t="str">
        <f>_xlfn.XLOOKUP(frasest[[#This Row],[autor_es]],autorest[autor_es],autorest[bio_la])</f>
        <v>Artifex, inventor et physicus Italicus Renaissance.</v>
      </c>
      <c r="I376" t="str">
        <f>_xlfn.XLOOKUP(frasest[[#This Row],[autor_es]],autorest[autor_es],autorest[codigo])</f>
        <v>la</v>
      </c>
      <c r="J376" t="str">
        <f>_xlfn.XLOOKUP(frasest[[#This Row],[autor_es]],autorest[autor_es],autorest[idioma_es])</f>
        <v>Latín</v>
      </c>
      <c r="K376" s="6" t="str">
        <f>_xlfn.XLOOKUP(frasest[[#This Row],[autor_es]],autorest[autor_es],autorest[idioma_la])</f>
        <v>Lingua Latina</v>
      </c>
      <c r="L376" t="str">
        <f>_xlfn.XLOOKUP(frasest[[#This Row],[autor_es]],autorest[autor_es],autorest[nacion_es])</f>
        <v>Italia</v>
      </c>
      <c r="M376" t="str">
        <f>_xlfn.XLOOKUP(frasest[[#This Row],[autor_es]],autorest[autor_es],autorest[nacion_la])</f>
        <v>Italia</v>
      </c>
      <c r="N376" t="str">
        <f>_xlfn.XLOOKUP(frasest[[#This Row],[autor_es]],autorest[autor_es],autorest[epoca_es])</f>
        <v>Edad Media</v>
      </c>
      <c r="O376" t="str">
        <f>_xlfn.XLOOKUP(frasest[[#This Row],[autor_es]],autorest[autor_es],autorest[epoca_la])</f>
        <v>Medium Aevum</v>
      </c>
    </row>
    <row r="377" spans="1:15">
      <c r="A377">
        <v>376</v>
      </c>
      <c r="B377" t="s">
        <v>1018</v>
      </c>
      <c r="C377" t="s">
        <v>1019</v>
      </c>
      <c r="D377" t="s">
        <v>1020</v>
      </c>
      <c r="E377" t="s">
        <v>1011</v>
      </c>
      <c r="F377" t="str">
        <f>_xlfn.XLOOKUP(frasest[[#This Row],[autor_es]],autorest[autor_es],autorest[autor_la])</f>
        <v>Leonardus Vincius</v>
      </c>
      <c r="G377" s="6" t="str">
        <f>_xlfn.XLOOKUP(frasest[[#This Row],[autor_es]],autorest[autor_es],autorest[bio_es])</f>
        <v>Artista, inventor y científico italiano del Renacimiento.</v>
      </c>
      <c r="H377" s="6" t="str">
        <f>_xlfn.XLOOKUP(frasest[[#This Row],[autor_es]],autorest[autor_es],autorest[bio_la])</f>
        <v>Artifex, inventor et physicus Italicus Renaissance.</v>
      </c>
      <c r="I377" t="str">
        <f>_xlfn.XLOOKUP(frasest[[#This Row],[autor_es]],autorest[autor_es],autorest[codigo])</f>
        <v>la</v>
      </c>
      <c r="J377" t="str">
        <f>_xlfn.XLOOKUP(frasest[[#This Row],[autor_es]],autorest[autor_es],autorest[idioma_es])</f>
        <v>Latín</v>
      </c>
      <c r="K377" s="6" t="str">
        <f>_xlfn.XLOOKUP(frasest[[#This Row],[autor_es]],autorest[autor_es],autorest[idioma_la])</f>
        <v>Lingua Latina</v>
      </c>
      <c r="L377" t="str">
        <f>_xlfn.XLOOKUP(frasest[[#This Row],[autor_es]],autorest[autor_es],autorest[nacion_es])</f>
        <v>Italia</v>
      </c>
      <c r="M377" t="str">
        <f>_xlfn.XLOOKUP(frasest[[#This Row],[autor_es]],autorest[autor_es],autorest[nacion_la])</f>
        <v>Italia</v>
      </c>
      <c r="N377" t="str">
        <f>_xlfn.XLOOKUP(frasest[[#This Row],[autor_es]],autorest[autor_es],autorest[epoca_es])</f>
        <v>Edad Media</v>
      </c>
      <c r="O377" t="str">
        <f>_xlfn.XLOOKUP(frasest[[#This Row],[autor_es]],autorest[autor_es],autorest[epoca_la])</f>
        <v>Medium Aevum</v>
      </c>
    </row>
    <row r="378" spans="1:15">
      <c r="A378">
        <v>377</v>
      </c>
      <c r="B378" t="s">
        <v>1021</v>
      </c>
      <c r="C378" t="s">
        <v>1022</v>
      </c>
      <c r="D378" t="s">
        <v>1023</v>
      </c>
      <c r="E378" t="s">
        <v>1011</v>
      </c>
      <c r="F378" t="str">
        <f>_xlfn.XLOOKUP(frasest[[#This Row],[autor_es]],autorest[autor_es],autorest[autor_la])</f>
        <v>Leonardus Vincius</v>
      </c>
      <c r="G378" s="6" t="str">
        <f>_xlfn.XLOOKUP(frasest[[#This Row],[autor_es]],autorest[autor_es],autorest[bio_es])</f>
        <v>Artista, inventor y científico italiano del Renacimiento.</v>
      </c>
      <c r="H378" s="6" t="str">
        <f>_xlfn.XLOOKUP(frasest[[#This Row],[autor_es]],autorest[autor_es],autorest[bio_la])</f>
        <v>Artifex, inventor et physicus Italicus Renaissance.</v>
      </c>
      <c r="I378" t="str">
        <f>_xlfn.XLOOKUP(frasest[[#This Row],[autor_es]],autorest[autor_es],autorest[codigo])</f>
        <v>la</v>
      </c>
      <c r="J378" t="str">
        <f>_xlfn.XLOOKUP(frasest[[#This Row],[autor_es]],autorest[autor_es],autorest[idioma_es])</f>
        <v>Latín</v>
      </c>
      <c r="K378" s="6" t="str">
        <f>_xlfn.XLOOKUP(frasest[[#This Row],[autor_es]],autorest[autor_es],autorest[idioma_la])</f>
        <v>Lingua Latina</v>
      </c>
      <c r="L378" t="str">
        <f>_xlfn.XLOOKUP(frasest[[#This Row],[autor_es]],autorest[autor_es],autorest[nacion_es])</f>
        <v>Italia</v>
      </c>
      <c r="M378" t="str">
        <f>_xlfn.XLOOKUP(frasest[[#This Row],[autor_es]],autorest[autor_es],autorest[nacion_la])</f>
        <v>Italia</v>
      </c>
      <c r="N378" t="str">
        <f>_xlfn.XLOOKUP(frasest[[#This Row],[autor_es]],autorest[autor_es],autorest[epoca_es])</f>
        <v>Edad Media</v>
      </c>
      <c r="O378" t="str">
        <f>_xlfn.XLOOKUP(frasest[[#This Row],[autor_es]],autorest[autor_es],autorest[epoca_la])</f>
        <v>Medium Aevum</v>
      </c>
    </row>
    <row r="379" spans="1:15">
      <c r="A379">
        <v>378</v>
      </c>
      <c r="B379" t="s">
        <v>1024</v>
      </c>
      <c r="C379" t="s">
        <v>1025</v>
      </c>
      <c r="D379" t="s">
        <v>1026</v>
      </c>
      <c r="E379" t="s">
        <v>1011</v>
      </c>
      <c r="F379" t="str">
        <f>_xlfn.XLOOKUP(frasest[[#This Row],[autor_es]],autorest[autor_es],autorest[autor_la])</f>
        <v>Leonardus Vincius</v>
      </c>
      <c r="G379" s="6" t="str">
        <f>_xlfn.XLOOKUP(frasest[[#This Row],[autor_es]],autorest[autor_es],autorest[bio_es])</f>
        <v>Artista, inventor y científico italiano del Renacimiento.</v>
      </c>
      <c r="H379" s="6" t="str">
        <f>_xlfn.XLOOKUP(frasest[[#This Row],[autor_es]],autorest[autor_es],autorest[bio_la])</f>
        <v>Artifex, inventor et physicus Italicus Renaissance.</v>
      </c>
      <c r="I379" t="str">
        <f>_xlfn.XLOOKUP(frasest[[#This Row],[autor_es]],autorest[autor_es],autorest[codigo])</f>
        <v>la</v>
      </c>
      <c r="J379" t="str">
        <f>_xlfn.XLOOKUP(frasest[[#This Row],[autor_es]],autorest[autor_es],autorest[idioma_es])</f>
        <v>Latín</v>
      </c>
      <c r="K379" s="6" t="str">
        <f>_xlfn.XLOOKUP(frasest[[#This Row],[autor_es]],autorest[autor_es],autorest[idioma_la])</f>
        <v>Lingua Latina</v>
      </c>
      <c r="L379" t="str">
        <f>_xlfn.XLOOKUP(frasest[[#This Row],[autor_es]],autorest[autor_es],autorest[nacion_es])</f>
        <v>Italia</v>
      </c>
      <c r="M379" t="str">
        <f>_xlfn.XLOOKUP(frasest[[#This Row],[autor_es]],autorest[autor_es],autorest[nacion_la])</f>
        <v>Italia</v>
      </c>
      <c r="N379" t="str">
        <f>_xlfn.XLOOKUP(frasest[[#This Row],[autor_es]],autorest[autor_es],autorest[epoca_es])</f>
        <v>Edad Media</v>
      </c>
      <c r="O379" t="str">
        <f>_xlfn.XLOOKUP(frasest[[#This Row],[autor_es]],autorest[autor_es],autorest[epoca_la])</f>
        <v>Medium Aevum</v>
      </c>
    </row>
    <row r="380" spans="1:15">
      <c r="A380">
        <v>379</v>
      </c>
      <c r="B380" t="s">
        <v>1027</v>
      </c>
      <c r="C380" t="s">
        <v>1028</v>
      </c>
      <c r="D380" s="1" t="s">
        <v>123</v>
      </c>
      <c r="E380" t="s">
        <v>33</v>
      </c>
      <c r="F380" t="str">
        <f>_xlfn.XLOOKUP(frasest[[#This Row],[autor_es]],autorest[autor_es],autorest[autor_la])</f>
        <v>Proverbium Sinense</v>
      </c>
      <c r="G380" s="6" t="str">
        <f>_xlfn.XLOOKUP(frasest[[#This Row],[autor_es]],autorest[autor_es],autorest[bio_es])</f>
        <v>Conjunto de proverbios tradicionales de la cultura china que transmiten sabiduría popular, valores morales y enseñanzas prácticas transmitidas oralmente durante siglos.</v>
      </c>
      <c r="H380" s="6" t="str">
        <f>_xlfn.XLOOKUP(frasest[[#This Row],[autor_es]],autorest[autor_es],autorest[bio_la])</f>
        <v>Collectio sententiarum Sinensium, magnopere in cultura tradita.</v>
      </c>
      <c r="I380" t="str">
        <f>_xlfn.XLOOKUP(frasest[[#This Row],[autor_es]],autorest[autor_es],autorest[codigo])</f>
        <v>zh</v>
      </c>
      <c r="J380" t="str">
        <f>_xlfn.XLOOKUP(frasest[[#This Row],[autor_es]],autorest[autor_es],autorest[idioma_es])</f>
        <v>Chino</v>
      </c>
      <c r="K380" s="6" t="str">
        <f>_xlfn.XLOOKUP(frasest[[#This Row],[autor_es]],autorest[autor_es],autorest[idioma_la])</f>
        <v>Lingua Sinica</v>
      </c>
      <c r="L380" s="6" t="str">
        <f>_xlfn.XLOOKUP(frasest[[#This Row],[autor_es]],autorest[autor_es],autorest[nacion_es])</f>
        <v>China</v>
      </c>
      <c r="M380" t="str">
        <f>_xlfn.XLOOKUP(frasest[[#This Row],[autor_es]],autorest[autor_es],autorest[nacion_la])</f>
        <v>Sinae</v>
      </c>
      <c r="N380" t="str">
        <f>_xlfn.XLOOKUP(frasest[[#This Row],[autor_es]],autorest[autor_es],autorest[epoca_es])</f>
        <v>Epoca Desconocida</v>
      </c>
      <c r="O380" t="str">
        <f>_xlfn.XLOOKUP(frasest[[#This Row],[autor_es]],autorest[autor_es],autorest[epoca_la])</f>
        <v>Epocha Ignota</v>
      </c>
    </row>
    <row r="381" spans="1:15">
      <c r="A381">
        <v>380</v>
      </c>
      <c r="B381" t="s">
        <v>1029</v>
      </c>
      <c r="C381" t="s">
        <v>1030</v>
      </c>
      <c r="D381" s="1" t="s">
        <v>1031</v>
      </c>
      <c r="E381" t="s">
        <v>33</v>
      </c>
      <c r="F381" t="str">
        <f>_xlfn.XLOOKUP(frasest[[#This Row],[autor_es]],autorest[autor_es],autorest[autor_la])</f>
        <v>Proverbium Sinense</v>
      </c>
      <c r="G381" s="6" t="str">
        <f>_xlfn.XLOOKUP(frasest[[#This Row],[autor_es]],autorest[autor_es],autorest[bio_es])</f>
        <v>Conjunto de proverbios tradicionales de la cultura china que transmiten sabiduría popular, valores morales y enseñanzas prácticas transmitidas oralmente durante siglos.</v>
      </c>
      <c r="H381" s="6" t="str">
        <f>_xlfn.XLOOKUP(frasest[[#This Row],[autor_es]],autorest[autor_es],autorest[bio_la])</f>
        <v>Collectio sententiarum Sinensium, magnopere in cultura tradita.</v>
      </c>
      <c r="I381" t="str">
        <f>_xlfn.XLOOKUP(frasest[[#This Row],[autor_es]],autorest[autor_es],autorest[codigo])</f>
        <v>zh</v>
      </c>
      <c r="J381" t="str">
        <f>_xlfn.XLOOKUP(frasest[[#This Row],[autor_es]],autorest[autor_es],autorest[idioma_es])</f>
        <v>Chino</v>
      </c>
      <c r="K381" s="6" t="str">
        <f>_xlfn.XLOOKUP(frasest[[#This Row],[autor_es]],autorest[autor_es],autorest[idioma_la])</f>
        <v>Lingua Sinica</v>
      </c>
      <c r="L381" s="6" t="str">
        <f>_xlfn.XLOOKUP(frasest[[#This Row],[autor_es]],autorest[autor_es],autorest[nacion_es])</f>
        <v>China</v>
      </c>
      <c r="M381" t="str">
        <f>_xlfn.XLOOKUP(frasest[[#This Row],[autor_es]],autorest[autor_es],autorest[nacion_la])</f>
        <v>Sinae</v>
      </c>
      <c r="N381" t="str">
        <f>_xlfn.XLOOKUP(frasest[[#This Row],[autor_es]],autorest[autor_es],autorest[epoca_es])</f>
        <v>Epoca Desconocida</v>
      </c>
      <c r="O381" t="str">
        <f>_xlfn.XLOOKUP(frasest[[#This Row],[autor_es]],autorest[autor_es],autorest[epoca_la])</f>
        <v>Epocha Ignota</v>
      </c>
    </row>
    <row r="382" spans="1:15">
      <c r="A382">
        <v>381</v>
      </c>
      <c r="B382" t="s">
        <v>1032</v>
      </c>
      <c r="C382" t="s">
        <v>1033</v>
      </c>
      <c r="D382" s="1" t="s">
        <v>1034</v>
      </c>
      <c r="E382" t="s">
        <v>33</v>
      </c>
      <c r="F382" t="str">
        <f>_xlfn.XLOOKUP(frasest[[#This Row],[autor_es]],autorest[autor_es],autorest[autor_la])</f>
        <v>Proverbium Sinense</v>
      </c>
      <c r="G382" s="6" t="str">
        <f>_xlfn.XLOOKUP(frasest[[#This Row],[autor_es]],autorest[autor_es],autorest[bio_es])</f>
        <v>Conjunto de proverbios tradicionales de la cultura china que transmiten sabiduría popular, valores morales y enseñanzas prácticas transmitidas oralmente durante siglos.</v>
      </c>
      <c r="H382" s="6" t="str">
        <f>_xlfn.XLOOKUP(frasest[[#This Row],[autor_es]],autorest[autor_es],autorest[bio_la])</f>
        <v>Collectio sententiarum Sinensium, magnopere in cultura tradita.</v>
      </c>
      <c r="I382" t="str">
        <f>_xlfn.XLOOKUP(frasest[[#This Row],[autor_es]],autorest[autor_es],autorest[codigo])</f>
        <v>zh</v>
      </c>
      <c r="J382" t="str">
        <f>_xlfn.XLOOKUP(frasest[[#This Row],[autor_es]],autorest[autor_es],autorest[idioma_es])</f>
        <v>Chino</v>
      </c>
      <c r="K382" s="6" t="str">
        <f>_xlfn.XLOOKUP(frasest[[#This Row],[autor_es]],autorest[autor_es],autorest[idioma_la])</f>
        <v>Lingua Sinica</v>
      </c>
      <c r="L382" s="6" t="str">
        <f>_xlfn.XLOOKUP(frasest[[#This Row],[autor_es]],autorest[autor_es],autorest[nacion_es])</f>
        <v>China</v>
      </c>
      <c r="M382" t="str">
        <f>_xlfn.XLOOKUP(frasest[[#This Row],[autor_es]],autorest[autor_es],autorest[nacion_la])</f>
        <v>Sinae</v>
      </c>
      <c r="N382" t="str">
        <f>_xlfn.XLOOKUP(frasest[[#This Row],[autor_es]],autorest[autor_es],autorest[epoca_es])</f>
        <v>Epoca Desconocida</v>
      </c>
      <c r="O382" t="str">
        <f>_xlfn.XLOOKUP(frasest[[#This Row],[autor_es]],autorest[autor_es],autorest[epoca_la])</f>
        <v>Epocha Ignota</v>
      </c>
    </row>
    <row r="383" spans="1:15">
      <c r="A383">
        <v>382</v>
      </c>
      <c r="B383" t="s">
        <v>1035</v>
      </c>
      <c r="C383" t="s">
        <v>1036</v>
      </c>
      <c r="D383" s="1" t="s">
        <v>1037</v>
      </c>
      <c r="E383" t="s">
        <v>33</v>
      </c>
      <c r="F383" t="str">
        <f>_xlfn.XLOOKUP(frasest[[#This Row],[autor_es]],autorest[autor_es],autorest[autor_la])</f>
        <v>Proverbium Sinense</v>
      </c>
      <c r="G383" s="6" t="str">
        <f>_xlfn.XLOOKUP(frasest[[#This Row],[autor_es]],autorest[autor_es],autorest[bio_es])</f>
        <v>Conjunto de proverbios tradicionales de la cultura china que transmiten sabiduría popular, valores morales y enseñanzas prácticas transmitidas oralmente durante siglos.</v>
      </c>
      <c r="H383" s="6" t="str">
        <f>_xlfn.XLOOKUP(frasest[[#This Row],[autor_es]],autorest[autor_es],autorest[bio_la])</f>
        <v>Collectio sententiarum Sinensium, magnopere in cultura tradita.</v>
      </c>
      <c r="I383" t="str">
        <f>_xlfn.XLOOKUP(frasest[[#This Row],[autor_es]],autorest[autor_es],autorest[codigo])</f>
        <v>zh</v>
      </c>
      <c r="J383" t="str">
        <f>_xlfn.XLOOKUP(frasest[[#This Row],[autor_es]],autorest[autor_es],autorest[idioma_es])</f>
        <v>Chino</v>
      </c>
      <c r="K383" s="6" t="str">
        <f>_xlfn.XLOOKUP(frasest[[#This Row],[autor_es]],autorest[autor_es],autorest[idioma_la])</f>
        <v>Lingua Sinica</v>
      </c>
      <c r="L383" s="6" t="str">
        <f>_xlfn.XLOOKUP(frasest[[#This Row],[autor_es]],autorest[autor_es],autorest[nacion_es])</f>
        <v>China</v>
      </c>
      <c r="M383" t="str">
        <f>_xlfn.XLOOKUP(frasest[[#This Row],[autor_es]],autorest[autor_es],autorest[nacion_la])</f>
        <v>Sinae</v>
      </c>
      <c r="N383" t="str">
        <f>_xlfn.XLOOKUP(frasest[[#This Row],[autor_es]],autorest[autor_es],autorest[epoca_es])</f>
        <v>Epoca Desconocida</v>
      </c>
      <c r="O383" t="str">
        <f>_xlfn.XLOOKUP(frasest[[#This Row],[autor_es]],autorest[autor_es],autorest[epoca_la])</f>
        <v>Epocha Ignota</v>
      </c>
    </row>
    <row r="384" spans="1:15">
      <c r="A384">
        <v>383</v>
      </c>
      <c r="B384" t="s">
        <v>1038</v>
      </c>
      <c r="C384" t="s">
        <v>1039</v>
      </c>
      <c r="D384" s="1" t="s">
        <v>1040</v>
      </c>
      <c r="E384" t="s">
        <v>33</v>
      </c>
      <c r="F384" t="str">
        <f>_xlfn.XLOOKUP(frasest[[#This Row],[autor_es]],autorest[autor_es],autorest[autor_la])</f>
        <v>Proverbium Sinense</v>
      </c>
      <c r="G384" s="6" t="str">
        <f>_xlfn.XLOOKUP(frasest[[#This Row],[autor_es]],autorest[autor_es],autorest[bio_es])</f>
        <v>Conjunto de proverbios tradicionales de la cultura china que transmiten sabiduría popular, valores morales y enseñanzas prácticas transmitidas oralmente durante siglos.</v>
      </c>
      <c r="H384" s="6" t="str">
        <f>_xlfn.XLOOKUP(frasest[[#This Row],[autor_es]],autorest[autor_es],autorest[bio_la])</f>
        <v>Collectio sententiarum Sinensium, magnopere in cultura tradita.</v>
      </c>
      <c r="I384" t="str">
        <f>_xlfn.XLOOKUP(frasest[[#This Row],[autor_es]],autorest[autor_es],autorest[codigo])</f>
        <v>zh</v>
      </c>
      <c r="J384" t="str">
        <f>_xlfn.XLOOKUP(frasest[[#This Row],[autor_es]],autorest[autor_es],autorest[idioma_es])</f>
        <v>Chino</v>
      </c>
      <c r="K384" s="6" t="str">
        <f>_xlfn.XLOOKUP(frasest[[#This Row],[autor_es]],autorest[autor_es],autorest[idioma_la])</f>
        <v>Lingua Sinica</v>
      </c>
      <c r="L384" s="6" t="str">
        <f>_xlfn.XLOOKUP(frasest[[#This Row],[autor_es]],autorest[autor_es],autorest[nacion_es])</f>
        <v>China</v>
      </c>
      <c r="M384" t="str">
        <f>_xlfn.XLOOKUP(frasest[[#This Row],[autor_es]],autorest[autor_es],autorest[nacion_la])</f>
        <v>Sinae</v>
      </c>
      <c r="N384" t="str">
        <f>_xlfn.XLOOKUP(frasest[[#This Row],[autor_es]],autorest[autor_es],autorest[epoca_es])</f>
        <v>Epoca Desconocida</v>
      </c>
      <c r="O384" t="str">
        <f>_xlfn.XLOOKUP(frasest[[#This Row],[autor_es]],autorest[autor_es],autorest[epoca_la])</f>
        <v>Epocha Ignota</v>
      </c>
    </row>
    <row r="385" spans="1:15">
      <c r="A385">
        <v>384</v>
      </c>
      <c r="B385" t="s">
        <v>1041</v>
      </c>
      <c r="C385" t="s">
        <v>1042</v>
      </c>
      <c r="D385" s="1" t="s">
        <v>1043</v>
      </c>
      <c r="E385" t="s">
        <v>33</v>
      </c>
      <c r="F385" t="str">
        <f>_xlfn.XLOOKUP(frasest[[#This Row],[autor_es]],autorest[autor_es],autorest[autor_la])</f>
        <v>Proverbium Sinense</v>
      </c>
      <c r="G385" s="6" t="str">
        <f>_xlfn.XLOOKUP(frasest[[#This Row],[autor_es]],autorest[autor_es],autorest[bio_es])</f>
        <v>Conjunto de proverbios tradicionales de la cultura china que transmiten sabiduría popular, valores morales y enseñanzas prácticas transmitidas oralmente durante siglos.</v>
      </c>
      <c r="H385" s="6" t="str">
        <f>_xlfn.XLOOKUP(frasest[[#This Row],[autor_es]],autorest[autor_es],autorest[bio_la])</f>
        <v>Collectio sententiarum Sinensium, magnopere in cultura tradita.</v>
      </c>
      <c r="I385" t="str">
        <f>_xlfn.XLOOKUP(frasest[[#This Row],[autor_es]],autorest[autor_es],autorest[codigo])</f>
        <v>zh</v>
      </c>
      <c r="J385" t="str">
        <f>_xlfn.XLOOKUP(frasest[[#This Row],[autor_es]],autorest[autor_es],autorest[idioma_es])</f>
        <v>Chino</v>
      </c>
      <c r="K385" s="6" t="str">
        <f>_xlfn.XLOOKUP(frasest[[#This Row],[autor_es]],autorest[autor_es],autorest[idioma_la])</f>
        <v>Lingua Sinica</v>
      </c>
      <c r="L385" s="6" t="str">
        <f>_xlfn.XLOOKUP(frasest[[#This Row],[autor_es]],autorest[autor_es],autorest[nacion_es])</f>
        <v>China</v>
      </c>
      <c r="M385" t="str">
        <f>_xlfn.XLOOKUP(frasest[[#This Row],[autor_es]],autorest[autor_es],autorest[nacion_la])</f>
        <v>Sinae</v>
      </c>
      <c r="N385" t="str">
        <f>_xlfn.XLOOKUP(frasest[[#This Row],[autor_es]],autorest[autor_es],autorest[epoca_es])</f>
        <v>Epoca Desconocida</v>
      </c>
      <c r="O385" t="str">
        <f>_xlfn.XLOOKUP(frasest[[#This Row],[autor_es]],autorest[autor_es],autorest[epoca_la])</f>
        <v>Epocha Ignota</v>
      </c>
    </row>
    <row r="386" spans="1:15">
      <c r="A386">
        <v>385</v>
      </c>
      <c r="B386" t="s">
        <v>1044</v>
      </c>
      <c r="C386" t="s">
        <v>1045</v>
      </c>
      <c r="D386" s="1" t="s">
        <v>1046</v>
      </c>
      <c r="E386" t="s">
        <v>33</v>
      </c>
      <c r="F386" t="str">
        <f>_xlfn.XLOOKUP(frasest[[#This Row],[autor_es]],autorest[autor_es],autorest[autor_la])</f>
        <v>Proverbium Sinense</v>
      </c>
      <c r="G386" s="6" t="str">
        <f>_xlfn.XLOOKUP(frasest[[#This Row],[autor_es]],autorest[autor_es],autorest[bio_es])</f>
        <v>Conjunto de proverbios tradicionales de la cultura china que transmiten sabiduría popular, valores morales y enseñanzas prácticas transmitidas oralmente durante siglos.</v>
      </c>
      <c r="H386" s="6" t="str">
        <f>_xlfn.XLOOKUP(frasest[[#This Row],[autor_es]],autorest[autor_es],autorest[bio_la])</f>
        <v>Collectio sententiarum Sinensium, magnopere in cultura tradita.</v>
      </c>
      <c r="I386" t="str">
        <f>_xlfn.XLOOKUP(frasest[[#This Row],[autor_es]],autorest[autor_es],autorest[codigo])</f>
        <v>zh</v>
      </c>
      <c r="J386" t="str">
        <f>_xlfn.XLOOKUP(frasest[[#This Row],[autor_es]],autorest[autor_es],autorest[idioma_es])</f>
        <v>Chino</v>
      </c>
      <c r="K386" s="6" t="str">
        <f>_xlfn.XLOOKUP(frasest[[#This Row],[autor_es]],autorest[autor_es],autorest[idioma_la])</f>
        <v>Lingua Sinica</v>
      </c>
      <c r="L386" s="6" t="str">
        <f>_xlfn.XLOOKUP(frasest[[#This Row],[autor_es]],autorest[autor_es],autorest[nacion_es])</f>
        <v>China</v>
      </c>
      <c r="M386" t="str">
        <f>_xlfn.XLOOKUP(frasest[[#This Row],[autor_es]],autorest[autor_es],autorest[nacion_la])</f>
        <v>Sinae</v>
      </c>
      <c r="N386" t="str">
        <f>_xlfn.XLOOKUP(frasest[[#This Row],[autor_es]],autorest[autor_es],autorest[epoca_es])</f>
        <v>Epoca Desconocida</v>
      </c>
      <c r="O386" t="str">
        <f>_xlfn.XLOOKUP(frasest[[#This Row],[autor_es]],autorest[autor_es],autorest[epoca_la])</f>
        <v>Epocha Ignota</v>
      </c>
    </row>
    <row r="387" spans="1:15">
      <c r="A387">
        <v>386</v>
      </c>
      <c r="B387" t="s">
        <v>1047</v>
      </c>
      <c r="C387" t="s">
        <v>1048</v>
      </c>
      <c r="D387" s="1" t="s">
        <v>1049</v>
      </c>
      <c r="E387" t="s">
        <v>33</v>
      </c>
      <c r="F387" t="str">
        <f>_xlfn.XLOOKUP(frasest[[#This Row],[autor_es]],autorest[autor_es],autorest[autor_la])</f>
        <v>Proverbium Sinense</v>
      </c>
      <c r="G387" s="6" t="str">
        <f>_xlfn.XLOOKUP(frasest[[#This Row],[autor_es]],autorest[autor_es],autorest[bio_es])</f>
        <v>Conjunto de proverbios tradicionales de la cultura china que transmiten sabiduría popular, valores morales y enseñanzas prácticas transmitidas oralmente durante siglos.</v>
      </c>
      <c r="H387" s="6" t="str">
        <f>_xlfn.XLOOKUP(frasest[[#This Row],[autor_es]],autorest[autor_es],autorest[bio_la])</f>
        <v>Collectio sententiarum Sinensium, magnopere in cultura tradita.</v>
      </c>
      <c r="I387" t="str">
        <f>_xlfn.XLOOKUP(frasest[[#This Row],[autor_es]],autorest[autor_es],autorest[codigo])</f>
        <v>zh</v>
      </c>
      <c r="J387" t="str">
        <f>_xlfn.XLOOKUP(frasest[[#This Row],[autor_es]],autorest[autor_es],autorest[idioma_es])</f>
        <v>Chino</v>
      </c>
      <c r="K387" s="6" t="str">
        <f>_xlfn.XLOOKUP(frasest[[#This Row],[autor_es]],autorest[autor_es],autorest[idioma_la])</f>
        <v>Lingua Sinica</v>
      </c>
      <c r="L387" s="6" t="str">
        <f>_xlfn.XLOOKUP(frasest[[#This Row],[autor_es]],autorest[autor_es],autorest[nacion_es])</f>
        <v>China</v>
      </c>
      <c r="M387" t="str">
        <f>_xlfn.XLOOKUP(frasest[[#This Row],[autor_es]],autorest[autor_es],autorest[nacion_la])</f>
        <v>Sinae</v>
      </c>
      <c r="N387" t="str">
        <f>_xlfn.XLOOKUP(frasest[[#This Row],[autor_es]],autorest[autor_es],autorest[epoca_es])</f>
        <v>Epoca Desconocida</v>
      </c>
      <c r="O387" t="str">
        <f>_xlfn.XLOOKUP(frasest[[#This Row],[autor_es]],autorest[autor_es],autorest[epoca_la])</f>
        <v>Epocha Ignota</v>
      </c>
    </row>
    <row r="388" spans="1:15">
      <c r="A388">
        <v>387</v>
      </c>
      <c r="B388" t="s">
        <v>1050</v>
      </c>
      <c r="C388" t="s">
        <v>1051</v>
      </c>
      <c r="D388" t="s">
        <v>1050</v>
      </c>
      <c r="E388" t="s">
        <v>1052</v>
      </c>
      <c r="F388" t="str">
        <f>_xlfn.XLOOKUP(frasest[[#This Row],[autor_es]],autorest[autor_es],autorest[autor_la])</f>
        <v>Sanctus Ioannes a Cruce</v>
      </c>
      <c r="G388"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8"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8" t="str">
        <f>_xlfn.XLOOKUP(frasest[[#This Row],[autor_es]],autorest[autor_es],autorest[codigo])</f>
        <v>es</v>
      </c>
      <c r="J388" t="str">
        <f>_xlfn.XLOOKUP(frasest[[#This Row],[autor_es]],autorest[autor_es],autorest[idioma_es])</f>
        <v>Español</v>
      </c>
      <c r="K388" s="6" t="str">
        <f>_xlfn.XLOOKUP(frasest[[#This Row],[autor_es]],autorest[autor_es],autorest[idioma_la])</f>
        <v>Lingua Hispanica</v>
      </c>
      <c r="L388" s="6" t="str">
        <f>_xlfn.XLOOKUP(frasest[[#This Row],[autor_es]],autorest[autor_es],autorest[nacion_es])</f>
        <v>España</v>
      </c>
      <c r="M388" t="str">
        <f>_xlfn.XLOOKUP(frasest[[#This Row],[autor_es]],autorest[autor_es],autorest[nacion_la])</f>
        <v>Hispania</v>
      </c>
      <c r="N388" t="str">
        <f>_xlfn.XLOOKUP(frasest[[#This Row],[autor_es]],autorest[autor_es],autorest[epoca_es])</f>
        <v>Edad Moderna</v>
      </c>
      <c r="O388" t="str">
        <f>_xlfn.XLOOKUP(frasest[[#This Row],[autor_es]],autorest[autor_es],autorest[epoca_la])</f>
        <v>Nova Aetas</v>
      </c>
    </row>
    <row r="389" spans="1:15">
      <c r="A389">
        <v>388</v>
      </c>
      <c r="B389" t="s">
        <v>1053</v>
      </c>
      <c r="C389" t="s">
        <v>1054</v>
      </c>
      <c r="D389" t="s">
        <v>1053</v>
      </c>
      <c r="E389" t="s">
        <v>1052</v>
      </c>
      <c r="F389" t="str">
        <f>_xlfn.XLOOKUP(frasest[[#This Row],[autor_es]],autorest[autor_es],autorest[autor_la])</f>
        <v>Sanctus Ioannes a Cruce</v>
      </c>
      <c r="G389"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9"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9" t="str">
        <f>_xlfn.XLOOKUP(frasest[[#This Row],[autor_es]],autorest[autor_es],autorest[codigo])</f>
        <v>es</v>
      </c>
      <c r="J389" t="str">
        <f>_xlfn.XLOOKUP(frasest[[#This Row],[autor_es]],autorest[autor_es],autorest[idioma_es])</f>
        <v>Español</v>
      </c>
      <c r="K389" s="6" t="str">
        <f>_xlfn.XLOOKUP(frasest[[#This Row],[autor_es]],autorest[autor_es],autorest[idioma_la])</f>
        <v>Lingua Hispanica</v>
      </c>
      <c r="L389" s="6" t="str">
        <f>_xlfn.XLOOKUP(frasest[[#This Row],[autor_es]],autorest[autor_es],autorest[nacion_es])</f>
        <v>España</v>
      </c>
      <c r="M389" t="str">
        <f>_xlfn.XLOOKUP(frasest[[#This Row],[autor_es]],autorest[autor_es],autorest[nacion_la])</f>
        <v>Hispania</v>
      </c>
      <c r="N389" t="str">
        <f>_xlfn.XLOOKUP(frasest[[#This Row],[autor_es]],autorest[autor_es],autorest[epoca_es])</f>
        <v>Edad Moderna</v>
      </c>
      <c r="O389" t="str">
        <f>_xlfn.XLOOKUP(frasest[[#This Row],[autor_es]],autorest[autor_es],autorest[epoca_la])</f>
        <v>Nova Aetas</v>
      </c>
    </row>
    <row r="390" spans="1:15">
      <c r="A390">
        <v>389</v>
      </c>
      <c r="B390" t="s">
        <v>1055</v>
      </c>
      <c r="C390" t="s">
        <v>1056</v>
      </c>
      <c r="D390" t="s">
        <v>1055</v>
      </c>
      <c r="E390" t="s">
        <v>1052</v>
      </c>
      <c r="F390" t="str">
        <f>_xlfn.XLOOKUP(frasest[[#This Row],[autor_es]],autorest[autor_es],autorest[autor_la])</f>
        <v>Sanctus Ioannes a Cruce</v>
      </c>
      <c r="G390"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0"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0" t="str">
        <f>_xlfn.XLOOKUP(frasest[[#This Row],[autor_es]],autorest[autor_es],autorest[codigo])</f>
        <v>es</v>
      </c>
      <c r="J390" t="str">
        <f>_xlfn.XLOOKUP(frasest[[#This Row],[autor_es]],autorest[autor_es],autorest[idioma_es])</f>
        <v>Español</v>
      </c>
      <c r="K390" s="6" t="str">
        <f>_xlfn.XLOOKUP(frasest[[#This Row],[autor_es]],autorest[autor_es],autorest[idioma_la])</f>
        <v>Lingua Hispanica</v>
      </c>
      <c r="L390" s="6" t="str">
        <f>_xlfn.XLOOKUP(frasest[[#This Row],[autor_es]],autorest[autor_es],autorest[nacion_es])</f>
        <v>España</v>
      </c>
      <c r="M390" t="str">
        <f>_xlfn.XLOOKUP(frasest[[#This Row],[autor_es]],autorest[autor_es],autorest[nacion_la])</f>
        <v>Hispania</v>
      </c>
      <c r="N390" t="str">
        <f>_xlfn.XLOOKUP(frasest[[#This Row],[autor_es]],autorest[autor_es],autorest[epoca_es])</f>
        <v>Edad Moderna</v>
      </c>
      <c r="O390" t="str">
        <f>_xlfn.XLOOKUP(frasest[[#This Row],[autor_es]],autorest[autor_es],autorest[epoca_la])</f>
        <v>Nova Aetas</v>
      </c>
    </row>
    <row r="391" spans="1:15">
      <c r="A391">
        <v>390</v>
      </c>
      <c r="B391" t="s">
        <v>1057</v>
      </c>
      <c r="C391" t="s">
        <v>1058</v>
      </c>
      <c r="D391" t="s">
        <v>1057</v>
      </c>
      <c r="E391" t="s">
        <v>1052</v>
      </c>
      <c r="F391" t="str">
        <f>_xlfn.XLOOKUP(frasest[[#This Row],[autor_es]],autorest[autor_es],autorest[autor_la])</f>
        <v>Sanctus Ioannes a Cruce</v>
      </c>
      <c r="G391"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1"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1" t="str">
        <f>_xlfn.XLOOKUP(frasest[[#This Row],[autor_es]],autorest[autor_es],autorest[codigo])</f>
        <v>es</v>
      </c>
      <c r="J391" t="str">
        <f>_xlfn.XLOOKUP(frasest[[#This Row],[autor_es]],autorest[autor_es],autorest[idioma_es])</f>
        <v>Español</v>
      </c>
      <c r="K391" s="6" t="str">
        <f>_xlfn.XLOOKUP(frasest[[#This Row],[autor_es]],autorest[autor_es],autorest[idioma_la])</f>
        <v>Lingua Hispanica</v>
      </c>
      <c r="L391" s="6" t="str">
        <f>_xlfn.XLOOKUP(frasest[[#This Row],[autor_es]],autorest[autor_es],autorest[nacion_es])</f>
        <v>España</v>
      </c>
      <c r="M391" t="str">
        <f>_xlfn.XLOOKUP(frasest[[#This Row],[autor_es]],autorest[autor_es],autorest[nacion_la])</f>
        <v>Hispania</v>
      </c>
      <c r="N391" t="str">
        <f>_xlfn.XLOOKUP(frasest[[#This Row],[autor_es]],autorest[autor_es],autorest[epoca_es])</f>
        <v>Edad Moderna</v>
      </c>
      <c r="O391" t="str">
        <f>_xlfn.XLOOKUP(frasest[[#This Row],[autor_es]],autorest[autor_es],autorest[epoca_la])</f>
        <v>Nova Aetas</v>
      </c>
    </row>
    <row r="392" spans="1:15">
      <c r="A392">
        <v>391</v>
      </c>
      <c r="B392" t="s">
        <v>1059</v>
      </c>
      <c r="C392" t="s">
        <v>1060</v>
      </c>
      <c r="D392" t="s">
        <v>1059</v>
      </c>
      <c r="E392" t="s">
        <v>1052</v>
      </c>
      <c r="F392" t="str">
        <f>_xlfn.XLOOKUP(frasest[[#This Row],[autor_es]],autorest[autor_es],autorest[autor_la])</f>
        <v>Sanctus Ioannes a Cruce</v>
      </c>
      <c r="G392"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2"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2" t="str">
        <f>_xlfn.XLOOKUP(frasest[[#This Row],[autor_es]],autorest[autor_es],autorest[codigo])</f>
        <v>es</v>
      </c>
      <c r="J392" t="str">
        <f>_xlfn.XLOOKUP(frasest[[#This Row],[autor_es]],autorest[autor_es],autorest[idioma_es])</f>
        <v>Español</v>
      </c>
      <c r="K392" s="6" t="str">
        <f>_xlfn.XLOOKUP(frasest[[#This Row],[autor_es]],autorest[autor_es],autorest[idioma_la])</f>
        <v>Lingua Hispanica</v>
      </c>
      <c r="L392" s="6" t="str">
        <f>_xlfn.XLOOKUP(frasest[[#This Row],[autor_es]],autorest[autor_es],autorest[nacion_es])</f>
        <v>España</v>
      </c>
      <c r="M392" t="str">
        <f>_xlfn.XLOOKUP(frasest[[#This Row],[autor_es]],autorest[autor_es],autorest[nacion_la])</f>
        <v>Hispania</v>
      </c>
      <c r="N392" t="str">
        <f>_xlfn.XLOOKUP(frasest[[#This Row],[autor_es]],autorest[autor_es],autorest[epoca_es])</f>
        <v>Edad Moderna</v>
      </c>
      <c r="O392" t="str">
        <f>_xlfn.XLOOKUP(frasest[[#This Row],[autor_es]],autorest[autor_es],autorest[epoca_la])</f>
        <v>Nova Aetas</v>
      </c>
    </row>
    <row r="393" spans="1:15">
      <c r="A393">
        <v>392</v>
      </c>
      <c r="B393" t="s">
        <v>1061</v>
      </c>
      <c r="C393" t="s">
        <v>1062</v>
      </c>
      <c r="D393" t="s">
        <v>1061</v>
      </c>
      <c r="E393" t="s">
        <v>1052</v>
      </c>
      <c r="F393" t="str">
        <f>_xlfn.XLOOKUP(frasest[[#This Row],[autor_es]],autorest[autor_es],autorest[autor_la])</f>
        <v>Sanctus Ioannes a Cruce</v>
      </c>
      <c r="G393"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3"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3" t="str">
        <f>_xlfn.XLOOKUP(frasest[[#This Row],[autor_es]],autorest[autor_es],autorest[codigo])</f>
        <v>es</v>
      </c>
      <c r="J393" t="str">
        <f>_xlfn.XLOOKUP(frasest[[#This Row],[autor_es]],autorest[autor_es],autorest[idioma_es])</f>
        <v>Español</v>
      </c>
      <c r="K393" s="6" t="str">
        <f>_xlfn.XLOOKUP(frasest[[#This Row],[autor_es]],autorest[autor_es],autorest[idioma_la])</f>
        <v>Lingua Hispanica</v>
      </c>
      <c r="L393" s="6" t="str">
        <f>_xlfn.XLOOKUP(frasest[[#This Row],[autor_es]],autorest[autor_es],autorest[nacion_es])</f>
        <v>España</v>
      </c>
      <c r="M393" t="str">
        <f>_xlfn.XLOOKUP(frasest[[#This Row],[autor_es]],autorest[autor_es],autorest[nacion_la])</f>
        <v>Hispania</v>
      </c>
      <c r="N393" t="str">
        <f>_xlfn.XLOOKUP(frasest[[#This Row],[autor_es]],autorest[autor_es],autorest[epoca_es])</f>
        <v>Edad Moderna</v>
      </c>
      <c r="O393" t="str">
        <f>_xlfn.XLOOKUP(frasest[[#This Row],[autor_es]],autorest[autor_es],autorest[epoca_la])</f>
        <v>Nova Aetas</v>
      </c>
    </row>
    <row r="394" spans="1:15">
      <c r="A394">
        <v>393</v>
      </c>
      <c r="B394" t="s">
        <v>1063</v>
      </c>
      <c r="C394" t="s">
        <v>1064</v>
      </c>
      <c r="D394" t="s">
        <v>1063</v>
      </c>
      <c r="E394" t="s">
        <v>1065</v>
      </c>
      <c r="F394" t="str">
        <f>_xlfn.XLOOKUP(frasest[[#This Row],[autor_es]],autorest[autor_es],autorest[autor_la])</f>
        <v>Sancta Theresia ab Iesu</v>
      </c>
      <c r="G394"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4"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4" t="str">
        <f>_xlfn.XLOOKUP(frasest[[#This Row],[autor_es]],autorest[autor_es],autorest[codigo])</f>
        <v>es</v>
      </c>
      <c r="J394" t="str">
        <f>_xlfn.XLOOKUP(frasest[[#This Row],[autor_es]],autorest[autor_es],autorest[idioma_es])</f>
        <v>Español</v>
      </c>
      <c r="K394" s="6" t="str">
        <f>_xlfn.XLOOKUP(frasest[[#This Row],[autor_es]],autorest[autor_es],autorest[idioma_la])</f>
        <v>Lingua Hispanica</v>
      </c>
      <c r="L394" s="6" t="str">
        <f>_xlfn.XLOOKUP(frasest[[#This Row],[autor_es]],autorest[autor_es],autorest[nacion_es])</f>
        <v>España</v>
      </c>
      <c r="M394" t="str">
        <f>_xlfn.XLOOKUP(frasest[[#This Row],[autor_es]],autorest[autor_es],autorest[nacion_la])</f>
        <v>Hispania</v>
      </c>
      <c r="N394" t="str">
        <f>_xlfn.XLOOKUP(frasest[[#This Row],[autor_es]],autorest[autor_es],autorest[epoca_es])</f>
        <v>Edad Moderna</v>
      </c>
      <c r="O394" t="str">
        <f>_xlfn.XLOOKUP(frasest[[#This Row],[autor_es]],autorest[autor_es],autorest[epoca_la])</f>
        <v>Nova Aetas</v>
      </c>
    </row>
    <row r="395" spans="1:15">
      <c r="A395">
        <v>394</v>
      </c>
      <c r="B395" t="s">
        <v>1066</v>
      </c>
      <c r="C395" t="s">
        <v>1067</v>
      </c>
      <c r="D395" t="s">
        <v>1066</v>
      </c>
      <c r="E395" t="s">
        <v>1065</v>
      </c>
      <c r="F395" t="str">
        <f>_xlfn.XLOOKUP(frasest[[#This Row],[autor_es]],autorest[autor_es],autorest[autor_la])</f>
        <v>Sancta Theresia ab Iesu</v>
      </c>
      <c r="G395"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5"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5" t="str">
        <f>_xlfn.XLOOKUP(frasest[[#This Row],[autor_es]],autorest[autor_es],autorest[codigo])</f>
        <v>es</v>
      </c>
      <c r="J395" t="str">
        <f>_xlfn.XLOOKUP(frasest[[#This Row],[autor_es]],autorest[autor_es],autorest[idioma_es])</f>
        <v>Español</v>
      </c>
      <c r="K395" s="6" t="str">
        <f>_xlfn.XLOOKUP(frasest[[#This Row],[autor_es]],autorest[autor_es],autorest[idioma_la])</f>
        <v>Lingua Hispanica</v>
      </c>
      <c r="L395" s="6" t="str">
        <f>_xlfn.XLOOKUP(frasest[[#This Row],[autor_es]],autorest[autor_es],autorest[nacion_es])</f>
        <v>España</v>
      </c>
      <c r="M395" t="str">
        <f>_xlfn.XLOOKUP(frasest[[#This Row],[autor_es]],autorest[autor_es],autorest[nacion_la])</f>
        <v>Hispania</v>
      </c>
      <c r="N395" t="str">
        <f>_xlfn.XLOOKUP(frasest[[#This Row],[autor_es]],autorest[autor_es],autorest[epoca_es])</f>
        <v>Edad Moderna</v>
      </c>
      <c r="O395" t="str">
        <f>_xlfn.XLOOKUP(frasest[[#This Row],[autor_es]],autorest[autor_es],autorest[epoca_la])</f>
        <v>Nova Aetas</v>
      </c>
    </row>
    <row r="396" spans="1:15">
      <c r="A396">
        <v>395</v>
      </c>
      <c r="B396" t="s">
        <v>1068</v>
      </c>
      <c r="C396" t="s">
        <v>1069</v>
      </c>
      <c r="D396" t="s">
        <v>1068</v>
      </c>
      <c r="E396" t="s">
        <v>1065</v>
      </c>
      <c r="F396" t="str">
        <f>_xlfn.XLOOKUP(frasest[[#This Row],[autor_es]],autorest[autor_es],autorest[autor_la])</f>
        <v>Sancta Theresia ab Iesu</v>
      </c>
      <c r="G396"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6"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6" t="str">
        <f>_xlfn.XLOOKUP(frasest[[#This Row],[autor_es]],autorest[autor_es],autorest[codigo])</f>
        <v>es</v>
      </c>
      <c r="J396" t="str">
        <f>_xlfn.XLOOKUP(frasest[[#This Row],[autor_es]],autorest[autor_es],autorest[idioma_es])</f>
        <v>Español</v>
      </c>
      <c r="K396" s="6" t="str">
        <f>_xlfn.XLOOKUP(frasest[[#This Row],[autor_es]],autorest[autor_es],autorest[idioma_la])</f>
        <v>Lingua Hispanica</v>
      </c>
      <c r="L396" s="6" t="str">
        <f>_xlfn.XLOOKUP(frasest[[#This Row],[autor_es]],autorest[autor_es],autorest[nacion_es])</f>
        <v>España</v>
      </c>
      <c r="M396" t="str">
        <f>_xlfn.XLOOKUP(frasest[[#This Row],[autor_es]],autorest[autor_es],autorest[nacion_la])</f>
        <v>Hispania</v>
      </c>
      <c r="N396" t="str">
        <f>_xlfn.XLOOKUP(frasest[[#This Row],[autor_es]],autorest[autor_es],autorest[epoca_es])</f>
        <v>Edad Moderna</v>
      </c>
      <c r="O396" t="str">
        <f>_xlfn.XLOOKUP(frasest[[#This Row],[autor_es]],autorest[autor_es],autorest[epoca_la])</f>
        <v>Nova Aetas</v>
      </c>
    </row>
    <row r="397" spans="1:15">
      <c r="A397">
        <v>396</v>
      </c>
      <c r="B397" t="s">
        <v>1070</v>
      </c>
      <c r="C397" t="s">
        <v>1071</v>
      </c>
      <c r="D397" t="s">
        <v>1070</v>
      </c>
      <c r="E397" t="s">
        <v>1065</v>
      </c>
      <c r="F397" t="str">
        <f>_xlfn.XLOOKUP(frasest[[#This Row],[autor_es]],autorest[autor_es],autorest[autor_la])</f>
        <v>Sancta Theresia ab Iesu</v>
      </c>
      <c r="G397"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7"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7" t="str">
        <f>_xlfn.XLOOKUP(frasest[[#This Row],[autor_es]],autorest[autor_es],autorest[codigo])</f>
        <v>es</v>
      </c>
      <c r="J397" t="str">
        <f>_xlfn.XLOOKUP(frasest[[#This Row],[autor_es]],autorest[autor_es],autorest[idioma_es])</f>
        <v>Español</v>
      </c>
      <c r="K397" s="6" t="str">
        <f>_xlfn.XLOOKUP(frasest[[#This Row],[autor_es]],autorest[autor_es],autorest[idioma_la])</f>
        <v>Lingua Hispanica</v>
      </c>
      <c r="L397" s="6" t="str">
        <f>_xlfn.XLOOKUP(frasest[[#This Row],[autor_es]],autorest[autor_es],autorest[nacion_es])</f>
        <v>España</v>
      </c>
      <c r="M397" t="str">
        <f>_xlfn.XLOOKUP(frasest[[#This Row],[autor_es]],autorest[autor_es],autorest[nacion_la])</f>
        <v>Hispania</v>
      </c>
      <c r="N397" t="str">
        <f>_xlfn.XLOOKUP(frasest[[#This Row],[autor_es]],autorest[autor_es],autorest[epoca_es])</f>
        <v>Edad Moderna</v>
      </c>
      <c r="O397" t="str">
        <f>_xlfn.XLOOKUP(frasest[[#This Row],[autor_es]],autorest[autor_es],autorest[epoca_la])</f>
        <v>Nova Aetas</v>
      </c>
    </row>
    <row r="398" spans="1:15">
      <c r="A398">
        <v>397</v>
      </c>
      <c r="B398" t="s">
        <v>1072</v>
      </c>
      <c r="C398" t="s">
        <v>1073</v>
      </c>
      <c r="D398" t="s">
        <v>1072</v>
      </c>
      <c r="E398" t="s">
        <v>1065</v>
      </c>
      <c r="F398" t="str">
        <f>_xlfn.XLOOKUP(frasest[[#This Row],[autor_es]],autorest[autor_es],autorest[autor_la])</f>
        <v>Sancta Theresia ab Iesu</v>
      </c>
      <c r="G398"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8"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8" t="str">
        <f>_xlfn.XLOOKUP(frasest[[#This Row],[autor_es]],autorest[autor_es],autorest[codigo])</f>
        <v>es</v>
      </c>
      <c r="J398" t="str">
        <f>_xlfn.XLOOKUP(frasest[[#This Row],[autor_es]],autorest[autor_es],autorest[idioma_es])</f>
        <v>Español</v>
      </c>
      <c r="K398" s="6" t="str">
        <f>_xlfn.XLOOKUP(frasest[[#This Row],[autor_es]],autorest[autor_es],autorest[idioma_la])</f>
        <v>Lingua Hispanica</v>
      </c>
      <c r="L398" s="6" t="str">
        <f>_xlfn.XLOOKUP(frasest[[#This Row],[autor_es]],autorest[autor_es],autorest[nacion_es])</f>
        <v>España</v>
      </c>
      <c r="M398" t="str">
        <f>_xlfn.XLOOKUP(frasest[[#This Row],[autor_es]],autorest[autor_es],autorest[nacion_la])</f>
        <v>Hispania</v>
      </c>
      <c r="N398" t="str">
        <f>_xlfn.XLOOKUP(frasest[[#This Row],[autor_es]],autorest[autor_es],autorest[epoca_es])</f>
        <v>Edad Moderna</v>
      </c>
      <c r="O398" t="str">
        <f>_xlfn.XLOOKUP(frasest[[#This Row],[autor_es]],autorest[autor_es],autorest[epoca_la])</f>
        <v>Nova Aetas</v>
      </c>
    </row>
    <row r="399" spans="1:15">
      <c r="A399">
        <v>398</v>
      </c>
      <c r="B399" t="s">
        <v>1074</v>
      </c>
      <c r="C399" t="s">
        <v>1075</v>
      </c>
      <c r="D399" t="s">
        <v>1074</v>
      </c>
      <c r="E399" t="s">
        <v>1065</v>
      </c>
      <c r="F399" t="str">
        <f>_xlfn.XLOOKUP(frasest[[#This Row],[autor_es]],autorest[autor_es],autorest[autor_la])</f>
        <v>Sancta Theresia ab Iesu</v>
      </c>
      <c r="G399"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9"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9" t="str">
        <f>_xlfn.XLOOKUP(frasest[[#This Row],[autor_es]],autorest[autor_es],autorest[codigo])</f>
        <v>es</v>
      </c>
      <c r="J399" t="str">
        <f>_xlfn.XLOOKUP(frasest[[#This Row],[autor_es]],autorest[autor_es],autorest[idioma_es])</f>
        <v>Español</v>
      </c>
      <c r="K399" s="6" t="str">
        <f>_xlfn.XLOOKUP(frasest[[#This Row],[autor_es]],autorest[autor_es],autorest[idioma_la])</f>
        <v>Lingua Hispanica</v>
      </c>
      <c r="L399" s="6" t="str">
        <f>_xlfn.XLOOKUP(frasest[[#This Row],[autor_es]],autorest[autor_es],autorest[nacion_es])</f>
        <v>España</v>
      </c>
      <c r="M399" t="str">
        <f>_xlfn.XLOOKUP(frasest[[#This Row],[autor_es]],autorest[autor_es],autorest[nacion_la])</f>
        <v>Hispania</v>
      </c>
      <c r="N399" t="str">
        <f>_xlfn.XLOOKUP(frasest[[#This Row],[autor_es]],autorest[autor_es],autorest[epoca_es])</f>
        <v>Edad Moderna</v>
      </c>
      <c r="O399" t="str">
        <f>_xlfn.XLOOKUP(frasest[[#This Row],[autor_es]],autorest[autor_es],autorest[epoca_la])</f>
        <v>Nova Aetas</v>
      </c>
    </row>
    <row r="400" spans="1:15">
      <c r="A400">
        <v>399</v>
      </c>
      <c r="B400" t="s">
        <v>1076</v>
      </c>
      <c r="C400" t="s">
        <v>1077</v>
      </c>
      <c r="D400" t="s">
        <v>1076</v>
      </c>
      <c r="E400" t="s">
        <v>1078</v>
      </c>
      <c r="F400" t="str">
        <f>_xlfn.XLOOKUP(frasest[[#This Row],[autor_es]],autorest[autor_es],autorest[autor_la])</f>
        <v>Sanctus Ioannes Bosco</v>
      </c>
      <c r="G400"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0"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0" t="str">
        <f>_xlfn.XLOOKUP(frasest[[#This Row],[autor_es]],autorest[autor_es],autorest[codigo])</f>
        <v>it</v>
      </c>
      <c r="J400" t="str">
        <f>_xlfn.XLOOKUP(frasest[[#This Row],[autor_es]],autorest[autor_es],autorest[idioma_es])</f>
        <v>Italiano</v>
      </c>
      <c r="K400" s="6" t="str">
        <f>_xlfn.XLOOKUP(frasest[[#This Row],[autor_es]],autorest[autor_es],autorest[idioma_la])</f>
        <v>Lingua Italica</v>
      </c>
      <c r="L400" s="6" t="str">
        <f>_xlfn.XLOOKUP(frasest[[#This Row],[autor_es]],autorest[autor_es],autorest[nacion_es])</f>
        <v>Italia</v>
      </c>
      <c r="M400" t="str">
        <f>_xlfn.XLOOKUP(frasest[[#This Row],[autor_es]],autorest[autor_es],autorest[nacion_la])</f>
        <v>Italia</v>
      </c>
      <c r="N400" t="str">
        <f>_xlfn.XLOOKUP(frasest[[#This Row],[autor_es]],autorest[autor_es],autorest[epoca_es])</f>
        <v>Edad Contemporánea</v>
      </c>
      <c r="O400" t="str">
        <f>_xlfn.XLOOKUP(frasest[[#This Row],[autor_es]],autorest[autor_es],autorest[epoca_la])</f>
        <v>Aetas Contemporanea</v>
      </c>
    </row>
    <row r="401" spans="1:15">
      <c r="A401">
        <v>400</v>
      </c>
      <c r="B401" t="s">
        <v>1079</v>
      </c>
      <c r="C401" t="s">
        <v>1080</v>
      </c>
      <c r="D401" t="s">
        <v>1079</v>
      </c>
      <c r="E401" t="s">
        <v>1078</v>
      </c>
      <c r="F401" t="str">
        <f>_xlfn.XLOOKUP(frasest[[#This Row],[autor_es]],autorest[autor_es],autorest[autor_la])</f>
        <v>Sanctus Ioannes Bosco</v>
      </c>
      <c r="G401"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1"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1" t="str">
        <f>_xlfn.XLOOKUP(frasest[[#This Row],[autor_es]],autorest[autor_es],autorest[codigo])</f>
        <v>it</v>
      </c>
      <c r="J401" t="str">
        <f>_xlfn.XLOOKUP(frasest[[#This Row],[autor_es]],autorest[autor_es],autorest[idioma_es])</f>
        <v>Italiano</v>
      </c>
      <c r="K401" s="6" t="str">
        <f>_xlfn.XLOOKUP(frasest[[#This Row],[autor_es]],autorest[autor_es],autorest[idioma_la])</f>
        <v>Lingua Italica</v>
      </c>
      <c r="L401" s="6" t="str">
        <f>_xlfn.XLOOKUP(frasest[[#This Row],[autor_es]],autorest[autor_es],autorest[nacion_es])</f>
        <v>Italia</v>
      </c>
      <c r="M401" t="str">
        <f>_xlfn.XLOOKUP(frasest[[#This Row],[autor_es]],autorest[autor_es],autorest[nacion_la])</f>
        <v>Italia</v>
      </c>
      <c r="N401" t="str">
        <f>_xlfn.XLOOKUP(frasest[[#This Row],[autor_es]],autorest[autor_es],autorest[epoca_es])</f>
        <v>Edad Contemporánea</v>
      </c>
      <c r="O401" t="str">
        <f>_xlfn.XLOOKUP(frasest[[#This Row],[autor_es]],autorest[autor_es],autorest[epoca_la])</f>
        <v>Aetas Contemporanea</v>
      </c>
    </row>
    <row r="402" spans="1:15">
      <c r="A402">
        <v>401</v>
      </c>
      <c r="B402" t="s">
        <v>1081</v>
      </c>
      <c r="C402" t="s">
        <v>1082</v>
      </c>
      <c r="D402" t="s">
        <v>1081</v>
      </c>
      <c r="E402" t="s">
        <v>1078</v>
      </c>
      <c r="F402" t="str">
        <f>_xlfn.XLOOKUP(frasest[[#This Row],[autor_es]],autorest[autor_es],autorest[autor_la])</f>
        <v>Sanctus Ioannes Bosco</v>
      </c>
      <c r="G402"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2"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2" t="str">
        <f>_xlfn.XLOOKUP(frasest[[#This Row],[autor_es]],autorest[autor_es],autorest[codigo])</f>
        <v>it</v>
      </c>
      <c r="J402" t="str">
        <f>_xlfn.XLOOKUP(frasest[[#This Row],[autor_es]],autorest[autor_es],autorest[idioma_es])</f>
        <v>Italiano</v>
      </c>
      <c r="K402" s="6" t="str">
        <f>_xlfn.XLOOKUP(frasest[[#This Row],[autor_es]],autorest[autor_es],autorest[idioma_la])</f>
        <v>Lingua Italica</v>
      </c>
      <c r="L402" s="6" t="str">
        <f>_xlfn.XLOOKUP(frasest[[#This Row],[autor_es]],autorest[autor_es],autorest[nacion_es])</f>
        <v>Italia</v>
      </c>
      <c r="M402" t="str">
        <f>_xlfn.XLOOKUP(frasest[[#This Row],[autor_es]],autorest[autor_es],autorest[nacion_la])</f>
        <v>Italia</v>
      </c>
      <c r="N402" t="str">
        <f>_xlfn.XLOOKUP(frasest[[#This Row],[autor_es]],autorest[autor_es],autorest[epoca_es])</f>
        <v>Edad Contemporánea</v>
      </c>
      <c r="O402" t="str">
        <f>_xlfn.XLOOKUP(frasest[[#This Row],[autor_es]],autorest[autor_es],autorest[epoca_la])</f>
        <v>Aetas Contemporanea</v>
      </c>
    </row>
    <row r="403" spans="1:15">
      <c r="A403">
        <v>402</v>
      </c>
      <c r="B403" t="s">
        <v>1083</v>
      </c>
      <c r="C403" t="s">
        <v>1084</v>
      </c>
      <c r="D403" t="s">
        <v>1083</v>
      </c>
      <c r="E403" t="s">
        <v>1078</v>
      </c>
      <c r="F403" t="str">
        <f>_xlfn.XLOOKUP(frasest[[#This Row],[autor_es]],autorest[autor_es],autorest[autor_la])</f>
        <v>Sanctus Ioannes Bosco</v>
      </c>
      <c r="G403"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3"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3" t="str">
        <f>_xlfn.XLOOKUP(frasest[[#This Row],[autor_es]],autorest[autor_es],autorest[codigo])</f>
        <v>it</v>
      </c>
      <c r="J403" t="str">
        <f>_xlfn.XLOOKUP(frasest[[#This Row],[autor_es]],autorest[autor_es],autorest[idioma_es])</f>
        <v>Italiano</v>
      </c>
      <c r="K403" s="6" t="str">
        <f>_xlfn.XLOOKUP(frasest[[#This Row],[autor_es]],autorest[autor_es],autorest[idioma_la])</f>
        <v>Lingua Italica</v>
      </c>
      <c r="L403" s="6" t="str">
        <f>_xlfn.XLOOKUP(frasest[[#This Row],[autor_es]],autorest[autor_es],autorest[nacion_es])</f>
        <v>Italia</v>
      </c>
      <c r="M403" t="str">
        <f>_xlfn.XLOOKUP(frasest[[#This Row],[autor_es]],autorest[autor_es],autorest[nacion_la])</f>
        <v>Italia</v>
      </c>
      <c r="N403" t="str">
        <f>_xlfn.XLOOKUP(frasest[[#This Row],[autor_es]],autorest[autor_es],autorest[epoca_es])</f>
        <v>Edad Contemporánea</v>
      </c>
      <c r="O403" t="str">
        <f>_xlfn.XLOOKUP(frasest[[#This Row],[autor_es]],autorest[autor_es],autorest[epoca_la])</f>
        <v>Aetas Contemporanea</v>
      </c>
    </row>
    <row r="404" spans="1:15">
      <c r="A404">
        <v>403</v>
      </c>
      <c r="B404" t="s">
        <v>1085</v>
      </c>
      <c r="C404" t="s">
        <v>1086</v>
      </c>
      <c r="D404" t="s">
        <v>1085</v>
      </c>
      <c r="E404" t="s">
        <v>1078</v>
      </c>
      <c r="F404" t="str">
        <f>_xlfn.XLOOKUP(frasest[[#This Row],[autor_es]],autorest[autor_es],autorest[autor_la])</f>
        <v>Sanctus Ioannes Bosco</v>
      </c>
      <c r="G404"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4"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4" t="str">
        <f>_xlfn.XLOOKUP(frasest[[#This Row],[autor_es]],autorest[autor_es],autorest[codigo])</f>
        <v>it</v>
      </c>
      <c r="J404" t="str">
        <f>_xlfn.XLOOKUP(frasest[[#This Row],[autor_es]],autorest[autor_es],autorest[idioma_es])</f>
        <v>Italiano</v>
      </c>
      <c r="K404" s="6" t="str">
        <f>_xlfn.XLOOKUP(frasest[[#This Row],[autor_es]],autorest[autor_es],autorest[idioma_la])</f>
        <v>Lingua Italica</v>
      </c>
      <c r="L404" s="6" t="str">
        <f>_xlfn.XLOOKUP(frasest[[#This Row],[autor_es]],autorest[autor_es],autorest[nacion_es])</f>
        <v>Italia</v>
      </c>
      <c r="M404" t="str">
        <f>_xlfn.XLOOKUP(frasest[[#This Row],[autor_es]],autorest[autor_es],autorest[nacion_la])</f>
        <v>Italia</v>
      </c>
      <c r="N404" t="str">
        <f>_xlfn.XLOOKUP(frasest[[#This Row],[autor_es]],autorest[autor_es],autorest[epoca_es])</f>
        <v>Edad Contemporánea</v>
      </c>
      <c r="O404" t="str">
        <f>_xlfn.XLOOKUP(frasest[[#This Row],[autor_es]],autorest[autor_es],autorest[epoca_la])</f>
        <v>Aetas Contemporanea</v>
      </c>
    </row>
    <row r="405" spans="1:15">
      <c r="A405">
        <v>404</v>
      </c>
      <c r="B405" t="s">
        <v>1087</v>
      </c>
      <c r="C405" t="s">
        <v>1088</v>
      </c>
      <c r="D405" t="s">
        <v>1087</v>
      </c>
      <c r="E405" t="s">
        <v>1078</v>
      </c>
      <c r="F405" t="str">
        <f>_xlfn.XLOOKUP(frasest[[#This Row],[autor_es]],autorest[autor_es],autorest[autor_la])</f>
        <v>Sanctus Ioannes Bosco</v>
      </c>
      <c r="G405"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5"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5" t="str">
        <f>_xlfn.XLOOKUP(frasest[[#This Row],[autor_es]],autorest[autor_es],autorest[codigo])</f>
        <v>it</v>
      </c>
      <c r="J405" t="str">
        <f>_xlfn.XLOOKUP(frasest[[#This Row],[autor_es]],autorest[autor_es],autorest[idioma_es])</f>
        <v>Italiano</v>
      </c>
      <c r="K405" s="6" t="str">
        <f>_xlfn.XLOOKUP(frasest[[#This Row],[autor_es]],autorest[autor_es],autorest[idioma_la])</f>
        <v>Lingua Italica</v>
      </c>
      <c r="L405" s="6" t="str">
        <f>_xlfn.XLOOKUP(frasest[[#This Row],[autor_es]],autorest[autor_es],autorest[nacion_es])</f>
        <v>Italia</v>
      </c>
      <c r="M405" t="str">
        <f>_xlfn.XLOOKUP(frasest[[#This Row],[autor_es]],autorest[autor_es],autorest[nacion_la])</f>
        <v>Italia</v>
      </c>
      <c r="N405" t="str">
        <f>_xlfn.XLOOKUP(frasest[[#This Row],[autor_es]],autorest[autor_es],autorest[epoca_es])</f>
        <v>Edad Contemporánea</v>
      </c>
      <c r="O405" t="str">
        <f>_xlfn.XLOOKUP(frasest[[#This Row],[autor_es]],autorest[autor_es],autorest[epoca_la])</f>
        <v>Aetas Contemporanea</v>
      </c>
    </row>
    <row r="406" spans="1:15">
      <c r="A406">
        <v>405</v>
      </c>
      <c r="B406" t="s">
        <v>1089</v>
      </c>
      <c r="C406" t="s">
        <v>1090</v>
      </c>
      <c r="D406" t="s">
        <v>1090</v>
      </c>
      <c r="E406" t="s">
        <v>1091</v>
      </c>
      <c r="F406" t="str">
        <f>_xlfn.XLOOKUP(frasest[[#This Row],[autor_es]],autorest[autor_es],autorest[autor_la])</f>
        <v>Benedictus XVI</v>
      </c>
      <c r="G406"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6"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6" t="str">
        <f>_xlfn.XLOOKUP(frasest[[#This Row],[autor_es]],autorest[autor_es],autorest[codigo])</f>
        <v>de</v>
      </c>
      <c r="J406" t="str">
        <f>_xlfn.XLOOKUP(frasest[[#This Row],[autor_es]],autorest[autor_es],autorest[idioma_es])</f>
        <v>Alemán</v>
      </c>
      <c r="K406" s="6" t="str">
        <f>_xlfn.XLOOKUP(frasest[[#This Row],[autor_es]],autorest[autor_es],autorest[idioma_la])</f>
        <v>Lingua Germanica</v>
      </c>
      <c r="L406" s="6" t="str">
        <f>_xlfn.XLOOKUP(frasest[[#This Row],[autor_es]],autorest[autor_es],autorest[nacion_es])</f>
        <v>Alemania</v>
      </c>
      <c r="M406" t="str">
        <f>_xlfn.XLOOKUP(frasest[[#This Row],[autor_es]],autorest[autor_es],autorest[nacion_la])</f>
        <v>Germania</v>
      </c>
      <c r="N406" t="str">
        <f>_xlfn.XLOOKUP(frasest[[#This Row],[autor_es]],autorest[autor_es],autorest[epoca_es])</f>
        <v>Edad Contemporánea</v>
      </c>
      <c r="O406" t="str">
        <f>_xlfn.XLOOKUP(frasest[[#This Row],[autor_es]],autorest[autor_es],autorest[epoca_la])</f>
        <v>Aetas Contemporanea</v>
      </c>
    </row>
    <row r="407" spans="1:15">
      <c r="A407">
        <v>406</v>
      </c>
      <c r="B407" t="s">
        <v>1092</v>
      </c>
      <c r="C407" t="s">
        <v>1093</v>
      </c>
      <c r="D407" t="s">
        <v>1092</v>
      </c>
      <c r="E407" t="s">
        <v>1091</v>
      </c>
      <c r="F407" t="str">
        <f>_xlfn.XLOOKUP(frasest[[#This Row],[autor_es]],autorest[autor_es],autorest[autor_la])</f>
        <v>Benedictus XVI</v>
      </c>
      <c r="G407"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7"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7" t="str">
        <f>_xlfn.XLOOKUP(frasest[[#This Row],[autor_es]],autorest[autor_es],autorest[codigo])</f>
        <v>de</v>
      </c>
      <c r="J407" t="str">
        <f>_xlfn.XLOOKUP(frasest[[#This Row],[autor_es]],autorest[autor_es],autorest[idioma_es])</f>
        <v>Alemán</v>
      </c>
      <c r="K407" s="6" t="str">
        <f>_xlfn.XLOOKUP(frasest[[#This Row],[autor_es]],autorest[autor_es],autorest[idioma_la])</f>
        <v>Lingua Germanica</v>
      </c>
      <c r="L407" s="6" t="str">
        <f>_xlfn.XLOOKUP(frasest[[#This Row],[autor_es]],autorest[autor_es],autorest[nacion_es])</f>
        <v>Alemania</v>
      </c>
      <c r="M407" t="str">
        <f>_xlfn.XLOOKUP(frasest[[#This Row],[autor_es]],autorest[autor_es],autorest[nacion_la])</f>
        <v>Germania</v>
      </c>
      <c r="N407" t="str">
        <f>_xlfn.XLOOKUP(frasest[[#This Row],[autor_es]],autorest[autor_es],autorest[epoca_es])</f>
        <v>Edad Contemporánea</v>
      </c>
      <c r="O407" t="str">
        <f>_xlfn.XLOOKUP(frasest[[#This Row],[autor_es]],autorest[autor_es],autorest[epoca_la])</f>
        <v>Aetas Contemporanea</v>
      </c>
    </row>
    <row r="408" spans="1:15">
      <c r="A408">
        <v>407</v>
      </c>
      <c r="B408" t="s">
        <v>1094</v>
      </c>
      <c r="C408" t="s">
        <v>1095</v>
      </c>
      <c r="D408" t="s">
        <v>1094</v>
      </c>
      <c r="E408" t="s">
        <v>1091</v>
      </c>
      <c r="F408" t="str">
        <f>_xlfn.XLOOKUP(frasest[[#This Row],[autor_es]],autorest[autor_es],autorest[autor_la])</f>
        <v>Benedictus XVI</v>
      </c>
      <c r="G408"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8"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8" t="str">
        <f>_xlfn.XLOOKUP(frasest[[#This Row],[autor_es]],autorest[autor_es],autorest[codigo])</f>
        <v>de</v>
      </c>
      <c r="J408" t="str">
        <f>_xlfn.XLOOKUP(frasest[[#This Row],[autor_es]],autorest[autor_es],autorest[idioma_es])</f>
        <v>Alemán</v>
      </c>
      <c r="K408" s="6" t="str">
        <f>_xlfn.XLOOKUP(frasest[[#This Row],[autor_es]],autorest[autor_es],autorest[idioma_la])</f>
        <v>Lingua Germanica</v>
      </c>
      <c r="L408" s="6" t="str">
        <f>_xlfn.XLOOKUP(frasest[[#This Row],[autor_es]],autorest[autor_es],autorest[nacion_es])</f>
        <v>Alemania</v>
      </c>
      <c r="M408" t="str">
        <f>_xlfn.XLOOKUP(frasest[[#This Row],[autor_es]],autorest[autor_es],autorest[nacion_la])</f>
        <v>Germania</v>
      </c>
      <c r="N408" t="str">
        <f>_xlfn.XLOOKUP(frasest[[#This Row],[autor_es]],autorest[autor_es],autorest[epoca_es])</f>
        <v>Edad Contemporánea</v>
      </c>
      <c r="O408" t="str">
        <f>_xlfn.XLOOKUP(frasest[[#This Row],[autor_es]],autorest[autor_es],autorest[epoca_la])</f>
        <v>Aetas Contemporanea</v>
      </c>
    </row>
    <row r="409" spans="1:15">
      <c r="A409">
        <v>408</v>
      </c>
      <c r="B409" t="s">
        <v>1096</v>
      </c>
      <c r="C409" t="s">
        <v>1097</v>
      </c>
      <c r="D409" t="s">
        <v>1096</v>
      </c>
      <c r="E409" t="s">
        <v>1091</v>
      </c>
      <c r="F409" t="str">
        <f>_xlfn.XLOOKUP(frasest[[#This Row],[autor_es]],autorest[autor_es],autorest[autor_la])</f>
        <v>Benedictus XVI</v>
      </c>
      <c r="G409"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9"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9" t="str">
        <f>_xlfn.XLOOKUP(frasest[[#This Row],[autor_es]],autorest[autor_es],autorest[codigo])</f>
        <v>de</v>
      </c>
      <c r="J409" t="str">
        <f>_xlfn.XLOOKUP(frasest[[#This Row],[autor_es]],autorest[autor_es],autorest[idioma_es])</f>
        <v>Alemán</v>
      </c>
      <c r="K409" s="6" t="str">
        <f>_xlfn.XLOOKUP(frasest[[#This Row],[autor_es]],autorest[autor_es],autorest[idioma_la])</f>
        <v>Lingua Germanica</v>
      </c>
      <c r="L409" s="6" t="str">
        <f>_xlfn.XLOOKUP(frasest[[#This Row],[autor_es]],autorest[autor_es],autorest[nacion_es])</f>
        <v>Alemania</v>
      </c>
      <c r="M409" t="str">
        <f>_xlfn.XLOOKUP(frasest[[#This Row],[autor_es]],autorest[autor_es],autorest[nacion_la])</f>
        <v>Germania</v>
      </c>
      <c r="N409" t="str">
        <f>_xlfn.XLOOKUP(frasest[[#This Row],[autor_es]],autorest[autor_es],autorest[epoca_es])</f>
        <v>Edad Contemporánea</v>
      </c>
      <c r="O409" t="str">
        <f>_xlfn.XLOOKUP(frasest[[#This Row],[autor_es]],autorest[autor_es],autorest[epoca_la])</f>
        <v>Aetas Contemporanea</v>
      </c>
    </row>
    <row r="410" spans="1:15">
      <c r="A410">
        <v>409</v>
      </c>
      <c r="B410" t="s">
        <v>1098</v>
      </c>
      <c r="C410" t="s">
        <v>1099</v>
      </c>
      <c r="D410" t="s">
        <v>1098</v>
      </c>
      <c r="E410" t="s">
        <v>1091</v>
      </c>
      <c r="F410" t="str">
        <f>_xlfn.XLOOKUP(frasest[[#This Row],[autor_es]],autorest[autor_es],autorest[autor_la])</f>
        <v>Benedictus XVI</v>
      </c>
      <c r="G410"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0"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0" t="str">
        <f>_xlfn.XLOOKUP(frasest[[#This Row],[autor_es]],autorest[autor_es],autorest[codigo])</f>
        <v>de</v>
      </c>
      <c r="J410" t="str">
        <f>_xlfn.XLOOKUP(frasest[[#This Row],[autor_es]],autorest[autor_es],autorest[idioma_es])</f>
        <v>Alemán</v>
      </c>
      <c r="K410" s="6" t="str">
        <f>_xlfn.XLOOKUP(frasest[[#This Row],[autor_es]],autorest[autor_es],autorest[idioma_la])</f>
        <v>Lingua Germanica</v>
      </c>
      <c r="L410" s="6" t="str">
        <f>_xlfn.XLOOKUP(frasest[[#This Row],[autor_es]],autorest[autor_es],autorest[nacion_es])</f>
        <v>Alemania</v>
      </c>
      <c r="M410" t="str">
        <f>_xlfn.XLOOKUP(frasest[[#This Row],[autor_es]],autorest[autor_es],autorest[nacion_la])</f>
        <v>Germania</v>
      </c>
      <c r="N410" t="str">
        <f>_xlfn.XLOOKUP(frasest[[#This Row],[autor_es]],autorest[autor_es],autorest[epoca_es])</f>
        <v>Edad Contemporánea</v>
      </c>
      <c r="O410" t="str">
        <f>_xlfn.XLOOKUP(frasest[[#This Row],[autor_es]],autorest[autor_es],autorest[epoca_la])</f>
        <v>Aetas Contemporanea</v>
      </c>
    </row>
    <row r="411" spans="1:15">
      <c r="A411">
        <v>410</v>
      </c>
      <c r="B411" t="s">
        <v>1100</v>
      </c>
      <c r="C411" t="s">
        <v>1101</v>
      </c>
      <c r="D411" t="s">
        <v>1100</v>
      </c>
      <c r="E411" t="s">
        <v>1091</v>
      </c>
      <c r="F411" t="str">
        <f>_xlfn.XLOOKUP(frasest[[#This Row],[autor_es]],autorest[autor_es],autorest[autor_la])</f>
        <v>Benedictus XVI</v>
      </c>
      <c r="G411"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1"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1" t="str">
        <f>_xlfn.XLOOKUP(frasest[[#This Row],[autor_es]],autorest[autor_es],autorest[codigo])</f>
        <v>de</v>
      </c>
      <c r="J411" t="str">
        <f>_xlfn.XLOOKUP(frasest[[#This Row],[autor_es]],autorest[autor_es],autorest[idioma_es])</f>
        <v>Alemán</v>
      </c>
      <c r="K411" s="6" t="str">
        <f>_xlfn.XLOOKUP(frasest[[#This Row],[autor_es]],autorest[autor_es],autorest[idioma_la])</f>
        <v>Lingua Germanica</v>
      </c>
      <c r="L411" s="6" t="str">
        <f>_xlfn.XLOOKUP(frasest[[#This Row],[autor_es]],autorest[autor_es],autorest[nacion_es])</f>
        <v>Alemania</v>
      </c>
      <c r="M411" t="str">
        <f>_xlfn.XLOOKUP(frasest[[#This Row],[autor_es]],autorest[autor_es],autorest[nacion_la])</f>
        <v>Germania</v>
      </c>
      <c r="N411" t="str">
        <f>_xlfn.XLOOKUP(frasest[[#This Row],[autor_es]],autorest[autor_es],autorest[epoca_es])</f>
        <v>Edad Contemporánea</v>
      </c>
      <c r="O411" t="str">
        <f>_xlfn.XLOOKUP(frasest[[#This Row],[autor_es]],autorest[autor_es],autorest[epoca_la])</f>
        <v>Aetas Contemporanea</v>
      </c>
    </row>
    <row r="412" spans="1:15">
      <c r="A412">
        <v>411</v>
      </c>
      <c r="B412" t="s">
        <v>1102</v>
      </c>
      <c r="C412" t="s">
        <v>1103</v>
      </c>
      <c r="D412" t="s">
        <v>1104</v>
      </c>
      <c r="E412" t="s">
        <v>1105</v>
      </c>
      <c r="F412" t="str">
        <f>_xlfn.XLOOKUP(frasest[[#This Row],[autor_es]],autorest[autor_es],autorest[autor_la])</f>
        <v>Sancta Theresia a Lisieux</v>
      </c>
      <c r="G412"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2"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2" t="str">
        <f>_xlfn.XLOOKUP(frasest[[#This Row],[autor_es]],autorest[autor_es],autorest[codigo])</f>
        <v>fr</v>
      </c>
      <c r="J412" t="str">
        <f>_xlfn.XLOOKUP(frasest[[#This Row],[autor_es]],autorest[autor_es],autorest[idioma_es])</f>
        <v>Francés</v>
      </c>
      <c r="K412" s="6" t="str">
        <f>_xlfn.XLOOKUP(frasest[[#This Row],[autor_es]],autorest[autor_es],autorest[idioma_la])</f>
        <v>Lingua Gallica</v>
      </c>
      <c r="L412" s="6" t="str">
        <f>_xlfn.XLOOKUP(frasest[[#This Row],[autor_es]],autorest[autor_es],autorest[nacion_es])</f>
        <v>Francia</v>
      </c>
      <c r="M412" t="str">
        <f>_xlfn.XLOOKUP(frasest[[#This Row],[autor_es]],autorest[autor_es],autorest[nacion_la])</f>
        <v>Francia</v>
      </c>
      <c r="N412" t="str">
        <f>_xlfn.XLOOKUP(frasest[[#This Row],[autor_es]],autorest[autor_es],autorest[epoca_es])</f>
        <v>Edad Contemporánea</v>
      </c>
      <c r="O412" t="str">
        <f>_xlfn.XLOOKUP(frasest[[#This Row],[autor_es]],autorest[autor_es],autorest[epoca_la])</f>
        <v>Aetas Contemporanea</v>
      </c>
    </row>
    <row r="413" spans="1:15">
      <c r="A413">
        <v>412</v>
      </c>
      <c r="B413" t="s">
        <v>1106</v>
      </c>
      <c r="C413" t="s">
        <v>1107</v>
      </c>
      <c r="D413" t="s">
        <v>1108</v>
      </c>
      <c r="E413" t="s">
        <v>1105</v>
      </c>
      <c r="F413" t="str">
        <f>_xlfn.XLOOKUP(frasest[[#This Row],[autor_es]],autorest[autor_es],autorest[autor_la])</f>
        <v>Sancta Theresia a Lisieux</v>
      </c>
      <c r="G413"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3"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3" t="str">
        <f>_xlfn.XLOOKUP(frasest[[#This Row],[autor_es]],autorest[autor_es],autorest[codigo])</f>
        <v>fr</v>
      </c>
      <c r="J413" t="str">
        <f>_xlfn.XLOOKUP(frasest[[#This Row],[autor_es]],autorest[autor_es],autorest[idioma_es])</f>
        <v>Francés</v>
      </c>
      <c r="K413" s="6" t="str">
        <f>_xlfn.XLOOKUP(frasest[[#This Row],[autor_es]],autorest[autor_es],autorest[idioma_la])</f>
        <v>Lingua Gallica</v>
      </c>
      <c r="L413" s="6" t="str">
        <f>_xlfn.XLOOKUP(frasest[[#This Row],[autor_es]],autorest[autor_es],autorest[nacion_es])</f>
        <v>Francia</v>
      </c>
      <c r="M413" t="str">
        <f>_xlfn.XLOOKUP(frasest[[#This Row],[autor_es]],autorest[autor_es],autorest[nacion_la])</f>
        <v>Francia</v>
      </c>
      <c r="N413" t="str">
        <f>_xlfn.XLOOKUP(frasest[[#This Row],[autor_es]],autorest[autor_es],autorest[epoca_es])</f>
        <v>Edad Contemporánea</v>
      </c>
      <c r="O413" t="str">
        <f>_xlfn.XLOOKUP(frasest[[#This Row],[autor_es]],autorest[autor_es],autorest[epoca_la])</f>
        <v>Aetas Contemporanea</v>
      </c>
    </row>
    <row r="414" spans="1:15">
      <c r="A414">
        <v>413</v>
      </c>
      <c r="B414" t="s">
        <v>1109</v>
      </c>
      <c r="C414" t="s">
        <v>1110</v>
      </c>
      <c r="D414" t="s">
        <v>1111</v>
      </c>
      <c r="E414" t="s">
        <v>1105</v>
      </c>
      <c r="F414" t="str">
        <f>_xlfn.XLOOKUP(frasest[[#This Row],[autor_es]],autorest[autor_es],autorest[autor_la])</f>
        <v>Sancta Theresia a Lisieux</v>
      </c>
      <c r="G414"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4"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4" t="str">
        <f>_xlfn.XLOOKUP(frasest[[#This Row],[autor_es]],autorest[autor_es],autorest[codigo])</f>
        <v>fr</v>
      </c>
      <c r="J414" t="str">
        <f>_xlfn.XLOOKUP(frasest[[#This Row],[autor_es]],autorest[autor_es],autorest[idioma_es])</f>
        <v>Francés</v>
      </c>
      <c r="K414" s="6" t="str">
        <f>_xlfn.XLOOKUP(frasest[[#This Row],[autor_es]],autorest[autor_es],autorest[idioma_la])</f>
        <v>Lingua Gallica</v>
      </c>
      <c r="L414" s="6" t="str">
        <f>_xlfn.XLOOKUP(frasest[[#This Row],[autor_es]],autorest[autor_es],autorest[nacion_es])</f>
        <v>Francia</v>
      </c>
      <c r="M414" t="str">
        <f>_xlfn.XLOOKUP(frasest[[#This Row],[autor_es]],autorest[autor_es],autorest[nacion_la])</f>
        <v>Francia</v>
      </c>
      <c r="N414" t="str">
        <f>_xlfn.XLOOKUP(frasest[[#This Row],[autor_es]],autorest[autor_es],autorest[epoca_es])</f>
        <v>Edad Contemporánea</v>
      </c>
      <c r="O414" t="str">
        <f>_xlfn.XLOOKUP(frasest[[#This Row],[autor_es]],autorest[autor_es],autorest[epoca_la])</f>
        <v>Aetas Contemporanea</v>
      </c>
    </row>
    <row r="415" spans="1:15">
      <c r="A415">
        <v>414</v>
      </c>
      <c r="B415" t="s">
        <v>1112</v>
      </c>
      <c r="C415" t="s">
        <v>1113</v>
      </c>
      <c r="D415" t="s">
        <v>1114</v>
      </c>
      <c r="E415" t="s">
        <v>1105</v>
      </c>
      <c r="F415" t="str">
        <f>_xlfn.XLOOKUP(frasest[[#This Row],[autor_es]],autorest[autor_es],autorest[autor_la])</f>
        <v>Sancta Theresia a Lisieux</v>
      </c>
      <c r="G415"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5"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5" t="str">
        <f>_xlfn.XLOOKUP(frasest[[#This Row],[autor_es]],autorest[autor_es],autorest[codigo])</f>
        <v>fr</v>
      </c>
      <c r="J415" t="str">
        <f>_xlfn.XLOOKUP(frasest[[#This Row],[autor_es]],autorest[autor_es],autorest[idioma_es])</f>
        <v>Francés</v>
      </c>
      <c r="K415" s="6" t="str">
        <f>_xlfn.XLOOKUP(frasest[[#This Row],[autor_es]],autorest[autor_es],autorest[idioma_la])</f>
        <v>Lingua Gallica</v>
      </c>
      <c r="L415" s="6" t="str">
        <f>_xlfn.XLOOKUP(frasest[[#This Row],[autor_es]],autorest[autor_es],autorest[nacion_es])</f>
        <v>Francia</v>
      </c>
      <c r="M415" t="str">
        <f>_xlfn.XLOOKUP(frasest[[#This Row],[autor_es]],autorest[autor_es],autorest[nacion_la])</f>
        <v>Francia</v>
      </c>
      <c r="N415" t="str">
        <f>_xlfn.XLOOKUP(frasest[[#This Row],[autor_es]],autorest[autor_es],autorest[epoca_es])</f>
        <v>Edad Contemporánea</v>
      </c>
      <c r="O415" t="str">
        <f>_xlfn.XLOOKUP(frasest[[#This Row],[autor_es]],autorest[autor_es],autorest[epoca_la])</f>
        <v>Aetas Contemporanea</v>
      </c>
    </row>
    <row r="416" spans="1:15">
      <c r="A416">
        <v>415</v>
      </c>
      <c r="B416" t="s">
        <v>1115</v>
      </c>
      <c r="C416" t="s">
        <v>1116</v>
      </c>
      <c r="D416" t="s">
        <v>1117</v>
      </c>
      <c r="E416" t="s">
        <v>1105</v>
      </c>
      <c r="F416" t="str">
        <f>_xlfn.XLOOKUP(frasest[[#This Row],[autor_es]],autorest[autor_es],autorest[autor_la])</f>
        <v>Sancta Theresia a Lisieux</v>
      </c>
      <c r="G416"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6"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6" t="str">
        <f>_xlfn.XLOOKUP(frasest[[#This Row],[autor_es]],autorest[autor_es],autorest[codigo])</f>
        <v>fr</v>
      </c>
      <c r="J416" t="str">
        <f>_xlfn.XLOOKUP(frasest[[#This Row],[autor_es]],autorest[autor_es],autorest[idioma_es])</f>
        <v>Francés</v>
      </c>
      <c r="K416" s="6" t="str">
        <f>_xlfn.XLOOKUP(frasest[[#This Row],[autor_es]],autorest[autor_es],autorest[idioma_la])</f>
        <v>Lingua Gallica</v>
      </c>
      <c r="L416" s="6" t="str">
        <f>_xlfn.XLOOKUP(frasest[[#This Row],[autor_es]],autorest[autor_es],autorest[nacion_es])</f>
        <v>Francia</v>
      </c>
      <c r="M416" t="str">
        <f>_xlfn.XLOOKUP(frasest[[#This Row],[autor_es]],autorest[autor_es],autorest[nacion_la])</f>
        <v>Francia</v>
      </c>
      <c r="N416" t="str">
        <f>_xlfn.XLOOKUP(frasest[[#This Row],[autor_es]],autorest[autor_es],autorest[epoca_es])</f>
        <v>Edad Contemporánea</v>
      </c>
      <c r="O416" t="str">
        <f>_xlfn.XLOOKUP(frasest[[#This Row],[autor_es]],autorest[autor_es],autorest[epoca_la])</f>
        <v>Aetas Contemporanea</v>
      </c>
    </row>
    <row r="417" spans="1:15">
      <c r="A417">
        <v>416</v>
      </c>
      <c r="B417" t="s">
        <v>1118</v>
      </c>
      <c r="C417" t="s">
        <v>1119</v>
      </c>
      <c r="D417" t="s">
        <v>1120</v>
      </c>
      <c r="E417" t="s">
        <v>1105</v>
      </c>
      <c r="F417" t="str">
        <f>_xlfn.XLOOKUP(frasest[[#This Row],[autor_es]],autorest[autor_es],autorest[autor_la])</f>
        <v>Sancta Theresia a Lisieux</v>
      </c>
      <c r="G417"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7"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7" t="str">
        <f>_xlfn.XLOOKUP(frasest[[#This Row],[autor_es]],autorest[autor_es],autorest[codigo])</f>
        <v>fr</v>
      </c>
      <c r="J417" t="str">
        <f>_xlfn.XLOOKUP(frasest[[#This Row],[autor_es]],autorest[autor_es],autorest[idioma_es])</f>
        <v>Francés</v>
      </c>
      <c r="K417" s="6" t="str">
        <f>_xlfn.XLOOKUP(frasest[[#This Row],[autor_es]],autorest[autor_es],autorest[idioma_la])</f>
        <v>Lingua Gallica</v>
      </c>
      <c r="L417" s="6" t="str">
        <f>_xlfn.XLOOKUP(frasest[[#This Row],[autor_es]],autorest[autor_es],autorest[nacion_es])</f>
        <v>Francia</v>
      </c>
      <c r="M417" t="str">
        <f>_xlfn.XLOOKUP(frasest[[#This Row],[autor_es]],autorest[autor_es],autorest[nacion_la])</f>
        <v>Francia</v>
      </c>
      <c r="N417" t="str">
        <f>_xlfn.XLOOKUP(frasest[[#This Row],[autor_es]],autorest[autor_es],autorest[epoca_es])</f>
        <v>Edad Contemporánea</v>
      </c>
      <c r="O417" t="str">
        <f>_xlfn.XLOOKUP(frasest[[#This Row],[autor_es]],autorest[autor_es],autorest[epoca_la])</f>
        <v>Aetas Contemporanea</v>
      </c>
    </row>
    <row r="418" spans="1:15">
      <c r="A418">
        <v>417</v>
      </c>
      <c r="B418" t="s">
        <v>1121</v>
      </c>
      <c r="C418" t="s">
        <v>1122</v>
      </c>
      <c r="D418" t="s">
        <v>1123</v>
      </c>
      <c r="E418" t="s">
        <v>1124</v>
      </c>
      <c r="F418" t="str">
        <f>_xlfn.XLOOKUP(frasest[[#This Row],[autor_es]],autorest[autor_es],autorest[autor_la])</f>
        <v>Maria Montessori</v>
      </c>
      <c r="G418"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8"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8" t="str">
        <f>_xlfn.XLOOKUP(frasest[[#This Row],[autor_es]],autorest[autor_es],autorest[codigo])</f>
        <v>it</v>
      </c>
      <c r="J418" t="str">
        <f>_xlfn.XLOOKUP(frasest[[#This Row],[autor_es]],autorest[autor_es],autorest[idioma_es])</f>
        <v>Italiano</v>
      </c>
      <c r="K418" s="6" t="str">
        <f>_xlfn.XLOOKUP(frasest[[#This Row],[autor_es]],autorest[autor_es],autorest[idioma_la])</f>
        <v>Lingua Italica</v>
      </c>
      <c r="L418" s="6" t="str">
        <f>_xlfn.XLOOKUP(frasest[[#This Row],[autor_es]],autorest[autor_es],autorest[nacion_es])</f>
        <v>Italia</v>
      </c>
      <c r="M418" t="str">
        <f>_xlfn.XLOOKUP(frasest[[#This Row],[autor_es]],autorest[autor_es],autorest[nacion_la])</f>
        <v>Italia</v>
      </c>
      <c r="N418" t="str">
        <f>_xlfn.XLOOKUP(frasest[[#This Row],[autor_es]],autorest[autor_es],autorest[epoca_es])</f>
        <v>Edad Contemporánea</v>
      </c>
      <c r="O418" t="str">
        <f>_xlfn.XLOOKUP(frasest[[#This Row],[autor_es]],autorest[autor_es],autorest[epoca_la])</f>
        <v>Aetas Contemporanea</v>
      </c>
    </row>
    <row r="419" spans="1:15">
      <c r="A419">
        <v>418</v>
      </c>
      <c r="B419" t="s">
        <v>1125</v>
      </c>
      <c r="C419" t="s">
        <v>1126</v>
      </c>
      <c r="D419" t="s">
        <v>1127</v>
      </c>
      <c r="E419" t="s">
        <v>1124</v>
      </c>
      <c r="F419" t="str">
        <f>_xlfn.XLOOKUP(frasest[[#This Row],[autor_es]],autorest[autor_es],autorest[autor_la])</f>
        <v>Maria Montessori</v>
      </c>
      <c r="G419"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9"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9" t="str">
        <f>_xlfn.XLOOKUP(frasest[[#This Row],[autor_es]],autorest[autor_es],autorest[codigo])</f>
        <v>it</v>
      </c>
      <c r="J419" t="str">
        <f>_xlfn.XLOOKUP(frasest[[#This Row],[autor_es]],autorest[autor_es],autorest[idioma_es])</f>
        <v>Italiano</v>
      </c>
      <c r="K419" s="6" t="str">
        <f>_xlfn.XLOOKUP(frasest[[#This Row],[autor_es]],autorest[autor_es],autorest[idioma_la])</f>
        <v>Lingua Italica</v>
      </c>
      <c r="L419" s="6" t="str">
        <f>_xlfn.XLOOKUP(frasest[[#This Row],[autor_es]],autorest[autor_es],autorest[nacion_es])</f>
        <v>Italia</v>
      </c>
      <c r="M419" t="str">
        <f>_xlfn.XLOOKUP(frasest[[#This Row],[autor_es]],autorest[autor_es],autorest[nacion_la])</f>
        <v>Italia</v>
      </c>
      <c r="N419" t="str">
        <f>_xlfn.XLOOKUP(frasest[[#This Row],[autor_es]],autorest[autor_es],autorest[epoca_es])</f>
        <v>Edad Contemporánea</v>
      </c>
      <c r="O419" t="str">
        <f>_xlfn.XLOOKUP(frasest[[#This Row],[autor_es]],autorest[autor_es],autorest[epoca_la])</f>
        <v>Aetas Contemporanea</v>
      </c>
    </row>
    <row r="420" spans="1:15">
      <c r="A420">
        <v>419</v>
      </c>
      <c r="B420" t="s">
        <v>1128</v>
      </c>
      <c r="C420" t="s">
        <v>1129</v>
      </c>
      <c r="D420" t="s">
        <v>1130</v>
      </c>
      <c r="E420" t="s">
        <v>1124</v>
      </c>
      <c r="F420" t="str">
        <f>_xlfn.XLOOKUP(frasest[[#This Row],[autor_es]],autorest[autor_es],autorest[autor_la])</f>
        <v>Maria Montessori</v>
      </c>
      <c r="G420"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0"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0" t="str">
        <f>_xlfn.XLOOKUP(frasest[[#This Row],[autor_es]],autorest[autor_es],autorest[codigo])</f>
        <v>it</v>
      </c>
      <c r="J420" t="str">
        <f>_xlfn.XLOOKUP(frasest[[#This Row],[autor_es]],autorest[autor_es],autorest[idioma_es])</f>
        <v>Italiano</v>
      </c>
      <c r="K420" s="6" t="str">
        <f>_xlfn.XLOOKUP(frasest[[#This Row],[autor_es]],autorest[autor_es],autorest[idioma_la])</f>
        <v>Lingua Italica</v>
      </c>
      <c r="L420" s="6" t="str">
        <f>_xlfn.XLOOKUP(frasest[[#This Row],[autor_es]],autorest[autor_es],autorest[nacion_es])</f>
        <v>Italia</v>
      </c>
      <c r="M420" t="str">
        <f>_xlfn.XLOOKUP(frasest[[#This Row],[autor_es]],autorest[autor_es],autorest[nacion_la])</f>
        <v>Italia</v>
      </c>
      <c r="N420" t="str">
        <f>_xlfn.XLOOKUP(frasest[[#This Row],[autor_es]],autorest[autor_es],autorest[epoca_es])</f>
        <v>Edad Contemporánea</v>
      </c>
      <c r="O420" t="str">
        <f>_xlfn.XLOOKUP(frasest[[#This Row],[autor_es]],autorest[autor_es],autorest[epoca_la])</f>
        <v>Aetas Contemporanea</v>
      </c>
    </row>
    <row r="421" spans="1:15">
      <c r="A421">
        <v>420</v>
      </c>
      <c r="B421" t="s">
        <v>1131</v>
      </c>
      <c r="C421" t="s">
        <v>1132</v>
      </c>
      <c r="D421" t="s">
        <v>1133</v>
      </c>
      <c r="E421" t="s">
        <v>1124</v>
      </c>
      <c r="F421" t="str">
        <f>_xlfn.XLOOKUP(frasest[[#This Row],[autor_es]],autorest[autor_es],autorest[autor_la])</f>
        <v>Maria Montessori</v>
      </c>
      <c r="G421"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1"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1" t="str">
        <f>_xlfn.XLOOKUP(frasest[[#This Row],[autor_es]],autorest[autor_es],autorest[codigo])</f>
        <v>it</v>
      </c>
      <c r="J421" t="str">
        <f>_xlfn.XLOOKUP(frasest[[#This Row],[autor_es]],autorest[autor_es],autorest[idioma_es])</f>
        <v>Italiano</v>
      </c>
      <c r="K421" s="6" t="str">
        <f>_xlfn.XLOOKUP(frasest[[#This Row],[autor_es]],autorest[autor_es],autorest[idioma_la])</f>
        <v>Lingua Italica</v>
      </c>
      <c r="L421" s="6" t="str">
        <f>_xlfn.XLOOKUP(frasest[[#This Row],[autor_es]],autorest[autor_es],autorest[nacion_es])</f>
        <v>Italia</v>
      </c>
      <c r="M421" t="str">
        <f>_xlfn.XLOOKUP(frasest[[#This Row],[autor_es]],autorest[autor_es],autorest[nacion_la])</f>
        <v>Italia</v>
      </c>
      <c r="N421" t="str">
        <f>_xlfn.XLOOKUP(frasest[[#This Row],[autor_es]],autorest[autor_es],autorest[epoca_es])</f>
        <v>Edad Contemporánea</v>
      </c>
      <c r="O421" t="str">
        <f>_xlfn.XLOOKUP(frasest[[#This Row],[autor_es]],autorest[autor_es],autorest[epoca_la])</f>
        <v>Aetas Contemporanea</v>
      </c>
    </row>
    <row r="422" spans="1:15">
      <c r="A422">
        <v>421</v>
      </c>
      <c r="B422" t="s">
        <v>1134</v>
      </c>
      <c r="C422" t="s">
        <v>1135</v>
      </c>
      <c r="D422" t="s">
        <v>1136</v>
      </c>
      <c r="E422" t="s">
        <v>1124</v>
      </c>
      <c r="F422" t="str">
        <f>_xlfn.XLOOKUP(frasest[[#This Row],[autor_es]],autorest[autor_es],autorest[autor_la])</f>
        <v>Maria Montessori</v>
      </c>
      <c r="G422"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2"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2" t="str">
        <f>_xlfn.XLOOKUP(frasest[[#This Row],[autor_es]],autorest[autor_es],autorest[codigo])</f>
        <v>it</v>
      </c>
      <c r="J422" t="str">
        <f>_xlfn.XLOOKUP(frasest[[#This Row],[autor_es]],autorest[autor_es],autorest[idioma_es])</f>
        <v>Italiano</v>
      </c>
      <c r="K422" s="6" t="str">
        <f>_xlfn.XLOOKUP(frasest[[#This Row],[autor_es]],autorest[autor_es],autorest[idioma_la])</f>
        <v>Lingua Italica</v>
      </c>
      <c r="L422" s="6" t="str">
        <f>_xlfn.XLOOKUP(frasest[[#This Row],[autor_es]],autorest[autor_es],autorest[nacion_es])</f>
        <v>Italia</v>
      </c>
      <c r="M422" t="str">
        <f>_xlfn.XLOOKUP(frasest[[#This Row],[autor_es]],autorest[autor_es],autorest[nacion_la])</f>
        <v>Italia</v>
      </c>
      <c r="N422" t="str">
        <f>_xlfn.XLOOKUP(frasest[[#This Row],[autor_es]],autorest[autor_es],autorest[epoca_es])</f>
        <v>Edad Contemporánea</v>
      </c>
      <c r="O422" t="str">
        <f>_xlfn.XLOOKUP(frasest[[#This Row],[autor_es]],autorest[autor_es],autorest[epoca_la])</f>
        <v>Aetas Contemporanea</v>
      </c>
    </row>
    <row r="423" spans="1:15">
      <c r="A423">
        <v>422</v>
      </c>
      <c r="B423" t="s">
        <v>1137</v>
      </c>
      <c r="C423" t="s">
        <v>1138</v>
      </c>
      <c r="D423" t="s">
        <v>1139</v>
      </c>
      <c r="E423" t="s">
        <v>1124</v>
      </c>
      <c r="F423" t="str">
        <f>_xlfn.XLOOKUP(frasest[[#This Row],[autor_es]],autorest[autor_es],autorest[autor_la])</f>
        <v>Maria Montessori</v>
      </c>
      <c r="G423"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3"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3" t="str">
        <f>_xlfn.XLOOKUP(frasest[[#This Row],[autor_es]],autorest[autor_es],autorest[codigo])</f>
        <v>it</v>
      </c>
      <c r="J423" t="str">
        <f>_xlfn.XLOOKUP(frasest[[#This Row],[autor_es]],autorest[autor_es],autorest[idioma_es])</f>
        <v>Italiano</v>
      </c>
      <c r="K423" s="6" t="str">
        <f>_xlfn.XLOOKUP(frasest[[#This Row],[autor_es]],autorest[autor_es],autorest[idioma_la])</f>
        <v>Lingua Italica</v>
      </c>
      <c r="L423" s="6" t="str">
        <f>_xlfn.XLOOKUP(frasest[[#This Row],[autor_es]],autorest[autor_es],autorest[nacion_es])</f>
        <v>Italia</v>
      </c>
      <c r="M423" t="str">
        <f>_xlfn.XLOOKUP(frasest[[#This Row],[autor_es]],autorest[autor_es],autorest[nacion_la])</f>
        <v>Italia</v>
      </c>
      <c r="N423" t="str">
        <f>_xlfn.XLOOKUP(frasest[[#This Row],[autor_es]],autorest[autor_es],autorest[epoca_es])</f>
        <v>Edad Contemporánea</v>
      </c>
      <c r="O423" t="str">
        <f>_xlfn.XLOOKUP(frasest[[#This Row],[autor_es]],autorest[autor_es],autorest[epoca_la])</f>
        <v>Aetas Contemporanea</v>
      </c>
    </row>
    <row r="424" spans="1:15">
      <c r="A424">
        <v>423</v>
      </c>
      <c r="B424" t="s">
        <v>1140</v>
      </c>
      <c r="C424" t="s">
        <v>1141</v>
      </c>
      <c r="D424" t="s">
        <v>1142</v>
      </c>
      <c r="E424" t="s">
        <v>1143</v>
      </c>
      <c r="F424" t="str">
        <f>_xlfn.XLOOKUP(frasest[[#This Row],[autor_es]],autorest[autor_es],autorest[autor_la])</f>
        <v>Paulus Freire</v>
      </c>
      <c r="G424"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4"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4" t="str">
        <f>_xlfn.XLOOKUP(frasest[[#This Row],[autor_es]],autorest[autor_es],autorest[codigo])</f>
        <v>pt</v>
      </c>
      <c r="J424" t="str">
        <f>_xlfn.XLOOKUP(frasest[[#This Row],[autor_es]],autorest[autor_es],autorest[idioma_es])</f>
        <v>Portugués</v>
      </c>
      <c r="K424" s="6" t="str">
        <f>_xlfn.XLOOKUP(frasest[[#This Row],[autor_es]],autorest[autor_es],autorest[idioma_la])</f>
        <v>Lingua Lusitanica</v>
      </c>
      <c r="L424" s="6" t="str">
        <f>_xlfn.XLOOKUP(frasest[[#This Row],[autor_es]],autorest[autor_es],autorest[nacion_es])</f>
        <v>Brasil</v>
      </c>
      <c r="M424" t="str">
        <f>_xlfn.XLOOKUP(frasest[[#This Row],[autor_es]],autorest[autor_es],autorest[nacion_la])</f>
        <v>Brasilia</v>
      </c>
      <c r="N424" t="str">
        <f>_xlfn.XLOOKUP(frasest[[#This Row],[autor_es]],autorest[autor_es],autorest[epoca_es])</f>
        <v>Edad Contemporánea</v>
      </c>
      <c r="O424" t="str">
        <f>_xlfn.XLOOKUP(frasest[[#This Row],[autor_es]],autorest[autor_es],autorest[epoca_la])</f>
        <v>Aetas Contemporanea</v>
      </c>
    </row>
    <row r="425" spans="1:15">
      <c r="A425">
        <v>424</v>
      </c>
      <c r="B425" t="s">
        <v>1144</v>
      </c>
      <c r="C425" t="s">
        <v>1145</v>
      </c>
      <c r="D425" t="s">
        <v>1146</v>
      </c>
      <c r="E425" t="s">
        <v>1143</v>
      </c>
      <c r="F425" t="str">
        <f>_xlfn.XLOOKUP(frasest[[#This Row],[autor_es]],autorest[autor_es],autorest[autor_la])</f>
        <v>Paulus Freire</v>
      </c>
      <c r="G425"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5"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5" t="str">
        <f>_xlfn.XLOOKUP(frasest[[#This Row],[autor_es]],autorest[autor_es],autorest[codigo])</f>
        <v>pt</v>
      </c>
      <c r="J425" t="str">
        <f>_xlfn.XLOOKUP(frasest[[#This Row],[autor_es]],autorest[autor_es],autorest[idioma_es])</f>
        <v>Portugués</v>
      </c>
      <c r="K425" s="6" t="str">
        <f>_xlfn.XLOOKUP(frasest[[#This Row],[autor_es]],autorest[autor_es],autorest[idioma_la])</f>
        <v>Lingua Lusitanica</v>
      </c>
      <c r="L425" s="6" t="str">
        <f>_xlfn.XLOOKUP(frasest[[#This Row],[autor_es]],autorest[autor_es],autorest[nacion_es])</f>
        <v>Brasil</v>
      </c>
      <c r="M425" t="str">
        <f>_xlfn.XLOOKUP(frasest[[#This Row],[autor_es]],autorest[autor_es],autorest[nacion_la])</f>
        <v>Brasilia</v>
      </c>
      <c r="N425" t="str">
        <f>_xlfn.XLOOKUP(frasest[[#This Row],[autor_es]],autorest[autor_es],autorest[epoca_es])</f>
        <v>Edad Contemporánea</v>
      </c>
      <c r="O425" t="str">
        <f>_xlfn.XLOOKUP(frasest[[#This Row],[autor_es]],autorest[autor_es],autorest[epoca_la])</f>
        <v>Aetas Contemporanea</v>
      </c>
    </row>
    <row r="426" spans="1:15">
      <c r="A426">
        <v>425</v>
      </c>
      <c r="B426" t="s">
        <v>1147</v>
      </c>
      <c r="C426" t="s">
        <v>1148</v>
      </c>
      <c r="D426" t="s">
        <v>1149</v>
      </c>
      <c r="E426" t="s">
        <v>1143</v>
      </c>
      <c r="F426" t="str">
        <f>_xlfn.XLOOKUP(frasest[[#This Row],[autor_es]],autorest[autor_es],autorest[autor_la])</f>
        <v>Paulus Freire</v>
      </c>
      <c r="G426"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6"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6" t="str">
        <f>_xlfn.XLOOKUP(frasest[[#This Row],[autor_es]],autorest[autor_es],autorest[codigo])</f>
        <v>pt</v>
      </c>
      <c r="J426" t="str">
        <f>_xlfn.XLOOKUP(frasest[[#This Row],[autor_es]],autorest[autor_es],autorest[idioma_es])</f>
        <v>Portugués</v>
      </c>
      <c r="K426" s="6" t="str">
        <f>_xlfn.XLOOKUP(frasest[[#This Row],[autor_es]],autorest[autor_es],autorest[idioma_la])</f>
        <v>Lingua Lusitanica</v>
      </c>
      <c r="L426" s="6" t="str">
        <f>_xlfn.XLOOKUP(frasest[[#This Row],[autor_es]],autorest[autor_es],autorest[nacion_es])</f>
        <v>Brasil</v>
      </c>
      <c r="M426" t="str">
        <f>_xlfn.XLOOKUP(frasest[[#This Row],[autor_es]],autorest[autor_es],autorest[nacion_la])</f>
        <v>Brasilia</v>
      </c>
      <c r="N426" t="str">
        <f>_xlfn.XLOOKUP(frasest[[#This Row],[autor_es]],autorest[autor_es],autorest[epoca_es])</f>
        <v>Edad Contemporánea</v>
      </c>
      <c r="O426" t="str">
        <f>_xlfn.XLOOKUP(frasest[[#This Row],[autor_es]],autorest[autor_es],autorest[epoca_la])</f>
        <v>Aetas Contemporanea</v>
      </c>
    </row>
    <row r="427" spans="1:15">
      <c r="A427">
        <v>426</v>
      </c>
      <c r="B427" t="s">
        <v>1150</v>
      </c>
      <c r="C427" t="s">
        <v>1151</v>
      </c>
      <c r="D427" t="s">
        <v>1152</v>
      </c>
      <c r="E427" t="s">
        <v>1143</v>
      </c>
      <c r="F427" t="str">
        <f>_xlfn.XLOOKUP(frasest[[#This Row],[autor_es]],autorest[autor_es],autorest[autor_la])</f>
        <v>Paulus Freire</v>
      </c>
      <c r="G427"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7"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7" t="str">
        <f>_xlfn.XLOOKUP(frasest[[#This Row],[autor_es]],autorest[autor_es],autorest[codigo])</f>
        <v>pt</v>
      </c>
      <c r="J427" t="str">
        <f>_xlfn.XLOOKUP(frasest[[#This Row],[autor_es]],autorest[autor_es],autorest[idioma_es])</f>
        <v>Portugués</v>
      </c>
      <c r="K427" s="6" t="str">
        <f>_xlfn.XLOOKUP(frasest[[#This Row],[autor_es]],autorest[autor_es],autorest[idioma_la])</f>
        <v>Lingua Lusitanica</v>
      </c>
      <c r="L427" s="6" t="str">
        <f>_xlfn.XLOOKUP(frasest[[#This Row],[autor_es]],autorest[autor_es],autorest[nacion_es])</f>
        <v>Brasil</v>
      </c>
      <c r="M427" t="str">
        <f>_xlfn.XLOOKUP(frasest[[#This Row],[autor_es]],autorest[autor_es],autorest[nacion_la])</f>
        <v>Brasilia</v>
      </c>
      <c r="N427" t="str">
        <f>_xlfn.XLOOKUP(frasest[[#This Row],[autor_es]],autorest[autor_es],autorest[epoca_es])</f>
        <v>Edad Contemporánea</v>
      </c>
      <c r="O427" t="str">
        <f>_xlfn.XLOOKUP(frasest[[#This Row],[autor_es]],autorest[autor_es],autorest[epoca_la])</f>
        <v>Aetas Contemporanea</v>
      </c>
    </row>
    <row r="428" spans="1:15">
      <c r="A428">
        <v>427</v>
      </c>
      <c r="B428" t="s">
        <v>1153</v>
      </c>
      <c r="C428" t="s">
        <v>1154</v>
      </c>
      <c r="D428" t="s">
        <v>1155</v>
      </c>
      <c r="E428" t="s">
        <v>1143</v>
      </c>
      <c r="F428" t="str">
        <f>_xlfn.XLOOKUP(frasest[[#This Row],[autor_es]],autorest[autor_es],autorest[autor_la])</f>
        <v>Paulus Freire</v>
      </c>
      <c r="G428"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8"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8" t="str">
        <f>_xlfn.XLOOKUP(frasest[[#This Row],[autor_es]],autorest[autor_es],autorest[codigo])</f>
        <v>pt</v>
      </c>
      <c r="J428" t="str">
        <f>_xlfn.XLOOKUP(frasest[[#This Row],[autor_es]],autorest[autor_es],autorest[idioma_es])</f>
        <v>Portugués</v>
      </c>
      <c r="K428" s="6" t="str">
        <f>_xlfn.XLOOKUP(frasest[[#This Row],[autor_es]],autorest[autor_es],autorest[idioma_la])</f>
        <v>Lingua Lusitanica</v>
      </c>
      <c r="L428" s="6" t="str">
        <f>_xlfn.XLOOKUP(frasest[[#This Row],[autor_es]],autorest[autor_es],autorest[nacion_es])</f>
        <v>Brasil</v>
      </c>
      <c r="M428" t="str">
        <f>_xlfn.XLOOKUP(frasest[[#This Row],[autor_es]],autorest[autor_es],autorest[nacion_la])</f>
        <v>Brasilia</v>
      </c>
      <c r="N428" t="str">
        <f>_xlfn.XLOOKUP(frasest[[#This Row],[autor_es]],autorest[autor_es],autorest[epoca_es])</f>
        <v>Edad Contemporánea</v>
      </c>
      <c r="O428" t="str">
        <f>_xlfn.XLOOKUP(frasest[[#This Row],[autor_es]],autorest[autor_es],autorest[epoca_la])</f>
        <v>Aetas Contemporanea</v>
      </c>
    </row>
    <row r="429" spans="1:15">
      <c r="A429">
        <v>428</v>
      </c>
      <c r="B429" t="s">
        <v>1156</v>
      </c>
      <c r="C429" t="s">
        <v>1157</v>
      </c>
      <c r="D429" t="s">
        <v>1158</v>
      </c>
      <c r="E429" t="s">
        <v>1143</v>
      </c>
      <c r="F429" t="str">
        <f>_xlfn.XLOOKUP(frasest[[#This Row],[autor_es]],autorest[autor_es],autorest[autor_la])</f>
        <v>Paulus Freire</v>
      </c>
      <c r="G429"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9"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9" t="str">
        <f>_xlfn.XLOOKUP(frasest[[#This Row],[autor_es]],autorest[autor_es],autorest[codigo])</f>
        <v>pt</v>
      </c>
      <c r="J429" t="str">
        <f>_xlfn.XLOOKUP(frasest[[#This Row],[autor_es]],autorest[autor_es],autorest[idioma_es])</f>
        <v>Portugués</v>
      </c>
      <c r="K429" s="6" t="str">
        <f>_xlfn.XLOOKUP(frasest[[#This Row],[autor_es]],autorest[autor_es],autorest[idioma_la])</f>
        <v>Lingua Lusitanica</v>
      </c>
      <c r="L429" s="6" t="str">
        <f>_xlfn.XLOOKUP(frasest[[#This Row],[autor_es]],autorest[autor_es],autorest[nacion_es])</f>
        <v>Brasil</v>
      </c>
      <c r="M429" t="str">
        <f>_xlfn.XLOOKUP(frasest[[#This Row],[autor_es]],autorest[autor_es],autorest[nacion_la])</f>
        <v>Brasilia</v>
      </c>
      <c r="N429" t="str">
        <f>_xlfn.XLOOKUP(frasest[[#This Row],[autor_es]],autorest[autor_es],autorest[epoca_es])</f>
        <v>Edad Contemporánea</v>
      </c>
      <c r="O429" t="str">
        <f>_xlfn.XLOOKUP(frasest[[#This Row],[autor_es]],autorest[autor_es],autorest[epoca_la])</f>
        <v>Aetas Contemporanea</v>
      </c>
    </row>
    <row r="430" spans="1:15">
      <c r="A430">
        <v>429</v>
      </c>
      <c r="B430" t="s">
        <v>1159</v>
      </c>
      <c r="C430" t="s">
        <v>1160</v>
      </c>
      <c r="D430" t="s">
        <v>1161</v>
      </c>
      <c r="E430" t="s">
        <v>1162</v>
      </c>
      <c r="F430" t="str">
        <f>_xlfn.XLOOKUP(frasest[[#This Row],[autor_es]],autorest[autor_es],autorest[autor_la])</f>
        <v>Sanctus Iosephus Calasanctius</v>
      </c>
      <c r="G430"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0"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0" t="str">
        <f>_xlfn.XLOOKUP(frasest[[#This Row],[autor_es]],autorest[autor_es],autorest[codigo])</f>
        <v>es</v>
      </c>
      <c r="J430" t="str">
        <f>_xlfn.XLOOKUP(frasest[[#This Row],[autor_es]],autorest[autor_es],autorest[idioma_es])</f>
        <v>Español</v>
      </c>
      <c r="K430" s="6" t="str">
        <f>_xlfn.XLOOKUP(frasest[[#This Row],[autor_es]],autorest[autor_es],autorest[idioma_la])</f>
        <v>Lingua Hispanica</v>
      </c>
      <c r="L430" s="6" t="str">
        <f>_xlfn.XLOOKUP(frasest[[#This Row],[autor_es]],autorest[autor_es],autorest[nacion_es])</f>
        <v>España</v>
      </c>
      <c r="M430" t="str">
        <f>_xlfn.XLOOKUP(frasest[[#This Row],[autor_es]],autorest[autor_es],autorest[nacion_la])</f>
        <v>Hispania</v>
      </c>
      <c r="N430" t="str">
        <f>_xlfn.XLOOKUP(frasest[[#This Row],[autor_es]],autorest[autor_es],autorest[epoca_es])</f>
        <v>Edad Moderna</v>
      </c>
      <c r="O430" t="str">
        <f>_xlfn.XLOOKUP(frasest[[#This Row],[autor_es]],autorest[autor_es],autorest[epoca_la])</f>
        <v>Nova Aetas</v>
      </c>
    </row>
    <row r="431" spans="1:15">
      <c r="A431">
        <v>430</v>
      </c>
      <c r="B431" t="s">
        <v>1163</v>
      </c>
      <c r="C431" t="s">
        <v>1164</v>
      </c>
      <c r="D431" t="s">
        <v>1165</v>
      </c>
      <c r="E431" t="s">
        <v>1162</v>
      </c>
      <c r="F431" t="str">
        <f>_xlfn.XLOOKUP(frasest[[#This Row],[autor_es]],autorest[autor_es],autorest[autor_la])</f>
        <v>Sanctus Iosephus Calasanctius</v>
      </c>
      <c r="G431"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1"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1" t="str">
        <f>_xlfn.XLOOKUP(frasest[[#This Row],[autor_es]],autorest[autor_es],autorest[codigo])</f>
        <v>es</v>
      </c>
      <c r="J431" t="str">
        <f>_xlfn.XLOOKUP(frasest[[#This Row],[autor_es]],autorest[autor_es],autorest[idioma_es])</f>
        <v>Español</v>
      </c>
      <c r="K431" s="6" t="str">
        <f>_xlfn.XLOOKUP(frasest[[#This Row],[autor_es]],autorest[autor_es],autorest[idioma_la])</f>
        <v>Lingua Hispanica</v>
      </c>
      <c r="L431" s="6" t="str">
        <f>_xlfn.XLOOKUP(frasest[[#This Row],[autor_es]],autorest[autor_es],autorest[nacion_es])</f>
        <v>España</v>
      </c>
      <c r="M431" t="str">
        <f>_xlfn.XLOOKUP(frasest[[#This Row],[autor_es]],autorest[autor_es],autorest[nacion_la])</f>
        <v>Hispania</v>
      </c>
      <c r="N431" t="str">
        <f>_xlfn.XLOOKUP(frasest[[#This Row],[autor_es]],autorest[autor_es],autorest[epoca_es])</f>
        <v>Edad Moderna</v>
      </c>
      <c r="O431" t="str">
        <f>_xlfn.XLOOKUP(frasest[[#This Row],[autor_es]],autorest[autor_es],autorest[epoca_la])</f>
        <v>Nova Aetas</v>
      </c>
    </row>
    <row r="432" spans="1:15">
      <c r="A432">
        <v>431</v>
      </c>
      <c r="B432" t="s">
        <v>1166</v>
      </c>
      <c r="C432" t="s">
        <v>1167</v>
      </c>
      <c r="D432" t="s">
        <v>1168</v>
      </c>
      <c r="E432" t="s">
        <v>1162</v>
      </c>
      <c r="F432" t="str">
        <f>_xlfn.XLOOKUP(frasest[[#This Row],[autor_es]],autorest[autor_es],autorest[autor_la])</f>
        <v>Sanctus Iosephus Calasanctius</v>
      </c>
      <c r="G432"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2"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2" t="str">
        <f>_xlfn.XLOOKUP(frasest[[#This Row],[autor_es]],autorest[autor_es],autorest[codigo])</f>
        <v>es</v>
      </c>
      <c r="J432" t="str">
        <f>_xlfn.XLOOKUP(frasest[[#This Row],[autor_es]],autorest[autor_es],autorest[idioma_es])</f>
        <v>Español</v>
      </c>
      <c r="K432" s="6" t="str">
        <f>_xlfn.XLOOKUP(frasest[[#This Row],[autor_es]],autorest[autor_es],autorest[idioma_la])</f>
        <v>Lingua Hispanica</v>
      </c>
      <c r="L432" s="6" t="str">
        <f>_xlfn.XLOOKUP(frasest[[#This Row],[autor_es]],autorest[autor_es],autorest[nacion_es])</f>
        <v>España</v>
      </c>
      <c r="M432" t="str">
        <f>_xlfn.XLOOKUP(frasest[[#This Row],[autor_es]],autorest[autor_es],autorest[nacion_la])</f>
        <v>Hispania</v>
      </c>
      <c r="N432" t="str">
        <f>_xlfn.XLOOKUP(frasest[[#This Row],[autor_es]],autorest[autor_es],autorest[epoca_es])</f>
        <v>Edad Moderna</v>
      </c>
      <c r="O432" t="str">
        <f>_xlfn.XLOOKUP(frasest[[#This Row],[autor_es]],autorest[autor_es],autorest[epoca_la])</f>
        <v>Nova Aetas</v>
      </c>
    </row>
    <row r="433" spans="1:15">
      <c r="A433">
        <v>432</v>
      </c>
      <c r="B433" t="s">
        <v>1169</v>
      </c>
      <c r="C433" t="s">
        <v>1170</v>
      </c>
      <c r="D433" t="s">
        <v>1171</v>
      </c>
      <c r="E433" t="s">
        <v>1162</v>
      </c>
      <c r="F433" t="str">
        <f>_xlfn.XLOOKUP(frasest[[#This Row],[autor_es]],autorest[autor_es],autorest[autor_la])</f>
        <v>Sanctus Iosephus Calasanctius</v>
      </c>
      <c r="G433"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3"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3" t="str">
        <f>_xlfn.XLOOKUP(frasest[[#This Row],[autor_es]],autorest[autor_es],autorest[codigo])</f>
        <v>es</v>
      </c>
      <c r="J433" t="str">
        <f>_xlfn.XLOOKUP(frasest[[#This Row],[autor_es]],autorest[autor_es],autorest[idioma_es])</f>
        <v>Español</v>
      </c>
      <c r="K433" s="6" t="str">
        <f>_xlfn.XLOOKUP(frasest[[#This Row],[autor_es]],autorest[autor_es],autorest[idioma_la])</f>
        <v>Lingua Hispanica</v>
      </c>
      <c r="L433" s="6" t="str">
        <f>_xlfn.XLOOKUP(frasest[[#This Row],[autor_es]],autorest[autor_es],autorest[nacion_es])</f>
        <v>España</v>
      </c>
      <c r="M433" t="str">
        <f>_xlfn.XLOOKUP(frasest[[#This Row],[autor_es]],autorest[autor_es],autorest[nacion_la])</f>
        <v>Hispania</v>
      </c>
      <c r="N433" t="str">
        <f>_xlfn.XLOOKUP(frasest[[#This Row],[autor_es]],autorest[autor_es],autorest[epoca_es])</f>
        <v>Edad Moderna</v>
      </c>
      <c r="O433" t="str">
        <f>_xlfn.XLOOKUP(frasest[[#This Row],[autor_es]],autorest[autor_es],autorest[epoca_la])</f>
        <v>Nova Aetas</v>
      </c>
    </row>
    <row r="434" spans="1:15">
      <c r="A434">
        <v>433</v>
      </c>
      <c r="B434" t="s">
        <v>1172</v>
      </c>
      <c r="C434" t="s">
        <v>1173</v>
      </c>
      <c r="D434" t="s">
        <v>1174</v>
      </c>
      <c r="E434" t="s">
        <v>1162</v>
      </c>
      <c r="F434" t="str">
        <f>_xlfn.XLOOKUP(frasest[[#This Row],[autor_es]],autorest[autor_es],autorest[autor_la])</f>
        <v>Sanctus Iosephus Calasanctius</v>
      </c>
      <c r="G434"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4"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4" t="str">
        <f>_xlfn.XLOOKUP(frasest[[#This Row],[autor_es]],autorest[autor_es],autorest[codigo])</f>
        <v>es</v>
      </c>
      <c r="J434" t="str">
        <f>_xlfn.XLOOKUP(frasest[[#This Row],[autor_es]],autorest[autor_es],autorest[idioma_es])</f>
        <v>Español</v>
      </c>
      <c r="K434" s="6" t="str">
        <f>_xlfn.XLOOKUP(frasest[[#This Row],[autor_es]],autorest[autor_es],autorest[idioma_la])</f>
        <v>Lingua Hispanica</v>
      </c>
      <c r="L434" s="6" t="str">
        <f>_xlfn.XLOOKUP(frasest[[#This Row],[autor_es]],autorest[autor_es],autorest[nacion_es])</f>
        <v>España</v>
      </c>
      <c r="M434" t="str">
        <f>_xlfn.XLOOKUP(frasest[[#This Row],[autor_es]],autorest[autor_es],autorest[nacion_la])</f>
        <v>Hispania</v>
      </c>
      <c r="N434" t="str">
        <f>_xlfn.XLOOKUP(frasest[[#This Row],[autor_es]],autorest[autor_es],autorest[epoca_es])</f>
        <v>Edad Moderna</v>
      </c>
      <c r="O434" t="str">
        <f>_xlfn.XLOOKUP(frasest[[#This Row],[autor_es]],autorest[autor_es],autorest[epoca_la])</f>
        <v>Nova Aetas</v>
      </c>
    </row>
    <row r="435" spans="1:15">
      <c r="A435">
        <v>434</v>
      </c>
      <c r="B435" t="s">
        <v>1175</v>
      </c>
      <c r="C435" t="s">
        <v>1176</v>
      </c>
      <c r="D435" t="s">
        <v>1177</v>
      </c>
      <c r="E435" t="s">
        <v>1162</v>
      </c>
      <c r="F435" t="str">
        <f>_xlfn.XLOOKUP(frasest[[#This Row],[autor_es]],autorest[autor_es],autorest[autor_la])</f>
        <v>Sanctus Iosephus Calasanctius</v>
      </c>
      <c r="G435"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5"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5" t="str">
        <f>_xlfn.XLOOKUP(frasest[[#This Row],[autor_es]],autorest[autor_es],autorest[codigo])</f>
        <v>es</v>
      </c>
      <c r="J435" t="str">
        <f>_xlfn.XLOOKUP(frasest[[#This Row],[autor_es]],autorest[autor_es],autorest[idioma_es])</f>
        <v>Español</v>
      </c>
      <c r="K435" s="6" t="str">
        <f>_xlfn.XLOOKUP(frasest[[#This Row],[autor_es]],autorest[autor_es],autorest[idioma_la])</f>
        <v>Lingua Hispanica</v>
      </c>
      <c r="L435" s="6" t="str">
        <f>_xlfn.XLOOKUP(frasest[[#This Row],[autor_es]],autorest[autor_es],autorest[nacion_es])</f>
        <v>España</v>
      </c>
      <c r="M435" t="str">
        <f>_xlfn.XLOOKUP(frasest[[#This Row],[autor_es]],autorest[autor_es],autorest[nacion_la])</f>
        <v>Hispania</v>
      </c>
      <c r="N435" t="str">
        <f>_xlfn.XLOOKUP(frasest[[#This Row],[autor_es]],autorest[autor_es],autorest[epoca_es])</f>
        <v>Edad Moderna</v>
      </c>
      <c r="O435" t="str">
        <f>_xlfn.XLOOKUP(frasest[[#This Row],[autor_es]],autorest[autor_es],autorest[epoca_la])</f>
        <v>Nova Aetas</v>
      </c>
    </row>
    <row r="436" spans="1:15">
      <c r="A436">
        <v>435</v>
      </c>
      <c r="B436" t="s">
        <v>1178</v>
      </c>
      <c r="C436" t="s">
        <v>1179</v>
      </c>
      <c r="D436" t="s">
        <v>1180</v>
      </c>
      <c r="E436" t="s">
        <v>1181</v>
      </c>
      <c r="F436" t="str">
        <f>_xlfn.XLOOKUP(frasest[[#This Row],[autor_es]],autorest[autor_es],autorest[autor_la])</f>
        <v>Desiderius Erasmus Roterodamus</v>
      </c>
      <c r="G436"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6"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6" t="str">
        <f>_xlfn.XLOOKUP(frasest[[#This Row],[autor_es]],autorest[autor_es],autorest[codigo])</f>
        <v>la</v>
      </c>
      <c r="J436" t="str">
        <f>_xlfn.XLOOKUP(frasest[[#This Row],[autor_es]],autorest[autor_es],autorest[idioma_es])</f>
        <v>Latín</v>
      </c>
      <c r="K436" s="6" t="str">
        <f>_xlfn.XLOOKUP(frasest[[#This Row],[autor_es]],autorest[autor_es],autorest[idioma_la])</f>
        <v>Lingua Latina</v>
      </c>
      <c r="L436" s="6" t="str">
        <f>_xlfn.XLOOKUP(frasest[[#This Row],[autor_es]],autorest[autor_es],autorest[nacion_es])</f>
        <v>Países Bajos</v>
      </c>
      <c r="M436" t="str">
        <f>_xlfn.XLOOKUP(frasest[[#This Row],[autor_es]],autorest[autor_es],autorest[nacion_la])</f>
        <v>Nederlandia</v>
      </c>
      <c r="N436" t="str">
        <f>_xlfn.XLOOKUP(frasest[[#This Row],[autor_es]],autorest[autor_es],autorest[epoca_es])</f>
        <v>Edad Media</v>
      </c>
      <c r="O436" t="str">
        <f>_xlfn.XLOOKUP(frasest[[#This Row],[autor_es]],autorest[autor_es],autorest[epoca_la])</f>
        <v>Medium Aevum</v>
      </c>
    </row>
    <row r="437" spans="1:15">
      <c r="A437">
        <v>436</v>
      </c>
      <c r="B437" t="s">
        <v>1182</v>
      </c>
      <c r="C437" t="s">
        <v>1183</v>
      </c>
      <c r="D437" t="s">
        <v>1184</v>
      </c>
      <c r="E437" t="s">
        <v>1181</v>
      </c>
      <c r="F437" t="str">
        <f>_xlfn.XLOOKUP(frasest[[#This Row],[autor_es]],autorest[autor_es],autorest[autor_la])</f>
        <v>Desiderius Erasmus Roterodamus</v>
      </c>
      <c r="G437"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7"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7" t="str">
        <f>_xlfn.XLOOKUP(frasest[[#This Row],[autor_es]],autorest[autor_es],autorest[codigo])</f>
        <v>la</v>
      </c>
      <c r="J437" t="str">
        <f>_xlfn.XLOOKUP(frasest[[#This Row],[autor_es]],autorest[autor_es],autorest[idioma_es])</f>
        <v>Latín</v>
      </c>
      <c r="K437" s="6" t="str">
        <f>_xlfn.XLOOKUP(frasest[[#This Row],[autor_es]],autorest[autor_es],autorest[idioma_la])</f>
        <v>Lingua Latina</v>
      </c>
      <c r="L437" s="6" t="str">
        <f>_xlfn.XLOOKUP(frasest[[#This Row],[autor_es]],autorest[autor_es],autorest[nacion_es])</f>
        <v>Países Bajos</v>
      </c>
      <c r="M437" t="str">
        <f>_xlfn.XLOOKUP(frasest[[#This Row],[autor_es]],autorest[autor_es],autorest[nacion_la])</f>
        <v>Nederlandia</v>
      </c>
      <c r="N437" t="str">
        <f>_xlfn.XLOOKUP(frasest[[#This Row],[autor_es]],autorest[autor_es],autorest[epoca_es])</f>
        <v>Edad Media</v>
      </c>
      <c r="O437" t="str">
        <f>_xlfn.XLOOKUP(frasest[[#This Row],[autor_es]],autorest[autor_es],autorest[epoca_la])</f>
        <v>Medium Aevum</v>
      </c>
    </row>
    <row r="438" spans="1:15">
      <c r="A438">
        <v>437</v>
      </c>
      <c r="B438" t="s">
        <v>1185</v>
      </c>
      <c r="C438" t="s">
        <v>1186</v>
      </c>
      <c r="D438" t="s">
        <v>1187</v>
      </c>
      <c r="E438" t="s">
        <v>1181</v>
      </c>
      <c r="F438" t="str">
        <f>_xlfn.XLOOKUP(frasest[[#This Row],[autor_es]],autorest[autor_es],autorest[autor_la])</f>
        <v>Desiderius Erasmus Roterodamus</v>
      </c>
      <c r="G438"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8"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8" t="str">
        <f>_xlfn.XLOOKUP(frasest[[#This Row],[autor_es]],autorest[autor_es],autorest[codigo])</f>
        <v>la</v>
      </c>
      <c r="J438" t="str">
        <f>_xlfn.XLOOKUP(frasest[[#This Row],[autor_es]],autorest[autor_es],autorest[idioma_es])</f>
        <v>Latín</v>
      </c>
      <c r="K438" s="6" t="str">
        <f>_xlfn.XLOOKUP(frasest[[#This Row],[autor_es]],autorest[autor_es],autorest[idioma_la])</f>
        <v>Lingua Latina</v>
      </c>
      <c r="L438" s="6" t="str">
        <f>_xlfn.XLOOKUP(frasest[[#This Row],[autor_es]],autorest[autor_es],autorest[nacion_es])</f>
        <v>Países Bajos</v>
      </c>
      <c r="M438" t="str">
        <f>_xlfn.XLOOKUP(frasest[[#This Row],[autor_es]],autorest[autor_es],autorest[nacion_la])</f>
        <v>Nederlandia</v>
      </c>
      <c r="N438" t="str">
        <f>_xlfn.XLOOKUP(frasest[[#This Row],[autor_es]],autorest[autor_es],autorest[epoca_es])</f>
        <v>Edad Media</v>
      </c>
      <c r="O438" t="str">
        <f>_xlfn.XLOOKUP(frasest[[#This Row],[autor_es]],autorest[autor_es],autorest[epoca_la])</f>
        <v>Medium Aevum</v>
      </c>
    </row>
    <row r="439" spans="1:15">
      <c r="A439">
        <v>438</v>
      </c>
      <c r="B439" t="s">
        <v>1188</v>
      </c>
      <c r="C439" t="s">
        <v>1189</v>
      </c>
      <c r="D439" t="s">
        <v>1190</v>
      </c>
      <c r="E439" t="s">
        <v>1181</v>
      </c>
      <c r="F439" t="str">
        <f>_xlfn.XLOOKUP(frasest[[#This Row],[autor_es]],autorest[autor_es],autorest[autor_la])</f>
        <v>Desiderius Erasmus Roterodamus</v>
      </c>
      <c r="G439"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9"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9" t="str">
        <f>_xlfn.XLOOKUP(frasest[[#This Row],[autor_es]],autorest[autor_es],autorest[codigo])</f>
        <v>la</v>
      </c>
      <c r="J439" t="str">
        <f>_xlfn.XLOOKUP(frasest[[#This Row],[autor_es]],autorest[autor_es],autorest[idioma_es])</f>
        <v>Latín</v>
      </c>
      <c r="K439" s="6" t="str">
        <f>_xlfn.XLOOKUP(frasest[[#This Row],[autor_es]],autorest[autor_es],autorest[idioma_la])</f>
        <v>Lingua Latina</v>
      </c>
      <c r="L439" s="6" t="str">
        <f>_xlfn.XLOOKUP(frasest[[#This Row],[autor_es]],autorest[autor_es],autorest[nacion_es])</f>
        <v>Países Bajos</v>
      </c>
      <c r="M439" t="str">
        <f>_xlfn.XLOOKUP(frasest[[#This Row],[autor_es]],autorest[autor_es],autorest[nacion_la])</f>
        <v>Nederlandia</v>
      </c>
      <c r="N439" t="str">
        <f>_xlfn.XLOOKUP(frasest[[#This Row],[autor_es]],autorest[autor_es],autorest[epoca_es])</f>
        <v>Edad Media</v>
      </c>
      <c r="O439" t="str">
        <f>_xlfn.XLOOKUP(frasest[[#This Row],[autor_es]],autorest[autor_es],autorest[epoca_la])</f>
        <v>Medium Aevum</v>
      </c>
    </row>
    <row r="440" spans="1:15">
      <c r="A440">
        <v>439</v>
      </c>
      <c r="B440" t="s">
        <v>1191</v>
      </c>
      <c r="C440" t="s">
        <v>1192</v>
      </c>
      <c r="D440" t="s">
        <v>1193</v>
      </c>
      <c r="E440" t="s">
        <v>1181</v>
      </c>
      <c r="F440" t="str">
        <f>_xlfn.XLOOKUP(frasest[[#This Row],[autor_es]],autorest[autor_es],autorest[autor_la])</f>
        <v>Desiderius Erasmus Roterodamus</v>
      </c>
      <c r="G440"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0"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0" t="str">
        <f>_xlfn.XLOOKUP(frasest[[#This Row],[autor_es]],autorest[autor_es],autorest[codigo])</f>
        <v>la</v>
      </c>
      <c r="J440" t="str">
        <f>_xlfn.XLOOKUP(frasest[[#This Row],[autor_es]],autorest[autor_es],autorest[idioma_es])</f>
        <v>Latín</v>
      </c>
      <c r="K440" s="6" t="str">
        <f>_xlfn.XLOOKUP(frasest[[#This Row],[autor_es]],autorest[autor_es],autorest[idioma_la])</f>
        <v>Lingua Latina</v>
      </c>
      <c r="L440" s="6" t="str">
        <f>_xlfn.XLOOKUP(frasest[[#This Row],[autor_es]],autorest[autor_es],autorest[nacion_es])</f>
        <v>Países Bajos</v>
      </c>
      <c r="M440" t="str">
        <f>_xlfn.XLOOKUP(frasest[[#This Row],[autor_es]],autorest[autor_es],autorest[nacion_la])</f>
        <v>Nederlandia</v>
      </c>
      <c r="N440" t="str">
        <f>_xlfn.XLOOKUP(frasest[[#This Row],[autor_es]],autorest[autor_es],autorest[epoca_es])</f>
        <v>Edad Media</v>
      </c>
      <c r="O440" t="str">
        <f>_xlfn.XLOOKUP(frasest[[#This Row],[autor_es]],autorest[autor_es],autorest[epoca_la])</f>
        <v>Medium Aevum</v>
      </c>
    </row>
    <row r="441" spans="1:15">
      <c r="A441">
        <v>440</v>
      </c>
      <c r="B441" t="s">
        <v>1194</v>
      </c>
      <c r="C441" t="s">
        <v>1195</v>
      </c>
      <c r="D441" t="s">
        <v>1196</v>
      </c>
      <c r="E441" t="s">
        <v>1181</v>
      </c>
      <c r="F441" t="str">
        <f>_xlfn.XLOOKUP(frasest[[#This Row],[autor_es]],autorest[autor_es],autorest[autor_la])</f>
        <v>Desiderius Erasmus Roterodamus</v>
      </c>
      <c r="G441"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1"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1" t="str">
        <f>_xlfn.XLOOKUP(frasest[[#This Row],[autor_es]],autorest[autor_es],autorest[codigo])</f>
        <v>la</v>
      </c>
      <c r="J441" t="str">
        <f>_xlfn.XLOOKUP(frasest[[#This Row],[autor_es]],autorest[autor_es],autorest[idioma_es])</f>
        <v>Latín</v>
      </c>
      <c r="K441" s="6" t="str">
        <f>_xlfn.XLOOKUP(frasest[[#This Row],[autor_es]],autorest[autor_es],autorest[idioma_la])</f>
        <v>Lingua Latina</v>
      </c>
      <c r="L441" s="6" t="str">
        <f>_xlfn.XLOOKUP(frasest[[#This Row],[autor_es]],autorest[autor_es],autorest[nacion_es])</f>
        <v>Países Bajos</v>
      </c>
      <c r="M441" t="str">
        <f>_xlfn.XLOOKUP(frasest[[#This Row],[autor_es]],autorest[autor_es],autorest[nacion_la])</f>
        <v>Nederlandia</v>
      </c>
      <c r="N441" t="str">
        <f>_xlfn.XLOOKUP(frasest[[#This Row],[autor_es]],autorest[autor_es],autorest[epoca_es])</f>
        <v>Edad Media</v>
      </c>
      <c r="O441" t="str">
        <f>_xlfn.XLOOKUP(frasest[[#This Row],[autor_es]],autorest[autor_es],autorest[epoca_la])</f>
        <v>Medium Aevum</v>
      </c>
    </row>
    <row r="442" spans="1:15">
      <c r="A442">
        <v>441</v>
      </c>
      <c r="B442" t="s">
        <v>1197</v>
      </c>
      <c r="C442" t="s">
        <v>1198</v>
      </c>
      <c r="D442" t="s">
        <v>1199</v>
      </c>
      <c r="E442" t="s">
        <v>1200</v>
      </c>
      <c r="F442" t="str">
        <f>_xlfn.XLOOKUP(frasest[[#This Row],[autor_es]],autorest[autor_es],autorest[autor_la])</f>
        <v>Arthurus Schopenhauer</v>
      </c>
      <c r="G442"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2"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2" t="str">
        <f>_xlfn.XLOOKUP(frasest[[#This Row],[autor_es]],autorest[autor_es],autorest[codigo])</f>
        <v>de</v>
      </c>
      <c r="J442" t="str">
        <f>_xlfn.XLOOKUP(frasest[[#This Row],[autor_es]],autorest[autor_es],autorest[idioma_es])</f>
        <v>Alemán</v>
      </c>
      <c r="K442" s="6" t="str">
        <f>_xlfn.XLOOKUP(frasest[[#This Row],[autor_es]],autorest[autor_es],autorest[idioma_la])</f>
        <v>Lingua Germanica</v>
      </c>
      <c r="L442" s="6" t="str">
        <f>_xlfn.XLOOKUP(frasest[[#This Row],[autor_es]],autorest[autor_es],autorest[nacion_es])</f>
        <v>Alemania</v>
      </c>
      <c r="M442" t="str">
        <f>_xlfn.XLOOKUP(frasest[[#This Row],[autor_es]],autorest[autor_es],autorest[nacion_la])</f>
        <v>Germania</v>
      </c>
      <c r="N442" t="str">
        <f>_xlfn.XLOOKUP(frasest[[#This Row],[autor_es]],autorest[autor_es],autorest[epoca_es])</f>
        <v>Edad Moderna</v>
      </c>
      <c r="O442" t="str">
        <f>_xlfn.XLOOKUP(frasest[[#This Row],[autor_es]],autorest[autor_es],autorest[epoca_la])</f>
        <v>Nova Aetas</v>
      </c>
    </row>
    <row r="443" spans="1:15">
      <c r="A443">
        <v>442</v>
      </c>
      <c r="B443" t="s">
        <v>1201</v>
      </c>
      <c r="C443" t="s">
        <v>1202</v>
      </c>
      <c r="D443" t="s">
        <v>1203</v>
      </c>
      <c r="E443" t="s">
        <v>1200</v>
      </c>
      <c r="F443" t="str">
        <f>_xlfn.XLOOKUP(frasest[[#This Row],[autor_es]],autorest[autor_es],autorest[autor_la])</f>
        <v>Arthurus Schopenhauer</v>
      </c>
      <c r="G443"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3"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3" t="str">
        <f>_xlfn.XLOOKUP(frasest[[#This Row],[autor_es]],autorest[autor_es],autorest[codigo])</f>
        <v>de</v>
      </c>
      <c r="J443" t="str">
        <f>_xlfn.XLOOKUP(frasest[[#This Row],[autor_es]],autorest[autor_es],autorest[idioma_es])</f>
        <v>Alemán</v>
      </c>
      <c r="K443" s="6" t="str">
        <f>_xlfn.XLOOKUP(frasest[[#This Row],[autor_es]],autorest[autor_es],autorest[idioma_la])</f>
        <v>Lingua Germanica</v>
      </c>
      <c r="L443" s="6" t="str">
        <f>_xlfn.XLOOKUP(frasest[[#This Row],[autor_es]],autorest[autor_es],autorest[nacion_es])</f>
        <v>Alemania</v>
      </c>
      <c r="M443" t="str">
        <f>_xlfn.XLOOKUP(frasest[[#This Row],[autor_es]],autorest[autor_es],autorest[nacion_la])</f>
        <v>Germania</v>
      </c>
      <c r="N443" t="str">
        <f>_xlfn.XLOOKUP(frasest[[#This Row],[autor_es]],autorest[autor_es],autorest[epoca_es])</f>
        <v>Edad Moderna</v>
      </c>
      <c r="O443" t="str">
        <f>_xlfn.XLOOKUP(frasest[[#This Row],[autor_es]],autorest[autor_es],autorest[epoca_la])</f>
        <v>Nova Aetas</v>
      </c>
    </row>
    <row r="444" spans="1:15">
      <c r="A444">
        <v>443</v>
      </c>
      <c r="B444" t="s">
        <v>1204</v>
      </c>
      <c r="C444" t="s">
        <v>1205</v>
      </c>
      <c r="D444" t="s">
        <v>1206</v>
      </c>
      <c r="E444" t="s">
        <v>1200</v>
      </c>
      <c r="F444" t="str">
        <f>_xlfn.XLOOKUP(frasest[[#This Row],[autor_es]],autorest[autor_es],autorest[autor_la])</f>
        <v>Arthurus Schopenhauer</v>
      </c>
      <c r="G444"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4"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4" t="str">
        <f>_xlfn.XLOOKUP(frasest[[#This Row],[autor_es]],autorest[autor_es],autorest[codigo])</f>
        <v>de</v>
      </c>
      <c r="J444" t="str">
        <f>_xlfn.XLOOKUP(frasest[[#This Row],[autor_es]],autorest[autor_es],autorest[idioma_es])</f>
        <v>Alemán</v>
      </c>
      <c r="K444" s="6" t="str">
        <f>_xlfn.XLOOKUP(frasest[[#This Row],[autor_es]],autorest[autor_es],autorest[idioma_la])</f>
        <v>Lingua Germanica</v>
      </c>
      <c r="L444" s="6" t="str">
        <f>_xlfn.XLOOKUP(frasest[[#This Row],[autor_es]],autorest[autor_es],autorest[nacion_es])</f>
        <v>Alemania</v>
      </c>
      <c r="M444" t="str">
        <f>_xlfn.XLOOKUP(frasest[[#This Row],[autor_es]],autorest[autor_es],autorest[nacion_la])</f>
        <v>Germania</v>
      </c>
      <c r="N444" t="str">
        <f>_xlfn.XLOOKUP(frasest[[#This Row],[autor_es]],autorest[autor_es],autorest[epoca_es])</f>
        <v>Edad Moderna</v>
      </c>
      <c r="O444" t="str">
        <f>_xlfn.XLOOKUP(frasest[[#This Row],[autor_es]],autorest[autor_es],autorest[epoca_la])</f>
        <v>Nova Aetas</v>
      </c>
    </row>
    <row r="445" spans="1:15">
      <c r="A445">
        <v>444</v>
      </c>
      <c r="B445" t="s">
        <v>1207</v>
      </c>
      <c r="C445" t="s">
        <v>1208</v>
      </c>
      <c r="D445" t="s">
        <v>1209</v>
      </c>
      <c r="E445" t="s">
        <v>1200</v>
      </c>
      <c r="F445" t="str">
        <f>_xlfn.XLOOKUP(frasest[[#This Row],[autor_es]],autorest[autor_es],autorest[autor_la])</f>
        <v>Arthurus Schopenhauer</v>
      </c>
      <c r="G445"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5"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5" t="str">
        <f>_xlfn.XLOOKUP(frasest[[#This Row],[autor_es]],autorest[autor_es],autorest[codigo])</f>
        <v>de</v>
      </c>
      <c r="J445" t="str">
        <f>_xlfn.XLOOKUP(frasest[[#This Row],[autor_es]],autorest[autor_es],autorest[idioma_es])</f>
        <v>Alemán</v>
      </c>
      <c r="K445" s="6" t="str">
        <f>_xlfn.XLOOKUP(frasest[[#This Row],[autor_es]],autorest[autor_es],autorest[idioma_la])</f>
        <v>Lingua Germanica</v>
      </c>
      <c r="L445" s="6" t="str">
        <f>_xlfn.XLOOKUP(frasest[[#This Row],[autor_es]],autorest[autor_es],autorest[nacion_es])</f>
        <v>Alemania</v>
      </c>
      <c r="M445" t="str">
        <f>_xlfn.XLOOKUP(frasest[[#This Row],[autor_es]],autorest[autor_es],autorest[nacion_la])</f>
        <v>Germania</v>
      </c>
      <c r="N445" t="str">
        <f>_xlfn.XLOOKUP(frasest[[#This Row],[autor_es]],autorest[autor_es],autorest[epoca_es])</f>
        <v>Edad Moderna</v>
      </c>
      <c r="O445" t="str">
        <f>_xlfn.XLOOKUP(frasest[[#This Row],[autor_es]],autorest[autor_es],autorest[epoca_la])</f>
        <v>Nova Aetas</v>
      </c>
    </row>
    <row r="446" spans="1:15">
      <c r="A446">
        <v>445</v>
      </c>
      <c r="B446" t="s">
        <v>1210</v>
      </c>
      <c r="C446" t="s">
        <v>1211</v>
      </c>
      <c r="D446" t="s">
        <v>1212</v>
      </c>
      <c r="E446" t="s">
        <v>1200</v>
      </c>
      <c r="F446" t="str">
        <f>_xlfn.XLOOKUP(frasest[[#This Row],[autor_es]],autorest[autor_es],autorest[autor_la])</f>
        <v>Arthurus Schopenhauer</v>
      </c>
      <c r="G446"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6"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6" t="str">
        <f>_xlfn.XLOOKUP(frasest[[#This Row],[autor_es]],autorest[autor_es],autorest[codigo])</f>
        <v>de</v>
      </c>
      <c r="J446" t="str">
        <f>_xlfn.XLOOKUP(frasest[[#This Row],[autor_es]],autorest[autor_es],autorest[idioma_es])</f>
        <v>Alemán</v>
      </c>
      <c r="K446" s="6" t="str">
        <f>_xlfn.XLOOKUP(frasest[[#This Row],[autor_es]],autorest[autor_es],autorest[idioma_la])</f>
        <v>Lingua Germanica</v>
      </c>
      <c r="L446" s="6" t="str">
        <f>_xlfn.XLOOKUP(frasest[[#This Row],[autor_es]],autorest[autor_es],autorest[nacion_es])</f>
        <v>Alemania</v>
      </c>
      <c r="M446" t="str">
        <f>_xlfn.XLOOKUP(frasest[[#This Row],[autor_es]],autorest[autor_es],autorest[nacion_la])</f>
        <v>Germania</v>
      </c>
      <c r="N446" t="str">
        <f>_xlfn.XLOOKUP(frasest[[#This Row],[autor_es]],autorest[autor_es],autorest[epoca_es])</f>
        <v>Edad Moderna</v>
      </c>
      <c r="O446" t="str">
        <f>_xlfn.XLOOKUP(frasest[[#This Row],[autor_es]],autorest[autor_es],autorest[epoca_la])</f>
        <v>Nova Aetas</v>
      </c>
    </row>
    <row r="447" spans="1:15">
      <c r="A447">
        <v>446</v>
      </c>
      <c r="B447" t="s">
        <v>1213</v>
      </c>
      <c r="C447" t="s">
        <v>1214</v>
      </c>
      <c r="D447" t="s">
        <v>1215</v>
      </c>
      <c r="E447" t="s">
        <v>1200</v>
      </c>
      <c r="F447" t="str">
        <f>_xlfn.XLOOKUP(frasest[[#This Row],[autor_es]],autorest[autor_es],autorest[autor_la])</f>
        <v>Arthurus Schopenhauer</v>
      </c>
      <c r="G447"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7"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7" t="str">
        <f>_xlfn.XLOOKUP(frasest[[#This Row],[autor_es]],autorest[autor_es],autorest[codigo])</f>
        <v>de</v>
      </c>
      <c r="J447" t="str">
        <f>_xlfn.XLOOKUP(frasest[[#This Row],[autor_es]],autorest[autor_es],autorest[idioma_es])</f>
        <v>Alemán</v>
      </c>
      <c r="K447" s="6" t="str">
        <f>_xlfn.XLOOKUP(frasest[[#This Row],[autor_es]],autorest[autor_es],autorest[idioma_la])</f>
        <v>Lingua Germanica</v>
      </c>
      <c r="L447" s="6" t="str">
        <f>_xlfn.XLOOKUP(frasest[[#This Row],[autor_es]],autorest[autor_es],autorest[nacion_es])</f>
        <v>Alemania</v>
      </c>
      <c r="M447" t="str">
        <f>_xlfn.XLOOKUP(frasest[[#This Row],[autor_es]],autorest[autor_es],autorest[nacion_la])</f>
        <v>Germania</v>
      </c>
      <c r="N447" t="str">
        <f>_xlfn.XLOOKUP(frasest[[#This Row],[autor_es]],autorest[autor_es],autorest[epoca_es])</f>
        <v>Edad Moderna</v>
      </c>
      <c r="O447" t="str">
        <f>_xlfn.XLOOKUP(frasest[[#This Row],[autor_es]],autorest[autor_es],autorest[epoca_la])</f>
        <v>Nova Aetas</v>
      </c>
    </row>
    <row r="448" spans="1:15">
      <c r="A448">
        <v>447</v>
      </c>
      <c r="B448" t="s">
        <v>1216</v>
      </c>
      <c r="C448" t="s">
        <v>1217</v>
      </c>
      <c r="D448" t="s">
        <v>1218</v>
      </c>
      <c r="E448" t="s">
        <v>1219</v>
      </c>
      <c r="F448" t="str">
        <f>_xlfn.XLOOKUP(frasest[[#This Row],[autor_es]],autorest[autor_es],autorest[autor_la])</f>
        <v>Hannah Arendt</v>
      </c>
      <c r="G448"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8"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8" t="str">
        <f>_xlfn.XLOOKUP(frasest[[#This Row],[autor_es]],autorest[autor_es],autorest[codigo])</f>
        <v>de</v>
      </c>
      <c r="J448" t="str">
        <f>_xlfn.XLOOKUP(frasest[[#This Row],[autor_es]],autorest[autor_es],autorest[idioma_es])</f>
        <v>Alemán</v>
      </c>
      <c r="K448" s="6" t="str">
        <f>_xlfn.XLOOKUP(frasest[[#This Row],[autor_es]],autorest[autor_es],autorest[idioma_la])</f>
        <v>Lingua Germanica</v>
      </c>
      <c r="L448" s="6" t="str">
        <f>_xlfn.XLOOKUP(frasest[[#This Row],[autor_es]],autorest[autor_es],autorest[nacion_es])</f>
        <v>Alemania</v>
      </c>
      <c r="M448" t="str">
        <f>_xlfn.XLOOKUP(frasest[[#This Row],[autor_es]],autorest[autor_es],autorest[nacion_la])</f>
        <v>Germania</v>
      </c>
      <c r="N448" t="str">
        <f>_xlfn.XLOOKUP(frasest[[#This Row],[autor_es]],autorest[autor_es],autorest[epoca_es])</f>
        <v>Edad Contemporánea</v>
      </c>
      <c r="O448" t="str">
        <f>_xlfn.XLOOKUP(frasest[[#This Row],[autor_es]],autorest[autor_es],autorest[epoca_la])</f>
        <v>Aetas Contemporanea</v>
      </c>
    </row>
    <row r="449" spans="1:15">
      <c r="A449">
        <v>448</v>
      </c>
      <c r="B449" t="s">
        <v>1220</v>
      </c>
      <c r="C449" t="s">
        <v>1221</v>
      </c>
      <c r="D449" t="s">
        <v>1222</v>
      </c>
      <c r="E449" t="s">
        <v>1219</v>
      </c>
      <c r="F449" t="str">
        <f>_xlfn.XLOOKUP(frasest[[#This Row],[autor_es]],autorest[autor_es],autorest[autor_la])</f>
        <v>Hannah Arendt</v>
      </c>
      <c r="G449"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9"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9" t="str">
        <f>_xlfn.XLOOKUP(frasest[[#This Row],[autor_es]],autorest[autor_es],autorest[codigo])</f>
        <v>de</v>
      </c>
      <c r="J449" t="str">
        <f>_xlfn.XLOOKUP(frasest[[#This Row],[autor_es]],autorest[autor_es],autorest[idioma_es])</f>
        <v>Alemán</v>
      </c>
      <c r="K449" s="6" t="str">
        <f>_xlfn.XLOOKUP(frasest[[#This Row],[autor_es]],autorest[autor_es],autorest[idioma_la])</f>
        <v>Lingua Germanica</v>
      </c>
      <c r="L449" s="6" t="str">
        <f>_xlfn.XLOOKUP(frasest[[#This Row],[autor_es]],autorest[autor_es],autorest[nacion_es])</f>
        <v>Alemania</v>
      </c>
      <c r="M449" t="str">
        <f>_xlfn.XLOOKUP(frasest[[#This Row],[autor_es]],autorest[autor_es],autorest[nacion_la])</f>
        <v>Germania</v>
      </c>
      <c r="N449" t="str">
        <f>_xlfn.XLOOKUP(frasest[[#This Row],[autor_es]],autorest[autor_es],autorest[epoca_es])</f>
        <v>Edad Contemporánea</v>
      </c>
      <c r="O449" t="str">
        <f>_xlfn.XLOOKUP(frasest[[#This Row],[autor_es]],autorest[autor_es],autorest[epoca_la])</f>
        <v>Aetas Contemporanea</v>
      </c>
    </row>
    <row r="450" spans="1:15">
      <c r="A450">
        <v>449</v>
      </c>
      <c r="B450" t="s">
        <v>1223</v>
      </c>
      <c r="C450" t="s">
        <v>1224</v>
      </c>
      <c r="D450" t="s">
        <v>1225</v>
      </c>
      <c r="E450" t="s">
        <v>1219</v>
      </c>
      <c r="F450" t="str">
        <f>_xlfn.XLOOKUP(frasest[[#This Row],[autor_es]],autorest[autor_es],autorest[autor_la])</f>
        <v>Hannah Arendt</v>
      </c>
      <c r="G450"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0"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0" t="str">
        <f>_xlfn.XLOOKUP(frasest[[#This Row],[autor_es]],autorest[autor_es],autorest[codigo])</f>
        <v>de</v>
      </c>
      <c r="J450" t="str">
        <f>_xlfn.XLOOKUP(frasest[[#This Row],[autor_es]],autorest[autor_es],autorest[idioma_es])</f>
        <v>Alemán</v>
      </c>
      <c r="K450" s="6" t="str">
        <f>_xlfn.XLOOKUP(frasest[[#This Row],[autor_es]],autorest[autor_es],autorest[idioma_la])</f>
        <v>Lingua Germanica</v>
      </c>
      <c r="L450" s="6" t="str">
        <f>_xlfn.XLOOKUP(frasest[[#This Row],[autor_es]],autorest[autor_es],autorest[nacion_es])</f>
        <v>Alemania</v>
      </c>
      <c r="M450" t="str">
        <f>_xlfn.XLOOKUP(frasest[[#This Row],[autor_es]],autorest[autor_es],autorest[nacion_la])</f>
        <v>Germania</v>
      </c>
      <c r="N450" t="str">
        <f>_xlfn.XLOOKUP(frasest[[#This Row],[autor_es]],autorest[autor_es],autorest[epoca_es])</f>
        <v>Edad Contemporánea</v>
      </c>
      <c r="O450" t="str">
        <f>_xlfn.XLOOKUP(frasest[[#This Row],[autor_es]],autorest[autor_es],autorest[epoca_la])</f>
        <v>Aetas Contemporanea</v>
      </c>
    </row>
    <row r="451" spans="1:15">
      <c r="A451">
        <v>450</v>
      </c>
      <c r="B451" t="s">
        <v>1226</v>
      </c>
      <c r="C451" t="s">
        <v>1227</v>
      </c>
      <c r="D451" t="s">
        <v>1228</v>
      </c>
      <c r="E451" t="s">
        <v>1219</v>
      </c>
      <c r="F451" t="str">
        <f>_xlfn.XLOOKUP(frasest[[#This Row],[autor_es]],autorest[autor_es],autorest[autor_la])</f>
        <v>Hannah Arendt</v>
      </c>
      <c r="G451"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1"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1" t="str">
        <f>_xlfn.XLOOKUP(frasest[[#This Row],[autor_es]],autorest[autor_es],autorest[codigo])</f>
        <v>de</v>
      </c>
      <c r="J451" t="str">
        <f>_xlfn.XLOOKUP(frasest[[#This Row],[autor_es]],autorest[autor_es],autorest[idioma_es])</f>
        <v>Alemán</v>
      </c>
      <c r="K451" s="6" t="str">
        <f>_xlfn.XLOOKUP(frasest[[#This Row],[autor_es]],autorest[autor_es],autorest[idioma_la])</f>
        <v>Lingua Germanica</v>
      </c>
      <c r="L451" s="6" t="str">
        <f>_xlfn.XLOOKUP(frasest[[#This Row],[autor_es]],autorest[autor_es],autorest[nacion_es])</f>
        <v>Alemania</v>
      </c>
      <c r="M451" t="str">
        <f>_xlfn.XLOOKUP(frasest[[#This Row],[autor_es]],autorest[autor_es],autorest[nacion_la])</f>
        <v>Germania</v>
      </c>
      <c r="N451" t="str">
        <f>_xlfn.XLOOKUP(frasest[[#This Row],[autor_es]],autorest[autor_es],autorest[epoca_es])</f>
        <v>Edad Contemporánea</v>
      </c>
      <c r="O451" t="str">
        <f>_xlfn.XLOOKUP(frasest[[#This Row],[autor_es]],autorest[autor_es],autorest[epoca_la])</f>
        <v>Aetas Contemporanea</v>
      </c>
    </row>
    <row r="452" spans="1:15">
      <c r="A452">
        <v>451</v>
      </c>
      <c r="B452" t="s">
        <v>1229</v>
      </c>
      <c r="C452" t="s">
        <v>1230</v>
      </c>
      <c r="D452" t="s">
        <v>1231</v>
      </c>
      <c r="E452" t="s">
        <v>1219</v>
      </c>
      <c r="F452" t="str">
        <f>_xlfn.XLOOKUP(frasest[[#This Row],[autor_es]],autorest[autor_es],autorest[autor_la])</f>
        <v>Hannah Arendt</v>
      </c>
      <c r="G452"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2"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2" t="str">
        <f>_xlfn.XLOOKUP(frasest[[#This Row],[autor_es]],autorest[autor_es],autorest[codigo])</f>
        <v>de</v>
      </c>
      <c r="J452" t="str">
        <f>_xlfn.XLOOKUP(frasest[[#This Row],[autor_es]],autorest[autor_es],autorest[idioma_es])</f>
        <v>Alemán</v>
      </c>
      <c r="K452" s="6" t="str">
        <f>_xlfn.XLOOKUP(frasest[[#This Row],[autor_es]],autorest[autor_es],autorest[idioma_la])</f>
        <v>Lingua Germanica</v>
      </c>
      <c r="L452" s="6" t="str">
        <f>_xlfn.XLOOKUP(frasest[[#This Row],[autor_es]],autorest[autor_es],autorest[nacion_es])</f>
        <v>Alemania</v>
      </c>
      <c r="M452" t="str">
        <f>_xlfn.XLOOKUP(frasest[[#This Row],[autor_es]],autorest[autor_es],autorest[nacion_la])</f>
        <v>Germania</v>
      </c>
      <c r="N452" t="str">
        <f>_xlfn.XLOOKUP(frasest[[#This Row],[autor_es]],autorest[autor_es],autorest[epoca_es])</f>
        <v>Edad Contemporánea</v>
      </c>
      <c r="O452" t="str">
        <f>_xlfn.XLOOKUP(frasest[[#This Row],[autor_es]],autorest[autor_es],autorest[epoca_la])</f>
        <v>Aetas Contemporanea</v>
      </c>
    </row>
    <row r="453" spans="1:15">
      <c r="A453">
        <v>452</v>
      </c>
      <c r="B453" t="s">
        <v>1232</v>
      </c>
      <c r="C453" t="s">
        <v>1233</v>
      </c>
      <c r="D453" t="s">
        <v>1234</v>
      </c>
      <c r="E453" t="s">
        <v>1219</v>
      </c>
      <c r="F453" t="str">
        <f>_xlfn.XLOOKUP(frasest[[#This Row],[autor_es]],autorest[autor_es],autorest[autor_la])</f>
        <v>Hannah Arendt</v>
      </c>
      <c r="G453"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3"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3" t="str">
        <f>_xlfn.XLOOKUP(frasest[[#This Row],[autor_es]],autorest[autor_es],autorest[codigo])</f>
        <v>de</v>
      </c>
      <c r="J453" t="str">
        <f>_xlfn.XLOOKUP(frasest[[#This Row],[autor_es]],autorest[autor_es],autorest[idioma_es])</f>
        <v>Alemán</v>
      </c>
      <c r="K453" s="6" t="str">
        <f>_xlfn.XLOOKUP(frasest[[#This Row],[autor_es]],autorest[autor_es],autorest[idioma_la])</f>
        <v>Lingua Germanica</v>
      </c>
      <c r="L453" s="6" t="str">
        <f>_xlfn.XLOOKUP(frasest[[#This Row],[autor_es]],autorest[autor_es],autorest[nacion_es])</f>
        <v>Alemania</v>
      </c>
      <c r="M453" t="str">
        <f>_xlfn.XLOOKUP(frasest[[#This Row],[autor_es]],autorest[autor_es],autorest[nacion_la])</f>
        <v>Germania</v>
      </c>
      <c r="N453" t="str">
        <f>_xlfn.XLOOKUP(frasest[[#This Row],[autor_es]],autorest[autor_es],autorest[epoca_es])</f>
        <v>Edad Contemporánea</v>
      </c>
      <c r="O453" t="str">
        <f>_xlfn.XLOOKUP(frasest[[#This Row],[autor_es]],autorest[autor_es],autorest[epoca_la])</f>
        <v>Aetas Contemporanea</v>
      </c>
    </row>
    <row r="454" spans="1:15">
      <c r="A454">
        <v>453</v>
      </c>
      <c r="B454" t="s">
        <v>1235</v>
      </c>
      <c r="C454" t="s">
        <v>1236</v>
      </c>
      <c r="D454" t="s">
        <v>1237</v>
      </c>
      <c r="E454" t="s">
        <v>1238</v>
      </c>
      <c r="F454" t="str">
        <f>_xlfn.XLOOKUP(frasest[[#This Row],[autor_es]],autorest[autor_es],autorest[autor_la])</f>
        <v>Immanuel Kant</v>
      </c>
      <c r="G454"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4"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4" t="str">
        <f>_xlfn.XLOOKUP(frasest[[#This Row],[autor_es]],autorest[autor_es],autorest[codigo])</f>
        <v>de</v>
      </c>
      <c r="J454" t="str">
        <f>_xlfn.XLOOKUP(frasest[[#This Row],[autor_es]],autorest[autor_es],autorest[idioma_es])</f>
        <v>Alemán</v>
      </c>
      <c r="K454" s="6" t="str">
        <f>_xlfn.XLOOKUP(frasest[[#This Row],[autor_es]],autorest[autor_es],autorest[idioma_la])</f>
        <v>Lingua Germanica</v>
      </c>
      <c r="L454" s="6" t="str">
        <f>_xlfn.XLOOKUP(frasest[[#This Row],[autor_es]],autorest[autor_es],autorest[nacion_es])</f>
        <v>Alemania</v>
      </c>
      <c r="M454" t="str">
        <f>_xlfn.XLOOKUP(frasest[[#This Row],[autor_es]],autorest[autor_es],autorest[nacion_la])</f>
        <v>Germania</v>
      </c>
      <c r="N454" t="str">
        <f>_xlfn.XLOOKUP(frasest[[#This Row],[autor_es]],autorest[autor_es],autorest[epoca_es])</f>
        <v>Edad Moderna</v>
      </c>
      <c r="O454" t="str">
        <f>_xlfn.XLOOKUP(frasest[[#This Row],[autor_es]],autorest[autor_es],autorest[epoca_la])</f>
        <v>Nova Aetas</v>
      </c>
    </row>
    <row r="455" spans="1:15">
      <c r="A455">
        <v>454</v>
      </c>
      <c r="B455" t="s">
        <v>1239</v>
      </c>
      <c r="C455" t="s">
        <v>1240</v>
      </c>
      <c r="D455" t="s">
        <v>1241</v>
      </c>
      <c r="E455" t="s">
        <v>1238</v>
      </c>
      <c r="F455" t="str">
        <f>_xlfn.XLOOKUP(frasest[[#This Row],[autor_es]],autorest[autor_es],autorest[autor_la])</f>
        <v>Immanuel Kant</v>
      </c>
      <c r="G455"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5"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5" t="str">
        <f>_xlfn.XLOOKUP(frasest[[#This Row],[autor_es]],autorest[autor_es],autorest[codigo])</f>
        <v>de</v>
      </c>
      <c r="J455" t="str">
        <f>_xlfn.XLOOKUP(frasest[[#This Row],[autor_es]],autorest[autor_es],autorest[idioma_es])</f>
        <v>Alemán</v>
      </c>
      <c r="K455" s="6" t="str">
        <f>_xlfn.XLOOKUP(frasest[[#This Row],[autor_es]],autorest[autor_es],autorest[idioma_la])</f>
        <v>Lingua Germanica</v>
      </c>
      <c r="L455" s="6" t="str">
        <f>_xlfn.XLOOKUP(frasest[[#This Row],[autor_es]],autorest[autor_es],autorest[nacion_es])</f>
        <v>Alemania</v>
      </c>
      <c r="M455" t="str">
        <f>_xlfn.XLOOKUP(frasest[[#This Row],[autor_es]],autorest[autor_es],autorest[nacion_la])</f>
        <v>Germania</v>
      </c>
      <c r="N455" t="str">
        <f>_xlfn.XLOOKUP(frasest[[#This Row],[autor_es]],autorest[autor_es],autorest[epoca_es])</f>
        <v>Edad Moderna</v>
      </c>
      <c r="O455" t="str">
        <f>_xlfn.XLOOKUP(frasest[[#This Row],[autor_es]],autorest[autor_es],autorest[epoca_la])</f>
        <v>Nova Aetas</v>
      </c>
    </row>
    <row r="456" spans="1:15">
      <c r="A456">
        <v>455</v>
      </c>
      <c r="B456" t="s">
        <v>1242</v>
      </c>
      <c r="C456" t="s">
        <v>1243</v>
      </c>
      <c r="D456" t="s">
        <v>1244</v>
      </c>
      <c r="E456" t="s">
        <v>1238</v>
      </c>
      <c r="F456" t="str">
        <f>_xlfn.XLOOKUP(frasest[[#This Row],[autor_es]],autorest[autor_es],autorest[autor_la])</f>
        <v>Immanuel Kant</v>
      </c>
      <c r="G456"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6"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6" t="str">
        <f>_xlfn.XLOOKUP(frasest[[#This Row],[autor_es]],autorest[autor_es],autorest[codigo])</f>
        <v>de</v>
      </c>
      <c r="J456" t="str">
        <f>_xlfn.XLOOKUP(frasest[[#This Row],[autor_es]],autorest[autor_es],autorest[idioma_es])</f>
        <v>Alemán</v>
      </c>
      <c r="K456" s="6" t="str">
        <f>_xlfn.XLOOKUP(frasest[[#This Row],[autor_es]],autorest[autor_es],autorest[idioma_la])</f>
        <v>Lingua Germanica</v>
      </c>
      <c r="L456" s="6" t="str">
        <f>_xlfn.XLOOKUP(frasest[[#This Row],[autor_es]],autorest[autor_es],autorest[nacion_es])</f>
        <v>Alemania</v>
      </c>
      <c r="M456" t="str">
        <f>_xlfn.XLOOKUP(frasest[[#This Row],[autor_es]],autorest[autor_es],autorest[nacion_la])</f>
        <v>Germania</v>
      </c>
      <c r="N456" t="str">
        <f>_xlfn.XLOOKUP(frasest[[#This Row],[autor_es]],autorest[autor_es],autorest[epoca_es])</f>
        <v>Edad Moderna</v>
      </c>
      <c r="O456" t="str">
        <f>_xlfn.XLOOKUP(frasest[[#This Row],[autor_es]],autorest[autor_es],autorest[epoca_la])</f>
        <v>Nova Aetas</v>
      </c>
    </row>
    <row r="457" spans="1:15">
      <c r="A457">
        <v>456</v>
      </c>
      <c r="B457" t="s">
        <v>1245</v>
      </c>
      <c r="C457" t="s">
        <v>1246</v>
      </c>
      <c r="D457" t="s">
        <v>1247</v>
      </c>
      <c r="E457" t="s">
        <v>1238</v>
      </c>
      <c r="F457" t="str">
        <f>_xlfn.XLOOKUP(frasest[[#This Row],[autor_es]],autorest[autor_es],autorest[autor_la])</f>
        <v>Immanuel Kant</v>
      </c>
      <c r="G457"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7"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7" t="str">
        <f>_xlfn.XLOOKUP(frasest[[#This Row],[autor_es]],autorest[autor_es],autorest[codigo])</f>
        <v>de</v>
      </c>
      <c r="J457" t="str">
        <f>_xlfn.XLOOKUP(frasest[[#This Row],[autor_es]],autorest[autor_es],autorest[idioma_es])</f>
        <v>Alemán</v>
      </c>
      <c r="K457" s="6" t="str">
        <f>_xlfn.XLOOKUP(frasest[[#This Row],[autor_es]],autorest[autor_es],autorest[idioma_la])</f>
        <v>Lingua Germanica</v>
      </c>
      <c r="L457" s="6" t="str">
        <f>_xlfn.XLOOKUP(frasest[[#This Row],[autor_es]],autorest[autor_es],autorest[nacion_es])</f>
        <v>Alemania</v>
      </c>
      <c r="M457" t="str">
        <f>_xlfn.XLOOKUP(frasest[[#This Row],[autor_es]],autorest[autor_es],autorest[nacion_la])</f>
        <v>Germania</v>
      </c>
      <c r="N457" t="str">
        <f>_xlfn.XLOOKUP(frasest[[#This Row],[autor_es]],autorest[autor_es],autorest[epoca_es])</f>
        <v>Edad Moderna</v>
      </c>
      <c r="O457" t="str">
        <f>_xlfn.XLOOKUP(frasest[[#This Row],[autor_es]],autorest[autor_es],autorest[epoca_la])</f>
        <v>Nova Aetas</v>
      </c>
    </row>
    <row r="458" spans="1:15">
      <c r="A458">
        <v>457</v>
      </c>
      <c r="B458" t="s">
        <v>1248</v>
      </c>
      <c r="C458" t="s">
        <v>1249</v>
      </c>
      <c r="D458" t="s">
        <v>1250</v>
      </c>
      <c r="E458" t="s">
        <v>1238</v>
      </c>
      <c r="F458" t="str">
        <f>_xlfn.XLOOKUP(frasest[[#This Row],[autor_es]],autorest[autor_es],autorest[autor_la])</f>
        <v>Immanuel Kant</v>
      </c>
      <c r="G458"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8"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8" t="str">
        <f>_xlfn.XLOOKUP(frasest[[#This Row],[autor_es]],autorest[autor_es],autorest[codigo])</f>
        <v>de</v>
      </c>
      <c r="J458" t="str">
        <f>_xlfn.XLOOKUP(frasest[[#This Row],[autor_es]],autorest[autor_es],autorest[idioma_es])</f>
        <v>Alemán</v>
      </c>
      <c r="K458" s="6" t="str">
        <f>_xlfn.XLOOKUP(frasest[[#This Row],[autor_es]],autorest[autor_es],autorest[idioma_la])</f>
        <v>Lingua Germanica</v>
      </c>
      <c r="L458" s="6" t="str">
        <f>_xlfn.XLOOKUP(frasest[[#This Row],[autor_es]],autorest[autor_es],autorest[nacion_es])</f>
        <v>Alemania</v>
      </c>
      <c r="M458" t="str">
        <f>_xlfn.XLOOKUP(frasest[[#This Row],[autor_es]],autorest[autor_es],autorest[nacion_la])</f>
        <v>Germania</v>
      </c>
      <c r="N458" t="str">
        <f>_xlfn.XLOOKUP(frasest[[#This Row],[autor_es]],autorest[autor_es],autorest[epoca_es])</f>
        <v>Edad Moderna</v>
      </c>
      <c r="O458" t="str">
        <f>_xlfn.XLOOKUP(frasest[[#This Row],[autor_es]],autorest[autor_es],autorest[epoca_la])</f>
        <v>Nova Aetas</v>
      </c>
    </row>
    <row r="459" spans="1:15">
      <c r="A459">
        <v>458</v>
      </c>
      <c r="B459" t="s">
        <v>1251</v>
      </c>
      <c r="C459" t="s">
        <v>1252</v>
      </c>
      <c r="D459" t="s">
        <v>1253</v>
      </c>
      <c r="E459" t="s">
        <v>1238</v>
      </c>
      <c r="F459" t="str">
        <f>_xlfn.XLOOKUP(frasest[[#This Row],[autor_es]],autorest[autor_es],autorest[autor_la])</f>
        <v>Immanuel Kant</v>
      </c>
      <c r="G459"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9"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9" t="str">
        <f>_xlfn.XLOOKUP(frasest[[#This Row],[autor_es]],autorest[autor_es],autorest[codigo])</f>
        <v>de</v>
      </c>
      <c r="J459" t="str">
        <f>_xlfn.XLOOKUP(frasest[[#This Row],[autor_es]],autorest[autor_es],autorest[idioma_es])</f>
        <v>Alemán</v>
      </c>
      <c r="K459" s="6" t="str">
        <f>_xlfn.XLOOKUP(frasest[[#This Row],[autor_es]],autorest[autor_es],autorest[idioma_la])</f>
        <v>Lingua Germanica</v>
      </c>
      <c r="L459" s="6" t="str">
        <f>_xlfn.XLOOKUP(frasest[[#This Row],[autor_es]],autorest[autor_es],autorest[nacion_es])</f>
        <v>Alemania</v>
      </c>
      <c r="M459" t="str">
        <f>_xlfn.XLOOKUP(frasest[[#This Row],[autor_es]],autorest[autor_es],autorest[nacion_la])</f>
        <v>Germania</v>
      </c>
      <c r="N459" t="str">
        <f>_xlfn.XLOOKUP(frasest[[#This Row],[autor_es]],autorest[autor_es],autorest[epoca_es])</f>
        <v>Edad Moderna</v>
      </c>
      <c r="O459" t="str">
        <f>_xlfn.XLOOKUP(frasest[[#This Row],[autor_es]],autorest[autor_es],autorest[epoca_la])</f>
        <v>Nova Aetas</v>
      </c>
    </row>
    <row r="460" spans="1:15">
      <c r="A460">
        <v>459</v>
      </c>
      <c r="B460" t="s">
        <v>1254</v>
      </c>
      <c r="C460" t="s">
        <v>1255</v>
      </c>
      <c r="D460" t="s">
        <v>1254</v>
      </c>
      <c r="E460" t="s">
        <v>1256</v>
      </c>
      <c r="F460" t="str">
        <f>_xlfn.XLOOKUP(frasest[[#This Row],[autor_es]],autorest[autor_es],autorest[autor_la])</f>
        <v>Iosephus Ortega y Gasset</v>
      </c>
      <c r="G460"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0"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0" t="str">
        <f>_xlfn.XLOOKUP(frasest[[#This Row],[autor_es]],autorest[autor_es],autorest[codigo])</f>
        <v>es</v>
      </c>
      <c r="J460" t="str">
        <f>_xlfn.XLOOKUP(frasest[[#This Row],[autor_es]],autorest[autor_es],autorest[idioma_es])</f>
        <v>Español</v>
      </c>
      <c r="K460" s="6" t="str">
        <f>_xlfn.XLOOKUP(frasest[[#This Row],[autor_es]],autorest[autor_es],autorest[idioma_la])</f>
        <v>Lingua Hispanica</v>
      </c>
      <c r="L460" s="6" t="str">
        <f>_xlfn.XLOOKUP(frasest[[#This Row],[autor_es]],autorest[autor_es],autorest[nacion_es])</f>
        <v>España</v>
      </c>
      <c r="M460" t="str">
        <f>_xlfn.XLOOKUP(frasest[[#This Row],[autor_es]],autorest[autor_es],autorest[nacion_la])</f>
        <v>Hispania</v>
      </c>
      <c r="N460" t="str">
        <f>_xlfn.XLOOKUP(frasest[[#This Row],[autor_es]],autorest[autor_es],autorest[epoca_es])</f>
        <v>Edad Contemporánea</v>
      </c>
      <c r="O460" t="str">
        <f>_xlfn.XLOOKUP(frasest[[#This Row],[autor_es]],autorest[autor_es],autorest[epoca_la])</f>
        <v>Aetas Contemporanea</v>
      </c>
    </row>
    <row r="461" spans="1:15">
      <c r="A461">
        <v>460</v>
      </c>
      <c r="B461" t="s">
        <v>1257</v>
      </c>
      <c r="C461" t="s">
        <v>1258</v>
      </c>
      <c r="D461" t="s">
        <v>1257</v>
      </c>
      <c r="E461" t="s">
        <v>1256</v>
      </c>
      <c r="F461" t="str">
        <f>_xlfn.XLOOKUP(frasest[[#This Row],[autor_es]],autorest[autor_es],autorest[autor_la])</f>
        <v>Iosephus Ortega y Gasset</v>
      </c>
      <c r="G461"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1"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1" t="str">
        <f>_xlfn.XLOOKUP(frasest[[#This Row],[autor_es]],autorest[autor_es],autorest[codigo])</f>
        <v>es</v>
      </c>
      <c r="J461" t="str">
        <f>_xlfn.XLOOKUP(frasest[[#This Row],[autor_es]],autorest[autor_es],autorest[idioma_es])</f>
        <v>Español</v>
      </c>
      <c r="K461" s="6" t="str">
        <f>_xlfn.XLOOKUP(frasest[[#This Row],[autor_es]],autorest[autor_es],autorest[idioma_la])</f>
        <v>Lingua Hispanica</v>
      </c>
      <c r="L461" s="6" t="str">
        <f>_xlfn.XLOOKUP(frasest[[#This Row],[autor_es]],autorest[autor_es],autorest[nacion_es])</f>
        <v>España</v>
      </c>
      <c r="M461" t="str">
        <f>_xlfn.XLOOKUP(frasest[[#This Row],[autor_es]],autorest[autor_es],autorest[nacion_la])</f>
        <v>Hispania</v>
      </c>
      <c r="N461" t="str">
        <f>_xlfn.XLOOKUP(frasest[[#This Row],[autor_es]],autorest[autor_es],autorest[epoca_es])</f>
        <v>Edad Contemporánea</v>
      </c>
      <c r="O461" t="str">
        <f>_xlfn.XLOOKUP(frasest[[#This Row],[autor_es]],autorest[autor_es],autorest[epoca_la])</f>
        <v>Aetas Contemporanea</v>
      </c>
    </row>
    <row r="462" spans="1:15">
      <c r="A462">
        <v>461</v>
      </c>
      <c r="B462" t="s">
        <v>1259</v>
      </c>
      <c r="C462" t="s">
        <v>1260</v>
      </c>
      <c r="D462" t="s">
        <v>1259</v>
      </c>
      <c r="E462" t="s">
        <v>1256</v>
      </c>
      <c r="F462" t="str">
        <f>_xlfn.XLOOKUP(frasest[[#This Row],[autor_es]],autorest[autor_es],autorest[autor_la])</f>
        <v>Iosephus Ortega y Gasset</v>
      </c>
      <c r="G462"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2"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2" t="str">
        <f>_xlfn.XLOOKUP(frasest[[#This Row],[autor_es]],autorest[autor_es],autorest[codigo])</f>
        <v>es</v>
      </c>
      <c r="J462" t="str">
        <f>_xlfn.XLOOKUP(frasest[[#This Row],[autor_es]],autorest[autor_es],autorest[idioma_es])</f>
        <v>Español</v>
      </c>
      <c r="K462" s="6" t="str">
        <f>_xlfn.XLOOKUP(frasest[[#This Row],[autor_es]],autorest[autor_es],autorest[idioma_la])</f>
        <v>Lingua Hispanica</v>
      </c>
      <c r="L462" s="6" t="str">
        <f>_xlfn.XLOOKUP(frasest[[#This Row],[autor_es]],autorest[autor_es],autorest[nacion_es])</f>
        <v>España</v>
      </c>
      <c r="M462" t="str">
        <f>_xlfn.XLOOKUP(frasest[[#This Row],[autor_es]],autorest[autor_es],autorest[nacion_la])</f>
        <v>Hispania</v>
      </c>
      <c r="N462" t="str">
        <f>_xlfn.XLOOKUP(frasest[[#This Row],[autor_es]],autorest[autor_es],autorest[epoca_es])</f>
        <v>Edad Contemporánea</v>
      </c>
      <c r="O462" t="str">
        <f>_xlfn.XLOOKUP(frasest[[#This Row],[autor_es]],autorest[autor_es],autorest[epoca_la])</f>
        <v>Aetas Contemporanea</v>
      </c>
    </row>
    <row r="463" spans="1:15">
      <c r="A463">
        <v>462</v>
      </c>
      <c r="B463" t="s">
        <v>1261</v>
      </c>
      <c r="C463" t="s">
        <v>1262</v>
      </c>
      <c r="D463" t="s">
        <v>1261</v>
      </c>
      <c r="E463" t="s">
        <v>1256</v>
      </c>
      <c r="F463" t="str">
        <f>_xlfn.XLOOKUP(frasest[[#This Row],[autor_es]],autorest[autor_es],autorest[autor_la])</f>
        <v>Iosephus Ortega y Gasset</v>
      </c>
      <c r="G463"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3"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3" t="str">
        <f>_xlfn.XLOOKUP(frasest[[#This Row],[autor_es]],autorest[autor_es],autorest[codigo])</f>
        <v>es</v>
      </c>
      <c r="J463" t="str">
        <f>_xlfn.XLOOKUP(frasest[[#This Row],[autor_es]],autorest[autor_es],autorest[idioma_es])</f>
        <v>Español</v>
      </c>
      <c r="K463" s="6" t="str">
        <f>_xlfn.XLOOKUP(frasest[[#This Row],[autor_es]],autorest[autor_es],autorest[idioma_la])</f>
        <v>Lingua Hispanica</v>
      </c>
      <c r="L463" s="6" t="str">
        <f>_xlfn.XLOOKUP(frasest[[#This Row],[autor_es]],autorest[autor_es],autorest[nacion_es])</f>
        <v>España</v>
      </c>
      <c r="M463" t="str">
        <f>_xlfn.XLOOKUP(frasest[[#This Row],[autor_es]],autorest[autor_es],autorest[nacion_la])</f>
        <v>Hispania</v>
      </c>
      <c r="N463" t="str">
        <f>_xlfn.XLOOKUP(frasest[[#This Row],[autor_es]],autorest[autor_es],autorest[epoca_es])</f>
        <v>Edad Contemporánea</v>
      </c>
      <c r="O463" t="str">
        <f>_xlfn.XLOOKUP(frasest[[#This Row],[autor_es]],autorest[autor_es],autorest[epoca_la])</f>
        <v>Aetas Contemporanea</v>
      </c>
    </row>
    <row r="464" spans="1:15">
      <c r="A464">
        <v>463</v>
      </c>
      <c r="B464" t="s">
        <v>1263</v>
      </c>
      <c r="C464" t="s">
        <v>1264</v>
      </c>
      <c r="D464" t="s">
        <v>1263</v>
      </c>
      <c r="E464" t="s">
        <v>1256</v>
      </c>
      <c r="F464" t="str">
        <f>_xlfn.XLOOKUP(frasest[[#This Row],[autor_es]],autorest[autor_es],autorest[autor_la])</f>
        <v>Iosephus Ortega y Gasset</v>
      </c>
      <c r="G464"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4"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4" t="str">
        <f>_xlfn.XLOOKUP(frasest[[#This Row],[autor_es]],autorest[autor_es],autorest[codigo])</f>
        <v>es</v>
      </c>
      <c r="J464" t="str">
        <f>_xlfn.XLOOKUP(frasest[[#This Row],[autor_es]],autorest[autor_es],autorest[idioma_es])</f>
        <v>Español</v>
      </c>
      <c r="K464" s="6" t="str">
        <f>_xlfn.XLOOKUP(frasest[[#This Row],[autor_es]],autorest[autor_es],autorest[idioma_la])</f>
        <v>Lingua Hispanica</v>
      </c>
      <c r="L464" s="6" t="str">
        <f>_xlfn.XLOOKUP(frasest[[#This Row],[autor_es]],autorest[autor_es],autorest[nacion_es])</f>
        <v>España</v>
      </c>
      <c r="M464" t="str">
        <f>_xlfn.XLOOKUP(frasest[[#This Row],[autor_es]],autorest[autor_es],autorest[nacion_la])</f>
        <v>Hispania</v>
      </c>
      <c r="N464" t="str">
        <f>_xlfn.XLOOKUP(frasest[[#This Row],[autor_es]],autorest[autor_es],autorest[epoca_es])</f>
        <v>Edad Contemporánea</v>
      </c>
      <c r="O464" t="str">
        <f>_xlfn.XLOOKUP(frasest[[#This Row],[autor_es]],autorest[autor_es],autorest[epoca_la])</f>
        <v>Aetas Contemporanea</v>
      </c>
    </row>
    <row r="465" spans="1:15">
      <c r="A465">
        <v>464</v>
      </c>
      <c r="B465" t="s">
        <v>1265</v>
      </c>
      <c r="C465" t="s">
        <v>1266</v>
      </c>
      <c r="D465" t="s">
        <v>1265</v>
      </c>
      <c r="E465" t="s">
        <v>1256</v>
      </c>
      <c r="F465" t="str">
        <f>_xlfn.XLOOKUP(frasest[[#This Row],[autor_es]],autorest[autor_es],autorest[autor_la])</f>
        <v>Iosephus Ortega y Gasset</v>
      </c>
      <c r="G465"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5"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5" t="str">
        <f>_xlfn.XLOOKUP(frasest[[#This Row],[autor_es]],autorest[autor_es],autorest[codigo])</f>
        <v>es</v>
      </c>
      <c r="J465" t="str">
        <f>_xlfn.XLOOKUP(frasest[[#This Row],[autor_es]],autorest[autor_es],autorest[idioma_es])</f>
        <v>Español</v>
      </c>
      <c r="K465" s="6" t="str">
        <f>_xlfn.XLOOKUP(frasest[[#This Row],[autor_es]],autorest[autor_es],autorest[idioma_la])</f>
        <v>Lingua Hispanica</v>
      </c>
      <c r="L465" s="6" t="str">
        <f>_xlfn.XLOOKUP(frasest[[#This Row],[autor_es]],autorest[autor_es],autorest[nacion_es])</f>
        <v>España</v>
      </c>
      <c r="M465" t="str">
        <f>_xlfn.XLOOKUP(frasest[[#This Row],[autor_es]],autorest[autor_es],autorest[nacion_la])</f>
        <v>Hispania</v>
      </c>
      <c r="N465" t="str">
        <f>_xlfn.XLOOKUP(frasest[[#This Row],[autor_es]],autorest[autor_es],autorest[epoca_es])</f>
        <v>Edad Contemporánea</v>
      </c>
      <c r="O465" t="str">
        <f>_xlfn.XLOOKUP(frasest[[#This Row],[autor_es]],autorest[autor_es],autorest[epoca_la])</f>
        <v>Aetas Contemporanea</v>
      </c>
    </row>
    <row r="466" spans="1:15">
      <c r="A466">
        <v>465</v>
      </c>
      <c r="B466" t="s">
        <v>1267</v>
      </c>
      <c r="C466" t="s">
        <v>1268</v>
      </c>
      <c r="D466" t="s">
        <v>1269</v>
      </c>
      <c r="E466" t="s">
        <v>1270</v>
      </c>
      <c r="F466" t="str">
        <f>_xlfn.XLOOKUP(frasest[[#This Row],[autor_es]],autorest[autor_es],autorest[autor_la])</f>
        <v>Soren Kierkegaard</v>
      </c>
      <c r="G466"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6"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6" t="str">
        <f>_xlfn.XLOOKUP(frasest[[#This Row],[autor_es]],autorest[autor_es],autorest[codigo])</f>
        <v>da</v>
      </c>
      <c r="J466" t="str">
        <f>_xlfn.XLOOKUP(frasest[[#This Row],[autor_es]],autorest[autor_es],autorest[idioma_es])</f>
        <v>Danés</v>
      </c>
      <c r="K466" s="6" t="str">
        <f>_xlfn.XLOOKUP(frasest[[#This Row],[autor_es]],autorest[autor_es],autorest[idioma_la])</f>
        <v>Lingua Danica</v>
      </c>
      <c r="L466" s="6" t="str">
        <f>_xlfn.XLOOKUP(frasest[[#This Row],[autor_es]],autorest[autor_es],autorest[nacion_es])</f>
        <v>Dinamarca</v>
      </c>
      <c r="M466" t="str">
        <f>_xlfn.XLOOKUP(frasest[[#This Row],[autor_es]],autorest[autor_es],autorest[nacion_la])</f>
        <v>Dania</v>
      </c>
      <c r="N466" t="str">
        <f>_xlfn.XLOOKUP(frasest[[#This Row],[autor_es]],autorest[autor_es],autorest[epoca_es])</f>
        <v>Edad Contemporánea</v>
      </c>
      <c r="O466" t="str">
        <f>_xlfn.XLOOKUP(frasest[[#This Row],[autor_es]],autorest[autor_es],autorest[epoca_la])</f>
        <v>Aetas Contemporanea</v>
      </c>
    </row>
    <row r="467" spans="1:15">
      <c r="A467">
        <v>466</v>
      </c>
      <c r="B467" t="s">
        <v>1271</v>
      </c>
      <c r="C467" t="s">
        <v>1272</v>
      </c>
      <c r="D467" t="s">
        <v>1273</v>
      </c>
      <c r="E467" t="s">
        <v>1270</v>
      </c>
      <c r="F467" t="str">
        <f>_xlfn.XLOOKUP(frasest[[#This Row],[autor_es]],autorest[autor_es],autorest[autor_la])</f>
        <v>Soren Kierkegaard</v>
      </c>
      <c r="G467"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7"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7" t="str">
        <f>_xlfn.XLOOKUP(frasest[[#This Row],[autor_es]],autorest[autor_es],autorest[codigo])</f>
        <v>da</v>
      </c>
      <c r="J467" t="str">
        <f>_xlfn.XLOOKUP(frasest[[#This Row],[autor_es]],autorest[autor_es],autorest[idioma_es])</f>
        <v>Danés</v>
      </c>
      <c r="K467" s="6" t="str">
        <f>_xlfn.XLOOKUP(frasest[[#This Row],[autor_es]],autorest[autor_es],autorest[idioma_la])</f>
        <v>Lingua Danica</v>
      </c>
      <c r="L467" s="6" t="str">
        <f>_xlfn.XLOOKUP(frasest[[#This Row],[autor_es]],autorest[autor_es],autorest[nacion_es])</f>
        <v>Dinamarca</v>
      </c>
      <c r="M467" t="str">
        <f>_xlfn.XLOOKUP(frasest[[#This Row],[autor_es]],autorest[autor_es],autorest[nacion_la])</f>
        <v>Dania</v>
      </c>
      <c r="N467" t="str">
        <f>_xlfn.XLOOKUP(frasest[[#This Row],[autor_es]],autorest[autor_es],autorest[epoca_es])</f>
        <v>Edad Contemporánea</v>
      </c>
      <c r="O467" t="str">
        <f>_xlfn.XLOOKUP(frasest[[#This Row],[autor_es]],autorest[autor_es],autorest[epoca_la])</f>
        <v>Aetas Contemporanea</v>
      </c>
    </row>
    <row r="468" spans="1:15">
      <c r="A468">
        <v>467</v>
      </c>
      <c r="B468" t="s">
        <v>1274</v>
      </c>
      <c r="C468" t="s">
        <v>1275</v>
      </c>
      <c r="D468" t="s">
        <v>1276</v>
      </c>
      <c r="E468" t="s">
        <v>1270</v>
      </c>
      <c r="F468" t="str">
        <f>_xlfn.XLOOKUP(frasest[[#This Row],[autor_es]],autorest[autor_es],autorest[autor_la])</f>
        <v>Soren Kierkegaard</v>
      </c>
      <c r="G468"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8"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8" t="str">
        <f>_xlfn.XLOOKUP(frasest[[#This Row],[autor_es]],autorest[autor_es],autorest[codigo])</f>
        <v>da</v>
      </c>
      <c r="J468" t="str">
        <f>_xlfn.XLOOKUP(frasest[[#This Row],[autor_es]],autorest[autor_es],autorest[idioma_es])</f>
        <v>Danés</v>
      </c>
      <c r="K468" s="6" t="str">
        <f>_xlfn.XLOOKUP(frasest[[#This Row],[autor_es]],autorest[autor_es],autorest[idioma_la])</f>
        <v>Lingua Danica</v>
      </c>
      <c r="L468" s="6" t="str">
        <f>_xlfn.XLOOKUP(frasest[[#This Row],[autor_es]],autorest[autor_es],autorest[nacion_es])</f>
        <v>Dinamarca</v>
      </c>
      <c r="M468" t="str">
        <f>_xlfn.XLOOKUP(frasest[[#This Row],[autor_es]],autorest[autor_es],autorest[nacion_la])</f>
        <v>Dania</v>
      </c>
      <c r="N468" t="str">
        <f>_xlfn.XLOOKUP(frasest[[#This Row],[autor_es]],autorest[autor_es],autorest[epoca_es])</f>
        <v>Edad Contemporánea</v>
      </c>
      <c r="O468" t="str">
        <f>_xlfn.XLOOKUP(frasest[[#This Row],[autor_es]],autorest[autor_es],autorest[epoca_la])</f>
        <v>Aetas Contemporanea</v>
      </c>
    </row>
    <row r="469" spans="1:15">
      <c r="A469">
        <v>468</v>
      </c>
      <c r="B469" t="s">
        <v>1277</v>
      </c>
      <c r="C469" t="s">
        <v>1278</v>
      </c>
      <c r="D469" t="s">
        <v>1279</v>
      </c>
      <c r="E469" t="s">
        <v>1270</v>
      </c>
      <c r="F469" t="str">
        <f>_xlfn.XLOOKUP(frasest[[#This Row],[autor_es]],autorest[autor_es],autorest[autor_la])</f>
        <v>Soren Kierkegaard</v>
      </c>
      <c r="G469"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9"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9" t="str">
        <f>_xlfn.XLOOKUP(frasest[[#This Row],[autor_es]],autorest[autor_es],autorest[codigo])</f>
        <v>da</v>
      </c>
      <c r="J469" t="str">
        <f>_xlfn.XLOOKUP(frasest[[#This Row],[autor_es]],autorest[autor_es],autorest[idioma_es])</f>
        <v>Danés</v>
      </c>
      <c r="K469" s="6" t="str">
        <f>_xlfn.XLOOKUP(frasest[[#This Row],[autor_es]],autorest[autor_es],autorest[idioma_la])</f>
        <v>Lingua Danica</v>
      </c>
      <c r="L469" s="6" t="str">
        <f>_xlfn.XLOOKUP(frasest[[#This Row],[autor_es]],autorest[autor_es],autorest[nacion_es])</f>
        <v>Dinamarca</v>
      </c>
      <c r="M469" t="str">
        <f>_xlfn.XLOOKUP(frasest[[#This Row],[autor_es]],autorest[autor_es],autorest[nacion_la])</f>
        <v>Dania</v>
      </c>
      <c r="N469" t="str">
        <f>_xlfn.XLOOKUP(frasest[[#This Row],[autor_es]],autorest[autor_es],autorest[epoca_es])</f>
        <v>Edad Contemporánea</v>
      </c>
      <c r="O469" t="str">
        <f>_xlfn.XLOOKUP(frasest[[#This Row],[autor_es]],autorest[autor_es],autorest[epoca_la])</f>
        <v>Aetas Contemporanea</v>
      </c>
    </row>
    <row r="470" spans="1:15">
      <c r="A470">
        <v>469</v>
      </c>
      <c r="B470" t="s">
        <v>1280</v>
      </c>
      <c r="C470" t="s">
        <v>1281</v>
      </c>
      <c r="D470" t="s">
        <v>1282</v>
      </c>
      <c r="E470" t="s">
        <v>1270</v>
      </c>
      <c r="F470" t="str">
        <f>_xlfn.XLOOKUP(frasest[[#This Row],[autor_es]],autorest[autor_es],autorest[autor_la])</f>
        <v>Soren Kierkegaard</v>
      </c>
      <c r="G470"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0"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0" t="str">
        <f>_xlfn.XLOOKUP(frasest[[#This Row],[autor_es]],autorest[autor_es],autorest[codigo])</f>
        <v>da</v>
      </c>
      <c r="J470" t="str">
        <f>_xlfn.XLOOKUP(frasest[[#This Row],[autor_es]],autorest[autor_es],autorest[idioma_es])</f>
        <v>Danés</v>
      </c>
      <c r="K470" s="6" t="str">
        <f>_xlfn.XLOOKUP(frasest[[#This Row],[autor_es]],autorest[autor_es],autorest[idioma_la])</f>
        <v>Lingua Danica</v>
      </c>
      <c r="L470" s="6" t="str">
        <f>_xlfn.XLOOKUP(frasest[[#This Row],[autor_es]],autorest[autor_es],autorest[nacion_es])</f>
        <v>Dinamarca</v>
      </c>
      <c r="M470" t="str">
        <f>_xlfn.XLOOKUP(frasest[[#This Row],[autor_es]],autorest[autor_es],autorest[nacion_la])</f>
        <v>Dania</v>
      </c>
      <c r="N470" t="str">
        <f>_xlfn.XLOOKUP(frasest[[#This Row],[autor_es]],autorest[autor_es],autorest[epoca_es])</f>
        <v>Edad Contemporánea</v>
      </c>
      <c r="O470" t="str">
        <f>_xlfn.XLOOKUP(frasest[[#This Row],[autor_es]],autorest[autor_es],autorest[epoca_la])</f>
        <v>Aetas Contemporanea</v>
      </c>
    </row>
    <row r="471" spans="1:15">
      <c r="A471">
        <v>470</v>
      </c>
      <c r="B471" t="s">
        <v>1283</v>
      </c>
      <c r="C471" t="s">
        <v>1284</v>
      </c>
      <c r="D471" t="s">
        <v>1285</v>
      </c>
      <c r="E471" t="s">
        <v>1270</v>
      </c>
      <c r="F471" t="str">
        <f>_xlfn.XLOOKUP(frasest[[#This Row],[autor_es]],autorest[autor_es],autorest[autor_la])</f>
        <v>Soren Kierkegaard</v>
      </c>
      <c r="G471"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1"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1" t="str">
        <f>_xlfn.XLOOKUP(frasest[[#This Row],[autor_es]],autorest[autor_es],autorest[codigo])</f>
        <v>da</v>
      </c>
      <c r="J471" t="str">
        <f>_xlfn.XLOOKUP(frasest[[#This Row],[autor_es]],autorest[autor_es],autorest[idioma_es])</f>
        <v>Danés</v>
      </c>
      <c r="K471" s="6" t="str">
        <f>_xlfn.XLOOKUP(frasest[[#This Row],[autor_es]],autorest[autor_es],autorest[idioma_la])</f>
        <v>Lingua Danica</v>
      </c>
      <c r="L471" s="6" t="str">
        <f>_xlfn.XLOOKUP(frasest[[#This Row],[autor_es]],autorest[autor_es],autorest[nacion_es])</f>
        <v>Dinamarca</v>
      </c>
      <c r="M471" t="str">
        <f>_xlfn.XLOOKUP(frasest[[#This Row],[autor_es]],autorest[autor_es],autorest[nacion_la])</f>
        <v>Dania</v>
      </c>
      <c r="N471" t="str">
        <f>_xlfn.XLOOKUP(frasest[[#This Row],[autor_es]],autorest[autor_es],autorest[epoca_es])</f>
        <v>Edad Contemporánea</v>
      </c>
      <c r="O471" t="str">
        <f>_xlfn.XLOOKUP(frasest[[#This Row],[autor_es]],autorest[autor_es],autorest[epoca_la])</f>
        <v>Aetas Contemporanea</v>
      </c>
    </row>
    <row r="472" spans="1:15">
      <c r="A472">
        <v>471</v>
      </c>
      <c r="B472" t="s">
        <v>1286</v>
      </c>
      <c r="C472" t="s">
        <v>1287</v>
      </c>
      <c r="D472" t="s">
        <v>1287</v>
      </c>
      <c r="E472" t="s">
        <v>1288</v>
      </c>
      <c r="F472" t="str">
        <f>_xlfn.XLOOKUP(frasest[[#This Row],[autor_es]],autorest[autor_es],autorest[autor_la])</f>
        <v>Iohannes Amos Comenius</v>
      </c>
      <c r="G472"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2"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2" t="str">
        <f>_xlfn.XLOOKUP(frasest[[#This Row],[autor_es]],autorest[autor_es],autorest[codigo])</f>
        <v>la</v>
      </c>
      <c r="J472" t="str">
        <f>_xlfn.XLOOKUP(frasest[[#This Row],[autor_es]],autorest[autor_es],autorest[idioma_es])</f>
        <v>Latín</v>
      </c>
      <c r="K472" s="6" t="str">
        <f>_xlfn.XLOOKUP(frasest[[#This Row],[autor_es]],autorest[autor_es],autorest[idioma_la])</f>
        <v>Lingua Latina</v>
      </c>
      <c r="L472" s="6" t="str">
        <f>_xlfn.XLOOKUP(frasest[[#This Row],[autor_es]],autorest[autor_es],autorest[nacion_es])</f>
        <v>Chequia</v>
      </c>
      <c r="M472" t="str">
        <f>_xlfn.XLOOKUP(frasest[[#This Row],[autor_es]],autorest[autor_es],autorest[nacion_la])</f>
        <v>Cechia</v>
      </c>
      <c r="N472" t="str">
        <f>_xlfn.XLOOKUP(frasest[[#This Row],[autor_es]],autorest[autor_es],autorest[epoca_es])</f>
        <v>Edad Moderna</v>
      </c>
      <c r="O472" t="str">
        <f>_xlfn.XLOOKUP(frasest[[#This Row],[autor_es]],autorest[autor_es],autorest[epoca_la])</f>
        <v>Nova Aetas</v>
      </c>
    </row>
    <row r="473" spans="1:15">
      <c r="A473">
        <v>472</v>
      </c>
      <c r="B473" t="s">
        <v>1289</v>
      </c>
      <c r="C473" t="s">
        <v>1290</v>
      </c>
      <c r="D473" t="s">
        <v>1291</v>
      </c>
      <c r="E473" t="s">
        <v>1288</v>
      </c>
      <c r="F473" t="str">
        <f>_xlfn.XLOOKUP(frasest[[#This Row],[autor_es]],autorest[autor_es],autorest[autor_la])</f>
        <v>Iohannes Amos Comenius</v>
      </c>
      <c r="G473"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3"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3" t="str">
        <f>_xlfn.XLOOKUP(frasest[[#This Row],[autor_es]],autorest[autor_es],autorest[codigo])</f>
        <v>la</v>
      </c>
      <c r="J473" t="str">
        <f>_xlfn.XLOOKUP(frasest[[#This Row],[autor_es]],autorest[autor_es],autorest[idioma_es])</f>
        <v>Latín</v>
      </c>
      <c r="K473" s="6" t="str">
        <f>_xlfn.XLOOKUP(frasest[[#This Row],[autor_es]],autorest[autor_es],autorest[idioma_la])</f>
        <v>Lingua Latina</v>
      </c>
      <c r="L473" s="6" t="str">
        <f>_xlfn.XLOOKUP(frasest[[#This Row],[autor_es]],autorest[autor_es],autorest[nacion_es])</f>
        <v>Chequia</v>
      </c>
      <c r="M473" t="str">
        <f>_xlfn.XLOOKUP(frasest[[#This Row],[autor_es]],autorest[autor_es],autorest[nacion_la])</f>
        <v>Cechia</v>
      </c>
      <c r="N473" t="str">
        <f>_xlfn.XLOOKUP(frasest[[#This Row],[autor_es]],autorest[autor_es],autorest[epoca_es])</f>
        <v>Edad Moderna</v>
      </c>
      <c r="O473" t="str">
        <f>_xlfn.XLOOKUP(frasest[[#This Row],[autor_es]],autorest[autor_es],autorest[epoca_la])</f>
        <v>Nova Aetas</v>
      </c>
    </row>
    <row r="474" spans="1:15">
      <c r="A474">
        <v>473</v>
      </c>
      <c r="B474" t="s">
        <v>1292</v>
      </c>
      <c r="C474" t="s">
        <v>1293</v>
      </c>
      <c r="D474" t="s">
        <v>1294</v>
      </c>
      <c r="E474" t="s">
        <v>1288</v>
      </c>
      <c r="F474" t="str">
        <f>_xlfn.XLOOKUP(frasest[[#This Row],[autor_es]],autorest[autor_es],autorest[autor_la])</f>
        <v>Iohannes Amos Comenius</v>
      </c>
      <c r="G474"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4"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4" t="str">
        <f>_xlfn.XLOOKUP(frasest[[#This Row],[autor_es]],autorest[autor_es],autorest[codigo])</f>
        <v>la</v>
      </c>
      <c r="J474" t="str">
        <f>_xlfn.XLOOKUP(frasest[[#This Row],[autor_es]],autorest[autor_es],autorest[idioma_es])</f>
        <v>Latín</v>
      </c>
      <c r="K474" s="6" t="str">
        <f>_xlfn.XLOOKUP(frasest[[#This Row],[autor_es]],autorest[autor_es],autorest[idioma_la])</f>
        <v>Lingua Latina</v>
      </c>
      <c r="L474" s="6" t="str">
        <f>_xlfn.XLOOKUP(frasest[[#This Row],[autor_es]],autorest[autor_es],autorest[nacion_es])</f>
        <v>Chequia</v>
      </c>
      <c r="M474" t="str">
        <f>_xlfn.XLOOKUP(frasest[[#This Row],[autor_es]],autorest[autor_es],autorest[nacion_la])</f>
        <v>Cechia</v>
      </c>
      <c r="N474" t="str">
        <f>_xlfn.XLOOKUP(frasest[[#This Row],[autor_es]],autorest[autor_es],autorest[epoca_es])</f>
        <v>Edad Moderna</v>
      </c>
      <c r="O474" t="str">
        <f>_xlfn.XLOOKUP(frasest[[#This Row],[autor_es]],autorest[autor_es],autorest[epoca_la])</f>
        <v>Nova Aetas</v>
      </c>
    </row>
    <row r="475" spans="1:15">
      <c r="A475">
        <v>474</v>
      </c>
      <c r="B475" t="s">
        <v>1295</v>
      </c>
      <c r="C475" t="s">
        <v>1296</v>
      </c>
      <c r="D475" t="s">
        <v>1297</v>
      </c>
      <c r="E475" t="s">
        <v>1288</v>
      </c>
      <c r="F475" t="str">
        <f>_xlfn.XLOOKUP(frasest[[#This Row],[autor_es]],autorest[autor_es],autorest[autor_la])</f>
        <v>Iohannes Amos Comenius</v>
      </c>
      <c r="G475"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5"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5" t="str">
        <f>_xlfn.XLOOKUP(frasest[[#This Row],[autor_es]],autorest[autor_es],autorest[codigo])</f>
        <v>la</v>
      </c>
      <c r="J475" t="str">
        <f>_xlfn.XLOOKUP(frasest[[#This Row],[autor_es]],autorest[autor_es],autorest[idioma_es])</f>
        <v>Latín</v>
      </c>
      <c r="K475" s="6" t="str">
        <f>_xlfn.XLOOKUP(frasest[[#This Row],[autor_es]],autorest[autor_es],autorest[idioma_la])</f>
        <v>Lingua Latina</v>
      </c>
      <c r="L475" s="6" t="str">
        <f>_xlfn.XLOOKUP(frasest[[#This Row],[autor_es]],autorest[autor_es],autorest[nacion_es])</f>
        <v>Chequia</v>
      </c>
      <c r="M475" t="str">
        <f>_xlfn.XLOOKUP(frasest[[#This Row],[autor_es]],autorest[autor_es],autorest[nacion_la])</f>
        <v>Cechia</v>
      </c>
      <c r="N475" t="str">
        <f>_xlfn.XLOOKUP(frasest[[#This Row],[autor_es]],autorest[autor_es],autorest[epoca_es])</f>
        <v>Edad Moderna</v>
      </c>
      <c r="O475" t="str">
        <f>_xlfn.XLOOKUP(frasest[[#This Row],[autor_es]],autorest[autor_es],autorest[epoca_la])</f>
        <v>Nova Aetas</v>
      </c>
    </row>
    <row r="476" spans="1:15">
      <c r="A476">
        <v>475</v>
      </c>
      <c r="B476" t="s">
        <v>1298</v>
      </c>
      <c r="C476" t="s">
        <v>1299</v>
      </c>
      <c r="D476" t="s">
        <v>1300</v>
      </c>
      <c r="E476" t="s">
        <v>1288</v>
      </c>
      <c r="F476" t="str">
        <f>_xlfn.XLOOKUP(frasest[[#This Row],[autor_es]],autorest[autor_es],autorest[autor_la])</f>
        <v>Iohannes Amos Comenius</v>
      </c>
      <c r="G476"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6"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6" t="str">
        <f>_xlfn.XLOOKUP(frasest[[#This Row],[autor_es]],autorest[autor_es],autorest[codigo])</f>
        <v>la</v>
      </c>
      <c r="J476" t="str">
        <f>_xlfn.XLOOKUP(frasest[[#This Row],[autor_es]],autorest[autor_es],autorest[idioma_es])</f>
        <v>Latín</v>
      </c>
      <c r="K476" s="6" t="str">
        <f>_xlfn.XLOOKUP(frasest[[#This Row],[autor_es]],autorest[autor_es],autorest[idioma_la])</f>
        <v>Lingua Latina</v>
      </c>
      <c r="L476" s="6" t="str">
        <f>_xlfn.XLOOKUP(frasest[[#This Row],[autor_es]],autorest[autor_es],autorest[nacion_es])</f>
        <v>Chequia</v>
      </c>
      <c r="M476" t="str">
        <f>_xlfn.XLOOKUP(frasest[[#This Row],[autor_es]],autorest[autor_es],autorest[nacion_la])</f>
        <v>Cechia</v>
      </c>
      <c r="N476" t="str">
        <f>_xlfn.XLOOKUP(frasest[[#This Row],[autor_es]],autorest[autor_es],autorest[epoca_es])</f>
        <v>Edad Moderna</v>
      </c>
      <c r="O476" t="str">
        <f>_xlfn.XLOOKUP(frasest[[#This Row],[autor_es]],autorest[autor_es],autorest[epoca_la])</f>
        <v>Nova Aetas</v>
      </c>
    </row>
    <row r="477" spans="1:15">
      <c r="A477">
        <v>476</v>
      </c>
      <c r="B477" t="s">
        <v>1301</v>
      </c>
      <c r="C477" t="s">
        <v>1302</v>
      </c>
      <c r="D477" t="s">
        <v>1303</v>
      </c>
      <c r="E477" t="s">
        <v>1288</v>
      </c>
      <c r="F477" t="str">
        <f>_xlfn.XLOOKUP(frasest[[#This Row],[autor_es]],autorest[autor_es],autorest[autor_la])</f>
        <v>Iohannes Amos Comenius</v>
      </c>
      <c r="G477"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7"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7" t="str">
        <f>_xlfn.XLOOKUP(frasest[[#This Row],[autor_es]],autorest[autor_es],autorest[codigo])</f>
        <v>la</v>
      </c>
      <c r="J477" t="str">
        <f>_xlfn.XLOOKUP(frasest[[#This Row],[autor_es]],autorest[autor_es],autorest[idioma_es])</f>
        <v>Latín</v>
      </c>
      <c r="K477" s="6" t="str">
        <f>_xlfn.XLOOKUP(frasest[[#This Row],[autor_es]],autorest[autor_es],autorest[idioma_la])</f>
        <v>Lingua Latina</v>
      </c>
      <c r="L477" s="6" t="str">
        <f>_xlfn.XLOOKUP(frasest[[#This Row],[autor_es]],autorest[autor_es],autorest[nacion_es])</f>
        <v>Chequia</v>
      </c>
      <c r="M477" t="str">
        <f>_xlfn.XLOOKUP(frasest[[#This Row],[autor_es]],autorest[autor_es],autorest[nacion_la])</f>
        <v>Cechia</v>
      </c>
      <c r="N477" t="str">
        <f>_xlfn.XLOOKUP(frasest[[#This Row],[autor_es]],autorest[autor_es],autorest[epoca_es])</f>
        <v>Edad Moderna</v>
      </c>
      <c r="O477" t="str">
        <f>_xlfn.XLOOKUP(frasest[[#This Row],[autor_es]],autorest[autor_es],autorest[epoca_la])</f>
        <v>Nova Aetas</v>
      </c>
    </row>
    <row r="478" spans="1:15">
      <c r="A478">
        <v>477</v>
      </c>
      <c r="B478" t="s">
        <v>1304</v>
      </c>
      <c r="C478" t="s">
        <v>1305</v>
      </c>
      <c r="D478" t="s">
        <v>1306</v>
      </c>
      <c r="E478" t="s">
        <v>1307</v>
      </c>
      <c r="F478" t="str">
        <f>_xlfn.XLOOKUP(frasest[[#This Row],[autor_es]],autorest[autor_es],autorest[autor_la])</f>
        <v>Ioannes Iacobus Rousseau</v>
      </c>
      <c r="G478"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8"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8" t="str">
        <f>_xlfn.XLOOKUP(frasest[[#This Row],[autor_es]],autorest[autor_es],autorest[codigo])</f>
        <v>fr</v>
      </c>
      <c r="J478" t="str">
        <f>_xlfn.XLOOKUP(frasest[[#This Row],[autor_es]],autorest[autor_es],autorest[idioma_es])</f>
        <v>Francés</v>
      </c>
      <c r="K478" s="6" t="str">
        <f>_xlfn.XLOOKUP(frasest[[#This Row],[autor_es]],autorest[autor_es],autorest[idioma_la])</f>
        <v>Lingua Gallica</v>
      </c>
      <c r="L478" s="6" t="str">
        <f>_xlfn.XLOOKUP(frasest[[#This Row],[autor_es]],autorest[autor_es],autorest[nacion_es])</f>
        <v>Suiza</v>
      </c>
      <c r="M478" t="str">
        <f>_xlfn.XLOOKUP(frasest[[#This Row],[autor_es]],autorest[autor_es],autorest[nacion_la])</f>
        <v>Helvetia</v>
      </c>
      <c r="N478" t="str">
        <f>_xlfn.XLOOKUP(frasest[[#This Row],[autor_es]],autorest[autor_es],autorest[epoca_es])</f>
        <v>Edad Moderna</v>
      </c>
      <c r="O478" t="str">
        <f>_xlfn.XLOOKUP(frasest[[#This Row],[autor_es]],autorest[autor_es],autorest[epoca_la])</f>
        <v>Nova Aetas</v>
      </c>
    </row>
    <row r="479" spans="1:15">
      <c r="A479">
        <v>478</v>
      </c>
      <c r="B479" t="s">
        <v>1308</v>
      </c>
      <c r="C479" t="s">
        <v>1309</v>
      </c>
      <c r="D479" t="s">
        <v>1310</v>
      </c>
      <c r="E479" t="s">
        <v>1307</v>
      </c>
      <c r="F479" t="str">
        <f>_xlfn.XLOOKUP(frasest[[#This Row],[autor_es]],autorest[autor_es],autorest[autor_la])</f>
        <v>Ioannes Iacobus Rousseau</v>
      </c>
      <c r="G479"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9"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9" t="str">
        <f>_xlfn.XLOOKUP(frasest[[#This Row],[autor_es]],autorest[autor_es],autorest[codigo])</f>
        <v>fr</v>
      </c>
      <c r="J479" t="str">
        <f>_xlfn.XLOOKUP(frasest[[#This Row],[autor_es]],autorest[autor_es],autorest[idioma_es])</f>
        <v>Francés</v>
      </c>
      <c r="K479" s="6" t="str">
        <f>_xlfn.XLOOKUP(frasest[[#This Row],[autor_es]],autorest[autor_es],autorest[idioma_la])</f>
        <v>Lingua Gallica</v>
      </c>
      <c r="L479" s="6" t="str">
        <f>_xlfn.XLOOKUP(frasest[[#This Row],[autor_es]],autorest[autor_es],autorest[nacion_es])</f>
        <v>Suiza</v>
      </c>
      <c r="M479" t="str">
        <f>_xlfn.XLOOKUP(frasest[[#This Row],[autor_es]],autorest[autor_es],autorest[nacion_la])</f>
        <v>Helvetia</v>
      </c>
      <c r="N479" t="str">
        <f>_xlfn.XLOOKUP(frasest[[#This Row],[autor_es]],autorest[autor_es],autorest[epoca_es])</f>
        <v>Edad Moderna</v>
      </c>
      <c r="O479" t="str">
        <f>_xlfn.XLOOKUP(frasest[[#This Row],[autor_es]],autorest[autor_es],autorest[epoca_la])</f>
        <v>Nova Aetas</v>
      </c>
    </row>
    <row r="480" spans="1:15">
      <c r="A480">
        <v>479</v>
      </c>
      <c r="B480" t="s">
        <v>1311</v>
      </c>
      <c r="C480" t="s">
        <v>1312</v>
      </c>
      <c r="D480" t="s">
        <v>1313</v>
      </c>
      <c r="E480" t="s">
        <v>1307</v>
      </c>
      <c r="F480" t="str">
        <f>_xlfn.XLOOKUP(frasest[[#This Row],[autor_es]],autorest[autor_es],autorest[autor_la])</f>
        <v>Ioannes Iacobus Rousseau</v>
      </c>
      <c r="G480"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0"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0" t="str">
        <f>_xlfn.XLOOKUP(frasest[[#This Row],[autor_es]],autorest[autor_es],autorest[codigo])</f>
        <v>fr</v>
      </c>
      <c r="J480" t="str">
        <f>_xlfn.XLOOKUP(frasest[[#This Row],[autor_es]],autorest[autor_es],autorest[idioma_es])</f>
        <v>Francés</v>
      </c>
      <c r="K480" s="6" t="str">
        <f>_xlfn.XLOOKUP(frasest[[#This Row],[autor_es]],autorest[autor_es],autorest[idioma_la])</f>
        <v>Lingua Gallica</v>
      </c>
      <c r="L480" s="6" t="str">
        <f>_xlfn.XLOOKUP(frasest[[#This Row],[autor_es]],autorest[autor_es],autorest[nacion_es])</f>
        <v>Suiza</v>
      </c>
      <c r="M480" t="str">
        <f>_xlfn.XLOOKUP(frasest[[#This Row],[autor_es]],autorest[autor_es],autorest[nacion_la])</f>
        <v>Helvetia</v>
      </c>
      <c r="N480" t="str">
        <f>_xlfn.XLOOKUP(frasest[[#This Row],[autor_es]],autorest[autor_es],autorest[epoca_es])</f>
        <v>Edad Moderna</v>
      </c>
      <c r="O480" t="str">
        <f>_xlfn.XLOOKUP(frasest[[#This Row],[autor_es]],autorest[autor_es],autorest[epoca_la])</f>
        <v>Nova Aetas</v>
      </c>
    </row>
    <row r="481" spans="1:15">
      <c r="A481">
        <v>480</v>
      </c>
      <c r="B481" t="s">
        <v>1314</v>
      </c>
      <c r="C481" t="s">
        <v>1315</v>
      </c>
      <c r="D481" t="s">
        <v>1316</v>
      </c>
      <c r="E481" t="s">
        <v>1307</v>
      </c>
      <c r="F481" t="str">
        <f>_xlfn.XLOOKUP(frasest[[#This Row],[autor_es]],autorest[autor_es],autorest[autor_la])</f>
        <v>Ioannes Iacobus Rousseau</v>
      </c>
      <c r="G481"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1"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1" t="str">
        <f>_xlfn.XLOOKUP(frasest[[#This Row],[autor_es]],autorest[autor_es],autorest[codigo])</f>
        <v>fr</v>
      </c>
      <c r="J481" t="str">
        <f>_xlfn.XLOOKUP(frasest[[#This Row],[autor_es]],autorest[autor_es],autorest[idioma_es])</f>
        <v>Francés</v>
      </c>
      <c r="K481" s="6" t="str">
        <f>_xlfn.XLOOKUP(frasest[[#This Row],[autor_es]],autorest[autor_es],autorest[idioma_la])</f>
        <v>Lingua Gallica</v>
      </c>
      <c r="L481" s="6" t="str">
        <f>_xlfn.XLOOKUP(frasest[[#This Row],[autor_es]],autorest[autor_es],autorest[nacion_es])</f>
        <v>Suiza</v>
      </c>
      <c r="M481" t="str">
        <f>_xlfn.XLOOKUP(frasest[[#This Row],[autor_es]],autorest[autor_es],autorest[nacion_la])</f>
        <v>Helvetia</v>
      </c>
      <c r="N481" t="str">
        <f>_xlfn.XLOOKUP(frasest[[#This Row],[autor_es]],autorest[autor_es],autorest[epoca_es])</f>
        <v>Edad Moderna</v>
      </c>
      <c r="O481" t="str">
        <f>_xlfn.XLOOKUP(frasest[[#This Row],[autor_es]],autorest[autor_es],autorest[epoca_la])</f>
        <v>Nova Aetas</v>
      </c>
    </row>
    <row r="482" spans="1:15">
      <c r="A482">
        <v>481</v>
      </c>
      <c r="B482" t="s">
        <v>1317</v>
      </c>
      <c r="C482" t="s">
        <v>1318</v>
      </c>
      <c r="D482" t="s">
        <v>1319</v>
      </c>
      <c r="E482" t="s">
        <v>1307</v>
      </c>
      <c r="F482" t="str">
        <f>_xlfn.XLOOKUP(frasest[[#This Row],[autor_es]],autorest[autor_es],autorest[autor_la])</f>
        <v>Ioannes Iacobus Rousseau</v>
      </c>
      <c r="G482"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2"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2" t="str">
        <f>_xlfn.XLOOKUP(frasest[[#This Row],[autor_es]],autorest[autor_es],autorest[codigo])</f>
        <v>fr</v>
      </c>
      <c r="J482" t="str">
        <f>_xlfn.XLOOKUP(frasest[[#This Row],[autor_es]],autorest[autor_es],autorest[idioma_es])</f>
        <v>Francés</v>
      </c>
      <c r="K482" s="6" t="str">
        <f>_xlfn.XLOOKUP(frasest[[#This Row],[autor_es]],autorest[autor_es],autorest[idioma_la])</f>
        <v>Lingua Gallica</v>
      </c>
      <c r="L482" s="6" t="str">
        <f>_xlfn.XLOOKUP(frasest[[#This Row],[autor_es]],autorest[autor_es],autorest[nacion_es])</f>
        <v>Suiza</v>
      </c>
      <c r="M482" t="str">
        <f>_xlfn.XLOOKUP(frasest[[#This Row],[autor_es]],autorest[autor_es],autorest[nacion_la])</f>
        <v>Helvetia</v>
      </c>
      <c r="N482" t="str">
        <f>_xlfn.XLOOKUP(frasest[[#This Row],[autor_es]],autorest[autor_es],autorest[epoca_es])</f>
        <v>Edad Moderna</v>
      </c>
      <c r="O482" t="str">
        <f>_xlfn.XLOOKUP(frasest[[#This Row],[autor_es]],autorest[autor_es],autorest[epoca_la])</f>
        <v>Nova Aetas</v>
      </c>
    </row>
    <row r="483" spans="1:15">
      <c r="A483">
        <v>482</v>
      </c>
      <c r="B483" t="s">
        <v>1320</v>
      </c>
      <c r="C483" t="s">
        <v>1321</v>
      </c>
      <c r="D483" t="s">
        <v>1322</v>
      </c>
      <c r="E483" t="s">
        <v>1307</v>
      </c>
      <c r="F483" t="str">
        <f>_xlfn.XLOOKUP(frasest[[#This Row],[autor_es]],autorest[autor_es],autorest[autor_la])</f>
        <v>Ioannes Iacobus Rousseau</v>
      </c>
      <c r="G483"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3"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3" t="str">
        <f>_xlfn.XLOOKUP(frasest[[#This Row],[autor_es]],autorest[autor_es],autorest[codigo])</f>
        <v>fr</v>
      </c>
      <c r="J483" t="str">
        <f>_xlfn.XLOOKUP(frasest[[#This Row],[autor_es]],autorest[autor_es],autorest[idioma_es])</f>
        <v>Francés</v>
      </c>
      <c r="K483" s="6" t="str">
        <f>_xlfn.XLOOKUP(frasest[[#This Row],[autor_es]],autorest[autor_es],autorest[idioma_la])</f>
        <v>Lingua Gallica</v>
      </c>
      <c r="L483" s="6" t="str">
        <f>_xlfn.XLOOKUP(frasest[[#This Row],[autor_es]],autorest[autor_es],autorest[nacion_es])</f>
        <v>Suiza</v>
      </c>
      <c r="M483" t="str">
        <f>_xlfn.XLOOKUP(frasest[[#This Row],[autor_es]],autorest[autor_es],autorest[nacion_la])</f>
        <v>Helvetia</v>
      </c>
      <c r="N483" t="str">
        <f>_xlfn.XLOOKUP(frasest[[#This Row],[autor_es]],autorest[autor_es],autorest[epoca_es])</f>
        <v>Edad Moderna</v>
      </c>
      <c r="O483" t="str">
        <f>_xlfn.XLOOKUP(frasest[[#This Row],[autor_es]],autorest[autor_es],autorest[epoca_la])</f>
        <v>Nova Aetas</v>
      </c>
    </row>
    <row r="484" spans="1:15">
      <c r="A484">
        <v>483</v>
      </c>
      <c r="B484" t="s">
        <v>1323</v>
      </c>
      <c r="C484" t="s">
        <v>1324</v>
      </c>
      <c r="D484" t="s">
        <v>1325</v>
      </c>
      <c r="E484" t="s">
        <v>1326</v>
      </c>
      <c r="F484" t="str">
        <f>_xlfn.XLOOKUP(frasest[[#This Row],[autor_es]],autorest[autor_es],autorest[autor_la])</f>
        <v>Iohannes Henricus Pestalozzi</v>
      </c>
      <c r="G484"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4"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4" t="str">
        <f>_xlfn.XLOOKUP(frasest[[#This Row],[autor_es]],autorest[autor_es],autorest[codigo])</f>
        <v>de</v>
      </c>
      <c r="J484" t="str">
        <f>_xlfn.XLOOKUP(frasest[[#This Row],[autor_es]],autorest[autor_es],autorest[idioma_es])</f>
        <v>Alemán</v>
      </c>
      <c r="K484" s="6" t="str">
        <f>_xlfn.XLOOKUP(frasest[[#This Row],[autor_es]],autorest[autor_es],autorest[idioma_la])</f>
        <v>Lingua Germanica</v>
      </c>
      <c r="L484" s="6" t="str">
        <f>_xlfn.XLOOKUP(frasest[[#This Row],[autor_es]],autorest[autor_es],autorest[nacion_es])</f>
        <v>Suiza</v>
      </c>
      <c r="M484" t="str">
        <f>_xlfn.XLOOKUP(frasest[[#This Row],[autor_es]],autorest[autor_es],autorest[nacion_la])</f>
        <v>Helvetia</v>
      </c>
      <c r="N484" t="str">
        <f>_xlfn.XLOOKUP(frasest[[#This Row],[autor_es]],autorest[autor_es],autorest[epoca_es])</f>
        <v>Edad Moderna</v>
      </c>
      <c r="O484" t="str">
        <f>_xlfn.XLOOKUP(frasest[[#This Row],[autor_es]],autorest[autor_es],autorest[epoca_la])</f>
        <v>Nova Aetas</v>
      </c>
    </row>
    <row r="485" spans="1:15">
      <c r="A485">
        <v>484</v>
      </c>
      <c r="B485" t="s">
        <v>1327</v>
      </c>
      <c r="C485" t="s">
        <v>1328</v>
      </c>
      <c r="D485" t="s">
        <v>1329</v>
      </c>
      <c r="E485" t="s">
        <v>1326</v>
      </c>
      <c r="F485" t="str">
        <f>_xlfn.XLOOKUP(frasest[[#This Row],[autor_es]],autorest[autor_es],autorest[autor_la])</f>
        <v>Iohannes Henricus Pestalozzi</v>
      </c>
      <c r="G485"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5"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5" t="str">
        <f>_xlfn.XLOOKUP(frasest[[#This Row],[autor_es]],autorest[autor_es],autorest[codigo])</f>
        <v>de</v>
      </c>
      <c r="J485" t="str">
        <f>_xlfn.XLOOKUP(frasest[[#This Row],[autor_es]],autorest[autor_es],autorest[idioma_es])</f>
        <v>Alemán</v>
      </c>
      <c r="K485" s="6" t="str">
        <f>_xlfn.XLOOKUP(frasest[[#This Row],[autor_es]],autorest[autor_es],autorest[idioma_la])</f>
        <v>Lingua Germanica</v>
      </c>
      <c r="L485" s="6" t="str">
        <f>_xlfn.XLOOKUP(frasest[[#This Row],[autor_es]],autorest[autor_es],autorest[nacion_es])</f>
        <v>Suiza</v>
      </c>
      <c r="M485" t="str">
        <f>_xlfn.XLOOKUP(frasest[[#This Row],[autor_es]],autorest[autor_es],autorest[nacion_la])</f>
        <v>Helvetia</v>
      </c>
      <c r="N485" t="str">
        <f>_xlfn.XLOOKUP(frasest[[#This Row],[autor_es]],autorest[autor_es],autorest[epoca_es])</f>
        <v>Edad Moderna</v>
      </c>
      <c r="O485" t="str">
        <f>_xlfn.XLOOKUP(frasest[[#This Row],[autor_es]],autorest[autor_es],autorest[epoca_la])</f>
        <v>Nova Aetas</v>
      </c>
    </row>
    <row r="486" spans="1:15">
      <c r="A486">
        <v>485</v>
      </c>
      <c r="B486" t="s">
        <v>1330</v>
      </c>
      <c r="C486" t="s">
        <v>1331</v>
      </c>
      <c r="D486" t="s">
        <v>1332</v>
      </c>
      <c r="E486" t="s">
        <v>1326</v>
      </c>
      <c r="F486" t="str">
        <f>_xlfn.XLOOKUP(frasest[[#This Row],[autor_es]],autorest[autor_es],autorest[autor_la])</f>
        <v>Iohannes Henricus Pestalozzi</v>
      </c>
      <c r="G486"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6"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6" t="str">
        <f>_xlfn.XLOOKUP(frasest[[#This Row],[autor_es]],autorest[autor_es],autorest[codigo])</f>
        <v>de</v>
      </c>
      <c r="J486" t="str">
        <f>_xlfn.XLOOKUP(frasest[[#This Row],[autor_es]],autorest[autor_es],autorest[idioma_es])</f>
        <v>Alemán</v>
      </c>
      <c r="K486" s="6" t="str">
        <f>_xlfn.XLOOKUP(frasest[[#This Row],[autor_es]],autorest[autor_es],autorest[idioma_la])</f>
        <v>Lingua Germanica</v>
      </c>
      <c r="L486" s="6" t="str">
        <f>_xlfn.XLOOKUP(frasest[[#This Row],[autor_es]],autorest[autor_es],autorest[nacion_es])</f>
        <v>Suiza</v>
      </c>
      <c r="M486" t="str">
        <f>_xlfn.XLOOKUP(frasest[[#This Row],[autor_es]],autorest[autor_es],autorest[nacion_la])</f>
        <v>Helvetia</v>
      </c>
      <c r="N486" t="str">
        <f>_xlfn.XLOOKUP(frasest[[#This Row],[autor_es]],autorest[autor_es],autorest[epoca_es])</f>
        <v>Edad Moderna</v>
      </c>
      <c r="O486" t="str">
        <f>_xlfn.XLOOKUP(frasest[[#This Row],[autor_es]],autorest[autor_es],autorest[epoca_la])</f>
        <v>Nova Aetas</v>
      </c>
    </row>
    <row r="487" spans="1:15">
      <c r="A487">
        <v>486</v>
      </c>
      <c r="B487" t="s">
        <v>1333</v>
      </c>
      <c r="C487" t="s">
        <v>1334</v>
      </c>
      <c r="D487" t="s">
        <v>1335</v>
      </c>
      <c r="E487" t="s">
        <v>1326</v>
      </c>
      <c r="F487" t="str">
        <f>_xlfn.XLOOKUP(frasest[[#This Row],[autor_es]],autorest[autor_es],autorest[autor_la])</f>
        <v>Iohannes Henricus Pestalozzi</v>
      </c>
      <c r="G487"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7"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7" t="str">
        <f>_xlfn.XLOOKUP(frasest[[#This Row],[autor_es]],autorest[autor_es],autorest[codigo])</f>
        <v>de</v>
      </c>
      <c r="J487" t="str">
        <f>_xlfn.XLOOKUP(frasest[[#This Row],[autor_es]],autorest[autor_es],autorest[idioma_es])</f>
        <v>Alemán</v>
      </c>
      <c r="K487" s="6" t="str">
        <f>_xlfn.XLOOKUP(frasest[[#This Row],[autor_es]],autorest[autor_es],autorest[idioma_la])</f>
        <v>Lingua Germanica</v>
      </c>
      <c r="L487" s="6" t="str">
        <f>_xlfn.XLOOKUP(frasest[[#This Row],[autor_es]],autorest[autor_es],autorest[nacion_es])</f>
        <v>Suiza</v>
      </c>
      <c r="M487" t="str">
        <f>_xlfn.XLOOKUP(frasest[[#This Row],[autor_es]],autorest[autor_es],autorest[nacion_la])</f>
        <v>Helvetia</v>
      </c>
      <c r="N487" t="str">
        <f>_xlfn.XLOOKUP(frasest[[#This Row],[autor_es]],autorest[autor_es],autorest[epoca_es])</f>
        <v>Edad Moderna</v>
      </c>
      <c r="O487" t="str">
        <f>_xlfn.XLOOKUP(frasest[[#This Row],[autor_es]],autorest[autor_es],autorest[epoca_la])</f>
        <v>Nova Aetas</v>
      </c>
    </row>
    <row r="488" spans="1:15">
      <c r="A488">
        <v>487</v>
      </c>
      <c r="B488" t="s">
        <v>1336</v>
      </c>
      <c r="C488" t="s">
        <v>1337</v>
      </c>
      <c r="D488" t="s">
        <v>1338</v>
      </c>
      <c r="E488" t="s">
        <v>1326</v>
      </c>
      <c r="F488" t="str">
        <f>_xlfn.XLOOKUP(frasest[[#This Row],[autor_es]],autorest[autor_es],autorest[autor_la])</f>
        <v>Iohannes Henricus Pestalozzi</v>
      </c>
      <c r="G488"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8"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8" t="str">
        <f>_xlfn.XLOOKUP(frasest[[#This Row],[autor_es]],autorest[autor_es],autorest[codigo])</f>
        <v>de</v>
      </c>
      <c r="J488" t="str">
        <f>_xlfn.XLOOKUP(frasest[[#This Row],[autor_es]],autorest[autor_es],autorest[idioma_es])</f>
        <v>Alemán</v>
      </c>
      <c r="K488" s="6" t="str">
        <f>_xlfn.XLOOKUP(frasest[[#This Row],[autor_es]],autorest[autor_es],autorest[idioma_la])</f>
        <v>Lingua Germanica</v>
      </c>
      <c r="L488" s="6" t="str">
        <f>_xlfn.XLOOKUP(frasest[[#This Row],[autor_es]],autorest[autor_es],autorest[nacion_es])</f>
        <v>Suiza</v>
      </c>
      <c r="M488" t="str">
        <f>_xlfn.XLOOKUP(frasest[[#This Row],[autor_es]],autorest[autor_es],autorest[nacion_la])</f>
        <v>Helvetia</v>
      </c>
      <c r="N488" t="str">
        <f>_xlfn.XLOOKUP(frasest[[#This Row],[autor_es]],autorest[autor_es],autorest[epoca_es])</f>
        <v>Edad Moderna</v>
      </c>
      <c r="O488" t="str">
        <f>_xlfn.XLOOKUP(frasest[[#This Row],[autor_es]],autorest[autor_es],autorest[epoca_la])</f>
        <v>Nova Aetas</v>
      </c>
    </row>
    <row r="489" spans="1:15">
      <c r="A489">
        <v>488</v>
      </c>
      <c r="B489" t="s">
        <v>1339</v>
      </c>
      <c r="C489" t="s">
        <v>1340</v>
      </c>
      <c r="D489" t="s">
        <v>1341</v>
      </c>
      <c r="E489" t="s">
        <v>1326</v>
      </c>
      <c r="F489" t="str">
        <f>_xlfn.XLOOKUP(frasest[[#This Row],[autor_es]],autorest[autor_es],autorest[autor_la])</f>
        <v>Iohannes Henricus Pestalozzi</v>
      </c>
      <c r="G489"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9"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9" t="str">
        <f>_xlfn.XLOOKUP(frasest[[#This Row],[autor_es]],autorest[autor_es],autorest[codigo])</f>
        <v>de</v>
      </c>
      <c r="J489" t="str">
        <f>_xlfn.XLOOKUP(frasest[[#This Row],[autor_es]],autorest[autor_es],autorest[idioma_es])</f>
        <v>Alemán</v>
      </c>
      <c r="K489" s="6" t="str">
        <f>_xlfn.XLOOKUP(frasest[[#This Row],[autor_es]],autorest[autor_es],autorest[idioma_la])</f>
        <v>Lingua Germanica</v>
      </c>
      <c r="L489" s="6" t="str">
        <f>_xlfn.XLOOKUP(frasest[[#This Row],[autor_es]],autorest[autor_es],autorest[nacion_es])</f>
        <v>Suiza</v>
      </c>
      <c r="M489" t="str">
        <f>_xlfn.XLOOKUP(frasest[[#This Row],[autor_es]],autorest[autor_es],autorest[nacion_la])</f>
        <v>Helvetia</v>
      </c>
      <c r="N489" t="str">
        <f>_xlfn.XLOOKUP(frasest[[#This Row],[autor_es]],autorest[autor_es],autorest[epoca_es])</f>
        <v>Edad Moderna</v>
      </c>
      <c r="O489" t="str">
        <f>_xlfn.XLOOKUP(frasest[[#This Row],[autor_es]],autorest[autor_es],autorest[epoca_la])</f>
        <v>Nova Aetas</v>
      </c>
    </row>
    <row r="490" spans="1:15">
      <c r="A490">
        <v>489</v>
      </c>
      <c r="B490" t="s">
        <v>1342</v>
      </c>
      <c r="C490" t="s">
        <v>1343</v>
      </c>
      <c r="D490" t="s">
        <v>1344</v>
      </c>
      <c r="E490" t="s">
        <v>1345</v>
      </c>
      <c r="F490" t="str">
        <f>_xlfn.XLOOKUP(frasest[[#This Row],[autor_es]],autorest[autor_es],autorest[autor_la])</f>
        <v>Ioannes Piaget</v>
      </c>
      <c r="G490"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0"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0" t="str">
        <f>_xlfn.XLOOKUP(frasest[[#This Row],[autor_es]],autorest[autor_es],autorest[codigo])</f>
        <v>fr</v>
      </c>
      <c r="J490" t="str">
        <f>_xlfn.XLOOKUP(frasest[[#This Row],[autor_es]],autorest[autor_es],autorest[idioma_es])</f>
        <v>Francés</v>
      </c>
      <c r="K490" s="6" t="str">
        <f>_xlfn.XLOOKUP(frasest[[#This Row],[autor_es]],autorest[autor_es],autorest[idioma_la])</f>
        <v>Lingua Gallica</v>
      </c>
      <c r="L490" s="6" t="str">
        <f>_xlfn.XLOOKUP(frasest[[#This Row],[autor_es]],autorest[autor_es],autorest[nacion_es])</f>
        <v>Suiza</v>
      </c>
      <c r="M490" t="str">
        <f>_xlfn.XLOOKUP(frasest[[#This Row],[autor_es]],autorest[autor_es],autorest[nacion_la])</f>
        <v>Helvetia</v>
      </c>
      <c r="N490" t="str">
        <f>_xlfn.XLOOKUP(frasest[[#This Row],[autor_es]],autorest[autor_es],autorest[epoca_es])</f>
        <v>Edad Contemporánea</v>
      </c>
      <c r="O490" t="str">
        <f>_xlfn.XLOOKUP(frasest[[#This Row],[autor_es]],autorest[autor_es],autorest[epoca_la])</f>
        <v>Aetas Contemporanea</v>
      </c>
    </row>
    <row r="491" spans="1:15">
      <c r="A491">
        <v>490</v>
      </c>
      <c r="B491" t="s">
        <v>1346</v>
      </c>
      <c r="C491" t="s">
        <v>1347</v>
      </c>
      <c r="D491" t="s">
        <v>1348</v>
      </c>
      <c r="E491" t="s">
        <v>1345</v>
      </c>
      <c r="F491" t="str">
        <f>_xlfn.XLOOKUP(frasest[[#This Row],[autor_es]],autorest[autor_es],autorest[autor_la])</f>
        <v>Ioannes Piaget</v>
      </c>
      <c r="G491"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1"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1" t="str">
        <f>_xlfn.XLOOKUP(frasest[[#This Row],[autor_es]],autorest[autor_es],autorest[codigo])</f>
        <v>fr</v>
      </c>
      <c r="J491" t="str">
        <f>_xlfn.XLOOKUP(frasest[[#This Row],[autor_es]],autorest[autor_es],autorest[idioma_es])</f>
        <v>Francés</v>
      </c>
      <c r="K491" s="6" t="str">
        <f>_xlfn.XLOOKUP(frasest[[#This Row],[autor_es]],autorest[autor_es],autorest[idioma_la])</f>
        <v>Lingua Gallica</v>
      </c>
      <c r="L491" s="6" t="str">
        <f>_xlfn.XLOOKUP(frasest[[#This Row],[autor_es]],autorest[autor_es],autorest[nacion_es])</f>
        <v>Suiza</v>
      </c>
      <c r="M491" t="str">
        <f>_xlfn.XLOOKUP(frasest[[#This Row],[autor_es]],autorest[autor_es],autorest[nacion_la])</f>
        <v>Helvetia</v>
      </c>
      <c r="N491" t="str">
        <f>_xlfn.XLOOKUP(frasest[[#This Row],[autor_es]],autorest[autor_es],autorest[epoca_es])</f>
        <v>Edad Contemporánea</v>
      </c>
      <c r="O491" t="str">
        <f>_xlfn.XLOOKUP(frasest[[#This Row],[autor_es]],autorest[autor_es],autorest[epoca_la])</f>
        <v>Aetas Contemporanea</v>
      </c>
    </row>
    <row r="492" spans="1:15">
      <c r="A492">
        <v>491</v>
      </c>
      <c r="B492" t="s">
        <v>1349</v>
      </c>
      <c r="C492" t="s">
        <v>1350</v>
      </c>
      <c r="D492" t="s">
        <v>1351</v>
      </c>
      <c r="E492" t="s">
        <v>1345</v>
      </c>
      <c r="F492" t="str">
        <f>_xlfn.XLOOKUP(frasest[[#This Row],[autor_es]],autorest[autor_es],autorest[autor_la])</f>
        <v>Ioannes Piaget</v>
      </c>
      <c r="G492"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2"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2" t="str">
        <f>_xlfn.XLOOKUP(frasest[[#This Row],[autor_es]],autorest[autor_es],autorest[codigo])</f>
        <v>fr</v>
      </c>
      <c r="J492" t="str">
        <f>_xlfn.XLOOKUP(frasest[[#This Row],[autor_es]],autorest[autor_es],autorest[idioma_es])</f>
        <v>Francés</v>
      </c>
      <c r="K492" s="6" t="str">
        <f>_xlfn.XLOOKUP(frasest[[#This Row],[autor_es]],autorest[autor_es],autorest[idioma_la])</f>
        <v>Lingua Gallica</v>
      </c>
      <c r="L492" s="6" t="str">
        <f>_xlfn.XLOOKUP(frasest[[#This Row],[autor_es]],autorest[autor_es],autorest[nacion_es])</f>
        <v>Suiza</v>
      </c>
      <c r="M492" t="str">
        <f>_xlfn.XLOOKUP(frasest[[#This Row],[autor_es]],autorest[autor_es],autorest[nacion_la])</f>
        <v>Helvetia</v>
      </c>
      <c r="N492" t="str">
        <f>_xlfn.XLOOKUP(frasest[[#This Row],[autor_es]],autorest[autor_es],autorest[epoca_es])</f>
        <v>Edad Contemporánea</v>
      </c>
      <c r="O492" t="str">
        <f>_xlfn.XLOOKUP(frasest[[#This Row],[autor_es]],autorest[autor_es],autorest[epoca_la])</f>
        <v>Aetas Contemporanea</v>
      </c>
    </row>
    <row r="493" spans="1:15">
      <c r="A493">
        <v>492</v>
      </c>
      <c r="B493" t="s">
        <v>1352</v>
      </c>
      <c r="C493" t="s">
        <v>1353</v>
      </c>
      <c r="D493" t="s">
        <v>1354</v>
      </c>
      <c r="E493" t="s">
        <v>1345</v>
      </c>
      <c r="F493" t="str">
        <f>_xlfn.XLOOKUP(frasest[[#This Row],[autor_es]],autorest[autor_es],autorest[autor_la])</f>
        <v>Ioannes Piaget</v>
      </c>
      <c r="G493"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3"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3" t="str">
        <f>_xlfn.XLOOKUP(frasest[[#This Row],[autor_es]],autorest[autor_es],autorest[codigo])</f>
        <v>fr</v>
      </c>
      <c r="J493" t="str">
        <f>_xlfn.XLOOKUP(frasest[[#This Row],[autor_es]],autorest[autor_es],autorest[idioma_es])</f>
        <v>Francés</v>
      </c>
      <c r="K493" s="6" t="str">
        <f>_xlfn.XLOOKUP(frasest[[#This Row],[autor_es]],autorest[autor_es],autorest[idioma_la])</f>
        <v>Lingua Gallica</v>
      </c>
      <c r="L493" s="6" t="str">
        <f>_xlfn.XLOOKUP(frasest[[#This Row],[autor_es]],autorest[autor_es],autorest[nacion_es])</f>
        <v>Suiza</v>
      </c>
      <c r="M493" t="str">
        <f>_xlfn.XLOOKUP(frasest[[#This Row],[autor_es]],autorest[autor_es],autorest[nacion_la])</f>
        <v>Helvetia</v>
      </c>
      <c r="N493" t="str">
        <f>_xlfn.XLOOKUP(frasest[[#This Row],[autor_es]],autorest[autor_es],autorest[epoca_es])</f>
        <v>Edad Contemporánea</v>
      </c>
      <c r="O493" t="str">
        <f>_xlfn.XLOOKUP(frasest[[#This Row],[autor_es]],autorest[autor_es],autorest[epoca_la])</f>
        <v>Aetas Contemporanea</v>
      </c>
    </row>
    <row r="494" spans="1:15">
      <c r="A494">
        <v>493</v>
      </c>
      <c r="B494" t="s">
        <v>1355</v>
      </c>
      <c r="C494" t="s">
        <v>1356</v>
      </c>
      <c r="D494" t="s">
        <v>1357</v>
      </c>
      <c r="E494" t="s">
        <v>1345</v>
      </c>
      <c r="F494" t="str">
        <f>_xlfn.XLOOKUP(frasest[[#This Row],[autor_es]],autorest[autor_es],autorest[autor_la])</f>
        <v>Ioannes Piaget</v>
      </c>
      <c r="G494"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4"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4" t="str">
        <f>_xlfn.XLOOKUP(frasest[[#This Row],[autor_es]],autorest[autor_es],autorest[codigo])</f>
        <v>fr</v>
      </c>
      <c r="J494" t="str">
        <f>_xlfn.XLOOKUP(frasest[[#This Row],[autor_es]],autorest[autor_es],autorest[idioma_es])</f>
        <v>Francés</v>
      </c>
      <c r="K494" s="6" t="str">
        <f>_xlfn.XLOOKUP(frasest[[#This Row],[autor_es]],autorest[autor_es],autorest[idioma_la])</f>
        <v>Lingua Gallica</v>
      </c>
      <c r="L494" s="6" t="str">
        <f>_xlfn.XLOOKUP(frasest[[#This Row],[autor_es]],autorest[autor_es],autorest[nacion_es])</f>
        <v>Suiza</v>
      </c>
      <c r="M494" t="str">
        <f>_xlfn.XLOOKUP(frasest[[#This Row],[autor_es]],autorest[autor_es],autorest[nacion_la])</f>
        <v>Helvetia</v>
      </c>
      <c r="N494" t="str">
        <f>_xlfn.XLOOKUP(frasest[[#This Row],[autor_es]],autorest[autor_es],autorest[epoca_es])</f>
        <v>Edad Contemporánea</v>
      </c>
      <c r="O494" t="str">
        <f>_xlfn.XLOOKUP(frasest[[#This Row],[autor_es]],autorest[autor_es],autorest[epoca_la])</f>
        <v>Aetas Contemporanea</v>
      </c>
    </row>
    <row r="495" spans="1:15">
      <c r="A495">
        <v>494</v>
      </c>
      <c r="B495" t="s">
        <v>1358</v>
      </c>
      <c r="C495" t="s">
        <v>1359</v>
      </c>
      <c r="D495" t="s">
        <v>1360</v>
      </c>
      <c r="E495" t="s">
        <v>1345</v>
      </c>
      <c r="F495" t="str">
        <f>_xlfn.XLOOKUP(frasest[[#This Row],[autor_es]],autorest[autor_es],autorest[autor_la])</f>
        <v>Ioannes Piaget</v>
      </c>
      <c r="G495"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5"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5" t="str">
        <f>_xlfn.XLOOKUP(frasest[[#This Row],[autor_es]],autorest[autor_es],autorest[codigo])</f>
        <v>fr</v>
      </c>
      <c r="J495" t="str">
        <f>_xlfn.XLOOKUP(frasest[[#This Row],[autor_es]],autorest[autor_es],autorest[idioma_es])</f>
        <v>Francés</v>
      </c>
      <c r="K495" s="6" t="str">
        <f>_xlfn.XLOOKUP(frasest[[#This Row],[autor_es]],autorest[autor_es],autorest[idioma_la])</f>
        <v>Lingua Gallica</v>
      </c>
      <c r="L495" s="6" t="str">
        <f>_xlfn.XLOOKUP(frasest[[#This Row],[autor_es]],autorest[autor_es],autorest[nacion_es])</f>
        <v>Suiza</v>
      </c>
      <c r="M495" t="str">
        <f>_xlfn.XLOOKUP(frasest[[#This Row],[autor_es]],autorest[autor_es],autorest[nacion_la])</f>
        <v>Helvetia</v>
      </c>
      <c r="N495" t="str">
        <f>_xlfn.XLOOKUP(frasest[[#This Row],[autor_es]],autorest[autor_es],autorest[epoca_es])</f>
        <v>Edad Contemporánea</v>
      </c>
      <c r="O495" t="str">
        <f>_xlfn.XLOOKUP(frasest[[#This Row],[autor_es]],autorest[autor_es],autorest[epoca_la])</f>
        <v>Aetas Contemporanea</v>
      </c>
    </row>
    <row r="496" spans="1:15">
      <c r="A496">
        <v>495</v>
      </c>
      <c r="B496" t="s">
        <v>1361</v>
      </c>
      <c r="C496" t="s">
        <v>1362</v>
      </c>
      <c r="D496" t="s">
        <v>1363</v>
      </c>
      <c r="E496" t="s">
        <v>1364</v>
      </c>
      <c r="F496" t="str">
        <f>_xlfn.XLOOKUP(frasest[[#This Row],[autor_es]],autorest[autor_es],autorest[autor_la])</f>
        <v>Lev Vygotsky</v>
      </c>
      <c r="G496"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6"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6" t="str">
        <f>_xlfn.XLOOKUP(frasest[[#This Row],[autor_es]],autorest[autor_es],autorest[codigo])</f>
        <v>ru</v>
      </c>
      <c r="J496" t="str">
        <f>_xlfn.XLOOKUP(frasest[[#This Row],[autor_es]],autorest[autor_es],autorest[idioma_es])</f>
        <v>Ruso</v>
      </c>
      <c r="K496" s="6" t="str">
        <f>_xlfn.XLOOKUP(frasest[[#This Row],[autor_es]],autorest[autor_es],autorest[idioma_la])</f>
        <v>Lingua Russica</v>
      </c>
      <c r="L496" s="6" t="str">
        <f>_xlfn.XLOOKUP(frasest[[#This Row],[autor_es]],autorest[autor_es],autorest[nacion_es])</f>
        <v>Rusia</v>
      </c>
      <c r="M496" t="str">
        <f>_xlfn.XLOOKUP(frasest[[#This Row],[autor_es]],autorest[autor_es],autorest[nacion_la])</f>
        <v>Russia</v>
      </c>
      <c r="N496" t="str">
        <f>_xlfn.XLOOKUP(frasest[[#This Row],[autor_es]],autorest[autor_es],autorest[epoca_es])</f>
        <v>Edad Contemporánea</v>
      </c>
      <c r="O496" t="str">
        <f>_xlfn.XLOOKUP(frasest[[#This Row],[autor_es]],autorest[autor_es],autorest[epoca_la])</f>
        <v>Aetas Contemporanea</v>
      </c>
    </row>
    <row r="497" spans="1:15">
      <c r="A497">
        <v>496</v>
      </c>
      <c r="B497" t="s">
        <v>1365</v>
      </c>
      <c r="C497" t="s">
        <v>1366</v>
      </c>
      <c r="D497" t="s">
        <v>1367</v>
      </c>
      <c r="E497" t="s">
        <v>1364</v>
      </c>
      <c r="F497" t="str">
        <f>_xlfn.XLOOKUP(frasest[[#This Row],[autor_es]],autorest[autor_es],autorest[autor_la])</f>
        <v>Lev Vygotsky</v>
      </c>
      <c r="G497"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7"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7" t="str">
        <f>_xlfn.XLOOKUP(frasest[[#This Row],[autor_es]],autorest[autor_es],autorest[codigo])</f>
        <v>ru</v>
      </c>
      <c r="J497" t="str">
        <f>_xlfn.XLOOKUP(frasest[[#This Row],[autor_es]],autorest[autor_es],autorest[idioma_es])</f>
        <v>Ruso</v>
      </c>
      <c r="K497" s="6" t="str">
        <f>_xlfn.XLOOKUP(frasest[[#This Row],[autor_es]],autorest[autor_es],autorest[idioma_la])</f>
        <v>Lingua Russica</v>
      </c>
      <c r="L497" s="6" t="str">
        <f>_xlfn.XLOOKUP(frasest[[#This Row],[autor_es]],autorest[autor_es],autorest[nacion_es])</f>
        <v>Rusia</v>
      </c>
      <c r="M497" t="str">
        <f>_xlfn.XLOOKUP(frasest[[#This Row],[autor_es]],autorest[autor_es],autorest[nacion_la])</f>
        <v>Russia</v>
      </c>
      <c r="N497" t="str">
        <f>_xlfn.XLOOKUP(frasest[[#This Row],[autor_es]],autorest[autor_es],autorest[epoca_es])</f>
        <v>Edad Contemporánea</v>
      </c>
      <c r="O497" t="str">
        <f>_xlfn.XLOOKUP(frasest[[#This Row],[autor_es]],autorest[autor_es],autorest[epoca_la])</f>
        <v>Aetas Contemporanea</v>
      </c>
    </row>
    <row r="498" spans="1:15">
      <c r="A498">
        <v>497</v>
      </c>
      <c r="B498" t="s">
        <v>1368</v>
      </c>
      <c r="C498" t="s">
        <v>1369</v>
      </c>
      <c r="D498" t="s">
        <v>1370</v>
      </c>
      <c r="E498" t="s">
        <v>1364</v>
      </c>
      <c r="F498" t="str">
        <f>_xlfn.XLOOKUP(frasest[[#This Row],[autor_es]],autorest[autor_es],autorest[autor_la])</f>
        <v>Lev Vygotsky</v>
      </c>
      <c r="G498"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8"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8" t="str">
        <f>_xlfn.XLOOKUP(frasest[[#This Row],[autor_es]],autorest[autor_es],autorest[codigo])</f>
        <v>ru</v>
      </c>
      <c r="J498" t="str">
        <f>_xlfn.XLOOKUP(frasest[[#This Row],[autor_es]],autorest[autor_es],autorest[idioma_es])</f>
        <v>Ruso</v>
      </c>
      <c r="K498" s="6" t="str">
        <f>_xlfn.XLOOKUP(frasest[[#This Row],[autor_es]],autorest[autor_es],autorest[idioma_la])</f>
        <v>Lingua Russica</v>
      </c>
      <c r="L498" s="6" t="str">
        <f>_xlfn.XLOOKUP(frasest[[#This Row],[autor_es]],autorest[autor_es],autorest[nacion_es])</f>
        <v>Rusia</v>
      </c>
      <c r="M498" t="str">
        <f>_xlfn.XLOOKUP(frasest[[#This Row],[autor_es]],autorest[autor_es],autorest[nacion_la])</f>
        <v>Russia</v>
      </c>
      <c r="N498" t="str">
        <f>_xlfn.XLOOKUP(frasest[[#This Row],[autor_es]],autorest[autor_es],autorest[epoca_es])</f>
        <v>Edad Contemporánea</v>
      </c>
      <c r="O498" t="str">
        <f>_xlfn.XLOOKUP(frasest[[#This Row],[autor_es]],autorest[autor_es],autorest[epoca_la])</f>
        <v>Aetas Contemporanea</v>
      </c>
    </row>
    <row r="499" spans="1:15">
      <c r="A499">
        <v>498</v>
      </c>
      <c r="B499" t="s">
        <v>1371</v>
      </c>
      <c r="C499" t="s">
        <v>1372</v>
      </c>
      <c r="D499" t="s">
        <v>1373</v>
      </c>
      <c r="E499" t="s">
        <v>1364</v>
      </c>
      <c r="F499" t="str">
        <f>_xlfn.XLOOKUP(frasest[[#This Row],[autor_es]],autorest[autor_es],autorest[autor_la])</f>
        <v>Lev Vygotsky</v>
      </c>
      <c r="G499"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9"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9" t="str">
        <f>_xlfn.XLOOKUP(frasest[[#This Row],[autor_es]],autorest[autor_es],autorest[codigo])</f>
        <v>ru</v>
      </c>
      <c r="J499" t="str">
        <f>_xlfn.XLOOKUP(frasest[[#This Row],[autor_es]],autorest[autor_es],autorest[idioma_es])</f>
        <v>Ruso</v>
      </c>
      <c r="K499" s="6" t="str">
        <f>_xlfn.XLOOKUP(frasest[[#This Row],[autor_es]],autorest[autor_es],autorest[idioma_la])</f>
        <v>Lingua Russica</v>
      </c>
      <c r="L499" s="6" t="str">
        <f>_xlfn.XLOOKUP(frasest[[#This Row],[autor_es]],autorest[autor_es],autorest[nacion_es])</f>
        <v>Rusia</v>
      </c>
      <c r="M499" t="str">
        <f>_xlfn.XLOOKUP(frasest[[#This Row],[autor_es]],autorest[autor_es],autorest[nacion_la])</f>
        <v>Russia</v>
      </c>
      <c r="N499" t="str">
        <f>_xlfn.XLOOKUP(frasest[[#This Row],[autor_es]],autorest[autor_es],autorest[epoca_es])</f>
        <v>Edad Contemporánea</v>
      </c>
      <c r="O499" t="str">
        <f>_xlfn.XLOOKUP(frasest[[#This Row],[autor_es]],autorest[autor_es],autorest[epoca_la])</f>
        <v>Aetas Contemporanea</v>
      </c>
    </row>
    <row r="500" spans="1:15">
      <c r="A500">
        <v>499</v>
      </c>
      <c r="B500" t="s">
        <v>1374</v>
      </c>
      <c r="C500" t="s">
        <v>1375</v>
      </c>
      <c r="D500" t="s">
        <v>1376</v>
      </c>
      <c r="E500" t="s">
        <v>1364</v>
      </c>
      <c r="F500" t="str">
        <f>_xlfn.XLOOKUP(frasest[[#This Row],[autor_es]],autorest[autor_es],autorest[autor_la])</f>
        <v>Lev Vygotsky</v>
      </c>
      <c r="G500"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0"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0" t="str">
        <f>_xlfn.XLOOKUP(frasest[[#This Row],[autor_es]],autorest[autor_es],autorest[codigo])</f>
        <v>ru</v>
      </c>
      <c r="J500" t="str">
        <f>_xlfn.XLOOKUP(frasest[[#This Row],[autor_es]],autorest[autor_es],autorest[idioma_es])</f>
        <v>Ruso</v>
      </c>
      <c r="K500" s="6" t="str">
        <f>_xlfn.XLOOKUP(frasest[[#This Row],[autor_es]],autorest[autor_es],autorest[idioma_la])</f>
        <v>Lingua Russica</v>
      </c>
      <c r="L500" s="6" t="str">
        <f>_xlfn.XLOOKUP(frasest[[#This Row],[autor_es]],autorest[autor_es],autorest[nacion_es])</f>
        <v>Rusia</v>
      </c>
      <c r="M500" t="str">
        <f>_xlfn.XLOOKUP(frasest[[#This Row],[autor_es]],autorest[autor_es],autorest[nacion_la])</f>
        <v>Russia</v>
      </c>
      <c r="N500" t="str">
        <f>_xlfn.XLOOKUP(frasest[[#This Row],[autor_es]],autorest[autor_es],autorest[epoca_es])</f>
        <v>Edad Contemporánea</v>
      </c>
      <c r="O500" t="str">
        <f>_xlfn.XLOOKUP(frasest[[#This Row],[autor_es]],autorest[autor_es],autorest[epoca_la])</f>
        <v>Aetas Contemporanea</v>
      </c>
    </row>
    <row r="501" spans="1:15">
      <c r="A501">
        <v>500</v>
      </c>
      <c r="B501" t="s">
        <v>1377</v>
      </c>
      <c r="C501" t="s">
        <v>1378</v>
      </c>
      <c r="D501" t="s">
        <v>1379</v>
      </c>
      <c r="E501" t="s">
        <v>1364</v>
      </c>
      <c r="F501" t="str">
        <f>_xlfn.XLOOKUP(frasest[[#This Row],[autor_es]],autorest[autor_es],autorest[autor_la])</f>
        <v>Lev Vygotsky</v>
      </c>
      <c r="G501"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1"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1" t="str">
        <f>_xlfn.XLOOKUP(frasest[[#This Row],[autor_es]],autorest[autor_es],autorest[codigo])</f>
        <v>ru</v>
      </c>
      <c r="J501" t="str">
        <f>_xlfn.XLOOKUP(frasest[[#This Row],[autor_es]],autorest[autor_es],autorest[idioma_es])</f>
        <v>Ruso</v>
      </c>
      <c r="K501" s="6" t="str">
        <f>_xlfn.XLOOKUP(frasest[[#This Row],[autor_es]],autorest[autor_es],autorest[idioma_la])</f>
        <v>Lingua Russica</v>
      </c>
      <c r="L501" s="6" t="str">
        <f>_xlfn.XLOOKUP(frasest[[#This Row],[autor_es]],autorest[autor_es],autorest[nacion_es])</f>
        <v>Rusia</v>
      </c>
      <c r="M501" t="str">
        <f>_xlfn.XLOOKUP(frasest[[#This Row],[autor_es]],autorest[autor_es],autorest[nacion_la])</f>
        <v>Russia</v>
      </c>
      <c r="N501" t="str">
        <f>_xlfn.XLOOKUP(frasest[[#This Row],[autor_es]],autorest[autor_es],autorest[epoca_es])</f>
        <v>Edad Contemporánea</v>
      </c>
      <c r="O501" t="str">
        <f>_xlfn.XLOOKUP(frasest[[#This Row],[autor_es]],autorest[autor_es],autorest[epoca_la])</f>
        <v>Aetas Contemporanea</v>
      </c>
    </row>
    <row r="502" spans="1:15">
      <c r="A502">
        <v>501</v>
      </c>
      <c r="B502" t="s">
        <v>1380</v>
      </c>
      <c r="C502" t="s">
        <v>1381</v>
      </c>
      <c r="D502" t="s">
        <v>1382</v>
      </c>
      <c r="E502" t="s">
        <v>1383</v>
      </c>
      <c r="F502" t="str">
        <f>_xlfn.XLOOKUP(frasest[[#This Row],[autor_es]],autorest[autor_es],autorest[autor_la])</f>
        <v>Fridericus Froebel</v>
      </c>
      <c r="G502"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2"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2" t="str">
        <f>_xlfn.XLOOKUP(frasest[[#This Row],[autor_es]],autorest[autor_es],autorest[codigo])</f>
        <v>de</v>
      </c>
      <c r="J502" t="str">
        <f>_xlfn.XLOOKUP(frasest[[#This Row],[autor_es]],autorest[autor_es],autorest[idioma_es])</f>
        <v>Alemán</v>
      </c>
      <c r="K502" s="6" t="str">
        <f>_xlfn.XLOOKUP(frasest[[#This Row],[autor_es]],autorest[autor_es],autorest[idioma_la])</f>
        <v>Lingua Germanica</v>
      </c>
      <c r="L502" s="6" t="str">
        <f>_xlfn.XLOOKUP(frasest[[#This Row],[autor_es]],autorest[autor_es],autorest[nacion_es])</f>
        <v>Alemania</v>
      </c>
      <c r="M502" t="str">
        <f>_xlfn.XLOOKUP(frasest[[#This Row],[autor_es]],autorest[autor_es],autorest[nacion_la])</f>
        <v>Germania</v>
      </c>
      <c r="N502" t="str">
        <f>_xlfn.XLOOKUP(frasest[[#This Row],[autor_es]],autorest[autor_es],autorest[epoca_es])</f>
        <v>Edad Moderna</v>
      </c>
      <c r="O502" t="str">
        <f>_xlfn.XLOOKUP(frasest[[#This Row],[autor_es]],autorest[autor_es],autorest[epoca_la])</f>
        <v>Nova Aetas</v>
      </c>
    </row>
    <row r="503" spans="1:15">
      <c r="A503">
        <v>502</v>
      </c>
      <c r="B503" t="s">
        <v>1384</v>
      </c>
      <c r="C503" t="s">
        <v>1385</v>
      </c>
      <c r="D503" t="s">
        <v>1386</v>
      </c>
      <c r="E503" t="s">
        <v>1383</v>
      </c>
      <c r="F503" t="str">
        <f>_xlfn.XLOOKUP(frasest[[#This Row],[autor_es]],autorest[autor_es],autorest[autor_la])</f>
        <v>Fridericus Froebel</v>
      </c>
      <c r="G503"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3"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3" t="str">
        <f>_xlfn.XLOOKUP(frasest[[#This Row],[autor_es]],autorest[autor_es],autorest[codigo])</f>
        <v>de</v>
      </c>
      <c r="J503" t="str">
        <f>_xlfn.XLOOKUP(frasest[[#This Row],[autor_es]],autorest[autor_es],autorest[idioma_es])</f>
        <v>Alemán</v>
      </c>
      <c r="K503" s="6" t="str">
        <f>_xlfn.XLOOKUP(frasest[[#This Row],[autor_es]],autorest[autor_es],autorest[idioma_la])</f>
        <v>Lingua Germanica</v>
      </c>
      <c r="L503" s="6" t="str">
        <f>_xlfn.XLOOKUP(frasest[[#This Row],[autor_es]],autorest[autor_es],autorest[nacion_es])</f>
        <v>Alemania</v>
      </c>
      <c r="M503" t="str">
        <f>_xlfn.XLOOKUP(frasest[[#This Row],[autor_es]],autorest[autor_es],autorest[nacion_la])</f>
        <v>Germania</v>
      </c>
      <c r="N503" t="str">
        <f>_xlfn.XLOOKUP(frasest[[#This Row],[autor_es]],autorest[autor_es],autorest[epoca_es])</f>
        <v>Edad Moderna</v>
      </c>
      <c r="O503" t="str">
        <f>_xlfn.XLOOKUP(frasest[[#This Row],[autor_es]],autorest[autor_es],autorest[epoca_la])</f>
        <v>Nova Aetas</v>
      </c>
    </row>
    <row r="504" spans="1:15">
      <c r="A504">
        <v>503</v>
      </c>
      <c r="B504" t="s">
        <v>1387</v>
      </c>
      <c r="C504" t="s">
        <v>1388</v>
      </c>
      <c r="D504" t="s">
        <v>1389</v>
      </c>
      <c r="E504" t="s">
        <v>1383</v>
      </c>
      <c r="F504" t="str">
        <f>_xlfn.XLOOKUP(frasest[[#This Row],[autor_es]],autorest[autor_es],autorest[autor_la])</f>
        <v>Fridericus Froebel</v>
      </c>
      <c r="G504"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4"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4" t="str">
        <f>_xlfn.XLOOKUP(frasest[[#This Row],[autor_es]],autorest[autor_es],autorest[codigo])</f>
        <v>de</v>
      </c>
      <c r="J504" t="str">
        <f>_xlfn.XLOOKUP(frasest[[#This Row],[autor_es]],autorest[autor_es],autorest[idioma_es])</f>
        <v>Alemán</v>
      </c>
      <c r="K504" s="6" t="str">
        <f>_xlfn.XLOOKUP(frasest[[#This Row],[autor_es]],autorest[autor_es],autorest[idioma_la])</f>
        <v>Lingua Germanica</v>
      </c>
      <c r="L504" s="6" t="str">
        <f>_xlfn.XLOOKUP(frasest[[#This Row],[autor_es]],autorest[autor_es],autorest[nacion_es])</f>
        <v>Alemania</v>
      </c>
      <c r="M504" t="str">
        <f>_xlfn.XLOOKUP(frasest[[#This Row],[autor_es]],autorest[autor_es],autorest[nacion_la])</f>
        <v>Germania</v>
      </c>
      <c r="N504" t="str">
        <f>_xlfn.XLOOKUP(frasest[[#This Row],[autor_es]],autorest[autor_es],autorest[epoca_es])</f>
        <v>Edad Moderna</v>
      </c>
      <c r="O504" t="str">
        <f>_xlfn.XLOOKUP(frasest[[#This Row],[autor_es]],autorest[autor_es],autorest[epoca_la])</f>
        <v>Nova Aetas</v>
      </c>
    </row>
    <row r="505" spans="1:15">
      <c r="A505">
        <v>504</v>
      </c>
      <c r="B505" t="s">
        <v>1390</v>
      </c>
      <c r="C505" t="s">
        <v>1391</v>
      </c>
      <c r="D505" t="s">
        <v>1392</v>
      </c>
      <c r="E505" t="s">
        <v>1383</v>
      </c>
      <c r="F505" t="str">
        <f>_xlfn.XLOOKUP(frasest[[#This Row],[autor_es]],autorest[autor_es],autorest[autor_la])</f>
        <v>Fridericus Froebel</v>
      </c>
      <c r="G505"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5"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5" t="str">
        <f>_xlfn.XLOOKUP(frasest[[#This Row],[autor_es]],autorest[autor_es],autorest[codigo])</f>
        <v>de</v>
      </c>
      <c r="J505" t="str">
        <f>_xlfn.XLOOKUP(frasest[[#This Row],[autor_es]],autorest[autor_es],autorest[idioma_es])</f>
        <v>Alemán</v>
      </c>
      <c r="K505" s="6" t="str">
        <f>_xlfn.XLOOKUP(frasest[[#This Row],[autor_es]],autorest[autor_es],autorest[idioma_la])</f>
        <v>Lingua Germanica</v>
      </c>
      <c r="L505" s="6" t="str">
        <f>_xlfn.XLOOKUP(frasest[[#This Row],[autor_es]],autorest[autor_es],autorest[nacion_es])</f>
        <v>Alemania</v>
      </c>
      <c r="M505" t="str">
        <f>_xlfn.XLOOKUP(frasest[[#This Row],[autor_es]],autorest[autor_es],autorest[nacion_la])</f>
        <v>Germania</v>
      </c>
      <c r="N505" t="str">
        <f>_xlfn.XLOOKUP(frasest[[#This Row],[autor_es]],autorest[autor_es],autorest[epoca_es])</f>
        <v>Edad Moderna</v>
      </c>
      <c r="O505" t="str">
        <f>_xlfn.XLOOKUP(frasest[[#This Row],[autor_es]],autorest[autor_es],autorest[epoca_la])</f>
        <v>Nova Aetas</v>
      </c>
    </row>
    <row r="506" spans="1:15">
      <c r="A506">
        <v>505</v>
      </c>
      <c r="B506" t="s">
        <v>1393</v>
      </c>
      <c r="C506" t="s">
        <v>1394</v>
      </c>
      <c r="D506" t="s">
        <v>1395</v>
      </c>
      <c r="E506" t="s">
        <v>1383</v>
      </c>
      <c r="F506" t="str">
        <f>_xlfn.XLOOKUP(frasest[[#This Row],[autor_es]],autorest[autor_es],autorest[autor_la])</f>
        <v>Fridericus Froebel</v>
      </c>
      <c r="G506"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6"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6" t="str">
        <f>_xlfn.XLOOKUP(frasest[[#This Row],[autor_es]],autorest[autor_es],autorest[codigo])</f>
        <v>de</v>
      </c>
      <c r="J506" t="str">
        <f>_xlfn.XLOOKUP(frasest[[#This Row],[autor_es]],autorest[autor_es],autorest[idioma_es])</f>
        <v>Alemán</v>
      </c>
      <c r="K506" s="6" t="str">
        <f>_xlfn.XLOOKUP(frasest[[#This Row],[autor_es]],autorest[autor_es],autorest[idioma_la])</f>
        <v>Lingua Germanica</v>
      </c>
      <c r="L506" s="6" t="str">
        <f>_xlfn.XLOOKUP(frasest[[#This Row],[autor_es]],autorest[autor_es],autorest[nacion_es])</f>
        <v>Alemania</v>
      </c>
      <c r="M506" t="str">
        <f>_xlfn.XLOOKUP(frasest[[#This Row],[autor_es]],autorest[autor_es],autorest[nacion_la])</f>
        <v>Germania</v>
      </c>
      <c r="N506" t="str">
        <f>_xlfn.XLOOKUP(frasest[[#This Row],[autor_es]],autorest[autor_es],autorest[epoca_es])</f>
        <v>Edad Moderna</v>
      </c>
      <c r="O506" t="str">
        <f>_xlfn.XLOOKUP(frasest[[#This Row],[autor_es]],autorest[autor_es],autorest[epoca_la])</f>
        <v>Nova Aetas</v>
      </c>
    </row>
    <row r="507" spans="1:15">
      <c r="A507">
        <v>506</v>
      </c>
      <c r="B507" t="s">
        <v>1396</v>
      </c>
      <c r="C507" t="s">
        <v>1397</v>
      </c>
      <c r="D507" t="s">
        <v>1398</v>
      </c>
      <c r="E507" t="s">
        <v>1383</v>
      </c>
      <c r="F507" t="str">
        <f>_xlfn.XLOOKUP(frasest[[#This Row],[autor_es]],autorest[autor_es],autorest[autor_la])</f>
        <v>Fridericus Froebel</v>
      </c>
      <c r="G507"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7"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7" t="str">
        <f>_xlfn.XLOOKUP(frasest[[#This Row],[autor_es]],autorest[autor_es],autorest[codigo])</f>
        <v>de</v>
      </c>
      <c r="J507" t="str">
        <f>_xlfn.XLOOKUP(frasest[[#This Row],[autor_es]],autorest[autor_es],autorest[idioma_es])</f>
        <v>Alemán</v>
      </c>
      <c r="K507" s="6" t="str">
        <f>_xlfn.XLOOKUP(frasest[[#This Row],[autor_es]],autorest[autor_es],autorest[idioma_la])</f>
        <v>Lingua Germanica</v>
      </c>
      <c r="L507" s="6" t="str">
        <f>_xlfn.XLOOKUP(frasest[[#This Row],[autor_es]],autorest[autor_es],autorest[nacion_es])</f>
        <v>Alemania</v>
      </c>
      <c r="M507" t="str">
        <f>_xlfn.XLOOKUP(frasest[[#This Row],[autor_es]],autorest[autor_es],autorest[nacion_la])</f>
        <v>Germania</v>
      </c>
      <c r="N507" t="str">
        <f>_xlfn.XLOOKUP(frasest[[#This Row],[autor_es]],autorest[autor_es],autorest[epoca_es])</f>
        <v>Edad Moderna</v>
      </c>
      <c r="O507" t="str">
        <f>_xlfn.XLOOKUP(frasest[[#This Row],[autor_es]],autorest[autor_es],autorest[epoca_la])</f>
        <v>Nova Aetas</v>
      </c>
    </row>
    <row r="508" spans="1:15">
      <c r="A508">
        <v>507</v>
      </c>
      <c r="B508" t="s">
        <v>1399</v>
      </c>
      <c r="C508" t="s">
        <v>1400</v>
      </c>
      <c r="D508" t="s">
        <v>1401</v>
      </c>
      <c r="E508" t="s">
        <v>1402</v>
      </c>
      <c r="F508" t="str">
        <f>_xlfn.XLOOKUP(frasest[[#This Row],[autor_es]],autorest[autor_es],autorest[autor_la])</f>
        <v>Ovidius Decroly</v>
      </c>
      <c r="G508"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8"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8" t="str">
        <f>_xlfn.XLOOKUP(frasest[[#This Row],[autor_es]],autorest[autor_es],autorest[codigo])</f>
        <v>fr</v>
      </c>
      <c r="J508" t="str">
        <f>_xlfn.XLOOKUP(frasest[[#This Row],[autor_es]],autorest[autor_es],autorest[idioma_es])</f>
        <v>Francés</v>
      </c>
      <c r="K508" s="6" t="str">
        <f>_xlfn.XLOOKUP(frasest[[#This Row],[autor_es]],autorest[autor_es],autorest[idioma_la])</f>
        <v>Lingua Gallica</v>
      </c>
      <c r="L508" s="6" t="str">
        <f>_xlfn.XLOOKUP(frasest[[#This Row],[autor_es]],autorest[autor_es],autorest[nacion_es])</f>
        <v>Bélgica</v>
      </c>
      <c r="M508" t="str">
        <f>_xlfn.XLOOKUP(frasest[[#This Row],[autor_es]],autorest[autor_es],autorest[nacion_la])</f>
        <v>Belgica</v>
      </c>
      <c r="N508" t="str">
        <f>_xlfn.XLOOKUP(frasest[[#This Row],[autor_es]],autorest[autor_es],autorest[epoca_es])</f>
        <v>Edad Contemporánea</v>
      </c>
      <c r="O508" t="str">
        <f>_xlfn.XLOOKUP(frasest[[#This Row],[autor_es]],autorest[autor_es],autorest[epoca_la])</f>
        <v>Aetas Contemporanea</v>
      </c>
    </row>
    <row r="509" spans="1:15">
      <c r="A509">
        <v>508</v>
      </c>
      <c r="B509" t="s">
        <v>1403</v>
      </c>
      <c r="C509" t="s">
        <v>1404</v>
      </c>
      <c r="D509" t="s">
        <v>1405</v>
      </c>
      <c r="E509" t="s">
        <v>1402</v>
      </c>
      <c r="F509" t="str">
        <f>_xlfn.XLOOKUP(frasest[[#This Row],[autor_es]],autorest[autor_es],autorest[autor_la])</f>
        <v>Ovidius Decroly</v>
      </c>
      <c r="G509"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9"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9" t="str">
        <f>_xlfn.XLOOKUP(frasest[[#This Row],[autor_es]],autorest[autor_es],autorest[codigo])</f>
        <v>fr</v>
      </c>
      <c r="J509" t="str">
        <f>_xlfn.XLOOKUP(frasest[[#This Row],[autor_es]],autorest[autor_es],autorest[idioma_es])</f>
        <v>Francés</v>
      </c>
      <c r="K509" s="6" t="str">
        <f>_xlfn.XLOOKUP(frasest[[#This Row],[autor_es]],autorest[autor_es],autorest[idioma_la])</f>
        <v>Lingua Gallica</v>
      </c>
      <c r="L509" s="6" t="str">
        <f>_xlfn.XLOOKUP(frasest[[#This Row],[autor_es]],autorest[autor_es],autorest[nacion_es])</f>
        <v>Bélgica</v>
      </c>
      <c r="M509" t="str">
        <f>_xlfn.XLOOKUP(frasest[[#This Row],[autor_es]],autorest[autor_es],autorest[nacion_la])</f>
        <v>Belgica</v>
      </c>
      <c r="N509" t="str">
        <f>_xlfn.XLOOKUP(frasest[[#This Row],[autor_es]],autorest[autor_es],autorest[epoca_es])</f>
        <v>Edad Contemporánea</v>
      </c>
      <c r="O509" t="str">
        <f>_xlfn.XLOOKUP(frasest[[#This Row],[autor_es]],autorest[autor_es],autorest[epoca_la])</f>
        <v>Aetas Contemporanea</v>
      </c>
    </row>
    <row r="510" spans="1:15">
      <c r="A510">
        <v>509</v>
      </c>
      <c r="B510" t="s">
        <v>1406</v>
      </c>
      <c r="C510" t="s">
        <v>1407</v>
      </c>
      <c r="D510" t="s">
        <v>1408</v>
      </c>
      <c r="E510" t="s">
        <v>1402</v>
      </c>
      <c r="F510" t="str">
        <f>_xlfn.XLOOKUP(frasest[[#This Row],[autor_es]],autorest[autor_es],autorest[autor_la])</f>
        <v>Ovidius Decroly</v>
      </c>
      <c r="G510"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0"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0" t="str">
        <f>_xlfn.XLOOKUP(frasest[[#This Row],[autor_es]],autorest[autor_es],autorest[codigo])</f>
        <v>fr</v>
      </c>
      <c r="J510" t="str">
        <f>_xlfn.XLOOKUP(frasest[[#This Row],[autor_es]],autorest[autor_es],autorest[idioma_es])</f>
        <v>Francés</v>
      </c>
      <c r="K510" s="6" t="str">
        <f>_xlfn.XLOOKUP(frasest[[#This Row],[autor_es]],autorest[autor_es],autorest[idioma_la])</f>
        <v>Lingua Gallica</v>
      </c>
      <c r="L510" s="6" t="str">
        <f>_xlfn.XLOOKUP(frasest[[#This Row],[autor_es]],autorest[autor_es],autorest[nacion_es])</f>
        <v>Bélgica</v>
      </c>
      <c r="M510" t="str">
        <f>_xlfn.XLOOKUP(frasest[[#This Row],[autor_es]],autorest[autor_es],autorest[nacion_la])</f>
        <v>Belgica</v>
      </c>
      <c r="N510" t="str">
        <f>_xlfn.XLOOKUP(frasest[[#This Row],[autor_es]],autorest[autor_es],autorest[epoca_es])</f>
        <v>Edad Contemporánea</v>
      </c>
      <c r="O510" t="str">
        <f>_xlfn.XLOOKUP(frasest[[#This Row],[autor_es]],autorest[autor_es],autorest[epoca_la])</f>
        <v>Aetas Contemporanea</v>
      </c>
    </row>
    <row r="511" spans="1:15">
      <c r="A511">
        <v>510</v>
      </c>
      <c r="B511" t="s">
        <v>1409</v>
      </c>
      <c r="C511" t="s">
        <v>1410</v>
      </c>
      <c r="D511" t="s">
        <v>1411</v>
      </c>
      <c r="E511" t="s">
        <v>1402</v>
      </c>
      <c r="F511" t="str">
        <f>_xlfn.XLOOKUP(frasest[[#This Row],[autor_es]],autorest[autor_es],autorest[autor_la])</f>
        <v>Ovidius Decroly</v>
      </c>
      <c r="G511"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1"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1" t="str">
        <f>_xlfn.XLOOKUP(frasest[[#This Row],[autor_es]],autorest[autor_es],autorest[codigo])</f>
        <v>fr</v>
      </c>
      <c r="J511" t="str">
        <f>_xlfn.XLOOKUP(frasest[[#This Row],[autor_es]],autorest[autor_es],autorest[idioma_es])</f>
        <v>Francés</v>
      </c>
      <c r="K511" s="6" t="str">
        <f>_xlfn.XLOOKUP(frasest[[#This Row],[autor_es]],autorest[autor_es],autorest[idioma_la])</f>
        <v>Lingua Gallica</v>
      </c>
      <c r="L511" s="6" t="str">
        <f>_xlfn.XLOOKUP(frasest[[#This Row],[autor_es]],autorest[autor_es],autorest[nacion_es])</f>
        <v>Bélgica</v>
      </c>
      <c r="M511" t="str">
        <f>_xlfn.XLOOKUP(frasest[[#This Row],[autor_es]],autorest[autor_es],autorest[nacion_la])</f>
        <v>Belgica</v>
      </c>
      <c r="N511" t="str">
        <f>_xlfn.XLOOKUP(frasest[[#This Row],[autor_es]],autorest[autor_es],autorest[epoca_es])</f>
        <v>Edad Contemporánea</v>
      </c>
      <c r="O511" t="str">
        <f>_xlfn.XLOOKUP(frasest[[#This Row],[autor_es]],autorest[autor_es],autorest[epoca_la])</f>
        <v>Aetas Contemporanea</v>
      </c>
    </row>
    <row r="512" spans="1:15">
      <c r="A512">
        <v>511</v>
      </c>
      <c r="B512" t="s">
        <v>1412</v>
      </c>
      <c r="C512" t="s">
        <v>1413</v>
      </c>
      <c r="D512" t="s">
        <v>1414</v>
      </c>
      <c r="E512" t="s">
        <v>1402</v>
      </c>
      <c r="F512" t="str">
        <f>_xlfn.XLOOKUP(frasest[[#This Row],[autor_es]],autorest[autor_es],autorest[autor_la])</f>
        <v>Ovidius Decroly</v>
      </c>
      <c r="G512"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2"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2" t="str">
        <f>_xlfn.XLOOKUP(frasest[[#This Row],[autor_es]],autorest[autor_es],autorest[codigo])</f>
        <v>fr</v>
      </c>
      <c r="J512" t="str">
        <f>_xlfn.XLOOKUP(frasest[[#This Row],[autor_es]],autorest[autor_es],autorest[idioma_es])</f>
        <v>Francés</v>
      </c>
      <c r="K512" s="6" t="str">
        <f>_xlfn.XLOOKUP(frasest[[#This Row],[autor_es]],autorest[autor_es],autorest[idioma_la])</f>
        <v>Lingua Gallica</v>
      </c>
      <c r="L512" s="6" t="str">
        <f>_xlfn.XLOOKUP(frasest[[#This Row],[autor_es]],autorest[autor_es],autorest[nacion_es])</f>
        <v>Bélgica</v>
      </c>
      <c r="M512" t="str">
        <f>_xlfn.XLOOKUP(frasest[[#This Row],[autor_es]],autorest[autor_es],autorest[nacion_la])</f>
        <v>Belgica</v>
      </c>
      <c r="N512" t="str">
        <f>_xlfn.XLOOKUP(frasest[[#This Row],[autor_es]],autorest[autor_es],autorest[epoca_es])</f>
        <v>Edad Contemporánea</v>
      </c>
      <c r="O512" t="str">
        <f>_xlfn.XLOOKUP(frasest[[#This Row],[autor_es]],autorest[autor_es],autorest[epoca_la])</f>
        <v>Aetas Contemporanea</v>
      </c>
    </row>
    <row r="513" spans="1:15">
      <c r="A513">
        <v>512</v>
      </c>
      <c r="B513" t="s">
        <v>1415</v>
      </c>
      <c r="C513" t="s">
        <v>1416</v>
      </c>
      <c r="D513" t="s">
        <v>1417</v>
      </c>
      <c r="E513" t="s">
        <v>1402</v>
      </c>
      <c r="F513" t="str">
        <f>_xlfn.XLOOKUP(frasest[[#This Row],[autor_es]],autorest[autor_es],autorest[autor_la])</f>
        <v>Ovidius Decroly</v>
      </c>
      <c r="G513"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3"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3" t="str">
        <f>_xlfn.XLOOKUP(frasest[[#This Row],[autor_es]],autorest[autor_es],autorest[codigo])</f>
        <v>fr</v>
      </c>
      <c r="J513" t="str">
        <f>_xlfn.XLOOKUP(frasest[[#This Row],[autor_es]],autorest[autor_es],autorest[idioma_es])</f>
        <v>Francés</v>
      </c>
      <c r="K513" s="6" t="str">
        <f>_xlfn.XLOOKUP(frasest[[#This Row],[autor_es]],autorest[autor_es],autorest[idioma_la])</f>
        <v>Lingua Gallica</v>
      </c>
      <c r="L513" s="6" t="str">
        <f>_xlfn.XLOOKUP(frasest[[#This Row],[autor_es]],autorest[autor_es],autorest[nacion_es])</f>
        <v>Bélgica</v>
      </c>
      <c r="M513" t="str">
        <f>_xlfn.XLOOKUP(frasest[[#This Row],[autor_es]],autorest[autor_es],autorest[nacion_la])</f>
        <v>Belgica</v>
      </c>
      <c r="N513" t="str">
        <f>_xlfn.XLOOKUP(frasest[[#This Row],[autor_es]],autorest[autor_es],autorest[epoca_es])</f>
        <v>Edad Contemporánea</v>
      </c>
      <c r="O513" t="str">
        <f>_xlfn.XLOOKUP(frasest[[#This Row],[autor_es]],autorest[autor_es],autorest[epoca_la])</f>
        <v>Aetas Contemporanea</v>
      </c>
    </row>
    <row r="514" spans="1:15">
      <c r="A514">
        <v>513</v>
      </c>
      <c r="B514" t="s">
        <v>1418</v>
      </c>
      <c r="C514" t="s">
        <v>1419</v>
      </c>
      <c r="D514" t="s">
        <v>1420</v>
      </c>
      <c r="E514" t="s">
        <v>1421</v>
      </c>
      <c r="F514" t="str">
        <f>_xlfn.XLOOKUP(frasest[[#This Row],[autor_es]],autorest[autor_es],autorest[autor_la])</f>
        <v>Sanctus Philippus Nerius</v>
      </c>
      <c r="G514"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4"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4" t="str">
        <f>_xlfn.XLOOKUP(frasest[[#This Row],[autor_es]],autorest[autor_es],autorest[codigo])</f>
        <v>it</v>
      </c>
      <c r="J514" t="str">
        <f>_xlfn.XLOOKUP(frasest[[#This Row],[autor_es]],autorest[autor_es],autorest[idioma_es])</f>
        <v>Italiano</v>
      </c>
      <c r="K514" s="6" t="str">
        <f>_xlfn.XLOOKUP(frasest[[#This Row],[autor_es]],autorest[autor_es],autorest[idioma_la])</f>
        <v>Lingua Italica</v>
      </c>
      <c r="L514" s="6" t="str">
        <f>_xlfn.XLOOKUP(frasest[[#This Row],[autor_es]],autorest[autor_es],autorest[nacion_es])</f>
        <v>Italia</v>
      </c>
      <c r="M514" t="str">
        <f>_xlfn.XLOOKUP(frasest[[#This Row],[autor_es]],autorest[autor_es],autorest[nacion_la])</f>
        <v>Italia</v>
      </c>
      <c r="N514" t="str">
        <f>_xlfn.XLOOKUP(frasest[[#This Row],[autor_es]],autorest[autor_es],autorest[epoca_es])</f>
        <v>Edad Moderna</v>
      </c>
      <c r="O514" t="str">
        <f>_xlfn.XLOOKUP(frasest[[#This Row],[autor_es]],autorest[autor_es],autorest[epoca_la])</f>
        <v>Nova Aetas</v>
      </c>
    </row>
    <row r="515" spans="1:15">
      <c r="A515">
        <v>514</v>
      </c>
      <c r="B515" t="s">
        <v>1422</v>
      </c>
      <c r="C515" t="s">
        <v>1423</v>
      </c>
      <c r="D515" t="s">
        <v>1424</v>
      </c>
      <c r="E515" t="s">
        <v>1421</v>
      </c>
      <c r="F515" t="str">
        <f>_xlfn.XLOOKUP(frasest[[#This Row],[autor_es]],autorest[autor_es],autorest[autor_la])</f>
        <v>Sanctus Philippus Nerius</v>
      </c>
      <c r="G515"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5"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5" t="str">
        <f>_xlfn.XLOOKUP(frasest[[#This Row],[autor_es]],autorest[autor_es],autorest[codigo])</f>
        <v>it</v>
      </c>
      <c r="J515" t="str">
        <f>_xlfn.XLOOKUP(frasest[[#This Row],[autor_es]],autorest[autor_es],autorest[idioma_es])</f>
        <v>Italiano</v>
      </c>
      <c r="K515" s="6" t="str">
        <f>_xlfn.XLOOKUP(frasest[[#This Row],[autor_es]],autorest[autor_es],autorest[idioma_la])</f>
        <v>Lingua Italica</v>
      </c>
      <c r="L515" s="6" t="str">
        <f>_xlfn.XLOOKUP(frasest[[#This Row],[autor_es]],autorest[autor_es],autorest[nacion_es])</f>
        <v>Italia</v>
      </c>
      <c r="M515" t="str">
        <f>_xlfn.XLOOKUP(frasest[[#This Row],[autor_es]],autorest[autor_es],autorest[nacion_la])</f>
        <v>Italia</v>
      </c>
      <c r="N515" t="str">
        <f>_xlfn.XLOOKUP(frasest[[#This Row],[autor_es]],autorest[autor_es],autorest[epoca_es])</f>
        <v>Edad Moderna</v>
      </c>
      <c r="O515" t="str">
        <f>_xlfn.XLOOKUP(frasest[[#This Row],[autor_es]],autorest[autor_es],autorest[epoca_la])</f>
        <v>Nova Aetas</v>
      </c>
    </row>
    <row r="516" spans="1:15">
      <c r="A516">
        <v>515</v>
      </c>
      <c r="B516" t="s">
        <v>1425</v>
      </c>
      <c r="C516" t="s">
        <v>1426</v>
      </c>
      <c r="D516" t="s">
        <v>1427</v>
      </c>
      <c r="E516" t="s">
        <v>1421</v>
      </c>
      <c r="F516" t="str">
        <f>_xlfn.XLOOKUP(frasest[[#This Row],[autor_es]],autorest[autor_es],autorest[autor_la])</f>
        <v>Sanctus Philippus Nerius</v>
      </c>
      <c r="G516"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6"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6" t="str">
        <f>_xlfn.XLOOKUP(frasest[[#This Row],[autor_es]],autorest[autor_es],autorest[codigo])</f>
        <v>it</v>
      </c>
      <c r="J516" t="str">
        <f>_xlfn.XLOOKUP(frasest[[#This Row],[autor_es]],autorest[autor_es],autorest[idioma_es])</f>
        <v>Italiano</v>
      </c>
      <c r="K516" s="6" t="str">
        <f>_xlfn.XLOOKUP(frasest[[#This Row],[autor_es]],autorest[autor_es],autorest[idioma_la])</f>
        <v>Lingua Italica</v>
      </c>
      <c r="L516" s="6" t="str">
        <f>_xlfn.XLOOKUP(frasest[[#This Row],[autor_es]],autorest[autor_es],autorest[nacion_es])</f>
        <v>Italia</v>
      </c>
      <c r="M516" t="str">
        <f>_xlfn.XLOOKUP(frasest[[#This Row],[autor_es]],autorest[autor_es],autorest[nacion_la])</f>
        <v>Italia</v>
      </c>
      <c r="N516" t="str">
        <f>_xlfn.XLOOKUP(frasest[[#This Row],[autor_es]],autorest[autor_es],autorest[epoca_es])</f>
        <v>Edad Moderna</v>
      </c>
      <c r="O516" t="str">
        <f>_xlfn.XLOOKUP(frasest[[#This Row],[autor_es]],autorest[autor_es],autorest[epoca_la])</f>
        <v>Nova Aetas</v>
      </c>
    </row>
    <row r="517" spans="1:15">
      <c r="A517">
        <v>516</v>
      </c>
      <c r="B517" t="s">
        <v>1428</v>
      </c>
      <c r="C517" t="s">
        <v>1429</v>
      </c>
      <c r="D517" t="s">
        <v>1430</v>
      </c>
      <c r="E517" t="s">
        <v>1421</v>
      </c>
      <c r="F517" t="str">
        <f>_xlfn.XLOOKUP(frasest[[#This Row],[autor_es]],autorest[autor_es],autorest[autor_la])</f>
        <v>Sanctus Philippus Nerius</v>
      </c>
      <c r="G517"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7"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7" t="str">
        <f>_xlfn.XLOOKUP(frasest[[#This Row],[autor_es]],autorest[autor_es],autorest[codigo])</f>
        <v>it</v>
      </c>
      <c r="J517" t="str">
        <f>_xlfn.XLOOKUP(frasest[[#This Row],[autor_es]],autorest[autor_es],autorest[idioma_es])</f>
        <v>Italiano</v>
      </c>
      <c r="K517" s="6" t="str">
        <f>_xlfn.XLOOKUP(frasest[[#This Row],[autor_es]],autorest[autor_es],autorest[idioma_la])</f>
        <v>Lingua Italica</v>
      </c>
      <c r="L517" s="6" t="str">
        <f>_xlfn.XLOOKUP(frasest[[#This Row],[autor_es]],autorest[autor_es],autorest[nacion_es])</f>
        <v>Italia</v>
      </c>
      <c r="M517" t="str">
        <f>_xlfn.XLOOKUP(frasest[[#This Row],[autor_es]],autorest[autor_es],autorest[nacion_la])</f>
        <v>Italia</v>
      </c>
      <c r="N517" t="str">
        <f>_xlfn.XLOOKUP(frasest[[#This Row],[autor_es]],autorest[autor_es],autorest[epoca_es])</f>
        <v>Edad Moderna</v>
      </c>
      <c r="O517" t="str">
        <f>_xlfn.XLOOKUP(frasest[[#This Row],[autor_es]],autorest[autor_es],autorest[epoca_la])</f>
        <v>Nova Aetas</v>
      </c>
    </row>
    <row r="518" spans="1:15">
      <c r="A518">
        <v>517</v>
      </c>
      <c r="B518" t="s">
        <v>1431</v>
      </c>
      <c r="C518" t="s">
        <v>1432</v>
      </c>
      <c r="D518" t="s">
        <v>1433</v>
      </c>
      <c r="E518" t="s">
        <v>1421</v>
      </c>
      <c r="F518" t="str">
        <f>_xlfn.XLOOKUP(frasest[[#This Row],[autor_es]],autorest[autor_es],autorest[autor_la])</f>
        <v>Sanctus Philippus Nerius</v>
      </c>
      <c r="G518"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8"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8" t="str">
        <f>_xlfn.XLOOKUP(frasest[[#This Row],[autor_es]],autorest[autor_es],autorest[codigo])</f>
        <v>it</v>
      </c>
      <c r="J518" t="str">
        <f>_xlfn.XLOOKUP(frasest[[#This Row],[autor_es]],autorest[autor_es],autorest[idioma_es])</f>
        <v>Italiano</v>
      </c>
      <c r="K518" s="6" t="str">
        <f>_xlfn.XLOOKUP(frasest[[#This Row],[autor_es]],autorest[autor_es],autorest[idioma_la])</f>
        <v>Lingua Italica</v>
      </c>
      <c r="L518" s="6" t="str">
        <f>_xlfn.XLOOKUP(frasest[[#This Row],[autor_es]],autorest[autor_es],autorest[nacion_es])</f>
        <v>Italia</v>
      </c>
      <c r="M518" t="str">
        <f>_xlfn.XLOOKUP(frasest[[#This Row],[autor_es]],autorest[autor_es],autorest[nacion_la])</f>
        <v>Italia</v>
      </c>
      <c r="N518" t="str">
        <f>_xlfn.XLOOKUP(frasest[[#This Row],[autor_es]],autorest[autor_es],autorest[epoca_es])</f>
        <v>Edad Moderna</v>
      </c>
      <c r="O518" t="str">
        <f>_xlfn.XLOOKUP(frasest[[#This Row],[autor_es]],autorest[autor_es],autorest[epoca_la])</f>
        <v>Nova Aetas</v>
      </c>
    </row>
    <row r="519" spans="1:15">
      <c r="A519">
        <v>518</v>
      </c>
      <c r="B519" t="s">
        <v>1434</v>
      </c>
      <c r="C519" t="s">
        <v>1435</v>
      </c>
      <c r="D519" t="s">
        <v>1436</v>
      </c>
      <c r="E519" t="s">
        <v>1421</v>
      </c>
      <c r="F519" t="str">
        <f>_xlfn.XLOOKUP(frasest[[#This Row],[autor_es]],autorest[autor_es],autorest[autor_la])</f>
        <v>Sanctus Philippus Nerius</v>
      </c>
      <c r="G519"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9"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9" t="str">
        <f>_xlfn.XLOOKUP(frasest[[#This Row],[autor_es]],autorest[autor_es],autorest[codigo])</f>
        <v>it</v>
      </c>
      <c r="J519" t="str">
        <f>_xlfn.XLOOKUP(frasest[[#This Row],[autor_es]],autorest[autor_es],autorest[idioma_es])</f>
        <v>Italiano</v>
      </c>
      <c r="K519" s="6" t="str">
        <f>_xlfn.XLOOKUP(frasest[[#This Row],[autor_es]],autorest[autor_es],autorest[idioma_la])</f>
        <v>Lingua Italica</v>
      </c>
      <c r="L519" s="6" t="str">
        <f>_xlfn.XLOOKUP(frasest[[#This Row],[autor_es]],autorest[autor_es],autorest[nacion_es])</f>
        <v>Italia</v>
      </c>
      <c r="M519" t="str">
        <f>_xlfn.XLOOKUP(frasest[[#This Row],[autor_es]],autorest[autor_es],autorest[nacion_la])</f>
        <v>Italia</v>
      </c>
      <c r="N519" t="str">
        <f>_xlfn.XLOOKUP(frasest[[#This Row],[autor_es]],autorest[autor_es],autorest[epoca_es])</f>
        <v>Edad Moderna</v>
      </c>
      <c r="O519" t="str">
        <f>_xlfn.XLOOKUP(frasest[[#This Row],[autor_es]],autorest[autor_es],autorest[epoca_la])</f>
        <v>Nova Aetas</v>
      </c>
    </row>
    <row r="520" spans="1:15">
      <c r="A520">
        <v>519</v>
      </c>
      <c r="B520" t="s">
        <v>1437</v>
      </c>
      <c r="C520" t="s">
        <v>1438</v>
      </c>
      <c r="D520" t="s">
        <v>1439</v>
      </c>
      <c r="E520" t="s">
        <v>1421</v>
      </c>
      <c r="F520" t="str">
        <f>_xlfn.XLOOKUP(frasest[[#This Row],[autor_es]],autorest[autor_es],autorest[autor_la])</f>
        <v>Sanctus Philippus Nerius</v>
      </c>
      <c r="G520"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0"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0" t="str">
        <f>_xlfn.XLOOKUP(frasest[[#This Row],[autor_es]],autorest[autor_es],autorest[codigo])</f>
        <v>it</v>
      </c>
      <c r="J520" t="str">
        <f>_xlfn.XLOOKUP(frasest[[#This Row],[autor_es]],autorest[autor_es],autorest[idioma_es])</f>
        <v>Italiano</v>
      </c>
      <c r="K520" s="6" t="str">
        <f>_xlfn.XLOOKUP(frasest[[#This Row],[autor_es]],autorest[autor_es],autorest[idioma_la])</f>
        <v>Lingua Italica</v>
      </c>
      <c r="L520" s="6" t="str">
        <f>_xlfn.XLOOKUP(frasest[[#This Row],[autor_es]],autorest[autor_es],autorest[nacion_es])</f>
        <v>Italia</v>
      </c>
      <c r="M520" t="str">
        <f>_xlfn.XLOOKUP(frasest[[#This Row],[autor_es]],autorest[autor_es],autorest[nacion_la])</f>
        <v>Italia</v>
      </c>
      <c r="N520" t="str">
        <f>_xlfn.XLOOKUP(frasest[[#This Row],[autor_es]],autorest[autor_es],autorest[epoca_es])</f>
        <v>Edad Moderna</v>
      </c>
      <c r="O520" t="str">
        <f>_xlfn.XLOOKUP(frasest[[#This Row],[autor_es]],autorest[autor_es],autorest[epoca_la])</f>
        <v>Nova Aetas</v>
      </c>
    </row>
    <row r="521" spans="1:15">
      <c r="A521">
        <v>520</v>
      </c>
      <c r="B521" t="s">
        <v>1440</v>
      </c>
      <c r="C521" t="s">
        <v>1441</v>
      </c>
      <c r="D521" t="s">
        <v>1442</v>
      </c>
      <c r="E521" t="s">
        <v>1421</v>
      </c>
      <c r="F521" t="str">
        <f>_xlfn.XLOOKUP(frasest[[#This Row],[autor_es]],autorest[autor_es],autorest[autor_la])</f>
        <v>Sanctus Philippus Nerius</v>
      </c>
      <c r="G521"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1"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1" t="str">
        <f>_xlfn.XLOOKUP(frasest[[#This Row],[autor_es]],autorest[autor_es],autorest[codigo])</f>
        <v>it</v>
      </c>
      <c r="J521" t="str">
        <f>_xlfn.XLOOKUP(frasest[[#This Row],[autor_es]],autorest[autor_es],autorest[idioma_es])</f>
        <v>Italiano</v>
      </c>
      <c r="K521" s="6" t="str">
        <f>_xlfn.XLOOKUP(frasest[[#This Row],[autor_es]],autorest[autor_es],autorest[idioma_la])</f>
        <v>Lingua Italica</v>
      </c>
      <c r="L521" s="6" t="str">
        <f>_xlfn.XLOOKUP(frasest[[#This Row],[autor_es]],autorest[autor_es],autorest[nacion_es])</f>
        <v>Italia</v>
      </c>
      <c r="M521" t="str">
        <f>_xlfn.XLOOKUP(frasest[[#This Row],[autor_es]],autorest[autor_es],autorest[nacion_la])</f>
        <v>Italia</v>
      </c>
      <c r="N521" t="str">
        <f>_xlfn.XLOOKUP(frasest[[#This Row],[autor_es]],autorest[autor_es],autorest[epoca_es])</f>
        <v>Edad Moderna</v>
      </c>
      <c r="O521" t="str">
        <f>_xlfn.XLOOKUP(frasest[[#This Row],[autor_es]],autorest[autor_es],autorest[epoca_la])</f>
        <v>Nova Aetas</v>
      </c>
    </row>
    <row r="522" spans="1:15">
      <c r="A522">
        <v>521</v>
      </c>
      <c r="B522" t="s">
        <v>1443</v>
      </c>
      <c r="C522" t="s">
        <v>1444</v>
      </c>
      <c r="D522" t="s">
        <v>1445</v>
      </c>
      <c r="E522" t="s">
        <v>1446</v>
      </c>
      <c r="F522" t="str">
        <f>_xlfn.XLOOKUP(frasest[[#This Row],[autor_es]],autorest[autor_es],autorest[autor_la])</f>
        <v xml:space="preserve">Teresia Benedicta a Cruce </v>
      </c>
      <c r="G522"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2"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2" t="str">
        <f>_xlfn.XLOOKUP(frasest[[#This Row],[autor_es]],autorest[autor_es],autorest[codigo])</f>
        <v>de</v>
      </c>
      <c r="J522" t="str">
        <f>_xlfn.XLOOKUP(frasest[[#This Row],[autor_es]],autorest[autor_es],autorest[idioma_es])</f>
        <v>Alemán</v>
      </c>
      <c r="K522" s="6" t="str">
        <f>_xlfn.XLOOKUP(frasest[[#This Row],[autor_es]],autorest[autor_es],autorest[idioma_la])</f>
        <v>Lingua Germanica</v>
      </c>
      <c r="L522" s="6" t="str">
        <f>_xlfn.XLOOKUP(frasest[[#This Row],[autor_es]],autorest[autor_es],autorest[nacion_es])</f>
        <v>Alemania</v>
      </c>
      <c r="M522" t="str">
        <f>_xlfn.XLOOKUP(frasest[[#This Row],[autor_es]],autorest[autor_es],autorest[nacion_la])</f>
        <v>Germania</v>
      </c>
      <c r="N522" t="str">
        <f>_xlfn.XLOOKUP(frasest[[#This Row],[autor_es]],autorest[autor_es],autorest[epoca_es])</f>
        <v>Edad Contemporánea</v>
      </c>
      <c r="O522" t="str">
        <f>_xlfn.XLOOKUP(frasest[[#This Row],[autor_es]],autorest[autor_es],autorest[epoca_la])</f>
        <v>Aetas Contemporanea</v>
      </c>
    </row>
    <row r="523" spans="1:15">
      <c r="A523">
        <v>522</v>
      </c>
      <c r="B523" t="s">
        <v>1447</v>
      </c>
      <c r="C523" t="s">
        <v>1448</v>
      </c>
      <c r="D523" t="s">
        <v>1449</v>
      </c>
      <c r="E523" t="s">
        <v>1446</v>
      </c>
      <c r="F523" t="str">
        <f>_xlfn.XLOOKUP(frasest[[#This Row],[autor_es]],autorest[autor_es],autorest[autor_la])</f>
        <v xml:space="preserve">Teresia Benedicta a Cruce </v>
      </c>
      <c r="G523"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3"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3" t="str">
        <f>_xlfn.XLOOKUP(frasest[[#This Row],[autor_es]],autorest[autor_es],autorest[codigo])</f>
        <v>de</v>
      </c>
      <c r="J523" t="str">
        <f>_xlfn.XLOOKUP(frasest[[#This Row],[autor_es]],autorest[autor_es],autorest[idioma_es])</f>
        <v>Alemán</v>
      </c>
      <c r="K523" s="6" t="str">
        <f>_xlfn.XLOOKUP(frasest[[#This Row],[autor_es]],autorest[autor_es],autorest[idioma_la])</f>
        <v>Lingua Germanica</v>
      </c>
      <c r="L523" s="6" t="str">
        <f>_xlfn.XLOOKUP(frasest[[#This Row],[autor_es]],autorest[autor_es],autorest[nacion_es])</f>
        <v>Alemania</v>
      </c>
      <c r="M523" t="str">
        <f>_xlfn.XLOOKUP(frasest[[#This Row],[autor_es]],autorest[autor_es],autorest[nacion_la])</f>
        <v>Germania</v>
      </c>
      <c r="N523" t="str">
        <f>_xlfn.XLOOKUP(frasest[[#This Row],[autor_es]],autorest[autor_es],autorest[epoca_es])</f>
        <v>Edad Contemporánea</v>
      </c>
      <c r="O523" t="str">
        <f>_xlfn.XLOOKUP(frasest[[#This Row],[autor_es]],autorest[autor_es],autorest[epoca_la])</f>
        <v>Aetas Contemporanea</v>
      </c>
    </row>
    <row r="524" spans="1:15">
      <c r="A524">
        <v>523</v>
      </c>
      <c r="B524" t="s">
        <v>1450</v>
      </c>
      <c r="C524" t="s">
        <v>1451</v>
      </c>
      <c r="D524" t="s">
        <v>1452</v>
      </c>
      <c r="E524" t="s">
        <v>1446</v>
      </c>
      <c r="F524" t="str">
        <f>_xlfn.XLOOKUP(frasest[[#This Row],[autor_es]],autorest[autor_es],autorest[autor_la])</f>
        <v xml:space="preserve">Teresia Benedicta a Cruce </v>
      </c>
      <c r="G524"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4"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4" t="str">
        <f>_xlfn.XLOOKUP(frasest[[#This Row],[autor_es]],autorest[autor_es],autorest[codigo])</f>
        <v>de</v>
      </c>
      <c r="J524" t="str">
        <f>_xlfn.XLOOKUP(frasest[[#This Row],[autor_es]],autorest[autor_es],autorest[idioma_es])</f>
        <v>Alemán</v>
      </c>
      <c r="K524" s="6" t="str">
        <f>_xlfn.XLOOKUP(frasest[[#This Row],[autor_es]],autorest[autor_es],autorest[idioma_la])</f>
        <v>Lingua Germanica</v>
      </c>
      <c r="L524" s="6" t="str">
        <f>_xlfn.XLOOKUP(frasest[[#This Row],[autor_es]],autorest[autor_es],autorest[nacion_es])</f>
        <v>Alemania</v>
      </c>
      <c r="M524" t="str">
        <f>_xlfn.XLOOKUP(frasest[[#This Row],[autor_es]],autorest[autor_es],autorest[nacion_la])</f>
        <v>Germania</v>
      </c>
      <c r="N524" t="str">
        <f>_xlfn.XLOOKUP(frasest[[#This Row],[autor_es]],autorest[autor_es],autorest[epoca_es])</f>
        <v>Edad Contemporánea</v>
      </c>
      <c r="O524" t="str">
        <f>_xlfn.XLOOKUP(frasest[[#This Row],[autor_es]],autorest[autor_es],autorest[epoca_la])</f>
        <v>Aetas Contemporanea</v>
      </c>
    </row>
    <row r="525" spans="1:15">
      <c r="A525">
        <v>524</v>
      </c>
      <c r="B525" t="s">
        <v>1453</v>
      </c>
      <c r="C525" t="s">
        <v>1454</v>
      </c>
      <c r="D525" t="s">
        <v>1455</v>
      </c>
      <c r="E525" t="s">
        <v>1446</v>
      </c>
      <c r="F525" t="str">
        <f>_xlfn.XLOOKUP(frasest[[#This Row],[autor_es]],autorest[autor_es],autorest[autor_la])</f>
        <v xml:space="preserve">Teresia Benedicta a Cruce </v>
      </c>
      <c r="G525"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5"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5" t="str">
        <f>_xlfn.XLOOKUP(frasest[[#This Row],[autor_es]],autorest[autor_es],autorest[codigo])</f>
        <v>de</v>
      </c>
      <c r="J525" t="str">
        <f>_xlfn.XLOOKUP(frasest[[#This Row],[autor_es]],autorest[autor_es],autorest[idioma_es])</f>
        <v>Alemán</v>
      </c>
      <c r="K525" s="6" t="str">
        <f>_xlfn.XLOOKUP(frasest[[#This Row],[autor_es]],autorest[autor_es],autorest[idioma_la])</f>
        <v>Lingua Germanica</v>
      </c>
      <c r="L525" s="6" t="str">
        <f>_xlfn.XLOOKUP(frasest[[#This Row],[autor_es]],autorest[autor_es],autorest[nacion_es])</f>
        <v>Alemania</v>
      </c>
      <c r="M525" t="str">
        <f>_xlfn.XLOOKUP(frasest[[#This Row],[autor_es]],autorest[autor_es],autorest[nacion_la])</f>
        <v>Germania</v>
      </c>
      <c r="N525" t="str">
        <f>_xlfn.XLOOKUP(frasest[[#This Row],[autor_es]],autorest[autor_es],autorest[epoca_es])</f>
        <v>Edad Contemporánea</v>
      </c>
      <c r="O525" t="str">
        <f>_xlfn.XLOOKUP(frasest[[#This Row],[autor_es]],autorest[autor_es],autorest[epoca_la])</f>
        <v>Aetas Contemporanea</v>
      </c>
    </row>
    <row r="526" spans="1:15">
      <c r="A526">
        <v>525</v>
      </c>
      <c r="B526" t="s">
        <v>1456</v>
      </c>
      <c r="C526" t="s">
        <v>1457</v>
      </c>
      <c r="D526" t="s">
        <v>1458</v>
      </c>
      <c r="E526" t="s">
        <v>1446</v>
      </c>
      <c r="F526" t="str">
        <f>_xlfn.XLOOKUP(frasest[[#This Row],[autor_es]],autorest[autor_es],autorest[autor_la])</f>
        <v xml:space="preserve">Teresia Benedicta a Cruce </v>
      </c>
      <c r="G526"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6"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6" t="str">
        <f>_xlfn.XLOOKUP(frasest[[#This Row],[autor_es]],autorest[autor_es],autorest[codigo])</f>
        <v>de</v>
      </c>
      <c r="J526" t="str">
        <f>_xlfn.XLOOKUP(frasest[[#This Row],[autor_es]],autorest[autor_es],autorest[idioma_es])</f>
        <v>Alemán</v>
      </c>
      <c r="K526" s="6" t="str">
        <f>_xlfn.XLOOKUP(frasest[[#This Row],[autor_es]],autorest[autor_es],autorest[idioma_la])</f>
        <v>Lingua Germanica</v>
      </c>
      <c r="L526" s="6" t="str">
        <f>_xlfn.XLOOKUP(frasest[[#This Row],[autor_es]],autorest[autor_es],autorest[nacion_es])</f>
        <v>Alemania</v>
      </c>
      <c r="M526" t="str">
        <f>_xlfn.XLOOKUP(frasest[[#This Row],[autor_es]],autorest[autor_es],autorest[nacion_la])</f>
        <v>Germania</v>
      </c>
      <c r="N526" t="str">
        <f>_xlfn.XLOOKUP(frasest[[#This Row],[autor_es]],autorest[autor_es],autorest[epoca_es])</f>
        <v>Edad Contemporánea</v>
      </c>
      <c r="O526" t="str">
        <f>_xlfn.XLOOKUP(frasest[[#This Row],[autor_es]],autorest[autor_es],autorest[epoca_la])</f>
        <v>Aetas Contemporanea</v>
      </c>
    </row>
    <row r="527" spans="1:15">
      <c r="A527">
        <v>526</v>
      </c>
      <c r="B527" t="s">
        <v>1459</v>
      </c>
      <c r="C527" t="s">
        <v>1460</v>
      </c>
      <c r="D527" t="s">
        <v>1461</v>
      </c>
      <c r="E527" t="s">
        <v>1446</v>
      </c>
      <c r="F527" t="str">
        <f>_xlfn.XLOOKUP(frasest[[#This Row],[autor_es]],autorest[autor_es],autorest[autor_la])</f>
        <v xml:space="preserve">Teresia Benedicta a Cruce </v>
      </c>
      <c r="G527"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7"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7" t="str">
        <f>_xlfn.XLOOKUP(frasest[[#This Row],[autor_es]],autorest[autor_es],autorest[codigo])</f>
        <v>de</v>
      </c>
      <c r="J527" t="str">
        <f>_xlfn.XLOOKUP(frasest[[#This Row],[autor_es]],autorest[autor_es],autorest[idioma_es])</f>
        <v>Alemán</v>
      </c>
      <c r="K527" s="6" t="str">
        <f>_xlfn.XLOOKUP(frasest[[#This Row],[autor_es]],autorest[autor_es],autorest[idioma_la])</f>
        <v>Lingua Germanica</v>
      </c>
      <c r="L527" s="6" t="str">
        <f>_xlfn.XLOOKUP(frasest[[#This Row],[autor_es]],autorest[autor_es],autorest[nacion_es])</f>
        <v>Alemania</v>
      </c>
      <c r="M527" t="str">
        <f>_xlfn.XLOOKUP(frasest[[#This Row],[autor_es]],autorest[autor_es],autorest[nacion_la])</f>
        <v>Germania</v>
      </c>
      <c r="N527" t="str">
        <f>_xlfn.XLOOKUP(frasest[[#This Row],[autor_es]],autorest[autor_es],autorest[epoca_es])</f>
        <v>Edad Contemporánea</v>
      </c>
      <c r="O527" t="str">
        <f>_xlfn.XLOOKUP(frasest[[#This Row],[autor_es]],autorest[autor_es],autorest[epoca_la])</f>
        <v>Aetas Contemporanea</v>
      </c>
    </row>
    <row r="528" spans="1:15">
      <c r="A528">
        <v>527</v>
      </c>
      <c r="B528" t="s">
        <v>1462</v>
      </c>
      <c r="C528" t="s">
        <v>1463</v>
      </c>
      <c r="D528" t="s">
        <v>1464</v>
      </c>
      <c r="E528" t="s">
        <v>1446</v>
      </c>
      <c r="F528" t="str">
        <f>_xlfn.XLOOKUP(frasest[[#This Row],[autor_es]],autorest[autor_es],autorest[autor_la])</f>
        <v xml:space="preserve">Teresia Benedicta a Cruce </v>
      </c>
      <c r="G528"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8"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8" t="str">
        <f>_xlfn.XLOOKUP(frasest[[#This Row],[autor_es]],autorest[autor_es],autorest[codigo])</f>
        <v>de</v>
      </c>
      <c r="J528" t="str">
        <f>_xlfn.XLOOKUP(frasest[[#This Row],[autor_es]],autorest[autor_es],autorest[idioma_es])</f>
        <v>Alemán</v>
      </c>
      <c r="K528" s="6" t="str">
        <f>_xlfn.XLOOKUP(frasest[[#This Row],[autor_es]],autorest[autor_es],autorest[idioma_la])</f>
        <v>Lingua Germanica</v>
      </c>
      <c r="L528" s="6" t="str">
        <f>_xlfn.XLOOKUP(frasest[[#This Row],[autor_es]],autorest[autor_es],autorest[nacion_es])</f>
        <v>Alemania</v>
      </c>
      <c r="M528" t="str">
        <f>_xlfn.XLOOKUP(frasest[[#This Row],[autor_es]],autorest[autor_es],autorest[nacion_la])</f>
        <v>Germania</v>
      </c>
      <c r="N528" t="str">
        <f>_xlfn.XLOOKUP(frasest[[#This Row],[autor_es]],autorest[autor_es],autorest[epoca_es])</f>
        <v>Edad Contemporánea</v>
      </c>
      <c r="O528" t="str">
        <f>_xlfn.XLOOKUP(frasest[[#This Row],[autor_es]],autorest[autor_es],autorest[epoca_la])</f>
        <v>Aetas Contemporanea</v>
      </c>
    </row>
    <row r="529" spans="1:15">
      <c r="A529">
        <v>528</v>
      </c>
      <c r="B529" t="s">
        <v>1465</v>
      </c>
      <c r="C529" t="s">
        <v>1466</v>
      </c>
      <c r="D529" t="s">
        <v>1467</v>
      </c>
      <c r="E529" t="s">
        <v>1446</v>
      </c>
      <c r="F529" t="str">
        <f>_xlfn.XLOOKUP(frasest[[#This Row],[autor_es]],autorest[autor_es],autorest[autor_la])</f>
        <v xml:space="preserve">Teresia Benedicta a Cruce </v>
      </c>
      <c r="G529"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9"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9" t="str">
        <f>_xlfn.XLOOKUP(frasest[[#This Row],[autor_es]],autorest[autor_es],autorest[codigo])</f>
        <v>de</v>
      </c>
      <c r="J529" t="str">
        <f>_xlfn.XLOOKUP(frasest[[#This Row],[autor_es]],autorest[autor_es],autorest[idioma_es])</f>
        <v>Alemán</v>
      </c>
      <c r="K529" s="6" t="str">
        <f>_xlfn.XLOOKUP(frasest[[#This Row],[autor_es]],autorest[autor_es],autorest[idioma_la])</f>
        <v>Lingua Germanica</v>
      </c>
      <c r="L529" s="6" t="str">
        <f>_xlfn.XLOOKUP(frasest[[#This Row],[autor_es]],autorest[autor_es],autorest[nacion_es])</f>
        <v>Alemania</v>
      </c>
      <c r="M529" t="str">
        <f>_xlfn.XLOOKUP(frasest[[#This Row],[autor_es]],autorest[autor_es],autorest[nacion_la])</f>
        <v>Germania</v>
      </c>
      <c r="N529" t="str">
        <f>_xlfn.XLOOKUP(frasest[[#This Row],[autor_es]],autorest[autor_es],autorest[epoca_es])</f>
        <v>Edad Contemporánea</v>
      </c>
      <c r="O529" t="str">
        <f>_xlfn.XLOOKUP(frasest[[#This Row],[autor_es]],autorest[autor_es],autorest[epoca_la])</f>
        <v>Aetas Contemporanea</v>
      </c>
    </row>
    <row r="530" spans="1:15">
      <c r="A530">
        <v>529</v>
      </c>
      <c r="B530" t="s">
        <v>1468</v>
      </c>
      <c r="C530" t="s">
        <v>1469</v>
      </c>
      <c r="D530" t="s">
        <v>1470</v>
      </c>
      <c r="E530" t="s">
        <v>1446</v>
      </c>
      <c r="F530" t="str">
        <f>_xlfn.XLOOKUP(frasest[[#This Row],[autor_es]],autorest[autor_es],autorest[autor_la])</f>
        <v xml:space="preserve">Teresia Benedicta a Cruce </v>
      </c>
      <c r="G530"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30"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30" t="str">
        <f>_xlfn.XLOOKUP(frasest[[#This Row],[autor_es]],autorest[autor_es],autorest[codigo])</f>
        <v>de</v>
      </c>
      <c r="J530" t="str">
        <f>_xlfn.XLOOKUP(frasest[[#This Row],[autor_es]],autorest[autor_es],autorest[idioma_es])</f>
        <v>Alemán</v>
      </c>
      <c r="K530" s="6" t="str">
        <f>_xlfn.XLOOKUP(frasest[[#This Row],[autor_es]],autorest[autor_es],autorest[idioma_la])</f>
        <v>Lingua Germanica</v>
      </c>
      <c r="L530" s="6" t="str">
        <f>_xlfn.XLOOKUP(frasest[[#This Row],[autor_es]],autorest[autor_es],autorest[nacion_es])</f>
        <v>Alemania</v>
      </c>
      <c r="M530" t="str">
        <f>_xlfn.XLOOKUP(frasest[[#This Row],[autor_es]],autorest[autor_es],autorest[nacion_la])</f>
        <v>Germania</v>
      </c>
      <c r="N530" t="str">
        <f>_xlfn.XLOOKUP(frasest[[#This Row],[autor_es]],autorest[autor_es],autorest[epoca_es])</f>
        <v>Edad Contemporánea</v>
      </c>
      <c r="O530" t="str">
        <f>_xlfn.XLOOKUP(frasest[[#This Row],[autor_es]],autorest[autor_es],autorest[epoca_la])</f>
        <v>Aetas Contemporanea</v>
      </c>
    </row>
    <row r="531" spans="1:15">
      <c r="A531">
        <v>530</v>
      </c>
      <c r="B531" t="s">
        <v>1471</v>
      </c>
      <c r="C531" t="s">
        <v>1472</v>
      </c>
      <c r="D531" t="s">
        <v>1473</v>
      </c>
      <c r="E531" t="s">
        <v>1474</v>
      </c>
      <c r="F531" t="str">
        <f>_xlfn.XLOOKUP(frasest[[#This Row],[autor_es]],autorest[autor_es],autorest[autor_la])</f>
        <v>Beatus Carolus Acutis</v>
      </c>
      <c r="G531"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1"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1" t="str">
        <f>_xlfn.XLOOKUP(frasest[[#This Row],[autor_es]],autorest[autor_es],autorest[codigo])</f>
        <v>it</v>
      </c>
      <c r="J531" t="str">
        <f>_xlfn.XLOOKUP(frasest[[#This Row],[autor_es]],autorest[autor_es],autorest[idioma_es])</f>
        <v>Italiano</v>
      </c>
      <c r="K531" s="6" t="str">
        <f>_xlfn.XLOOKUP(frasest[[#This Row],[autor_es]],autorest[autor_es],autorest[idioma_la])</f>
        <v>Lingua Italica</v>
      </c>
      <c r="L531" s="6" t="str">
        <f>_xlfn.XLOOKUP(frasest[[#This Row],[autor_es]],autorest[autor_es],autorest[nacion_es])</f>
        <v>Italia</v>
      </c>
      <c r="M531" t="str">
        <f>_xlfn.XLOOKUP(frasest[[#This Row],[autor_es]],autorest[autor_es],autorest[nacion_la])</f>
        <v>Italia</v>
      </c>
      <c r="N531" t="str">
        <f>_xlfn.XLOOKUP(frasest[[#This Row],[autor_es]],autorest[autor_es],autorest[epoca_es])</f>
        <v>Edad Contemporánea</v>
      </c>
      <c r="O531" t="str">
        <f>_xlfn.XLOOKUP(frasest[[#This Row],[autor_es]],autorest[autor_es],autorest[epoca_la])</f>
        <v>Aetas Contemporanea</v>
      </c>
    </row>
    <row r="532" spans="1:15">
      <c r="A532">
        <v>531</v>
      </c>
      <c r="B532" t="s">
        <v>1475</v>
      </c>
      <c r="C532" t="s">
        <v>1476</v>
      </c>
      <c r="D532" t="s">
        <v>1477</v>
      </c>
      <c r="E532" t="s">
        <v>1474</v>
      </c>
      <c r="F532" t="str">
        <f>_xlfn.XLOOKUP(frasest[[#This Row],[autor_es]],autorest[autor_es],autorest[autor_la])</f>
        <v>Beatus Carolus Acutis</v>
      </c>
      <c r="G532"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2"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2" t="str">
        <f>_xlfn.XLOOKUP(frasest[[#This Row],[autor_es]],autorest[autor_es],autorest[codigo])</f>
        <v>it</v>
      </c>
      <c r="J532" t="str">
        <f>_xlfn.XLOOKUP(frasest[[#This Row],[autor_es]],autorest[autor_es],autorest[idioma_es])</f>
        <v>Italiano</v>
      </c>
      <c r="K532" s="6" t="str">
        <f>_xlfn.XLOOKUP(frasest[[#This Row],[autor_es]],autorest[autor_es],autorest[idioma_la])</f>
        <v>Lingua Italica</v>
      </c>
      <c r="L532" s="6" t="str">
        <f>_xlfn.XLOOKUP(frasest[[#This Row],[autor_es]],autorest[autor_es],autorest[nacion_es])</f>
        <v>Italia</v>
      </c>
      <c r="M532" t="str">
        <f>_xlfn.XLOOKUP(frasest[[#This Row],[autor_es]],autorest[autor_es],autorest[nacion_la])</f>
        <v>Italia</v>
      </c>
      <c r="N532" t="str">
        <f>_xlfn.XLOOKUP(frasest[[#This Row],[autor_es]],autorest[autor_es],autorest[epoca_es])</f>
        <v>Edad Contemporánea</v>
      </c>
      <c r="O532" t="str">
        <f>_xlfn.XLOOKUP(frasest[[#This Row],[autor_es]],autorest[autor_es],autorest[epoca_la])</f>
        <v>Aetas Contemporanea</v>
      </c>
    </row>
    <row r="533" spans="1:15">
      <c r="A533">
        <v>532</v>
      </c>
      <c r="B533" t="s">
        <v>1478</v>
      </c>
      <c r="C533" t="s">
        <v>1479</v>
      </c>
      <c r="D533" t="s">
        <v>1480</v>
      </c>
      <c r="E533" t="s">
        <v>1474</v>
      </c>
      <c r="F533" t="str">
        <f>_xlfn.XLOOKUP(frasest[[#This Row],[autor_es]],autorest[autor_es],autorest[autor_la])</f>
        <v>Beatus Carolus Acutis</v>
      </c>
      <c r="G533"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3"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3" t="str">
        <f>_xlfn.XLOOKUP(frasest[[#This Row],[autor_es]],autorest[autor_es],autorest[codigo])</f>
        <v>it</v>
      </c>
      <c r="J533" t="str">
        <f>_xlfn.XLOOKUP(frasest[[#This Row],[autor_es]],autorest[autor_es],autorest[idioma_es])</f>
        <v>Italiano</v>
      </c>
      <c r="K533" s="6" t="str">
        <f>_xlfn.XLOOKUP(frasest[[#This Row],[autor_es]],autorest[autor_es],autorest[idioma_la])</f>
        <v>Lingua Italica</v>
      </c>
      <c r="L533" s="6" t="str">
        <f>_xlfn.XLOOKUP(frasest[[#This Row],[autor_es]],autorest[autor_es],autorest[nacion_es])</f>
        <v>Italia</v>
      </c>
      <c r="M533" t="str">
        <f>_xlfn.XLOOKUP(frasest[[#This Row],[autor_es]],autorest[autor_es],autorest[nacion_la])</f>
        <v>Italia</v>
      </c>
      <c r="N533" t="str">
        <f>_xlfn.XLOOKUP(frasest[[#This Row],[autor_es]],autorest[autor_es],autorest[epoca_es])</f>
        <v>Edad Contemporánea</v>
      </c>
      <c r="O533" t="str">
        <f>_xlfn.XLOOKUP(frasest[[#This Row],[autor_es]],autorest[autor_es],autorest[epoca_la])</f>
        <v>Aetas Contemporanea</v>
      </c>
    </row>
    <row r="534" spans="1:15">
      <c r="A534">
        <v>533</v>
      </c>
      <c r="B534" t="s">
        <v>1481</v>
      </c>
      <c r="C534" t="s">
        <v>1482</v>
      </c>
      <c r="D534" t="s">
        <v>1483</v>
      </c>
      <c r="E534" t="s">
        <v>1474</v>
      </c>
      <c r="F534" t="str">
        <f>_xlfn.XLOOKUP(frasest[[#This Row],[autor_es]],autorest[autor_es],autorest[autor_la])</f>
        <v>Beatus Carolus Acutis</v>
      </c>
      <c r="G534"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4"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4" t="str">
        <f>_xlfn.XLOOKUP(frasest[[#This Row],[autor_es]],autorest[autor_es],autorest[codigo])</f>
        <v>it</v>
      </c>
      <c r="J534" t="str">
        <f>_xlfn.XLOOKUP(frasest[[#This Row],[autor_es]],autorest[autor_es],autorest[idioma_es])</f>
        <v>Italiano</v>
      </c>
      <c r="K534" s="6" t="str">
        <f>_xlfn.XLOOKUP(frasest[[#This Row],[autor_es]],autorest[autor_es],autorest[idioma_la])</f>
        <v>Lingua Italica</v>
      </c>
      <c r="L534" s="6" t="str">
        <f>_xlfn.XLOOKUP(frasest[[#This Row],[autor_es]],autorest[autor_es],autorest[nacion_es])</f>
        <v>Italia</v>
      </c>
      <c r="M534" t="str">
        <f>_xlfn.XLOOKUP(frasest[[#This Row],[autor_es]],autorest[autor_es],autorest[nacion_la])</f>
        <v>Italia</v>
      </c>
      <c r="N534" t="str">
        <f>_xlfn.XLOOKUP(frasest[[#This Row],[autor_es]],autorest[autor_es],autorest[epoca_es])</f>
        <v>Edad Contemporánea</v>
      </c>
      <c r="O534" t="str">
        <f>_xlfn.XLOOKUP(frasest[[#This Row],[autor_es]],autorest[autor_es],autorest[epoca_la])</f>
        <v>Aetas Contemporanea</v>
      </c>
    </row>
    <row r="535" spans="1:15">
      <c r="A535">
        <v>534</v>
      </c>
      <c r="B535" t="s">
        <v>1484</v>
      </c>
      <c r="C535" t="s">
        <v>1485</v>
      </c>
      <c r="D535" t="s">
        <v>1486</v>
      </c>
      <c r="E535" t="s">
        <v>1474</v>
      </c>
      <c r="F535" t="str">
        <f>_xlfn.XLOOKUP(frasest[[#This Row],[autor_es]],autorest[autor_es],autorest[autor_la])</f>
        <v>Beatus Carolus Acutis</v>
      </c>
      <c r="G535"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5"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5" t="str">
        <f>_xlfn.XLOOKUP(frasest[[#This Row],[autor_es]],autorest[autor_es],autorest[codigo])</f>
        <v>it</v>
      </c>
      <c r="J535" t="str">
        <f>_xlfn.XLOOKUP(frasest[[#This Row],[autor_es]],autorest[autor_es],autorest[idioma_es])</f>
        <v>Italiano</v>
      </c>
      <c r="K535" s="6" t="str">
        <f>_xlfn.XLOOKUP(frasest[[#This Row],[autor_es]],autorest[autor_es],autorest[idioma_la])</f>
        <v>Lingua Italica</v>
      </c>
      <c r="L535" s="6" t="str">
        <f>_xlfn.XLOOKUP(frasest[[#This Row],[autor_es]],autorest[autor_es],autorest[nacion_es])</f>
        <v>Italia</v>
      </c>
      <c r="M535" t="str">
        <f>_xlfn.XLOOKUP(frasest[[#This Row],[autor_es]],autorest[autor_es],autorest[nacion_la])</f>
        <v>Italia</v>
      </c>
      <c r="N535" t="str">
        <f>_xlfn.XLOOKUP(frasest[[#This Row],[autor_es]],autorest[autor_es],autorest[epoca_es])</f>
        <v>Edad Contemporánea</v>
      </c>
      <c r="O535" t="str">
        <f>_xlfn.XLOOKUP(frasest[[#This Row],[autor_es]],autorest[autor_es],autorest[epoca_la])</f>
        <v>Aetas Contemporanea</v>
      </c>
    </row>
    <row r="536" spans="1:15">
      <c r="A536">
        <v>535</v>
      </c>
      <c r="B536" t="s">
        <v>1487</v>
      </c>
      <c r="C536" t="s">
        <v>1488</v>
      </c>
      <c r="D536" t="s">
        <v>1489</v>
      </c>
      <c r="E536" t="s">
        <v>1474</v>
      </c>
      <c r="F536" t="str">
        <f>_xlfn.XLOOKUP(frasest[[#This Row],[autor_es]],autorest[autor_es],autorest[autor_la])</f>
        <v>Beatus Carolus Acutis</v>
      </c>
      <c r="G536"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6"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6" t="str">
        <f>_xlfn.XLOOKUP(frasest[[#This Row],[autor_es]],autorest[autor_es],autorest[codigo])</f>
        <v>it</v>
      </c>
      <c r="J536" t="str">
        <f>_xlfn.XLOOKUP(frasest[[#This Row],[autor_es]],autorest[autor_es],autorest[idioma_es])</f>
        <v>Italiano</v>
      </c>
      <c r="K536" s="6" t="str">
        <f>_xlfn.XLOOKUP(frasest[[#This Row],[autor_es]],autorest[autor_es],autorest[idioma_la])</f>
        <v>Lingua Italica</v>
      </c>
      <c r="L536" s="6" t="str">
        <f>_xlfn.XLOOKUP(frasest[[#This Row],[autor_es]],autorest[autor_es],autorest[nacion_es])</f>
        <v>Italia</v>
      </c>
      <c r="M536" t="str">
        <f>_xlfn.XLOOKUP(frasest[[#This Row],[autor_es]],autorest[autor_es],autorest[nacion_la])</f>
        <v>Italia</v>
      </c>
      <c r="N536" t="str">
        <f>_xlfn.XLOOKUP(frasest[[#This Row],[autor_es]],autorest[autor_es],autorest[epoca_es])</f>
        <v>Edad Contemporánea</v>
      </c>
      <c r="O536" t="str">
        <f>_xlfn.XLOOKUP(frasest[[#This Row],[autor_es]],autorest[autor_es],autorest[epoca_la])</f>
        <v>Aetas Contemporanea</v>
      </c>
    </row>
    <row r="537" spans="1:15">
      <c r="A537">
        <v>536</v>
      </c>
      <c r="B537" t="s">
        <v>1490</v>
      </c>
      <c r="C537" t="s">
        <v>1491</v>
      </c>
      <c r="D537" t="s">
        <v>1492</v>
      </c>
      <c r="E537" t="s">
        <v>1474</v>
      </c>
      <c r="F537" t="str">
        <f>_xlfn.XLOOKUP(frasest[[#This Row],[autor_es]],autorest[autor_es],autorest[autor_la])</f>
        <v>Beatus Carolus Acutis</v>
      </c>
      <c r="G537"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7"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7" t="str">
        <f>_xlfn.XLOOKUP(frasest[[#This Row],[autor_es]],autorest[autor_es],autorest[codigo])</f>
        <v>it</v>
      </c>
      <c r="J537" t="str">
        <f>_xlfn.XLOOKUP(frasest[[#This Row],[autor_es]],autorest[autor_es],autorest[idioma_es])</f>
        <v>Italiano</v>
      </c>
      <c r="K537" s="6" t="str">
        <f>_xlfn.XLOOKUP(frasest[[#This Row],[autor_es]],autorest[autor_es],autorest[idioma_la])</f>
        <v>Lingua Italica</v>
      </c>
      <c r="L537" s="6" t="str">
        <f>_xlfn.XLOOKUP(frasest[[#This Row],[autor_es]],autorest[autor_es],autorest[nacion_es])</f>
        <v>Italia</v>
      </c>
      <c r="M537" t="str">
        <f>_xlfn.XLOOKUP(frasest[[#This Row],[autor_es]],autorest[autor_es],autorest[nacion_la])</f>
        <v>Italia</v>
      </c>
      <c r="N537" t="str">
        <f>_xlfn.XLOOKUP(frasest[[#This Row],[autor_es]],autorest[autor_es],autorest[epoca_es])</f>
        <v>Edad Contemporánea</v>
      </c>
      <c r="O537" t="str">
        <f>_xlfn.XLOOKUP(frasest[[#This Row],[autor_es]],autorest[autor_es],autorest[epoca_la])</f>
        <v>Aetas Contemporanea</v>
      </c>
    </row>
    <row r="538" spans="1:15">
      <c r="A538">
        <v>537</v>
      </c>
      <c r="B538" t="s">
        <v>1380</v>
      </c>
      <c r="C538" t="s">
        <v>1381</v>
      </c>
      <c r="D538" t="s">
        <v>1382</v>
      </c>
      <c r="E538" t="s">
        <v>1383</v>
      </c>
      <c r="F538" t="str">
        <f>_xlfn.XLOOKUP(frasest[[#This Row],[autor_es]],autorest[autor_es],autorest[autor_la])</f>
        <v>Fridericus Froebel</v>
      </c>
      <c r="G538"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8"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8" t="str">
        <f>_xlfn.XLOOKUP(frasest[[#This Row],[autor_es]],autorest[autor_es],autorest[codigo])</f>
        <v>de</v>
      </c>
      <c r="J538" t="str">
        <f>_xlfn.XLOOKUP(frasest[[#This Row],[autor_es]],autorest[autor_es],autorest[idioma_es])</f>
        <v>Alemán</v>
      </c>
      <c r="K538" s="6" t="str">
        <f>_xlfn.XLOOKUP(frasest[[#This Row],[autor_es]],autorest[autor_es],autorest[idioma_la])</f>
        <v>Lingua Germanica</v>
      </c>
      <c r="L538" s="6" t="str">
        <f>_xlfn.XLOOKUP(frasest[[#This Row],[autor_es]],autorest[autor_es],autorest[nacion_es])</f>
        <v>Alemania</v>
      </c>
      <c r="M538" t="str">
        <f>_xlfn.XLOOKUP(frasest[[#This Row],[autor_es]],autorest[autor_es],autorest[nacion_la])</f>
        <v>Germania</v>
      </c>
      <c r="N538" t="str">
        <f>_xlfn.XLOOKUP(frasest[[#This Row],[autor_es]],autorest[autor_es],autorest[epoca_es])</f>
        <v>Edad Moderna</v>
      </c>
      <c r="O538" t="str">
        <f>_xlfn.XLOOKUP(frasest[[#This Row],[autor_es]],autorest[autor_es],autorest[epoca_la])</f>
        <v>Nova Aetas</v>
      </c>
    </row>
    <row r="539" spans="1:15">
      <c r="A539">
        <v>538</v>
      </c>
      <c r="B539" t="s">
        <v>1384</v>
      </c>
      <c r="C539" t="s">
        <v>1385</v>
      </c>
      <c r="D539" t="s">
        <v>1386</v>
      </c>
      <c r="E539" t="s">
        <v>1383</v>
      </c>
      <c r="F539" t="str">
        <f>_xlfn.XLOOKUP(frasest[[#This Row],[autor_es]],autorest[autor_es],autorest[autor_la])</f>
        <v>Fridericus Froebel</v>
      </c>
      <c r="G539"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9"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9" t="str">
        <f>_xlfn.XLOOKUP(frasest[[#This Row],[autor_es]],autorest[autor_es],autorest[codigo])</f>
        <v>de</v>
      </c>
      <c r="J539" t="str">
        <f>_xlfn.XLOOKUP(frasest[[#This Row],[autor_es]],autorest[autor_es],autorest[idioma_es])</f>
        <v>Alemán</v>
      </c>
      <c r="K539" s="6" t="str">
        <f>_xlfn.XLOOKUP(frasest[[#This Row],[autor_es]],autorest[autor_es],autorest[idioma_la])</f>
        <v>Lingua Germanica</v>
      </c>
      <c r="L539" s="6" t="str">
        <f>_xlfn.XLOOKUP(frasest[[#This Row],[autor_es]],autorest[autor_es],autorest[nacion_es])</f>
        <v>Alemania</v>
      </c>
      <c r="M539" t="str">
        <f>_xlfn.XLOOKUP(frasest[[#This Row],[autor_es]],autorest[autor_es],autorest[nacion_la])</f>
        <v>Germania</v>
      </c>
      <c r="N539" t="str">
        <f>_xlfn.XLOOKUP(frasest[[#This Row],[autor_es]],autorest[autor_es],autorest[epoca_es])</f>
        <v>Edad Moderna</v>
      </c>
      <c r="O539" t="str">
        <f>_xlfn.XLOOKUP(frasest[[#This Row],[autor_es]],autorest[autor_es],autorest[epoca_la])</f>
        <v>Nova Aetas</v>
      </c>
    </row>
    <row r="540" spans="1:15">
      <c r="A540">
        <v>539</v>
      </c>
      <c r="B540" t="s">
        <v>1387</v>
      </c>
      <c r="C540" t="s">
        <v>1388</v>
      </c>
      <c r="D540" t="s">
        <v>1389</v>
      </c>
      <c r="E540" t="s">
        <v>1383</v>
      </c>
      <c r="F540" t="str">
        <f>_xlfn.XLOOKUP(frasest[[#This Row],[autor_es]],autorest[autor_es],autorest[autor_la])</f>
        <v>Fridericus Froebel</v>
      </c>
      <c r="G540"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0"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0" t="str">
        <f>_xlfn.XLOOKUP(frasest[[#This Row],[autor_es]],autorest[autor_es],autorest[codigo])</f>
        <v>de</v>
      </c>
      <c r="J540" t="str">
        <f>_xlfn.XLOOKUP(frasest[[#This Row],[autor_es]],autorest[autor_es],autorest[idioma_es])</f>
        <v>Alemán</v>
      </c>
      <c r="K540" s="6" t="str">
        <f>_xlfn.XLOOKUP(frasest[[#This Row],[autor_es]],autorest[autor_es],autorest[idioma_la])</f>
        <v>Lingua Germanica</v>
      </c>
      <c r="L540" s="6" t="str">
        <f>_xlfn.XLOOKUP(frasest[[#This Row],[autor_es]],autorest[autor_es],autorest[nacion_es])</f>
        <v>Alemania</v>
      </c>
      <c r="M540" t="str">
        <f>_xlfn.XLOOKUP(frasest[[#This Row],[autor_es]],autorest[autor_es],autorest[nacion_la])</f>
        <v>Germania</v>
      </c>
      <c r="N540" t="str">
        <f>_xlfn.XLOOKUP(frasest[[#This Row],[autor_es]],autorest[autor_es],autorest[epoca_es])</f>
        <v>Edad Moderna</v>
      </c>
      <c r="O540" t="str">
        <f>_xlfn.XLOOKUP(frasest[[#This Row],[autor_es]],autorest[autor_es],autorest[epoca_la])</f>
        <v>Nova Aetas</v>
      </c>
    </row>
    <row r="541" spans="1:15">
      <c r="A541">
        <v>540</v>
      </c>
      <c r="B541" t="s">
        <v>1390</v>
      </c>
      <c r="C541" t="s">
        <v>1391</v>
      </c>
      <c r="D541" t="s">
        <v>1392</v>
      </c>
      <c r="E541" t="s">
        <v>1383</v>
      </c>
      <c r="F541" t="str">
        <f>_xlfn.XLOOKUP(frasest[[#This Row],[autor_es]],autorest[autor_es],autorest[autor_la])</f>
        <v>Fridericus Froebel</v>
      </c>
      <c r="G541"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1"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1" t="str">
        <f>_xlfn.XLOOKUP(frasest[[#This Row],[autor_es]],autorest[autor_es],autorest[codigo])</f>
        <v>de</v>
      </c>
      <c r="J541" t="str">
        <f>_xlfn.XLOOKUP(frasest[[#This Row],[autor_es]],autorest[autor_es],autorest[idioma_es])</f>
        <v>Alemán</v>
      </c>
      <c r="K541" s="6" t="str">
        <f>_xlfn.XLOOKUP(frasest[[#This Row],[autor_es]],autorest[autor_es],autorest[idioma_la])</f>
        <v>Lingua Germanica</v>
      </c>
      <c r="L541" s="6" t="str">
        <f>_xlfn.XLOOKUP(frasest[[#This Row],[autor_es]],autorest[autor_es],autorest[nacion_es])</f>
        <v>Alemania</v>
      </c>
      <c r="M541" t="str">
        <f>_xlfn.XLOOKUP(frasest[[#This Row],[autor_es]],autorest[autor_es],autorest[nacion_la])</f>
        <v>Germania</v>
      </c>
      <c r="N541" t="str">
        <f>_xlfn.XLOOKUP(frasest[[#This Row],[autor_es]],autorest[autor_es],autorest[epoca_es])</f>
        <v>Edad Moderna</v>
      </c>
      <c r="O541" t="str">
        <f>_xlfn.XLOOKUP(frasest[[#This Row],[autor_es]],autorest[autor_es],autorest[epoca_la])</f>
        <v>Nova Aetas</v>
      </c>
    </row>
    <row r="542" spans="1:15">
      <c r="A542">
        <v>541</v>
      </c>
      <c r="B542" t="s">
        <v>1393</v>
      </c>
      <c r="C542" t="s">
        <v>1394</v>
      </c>
      <c r="D542" t="s">
        <v>1395</v>
      </c>
      <c r="E542" t="s">
        <v>1383</v>
      </c>
      <c r="F542" t="str">
        <f>_xlfn.XLOOKUP(frasest[[#This Row],[autor_es]],autorest[autor_es],autorest[autor_la])</f>
        <v>Fridericus Froebel</v>
      </c>
      <c r="G542"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2"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2" t="str">
        <f>_xlfn.XLOOKUP(frasest[[#This Row],[autor_es]],autorest[autor_es],autorest[codigo])</f>
        <v>de</v>
      </c>
      <c r="J542" t="str">
        <f>_xlfn.XLOOKUP(frasest[[#This Row],[autor_es]],autorest[autor_es],autorest[idioma_es])</f>
        <v>Alemán</v>
      </c>
      <c r="K542" s="6" t="str">
        <f>_xlfn.XLOOKUP(frasest[[#This Row],[autor_es]],autorest[autor_es],autorest[idioma_la])</f>
        <v>Lingua Germanica</v>
      </c>
      <c r="L542" s="6" t="str">
        <f>_xlfn.XLOOKUP(frasest[[#This Row],[autor_es]],autorest[autor_es],autorest[nacion_es])</f>
        <v>Alemania</v>
      </c>
      <c r="M542" t="str">
        <f>_xlfn.XLOOKUP(frasest[[#This Row],[autor_es]],autorest[autor_es],autorest[nacion_la])</f>
        <v>Germania</v>
      </c>
      <c r="N542" t="str">
        <f>_xlfn.XLOOKUP(frasest[[#This Row],[autor_es]],autorest[autor_es],autorest[epoca_es])</f>
        <v>Edad Moderna</v>
      </c>
      <c r="O542" t="str">
        <f>_xlfn.XLOOKUP(frasest[[#This Row],[autor_es]],autorest[autor_es],autorest[epoca_la])</f>
        <v>Nova Aetas</v>
      </c>
    </row>
    <row r="543" spans="1:15">
      <c r="A543">
        <v>542</v>
      </c>
      <c r="B543" t="s">
        <v>1396</v>
      </c>
      <c r="C543" t="s">
        <v>1397</v>
      </c>
      <c r="D543" t="s">
        <v>1398</v>
      </c>
      <c r="E543" t="s">
        <v>1383</v>
      </c>
      <c r="F543" t="str">
        <f>_xlfn.XLOOKUP(frasest[[#This Row],[autor_es]],autorest[autor_es],autorest[autor_la])</f>
        <v>Fridericus Froebel</v>
      </c>
      <c r="G543"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3"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3" t="str">
        <f>_xlfn.XLOOKUP(frasest[[#This Row],[autor_es]],autorest[autor_es],autorest[codigo])</f>
        <v>de</v>
      </c>
      <c r="J543" t="str">
        <f>_xlfn.XLOOKUP(frasest[[#This Row],[autor_es]],autorest[autor_es],autorest[idioma_es])</f>
        <v>Alemán</v>
      </c>
      <c r="K543" s="6" t="str">
        <f>_xlfn.XLOOKUP(frasest[[#This Row],[autor_es]],autorest[autor_es],autorest[idioma_la])</f>
        <v>Lingua Germanica</v>
      </c>
      <c r="L543" s="6" t="str">
        <f>_xlfn.XLOOKUP(frasest[[#This Row],[autor_es]],autorest[autor_es],autorest[nacion_es])</f>
        <v>Alemania</v>
      </c>
      <c r="M543" t="str">
        <f>_xlfn.XLOOKUP(frasest[[#This Row],[autor_es]],autorest[autor_es],autorest[nacion_la])</f>
        <v>Germania</v>
      </c>
      <c r="N543" t="str">
        <f>_xlfn.XLOOKUP(frasest[[#This Row],[autor_es]],autorest[autor_es],autorest[epoca_es])</f>
        <v>Edad Moderna</v>
      </c>
      <c r="O543" t="str">
        <f>_xlfn.XLOOKUP(frasest[[#This Row],[autor_es]],autorest[autor_es],autorest[epoca_la])</f>
        <v>Nova Aetas</v>
      </c>
    </row>
    <row r="544" spans="1:15">
      <c r="A544">
        <v>543</v>
      </c>
      <c r="B544" t="s">
        <v>1493</v>
      </c>
      <c r="C544" t="s">
        <v>1494</v>
      </c>
      <c r="D544" t="s">
        <v>1495</v>
      </c>
      <c r="E544" t="s">
        <v>1496</v>
      </c>
      <c r="F544" t="str">
        <f>_xlfn.XLOOKUP(frasest[[#This Row],[autor_es]],autorest[autor_es],autorest[autor_la])</f>
        <v>Rudolphus Steiner</v>
      </c>
      <c r="G544"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4"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4" t="str">
        <f>_xlfn.XLOOKUP(frasest[[#This Row],[autor_es]],autorest[autor_es],autorest[codigo])</f>
        <v>de</v>
      </c>
      <c r="J544" t="str">
        <f>_xlfn.XLOOKUP(frasest[[#This Row],[autor_es]],autorest[autor_es],autorest[idioma_es])</f>
        <v>Alemán</v>
      </c>
      <c r="K544" s="6" t="str">
        <f>_xlfn.XLOOKUP(frasest[[#This Row],[autor_es]],autorest[autor_es],autorest[idioma_la])</f>
        <v>Lingua Germanica</v>
      </c>
      <c r="L544" s="6" t="str">
        <f>_xlfn.XLOOKUP(frasest[[#This Row],[autor_es]],autorest[autor_es],autorest[nacion_es])</f>
        <v>Austria</v>
      </c>
      <c r="M544" t="str">
        <f>_xlfn.XLOOKUP(frasest[[#This Row],[autor_es]],autorest[autor_es],autorest[nacion_la])</f>
        <v>Austria</v>
      </c>
      <c r="N544" t="str">
        <f>_xlfn.XLOOKUP(frasest[[#This Row],[autor_es]],autorest[autor_es],autorest[epoca_es])</f>
        <v>Edad Contemporánea</v>
      </c>
      <c r="O544" t="str">
        <f>_xlfn.XLOOKUP(frasest[[#This Row],[autor_es]],autorest[autor_es],autorest[epoca_la])</f>
        <v>Aetas Contemporanea</v>
      </c>
    </row>
    <row r="545" spans="1:15">
      <c r="A545">
        <v>544</v>
      </c>
      <c r="B545" t="s">
        <v>1497</v>
      </c>
      <c r="C545" t="s">
        <v>1498</v>
      </c>
      <c r="D545" t="s">
        <v>1499</v>
      </c>
      <c r="E545" t="s">
        <v>1496</v>
      </c>
      <c r="F545" t="str">
        <f>_xlfn.XLOOKUP(frasest[[#This Row],[autor_es]],autorest[autor_es],autorest[autor_la])</f>
        <v>Rudolphus Steiner</v>
      </c>
      <c r="G545"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5"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5" t="str">
        <f>_xlfn.XLOOKUP(frasest[[#This Row],[autor_es]],autorest[autor_es],autorest[codigo])</f>
        <v>de</v>
      </c>
      <c r="J545" t="str">
        <f>_xlfn.XLOOKUP(frasest[[#This Row],[autor_es]],autorest[autor_es],autorest[idioma_es])</f>
        <v>Alemán</v>
      </c>
      <c r="K545" s="6" t="str">
        <f>_xlfn.XLOOKUP(frasest[[#This Row],[autor_es]],autorest[autor_es],autorest[idioma_la])</f>
        <v>Lingua Germanica</v>
      </c>
      <c r="L545" s="6" t="str">
        <f>_xlfn.XLOOKUP(frasest[[#This Row],[autor_es]],autorest[autor_es],autorest[nacion_es])</f>
        <v>Austria</v>
      </c>
      <c r="M545" t="str">
        <f>_xlfn.XLOOKUP(frasest[[#This Row],[autor_es]],autorest[autor_es],autorest[nacion_la])</f>
        <v>Austria</v>
      </c>
      <c r="N545" t="str">
        <f>_xlfn.XLOOKUP(frasest[[#This Row],[autor_es]],autorest[autor_es],autorest[epoca_es])</f>
        <v>Edad Contemporánea</v>
      </c>
      <c r="O545" t="str">
        <f>_xlfn.XLOOKUP(frasest[[#This Row],[autor_es]],autorest[autor_es],autorest[epoca_la])</f>
        <v>Aetas Contemporanea</v>
      </c>
    </row>
    <row r="546" spans="1:15">
      <c r="A546">
        <v>545</v>
      </c>
      <c r="B546" t="s">
        <v>1500</v>
      </c>
      <c r="C546" t="s">
        <v>1501</v>
      </c>
      <c r="D546" t="s">
        <v>1502</v>
      </c>
      <c r="E546" t="s">
        <v>1496</v>
      </c>
      <c r="F546" t="str">
        <f>_xlfn.XLOOKUP(frasest[[#This Row],[autor_es]],autorest[autor_es],autorest[autor_la])</f>
        <v>Rudolphus Steiner</v>
      </c>
      <c r="G546"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6"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6" t="str">
        <f>_xlfn.XLOOKUP(frasest[[#This Row],[autor_es]],autorest[autor_es],autorest[codigo])</f>
        <v>de</v>
      </c>
      <c r="J546" t="str">
        <f>_xlfn.XLOOKUP(frasest[[#This Row],[autor_es]],autorest[autor_es],autorest[idioma_es])</f>
        <v>Alemán</v>
      </c>
      <c r="K546" s="6" t="str">
        <f>_xlfn.XLOOKUP(frasest[[#This Row],[autor_es]],autorest[autor_es],autorest[idioma_la])</f>
        <v>Lingua Germanica</v>
      </c>
      <c r="L546" s="6" t="str">
        <f>_xlfn.XLOOKUP(frasest[[#This Row],[autor_es]],autorest[autor_es],autorest[nacion_es])</f>
        <v>Austria</v>
      </c>
      <c r="M546" t="str">
        <f>_xlfn.XLOOKUP(frasest[[#This Row],[autor_es]],autorest[autor_es],autorest[nacion_la])</f>
        <v>Austria</v>
      </c>
      <c r="N546" t="str">
        <f>_xlfn.XLOOKUP(frasest[[#This Row],[autor_es]],autorest[autor_es],autorest[epoca_es])</f>
        <v>Edad Contemporánea</v>
      </c>
      <c r="O546" t="str">
        <f>_xlfn.XLOOKUP(frasest[[#This Row],[autor_es]],autorest[autor_es],autorest[epoca_la])</f>
        <v>Aetas Contemporanea</v>
      </c>
    </row>
    <row r="547" spans="1:15">
      <c r="A547">
        <v>546</v>
      </c>
      <c r="B547" t="s">
        <v>1503</v>
      </c>
      <c r="C547" t="s">
        <v>1504</v>
      </c>
      <c r="D547" t="s">
        <v>1505</v>
      </c>
      <c r="E547" t="s">
        <v>1496</v>
      </c>
      <c r="F547" t="str">
        <f>_xlfn.XLOOKUP(frasest[[#This Row],[autor_es]],autorest[autor_es],autorest[autor_la])</f>
        <v>Rudolphus Steiner</v>
      </c>
      <c r="G547"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7"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7" t="str">
        <f>_xlfn.XLOOKUP(frasest[[#This Row],[autor_es]],autorest[autor_es],autorest[codigo])</f>
        <v>de</v>
      </c>
      <c r="J547" t="str">
        <f>_xlfn.XLOOKUP(frasest[[#This Row],[autor_es]],autorest[autor_es],autorest[idioma_es])</f>
        <v>Alemán</v>
      </c>
      <c r="K547" s="6" t="str">
        <f>_xlfn.XLOOKUP(frasest[[#This Row],[autor_es]],autorest[autor_es],autorest[idioma_la])</f>
        <v>Lingua Germanica</v>
      </c>
      <c r="L547" s="6" t="str">
        <f>_xlfn.XLOOKUP(frasest[[#This Row],[autor_es]],autorest[autor_es],autorest[nacion_es])</f>
        <v>Austria</v>
      </c>
      <c r="M547" t="str">
        <f>_xlfn.XLOOKUP(frasest[[#This Row],[autor_es]],autorest[autor_es],autorest[nacion_la])</f>
        <v>Austria</v>
      </c>
      <c r="N547" t="str">
        <f>_xlfn.XLOOKUP(frasest[[#This Row],[autor_es]],autorest[autor_es],autorest[epoca_es])</f>
        <v>Edad Contemporánea</v>
      </c>
      <c r="O547" t="str">
        <f>_xlfn.XLOOKUP(frasest[[#This Row],[autor_es]],autorest[autor_es],autorest[epoca_la])</f>
        <v>Aetas Contemporanea</v>
      </c>
    </row>
    <row r="548" spans="1:15">
      <c r="A548">
        <v>547</v>
      </c>
      <c r="B548" t="s">
        <v>1506</v>
      </c>
      <c r="C548" t="s">
        <v>1507</v>
      </c>
      <c r="D548" t="s">
        <v>1508</v>
      </c>
      <c r="E548" t="s">
        <v>1496</v>
      </c>
      <c r="F548" t="str">
        <f>_xlfn.XLOOKUP(frasest[[#This Row],[autor_es]],autorest[autor_es],autorest[autor_la])</f>
        <v>Rudolphus Steiner</v>
      </c>
      <c r="G548"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8"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8" t="str">
        <f>_xlfn.XLOOKUP(frasest[[#This Row],[autor_es]],autorest[autor_es],autorest[codigo])</f>
        <v>de</v>
      </c>
      <c r="J548" t="str">
        <f>_xlfn.XLOOKUP(frasest[[#This Row],[autor_es]],autorest[autor_es],autorest[idioma_es])</f>
        <v>Alemán</v>
      </c>
      <c r="K548" s="6" t="str">
        <f>_xlfn.XLOOKUP(frasest[[#This Row],[autor_es]],autorest[autor_es],autorest[idioma_la])</f>
        <v>Lingua Germanica</v>
      </c>
      <c r="L548" s="6" t="str">
        <f>_xlfn.XLOOKUP(frasest[[#This Row],[autor_es]],autorest[autor_es],autorest[nacion_es])</f>
        <v>Austria</v>
      </c>
      <c r="M548" t="str">
        <f>_xlfn.XLOOKUP(frasest[[#This Row],[autor_es]],autorest[autor_es],autorest[nacion_la])</f>
        <v>Austria</v>
      </c>
      <c r="N548" t="str">
        <f>_xlfn.XLOOKUP(frasest[[#This Row],[autor_es]],autorest[autor_es],autorest[epoca_es])</f>
        <v>Edad Contemporánea</v>
      </c>
      <c r="O548" t="str">
        <f>_xlfn.XLOOKUP(frasest[[#This Row],[autor_es]],autorest[autor_es],autorest[epoca_la])</f>
        <v>Aetas Contemporanea</v>
      </c>
    </row>
    <row r="549" spans="1:15">
      <c r="A549">
        <v>548</v>
      </c>
      <c r="B549" t="s">
        <v>1509</v>
      </c>
      <c r="C549" t="s">
        <v>1510</v>
      </c>
      <c r="D549" t="s">
        <v>1511</v>
      </c>
      <c r="E549" t="s">
        <v>1496</v>
      </c>
      <c r="F549" t="str">
        <f>_xlfn.XLOOKUP(frasest[[#This Row],[autor_es]],autorest[autor_es],autorest[autor_la])</f>
        <v>Rudolphus Steiner</v>
      </c>
      <c r="G549"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9"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9" t="str">
        <f>_xlfn.XLOOKUP(frasest[[#This Row],[autor_es]],autorest[autor_es],autorest[codigo])</f>
        <v>de</v>
      </c>
      <c r="J549" t="str">
        <f>_xlfn.XLOOKUP(frasest[[#This Row],[autor_es]],autorest[autor_es],autorest[idioma_es])</f>
        <v>Alemán</v>
      </c>
      <c r="K549" s="6" t="str">
        <f>_xlfn.XLOOKUP(frasest[[#This Row],[autor_es]],autorest[autor_es],autorest[idioma_la])</f>
        <v>Lingua Germanica</v>
      </c>
      <c r="L549" s="6" t="str">
        <f>_xlfn.XLOOKUP(frasest[[#This Row],[autor_es]],autorest[autor_es],autorest[nacion_es])</f>
        <v>Austria</v>
      </c>
      <c r="M549" t="str">
        <f>_xlfn.XLOOKUP(frasest[[#This Row],[autor_es]],autorest[autor_es],autorest[nacion_la])</f>
        <v>Austria</v>
      </c>
      <c r="N549" t="str">
        <f>_xlfn.XLOOKUP(frasest[[#This Row],[autor_es]],autorest[autor_es],autorest[epoca_es])</f>
        <v>Edad Contemporánea</v>
      </c>
      <c r="O549" t="str">
        <f>_xlfn.XLOOKUP(frasest[[#This Row],[autor_es]],autorest[autor_es],autorest[epoca_la])</f>
        <v>Aetas Contemporanea</v>
      </c>
    </row>
    <row r="550" spans="1:15">
      <c r="A550">
        <v>549</v>
      </c>
      <c r="B550" t="s">
        <v>1512</v>
      </c>
      <c r="C550" t="s">
        <v>1513</v>
      </c>
      <c r="D550" t="s">
        <v>1514</v>
      </c>
      <c r="E550" t="s">
        <v>1496</v>
      </c>
      <c r="F550" t="str">
        <f>_xlfn.XLOOKUP(frasest[[#This Row],[autor_es]],autorest[autor_es],autorest[autor_la])</f>
        <v>Rudolphus Steiner</v>
      </c>
      <c r="G550"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0"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0" t="str">
        <f>_xlfn.XLOOKUP(frasest[[#This Row],[autor_es]],autorest[autor_es],autorest[codigo])</f>
        <v>de</v>
      </c>
      <c r="J550" t="str">
        <f>_xlfn.XLOOKUP(frasest[[#This Row],[autor_es]],autorest[autor_es],autorest[idioma_es])</f>
        <v>Alemán</v>
      </c>
      <c r="K550" s="6" t="str">
        <f>_xlfn.XLOOKUP(frasest[[#This Row],[autor_es]],autorest[autor_es],autorest[idioma_la])</f>
        <v>Lingua Germanica</v>
      </c>
      <c r="L550" s="6" t="str">
        <f>_xlfn.XLOOKUP(frasest[[#This Row],[autor_es]],autorest[autor_es],autorest[nacion_es])</f>
        <v>Austria</v>
      </c>
      <c r="M550" t="str">
        <f>_xlfn.XLOOKUP(frasest[[#This Row],[autor_es]],autorest[autor_es],autorest[nacion_la])</f>
        <v>Austria</v>
      </c>
      <c r="N550" t="str">
        <f>_xlfn.XLOOKUP(frasest[[#This Row],[autor_es]],autorest[autor_es],autorest[epoca_es])</f>
        <v>Edad Contemporánea</v>
      </c>
      <c r="O550" t="str">
        <f>_xlfn.XLOOKUP(frasest[[#This Row],[autor_es]],autorest[autor_es],autorest[epoca_la])</f>
        <v>Aetas Contemporanea</v>
      </c>
    </row>
    <row r="551" spans="1:15">
      <c r="A551">
        <v>550</v>
      </c>
      <c r="B551" t="s">
        <v>1515</v>
      </c>
      <c r="C551" t="s">
        <v>1516</v>
      </c>
      <c r="D551" t="s">
        <v>1517</v>
      </c>
      <c r="E551" t="s">
        <v>1496</v>
      </c>
      <c r="F551" t="str">
        <f>_xlfn.XLOOKUP(frasest[[#This Row],[autor_es]],autorest[autor_es],autorest[autor_la])</f>
        <v>Rudolphus Steiner</v>
      </c>
      <c r="G551"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1"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1" t="str">
        <f>_xlfn.XLOOKUP(frasest[[#This Row],[autor_es]],autorest[autor_es],autorest[codigo])</f>
        <v>de</v>
      </c>
      <c r="J551" t="str">
        <f>_xlfn.XLOOKUP(frasest[[#This Row],[autor_es]],autorest[autor_es],autorest[idioma_es])</f>
        <v>Alemán</v>
      </c>
      <c r="K551" s="6" t="str">
        <f>_xlfn.XLOOKUP(frasest[[#This Row],[autor_es]],autorest[autor_es],autorest[idioma_la])</f>
        <v>Lingua Germanica</v>
      </c>
      <c r="L551" s="6" t="str">
        <f>_xlfn.XLOOKUP(frasest[[#This Row],[autor_es]],autorest[autor_es],autorest[nacion_es])</f>
        <v>Austria</v>
      </c>
      <c r="M551" t="str">
        <f>_xlfn.XLOOKUP(frasest[[#This Row],[autor_es]],autorest[autor_es],autorest[nacion_la])</f>
        <v>Austria</v>
      </c>
      <c r="N551" t="str">
        <f>_xlfn.XLOOKUP(frasest[[#This Row],[autor_es]],autorest[autor_es],autorest[epoca_es])</f>
        <v>Edad Contemporánea</v>
      </c>
      <c r="O551" t="str">
        <f>_xlfn.XLOOKUP(frasest[[#This Row],[autor_es]],autorest[autor_es],autorest[epoca_la])</f>
        <v>Aetas Contemporanea</v>
      </c>
    </row>
    <row r="552" spans="1:15">
      <c r="A552">
        <v>551</v>
      </c>
      <c r="B552" t="s">
        <v>1518</v>
      </c>
      <c r="C552" t="s">
        <v>1519</v>
      </c>
      <c r="D552" t="s">
        <v>1518</v>
      </c>
      <c r="E552" t="s">
        <v>1520</v>
      </c>
      <c r="F552" t="str">
        <f>_xlfn.XLOOKUP(frasest[[#This Row],[autor_es]],autorest[autor_es],autorest[autor_la])</f>
        <v>Gabriela Mistral</v>
      </c>
      <c r="G552"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2"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2" t="str">
        <f>_xlfn.XLOOKUP(frasest[[#This Row],[autor_es]],autorest[autor_es],autorest[codigo])</f>
        <v>es</v>
      </c>
      <c r="J552" t="str">
        <f>_xlfn.XLOOKUP(frasest[[#This Row],[autor_es]],autorest[autor_es],autorest[idioma_es])</f>
        <v>Español</v>
      </c>
      <c r="K552" s="6" t="str">
        <f>_xlfn.XLOOKUP(frasest[[#This Row],[autor_es]],autorest[autor_es],autorest[idioma_la])</f>
        <v>Lingua Hispanica</v>
      </c>
      <c r="L552" s="6" t="str">
        <f>_xlfn.XLOOKUP(frasest[[#This Row],[autor_es]],autorest[autor_es],autorest[nacion_es])</f>
        <v>Chile</v>
      </c>
      <c r="M552" t="str">
        <f>_xlfn.XLOOKUP(frasest[[#This Row],[autor_es]],autorest[autor_es],autorest[nacion_la])</f>
        <v>Chili</v>
      </c>
      <c r="N552" t="str">
        <f>_xlfn.XLOOKUP(frasest[[#This Row],[autor_es]],autorest[autor_es],autorest[epoca_es])</f>
        <v>Edad Contemporánea</v>
      </c>
      <c r="O552" t="str">
        <f>_xlfn.XLOOKUP(frasest[[#This Row],[autor_es]],autorest[autor_es],autorest[epoca_la])</f>
        <v>Aetas Contemporanea</v>
      </c>
    </row>
    <row r="553" spans="1:15">
      <c r="A553">
        <v>552</v>
      </c>
      <c r="B553" t="s">
        <v>1521</v>
      </c>
      <c r="C553" t="s">
        <v>1522</v>
      </c>
      <c r="D553" t="s">
        <v>1521</v>
      </c>
      <c r="E553" t="s">
        <v>1520</v>
      </c>
      <c r="F553" t="str">
        <f>_xlfn.XLOOKUP(frasest[[#This Row],[autor_es]],autorest[autor_es],autorest[autor_la])</f>
        <v>Gabriela Mistral</v>
      </c>
      <c r="G553"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3"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3" t="str">
        <f>_xlfn.XLOOKUP(frasest[[#This Row],[autor_es]],autorest[autor_es],autorest[codigo])</f>
        <v>es</v>
      </c>
      <c r="J553" t="str">
        <f>_xlfn.XLOOKUP(frasest[[#This Row],[autor_es]],autorest[autor_es],autorest[idioma_es])</f>
        <v>Español</v>
      </c>
      <c r="K553" s="6" t="str">
        <f>_xlfn.XLOOKUP(frasest[[#This Row],[autor_es]],autorest[autor_es],autorest[idioma_la])</f>
        <v>Lingua Hispanica</v>
      </c>
      <c r="L553" s="6" t="str">
        <f>_xlfn.XLOOKUP(frasest[[#This Row],[autor_es]],autorest[autor_es],autorest[nacion_es])</f>
        <v>Chile</v>
      </c>
      <c r="M553" t="str">
        <f>_xlfn.XLOOKUP(frasest[[#This Row],[autor_es]],autorest[autor_es],autorest[nacion_la])</f>
        <v>Chili</v>
      </c>
      <c r="N553" t="str">
        <f>_xlfn.XLOOKUP(frasest[[#This Row],[autor_es]],autorest[autor_es],autorest[epoca_es])</f>
        <v>Edad Contemporánea</v>
      </c>
      <c r="O553" t="str">
        <f>_xlfn.XLOOKUP(frasest[[#This Row],[autor_es]],autorest[autor_es],autorest[epoca_la])</f>
        <v>Aetas Contemporanea</v>
      </c>
    </row>
    <row r="554" spans="1:15">
      <c r="A554">
        <v>553</v>
      </c>
      <c r="B554" t="s">
        <v>1523</v>
      </c>
      <c r="C554" t="s">
        <v>1524</v>
      </c>
      <c r="D554" t="s">
        <v>1523</v>
      </c>
      <c r="E554" t="s">
        <v>1520</v>
      </c>
      <c r="F554" t="str">
        <f>_xlfn.XLOOKUP(frasest[[#This Row],[autor_es]],autorest[autor_es],autorest[autor_la])</f>
        <v>Gabriela Mistral</v>
      </c>
      <c r="G554"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4"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4" t="str">
        <f>_xlfn.XLOOKUP(frasest[[#This Row],[autor_es]],autorest[autor_es],autorest[codigo])</f>
        <v>es</v>
      </c>
      <c r="J554" t="str">
        <f>_xlfn.XLOOKUP(frasest[[#This Row],[autor_es]],autorest[autor_es],autorest[idioma_es])</f>
        <v>Español</v>
      </c>
      <c r="K554" s="6" t="str">
        <f>_xlfn.XLOOKUP(frasest[[#This Row],[autor_es]],autorest[autor_es],autorest[idioma_la])</f>
        <v>Lingua Hispanica</v>
      </c>
      <c r="L554" s="6" t="str">
        <f>_xlfn.XLOOKUP(frasest[[#This Row],[autor_es]],autorest[autor_es],autorest[nacion_es])</f>
        <v>Chile</v>
      </c>
      <c r="M554" t="str">
        <f>_xlfn.XLOOKUP(frasest[[#This Row],[autor_es]],autorest[autor_es],autorest[nacion_la])</f>
        <v>Chili</v>
      </c>
      <c r="N554" t="str">
        <f>_xlfn.XLOOKUP(frasest[[#This Row],[autor_es]],autorest[autor_es],autorest[epoca_es])</f>
        <v>Edad Contemporánea</v>
      </c>
      <c r="O554" t="str">
        <f>_xlfn.XLOOKUP(frasest[[#This Row],[autor_es]],autorest[autor_es],autorest[epoca_la])</f>
        <v>Aetas Contemporanea</v>
      </c>
    </row>
    <row r="555" spans="1:15">
      <c r="A555">
        <v>554</v>
      </c>
      <c r="B555" t="s">
        <v>1525</v>
      </c>
      <c r="C555" t="s">
        <v>1526</v>
      </c>
      <c r="D555" t="s">
        <v>1525</v>
      </c>
      <c r="E555" t="s">
        <v>1520</v>
      </c>
      <c r="F555" t="str">
        <f>_xlfn.XLOOKUP(frasest[[#This Row],[autor_es]],autorest[autor_es],autorest[autor_la])</f>
        <v>Gabriela Mistral</v>
      </c>
      <c r="G555"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5"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5" t="str">
        <f>_xlfn.XLOOKUP(frasest[[#This Row],[autor_es]],autorest[autor_es],autorest[codigo])</f>
        <v>es</v>
      </c>
      <c r="J555" t="str">
        <f>_xlfn.XLOOKUP(frasest[[#This Row],[autor_es]],autorest[autor_es],autorest[idioma_es])</f>
        <v>Español</v>
      </c>
      <c r="K555" s="6" t="str">
        <f>_xlfn.XLOOKUP(frasest[[#This Row],[autor_es]],autorest[autor_es],autorest[idioma_la])</f>
        <v>Lingua Hispanica</v>
      </c>
      <c r="L555" s="6" t="str">
        <f>_xlfn.XLOOKUP(frasest[[#This Row],[autor_es]],autorest[autor_es],autorest[nacion_es])</f>
        <v>Chile</v>
      </c>
      <c r="M555" t="str">
        <f>_xlfn.XLOOKUP(frasest[[#This Row],[autor_es]],autorest[autor_es],autorest[nacion_la])</f>
        <v>Chili</v>
      </c>
      <c r="N555" t="str">
        <f>_xlfn.XLOOKUP(frasest[[#This Row],[autor_es]],autorest[autor_es],autorest[epoca_es])</f>
        <v>Edad Contemporánea</v>
      </c>
      <c r="O555" t="str">
        <f>_xlfn.XLOOKUP(frasest[[#This Row],[autor_es]],autorest[autor_es],autorest[epoca_la])</f>
        <v>Aetas Contemporanea</v>
      </c>
    </row>
    <row r="556" spans="1:15">
      <c r="A556">
        <v>555</v>
      </c>
      <c r="B556" t="s">
        <v>1527</v>
      </c>
      <c r="C556" t="s">
        <v>1528</v>
      </c>
      <c r="D556" t="s">
        <v>1527</v>
      </c>
      <c r="E556" t="s">
        <v>1520</v>
      </c>
      <c r="F556" t="str">
        <f>_xlfn.XLOOKUP(frasest[[#This Row],[autor_es]],autorest[autor_es],autorest[autor_la])</f>
        <v>Gabriela Mistral</v>
      </c>
      <c r="G556"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6"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6" t="str">
        <f>_xlfn.XLOOKUP(frasest[[#This Row],[autor_es]],autorest[autor_es],autorest[codigo])</f>
        <v>es</v>
      </c>
      <c r="J556" t="str">
        <f>_xlfn.XLOOKUP(frasest[[#This Row],[autor_es]],autorest[autor_es],autorest[idioma_es])</f>
        <v>Español</v>
      </c>
      <c r="K556" s="6" t="str">
        <f>_xlfn.XLOOKUP(frasest[[#This Row],[autor_es]],autorest[autor_es],autorest[idioma_la])</f>
        <v>Lingua Hispanica</v>
      </c>
      <c r="L556" s="6" t="str">
        <f>_xlfn.XLOOKUP(frasest[[#This Row],[autor_es]],autorest[autor_es],autorest[nacion_es])</f>
        <v>Chile</v>
      </c>
      <c r="M556" t="str">
        <f>_xlfn.XLOOKUP(frasest[[#This Row],[autor_es]],autorest[autor_es],autorest[nacion_la])</f>
        <v>Chili</v>
      </c>
      <c r="N556" t="str">
        <f>_xlfn.XLOOKUP(frasest[[#This Row],[autor_es]],autorest[autor_es],autorest[epoca_es])</f>
        <v>Edad Contemporánea</v>
      </c>
      <c r="O556" t="str">
        <f>_xlfn.XLOOKUP(frasest[[#This Row],[autor_es]],autorest[autor_es],autorest[epoca_la])</f>
        <v>Aetas Contemporanea</v>
      </c>
    </row>
    <row r="557" spans="1:15">
      <c r="A557">
        <v>556</v>
      </c>
      <c r="B557" t="s">
        <v>1529</v>
      </c>
      <c r="C557" t="s">
        <v>1530</v>
      </c>
      <c r="D557" t="s">
        <v>1529</v>
      </c>
      <c r="E557" t="s">
        <v>1520</v>
      </c>
      <c r="F557" t="str">
        <f>_xlfn.XLOOKUP(frasest[[#This Row],[autor_es]],autorest[autor_es],autorest[autor_la])</f>
        <v>Gabriela Mistral</v>
      </c>
      <c r="G557"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7"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7" t="str">
        <f>_xlfn.XLOOKUP(frasest[[#This Row],[autor_es]],autorest[autor_es],autorest[codigo])</f>
        <v>es</v>
      </c>
      <c r="J557" t="str">
        <f>_xlfn.XLOOKUP(frasest[[#This Row],[autor_es]],autorest[autor_es],autorest[idioma_es])</f>
        <v>Español</v>
      </c>
      <c r="K557" s="6" t="str">
        <f>_xlfn.XLOOKUP(frasest[[#This Row],[autor_es]],autorest[autor_es],autorest[idioma_la])</f>
        <v>Lingua Hispanica</v>
      </c>
      <c r="L557" s="6" t="str">
        <f>_xlfn.XLOOKUP(frasest[[#This Row],[autor_es]],autorest[autor_es],autorest[nacion_es])</f>
        <v>Chile</v>
      </c>
      <c r="M557" t="str">
        <f>_xlfn.XLOOKUP(frasest[[#This Row],[autor_es]],autorest[autor_es],autorest[nacion_la])</f>
        <v>Chili</v>
      </c>
      <c r="N557" t="str">
        <f>_xlfn.XLOOKUP(frasest[[#This Row],[autor_es]],autorest[autor_es],autorest[epoca_es])</f>
        <v>Edad Contemporánea</v>
      </c>
      <c r="O557" t="str">
        <f>_xlfn.XLOOKUP(frasest[[#This Row],[autor_es]],autorest[autor_es],autorest[epoca_la])</f>
        <v>Aetas Contemporanea</v>
      </c>
    </row>
    <row r="558" spans="1:15">
      <c r="A558">
        <v>557</v>
      </c>
      <c r="B558" t="s">
        <v>1531</v>
      </c>
      <c r="C558" t="s">
        <v>1532</v>
      </c>
      <c r="D558" t="s">
        <v>1531</v>
      </c>
      <c r="E558" t="s">
        <v>1520</v>
      </c>
      <c r="F558" t="str">
        <f>_xlfn.XLOOKUP(frasest[[#This Row],[autor_es]],autorest[autor_es],autorest[autor_la])</f>
        <v>Gabriela Mistral</v>
      </c>
      <c r="G558"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8"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8" t="str">
        <f>_xlfn.XLOOKUP(frasest[[#This Row],[autor_es]],autorest[autor_es],autorest[codigo])</f>
        <v>es</v>
      </c>
      <c r="J558" t="str">
        <f>_xlfn.XLOOKUP(frasest[[#This Row],[autor_es]],autorest[autor_es],autorest[idioma_es])</f>
        <v>Español</v>
      </c>
      <c r="K558" s="6" t="str">
        <f>_xlfn.XLOOKUP(frasest[[#This Row],[autor_es]],autorest[autor_es],autorest[idioma_la])</f>
        <v>Lingua Hispanica</v>
      </c>
      <c r="L558" s="6" t="str">
        <f>_xlfn.XLOOKUP(frasest[[#This Row],[autor_es]],autorest[autor_es],autorest[nacion_es])</f>
        <v>Chile</v>
      </c>
      <c r="M558" t="str">
        <f>_xlfn.XLOOKUP(frasest[[#This Row],[autor_es]],autorest[autor_es],autorest[nacion_la])</f>
        <v>Chili</v>
      </c>
      <c r="N558" t="str">
        <f>_xlfn.XLOOKUP(frasest[[#This Row],[autor_es]],autorest[autor_es],autorest[epoca_es])</f>
        <v>Edad Contemporánea</v>
      </c>
      <c r="O558" t="str">
        <f>_xlfn.XLOOKUP(frasest[[#This Row],[autor_es]],autorest[autor_es],autorest[epoca_la])</f>
        <v>Aetas Contemporanea</v>
      </c>
    </row>
    <row r="559" spans="1:15">
      <c r="A559">
        <v>558</v>
      </c>
      <c r="B559" t="s">
        <v>1533</v>
      </c>
      <c r="C559" t="s">
        <v>1534</v>
      </c>
      <c r="D559" t="s">
        <v>1533</v>
      </c>
      <c r="E559" t="s">
        <v>1520</v>
      </c>
      <c r="F559" t="str">
        <f>_xlfn.XLOOKUP(frasest[[#This Row],[autor_es]],autorest[autor_es],autorest[autor_la])</f>
        <v>Gabriela Mistral</v>
      </c>
      <c r="G559"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9"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9" t="str">
        <f>_xlfn.XLOOKUP(frasest[[#This Row],[autor_es]],autorest[autor_es],autorest[codigo])</f>
        <v>es</v>
      </c>
      <c r="J559" t="str">
        <f>_xlfn.XLOOKUP(frasest[[#This Row],[autor_es]],autorest[autor_es],autorest[idioma_es])</f>
        <v>Español</v>
      </c>
      <c r="K559" s="6" t="str">
        <f>_xlfn.XLOOKUP(frasest[[#This Row],[autor_es]],autorest[autor_es],autorest[idioma_la])</f>
        <v>Lingua Hispanica</v>
      </c>
      <c r="L559" s="6" t="str">
        <f>_xlfn.XLOOKUP(frasest[[#This Row],[autor_es]],autorest[autor_es],autorest[nacion_es])</f>
        <v>Chile</v>
      </c>
      <c r="M559" t="str">
        <f>_xlfn.XLOOKUP(frasest[[#This Row],[autor_es]],autorest[autor_es],autorest[nacion_la])</f>
        <v>Chili</v>
      </c>
      <c r="N559" t="str">
        <f>_xlfn.XLOOKUP(frasest[[#This Row],[autor_es]],autorest[autor_es],autorest[epoca_es])</f>
        <v>Edad Contemporánea</v>
      </c>
      <c r="O559" t="str">
        <f>_xlfn.XLOOKUP(frasest[[#This Row],[autor_es]],autorest[autor_es],autorest[epoca_la])</f>
        <v>Aetas Contemporanea</v>
      </c>
    </row>
    <row r="560" spans="1:15">
      <c r="A560">
        <v>559</v>
      </c>
      <c r="B560" t="s">
        <v>1535</v>
      </c>
      <c r="C560" t="s">
        <v>1536</v>
      </c>
      <c r="D560" t="s">
        <v>1535</v>
      </c>
      <c r="E560" t="s">
        <v>1520</v>
      </c>
      <c r="F560" t="str">
        <f>_xlfn.XLOOKUP(frasest[[#This Row],[autor_es]],autorest[autor_es],autorest[autor_la])</f>
        <v>Gabriela Mistral</v>
      </c>
      <c r="G560"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0"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0" t="str">
        <f>_xlfn.XLOOKUP(frasest[[#This Row],[autor_es]],autorest[autor_es],autorest[codigo])</f>
        <v>es</v>
      </c>
      <c r="J560" t="str">
        <f>_xlfn.XLOOKUP(frasest[[#This Row],[autor_es]],autorest[autor_es],autorest[idioma_es])</f>
        <v>Español</v>
      </c>
      <c r="K560" s="6" t="str">
        <f>_xlfn.XLOOKUP(frasest[[#This Row],[autor_es]],autorest[autor_es],autorest[idioma_la])</f>
        <v>Lingua Hispanica</v>
      </c>
      <c r="L560" s="6" t="str">
        <f>_xlfn.XLOOKUP(frasest[[#This Row],[autor_es]],autorest[autor_es],autorest[nacion_es])</f>
        <v>Chile</v>
      </c>
      <c r="M560" t="str">
        <f>_xlfn.XLOOKUP(frasest[[#This Row],[autor_es]],autorest[autor_es],autorest[nacion_la])</f>
        <v>Chili</v>
      </c>
      <c r="N560" t="str">
        <f>_xlfn.XLOOKUP(frasest[[#This Row],[autor_es]],autorest[autor_es],autorest[epoca_es])</f>
        <v>Edad Contemporánea</v>
      </c>
      <c r="O560" t="str">
        <f>_xlfn.XLOOKUP(frasest[[#This Row],[autor_es]],autorest[autor_es],autorest[epoca_la])</f>
        <v>Aetas Contemporanea</v>
      </c>
    </row>
    <row r="561" spans="1:15">
      <c r="A561">
        <v>560</v>
      </c>
      <c r="B561" t="s">
        <v>1537</v>
      </c>
      <c r="C561" t="s">
        <v>1538</v>
      </c>
      <c r="D561" t="s">
        <v>1537</v>
      </c>
      <c r="E561" t="s">
        <v>1520</v>
      </c>
      <c r="F561" t="str">
        <f>_xlfn.XLOOKUP(frasest[[#This Row],[autor_es]],autorest[autor_es],autorest[autor_la])</f>
        <v>Gabriela Mistral</v>
      </c>
      <c r="G561"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1"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1" t="str">
        <f>_xlfn.XLOOKUP(frasest[[#This Row],[autor_es]],autorest[autor_es],autorest[codigo])</f>
        <v>es</v>
      </c>
      <c r="J561" t="str">
        <f>_xlfn.XLOOKUP(frasest[[#This Row],[autor_es]],autorest[autor_es],autorest[idioma_es])</f>
        <v>Español</v>
      </c>
      <c r="K561" s="6" t="str">
        <f>_xlfn.XLOOKUP(frasest[[#This Row],[autor_es]],autorest[autor_es],autorest[idioma_la])</f>
        <v>Lingua Hispanica</v>
      </c>
      <c r="L561" s="6" t="str">
        <f>_xlfn.XLOOKUP(frasest[[#This Row],[autor_es]],autorest[autor_es],autorest[nacion_es])</f>
        <v>Chile</v>
      </c>
      <c r="M561" t="str">
        <f>_xlfn.XLOOKUP(frasest[[#This Row],[autor_es]],autorest[autor_es],autorest[nacion_la])</f>
        <v>Chili</v>
      </c>
      <c r="N561" t="str">
        <f>_xlfn.XLOOKUP(frasest[[#This Row],[autor_es]],autorest[autor_es],autorest[epoca_es])</f>
        <v>Edad Contemporánea</v>
      </c>
      <c r="O561" t="str">
        <f>_xlfn.XLOOKUP(frasest[[#This Row],[autor_es]],autorest[autor_es],autorest[epoca_la])</f>
        <v>Aetas Contemporanea</v>
      </c>
    </row>
    <row r="562" spans="1:15">
      <c r="A562">
        <v>561</v>
      </c>
      <c r="B562" t="s">
        <v>1539</v>
      </c>
      <c r="C562" t="s">
        <v>1540</v>
      </c>
      <c r="D562" t="s">
        <v>1541</v>
      </c>
      <c r="E562" t="s">
        <v>1542</v>
      </c>
      <c r="F562" t="str">
        <f>_xlfn.XLOOKUP(frasest[[#This Row],[autor_es]],autorest[autor_es],autorest[autor_la])</f>
        <v>Howardus Gardner</v>
      </c>
      <c r="G562"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2"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2" t="str">
        <f>_xlfn.XLOOKUP(frasest[[#This Row],[autor_es]],autorest[autor_es],autorest[codigo])</f>
        <v>en</v>
      </c>
      <c r="J562" t="str">
        <f>_xlfn.XLOOKUP(frasest[[#This Row],[autor_es]],autorest[autor_es],autorest[idioma_es])</f>
        <v>Inglés</v>
      </c>
      <c r="K562" s="6" t="str">
        <f>_xlfn.XLOOKUP(frasest[[#This Row],[autor_es]],autorest[autor_es],autorest[idioma_la])</f>
        <v>Lingua Anglica</v>
      </c>
      <c r="L562" s="6" t="str">
        <f>_xlfn.XLOOKUP(frasest[[#This Row],[autor_es]],autorest[autor_es],autorest[nacion_es])</f>
        <v>Estados Unidos</v>
      </c>
      <c r="M562" t="str">
        <f>_xlfn.XLOOKUP(frasest[[#This Row],[autor_es]],autorest[autor_es],autorest[nacion_la])</f>
        <v>Civitates Foederatae Americae</v>
      </c>
      <c r="N562" t="str">
        <f>_xlfn.XLOOKUP(frasest[[#This Row],[autor_es]],autorest[autor_es],autorest[epoca_es])</f>
        <v>Edad Contemporánea</v>
      </c>
      <c r="O562" t="str">
        <f>_xlfn.XLOOKUP(frasest[[#This Row],[autor_es]],autorest[autor_es],autorest[epoca_la])</f>
        <v>Aetas Contemporanea</v>
      </c>
    </row>
    <row r="563" spans="1:15">
      <c r="A563">
        <v>562</v>
      </c>
      <c r="B563" t="s">
        <v>1543</v>
      </c>
      <c r="C563" t="s">
        <v>1544</v>
      </c>
      <c r="D563" t="s">
        <v>1545</v>
      </c>
      <c r="E563" t="s">
        <v>1542</v>
      </c>
      <c r="F563" t="str">
        <f>_xlfn.XLOOKUP(frasest[[#This Row],[autor_es]],autorest[autor_es],autorest[autor_la])</f>
        <v>Howardus Gardner</v>
      </c>
      <c r="G563"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3"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3" t="str">
        <f>_xlfn.XLOOKUP(frasest[[#This Row],[autor_es]],autorest[autor_es],autorest[codigo])</f>
        <v>en</v>
      </c>
      <c r="J563" t="str">
        <f>_xlfn.XLOOKUP(frasest[[#This Row],[autor_es]],autorest[autor_es],autorest[idioma_es])</f>
        <v>Inglés</v>
      </c>
      <c r="K563" s="6" t="str">
        <f>_xlfn.XLOOKUP(frasest[[#This Row],[autor_es]],autorest[autor_es],autorest[idioma_la])</f>
        <v>Lingua Anglica</v>
      </c>
      <c r="L563" s="6" t="str">
        <f>_xlfn.XLOOKUP(frasest[[#This Row],[autor_es]],autorest[autor_es],autorest[nacion_es])</f>
        <v>Estados Unidos</v>
      </c>
      <c r="M563" t="str">
        <f>_xlfn.XLOOKUP(frasest[[#This Row],[autor_es]],autorest[autor_es],autorest[nacion_la])</f>
        <v>Civitates Foederatae Americae</v>
      </c>
      <c r="N563" t="str">
        <f>_xlfn.XLOOKUP(frasest[[#This Row],[autor_es]],autorest[autor_es],autorest[epoca_es])</f>
        <v>Edad Contemporánea</v>
      </c>
      <c r="O563" t="str">
        <f>_xlfn.XLOOKUP(frasest[[#This Row],[autor_es]],autorest[autor_es],autorest[epoca_la])</f>
        <v>Aetas Contemporanea</v>
      </c>
    </row>
    <row r="564" spans="1:15">
      <c r="A564">
        <v>563</v>
      </c>
      <c r="B564" t="s">
        <v>1546</v>
      </c>
      <c r="C564" t="s">
        <v>1547</v>
      </c>
      <c r="D564" t="s">
        <v>1548</v>
      </c>
      <c r="E564" t="s">
        <v>1542</v>
      </c>
      <c r="F564" t="str">
        <f>_xlfn.XLOOKUP(frasest[[#This Row],[autor_es]],autorest[autor_es],autorest[autor_la])</f>
        <v>Howardus Gardner</v>
      </c>
      <c r="G564"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4"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4" t="str">
        <f>_xlfn.XLOOKUP(frasest[[#This Row],[autor_es]],autorest[autor_es],autorest[codigo])</f>
        <v>en</v>
      </c>
      <c r="J564" t="str">
        <f>_xlfn.XLOOKUP(frasest[[#This Row],[autor_es]],autorest[autor_es],autorest[idioma_es])</f>
        <v>Inglés</v>
      </c>
      <c r="K564" s="6" t="str">
        <f>_xlfn.XLOOKUP(frasest[[#This Row],[autor_es]],autorest[autor_es],autorest[idioma_la])</f>
        <v>Lingua Anglica</v>
      </c>
      <c r="L564" s="6" t="str">
        <f>_xlfn.XLOOKUP(frasest[[#This Row],[autor_es]],autorest[autor_es],autorest[nacion_es])</f>
        <v>Estados Unidos</v>
      </c>
      <c r="M564" t="str">
        <f>_xlfn.XLOOKUP(frasest[[#This Row],[autor_es]],autorest[autor_es],autorest[nacion_la])</f>
        <v>Civitates Foederatae Americae</v>
      </c>
      <c r="N564" t="str">
        <f>_xlfn.XLOOKUP(frasest[[#This Row],[autor_es]],autorest[autor_es],autorest[epoca_es])</f>
        <v>Edad Contemporánea</v>
      </c>
      <c r="O564" t="str">
        <f>_xlfn.XLOOKUP(frasest[[#This Row],[autor_es]],autorest[autor_es],autorest[epoca_la])</f>
        <v>Aetas Contemporanea</v>
      </c>
    </row>
    <row r="565" spans="1:15">
      <c r="A565">
        <v>564</v>
      </c>
      <c r="B565" t="s">
        <v>1549</v>
      </c>
      <c r="C565" t="s">
        <v>1550</v>
      </c>
      <c r="D565" t="s">
        <v>1551</v>
      </c>
      <c r="E565" t="s">
        <v>1542</v>
      </c>
      <c r="F565" t="str">
        <f>_xlfn.XLOOKUP(frasest[[#This Row],[autor_es]],autorest[autor_es],autorest[autor_la])</f>
        <v>Howardus Gardner</v>
      </c>
      <c r="G565"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5"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5" t="str">
        <f>_xlfn.XLOOKUP(frasest[[#This Row],[autor_es]],autorest[autor_es],autorest[codigo])</f>
        <v>en</v>
      </c>
      <c r="J565" t="str">
        <f>_xlfn.XLOOKUP(frasest[[#This Row],[autor_es]],autorest[autor_es],autorest[idioma_es])</f>
        <v>Inglés</v>
      </c>
      <c r="K565" s="6" t="str">
        <f>_xlfn.XLOOKUP(frasest[[#This Row],[autor_es]],autorest[autor_es],autorest[idioma_la])</f>
        <v>Lingua Anglica</v>
      </c>
      <c r="L565" s="6" t="str">
        <f>_xlfn.XLOOKUP(frasest[[#This Row],[autor_es]],autorest[autor_es],autorest[nacion_es])</f>
        <v>Estados Unidos</v>
      </c>
      <c r="M565" t="str">
        <f>_xlfn.XLOOKUP(frasest[[#This Row],[autor_es]],autorest[autor_es],autorest[nacion_la])</f>
        <v>Civitates Foederatae Americae</v>
      </c>
      <c r="N565" t="str">
        <f>_xlfn.XLOOKUP(frasest[[#This Row],[autor_es]],autorest[autor_es],autorest[epoca_es])</f>
        <v>Edad Contemporánea</v>
      </c>
      <c r="O565" t="str">
        <f>_xlfn.XLOOKUP(frasest[[#This Row],[autor_es]],autorest[autor_es],autorest[epoca_la])</f>
        <v>Aetas Contemporanea</v>
      </c>
    </row>
    <row r="566" spans="1:15">
      <c r="A566">
        <v>565</v>
      </c>
      <c r="B566" t="s">
        <v>1552</v>
      </c>
      <c r="C566" t="s">
        <v>1553</v>
      </c>
      <c r="D566" t="s">
        <v>1554</v>
      </c>
      <c r="E566" t="s">
        <v>1542</v>
      </c>
      <c r="F566" t="str">
        <f>_xlfn.XLOOKUP(frasest[[#This Row],[autor_es]],autorest[autor_es],autorest[autor_la])</f>
        <v>Howardus Gardner</v>
      </c>
      <c r="G566"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6"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6" t="str">
        <f>_xlfn.XLOOKUP(frasest[[#This Row],[autor_es]],autorest[autor_es],autorest[codigo])</f>
        <v>en</v>
      </c>
      <c r="J566" t="str">
        <f>_xlfn.XLOOKUP(frasest[[#This Row],[autor_es]],autorest[autor_es],autorest[idioma_es])</f>
        <v>Inglés</v>
      </c>
      <c r="K566" s="6" t="str">
        <f>_xlfn.XLOOKUP(frasest[[#This Row],[autor_es]],autorest[autor_es],autorest[idioma_la])</f>
        <v>Lingua Anglica</v>
      </c>
      <c r="L566" s="6" t="str">
        <f>_xlfn.XLOOKUP(frasest[[#This Row],[autor_es]],autorest[autor_es],autorest[nacion_es])</f>
        <v>Estados Unidos</v>
      </c>
      <c r="M566" t="str">
        <f>_xlfn.XLOOKUP(frasest[[#This Row],[autor_es]],autorest[autor_es],autorest[nacion_la])</f>
        <v>Civitates Foederatae Americae</v>
      </c>
      <c r="N566" t="str">
        <f>_xlfn.XLOOKUP(frasest[[#This Row],[autor_es]],autorest[autor_es],autorest[epoca_es])</f>
        <v>Edad Contemporánea</v>
      </c>
      <c r="O566" t="str">
        <f>_xlfn.XLOOKUP(frasest[[#This Row],[autor_es]],autorest[autor_es],autorest[epoca_la])</f>
        <v>Aetas Contemporanea</v>
      </c>
    </row>
    <row r="567" spans="1:15">
      <c r="A567">
        <v>566</v>
      </c>
      <c r="B567" t="s">
        <v>1555</v>
      </c>
      <c r="C567" t="s">
        <v>1556</v>
      </c>
      <c r="D567" t="s">
        <v>1557</v>
      </c>
      <c r="E567" t="s">
        <v>1542</v>
      </c>
      <c r="F567" t="str">
        <f>_xlfn.XLOOKUP(frasest[[#This Row],[autor_es]],autorest[autor_es],autorest[autor_la])</f>
        <v>Howardus Gardner</v>
      </c>
      <c r="G567"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7"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7" t="str">
        <f>_xlfn.XLOOKUP(frasest[[#This Row],[autor_es]],autorest[autor_es],autorest[codigo])</f>
        <v>en</v>
      </c>
      <c r="J567" t="str">
        <f>_xlfn.XLOOKUP(frasest[[#This Row],[autor_es]],autorest[autor_es],autorest[idioma_es])</f>
        <v>Inglés</v>
      </c>
      <c r="K567" s="6" t="str">
        <f>_xlfn.XLOOKUP(frasest[[#This Row],[autor_es]],autorest[autor_es],autorest[idioma_la])</f>
        <v>Lingua Anglica</v>
      </c>
      <c r="L567" s="6" t="str">
        <f>_xlfn.XLOOKUP(frasest[[#This Row],[autor_es]],autorest[autor_es],autorest[nacion_es])</f>
        <v>Estados Unidos</v>
      </c>
      <c r="M567" t="str">
        <f>_xlfn.XLOOKUP(frasest[[#This Row],[autor_es]],autorest[autor_es],autorest[nacion_la])</f>
        <v>Civitates Foederatae Americae</v>
      </c>
      <c r="N567" t="str">
        <f>_xlfn.XLOOKUP(frasest[[#This Row],[autor_es]],autorest[autor_es],autorest[epoca_es])</f>
        <v>Edad Contemporánea</v>
      </c>
      <c r="O567" t="str">
        <f>_xlfn.XLOOKUP(frasest[[#This Row],[autor_es]],autorest[autor_es],autorest[epoca_la])</f>
        <v>Aetas Contemporanea</v>
      </c>
    </row>
    <row r="568" spans="1:15">
      <c r="A568">
        <v>567</v>
      </c>
      <c r="B568" t="s">
        <v>1558</v>
      </c>
      <c r="C568" t="s">
        <v>1559</v>
      </c>
      <c r="D568" t="s">
        <v>1560</v>
      </c>
      <c r="E568" t="s">
        <v>1561</v>
      </c>
      <c r="F568" t="str">
        <f>_xlfn.XLOOKUP(frasest[[#This Row],[autor_es]],autorest[autor_es],autorest[autor_la])</f>
        <v>Ken Robinson</v>
      </c>
      <c r="G568"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8"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8" t="str">
        <f>_xlfn.XLOOKUP(frasest[[#This Row],[autor_es]],autorest[autor_es],autorest[codigo])</f>
        <v>en</v>
      </c>
      <c r="J568" t="str">
        <f>_xlfn.XLOOKUP(frasest[[#This Row],[autor_es]],autorest[autor_es],autorest[idioma_es])</f>
        <v>Inglés</v>
      </c>
      <c r="K568" s="6" t="str">
        <f>_xlfn.XLOOKUP(frasest[[#This Row],[autor_es]],autorest[autor_es],autorest[idioma_la])</f>
        <v>Lingua Anglica</v>
      </c>
      <c r="L568" s="6" t="str">
        <f>_xlfn.XLOOKUP(frasest[[#This Row],[autor_es]],autorest[autor_es],autorest[nacion_es])</f>
        <v>Reino Unido</v>
      </c>
      <c r="M568" t="str">
        <f>_xlfn.XLOOKUP(frasest[[#This Row],[autor_es]],autorest[autor_es],autorest[nacion_la])</f>
        <v>Regnum Unitum</v>
      </c>
      <c r="N568" t="str">
        <f>_xlfn.XLOOKUP(frasest[[#This Row],[autor_es]],autorest[autor_es],autorest[epoca_es])</f>
        <v>Edad Contemporánea</v>
      </c>
      <c r="O568" t="str">
        <f>_xlfn.XLOOKUP(frasest[[#This Row],[autor_es]],autorest[autor_es],autorest[epoca_la])</f>
        <v>Aetas Contemporanea</v>
      </c>
    </row>
    <row r="569" spans="1:15">
      <c r="A569">
        <v>568</v>
      </c>
      <c r="B569" t="s">
        <v>1562</v>
      </c>
      <c r="C569" t="s">
        <v>1563</v>
      </c>
      <c r="D569" t="s">
        <v>1564</v>
      </c>
      <c r="E569" t="s">
        <v>1561</v>
      </c>
      <c r="F569" t="str">
        <f>_xlfn.XLOOKUP(frasest[[#This Row],[autor_es]],autorest[autor_es],autorest[autor_la])</f>
        <v>Ken Robinson</v>
      </c>
      <c r="G569"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9"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9" t="str">
        <f>_xlfn.XLOOKUP(frasest[[#This Row],[autor_es]],autorest[autor_es],autorest[codigo])</f>
        <v>en</v>
      </c>
      <c r="J569" t="str">
        <f>_xlfn.XLOOKUP(frasest[[#This Row],[autor_es]],autorest[autor_es],autorest[idioma_es])</f>
        <v>Inglés</v>
      </c>
      <c r="K569" s="6" t="str">
        <f>_xlfn.XLOOKUP(frasest[[#This Row],[autor_es]],autorest[autor_es],autorest[idioma_la])</f>
        <v>Lingua Anglica</v>
      </c>
      <c r="L569" s="6" t="str">
        <f>_xlfn.XLOOKUP(frasest[[#This Row],[autor_es]],autorest[autor_es],autorest[nacion_es])</f>
        <v>Reino Unido</v>
      </c>
      <c r="M569" t="str">
        <f>_xlfn.XLOOKUP(frasest[[#This Row],[autor_es]],autorest[autor_es],autorest[nacion_la])</f>
        <v>Regnum Unitum</v>
      </c>
      <c r="N569" t="str">
        <f>_xlfn.XLOOKUP(frasest[[#This Row],[autor_es]],autorest[autor_es],autorest[epoca_es])</f>
        <v>Edad Contemporánea</v>
      </c>
      <c r="O569" t="str">
        <f>_xlfn.XLOOKUP(frasest[[#This Row],[autor_es]],autorest[autor_es],autorest[epoca_la])</f>
        <v>Aetas Contemporanea</v>
      </c>
    </row>
    <row r="570" spans="1:15">
      <c r="A570">
        <v>569</v>
      </c>
      <c r="B570" t="s">
        <v>1565</v>
      </c>
      <c r="C570" t="s">
        <v>1566</v>
      </c>
      <c r="D570" t="s">
        <v>1567</v>
      </c>
      <c r="E570" t="s">
        <v>1561</v>
      </c>
      <c r="F570" t="str">
        <f>_xlfn.XLOOKUP(frasest[[#This Row],[autor_es]],autorest[autor_es],autorest[autor_la])</f>
        <v>Ken Robinson</v>
      </c>
      <c r="G570"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0"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0" t="str">
        <f>_xlfn.XLOOKUP(frasest[[#This Row],[autor_es]],autorest[autor_es],autorest[codigo])</f>
        <v>en</v>
      </c>
      <c r="J570" t="str">
        <f>_xlfn.XLOOKUP(frasest[[#This Row],[autor_es]],autorest[autor_es],autorest[idioma_es])</f>
        <v>Inglés</v>
      </c>
      <c r="K570" s="6" t="str">
        <f>_xlfn.XLOOKUP(frasest[[#This Row],[autor_es]],autorest[autor_es],autorest[idioma_la])</f>
        <v>Lingua Anglica</v>
      </c>
      <c r="L570" s="6" t="str">
        <f>_xlfn.XLOOKUP(frasest[[#This Row],[autor_es]],autorest[autor_es],autorest[nacion_es])</f>
        <v>Reino Unido</v>
      </c>
      <c r="M570" t="str">
        <f>_xlfn.XLOOKUP(frasest[[#This Row],[autor_es]],autorest[autor_es],autorest[nacion_la])</f>
        <v>Regnum Unitum</v>
      </c>
      <c r="N570" t="str">
        <f>_xlfn.XLOOKUP(frasest[[#This Row],[autor_es]],autorest[autor_es],autorest[epoca_es])</f>
        <v>Edad Contemporánea</v>
      </c>
      <c r="O570" t="str">
        <f>_xlfn.XLOOKUP(frasest[[#This Row],[autor_es]],autorest[autor_es],autorest[epoca_la])</f>
        <v>Aetas Contemporanea</v>
      </c>
    </row>
    <row r="571" spans="1:15">
      <c r="A571">
        <v>570</v>
      </c>
      <c r="B571" t="s">
        <v>1568</v>
      </c>
      <c r="C571" t="s">
        <v>1569</v>
      </c>
      <c r="D571" t="s">
        <v>1570</v>
      </c>
      <c r="E571" t="s">
        <v>1561</v>
      </c>
      <c r="F571" t="str">
        <f>_xlfn.XLOOKUP(frasest[[#This Row],[autor_es]],autorest[autor_es],autorest[autor_la])</f>
        <v>Ken Robinson</v>
      </c>
      <c r="G571"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1"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1" t="str">
        <f>_xlfn.XLOOKUP(frasest[[#This Row],[autor_es]],autorest[autor_es],autorest[codigo])</f>
        <v>en</v>
      </c>
      <c r="J571" t="str">
        <f>_xlfn.XLOOKUP(frasest[[#This Row],[autor_es]],autorest[autor_es],autorest[idioma_es])</f>
        <v>Inglés</v>
      </c>
      <c r="K571" s="6" t="str">
        <f>_xlfn.XLOOKUP(frasest[[#This Row],[autor_es]],autorest[autor_es],autorest[idioma_la])</f>
        <v>Lingua Anglica</v>
      </c>
      <c r="L571" s="6" t="str">
        <f>_xlfn.XLOOKUP(frasest[[#This Row],[autor_es]],autorest[autor_es],autorest[nacion_es])</f>
        <v>Reino Unido</v>
      </c>
      <c r="M571" t="str">
        <f>_xlfn.XLOOKUP(frasest[[#This Row],[autor_es]],autorest[autor_es],autorest[nacion_la])</f>
        <v>Regnum Unitum</v>
      </c>
      <c r="N571" t="str">
        <f>_xlfn.XLOOKUP(frasest[[#This Row],[autor_es]],autorest[autor_es],autorest[epoca_es])</f>
        <v>Edad Contemporánea</v>
      </c>
      <c r="O571" t="str">
        <f>_xlfn.XLOOKUP(frasest[[#This Row],[autor_es]],autorest[autor_es],autorest[epoca_la])</f>
        <v>Aetas Contemporanea</v>
      </c>
    </row>
    <row r="572" spans="1:15">
      <c r="A572">
        <v>571</v>
      </c>
      <c r="B572" t="s">
        <v>1571</v>
      </c>
      <c r="C572" t="s">
        <v>1572</v>
      </c>
      <c r="D572" t="s">
        <v>1573</v>
      </c>
      <c r="E572" t="s">
        <v>1561</v>
      </c>
      <c r="F572" t="str">
        <f>_xlfn.XLOOKUP(frasest[[#This Row],[autor_es]],autorest[autor_es],autorest[autor_la])</f>
        <v>Ken Robinson</v>
      </c>
      <c r="G572"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2"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2" t="str">
        <f>_xlfn.XLOOKUP(frasest[[#This Row],[autor_es]],autorest[autor_es],autorest[codigo])</f>
        <v>en</v>
      </c>
      <c r="J572" t="str">
        <f>_xlfn.XLOOKUP(frasest[[#This Row],[autor_es]],autorest[autor_es],autorest[idioma_es])</f>
        <v>Inglés</v>
      </c>
      <c r="K572" s="6" t="str">
        <f>_xlfn.XLOOKUP(frasest[[#This Row],[autor_es]],autorest[autor_es],autorest[idioma_la])</f>
        <v>Lingua Anglica</v>
      </c>
      <c r="L572" s="6" t="str">
        <f>_xlfn.XLOOKUP(frasest[[#This Row],[autor_es]],autorest[autor_es],autorest[nacion_es])</f>
        <v>Reino Unido</v>
      </c>
      <c r="M572" t="str">
        <f>_xlfn.XLOOKUP(frasest[[#This Row],[autor_es]],autorest[autor_es],autorest[nacion_la])</f>
        <v>Regnum Unitum</v>
      </c>
      <c r="N572" t="str">
        <f>_xlfn.XLOOKUP(frasest[[#This Row],[autor_es]],autorest[autor_es],autorest[epoca_es])</f>
        <v>Edad Contemporánea</v>
      </c>
      <c r="O572" t="str">
        <f>_xlfn.XLOOKUP(frasest[[#This Row],[autor_es]],autorest[autor_es],autorest[epoca_la])</f>
        <v>Aetas Contemporanea</v>
      </c>
    </row>
    <row r="573" spans="1:15">
      <c r="A573">
        <v>572</v>
      </c>
      <c r="B573" t="s">
        <v>1574</v>
      </c>
      <c r="C573" t="s">
        <v>1575</v>
      </c>
      <c r="D573" t="s">
        <v>1576</v>
      </c>
      <c r="E573" t="s">
        <v>1561</v>
      </c>
      <c r="F573" t="str">
        <f>_xlfn.XLOOKUP(frasest[[#This Row],[autor_es]],autorest[autor_es],autorest[autor_la])</f>
        <v>Ken Robinson</v>
      </c>
      <c r="G573"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3"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3" t="str">
        <f>_xlfn.XLOOKUP(frasest[[#This Row],[autor_es]],autorest[autor_es],autorest[codigo])</f>
        <v>en</v>
      </c>
      <c r="J573" t="str">
        <f>_xlfn.XLOOKUP(frasest[[#This Row],[autor_es]],autorest[autor_es],autorest[idioma_es])</f>
        <v>Inglés</v>
      </c>
      <c r="K573" s="6" t="str">
        <f>_xlfn.XLOOKUP(frasest[[#This Row],[autor_es]],autorest[autor_es],autorest[idioma_la])</f>
        <v>Lingua Anglica</v>
      </c>
      <c r="L573" s="6" t="str">
        <f>_xlfn.XLOOKUP(frasest[[#This Row],[autor_es]],autorest[autor_es],autorest[nacion_es])</f>
        <v>Reino Unido</v>
      </c>
      <c r="M573" t="str">
        <f>_xlfn.XLOOKUP(frasest[[#This Row],[autor_es]],autorest[autor_es],autorest[nacion_la])</f>
        <v>Regnum Unitum</v>
      </c>
      <c r="N573" t="str">
        <f>_xlfn.XLOOKUP(frasest[[#This Row],[autor_es]],autorest[autor_es],autorest[epoca_es])</f>
        <v>Edad Contemporánea</v>
      </c>
      <c r="O573" t="str">
        <f>_xlfn.XLOOKUP(frasest[[#This Row],[autor_es]],autorest[autor_es],autorest[epoca_la])</f>
        <v>Aetas Contemporanea</v>
      </c>
    </row>
    <row r="574" spans="1:15">
      <c r="A574">
        <v>573</v>
      </c>
      <c r="B574" t="s">
        <v>1577</v>
      </c>
      <c r="C574" t="s">
        <v>1578</v>
      </c>
      <c r="D574" t="s">
        <v>1579</v>
      </c>
      <c r="E574" t="s">
        <v>1561</v>
      </c>
      <c r="F574" t="str">
        <f>_xlfn.XLOOKUP(frasest[[#This Row],[autor_es]],autorest[autor_es],autorest[autor_la])</f>
        <v>Ken Robinson</v>
      </c>
      <c r="G574"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4"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4" t="str">
        <f>_xlfn.XLOOKUP(frasest[[#This Row],[autor_es]],autorest[autor_es],autorest[codigo])</f>
        <v>en</v>
      </c>
      <c r="J574" t="str">
        <f>_xlfn.XLOOKUP(frasest[[#This Row],[autor_es]],autorest[autor_es],autorest[idioma_es])</f>
        <v>Inglés</v>
      </c>
      <c r="K574" s="6" t="str">
        <f>_xlfn.XLOOKUP(frasest[[#This Row],[autor_es]],autorest[autor_es],autorest[idioma_la])</f>
        <v>Lingua Anglica</v>
      </c>
      <c r="L574" s="6" t="str">
        <f>_xlfn.XLOOKUP(frasest[[#This Row],[autor_es]],autorest[autor_es],autorest[nacion_es])</f>
        <v>Reino Unido</v>
      </c>
      <c r="M574" t="str">
        <f>_xlfn.XLOOKUP(frasest[[#This Row],[autor_es]],autorest[autor_es],autorest[nacion_la])</f>
        <v>Regnum Unitum</v>
      </c>
      <c r="N574" t="str">
        <f>_xlfn.XLOOKUP(frasest[[#This Row],[autor_es]],autorest[autor_es],autorest[epoca_es])</f>
        <v>Edad Contemporánea</v>
      </c>
      <c r="O574" t="str">
        <f>_xlfn.XLOOKUP(frasest[[#This Row],[autor_es]],autorest[autor_es],autorest[epoca_la])</f>
        <v>Aetas Contemporanea</v>
      </c>
    </row>
    <row r="575" spans="1:15">
      <c r="A575">
        <v>574</v>
      </c>
      <c r="B575" t="s">
        <v>1580</v>
      </c>
      <c r="C575" t="s">
        <v>1581</v>
      </c>
      <c r="D575" t="s">
        <v>1582</v>
      </c>
      <c r="E575" t="s">
        <v>1561</v>
      </c>
      <c r="F575" t="str">
        <f>_xlfn.XLOOKUP(frasest[[#This Row],[autor_es]],autorest[autor_es],autorest[autor_la])</f>
        <v>Ken Robinson</v>
      </c>
      <c r="G575"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5"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5" t="str">
        <f>_xlfn.XLOOKUP(frasest[[#This Row],[autor_es]],autorest[autor_es],autorest[codigo])</f>
        <v>en</v>
      </c>
      <c r="J575" t="str">
        <f>_xlfn.XLOOKUP(frasest[[#This Row],[autor_es]],autorest[autor_es],autorest[idioma_es])</f>
        <v>Inglés</v>
      </c>
      <c r="K575" s="6" t="str">
        <f>_xlfn.XLOOKUP(frasest[[#This Row],[autor_es]],autorest[autor_es],autorest[idioma_la])</f>
        <v>Lingua Anglica</v>
      </c>
      <c r="L575" s="6" t="str">
        <f>_xlfn.XLOOKUP(frasest[[#This Row],[autor_es]],autorest[autor_es],autorest[nacion_es])</f>
        <v>Reino Unido</v>
      </c>
      <c r="M575" t="str">
        <f>_xlfn.XLOOKUP(frasest[[#This Row],[autor_es]],autorest[autor_es],autorest[nacion_la])</f>
        <v>Regnum Unitum</v>
      </c>
      <c r="N575" t="str">
        <f>_xlfn.XLOOKUP(frasest[[#This Row],[autor_es]],autorest[autor_es],autorest[epoca_es])</f>
        <v>Edad Contemporánea</v>
      </c>
      <c r="O575" t="str">
        <f>_xlfn.XLOOKUP(frasest[[#This Row],[autor_es]],autorest[autor_es],autorest[epoca_la])</f>
        <v>Aetas Contemporanea</v>
      </c>
    </row>
    <row r="576" spans="1:15">
      <c r="A576">
        <v>575</v>
      </c>
      <c r="B576" t="s">
        <v>1583</v>
      </c>
      <c r="C576" t="s">
        <v>1584</v>
      </c>
      <c r="D576" t="s">
        <v>1585</v>
      </c>
      <c r="E576" t="s">
        <v>1586</v>
      </c>
      <c r="F576" t="str">
        <f>_xlfn.XLOOKUP(frasest[[#This Row],[autor_es]],autorest[autor_es],autorest[autor_la])</f>
        <v>Albertus Bandura</v>
      </c>
      <c r="G576"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6"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6" t="str">
        <f>_xlfn.XLOOKUP(frasest[[#This Row],[autor_es]],autorest[autor_es],autorest[codigo])</f>
        <v>en</v>
      </c>
      <c r="J576" t="str">
        <f>_xlfn.XLOOKUP(frasest[[#This Row],[autor_es]],autorest[autor_es],autorest[idioma_es])</f>
        <v>Inglés</v>
      </c>
      <c r="K576" s="6" t="str">
        <f>_xlfn.XLOOKUP(frasest[[#This Row],[autor_es]],autorest[autor_es],autorest[idioma_la])</f>
        <v>Lingua Anglica</v>
      </c>
      <c r="L576" s="6" t="str">
        <f>_xlfn.XLOOKUP(frasest[[#This Row],[autor_es]],autorest[autor_es],autorest[nacion_es])</f>
        <v>Canadá</v>
      </c>
      <c r="M576" t="str">
        <f>_xlfn.XLOOKUP(frasest[[#This Row],[autor_es]],autorest[autor_es],autorest[nacion_la])</f>
        <v>Canada</v>
      </c>
      <c r="N576" t="str">
        <f>_xlfn.XLOOKUP(frasest[[#This Row],[autor_es]],autorest[autor_es],autorest[epoca_es])</f>
        <v>Edad Contemporánea</v>
      </c>
      <c r="O576" t="str">
        <f>_xlfn.XLOOKUP(frasest[[#This Row],[autor_es]],autorest[autor_es],autorest[epoca_la])</f>
        <v>Aetas Contemporanea</v>
      </c>
    </row>
    <row r="577" spans="1:15">
      <c r="A577">
        <v>576</v>
      </c>
      <c r="B577" t="s">
        <v>1587</v>
      </c>
      <c r="C577" t="s">
        <v>1588</v>
      </c>
      <c r="D577" t="s">
        <v>1589</v>
      </c>
      <c r="E577" t="s">
        <v>1586</v>
      </c>
      <c r="F577" t="str">
        <f>_xlfn.XLOOKUP(frasest[[#This Row],[autor_es]],autorest[autor_es],autorest[autor_la])</f>
        <v>Albertus Bandura</v>
      </c>
      <c r="G577"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7"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7" t="str">
        <f>_xlfn.XLOOKUP(frasest[[#This Row],[autor_es]],autorest[autor_es],autorest[codigo])</f>
        <v>en</v>
      </c>
      <c r="J577" t="str">
        <f>_xlfn.XLOOKUP(frasest[[#This Row],[autor_es]],autorest[autor_es],autorest[idioma_es])</f>
        <v>Inglés</v>
      </c>
      <c r="K577" s="6" t="str">
        <f>_xlfn.XLOOKUP(frasest[[#This Row],[autor_es]],autorest[autor_es],autorest[idioma_la])</f>
        <v>Lingua Anglica</v>
      </c>
      <c r="L577" s="6" t="str">
        <f>_xlfn.XLOOKUP(frasest[[#This Row],[autor_es]],autorest[autor_es],autorest[nacion_es])</f>
        <v>Canadá</v>
      </c>
      <c r="M577" t="str">
        <f>_xlfn.XLOOKUP(frasest[[#This Row],[autor_es]],autorest[autor_es],autorest[nacion_la])</f>
        <v>Canada</v>
      </c>
      <c r="N577" t="str">
        <f>_xlfn.XLOOKUP(frasest[[#This Row],[autor_es]],autorest[autor_es],autorest[epoca_es])</f>
        <v>Edad Contemporánea</v>
      </c>
      <c r="O577" t="str">
        <f>_xlfn.XLOOKUP(frasest[[#This Row],[autor_es]],autorest[autor_es],autorest[epoca_la])</f>
        <v>Aetas Contemporanea</v>
      </c>
    </row>
    <row r="578" spans="1:15">
      <c r="A578">
        <v>577</v>
      </c>
      <c r="B578" t="s">
        <v>1590</v>
      </c>
      <c r="C578" t="s">
        <v>1591</v>
      </c>
      <c r="D578" t="s">
        <v>1592</v>
      </c>
      <c r="E578" t="s">
        <v>1586</v>
      </c>
      <c r="F578" t="str">
        <f>_xlfn.XLOOKUP(frasest[[#This Row],[autor_es]],autorest[autor_es],autorest[autor_la])</f>
        <v>Albertus Bandura</v>
      </c>
      <c r="G578"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8"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8" t="str">
        <f>_xlfn.XLOOKUP(frasest[[#This Row],[autor_es]],autorest[autor_es],autorest[codigo])</f>
        <v>en</v>
      </c>
      <c r="J578" t="str">
        <f>_xlfn.XLOOKUP(frasest[[#This Row],[autor_es]],autorest[autor_es],autorest[idioma_es])</f>
        <v>Inglés</v>
      </c>
      <c r="K578" s="6" t="str">
        <f>_xlfn.XLOOKUP(frasest[[#This Row],[autor_es]],autorest[autor_es],autorest[idioma_la])</f>
        <v>Lingua Anglica</v>
      </c>
      <c r="L578" s="6" t="str">
        <f>_xlfn.XLOOKUP(frasest[[#This Row],[autor_es]],autorest[autor_es],autorest[nacion_es])</f>
        <v>Canadá</v>
      </c>
      <c r="M578" t="str">
        <f>_xlfn.XLOOKUP(frasest[[#This Row],[autor_es]],autorest[autor_es],autorest[nacion_la])</f>
        <v>Canada</v>
      </c>
      <c r="N578" t="str">
        <f>_xlfn.XLOOKUP(frasest[[#This Row],[autor_es]],autorest[autor_es],autorest[epoca_es])</f>
        <v>Edad Contemporánea</v>
      </c>
      <c r="O578" t="str">
        <f>_xlfn.XLOOKUP(frasest[[#This Row],[autor_es]],autorest[autor_es],autorest[epoca_la])</f>
        <v>Aetas Contemporanea</v>
      </c>
    </row>
    <row r="579" spans="1:15">
      <c r="A579">
        <v>578</v>
      </c>
      <c r="B579" t="s">
        <v>1593</v>
      </c>
      <c r="C579" t="s">
        <v>1594</v>
      </c>
      <c r="D579" t="s">
        <v>1595</v>
      </c>
      <c r="E579" t="s">
        <v>1586</v>
      </c>
      <c r="F579" t="str">
        <f>_xlfn.XLOOKUP(frasest[[#This Row],[autor_es]],autorest[autor_es],autorest[autor_la])</f>
        <v>Albertus Bandura</v>
      </c>
      <c r="G579"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9"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9" t="str">
        <f>_xlfn.XLOOKUP(frasest[[#This Row],[autor_es]],autorest[autor_es],autorest[codigo])</f>
        <v>en</v>
      </c>
      <c r="J579" t="str">
        <f>_xlfn.XLOOKUP(frasest[[#This Row],[autor_es]],autorest[autor_es],autorest[idioma_es])</f>
        <v>Inglés</v>
      </c>
      <c r="K579" s="6" t="str">
        <f>_xlfn.XLOOKUP(frasest[[#This Row],[autor_es]],autorest[autor_es],autorest[idioma_la])</f>
        <v>Lingua Anglica</v>
      </c>
      <c r="L579" s="6" t="str">
        <f>_xlfn.XLOOKUP(frasest[[#This Row],[autor_es]],autorest[autor_es],autorest[nacion_es])</f>
        <v>Canadá</v>
      </c>
      <c r="M579" t="str">
        <f>_xlfn.XLOOKUP(frasest[[#This Row],[autor_es]],autorest[autor_es],autorest[nacion_la])</f>
        <v>Canada</v>
      </c>
      <c r="N579" t="str">
        <f>_xlfn.XLOOKUP(frasest[[#This Row],[autor_es]],autorest[autor_es],autorest[epoca_es])</f>
        <v>Edad Contemporánea</v>
      </c>
      <c r="O579" t="str">
        <f>_xlfn.XLOOKUP(frasest[[#This Row],[autor_es]],autorest[autor_es],autorest[epoca_la])</f>
        <v>Aetas Contemporanea</v>
      </c>
    </row>
    <row r="580" spans="1:15">
      <c r="A580">
        <v>579</v>
      </c>
      <c r="B580" t="s">
        <v>1596</v>
      </c>
      <c r="C580" t="s">
        <v>1597</v>
      </c>
      <c r="D580" t="s">
        <v>1598</v>
      </c>
      <c r="E580" t="s">
        <v>1586</v>
      </c>
      <c r="F580" t="str">
        <f>_xlfn.XLOOKUP(frasest[[#This Row],[autor_es]],autorest[autor_es],autorest[autor_la])</f>
        <v>Albertus Bandura</v>
      </c>
      <c r="G580"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0"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0" t="str">
        <f>_xlfn.XLOOKUP(frasest[[#This Row],[autor_es]],autorest[autor_es],autorest[codigo])</f>
        <v>en</v>
      </c>
      <c r="J580" t="str">
        <f>_xlfn.XLOOKUP(frasest[[#This Row],[autor_es]],autorest[autor_es],autorest[idioma_es])</f>
        <v>Inglés</v>
      </c>
      <c r="K580" s="6" t="str">
        <f>_xlfn.XLOOKUP(frasest[[#This Row],[autor_es]],autorest[autor_es],autorest[idioma_la])</f>
        <v>Lingua Anglica</v>
      </c>
      <c r="L580" s="6" t="str">
        <f>_xlfn.XLOOKUP(frasest[[#This Row],[autor_es]],autorest[autor_es],autorest[nacion_es])</f>
        <v>Canadá</v>
      </c>
      <c r="M580" t="str">
        <f>_xlfn.XLOOKUP(frasest[[#This Row],[autor_es]],autorest[autor_es],autorest[nacion_la])</f>
        <v>Canada</v>
      </c>
      <c r="N580" t="str">
        <f>_xlfn.XLOOKUP(frasest[[#This Row],[autor_es]],autorest[autor_es],autorest[epoca_es])</f>
        <v>Edad Contemporánea</v>
      </c>
      <c r="O580" t="str">
        <f>_xlfn.XLOOKUP(frasest[[#This Row],[autor_es]],autorest[autor_es],autorest[epoca_la])</f>
        <v>Aetas Contemporanea</v>
      </c>
    </row>
    <row r="581" spans="1:15">
      <c r="A581">
        <v>580</v>
      </c>
      <c r="B581" t="s">
        <v>1599</v>
      </c>
      <c r="C581" t="s">
        <v>1600</v>
      </c>
      <c r="D581" t="s">
        <v>1601</v>
      </c>
      <c r="E581" t="s">
        <v>1586</v>
      </c>
      <c r="F581" t="str">
        <f>_xlfn.XLOOKUP(frasest[[#This Row],[autor_es]],autorest[autor_es],autorest[autor_la])</f>
        <v>Albertus Bandura</v>
      </c>
      <c r="G581"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1"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1" t="str">
        <f>_xlfn.XLOOKUP(frasest[[#This Row],[autor_es]],autorest[autor_es],autorest[codigo])</f>
        <v>en</v>
      </c>
      <c r="J581" t="str">
        <f>_xlfn.XLOOKUP(frasest[[#This Row],[autor_es]],autorest[autor_es],autorest[idioma_es])</f>
        <v>Inglés</v>
      </c>
      <c r="K581" s="6" t="str">
        <f>_xlfn.XLOOKUP(frasest[[#This Row],[autor_es]],autorest[autor_es],autorest[idioma_la])</f>
        <v>Lingua Anglica</v>
      </c>
      <c r="L581" s="6" t="str">
        <f>_xlfn.XLOOKUP(frasest[[#This Row],[autor_es]],autorest[autor_es],autorest[nacion_es])</f>
        <v>Canadá</v>
      </c>
      <c r="M581" t="str">
        <f>_xlfn.XLOOKUP(frasest[[#This Row],[autor_es]],autorest[autor_es],autorest[nacion_la])</f>
        <v>Canada</v>
      </c>
      <c r="N581" t="str">
        <f>_xlfn.XLOOKUP(frasest[[#This Row],[autor_es]],autorest[autor_es],autorest[epoca_es])</f>
        <v>Edad Contemporánea</v>
      </c>
      <c r="O581" t="str">
        <f>_xlfn.XLOOKUP(frasest[[#This Row],[autor_es]],autorest[autor_es],autorest[epoca_la])</f>
        <v>Aetas Contemporanea</v>
      </c>
    </row>
    <row r="582" spans="1:15">
      <c r="A582">
        <v>581</v>
      </c>
      <c r="B582" t="s">
        <v>1602</v>
      </c>
      <c r="C582" t="s">
        <v>1603</v>
      </c>
      <c r="D582" t="s">
        <v>1604</v>
      </c>
      <c r="E582" t="s">
        <v>1605</v>
      </c>
      <c r="F582" t="str">
        <f>_xlfn.XLOOKUP(frasest[[#This Row],[autor_es]],autorest[autor_es],autorest[autor_la])</f>
        <v>Burrhus Frederic Skinner</v>
      </c>
      <c r="G582"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2"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2" t="str">
        <f>_xlfn.XLOOKUP(frasest[[#This Row],[autor_es]],autorest[autor_es],autorest[codigo])</f>
        <v>en</v>
      </c>
      <c r="J582" t="str">
        <f>_xlfn.XLOOKUP(frasest[[#This Row],[autor_es]],autorest[autor_es],autorest[idioma_es])</f>
        <v>Inglés</v>
      </c>
      <c r="K582" s="6" t="str">
        <f>_xlfn.XLOOKUP(frasest[[#This Row],[autor_es]],autorest[autor_es],autorest[idioma_la])</f>
        <v>Lingua Anglica</v>
      </c>
      <c r="L582" s="6" t="str">
        <f>_xlfn.XLOOKUP(frasest[[#This Row],[autor_es]],autorest[autor_es],autorest[nacion_es])</f>
        <v>Estados Unidos</v>
      </c>
      <c r="M582" t="str">
        <f>_xlfn.XLOOKUP(frasest[[#This Row],[autor_es]],autorest[autor_es],autorest[nacion_la])</f>
        <v>Civitates Foederatae Americae</v>
      </c>
      <c r="N582" t="str">
        <f>_xlfn.XLOOKUP(frasest[[#This Row],[autor_es]],autorest[autor_es],autorest[epoca_es])</f>
        <v>Edad Contemporánea</v>
      </c>
      <c r="O582" t="str">
        <f>_xlfn.XLOOKUP(frasest[[#This Row],[autor_es]],autorest[autor_es],autorest[epoca_la])</f>
        <v>Aetas Contemporanea</v>
      </c>
    </row>
    <row r="583" spans="1:15">
      <c r="A583">
        <v>582</v>
      </c>
      <c r="B583" t="s">
        <v>1606</v>
      </c>
      <c r="C583" t="s">
        <v>1607</v>
      </c>
      <c r="D583" t="s">
        <v>1608</v>
      </c>
      <c r="E583" t="s">
        <v>1605</v>
      </c>
      <c r="F583" t="str">
        <f>_xlfn.XLOOKUP(frasest[[#This Row],[autor_es]],autorest[autor_es],autorest[autor_la])</f>
        <v>Burrhus Frederic Skinner</v>
      </c>
      <c r="G583"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3"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3" t="str">
        <f>_xlfn.XLOOKUP(frasest[[#This Row],[autor_es]],autorest[autor_es],autorest[codigo])</f>
        <v>en</v>
      </c>
      <c r="J583" t="str">
        <f>_xlfn.XLOOKUP(frasest[[#This Row],[autor_es]],autorest[autor_es],autorest[idioma_es])</f>
        <v>Inglés</v>
      </c>
      <c r="K583" s="6" t="str">
        <f>_xlfn.XLOOKUP(frasest[[#This Row],[autor_es]],autorest[autor_es],autorest[idioma_la])</f>
        <v>Lingua Anglica</v>
      </c>
      <c r="L583" s="6" t="str">
        <f>_xlfn.XLOOKUP(frasest[[#This Row],[autor_es]],autorest[autor_es],autorest[nacion_es])</f>
        <v>Estados Unidos</v>
      </c>
      <c r="M583" t="str">
        <f>_xlfn.XLOOKUP(frasest[[#This Row],[autor_es]],autorest[autor_es],autorest[nacion_la])</f>
        <v>Civitates Foederatae Americae</v>
      </c>
      <c r="N583" t="str">
        <f>_xlfn.XLOOKUP(frasest[[#This Row],[autor_es]],autorest[autor_es],autorest[epoca_es])</f>
        <v>Edad Contemporánea</v>
      </c>
      <c r="O583" t="str">
        <f>_xlfn.XLOOKUP(frasest[[#This Row],[autor_es]],autorest[autor_es],autorest[epoca_la])</f>
        <v>Aetas Contemporanea</v>
      </c>
    </row>
    <row r="584" spans="1:15">
      <c r="A584">
        <v>583</v>
      </c>
      <c r="B584" t="s">
        <v>1609</v>
      </c>
      <c r="C584" t="s">
        <v>1610</v>
      </c>
      <c r="D584" t="s">
        <v>1611</v>
      </c>
      <c r="E584" t="s">
        <v>1605</v>
      </c>
      <c r="F584" t="str">
        <f>_xlfn.XLOOKUP(frasest[[#This Row],[autor_es]],autorest[autor_es],autorest[autor_la])</f>
        <v>Burrhus Frederic Skinner</v>
      </c>
      <c r="G584"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4"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4" t="str">
        <f>_xlfn.XLOOKUP(frasest[[#This Row],[autor_es]],autorest[autor_es],autorest[codigo])</f>
        <v>en</v>
      </c>
      <c r="J584" t="str">
        <f>_xlfn.XLOOKUP(frasest[[#This Row],[autor_es]],autorest[autor_es],autorest[idioma_es])</f>
        <v>Inglés</v>
      </c>
      <c r="K584" s="6" t="str">
        <f>_xlfn.XLOOKUP(frasest[[#This Row],[autor_es]],autorest[autor_es],autorest[idioma_la])</f>
        <v>Lingua Anglica</v>
      </c>
      <c r="L584" s="6" t="str">
        <f>_xlfn.XLOOKUP(frasest[[#This Row],[autor_es]],autorest[autor_es],autorest[nacion_es])</f>
        <v>Estados Unidos</v>
      </c>
      <c r="M584" t="str">
        <f>_xlfn.XLOOKUP(frasest[[#This Row],[autor_es]],autorest[autor_es],autorest[nacion_la])</f>
        <v>Civitates Foederatae Americae</v>
      </c>
      <c r="N584" t="str">
        <f>_xlfn.XLOOKUP(frasest[[#This Row],[autor_es]],autorest[autor_es],autorest[epoca_es])</f>
        <v>Edad Contemporánea</v>
      </c>
      <c r="O584" t="str">
        <f>_xlfn.XLOOKUP(frasest[[#This Row],[autor_es]],autorest[autor_es],autorest[epoca_la])</f>
        <v>Aetas Contemporanea</v>
      </c>
    </row>
    <row r="585" spans="1:15">
      <c r="A585">
        <v>584</v>
      </c>
      <c r="B585" t="s">
        <v>1612</v>
      </c>
      <c r="C585" t="s">
        <v>1613</v>
      </c>
      <c r="D585" t="s">
        <v>1614</v>
      </c>
      <c r="E585" t="s">
        <v>1605</v>
      </c>
      <c r="F585" t="str">
        <f>_xlfn.XLOOKUP(frasest[[#This Row],[autor_es]],autorest[autor_es],autorest[autor_la])</f>
        <v>Burrhus Frederic Skinner</v>
      </c>
      <c r="G585"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5"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5" t="str">
        <f>_xlfn.XLOOKUP(frasest[[#This Row],[autor_es]],autorest[autor_es],autorest[codigo])</f>
        <v>en</v>
      </c>
      <c r="J585" t="str">
        <f>_xlfn.XLOOKUP(frasest[[#This Row],[autor_es]],autorest[autor_es],autorest[idioma_es])</f>
        <v>Inglés</v>
      </c>
      <c r="K585" s="6" t="str">
        <f>_xlfn.XLOOKUP(frasest[[#This Row],[autor_es]],autorest[autor_es],autorest[idioma_la])</f>
        <v>Lingua Anglica</v>
      </c>
      <c r="L585" s="6" t="str">
        <f>_xlfn.XLOOKUP(frasest[[#This Row],[autor_es]],autorest[autor_es],autorest[nacion_es])</f>
        <v>Estados Unidos</v>
      </c>
      <c r="M585" t="str">
        <f>_xlfn.XLOOKUP(frasest[[#This Row],[autor_es]],autorest[autor_es],autorest[nacion_la])</f>
        <v>Civitates Foederatae Americae</v>
      </c>
      <c r="N585" t="str">
        <f>_xlfn.XLOOKUP(frasest[[#This Row],[autor_es]],autorest[autor_es],autorest[epoca_es])</f>
        <v>Edad Contemporánea</v>
      </c>
      <c r="O585" t="str">
        <f>_xlfn.XLOOKUP(frasest[[#This Row],[autor_es]],autorest[autor_es],autorest[epoca_la])</f>
        <v>Aetas Contemporanea</v>
      </c>
    </row>
    <row r="586" spans="1:15">
      <c r="A586">
        <v>585</v>
      </c>
      <c r="B586" t="s">
        <v>1615</v>
      </c>
      <c r="C586" t="s">
        <v>1616</v>
      </c>
      <c r="D586" t="s">
        <v>1617</v>
      </c>
      <c r="E586" t="s">
        <v>1605</v>
      </c>
      <c r="F586" t="str">
        <f>_xlfn.XLOOKUP(frasest[[#This Row],[autor_es]],autorest[autor_es],autorest[autor_la])</f>
        <v>Burrhus Frederic Skinner</v>
      </c>
      <c r="G586"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6"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6" t="str">
        <f>_xlfn.XLOOKUP(frasest[[#This Row],[autor_es]],autorest[autor_es],autorest[codigo])</f>
        <v>en</v>
      </c>
      <c r="J586" t="str">
        <f>_xlfn.XLOOKUP(frasest[[#This Row],[autor_es]],autorest[autor_es],autorest[idioma_es])</f>
        <v>Inglés</v>
      </c>
      <c r="K586" s="6" t="str">
        <f>_xlfn.XLOOKUP(frasest[[#This Row],[autor_es]],autorest[autor_es],autorest[idioma_la])</f>
        <v>Lingua Anglica</v>
      </c>
      <c r="L586" s="6" t="str">
        <f>_xlfn.XLOOKUP(frasest[[#This Row],[autor_es]],autorest[autor_es],autorest[nacion_es])</f>
        <v>Estados Unidos</v>
      </c>
      <c r="M586" t="str">
        <f>_xlfn.XLOOKUP(frasest[[#This Row],[autor_es]],autorest[autor_es],autorest[nacion_la])</f>
        <v>Civitates Foederatae Americae</v>
      </c>
      <c r="N586" t="str">
        <f>_xlfn.XLOOKUP(frasest[[#This Row],[autor_es]],autorest[autor_es],autorest[epoca_es])</f>
        <v>Edad Contemporánea</v>
      </c>
      <c r="O586" t="str">
        <f>_xlfn.XLOOKUP(frasest[[#This Row],[autor_es]],autorest[autor_es],autorest[epoca_la])</f>
        <v>Aetas Contemporanea</v>
      </c>
    </row>
    <row r="587" spans="1:15">
      <c r="A587">
        <v>586</v>
      </c>
      <c r="B587" t="s">
        <v>1618</v>
      </c>
      <c r="C587" t="s">
        <v>1619</v>
      </c>
      <c r="D587" t="s">
        <v>1620</v>
      </c>
      <c r="E587" t="s">
        <v>1605</v>
      </c>
      <c r="F587" t="str">
        <f>_xlfn.XLOOKUP(frasest[[#This Row],[autor_es]],autorest[autor_es],autorest[autor_la])</f>
        <v>Burrhus Frederic Skinner</v>
      </c>
      <c r="G587"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7"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7" t="str">
        <f>_xlfn.XLOOKUP(frasest[[#This Row],[autor_es]],autorest[autor_es],autorest[codigo])</f>
        <v>en</v>
      </c>
      <c r="J587" t="str">
        <f>_xlfn.XLOOKUP(frasest[[#This Row],[autor_es]],autorest[autor_es],autorest[idioma_es])</f>
        <v>Inglés</v>
      </c>
      <c r="K587" s="6" t="str">
        <f>_xlfn.XLOOKUP(frasest[[#This Row],[autor_es]],autorest[autor_es],autorest[idioma_la])</f>
        <v>Lingua Anglica</v>
      </c>
      <c r="L587" s="6" t="str">
        <f>_xlfn.XLOOKUP(frasest[[#This Row],[autor_es]],autorest[autor_es],autorest[nacion_es])</f>
        <v>Estados Unidos</v>
      </c>
      <c r="M587" t="str">
        <f>_xlfn.XLOOKUP(frasest[[#This Row],[autor_es]],autorest[autor_es],autorest[nacion_la])</f>
        <v>Civitates Foederatae Americae</v>
      </c>
      <c r="N587" t="str">
        <f>_xlfn.XLOOKUP(frasest[[#This Row],[autor_es]],autorest[autor_es],autorest[epoca_es])</f>
        <v>Edad Contemporánea</v>
      </c>
      <c r="O587" t="str">
        <f>_xlfn.XLOOKUP(frasest[[#This Row],[autor_es]],autorest[autor_es],autorest[epoca_la])</f>
        <v>Aetas Contemporanea</v>
      </c>
    </row>
    <row r="588" spans="1:15">
      <c r="A588">
        <v>587</v>
      </c>
      <c r="B588" t="s">
        <v>1621</v>
      </c>
      <c r="C588" t="s">
        <v>1622</v>
      </c>
      <c r="D588" t="s">
        <v>1623</v>
      </c>
      <c r="E588" t="s">
        <v>1624</v>
      </c>
      <c r="F588" t="str">
        <f>_xlfn.XLOOKUP(frasest[[#This Row],[autor_es]],autorest[autor_es],autorest[autor_la])</f>
        <v>Iacobus Maritain</v>
      </c>
      <c r="G588"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8"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8" t="str">
        <f>_xlfn.XLOOKUP(frasest[[#This Row],[autor_es]],autorest[autor_es],autorest[codigo])</f>
        <v>fr</v>
      </c>
      <c r="J588" t="str">
        <f>_xlfn.XLOOKUP(frasest[[#This Row],[autor_es]],autorest[autor_es],autorest[idioma_es])</f>
        <v>Francés</v>
      </c>
      <c r="K588" s="6" t="str">
        <f>_xlfn.XLOOKUP(frasest[[#This Row],[autor_es]],autorest[autor_es],autorest[idioma_la])</f>
        <v>Lingua Gallica</v>
      </c>
      <c r="L588" s="6" t="str">
        <f>_xlfn.XLOOKUP(frasest[[#This Row],[autor_es]],autorest[autor_es],autorest[nacion_es])</f>
        <v>Francia</v>
      </c>
      <c r="M588" t="str">
        <f>_xlfn.XLOOKUP(frasest[[#This Row],[autor_es]],autorest[autor_es],autorest[nacion_la])</f>
        <v>Francia</v>
      </c>
      <c r="N588" t="str">
        <f>_xlfn.XLOOKUP(frasest[[#This Row],[autor_es]],autorest[autor_es],autorest[epoca_es])</f>
        <v>Edad Contemporánea</v>
      </c>
      <c r="O588" t="str">
        <f>_xlfn.XLOOKUP(frasest[[#This Row],[autor_es]],autorest[autor_es],autorest[epoca_la])</f>
        <v>Aetas Contemporanea</v>
      </c>
    </row>
    <row r="589" spans="1:15">
      <c r="A589">
        <v>588</v>
      </c>
      <c r="B589" t="s">
        <v>1625</v>
      </c>
      <c r="C589" t="s">
        <v>1626</v>
      </c>
      <c r="D589" t="s">
        <v>1627</v>
      </c>
      <c r="E589" t="s">
        <v>1624</v>
      </c>
      <c r="F589" t="str">
        <f>_xlfn.XLOOKUP(frasest[[#This Row],[autor_es]],autorest[autor_es],autorest[autor_la])</f>
        <v>Iacobus Maritain</v>
      </c>
      <c r="G589"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9"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9" t="str">
        <f>_xlfn.XLOOKUP(frasest[[#This Row],[autor_es]],autorest[autor_es],autorest[codigo])</f>
        <v>fr</v>
      </c>
      <c r="J589" t="str">
        <f>_xlfn.XLOOKUP(frasest[[#This Row],[autor_es]],autorest[autor_es],autorest[idioma_es])</f>
        <v>Francés</v>
      </c>
      <c r="K589" s="6" t="str">
        <f>_xlfn.XLOOKUP(frasest[[#This Row],[autor_es]],autorest[autor_es],autorest[idioma_la])</f>
        <v>Lingua Gallica</v>
      </c>
      <c r="L589" s="6" t="str">
        <f>_xlfn.XLOOKUP(frasest[[#This Row],[autor_es]],autorest[autor_es],autorest[nacion_es])</f>
        <v>Francia</v>
      </c>
      <c r="M589" t="str">
        <f>_xlfn.XLOOKUP(frasest[[#This Row],[autor_es]],autorest[autor_es],autorest[nacion_la])</f>
        <v>Francia</v>
      </c>
      <c r="N589" t="str">
        <f>_xlfn.XLOOKUP(frasest[[#This Row],[autor_es]],autorest[autor_es],autorest[epoca_es])</f>
        <v>Edad Contemporánea</v>
      </c>
      <c r="O589" t="str">
        <f>_xlfn.XLOOKUP(frasest[[#This Row],[autor_es]],autorest[autor_es],autorest[epoca_la])</f>
        <v>Aetas Contemporanea</v>
      </c>
    </row>
    <row r="590" spans="1:15">
      <c r="A590">
        <v>589</v>
      </c>
      <c r="B590" t="s">
        <v>1628</v>
      </c>
      <c r="C590" t="s">
        <v>1629</v>
      </c>
      <c r="D590" t="s">
        <v>1630</v>
      </c>
      <c r="E590" t="s">
        <v>1624</v>
      </c>
      <c r="F590" t="str">
        <f>_xlfn.XLOOKUP(frasest[[#This Row],[autor_es]],autorest[autor_es],autorest[autor_la])</f>
        <v>Iacobus Maritain</v>
      </c>
      <c r="G590"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0"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0" t="str">
        <f>_xlfn.XLOOKUP(frasest[[#This Row],[autor_es]],autorest[autor_es],autorest[codigo])</f>
        <v>fr</v>
      </c>
      <c r="J590" t="str">
        <f>_xlfn.XLOOKUP(frasest[[#This Row],[autor_es]],autorest[autor_es],autorest[idioma_es])</f>
        <v>Francés</v>
      </c>
      <c r="K590" s="6" t="str">
        <f>_xlfn.XLOOKUP(frasest[[#This Row],[autor_es]],autorest[autor_es],autorest[idioma_la])</f>
        <v>Lingua Gallica</v>
      </c>
      <c r="L590" s="6" t="str">
        <f>_xlfn.XLOOKUP(frasest[[#This Row],[autor_es]],autorest[autor_es],autorest[nacion_es])</f>
        <v>Francia</v>
      </c>
      <c r="M590" t="str">
        <f>_xlfn.XLOOKUP(frasest[[#This Row],[autor_es]],autorest[autor_es],autorest[nacion_la])</f>
        <v>Francia</v>
      </c>
      <c r="N590" t="str">
        <f>_xlfn.XLOOKUP(frasest[[#This Row],[autor_es]],autorest[autor_es],autorest[epoca_es])</f>
        <v>Edad Contemporánea</v>
      </c>
      <c r="O590" t="str">
        <f>_xlfn.XLOOKUP(frasest[[#This Row],[autor_es]],autorest[autor_es],autorest[epoca_la])</f>
        <v>Aetas Contemporanea</v>
      </c>
    </row>
    <row r="591" spans="1:15">
      <c r="A591">
        <v>590</v>
      </c>
      <c r="B591" t="s">
        <v>1631</v>
      </c>
      <c r="C591" t="s">
        <v>1632</v>
      </c>
      <c r="D591" t="s">
        <v>1633</v>
      </c>
      <c r="E591" t="s">
        <v>1624</v>
      </c>
      <c r="F591" t="str">
        <f>_xlfn.XLOOKUP(frasest[[#This Row],[autor_es]],autorest[autor_es],autorest[autor_la])</f>
        <v>Iacobus Maritain</v>
      </c>
      <c r="G591"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1"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1" t="str">
        <f>_xlfn.XLOOKUP(frasest[[#This Row],[autor_es]],autorest[autor_es],autorest[codigo])</f>
        <v>fr</v>
      </c>
      <c r="J591" t="str">
        <f>_xlfn.XLOOKUP(frasest[[#This Row],[autor_es]],autorest[autor_es],autorest[idioma_es])</f>
        <v>Francés</v>
      </c>
      <c r="K591" s="6" t="str">
        <f>_xlfn.XLOOKUP(frasest[[#This Row],[autor_es]],autorest[autor_es],autorest[idioma_la])</f>
        <v>Lingua Gallica</v>
      </c>
      <c r="L591" s="6" t="str">
        <f>_xlfn.XLOOKUP(frasest[[#This Row],[autor_es]],autorest[autor_es],autorest[nacion_es])</f>
        <v>Francia</v>
      </c>
      <c r="M591" t="str">
        <f>_xlfn.XLOOKUP(frasest[[#This Row],[autor_es]],autorest[autor_es],autorest[nacion_la])</f>
        <v>Francia</v>
      </c>
      <c r="N591" t="str">
        <f>_xlfn.XLOOKUP(frasest[[#This Row],[autor_es]],autorest[autor_es],autorest[epoca_es])</f>
        <v>Edad Contemporánea</v>
      </c>
      <c r="O591" t="str">
        <f>_xlfn.XLOOKUP(frasest[[#This Row],[autor_es]],autorest[autor_es],autorest[epoca_la])</f>
        <v>Aetas Contemporanea</v>
      </c>
    </row>
    <row r="592" spans="1:15">
      <c r="A592">
        <v>591</v>
      </c>
      <c r="B592" t="s">
        <v>1634</v>
      </c>
      <c r="C592" t="s">
        <v>1635</v>
      </c>
      <c r="D592" t="s">
        <v>1636</v>
      </c>
      <c r="E592" t="s">
        <v>1624</v>
      </c>
      <c r="F592" t="str">
        <f>_xlfn.XLOOKUP(frasest[[#This Row],[autor_es]],autorest[autor_es],autorest[autor_la])</f>
        <v>Iacobus Maritain</v>
      </c>
      <c r="G592"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2"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2" t="str">
        <f>_xlfn.XLOOKUP(frasest[[#This Row],[autor_es]],autorest[autor_es],autorest[codigo])</f>
        <v>fr</v>
      </c>
      <c r="J592" t="str">
        <f>_xlfn.XLOOKUP(frasest[[#This Row],[autor_es]],autorest[autor_es],autorest[idioma_es])</f>
        <v>Francés</v>
      </c>
      <c r="K592" s="6" t="str">
        <f>_xlfn.XLOOKUP(frasest[[#This Row],[autor_es]],autorest[autor_es],autorest[idioma_la])</f>
        <v>Lingua Gallica</v>
      </c>
      <c r="L592" s="6" t="str">
        <f>_xlfn.XLOOKUP(frasest[[#This Row],[autor_es]],autorest[autor_es],autorest[nacion_es])</f>
        <v>Francia</v>
      </c>
      <c r="M592" t="str">
        <f>_xlfn.XLOOKUP(frasest[[#This Row],[autor_es]],autorest[autor_es],autorest[nacion_la])</f>
        <v>Francia</v>
      </c>
      <c r="N592" t="str">
        <f>_xlfn.XLOOKUP(frasest[[#This Row],[autor_es]],autorest[autor_es],autorest[epoca_es])</f>
        <v>Edad Contemporánea</v>
      </c>
      <c r="O592" t="str">
        <f>_xlfn.XLOOKUP(frasest[[#This Row],[autor_es]],autorest[autor_es],autorest[epoca_la])</f>
        <v>Aetas Contemporanea</v>
      </c>
    </row>
    <row r="593" spans="1:15">
      <c r="A593">
        <v>592</v>
      </c>
      <c r="B593" t="s">
        <v>1637</v>
      </c>
      <c r="C593" t="s">
        <v>1638</v>
      </c>
      <c r="D593" t="s">
        <v>1639</v>
      </c>
      <c r="E593" t="s">
        <v>1624</v>
      </c>
      <c r="F593" t="str">
        <f>_xlfn.XLOOKUP(frasest[[#This Row],[autor_es]],autorest[autor_es],autorest[autor_la])</f>
        <v>Iacobus Maritain</v>
      </c>
      <c r="G593"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3"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3" t="str">
        <f>_xlfn.XLOOKUP(frasest[[#This Row],[autor_es]],autorest[autor_es],autorest[codigo])</f>
        <v>fr</v>
      </c>
      <c r="J593" t="str">
        <f>_xlfn.XLOOKUP(frasest[[#This Row],[autor_es]],autorest[autor_es],autorest[idioma_es])</f>
        <v>Francés</v>
      </c>
      <c r="K593" s="6" t="str">
        <f>_xlfn.XLOOKUP(frasest[[#This Row],[autor_es]],autorest[autor_es],autorest[idioma_la])</f>
        <v>Lingua Gallica</v>
      </c>
      <c r="L593" s="6" t="str">
        <f>_xlfn.XLOOKUP(frasest[[#This Row],[autor_es]],autorest[autor_es],autorest[nacion_es])</f>
        <v>Francia</v>
      </c>
      <c r="M593" t="str">
        <f>_xlfn.XLOOKUP(frasest[[#This Row],[autor_es]],autorest[autor_es],autorest[nacion_la])</f>
        <v>Francia</v>
      </c>
      <c r="N593" t="str">
        <f>_xlfn.XLOOKUP(frasest[[#This Row],[autor_es]],autorest[autor_es],autorest[epoca_es])</f>
        <v>Edad Contemporánea</v>
      </c>
      <c r="O593" t="str">
        <f>_xlfn.XLOOKUP(frasest[[#This Row],[autor_es]],autorest[autor_es],autorest[epoca_la])</f>
        <v>Aetas Contemporanea</v>
      </c>
    </row>
    <row r="594" spans="1:15">
      <c r="A594">
        <v>593</v>
      </c>
      <c r="B594" t="s">
        <v>1640</v>
      </c>
      <c r="C594" t="s">
        <v>1641</v>
      </c>
      <c r="D594" t="s">
        <v>1642</v>
      </c>
      <c r="E594" t="s">
        <v>1643</v>
      </c>
      <c r="F594" t="str">
        <f>_xlfn.XLOOKUP(frasest[[#This Row],[autor_es]],autorest[autor_es],autorest[autor_la])</f>
        <v>Clive Staples Lewis</v>
      </c>
      <c r="G594"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4"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4" t="str">
        <f>_xlfn.XLOOKUP(frasest[[#This Row],[autor_es]],autorest[autor_es],autorest[codigo])</f>
        <v>en</v>
      </c>
      <c r="J594" t="str">
        <f>_xlfn.XLOOKUP(frasest[[#This Row],[autor_es]],autorest[autor_es],autorest[idioma_es])</f>
        <v>Inglés</v>
      </c>
      <c r="K594" s="6" t="str">
        <f>_xlfn.XLOOKUP(frasest[[#This Row],[autor_es]],autorest[autor_es],autorest[idioma_la])</f>
        <v>Lingua Anglica</v>
      </c>
      <c r="L594" s="6" t="str">
        <f>_xlfn.XLOOKUP(frasest[[#This Row],[autor_es]],autorest[autor_es],autorest[nacion_es])</f>
        <v>Reino Unido</v>
      </c>
      <c r="M594" t="str">
        <f>_xlfn.XLOOKUP(frasest[[#This Row],[autor_es]],autorest[autor_es],autorest[nacion_la])</f>
        <v>Regnum Unitum</v>
      </c>
      <c r="N594" t="str">
        <f>_xlfn.XLOOKUP(frasest[[#This Row],[autor_es]],autorest[autor_es],autorest[epoca_es])</f>
        <v>Edad Contemporánea</v>
      </c>
      <c r="O594" t="str">
        <f>_xlfn.XLOOKUP(frasest[[#This Row],[autor_es]],autorest[autor_es],autorest[epoca_la])</f>
        <v>Aetas Contemporanea</v>
      </c>
    </row>
    <row r="595" spans="1:15">
      <c r="A595">
        <v>594</v>
      </c>
      <c r="B595" t="s">
        <v>1644</v>
      </c>
      <c r="C595" t="s">
        <v>1645</v>
      </c>
      <c r="D595" t="s">
        <v>1646</v>
      </c>
      <c r="E595" t="s">
        <v>1643</v>
      </c>
      <c r="F595" t="str">
        <f>_xlfn.XLOOKUP(frasest[[#This Row],[autor_es]],autorest[autor_es],autorest[autor_la])</f>
        <v>Clive Staples Lewis</v>
      </c>
      <c r="G595"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5"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5" t="str">
        <f>_xlfn.XLOOKUP(frasest[[#This Row],[autor_es]],autorest[autor_es],autorest[codigo])</f>
        <v>en</v>
      </c>
      <c r="J595" t="str">
        <f>_xlfn.XLOOKUP(frasest[[#This Row],[autor_es]],autorest[autor_es],autorest[idioma_es])</f>
        <v>Inglés</v>
      </c>
      <c r="K595" s="6" t="str">
        <f>_xlfn.XLOOKUP(frasest[[#This Row],[autor_es]],autorest[autor_es],autorest[idioma_la])</f>
        <v>Lingua Anglica</v>
      </c>
      <c r="L595" s="6" t="str">
        <f>_xlfn.XLOOKUP(frasest[[#This Row],[autor_es]],autorest[autor_es],autorest[nacion_es])</f>
        <v>Reino Unido</v>
      </c>
      <c r="M595" t="str">
        <f>_xlfn.XLOOKUP(frasest[[#This Row],[autor_es]],autorest[autor_es],autorest[nacion_la])</f>
        <v>Regnum Unitum</v>
      </c>
      <c r="N595" t="str">
        <f>_xlfn.XLOOKUP(frasest[[#This Row],[autor_es]],autorest[autor_es],autorest[epoca_es])</f>
        <v>Edad Contemporánea</v>
      </c>
      <c r="O595" t="str">
        <f>_xlfn.XLOOKUP(frasest[[#This Row],[autor_es]],autorest[autor_es],autorest[epoca_la])</f>
        <v>Aetas Contemporanea</v>
      </c>
    </row>
    <row r="596" spans="1:15">
      <c r="A596">
        <v>595</v>
      </c>
      <c r="B596" t="s">
        <v>1647</v>
      </c>
      <c r="C596" t="s">
        <v>1648</v>
      </c>
      <c r="D596" t="s">
        <v>1649</v>
      </c>
      <c r="E596" t="s">
        <v>1643</v>
      </c>
      <c r="F596" t="str">
        <f>_xlfn.XLOOKUP(frasest[[#This Row],[autor_es]],autorest[autor_es],autorest[autor_la])</f>
        <v>Clive Staples Lewis</v>
      </c>
      <c r="G596"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6"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6" t="str">
        <f>_xlfn.XLOOKUP(frasest[[#This Row],[autor_es]],autorest[autor_es],autorest[codigo])</f>
        <v>en</v>
      </c>
      <c r="J596" t="str">
        <f>_xlfn.XLOOKUP(frasest[[#This Row],[autor_es]],autorest[autor_es],autorest[idioma_es])</f>
        <v>Inglés</v>
      </c>
      <c r="K596" s="6" t="str">
        <f>_xlfn.XLOOKUP(frasest[[#This Row],[autor_es]],autorest[autor_es],autorest[idioma_la])</f>
        <v>Lingua Anglica</v>
      </c>
      <c r="L596" s="6" t="str">
        <f>_xlfn.XLOOKUP(frasest[[#This Row],[autor_es]],autorest[autor_es],autorest[nacion_es])</f>
        <v>Reino Unido</v>
      </c>
      <c r="M596" t="str">
        <f>_xlfn.XLOOKUP(frasest[[#This Row],[autor_es]],autorest[autor_es],autorest[nacion_la])</f>
        <v>Regnum Unitum</v>
      </c>
      <c r="N596" t="str">
        <f>_xlfn.XLOOKUP(frasest[[#This Row],[autor_es]],autorest[autor_es],autorest[epoca_es])</f>
        <v>Edad Contemporánea</v>
      </c>
      <c r="O596" t="str">
        <f>_xlfn.XLOOKUP(frasest[[#This Row],[autor_es]],autorest[autor_es],autorest[epoca_la])</f>
        <v>Aetas Contemporanea</v>
      </c>
    </row>
    <row r="597" spans="1:15">
      <c r="A597">
        <v>596</v>
      </c>
      <c r="B597" t="s">
        <v>1650</v>
      </c>
      <c r="C597" t="s">
        <v>1651</v>
      </c>
      <c r="D597" t="s">
        <v>1652</v>
      </c>
      <c r="E597" t="s">
        <v>1643</v>
      </c>
      <c r="F597" t="str">
        <f>_xlfn.XLOOKUP(frasest[[#This Row],[autor_es]],autorest[autor_es],autorest[autor_la])</f>
        <v>Clive Staples Lewis</v>
      </c>
      <c r="G597"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7"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7" t="str">
        <f>_xlfn.XLOOKUP(frasest[[#This Row],[autor_es]],autorest[autor_es],autorest[codigo])</f>
        <v>en</v>
      </c>
      <c r="J597" t="str">
        <f>_xlfn.XLOOKUP(frasest[[#This Row],[autor_es]],autorest[autor_es],autorest[idioma_es])</f>
        <v>Inglés</v>
      </c>
      <c r="K597" s="6" t="str">
        <f>_xlfn.XLOOKUP(frasest[[#This Row],[autor_es]],autorest[autor_es],autorest[idioma_la])</f>
        <v>Lingua Anglica</v>
      </c>
      <c r="L597" s="6" t="str">
        <f>_xlfn.XLOOKUP(frasest[[#This Row],[autor_es]],autorest[autor_es],autorest[nacion_es])</f>
        <v>Reino Unido</v>
      </c>
      <c r="M597" t="str">
        <f>_xlfn.XLOOKUP(frasest[[#This Row],[autor_es]],autorest[autor_es],autorest[nacion_la])</f>
        <v>Regnum Unitum</v>
      </c>
      <c r="N597" t="str">
        <f>_xlfn.XLOOKUP(frasest[[#This Row],[autor_es]],autorest[autor_es],autorest[epoca_es])</f>
        <v>Edad Contemporánea</v>
      </c>
      <c r="O597" t="str">
        <f>_xlfn.XLOOKUP(frasest[[#This Row],[autor_es]],autorest[autor_es],autorest[epoca_la])</f>
        <v>Aetas Contemporanea</v>
      </c>
    </row>
    <row r="598" spans="1:15">
      <c r="A598">
        <v>597</v>
      </c>
      <c r="B598" t="s">
        <v>1653</v>
      </c>
      <c r="C598" t="s">
        <v>1654</v>
      </c>
      <c r="D598" t="s">
        <v>1655</v>
      </c>
      <c r="E598" t="s">
        <v>1643</v>
      </c>
      <c r="F598" t="str">
        <f>_xlfn.XLOOKUP(frasest[[#This Row],[autor_es]],autorest[autor_es],autorest[autor_la])</f>
        <v>Clive Staples Lewis</v>
      </c>
      <c r="G598"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8"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8" t="str">
        <f>_xlfn.XLOOKUP(frasest[[#This Row],[autor_es]],autorest[autor_es],autorest[codigo])</f>
        <v>en</v>
      </c>
      <c r="J598" t="str">
        <f>_xlfn.XLOOKUP(frasest[[#This Row],[autor_es]],autorest[autor_es],autorest[idioma_es])</f>
        <v>Inglés</v>
      </c>
      <c r="K598" s="6" t="str">
        <f>_xlfn.XLOOKUP(frasest[[#This Row],[autor_es]],autorest[autor_es],autorest[idioma_la])</f>
        <v>Lingua Anglica</v>
      </c>
      <c r="L598" s="6" t="str">
        <f>_xlfn.XLOOKUP(frasest[[#This Row],[autor_es]],autorest[autor_es],autorest[nacion_es])</f>
        <v>Reino Unido</v>
      </c>
      <c r="M598" t="str">
        <f>_xlfn.XLOOKUP(frasest[[#This Row],[autor_es]],autorest[autor_es],autorest[nacion_la])</f>
        <v>Regnum Unitum</v>
      </c>
      <c r="N598" t="str">
        <f>_xlfn.XLOOKUP(frasest[[#This Row],[autor_es]],autorest[autor_es],autorest[epoca_es])</f>
        <v>Edad Contemporánea</v>
      </c>
      <c r="O598" t="str">
        <f>_xlfn.XLOOKUP(frasest[[#This Row],[autor_es]],autorest[autor_es],autorest[epoca_la])</f>
        <v>Aetas Contemporanea</v>
      </c>
    </row>
    <row r="599" spans="1:15">
      <c r="A599">
        <v>598</v>
      </c>
      <c r="B599" t="s">
        <v>1656</v>
      </c>
      <c r="C599" t="s">
        <v>1657</v>
      </c>
      <c r="D599" t="s">
        <v>1658</v>
      </c>
      <c r="E599" t="s">
        <v>1643</v>
      </c>
      <c r="F599" t="str">
        <f>_xlfn.XLOOKUP(frasest[[#This Row],[autor_es]],autorest[autor_es],autorest[autor_la])</f>
        <v>Clive Staples Lewis</v>
      </c>
      <c r="G599"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9"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9" t="str">
        <f>_xlfn.XLOOKUP(frasest[[#This Row],[autor_es]],autorest[autor_es],autorest[codigo])</f>
        <v>en</v>
      </c>
      <c r="J599" t="str">
        <f>_xlfn.XLOOKUP(frasest[[#This Row],[autor_es]],autorest[autor_es],autorest[idioma_es])</f>
        <v>Inglés</v>
      </c>
      <c r="K599" s="6" t="str">
        <f>_xlfn.XLOOKUP(frasest[[#This Row],[autor_es]],autorest[autor_es],autorest[idioma_la])</f>
        <v>Lingua Anglica</v>
      </c>
      <c r="L599" s="6" t="str">
        <f>_xlfn.XLOOKUP(frasest[[#This Row],[autor_es]],autorest[autor_es],autorest[nacion_es])</f>
        <v>Reino Unido</v>
      </c>
      <c r="M599" t="str">
        <f>_xlfn.XLOOKUP(frasest[[#This Row],[autor_es]],autorest[autor_es],autorest[nacion_la])</f>
        <v>Regnum Unitum</v>
      </c>
      <c r="N599" t="str">
        <f>_xlfn.XLOOKUP(frasest[[#This Row],[autor_es]],autorest[autor_es],autorest[epoca_es])</f>
        <v>Edad Contemporánea</v>
      </c>
      <c r="O599" t="str">
        <f>_xlfn.XLOOKUP(frasest[[#This Row],[autor_es]],autorest[autor_es],autorest[epoca_la])</f>
        <v>Aetas Contemporanea</v>
      </c>
    </row>
    <row r="600" spans="1:15">
      <c r="A600">
        <v>599</v>
      </c>
      <c r="B600" t="s">
        <v>1659</v>
      </c>
      <c r="C600" t="s">
        <v>1660</v>
      </c>
      <c r="D600" t="s">
        <v>1659</v>
      </c>
      <c r="E600" t="s">
        <v>1661</v>
      </c>
      <c r="F600" t="str">
        <f>_xlfn.XLOOKUP(frasest[[#This Row],[autor_es]],autorest[autor_es],autorest[autor_la])</f>
        <v>Gregorius Luri</v>
      </c>
      <c r="G600"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0"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0" t="str">
        <f>_xlfn.XLOOKUP(frasest[[#This Row],[autor_es]],autorest[autor_es],autorest[codigo])</f>
        <v>es</v>
      </c>
      <c r="J600" t="str">
        <f>_xlfn.XLOOKUP(frasest[[#This Row],[autor_es]],autorest[autor_es],autorest[idioma_es])</f>
        <v>Español</v>
      </c>
      <c r="K600" s="6" t="str">
        <f>_xlfn.XLOOKUP(frasest[[#This Row],[autor_es]],autorest[autor_es],autorest[idioma_la])</f>
        <v>Lingua Hispanica</v>
      </c>
      <c r="L600" s="6" t="str">
        <f>_xlfn.XLOOKUP(frasest[[#This Row],[autor_es]],autorest[autor_es],autorest[nacion_es])</f>
        <v>España</v>
      </c>
      <c r="M600" t="str">
        <f>_xlfn.XLOOKUP(frasest[[#This Row],[autor_es]],autorest[autor_es],autorest[nacion_la])</f>
        <v>Hispania</v>
      </c>
      <c r="N600" t="str">
        <f>_xlfn.XLOOKUP(frasest[[#This Row],[autor_es]],autorest[autor_es],autorest[epoca_es])</f>
        <v>Edad Contemporánea</v>
      </c>
      <c r="O600" t="str">
        <f>_xlfn.XLOOKUP(frasest[[#This Row],[autor_es]],autorest[autor_es],autorest[epoca_la])</f>
        <v>Aetas Contemporanea</v>
      </c>
    </row>
    <row r="601" spans="1:15">
      <c r="A601">
        <v>600</v>
      </c>
      <c r="B601" t="s">
        <v>1662</v>
      </c>
      <c r="C601" t="s">
        <v>1663</v>
      </c>
      <c r="D601" t="s">
        <v>1662</v>
      </c>
      <c r="E601" t="s">
        <v>1661</v>
      </c>
      <c r="F601" t="str">
        <f>_xlfn.XLOOKUP(frasest[[#This Row],[autor_es]],autorest[autor_es],autorest[autor_la])</f>
        <v>Gregorius Luri</v>
      </c>
      <c r="G601"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1"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1" t="str">
        <f>_xlfn.XLOOKUP(frasest[[#This Row],[autor_es]],autorest[autor_es],autorest[codigo])</f>
        <v>es</v>
      </c>
      <c r="J601" t="str">
        <f>_xlfn.XLOOKUP(frasest[[#This Row],[autor_es]],autorest[autor_es],autorest[idioma_es])</f>
        <v>Español</v>
      </c>
      <c r="K601" s="6" t="str">
        <f>_xlfn.XLOOKUP(frasest[[#This Row],[autor_es]],autorest[autor_es],autorest[idioma_la])</f>
        <v>Lingua Hispanica</v>
      </c>
      <c r="L601" s="6" t="str">
        <f>_xlfn.XLOOKUP(frasest[[#This Row],[autor_es]],autorest[autor_es],autorest[nacion_es])</f>
        <v>España</v>
      </c>
      <c r="M601" t="str">
        <f>_xlfn.XLOOKUP(frasest[[#This Row],[autor_es]],autorest[autor_es],autorest[nacion_la])</f>
        <v>Hispania</v>
      </c>
      <c r="N601" t="str">
        <f>_xlfn.XLOOKUP(frasest[[#This Row],[autor_es]],autorest[autor_es],autorest[epoca_es])</f>
        <v>Edad Contemporánea</v>
      </c>
      <c r="O601" t="str">
        <f>_xlfn.XLOOKUP(frasest[[#This Row],[autor_es]],autorest[autor_es],autorest[epoca_la])</f>
        <v>Aetas Contemporanea</v>
      </c>
    </row>
    <row r="602" spans="1:15">
      <c r="A602">
        <v>601</v>
      </c>
      <c r="B602" t="s">
        <v>1664</v>
      </c>
      <c r="C602" t="s">
        <v>1665</v>
      </c>
      <c r="D602" t="s">
        <v>1664</v>
      </c>
      <c r="E602" t="s">
        <v>1661</v>
      </c>
      <c r="F602" t="str">
        <f>_xlfn.XLOOKUP(frasest[[#This Row],[autor_es]],autorest[autor_es],autorest[autor_la])</f>
        <v>Gregorius Luri</v>
      </c>
      <c r="G602"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2"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2" t="str">
        <f>_xlfn.XLOOKUP(frasest[[#This Row],[autor_es]],autorest[autor_es],autorest[codigo])</f>
        <v>es</v>
      </c>
      <c r="J602" t="str">
        <f>_xlfn.XLOOKUP(frasest[[#This Row],[autor_es]],autorest[autor_es],autorest[idioma_es])</f>
        <v>Español</v>
      </c>
      <c r="K602" s="6" t="str">
        <f>_xlfn.XLOOKUP(frasest[[#This Row],[autor_es]],autorest[autor_es],autorest[idioma_la])</f>
        <v>Lingua Hispanica</v>
      </c>
      <c r="L602" s="6" t="str">
        <f>_xlfn.XLOOKUP(frasest[[#This Row],[autor_es]],autorest[autor_es],autorest[nacion_es])</f>
        <v>España</v>
      </c>
      <c r="M602" t="str">
        <f>_xlfn.XLOOKUP(frasest[[#This Row],[autor_es]],autorest[autor_es],autorest[nacion_la])</f>
        <v>Hispania</v>
      </c>
      <c r="N602" t="str">
        <f>_xlfn.XLOOKUP(frasest[[#This Row],[autor_es]],autorest[autor_es],autorest[epoca_es])</f>
        <v>Edad Contemporánea</v>
      </c>
      <c r="O602" t="str">
        <f>_xlfn.XLOOKUP(frasest[[#This Row],[autor_es]],autorest[autor_es],autorest[epoca_la])</f>
        <v>Aetas Contemporanea</v>
      </c>
    </row>
    <row r="603" spans="1:15">
      <c r="A603">
        <v>602</v>
      </c>
      <c r="B603" t="s">
        <v>1666</v>
      </c>
      <c r="C603" t="s">
        <v>1667</v>
      </c>
      <c r="D603" t="s">
        <v>1666</v>
      </c>
      <c r="E603" t="s">
        <v>1661</v>
      </c>
      <c r="F603" t="str">
        <f>_xlfn.XLOOKUP(frasest[[#This Row],[autor_es]],autorest[autor_es],autorest[autor_la])</f>
        <v>Gregorius Luri</v>
      </c>
      <c r="G603"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3"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3" t="str">
        <f>_xlfn.XLOOKUP(frasest[[#This Row],[autor_es]],autorest[autor_es],autorest[codigo])</f>
        <v>es</v>
      </c>
      <c r="J603" t="str">
        <f>_xlfn.XLOOKUP(frasest[[#This Row],[autor_es]],autorest[autor_es],autorest[idioma_es])</f>
        <v>Español</v>
      </c>
      <c r="K603" s="6" t="str">
        <f>_xlfn.XLOOKUP(frasest[[#This Row],[autor_es]],autorest[autor_es],autorest[idioma_la])</f>
        <v>Lingua Hispanica</v>
      </c>
      <c r="L603" s="6" t="str">
        <f>_xlfn.XLOOKUP(frasest[[#This Row],[autor_es]],autorest[autor_es],autorest[nacion_es])</f>
        <v>España</v>
      </c>
      <c r="M603" t="str">
        <f>_xlfn.XLOOKUP(frasest[[#This Row],[autor_es]],autorest[autor_es],autorest[nacion_la])</f>
        <v>Hispania</v>
      </c>
      <c r="N603" t="str">
        <f>_xlfn.XLOOKUP(frasest[[#This Row],[autor_es]],autorest[autor_es],autorest[epoca_es])</f>
        <v>Edad Contemporánea</v>
      </c>
      <c r="O603" t="str">
        <f>_xlfn.XLOOKUP(frasest[[#This Row],[autor_es]],autorest[autor_es],autorest[epoca_la])</f>
        <v>Aetas Contemporanea</v>
      </c>
    </row>
    <row r="604" spans="1:15">
      <c r="A604">
        <v>603</v>
      </c>
      <c r="B604" t="s">
        <v>1668</v>
      </c>
      <c r="C604" t="s">
        <v>1669</v>
      </c>
      <c r="D604" t="s">
        <v>1668</v>
      </c>
      <c r="E604" t="s">
        <v>1661</v>
      </c>
      <c r="F604" t="str">
        <f>_xlfn.XLOOKUP(frasest[[#This Row],[autor_es]],autorest[autor_es],autorest[autor_la])</f>
        <v>Gregorius Luri</v>
      </c>
      <c r="G604"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4"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4" t="str">
        <f>_xlfn.XLOOKUP(frasest[[#This Row],[autor_es]],autorest[autor_es],autorest[codigo])</f>
        <v>es</v>
      </c>
      <c r="J604" t="str">
        <f>_xlfn.XLOOKUP(frasest[[#This Row],[autor_es]],autorest[autor_es],autorest[idioma_es])</f>
        <v>Español</v>
      </c>
      <c r="K604" s="6" t="str">
        <f>_xlfn.XLOOKUP(frasest[[#This Row],[autor_es]],autorest[autor_es],autorest[idioma_la])</f>
        <v>Lingua Hispanica</v>
      </c>
      <c r="L604" s="6" t="str">
        <f>_xlfn.XLOOKUP(frasest[[#This Row],[autor_es]],autorest[autor_es],autorest[nacion_es])</f>
        <v>España</v>
      </c>
      <c r="M604" t="str">
        <f>_xlfn.XLOOKUP(frasest[[#This Row],[autor_es]],autorest[autor_es],autorest[nacion_la])</f>
        <v>Hispania</v>
      </c>
      <c r="N604" t="str">
        <f>_xlfn.XLOOKUP(frasest[[#This Row],[autor_es]],autorest[autor_es],autorest[epoca_es])</f>
        <v>Edad Contemporánea</v>
      </c>
      <c r="O604" t="str">
        <f>_xlfn.XLOOKUP(frasest[[#This Row],[autor_es]],autorest[autor_es],autorest[epoca_la])</f>
        <v>Aetas Contemporanea</v>
      </c>
    </row>
    <row r="605" spans="1:15">
      <c r="A605">
        <v>604</v>
      </c>
      <c r="B605" t="s">
        <v>1670</v>
      </c>
      <c r="C605" t="s">
        <v>1671</v>
      </c>
      <c r="D605" t="s">
        <v>1670</v>
      </c>
      <c r="E605" t="s">
        <v>1661</v>
      </c>
      <c r="F605" t="str">
        <f>_xlfn.XLOOKUP(frasest[[#This Row],[autor_es]],autorest[autor_es],autorest[autor_la])</f>
        <v>Gregorius Luri</v>
      </c>
      <c r="G605"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5"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5" t="str">
        <f>_xlfn.XLOOKUP(frasest[[#This Row],[autor_es]],autorest[autor_es],autorest[codigo])</f>
        <v>es</v>
      </c>
      <c r="J605" t="str">
        <f>_xlfn.XLOOKUP(frasest[[#This Row],[autor_es]],autorest[autor_es],autorest[idioma_es])</f>
        <v>Español</v>
      </c>
      <c r="K605" s="6" t="str">
        <f>_xlfn.XLOOKUP(frasest[[#This Row],[autor_es]],autorest[autor_es],autorest[idioma_la])</f>
        <v>Lingua Hispanica</v>
      </c>
      <c r="L605" s="6" t="str">
        <f>_xlfn.XLOOKUP(frasest[[#This Row],[autor_es]],autorest[autor_es],autorest[nacion_es])</f>
        <v>España</v>
      </c>
      <c r="M605" t="str">
        <f>_xlfn.XLOOKUP(frasest[[#This Row],[autor_es]],autorest[autor_es],autorest[nacion_la])</f>
        <v>Hispania</v>
      </c>
      <c r="N605" t="str">
        <f>_xlfn.XLOOKUP(frasest[[#This Row],[autor_es]],autorest[autor_es],autorest[epoca_es])</f>
        <v>Edad Contemporánea</v>
      </c>
      <c r="O605" t="str">
        <f>_xlfn.XLOOKUP(frasest[[#This Row],[autor_es]],autorest[autor_es],autorest[epoca_la])</f>
        <v>Aetas Contemporanea</v>
      </c>
    </row>
    <row r="606" spans="1:15">
      <c r="A606">
        <v>605</v>
      </c>
      <c r="B606" t="s">
        <v>1672</v>
      </c>
      <c r="C606" t="s">
        <v>1673</v>
      </c>
      <c r="D606" t="s">
        <v>1672</v>
      </c>
      <c r="E606" t="s">
        <v>1661</v>
      </c>
      <c r="F606" t="str">
        <f>_xlfn.XLOOKUP(frasest[[#This Row],[autor_es]],autorest[autor_es],autorest[autor_la])</f>
        <v>Gregorius Luri</v>
      </c>
      <c r="G606"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6"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6" t="str">
        <f>_xlfn.XLOOKUP(frasest[[#This Row],[autor_es]],autorest[autor_es],autorest[codigo])</f>
        <v>es</v>
      </c>
      <c r="J606" t="str">
        <f>_xlfn.XLOOKUP(frasest[[#This Row],[autor_es]],autorest[autor_es],autorest[idioma_es])</f>
        <v>Español</v>
      </c>
      <c r="K606" s="6" t="str">
        <f>_xlfn.XLOOKUP(frasest[[#This Row],[autor_es]],autorest[autor_es],autorest[idioma_la])</f>
        <v>Lingua Hispanica</v>
      </c>
      <c r="L606" s="6" t="str">
        <f>_xlfn.XLOOKUP(frasest[[#This Row],[autor_es]],autorest[autor_es],autorest[nacion_es])</f>
        <v>España</v>
      </c>
      <c r="M606" t="str">
        <f>_xlfn.XLOOKUP(frasest[[#This Row],[autor_es]],autorest[autor_es],autorest[nacion_la])</f>
        <v>Hispania</v>
      </c>
      <c r="N606" t="str">
        <f>_xlfn.XLOOKUP(frasest[[#This Row],[autor_es]],autorest[autor_es],autorest[epoca_es])</f>
        <v>Edad Contemporánea</v>
      </c>
      <c r="O606" t="str">
        <f>_xlfn.XLOOKUP(frasest[[#This Row],[autor_es]],autorest[autor_es],autorest[epoca_la])</f>
        <v>Aetas Contemporanea</v>
      </c>
    </row>
    <row r="607" spans="1:15">
      <c r="A607">
        <v>606</v>
      </c>
      <c r="B607" t="s">
        <v>1674</v>
      </c>
      <c r="C607" t="s">
        <v>1675</v>
      </c>
      <c r="D607" t="s">
        <v>1676</v>
      </c>
      <c r="E607" t="s">
        <v>1677</v>
      </c>
      <c r="F607" t="str">
        <f>_xlfn.XLOOKUP(frasest[[#This Row],[autor_es]],autorest[autor_es],autorest[autor_la])</f>
        <v>Ioannes Hattie</v>
      </c>
      <c r="G607"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7"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7" t="str">
        <f>_xlfn.XLOOKUP(frasest[[#This Row],[autor_es]],autorest[autor_es],autorest[codigo])</f>
        <v>en</v>
      </c>
      <c r="J607" t="str">
        <f>_xlfn.XLOOKUP(frasest[[#This Row],[autor_es]],autorest[autor_es],autorest[idioma_es])</f>
        <v>Inglés</v>
      </c>
      <c r="K607" s="6" t="str">
        <f>_xlfn.XLOOKUP(frasest[[#This Row],[autor_es]],autorest[autor_es],autorest[idioma_la])</f>
        <v>Lingua Anglica</v>
      </c>
      <c r="L607" s="6" t="str">
        <f>_xlfn.XLOOKUP(frasest[[#This Row],[autor_es]],autorest[autor_es],autorest[nacion_es])</f>
        <v>Nueva Zelanda</v>
      </c>
      <c r="M607" t="str">
        <f>_xlfn.XLOOKUP(frasest[[#This Row],[autor_es]],autorest[autor_es],autorest[nacion_la])</f>
        <v>Nova Zelandia</v>
      </c>
      <c r="N607" t="str">
        <f>_xlfn.XLOOKUP(frasest[[#This Row],[autor_es]],autorest[autor_es],autorest[epoca_es])</f>
        <v>Edad Contemporánea</v>
      </c>
      <c r="O607" t="str">
        <f>_xlfn.XLOOKUP(frasest[[#This Row],[autor_es]],autorest[autor_es],autorest[epoca_la])</f>
        <v>Aetas Contemporanea</v>
      </c>
    </row>
    <row r="608" spans="1:15">
      <c r="A608">
        <v>607</v>
      </c>
      <c r="B608" t="s">
        <v>1678</v>
      </c>
      <c r="C608" t="s">
        <v>1679</v>
      </c>
      <c r="D608" t="s">
        <v>1680</v>
      </c>
      <c r="E608" t="s">
        <v>1677</v>
      </c>
      <c r="F608" t="str">
        <f>_xlfn.XLOOKUP(frasest[[#This Row],[autor_es]],autorest[autor_es],autorest[autor_la])</f>
        <v>Ioannes Hattie</v>
      </c>
      <c r="G608"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8"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8" t="str">
        <f>_xlfn.XLOOKUP(frasest[[#This Row],[autor_es]],autorest[autor_es],autorest[codigo])</f>
        <v>en</v>
      </c>
      <c r="J608" t="str">
        <f>_xlfn.XLOOKUP(frasest[[#This Row],[autor_es]],autorest[autor_es],autorest[idioma_es])</f>
        <v>Inglés</v>
      </c>
      <c r="K608" s="6" t="str">
        <f>_xlfn.XLOOKUP(frasest[[#This Row],[autor_es]],autorest[autor_es],autorest[idioma_la])</f>
        <v>Lingua Anglica</v>
      </c>
      <c r="L608" s="6" t="str">
        <f>_xlfn.XLOOKUP(frasest[[#This Row],[autor_es]],autorest[autor_es],autorest[nacion_es])</f>
        <v>Nueva Zelanda</v>
      </c>
      <c r="M608" t="str">
        <f>_xlfn.XLOOKUP(frasest[[#This Row],[autor_es]],autorest[autor_es],autorest[nacion_la])</f>
        <v>Nova Zelandia</v>
      </c>
      <c r="N608" t="str">
        <f>_xlfn.XLOOKUP(frasest[[#This Row],[autor_es]],autorest[autor_es],autorest[epoca_es])</f>
        <v>Edad Contemporánea</v>
      </c>
      <c r="O608" t="str">
        <f>_xlfn.XLOOKUP(frasest[[#This Row],[autor_es]],autorest[autor_es],autorest[epoca_la])</f>
        <v>Aetas Contemporanea</v>
      </c>
    </row>
    <row r="609" spans="1:15">
      <c r="A609">
        <v>608</v>
      </c>
      <c r="B609" t="s">
        <v>1681</v>
      </c>
      <c r="C609" t="s">
        <v>1682</v>
      </c>
      <c r="D609" t="s">
        <v>1683</v>
      </c>
      <c r="E609" t="s">
        <v>1677</v>
      </c>
      <c r="F609" t="str">
        <f>_xlfn.XLOOKUP(frasest[[#This Row],[autor_es]],autorest[autor_es],autorest[autor_la])</f>
        <v>Ioannes Hattie</v>
      </c>
      <c r="G609"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9"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9" t="str">
        <f>_xlfn.XLOOKUP(frasest[[#This Row],[autor_es]],autorest[autor_es],autorest[codigo])</f>
        <v>en</v>
      </c>
      <c r="J609" t="str">
        <f>_xlfn.XLOOKUP(frasest[[#This Row],[autor_es]],autorest[autor_es],autorest[idioma_es])</f>
        <v>Inglés</v>
      </c>
      <c r="K609" s="6" t="str">
        <f>_xlfn.XLOOKUP(frasest[[#This Row],[autor_es]],autorest[autor_es],autorest[idioma_la])</f>
        <v>Lingua Anglica</v>
      </c>
      <c r="L609" s="6" t="str">
        <f>_xlfn.XLOOKUP(frasest[[#This Row],[autor_es]],autorest[autor_es],autorest[nacion_es])</f>
        <v>Nueva Zelanda</v>
      </c>
      <c r="M609" t="str">
        <f>_xlfn.XLOOKUP(frasest[[#This Row],[autor_es]],autorest[autor_es],autorest[nacion_la])</f>
        <v>Nova Zelandia</v>
      </c>
      <c r="N609" t="str">
        <f>_xlfn.XLOOKUP(frasest[[#This Row],[autor_es]],autorest[autor_es],autorest[epoca_es])</f>
        <v>Edad Contemporánea</v>
      </c>
      <c r="O609" t="str">
        <f>_xlfn.XLOOKUP(frasest[[#This Row],[autor_es]],autorest[autor_es],autorest[epoca_la])</f>
        <v>Aetas Contemporanea</v>
      </c>
    </row>
    <row r="610" spans="1:15">
      <c r="A610">
        <v>609</v>
      </c>
      <c r="B610" t="s">
        <v>1684</v>
      </c>
      <c r="C610" t="s">
        <v>1685</v>
      </c>
      <c r="D610" t="s">
        <v>1686</v>
      </c>
      <c r="E610" t="s">
        <v>1677</v>
      </c>
      <c r="F610" t="str">
        <f>_xlfn.XLOOKUP(frasest[[#This Row],[autor_es]],autorest[autor_es],autorest[autor_la])</f>
        <v>Ioannes Hattie</v>
      </c>
      <c r="G610"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0"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0" t="str">
        <f>_xlfn.XLOOKUP(frasest[[#This Row],[autor_es]],autorest[autor_es],autorest[codigo])</f>
        <v>en</v>
      </c>
      <c r="J610" t="str">
        <f>_xlfn.XLOOKUP(frasest[[#This Row],[autor_es]],autorest[autor_es],autorest[idioma_es])</f>
        <v>Inglés</v>
      </c>
      <c r="K610" s="6" t="str">
        <f>_xlfn.XLOOKUP(frasest[[#This Row],[autor_es]],autorest[autor_es],autorest[idioma_la])</f>
        <v>Lingua Anglica</v>
      </c>
      <c r="L610" s="6" t="str">
        <f>_xlfn.XLOOKUP(frasest[[#This Row],[autor_es]],autorest[autor_es],autorest[nacion_es])</f>
        <v>Nueva Zelanda</v>
      </c>
      <c r="M610" t="str">
        <f>_xlfn.XLOOKUP(frasest[[#This Row],[autor_es]],autorest[autor_es],autorest[nacion_la])</f>
        <v>Nova Zelandia</v>
      </c>
      <c r="N610" t="str">
        <f>_xlfn.XLOOKUP(frasest[[#This Row],[autor_es]],autorest[autor_es],autorest[epoca_es])</f>
        <v>Edad Contemporánea</v>
      </c>
      <c r="O610" t="str">
        <f>_xlfn.XLOOKUP(frasest[[#This Row],[autor_es]],autorest[autor_es],autorest[epoca_la])</f>
        <v>Aetas Contemporanea</v>
      </c>
    </row>
    <row r="611" spans="1:15">
      <c r="A611">
        <v>610</v>
      </c>
      <c r="B611" t="s">
        <v>1687</v>
      </c>
      <c r="C611" t="s">
        <v>1688</v>
      </c>
      <c r="D611" t="s">
        <v>1689</v>
      </c>
      <c r="E611" t="s">
        <v>1677</v>
      </c>
      <c r="F611" t="str">
        <f>_xlfn.XLOOKUP(frasest[[#This Row],[autor_es]],autorest[autor_es],autorest[autor_la])</f>
        <v>Ioannes Hattie</v>
      </c>
      <c r="G611"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1"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1" t="str">
        <f>_xlfn.XLOOKUP(frasest[[#This Row],[autor_es]],autorest[autor_es],autorest[codigo])</f>
        <v>en</v>
      </c>
      <c r="J611" t="str">
        <f>_xlfn.XLOOKUP(frasest[[#This Row],[autor_es]],autorest[autor_es],autorest[idioma_es])</f>
        <v>Inglés</v>
      </c>
      <c r="K611" s="6" t="str">
        <f>_xlfn.XLOOKUP(frasest[[#This Row],[autor_es]],autorest[autor_es],autorest[idioma_la])</f>
        <v>Lingua Anglica</v>
      </c>
      <c r="L611" s="6" t="str">
        <f>_xlfn.XLOOKUP(frasest[[#This Row],[autor_es]],autorest[autor_es],autorest[nacion_es])</f>
        <v>Nueva Zelanda</v>
      </c>
      <c r="M611" t="str">
        <f>_xlfn.XLOOKUP(frasest[[#This Row],[autor_es]],autorest[autor_es],autorest[nacion_la])</f>
        <v>Nova Zelandia</v>
      </c>
      <c r="N611" t="str">
        <f>_xlfn.XLOOKUP(frasest[[#This Row],[autor_es]],autorest[autor_es],autorest[epoca_es])</f>
        <v>Edad Contemporánea</v>
      </c>
      <c r="O611" t="str">
        <f>_xlfn.XLOOKUP(frasest[[#This Row],[autor_es]],autorest[autor_es],autorest[epoca_la])</f>
        <v>Aetas Contemporanea</v>
      </c>
    </row>
    <row r="612" spans="1:15">
      <c r="A612">
        <v>611</v>
      </c>
      <c r="B612" t="s">
        <v>1690</v>
      </c>
      <c r="C612" t="s">
        <v>1691</v>
      </c>
      <c r="D612" t="s">
        <v>1692</v>
      </c>
      <c r="E612" t="s">
        <v>1677</v>
      </c>
      <c r="F612" t="str">
        <f>_xlfn.XLOOKUP(frasest[[#This Row],[autor_es]],autorest[autor_es],autorest[autor_la])</f>
        <v>Ioannes Hattie</v>
      </c>
      <c r="G612"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2"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2" t="str">
        <f>_xlfn.XLOOKUP(frasest[[#This Row],[autor_es]],autorest[autor_es],autorest[codigo])</f>
        <v>en</v>
      </c>
      <c r="J612" t="str">
        <f>_xlfn.XLOOKUP(frasest[[#This Row],[autor_es]],autorest[autor_es],autorest[idioma_es])</f>
        <v>Inglés</v>
      </c>
      <c r="K612" s="6" t="str">
        <f>_xlfn.XLOOKUP(frasest[[#This Row],[autor_es]],autorest[autor_es],autorest[idioma_la])</f>
        <v>Lingua Anglica</v>
      </c>
      <c r="L612" s="6" t="str">
        <f>_xlfn.XLOOKUP(frasest[[#This Row],[autor_es]],autorest[autor_es],autorest[nacion_es])</f>
        <v>Nueva Zelanda</v>
      </c>
      <c r="M612" t="str">
        <f>_xlfn.XLOOKUP(frasest[[#This Row],[autor_es]],autorest[autor_es],autorest[nacion_la])</f>
        <v>Nova Zelandia</v>
      </c>
      <c r="N612" t="str">
        <f>_xlfn.XLOOKUP(frasest[[#This Row],[autor_es]],autorest[autor_es],autorest[epoca_es])</f>
        <v>Edad Contemporánea</v>
      </c>
      <c r="O612" t="str">
        <f>_xlfn.XLOOKUP(frasest[[#This Row],[autor_es]],autorest[autor_es],autorest[epoca_la])</f>
        <v>Aetas Contemporanea</v>
      </c>
    </row>
    <row r="613" spans="1:15">
      <c r="A613">
        <v>612</v>
      </c>
      <c r="B613" t="s">
        <v>1693</v>
      </c>
      <c r="C613" t="s">
        <v>1694</v>
      </c>
      <c r="D613" t="s">
        <v>1695</v>
      </c>
      <c r="E613" t="s">
        <v>1696</v>
      </c>
      <c r="F613" t="str">
        <f>_xlfn.XLOOKUP(frasest[[#This Row],[autor_es]],autorest[autor_es],autorest[autor_la])</f>
        <v>Ioannes Locke</v>
      </c>
      <c r="G613"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3"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3" t="str">
        <f>_xlfn.XLOOKUP(frasest[[#This Row],[autor_es]],autorest[autor_es],autorest[codigo])</f>
        <v>en</v>
      </c>
      <c r="J613" t="str">
        <f>_xlfn.XLOOKUP(frasest[[#This Row],[autor_es]],autorest[autor_es],autorest[idioma_es])</f>
        <v>Inglés</v>
      </c>
      <c r="K613" s="6" t="str">
        <f>_xlfn.XLOOKUP(frasest[[#This Row],[autor_es]],autorest[autor_es],autorest[idioma_la])</f>
        <v>Lingua Anglica</v>
      </c>
      <c r="L613" s="6" t="str">
        <f>_xlfn.XLOOKUP(frasest[[#This Row],[autor_es]],autorest[autor_es],autorest[nacion_es])</f>
        <v>Reino Unido</v>
      </c>
      <c r="M613" t="str">
        <f>_xlfn.XLOOKUP(frasest[[#This Row],[autor_es]],autorest[autor_es],autorest[nacion_la])</f>
        <v>Regnum Unitum</v>
      </c>
      <c r="N613" t="str">
        <f>_xlfn.XLOOKUP(frasest[[#This Row],[autor_es]],autorest[autor_es],autorest[epoca_es])</f>
        <v>Edad Moderna</v>
      </c>
      <c r="O613" t="str">
        <f>_xlfn.XLOOKUP(frasest[[#This Row],[autor_es]],autorest[autor_es],autorest[epoca_la])</f>
        <v>Nova Aetas</v>
      </c>
    </row>
    <row r="614" spans="1:15">
      <c r="A614">
        <v>613</v>
      </c>
      <c r="B614" t="s">
        <v>1697</v>
      </c>
      <c r="C614" t="s">
        <v>1698</v>
      </c>
      <c r="D614" t="s">
        <v>1699</v>
      </c>
      <c r="E614" t="s">
        <v>1696</v>
      </c>
      <c r="F614" t="str">
        <f>_xlfn.XLOOKUP(frasest[[#This Row],[autor_es]],autorest[autor_es],autorest[autor_la])</f>
        <v>Ioannes Locke</v>
      </c>
      <c r="G614"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4"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4" t="str">
        <f>_xlfn.XLOOKUP(frasest[[#This Row],[autor_es]],autorest[autor_es],autorest[codigo])</f>
        <v>en</v>
      </c>
      <c r="J614" t="str">
        <f>_xlfn.XLOOKUP(frasest[[#This Row],[autor_es]],autorest[autor_es],autorest[idioma_es])</f>
        <v>Inglés</v>
      </c>
      <c r="K614" s="6" t="str">
        <f>_xlfn.XLOOKUP(frasest[[#This Row],[autor_es]],autorest[autor_es],autorest[idioma_la])</f>
        <v>Lingua Anglica</v>
      </c>
      <c r="L614" s="6" t="str">
        <f>_xlfn.XLOOKUP(frasest[[#This Row],[autor_es]],autorest[autor_es],autorest[nacion_es])</f>
        <v>Reino Unido</v>
      </c>
      <c r="M614" t="str">
        <f>_xlfn.XLOOKUP(frasest[[#This Row],[autor_es]],autorest[autor_es],autorest[nacion_la])</f>
        <v>Regnum Unitum</v>
      </c>
      <c r="N614" t="str">
        <f>_xlfn.XLOOKUP(frasest[[#This Row],[autor_es]],autorest[autor_es],autorest[epoca_es])</f>
        <v>Edad Moderna</v>
      </c>
      <c r="O614" t="str">
        <f>_xlfn.XLOOKUP(frasest[[#This Row],[autor_es]],autorest[autor_es],autorest[epoca_la])</f>
        <v>Nova Aetas</v>
      </c>
    </row>
    <row r="615" spans="1:15">
      <c r="A615">
        <v>614</v>
      </c>
      <c r="B615" t="s">
        <v>1700</v>
      </c>
      <c r="C615" t="s">
        <v>1701</v>
      </c>
      <c r="D615" t="s">
        <v>1702</v>
      </c>
      <c r="E615" t="s">
        <v>1696</v>
      </c>
      <c r="F615" t="str">
        <f>_xlfn.XLOOKUP(frasest[[#This Row],[autor_es]],autorest[autor_es],autorest[autor_la])</f>
        <v>Ioannes Locke</v>
      </c>
      <c r="G615"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5"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5" t="str">
        <f>_xlfn.XLOOKUP(frasest[[#This Row],[autor_es]],autorest[autor_es],autorest[codigo])</f>
        <v>en</v>
      </c>
      <c r="J615" t="str">
        <f>_xlfn.XLOOKUP(frasest[[#This Row],[autor_es]],autorest[autor_es],autorest[idioma_es])</f>
        <v>Inglés</v>
      </c>
      <c r="K615" s="6" t="str">
        <f>_xlfn.XLOOKUP(frasest[[#This Row],[autor_es]],autorest[autor_es],autorest[idioma_la])</f>
        <v>Lingua Anglica</v>
      </c>
      <c r="L615" s="6" t="str">
        <f>_xlfn.XLOOKUP(frasest[[#This Row],[autor_es]],autorest[autor_es],autorest[nacion_es])</f>
        <v>Reino Unido</v>
      </c>
      <c r="M615" t="str">
        <f>_xlfn.XLOOKUP(frasest[[#This Row],[autor_es]],autorest[autor_es],autorest[nacion_la])</f>
        <v>Regnum Unitum</v>
      </c>
      <c r="N615" t="str">
        <f>_xlfn.XLOOKUP(frasest[[#This Row],[autor_es]],autorest[autor_es],autorest[epoca_es])</f>
        <v>Edad Moderna</v>
      </c>
      <c r="O615" t="str">
        <f>_xlfn.XLOOKUP(frasest[[#This Row],[autor_es]],autorest[autor_es],autorest[epoca_la])</f>
        <v>Nova Aetas</v>
      </c>
    </row>
    <row r="616" spans="1:15">
      <c r="A616">
        <v>615</v>
      </c>
      <c r="B616" t="s">
        <v>1703</v>
      </c>
      <c r="C616" t="s">
        <v>1704</v>
      </c>
      <c r="D616" t="s">
        <v>1705</v>
      </c>
      <c r="E616" t="s">
        <v>1696</v>
      </c>
      <c r="F616" t="str">
        <f>_xlfn.XLOOKUP(frasest[[#This Row],[autor_es]],autorest[autor_es],autorest[autor_la])</f>
        <v>Ioannes Locke</v>
      </c>
      <c r="G616"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6"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6" t="str">
        <f>_xlfn.XLOOKUP(frasest[[#This Row],[autor_es]],autorest[autor_es],autorest[codigo])</f>
        <v>en</v>
      </c>
      <c r="J616" t="str">
        <f>_xlfn.XLOOKUP(frasest[[#This Row],[autor_es]],autorest[autor_es],autorest[idioma_es])</f>
        <v>Inglés</v>
      </c>
      <c r="K616" s="6" t="str">
        <f>_xlfn.XLOOKUP(frasest[[#This Row],[autor_es]],autorest[autor_es],autorest[idioma_la])</f>
        <v>Lingua Anglica</v>
      </c>
      <c r="L616" s="6" t="str">
        <f>_xlfn.XLOOKUP(frasest[[#This Row],[autor_es]],autorest[autor_es],autorest[nacion_es])</f>
        <v>Reino Unido</v>
      </c>
      <c r="M616" t="str">
        <f>_xlfn.XLOOKUP(frasest[[#This Row],[autor_es]],autorest[autor_es],autorest[nacion_la])</f>
        <v>Regnum Unitum</v>
      </c>
      <c r="N616" t="str">
        <f>_xlfn.XLOOKUP(frasest[[#This Row],[autor_es]],autorest[autor_es],autorest[epoca_es])</f>
        <v>Edad Moderna</v>
      </c>
      <c r="O616" t="str">
        <f>_xlfn.XLOOKUP(frasest[[#This Row],[autor_es]],autorest[autor_es],autorest[epoca_la])</f>
        <v>Nova Aetas</v>
      </c>
    </row>
    <row r="617" spans="1:15">
      <c r="A617">
        <v>616</v>
      </c>
      <c r="B617" t="s">
        <v>1706</v>
      </c>
      <c r="C617" t="s">
        <v>1707</v>
      </c>
      <c r="D617" t="s">
        <v>1708</v>
      </c>
      <c r="E617" t="s">
        <v>1696</v>
      </c>
      <c r="F617" t="str">
        <f>_xlfn.XLOOKUP(frasest[[#This Row],[autor_es]],autorest[autor_es],autorest[autor_la])</f>
        <v>Ioannes Locke</v>
      </c>
      <c r="G617"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7"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7" t="str">
        <f>_xlfn.XLOOKUP(frasest[[#This Row],[autor_es]],autorest[autor_es],autorest[codigo])</f>
        <v>en</v>
      </c>
      <c r="J617" t="str">
        <f>_xlfn.XLOOKUP(frasest[[#This Row],[autor_es]],autorest[autor_es],autorest[idioma_es])</f>
        <v>Inglés</v>
      </c>
      <c r="K617" s="6" t="str">
        <f>_xlfn.XLOOKUP(frasest[[#This Row],[autor_es]],autorest[autor_es],autorest[idioma_la])</f>
        <v>Lingua Anglica</v>
      </c>
      <c r="L617" s="6" t="str">
        <f>_xlfn.XLOOKUP(frasest[[#This Row],[autor_es]],autorest[autor_es],autorest[nacion_es])</f>
        <v>Reino Unido</v>
      </c>
      <c r="M617" t="str">
        <f>_xlfn.XLOOKUP(frasest[[#This Row],[autor_es]],autorest[autor_es],autorest[nacion_la])</f>
        <v>Regnum Unitum</v>
      </c>
      <c r="N617" t="str">
        <f>_xlfn.XLOOKUP(frasest[[#This Row],[autor_es]],autorest[autor_es],autorest[epoca_es])</f>
        <v>Edad Moderna</v>
      </c>
      <c r="O617" t="str">
        <f>_xlfn.XLOOKUP(frasest[[#This Row],[autor_es]],autorest[autor_es],autorest[epoca_la])</f>
        <v>Nova Aetas</v>
      </c>
    </row>
    <row r="618" spans="1:15">
      <c r="A618">
        <v>617</v>
      </c>
      <c r="B618" t="s">
        <v>1709</v>
      </c>
      <c r="C618" t="s">
        <v>1710</v>
      </c>
      <c r="D618" t="s">
        <v>1711</v>
      </c>
      <c r="E618" t="s">
        <v>1696</v>
      </c>
      <c r="F618" t="str">
        <f>_xlfn.XLOOKUP(frasest[[#This Row],[autor_es]],autorest[autor_es],autorest[autor_la])</f>
        <v>Ioannes Locke</v>
      </c>
      <c r="G618"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8"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8" t="str">
        <f>_xlfn.XLOOKUP(frasest[[#This Row],[autor_es]],autorest[autor_es],autorest[codigo])</f>
        <v>en</v>
      </c>
      <c r="J618" t="str">
        <f>_xlfn.XLOOKUP(frasest[[#This Row],[autor_es]],autorest[autor_es],autorest[idioma_es])</f>
        <v>Inglés</v>
      </c>
      <c r="K618" s="6" t="str">
        <f>_xlfn.XLOOKUP(frasest[[#This Row],[autor_es]],autorest[autor_es],autorest[idioma_la])</f>
        <v>Lingua Anglica</v>
      </c>
      <c r="L618" s="6" t="str">
        <f>_xlfn.XLOOKUP(frasest[[#This Row],[autor_es]],autorest[autor_es],autorest[nacion_es])</f>
        <v>Reino Unido</v>
      </c>
      <c r="M618" t="str">
        <f>_xlfn.XLOOKUP(frasest[[#This Row],[autor_es]],autorest[autor_es],autorest[nacion_la])</f>
        <v>Regnum Unitum</v>
      </c>
      <c r="N618" t="str">
        <f>_xlfn.XLOOKUP(frasest[[#This Row],[autor_es]],autorest[autor_es],autorest[epoca_es])</f>
        <v>Edad Moderna</v>
      </c>
      <c r="O618" t="str">
        <f>_xlfn.XLOOKUP(frasest[[#This Row],[autor_es]],autorest[autor_es],autorest[epoca_la])</f>
        <v>Nova Aetas</v>
      </c>
    </row>
    <row r="619" spans="1:15">
      <c r="A619">
        <v>618</v>
      </c>
      <c r="B619" t="s">
        <v>1712</v>
      </c>
      <c r="C619" t="s">
        <v>1713</v>
      </c>
      <c r="D619" t="s">
        <v>1714</v>
      </c>
      <c r="E619" t="s">
        <v>1715</v>
      </c>
      <c r="F619" t="str">
        <f>_xlfn.XLOOKUP(frasest[[#This Row],[autor_es]],autorest[autor_es],autorest[autor_la])</f>
        <v>Rabindranath Tagore</v>
      </c>
      <c r="G619"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19"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19" t="str">
        <f>_xlfn.XLOOKUP(frasest[[#This Row],[autor_es]],autorest[autor_es],autorest[codigo])</f>
        <v>bn</v>
      </c>
      <c r="J619" t="str">
        <f>_xlfn.XLOOKUP(frasest[[#This Row],[autor_es]],autorest[autor_es],autorest[idioma_es])</f>
        <v>Bengalí</v>
      </c>
      <c r="K619" s="6" t="str">
        <f>_xlfn.XLOOKUP(frasest[[#This Row],[autor_es]],autorest[autor_es],autorest[idioma_la])</f>
        <v>Lingua Bengalice</v>
      </c>
      <c r="L619" s="6" t="str">
        <f>_xlfn.XLOOKUP(frasest[[#This Row],[autor_es]],autorest[autor_es],autorest[nacion_es])</f>
        <v>India</v>
      </c>
      <c r="M619" t="str">
        <f>_xlfn.XLOOKUP(frasest[[#This Row],[autor_es]],autorest[autor_es],autorest[nacion_la])</f>
        <v>India</v>
      </c>
      <c r="N619" t="str">
        <f>_xlfn.XLOOKUP(frasest[[#This Row],[autor_es]],autorest[autor_es],autorest[epoca_es])</f>
        <v>Edad Contemporánea</v>
      </c>
      <c r="O619" t="str">
        <f>_xlfn.XLOOKUP(frasest[[#This Row],[autor_es]],autorest[autor_es],autorest[epoca_la])</f>
        <v>Aetas Contemporanea</v>
      </c>
    </row>
    <row r="620" spans="1:15">
      <c r="A620">
        <v>619</v>
      </c>
      <c r="B620" t="s">
        <v>1716</v>
      </c>
      <c r="C620" t="s">
        <v>1717</v>
      </c>
      <c r="D620" t="s">
        <v>1718</v>
      </c>
      <c r="E620" t="s">
        <v>1715</v>
      </c>
      <c r="F620" t="str">
        <f>_xlfn.XLOOKUP(frasest[[#This Row],[autor_es]],autorest[autor_es],autorest[autor_la])</f>
        <v>Rabindranath Tagore</v>
      </c>
      <c r="G620"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0"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0" t="str">
        <f>_xlfn.XLOOKUP(frasest[[#This Row],[autor_es]],autorest[autor_es],autorest[codigo])</f>
        <v>bn</v>
      </c>
      <c r="J620" t="str">
        <f>_xlfn.XLOOKUP(frasest[[#This Row],[autor_es]],autorest[autor_es],autorest[idioma_es])</f>
        <v>Bengalí</v>
      </c>
      <c r="K620" s="6" t="str">
        <f>_xlfn.XLOOKUP(frasest[[#This Row],[autor_es]],autorest[autor_es],autorest[idioma_la])</f>
        <v>Lingua Bengalice</v>
      </c>
      <c r="L620" s="6" t="str">
        <f>_xlfn.XLOOKUP(frasest[[#This Row],[autor_es]],autorest[autor_es],autorest[nacion_es])</f>
        <v>India</v>
      </c>
      <c r="M620" t="str">
        <f>_xlfn.XLOOKUP(frasest[[#This Row],[autor_es]],autorest[autor_es],autorest[nacion_la])</f>
        <v>India</v>
      </c>
      <c r="N620" t="str">
        <f>_xlfn.XLOOKUP(frasest[[#This Row],[autor_es]],autorest[autor_es],autorest[epoca_es])</f>
        <v>Edad Contemporánea</v>
      </c>
      <c r="O620" t="str">
        <f>_xlfn.XLOOKUP(frasest[[#This Row],[autor_es]],autorest[autor_es],autorest[epoca_la])</f>
        <v>Aetas Contemporanea</v>
      </c>
    </row>
    <row r="621" spans="1:15">
      <c r="A621">
        <v>620</v>
      </c>
      <c r="B621" t="s">
        <v>1719</v>
      </c>
      <c r="C621" t="s">
        <v>1720</v>
      </c>
      <c r="D621" t="s">
        <v>1721</v>
      </c>
      <c r="E621" t="s">
        <v>1715</v>
      </c>
      <c r="F621" t="str">
        <f>_xlfn.XLOOKUP(frasest[[#This Row],[autor_es]],autorest[autor_es],autorest[autor_la])</f>
        <v>Rabindranath Tagore</v>
      </c>
      <c r="G621"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1"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1" t="str">
        <f>_xlfn.XLOOKUP(frasest[[#This Row],[autor_es]],autorest[autor_es],autorest[codigo])</f>
        <v>bn</v>
      </c>
      <c r="J621" t="str">
        <f>_xlfn.XLOOKUP(frasest[[#This Row],[autor_es]],autorest[autor_es],autorest[idioma_es])</f>
        <v>Bengalí</v>
      </c>
      <c r="K621" s="6" t="str">
        <f>_xlfn.XLOOKUP(frasest[[#This Row],[autor_es]],autorest[autor_es],autorest[idioma_la])</f>
        <v>Lingua Bengalice</v>
      </c>
      <c r="L621" s="6" t="str">
        <f>_xlfn.XLOOKUP(frasest[[#This Row],[autor_es]],autorest[autor_es],autorest[nacion_es])</f>
        <v>India</v>
      </c>
      <c r="M621" t="str">
        <f>_xlfn.XLOOKUP(frasest[[#This Row],[autor_es]],autorest[autor_es],autorest[nacion_la])</f>
        <v>India</v>
      </c>
      <c r="N621" t="str">
        <f>_xlfn.XLOOKUP(frasest[[#This Row],[autor_es]],autorest[autor_es],autorest[epoca_es])</f>
        <v>Edad Contemporánea</v>
      </c>
      <c r="O621" t="str">
        <f>_xlfn.XLOOKUP(frasest[[#This Row],[autor_es]],autorest[autor_es],autorest[epoca_la])</f>
        <v>Aetas Contemporanea</v>
      </c>
    </row>
    <row r="622" spans="1:15">
      <c r="A622">
        <v>621</v>
      </c>
      <c r="B622" t="s">
        <v>1722</v>
      </c>
      <c r="C622" t="s">
        <v>1723</v>
      </c>
      <c r="D622" t="s">
        <v>1724</v>
      </c>
      <c r="E622" t="s">
        <v>1715</v>
      </c>
      <c r="F622" t="str">
        <f>_xlfn.XLOOKUP(frasest[[#This Row],[autor_es]],autorest[autor_es],autorest[autor_la])</f>
        <v>Rabindranath Tagore</v>
      </c>
      <c r="G622"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2"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2" t="str">
        <f>_xlfn.XLOOKUP(frasest[[#This Row],[autor_es]],autorest[autor_es],autorest[codigo])</f>
        <v>bn</v>
      </c>
      <c r="J622" t="str">
        <f>_xlfn.XLOOKUP(frasest[[#This Row],[autor_es]],autorest[autor_es],autorest[idioma_es])</f>
        <v>Bengalí</v>
      </c>
      <c r="K622" s="6" t="str">
        <f>_xlfn.XLOOKUP(frasest[[#This Row],[autor_es]],autorest[autor_es],autorest[idioma_la])</f>
        <v>Lingua Bengalice</v>
      </c>
      <c r="L622" s="6" t="str">
        <f>_xlfn.XLOOKUP(frasest[[#This Row],[autor_es]],autorest[autor_es],autorest[nacion_es])</f>
        <v>India</v>
      </c>
      <c r="M622" t="str">
        <f>_xlfn.XLOOKUP(frasest[[#This Row],[autor_es]],autorest[autor_es],autorest[nacion_la])</f>
        <v>India</v>
      </c>
      <c r="N622" t="str">
        <f>_xlfn.XLOOKUP(frasest[[#This Row],[autor_es]],autorest[autor_es],autorest[epoca_es])</f>
        <v>Edad Contemporánea</v>
      </c>
      <c r="O622" t="str">
        <f>_xlfn.XLOOKUP(frasest[[#This Row],[autor_es]],autorest[autor_es],autorest[epoca_la])</f>
        <v>Aetas Contemporanea</v>
      </c>
    </row>
    <row r="623" spans="1:15">
      <c r="A623">
        <v>622</v>
      </c>
      <c r="B623" t="s">
        <v>1725</v>
      </c>
      <c r="C623" t="s">
        <v>1726</v>
      </c>
      <c r="D623" t="s">
        <v>1718</v>
      </c>
      <c r="E623" t="s">
        <v>1715</v>
      </c>
      <c r="F623" t="str">
        <f>_xlfn.XLOOKUP(frasest[[#This Row],[autor_es]],autorest[autor_es],autorest[autor_la])</f>
        <v>Rabindranath Tagore</v>
      </c>
      <c r="G623"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3"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3" t="str">
        <f>_xlfn.XLOOKUP(frasest[[#This Row],[autor_es]],autorest[autor_es],autorest[codigo])</f>
        <v>bn</v>
      </c>
      <c r="J623" t="str">
        <f>_xlfn.XLOOKUP(frasest[[#This Row],[autor_es]],autorest[autor_es],autorest[idioma_es])</f>
        <v>Bengalí</v>
      </c>
      <c r="K623" s="6" t="str">
        <f>_xlfn.XLOOKUP(frasest[[#This Row],[autor_es]],autorest[autor_es],autorest[idioma_la])</f>
        <v>Lingua Bengalice</v>
      </c>
      <c r="L623" s="6" t="str">
        <f>_xlfn.XLOOKUP(frasest[[#This Row],[autor_es]],autorest[autor_es],autorest[nacion_es])</f>
        <v>India</v>
      </c>
      <c r="M623" t="str">
        <f>_xlfn.XLOOKUP(frasest[[#This Row],[autor_es]],autorest[autor_es],autorest[nacion_la])</f>
        <v>India</v>
      </c>
      <c r="N623" t="str">
        <f>_xlfn.XLOOKUP(frasest[[#This Row],[autor_es]],autorest[autor_es],autorest[epoca_es])</f>
        <v>Edad Contemporánea</v>
      </c>
      <c r="O623" t="str">
        <f>_xlfn.XLOOKUP(frasest[[#This Row],[autor_es]],autorest[autor_es],autorest[epoca_la])</f>
        <v>Aetas Contemporanea</v>
      </c>
    </row>
    <row r="624" spans="1:15">
      <c r="A624">
        <v>623</v>
      </c>
      <c r="B624" t="s">
        <v>1727</v>
      </c>
      <c r="C624" t="s">
        <v>1728</v>
      </c>
      <c r="D624" t="s">
        <v>1729</v>
      </c>
      <c r="E624" t="s">
        <v>1715</v>
      </c>
      <c r="F624" t="str">
        <f>_xlfn.XLOOKUP(frasest[[#This Row],[autor_es]],autorest[autor_es],autorest[autor_la])</f>
        <v>Rabindranath Tagore</v>
      </c>
      <c r="G624"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4"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4" t="str">
        <f>_xlfn.XLOOKUP(frasest[[#This Row],[autor_es]],autorest[autor_es],autorest[codigo])</f>
        <v>bn</v>
      </c>
      <c r="J624" t="str">
        <f>_xlfn.XLOOKUP(frasest[[#This Row],[autor_es]],autorest[autor_es],autorest[idioma_es])</f>
        <v>Bengalí</v>
      </c>
      <c r="K624" s="6" t="str">
        <f>_xlfn.XLOOKUP(frasest[[#This Row],[autor_es]],autorest[autor_es],autorest[idioma_la])</f>
        <v>Lingua Bengalice</v>
      </c>
      <c r="L624" s="6" t="str">
        <f>_xlfn.XLOOKUP(frasest[[#This Row],[autor_es]],autorest[autor_es],autorest[nacion_es])</f>
        <v>India</v>
      </c>
      <c r="M624" t="str">
        <f>_xlfn.XLOOKUP(frasest[[#This Row],[autor_es]],autorest[autor_es],autorest[nacion_la])</f>
        <v>India</v>
      </c>
      <c r="N624" t="str">
        <f>_xlfn.XLOOKUP(frasest[[#This Row],[autor_es]],autorest[autor_es],autorest[epoca_es])</f>
        <v>Edad Contemporánea</v>
      </c>
      <c r="O624" t="str">
        <f>_xlfn.XLOOKUP(frasest[[#This Row],[autor_es]],autorest[autor_es],autorest[epoca_la])</f>
        <v>Aetas Contemporanea</v>
      </c>
    </row>
    <row r="625" spans="1:15">
      <c r="A625">
        <v>624</v>
      </c>
      <c r="B625" t="s">
        <v>1730</v>
      </c>
      <c r="C625" t="s">
        <v>1731</v>
      </c>
      <c r="D625" t="s">
        <v>1732</v>
      </c>
      <c r="E625" t="s">
        <v>1733</v>
      </c>
      <c r="F625" t="str">
        <f>_xlfn.XLOOKUP(frasest[[#This Row],[autor_es]],autorest[autor_es],autorest[autor_la])</f>
        <v>Iosephus D. Novak</v>
      </c>
      <c r="G625"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5"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5" t="str">
        <f>_xlfn.XLOOKUP(frasest[[#This Row],[autor_es]],autorest[autor_es],autorest[codigo])</f>
        <v>en</v>
      </c>
      <c r="J625" t="str">
        <f>_xlfn.XLOOKUP(frasest[[#This Row],[autor_es]],autorest[autor_es],autorest[idioma_es])</f>
        <v>Inglés</v>
      </c>
      <c r="K625" s="6" t="str">
        <f>_xlfn.XLOOKUP(frasest[[#This Row],[autor_es]],autorest[autor_es],autorest[idioma_la])</f>
        <v>Lingua Anglica</v>
      </c>
      <c r="L625" s="6" t="str">
        <f>_xlfn.XLOOKUP(frasest[[#This Row],[autor_es]],autorest[autor_es],autorest[nacion_es])</f>
        <v>Estados Unidos</v>
      </c>
      <c r="M625" t="str">
        <f>_xlfn.XLOOKUP(frasest[[#This Row],[autor_es]],autorest[autor_es],autorest[nacion_la])</f>
        <v>Civitates Foederatae Americae</v>
      </c>
      <c r="N625" t="str">
        <f>_xlfn.XLOOKUP(frasest[[#This Row],[autor_es]],autorest[autor_es],autorest[epoca_es])</f>
        <v>Edad Contemporánea</v>
      </c>
      <c r="O625" t="str">
        <f>_xlfn.XLOOKUP(frasest[[#This Row],[autor_es]],autorest[autor_es],autorest[epoca_la])</f>
        <v>Aetas Contemporanea</v>
      </c>
    </row>
    <row r="626" spans="1:15">
      <c r="A626">
        <v>625</v>
      </c>
      <c r="B626" t="s">
        <v>1734</v>
      </c>
      <c r="C626" t="s">
        <v>1735</v>
      </c>
      <c r="D626" t="s">
        <v>1736</v>
      </c>
      <c r="E626" t="s">
        <v>1733</v>
      </c>
      <c r="F626" t="str">
        <f>_xlfn.XLOOKUP(frasest[[#This Row],[autor_es]],autorest[autor_es],autorest[autor_la])</f>
        <v>Iosephus D. Novak</v>
      </c>
      <c r="G626"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6"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6" t="str">
        <f>_xlfn.XLOOKUP(frasest[[#This Row],[autor_es]],autorest[autor_es],autorest[codigo])</f>
        <v>en</v>
      </c>
      <c r="J626" t="str">
        <f>_xlfn.XLOOKUP(frasest[[#This Row],[autor_es]],autorest[autor_es],autorest[idioma_es])</f>
        <v>Inglés</v>
      </c>
      <c r="K626" s="6" t="str">
        <f>_xlfn.XLOOKUP(frasest[[#This Row],[autor_es]],autorest[autor_es],autorest[idioma_la])</f>
        <v>Lingua Anglica</v>
      </c>
      <c r="L626" s="6" t="str">
        <f>_xlfn.XLOOKUP(frasest[[#This Row],[autor_es]],autorest[autor_es],autorest[nacion_es])</f>
        <v>Estados Unidos</v>
      </c>
      <c r="M626" t="str">
        <f>_xlfn.XLOOKUP(frasest[[#This Row],[autor_es]],autorest[autor_es],autorest[nacion_la])</f>
        <v>Civitates Foederatae Americae</v>
      </c>
      <c r="N626" t="str">
        <f>_xlfn.XLOOKUP(frasest[[#This Row],[autor_es]],autorest[autor_es],autorest[epoca_es])</f>
        <v>Edad Contemporánea</v>
      </c>
      <c r="O626" t="str">
        <f>_xlfn.XLOOKUP(frasest[[#This Row],[autor_es]],autorest[autor_es],autorest[epoca_la])</f>
        <v>Aetas Contemporanea</v>
      </c>
    </row>
    <row r="627" spans="1:15">
      <c r="A627">
        <v>626</v>
      </c>
      <c r="B627" t="s">
        <v>1737</v>
      </c>
      <c r="C627" t="s">
        <v>1738</v>
      </c>
      <c r="D627" t="s">
        <v>1739</v>
      </c>
      <c r="E627" t="s">
        <v>1733</v>
      </c>
      <c r="F627" t="str">
        <f>_xlfn.XLOOKUP(frasest[[#This Row],[autor_es]],autorest[autor_es],autorest[autor_la])</f>
        <v>Iosephus D. Novak</v>
      </c>
      <c r="G627"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7"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7" t="str">
        <f>_xlfn.XLOOKUP(frasest[[#This Row],[autor_es]],autorest[autor_es],autorest[codigo])</f>
        <v>en</v>
      </c>
      <c r="J627" t="str">
        <f>_xlfn.XLOOKUP(frasest[[#This Row],[autor_es]],autorest[autor_es],autorest[idioma_es])</f>
        <v>Inglés</v>
      </c>
      <c r="K627" s="6" t="str">
        <f>_xlfn.XLOOKUP(frasest[[#This Row],[autor_es]],autorest[autor_es],autorest[idioma_la])</f>
        <v>Lingua Anglica</v>
      </c>
      <c r="L627" s="6" t="str">
        <f>_xlfn.XLOOKUP(frasest[[#This Row],[autor_es]],autorest[autor_es],autorest[nacion_es])</f>
        <v>Estados Unidos</v>
      </c>
      <c r="M627" t="str">
        <f>_xlfn.XLOOKUP(frasest[[#This Row],[autor_es]],autorest[autor_es],autorest[nacion_la])</f>
        <v>Civitates Foederatae Americae</v>
      </c>
      <c r="N627" t="str">
        <f>_xlfn.XLOOKUP(frasest[[#This Row],[autor_es]],autorest[autor_es],autorest[epoca_es])</f>
        <v>Edad Contemporánea</v>
      </c>
      <c r="O627" t="str">
        <f>_xlfn.XLOOKUP(frasest[[#This Row],[autor_es]],autorest[autor_es],autorest[epoca_la])</f>
        <v>Aetas Contemporanea</v>
      </c>
    </row>
    <row r="628" spans="1:15">
      <c r="A628">
        <v>627</v>
      </c>
      <c r="B628" t="s">
        <v>1740</v>
      </c>
      <c r="C628" t="s">
        <v>1741</v>
      </c>
      <c r="D628" t="s">
        <v>1742</v>
      </c>
      <c r="E628" t="s">
        <v>1733</v>
      </c>
      <c r="F628" t="str">
        <f>_xlfn.XLOOKUP(frasest[[#This Row],[autor_es]],autorest[autor_es],autorest[autor_la])</f>
        <v>Iosephus D. Novak</v>
      </c>
      <c r="G628"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8"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8" t="str">
        <f>_xlfn.XLOOKUP(frasest[[#This Row],[autor_es]],autorest[autor_es],autorest[codigo])</f>
        <v>en</v>
      </c>
      <c r="J628" t="str">
        <f>_xlfn.XLOOKUP(frasest[[#This Row],[autor_es]],autorest[autor_es],autorest[idioma_es])</f>
        <v>Inglés</v>
      </c>
      <c r="K628" s="6" t="str">
        <f>_xlfn.XLOOKUP(frasest[[#This Row],[autor_es]],autorest[autor_es],autorest[idioma_la])</f>
        <v>Lingua Anglica</v>
      </c>
      <c r="L628" s="6" t="str">
        <f>_xlfn.XLOOKUP(frasest[[#This Row],[autor_es]],autorest[autor_es],autorest[nacion_es])</f>
        <v>Estados Unidos</v>
      </c>
      <c r="M628" t="str">
        <f>_xlfn.XLOOKUP(frasest[[#This Row],[autor_es]],autorest[autor_es],autorest[nacion_la])</f>
        <v>Civitates Foederatae Americae</v>
      </c>
      <c r="N628" t="str">
        <f>_xlfn.XLOOKUP(frasest[[#This Row],[autor_es]],autorest[autor_es],autorest[epoca_es])</f>
        <v>Edad Contemporánea</v>
      </c>
      <c r="O628" t="str">
        <f>_xlfn.XLOOKUP(frasest[[#This Row],[autor_es]],autorest[autor_es],autorest[epoca_la])</f>
        <v>Aetas Contemporanea</v>
      </c>
    </row>
    <row r="629" spans="1:15">
      <c r="A629">
        <v>628</v>
      </c>
      <c r="B629" t="s">
        <v>1743</v>
      </c>
      <c r="C629" t="s">
        <v>1744</v>
      </c>
      <c r="D629" t="s">
        <v>1745</v>
      </c>
      <c r="E629" t="s">
        <v>1733</v>
      </c>
      <c r="F629" t="str">
        <f>_xlfn.XLOOKUP(frasest[[#This Row],[autor_es]],autorest[autor_es],autorest[autor_la])</f>
        <v>Iosephus D. Novak</v>
      </c>
      <c r="G629"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9"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9" t="str">
        <f>_xlfn.XLOOKUP(frasest[[#This Row],[autor_es]],autorest[autor_es],autorest[codigo])</f>
        <v>en</v>
      </c>
      <c r="J629" t="str">
        <f>_xlfn.XLOOKUP(frasest[[#This Row],[autor_es]],autorest[autor_es],autorest[idioma_es])</f>
        <v>Inglés</v>
      </c>
      <c r="K629" s="6" t="str">
        <f>_xlfn.XLOOKUP(frasest[[#This Row],[autor_es]],autorest[autor_es],autorest[idioma_la])</f>
        <v>Lingua Anglica</v>
      </c>
      <c r="L629" s="6" t="str">
        <f>_xlfn.XLOOKUP(frasest[[#This Row],[autor_es]],autorest[autor_es],autorest[nacion_es])</f>
        <v>Estados Unidos</v>
      </c>
      <c r="M629" t="str">
        <f>_xlfn.XLOOKUP(frasest[[#This Row],[autor_es]],autorest[autor_es],autorest[nacion_la])</f>
        <v>Civitates Foederatae Americae</v>
      </c>
      <c r="N629" t="str">
        <f>_xlfn.XLOOKUP(frasest[[#This Row],[autor_es]],autorest[autor_es],autorest[epoca_es])</f>
        <v>Edad Contemporánea</v>
      </c>
      <c r="O629" t="str">
        <f>_xlfn.XLOOKUP(frasest[[#This Row],[autor_es]],autorest[autor_es],autorest[epoca_la])</f>
        <v>Aetas Contemporanea</v>
      </c>
    </row>
    <row r="630" spans="1:15">
      <c r="A630">
        <v>629</v>
      </c>
      <c r="B630" t="s">
        <v>1746</v>
      </c>
      <c r="C630" t="s">
        <v>1747</v>
      </c>
      <c r="D630" t="s">
        <v>1748</v>
      </c>
      <c r="E630" t="s">
        <v>1733</v>
      </c>
      <c r="F630" t="str">
        <f>_xlfn.XLOOKUP(frasest[[#This Row],[autor_es]],autorest[autor_es],autorest[autor_la])</f>
        <v>Iosephus D. Novak</v>
      </c>
      <c r="G630"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30"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30" t="str">
        <f>_xlfn.XLOOKUP(frasest[[#This Row],[autor_es]],autorest[autor_es],autorest[codigo])</f>
        <v>en</v>
      </c>
      <c r="J630" t="str">
        <f>_xlfn.XLOOKUP(frasest[[#This Row],[autor_es]],autorest[autor_es],autorest[idioma_es])</f>
        <v>Inglés</v>
      </c>
      <c r="K630" s="6" t="str">
        <f>_xlfn.XLOOKUP(frasest[[#This Row],[autor_es]],autorest[autor_es],autorest[idioma_la])</f>
        <v>Lingua Anglica</v>
      </c>
      <c r="L630" s="6" t="str">
        <f>_xlfn.XLOOKUP(frasest[[#This Row],[autor_es]],autorest[autor_es],autorest[nacion_es])</f>
        <v>Estados Unidos</v>
      </c>
      <c r="M630" t="str">
        <f>_xlfn.XLOOKUP(frasest[[#This Row],[autor_es]],autorest[autor_es],autorest[nacion_la])</f>
        <v>Civitates Foederatae Americae</v>
      </c>
      <c r="N630" t="str">
        <f>_xlfn.XLOOKUP(frasest[[#This Row],[autor_es]],autorest[autor_es],autorest[epoca_es])</f>
        <v>Edad Contemporánea</v>
      </c>
      <c r="O630" t="str">
        <f>_xlfn.XLOOKUP(frasest[[#This Row],[autor_es]],autorest[autor_es],autorest[epoca_la])</f>
        <v>Aetas Contemporanea</v>
      </c>
    </row>
    <row r="631" spans="1:15">
      <c r="A631">
        <v>630</v>
      </c>
      <c r="B631" t="s">
        <v>1749</v>
      </c>
      <c r="C631" t="s">
        <v>1750</v>
      </c>
      <c r="D631" t="s">
        <v>1751</v>
      </c>
      <c r="E631" t="s">
        <v>1752</v>
      </c>
      <c r="F631" t="str">
        <f>_xlfn.XLOOKUP(frasest[[#This Row],[autor_es]],autorest[autor_es],autorest[autor_la])</f>
        <v>David Paulus Ausubel</v>
      </c>
      <c r="G631"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1"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1" t="str">
        <f>_xlfn.XLOOKUP(frasest[[#This Row],[autor_es]],autorest[autor_es],autorest[codigo])</f>
        <v>en</v>
      </c>
      <c r="J631" t="str">
        <f>_xlfn.XLOOKUP(frasest[[#This Row],[autor_es]],autorest[autor_es],autorest[idioma_es])</f>
        <v>Inglés</v>
      </c>
      <c r="K631" s="6" t="str">
        <f>_xlfn.XLOOKUP(frasest[[#This Row],[autor_es]],autorest[autor_es],autorest[idioma_la])</f>
        <v>Lingua Anglica</v>
      </c>
      <c r="L631" s="6" t="str">
        <f>_xlfn.XLOOKUP(frasest[[#This Row],[autor_es]],autorest[autor_es],autorest[nacion_es])</f>
        <v>Estados Unidos</v>
      </c>
      <c r="M631" t="str">
        <f>_xlfn.XLOOKUP(frasest[[#This Row],[autor_es]],autorest[autor_es],autorest[nacion_la])</f>
        <v>Civitates Foederatae Americae</v>
      </c>
      <c r="N631" t="str">
        <f>_xlfn.XLOOKUP(frasest[[#This Row],[autor_es]],autorest[autor_es],autorest[epoca_es])</f>
        <v>Edad Contemporánea</v>
      </c>
      <c r="O631" t="str">
        <f>_xlfn.XLOOKUP(frasest[[#This Row],[autor_es]],autorest[autor_es],autorest[epoca_la])</f>
        <v>Aetas Contemporanea</v>
      </c>
    </row>
    <row r="632" spans="1:15">
      <c r="A632">
        <v>631</v>
      </c>
      <c r="B632" t="s">
        <v>1753</v>
      </c>
      <c r="C632" t="s">
        <v>1754</v>
      </c>
      <c r="D632" t="s">
        <v>1755</v>
      </c>
      <c r="E632" t="s">
        <v>1752</v>
      </c>
      <c r="F632" t="str">
        <f>_xlfn.XLOOKUP(frasest[[#This Row],[autor_es]],autorest[autor_es],autorest[autor_la])</f>
        <v>David Paulus Ausubel</v>
      </c>
      <c r="G632"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2"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2" t="str">
        <f>_xlfn.XLOOKUP(frasest[[#This Row],[autor_es]],autorest[autor_es],autorest[codigo])</f>
        <v>en</v>
      </c>
      <c r="J632" t="str">
        <f>_xlfn.XLOOKUP(frasest[[#This Row],[autor_es]],autorest[autor_es],autorest[idioma_es])</f>
        <v>Inglés</v>
      </c>
      <c r="K632" s="6" t="str">
        <f>_xlfn.XLOOKUP(frasest[[#This Row],[autor_es]],autorest[autor_es],autorest[idioma_la])</f>
        <v>Lingua Anglica</v>
      </c>
      <c r="L632" s="6" t="str">
        <f>_xlfn.XLOOKUP(frasest[[#This Row],[autor_es]],autorest[autor_es],autorest[nacion_es])</f>
        <v>Estados Unidos</v>
      </c>
      <c r="M632" t="str">
        <f>_xlfn.XLOOKUP(frasest[[#This Row],[autor_es]],autorest[autor_es],autorest[nacion_la])</f>
        <v>Civitates Foederatae Americae</v>
      </c>
      <c r="N632" t="str">
        <f>_xlfn.XLOOKUP(frasest[[#This Row],[autor_es]],autorest[autor_es],autorest[epoca_es])</f>
        <v>Edad Contemporánea</v>
      </c>
      <c r="O632" t="str">
        <f>_xlfn.XLOOKUP(frasest[[#This Row],[autor_es]],autorest[autor_es],autorest[epoca_la])</f>
        <v>Aetas Contemporanea</v>
      </c>
    </row>
    <row r="633" spans="1:15">
      <c r="A633">
        <v>632</v>
      </c>
      <c r="B633" t="s">
        <v>1756</v>
      </c>
      <c r="C633" t="s">
        <v>1757</v>
      </c>
      <c r="D633" t="s">
        <v>1758</v>
      </c>
      <c r="E633" t="s">
        <v>1752</v>
      </c>
      <c r="F633" t="str">
        <f>_xlfn.XLOOKUP(frasest[[#This Row],[autor_es]],autorest[autor_es],autorest[autor_la])</f>
        <v>David Paulus Ausubel</v>
      </c>
      <c r="G633"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3"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3" t="str">
        <f>_xlfn.XLOOKUP(frasest[[#This Row],[autor_es]],autorest[autor_es],autorest[codigo])</f>
        <v>en</v>
      </c>
      <c r="J633" t="str">
        <f>_xlfn.XLOOKUP(frasest[[#This Row],[autor_es]],autorest[autor_es],autorest[idioma_es])</f>
        <v>Inglés</v>
      </c>
      <c r="K633" s="6" t="str">
        <f>_xlfn.XLOOKUP(frasest[[#This Row],[autor_es]],autorest[autor_es],autorest[idioma_la])</f>
        <v>Lingua Anglica</v>
      </c>
      <c r="L633" s="6" t="str">
        <f>_xlfn.XLOOKUP(frasest[[#This Row],[autor_es]],autorest[autor_es],autorest[nacion_es])</f>
        <v>Estados Unidos</v>
      </c>
      <c r="M633" t="str">
        <f>_xlfn.XLOOKUP(frasest[[#This Row],[autor_es]],autorest[autor_es],autorest[nacion_la])</f>
        <v>Civitates Foederatae Americae</v>
      </c>
      <c r="N633" t="str">
        <f>_xlfn.XLOOKUP(frasest[[#This Row],[autor_es]],autorest[autor_es],autorest[epoca_es])</f>
        <v>Edad Contemporánea</v>
      </c>
      <c r="O633" t="str">
        <f>_xlfn.XLOOKUP(frasest[[#This Row],[autor_es]],autorest[autor_es],autorest[epoca_la])</f>
        <v>Aetas Contemporanea</v>
      </c>
    </row>
    <row r="634" spans="1:15">
      <c r="A634">
        <v>633</v>
      </c>
      <c r="B634" t="s">
        <v>1759</v>
      </c>
      <c r="C634" t="s">
        <v>1760</v>
      </c>
      <c r="D634" t="s">
        <v>1761</v>
      </c>
      <c r="E634" t="s">
        <v>1752</v>
      </c>
      <c r="F634" t="str">
        <f>_xlfn.XLOOKUP(frasest[[#This Row],[autor_es]],autorest[autor_es],autorest[autor_la])</f>
        <v>David Paulus Ausubel</v>
      </c>
      <c r="G634"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4"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4" t="str">
        <f>_xlfn.XLOOKUP(frasest[[#This Row],[autor_es]],autorest[autor_es],autorest[codigo])</f>
        <v>en</v>
      </c>
      <c r="J634" t="str">
        <f>_xlfn.XLOOKUP(frasest[[#This Row],[autor_es]],autorest[autor_es],autorest[idioma_es])</f>
        <v>Inglés</v>
      </c>
      <c r="K634" s="6" t="str">
        <f>_xlfn.XLOOKUP(frasest[[#This Row],[autor_es]],autorest[autor_es],autorest[idioma_la])</f>
        <v>Lingua Anglica</v>
      </c>
      <c r="L634" s="6" t="str">
        <f>_xlfn.XLOOKUP(frasest[[#This Row],[autor_es]],autorest[autor_es],autorest[nacion_es])</f>
        <v>Estados Unidos</v>
      </c>
      <c r="M634" t="str">
        <f>_xlfn.XLOOKUP(frasest[[#This Row],[autor_es]],autorest[autor_es],autorest[nacion_la])</f>
        <v>Civitates Foederatae Americae</v>
      </c>
      <c r="N634" t="str">
        <f>_xlfn.XLOOKUP(frasest[[#This Row],[autor_es]],autorest[autor_es],autorest[epoca_es])</f>
        <v>Edad Contemporánea</v>
      </c>
      <c r="O634" t="str">
        <f>_xlfn.XLOOKUP(frasest[[#This Row],[autor_es]],autorest[autor_es],autorest[epoca_la])</f>
        <v>Aetas Contemporanea</v>
      </c>
    </row>
    <row r="635" spans="1:15">
      <c r="A635">
        <v>634</v>
      </c>
      <c r="B635" t="s">
        <v>1762</v>
      </c>
      <c r="C635" t="s">
        <v>1763</v>
      </c>
      <c r="D635" t="s">
        <v>1764</v>
      </c>
      <c r="E635" t="s">
        <v>1752</v>
      </c>
      <c r="F635" t="str">
        <f>_xlfn.XLOOKUP(frasest[[#This Row],[autor_es]],autorest[autor_es],autorest[autor_la])</f>
        <v>David Paulus Ausubel</v>
      </c>
      <c r="G635"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5"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5" t="str">
        <f>_xlfn.XLOOKUP(frasest[[#This Row],[autor_es]],autorest[autor_es],autorest[codigo])</f>
        <v>en</v>
      </c>
      <c r="J635" t="str">
        <f>_xlfn.XLOOKUP(frasest[[#This Row],[autor_es]],autorest[autor_es],autorest[idioma_es])</f>
        <v>Inglés</v>
      </c>
      <c r="K635" s="6" t="str">
        <f>_xlfn.XLOOKUP(frasest[[#This Row],[autor_es]],autorest[autor_es],autorest[idioma_la])</f>
        <v>Lingua Anglica</v>
      </c>
      <c r="L635" s="6" t="str">
        <f>_xlfn.XLOOKUP(frasest[[#This Row],[autor_es]],autorest[autor_es],autorest[nacion_es])</f>
        <v>Estados Unidos</v>
      </c>
      <c r="M635" t="str">
        <f>_xlfn.XLOOKUP(frasest[[#This Row],[autor_es]],autorest[autor_es],autorest[nacion_la])</f>
        <v>Civitates Foederatae Americae</v>
      </c>
      <c r="N635" t="str">
        <f>_xlfn.XLOOKUP(frasest[[#This Row],[autor_es]],autorest[autor_es],autorest[epoca_es])</f>
        <v>Edad Contemporánea</v>
      </c>
      <c r="O635" t="str">
        <f>_xlfn.XLOOKUP(frasest[[#This Row],[autor_es]],autorest[autor_es],autorest[epoca_la])</f>
        <v>Aetas Contemporanea</v>
      </c>
    </row>
    <row r="636" spans="1:15">
      <c r="A636">
        <v>635</v>
      </c>
      <c r="B636" t="s">
        <v>1765</v>
      </c>
      <c r="C636" t="s">
        <v>1766</v>
      </c>
      <c r="D636" t="s">
        <v>1767</v>
      </c>
      <c r="E636" t="s">
        <v>1752</v>
      </c>
      <c r="F636" t="str">
        <f>_xlfn.XLOOKUP(frasest[[#This Row],[autor_es]],autorest[autor_es],autorest[autor_la])</f>
        <v>David Paulus Ausubel</v>
      </c>
      <c r="G636"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6"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6" t="str">
        <f>_xlfn.XLOOKUP(frasest[[#This Row],[autor_es]],autorest[autor_es],autorest[codigo])</f>
        <v>en</v>
      </c>
      <c r="J636" t="str">
        <f>_xlfn.XLOOKUP(frasest[[#This Row],[autor_es]],autorest[autor_es],autorest[idioma_es])</f>
        <v>Inglés</v>
      </c>
      <c r="K636" s="6" t="str">
        <f>_xlfn.XLOOKUP(frasest[[#This Row],[autor_es]],autorest[autor_es],autorest[idioma_la])</f>
        <v>Lingua Anglica</v>
      </c>
      <c r="L636" s="6" t="str">
        <f>_xlfn.XLOOKUP(frasest[[#This Row],[autor_es]],autorest[autor_es],autorest[nacion_es])</f>
        <v>Estados Unidos</v>
      </c>
      <c r="M636" t="str">
        <f>_xlfn.XLOOKUP(frasest[[#This Row],[autor_es]],autorest[autor_es],autorest[nacion_la])</f>
        <v>Civitates Foederatae Americae</v>
      </c>
      <c r="N636" t="str">
        <f>_xlfn.XLOOKUP(frasest[[#This Row],[autor_es]],autorest[autor_es],autorest[epoca_es])</f>
        <v>Edad Contemporánea</v>
      </c>
      <c r="O636" t="str">
        <f>_xlfn.XLOOKUP(frasest[[#This Row],[autor_es]],autorest[autor_es],autorest[epoca_la])</f>
        <v>Aetas Contemporanea</v>
      </c>
    </row>
    <row r="637" spans="1:15">
      <c r="A637">
        <v>636</v>
      </c>
      <c r="B637" t="s">
        <v>1768</v>
      </c>
      <c r="C637" t="s">
        <v>1769</v>
      </c>
      <c r="D637" t="s">
        <v>1770</v>
      </c>
      <c r="E637" t="s">
        <v>1752</v>
      </c>
      <c r="F637" t="str">
        <f>_xlfn.XLOOKUP(frasest[[#This Row],[autor_es]],autorest[autor_es],autorest[autor_la])</f>
        <v>David Paulus Ausubel</v>
      </c>
      <c r="G637"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7"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7" t="str">
        <f>_xlfn.XLOOKUP(frasest[[#This Row],[autor_es]],autorest[autor_es],autorest[codigo])</f>
        <v>en</v>
      </c>
      <c r="J637" t="str">
        <f>_xlfn.XLOOKUP(frasest[[#This Row],[autor_es]],autorest[autor_es],autorest[idioma_es])</f>
        <v>Inglés</v>
      </c>
      <c r="K637" s="6" t="str">
        <f>_xlfn.XLOOKUP(frasest[[#This Row],[autor_es]],autorest[autor_es],autorest[idioma_la])</f>
        <v>Lingua Anglica</v>
      </c>
      <c r="L637" s="6" t="str">
        <f>_xlfn.XLOOKUP(frasest[[#This Row],[autor_es]],autorest[autor_es],autorest[nacion_es])</f>
        <v>Estados Unidos</v>
      </c>
      <c r="M637" t="str">
        <f>_xlfn.XLOOKUP(frasest[[#This Row],[autor_es]],autorest[autor_es],autorest[nacion_la])</f>
        <v>Civitates Foederatae Americae</v>
      </c>
      <c r="N637" t="str">
        <f>_xlfn.XLOOKUP(frasest[[#This Row],[autor_es]],autorest[autor_es],autorest[epoca_es])</f>
        <v>Edad Contemporánea</v>
      </c>
      <c r="O637" t="str">
        <f>_xlfn.XLOOKUP(frasest[[#This Row],[autor_es]],autorest[autor_es],autorest[epoca_la])</f>
        <v>Aetas Contemporanea</v>
      </c>
    </row>
    <row r="638" spans="1:15">
      <c r="A638">
        <v>637</v>
      </c>
      <c r="B638" t="s">
        <v>1771</v>
      </c>
      <c r="C638" t="s">
        <v>1772</v>
      </c>
      <c r="D638" t="s">
        <v>1771</v>
      </c>
      <c r="E638" t="s">
        <v>1773</v>
      </c>
      <c r="F638" t="str">
        <f>_xlfn.XLOOKUP(frasest[[#This Row],[autor_es]],autorest[autor_es],autorest[autor_la])</f>
        <v>Proverbium Africanum</v>
      </c>
      <c r="G638"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38"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38" t="e">
        <f>_xlfn.XLOOKUP(frasest[[#This Row],[autor_es]],autorest[autor_es],autorest[codigo])</f>
        <v>#N/A</v>
      </c>
      <c r="J638">
        <f>_xlfn.XLOOKUP(frasest[[#This Row],[autor_es]],autorest[autor_es],autorest[idioma_es])</f>
        <v>0</v>
      </c>
      <c r="K638" s="6" t="e">
        <f>_xlfn.XLOOKUP(frasest[[#This Row],[autor_es]],autorest[autor_es],autorest[idioma_la])</f>
        <v>#N/A</v>
      </c>
      <c r="L638" s="6">
        <f>_xlfn.XLOOKUP(frasest[[#This Row],[autor_es]],autorest[autor_es],autorest[nacion_es])</f>
        <v>0</v>
      </c>
      <c r="M638" t="e">
        <f>_xlfn.XLOOKUP(frasest[[#This Row],[autor_es]],autorest[autor_es],autorest[nacion_la])</f>
        <v>#N/A</v>
      </c>
      <c r="N638" t="str">
        <f>_xlfn.XLOOKUP(frasest[[#This Row],[autor_es]],autorest[autor_es],autorest[epoca_es])</f>
        <v>Epoca Desconocida</v>
      </c>
      <c r="O638" t="str">
        <f>_xlfn.XLOOKUP(frasest[[#This Row],[autor_es]],autorest[autor_es],autorest[epoca_la])</f>
        <v>Epocha Ignota</v>
      </c>
    </row>
    <row r="639" spans="1:15">
      <c r="A639">
        <v>638</v>
      </c>
      <c r="B639" t="s">
        <v>1774</v>
      </c>
      <c r="C639" t="s">
        <v>1775</v>
      </c>
      <c r="D639" t="s">
        <v>1776</v>
      </c>
      <c r="E639" t="s">
        <v>1777</v>
      </c>
      <c r="F639" t="str">
        <f>_xlfn.XLOOKUP(frasest[[#This Row],[autor_es]],autorest[autor_es],autorest[autor_la])</f>
        <v>Proverbium Iudaicum</v>
      </c>
      <c r="G639"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39"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39" t="str">
        <f>_xlfn.XLOOKUP(frasest[[#This Row],[autor_es]],autorest[autor_es],autorest[codigo])</f>
        <v>he</v>
      </c>
      <c r="J639" t="str">
        <f>_xlfn.XLOOKUP(frasest[[#This Row],[autor_es]],autorest[autor_es],autorest[idioma_es])</f>
        <v>Hebreo</v>
      </c>
      <c r="K639" s="6" t="str">
        <f>_xlfn.XLOOKUP(frasest[[#This Row],[autor_es]],autorest[autor_es],autorest[idioma_la])</f>
        <v>Lingua Hebraica</v>
      </c>
      <c r="L639" s="6" t="str">
        <f>_xlfn.XLOOKUP(frasest[[#This Row],[autor_es]],autorest[autor_es],autorest[nacion_es])</f>
        <v>Israel</v>
      </c>
      <c r="M639" t="str">
        <f>_xlfn.XLOOKUP(frasest[[#This Row],[autor_es]],autorest[autor_es],autorest[nacion_la])</f>
        <v>Israel</v>
      </c>
      <c r="N639" t="str">
        <f>_xlfn.XLOOKUP(frasest[[#This Row],[autor_es]],autorest[autor_es],autorest[epoca_es])</f>
        <v>Epoca Desconocida</v>
      </c>
      <c r="O639" t="str">
        <f>_xlfn.XLOOKUP(frasest[[#This Row],[autor_es]],autorest[autor_es],autorest[epoca_la])</f>
        <v>Epocha Ignota</v>
      </c>
    </row>
    <row r="640" spans="1:15">
      <c r="A640">
        <v>639</v>
      </c>
      <c r="B640" t="s">
        <v>1778</v>
      </c>
      <c r="C640" t="s">
        <v>1779</v>
      </c>
      <c r="D640" t="s">
        <v>1780</v>
      </c>
      <c r="E640" t="s">
        <v>1777</v>
      </c>
      <c r="F640" t="str">
        <f>_xlfn.XLOOKUP(frasest[[#This Row],[autor_es]],autorest[autor_es],autorest[autor_la])</f>
        <v>Proverbium Iudaicum</v>
      </c>
      <c r="G640"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0"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0" t="str">
        <f>_xlfn.XLOOKUP(frasest[[#This Row],[autor_es]],autorest[autor_es],autorest[codigo])</f>
        <v>he</v>
      </c>
      <c r="J640" t="str">
        <f>_xlfn.XLOOKUP(frasest[[#This Row],[autor_es]],autorest[autor_es],autorest[idioma_es])</f>
        <v>Hebreo</v>
      </c>
      <c r="K640" s="6" t="str">
        <f>_xlfn.XLOOKUP(frasest[[#This Row],[autor_es]],autorest[autor_es],autorest[idioma_la])</f>
        <v>Lingua Hebraica</v>
      </c>
      <c r="L640" s="6" t="str">
        <f>_xlfn.XLOOKUP(frasest[[#This Row],[autor_es]],autorest[autor_es],autorest[nacion_es])</f>
        <v>Israel</v>
      </c>
      <c r="M640" t="str">
        <f>_xlfn.XLOOKUP(frasest[[#This Row],[autor_es]],autorest[autor_es],autorest[nacion_la])</f>
        <v>Israel</v>
      </c>
      <c r="N640" t="str">
        <f>_xlfn.XLOOKUP(frasest[[#This Row],[autor_es]],autorest[autor_es],autorest[epoca_es])</f>
        <v>Epoca Desconocida</v>
      </c>
      <c r="O640" t="str">
        <f>_xlfn.XLOOKUP(frasest[[#This Row],[autor_es]],autorest[autor_es],autorest[epoca_la])</f>
        <v>Epocha Ignota</v>
      </c>
    </row>
    <row r="641" spans="1:15">
      <c r="A641">
        <v>640</v>
      </c>
      <c r="B641" t="s">
        <v>1781</v>
      </c>
      <c r="C641" t="s">
        <v>1782</v>
      </c>
      <c r="D641" t="s">
        <v>1781</v>
      </c>
      <c r="E641" t="s">
        <v>1773</v>
      </c>
      <c r="F641" t="str">
        <f>_xlfn.XLOOKUP(frasest[[#This Row],[autor_es]],autorest[autor_es],autorest[autor_la])</f>
        <v>Proverbium Africanum</v>
      </c>
      <c r="G641"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1"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1" t="e">
        <f>_xlfn.XLOOKUP(frasest[[#This Row],[autor_es]],autorest[autor_es],autorest[codigo])</f>
        <v>#N/A</v>
      </c>
      <c r="J641">
        <f>_xlfn.XLOOKUP(frasest[[#This Row],[autor_es]],autorest[autor_es],autorest[idioma_es])</f>
        <v>0</v>
      </c>
      <c r="K641" s="6" t="e">
        <f>_xlfn.XLOOKUP(frasest[[#This Row],[autor_es]],autorest[autor_es],autorest[idioma_la])</f>
        <v>#N/A</v>
      </c>
      <c r="L641" s="6">
        <f>_xlfn.XLOOKUP(frasest[[#This Row],[autor_es]],autorest[autor_es],autorest[nacion_es])</f>
        <v>0</v>
      </c>
      <c r="M641" t="e">
        <f>_xlfn.XLOOKUP(frasest[[#This Row],[autor_es]],autorest[autor_es],autorest[nacion_la])</f>
        <v>#N/A</v>
      </c>
      <c r="N641" t="str">
        <f>_xlfn.XLOOKUP(frasest[[#This Row],[autor_es]],autorest[autor_es],autorest[epoca_es])</f>
        <v>Epoca Desconocida</v>
      </c>
      <c r="O641" t="str">
        <f>_xlfn.XLOOKUP(frasest[[#This Row],[autor_es]],autorest[autor_es],autorest[epoca_la])</f>
        <v>Epocha Ignota</v>
      </c>
    </row>
    <row r="642" spans="1:15">
      <c r="A642">
        <v>641</v>
      </c>
      <c r="B642" t="s">
        <v>1783</v>
      </c>
      <c r="C642" t="s">
        <v>1784</v>
      </c>
      <c r="D642" t="s">
        <v>1783</v>
      </c>
      <c r="E642" t="s">
        <v>1773</v>
      </c>
      <c r="F642" t="str">
        <f>_xlfn.XLOOKUP(frasest[[#This Row],[autor_es]],autorest[autor_es],autorest[autor_la])</f>
        <v>Proverbium Africanum</v>
      </c>
      <c r="G642"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2"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2" t="e">
        <f>_xlfn.XLOOKUP(frasest[[#This Row],[autor_es]],autorest[autor_es],autorest[codigo])</f>
        <v>#N/A</v>
      </c>
      <c r="J642">
        <f>_xlfn.XLOOKUP(frasest[[#This Row],[autor_es]],autorest[autor_es],autorest[idioma_es])</f>
        <v>0</v>
      </c>
      <c r="K642" s="6" t="e">
        <f>_xlfn.XLOOKUP(frasest[[#This Row],[autor_es]],autorest[autor_es],autorest[idioma_la])</f>
        <v>#N/A</v>
      </c>
      <c r="L642" s="6">
        <f>_xlfn.XLOOKUP(frasest[[#This Row],[autor_es]],autorest[autor_es],autorest[nacion_es])</f>
        <v>0</v>
      </c>
      <c r="M642" t="e">
        <f>_xlfn.XLOOKUP(frasest[[#This Row],[autor_es]],autorest[autor_es],autorest[nacion_la])</f>
        <v>#N/A</v>
      </c>
      <c r="N642" t="str">
        <f>_xlfn.XLOOKUP(frasest[[#This Row],[autor_es]],autorest[autor_es],autorest[epoca_es])</f>
        <v>Epoca Desconocida</v>
      </c>
      <c r="O642" t="str">
        <f>_xlfn.XLOOKUP(frasest[[#This Row],[autor_es]],autorest[autor_es],autorest[epoca_la])</f>
        <v>Epocha Ignota</v>
      </c>
    </row>
    <row r="643" spans="1:15">
      <c r="A643">
        <v>642</v>
      </c>
      <c r="B643" t="s">
        <v>1785</v>
      </c>
      <c r="C643" t="s">
        <v>1786</v>
      </c>
      <c r="D643" t="s">
        <v>1785</v>
      </c>
      <c r="E643" t="s">
        <v>1773</v>
      </c>
      <c r="F643" t="str">
        <f>_xlfn.XLOOKUP(frasest[[#This Row],[autor_es]],autorest[autor_es],autorest[autor_la])</f>
        <v>Proverbium Africanum</v>
      </c>
      <c r="G643"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3"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3" t="e">
        <f>_xlfn.XLOOKUP(frasest[[#This Row],[autor_es]],autorest[autor_es],autorest[codigo])</f>
        <v>#N/A</v>
      </c>
      <c r="J643">
        <f>_xlfn.XLOOKUP(frasest[[#This Row],[autor_es]],autorest[autor_es],autorest[idioma_es])</f>
        <v>0</v>
      </c>
      <c r="K643" s="6" t="e">
        <f>_xlfn.XLOOKUP(frasest[[#This Row],[autor_es]],autorest[autor_es],autorest[idioma_la])</f>
        <v>#N/A</v>
      </c>
      <c r="L643" s="6">
        <f>_xlfn.XLOOKUP(frasest[[#This Row],[autor_es]],autorest[autor_es],autorest[nacion_es])</f>
        <v>0</v>
      </c>
      <c r="M643" t="e">
        <f>_xlfn.XLOOKUP(frasest[[#This Row],[autor_es]],autorest[autor_es],autorest[nacion_la])</f>
        <v>#N/A</v>
      </c>
      <c r="N643" t="str">
        <f>_xlfn.XLOOKUP(frasest[[#This Row],[autor_es]],autorest[autor_es],autorest[epoca_es])</f>
        <v>Epoca Desconocida</v>
      </c>
      <c r="O643" t="str">
        <f>_xlfn.XLOOKUP(frasest[[#This Row],[autor_es]],autorest[autor_es],autorest[epoca_la])</f>
        <v>Epocha Ignota</v>
      </c>
    </row>
    <row r="644" spans="1:15">
      <c r="A644">
        <v>643</v>
      </c>
      <c r="B644" t="s">
        <v>1787</v>
      </c>
      <c r="C644" t="s">
        <v>1788</v>
      </c>
      <c r="D644" t="s">
        <v>1787</v>
      </c>
      <c r="E644" t="s">
        <v>1773</v>
      </c>
      <c r="F644" t="str">
        <f>_xlfn.XLOOKUP(frasest[[#This Row],[autor_es]],autorest[autor_es],autorest[autor_la])</f>
        <v>Proverbium Africanum</v>
      </c>
      <c r="G644"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4"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4" t="e">
        <f>_xlfn.XLOOKUP(frasest[[#This Row],[autor_es]],autorest[autor_es],autorest[codigo])</f>
        <v>#N/A</v>
      </c>
      <c r="J644">
        <f>_xlfn.XLOOKUP(frasest[[#This Row],[autor_es]],autorest[autor_es],autorest[idioma_es])</f>
        <v>0</v>
      </c>
      <c r="K644" s="6" t="e">
        <f>_xlfn.XLOOKUP(frasest[[#This Row],[autor_es]],autorest[autor_es],autorest[idioma_la])</f>
        <v>#N/A</v>
      </c>
      <c r="L644" s="6">
        <f>_xlfn.XLOOKUP(frasest[[#This Row],[autor_es]],autorest[autor_es],autorest[nacion_es])</f>
        <v>0</v>
      </c>
      <c r="M644" t="e">
        <f>_xlfn.XLOOKUP(frasest[[#This Row],[autor_es]],autorest[autor_es],autorest[nacion_la])</f>
        <v>#N/A</v>
      </c>
      <c r="N644" t="str">
        <f>_xlfn.XLOOKUP(frasest[[#This Row],[autor_es]],autorest[autor_es],autorest[epoca_es])</f>
        <v>Epoca Desconocida</v>
      </c>
      <c r="O644" t="str">
        <f>_xlfn.XLOOKUP(frasest[[#This Row],[autor_es]],autorest[autor_es],autorest[epoca_la])</f>
        <v>Epocha Ignota</v>
      </c>
    </row>
    <row r="645" spans="1:15">
      <c r="A645">
        <v>644</v>
      </c>
      <c r="B645" t="s">
        <v>1789</v>
      </c>
      <c r="C645" t="s">
        <v>1790</v>
      </c>
      <c r="D645" t="s">
        <v>1789</v>
      </c>
      <c r="E645" t="s">
        <v>1773</v>
      </c>
      <c r="F645" t="str">
        <f>_xlfn.XLOOKUP(frasest[[#This Row],[autor_es]],autorest[autor_es],autorest[autor_la])</f>
        <v>Proverbium Africanum</v>
      </c>
      <c r="G645"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5"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5" t="e">
        <f>_xlfn.XLOOKUP(frasest[[#This Row],[autor_es]],autorest[autor_es],autorest[codigo])</f>
        <v>#N/A</v>
      </c>
      <c r="J645">
        <f>_xlfn.XLOOKUP(frasest[[#This Row],[autor_es]],autorest[autor_es],autorest[idioma_es])</f>
        <v>0</v>
      </c>
      <c r="K645" s="6" t="e">
        <f>_xlfn.XLOOKUP(frasest[[#This Row],[autor_es]],autorest[autor_es],autorest[idioma_la])</f>
        <v>#N/A</v>
      </c>
      <c r="L645" s="6">
        <f>_xlfn.XLOOKUP(frasest[[#This Row],[autor_es]],autorest[autor_es],autorest[nacion_es])</f>
        <v>0</v>
      </c>
      <c r="M645" t="e">
        <f>_xlfn.XLOOKUP(frasest[[#This Row],[autor_es]],autorest[autor_es],autorest[nacion_la])</f>
        <v>#N/A</v>
      </c>
      <c r="N645" t="str">
        <f>_xlfn.XLOOKUP(frasest[[#This Row],[autor_es]],autorest[autor_es],autorest[epoca_es])</f>
        <v>Epoca Desconocida</v>
      </c>
      <c r="O645" t="str">
        <f>_xlfn.XLOOKUP(frasest[[#This Row],[autor_es]],autorest[autor_es],autorest[epoca_la])</f>
        <v>Epocha Ignota</v>
      </c>
    </row>
    <row r="646" spans="1:15">
      <c r="A646">
        <v>645</v>
      </c>
      <c r="B646" t="s">
        <v>1791</v>
      </c>
      <c r="C646" t="s">
        <v>1792</v>
      </c>
      <c r="D646" t="s">
        <v>1791</v>
      </c>
      <c r="E646" t="s">
        <v>1773</v>
      </c>
      <c r="F646" t="str">
        <f>_xlfn.XLOOKUP(frasest[[#This Row],[autor_es]],autorest[autor_es],autorest[autor_la])</f>
        <v>Proverbium Africanum</v>
      </c>
      <c r="G646"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6"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6" t="e">
        <f>_xlfn.XLOOKUP(frasest[[#This Row],[autor_es]],autorest[autor_es],autorest[codigo])</f>
        <v>#N/A</v>
      </c>
      <c r="J646">
        <f>_xlfn.XLOOKUP(frasest[[#This Row],[autor_es]],autorest[autor_es],autorest[idioma_es])</f>
        <v>0</v>
      </c>
      <c r="K646" s="6" t="e">
        <f>_xlfn.XLOOKUP(frasest[[#This Row],[autor_es]],autorest[autor_es],autorest[idioma_la])</f>
        <v>#N/A</v>
      </c>
      <c r="L646" s="6">
        <f>_xlfn.XLOOKUP(frasest[[#This Row],[autor_es]],autorest[autor_es],autorest[nacion_es])</f>
        <v>0</v>
      </c>
      <c r="M646" t="e">
        <f>_xlfn.XLOOKUP(frasest[[#This Row],[autor_es]],autorest[autor_es],autorest[nacion_la])</f>
        <v>#N/A</v>
      </c>
      <c r="N646" t="str">
        <f>_xlfn.XLOOKUP(frasest[[#This Row],[autor_es]],autorest[autor_es],autorest[epoca_es])</f>
        <v>Epoca Desconocida</v>
      </c>
      <c r="O646" t="str">
        <f>_xlfn.XLOOKUP(frasest[[#This Row],[autor_es]],autorest[autor_es],autorest[epoca_la])</f>
        <v>Epocha Ignota</v>
      </c>
    </row>
    <row r="647" spans="1:15">
      <c r="A647">
        <v>646</v>
      </c>
      <c r="B647" t="s">
        <v>1793</v>
      </c>
      <c r="C647" t="s">
        <v>1794</v>
      </c>
      <c r="D647" t="s">
        <v>1793</v>
      </c>
      <c r="E647" t="s">
        <v>1773</v>
      </c>
      <c r="F647" t="str">
        <f>_xlfn.XLOOKUP(frasest[[#This Row],[autor_es]],autorest[autor_es],autorest[autor_la])</f>
        <v>Proverbium Africanum</v>
      </c>
      <c r="G647"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7"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7" t="e">
        <f>_xlfn.XLOOKUP(frasest[[#This Row],[autor_es]],autorest[autor_es],autorest[codigo])</f>
        <v>#N/A</v>
      </c>
      <c r="J647">
        <f>_xlfn.XLOOKUP(frasest[[#This Row],[autor_es]],autorest[autor_es],autorest[idioma_es])</f>
        <v>0</v>
      </c>
      <c r="K647" s="6" t="e">
        <f>_xlfn.XLOOKUP(frasest[[#This Row],[autor_es]],autorest[autor_es],autorest[idioma_la])</f>
        <v>#N/A</v>
      </c>
      <c r="L647" s="6">
        <f>_xlfn.XLOOKUP(frasest[[#This Row],[autor_es]],autorest[autor_es],autorest[nacion_es])</f>
        <v>0</v>
      </c>
      <c r="M647" t="e">
        <f>_xlfn.XLOOKUP(frasest[[#This Row],[autor_es]],autorest[autor_es],autorest[nacion_la])</f>
        <v>#N/A</v>
      </c>
      <c r="N647" t="str">
        <f>_xlfn.XLOOKUP(frasest[[#This Row],[autor_es]],autorest[autor_es],autorest[epoca_es])</f>
        <v>Epoca Desconocida</v>
      </c>
      <c r="O647" t="str">
        <f>_xlfn.XLOOKUP(frasest[[#This Row],[autor_es]],autorest[autor_es],autorest[epoca_la])</f>
        <v>Epocha Ignota</v>
      </c>
    </row>
    <row r="648" spans="1:15">
      <c r="A648">
        <v>647</v>
      </c>
      <c r="B648" t="s">
        <v>1795</v>
      </c>
      <c r="C648" t="s">
        <v>1796</v>
      </c>
      <c r="D648" t="s">
        <v>1795</v>
      </c>
      <c r="E648" t="s">
        <v>1773</v>
      </c>
      <c r="F648" t="str">
        <f>_xlfn.XLOOKUP(frasest[[#This Row],[autor_es]],autorest[autor_es],autorest[autor_la])</f>
        <v>Proverbium Africanum</v>
      </c>
      <c r="G648"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8"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8" t="e">
        <f>_xlfn.XLOOKUP(frasest[[#This Row],[autor_es]],autorest[autor_es],autorest[codigo])</f>
        <v>#N/A</v>
      </c>
      <c r="J648">
        <f>_xlfn.XLOOKUP(frasest[[#This Row],[autor_es]],autorest[autor_es],autorest[idioma_es])</f>
        <v>0</v>
      </c>
      <c r="K648" s="6" t="e">
        <f>_xlfn.XLOOKUP(frasest[[#This Row],[autor_es]],autorest[autor_es],autorest[idioma_la])</f>
        <v>#N/A</v>
      </c>
      <c r="L648" s="6">
        <f>_xlfn.XLOOKUP(frasest[[#This Row],[autor_es]],autorest[autor_es],autorest[nacion_es])</f>
        <v>0</v>
      </c>
      <c r="M648" t="e">
        <f>_xlfn.XLOOKUP(frasest[[#This Row],[autor_es]],autorest[autor_es],autorest[nacion_la])</f>
        <v>#N/A</v>
      </c>
      <c r="N648" t="str">
        <f>_xlfn.XLOOKUP(frasest[[#This Row],[autor_es]],autorest[autor_es],autorest[epoca_es])</f>
        <v>Epoca Desconocida</v>
      </c>
      <c r="O648" t="str">
        <f>_xlfn.XLOOKUP(frasest[[#This Row],[autor_es]],autorest[autor_es],autorest[epoca_la])</f>
        <v>Epocha Ignota</v>
      </c>
    </row>
    <row r="649" spans="1:15">
      <c r="A649">
        <v>648</v>
      </c>
      <c r="B649" t="s">
        <v>1797</v>
      </c>
      <c r="C649" t="s">
        <v>1798</v>
      </c>
      <c r="D649" t="s">
        <v>1799</v>
      </c>
      <c r="E649" t="s">
        <v>1777</v>
      </c>
      <c r="F649" t="str">
        <f>_xlfn.XLOOKUP(frasest[[#This Row],[autor_es]],autorest[autor_es],autorest[autor_la])</f>
        <v>Proverbium Iudaicum</v>
      </c>
      <c r="G649"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9"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9" t="str">
        <f>_xlfn.XLOOKUP(frasest[[#This Row],[autor_es]],autorest[autor_es],autorest[codigo])</f>
        <v>he</v>
      </c>
      <c r="J649" t="str">
        <f>_xlfn.XLOOKUP(frasest[[#This Row],[autor_es]],autorest[autor_es],autorest[idioma_es])</f>
        <v>Hebreo</v>
      </c>
      <c r="K649" s="6" t="str">
        <f>_xlfn.XLOOKUP(frasest[[#This Row],[autor_es]],autorest[autor_es],autorest[idioma_la])</f>
        <v>Lingua Hebraica</v>
      </c>
      <c r="L649" s="6" t="str">
        <f>_xlfn.XLOOKUP(frasest[[#This Row],[autor_es]],autorest[autor_es],autorest[nacion_es])</f>
        <v>Israel</v>
      </c>
      <c r="M649" t="str">
        <f>_xlfn.XLOOKUP(frasest[[#This Row],[autor_es]],autorest[autor_es],autorest[nacion_la])</f>
        <v>Israel</v>
      </c>
      <c r="N649" t="str">
        <f>_xlfn.XLOOKUP(frasest[[#This Row],[autor_es]],autorest[autor_es],autorest[epoca_es])</f>
        <v>Epoca Desconocida</v>
      </c>
      <c r="O649" t="str">
        <f>_xlfn.XLOOKUP(frasest[[#This Row],[autor_es]],autorest[autor_es],autorest[epoca_la])</f>
        <v>Epocha Ignota</v>
      </c>
    </row>
    <row r="650" spans="1:15">
      <c r="A650">
        <v>649</v>
      </c>
      <c r="B650" t="s">
        <v>1800</v>
      </c>
      <c r="C650" t="s">
        <v>1801</v>
      </c>
      <c r="D650" t="s">
        <v>1802</v>
      </c>
      <c r="E650" t="s">
        <v>1777</v>
      </c>
      <c r="F650" t="str">
        <f>_xlfn.XLOOKUP(frasest[[#This Row],[autor_es]],autorest[autor_es],autorest[autor_la])</f>
        <v>Proverbium Iudaicum</v>
      </c>
      <c r="G650"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0"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0" t="str">
        <f>_xlfn.XLOOKUP(frasest[[#This Row],[autor_es]],autorest[autor_es],autorest[codigo])</f>
        <v>he</v>
      </c>
      <c r="J650" t="str">
        <f>_xlfn.XLOOKUP(frasest[[#This Row],[autor_es]],autorest[autor_es],autorest[idioma_es])</f>
        <v>Hebreo</v>
      </c>
      <c r="K650" s="6" t="str">
        <f>_xlfn.XLOOKUP(frasest[[#This Row],[autor_es]],autorest[autor_es],autorest[idioma_la])</f>
        <v>Lingua Hebraica</v>
      </c>
      <c r="L650" s="6" t="str">
        <f>_xlfn.XLOOKUP(frasest[[#This Row],[autor_es]],autorest[autor_es],autorest[nacion_es])</f>
        <v>Israel</v>
      </c>
      <c r="M650" t="str">
        <f>_xlfn.XLOOKUP(frasest[[#This Row],[autor_es]],autorest[autor_es],autorest[nacion_la])</f>
        <v>Israel</v>
      </c>
      <c r="N650" t="str">
        <f>_xlfn.XLOOKUP(frasest[[#This Row],[autor_es]],autorest[autor_es],autorest[epoca_es])</f>
        <v>Epoca Desconocida</v>
      </c>
      <c r="O650" t="str">
        <f>_xlfn.XLOOKUP(frasest[[#This Row],[autor_es]],autorest[autor_es],autorest[epoca_la])</f>
        <v>Epocha Ignota</v>
      </c>
    </row>
    <row r="651" spans="1:15">
      <c r="A651">
        <v>650</v>
      </c>
      <c r="B651" t="s">
        <v>1803</v>
      </c>
      <c r="C651" t="s">
        <v>1804</v>
      </c>
      <c r="D651" t="s">
        <v>1805</v>
      </c>
      <c r="E651" t="s">
        <v>1777</v>
      </c>
      <c r="F651" t="str">
        <f>_xlfn.XLOOKUP(frasest[[#This Row],[autor_es]],autorest[autor_es],autorest[autor_la])</f>
        <v>Proverbium Iudaicum</v>
      </c>
      <c r="G651"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1"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1" t="str">
        <f>_xlfn.XLOOKUP(frasest[[#This Row],[autor_es]],autorest[autor_es],autorest[codigo])</f>
        <v>he</v>
      </c>
      <c r="J651" t="str">
        <f>_xlfn.XLOOKUP(frasest[[#This Row],[autor_es]],autorest[autor_es],autorest[idioma_es])</f>
        <v>Hebreo</v>
      </c>
      <c r="K651" s="6" t="str">
        <f>_xlfn.XLOOKUP(frasest[[#This Row],[autor_es]],autorest[autor_es],autorest[idioma_la])</f>
        <v>Lingua Hebraica</v>
      </c>
      <c r="L651" s="6" t="str">
        <f>_xlfn.XLOOKUP(frasest[[#This Row],[autor_es]],autorest[autor_es],autorest[nacion_es])</f>
        <v>Israel</v>
      </c>
      <c r="M651" t="str">
        <f>_xlfn.XLOOKUP(frasest[[#This Row],[autor_es]],autorest[autor_es],autorest[nacion_la])</f>
        <v>Israel</v>
      </c>
      <c r="N651" t="str">
        <f>_xlfn.XLOOKUP(frasest[[#This Row],[autor_es]],autorest[autor_es],autorest[epoca_es])</f>
        <v>Epoca Desconocida</v>
      </c>
      <c r="O651" t="str">
        <f>_xlfn.XLOOKUP(frasest[[#This Row],[autor_es]],autorest[autor_es],autorest[epoca_la])</f>
        <v>Epocha Ignota</v>
      </c>
    </row>
    <row r="652" spans="1:15">
      <c r="A652">
        <v>651</v>
      </c>
      <c r="B652" t="s">
        <v>1806</v>
      </c>
      <c r="C652" t="s">
        <v>1807</v>
      </c>
      <c r="D652" t="s">
        <v>1808</v>
      </c>
      <c r="E652" t="s">
        <v>1777</v>
      </c>
      <c r="F652" t="str">
        <f>_xlfn.XLOOKUP(frasest[[#This Row],[autor_es]],autorest[autor_es],autorest[autor_la])</f>
        <v>Proverbium Iudaicum</v>
      </c>
      <c r="G652"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2"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2" t="str">
        <f>_xlfn.XLOOKUP(frasest[[#This Row],[autor_es]],autorest[autor_es],autorest[codigo])</f>
        <v>he</v>
      </c>
      <c r="J652" t="str">
        <f>_xlfn.XLOOKUP(frasest[[#This Row],[autor_es]],autorest[autor_es],autorest[idioma_es])</f>
        <v>Hebreo</v>
      </c>
      <c r="K652" s="6" t="str">
        <f>_xlfn.XLOOKUP(frasest[[#This Row],[autor_es]],autorest[autor_es],autorest[idioma_la])</f>
        <v>Lingua Hebraica</v>
      </c>
      <c r="L652" s="6" t="str">
        <f>_xlfn.XLOOKUP(frasest[[#This Row],[autor_es]],autorest[autor_es],autorest[nacion_es])</f>
        <v>Israel</v>
      </c>
      <c r="M652" t="str">
        <f>_xlfn.XLOOKUP(frasest[[#This Row],[autor_es]],autorest[autor_es],autorest[nacion_la])</f>
        <v>Israel</v>
      </c>
      <c r="N652" t="str">
        <f>_xlfn.XLOOKUP(frasest[[#This Row],[autor_es]],autorest[autor_es],autorest[epoca_es])</f>
        <v>Epoca Desconocida</v>
      </c>
      <c r="O652" t="str">
        <f>_xlfn.XLOOKUP(frasest[[#This Row],[autor_es]],autorest[autor_es],autorest[epoca_la])</f>
        <v>Epocha Ignota</v>
      </c>
    </row>
    <row r="653" spans="1:15">
      <c r="A653">
        <v>652</v>
      </c>
      <c r="B653" t="s">
        <v>1809</v>
      </c>
      <c r="C653" t="s">
        <v>1810</v>
      </c>
      <c r="D653" t="s">
        <v>1811</v>
      </c>
      <c r="E653" t="s">
        <v>1777</v>
      </c>
      <c r="F653" t="str">
        <f>_xlfn.XLOOKUP(frasest[[#This Row],[autor_es]],autorest[autor_es],autorest[autor_la])</f>
        <v>Proverbium Iudaicum</v>
      </c>
      <c r="G653"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3"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3" t="str">
        <f>_xlfn.XLOOKUP(frasest[[#This Row],[autor_es]],autorest[autor_es],autorest[codigo])</f>
        <v>he</v>
      </c>
      <c r="J653" t="str">
        <f>_xlfn.XLOOKUP(frasest[[#This Row],[autor_es]],autorest[autor_es],autorest[idioma_es])</f>
        <v>Hebreo</v>
      </c>
      <c r="K653" s="6" t="str">
        <f>_xlfn.XLOOKUP(frasest[[#This Row],[autor_es]],autorest[autor_es],autorest[idioma_la])</f>
        <v>Lingua Hebraica</v>
      </c>
      <c r="L653" s="6" t="str">
        <f>_xlfn.XLOOKUP(frasest[[#This Row],[autor_es]],autorest[autor_es],autorest[nacion_es])</f>
        <v>Israel</v>
      </c>
      <c r="M653" t="str">
        <f>_xlfn.XLOOKUP(frasest[[#This Row],[autor_es]],autorest[autor_es],autorest[nacion_la])</f>
        <v>Israel</v>
      </c>
      <c r="N653" t="str">
        <f>_xlfn.XLOOKUP(frasest[[#This Row],[autor_es]],autorest[autor_es],autorest[epoca_es])</f>
        <v>Epoca Desconocida</v>
      </c>
      <c r="O653" t="str">
        <f>_xlfn.XLOOKUP(frasest[[#This Row],[autor_es]],autorest[autor_es],autorest[epoca_la])</f>
        <v>Epocha Ignota</v>
      </c>
    </row>
    <row r="654" spans="1:15">
      <c r="A654">
        <v>653</v>
      </c>
      <c r="B654" t="s">
        <v>1812</v>
      </c>
      <c r="C654" t="s">
        <v>1813</v>
      </c>
      <c r="D654" t="s">
        <v>1814</v>
      </c>
      <c r="E654" t="s">
        <v>1777</v>
      </c>
      <c r="F654" t="str">
        <f>_xlfn.XLOOKUP(frasest[[#This Row],[autor_es]],autorest[autor_es],autorest[autor_la])</f>
        <v>Proverbium Iudaicum</v>
      </c>
      <c r="G654"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4"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4" t="str">
        <f>_xlfn.XLOOKUP(frasest[[#This Row],[autor_es]],autorest[autor_es],autorest[codigo])</f>
        <v>he</v>
      </c>
      <c r="J654" t="str">
        <f>_xlfn.XLOOKUP(frasest[[#This Row],[autor_es]],autorest[autor_es],autorest[idioma_es])</f>
        <v>Hebreo</v>
      </c>
      <c r="K654" s="6" t="str">
        <f>_xlfn.XLOOKUP(frasest[[#This Row],[autor_es]],autorest[autor_es],autorest[idioma_la])</f>
        <v>Lingua Hebraica</v>
      </c>
      <c r="L654" s="6" t="str">
        <f>_xlfn.XLOOKUP(frasest[[#This Row],[autor_es]],autorest[autor_es],autorest[nacion_es])</f>
        <v>Israel</v>
      </c>
      <c r="M654" t="str">
        <f>_xlfn.XLOOKUP(frasest[[#This Row],[autor_es]],autorest[autor_es],autorest[nacion_la])</f>
        <v>Israel</v>
      </c>
      <c r="N654" t="str">
        <f>_xlfn.XLOOKUP(frasest[[#This Row],[autor_es]],autorest[autor_es],autorest[epoca_es])</f>
        <v>Epoca Desconocida</v>
      </c>
      <c r="O654" t="str">
        <f>_xlfn.XLOOKUP(frasest[[#This Row],[autor_es]],autorest[autor_es],autorest[epoca_la])</f>
        <v>Epocha Ignota</v>
      </c>
    </row>
    <row r="655" spans="1:15">
      <c r="A655">
        <v>654</v>
      </c>
      <c r="B655" t="s">
        <v>1815</v>
      </c>
      <c r="C655" t="s">
        <v>1816</v>
      </c>
      <c r="D655" t="s">
        <v>1817</v>
      </c>
      <c r="E655" t="s">
        <v>1777</v>
      </c>
      <c r="F655" t="str">
        <f>_xlfn.XLOOKUP(frasest[[#This Row],[autor_es]],autorest[autor_es],autorest[autor_la])</f>
        <v>Proverbium Iudaicum</v>
      </c>
      <c r="G655"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5"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5" t="str">
        <f>_xlfn.XLOOKUP(frasest[[#This Row],[autor_es]],autorest[autor_es],autorest[codigo])</f>
        <v>he</v>
      </c>
      <c r="J655" t="str">
        <f>_xlfn.XLOOKUP(frasest[[#This Row],[autor_es]],autorest[autor_es],autorest[idioma_es])</f>
        <v>Hebreo</v>
      </c>
      <c r="K655" s="6" t="str">
        <f>_xlfn.XLOOKUP(frasest[[#This Row],[autor_es]],autorest[autor_es],autorest[idioma_la])</f>
        <v>Lingua Hebraica</v>
      </c>
      <c r="L655" s="6" t="str">
        <f>_xlfn.XLOOKUP(frasest[[#This Row],[autor_es]],autorest[autor_es],autorest[nacion_es])</f>
        <v>Israel</v>
      </c>
      <c r="M655" t="str">
        <f>_xlfn.XLOOKUP(frasest[[#This Row],[autor_es]],autorest[autor_es],autorest[nacion_la])</f>
        <v>Israel</v>
      </c>
      <c r="N655" t="str">
        <f>_xlfn.XLOOKUP(frasest[[#This Row],[autor_es]],autorest[autor_es],autorest[epoca_es])</f>
        <v>Epoca Desconocida</v>
      </c>
      <c r="O655" t="str">
        <f>_xlfn.XLOOKUP(frasest[[#This Row],[autor_es]],autorest[autor_es],autorest[epoca_la])</f>
        <v>Epocha Ignota</v>
      </c>
    </row>
    <row r="656" spans="1:15">
      <c r="A656">
        <v>655</v>
      </c>
      <c r="B656" t="s">
        <v>1818</v>
      </c>
      <c r="C656" t="s">
        <v>1819</v>
      </c>
      <c r="D656" t="s">
        <v>1820</v>
      </c>
      <c r="E656" t="s">
        <v>1777</v>
      </c>
      <c r="F656" t="str">
        <f>_xlfn.XLOOKUP(frasest[[#This Row],[autor_es]],autorest[autor_es],autorest[autor_la])</f>
        <v>Proverbium Iudaicum</v>
      </c>
      <c r="G656"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6"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6" t="str">
        <f>_xlfn.XLOOKUP(frasest[[#This Row],[autor_es]],autorest[autor_es],autorest[codigo])</f>
        <v>he</v>
      </c>
      <c r="J656" t="str">
        <f>_xlfn.XLOOKUP(frasest[[#This Row],[autor_es]],autorest[autor_es],autorest[idioma_es])</f>
        <v>Hebreo</v>
      </c>
      <c r="K656" s="6" t="str">
        <f>_xlfn.XLOOKUP(frasest[[#This Row],[autor_es]],autorest[autor_es],autorest[idioma_la])</f>
        <v>Lingua Hebraica</v>
      </c>
      <c r="L656" s="6" t="str">
        <f>_xlfn.XLOOKUP(frasest[[#This Row],[autor_es]],autorest[autor_es],autorest[nacion_es])</f>
        <v>Israel</v>
      </c>
      <c r="M656" t="str">
        <f>_xlfn.XLOOKUP(frasest[[#This Row],[autor_es]],autorest[autor_es],autorest[nacion_la])</f>
        <v>Israel</v>
      </c>
      <c r="N656" t="str">
        <f>_xlfn.XLOOKUP(frasest[[#This Row],[autor_es]],autorest[autor_es],autorest[epoca_es])</f>
        <v>Epoca Desconocida</v>
      </c>
      <c r="O656" t="str">
        <f>_xlfn.XLOOKUP(frasest[[#This Row],[autor_es]],autorest[autor_es],autorest[epoca_la])</f>
        <v>Epocha Ignota</v>
      </c>
    </row>
    <row r="657" spans="1:15">
      <c r="A657">
        <v>656</v>
      </c>
      <c r="B657" t="s">
        <v>1821</v>
      </c>
      <c r="C657" t="s">
        <v>1822</v>
      </c>
      <c r="D657" t="s">
        <v>1823</v>
      </c>
      <c r="E657" t="s">
        <v>995</v>
      </c>
      <c r="F657" t="str">
        <f>_xlfn.XLOOKUP(frasest[[#This Row],[autor_es]],autorest[autor_es],autorest[autor_la])</f>
        <v>Sententia Vasconica</v>
      </c>
      <c r="G657" s="6" t="str">
        <f>_xlfn.XLOOKUP(frasest[[#This Row],[autor_es]],autorest[autor_es],autorest[bio_es])</f>
        <v>Proverbios de la tradición oral vasca que reflejan la relación con la naturaleza, el trabajo y los valores comunitarios del pueblo vasco.</v>
      </c>
      <c r="H657" s="6" t="str">
        <f>_xlfn.XLOOKUP(frasest[[#This Row],[autor_es]],autorest[autor_es],autorest[bio_la])</f>
        <v>Collectio sententiarum Vasconicarum.</v>
      </c>
      <c r="I657" t="str">
        <f>_xlfn.XLOOKUP(frasest[[#This Row],[autor_es]],autorest[autor_es],autorest[codigo])</f>
        <v>eu</v>
      </c>
      <c r="J657" t="str">
        <f>_xlfn.XLOOKUP(frasest[[#This Row],[autor_es]],autorest[autor_es],autorest[idioma_es])</f>
        <v>Euskara</v>
      </c>
      <c r="K657" s="6" t="str">
        <f>_xlfn.XLOOKUP(frasest[[#This Row],[autor_es]],autorest[autor_es],autorest[idioma_la])</f>
        <v>Lingua Vasconica</v>
      </c>
      <c r="L657" s="6" t="str">
        <f>_xlfn.XLOOKUP(frasest[[#This Row],[autor_es]],autorest[autor_es],autorest[nacion_es])</f>
        <v>España</v>
      </c>
      <c r="M657" t="str">
        <f>_xlfn.XLOOKUP(frasest[[#This Row],[autor_es]],autorest[autor_es],autorest[nacion_la])</f>
        <v>Hispania</v>
      </c>
      <c r="N657" t="str">
        <f>_xlfn.XLOOKUP(frasest[[#This Row],[autor_es]],autorest[autor_es],autorest[epoca_es])</f>
        <v>Epoca Desconocida</v>
      </c>
      <c r="O657" t="str">
        <f>_xlfn.XLOOKUP(frasest[[#This Row],[autor_es]],autorest[autor_es],autorest[epoca_la])</f>
        <v>Epocha Ignota</v>
      </c>
    </row>
    <row r="658" spans="1:15">
      <c r="A658">
        <v>657</v>
      </c>
      <c r="B658" t="s">
        <v>1824</v>
      </c>
      <c r="C658" t="s">
        <v>1825</v>
      </c>
      <c r="D658" t="s">
        <v>1826</v>
      </c>
      <c r="E658" t="s">
        <v>995</v>
      </c>
      <c r="F658" t="str">
        <f>_xlfn.XLOOKUP(frasest[[#This Row],[autor_es]],autorest[autor_es],autorest[autor_la])</f>
        <v>Sententia Vasconica</v>
      </c>
      <c r="G658" s="6" t="str">
        <f>_xlfn.XLOOKUP(frasest[[#This Row],[autor_es]],autorest[autor_es],autorest[bio_es])</f>
        <v>Proverbios de la tradición oral vasca que reflejan la relación con la naturaleza, el trabajo y los valores comunitarios del pueblo vasco.</v>
      </c>
      <c r="H658" s="6" t="str">
        <f>_xlfn.XLOOKUP(frasest[[#This Row],[autor_es]],autorest[autor_es],autorest[bio_la])</f>
        <v>Collectio sententiarum Vasconicarum.</v>
      </c>
      <c r="I658" t="str">
        <f>_xlfn.XLOOKUP(frasest[[#This Row],[autor_es]],autorest[autor_es],autorest[codigo])</f>
        <v>eu</v>
      </c>
      <c r="J658" t="str">
        <f>_xlfn.XLOOKUP(frasest[[#This Row],[autor_es]],autorest[autor_es],autorest[idioma_es])</f>
        <v>Euskara</v>
      </c>
      <c r="K658" s="6" t="str">
        <f>_xlfn.XLOOKUP(frasest[[#This Row],[autor_es]],autorest[autor_es],autorest[idioma_la])</f>
        <v>Lingua Vasconica</v>
      </c>
      <c r="L658" s="6" t="str">
        <f>_xlfn.XLOOKUP(frasest[[#This Row],[autor_es]],autorest[autor_es],autorest[nacion_es])</f>
        <v>España</v>
      </c>
      <c r="M658" t="str">
        <f>_xlfn.XLOOKUP(frasest[[#This Row],[autor_es]],autorest[autor_es],autorest[nacion_la])</f>
        <v>Hispania</v>
      </c>
      <c r="N658" t="str">
        <f>_xlfn.XLOOKUP(frasest[[#This Row],[autor_es]],autorest[autor_es],autorest[epoca_es])</f>
        <v>Epoca Desconocida</v>
      </c>
      <c r="O658" t="str">
        <f>_xlfn.XLOOKUP(frasest[[#This Row],[autor_es]],autorest[autor_es],autorest[epoca_la])</f>
        <v>Epocha Ignota</v>
      </c>
    </row>
    <row r="659" spans="1:15">
      <c r="A659">
        <v>658</v>
      </c>
      <c r="B659" t="s">
        <v>1827</v>
      </c>
      <c r="C659" t="s">
        <v>1828</v>
      </c>
      <c r="D659" t="s">
        <v>1829</v>
      </c>
      <c r="E659" t="s">
        <v>995</v>
      </c>
      <c r="F659" t="str">
        <f>_xlfn.XLOOKUP(frasest[[#This Row],[autor_es]],autorest[autor_es],autorest[autor_la])</f>
        <v>Sententia Vasconica</v>
      </c>
      <c r="G659" s="6" t="str">
        <f>_xlfn.XLOOKUP(frasest[[#This Row],[autor_es]],autorest[autor_es],autorest[bio_es])</f>
        <v>Proverbios de la tradición oral vasca que reflejan la relación con la naturaleza, el trabajo y los valores comunitarios del pueblo vasco.</v>
      </c>
      <c r="H659" s="6" t="str">
        <f>_xlfn.XLOOKUP(frasest[[#This Row],[autor_es]],autorest[autor_es],autorest[bio_la])</f>
        <v>Collectio sententiarum Vasconicarum.</v>
      </c>
      <c r="I659" t="str">
        <f>_xlfn.XLOOKUP(frasest[[#This Row],[autor_es]],autorest[autor_es],autorest[codigo])</f>
        <v>eu</v>
      </c>
      <c r="J659" t="str">
        <f>_xlfn.XLOOKUP(frasest[[#This Row],[autor_es]],autorest[autor_es],autorest[idioma_es])</f>
        <v>Euskara</v>
      </c>
      <c r="K659" s="6" t="str">
        <f>_xlfn.XLOOKUP(frasest[[#This Row],[autor_es]],autorest[autor_es],autorest[idioma_la])</f>
        <v>Lingua Vasconica</v>
      </c>
      <c r="L659" s="6" t="str">
        <f>_xlfn.XLOOKUP(frasest[[#This Row],[autor_es]],autorest[autor_es],autorest[nacion_es])</f>
        <v>España</v>
      </c>
      <c r="M659" t="str">
        <f>_xlfn.XLOOKUP(frasest[[#This Row],[autor_es]],autorest[autor_es],autorest[nacion_la])</f>
        <v>Hispania</v>
      </c>
      <c r="N659" t="str">
        <f>_xlfn.XLOOKUP(frasest[[#This Row],[autor_es]],autorest[autor_es],autorest[epoca_es])</f>
        <v>Epoca Desconocida</v>
      </c>
      <c r="O659" t="str">
        <f>_xlfn.XLOOKUP(frasest[[#This Row],[autor_es]],autorest[autor_es],autorest[epoca_la])</f>
        <v>Epocha Ignota</v>
      </c>
    </row>
    <row r="660" spans="1:15">
      <c r="A660">
        <v>659</v>
      </c>
      <c r="B660" t="s">
        <v>1830</v>
      </c>
      <c r="C660" t="s">
        <v>1831</v>
      </c>
      <c r="D660" t="s">
        <v>1832</v>
      </c>
      <c r="E660" t="s">
        <v>995</v>
      </c>
      <c r="F660" t="str">
        <f>_xlfn.XLOOKUP(frasest[[#This Row],[autor_es]],autorest[autor_es],autorest[autor_la])</f>
        <v>Sententia Vasconica</v>
      </c>
      <c r="G660" s="6" t="str">
        <f>_xlfn.XLOOKUP(frasest[[#This Row],[autor_es]],autorest[autor_es],autorest[bio_es])</f>
        <v>Proverbios de la tradición oral vasca que reflejan la relación con la naturaleza, el trabajo y los valores comunitarios del pueblo vasco.</v>
      </c>
      <c r="H660" s="6" t="str">
        <f>_xlfn.XLOOKUP(frasest[[#This Row],[autor_es]],autorest[autor_es],autorest[bio_la])</f>
        <v>Collectio sententiarum Vasconicarum.</v>
      </c>
      <c r="I660" t="str">
        <f>_xlfn.XLOOKUP(frasest[[#This Row],[autor_es]],autorest[autor_es],autorest[codigo])</f>
        <v>eu</v>
      </c>
      <c r="J660" t="str">
        <f>_xlfn.XLOOKUP(frasest[[#This Row],[autor_es]],autorest[autor_es],autorest[idioma_es])</f>
        <v>Euskara</v>
      </c>
      <c r="K660" s="6" t="str">
        <f>_xlfn.XLOOKUP(frasest[[#This Row],[autor_es]],autorest[autor_es],autorest[idioma_la])</f>
        <v>Lingua Vasconica</v>
      </c>
      <c r="L660" s="6" t="str">
        <f>_xlfn.XLOOKUP(frasest[[#This Row],[autor_es]],autorest[autor_es],autorest[nacion_es])</f>
        <v>España</v>
      </c>
      <c r="M660" t="str">
        <f>_xlfn.XLOOKUP(frasest[[#This Row],[autor_es]],autorest[autor_es],autorest[nacion_la])</f>
        <v>Hispania</v>
      </c>
      <c r="N660" t="str">
        <f>_xlfn.XLOOKUP(frasest[[#This Row],[autor_es]],autorest[autor_es],autorest[epoca_es])</f>
        <v>Epoca Desconocida</v>
      </c>
      <c r="O660" t="str">
        <f>_xlfn.XLOOKUP(frasest[[#This Row],[autor_es]],autorest[autor_es],autorest[epoca_la])</f>
        <v>Epocha Ignota</v>
      </c>
    </row>
    <row r="661" spans="1:15">
      <c r="A661">
        <v>660</v>
      </c>
      <c r="B661" t="s">
        <v>1833</v>
      </c>
      <c r="C661" t="s">
        <v>1834</v>
      </c>
      <c r="D661" t="s">
        <v>1835</v>
      </c>
      <c r="E661" t="s">
        <v>995</v>
      </c>
      <c r="F661" t="str">
        <f>_xlfn.XLOOKUP(frasest[[#This Row],[autor_es]],autorest[autor_es],autorest[autor_la])</f>
        <v>Sententia Vasconica</v>
      </c>
      <c r="G661" s="6" t="str">
        <f>_xlfn.XLOOKUP(frasest[[#This Row],[autor_es]],autorest[autor_es],autorest[bio_es])</f>
        <v>Proverbios de la tradición oral vasca que reflejan la relación con la naturaleza, el trabajo y los valores comunitarios del pueblo vasco.</v>
      </c>
      <c r="H661" s="6" t="str">
        <f>_xlfn.XLOOKUP(frasest[[#This Row],[autor_es]],autorest[autor_es],autorest[bio_la])</f>
        <v>Collectio sententiarum Vasconicarum.</v>
      </c>
      <c r="I661" t="str">
        <f>_xlfn.XLOOKUP(frasest[[#This Row],[autor_es]],autorest[autor_es],autorest[codigo])</f>
        <v>eu</v>
      </c>
      <c r="J661" t="str">
        <f>_xlfn.XLOOKUP(frasest[[#This Row],[autor_es]],autorest[autor_es],autorest[idioma_es])</f>
        <v>Euskara</v>
      </c>
      <c r="K661" s="6" t="str">
        <f>_xlfn.XLOOKUP(frasest[[#This Row],[autor_es]],autorest[autor_es],autorest[idioma_la])</f>
        <v>Lingua Vasconica</v>
      </c>
      <c r="L661" s="6" t="str">
        <f>_xlfn.XLOOKUP(frasest[[#This Row],[autor_es]],autorest[autor_es],autorest[nacion_es])</f>
        <v>España</v>
      </c>
      <c r="M661" t="str">
        <f>_xlfn.XLOOKUP(frasest[[#This Row],[autor_es]],autorest[autor_es],autorest[nacion_la])</f>
        <v>Hispania</v>
      </c>
      <c r="N661" t="str">
        <f>_xlfn.XLOOKUP(frasest[[#This Row],[autor_es]],autorest[autor_es],autorest[epoca_es])</f>
        <v>Epoca Desconocida</v>
      </c>
      <c r="O661" t="str">
        <f>_xlfn.XLOOKUP(frasest[[#This Row],[autor_es]],autorest[autor_es],autorest[epoca_la])</f>
        <v>Epocha Ignota</v>
      </c>
    </row>
    <row r="662" spans="1:15">
      <c r="A662">
        <v>661</v>
      </c>
      <c r="B662" t="s">
        <v>1836</v>
      </c>
      <c r="C662" t="s">
        <v>1837</v>
      </c>
      <c r="D662" t="s">
        <v>1838</v>
      </c>
      <c r="E662" t="s">
        <v>995</v>
      </c>
      <c r="F662" t="str">
        <f>_xlfn.XLOOKUP(frasest[[#This Row],[autor_es]],autorest[autor_es],autorest[autor_la])</f>
        <v>Sententia Vasconica</v>
      </c>
      <c r="G662" s="6" t="str">
        <f>_xlfn.XLOOKUP(frasest[[#This Row],[autor_es]],autorest[autor_es],autorest[bio_es])</f>
        <v>Proverbios de la tradición oral vasca que reflejan la relación con la naturaleza, el trabajo y los valores comunitarios del pueblo vasco.</v>
      </c>
      <c r="H662" s="6" t="str">
        <f>_xlfn.XLOOKUP(frasest[[#This Row],[autor_es]],autorest[autor_es],autorest[bio_la])</f>
        <v>Collectio sententiarum Vasconicarum.</v>
      </c>
      <c r="I662" t="str">
        <f>_xlfn.XLOOKUP(frasest[[#This Row],[autor_es]],autorest[autor_es],autorest[codigo])</f>
        <v>eu</v>
      </c>
      <c r="J662" t="str">
        <f>_xlfn.XLOOKUP(frasest[[#This Row],[autor_es]],autorest[autor_es],autorest[idioma_es])</f>
        <v>Euskara</v>
      </c>
      <c r="K662" s="6" t="str">
        <f>_xlfn.XLOOKUP(frasest[[#This Row],[autor_es]],autorest[autor_es],autorest[idioma_la])</f>
        <v>Lingua Vasconica</v>
      </c>
      <c r="L662" s="6" t="str">
        <f>_xlfn.XLOOKUP(frasest[[#This Row],[autor_es]],autorest[autor_es],autorest[nacion_es])</f>
        <v>España</v>
      </c>
      <c r="M662" t="str">
        <f>_xlfn.XLOOKUP(frasest[[#This Row],[autor_es]],autorest[autor_es],autorest[nacion_la])</f>
        <v>Hispania</v>
      </c>
      <c r="N662" t="str">
        <f>_xlfn.XLOOKUP(frasest[[#This Row],[autor_es]],autorest[autor_es],autorest[epoca_es])</f>
        <v>Epoca Desconocida</v>
      </c>
      <c r="O662" t="str">
        <f>_xlfn.XLOOKUP(frasest[[#This Row],[autor_es]],autorest[autor_es],autorest[epoca_la])</f>
        <v>Epocha Ignota</v>
      </c>
    </row>
    <row r="663" spans="1:15">
      <c r="A663">
        <v>662</v>
      </c>
      <c r="B663" t="s">
        <v>1839</v>
      </c>
      <c r="C663" t="s">
        <v>1840</v>
      </c>
      <c r="D663" t="s">
        <v>1841</v>
      </c>
      <c r="E663" t="s">
        <v>995</v>
      </c>
      <c r="F663" t="str">
        <f>_xlfn.XLOOKUP(frasest[[#This Row],[autor_es]],autorest[autor_es],autorest[autor_la])</f>
        <v>Sententia Vasconica</v>
      </c>
      <c r="G663" s="6" t="str">
        <f>_xlfn.XLOOKUP(frasest[[#This Row],[autor_es]],autorest[autor_es],autorest[bio_es])</f>
        <v>Proverbios de la tradición oral vasca que reflejan la relación con la naturaleza, el trabajo y los valores comunitarios del pueblo vasco.</v>
      </c>
      <c r="H663" s="6" t="str">
        <f>_xlfn.XLOOKUP(frasest[[#This Row],[autor_es]],autorest[autor_es],autorest[bio_la])</f>
        <v>Collectio sententiarum Vasconicarum.</v>
      </c>
      <c r="I663" t="str">
        <f>_xlfn.XLOOKUP(frasest[[#This Row],[autor_es]],autorest[autor_es],autorest[codigo])</f>
        <v>eu</v>
      </c>
      <c r="J663" t="str">
        <f>_xlfn.XLOOKUP(frasest[[#This Row],[autor_es]],autorest[autor_es],autorest[idioma_es])</f>
        <v>Euskara</v>
      </c>
      <c r="K663" s="6" t="str">
        <f>_xlfn.XLOOKUP(frasest[[#This Row],[autor_es]],autorest[autor_es],autorest[idioma_la])</f>
        <v>Lingua Vasconica</v>
      </c>
      <c r="L663" s="6" t="str">
        <f>_xlfn.XLOOKUP(frasest[[#This Row],[autor_es]],autorest[autor_es],autorest[nacion_es])</f>
        <v>España</v>
      </c>
      <c r="M663" t="str">
        <f>_xlfn.XLOOKUP(frasest[[#This Row],[autor_es]],autorest[autor_es],autorest[nacion_la])</f>
        <v>Hispania</v>
      </c>
      <c r="N663" t="str">
        <f>_xlfn.XLOOKUP(frasest[[#This Row],[autor_es]],autorest[autor_es],autorest[epoca_es])</f>
        <v>Epoca Desconocida</v>
      </c>
      <c r="O663" t="str">
        <f>_xlfn.XLOOKUP(frasest[[#This Row],[autor_es]],autorest[autor_es],autorest[epoca_la])</f>
        <v>Epocha Ignota</v>
      </c>
    </row>
    <row r="664" spans="1:15">
      <c r="A664">
        <v>663</v>
      </c>
      <c r="B664" t="s">
        <v>1842</v>
      </c>
      <c r="C664" t="s">
        <v>1843</v>
      </c>
      <c r="D664" t="s">
        <v>1844</v>
      </c>
      <c r="E664" t="s">
        <v>995</v>
      </c>
      <c r="F664" t="str">
        <f>_xlfn.XLOOKUP(frasest[[#This Row],[autor_es]],autorest[autor_es],autorest[autor_la])</f>
        <v>Sententia Vasconica</v>
      </c>
      <c r="G664" s="6" t="str">
        <f>_xlfn.XLOOKUP(frasest[[#This Row],[autor_es]],autorest[autor_es],autorest[bio_es])</f>
        <v>Proverbios de la tradición oral vasca que reflejan la relación con la naturaleza, el trabajo y los valores comunitarios del pueblo vasco.</v>
      </c>
      <c r="H664" s="6" t="str">
        <f>_xlfn.XLOOKUP(frasest[[#This Row],[autor_es]],autorest[autor_es],autorest[bio_la])</f>
        <v>Collectio sententiarum Vasconicarum.</v>
      </c>
      <c r="I664" t="str">
        <f>_xlfn.XLOOKUP(frasest[[#This Row],[autor_es]],autorest[autor_es],autorest[codigo])</f>
        <v>eu</v>
      </c>
      <c r="J664" t="str">
        <f>_xlfn.XLOOKUP(frasest[[#This Row],[autor_es]],autorest[autor_es],autorest[idioma_es])</f>
        <v>Euskara</v>
      </c>
      <c r="K664" s="6" t="str">
        <f>_xlfn.XLOOKUP(frasest[[#This Row],[autor_es]],autorest[autor_es],autorest[idioma_la])</f>
        <v>Lingua Vasconica</v>
      </c>
      <c r="L664" s="6" t="str">
        <f>_xlfn.XLOOKUP(frasest[[#This Row],[autor_es]],autorest[autor_es],autorest[nacion_es])</f>
        <v>España</v>
      </c>
      <c r="M664" t="str">
        <f>_xlfn.XLOOKUP(frasest[[#This Row],[autor_es]],autorest[autor_es],autorest[nacion_la])</f>
        <v>Hispania</v>
      </c>
      <c r="N664" t="str">
        <f>_xlfn.XLOOKUP(frasest[[#This Row],[autor_es]],autorest[autor_es],autorest[epoca_es])</f>
        <v>Epoca Desconocida</v>
      </c>
      <c r="O664" t="str">
        <f>_xlfn.XLOOKUP(frasest[[#This Row],[autor_es]],autorest[autor_es],autorest[epoca_la])</f>
        <v>Epocha Ignota</v>
      </c>
    </row>
    <row r="665" spans="1:15">
      <c r="A665">
        <v>664</v>
      </c>
      <c r="B665" t="s">
        <v>1845</v>
      </c>
      <c r="C665" t="s">
        <v>1846</v>
      </c>
      <c r="D665" t="s">
        <v>1847</v>
      </c>
      <c r="E665" t="s">
        <v>995</v>
      </c>
      <c r="F665" t="str">
        <f>_xlfn.XLOOKUP(frasest[[#This Row],[autor_es]],autorest[autor_es],autorest[autor_la])</f>
        <v>Sententia Vasconica</v>
      </c>
      <c r="G665" s="6" t="str">
        <f>_xlfn.XLOOKUP(frasest[[#This Row],[autor_es]],autorest[autor_es],autorest[bio_es])</f>
        <v>Proverbios de la tradición oral vasca que reflejan la relación con la naturaleza, el trabajo y los valores comunitarios del pueblo vasco.</v>
      </c>
      <c r="H665" s="6" t="str">
        <f>_xlfn.XLOOKUP(frasest[[#This Row],[autor_es]],autorest[autor_es],autorest[bio_la])</f>
        <v>Collectio sententiarum Vasconicarum.</v>
      </c>
      <c r="I665" t="str">
        <f>_xlfn.XLOOKUP(frasest[[#This Row],[autor_es]],autorest[autor_es],autorest[codigo])</f>
        <v>eu</v>
      </c>
      <c r="J665" t="str">
        <f>_xlfn.XLOOKUP(frasest[[#This Row],[autor_es]],autorest[autor_es],autorest[idioma_es])</f>
        <v>Euskara</v>
      </c>
      <c r="K665" s="6" t="str">
        <f>_xlfn.XLOOKUP(frasest[[#This Row],[autor_es]],autorest[autor_es],autorest[idioma_la])</f>
        <v>Lingua Vasconica</v>
      </c>
      <c r="L665" s="6" t="str">
        <f>_xlfn.XLOOKUP(frasest[[#This Row],[autor_es]],autorest[autor_es],autorest[nacion_es])</f>
        <v>España</v>
      </c>
      <c r="M665" t="str">
        <f>_xlfn.XLOOKUP(frasest[[#This Row],[autor_es]],autorest[autor_es],autorest[nacion_la])</f>
        <v>Hispania</v>
      </c>
      <c r="N665" t="str">
        <f>_xlfn.XLOOKUP(frasest[[#This Row],[autor_es]],autorest[autor_es],autorest[epoca_es])</f>
        <v>Epoca Desconocida</v>
      </c>
      <c r="O665" t="str">
        <f>_xlfn.XLOOKUP(frasest[[#This Row],[autor_es]],autorest[autor_es],autorest[epoca_la])</f>
        <v>Epocha Ignota</v>
      </c>
    </row>
    <row r="666" spans="1:15">
      <c r="A666">
        <v>665</v>
      </c>
      <c r="B666" t="s">
        <v>1848</v>
      </c>
      <c r="C666" t="s">
        <v>1849</v>
      </c>
      <c r="D666" t="s">
        <v>1850</v>
      </c>
      <c r="E666" t="s">
        <v>995</v>
      </c>
      <c r="F666" t="str">
        <f>_xlfn.XLOOKUP(frasest[[#This Row],[autor_es]],autorest[autor_es],autorest[autor_la])</f>
        <v>Sententia Vasconica</v>
      </c>
      <c r="G666" s="6" t="str">
        <f>_xlfn.XLOOKUP(frasest[[#This Row],[autor_es]],autorest[autor_es],autorest[bio_es])</f>
        <v>Proverbios de la tradición oral vasca que reflejan la relación con la naturaleza, el trabajo y los valores comunitarios del pueblo vasco.</v>
      </c>
      <c r="H666" s="6" t="str">
        <f>_xlfn.XLOOKUP(frasest[[#This Row],[autor_es]],autorest[autor_es],autorest[bio_la])</f>
        <v>Collectio sententiarum Vasconicarum.</v>
      </c>
      <c r="I666" t="str">
        <f>_xlfn.XLOOKUP(frasest[[#This Row],[autor_es]],autorest[autor_es],autorest[codigo])</f>
        <v>eu</v>
      </c>
      <c r="J666" t="str">
        <f>_xlfn.XLOOKUP(frasest[[#This Row],[autor_es]],autorest[autor_es],autorest[idioma_es])</f>
        <v>Euskara</v>
      </c>
      <c r="K666" s="6" t="str">
        <f>_xlfn.XLOOKUP(frasest[[#This Row],[autor_es]],autorest[autor_es],autorest[idioma_la])</f>
        <v>Lingua Vasconica</v>
      </c>
      <c r="L666" s="6" t="str">
        <f>_xlfn.XLOOKUP(frasest[[#This Row],[autor_es]],autorest[autor_es],autorest[nacion_es])</f>
        <v>España</v>
      </c>
      <c r="M666" t="str">
        <f>_xlfn.XLOOKUP(frasest[[#This Row],[autor_es]],autorest[autor_es],autorest[nacion_la])</f>
        <v>Hispania</v>
      </c>
      <c r="N666" t="str">
        <f>_xlfn.XLOOKUP(frasest[[#This Row],[autor_es]],autorest[autor_es],autorest[epoca_es])</f>
        <v>Epoca Desconocida</v>
      </c>
      <c r="O666" t="str">
        <f>_xlfn.XLOOKUP(frasest[[#This Row],[autor_es]],autorest[autor_es],autorest[epoca_la])</f>
        <v>Epocha Ignota</v>
      </c>
    </row>
    <row r="667" spans="1:15">
      <c r="A667">
        <v>666</v>
      </c>
      <c r="B667" t="s">
        <v>1851</v>
      </c>
      <c r="C667" t="s">
        <v>1852</v>
      </c>
      <c r="D667" t="s">
        <v>1853</v>
      </c>
      <c r="E667" t="s">
        <v>995</v>
      </c>
      <c r="F667" t="str">
        <f>_xlfn.XLOOKUP(frasest[[#This Row],[autor_es]],autorest[autor_es],autorest[autor_la])</f>
        <v>Sententia Vasconica</v>
      </c>
      <c r="G667" s="6" t="str">
        <f>_xlfn.XLOOKUP(frasest[[#This Row],[autor_es]],autorest[autor_es],autorest[bio_es])</f>
        <v>Proverbios de la tradición oral vasca que reflejan la relación con la naturaleza, el trabajo y los valores comunitarios del pueblo vasco.</v>
      </c>
      <c r="H667" s="6" t="str">
        <f>_xlfn.XLOOKUP(frasest[[#This Row],[autor_es]],autorest[autor_es],autorest[bio_la])</f>
        <v>Collectio sententiarum Vasconicarum.</v>
      </c>
      <c r="I667" t="str">
        <f>_xlfn.XLOOKUP(frasest[[#This Row],[autor_es]],autorest[autor_es],autorest[codigo])</f>
        <v>eu</v>
      </c>
      <c r="J667" t="str">
        <f>_xlfn.XLOOKUP(frasest[[#This Row],[autor_es]],autorest[autor_es],autorest[idioma_es])</f>
        <v>Euskara</v>
      </c>
      <c r="K667" s="6" t="str">
        <f>_xlfn.XLOOKUP(frasest[[#This Row],[autor_es]],autorest[autor_es],autorest[idioma_la])</f>
        <v>Lingua Vasconica</v>
      </c>
      <c r="L667" s="6" t="str">
        <f>_xlfn.XLOOKUP(frasest[[#This Row],[autor_es]],autorest[autor_es],autorest[nacion_es])</f>
        <v>España</v>
      </c>
      <c r="M667" t="str">
        <f>_xlfn.XLOOKUP(frasest[[#This Row],[autor_es]],autorest[autor_es],autorest[nacion_la])</f>
        <v>Hispania</v>
      </c>
      <c r="N667" t="str">
        <f>_xlfn.XLOOKUP(frasest[[#This Row],[autor_es]],autorest[autor_es],autorest[epoca_es])</f>
        <v>Epoca Desconocida</v>
      </c>
      <c r="O667" t="str">
        <f>_xlfn.XLOOKUP(frasest[[#This Row],[autor_es]],autorest[autor_es],autorest[epoca_la])</f>
        <v>Epocha Ignota</v>
      </c>
    </row>
    <row r="668" spans="1:15">
      <c r="A668">
        <v>667</v>
      </c>
      <c r="B668" t="s">
        <v>1854</v>
      </c>
      <c r="C668" t="s">
        <v>1855</v>
      </c>
      <c r="D668" t="s">
        <v>1856</v>
      </c>
      <c r="E668" t="s">
        <v>995</v>
      </c>
      <c r="F668" t="str">
        <f>_xlfn.XLOOKUP(frasest[[#This Row],[autor_es]],autorest[autor_es],autorest[autor_la])</f>
        <v>Sententia Vasconica</v>
      </c>
      <c r="G668" s="6" t="str">
        <f>_xlfn.XLOOKUP(frasest[[#This Row],[autor_es]],autorest[autor_es],autorest[bio_es])</f>
        <v>Proverbios de la tradición oral vasca que reflejan la relación con la naturaleza, el trabajo y los valores comunitarios del pueblo vasco.</v>
      </c>
      <c r="H668" s="6" t="str">
        <f>_xlfn.XLOOKUP(frasest[[#This Row],[autor_es]],autorest[autor_es],autorest[bio_la])</f>
        <v>Collectio sententiarum Vasconicarum.</v>
      </c>
      <c r="I668" t="str">
        <f>_xlfn.XLOOKUP(frasest[[#This Row],[autor_es]],autorest[autor_es],autorest[codigo])</f>
        <v>eu</v>
      </c>
      <c r="J668" t="str">
        <f>_xlfn.XLOOKUP(frasest[[#This Row],[autor_es]],autorest[autor_es],autorest[idioma_es])</f>
        <v>Euskara</v>
      </c>
      <c r="K668" s="6" t="str">
        <f>_xlfn.XLOOKUP(frasest[[#This Row],[autor_es]],autorest[autor_es],autorest[idioma_la])</f>
        <v>Lingua Vasconica</v>
      </c>
      <c r="L668" s="6" t="str">
        <f>_xlfn.XLOOKUP(frasest[[#This Row],[autor_es]],autorest[autor_es],autorest[nacion_es])</f>
        <v>España</v>
      </c>
      <c r="M668" t="str">
        <f>_xlfn.XLOOKUP(frasest[[#This Row],[autor_es]],autorest[autor_es],autorest[nacion_la])</f>
        <v>Hispania</v>
      </c>
      <c r="N668" t="str">
        <f>_xlfn.XLOOKUP(frasest[[#This Row],[autor_es]],autorest[autor_es],autorest[epoca_es])</f>
        <v>Epoca Desconocida</v>
      </c>
      <c r="O668" t="str">
        <f>_xlfn.XLOOKUP(frasest[[#This Row],[autor_es]],autorest[autor_es],autorest[epoca_la])</f>
        <v>Epocha Ignota</v>
      </c>
    </row>
    <row r="669" spans="1:15">
      <c r="A669">
        <v>668</v>
      </c>
      <c r="B669" t="s">
        <v>1857</v>
      </c>
      <c r="C669" t="s">
        <v>1858</v>
      </c>
      <c r="D669" t="s">
        <v>1859</v>
      </c>
      <c r="E669" t="s">
        <v>995</v>
      </c>
      <c r="F669" t="str">
        <f>_xlfn.XLOOKUP(frasest[[#This Row],[autor_es]],autorest[autor_es],autorest[autor_la])</f>
        <v>Sententia Vasconica</v>
      </c>
      <c r="G669" s="6" t="str">
        <f>_xlfn.XLOOKUP(frasest[[#This Row],[autor_es]],autorest[autor_es],autorest[bio_es])</f>
        <v>Proverbios de la tradición oral vasca que reflejan la relación con la naturaleza, el trabajo y los valores comunitarios del pueblo vasco.</v>
      </c>
      <c r="H669" s="6" t="str">
        <f>_xlfn.XLOOKUP(frasest[[#This Row],[autor_es]],autorest[autor_es],autorest[bio_la])</f>
        <v>Collectio sententiarum Vasconicarum.</v>
      </c>
      <c r="I669" t="str">
        <f>_xlfn.XLOOKUP(frasest[[#This Row],[autor_es]],autorest[autor_es],autorest[codigo])</f>
        <v>eu</v>
      </c>
      <c r="J669" t="str">
        <f>_xlfn.XLOOKUP(frasest[[#This Row],[autor_es]],autorest[autor_es],autorest[idioma_es])</f>
        <v>Euskara</v>
      </c>
      <c r="K669" s="6" t="str">
        <f>_xlfn.XLOOKUP(frasest[[#This Row],[autor_es]],autorest[autor_es],autorest[idioma_la])</f>
        <v>Lingua Vasconica</v>
      </c>
      <c r="L669" s="6" t="str">
        <f>_xlfn.XLOOKUP(frasest[[#This Row],[autor_es]],autorest[autor_es],autorest[nacion_es])</f>
        <v>España</v>
      </c>
      <c r="M669" t="str">
        <f>_xlfn.XLOOKUP(frasest[[#This Row],[autor_es]],autorest[autor_es],autorest[nacion_la])</f>
        <v>Hispania</v>
      </c>
      <c r="N669" t="str">
        <f>_xlfn.XLOOKUP(frasest[[#This Row],[autor_es]],autorest[autor_es],autorest[epoca_es])</f>
        <v>Epoca Desconocida</v>
      </c>
      <c r="O669" t="str">
        <f>_xlfn.XLOOKUP(frasest[[#This Row],[autor_es]],autorest[autor_es],autorest[epoca_la])</f>
        <v>Epocha Ignota</v>
      </c>
    </row>
    <row r="670" spans="1:15">
      <c r="A670">
        <v>669</v>
      </c>
      <c r="B670" t="s">
        <v>1860</v>
      </c>
      <c r="C670" t="s">
        <v>1861</v>
      </c>
      <c r="D670" t="s">
        <v>1862</v>
      </c>
      <c r="E670" t="s">
        <v>995</v>
      </c>
      <c r="F670" t="str">
        <f>_xlfn.XLOOKUP(frasest[[#This Row],[autor_es]],autorest[autor_es],autorest[autor_la])</f>
        <v>Sententia Vasconica</v>
      </c>
      <c r="G670" s="6" t="str">
        <f>_xlfn.XLOOKUP(frasest[[#This Row],[autor_es]],autorest[autor_es],autorest[bio_es])</f>
        <v>Proverbios de la tradición oral vasca que reflejan la relación con la naturaleza, el trabajo y los valores comunitarios del pueblo vasco.</v>
      </c>
      <c r="H670" s="6" t="str">
        <f>_xlfn.XLOOKUP(frasest[[#This Row],[autor_es]],autorest[autor_es],autorest[bio_la])</f>
        <v>Collectio sententiarum Vasconicarum.</v>
      </c>
      <c r="I670" t="str">
        <f>_xlfn.XLOOKUP(frasest[[#This Row],[autor_es]],autorest[autor_es],autorest[codigo])</f>
        <v>eu</v>
      </c>
      <c r="J670" t="str">
        <f>_xlfn.XLOOKUP(frasest[[#This Row],[autor_es]],autorest[autor_es],autorest[idioma_es])</f>
        <v>Euskara</v>
      </c>
      <c r="K670" s="6" t="str">
        <f>_xlfn.XLOOKUP(frasest[[#This Row],[autor_es]],autorest[autor_es],autorest[idioma_la])</f>
        <v>Lingua Vasconica</v>
      </c>
      <c r="L670" s="6" t="str">
        <f>_xlfn.XLOOKUP(frasest[[#This Row],[autor_es]],autorest[autor_es],autorest[nacion_es])</f>
        <v>España</v>
      </c>
      <c r="M670" t="str">
        <f>_xlfn.XLOOKUP(frasest[[#This Row],[autor_es]],autorest[autor_es],autorest[nacion_la])</f>
        <v>Hispania</v>
      </c>
      <c r="N670" t="str">
        <f>_xlfn.XLOOKUP(frasest[[#This Row],[autor_es]],autorest[autor_es],autorest[epoca_es])</f>
        <v>Epoca Desconocida</v>
      </c>
      <c r="O670" t="str">
        <f>_xlfn.XLOOKUP(frasest[[#This Row],[autor_es]],autorest[autor_es],autorest[epoca_la])</f>
        <v>Epocha Ignota</v>
      </c>
    </row>
    <row r="671" spans="1:15">
      <c r="A671">
        <v>670</v>
      </c>
      <c r="B671" t="s">
        <v>1863</v>
      </c>
      <c r="C671" t="s">
        <v>1864</v>
      </c>
      <c r="D671" t="s">
        <v>1865</v>
      </c>
      <c r="E671" t="s">
        <v>995</v>
      </c>
      <c r="F671" t="str">
        <f>_xlfn.XLOOKUP(frasest[[#This Row],[autor_es]],autorest[autor_es],autorest[autor_la])</f>
        <v>Sententia Vasconica</v>
      </c>
      <c r="G671" s="6" t="str">
        <f>_xlfn.XLOOKUP(frasest[[#This Row],[autor_es]],autorest[autor_es],autorest[bio_es])</f>
        <v>Proverbios de la tradición oral vasca que reflejan la relación con la naturaleza, el trabajo y los valores comunitarios del pueblo vasco.</v>
      </c>
      <c r="H671" s="6" t="str">
        <f>_xlfn.XLOOKUP(frasest[[#This Row],[autor_es]],autorest[autor_es],autorest[bio_la])</f>
        <v>Collectio sententiarum Vasconicarum.</v>
      </c>
      <c r="I671" t="str">
        <f>_xlfn.XLOOKUP(frasest[[#This Row],[autor_es]],autorest[autor_es],autorest[codigo])</f>
        <v>eu</v>
      </c>
      <c r="J671" t="str">
        <f>_xlfn.XLOOKUP(frasest[[#This Row],[autor_es]],autorest[autor_es],autorest[idioma_es])</f>
        <v>Euskara</v>
      </c>
      <c r="K671" s="6" t="str">
        <f>_xlfn.XLOOKUP(frasest[[#This Row],[autor_es]],autorest[autor_es],autorest[idioma_la])</f>
        <v>Lingua Vasconica</v>
      </c>
      <c r="L671" s="6" t="str">
        <f>_xlfn.XLOOKUP(frasest[[#This Row],[autor_es]],autorest[autor_es],autorest[nacion_es])</f>
        <v>España</v>
      </c>
      <c r="M671" t="str">
        <f>_xlfn.XLOOKUP(frasest[[#This Row],[autor_es]],autorest[autor_es],autorest[nacion_la])</f>
        <v>Hispania</v>
      </c>
      <c r="N671" t="str">
        <f>_xlfn.XLOOKUP(frasest[[#This Row],[autor_es]],autorest[autor_es],autorest[epoca_es])</f>
        <v>Epoca Desconocida</v>
      </c>
      <c r="O671" t="str">
        <f>_xlfn.XLOOKUP(frasest[[#This Row],[autor_es]],autorest[autor_es],autorest[epoca_la])</f>
        <v>Epocha Ignota</v>
      </c>
    </row>
    <row r="672" spans="1:15">
      <c r="A672">
        <v>671</v>
      </c>
      <c r="B672" t="s">
        <v>1866</v>
      </c>
      <c r="C672" t="s">
        <v>1867</v>
      </c>
      <c r="D672" t="s">
        <v>1868</v>
      </c>
      <c r="E672" t="s">
        <v>995</v>
      </c>
      <c r="F672" t="str">
        <f>_xlfn.XLOOKUP(frasest[[#This Row],[autor_es]],autorest[autor_es],autorest[autor_la])</f>
        <v>Sententia Vasconica</v>
      </c>
      <c r="G672" s="6" t="str">
        <f>_xlfn.XLOOKUP(frasest[[#This Row],[autor_es]],autorest[autor_es],autorest[bio_es])</f>
        <v>Proverbios de la tradición oral vasca que reflejan la relación con la naturaleza, el trabajo y los valores comunitarios del pueblo vasco.</v>
      </c>
      <c r="H672" s="6" t="str">
        <f>_xlfn.XLOOKUP(frasest[[#This Row],[autor_es]],autorest[autor_es],autorest[bio_la])</f>
        <v>Collectio sententiarum Vasconicarum.</v>
      </c>
      <c r="I672" t="str">
        <f>_xlfn.XLOOKUP(frasest[[#This Row],[autor_es]],autorest[autor_es],autorest[codigo])</f>
        <v>eu</v>
      </c>
      <c r="J672" t="str">
        <f>_xlfn.XLOOKUP(frasest[[#This Row],[autor_es]],autorest[autor_es],autorest[idioma_es])</f>
        <v>Euskara</v>
      </c>
      <c r="K672" s="6" t="str">
        <f>_xlfn.XLOOKUP(frasest[[#This Row],[autor_es]],autorest[autor_es],autorest[idioma_la])</f>
        <v>Lingua Vasconica</v>
      </c>
      <c r="L672" s="6" t="str">
        <f>_xlfn.XLOOKUP(frasest[[#This Row],[autor_es]],autorest[autor_es],autorest[nacion_es])</f>
        <v>España</v>
      </c>
      <c r="M672" t="str">
        <f>_xlfn.XLOOKUP(frasest[[#This Row],[autor_es]],autorest[autor_es],autorest[nacion_la])</f>
        <v>Hispania</v>
      </c>
      <c r="N672" t="str">
        <f>_xlfn.XLOOKUP(frasest[[#This Row],[autor_es]],autorest[autor_es],autorest[epoca_es])</f>
        <v>Epoca Desconocida</v>
      </c>
      <c r="O672" t="str">
        <f>_xlfn.XLOOKUP(frasest[[#This Row],[autor_es]],autorest[autor_es],autorest[epoca_la])</f>
        <v>Epocha Ignota</v>
      </c>
    </row>
    <row r="673" spans="1:15">
      <c r="A673">
        <v>672</v>
      </c>
      <c r="B673" t="s">
        <v>1869</v>
      </c>
      <c r="C673" t="s">
        <v>1870</v>
      </c>
      <c r="D673" t="s">
        <v>1871</v>
      </c>
      <c r="E673" t="s">
        <v>995</v>
      </c>
      <c r="F673" t="str">
        <f>_xlfn.XLOOKUP(frasest[[#This Row],[autor_es]],autorest[autor_es],autorest[autor_la])</f>
        <v>Sententia Vasconica</v>
      </c>
      <c r="G673" s="6" t="str">
        <f>_xlfn.XLOOKUP(frasest[[#This Row],[autor_es]],autorest[autor_es],autorest[bio_es])</f>
        <v>Proverbios de la tradición oral vasca que reflejan la relación con la naturaleza, el trabajo y los valores comunitarios del pueblo vasco.</v>
      </c>
      <c r="H673" s="6" t="str">
        <f>_xlfn.XLOOKUP(frasest[[#This Row],[autor_es]],autorest[autor_es],autorest[bio_la])</f>
        <v>Collectio sententiarum Vasconicarum.</v>
      </c>
      <c r="I673" t="str">
        <f>_xlfn.XLOOKUP(frasest[[#This Row],[autor_es]],autorest[autor_es],autorest[codigo])</f>
        <v>eu</v>
      </c>
      <c r="J673" t="str">
        <f>_xlfn.XLOOKUP(frasest[[#This Row],[autor_es]],autorest[autor_es],autorest[idioma_es])</f>
        <v>Euskara</v>
      </c>
      <c r="K673" s="6" t="str">
        <f>_xlfn.XLOOKUP(frasest[[#This Row],[autor_es]],autorest[autor_es],autorest[idioma_la])</f>
        <v>Lingua Vasconica</v>
      </c>
      <c r="L673" s="6" t="str">
        <f>_xlfn.XLOOKUP(frasest[[#This Row],[autor_es]],autorest[autor_es],autorest[nacion_es])</f>
        <v>España</v>
      </c>
      <c r="M673" t="str">
        <f>_xlfn.XLOOKUP(frasest[[#This Row],[autor_es]],autorest[autor_es],autorest[nacion_la])</f>
        <v>Hispania</v>
      </c>
      <c r="N673" t="str">
        <f>_xlfn.XLOOKUP(frasest[[#This Row],[autor_es]],autorest[autor_es],autorest[epoca_es])</f>
        <v>Epoca Desconocida</v>
      </c>
      <c r="O673" t="str">
        <f>_xlfn.XLOOKUP(frasest[[#This Row],[autor_es]],autorest[autor_es],autorest[epoca_la])</f>
        <v>Epocha Ignota</v>
      </c>
    </row>
    <row r="674" spans="1:15">
      <c r="A674">
        <v>673</v>
      </c>
      <c r="B674" t="s">
        <v>1872</v>
      </c>
      <c r="C674" t="s">
        <v>1873</v>
      </c>
      <c r="D674" t="s">
        <v>1874</v>
      </c>
      <c r="E674" t="s">
        <v>995</v>
      </c>
      <c r="F674" t="str">
        <f>_xlfn.XLOOKUP(frasest[[#This Row],[autor_es]],autorest[autor_es],autorest[autor_la])</f>
        <v>Sententia Vasconica</v>
      </c>
      <c r="G674" s="6" t="str">
        <f>_xlfn.XLOOKUP(frasest[[#This Row],[autor_es]],autorest[autor_es],autorest[bio_es])</f>
        <v>Proverbios de la tradición oral vasca que reflejan la relación con la naturaleza, el trabajo y los valores comunitarios del pueblo vasco.</v>
      </c>
      <c r="H674" s="6" t="str">
        <f>_xlfn.XLOOKUP(frasest[[#This Row],[autor_es]],autorest[autor_es],autorest[bio_la])</f>
        <v>Collectio sententiarum Vasconicarum.</v>
      </c>
      <c r="I674" t="str">
        <f>_xlfn.XLOOKUP(frasest[[#This Row],[autor_es]],autorest[autor_es],autorest[codigo])</f>
        <v>eu</v>
      </c>
      <c r="J674" t="str">
        <f>_xlfn.XLOOKUP(frasest[[#This Row],[autor_es]],autorest[autor_es],autorest[idioma_es])</f>
        <v>Euskara</v>
      </c>
      <c r="K674" s="6" t="str">
        <f>_xlfn.XLOOKUP(frasest[[#This Row],[autor_es]],autorest[autor_es],autorest[idioma_la])</f>
        <v>Lingua Vasconica</v>
      </c>
      <c r="L674" s="6" t="str">
        <f>_xlfn.XLOOKUP(frasest[[#This Row],[autor_es]],autorest[autor_es],autorest[nacion_es])</f>
        <v>España</v>
      </c>
      <c r="M674" t="str">
        <f>_xlfn.XLOOKUP(frasest[[#This Row],[autor_es]],autorest[autor_es],autorest[nacion_la])</f>
        <v>Hispania</v>
      </c>
      <c r="N674" t="str">
        <f>_xlfn.XLOOKUP(frasest[[#This Row],[autor_es]],autorest[autor_es],autorest[epoca_es])</f>
        <v>Epoca Desconocida</v>
      </c>
      <c r="O674" t="str">
        <f>_xlfn.XLOOKUP(frasest[[#This Row],[autor_es]],autorest[autor_es],autorest[epoca_la])</f>
        <v>Epocha Ignota</v>
      </c>
    </row>
    <row r="675" spans="1:15">
      <c r="A675">
        <v>674</v>
      </c>
      <c r="B675" t="s">
        <v>1875</v>
      </c>
      <c r="C675" t="s">
        <v>1876</v>
      </c>
      <c r="D675" t="s">
        <v>1877</v>
      </c>
      <c r="E675" t="s">
        <v>995</v>
      </c>
      <c r="F675" t="str">
        <f>_xlfn.XLOOKUP(frasest[[#This Row],[autor_es]],autorest[autor_es],autorest[autor_la])</f>
        <v>Sententia Vasconica</v>
      </c>
      <c r="G675" s="6" t="str">
        <f>_xlfn.XLOOKUP(frasest[[#This Row],[autor_es]],autorest[autor_es],autorest[bio_es])</f>
        <v>Proverbios de la tradición oral vasca que reflejan la relación con la naturaleza, el trabajo y los valores comunitarios del pueblo vasco.</v>
      </c>
      <c r="H675" s="6" t="str">
        <f>_xlfn.XLOOKUP(frasest[[#This Row],[autor_es]],autorest[autor_es],autorest[bio_la])</f>
        <v>Collectio sententiarum Vasconicarum.</v>
      </c>
      <c r="I675" t="str">
        <f>_xlfn.XLOOKUP(frasest[[#This Row],[autor_es]],autorest[autor_es],autorest[codigo])</f>
        <v>eu</v>
      </c>
      <c r="J675" t="str">
        <f>_xlfn.XLOOKUP(frasest[[#This Row],[autor_es]],autorest[autor_es],autorest[idioma_es])</f>
        <v>Euskara</v>
      </c>
      <c r="K675" s="6" t="str">
        <f>_xlfn.XLOOKUP(frasest[[#This Row],[autor_es]],autorest[autor_es],autorest[idioma_la])</f>
        <v>Lingua Vasconica</v>
      </c>
      <c r="L675" s="6" t="str">
        <f>_xlfn.XLOOKUP(frasest[[#This Row],[autor_es]],autorest[autor_es],autorest[nacion_es])</f>
        <v>España</v>
      </c>
      <c r="M675" t="str">
        <f>_xlfn.XLOOKUP(frasest[[#This Row],[autor_es]],autorest[autor_es],autorest[nacion_la])</f>
        <v>Hispania</v>
      </c>
      <c r="N675" t="str">
        <f>_xlfn.XLOOKUP(frasest[[#This Row],[autor_es]],autorest[autor_es],autorest[epoca_es])</f>
        <v>Epoca Desconocida</v>
      </c>
      <c r="O675" t="str">
        <f>_xlfn.XLOOKUP(frasest[[#This Row],[autor_es]],autorest[autor_es],autorest[epoca_la])</f>
        <v>Epocha Ignota</v>
      </c>
    </row>
    <row r="676" spans="1:15">
      <c r="A676">
        <v>675</v>
      </c>
      <c r="B676" t="s">
        <v>1878</v>
      </c>
      <c r="C676" t="s">
        <v>1879</v>
      </c>
      <c r="D676" t="s">
        <v>1880</v>
      </c>
      <c r="E676" t="s">
        <v>995</v>
      </c>
      <c r="F676" t="str">
        <f>_xlfn.XLOOKUP(frasest[[#This Row],[autor_es]],autorest[autor_es],autorest[autor_la])</f>
        <v>Sententia Vasconica</v>
      </c>
      <c r="G676" s="6" t="str">
        <f>_xlfn.XLOOKUP(frasest[[#This Row],[autor_es]],autorest[autor_es],autorest[bio_es])</f>
        <v>Proverbios de la tradición oral vasca que reflejan la relación con la naturaleza, el trabajo y los valores comunitarios del pueblo vasco.</v>
      </c>
      <c r="H676" s="6" t="str">
        <f>_xlfn.XLOOKUP(frasest[[#This Row],[autor_es]],autorest[autor_es],autorest[bio_la])</f>
        <v>Collectio sententiarum Vasconicarum.</v>
      </c>
      <c r="I676" t="str">
        <f>_xlfn.XLOOKUP(frasest[[#This Row],[autor_es]],autorest[autor_es],autorest[codigo])</f>
        <v>eu</v>
      </c>
      <c r="J676" t="str">
        <f>_xlfn.XLOOKUP(frasest[[#This Row],[autor_es]],autorest[autor_es],autorest[idioma_es])</f>
        <v>Euskara</v>
      </c>
      <c r="K676" s="6" t="str">
        <f>_xlfn.XLOOKUP(frasest[[#This Row],[autor_es]],autorest[autor_es],autorest[idioma_la])</f>
        <v>Lingua Vasconica</v>
      </c>
      <c r="L676" s="6" t="str">
        <f>_xlfn.XLOOKUP(frasest[[#This Row],[autor_es]],autorest[autor_es],autorest[nacion_es])</f>
        <v>España</v>
      </c>
      <c r="M676" t="str">
        <f>_xlfn.XLOOKUP(frasest[[#This Row],[autor_es]],autorest[autor_es],autorest[nacion_la])</f>
        <v>Hispania</v>
      </c>
      <c r="N676" t="str">
        <f>_xlfn.XLOOKUP(frasest[[#This Row],[autor_es]],autorest[autor_es],autorest[epoca_es])</f>
        <v>Epoca Desconocida</v>
      </c>
      <c r="O676" t="str">
        <f>_xlfn.XLOOKUP(frasest[[#This Row],[autor_es]],autorest[autor_es],autorest[epoca_la])</f>
        <v>Epocha Ignota</v>
      </c>
    </row>
    <row r="677" spans="1:15">
      <c r="A677">
        <v>676</v>
      </c>
      <c r="B677" t="s">
        <v>1881</v>
      </c>
      <c r="C677" t="s">
        <v>1882</v>
      </c>
      <c r="D677" t="s">
        <v>1883</v>
      </c>
      <c r="E677" t="s">
        <v>995</v>
      </c>
      <c r="F677" t="str">
        <f>_xlfn.XLOOKUP(frasest[[#This Row],[autor_es]],autorest[autor_es],autorest[autor_la])</f>
        <v>Sententia Vasconica</v>
      </c>
      <c r="G677" s="6" t="str">
        <f>_xlfn.XLOOKUP(frasest[[#This Row],[autor_es]],autorest[autor_es],autorest[bio_es])</f>
        <v>Proverbios de la tradición oral vasca que reflejan la relación con la naturaleza, el trabajo y los valores comunitarios del pueblo vasco.</v>
      </c>
      <c r="H677" s="6" t="str">
        <f>_xlfn.XLOOKUP(frasest[[#This Row],[autor_es]],autorest[autor_es],autorest[bio_la])</f>
        <v>Collectio sententiarum Vasconicarum.</v>
      </c>
      <c r="I677" t="str">
        <f>_xlfn.XLOOKUP(frasest[[#This Row],[autor_es]],autorest[autor_es],autorest[codigo])</f>
        <v>eu</v>
      </c>
      <c r="J677" t="str">
        <f>_xlfn.XLOOKUP(frasest[[#This Row],[autor_es]],autorest[autor_es],autorest[idioma_es])</f>
        <v>Euskara</v>
      </c>
      <c r="K677" s="6" t="str">
        <f>_xlfn.XLOOKUP(frasest[[#This Row],[autor_es]],autorest[autor_es],autorest[idioma_la])</f>
        <v>Lingua Vasconica</v>
      </c>
      <c r="L677" s="6" t="str">
        <f>_xlfn.XLOOKUP(frasest[[#This Row],[autor_es]],autorest[autor_es],autorest[nacion_es])</f>
        <v>España</v>
      </c>
      <c r="M677" t="str">
        <f>_xlfn.XLOOKUP(frasest[[#This Row],[autor_es]],autorest[autor_es],autorest[nacion_la])</f>
        <v>Hispania</v>
      </c>
      <c r="N677" t="str">
        <f>_xlfn.XLOOKUP(frasest[[#This Row],[autor_es]],autorest[autor_es],autorest[epoca_es])</f>
        <v>Epoca Desconocida</v>
      </c>
      <c r="O677" t="str">
        <f>_xlfn.XLOOKUP(frasest[[#This Row],[autor_es]],autorest[autor_es],autorest[epoca_la])</f>
        <v>Epocha Ignota</v>
      </c>
    </row>
    <row r="678" spans="1:15">
      <c r="A678">
        <v>677</v>
      </c>
      <c r="B678" t="s">
        <v>1884</v>
      </c>
      <c r="C678" t="s">
        <v>1885</v>
      </c>
      <c r="D678" t="s">
        <v>1886</v>
      </c>
      <c r="E678" t="s">
        <v>995</v>
      </c>
      <c r="F678" t="str">
        <f>_xlfn.XLOOKUP(frasest[[#This Row],[autor_es]],autorest[autor_es],autorest[autor_la])</f>
        <v>Sententia Vasconica</v>
      </c>
      <c r="G678" s="6" t="str">
        <f>_xlfn.XLOOKUP(frasest[[#This Row],[autor_es]],autorest[autor_es],autorest[bio_es])</f>
        <v>Proverbios de la tradición oral vasca que reflejan la relación con la naturaleza, el trabajo y los valores comunitarios del pueblo vasco.</v>
      </c>
      <c r="H678" s="6" t="str">
        <f>_xlfn.XLOOKUP(frasest[[#This Row],[autor_es]],autorest[autor_es],autorest[bio_la])</f>
        <v>Collectio sententiarum Vasconicarum.</v>
      </c>
      <c r="I678" t="str">
        <f>_xlfn.XLOOKUP(frasest[[#This Row],[autor_es]],autorest[autor_es],autorest[codigo])</f>
        <v>eu</v>
      </c>
      <c r="J678" t="str">
        <f>_xlfn.XLOOKUP(frasest[[#This Row],[autor_es]],autorest[autor_es],autorest[idioma_es])</f>
        <v>Euskara</v>
      </c>
      <c r="K678" s="6" t="str">
        <f>_xlfn.XLOOKUP(frasest[[#This Row],[autor_es]],autorest[autor_es],autorest[idioma_la])</f>
        <v>Lingua Vasconica</v>
      </c>
      <c r="L678" s="6" t="str">
        <f>_xlfn.XLOOKUP(frasest[[#This Row],[autor_es]],autorest[autor_es],autorest[nacion_es])</f>
        <v>España</v>
      </c>
      <c r="M678" t="str">
        <f>_xlfn.XLOOKUP(frasest[[#This Row],[autor_es]],autorest[autor_es],autorest[nacion_la])</f>
        <v>Hispania</v>
      </c>
      <c r="N678" t="str">
        <f>_xlfn.XLOOKUP(frasest[[#This Row],[autor_es]],autorest[autor_es],autorest[epoca_es])</f>
        <v>Epoca Desconocida</v>
      </c>
      <c r="O678" t="str">
        <f>_xlfn.XLOOKUP(frasest[[#This Row],[autor_es]],autorest[autor_es],autorest[epoca_la])</f>
        <v>Epocha Ignota</v>
      </c>
    </row>
    <row r="679" spans="1:15">
      <c r="A679">
        <v>678</v>
      </c>
      <c r="B679" t="s">
        <v>1887</v>
      </c>
      <c r="C679" t="s">
        <v>1888</v>
      </c>
      <c r="D679" t="s">
        <v>1889</v>
      </c>
      <c r="E679" t="s">
        <v>995</v>
      </c>
      <c r="F679" t="str">
        <f>_xlfn.XLOOKUP(frasest[[#This Row],[autor_es]],autorest[autor_es],autorest[autor_la])</f>
        <v>Sententia Vasconica</v>
      </c>
      <c r="G679" s="6" t="str">
        <f>_xlfn.XLOOKUP(frasest[[#This Row],[autor_es]],autorest[autor_es],autorest[bio_es])</f>
        <v>Proverbios de la tradición oral vasca que reflejan la relación con la naturaleza, el trabajo y los valores comunitarios del pueblo vasco.</v>
      </c>
      <c r="H679" s="6" t="str">
        <f>_xlfn.XLOOKUP(frasest[[#This Row],[autor_es]],autorest[autor_es],autorest[bio_la])</f>
        <v>Collectio sententiarum Vasconicarum.</v>
      </c>
      <c r="I679" t="str">
        <f>_xlfn.XLOOKUP(frasest[[#This Row],[autor_es]],autorest[autor_es],autorest[codigo])</f>
        <v>eu</v>
      </c>
      <c r="J679" t="str">
        <f>_xlfn.XLOOKUP(frasest[[#This Row],[autor_es]],autorest[autor_es],autorest[idioma_es])</f>
        <v>Euskara</v>
      </c>
      <c r="K679" s="6" t="str">
        <f>_xlfn.XLOOKUP(frasest[[#This Row],[autor_es]],autorest[autor_es],autorest[idioma_la])</f>
        <v>Lingua Vasconica</v>
      </c>
      <c r="L679" s="6" t="str">
        <f>_xlfn.XLOOKUP(frasest[[#This Row],[autor_es]],autorest[autor_es],autorest[nacion_es])</f>
        <v>España</v>
      </c>
      <c r="M679" t="str">
        <f>_xlfn.XLOOKUP(frasest[[#This Row],[autor_es]],autorest[autor_es],autorest[nacion_la])</f>
        <v>Hispania</v>
      </c>
      <c r="N679" t="str">
        <f>_xlfn.XLOOKUP(frasest[[#This Row],[autor_es]],autorest[autor_es],autorest[epoca_es])</f>
        <v>Epoca Desconocida</v>
      </c>
      <c r="O679" t="str">
        <f>_xlfn.XLOOKUP(frasest[[#This Row],[autor_es]],autorest[autor_es],autorest[epoca_la])</f>
        <v>Epocha Ignota</v>
      </c>
    </row>
    <row r="680" spans="1:15">
      <c r="A680">
        <v>679</v>
      </c>
      <c r="B680" t="s">
        <v>1890</v>
      </c>
      <c r="C680" t="s">
        <v>1891</v>
      </c>
      <c r="D680" t="s">
        <v>1892</v>
      </c>
      <c r="E680" t="s">
        <v>995</v>
      </c>
      <c r="F680" t="str">
        <f>_xlfn.XLOOKUP(frasest[[#This Row],[autor_es]],autorest[autor_es],autorest[autor_la])</f>
        <v>Sententia Vasconica</v>
      </c>
      <c r="G680" s="6" t="str">
        <f>_xlfn.XLOOKUP(frasest[[#This Row],[autor_es]],autorest[autor_es],autorest[bio_es])</f>
        <v>Proverbios de la tradición oral vasca que reflejan la relación con la naturaleza, el trabajo y los valores comunitarios del pueblo vasco.</v>
      </c>
      <c r="H680" s="6" t="str">
        <f>_xlfn.XLOOKUP(frasest[[#This Row],[autor_es]],autorest[autor_es],autorest[bio_la])</f>
        <v>Collectio sententiarum Vasconicarum.</v>
      </c>
      <c r="I680" t="str">
        <f>_xlfn.XLOOKUP(frasest[[#This Row],[autor_es]],autorest[autor_es],autorest[codigo])</f>
        <v>eu</v>
      </c>
      <c r="J680" t="str">
        <f>_xlfn.XLOOKUP(frasest[[#This Row],[autor_es]],autorest[autor_es],autorest[idioma_es])</f>
        <v>Euskara</v>
      </c>
      <c r="K680" s="6" t="str">
        <f>_xlfn.XLOOKUP(frasest[[#This Row],[autor_es]],autorest[autor_es],autorest[idioma_la])</f>
        <v>Lingua Vasconica</v>
      </c>
      <c r="L680" s="6" t="str">
        <f>_xlfn.XLOOKUP(frasest[[#This Row],[autor_es]],autorest[autor_es],autorest[nacion_es])</f>
        <v>España</v>
      </c>
      <c r="M680" t="str">
        <f>_xlfn.XLOOKUP(frasest[[#This Row],[autor_es]],autorest[autor_es],autorest[nacion_la])</f>
        <v>Hispania</v>
      </c>
      <c r="N680" t="str">
        <f>_xlfn.XLOOKUP(frasest[[#This Row],[autor_es]],autorest[autor_es],autorest[epoca_es])</f>
        <v>Epoca Desconocida</v>
      </c>
      <c r="O680" t="str">
        <f>_xlfn.XLOOKUP(frasest[[#This Row],[autor_es]],autorest[autor_es],autorest[epoca_la])</f>
        <v>Epocha Ignota</v>
      </c>
    </row>
    <row r="681" spans="1:15">
      <c r="A681">
        <v>680</v>
      </c>
      <c r="B681" t="s">
        <v>1893</v>
      </c>
      <c r="C681" t="s">
        <v>1894</v>
      </c>
      <c r="D681" t="s">
        <v>1895</v>
      </c>
      <c r="E681" t="s">
        <v>995</v>
      </c>
      <c r="F681" t="str">
        <f>_xlfn.XLOOKUP(frasest[[#This Row],[autor_es]],autorest[autor_es],autorest[autor_la])</f>
        <v>Sententia Vasconica</v>
      </c>
      <c r="G681" s="6" t="str">
        <f>_xlfn.XLOOKUP(frasest[[#This Row],[autor_es]],autorest[autor_es],autorest[bio_es])</f>
        <v>Proverbios de la tradición oral vasca que reflejan la relación con la naturaleza, el trabajo y los valores comunitarios del pueblo vasco.</v>
      </c>
      <c r="H681" s="6" t="str">
        <f>_xlfn.XLOOKUP(frasest[[#This Row],[autor_es]],autorest[autor_es],autorest[bio_la])</f>
        <v>Collectio sententiarum Vasconicarum.</v>
      </c>
      <c r="I681" t="str">
        <f>_xlfn.XLOOKUP(frasest[[#This Row],[autor_es]],autorest[autor_es],autorest[codigo])</f>
        <v>eu</v>
      </c>
      <c r="J681" t="str">
        <f>_xlfn.XLOOKUP(frasest[[#This Row],[autor_es]],autorest[autor_es],autorest[idioma_es])</f>
        <v>Euskara</v>
      </c>
      <c r="K681" s="6" t="str">
        <f>_xlfn.XLOOKUP(frasest[[#This Row],[autor_es]],autorest[autor_es],autorest[idioma_la])</f>
        <v>Lingua Vasconica</v>
      </c>
      <c r="L681" s="6" t="str">
        <f>_xlfn.XLOOKUP(frasest[[#This Row],[autor_es]],autorest[autor_es],autorest[nacion_es])</f>
        <v>España</v>
      </c>
      <c r="M681" t="str">
        <f>_xlfn.XLOOKUP(frasest[[#This Row],[autor_es]],autorest[autor_es],autorest[nacion_la])</f>
        <v>Hispania</v>
      </c>
      <c r="N681" t="str">
        <f>_xlfn.XLOOKUP(frasest[[#This Row],[autor_es]],autorest[autor_es],autorest[epoca_es])</f>
        <v>Epoca Desconocida</v>
      </c>
      <c r="O681" t="str">
        <f>_xlfn.XLOOKUP(frasest[[#This Row],[autor_es]],autorest[autor_es],autorest[epoca_la])</f>
        <v>Epocha Ignota</v>
      </c>
    </row>
    <row r="682" spans="1:15">
      <c r="A682">
        <v>681</v>
      </c>
      <c r="B682" t="s">
        <v>1896</v>
      </c>
      <c r="C682" t="s">
        <v>1897</v>
      </c>
      <c r="D682" t="s">
        <v>1898</v>
      </c>
      <c r="E682" t="s">
        <v>995</v>
      </c>
      <c r="F682" t="str">
        <f>_xlfn.XLOOKUP(frasest[[#This Row],[autor_es]],autorest[autor_es],autorest[autor_la])</f>
        <v>Sententia Vasconica</v>
      </c>
      <c r="G682" s="6" t="str">
        <f>_xlfn.XLOOKUP(frasest[[#This Row],[autor_es]],autorest[autor_es],autorest[bio_es])</f>
        <v>Proverbios de la tradición oral vasca que reflejan la relación con la naturaleza, el trabajo y los valores comunitarios del pueblo vasco.</v>
      </c>
      <c r="H682" s="6" t="str">
        <f>_xlfn.XLOOKUP(frasest[[#This Row],[autor_es]],autorest[autor_es],autorest[bio_la])</f>
        <v>Collectio sententiarum Vasconicarum.</v>
      </c>
      <c r="I682" t="str">
        <f>_xlfn.XLOOKUP(frasest[[#This Row],[autor_es]],autorest[autor_es],autorest[codigo])</f>
        <v>eu</v>
      </c>
      <c r="J682" t="str">
        <f>_xlfn.XLOOKUP(frasest[[#This Row],[autor_es]],autorest[autor_es],autorest[idioma_es])</f>
        <v>Euskara</v>
      </c>
      <c r="K682" s="6" t="str">
        <f>_xlfn.XLOOKUP(frasest[[#This Row],[autor_es]],autorest[autor_es],autorest[idioma_la])</f>
        <v>Lingua Vasconica</v>
      </c>
      <c r="L682" s="6" t="str">
        <f>_xlfn.XLOOKUP(frasest[[#This Row],[autor_es]],autorest[autor_es],autorest[nacion_es])</f>
        <v>España</v>
      </c>
      <c r="M682" t="str">
        <f>_xlfn.XLOOKUP(frasest[[#This Row],[autor_es]],autorest[autor_es],autorest[nacion_la])</f>
        <v>Hispania</v>
      </c>
      <c r="N682" t="str">
        <f>_xlfn.XLOOKUP(frasest[[#This Row],[autor_es]],autorest[autor_es],autorest[epoca_es])</f>
        <v>Epoca Desconocida</v>
      </c>
      <c r="O682" t="str">
        <f>_xlfn.XLOOKUP(frasest[[#This Row],[autor_es]],autorest[autor_es],autorest[epoca_la])</f>
        <v>Epocha Ignota</v>
      </c>
    </row>
    <row r="683" spans="1:15">
      <c r="A683">
        <v>682</v>
      </c>
      <c r="B683" t="s">
        <v>1899</v>
      </c>
      <c r="C683" t="s">
        <v>1900</v>
      </c>
      <c r="D683" t="s">
        <v>1901</v>
      </c>
      <c r="E683" t="s">
        <v>995</v>
      </c>
      <c r="F683" t="str">
        <f>_xlfn.XLOOKUP(frasest[[#This Row],[autor_es]],autorest[autor_es],autorest[autor_la])</f>
        <v>Sententia Vasconica</v>
      </c>
      <c r="G683" s="6" t="str">
        <f>_xlfn.XLOOKUP(frasest[[#This Row],[autor_es]],autorest[autor_es],autorest[bio_es])</f>
        <v>Proverbios de la tradición oral vasca que reflejan la relación con la naturaleza, el trabajo y los valores comunitarios del pueblo vasco.</v>
      </c>
      <c r="H683" s="6" t="str">
        <f>_xlfn.XLOOKUP(frasest[[#This Row],[autor_es]],autorest[autor_es],autorest[bio_la])</f>
        <v>Collectio sententiarum Vasconicarum.</v>
      </c>
      <c r="I683" t="str">
        <f>_xlfn.XLOOKUP(frasest[[#This Row],[autor_es]],autorest[autor_es],autorest[codigo])</f>
        <v>eu</v>
      </c>
      <c r="J683" t="str">
        <f>_xlfn.XLOOKUP(frasest[[#This Row],[autor_es]],autorest[autor_es],autorest[idioma_es])</f>
        <v>Euskara</v>
      </c>
      <c r="K683" s="6" t="str">
        <f>_xlfn.XLOOKUP(frasest[[#This Row],[autor_es]],autorest[autor_es],autorest[idioma_la])</f>
        <v>Lingua Vasconica</v>
      </c>
      <c r="L683" s="6" t="str">
        <f>_xlfn.XLOOKUP(frasest[[#This Row],[autor_es]],autorest[autor_es],autorest[nacion_es])</f>
        <v>España</v>
      </c>
      <c r="M683" t="str">
        <f>_xlfn.XLOOKUP(frasest[[#This Row],[autor_es]],autorest[autor_es],autorest[nacion_la])</f>
        <v>Hispania</v>
      </c>
      <c r="N683" t="str">
        <f>_xlfn.XLOOKUP(frasest[[#This Row],[autor_es]],autorest[autor_es],autorest[epoca_es])</f>
        <v>Epoca Desconocida</v>
      </c>
      <c r="O683" t="str">
        <f>_xlfn.XLOOKUP(frasest[[#This Row],[autor_es]],autorest[autor_es],autorest[epoca_la])</f>
        <v>Epocha Ignota</v>
      </c>
    </row>
    <row r="684" spans="1:15">
      <c r="A684">
        <v>683</v>
      </c>
      <c r="B684" t="s">
        <v>1902</v>
      </c>
      <c r="C684" t="s">
        <v>1903</v>
      </c>
      <c r="D684" t="s">
        <v>1904</v>
      </c>
      <c r="E684" t="s">
        <v>995</v>
      </c>
      <c r="F684" t="str">
        <f>_xlfn.XLOOKUP(frasest[[#This Row],[autor_es]],autorest[autor_es],autorest[autor_la])</f>
        <v>Sententia Vasconica</v>
      </c>
      <c r="G684" s="6" t="str">
        <f>_xlfn.XLOOKUP(frasest[[#This Row],[autor_es]],autorest[autor_es],autorest[bio_es])</f>
        <v>Proverbios de la tradición oral vasca que reflejan la relación con la naturaleza, el trabajo y los valores comunitarios del pueblo vasco.</v>
      </c>
      <c r="H684" s="6" t="str">
        <f>_xlfn.XLOOKUP(frasest[[#This Row],[autor_es]],autorest[autor_es],autorest[bio_la])</f>
        <v>Collectio sententiarum Vasconicarum.</v>
      </c>
      <c r="I684" t="str">
        <f>_xlfn.XLOOKUP(frasest[[#This Row],[autor_es]],autorest[autor_es],autorest[codigo])</f>
        <v>eu</v>
      </c>
      <c r="J684" t="str">
        <f>_xlfn.XLOOKUP(frasest[[#This Row],[autor_es]],autorest[autor_es],autorest[idioma_es])</f>
        <v>Euskara</v>
      </c>
      <c r="K684" s="6" t="str">
        <f>_xlfn.XLOOKUP(frasest[[#This Row],[autor_es]],autorest[autor_es],autorest[idioma_la])</f>
        <v>Lingua Vasconica</v>
      </c>
      <c r="L684" s="6" t="str">
        <f>_xlfn.XLOOKUP(frasest[[#This Row],[autor_es]],autorest[autor_es],autorest[nacion_es])</f>
        <v>España</v>
      </c>
      <c r="M684" t="str">
        <f>_xlfn.XLOOKUP(frasest[[#This Row],[autor_es]],autorest[autor_es],autorest[nacion_la])</f>
        <v>Hispania</v>
      </c>
      <c r="N684" t="str">
        <f>_xlfn.XLOOKUP(frasest[[#This Row],[autor_es]],autorest[autor_es],autorest[epoca_es])</f>
        <v>Epoca Desconocida</v>
      </c>
      <c r="O684" t="str">
        <f>_xlfn.XLOOKUP(frasest[[#This Row],[autor_es]],autorest[autor_es],autorest[epoca_la])</f>
        <v>Epocha Ignota</v>
      </c>
    </row>
    <row r="685" spans="1:15">
      <c r="A685">
        <v>684</v>
      </c>
      <c r="B685" t="s">
        <v>1905</v>
      </c>
      <c r="C685" t="s">
        <v>1906</v>
      </c>
      <c r="D685" t="s">
        <v>1907</v>
      </c>
      <c r="E685" t="s">
        <v>995</v>
      </c>
      <c r="F685" t="str">
        <f>_xlfn.XLOOKUP(frasest[[#This Row],[autor_es]],autorest[autor_es],autorest[autor_la])</f>
        <v>Sententia Vasconica</v>
      </c>
      <c r="G685" s="6" t="str">
        <f>_xlfn.XLOOKUP(frasest[[#This Row],[autor_es]],autorest[autor_es],autorest[bio_es])</f>
        <v>Proverbios de la tradición oral vasca que reflejan la relación con la naturaleza, el trabajo y los valores comunitarios del pueblo vasco.</v>
      </c>
      <c r="H685" s="6" t="str">
        <f>_xlfn.XLOOKUP(frasest[[#This Row],[autor_es]],autorest[autor_es],autorest[bio_la])</f>
        <v>Collectio sententiarum Vasconicarum.</v>
      </c>
      <c r="I685" t="str">
        <f>_xlfn.XLOOKUP(frasest[[#This Row],[autor_es]],autorest[autor_es],autorest[codigo])</f>
        <v>eu</v>
      </c>
      <c r="J685" t="str">
        <f>_xlfn.XLOOKUP(frasest[[#This Row],[autor_es]],autorest[autor_es],autorest[idioma_es])</f>
        <v>Euskara</v>
      </c>
      <c r="K685" s="6" t="str">
        <f>_xlfn.XLOOKUP(frasest[[#This Row],[autor_es]],autorest[autor_es],autorest[idioma_la])</f>
        <v>Lingua Vasconica</v>
      </c>
      <c r="L685" s="6" t="str">
        <f>_xlfn.XLOOKUP(frasest[[#This Row],[autor_es]],autorest[autor_es],autorest[nacion_es])</f>
        <v>España</v>
      </c>
      <c r="M685" t="str">
        <f>_xlfn.XLOOKUP(frasest[[#This Row],[autor_es]],autorest[autor_es],autorest[nacion_la])</f>
        <v>Hispania</v>
      </c>
      <c r="N685" t="str">
        <f>_xlfn.XLOOKUP(frasest[[#This Row],[autor_es]],autorest[autor_es],autorest[epoca_es])</f>
        <v>Epoca Desconocida</v>
      </c>
      <c r="O685" t="str">
        <f>_xlfn.XLOOKUP(frasest[[#This Row],[autor_es]],autorest[autor_es],autorest[epoca_la])</f>
        <v>Epocha Ignota</v>
      </c>
    </row>
    <row r="686" spans="1:15">
      <c r="A686">
        <v>685</v>
      </c>
      <c r="B686" t="s">
        <v>1908</v>
      </c>
      <c r="C686" t="s">
        <v>1909</v>
      </c>
      <c r="D686" t="s">
        <v>1910</v>
      </c>
      <c r="E686" t="s">
        <v>995</v>
      </c>
      <c r="F686" t="str">
        <f>_xlfn.XLOOKUP(frasest[[#This Row],[autor_es]],autorest[autor_es],autorest[autor_la])</f>
        <v>Sententia Vasconica</v>
      </c>
      <c r="G686" s="6" t="str">
        <f>_xlfn.XLOOKUP(frasest[[#This Row],[autor_es]],autorest[autor_es],autorest[bio_es])</f>
        <v>Proverbios de la tradición oral vasca que reflejan la relación con la naturaleza, el trabajo y los valores comunitarios del pueblo vasco.</v>
      </c>
      <c r="H686" s="6" t="str">
        <f>_xlfn.XLOOKUP(frasest[[#This Row],[autor_es]],autorest[autor_es],autorest[bio_la])</f>
        <v>Collectio sententiarum Vasconicarum.</v>
      </c>
      <c r="I686" t="str">
        <f>_xlfn.XLOOKUP(frasest[[#This Row],[autor_es]],autorest[autor_es],autorest[codigo])</f>
        <v>eu</v>
      </c>
      <c r="J686" t="str">
        <f>_xlfn.XLOOKUP(frasest[[#This Row],[autor_es]],autorest[autor_es],autorest[idioma_es])</f>
        <v>Euskara</v>
      </c>
      <c r="K686" s="6" t="str">
        <f>_xlfn.XLOOKUP(frasest[[#This Row],[autor_es]],autorest[autor_es],autorest[idioma_la])</f>
        <v>Lingua Vasconica</v>
      </c>
      <c r="L686" s="6" t="str">
        <f>_xlfn.XLOOKUP(frasest[[#This Row],[autor_es]],autorest[autor_es],autorest[nacion_es])</f>
        <v>España</v>
      </c>
      <c r="M686" t="str">
        <f>_xlfn.XLOOKUP(frasest[[#This Row],[autor_es]],autorest[autor_es],autorest[nacion_la])</f>
        <v>Hispania</v>
      </c>
      <c r="N686" t="str">
        <f>_xlfn.XLOOKUP(frasest[[#This Row],[autor_es]],autorest[autor_es],autorest[epoca_es])</f>
        <v>Epoca Desconocida</v>
      </c>
      <c r="O686" t="str">
        <f>_xlfn.XLOOKUP(frasest[[#This Row],[autor_es]],autorest[autor_es],autorest[epoca_la])</f>
        <v>Epocha Ignota</v>
      </c>
    </row>
    <row r="687" spans="1:15">
      <c r="A687">
        <v>686</v>
      </c>
      <c r="B687" t="s">
        <v>1911</v>
      </c>
      <c r="C687" t="s">
        <v>1912</v>
      </c>
      <c r="D687" t="s">
        <v>1913</v>
      </c>
      <c r="E687" t="s">
        <v>995</v>
      </c>
      <c r="F687" t="str">
        <f>_xlfn.XLOOKUP(frasest[[#This Row],[autor_es]],autorest[autor_es],autorest[autor_la])</f>
        <v>Sententia Vasconica</v>
      </c>
      <c r="G687" s="6" t="str">
        <f>_xlfn.XLOOKUP(frasest[[#This Row],[autor_es]],autorest[autor_es],autorest[bio_es])</f>
        <v>Proverbios de la tradición oral vasca que reflejan la relación con la naturaleza, el trabajo y los valores comunitarios del pueblo vasco.</v>
      </c>
      <c r="H687" s="6" t="str">
        <f>_xlfn.XLOOKUP(frasest[[#This Row],[autor_es]],autorest[autor_es],autorest[bio_la])</f>
        <v>Collectio sententiarum Vasconicarum.</v>
      </c>
      <c r="I687" t="str">
        <f>_xlfn.XLOOKUP(frasest[[#This Row],[autor_es]],autorest[autor_es],autorest[codigo])</f>
        <v>eu</v>
      </c>
      <c r="J687" t="str">
        <f>_xlfn.XLOOKUP(frasest[[#This Row],[autor_es]],autorest[autor_es],autorest[idioma_es])</f>
        <v>Euskara</v>
      </c>
      <c r="K687" s="6" t="str">
        <f>_xlfn.XLOOKUP(frasest[[#This Row],[autor_es]],autorest[autor_es],autorest[idioma_la])</f>
        <v>Lingua Vasconica</v>
      </c>
      <c r="L687" s="6" t="str">
        <f>_xlfn.XLOOKUP(frasest[[#This Row],[autor_es]],autorest[autor_es],autorest[nacion_es])</f>
        <v>España</v>
      </c>
      <c r="M687" t="str">
        <f>_xlfn.XLOOKUP(frasest[[#This Row],[autor_es]],autorest[autor_es],autorest[nacion_la])</f>
        <v>Hispania</v>
      </c>
      <c r="N687" t="str">
        <f>_xlfn.XLOOKUP(frasest[[#This Row],[autor_es]],autorest[autor_es],autorest[epoca_es])</f>
        <v>Epoca Desconocida</v>
      </c>
      <c r="O687" t="str">
        <f>_xlfn.XLOOKUP(frasest[[#This Row],[autor_es]],autorest[autor_es],autorest[epoca_la])</f>
        <v>Epocha Ignota</v>
      </c>
    </row>
    <row r="688" spans="1:15">
      <c r="A688">
        <v>687</v>
      </c>
      <c r="B688" t="s">
        <v>1914</v>
      </c>
      <c r="C688" t="s">
        <v>1915</v>
      </c>
      <c r="D688" t="s">
        <v>1916</v>
      </c>
      <c r="E688" t="s">
        <v>995</v>
      </c>
      <c r="F688" t="str">
        <f>_xlfn.XLOOKUP(frasest[[#This Row],[autor_es]],autorest[autor_es],autorest[autor_la])</f>
        <v>Sententia Vasconica</v>
      </c>
      <c r="G688" s="6" t="str">
        <f>_xlfn.XLOOKUP(frasest[[#This Row],[autor_es]],autorest[autor_es],autorest[bio_es])</f>
        <v>Proverbios de la tradición oral vasca que reflejan la relación con la naturaleza, el trabajo y los valores comunitarios del pueblo vasco.</v>
      </c>
      <c r="H688" s="6" t="str">
        <f>_xlfn.XLOOKUP(frasest[[#This Row],[autor_es]],autorest[autor_es],autorest[bio_la])</f>
        <v>Collectio sententiarum Vasconicarum.</v>
      </c>
      <c r="I688" t="str">
        <f>_xlfn.XLOOKUP(frasest[[#This Row],[autor_es]],autorest[autor_es],autorest[codigo])</f>
        <v>eu</v>
      </c>
      <c r="J688" t="str">
        <f>_xlfn.XLOOKUP(frasest[[#This Row],[autor_es]],autorest[autor_es],autorest[idioma_es])</f>
        <v>Euskara</v>
      </c>
      <c r="K688" s="6" t="str">
        <f>_xlfn.XLOOKUP(frasest[[#This Row],[autor_es]],autorest[autor_es],autorest[idioma_la])</f>
        <v>Lingua Vasconica</v>
      </c>
      <c r="L688" s="6" t="str">
        <f>_xlfn.XLOOKUP(frasest[[#This Row],[autor_es]],autorest[autor_es],autorest[nacion_es])</f>
        <v>España</v>
      </c>
      <c r="M688" t="str">
        <f>_xlfn.XLOOKUP(frasest[[#This Row],[autor_es]],autorest[autor_es],autorest[nacion_la])</f>
        <v>Hispania</v>
      </c>
      <c r="N688" t="str">
        <f>_xlfn.XLOOKUP(frasest[[#This Row],[autor_es]],autorest[autor_es],autorest[epoca_es])</f>
        <v>Epoca Desconocida</v>
      </c>
      <c r="O688" t="str">
        <f>_xlfn.XLOOKUP(frasest[[#This Row],[autor_es]],autorest[autor_es],autorest[epoca_la])</f>
        <v>Epocha Ignota</v>
      </c>
    </row>
    <row r="689" spans="1:15">
      <c r="A689">
        <v>688</v>
      </c>
      <c r="B689" t="s">
        <v>1917</v>
      </c>
      <c r="C689" t="s">
        <v>1918</v>
      </c>
      <c r="D689" t="s">
        <v>1919</v>
      </c>
      <c r="E689" t="s">
        <v>995</v>
      </c>
      <c r="F689" t="str">
        <f>_xlfn.XLOOKUP(frasest[[#This Row],[autor_es]],autorest[autor_es],autorest[autor_la])</f>
        <v>Sententia Vasconica</v>
      </c>
      <c r="G689" s="6" t="str">
        <f>_xlfn.XLOOKUP(frasest[[#This Row],[autor_es]],autorest[autor_es],autorest[bio_es])</f>
        <v>Proverbios de la tradición oral vasca que reflejan la relación con la naturaleza, el trabajo y los valores comunitarios del pueblo vasco.</v>
      </c>
      <c r="H689" s="6" t="str">
        <f>_xlfn.XLOOKUP(frasest[[#This Row],[autor_es]],autorest[autor_es],autorest[bio_la])</f>
        <v>Collectio sententiarum Vasconicarum.</v>
      </c>
      <c r="I689" t="str">
        <f>_xlfn.XLOOKUP(frasest[[#This Row],[autor_es]],autorest[autor_es],autorest[codigo])</f>
        <v>eu</v>
      </c>
      <c r="J689" t="str">
        <f>_xlfn.XLOOKUP(frasest[[#This Row],[autor_es]],autorest[autor_es],autorest[idioma_es])</f>
        <v>Euskara</v>
      </c>
      <c r="K689" s="6" t="str">
        <f>_xlfn.XLOOKUP(frasest[[#This Row],[autor_es]],autorest[autor_es],autorest[idioma_la])</f>
        <v>Lingua Vasconica</v>
      </c>
      <c r="L689" s="6" t="str">
        <f>_xlfn.XLOOKUP(frasest[[#This Row],[autor_es]],autorest[autor_es],autorest[nacion_es])</f>
        <v>España</v>
      </c>
      <c r="M689" t="str">
        <f>_xlfn.XLOOKUP(frasest[[#This Row],[autor_es]],autorest[autor_es],autorest[nacion_la])</f>
        <v>Hispania</v>
      </c>
      <c r="N689" t="str">
        <f>_xlfn.XLOOKUP(frasest[[#This Row],[autor_es]],autorest[autor_es],autorest[epoca_es])</f>
        <v>Epoca Desconocida</v>
      </c>
      <c r="O689" t="str">
        <f>_xlfn.XLOOKUP(frasest[[#This Row],[autor_es]],autorest[autor_es],autorest[epoca_la])</f>
        <v>Epocha Ignota</v>
      </c>
    </row>
    <row r="690" spans="1:15">
      <c r="A690">
        <v>689</v>
      </c>
      <c r="B690" t="s">
        <v>1920</v>
      </c>
      <c r="C690" t="s">
        <v>1921</v>
      </c>
      <c r="D690" t="s">
        <v>1922</v>
      </c>
      <c r="E690" t="s">
        <v>995</v>
      </c>
      <c r="F690" t="str">
        <f>_xlfn.XLOOKUP(frasest[[#This Row],[autor_es]],autorest[autor_es],autorest[autor_la])</f>
        <v>Sententia Vasconica</v>
      </c>
      <c r="G690" s="6" t="str">
        <f>_xlfn.XLOOKUP(frasest[[#This Row],[autor_es]],autorest[autor_es],autorest[bio_es])</f>
        <v>Proverbios de la tradición oral vasca que reflejan la relación con la naturaleza, el trabajo y los valores comunitarios del pueblo vasco.</v>
      </c>
      <c r="H690" s="6" t="str">
        <f>_xlfn.XLOOKUP(frasest[[#This Row],[autor_es]],autorest[autor_es],autorest[bio_la])</f>
        <v>Collectio sententiarum Vasconicarum.</v>
      </c>
      <c r="I690" t="str">
        <f>_xlfn.XLOOKUP(frasest[[#This Row],[autor_es]],autorest[autor_es],autorest[codigo])</f>
        <v>eu</v>
      </c>
      <c r="J690" t="str">
        <f>_xlfn.XLOOKUP(frasest[[#This Row],[autor_es]],autorest[autor_es],autorest[idioma_es])</f>
        <v>Euskara</v>
      </c>
      <c r="K690" s="6" t="str">
        <f>_xlfn.XLOOKUP(frasest[[#This Row],[autor_es]],autorest[autor_es],autorest[idioma_la])</f>
        <v>Lingua Vasconica</v>
      </c>
      <c r="L690" s="6" t="str">
        <f>_xlfn.XLOOKUP(frasest[[#This Row],[autor_es]],autorest[autor_es],autorest[nacion_es])</f>
        <v>España</v>
      </c>
      <c r="M690" t="str">
        <f>_xlfn.XLOOKUP(frasest[[#This Row],[autor_es]],autorest[autor_es],autorest[nacion_la])</f>
        <v>Hispania</v>
      </c>
      <c r="N690" t="str">
        <f>_xlfn.XLOOKUP(frasest[[#This Row],[autor_es]],autorest[autor_es],autorest[epoca_es])</f>
        <v>Epoca Desconocida</v>
      </c>
      <c r="O690" t="str">
        <f>_xlfn.XLOOKUP(frasest[[#This Row],[autor_es]],autorest[autor_es],autorest[epoca_la])</f>
        <v>Epocha Ignota</v>
      </c>
    </row>
    <row r="691" spans="1:15">
      <c r="A691">
        <v>690</v>
      </c>
      <c r="B691" t="s">
        <v>1923</v>
      </c>
      <c r="C691" t="s">
        <v>1924</v>
      </c>
      <c r="D691" t="s">
        <v>1925</v>
      </c>
      <c r="E691" t="s">
        <v>995</v>
      </c>
      <c r="F691" t="str">
        <f>_xlfn.XLOOKUP(frasest[[#This Row],[autor_es]],autorest[autor_es],autorest[autor_la])</f>
        <v>Sententia Vasconica</v>
      </c>
      <c r="G691" s="6" t="str">
        <f>_xlfn.XLOOKUP(frasest[[#This Row],[autor_es]],autorest[autor_es],autorest[bio_es])</f>
        <v>Proverbios de la tradición oral vasca que reflejan la relación con la naturaleza, el trabajo y los valores comunitarios del pueblo vasco.</v>
      </c>
      <c r="H691" s="6" t="str">
        <f>_xlfn.XLOOKUP(frasest[[#This Row],[autor_es]],autorest[autor_es],autorest[bio_la])</f>
        <v>Collectio sententiarum Vasconicarum.</v>
      </c>
      <c r="I691" t="str">
        <f>_xlfn.XLOOKUP(frasest[[#This Row],[autor_es]],autorest[autor_es],autorest[codigo])</f>
        <v>eu</v>
      </c>
      <c r="J691" t="str">
        <f>_xlfn.XLOOKUP(frasest[[#This Row],[autor_es]],autorest[autor_es],autorest[idioma_es])</f>
        <v>Euskara</v>
      </c>
      <c r="K691" s="6" t="str">
        <f>_xlfn.XLOOKUP(frasest[[#This Row],[autor_es]],autorest[autor_es],autorest[idioma_la])</f>
        <v>Lingua Vasconica</v>
      </c>
      <c r="L691" s="6" t="str">
        <f>_xlfn.XLOOKUP(frasest[[#This Row],[autor_es]],autorest[autor_es],autorest[nacion_es])</f>
        <v>España</v>
      </c>
      <c r="M691" t="str">
        <f>_xlfn.XLOOKUP(frasest[[#This Row],[autor_es]],autorest[autor_es],autorest[nacion_la])</f>
        <v>Hispania</v>
      </c>
      <c r="N691" t="str">
        <f>_xlfn.XLOOKUP(frasest[[#This Row],[autor_es]],autorest[autor_es],autorest[epoca_es])</f>
        <v>Epoca Desconocida</v>
      </c>
      <c r="O691" t="str">
        <f>_xlfn.XLOOKUP(frasest[[#This Row],[autor_es]],autorest[autor_es],autorest[epoca_la])</f>
        <v>Epocha Ignota</v>
      </c>
    </row>
    <row r="692" spans="1:15">
      <c r="A692">
        <v>691</v>
      </c>
      <c r="B692" t="s">
        <v>1926</v>
      </c>
      <c r="C692" t="s">
        <v>1927</v>
      </c>
      <c r="D692" t="s">
        <v>1928</v>
      </c>
      <c r="E692" t="s">
        <v>995</v>
      </c>
      <c r="F692" t="str">
        <f>_xlfn.XLOOKUP(frasest[[#This Row],[autor_es]],autorest[autor_es],autorest[autor_la])</f>
        <v>Sententia Vasconica</v>
      </c>
      <c r="G692" s="6" t="str">
        <f>_xlfn.XLOOKUP(frasest[[#This Row],[autor_es]],autorest[autor_es],autorest[bio_es])</f>
        <v>Proverbios de la tradición oral vasca que reflejan la relación con la naturaleza, el trabajo y los valores comunitarios del pueblo vasco.</v>
      </c>
      <c r="H692" s="6" t="str">
        <f>_xlfn.XLOOKUP(frasest[[#This Row],[autor_es]],autorest[autor_es],autorest[bio_la])</f>
        <v>Collectio sententiarum Vasconicarum.</v>
      </c>
      <c r="I692" t="str">
        <f>_xlfn.XLOOKUP(frasest[[#This Row],[autor_es]],autorest[autor_es],autorest[codigo])</f>
        <v>eu</v>
      </c>
      <c r="J692" t="str">
        <f>_xlfn.XLOOKUP(frasest[[#This Row],[autor_es]],autorest[autor_es],autorest[idioma_es])</f>
        <v>Euskara</v>
      </c>
      <c r="K692" s="6" t="str">
        <f>_xlfn.XLOOKUP(frasest[[#This Row],[autor_es]],autorest[autor_es],autorest[idioma_la])</f>
        <v>Lingua Vasconica</v>
      </c>
      <c r="L692" s="6" t="str">
        <f>_xlfn.XLOOKUP(frasest[[#This Row],[autor_es]],autorest[autor_es],autorest[nacion_es])</f>
        <v>España</v>
      </c>
      <c r="M692" t="str">
        <f>_xlfn.XLOOKUP(frasest[[#This Row],[autor_es]],autorest[autor_es],autorest[nacion_la])</f>
        <v>Hispania</v>
      </c>
      <c r="N692" t="str">
        <f>_xlfn.XLOOKUP(frasest[[#This Row],[autor_es]],autorest[autor_es],autorest[epoca_es])</f>
        <v>Epoca Desconocida</v>
      </c>
      <c r="O692" t="str">
        <f>_xlfn.XLOOKUP(frasest[[#This Row],[autor_es]],autorest[autor_es],autorest[epoca_la])</f>
        <v>Epocha Ignota</v>
      </c>
    </row>
    <row r="693" spans="1:15">
      <c r="A693">
        <v>692</v>
      </c>
      <c r="B693" t="s">
        <v>1929</v>
      </c>
      <c r="C693" t="s">
        <v>1930</v>
      </c>
      <c r="D693" t="s">
        <v>1931</v>
      </c>
      <c r="E693" t="s">
        <v>995</v>
      </c>
      <c r="F693" t="str">
        <f>_xlfn.XLOOKUP(frasest[[#This Row],[autor_es]],autorest[autor_es],autorest[autor_la])</f>
        <v>Sententia Vasconica</v>
      </c>
      <c r="G693" s="6" t="str">
        <f>_xlfn.XLOOKUP(frasest[[#This Row],[autor_es]],autorest[autor_es],autorest[bio_es])</f>
        <v>Proverbios de la tradición oral vasca que reflejan la relación con la naturaleza, el trabajo y los valores comunitarios del pueblo vasco.</v>
      </c>
      <c r="H693" s="6" t="str">
        <f>_xlfn.XLOOKUP(frasest[[#This Row],[autor_es]],autorest[autor_es],autorest[bio_la])</f>
        <v>Collectio sententiarum Vasconicarum.</v>
      </c>
      <c r="I693" t="str">
        <f>_xlfn.XLOOKUP(frasest[[#This Row],[autor_es]],autorest[autor_es],autorest[codigo])</f>
        <v>eu</v>
      </c>
      <c r="J693" t="str">
        <f>_xlfn.XLOOKUP(frasest[[#This Row],[autor_es]],autorest[autor_es],autorest[idioma_es])</f>
        <v>Euskara</v>
      </c>
      <c r="K693" s="6" t="str">
        <f>_xlfn.XLOOKUP(frasest[[#This Row],[autor_es]],autorest[autor_es],autorest[idioma_la])</f>
        <v>Lingua Vasconica</v>
      </c>
      <c r="L693" s="6" t="str">
        <f>_xlfn.XLOOKUP(frasest[[#This Row],[autor_es]],autorest[autor_es],autorest[nacion_es])</f>
        <v>España</v>
      </c>
      <c r="M693" t="str">
        <f>_xlfn.XLOOKUP(frasest[[#This Row],[autor_es]],autorest[autor_es],autorest[nacion_la])</f>
        <v>Hispania</v>
      </c>
      <c r="N693" t="str">
        <f>_xlfn.XLOOKUP(frasest[[#This Row],[autor_es]],autorest[autor_es],autorest[epoca_es])</f>
        <v>Epoca Desconocida</v>
      </c>
      <c r="O693" t="str">
        <f>_xlfn.XLOOKUP(frasest[[#This Row],[autor_es]],autorest[autor_es],autorest[epoca_la])</f>
        <v>Epocha Ignota</v>
      </c>
    </row>
    <row r="694" spans="1:15">
      <c r="A694">
        <v>693</v>
      </c>
      <c r="B694" t="s">
        <v>1932</v>
      </c>
      <c r="C694" t="s">
        <v>1933</v>
      </c>
      <c r="D694" t="s">
        <v>1934</v>
      </c>
      <c r="E694" t="s">
        <v>995</v>
      </c>
      <c r="F694" t="str">
        <f>_xlfn.XLOOKUP(frasest[[#This Row],[autor_es]],autorest[autor_es],autorest[autor_la])</f>
        <v>Sententia Vasconica</v>
      </c>
      <c r="G694" s="6" t="str">
        <f>_xlfn.XLOOKUP(frasest[[#This Row],[autor_es]],autorest[autor_es],autorest[bio_es])</f>
        <v>Proverbios de la tradición oral vasca que reflejan la relación con la naturaleza, el trabajo y los valores comunitarios del pueblo vasco.</v>
      </c>
      <c r="H694" s="6" t="str">
        <f>_xlfn.XLOOKUP(frasest[[#This Row],[autor_es]],autorest[autor_es],autorest[bio_la])</f>
        <v>Collectio sententiarum Vasconicarum.</v>
      </c>
      <c r="I694" t="str">
        <f>_xlfn.XLOOKUP(frasest[[#This Row],[autor_es]],autorest[autor_es],autorest[codigo])</f>
        <v>eu</v>
      </c>
      <c r="J694" t="str">
        <f>_xlfn.XLOOKUP(frasest[[#This Row],[autor_es]],autorest[autor_es],autorest[idioma_es])</f>
        <v>Euskara</v>
      </c>
      <c r="K694" s="6" t="str">
        <f>_xlfn.XLOOKUP(frasest[[#This Row],[autor_es]],autorest[autor_es],autorest[idioma_la])</f>
        <v>Lingua Vasconica</v>
      </c>
      <c r="L694" s="6" t="str">
        <f>_xlfn.XLOOKUP(frasest[[#This Row],[autor_es]],autorest[autor_es],autorest[nacion_es])</f>
        <v>España</v>
      </c>
      <c r="M694" t="str">
        <f>_xlfn.XLOOKUP(frasest[[#This Row],[autor_es]],autorest[autor_es],autorest[nacion_la])</f>
        <v>Hispania</v>
      </c>
      <c r="N694" t="str">
        <f>_xlfn.XLOOKUP(frasest[[#This Row],[autor_es]],autorest[autor_es],autorest[epoca_es])</f>
        <v>Epoca Desconocida</v>
      </c>
      <c r="O694" t="str">
        <f>_xlfn.XLOOKUP(frasest[[#This Row],[autor_es]],autorest[autor_es],autorest[epoca_la])</f>
        <v>Epocha Ignota</v>
      </c>
    </row>
    <row r="695" spans="1:15">
      <c r="A695">
        <v>694</v>
      </c>
      <c r="B695" t="s">
        <v>1935</v>
      </c>
      <c r="C695" t="s">
        <v>1936</v>
      </c>
      <c r="D695" t="s">
        <v>1937</v>
      </c>
      <c r="E695" t="s">
        <v>995</v>
      </c>
      <c r="F695" t="str">
        <f>_xlfn.XLOOKUP(frasest[[#This Row],[autor_es]],autorest[autor_es],autorest[autor_la])</f>
        <v>Sententia Vasconica</v>
      </c>
      <c r="G695" s="6" t="str">
        <f>_xlfn.XLOOKUP(frasest[[#This Row],[autor_es]],autorest[autor_es],autorest[bio_es])</f>
        <v>Proverbios de la tradición oral vasca que reflejan la relación con la naturaleza, el trabajo y los valores comunitarios del pueblo vasco.</v>
      </c>
      <c r="H695" s="6" t="str">
        <f>_xlfn.XLOOKUP(frasest[[#This Row],[autor_es]],autorest[autor_es],autorest[bio_la])</f>
        <v>Collectio sententiarum Vasconicarum.</v>
      </c>
      <c r="I695" t="str">
        <f>_xlfn.XLOOKUP(frasest[[#This Row],[autor_es]],autorest[autor_es],autorest[codigo])</f>
        <v>eu</v>
      </c>
      <c r="J695" t="str">
        <f>_xlfn.XLOOKUP(frasest[[#This Row],[autor_es]],autorest[autor_es],autorest[idioma_es])</f>
        <v>Euskara</v>
      </c>
      <c r="K695" s="6" t="str">
        <f>_xlfn.XLOOKUP(frasest[[#This Row],[autor_es]],autorest[autor_es],autorest[idioma_la])</f>
        <v>Lingua Vasconica</v>
      </c>
      <c r="L695" s="6" t="str">
        <f>_xlfn.XLOOKUP(frasest[[#This Row],[autor_es]],autorest[autor_es],autorest[nacion_es])</f>
        <v>España</v>
      </c>
      <c r="M695" t="str">
        <f>_xlfn.XLOOKUP(frasest[[#This Row],[autor_es]],autorest[autor_es],autorest[nacion_la])</f>
        <v>Hispania</v>
      </c>
      <c r="N695" t="str">
        <f>_xlfn.XLOOKUP(frasest[[#This Row],[autor_es]],autorest[autor_es],autorest[epoca_es])</f>
        <v>Epoca Desconocida</v>
      </c>
      <c r="O695" t="str">
        <f>_xlfn.XLOOKUP(frasest[[#This Row],[autor_es]],autorest[autor_es],autorest[epoca_la])</f>
        <v>Epocha Ignota</v>
      </c>
    </row>
    <row r="696" spans="1:15">
      <c r="A696">
        <v>695</v>
      </c>
      <c r="B696" t="s">
        <v>1938</v>
      </c>
      <c r="C696" t="s">
        <v>1939</v>
      </c>
      <c r="D696" t="s">
        <v>1940</v>
      </c>
      <c r="E696" t="s">
        <v>995</v>
      </c>
      <c r="F696" t="str">
        <f>_xlfn.XLOOKUP(frasest[[#This Row],[autor_es]],autorest[autor_es],autorest[autor_la])</f>
        <v>Sententia Vasconica</v>
      </c>
      <c r="G696" s="6" t="str">
        <f>_xlfn.XLOOKUP(frasest[[#This Row],[autor_es]],autorest[autor_es],autorest[bio_es])</f>
        <v>Proverbios de la tradición oral vasca que reflejan la relación con la naturaleza, el trabajo y los valores comunitarios del pueblo vasco.</v>
      </c>
      <c r="H696" s="6" t="str">
        <f>_xlfn.XLOOKUP(frasest[[#This Row],[autor_es]],autorest[autor_es],autorest[bio_la])</f>
        <v>Collectio sententiarum Vasconicarum.</v>
      </c>
      <c r="I696" t="str">
        <f>_xlfn.XLOOKUP(frasest[[#This Row],[autor_es]],autorest[autor_es],autorest[codigo])</f>
        <v>eu</v>
      </c>
      <c r="J696" t="str">
        <f>_xlfn.XLOOKUP(frasest[[#This Row],[autor_es]],autorest[autor_es],autorest[idioma_es])</f>
        <v>Euskara</v>
      </c>
      <c r="K696" s="6" t="str">
        <f>_xlfn.XLOOKUP(frasest[[#This Row],[autor_es]],autorest[autor_es],autorest[idioma_la])</f>
        <v>Lingua Vasconica</v>
      </c>
      <c r="L696" s="6" t="str">
        <f>_xlfn.XLOOKUP(frasest[[#This Row],[autor_es]],autorest[autor_es],autorest[nacion_es])</f>
        <v>España</v>
      </c>
      <c r="M696" t="str">
        <f>_xlfn.XLOOKUP(frasest[[#This Row],[autor_es]],autorest[autor_es],autorest[nacion_la])</f>
        <v>Hispania</v>
      </c>
      <c r="N696" t="str">
        <f>_xlfn.XLOOKUP(frasest[[#This Row],[autor_es]],autorest[autor_es],autorest[epoca_es])</f>
        <v>Epoca Desconocida</v>
      </c>
      <c r="O696" t="str">
        <f>_xlfn.XLOOKUP(frasest[[#This Row],[autor_es]],autorest[autor_es],autorest[epoca_la])</f>
        <v>Epocha Ignota</v>
      </c>
    </row>
    <row r="697" spans="1:15">
      <c r="A697">
        <v>696</v>
      </c>
      <c r="B697" t="s">
        <v>55</v>
      </c>
      <c r="C697" t="s">
        <v>1941</v>
      </c>
      <c r="D697" t="s">
        <v>1942</v>
      </c>
      <c r="E697" t="s">
        <v>995</v>
      </c>
      <c r="F697" t="str">
        <f>_xlfn.XLOOKUP(frasest[[#This Row],[autor_es]],autorest[autor_es],autorest[autor_la])</f>
        <v>Sententia Vasconica</v>
      </c>
      <c r="G697" s="6" t="str">
        <f>_xlfn.XLOOKUP(frasest[[#This Row],[autor_es]],autorest[autor_es],autorest[bio_es])</f>
        <v>Proverbios de la tradición oral vasca que reflejan la relación con la naturaleza, el trabajo y los valores comunitarios del pueblo vasco.</v>
      </c>
      <c r="H697" s="6" t="str">
        <f>_xlfn.XLOOKUP(frasest[[#This Row],[autor_es]],autorest[autor_es],autorest[bio_la])</f>
        <v>Collectio sententiarum Vasconicarum.</v>
      </c>
      <c r="I697" t="str">
        <f>_xlfn.XLOOKUP(frasest[[#This Row],[autor_es]],autorest[autor_es],autorest[codigo])</f>
        <v>eu</v>
      </c>
      <c r="J697" t="str">
        <f>_xlfn.XLOOKUP(frasest[[#This Row],[autor_es]],autorest[autor_es],autorest[idioma_es])</f>
        <v>Euskara</v>
      </c>
      <c r="K697" s="6" t="str">
        <f>_xlfn.XLOOKUP(frasest[[#This Row],[autor_es]],autorest[autor_es],autorest[idioma_la])</f>
        <v>Lingua Vasconica</v>
      </c>
      <c r="L697" s="6" t="str">
        <f>_xlfn.XLOOKUP(frasest[[#This Row],[autor_es]],autorest[autor_es],autorest[nacion_es])</f>
        <v>España</v>
      </c>
      <c r="M697" t="str">
        <f>_xlfn.XLOOKUP(frasest[[#This Row],[autor_es]],autorest[autor_es],autorest[nacion_la])</f>
        <v>Hispania</v>
      </c>
      <c r="N697" t="str">
        <f>_xlfn.XLOOKUP(frasest[[#This Row],[autor_es]],autorest[autor_es],autorest[epoca_es])</f>
        <v>Epoca Desconocida</v>
      </c>
      <c r="O697" t="str">
        <f>_xlfn.XLOOKUP(frasest[[#This Row],[autor_es]],autorest[autor_es],autorest[epoca_la])</f>
        <v>Epocha Ignota</v>
      </c>
    </row>
    <row r="698" spans="1:15">
      <c r="A698">
        <v>697</v>
      </c>
      <c r="B698" t="s">
        <v>1943</v>
      </c>
      <c r="C698" t="s">
        <v>1944</v>
      </c>
      <c r="D698" t="s">
        <v>1945</v>
      </c>
      <c r="E698" t="s">
        <v>995</v>
      </c>
      <c r="F698" t="str">
        <f>_xlfn.XLOOKUP(frasest[[#This Row],[autor_es]],autorest[autor_es],autorest[autor_la])</f>
        <v>Sententia Vasconica</v>
      </c>
      <c r="G698" s="6" t="str">
        <f>_xlfn.XLOOKUP(frasest[[#This Row],[autor_es]],autorest[autor_es],autorest[bio_es])</f>
        <v>Proverbios de la tradición oral vasca que reflejan la relación con la naturaleza, el trabajo y los valores comunitarios del pueblo vasco.</v>
      </c>
      <c r="H698" s="6" t="str">
        <f>_xlfn.XLOOKUP(frasest[[#This Row],[autor_es]],autorest[autor_es],autorest[bio_la])</f>
        <v>Collectio sententiarum Vasconicarum.</v>
      </c>
      <c r="I698" t="str">
        <f>_xlfn.XLOOKUP(frasest[[#This Row],[autor_es]],autorest[autor_es],autorest[codigo])</f>
        <v>eu</v>
      </c>
      <c r="J698" t="str">
        <f>_xlfn.XLOOKUP(frasest[[#This Row],[autor_es]],autorest[autor_es],autorest[idioma_es])</f>
        <v>Euskara</v>
      </c>
      <c r="K698" s="6" t="str">
        <f>_xlfn.XLOOKUP(frasest[[#This Row],[autor_es]],autorest[autor_es],autorest[idioma_la])</f>
        <v>Lingua Vasconica</v>
      </c>
      <c r="L698" s="6" t="str">
        <f>_xlfn.XLOOKUP(frasest[[#This Row],[autor_es]],autorest[autor_es],autorest[nacion_es])</f>
        <v>España</v>
      </c>
      <c r="M698" t="str">
        <f>_xlfn.XLOOKUP(frasest[[#This Row],[autor_es]],autorest[autor_es],autorest[nacion_la])</f>
        <v>Hispania</v>
      </c>
      <c r="N698" t="str">
        <f>_xlfn.XLOOKUP(frasest[[#This Row],[autor_es]],autorest[autor_es],autorest[epoca_es])</f>
        <v>Epoca Desconocida</v>
      </c>
      <c r="O698" t="str">
        <f>_xlfn.XLOOKUP(frasest[[#This Row],[autor_es]],autorest[autor_es],autorest[epoca_la])</f>
        <v>Epocha Ignota</v>
      </c>
    </row>
    <row r="699" spans="1:15">
      <c r="A699">
        <v>698</v>
      </c>
      <c r="B699" t="s">
        <v>1946</v>
      </c>
      <c r="C699" t="s">
        <v>1947</v>
      </c>
      <c r="D699" t="s">
        <v>1948</v>
      </c>
      <c r="E699" t="s">
        <v>995</v>
      </c>
      <c r="F699" t="str">
        <f>_xlfn.XLOOKUP(frasest[[#This Row],[autor_es]],autorest[autor_es],autorest[autor_la])</f>
        <v>Sententia Vasconica</v>
      </c>
      <c r="G699" s="6" t="str">
        <f>_xlfn.XLOOKUP(frasest[[#This Row],[autor_es]],autorest[autor_es],autorest[bio_es])</f>
        <v>Proverbios de la tradición oral vasca que reflejan la relación con la naturaleza, el trabajo y los valores comunitarios del pueblo vasco.</v>
      </c>
      <c r="H699" s="6" t="str">
        <f>_xlfn.XLOOKUP(frasest[[#This Row],[autor_es]],autorest[autor_es],autorest[bio_la])</f>
        <v>Collectio sententiarum Vasconicarum.</v>
      </c>
      <c r="I699" t="str">
        <f>_xlfn.XLOOKUP(frasest[[#This Row],[autor_es]],autorest[autor_es],autorest[codigo])</f>
        <v>eu</v>
      </c>
      <c r="J699" t="str">
        <f>_xlfn.XLOOKUP(frasest[[#This Row],[autor_es]],autorest[autor_es],autorest[idioma_es])</f>
        <v>Euskara</v>
      </c>
      <c r="K699" s="6" t="str">
        <f>_xlfn.XLOOKUP(frasest[[#This Row],[autor_es]],autorest[autor_es],autorest[idioma_la])</f>
        <v>Lingua Vasconica</v>
      </c>
      <c r="L699" s="6" t="str">
        <f>_xlfn.XLOOKUP(frasest[[#This Row],[autor_es]],autorest[autor_es],autorest[nacion_es])</f>
        <v>España</v>
      </c>
      <c r="M699" t="str">
        <f>_xlfn.XLOOKUP(frasest[[#This Row],[autor_es]],autorest[autor_es],autorest[nacion_la])</f>
        <v>Hispania</v>
      </c>
      <c r="N699" t="str">
        <f>_xlfn.XLOOKUP(frasest[[#This Row],[autor_es]],autorest[autor_es],autorest[epoca_es])</f>
        <v>Epoca Desconocida</v>
      </c>
      <c r="O699" t="str">
        <f>_xlfn.XLOOKUP(frasest[[#This Row],[autor_es]],autorest[autor_es],autorest[epoca_la])</f>
        <v>Epocha Ignota</v>
      </c>
    </row>
    <row r="700" spans="1:15">
      <c r="A700">
        <v>699</v>
      </c>
      <c r="B700" t="s">
        <v>1949</v>
      </c>
      <c r="C700" t="s">
        <v>1950</v>
      </c>
      <c r="D700" t="s">
        <v>1951</v>
      </c>
      <c r="E700" t="s">
        <v>995</v>
      </c>
      <c r="F700" t="str">
        <f>_xlfn.XLOOKUP(frasest[[#This Row],[autor_es]],autorest[autor_es],autorest[autor_la])</f>
        <v>Sententia Vasconica</v>
      </c>
      <c r="G700" s="6" t="str">
        <f>_xlfn.XLOOKUP(frasest[[#This Row],[autor_es]],autorest[autor_es],autorest[bio_es])</f>
        <v>Proverbios de la tradición oral vasca que reflejan la relación con la naturaleza, el trabajo y los valores comunitarios del pueblo vasco.</v>
      </c>
      <c r="H700" s="6" t="str">
        <f>_xlfn.XLOOKUP(frasest[[#This Row],[autor_es]],autorest[autor_es],autorest[bio_la])</f>
        <v>Collectio sententiarum Vasconicarum.</v>
      </c>
      <c r="I700" t="str">
        <f>_xlfn.XLOOKUP(frasest[[#This Row],[autor_es]],autorest[autor_es],autorest[codigo])</f>
        <v>eu</v>
      </c>
      <c r="J700" t="str">
        <f>_xlfn.XLOOKUP(frasest[[#This Row],[autor_es]],autorest[autor_es],autorest[idioma_es])</f>
        <v>Euskara</v>
      </c>
      <c r="K700" s="6" t="str">
        <f>_xlfn.XLOOKUP(frasest[[#This Row],[autor_es]],autorest[autor_es],autorest[idioma_la])</f>
        <v>Lingua Vasconica</v>
      </c>
      <c r="L700" s="6" t="str">
        <f>_xlfn.XLOOKUP(frasest[[#This Row],[autor_es]],autorest[autor_es],autorest[nacion_es])</f>
        <v>España</v>
      </c>
      <c r="M700" t="str">
        <f>_xlfn.XLOOKUP(frasest[[#This Row],[autor_es]],autorest[autor_es],autorest[nacion_la])</f>
        <v>Hispania</v>
      </c>
      <c r="N700" t="str">
        <f>_xlfn.XLOOKUP(frasest[[#This Row],[autor_es]],autorest[autor_es],autorest[epoca_es])</f>
        <v>Epoca Desconocida</v>
      </c>
      <c r="O700" t="str">
        <f>_xlfn.XLOOKUP(frasest[[#This Row],[autor_es]],autorest[autor_es],autorest[epoca_la])</f>
        <v>Epocha Ignota</v>
      </c>
    </row>
    <row r="701" spans="1:15">
      <c r="A701">
        <v>700</v>
      </c>
      <c r="B701" t="s">
        <v>1952</v>
      </c>
      <c r="C701" t="s">
        <v>1953</v>
      </c>
      <c r="D701" t="s">
        <v>1954</v>
      </c>
      <c r="E701" t="s">
        <v>995</v>
      </c>
      <c r="F701" t="str">
        <f>_xlfn.XLOOKUP(frasest[[#This Row],[autor_es]],autorest[autor_es],autorest[autor_la])</f>
        <v>Sententia Vasconica</v>
      </c>
      <c r="G701" s="6" t="str">
        <f>_xlfn.XLOOKUP(frasest[[#This Row],[autor_es]],autorest[autor_es],autorest[bio_es])</f>
        <v>Proverbios de la tradición oral vasca que reflejan la relación con la naturaleza, el trabajo y los valores comunitarios del pueblo vasco.</v>
      </c>
      <c r="H701" s="6" t="str">
        <f>_xlfn.XLOOKUP(frasest[[#This Row],[autor_es]],autorest[autor_es],autorest[bio_la])</f>
        <v>Collectio sententiarum Vasconicarum.</v>
      </c>
      <c r="I701" t="str">
        <f>_xlfn.XLOOKUP(frasest[[#This Row],[autor_es]],autorest[autor_es],autorest[codigo])</f>
        <v>eu</v>
      </c>
      <c r="J701" t="str">
        <f>_xlfn.XLOOKUP(frasest[[#This Row],[autor_es]],autorest[autor_es],autorest[idioma_es])</f>
        <v>Euskara</v>
      </c>
      <c r="K701" s="6" t="str">
        <f>_xlfn.XLOOKUP(frasest[[#This Row],[autor_es]],autorest[autor_es],autorest[idioma_la])</f>
        <v>Lingua Vasconica</v>
      </c>
      <c r="L701" s="6" t="str">
        <f>_xlfn.XLOOKUP(frasest[[#This Row],[autor_es]],autorest[autor_es],autorest[nacion_es])</f>
        <v>España</v>
      </c>
      <c r="M701" t="str">
        <f>_xlfn.XLOOKUP(frasest[[#This Row],[autor_es]],autorest[autor_es],autorest[nacion_la])</f>
        <v>Hispania</v>
      </c>
      <c r="N701" t="str">
        <f>_xlfn.XLOOKUP(frasest[[#This Row],[autor_es]],autorest[autor_es],autorest[epoca_es])</f>
        <v>Epoca Desconocida</v>
      </c>
      <c r="O701" t="str">
        <f>_xlfn.XLOOKUP(frasest[[#This Row],[autor_es]],autorest[autor_es],autorest[epoca_la])</f>
        <v>Epocha Ignota</v>
      </c>
    </row>
    <row r="702" spans="1:15">
      <c r="A702">
        <v>701</v>
      </c>
      <c r="B702" t="s">
        <v>1955</v>
      </c>
      <c r="C702" t="s">
        <v>1956</v>
      </c>
      <c r="D702" t="s">
        <v>1957</v>
      </c>
      <c r="E702" t="s">
        <v>995</v>
      </c>
      <c r="F702" t="str">
        <f>_xlfn.XLOOKUP(frasest[[#This Row],[autor_es]],autorest[autor_es],autorest[autor_la])</f>
        <v>Sententia Vasconica</v>
      </c>
      <c r="G702" s="6" t="str">
        <f>_xlfn.XLOOKUP(frasest[[#This Row],[autor_es]],autorest[autor_es],autorest[bio_es])</f>
        <v>Proverbios de la tradición oral vasca que reflejan la relación con la naturaleza, el trabajo y los valores comunitarios del pueblo vasco.</v>
      </c>
      <c r="H702" s="6" t="str">
        <f>_xlfn.XLOOKUP(frasest[[#This Row],[autor_es]],autorest[autor_es],autorest[bio_la])</f>
        <v>Collectio sententiarum Vasconicarum.</v>
      </c>
      <c r="I702" t="str">
        <f>_xlfn.XLOOKUP(frasest[[#This Row],[autor_es]],autorest[autor_es],autorest[codigo])</f>
        <v>eu</v>
      </c>
      <c r="J702" t="str">
        <f>_xlfn.XLOOKUP(frasest[[#This Row],[autor_es]],autorest[autor_es],autorest[idioma_es])</f>
        <v>Euskara</v>
      </c>
      <c r="K702" s="6" t="str">
        <f>_xlfn.XLOOKUP(frasest[[#This Row],[autor_es]],autorest[autor_es],autorest[idioma_la])</f>
        <v>Lingua Vasconica</v>
      </c>
      <c r="L702" s="6" t="str">
        <f>_xlfn.XLOOKUP(frasest[[#This Row],[autor_es]],autorest[autor_es],autorest[nacion_es])</f>
        <v>España</v>
      </c>
      <c r="M702" t="str">
        <f>_xlfn.XLOOKUP(frasest[[#This Row],[autor_es]],autorest[autor_es],autorest[nacion_la])</f>
        <v>Hispania</v>
      </c>
      <c r="N702" t="str">
        <f>_xlfn.XLOOKUP(frasest[[#This Row],[autor_es]],autorest[autor_es],autorest[epoca_es])</f>
        <v>Epoca Desconocida</v>
      </c>
      <c r="O702" t="str">
        <f>_xlfn.XLOOKUP(frasest[[#This Row],[autor_es]],autorest[autor_es],autorest[epoca_la])</f>
        <v>Epocha Ignota</v>
      </c>
    </row>
    <row r="703" spans="1:15">
      <c r="A703">
        <v>702</v>
      </c>
      <c r="B703" t="s">
        <v>1958</v>
      </c>
      <c r="C703" t="s">
        <v>1959</v>
      </c>
      <c r="D703" t="s">
        <v>1960</v>
      </c>
      <c r="E703" t="s">
        <v>995</v>
      </c>
      <c r="F703" t="str">
        <f>_xlfn.XLOOKUP(frasest[[#This Row],[autor_es]],autorest[autor_es],autorest[autor_la])</f>
        <v>Sententia Vasconica</v>
      </c>
      <c r="G703" s="6" t="str">
        <f>_xlfn.XLOOKUP(frasest[[#This Row],[autor_es]],autorest[autor_es],autorest[bio_es])</f>
        <v>Proverbios de la tradición oral vasca que reflejan la relación con la naturaleza, el trabajo y los valores comunitarios del pueblo vasco.</v>
      </c>
      <c r="H703" s="6" t="str">
        <f>_xlfn.XLOOKUP(frasest[[#This Row],[autor_es]],autorest[autor_es],autorest[bio_la])</f>
        <v>Collectio sententiarum Vasconicarum.</v>
      </c>
      <c r="I703" t="str">
        <f>_xlfn.XLOOKUP(frasest[[#This Row],[autor_es]],autorest[autor_es],autorest[codigo])</f>
        <v>eu</v>
      </c>
      <c r="J703" t="str">
        <f>_xlfn.XLOOKUP(frasest[[#This Row],[autor_es]],autorest[autor_es],autorest[idioma_es])</f>
        <v>Euskara</v>
      </c>
      <c r="K703" s="6" t="str">
        <f>_xlfn.XLOOKUP(frasest[[#This Row],[autor_es]],autorest[autor_es],autorest[idioma_la])</f>
        <v>Lingua Vasconica</v>
      </c>
      <c r="L703" s="6" t="str">
        <f>_xlfn.XLOOKUP(frasest[[#This Row],[autor_es]],autorest[autor_es],autorest[nacion_es])</f>
        <v>España</v>
      </c>
      <c r="M703" t="str">
        <f>_xlfn.XLOOKUP(frasest[[#This Row],[autor_es]],autorest[autor_es],autorest[nacion_la])</f>
        <v>Hispania</v>
      </c>
      <c r="N703" t="str">
        <f>_xlfn.XLOOKUP(frasest[[#This Row],[autor_es]],autorest[autor_es],autorest[epoca_es])</f>
        <v>Epoca Desconocida</v>
      </c>
      <c r="O703" t="str">
        <f>_xlfn.XLOOKUP(frasest[[#This Row],[autor_es]],autorest[autor_es],autorest[epoca_la])</f>
        <v>Epocha Ignota</v>
      </c>
    </row>
    <row r="704" spans="1:15">
      <c r="A704">
        <v>703</v>
      </c>
      <c r="B704" t="s">
        <v>1961</v>
      </c>
      <c r="C704" t="s">
        <v>1962</v>
      </c>
      <c r="D704" t="s">
        <v>1963</v>
      </c>
      <c r="E704" t="s">
        <v>995</v>
      </c>
      <c r="F704" t="str">
        <f>_xlfn.XLOOKUP(frasest[[#This Row],[autor_es]],autorest[autor_es],autorest[autor_la])</f>
        <v>Sententia Vasconica</v>
      </c>
      <c r="G704" s="6" t="str">
        <f>_xlfn.XLOOKUP(frasest[[#This Row],[autor_es]],autorest[autor_es],autorest[bio_es])</f>
        <v>Proverbios de la tradición oral vasca que reflejan la relación con la naturaleza, el trabajo y los valores comunitarios del pueblo vasco.</v>
      </c>
      <c r="H704" s="6" t="str">
        <f>_xlfn.XLOOKUP(frasest[[#This Row],[autor_es]],autorest[autor_es],autorest[bio_la])</f>
        <v>Collectio sententiarum Vasconicarum.</v>
      </c>
      <c r="I704" t="str">
        <f>_xlfn.XLOOKUP(frasest[[#This Row],[autor_es]],autorest[autor_es],autorest[codigo])</f>
        <v>eu</v>
      </c>
      <c r="J704" t="str">
        <f>_xlfn.XLOOKUP(frasest[[#This Row],[autor_es]],autorest[autor_es],autorest[idioma_es])</f>
        <v>Euskara</v>
      </c>
      <c r="K704" s="6" t="str">
        <f>_xlfn.XLOOKUP(frasest[[#This Row],[autor_es]],autorest[autor_es],autorest[idioma_la])</f>
        <v>Lingua Vasconica</v>
      </c>
      <c r="L704" s="6" t="str">
        <f>_xlfn.XLOOKUP(frasest[[#This Row],[autor_es]],autorest[autor_es],autorest[nacion_es])</f>
        <v>España</v>
      </c>
      <c r="M704" t="str">
        <f>_xlfn.XLOOKUP(frasest[[#This Row],[autor_es]],autorest[autor_es],autorest[nacion_la])</f>
        <v>Hispania</v>
      </c>
      <c r="N704" t="str">
        <f>_xlfn.XLOOKUP(frasest[[#This Row],[autor_es]],autorest[autor_es],autorest[epoca_es])</f>
        <v>Epoca Desconocida</v>
      </c>
      <c r="O704" t="str">
        <f>_xlfn.XLOOKUP(frasest[[#This Row],[autor_es]],autorest[autor_es],autorest[epoca_la])</f>
        <v>Epocha Ignota</v>
      </c>
    </row>
    <row r="705" spans="1:15">
      <c r="A705">
        <v>704</v>
      </c>
      <c r="B705" t="s">
        <v>1964</v>
      </c>
      <c r="C705" t="s">
        <v>1965</v>
      </c>
      <c r="D705" t="s">
        <v>1966</v>
      </c>
      <c r="E705" t="s">
        <v>995</v>
      </c>
      <c r="F705" t="str">
        <f>_xlfn.XLOOKUP(frasest[[#This Row],[autor_es]],autorest[autor_es],autorest[autor_la])</f>
        <v>Sententia Vasconica</v>
      </c>
      <c r="G705" s="6" t="str">
        <f>_xlfn.XLOOKUP(frasest[[#This Row],[autor_es]],autorest[autor_es],autorest[bio_es])</f>
        <v>Proverbios de la tradición oral vasca que reflejan la relación con la naturaleza, el trabajo y los valores comunitarios del pueblo vasco.</v>
      </c>
      <c r="H705" s="6" t="str">
        <f>_xlfn.XLOOKUP(frasest[[#This Row],[autor_es]],autorest[autor_es],autorest[bio_la])</f>
        <v>Collectio sententiarum Vasconicarum.</v>
      </c>
      <c r="I705" t="str">
        <f>_xlfn.XLOOKUP(frasest[[#This Row],[autor_es]],autorest[autor_es],autorest[codigo])</f>
        <v>eu</v>
      </c>
      <c r="J705" t="str">
        <f>_xlfn.XLOOKUP(frasest[[#This Row],[autor_es]],autorest[autor_es],autorest[idioma_es])</f>
        <v>Euskara</v>
      </c>
      <c r="K705" s="6" t="str">
        <f>_xlfn.XLOOKUP(frasest[[#This Row],[autor_es]],autorest[autor_es],autorest[idioma_la])</f>
        <v>Lingua Vasconica</v>
      </c>
      <c r="L705" s="6" t="str">
        <f>_xlfn.XLOOKUP(frasest[[#This Row],[autor_es]],autorest[autor_es],autorest[nacion_es])</f>
        <v>España</v>
      </c>
      <c r="M705" t="str">
        <f>_xlfn.XLOOKUP(frasest[[#This Row],[autor_es]],autorest[autor_es],autorest[nacion_la])</f>
        <v>Hispania</v>
      </c>
      <c r="N705" t="str">
        <f>_xlfn.XLOOKUP(frasest[[#This Row],[autor_es]],autorest[autor_es],autorest[epoca_es])</f>
        <v>Epoca Desconocida</v>
      </c>
      <c r="O705" t="str">
        <f>_xlfn.XLOOKUP(frasest[[#This Row],[autor_es]],autorest[autor_es],autorest[epoca_la])</f>
        <v>Epocha Ignota</v>
      </c>
    </row>
    <row r="706" spans="1:15">
      <c r="A706">
        <v>705</v>
      </c>
      <c r="B706" t="s">
        <v>1967</v>
      </c>
      <c r="C706" t="s">
        <v>1968</v>
      </c>
      <c r="D706" t="s">
        <v>1969</v>
      </c>
      <c r="E706" t="s">
        <v>995</v>
      </c>
      <c r="F706" t="str">
        <f>_xlfn.XLOOKUP(frasest[[#This Row],[autor_es]],autorest[autor_es],autorest[autor_la])</f>
        <v>Sententia Vasconica</v>
      </c>
      <c r="G706" s="6" t="str">
        <f>_xlfn.XLOOKUP(frasest[[#This Row],[autor_es]],autorest[autor_es],autorest[bio_es])</f>
        <v>Proverbios de la tradición oral vasca que reflejan la relación con la naturaleza, el trabajo y los valores comunitarios del pueblo vasco.</v>
      </c>
      <c r="H706" s="6" t="str">
        <f>_xlfn.XLOOKUP(frasest[[#This Row],[autor_es]],autorest[autor_es],autorest[bio_la])</f>
        <v>Collectio sententiarum Vasconicarum.</v>
      </c>
      <c r="I706" t="str">
        <f>_xlfn.XLOOKUP(frasest[[#This Row],[autor_es]],autorest[autor_es],autorest[codigo])</f>
        <v>eu</v>
      </c>
      <c r="J706" t="str">
        <f>_xlfn.XLOOKUP(frasest[[#This Row],[autor_es]],autorest[autor_es],autorest[idioma_es])</f>
        <v>Euskara</v>
      </c>
      <c r="K706" s="6" t="str">
        <f>_xlfn.XLOOKUP(frasest[[#This Row],[autor_es]],autorest[autor_es],autorest[idioma_la])</f>
        <v>Lingua Vasconica</v>
      </c>
      <c r="L706" s="6" t="str">
        <f>_xlfn.XLOOKUP(frasest[[#This Row],[autor_es]],autorest[autor_es],autorest[nacion_es])</f>
        <v>España</v>
      </c>
      <c r="M706" t="str">
        <f>_xlfn.XLOOKUP(frasest[[#This Row],[autor_es]],autorest[autor_es],autorest[nacion_la])</f>
        <v>Hispania</v>
      </c>
      <c r="N706" t="str">
        <f>_xlfn.XLOOKUP(frasest[[#This Row],[autor_es]],autorest[autor_es],autorest[epoca_es])</f>
        <v>Epoca Desconocida</v>
      </c>
      <c r="O706" t="str">
        <f>_xlfn.XLOOKUP(frasest[[#This Row],[autor_es]],autorest[autor_es],autorest[epoca_la])</f>
        <v>Epocha Ignota</v>
      </c>
    </row>
    <row r="707" spans="1:15">
      <c r="A707">
        <v>706</v>
      </c>
      <c r="B707" t="s">
        <v>1970</v>
      </c>
      <c r="C707" t="s">
        <v>1971</v>
      </c>
      <c r="D707" t="s">
        <v>1972</v>
      </c>
      <c r="E707" t="s">
        <v>995</v>
      </c>
      <c r="F707" t="str">
        <f>_xlfn.XLOOKUP(frasest[[#This Row],[autor_es]],autorest[autor_es],autorest[autor_la])</f>
        <v>Sententia Vasconica</v>
      </c>
      <c r="G707" s="6" t="str">
        <f>_xlfn.XLOOKUP(frasest[[#This Row],[autor_es]],autorest[autor_es],autorest[bio_es])</f>
        <v>Proverbios de la tradición oral vasca que reflejan la relación con la naturaleza, el trabajo y los valores comunitarios del pueblo vasco.</v>
      </c>
      <c r="H707" s="6" t="str">
        <f>_xlfn.XLOOKUP(frasest[[#This Row],[autor_es]],autorest[autor_es],autorest[bio_la])</f>
        <v>Collectio sententiarum Vasconicarum.</v>
      </c>
      <c r="I707" t="str">
        <f>_xlfn.XLOOKUP(frasest[[#This Row],[autor_es]],autorest[autor_es],autorest[codigo])</f>
        <v>eu</v>
      </c>
      <c r="J707" t="str">
        <f>_xlfn.XLOOKUP(frasest[[#This Row],[autor_es]],autorest[autor_es],autorest[idioma_es])</f>
        <v>Euskara</v>
      </c>
      <c r="K707" s="6" t="str">
        <f>_xlfn.XLOOKUP(frasest[[#This Row],[autor_es]],autorest[autor_es],autorest[idioma_la])</f>
        <v>Lingua Vasconica</v>
      </c>
      <c r="L707" s="6" t="str">
        <f>_xlfn.XLOOKUP(frasest[[#This Row],[autor_es]],autorest[autor_es],autorest[nacion_es])</f>
        <v>España</v>
      </c>
      <c r="M707" t="str">
        <f>_xlfn.XLOOKUP(frasest[[#This Row],[autor_es]],autorest[autor_es],autorest[nacion_la])</f>
        <v>Hispania</v>
      </c>
      <c r="N707" t="str">
        <f>_xlfn.XLOOKUP(frasest[[#This Row],[autor_es]],autorest[autor_es],autorest[epoca_es])</f>
        <v>Epoca Desconocida</v>
      </c>
      <c r="O707" t="str">
        <f>_xlfn.XLOOKUP(frasest[[#This Row],[autor_es]],autorest[autor_es],autorest[epoca_la])</f>
        <v>Epocha Ignota</v>
      </c>
    </row>
    <row r="708" spans="1:15">
      <c r="A708">
        <v>707</v>
      </c>
      <c r="B708" t="s">
        <v>1973</v>
      </c>
      <c r="C708" t="s">
        <v>1974</v>
      </c>
      <c r="D708" t="s">
        <v>1975</v>
      </c>
      <c r="E708" t="s">
        <v>995</v>
      </c>
      <c r="F708" t="str">
        <f>_xlfn.XLOOKUP(frasest[[#This Row],[autor_es]],autorest[autor_es],autorest[autor_la])</f>
        <v>Sententia Vasconica</v>
      </c>
      <c r="G708" s="6" t="str">
        <f>_xlfn.XLOOKUP(frasest[[#This Row],[autor_es]],autorest[autor_es],autorest[bio_es])</f>
        <v>Proverbios de la tradición oral vasca que reflejan la relación con la naturaleza, el trabajo y los valores comunitarios del pueblo vasco.</v>
      </c>
      <c r="H708" s="6" t="str">
        <f>_xlfn.XLOOKUP(frasest[[#This Row],[autor_es]],autorest[autor_es],autorest[bio_la])</f>
        <v>Collectio sententiarum Vasconicarum.</v>
      </c>
      <c r="I708" t="str">
        <f>_xlfn.XLOOKUP(frasest[[#This Row],[autor_es]],autorest[autor_es],autorest[codigo])</f>
        <v>eu</v>
      </c>
      <c r="J708" t="str">
        <f>_xlfn.XLOOKUP(frasest[[#This Row],[autor_es]],autorest[autor_es],autorest[idioma_es])</f>
        <v>Euskara</v>
      </c>
      <c r="K708" s="6" t="str">
        <f>_xlfn.XLOOKUP(frasest[[#This Row],[autor_es]],autorest[autor_es],autorest[idioma_la])</f>
        <v>Lingua Vasconica</v>
      </c>
      <c r="L708" s="6" t="str">
        <f>_xlfn.XLOOKUP(frasest[[#This Row],[autor_es]],autorest[autor_es],autorest[nacion_es])</f>
        <v>España</v>
      </c>
      <c r="M708" t="str">
        <f>_xlfn.XLOOKUP(frasest[[#This Row],[autor_es]],autorest[autor_es],autorest[nacion_la])</f>
        <v>Hispania</v>
      </c>
      <c r="N708" t="str">
        <f>_xlfn.XLOOKUP(frasest[[#This Row],[autor_es]],autorest[autor_es],autorest[epoca_es])</f>
        <v>Epoca Desconocida</v>
      </c>
      <c r="O708" t="str">
        <f>_xlfn.XLOOKUP(frasest[[#This Row],[autor_es]],autorest[autor_es],autorest[epoca_la])</f>
        <v>Epocha Ignota</v>
      </c>
    </row>
    <row r="709" spans="1:15">
      <c r="A709">
        <v>708</v>
      </c>
      <c r="B709" t="s">
        <v>1976</v>
      </c>
      <c r="C709" t="s">
        <v>1977</v>
      </c>
      <c r="D709" t="s">
        <v>1978</v>
      </c>
      <c r="E709" t="s">
        <v>995</v>
      </c>
      <c r="F709" t="str">
        <f>_xlfn.XLOOKUP(frasest[[#This Row],[autor_es]],autorest[autor_es],autorest[autor_la])</f>
        <v>Sententia Vasconica</v>
      </c>
      <c r="G709" s="6" t="str">
        <f>_xlfn.XLOOKUP(frasest[[#This Row],[autor_es]],autorest[autor_es],autorest[bio_es])</f>
        <v>Proverbios de la tradición oral vasca que reflejan la relación con la naturaleza, el trabajo y los valores comunitarios del pueblo vasco.</v>
      </c>
      <c r="H709" s="6" t="str">
        <f>_xlfn.XLOOKUP(frasest[[#This Row],[autor_es]],autorest[autor_es],autorest[bio_la])</f>
        <v>Collectio sententiarum Vasconicarum.</v>
      </c>
      <c r="I709" t="str">
        <f>_xlfn.XLOOKUP(frasest[[#This Row],[autor_es]],autorest[autor_es],autorest[codigo])</f>
        <v>eu</v>
      </c>
      <c r="J709" t="str">
        <f>_xlfn.XLOOKUP(frasest[[#This Row],[autor_es]],autorest[autor_es],autorest[idioma_es])</f>
        <v>Euskara</v>
      </c>
      <c r="K709" s="6" t="str">
        <f>_xlfn.XLOOKUP(frasest[[#This Row],[autor_es]],autorest[autor_es],autorest[idioma_la])</f>
        <v>Lingua Vasconica</v>
      </c>
      <c r="L709" s="6" t="str">
        <f>_xlfn.XLOOKUP(frasest[[#This Row],[autor_es]],autorest[autor_es],autorest[nacion_es])</f>
        <v>España</v>
      </c>
      <c r="M709" t="str">
        <f>_xlfn.XLOOKUP(frasest[[#This Row],[autor_es]],autorest[autor_es],autorest[nacion_la])</f>
        <v>Hispania</v>
      </c>
      <c r="N709" t="str">
        <f>_xlfn.XLOOKUP(frasest[[#This Row],[autor_es]],autorest[autor_es],autorest[epoca_es])</f>
        <v>Epoca Desconocida</v>
      </c>
      <c r="O709" t="str">
        <f>_xlfn.XLOOKUP(frasest[[#This Row],[autor_es]],autorest[autor_es],autorest[epoca_la])</f>
        <v>Epocha Ignota</v>
      </c>
    </row>
    <row r="710" spans="1:15">
      <c r="A710">
        <v>709</v>
      </c>
      <c r="B710" t="s">
        <v>1979</v>
      </c>
      <c r="C710" t="s">
        <v>1980</v>
      </c>
      <c r="D710" t="s">
        <v>1981</v>
      </c>
      <c r="E710" t="s">
        <v>995</v>
      </c>
      <c r="F710" t="str">
        <f>_xlfn.XLOOKUP(frasest[[#This Row],[autor_es]],autorest[autor_es],autorest[autor_la])</f>
        <v>Sententia Vasconica</v>
      </c>
      <c r="G710" s="6" t="str">
        <f>_xlfn.XLOOKUP(frasest[[#This Row],[autor_es]],autorest[autor_es],autorest[bio_es])</f>
        <v>Proverbios de la tradición oral vasca que reflejan la relación con la naturaleza, el trabajo y los valores comunitarios del pueblo vasco.</v>
      </c>
      <c r="H710" s="6" t="str">
        <f>_xlfn.XLOOKUP(frasest[[#This Row],[autor_es]],autorest[autor_es],autorest[bio_la])</f>
        <v>Collectio sententiarum Vasconicarum.</v>
      </c>
      <c r="I710" t="str">
        <f>_xlfn.XLOOKUP(frasest[[#This Row],[autor_es]],autorest[autor_es],autorest[codigo])</f>
        <v>eu</v>
      </c>
      <c r="J710" t="str">
        <f>_xlfn.XLOOKUP(frasest[[#This Row],[autor_es]],autorest[autor_es],autorest[idioma_es])</f>
        <v>Euskara</v>
      </c>
      <c r="K710" s="6" t="str">
        <f>_xlfn.XLOOKUP(frasest[[#This Row],[autor_es]],autorest[autor_es],autorest[idioma_la])</f>
        <v>Lingua Vasconica</v>
      </c>
      <c r="L710" s="6" t="str">
        <f>_xlfn.XLOOKUP(frasest[[#This Row],[autor_es]],autorest[autor_es],autorest[nacion_es])</f>
        <v>España</v>
      </c>
      <c r="M710" t="str">
        <f>_xlfn.XLOOKUP(frasest[[#This Row],[autor_es]],autorest[autor_es],autorest[nacion_la])</f>
        <v>Hispania</v>
      </c>
      <c r="N710" t="str">
        <f>_xlfn.XLOOKUP(frasest[[#This Row],[autor_es]],autorest[autor_es],autorest[epoca_es])</f>
        <v>Epoca Desconocida</v>
      </c>
      <c r="O710" t="str">
        <f>_xlfn.XLOOKUP(frasest[[#This Row],[autor_es]],autorest[autor_es],autorest[epoca_la])</f>
        <v>Epocha Ignota</v>
      </c>
    </row>
    <row r="711" spans="1:15">
      <c r="A711">
        <v>710</v>
      </c>
      <c r="B711" t="s">
        <v>1982</v>
      </c>
      <c r="C711" t="s">
        <v>1983</v>
      </c>
      <c r="D711" t="s">
        <v>1984</v>
      </c>
      <c r="E711" t="s">
        <v>995</v>
      </c>
      <c r="F711" t="str">
        <f>_xlfn.XLOOKUP(frasest[[#This Row],[autor_es]],autorest[autor_es],autorest[autor_la])</f>
        <v>Sententia Vasconica</v>
      </c>
      <c r="G711" s="6" t="str">
        <f>_xlfn.XLOOKUP(frasest[[#This Row],[autor_es]],autorest[autor_es],autorest[bio_es])</f>
        <v>Proverbios de la tradición oral vasca que reflejan la relación con la naturaleza, el trabajo y los valores comunitarios del pueblo vasco.</v>
      </c>
      <c r="H711" s="6" t="str">
        <f>_xlfn.XLOOKUP(frasest[[#This Row],[autor_es]],autorest[autor_es],autorest[bio_la])</f>
        <v>Collectio sententiarum Vasconicarum.</v>
      </c>
      <c r="I711" t="str">
        <f>_xlfn.XLOOKUP(frasest[[#This Row],[autor_es]],autorest[autor_es],autorest[codigo])</f>
        <v>eu</v>
      </c>
      <c r="J711" t="str">
        <f>_xlfn.XLOOKUP(frasest[[#This Row],[autor_es]],autorest[autor_es],autorest[idioma_es])</f>
        <v>Euskara</v>
      </c>
      <c r="K711" s="6" t="str">
        <f>_xlfn.XLOOKUP(frasest[[#This Row],[autor_es]],autorest[autor_es],autorest[idioma_la])</f>
        <v>Lingua Vasconica</v>
      </c>
      <c r="L711" s="6" t="str">
        <f>_xlfn.XLOOKUP(frasest[[#This Row],[autor_es]],autorest[autor_es],autorest[nacion_es])</f>
        <v>España</v>
      </c>
      <c r="M711" t="str">
        <f>_xlfn.XLOOKUP(frasest[[#This Row],[autor_es]],autorest[autor_es],autorest[nacion_la])</f>
        <v>Hispania</v>
      </c>
      <c r="N711" t="str">
        <f>_xlfn.XLOOKUP(frasest[[#This Row],[autor_es]],autorest[autor_es],autorest[epoca_es])</f>
        <v>Epoca Desconocida</v>
      </c>
      <c r="O711" t="str">
        <f>_xlfn.XLOOKUP(frasest[[#This Row],[autor_es]],autorest[autor_es],autorest[epoca_la])</f>
        <v>Epocha Ignota</v>
      </c>
    </row>
    <row r="712" spans="1:15">
      <c r="A712">
        <v>711</v>
      </c>
      <c r="B712" t="s">
        <v>1985</v>
      </c>
      <c r="C712" t="s">
        <v>1986</v>
      </c>
      <c r="D712" t="s">
        <v>1987</v>
      </c>
      <c r="E712" t="s">
        <v>995</v>
      </c>
      <c r="F712" t="str">
        <f>_xlfn.XLOOKUP(frasest[[#This Row],[autor_es]],autorest[autor_es],autorest[autor_la])</f>
        <v>Sententia Vasconica</v>
      </c>
      <c r="G712" s="6" t="str">
        <f>_xlfn.XLOOKUP(frasest[[#This Row],[autor_es]],autorest[autor_es],autorest[bio_es])</f>
        <v>Proverbios de la tradición oral vasca que reflejan la relación con la naturaleza, el trabajo y los valores comunitarios del pueblo vasco.</v>
      </c>
      <c r="H712" s="6" t="str">
        <f>_xlfn.XLOOKUP(frasest[[#This Row],[autor_es]],autorest[autor_es],autorest[bio_la])</f>
        <v>Collectio sententiarum Vasconicarum.</v>
      </c>
      <c r="I712" t="str">
        <f>_xlfn.XLOOKUP(frasest[[#This Row],[autor_es]],autorest[autor_es],autorest[codigo])</f>
        <v>eu</v>
      </c>
      <c r="J712" t="str">
        <f>_xlfn.XLOOKUP(frasest[[#This Row],[autor_es]],autorest[autor_es],autorest[idioma_es])</f>
        <v>Euskara</v>
      </c>
      <c r="K712" s="6" t="str">
        <f>_xlfn.XLOOKUP(frasest[[#This Row],[autor_es]],autorest[autor_es],autorest[idioma_la])</f>
        <v>Lingua Vasconica</v>
      </c>
      <c r="L712" s="6" t="str">
        <f>_xlfn.XLOOKUP(frasest[[#This Row],[autor_es]],autorest[autor_es],autorest[nacion_es])</f>
        <v>España</v>
      </c>
      <c r="M712" t="str">
        <f>_xlfn.XLOOKUP(frasest[[#This Row],[autor_es]],autorest[autor_es],autorest[nacion_la])</f>
        <v>Hispania</v>
      </c>
      <c r="N712" t="str">
        <f>_xlfn.XLOOKUP(frasest[[#This Row],[autor_es]],autorest[autor_es],autorest[epoca_es])</f>
        <v>Epoca Desconocida</v>
      </c>
      <c r="O712" t="str">
        <f>_xlfn.XLOOKUP(frasest[[#This Row],[autor_es]],autorest[autor_es],autorest[epoca_la])</f>
        <v>Epocha Ignota</v>
      </c>
    </row>
    <row r="713" spans="1:15">
      <c r="A713">
        <v>712</v>
      </c>
      <c r="B713" t="s">
        <v>1988</v>
      </c>
      <c r="C713" t="s">
        <v>1989</v>
      </c>
      <c r="D713" t="s">
        <v>1990</v>
      </c>
      <c r="E713" t="s">
        <v>995</v>
      </c>
      <c r="F713" t="str">
        <f>_xlfn.XLOOKUP(frasest[[#This Row],[autor_es]],autorest[autor_es],autorest[autor_la])</f>
        <v>Sententia Vasconica</v>
      </c>
      <c r="G713" s="6" t="str">
        <f>_xlfn.XLOOKUP(frasest[[#This Row],[autor_es]],autorest[autor_es],autorest[bio_es])</f>
        <v>Proverbios de la tradición oral vasca que reflejan la relación con la naturaleza, el trabajo y los valores comunitarios del pueblo vasco.</v>
      </c>
      <c r="H713" s="6" t="str">
        <f>_xlfn.XLOOKUP(frasest[[#This Row],[autor_es]],autorest[autor_es],autorest[bio_la])</f>
        <v>Collectio sententiarum Vasconicarum.</v>
      </c>
      <c r="I713" t="str">
        <f>_xlfn.XLOOKUP(frasest[[#This Row],[autor_es]],autorest[autor_es],autorest[codigo])</f>
        <v>eu</v>
      </c>
      <c r="J713" t="str">
        <f>_xlfn.XLOOKUP(frasest[[#This Row],[autor_es]],autorest[autor_es],autorest[idioma_es])</f>
        <v>Euskara</v>
      </c>
      <c r="K713" s="6" t="str">
        <f>_xlfn.XLOOKUP(frasest[[#This Row],[autor_es]],autorest[autor_es],autorest[idioma_la])</f>
        <v>Lingua Vasconica</v>
      </c>
      <c r="L713" s="6" t="str">
        <f>_xlfn.XLOOKUP(frasest[[#This Row],[autor_es]],autorest[autor_es],autorest[nacion_es])</f>
        <v>España</v>
      </c>
      <c r="M713" t="str">
        <f>_xlfn.XLOOKUP(frasest[[#This Row],[autor_es]],autorest[autor_es],autorest[nacion_la])</f>
        <v>Hispania</v>
      </c>
      <c r="N713" t="str">
        <f>_xlfn.XLOOKUP(frasest[[#This Row],[autor_es]],autorest[autor_es],autorest[epoca_es])</f>
        <v>Epoca Desconocida</v>
      </c>
      <c r="O713" t="str">
        <f>_xlfn.XLOOKUP(frasest[[#This Row],[autor_es]],autorest[autor_es],autorest[epoca_la])</f>
        <v>Epocha Ignota</v>
      </c>
    </row>
    <row r="714" spans="1:15">
      <c r="A714">
        <v>713</v>
      </c>
      <c r="B714" t="s">
        <v>1991</v>
      </c>
      <c r="C714" t="s">
        <v>1992</v>
      </c>
      <c r="D714" t="s">
        <v>1993</v>
      </c>
      <c r="E714" t="s">
        <v>995</v>
      </c>
      <c r="F714" t="str">
        <f>_xlfn.XLOOKUP(frasest[[#This Row],[autor_es]],autorest[autor_es],autorest[autor_la])</f>
        <v>Sententia Vasconica</v>
      </c>
      <c r="G714" s="6" t="str">
        <f>_xlfn.XLOOKUP(frasest[[#This Row],[autor_es]],autorest[autor_es],autorest[bio_es])</f>
        <v>Proverbios de la tradición oral vasca que reflejan la relación con la naturaleza, el trabajo y los valores comunitarios del pueblo vasco.</v>
      </c>
      <c r="H714" s="6" t="str">
        <f>_xlfn.XLOOKUP(frasest[[#This Row],[autor_es]],autorest[autor_es],autorest[bio_la])</f>
        <v>Collectio sententiarum Vasconicarum.</v>
      </c>
      <c r="I714" t="str">
        <f>_xlfn.XLOOKUP(frasest[[#This Row],[autor_es]],autorest[autor_es],autorest[codigo])</f>
        <v>eu</v>
      </c>
      <c r="J714" t="str">
        <f>_xlfn.XLOOKUP(frasest[[#This Row],[autor_es]],autorest[autor_es],autorest[idioma_es])</f>
        <v>Euskara</v>
      </c>
      <c r="K714" s="6" t="str">
        <f>_xlfn.XLOOKUP(frasest[[#This Row],[autor_es]],autorest[autor_es],autorest[idioma_la])</f>
        <v>Lingua Vasconica</v>
      </c>
      <c r="L714" s="6" t="str">
        <f>_xlfn.XLOOKUP(frasest[[#This Row],[autor_es]],autorest[autor_es],autorest[nacion_es])</f>
        <v>España</v>
      </c>
      <c r="M714" t="str">
        <f>_xlfn.XLOOKUP(frasest[[#This Row],[autor_es]],autorest[autor_es],autorest[nacion_la])</f>
        <v>Hispania</v>
      </c>
      <c r="N714" t="str">
        <f>_xlfn.XLOOKUP(frasest[[#This Row],[autor_es]],autorest[autor_es],autorest[epoca_es])</f>
        <v>Epoca Desconocida</v>
      </c>
      <c r="O714" t="str">
        <f>_xlfn.XLOOKUP(frasest[[#This Row],[autor_es]],autorest[autor_es],autorest[epoca_la])</f>
        <v>Epocha Ignota</v>
      </c>
    </row>
    <row r="715" spans="1:15">
      <c r="A715">
        <v>714</v>
      </c>
      <c r="B715" t="s">
        <v>1994</v>
      </c>
      <c r="C715" t="s">
        <v>1995</v>
      </c>
      <c r="D715" t="s">
        <v>1996</v>
      </c>
      <c r="E715" t="s">
        <v>995</v>
      </c>
      <c r="F715" t="str">
        <f>_xlfn.XLOOKUP(frasest[[#This Row],[autor_es]],autorest[autor_es],autorest[autor_la])</f>
        <v>Sententia Vasconica</v>
      </c>
      <c r="G715" s="6" t="str">
        <f>_xlfn.XLOOKUP(frasest[[#This Row],[autor_es]],autorest[autor_es],autorest[bio_es])</f>
        <v>Proverbios de la tradición oral vasca que reflejan la relación con la naturaleza, el trabajo y los valores comunitarios del pueblo vasco.</v>
      </c>
      <c r="H715" s="6" t="str">
        <f>_xlfn.XLOOKUP(frasest[[#This Row],[autor_es]],autorest[autor_es],autorest[bio_la])</f>
        <v>Collectio sententiarum Vasconicarum.</v>
      </c>
      <c r="I715" t="str">
        <f>_xlfn.XLOOKUP(frasest[[#This Row],[autor_es]],autorest[autor_es],autorest[codigo])</f>
        <v>eu</v>
      </c>
      <c r="J715" t="str">
        <f>_xlfn.XLOOKUP(frasest[[#This Row],[autor_es]],autorest[autor_es],autorest[idioma_es])</f>
        <v>Euskara</v>
      </c>
      <c r="K715" s="6" t="str">
        <f>_xlfn.XLOOKUP(frasest[[#This Row],[autor_es]],autorest[autor_es],autorest[idioma_la])</f>
        <v>Lingua Vasconica</v>
      </c>
      <c r="L715" s="6" t="str">
        <f>_xlfn.XLOOKUP(frasest[[#This Row],[autor_es]],autorest[autor_es],autorest[nacion_es])</f>
        <v>España</v>
      </c>
      <c r="M715" t="str">
        <f>_xlfn.XLOOKUP(frasest[[#This Row],[autor_es]],autorest[autor_es],autorest[nacion_la])</f>
        <v>Hispania</v>
      </c>
      <c r="N715" t="str">
        <f>_xlfn.XLOOKUP(frasest[[#This Row],[autor_es]],autorest[autor_es],autorest[epoca_es])</f>
        <v>Epoca Desconocida</v>
      </c>
      <c r="O715" t="str">
        <f>_xlfn.XLOOKUP(frasest[[#This Row],[autor_es]],autorest[autor_es],autorest[epoca_la])</f>
        <v>Epocha Ignota</v>
      </c>
    </row>
    <row r="716" spans="1:15">
      <c r="A716">
        <v>715</v>
      </c>
      <c r="B716" t="s">
        <v>1997</v>
      </c>
      <c r="C716" t="s">
        <v>1998</v>
      </c>
      <c r="D716" t="s">
        <v>1999</v>
      </c>
      <c r="E716" t="s">
        <v>995</v>
      </c>
      <c r="F716" t="str">
        <f>_xlfn.XLOOKUP(frasest[[#This Row],[autor_es]],autorest[autor_es],autorest[autor_la])</f>
        <v>Sententia Vasconica</v>
      </c>
      <c r="G716" s="6" t="str">
        <f>_xlfn.XLOOKUP(frasest[[#This Row],[autor_es]],autorest[autor_es],autorest[bio_es])</f>
        <v>Proverbios de la tradición oral vasca que reflejan la relación con la naturaleza, el trabajo y los valores comunitarios del pueblo vasco.</v>
      </c>
      <c r="H716" s="6" t="str">
        <f>_xlfn.XLOOKUP(frasest[[#This Row],[autor_es]],autorest[autor_es],autorest[bio_la])</f>
        <v>Collectio sententiarum Vasconicarum.</v>
      </c>
      <c r="I716" t="str">
        <f>_xlfn.XLOOKUP(frasest[[#This Row],[autor_es]],autorest[autor_es],autorest[codigo])</f>
        <v>eu</v>
      </c>
      <c r="J716" t="str">
        <f>_xlfn.XLOOKUP(frasest[[#This Row],[autor_es]],autorest[autor_es],autorest[idioma_es])</f>
        <v>Euskara</v>
      </c>
      <c r="K716" s="6" t="str">
        <f>_xlfn.XLOOKUP(frasest[[#This Row],[autor_es]],autorest[autor_es],autorest[idioma_la])</f>
        <v>Lingua Vasconica</v>
      </c>
      <c r="L716" s="6" t="str">
        <f>_xlfn.XLOOKUP(frasest[[#This Row],[autor_es]],autorest[autor_es],autorest[nacion_es])</f>
        <v>España</v>
      </c>
      <c r="M716" t="str">
        <f>_xlfn.XLOOKUP(frasest[[#This Row],[autor_es]],autorest[autor_es],autorest[nacion_la])</f>
        <v>Hispania</v>
      </c>
      <c r="N716" t="str">
        <f>_xlfn.XLOOKUP(frasest[[#This Row],[autor_es]],autorest[autor_es],autorest[epoca_es])</f>
        <v>Epoca Desconocida</v>
      </c>
      <c r="O716" t="str">
        <f>_xlfn.XLOOKUP(frasest[[#This Row],[autor_es]],autorest[autor_es],autorest[epoca_la])</f>
        <v>Epocha Ignota</v>
      </c>
    </row>
    <row r="717" spans="1:15">
      <c r="A717">
        <v>716</v>
      </c>
      <c r="B717" t="s">
        <v>2000</v>
      </c>
      <c r="C717" t="s">
        <v>2001</v>
      </c>
      <c r="D717" t="s">
        <v>2002</v>
      </c>
      <c r="E717" t="s">
        <v>995</v>
      </c>
      <c r="F717" t="str">
        <f>_xlfn.XLOOKUP(frasest[[#This Row],[autor_es]],autorest[autor_es],autorest[autor_la])</f>
        <v>Sententia Vasconica</v>
      </c>
      <c r="G717" s="6" t="str">
        <f>_xlfn.XLOOKUP(frasest[[#This Row],[autor_es]],autorest[autor_es],autorest[bio_es])</f>
        <v>Proverbios de la tradición oral vasca que reflejan la relación con la naturaleza, el trabajo y los valores comunitarios del pueblo vasco.</v>
      </c>
      <c r="H717" s="6" t="str">
        <f>_xlfn.XLOOKUP(frasest[[#This Row],[autor_es]],autorest[autor_es],autorest[bio_la])</f>
        <v>Collectio sententiarum Vasconicarum.</v>
      </c>
      <c r="I717" t="str">
        <f>_xlfn.XLOOKUP(frasest[[#This Row],[autor_es]],autorest[autor_es],autorest[codigo])</f>
        <v>eu</v>
      </c>
      <c r="J717" t="str">
        <f>_xlfn.XLOOKUP(frasest[[#This Row],[autor_es]],autorest[autor_es],autorest[idioma_es])</f>
        <v>Euskara</v>
      </c>
      <c r="K717" s="6" t="str">
        <f>_xlfn.XLOOKUP(frasest[[#This Row],[autor_es]],autorest[autor_es],autorest[idioma_la])</f>
        <v>Lingua Vasconica</v>
      </c>
      <c r="L717" s="6" t="str">
        <f>_xlfn.XLOOKUP(frasest[[#This Row],[autor_es]],autorest[autor_es],autorest[nacion_es])</f>
        <v>España</v>
      </c>
      <c r="M717" t="str">
        <f>_xlfn.XLOOKUP(frasest[[#This Row],[autor_es]],autorest[autor_es],autorest[nacion_la])</f>
        <v>Hispania</v>
      </c>
      <c r="N717" t="str">
        <f>_xlfn.XLOOKUP(frasest[[#This Row],[autor_es]],autorest[autor_es],autorest[epoca_es])</f>
        <v>Epoca Desconocida</v>
      </c>
      <c r="O717" t="str">
        <f>_xlfn.XLOOKUP(frasest[[#This Row],[autor_es]],autorest[autor_es],autorest[epoca_la])</f>
        <v>Epocha Ignota</v>
      </c>
    </row>
    <row r="718" spans="1:15">
      <c r="A718">
        <v>717</v>
      </c>
      <c r="B718" t="s">
        <v>2003</v>
      </c>
      <c r="C718" t="s">
        <v>2004</v>
      </c>
      <c r="D718" t="s">
        <v>2005</v>
      </c>
      <c r="E718" t="s">
        <v>995</v>
      </c>
      <c r="F718" t="str">
        <f>_xlfn.XLOOKUP(frasest[[#This Row],[autor_es]],autorest[autor_es],autorest[autor_la])</f>
        <v>Sententia Vasconica</v>
      </c>
      <c r="G718" s="6" t="str">
        <f>_xlfn.XLOOKUP(frasest[[#This Row],[autor_es]],autorest[autor_es],autorest[bio_es])</f>
        <v>Proverbios de la tradición oral vasca que reflejan la relación con la naturaleza, el trabajo y los valores comunitarios del pueblo vasco.</v>
      </c>
      <c r="H718" s="6" t="str">
        <f>_xlfn.XLOOKUP(frasest[[#This Row],[autor_es]],autorest[autor_es],autorest[bio_la])</f>
        <v>Collectio sententiarum Vasconicarum.</v>
      </c>
      <c r="I718" t="str">
        <f>_xlfn.XLOOKUP(frasest[[#This Row],[autor_es]],autorest[autor_es],autorest[codigo])</f>
        <v>eu</v>
      </c>
      <c r="J718" t="str">
        <f>_xlfn.XLOOKUP(frasest[[#This Row],[autor_es]],autorest[autor_es],autorest[idioma_es])</f>
        <v>Euskara</v>
      </c>
      <c r="K718" s="6" t="str">
        <f>_xlfn.XLOOKUP(frasest[[#This Row],[autor_es]],autorest[autor_es],autorest[idioma_la])</f>
        <v>Lingua Vasconica</v>
      </c>
      <c r="L718" s="6" t="str">
        <f>_xlfn.XLOOKUP(frasest[[#This Row],[autor_es]],autorest[autor_es],autorest[nacion_es])</f>
        <v>España</v>
      </c>
      <c r="M718" t="str">
        <f>_xlfn.XLOOKUP(frasest[[#This Row],[autor_es]],autorest[autor_es],autorest[nacion_la])</f>
        <v>Hispania</v>
      </c>
      <c r="N718" t="str">
        <f>_xlfn.XLOOKUP(frasest[[#This Row],[autor_es]],autorest[autor_es],autorest[epoca_es])</f>
        <v>Epoca Desconocida</v>
      </c>
      <c r="O718" t="str">
        <f>_xlfn.XLOOKUP(frasest[[#This Row],[autor_es]],autorest[autor_es],autorest[epoca_la])</f>
        <v>Epocha Ignota</v>
      </c>
    </row>
    <row r="719" spans="1:15">
      <c r="A719">
        <v>718</v>
      </c>
      <c r="B719" t="s">
        <v>2006</v>
      </c>
      <c r="C719" t="s">
        <v>2007</v>
      </c>
      <c r="D719" t="s">
        <v>2008</v>
      </c>
      <c r="E719" t="s">
        <v>995</v>
      </c>
      <c r="F719" t="str">
        <f>_xlfn.XLOOKUP(frasest[[#This Row],[autor_es]],autorest[autor_es],autorest[autor_la])</f>
        <v>Sententia Vasconica</v>
      </c>
      <c r="G719" s="6" t="str">
        <f>_xlfn.XLOOKUP(frasest[[#This Row],[autor_es]],autorest[autor_es],autorest[bio_es])</f>
        <v>Proverbios de la tradición oral vasca que reflejan la relación con la naturaleza, el trabajo y los valores comunitarios del pueblo vasco.</v>
      </c>
      <c r="H719" s="6" t="str">
        <f>_xlfn.XLOOKUP(frasest[[#This Row],[autor_es]],autorest[autor_es],autorest[bio_la])</f>
        <v>Collectio sententiarum Vasconicarum.</v>
      </c>
      <c r="I719" t="str">
        <f>_xlfn.XLOOKUP(frasest[[#This Row],[autor_es]],autorest[autor_es],autorest[codigo])</f>
        <v>eu</v>
      </c>
      <c r="J719" t="str">
        <f>_xlfn.XLOOKUP(frasest[[#This Row],[autor_es]],autorest[autor_es],autorest[idioma_es])</f>
        <v>Euskara</v>
      </c>
      <c r="K719" s="6" t="str">
        <f>_xlfn.XLOOKUP(frasest[[#This Row],[autor_es]],autorest[autor_es],autorest[idioma_la])</f>
        <v>Lingua Vasconica</v>
      </c>
      <c r="L719" s="6" t="str">
        <f>_xlfn.XLOOKUP(frasest[[#This Row],[autor_es]],autorest[autor_es],autorest[nacion_es])</f>
        <v>España</v>
      </c>
      <c r="M719" t="str">
        <f>_xlfn.XLOOKUP(frasest[[#This Row],[autor_es]],autorest[autor_es],autorest[nacion_la])</f>
        <v>Hispania</v>
      </c>
      <c r="N719" t="str">
        <f>_xlfn.XLOOKUP(frasest[[#This Row],[autor_es]],autorest[autor_es],autorest[epoca_es])</f>
        <v>Epoca Desconocida</v>
      </c>
      <c r="O719" t="str">
        <f>_xlfn.XLOOKUP(frasest[[#This Row],[autor_es]],autorest[autor_es],autorest[epoca_la])</f>
        <v>Epocha Ignota</v>
      </c>
    </row>
    <row r="720" spans="1:15">
      <c r="A720">
        <v>719</v>
      </c>
      <c r="B720" t="s">
        <v>2009</v>
      </c>
      <c r="C720" t="s">
        <v>2010</v>
      </c>
      <c r="D720" t="s">
        <v>2011</v>
      </c>
      <c r="E720" t="s">
        <v>995</v>
      </c>
      <c r="F720" t="str">
        <f>_xlfn.XLOOKUP(frasest[[#This Row],[autor_es]],autorest[autor_es],autorest[autor_la])</f>
        <v>Sententia Vasconica</v>
      </c>
      <c r="G720" s="6" t="str">
        <f>_xlfn.XLOOKUP(frasest[[#This Row],[autor_es]],autorest[autor_es],autorest[bio_es])</f>
        <v>Proverbios de la tradición oral vasca que reflejan la relación con la naturaleza, el trabajo y los valores comunitarios del pueblo vasco.</v>
      </c>
      <c r="H720" s="6" t="str">
        <f>_xlfn.XLOOKUP(frasest[[#This Row],[autor_es]],autorest[autor_es],autorest[bio_la])</f>
        <v>Collectio sententiarum Vasconicarum.</v>
      </c>
      <c r="I720" t="str">
        <f>_xlfn.XLOOKUP(frasest[[#This Row],[autor_es]],autorest[autor_es],autorest[codigo])</f>
        <v>eu</v>
      </c>
      <c r="J720" t="str">
        <f>_xlfn.XLOOKUP(frasest[[#This Row],[autor_es]],autorest[autor_es],autorest[idioma_es])</f>
        <v>Euskara</v>
      </c>
      <c r="K720" s="6" t="str">
        <f>_xlfn.XLOOKUP(frasest[[#This Row],[autor_es]],autorest[autor_es],autorest[idioma_la])</f>
        <v>Lingua Vasconica</v>
      </c>
      <c r="L720" s="6" t="str">
        <f>_xlfn.XLOOKUP(frasest[[#This Row],[autor_es]],autorest[autor_es],autorest[nacion_es])</f>
        <v>España</v>
      </c>
      <c r="M720" t="str">
        <f>_xlfn.XLOOKUP(frasest[[#This Row],[autor_es]],autorest[autor_es],autorest[nacion_la])</f>
        <v>Hispania</v>
      </c>
      <c r="N720" t="str">
        <f>_xlfn.XLOOKUP(frasest[[#This Row],[autor_es]],autorest[autor_es],autorest[epoca_es])</f>
        <v>Epoca Desconocida</v>
      </c>
      <c r="O720" t="str">
        <f>_xlfn.XLOOKUP(frasest[[#This Row],[autor_es]],autorest[autor_es],autorest[epoca_la])</f>
        <v>Epocha Ignota</v>
      </c>
    </row>
    <row r="721" spans="1:15">
      <c r="A721">
        <v>720</v>
      </c>
      <c r="B721" t="s">
        <v>2012</v>
      </c>
      <c r="C721" t="s">
        <v>2013</v>
      </c>
      <c r="D721" t="s">
        <v>2014</v>
      </c>
      <c r="E721" t="s">
        <v>995</v>
      </c>
      <c r="F721" t="str">
        <f>_xlfn.XLOOKUP(frasest[[#This Row],[autor_es]],autorest[autor_es],autorest[autor_la])</f>
        <v>Sententia Vasconica</v>
      </c>
      <c r="G721" s="6" t="str">
        <f>_xlfn.XLOOKUP(frasest[[#This Row],[autor_es]],autorest[autor_es],autorest[bio_es])</f>
        <v>Proverbios de la tradición oral vasca que reflejan la relación con la naturaleza, el trabajo y los valores comunitarios del pueblo vasco.</v>
      </c>
      <c r="H721" s="6" t="str">
        <f>_xlfn.XLOOKUP(frasest[[#This Row],[autor_es]],autorest[autor_es],autorest[bio_la])</f>
        <v>Collectio sententiarum Vasconicarum.</v>
      </c>
      <c r="I721" t="str">
        <f>_xlfn.XLOOKUP(frasest[[#This Row],[autor_es]],autorest[autor_es],autorest[codigo])</f>
        <v>eu</v>
      </c>
      <c r="J721" t="str">
        <f>_xlfn.XLOOKUP(frasest[[#This Row],[autor_es]],autorest[autor_es],autorest[idioma_es])</f>
        <v>Euskara</v>
      </c>
      <c r="K721" s="6" t="str">
        <f>_xlfn.XLOOKUP(frasest[[#This Row],[autor_es]],autorest[autor_es],autorest[idioma_la])</f>
        <v>Lingua Vasconica</v>
      </c>
      <c r="L721" s="6" t="str">
        <f>_xlfn.XLOOKUP(frasest[[#This Row],[autor_es]],autorest[autor_es],autorest[nacion_es])</f>
        <v>España</v>
      </c>
      <c r="M721" t="str">
        <f>_xlfn.XLOOKUP(frasest[[#This Row],[autor_es]],autorest[autor_es],autorest[nacion_la])</f>
        <v>Hispania</v>
      </c>
      <c r="N721" t="str">
        <f>_xlfn.XLOOKUP(frasest[[#This Row],[autor_es]],autorest[autor_es],autorest[epoca_es])</f>
        <v>Epoca Desconocida</v>
      </c>
      <c r="O721" t="str">
        <f>_xlfn.XLOOKUP(frasest[[#This Row],[autor_es]],autorest[autor_es],autorest[epoca_la])</f>
        <v>Epocha Ignota</v>
      </c>
    </row>
    <row r="722" spans="1:15">
      <c r="A722">
        <v>721</v>
      </c>
      <c r="B722" t="s">
        <v>2015</v>
      </c>
      <c r="C722" t="s">
        <v>2016</v>
      </c>
      <c r="D722" t="s">
        <v>2017</v>
      </c>
      <c r="E722" t="s">
        <v>995</v>
      </c>
      <c r="F722" t="str">
        <f>_xlfn.XLOOKUP(frasest[[#This Row],[autor_es]],autorest[autor_es],autorest[autor_la])</f>
        <v>Sententia Vasconica</v>
      </c>
      <c r="G722" s="6" t="str">
        <f>_xlfn.XLOOKUP(frasest[[#This Row],[autor_es]],autorest[autor_es],autorest[bio_es])</f>
        <v>Proverbios de la tradición oral vasca que reflejan la relación con la naturaleza, el trabajo y los valores comunitarios del pueblo vasco.</v>
      </c>
      <c r="H722" s="6" t="str">
        <f>_xlfn.XLOOKUP(frasest[[#This Row],[autor_es]],autorest[autor_es],autorest[bio_la])</f>
        <v>Collectio sententiarum Vasconicarum.</v>
      </c>
      <c r="I722" t="str">
        <f>_xlfn.XLOOKUP(frasest[[#This Row],[autor_es]],autorest[autor_es],autorest[codigo])</f>
        <v>eu</v>
      </c>
      <c r="J722" t="str">
        <f>_xlfn.XLOOKUP(frasest[[#This Row],[autor_es]],autorest[autor_es],autorest[idioma_es])</f>
        <v>Euskara</v>
      </c>
      <c r="K722" s="6" t="str">
        <f>_xlfn.XLOOKUP(frasest[[#This Row],[autor_es]],autorest[autor_es],autorest[idioma_la])</f>
        <v>Lingua Vasconica</v>
      </c>
      <c r="L722" s="6" t="str">
        <f>_xlfn.XLOOKUP(frasest[[#This Row],[autor_es]],autorest[autor_es],autorest[nacion_es])</f>
        <v>España</v>
      </c>
      <c r="M722" t="str">
        <f>_xlfn.XLOOKUP(frasest[[#This Row],[autor_es]],autorest[autor_es],autorest[nacion_la])</f>
        <v>Hispania</v>
      </c>
      <c r="N722" t="str">
        <f>_xlfn.XLOOKUP(frasest[[#This Row],[autor_es]],autorest[autor_es],autorest[epoca_es])</f>
        <v>Epoca Desconocida</v>
      </c>
      <c r="O722" t="str">
        <f>_xlfn.XLOOKUP(frasest[[#This Row],[autor_es]],autorest[autor_es],autorest[epoca_la])</f>
        <v>Epocha Ignota</v>
      </c>
    </row>
    <row r="723" spans="1:15">
      <c r="A723">
        <v>722</v>
      </c>
      <c r="B723" t="s">
        <v>2018</v>
      </c>
      <c r="C723" t="s">
        <v>2019</v>
      </c>
      <c r="D723" t="s">
        <v>2020</v>
      </c>
      <c r="E723" t="s">
        <v>995</v>
      </c>
      <c r="F723" t="str">
        <f>_xlfn.XLOOKUP(frasest[[#This Row],[autor_es]],autorest[autor_es],autorest[autor_la])</f>
        <v>Sententia Vasconica</v>
      </c>
      <c r="G723" s="6" t="str">
        <f>_xlfn.XLOOKUP(frasest[[#This Row],[autor_es]],autorest[autor_es],autorest[bio_es])</f>
        <v>Proverbios de la tradición oral vasca que reflejan la relación con la naturaleza, el trabajo y los valores comunitarios del pueblo vasco.</v>
      </c>
      <c r="H723" s="6" t="str">
        <f>_xlfn.XLOOKUP(frasest[[#This Row],[autor_es]],autorest[autor_es],autorest[bio_la])</f>
        <v>Collectio sententiarum Vasconicarum.</v>
      </c>
      <c r="I723" t="str">
        <f>_xlfn.XLOOKUP(frasest[[#This Row],[autor_es]],autorest[autor_es],autorest[codigo])</f>
        <v>eu</v>
      </c>
      <c r="J723" t="str">
        <f>_xlfn.XLOOKUP(frasest[[#This Row],[autor_es]],autorest[autor_es],autorest[idioma_es])</f>
        <v>Euskara</v>
      </c>
      <c r="K723" s="6" t="str">
        <f>_xlfn.XLOOKUP(frasest[[#This Row],[autor_es]],autorest[autor_es],autorest[idioma_la])</f>
        <v>Lingua Vasconica</v>
      </c>
      <c r="L723" s="6" t="str">
        <f>_xlfn.XLOOKUP(frasest[[#This Row],[autor_es]],autorest[autor_es],autorest[nacion_es])</f>
        <v>España</v>
      </c>
      <c r="M723" t="str">
        <f>_xlfn.XLOOKUP(frasest[[#This Row],[autor_es]],autorest[autor_es],autorest[nacion_la])</f>
        <v>Hispania</v>
      </c>
      <c r="N723" t="str">
        <f>_xlfn.XLOOKUP(frasest[[#This Row],[autor_es]],autorest[autor_es],autorest[epoca_es])</f>
        <v>Epoca Desconocida</v>
      </c>
      <c r="O723" t="str">
        <f>_xlfn.XLOOKUP(frasest[[#This Row],[autor_es]],autorest[autor_es],autorest[epoca_la])</f>
        <v>Epocha Ignota</v>
      </c>
    </row>
    <row r="724" spans="1:15">
      <c r="A724">
        <v>723</v>
      </c>
      <c r="B724" t="s">
        <v>2021</v>
      </c>
      <c r="C724" t="s">
        <v>2022</v>
      </c>
      <c r="D724" t="s">
        <v>2023</v>
      </c>
      <c r="E724" t="s">
        <v>995</v>
      </c>
      <c r="F724" t="str">
        <f>_xlfn.XLOOKUP(frasest[[#This Row],[autor_es]],autorest[autor_es],autorest[autor_la])</f>
        <v>Sententia Vasconica</v>
      </c>
      <c r="G724" s="6" t="str">
        <f>_xlfn.XLOOKUP(frasest[[#This Row],[autor_es]],autorest[autor_es],autorest[bio_es])</f>
        <v>Proverbios de la tradición oral vasca que reflejan la relación con la naturaleza, el trabajo y los valores comunitarios del pueblo vasco.</v>
      </c>
      <c r="H724" s="6" t="str">
        <f>_xlfn.XLOOKUP(frasest[[#This Row],[autor_es]],autorest[autor_es],autorest[bio_la])</f>
        <v>Collectio sententiarum Vasconicarum.</v>
      </c>
      <c r="I724" t="str">
        <f>_xlfn.XLOOKUP(frasest[[#This Row],[autor_es]],autorest[autor_es],autorest[codigo])</f>
        <v>eu</v>
      </c>
      <c r="J724" t="str">
        <f>_xlfn.XLOOKUP(frasest[[#This Row],[autor_es]],autorest[autor_es],autorest[idioma_es])</f>
        <v>Euskara</v>
      </c>
      <c r="K724" s="6" t="str">
        <f>_xlfn.XLOOKUP(frasest[[#This Row],[autor_es]],autorest[autor_es],autorest[idioma_la])</f>
        <v>Lingua Vasconica</v>
      </c>
      <c r="L724" s="6" t="str">
        <f>_xlfn.XLOOKUP(frasest[[#This Row],[autor_es]],autorest[autor_es],autorest[nacion_es])</f>
        <v>España</v>
      </c>
      <c r="M724" t="str">
        <f>_xlfn.XLOOKUP(frasest[[#This Row],[autor_es]],autorest[autor_es],autorest[nacion_la])</f>
        <v>Hispania</v>
      </c>
      <c r="N724" t="str">
        <f>_xlfn.XLOOKUP(frasest[[#This Row],[autor_es]],autorest[autor_es],autorest[epoca_es])</f>
        <v>Epoca Desconocida</v>
      </c>
      <c r="O724" t="str">
        <f>_xlfn.XLOOKUP(frasest[[#This Row],[autor_es]],autorest[autor_es],autorest[epoca_la])</f>
        <v>Epocha Ignota</v>
      </c>
    </row>
    <row r="725" spans="1:15">
      <c r="A725">
        <v>724</v>
      </c>
      <c r="B725" t="s">
        <v>2024</v>
      </c>
      <c r="C725" t="s">
        <v>2025</v>
      </c>
      <c r="D725" t="s">
        <v>2026</v>
      </c>
      <c r="E725" t="s">
        <v>995</v>
      </c>
      <c r="F725" t="str">
        <f>_xlfn.XLOOKUP(frasest[[#This Row],[autor_es]],autorest[autor_es],autorest[autor_la])</f>
        <v>Sententia Vasconica</v>
      </c>
      <c r="G725" s="6" t="str">
        <f>_xlfn.XLOOKUP(frasest[[#This Row],[autor_es]],autorest[autor_es],autorest[bio_es])</f>
        <v>Proverbios de la tradición oral vasca que reflejan la relación con la naturaleza, el trabajo y los valores comunitarios del pueblo vasco.</v>
      </c>
      <c r="H725" s="6" t="str">
        <f>_xlfn.XLOOKUP(frasest[[#This Row],[autor_es]],autorest[autor_es],autorest[bio_la])</f>
        <v>Collectio sententiarum Vasconicarum.</v>
      </c>
      <c r="I725" t="str">
        <f>_xlfn.XLOOKUP(frasest[[#This Row],[autor_es]],autorest[autor_es],autorest[codigo])</f>
        <v>eu</v>
      </c>
      <c r="J725" t="str">
        <f>_xlfn.XLOOKUP(frasest[[#This Row],[autor_es]],autorest[autor_es],autorest[idioma_es])</f>
        <v>Euskara</v>
      </c>
      <c r="K725" s="6" t="str">
        <f>_xlfn.XLOOKUP(frasest[[#This Row],[autor_es]],autorest[autor_es],autorest[idioma_la])</f>
        <v>Lingua Vasconica</v>
      </c>
      <c r="L725" s="6" t="str">
        <f>_xlfn.XLOOKUP(frasest[[#This Row],[autor_es]],autorest[autor_es],autorest[nacion_es])</f>
        <v>España</v>
      </c>
      <c r="M725" t="str">
        <f>_xlfn.XLOOKUP(frasest[[#This Row],[autor_es]],autorest[autor_es],autorest[nacion_la])</f>
        <v>Hispania</v>
      </c>
      <c r="N725" t="str">
        <f>_xlfn.XLOOKUP(frasest[[#This Row],[autor_es]],autorest[autor_es],autorest[epoca_es])</f>
        <v>Epoca Desconocida</v>
      </c>
      <c r="O725" t="str">
        <f>_xlfn.XLOOKUP(frasest[[#This Row],[autor_es]],autorest[autor_es],autorest[epoca_la])</f>
        <v>Epocha Ignota</v>
      </c>
    </row>
    <row r="726" spans="1:15">
      <c r="A726">
        <v>725</v>
      </c>
      <c r="B726" t="s">
        <v>2027</v>
      </c>
      <c r="C726" t="s">
        <v>2028</v>
      </c>
      <c r="D726" t="s">
        <v>2029</v>
      </c>
      <c r="E726" t="s">
        <v>995</v>
      </c>
      <c r="F726" t="str">
        <f>_xlfn.XLOOKUP(frasest[[#This Row],[autor_es]],autorest[autor_es],autorest[autor_la])</f>
        <v>Sententia Vasconica</v>
      </c>
      <c r="G726" s="6" t="str">
        <f>_xlfn.XLOOKUP(frasest[[#This Row],[autor_es]],autorest[autor_es],autorest[bio_es])</f>
        <v>Proverbios de la tradición oral vasca que reflejan la relación con la naturaleza, el trabajo y los valores comunitarios del pueblo vasco.</v>
      </c>
      <c r="H726" s="6" t="str">
        <f>_xlfn.XLOOKUP(frasest[[#This Row],[autor_es]],autorest[autor_es],autorest[bio_la])</f>
        <v>Collectio sententiarum Vasconicarum.</v>
      </c>
      <c r="I726" t="str">
        <f>_xlfn.XLOOKUP(frasest[[#This Row],[autor_es]],autorest[autor_es],autorest[codigo])</f>
        <v>eu</v>
      </c>
      <c r="J726" t="str">
        <f>_xlfn.XLOOKUP(frasest[[#This Row],[autor_es]],autorest[autor_es],autorest[idioma_es])</f>
        <v>Euskara</v>
      </c>
      <c r="K726" s="6" t="str">
        <f>_xlfn.XLOOKUP(frasest[[#This Row],[autor_es]],autorest[autor_es],autorest[idioma_la])</f>
        <v>Lingua Vasconica</v>
      </c>
      <c r="L726" s="6" t="str">
        <f>_xlfn.XLOOKUP(frasest[[#This Row],[autor_es]],autorest[autor_es],autorest[nacion_es])</f>
        <v>España</v>
      </c>
      <c r="M726" t="str">
        <f>_xlfn.XLOOKUP(frasest[[#This Row],[autor_es]],autorest[autor_es],autorest[nacion_la])</f>
        <v>Hispania</v>
      </c>
      <c r="N726" t="str">
        <f>_xlfn.XLOOKUP(frasest[[#This Row],[autor_es]],autorest[autor_es],autorest[epoca_es])</f>
        <v>Epoca Desconocida</v>
      </c>
      <c r="O726" t="str">
        <f>_xlfn.XLOOKUP(frasest[[#This Row],[autor_es]],autorest[autor_es],autorest[epoca_la])</f>
        <v>Epocha Ignota</v>
      </c>
    </row>
    <row r="727" spans="1:15">
      <c r="A727">
        <v>726</v>
      </c>
      <c r="B727" t="s">
        <v>2030</v>
      </c>
      <c r="C727" t="s">
        <v>2031</v>
      </c>
      <c r="D727" t="s">
        <v>2032</v>
      </c>
      <c r="E727" t="s">
        <v>995</v>
      </c>
      <c r="F727" t="str">
        <f>_xlfn.XLOOKUP(frasest[[#This Row],[autor_es]],autorest[autor_es],autorest[autor_la])</f>
        <v>Sententia Vasconica</v>
      </c>
      <c r="G727" s="6" t="str">
        <f>_xlfn.XLOOKUP(frasest[[#This Row],[autor_es]],autorest[autor_es],autorest[bio_es])</f>
        <v>Proverbios de la tradición oral vasca que reflejan la relación con la naturaleza, el trabajo y los valores comunitarios del pueblo vasco.</v>
      </c>
      <c r="H727" s="6" t="str">
        <f>_xlfn.XLOOKUP(frasest[[#This Row],[autor_es]],autorest[autor_es],autorest[bio_la])</f>
        <v>Collectio sententiarum Vasconicarum.</v>
      </c>
      <c r="I727" t="str">
        <f>_xlfn.XLOOKUP(frasest[[#This Row],[autor_es]],autorest[autor_es],autorest[codigo])</f>
        <v>eu</v>
      </c>
      <c r="J727" t="str">
        <f>_xlfn.XLOOKUP(frasest[[#This Row],[autor_es]],autorest[autor_es],autorest[idioma_es])</f>
        <v>Euskara</v>
      </c>
      <c r="K727" s="6" t="str">
        <f>_xlfn.XLOOKUP(frasest[[#This Row],[autor_es]],autorest[autor_es],autorest[idioma_la])</f>
        <v>Lingua Vasconica</v>
      </c>
      <c r="L727" s="6" t="str">
        <f>_xlfn.XLOOKUP(frasest[[#This Row],[autor_es]],autorest[autor_es],autorest[nacion_es])</f>
        <v>España</v>
      </c>
      <c r="M727" t="str">
        <f>_xlfn.XLOOKUP(frasest[[#This Row],[autor_es]],autorest[autor_es],autorest[nacion_la])</f>
        <v>Hispania</v>
      </c>
      <c r="N727" t="str">
        <f>_xlfn.XLOOKUP(frasest[[#This Row],[autor_es]],autorest[autor_es],autorest[epoca_es])</f>
        <v>Epoca Desconocida</v>
      </c>
      <c r="O727" t="str">
        <f>_xlfn.XLOOKUP(frasest[[#This Row],[autor_es]],autorest[autor_es],autorest[epoca_la])</f>
        <v>Epocha Ignota</v>
      </c>
    </row>
    <row r="728" spans="1:15">
      <c r="A728">
        <v>727</v>
      </c>
      <c r="B728" t="s">
        <v>2033</v>
      </c>
      <c r="C728" t="s">
        <v>2034</v>
      </c>
      <c r="D728" t="s">
        <v>2035</v>
      </c>
      <c r="E728" t="s">
        <v>995</v>
      </c>
      <c r="F728" t="str">
        <f>_xlfn.XLOOKUP(frasest[[#This Row],[autor_es]],autorest[autor_es],autorest[autor_la])</f>
        <v>Sententia Vasconica</v>
      </c>
      <c r="G728" s="6" t="str">
        <f>_xlfn.XLOOKUP(frasest[[#This Row],[autor_es]],autorest[autor_es],autorest[bio_es])</f>
        <v>Proverbios de la tradición oral vasca que reflejan la relación con la naturaleza, el trabajo y los valores comunitarios del pueblo vasco.</v>
      </c>
      <c r="H728" s="6" t="str">
        <f>_xlfn.XLOOKUP(frasest[[#This Row],[autor_es]],autorest[autor_es],autorest[bio_la])</f>
        <v>Collectio sententiarum Vasconicarum.</v>
      </c>
      <c r="I728" t="str">
        <f>_xlfn.XLOOKUP(frasest[[#This Row],[autor_es]],autorest[autor_es],autorest[codigo])</f>
        <v>eu</v>
      </c>
      <c r="J728" t="str">
        <f>_xlfn.XLOOKUP(frasest[[#This Row],[autor_es]],autorest[autor_es],autorest[idioma_es])</f>
        <v>Euskara</v>
      </c>
      <c r="K728" s="6" t="str">
        <f>_xlfn.XLOOKUP(frasest[[#This Row],[autor_es]],autorest[autor_es],autorest[idioma_la])</f>
        <v>Lingua Vasconica</v>
      </c>
      <c r="L728" s="6" t="str">
        <f>_xlfn.XLOOKUP(frasest[[#This Row],[autor_es]],autorest[autor_es],autorest[nacion_es])</f>
        <v>España</v>
      </c>
      <c r="M728" t="str">
        <f>_xlfn.XLOOKUP(frasest[[#This Row],[autor_es]],autorest[autor_es],autorest[nacion_la])</f>
        <v>Hispania</v>
      </c>
      <c r="N728" t="str">
        <f>_xlfn.XLOOKUP(frasest[[#This Row],[autor_es]],autorest[autor_es],autorest[epoca_es])</f>
        <v>Epoca Desconocida</v>
      </c>
      <c r="O728" t="str">
        <f>_xlfn.XLOOKUP(frasest[[#This Row],[autor_es]],autorest[autor_es],autorest[epoca_la])</f>
        <v>Epocha Ignota</v>
      </c>
    </row>
    <row r="729" spans="1:15">
      <c r="A729">
        <v>728</v>
      </c>
      <c r="B729" t="s">
        <v>2036</v>
      </c>
      <c r="C729" t="s">
        <v>2037</v>
      </c>
      <c r="D729" t="s">
        <v>2038</v>
      </c>
      <c r="E729" t="s">
        <v>995</v>
      </c>
      <c r="F729" t="str">
        <f>_xlfn.XLOOKUP(frasest[[#This Row],[autor_es]],autorest[autor_es],autorest[autor_la])</f>
        <v>Sententia Vasconica</v>
      </c>
      <c r="G729" s="6" t="str">
        <f>_xlfn.XLOOKUP(frasest[[#This Row],[autor_es]],autorest[autor_es],autorest[bio_es])</f>
        <v>Proverbios de la tradición oral vasca que reflejan la relación con la naturaleza, el trabajo y los valores comunitarios del pueblo vasco.</v>
      </c>
      <c r="H729" s="6" t="str">
        <f>_xlfn.XLOOKUP(frasest[[#This Row],[autor_es]],autorest[autor_es],autorest[bio_la])</f>
        <v>Collectio sententiarum Vasconicarum.</v>
      </c>
      <c r="I729" t="str">
        <f>_xlfn.XLOOKUP(frasest[[#This Row],[autor_es]],autorest[autor_es],autorest[codigo])</f>
        <v>eu</v>
      </c>
      <c r="J729" t="str">
        <f>_xlfn.XLOOKUP(frasest[[#This Row],[autor_es]],autorest[autor_es],autorest[idioma_es])</f>
        <v>Euskara</v>
      </c>
      <c r="K729" s="6" t="str">
        <f>_xlfn.XLOOKUP(frasest[[#This Row],[autor_es]],autorest[autor_es],autorest[idioma_la])</f>
        <v>Lingua Vasconica</v>
      </c>
      <c r="L729" s="6" t="str">
        <f>_xlfn.XLOOKUP(frasest[[#This Row],[autor_es]],autorest[autor_es],autorest[nacion_es])</f>
        <v>España</v>
      </c>
      <c r="M729" t="str">
        <f>_xlfn.XLOOKUP(frasest[[#This Row],[autor_es]],autorest[autor_es],autorest[nacion_la])</f>
        <v>Hispania</v>
      </c>
      <c r="N729" t="str">
        <f>_xlfn.XLOOKUP(frasest[[#This Row],[autor_es]],autorest[autor_es],autorest[epoca_es])</f>
        <v>Epoca Desconocida</v>
      </c>
      <c r="O729" t="str">
        <f>_xlfn.XLOOKUP(frasest[[#This Row],[autor_es]],autorest[autor_es],autorest[epoca_la])</f>
        <v>Epocha Ignota</v>
      </c>
    </row>
    <row r="730" spans="1:15">
      <c r="A730">
        <v>729</v>
      </c>
      <c r="B730" t="s">
        <v>2039</v>
      </c>
      <c r="C730" t="s">
        <v>2040</v>
      </c>
      <c r="D730" t="s">
        <v>2041</v>
      </c>
      <c r="E730" t="s">
        <v>995</v>
      </c>
      <c r="F730" t="str">
        <f>_xlfn.XLOOKUP(frasest[[#This Row],[autor_es]],autorest[autor_es],autorest[autor_la])</f>
        <v>Sententia Vasconica</v>
      </c>
      <c r="G730" s="6" t="str">
        <f>_xlfn.XLOOKUP(frasest[[#This Row],[autor_es]],autorest[autor_es],autorest[bio_es])</f>
        <v>Proverbios de la tradición oral vasca que reflejan la relación con la naturaleza, el trabajo y los valores comunitarios del pueblo vasco.</v>
      </c>
      <c r="H730" s="6" t="str">
        <f>_xlfn.XLOOKUP(frasest[[#This Row],[autor_es]],autorest[autor_es],autorest[bio_la])</f>
        <v>Collectio sententiarum Vasconicarum.</v>
      </c>
      <c r="I730" t="str">
        <f>_xlfn.XLOOKUP(frasest[[#This Row],[autor_es]],autorest[autor_es],autorest[codigo])</f>
        <v>eu</v>
      </c>
      <c r="J730" t="str">
        <f>_xlfn.XLOOKUP(frasest[[#This Row],[autor_es]],autorest[autor_es],autorest[idioma_es])</f>
        <v>Euskara</v>
      </c>
      <c r="K730" s="6" t="str">
        <f>_xlfn.XLOOKUP(frasest[[#This Row],[autor_es]],autorest[autor_es],autorest[idioma_la])</f>
        <v>Lingua Vasconica</v>
      </c>
      <c r="L730" s="6" t="str">
        <f>_xlfn.XLOOKUP(frasest[[#This Row],[autor_es]],autorest[autor_es],autorest[nacion_es])</f>
        <v>España</v>
      </c>
      <c r="M730" t="str">
        <f>_xlfn.XLOOKUP(frasest[[#This Row],[autor_es]],autorest[autor_es],autorest[nacion_la])</f>
        <v>Hispania</v>
      </c>
      <c r="N730" t="str">
        <f>_xlfn.XLOOKUP(frasest[[#This Row],[autor_es]],autorest[autor_es],autorest[epoca_es])</f>
        <v>Epoca Desconocida</v>
      </c>
      <c r="O730" t="str">
        <f>_xlfn.XLOOKUP(frasest[[#This Row],[autor_es]],autorest[autor_es],autorest[epoca_la])</f>
        <v>Epocha Ignota</v>
      </c>
    </row>
    <row r="731" spans="1:15">
      <c r="A731">
        <v>730</v>
      </c>
      <c r="B731" t="s">
        <v>2042</v>
      </c>
      <c r="C731" t="s">
        <v>2043</v>
      </c>
      <c r="D731" t="s">
        <v>2044</v>
      </c>
      <c r="E731" t="s">
        <v>995</v>
      </c>
      <c r="F731" t="str">
        <f>_xlfn.XLOOKUP(frasest[[#This Row],[autor_es]],autorest[autor_es],autorest[autor_la])</f>
        <v>Sententia Vasconica</v>
      </c>
      <c r="G731" s="6" t="str">
        <f>_xlfn.XLOOKUP(frasest[[#This Row],[autor_es]],autorest[autor_es],autorest[bio_es])</f>
        <v>Proverbios de la tradición oral vasca que reflejan la relación con la naturaleza, el trabajo y los valores comunitarios del pueblo vasco.</v>
      </c>
      <c r="H731" s="6" t="str">
        <f>_xlfn.XLOOKUP(frasest[[#This Row],[autor_es]],autorest[autor_es],autorest[bio_la])</f>
        <v>Collectio sententiarum Vasconicarum.</v>
      </c>
      <c r="I731" t="str">
        <f>_xlfn.XLOOKUP(frasest[[#This Row],[autor_es]],autorest[autor_es],autorest[codigo])</f>
        <v>eu</v>
      </c>
      <c r="J731" t="str">
        <f>_xlfn.XLOOKUP(frasest[[#This Row],[autor_es]],autorest[autor_es],autorest[idioma_es])</f>
        <v>Euskara</v>
      </c>
      <c r="K731" s="6" t="str">
        <f>_xlfn.XLOOKUP(frasest[[#This Row],[autor_es]],autorest[autor_es],autorest[idioma_la])</f>
        <v>Lingua Vasconica</v>
      </c>
      <c r="L731" s="6" t="str">
        <f>_xlfn.XLOOKUP(frasest[[#This Row],[autor_es]],autorest[autor_es],autorest[nacion_es])</f>
        <v>España</v>
      </c>
      <c r="M731" t="str">
        <f>_xlfn.XLOOKUP(frasest[[#This Row],[autor_es]],autorest[autor_es],autorest[nacion_la])</f>
        <v>Hispania</v>
      </c>
      <c r="N731" t="str">
        <f>_xlfn.XLOOKUP(frasest[[#This Row],[autor_es]],autorest[autor_es],autorest[epoca_es])</f>
        <v>Epoca Desconocida</v>
      </c>
      <c r="O731" t="str">
        <f>_xlfn.XLOOKUP(frasest[[#This Row],[autor_es]],autorest[autor_es],autorest[epoca_la])</f>
        <v>Epocha Ignota</v>
      </c>
    </row>
    <row r="732" spans="1:15">
      <c r="A732">
        <v>731</v>
      </c>
      <c r="B732" t="s">
        <v>2045</v>
      </c>
      <c r="C732" t="s">
        <v>2046</v>
      </c>
      <c r="D732" t="s">
        <v>2047</v>
      </c>
      <c r="E732" t="s">
        <v>995</v>
      </c>
      <c r="F732" t="str">
        <f>_xlfn.XLOOKUP(frasest[[#This Row],[autor_es]],autorest[autor_es],autorest[autor_la])</f>
        <v>Sententia Vasconica</v>
      </c>
      <c r="G732" s="6" t="str">
        <f>_xlfn.XLOOKUP(frasest[[#This Row],[autor_es]],autorest[autor_es],autorest[bio_es])</f>
        <v>Proverbios de la tradición oral vasca que reflejan la relación con la naturaleza, el trabajo y los valores comunitarios del pueblo vasco.</v>
      </c>
      <c r="H732" s="6" t="str">
        <f>_xlfn.XLOOKUP(frasest[[#This Row],[autor_es]],autorest[autor_es],autorest[bio_la])</f>
        <v>Collectio sententiarum Vasconicarum.</v>
      </c>
      <c r="I732" t="str">
        <f>_xlfn.XLOOKUP(frasest[[#This Row],[autor_es]],autorest[autor_es],autorest[codigo])</f>
        <v>eu</v>
      </c>
      <c r="J732" t="str">
        <f>_xlfn.XLOOKUP(frasest[[#This Row],[autor_es]],autorest[autor_es],autorest[idioma_es])</f>
        <v>Euskara</v>
      </c>
      <c r="K732" s="6" t="str">
        <f>_xlfn.XLOOKUP(frasest[[#This Row],[autor_es]],autorest[autor_es],autorest[idioma_la])</f>
        <v>Lingua Vasconica</v>
      </c>
      <c r="L732" s="6" t="str">
        <f>_xlfn.XLOOKUP(frasest[[#This Row],[autor_es]],autorest[autor_es],autorest[nacion_es])</f>
        <v>España</v>
      </c>
      <c r="M732" t="str">
        <f>_xlfn.XLOOKUP(frasest[[#This Row],[autor_es]],autorest[autor_es],autorest[nacion_la])</f>
        <v>Hispania</v>
      </c>
      <c r="N732" t="str">
        <f>_xlfn.XLOOKUP(frasest[[#This Row],[autor_es]],autorest[autor_es],autorest[epoca_es])</f>
        <v>Epoca Desconocida</v>
      </c>
      <c r="O732" t="str">
        <f>_xlfn.XLOOKUP(frasest[[#This Row],[autor_es]],autorest[autor_es],autorest[epoca_la])</f>
        <v>Epocha Ignota</v>
      </c>
    </row>
    <row r="733" spans="1:15">
      <c r="A733">
        <v>732</v>
      </c>
      <c r="B733" t="s">
        <v>2048</v>
      </c>
      <c r="C733" t="s">
        <v>2049</v>
      </c>
      <c r="D733" t="s">
        <v>2050</v>
      </c>
      <c r="E733" t="s">
        <v>995</v>
      </c>
      <c r="F733" t="str">
        <f>_xlfn.XLOOKUP(frasest[[#This Row],[autor_es]],autorest[autor_es],autorest[autor_la])</f>
        <v>Sententia Vasconica</v>
      </c>
      <c r="G733" s="6" t="str">
        <f>_xlfn.XLOOKUP(frasest[[#This Row],[autor_es]],autorest[autor_es],autorest[bio_es])</f>
        <v>Proverbios de la tradición oral vasca que reflejan la relación con la naturaleza, el trabajo y los valores comunitarios del pueblo vasco.</v>
      </c>
      <c r="H733" s="6" t="str">
        <f>_xlfn.XLOOKUP(frasest[[#This Row],[autor_es]],autorest[autor_es],autorest[bio_la])</f>
        <v>Collectio sententiarum Vasconicarum.</v>
      </c>
      <c r="I733" t="str">
        <f>_xlfn.XLOOKUP(frasest[[#This Row],[autor_es]],autorest[autor_es],autorest[codigo])</f>
        <v>eu</v>
      </c>
      <c r="J733" t="str">
        <f>_xlfn.XLOOKUP(frasest[[#This Row],[autor_es]],autorest[autor_es],autorest[idioma_es])</f>
        <v>Euskara</v>
      </c>
      <c r="K733" s="6" t="str">
        <f>_xlfn.XLOOKUP(frasest[[#This Row],[autor_es]],autorest[autor_es],autorest[idioma_la])</f>
        <v>Lingua Vasconica</v>
      </c>
      <c r="L733" s="6" t="str">
        <f>_xlfn.XLOOKUP(frasest[[#This Row],[autor_es]],autorest[autor_es],autorest[nacion_es])</f>
        <v>España</v>
      </c>
      <c r="M733" t="str">
        <f>_xlfn.XLOOKUP(frasest[[#This Row],[autor_es]],autorest[autor_es],autorest[nacion_la])</f>
        <v>Hispania</v>
      </c>
      <c r="N733" t="str">
        <f>_xlfn.XLOOKUP(frasest[[#This Row],[autor_es]],autorest[autor_es],autorest[epoca_es])</f>
        <v>Epoca Desconocida</v>
      </c>
      <c r="O733" t="str">
        <f>_xlfn.XLOOKUP(frasest[[#This Row],[autor_es]],autorest[autor_es],autorest[epoca_la])</f>
        <v>Epocha Ignota</v>
      </c>
    </row>
    <row r="734" spans="1:15">
      <c r="A734">
        <v>733</v>
      </c>
      <c r="B734" t="s">
        <v>2051</v>
      </c>
      <c r="C734" t="s">
        <v>2052</v>
      </c>
      <c r="D734" t="s">
        <v>2053</v>
      </c>
      <c r="E734" t="s">
        <v>995</v>
      </c>
      <c r="F734" t="str">
        <f>_xlfn.XLOOKUP(frasest[[#This Row],[autor_es]],autorest[autor_es],autorest[autor_la])</f>
        <v>Sententia Vasconica</v>
      </c>
      <c r="G734" s="6" t="str">
        <f>_xlfn.XLOOKUP(frasest[[#This Row],[autor_es]],autorest[autor_es],autorest[bio_es])</f>
        <v>Proverbios de la tradición oral vasca que reflejan la relación con la naturaleza, el trabajo y los valores comunitarios del pueblo vasco.</v>
      </c>
      <c r="H734" s="6" t="str">
        <f>_xlfn.XLOOKUP(frasest[[#This Row],[autor_es]],autorest[autor_es],autorest[bio_la])</f>
        <v>Collectio sententiarum Vasconicarum.</v>
      </c>
      <c r="I734" t="str">
        <f>_xlfn.XLOOKUP(frasest[[#This Row],[autor_es]],autorest[autor_es],autorest[codigo])</f>
        <v>eu</v>
      </c>
      <c r="J734" t="str">
        <f>_xlfn.XLOOKUP(frasest[[#This Row],[autor_es]],autorest[autor_es],autorest[idioma_es])</f>
        <v>Euskara</v>
      </c>
      <c r="K734" s="6" t="str">
        <f>_xlfn.XLOOKUP(frasest[[#This Row],[autor_es]],autorest[autor_es],autorest[idioma_la])</f>
        <v>Lingua Vasconica</v>
      </c>
      <c r="L734" s="6" t="str">
        <f>_xlfn.XLOOKUP(frasest[[#This Row],[autor_es]],autorest[autor_es],autorest[nacion_es])</f>
        <v>España</v>
      </c>
      <c r="M734" t="str">
        <f>_xlfn.XLOOKUP(frasest[[#This Row],[autor_es]],autorest[autor_es],autorest[nacion_la])</f>
        <v>Hispania</v>
      </c>
      <c r="N734" t="str">
        <f>_xlfn.XLOOKUP(frasest[[#This Row],[autor_es]],autorest[autor_es],autorest[epoca_es])</f>
        <v>Epoca Desconocida</v>
      </c>
      <c r="O734" t="str">
        <f>_xlfn.XLOOKUP(frasest[[#This Row],[autor_es]],autorest[autor_es],autorest[epoca_la])</f>
        <v>Epocha Ignota</v>
      </c>
    </row>
    <row r="735" spans="1:15">
      <c r="A735">
        <v>734</v>
      </c>
      <c r="B735" t="s">
        <v>2054</v>
      </c>
      <c r="C735" t="s">
        <v>2055</v>
      </c>
      <c r="D735" t="s">
        <v>2056</v>
      </c>
      <c r="E735" t="s">
        <v>995</v>
      </c>
      <c r="F735" t="str">
        <f>_xlfn.XLOOKUP(frasest[[#This Row],[autor_es]],autorest[autor_es],autorest[autor_la])</f>
        <v>Sententia Vasconica</v>
      </c>
      <c r="G735" s="6" t="str">
        <f>_xlfn.XLOOKUP(frasest[[#This Row],[autor_es]],autorest[autor_es],autorest[bio_es])</f>
        <v>Proverbios de la tradición oral vasca que reflejan la relación con la naturaleza, el trabajo y los valores comunitarios del pueblo vasco.</v>
      </c>
      <c r="H735" s="6" t="str">
        <f>_xlfn.XLOOKUP(frasest[[#This Row],[autor_es]],autorest[autor_es],autorest[bio_la])</f>
        <v>Collectio sententiarum Vasconicarum.</v>
      </c>
      <c r="I735" t="str">
        <f>_xlfn.XLOOKUP(frasest[[#This Row],[autor_es]],autorest[autor_es],autorest[codigo])</f>
        <v>eu</v>
      </c>
      <c r="J735" t="str">
        <f>_xlfn.XLOOKUP(frasest[[#This Row],[autor_es]],autorest[autor_es],autorest[idioma_es])</f>
        <v>Euskara</v>
      </c>
      <c r="K735" s="6" t="str">
        <f>_xlfn.XLOOKUP(frasest[[#This Row],[autor_es]],autorest[autor_es],autorest[idioma_la])</f>
        <v>Lingua Vasconica</v>
      </c>
      <c r="L735" s="6" t="str">
        <f>_xlfn.XLOOKUP(frasest[[#This Row],[autor_es]],autorest[autor_es],autorest[nacion_es])</f>
        <v>España</v>
      </c>
      <c r="M735" t="str">
        <f>_xlfn.XLOOKUP(frasest[[#This Row],[autor_es]],autorest[autor_es],autorest[nacion_la])</f>
        <v>Hispania</v>
      </c>
      <c r="N735" t="str">
        <f>_xlfn.XLOOKUP(frasest[[#This Row],[autor_es]],autorest[autor_es],autorest[epoca_es])</f>
        <v>Epoca Desconocida</v>
      </c>
      <c r="O735" t="str">
        <f>_xlfn.XLOOKUP(frasest[[#This Row],[autor_es]],autorest[autor_es],autorest[epoca_la])</f>
        <v>Epocha Ignota</v>
      </c>
    </row>
    <row r="736" spans="1:15">
      <c r="A736">
        <v>735</v>
      </c>
      <c r="B736" t="s">
        <v>2057</v>
      </c>
      <c r="C736" t="s">
        <v>2058</v>
      </c>
      <c r="D736" t="s">
        <v>2059</v>
      </c>
      <c r="E736" t="s">
        <v>995</v>
      </c>
      <c r="F736" t="str">
        <f>_xlfn.XLOOKUP(frasest[[#This Row],[autor_es]],autorest[autor_es],autorest[autor_la])</f>
        <v>Sententia Vasconica</v>
      </c>
      <c r="G736" s="6" t="str">
        <f>_xlfn.XLOOKUP(frasest[[#This Row],[autor_es]],autorest[autor_es],autorest[bio_es])</f>
        <v>Proverbios de la tradición oral vasca que reflejan la relación con la naturaleza, el trabajo y los valores comunitarios del pueblo vasco.</v>
      </c>
      <c r="H736" s="6" t="str">
        <f>_xlfn.XLOOKUP(frasest[[#This Row],[autor_es]],autorest[autor_es],autorest[bio_la])</f>
        <v>Collectio sententiarum Vasconicarum.</v>
      </c>
      <c r="I736" t="str">
        <f>_xlfn.XLOOKUP(frasest[[#This Row],[autor_es]],autorest[autor_es],autorest[codigo])</f>
        <v>eu</v>
      </c>
      <c r="J736" t="str">
        <f>_xlfn.XLOOKUP(frasest[[#This Row],[autor_es]],autorest[autor_es],autorest[idioma_es])</f>
        <v>Euskara</v>
      </c>
      <c r="K736" s="6" t="str">
        <f>_xlfn.XLOOKUP(frasest[[#This Row],[autor_es]],autorest[autor_es],autorest[idioma_la])</f>
        <v>Lingua Vasconica</v>
      </c>
      <c r="L736" s="6" t="str">
        <f>_xlfn.XLOOKUP(frasest[[#This Row],[autor_es]],autorest[autor_es],autorest[nacion_es])</f>
        <v>España</v>
      </c>
      <c r="M736" t="str">
        <f>_xlfn.XLOOKUP(frasest[[#This Row],[autor_es]],autorest[autor_es],autorest[nacion_la])</f>
        <v>Hispania</v>
      </c>
      <c r="N736" t="str">
        <f>_xlfn.XLOOKUP(frasest[[#This Row],[autor_es]],autorest[autor_es],autorest[epoca_es])</f>
        <v>Epoca Desconocida</v>
      </c>
      <c r="O736" t="str">
        <f>_xlfn.XLOOKUP(frasest[[#This Row],[autor_es]],autorest[autor_es],autorest[epoca_la])</f>
        <v>Epocha Ignota</v>
      </c>
    </row>
    <row r="737" spans="1:15">
      <c r="A737">
        <v>736</v>
      </c>
      <c r="B737" t="s">
        <v>2060</v>
      </c>
      <c r="C737" t="s">
        <v>2061</v>
      </c>
      <c r="D737" t="s">
        <v>2062</v>
      </c>
      <c r="E737" t="s">
        <v>995</v>
      </c>
      <c r="F737" t="str">
        <f>_xlfn.XLOOKUP(frasest[[#This Row],[autor_es]],autorest[autor_es],autorest[autor_la])</f>
        <v>Sententia Vasconica</v>
      </c>
      <c r="G737" s="6" t="str">
        <f>_xlfn.XLOOKUP(frasest[[#This Row],[autor_es]],autorest[autor_es],autorest[bio_es])</f>
        <v>Proverbios de la tradición oral vasca que reflejan la relación con la naturaleza, el trabajo y los valores comunitarios del pueblo vasco.</v>
      </c>
      <c r="H737" s="6" t="str">
        <f>_xlfn.XLOOKUP(frasest[[#This Row],[autor_es]],autorest[autor_es],autorest[bio_la])</f>
        <v>Collectio sententiarum Vasconicarum.</v>
      </c>
      <c r="I737" t="str">
        <f>_xlfn.XLOOKUP(frasest[[#This Row],[autor_es]],autorest[autor_es],autorest[codigo])</f>
        <v>eu</v>
      </c>
      <c r="J737" t="str">
        <f>_xlfn.XLOOKUP(frasest[[#This Row],[autor_es]],autorest[autor_es],autorest[idioma_es])</f>
        <v>Euskara</v>
      </c>
      <c r="K737" s="6" t="str">
        <f>_xlfn.XLOOKUP(frasest[[#This Row],[autor_es]],autorest[autor_es],autorest[idioma_la])</f>
        <v>Lingua Vasconica</v>
      </c>
      <c r="L737" s="6" t="str">
        <f>_xlfn.XLOOKUP(frasest[[#This Row],[autor_es]],autorest[autor_es],autorest[nacion_es])</f>
        <v>España</v>
      </c>
      <c r="M737" t="str">
        <f>_xlfn.XLOOKUP(frasest[[#This Row],[autor_es]],autorest[autor_es],autorest[nacion_la])</f>
        <v>Hispania</v>
      </c>
      <c r="N737" t="str">
        <f>_xlfn.XLOOKUP(frasest[[#This Row],[autor_es]],autorest[autor_es],autorest[epoca_es])</f>
        <v>Epoca Desconocida</v>
      </c>
      <c r="O737" t="str">
        <f>_xlfn.XLOOKUP(frasest[[#This Row],[autor_es]],autorest[autor_es],autorest[epoca_la])</f>
        <v>Epocha Ignota</v>
      </c>
    </row>
    <row r="738" spans="1:15">
      <c r="A738">
        <v>737</v>
      </c>
      <c r="B738" t="s">
        <v>2063</v>
      </c>
      <c r="C738" t="s">
        <v>2064</v>
      </c>
      <c r="D738" t="s">
        <v>2065</v>
      </c>
      <c r="E738" t="s">
        <v>995</v>
      </c>
      <c r="F738" t="str">
        <f>_xlfn.XLOOKUP(frasest[[#This Row],[autor_es]],autorest[autor_es],autorest[autor_la])</f>
        <v>Sententia Vasconica</v>
      </c>
      <c r="G738" s="6" t="str">
        <f>_xlfn.XLOOKUP(frasest[[#This Row],[autor_es]],autorest[autor_es],autorest[bio_es])</f>
        <v>Proverbios de la tradición oral vasca que reflejan la relación con la naturaleza, el trabajo y los valores comunitarios del pueblo vasco.</v>
      </c>
      <c r="H738" s="6" t="str">
        <f>_xlfn.XLOOKUP(frasest[[#This Row],[autor_es]],autorest[autor_es],autorest[bio_la])</f>
        <v>Collectio sententiarum Vasconicarum.</v>
      </c>
      <c r="I738" t="str">
        <f>_xlfn.XLOOKUP(frasest[[#This Row],[autor_es]],autorest[autor_es],autorest[codigo])</f>
        <v>eu</v>
      </c>
      <c r="J738" t="str">
        <f>_xlfn.XLOOKUP(frasest[[#This Row],[autor_es]],autorest[autor_es],autorest[idioma_es])</f>
        <v>Euskara</v>
      </c>
      <c r="K738" s="6" t="str">
        <f>_xlfn.XLOOKUP(frasest[[#This Row],[autor_es]],autorest[autor_es],autorest[idioma_la])</f>
        <v>Lingua Vasconica</v>
      </c>
      <c r="L738" s="6" t="str">
        <f>_xlfn.XLOOKUP(frasest[[#This Row],[autor_es]],autorest[autor_es],autorest[nacion_es])</f>
        <v>España</v>
      </c>
      <c r="M738" t="str">
        <f>_xlfn.XLOOKUP(frasest[[#This Row],[autor_es]],autorest[autor_es],autorest[nacion_la])</f>
        <v>Hispania</v>
      </c>
      <c r="N738" t="str">
        <f>_xlfn.XLOOKUP(frasest[[#This Row],[autor_es]],autorest[autor_es],autorest[epoca_es])</f>
        <v>Epoca Desconocida</v>
      </c>
      <c r="O738" t="str">
        <f>_xlfn.XLOOKUP(frasest[[#This Row],[autor_es]],autorest[autor_es],autorest[epoca_la])</f>
        <v>Epocha Ignota</v>
      </c>
    </row>
    <row r="739" spans="1:15">
      <c r="A739">
        <v>738</v>
      </c>
      <c r="B739" t="s">
        <v>2066</v>
      </c>
      <c r="C739" t="s">
        <v>2067</v>
      </c>
      <c r="D739" t="s">
        <v>2068</v>
      </c>
      <c r="E739" t="s">
        <v>995</v>
      </c>
      <c r="F739" t="str">
        <f>_xlfn.XLOOKUP(frasest[[#This Row],[autor_es]],autorest[autor_es],autorest[autor_la])</f>
        <v>Sententia Vasconica</v>
      </c>
      <c r="G739" s="6" t="str">
        <f>_xlfn.XLOOKUP(frasest[[#This Row],[autor_es]],autorest[autor_es],autorest[bio_es])</f>
        <v>Proverbios de la tradición oral vasca que reflejan la relación con la naturaleza, el trabajo y los valores comunitarios del pueblo vasco.</v>
      </c>
      <c r="H739" s="6" t="str">
        <f>_xlfn.XLOOKUP(frasest[[#This Row],[autor_es]],autorest[autor_es],autorest[bio_la])</f>
        <v>Collectio sententiarum Vasconicarum.</v>
      </c>
      <c r="I739" t="str">
        <f>_xlfn.XLOOKUP(frasest[[#This Row],[autor_es]],autorest[autor_es],autorest[codigo])</f>
        <v>eu</v>
      </c>
      <c r="J739" t="str">
        <f>_xlfn.XLOOKUP(frasest[[#This Row],[autor_es]],autorest[autor_es],autorest[idioma_es])</f>
        <v>Euskara</v>
      </c>
      <c r="K739" s="6" t="str">
        <f>_xlfn.XLOOKUP(frasest[[#This Row],[autor_es]],autorest[autor_es],autorest[idioma_la])</f>
        <v>Lingua Vasconica</v>
      </c>
      <c r="L739" s="6" t="str">
        <f>_xlfn.XLOOKUP(frasest[[#This Row],[autor_es]],autorest[autor_es],autorest[nacion_es])</f>
        <v>España</v>
      </c>
      <c r="M739" t="str">
        <f>_xlfn.XLOOKUP(frasest[[#This Row],[autor_es]],autorest[autor_es],autorest[nacion_la])</f>
        <v>Hispania</v>
      </c>
      <c r="N739" t="str">
        <f>_xlfn.XLOOKUP(frasest[[#This Row],[autor_es]],autorest[autor_es],autorest[epoca_es])</f>
        <v>Epoca Desconocida</v>
      </c>
      <c r="O739" t="str">
        <f>_xlfn.XLOOKUP(frasest[[#This Row],[autor_es]],autorest[autor_es],autorest[epoca_la])</f>
        <v>Epocha Ignota</v>
      </c>
    </row>
    <row r="740" spans="1:15">
      <c r="A740">
        <v>739</v>
      </c>
      <c r="B740" t="s">
        <v>2069</v>
      </c>
      <c r="C740" t="s">
        <v>2070</v>
      </c>
      <c r="D740" t="s">
        <v>2071</v>
      </c>
      <c r="E740" t="s">
        <v>995</v>
      </c>
      <c r="F740" t="str">
        <f>_xlfn.XLOOKUP(frasest[[#This Row],[autor_es]],autorest[autor_es],autorest[autor_la])</f>
        <v>Sententia Vasconica</v>
      </c>
      <c r="G740" s="6" t="str">
        <f>_xlfn.XLOOKUP(frasest[[#This Row],[autor_es]],autorest[autor_es],autorest[bio_es])</f>
        <v>Proverbios de la tradición oral vasca que reflejan la relación con la naturaleza, el trabajo y los valores comunitarios del pueblo vasco.</v>
      </c>
      <c r="H740" s="6" t="str">
        <f>_xlfn.XLOOKUP(frasest[[#This Row],[autor_es]],autorest[autor_es],autorest[bio_la])</f>
        <v>Collectio sententiarum Vasconicarum.</v>
      </c>
      <c r="I740" t="str">
        <f>_xlfn.XLOOKUP(frasest[[#This Row],[autor_es]],autorest[autor_es],autorest[codigo])</f>
        <v>eu</v>
      </c>
      <c r="J740" t="str">
        <f>_xlfn.XLOOKUP(frasest[[#This Row],[autor_es]],autorest[autor_es],autorest[idioma_es])</f>
        <v>Euskara</v>
      </c>
      <c r="K740" s="6" t="str">
        <f>_xlfn.XLOOKUP(frasest[[#This Row],[autor_es]],autorest[autor_es],autorest[idioma_la])</f>
        <v>Lingua Vasconica</v>
      </c>
      <c r="L740" s="6" t="str">
        <f>_xlfn.XLOOKUP(frasest[[#This Row],[autor_es]],autorest[autor_es],autorest[nacion_es])</f>
        <v>España</v>
      </c>
      <c r="M740" t="str">
        <f>_xlfn.XLOOKUP(frasest[[#This Row],[autor_es]],autorest[autor_es],autorest[nacion_la])</f>
        <v>Hispania</v>
      </c>
      <c r="N740" t="str">
        <f>_xlfn.XLOOKUP(frasest[[#This Row],[autor_es]],autorest[autor_es],autorest[epoca_es])</f>
        <v>Epoca Desconocida</v>
      </c>
      <c r="O740" t="str">
        <f>_xlfn.XLOOKUP(frasest[[#This Row],[autor_es]],autorest[autor_es],autorest[epoca_la])</f>
        <v>Epocha Ignota</v>
      </c>
    </row>
    <row r="741" spans="1:15">
      <c r="A741">
        <v>740</v>
      </c>
      <c r="B741" t="s">
        <v>2072</v>
      </c>
      <c r="C741" t="s">
        <v>2073</v>
      </c>
      <c r="D741" t="s">
        <v>2074</v>
      </c>
      <c r="E741" t="s">
        <v>995</v>
      </c>
      <c r="F741" t="str">
        <f>_xlfn.XLOOKUP(frasest[[#This Row],[autor_es]],autorest[autor_es],autorest[autor_la])</f>
        <v>Sententia Vasconica</v>
      </c>
      <c r="G741" s="6" t="str">
        <f>_xlfn.XLOOKUP(frasest[[#This Row],[autor_es]],autorest[autor_es],autorest[bio_es])</f>
        <v>Proverbios de la tradición oral vasca que reflejan la relación con la naturaleza, el trabajo y los valores comunitarios del pueblo vasco.</v>
      </c>
      <c r="H741" s="6" t="str">
        <f>_xlfn.XLOOKUP(frasest[[#This Row],[autor_es]],autorest[autor_es],autorest[bio_la])</f>
        <v>Collectio sententiarum Vasconicarum.</v>
      </c>
      <c r="I741" t="str">
        <f>_xlfn.XLOOKUP(frasest[[#This Row],[autor_es]],autorest[autor_es],autorest[codigo])</f>
        <v>eu</v>
      </c>
      <c r="J741" t="str">
        <f>_xlfn.XLOOKUP(frasest[[#This Row],[autor_es]],autorest[autor_es],autorest[idioma_es])</f>
        <v>Euskara</v>
      </c>
      <c r="K741" s="6" t="str">
        <f>_xlfn.XLOOKUP(frasest[[#This Row],[autor_es]],autorest[autor_es],autorest[idioma_la])</f>
        <v>Lingua Vasconica</v>
      </c>
      <c r="L741" s="6" t="str">
        <f>_xlfn.XLOOKUP(frasest[[#This Row],[autor_es]],autorest[autor_es],autorest[nacion_es])</f>
        <v>España</v>
      </c>
      <c r="M741" t="str">
        <f>_xlfn.XLOOKUP(frasest[[#This Row],[autor_es]],autorest[autor_es],autorest[nacion_la])</f>
        <v>Hispania</v>
      </c>
      <c r="N741" t="str">
        <f>_xlfn.XLOOKUP(frasest[[#This Row],[autor_es]],autorest[autor_es],autorest[epoca_es])</f>
        <v>Epoca Desconocida</v>
      </c>
      <c r="O741" t="str">
        <f>_xlfn.XLOOKUP(frasest[[#This Row],[autor_es]],autorest[autor_es],autorest[epoca_la])</f>
        <v>Epocha Ignota</v>
      </c>
    </row>
    <row r="742" spans="1:15">
      <c r="A742">
        <v>741</v>
      </c>
      <c r="B742" t="s">
        <v>2075</v>
      </c>
      <c r="C742" t="s">
        <v>2076</v>
      </c>
      <c r="D742" t="s">
        <v>2077</v>
      </c>
      <c r="E742" t="s">
        <v>995</v>
      </c>
      <c r="F742" t="str">
        <f>_xlfn.XLOOKUP(frasest[[#This Row],[autor_es]],autorest[autor_es],autorest[autor_la])</f>
        <v>Sententia Vasconica</v>
      </c>
      <c r="G742" s="6" t="str">
        <f>_xlfn.XLOOKUP(frasest[[#This Row],[autor_es]],autorest[autor_es],autorest[bio_es])</f>
        <v>Proverbios de la tradición oral vasca que reflejan la relación con la naturaleza, el trabajo y los valores comunitarios del pueblo vasco.</v>
      </c>
      <c r="H742" s="6" t="str">
        <f>_xlfn.XLOOKUP(frasest[[#This Row],[autor_es]],autorest[autor_es],autorest[bio_la])</f>
        <v>Collectio sententiarum Vasconicarum.</v>
      </c>
      <c r="I742" t="str">
        <f>_xlfn.XLOOKUP(frasest[[#This Row],[autor_es]],autorest[autor_es],autorest[codigo])</f>
        <v>eu</v>
      </c>
      <c r="J742" t="str">
        <f>_xlfn.XLOOKUP(frasest[[#This Row],[autor_es]],autorest[autor_es],autorest[idioma_es])</f>
        <v>Euskara</v>
      </c>
      <c r="K742" s="6" t="str">
        <f>_xlfn.XLOOKUP(frasest[[#This Row],[autor_es]],autorest[autor_es],autorest[idioma_la])</f>
        <v>Lingua Vasconica</v>
      </c>
      <c r="L742" s="6" t="str">
        <f>_xlfn.XLOOKUP(frasest[[#This Row],[autor_es]],autorest[autor_es],autorest[nacion_es])</f>
        <v>España</v>
      </c>
      <c r="M742" t="str">
        <f>_xlfn.XLOOKUP(frasest[[#This Row],[autor_es]],autorest[autor_es],autorest[nacion_la])</f>
        <v>Hispania</v>
      </c>
      <c r="N742" t="str">
        <f>_xlfn.XLOOKUP(frasest[[#This Row],[autor_es]],autorest[autor_es],autorest[epoca_es])</f>
        <v>Epoca Desconocida</v>
      </c>
      <c r="O742" t="str">
        <f>_xlfn.XLOOKUP(frasest[[#This Row],[autor_es]],autorest[autor_es],autorest[epoca_la])</f>
        <v>Epocha Ignota</v>
      </c>
    </row>
    <row r="743" spans="1:15">
      <c r="A743">
        <v>742</v>
      </c>
      <c r="B743" t="s">
        <v>2078</v>
      </c>
      <c r="C743" t="s">
        <v>2079</v>
      </c>
      <c r="D743" t="s">
        <v>2080</v>
      </c>
      <c r="E743" t="s">
        <v>995</v>
      </c>
      <c r="F743" t="str">
        <f>_xlfn.XLOOKUP(frasest[[#This Row],[autor_es]],autorest[autor_es],autorest[autor_la])</f>
        <v>Sententia Vasconica</v>
      </c>
      <c r="G743" s="6" t="str">
        <f>_xlfn.XLOOKUP(frasest[[#This Row],[autor_es]],autorest[autor_es],autorest[bio_es])</f>
        <v>Proverbios de la tradición oral vasca que reflejan la relación con la naturaleza, el trabajo y los valores comunitarios del pueblo vasco.</v>
      </c>
      <c r="H743" s="6" t="str">
        <f>_xlfn.XLOOKUP(frasest[[#This Row],[autor_es]],autorest[autor_es],autorest[bio_la])</f>
        <v>Collectio sententiarum Vasconicarum.</v>
      </c>
      <c r="I743" t="str">
        <f>_xlfn.XLOOKUP(frasest[[#This Row],[autor_es]],autorest[autor_es],autorest[codigo])</f>
        <v>eu</v>
      </c>
      <c r="J743" t="str">
        <f>_xlfn.XLOOKUP(frasest[[#This Row],[autor_es]],autorest[autor_es],autorest[idioma_es])</f>
        <v>Euskara</v>
      </c>
      <c r="K743" s="6" t="str">
        <f>_xlfn.XLOOKUP(frasest[[#This Row],[autor_es]],autorest[autor_es],autorest[idioma_la])</f>
        <v>Lingua Vasconica</v>
      </c>
      <c r="L743" s="6" t="str">
        <f>_xlfn.XLOOKUP(frasest[[#This Row],[autor_es]],autorest[autor_es],autorest[nacion_es])</f>
        <v>España</v>
      </c>
      <c r="M743" t="str">
        <f>_xlfn.XLOOKUP(frasest[[#This Row],[autor_es]],autorest[autor_es],autorest[nacion_la])</f>
        <v>Hispania</v>
      </c>
      <c r="N743" t="str">
        <f>_xlfn.XLOOKUP(frasest[[#This Row],[autor_es]],autorest[autor_es],autorest[epoca_es])</f>
        <v>Epoca Desconocida</v>
      </c>
      <c r="O743" t="str">
        <f>_xlfn.XLOOKUP(frasest[[#This Row],[autor_es]],autorest[autor_es],autorest[epoca_la])</f>
        <v>Epocha Ignota</v>
      </c>
    </row>
    <row r="744" spans="1:15">
      <c r="A744">
        <v>743</v>
      </c>
      <c r="B744" t="s">
        <v>2081</v>
      </c>
      <c r="C744" t="s">
        <v>2082</v>
      </c>
      <c r="D744" t="s">
        <v>2083</v>
      </c>
      <c r="E744" t="s">
        <v>995</v>
      </c>
      <c r="F744" t="str">
        <f>_xlfn.XLOOKUP(frasest[[#This Row],[autor_es]],autorest[autor_es],autorest[autor_la])</f>
        <v>Sententia Vasconica</v>
      </c>
      <c r="G744" s="6" t="str">
        <f>_xlfn.XLOOKUP(frasest[[#This Row],[autor_es]],autorest[autor_es],autorest[bio_es])</f>
        <v>Proverbios de la tradición oral vasca que reflejan la relación con la naturaleza, el trabajo y los valores comunitarios del pueblo vasco.</v>
      </c>
      <c r="H744" s="6" t="str">
        <f>_xlfn.XLOOKUP(frasest[[#This Row],[autor_es]],autorest[autor_es],autorest[bio_la])</f>
        <v>Collectio sententiarum Vasconicarum.</v>
      </c>
      <c r="I744" t="str">
        <f>_xlfn.XLOOKUP(frasest[[#This Row],[autor_es]],autorest[autor_es],autorest[codigo])</f>
        <v>eu</v>
      </c>
      <c r="J744" t="str">
        <f>_xlfn.XLOOKUP(frasest[[#This Row],[autor_es]],autorest[autor_es],autorest[idioma_es])</f>
        <v>Euskara</v>
      </c>
      <c r="K744" s="6" t="str">
        <f>_xlfn.XLOOKUP(frasest[[#This Row],[autor_es]],autorest[autor_es],autorest[idioma_la])</f>
        <v>Lingua Vasconica</v>
      </c>
      <c r="L744" s="6" t="str">
        <f>_xlfn.XLOOKUP(frasest[[#This Row],[autor_es]],autorest[autor_es],autorest[nacion_es])</f>
        <v>España</v>
      </c>
      <c r="M744" t="str">
        <f>_xlfn.XLOOKUP(frasest[[#This Row],[autor_es]],autorest[autor_es],autorest[nacion_la])</f>
        <v>Hispania</v>
      </c>
      <c r="N744" t="str">
        <f>_xlfn.XLOOKUP(frasest[[#This Row],[autor_es]],autorest[autor_es],autorest[epoca_es])</f>
        <v>Epoca Desconocida</v>
      </c>
      <c r="O744" t="str">
        <f>_xlfn.XLOOKUP(frasest[[#This Row],[autor_es]],autorest[autor_es],autorest[epoca_la])</f>
        <v>Epocha Ignota</v>
      </c>
    </row>
    <row r="745" spans="1:15">
      <c r="A745">
        <v>744</v>
      </c>
      <c r="B745" t="s">
        <v>2084</v>
      </c>
      <c r="C745" t="s">
        <v>2085</v>
      </c>
      <c r="D745" t="s">
        <v>2086</v>
      </c>
      <c r="E745" t="s">
        <v>995</v>
      </c>
      <c r="F745" t="str">
        <f>_xlfn.XLOOKUP(frasest[[#This Row],[autor_es]],autorest[autor_es],autorest[autor_la])</f>
        <v>Sententia Vasconica</v>
      </c>
      <c r="G745" s="6" t="str">
        <f>_xlfn.XLOOKUP(frasest[[#This Row],[autor_es]],autorest[autor_es],autorest[bio_es])</f>
        <v>Proverbios de la tradición oral vasca que reflejan la relación con la naturaleza, el trabajo y los valores comunitarios del pueblo vasco.</v>
      </c>
      <c r="H745" s="6" t="str">
        <f>_xlfn.XLOOKUP(frasest[[#This Row],[autor_es]],autorest[autor_es],autorest[bio_la])</f>
        <v>Collectio sententiarum Vasconicarum.</v>
      </c>
      <c r="I745" t="str">
        <f>_xlfn.XLOOKUP(frasest[[#This Row],[autor_es]],autorest[autor_es],autorest[codigo])</f>
        <v>eu</v>
      </c>
      <c r="J745" t="str">
        <f>_xlfn.XLOOKUP(frasest[[#This Row],[autor_es]],autorest[autor_es],autorest[idioma_es])</f>
        <v>Euskara</v>
      </c>
      <c r="K745" s="6" t="str">
        <f>_xlfn.XLOOKUP(frasest[[#This Row],[autor_es]],autorest[autor_es],autorest[idioma_la])</f>
        <v>Lingua Vasconica</v>
      </c>
      <c r="L745" s="6" t="str">
        <f>_xlfn.XLOOKUP(frasest[[#This Row],[autor_es]],autorest[autor_es],autorest[nacion_es])</f>
        <v>España</v>
      </c>
      <c r="M745" t="str">
        <f>_xlfn.XLOOKUP(frasest[[#This Row],[autor_es]],autorest[autor_es],autorest[nacion_la])</f>
        <v>Hispania</v>
      </c>
      <c r="N745" t="str">
        <f>_xlfn.XLOOKUP(frasest[[#This Row],[autor_es]],autorest[autor_es],autorest[epoca_es])</f>
        <v>Epoca Desconocida</v>
      </c>
      <c r="O745" t="str">
        <f>_xlfn.XLOOKUP(frasest[[#This Row],[autor_es]],autorest[autor_es],autorest[epoca_la])</f>
        <v>Epocha Ignota</v>
      </c>
    </row>
    <row r="746" spans="1:15">
      <c r="A746">
        <v>745</v>
      </c>
      <c r="B746" t="s">
        <v>2087</v>
      </c>
      <c r="C746" t="s">
        <v>2088</v>
      </c>
      <c r="D746" t="s">
        <v>2089</v>
      </c>
      <c r="E746" t="s">
        <v>995</v>
      </c>
      <c r="F746" t="str">
        <f>_xlfn.XLOOKUP(frasest[[#This Row],[autor_es]],autorest[autor_es],autorest[autor_la])</f>
        <v>Sententia Vasconica</v>
      </c>
      <c r="G746" s="6" t="str">
        <f>_xlfn.XLOOKUP(frasest[[#This Row],[autor_es]],autorest[autor_es],autorest[bio_es])</f>
        <v>Proverbios de la tradición oral vasca que reflejan la relación con la naturaleza, el trabajo y los valores comunitarios del pueblo vasco.</v>
      </c>
      <c r="H746" s="6" t="str">
        <f>_xlfn.XLOOKUP(frasest[[#This Row],[autor_es]],autorest[autor_es],autorest[bio_la])</f>
        <v>Collectio sententiarum Vasconicarum.</v>
      </c>
      <c r="I746" t="str">
        <f>_xlfn.XLOOKUP(frasest[[#This Row],[autor_es]],autorest[autor_es],autorest[codigo])</f>
        <v>eu</v>
      </c>
      <c r="J746" t="str">
        <f>_xlfn.XLOOKUP(frasest[[#This Row],[autor_es]],autorest[autor_es],autorest[idioma_es])</f>
        <v>Euskara</v>
      </c>
      <c r="K746" s="6" t="str">
        <f>_xlfn.XLOOKUP(frasest[[#This Row],[autor_es]],autorest[autor_es],autorest[idioma_la])</f>
        <v>Lingua Vasconica</v>
      </c>
      <c r="L746" s="6" t="str">
        <f>_xlfn.XLOOKUP(frasest[[#This Row],[autor_es]],autorest[autor_es],autorest[nacion_es])</f>
        <v>España</v>
      </c>
      <c r="M746" t="str">
        <f>_xlfn.XLOOKUP(frasest[[#This Row],[autor_es]],autorest[autor_es],autorest[nacion_la])</f>
        <v>Hispania</v>
      </c>
      <c r="N746" t="str">
        <f>_xlfn.XLOOKUP(frasest[[#This Row],[autor_es]],autorest[autor_es],autorest[epoca_es])</f>
        <v>Epoca Desconocida</v>
      </c>
      <c r="O746" t="str">
        <f>_xlfn.XLOOKUP(frasest[[#This Row],[autor_es]],autorest[autor_es],autorest[epoca_la])</f>
        <v>Epocha Ignota</v>
      </c>
    </row>
    <row r="747" spans="1:15">
      <c r="A747">
        <v>746</v>
      </c>
      <c r="B747" t="s">
        <v>2090</v>
      </c>
      <c r="C747" t="s">
        <v>2091</v>
      </c>
      <c r="D747" t="s">
        <v>2092</v>
      </c>
      <c r="E747" t="s">
        <v>995</v>
      </c>
      <c r="F747" t="str">
        <f>_xlfn.XLOOKUP(frasest[[#This Row],[autor_es]],autorest[autor_es],autorest[autor_la])</f>
        <v>Sententia Vasconica</v>
      </c>
      <c r="G747" s="6" t="str">
        <f>_xlfn.XLOOKUP(frasest[[#This Row],[autor_es]],autorest[autor_es],autorest[bio_es])</f>
        <v>Proverbios de la tradición oral vasca que reflejan la relación con la naturaleza, el trabajo y los valores comunitarios del pueblo vasco.</v>
      </c>
      <c r="H747" s="6" t="str">
        <f>_xlfn.XLOOKUP(frasest[[#This Row],[autor_es]],autorest[autor_es],autorest[bio_la])</f>
        <v>Collectio sententiarum Vasconicarum.</v>
      </c>
      <c r="I747" t="str">
        <f>_xlfn.XLOOKUP(frasest[[#This Row],[autor_es]],autorest[autor_es],autorest[codigo])</f>
        <v>eu</v>
      </c>
      <c r="J747" t="str">
        <f>_xlfn.XLOOKUP(frasest[[#This Row],[autor_es]],autorest[autor_es],autorest[idioma_es])</f>
        <v>Euskara</v>
      </c>
      <c r="K747" s="6" t="str">
        <f>_xlfn.XLOOKUP(frasest[[#This Row],[autor_es]],autorest[autor_es],autorest[idioma_la])</f>
        <v>Lingua Vasconica</v>
      </c>
      <c r="L747" s="6" t="str">
        <f>_xlfn.XLOOKUP(frasest[[#This Row],[autor_es]],autorest[autor_es],autorest[nacion_es])</f>
        <v>España</v>
      </c>
      <c r="M747" t="str">
        <f>_xlfn.XLOOKUP(frasest[[#This Row],[autor_es]],autorest[autor_es],autorest[nacion_la])</f>
        <v>Hispania</v>
      </c>
      <c r="N747" t="str">
        <f>_xlfn.XLOOKUP(frasest[[#This Row],[autor_es]],autorest[autor_es],autorest[epoca_es])</f>
        <v>Epoca Desconocida</v>
      </c>
      <c r="O747" t="str">
        <f>_xlfn.XLOOKUP(frasest[[#This Row],[autor_es]],autorest[autor_es],autorest[epoca_la])</f>
        <v>Epocha Ignota</v>
      </c>
    </row>
    <row r="748" spans="1:15">
      <c r="A748">
        <v>747</v>
      </c>
      <c r="B748" t="s">
        <v>2093</v>
      </c>
      <c r="C748" t="s">
        <v>2094</v>
      </c>
      <c r="D748" t="s">
        <v>2095</v>
      </c>
      <c r="E748" t="s">
        <v>995</v>
      </c>
      <c r="F748" t="str">
        <f>_xlfn.XLOOKUP(frasest[[#This Row],[autor_es]],autorest[autor_es],autorest[autor_la])</f>
        <v>Sententia Vasconica</v>
      </c>
      <c r="G748" s="6" t="str">
        <f>_xlfn.XLOOKUP(frasest[[#This Row],[autor_es]],autorest[autor_es],autorest[bio_es])</f>
        <v>Proverbios de la tradición oral vasca que reflejan la relación con la naturaleza, el trabajo y los valores comunitarios del pueblo vasco.</v>
      </c>
      <c r="H748" s="6" t="str">
        <f>_xlfn.XLOOKUP(frasest[[#This Row],[autor_es]],autorest[autor_es],autorest[bio_la])</f>
        <v>Collectio sententiarum Vasconicarum.</v>
      </c>
      <c r="I748" t="str">
        <f>_xlfn.XLOOKUP(frasest[[#This Row],[autor_es]],autorest[autor_es],autorest[codigo])</f>
        <v>eu</v>
      </c>
      <c r="J748" t="str">
        <f>_xlfn.XLOOKUP(frasest[[#This Row],[autor_es]],autorest[autor_es],autorest[idioma_es])</f>
        <v>Euskara</v>
      </c>
      <c r="K748" s="6" t="str">
        <f>_xlfn.XLOOKUP(frasest[[#This Row],[autor_es]],autorest[autor_es],autorest[idioma_la])</f>
        <v>Lingua Vasconica</v>
      </c>
      <c r="L748" s="6" t="str">
        <f>_xlfn.XLOOKUP(frasest[[#This Row],[autor_es]],autorest[autor_es],autorest[nacion_es])</f>
        <v>España</v>
      </c>
      <c r="M748" t="str">
        <f>_xlfn.XLOOKUP(frasest[[#This Row],[autor_es]],autorest[autor_es],autorest[nacion_la])</f>
        <v>Hispania</v>
      </c>
      <c r="N748" t="str">
        <f>_xlfn.XLOOKUP(frasest[[#This Row],[autor_es]],autorest[autor_es],autorest[epoca_es])</f>
        <v>Epoca Desconocida</v>
      </c>
      <c r="O748" t="str">
        <f>_xlfn.XLOOKUP(frasest[[#This Row],[autor_es]],autorest[autor_es],autorest[epoca_la])</f>
        <v>Epocha Ignota</v>
      </c>
    </row>
    <row r="749" spans="1:15">
      <c r="A749">
        <v>748</v>
      </c>
      <c r="B749" t="s">
        <v>2096</v>
      </c>
      <c r="C749" t="s">
        <v>2097</v>
      </c>
      <c r="D749" t="s">
        <v>2098</v>
      </c>
      <c r="E749" t="s">
        <v>995</v>
      </c>
      <c r="F749" t="str">
        <f>_xlfn.XLOOKUP(frasest[[#This Row],[autor_es]],autorest[autor_es],autorest[autor_la])</f>
        <v>Sententia Vasconica</v>
      </c>
      <c r="G749" s="6" t="str">
        <f>_xlfn.XLOOKUP(frasest[[#This Row],[autor_es]],autorest[autor_es],autorest[bio_es])</f>
        <v>Proverbios de la tradición oral vasca que reflejan la relación con la naturaleza, el trabajo y los valores comunitarios del pueblo vasco.</v>
      </c>
      <c r="H749" s="6" t="str">
        <f>_xlfn.XLOOKUP(frasest[[#This Row],[autor_es]],autorest[autor_es],autorest[bio_la])</f>
        <v>Collectio sententiarum Vasconicarum.</v>
      </c>
      <c r="I749" t="str">
        <f>_xlfn.XLOOKUP(frasest[[#This Row],[autor_es]],autorest[autor_es],autorest[codigo])</f>
        <v>eu</v>
      </c>
      <c r="J749" t="str">
        <f>_xlfn.XLOOKUP(frasest[[#This Row],[autor_es]],autorest[autor_es],autorest[idioma_es])</f>
        <v>Euskara</v>
      </c>
      <c r="K749" s="6" t="str">
        <f>_xlfn.XLOOKUP(frasest[[#This Row],[autor_es]],autorest[autor_es],autorest[idioma_la])</f>
        <v>Lingua Vasconica</v>
      </c>
      <c r="L749" s="6" t="str">
        <f>_xlfn.XLOOKUP(frasest[[#This Row],[autor_es]],autorest[autor_es],autorest[nacion_es])</f>
        <v>España</v>
      </c>
      <c r="M749" t="str">
        <f>_xlfn.XLOOKUP(frasest[[#This Row],[autor_es]],autorest[autor_es],autorest[nacion_la])</f>
        <v>Hispania</v>
      </c>
      <c r="N749" t="str">
        <f>_xlfn.XLOOKUP(frasest[[#This Row],[autor_es]],autorest[autor_es],autorest[epoca_es])</f>
        <v>Epoca Desconocida</v>
      </c>
      <c r="O749" t="str">
        <f>_xlfn.XLOOKUP(frasest[[#This Row],[autor_es]],autorest[autor_es],autorest[epoca_la])</f>
        <v>Epocha Ignota</v>
      </c>
    </row>
    <row r="750" spans="1:15">
      <c r="A750">
        <v>749</v>
      </c>
      <c r="B750" t="s">
        <v>2099</v>
      </c>
      <c r="C750" t="s">
        <v>2100</v>
      </c>
      <c r="D750" t="s">
        <v>2101</v>
      </c>
      <c r="E750" t="s">
        <v>995</v>
      </c>
      <c r="F750" t="str">
        <f>_xlfn.XLOOKUP(frasest[[#This Row],[autor_es]],autorest[autor_es],autorest[autor_la])</f>
        <v>Sententia Vasconica</v>
      </c>
      <c r="G750" s="6" t="str">
        <f>_xlfn.XLOOKUP(frasest[[#This Row],[autor_es]],autorest[autor_es],autorest[bio_es])</f>
        <v>Proverbios de la tradición oral vasca que reflejan la relación con la naturaleza, el trabajo y los valores comunitarios del pueblo vasco.</v>
      </c>
      <c r="H750" s="6" t="str">
        <f>_xlfn.XLOOKUP(frasest[[#This Row],[autor_es]],autorest[autor_es],autorest[bio_la])</f>
        <v>Collectio sententiarum Vasconicarum.</v>
      </c>
      <c r="I750" t="str">
        <f>_xlfn.XLOOKUP(frasest[[#This Row],[autor_es]],autorest[autor_es],autorest[codigo])</f>
        <v>eu</v>
      </c>
      <c r="J750" t="str">
        <f>_xlfn.XLOOKUP(frasest[[#This Row],[autor_es]],autorest[autor_es],autorest[idioma_es])</f>
        <v>Euskara</v>
      </c>
      <c r="K750" s="6" t="str">
        <f>_xlfn.XLOOKUP(frasest[[#This Row],[autor_es]],autorest[autor_es],autorest[idioma_la])</f>
        <v>Lingua Vasconica</v>
      </c>
      <c r="L750" s="6" t="str">
        <f>_xlfn.XLOOKUP(frasest[[#This Row],[autor_es]],autorest[autor_es],autorest[nacion_es])</f>
        <v>España</v>
      </c>
      <c r="M750" t="str">
        <f>_xlfn.XLOOKUP(frasest[[#This Row],[autor_es]],autorest[autor_es],autorest[nacion_la])</f>
        <v>Hispania</v>
      </c>
      <c r="N750" t="str">
        <f>_xlfn.XLOOKUP(frasest[[#This Row],[autor_es]],autorest[autor_es],autorest[epoca_es])</f>
        <v>Epoca Desconocida</v>
      </c>
      <c r="O750" t="str">
        <f>_xlfn.XLOOKUP(frasest[[#This Row],[autor_es]],autorest[autor_es],autorest[epoca_la])</f>
        <v>Epocha Ignota</v>
      </c>
    </row>
    <row r="751" spans="1:15">
      <c r="A751">
        <v>750</v>
      </c>
      <c r="B751" t="s">
        <v>2102</v>
      </c>
      <c r="C751" t="s">
        <v>2103</v>
      </c>
      <c r="D751" t="s">
        <v>2104</v>
      </c>
      <c r="E751" t="s">
        <v>995</v>
      </c>
      <c r="F751" t="str">
        <f>_xlfn.XLOOKUP(frasest[[#This Row],[autor_es]],autorest[autor_es],autorest[autor_la])</f>
        <v>Sententia Vasconica</v>
      </c>
      <c r="G751" s="6" t="str">
        <f>_xlfn.XLOOKUP(frasest[[#This Row],[autor_es]],autorest[autor_es],autorest[bio_es])</f>
        <v>Proverbios de la tradición oral vasca que reflejan la relación con la naturaleza, el trabajo y los valores comunitarios del pueblo vasco.</v>
      </c>
      <c r="H751" s="6" t="str">
        <f>_xlfn.XLOOKUP(frasest[[#This Row],[autor_es]],autorest[autor_es],autorest[bio_la])</f>
        <v>Collectio sententiarum Vasconicarum.</v>
      </c>
      <c r="I751" t="str">
        <f>_xlfn.XLOOKUP(frasest[[#This Row],[autor_es]],autorest[autor_es],autorest[codigo])</f>
        <v>eu</v>
      </c>
      <c r="J751" t="str">
        <f>_xlfn.XLOOKUP(frasest[[#This Row],[autor_es]],autorest[autor_es],autorest[idioma_es])</f>
        <v>Euskara</v>
      </c>
      <c r="K751" s="6" t="str">
        <f>_xlfn.XLOOKUP(frasest[[#This Row],[autor_es]],autorest[autor_es],autorest[idioma_la])</f>
        <v>Lingua Vasconica</v>
      </c>
      <c r="L751" s="6" t="str">
        <f>_xlfn.XLOOKUP(frasest[[#This Row],[autor_es]],autorest[autor_es],autorest[nacion_es])</f>
        <v>España</v>
      </c>
      <c r="M751" t="str">
        <f>_xlfn.XLOOKUP(frasest[[#This Row],[autor_es]],autorest[autor_es],autorest[nacion_la])</f>
        <v>Hispania</v>
      </c>
      <c r="N751" t="str">
        <f>_xlfn.XLOOKUP(frasest[[#This Row],[autor_es]],autorest[autor_es],autorest[epoca_es])</f>
        <v>Epoca Desconocida</v>
      </c>
      <c r="O751" t="str">
        <f>_xlfn.XLOOKUP(frasest[[#This Row],[autor_es]],autorest[autor_es],autorest[epoca_la])</f>
        <v>Epocha Ignota</v>
      </c>
    </row>
    <row r="752" spans="1:15">
      <c r="A752">
        <v>751</v>
      </c>
      <c r="B752" t="s">
        <v>2105</v>
      </c>
      <c r="C752" t="s">
        <v>2106</v>
      </c>
      <c r="D752" t="s">
        <v>2107</v>
      </c>
      <c r="E752" t="s">
        <v>995</v>
      </c>
      <c r="F752" t="str">
        <f>_xlfn.XLOOKUP(frasest[[#This Row],[autor_es]],autorest[autor_es],autorest[autor_la])</f>
        <v>Sententia Vasconica</v>
      </c>
      <c r="G752" s="6" t="str">
        <f>_xlfn.XLOOKUP(frasest[[#This Row],[autor_es]],autorest[autor_es],autorest[bio_es])</f>
        <v>Proverbios de la tradición oral vasca que reflejan la relación con la naturaleza, el trabajo y los valores comunitarios del pueblo vasco.</v>
      </c>
      <c r="H752" s="6" t="str">
        <f>_xlfn.XLOOKUP(frasest[[#This Row],[autor_es]],autorest[autor_es],autorest[bio_la])</f>
        <v>Collectio sententiarum Vasconicarum.</v>
      </c>
      <c r="I752" t="str">
        <f>_xlfn.XLOOKUP(frasest[[#This Row],[autor_es]],autorest[autor_es],autorest[codigo])</f>
        <v>eu</v>
      </c>
      <c r="J752" t="str">
        <f>_xlfn.XLOOKUP(frasest[[#This Row],[autor_es]],autorest[autor_es],autorest[idioma_es])</f>
        <v>Euskara</v>
      </c>
      <c r="K752" s="6" t="str">
        <f>_xlfn.XLOOKUP(frasest[[#This Row],[autor_es]],autorest[autor_es],autorest[idioma_la])</f>
        <v>Lingua Vasconica</v>
      </c>
      <c r="L752" s="6" t="str">
        <f>_xlfn.XLOOKUP(frasest[[#This Row],[autor_es]],autorest[autor_es],autorest[nacion_es])</f>
        <v>España</v>
      </c>
      <c r="M752" t="str">
        <f>_xlfn.XLOOKUP(frasest[[#This Row],[autor_es]],autorest[autor_es],autorest[nacion_la])</f>
        <v>Hispania</v>
      </c>
      <c r="N752" t="str">
        <f>_xlfn.XLOOKUP(frasest[[#This Row],[autor_es]],autorest[autor_es],autorest[epoca_es])</f>
        <v>Epoca Desconocida</v>
      </c>
      <c r="O752" t="str">
        <f>_xlfn.XLOOKUP(frasest[[#This Row],[autor_es]],autorest[autor_es],autorest[epoca_la])</f>
        <v>Epocha Ignota</v>
      </c>
    </row>
    <row r="753" spans="1:15">
      <c r="A753">
        <v>752</v>
      </c>
      <c r="B753" t="s">
        <v>2108</v>
      </c>
      <c r="C753" t="s">
        <v>2109</v>
      </c>
      <c r="D753" t="s">
        <v>2110</v>
      </c>
      <c r="E753" t="s">
        <v>995</v>
      </c>
      <c r="F753" t="str">
        <f>_xlfn.XLOOKUP(frasest[[#This Row],[autor_es]],autorest[autor_es],autorest[autor_la])</f>
        <v>Sententia Vasconica</v>
      </c>
      <c r="G753" s="6" t="str">
        <f>_xlfn.XLOOKUP(frasest[[#This Row],[autor_es]],autorest[autor_es],autorest[bio_es])</f>
        <v>Proverbios de la tradición oral vasca que reflejan la relación con la naturaleza, el trabajo y los valores comunitarios del pueblo vasco.</v>
      </c>
      <c r="H753" s="6" t="str">
        <f>_xlfn.XLOOKUP(frasest[[#This Row],[autor_es]],autorest[autor_es],autorest[bio_la])</f>
        <v>Collectio sententiarum Vasconicarum.</v>
      </c>
      <c r="I753" t="str">
        <f>_xlfn.XLOOKUP(frasest[[#This Row],[autor_es]],autorest[autor_es],autorest[codigo])</f>
        <v>eu</v>
      </c>
      <c r="J753" t="str">
        <f>_xlfn.XLOOKUP(frasest[[#This Row],[autor_es]],autorest[autor_es],autorest[idioma_es])</f>
        <v>Euskara</v>
      </c>
      <c r="K753" s="6" t="str">
        <f>_xlfn.XLOOKUP(frasest[[#This Row],[autor_es]],autorest[autor_es],autorest[idioma_la])</f>
        <v>Lingua Vasconica</v>
      </c>
      <c r="L753" s="6" t="str">
        <f>_xlfn.XLOOKUP(frasest[[#This Row],[autor_es]],autorest[autor_es],autorest[nacion_es])</f>
        <v>España</v>
      </c>
      <c r="M753" t="str">
        <f>_xlfn.XLOOKUP(frasest[[#This Row],[autor_es]],autorest[autor_es],autorest[nacion_la])</f>
        <v>Hispania</v>
      </c>
      <c r="N753" t="str">
        <f>_xlfn.XLOOKUP(frasest[[#This Row],[autor_es]],autorest[autor_es],autorest[epoca_es])</f>
        <v>Epoca Desconocida</v>
      </c>
      <c r="O753" t="str">
        <f>_xlfn.XLOOKUP(frasest[[#This Row],[autor_es]],autorest[autor_es],autorest[epoca_la])</f>
        <v>Epocha Ignota</v>
      </c>
    </row>
    <row r="754" spans="1:15">
      <c r="A754">
        <v>753</v>
      </c>
      <c r="B754" t="s">
        <v>2111</v>
      </c>
      <c r="C754" t="s">
        <v>2112</v>
      </c>
      <c r="D754" t="s">
        <v>2113</v>
      </c>
      <c r="E754" t="s">
        <v>995</v>
      </c>
      <c r="F754" t="str">
        <f>_xlfn.XLOOKUP(frasest[[#This Row],[autor_es]],autorest[autor_es],autorest[autor_la])</f>
        <v>Sententia Vasconica</v>
      </c>
      <c r="G754" s="6" t="str">
        <f>_xlfn.XLOOKUP(frasest[[#This Row],[autor_es]],autorest[autor_es],autorest[bio_es])</f>
        <v>Proverbios de la tradición oral vasca que reflejan la relación con la naturaleza, el trabajo y los valores comunitarios del pueblo vasco.</v>
      </c>
      <c r="H754" s="6" t="str">
        <f>_xlfn.XLOOKUP(frasest[[#This Row],[autor_es]],autorest[autor_es],autorest[bio_la])</f>
        <v>Collectio sententiarum Vasconicarum.</v>
      </c>
      <c r="I754" t="str">
        <f>_xlfn.XLOOKUP(frasest[[#This Row],[autor_es]],autorest[autor_es],autorest[codigo])</f>
        <v>eu</v>
      </c>
      <c r="J754" t="str">
        <f>_xlfn.XLOOKUP(frasest[[#This Row],[autor_es]],autorest[autor_es],autorest[idioma_es])</f>
        <v>Euskara</v>
      </c>
      <c r="K754" s="6" t="str">
        <f>_xlfn.XLOOKUP(frasest[[#This Row],[autor_es]],autorest[autor_es],autorest[idioma_la])</f>
        <v>Lingua Vasconica</v>
      </c>
      <c r="L754" s="6" t="str">
        <f>_xlfn.XLOOKUP(frasest[[#This Row],[autor_es]],autorest[autor_es],autorest[nacion_es])</f>
        <v>España</v>
      </c>
      <c r="M754" t="str">
        <f>_xlfn.XLOOKUP(frasest[[#This Row],[autor_es]],autorest[autor_es],autorest[nacion_la])</f>
        <v>Hispania</v>
      </c>
      <c r="N754" t="str">
        <f>_xlfn.XLOOKUP(frasest[[#This Row],[autor_es]],autorest[autor_es],autorest[epoca_es])</f>
        <v>Epoca Desconocida</v>
      </c>
      <c r="O754" t="str">
        <f>_xlfn.XLOOKUP(frasest[[#This Row],[autor_es]],autorest[autor_es],autorest[epoca_la])</f>
        <v>Epocha Ignota</v>
      </c>
    </row>
    <row r="755" spans="1:15">
      <c r="A755">
        <v>754</v>
      </c>
      <c r="B755" t="s">
        <v>2114</v>
      </c>
      <c r="C755" t="s">
        <v>2115</v>
      </c>
      <c r="D755" t="s">
        <v>2116</v>
      </c>
      <c r="E755" t="s">
        <v>995</v>
      </c>
      <c r="F755" t="str">
        <f>_xlfn.XLOOKUP(frasest[[#This Row],[autor_es]],autorest[autor_es],autorest[autor_la])</f>
        <v>Sententia Vasconica</v>
      </c>
      <c r="G755" s="6" t="str">
        <f>_xlfn.XLOOKUP(frasest[[#This Row],[autor_es]],autorest[autor_es],autorest[bio_es])</f>
        <v>Proverbios de la tradición oral vasca que reflejan la relación con la naturaleza, el trabajo y los valores comunitarios del pueblo vasco.</v>
      </c>
      <c r="H755" s="6" t="str">
        <f>_xlfn.XLOOKUP(frasest[[#This Row],[autor_es]],autorest[autor_es],autorest[bio_la])</f>
        <v>Collectio sententiarum Vasconicarum.</v>
      </c>
      <c r="I755" t="str">
        <f>_xlfn.XLOOKUP(frasest[[#This Row],[autor_es]],autorest[autor_es],autorest[codigo])</f>
        <v>eu</v>
      </c>
      <c r="J755" t="str">
        <f>_xlfn.XLOOKUP(frasest[[#This Row],[autor_es]],autorest[autor_es],autorest[idioma_es])</f>
        <v>Euskara</v>
      </c>
      <c r="K755" s="6" t="str">
        <f>_xlfn.XLOOKUP(frasest[[#This Row],[autor_es]],autorest[autor_es],autorest[idioma_la])</f>
        <v>Lingua Vasconica</v>
      </c>
      <c r="L755" s="6" t="str">
        <f>_xlfn.XLOOKUP(frasest[[#This Row],[autor_es]],autorest[autor_es],autorest[nacion_es])</f>
        <v>España</v>
      </c>
      <c r="M755" t="str">
        <f>_xlfn.XLOOKUP(frasest[[#This Row],[autor_es]],autorest[autor_es],autorest[nacion_la])</f>
        <v>Hispania</v>
      </c>
      <c r="N755" t="str">
        <f>_xlfn.XLOOKUP(frasest[[#This Row],[autor_es]],autorest[autor_es],autorest[epoca_es])</f>
        <v>Epoca Desconocida</v>
      </c>
      <c r="O755" t="str">
        <f>_xlfn.XLOOKUP(frasest[[#This Row],[autor_es]],autorest[autor_es],autorest[epoca_la])</f>
        <v>Epocha Ignota</v>
      </c>
    </row>
    <row r="756" spans="1:15">
      <c r="A756">
        <v>755</v>
      </c>
      <c r="B756" t="s">
        <v>2117</v>
      </c>
      <c r="C756" t="s">
        <v>2118</v>
      </c>
      <c r="D756" t="s">
        <v>2119</v>
      </c>
      <c r="E756" t="s">
        <v>995</v>
      </c>
      <c r="F756" t="str">
        <f>_xlfn.XLOOKUP(frasest[[#This Row],[autor_es]],autorest[autor_es],autorest[autor_la])</f>
        <v>Sententia Vasconica</v>
      </c>
      <c r="G756" s="6" t="str">
        <f>_xlfn.XLOOKUP(frasest[[#This Row],[autor_es]],autorest[autor_es],autorest[bio_es])</f>
        <v>Proverbios de la tradición oral vasca que reflejan la relación con la naturaleza, el trabajo y los valores comunitarios del pueblo vasco.</v>
      </c>
      <c r="H756" s="6" t="str">
        <f>_xlfn.XLOOKUP(frasest[[#This Row],[autor_es]],autorest[autor_es],autorest[bio_la])</f>
        <v>Collectio sententiarum Vasconicarum.</v>
      </c>
      <c r="I756" t="str">
        <f>_xlfn.XLOOKUP(frasest[[#This Row],[autor_es]],autorest[autor_es],autorest[codigo])</f>
        <v>eu</v>
      </c>
      <c r="J756" t="str">
        <f>_xlfn.XLOOKUP(frasest[[#This Row],[autor_es]],autorest[autor_es],autorest[idioma_es])</f>
        <v>Euskara</v>
      </c>
      <c r="K756" s="6" t="str">
        <f>_xlfn.XLOOKUP(frasest[[#This Row],[autor_es]],autorest[autor_es],autorest[idioma_la])</f>
        <v>Lingua Vasconica</v>
      </c>
      <c r="L756" s="6" t="str">
        <f>_xlfn.XLOOKUP(frasest[[#This Row],[autor_es]],autorest[autor_es],autorest[nacion_es])</f>
        <v>España</v>
      </c>
      <c r="M756" t="str">
        <f>_xlfn.XLOOKUP(frasest[[#This Row],[autor_es]],autorest[autor_es],autorest[nacion_la])</f>
        <v>Hispania</v>
      </c>
      <c r="N756" t="str">
        <f>_xlfn.XLOOKUP(frasest[[#This Row],[autor_es]],autorest[autor_es],autorest[epoca_es])</f>
        <v>Epoca Desconocida</v>
      </c>
      <c r="O756" t="str">
        <f>_xlfn.XLOOKUP(frasest[[#This Row],[autor_es]],autorest[autor_es],autorest[epoca_la])</f>
        <v>Epocha Ignota</v>
      </c>
    </row>
    <row r="757" spans="1:15">
      <c r="A757">
        <v>756</v>
      </c>
      <c r="B757" t="s">
        <v>2120</v>
      </c>
      <c r="C757" t="s">
        <v>2121</v>
      </c>
      <c r="D757" t="s">
        <v>2122</v>
      </c>
      <c r="E757" t="s">
        <v>995</v>
      </c>
      <c r="F757" t="str">
        <f>_xlfn.XLOOKUP(frasest[[#This Row],[autor_es]],autorest[autor_es],autorest[autor_la])</f>
        <v>Sententia Vasconica</v>
      </c>
      <c r="G757" s="6" t="str">
        <f>_xlfn.XLOOKUP(frasest[[#This Row],[autor_es]],autorest[autor_es],autorest[bio_es])</f>
        <v>Proverbios de la tradición oral vasca que reflejan la relación con la naturaleza, el trabajo y los valores comunitarios del pueblo vasco.</v>
      </c>
      <c r="H757" s="6" t="str">
        <f>_xlfn.XLOOKUP(frasest[[#This Row],[autor_es]],autorest[autor_es],autorest[bio_la])</f>
        <v>Collectio sententiarum Vasconicarum.</v>
      </c>
      <c r="I757" t="str">
        <f>_xlfn.XLOOKUP(frasest[[#This Row],[autor_es]],autorest[autor_es],autorest[codigo])</f>
        <v>eu</v>
      </c>
      <c r="J757" t="str">
        <f>_xlfn.XLOOKUP(frasest[[#This Row],[autor_es]],autorest[autor_es],autorest[idioma_es])</f>
        <v>Euskara</v>
      </c>
      <c r="K757" s="6" t="str">
        <f>_xlfn.XLOOKUP(frasest[[#This Row],[autor_es]],autorest[autor_es],autorest[idioma_la])</f>
        <v>Lingua Vasconica</v>
      </c>
      <c r="L757" s="6" t="str">
        <f>_xlfn.XLOOKUP(frasest[[#This Row],[autor_es]],autorest[autor_es],autorest[nacion_es])</f>
        <v>España</v>
      </c>
      <c r="M757" t="str">
        <f>_xlfn.XLOOKUP(frasest[[#This Row],[autor_es]],autorest[autor_es],autorest[nacion_la])</f>
        <v>Hispania</v>
      </c>
      <c r="N757" t="str">
        <f>_xlfn.XLOOKUP(frasest[[#This Row],[autor_es]],autorest[autor_es],autorest[epoca_es])</f>
        <v>Epoca Desconocida</v>
      </c>
      <c r="O757" t="str">
        <f>_xlfn.XLOOKUP(frasest[[#This Row],[autor_es]],autorest[autor_es],autorest[epoca_la])</f>
        <v>Epocha Ignota</v>
      </c>
    </row>
    <row r="758" spans="1:15">
      <c r="A758">
        <v>757</v>
      </c>
      <c r="B758" t="s">
        <v>2123</v>
      </c>
      <c r="C758" t="s">
        <v>2124</v>
      </c>
      <c r="D758" t="s">
        <v>2125</v>
      </c>
      <c r="E758" t="s">
        <v>995</v>
      </c>
      <c r="F758" t="str">
        <f>_xlfn.XLOOKUP(frasest[[#This Row],[autor_es]],autorest[autor_es],autorest[autor_la])</f>
        <v>Sententia Vasconica</v>
      </c>
      <c r="G758" s="6" t="str">
        <f>_xlfn.XLOOKUP(frasest[[#This Row],[autor_es]],autorest[autor_es],autorest[bio_es])</f>
        <v>Proverbios de la tradición oral vasca que reflejan la relación con la naturaleza, el trabajo y los valores comunitarios del pueblo vasco.</v>
      </c>
      <c r="H758" s="6" t="str">
        <f>_xlfn.XLOOKUP(frasest[[#This Row],[autor_es]],autorest[autor_es],autorest[bio_la])</f>
        <v>Collectio sententiarum Vasconicarum.</v>
      </c>
      <c r="I758" t="str">
        <f>_xlfn.XLOOKUP(frasest[[#This Row],[autor_es]],autorest[autor_es],autorest[codigo])</f>
        <v>eu</v>
      </c>
      <c r="J758" t="str">
        <f>_xlfn.XLOOKUP(frasest[[#This Row],[autor_es]],autorest[autor_es],autorest[idioma_es])</f>
        <v>Euskara</v>
      </c>
      <c r="K758" s="6" t="str">
        <f>_xlfn.XLOOKUP(frasest[[#This Row],[autor_es]],autorest[autor_es],autorest[idioma_la])</f>
        <v>Lingua Vasconica</v>
      </c>
      <c r="L758" s="6" t="str">
        <f>_xlfn.XLOOKUP(frasest[[#This Row],[autor_es]],autorest[autor_es],autorest[nacion_es])</f>
        <v>España</v>
      </c>
      <c r="M758" t="str">
        <f>_xlfn.XLOOKUP(frasest[[#This Row],[autor_es]],autorest[autor_es],autorest[nacion_la])</f>
        <v>Hispania</v>
      </c>
      <c r="N758" t="str">
        <f>_xlfn.XLOOKUP(frasest[[#This Row],[autor_es]],autorest[autor_es],autorest[epoca_es])</f>
        <v>Epoca Desconocida</v>
      </c>
      <c r="O758" t="str">
        <f>_xlfn.XLOOKUP(frasest[[#This Row],[autor_es]],autorest[autor_es],autorest[epoca_la])</f>
        <v>Epocha Ignota</v>
      </c>
    </row>
    <row r="759" spans="1:15">
      <c r="A759">
        <v>758</v>
      </c>
      <c r="B759" t="s">
        <v>2126</v>
      </c>
      <c r="C759" t="s">
        <v>2127</v>
      </c>
      <c r="D759" t="s">
        <v>2128</v>
      </c>
      <c r="E759" t="s">
        <v>995</v>
      </c>
      <c r="F759" t="str">
        <f>_xlfn.XLOOKUP(frasest[[#This Row],[autor_es]],autorest[autor_es],autorest[autor_la])</f>
        <v>Sententia Vasconica</v>
      </c>
      <c r="G759" s="6" t="str">
        <f>_xlfn.XLOOKUP(frasest[[#This Row],[autor_es]],autorest[autor_es],autorest[bio_es])</f>
        <v>Proverbios de la tradición oral vasca que reflejan la relación con la naturaleza, el trabajo y los valores comunitarios del pueblo vasco.</v>
      </c>
      <c r="H759" s="6" t="str">
        <f>_xlfn.XLOOKUP(frasest[[#This Row],[autor_es]],autorest[autor_es],autorest[bio_la])</f>
        <v>Collectio sententiarum Vasconicarum.</v>
      </c>
      <c r="I759" t="str">
        <f>_xlfn.XLOOKUP(frasest[[#This Row],[autor_es]],autorest[autor_es],autorest[codigo])</f>
        <v>eu</v>
      </c>
      <c r="J759" t="str">
        <f>_xlfn.XLOOKUP(frasest[[#This Row],[autor_es]],autorest[autor_es],autorest[idioma_es])</f>
        <v>Euskara</v>
      </c>
      <c r="K759" s="6" t="str">
        <f>_xlfn.XLOOKUP(frasest[[#This Row],[autor_es]],autorest[autor_es],autorest[idioma_la])</f>
        <v>Lingua Vasconica</v>
      </c>
      <c r="L759" s="6" t="str">
        <f>_xlfn.XLOOKUP(frasest[[#This Row],[autor_es]],autorest[autor_es],autorest[nacion_es])</f>
        <v>España</v>
      </c>
      <c r="M759" t="str">
        <f>_xlfn.XLOOKUP(frasest[[#This Row],[autor_es]],autorest[autor_es],autorest[nacion_la])</f>
        <v>Hispania</v>
      </c>
      <c r="N759" t="str">
        <f>_xlfn.XLOOKUP(frasest[[#This Row],[autor_es]],autorest[autor_es],autorest[epoca_es])</f>
        <v>Epoca Desconocida</v>
      </c>
      <c r="O759" t="str">
        <f>_xlfn.XLOOKUP(frasest[[#This Row],[autor_es]],autorest[autor_es],autorest[epoca_la])</f>
        <v>Epocha Ignota</v>
      </c>
    </row>
    <row r="760" spans="1:15">
      <c r="A760">
        <v>759</v>
      </c>
      <c r="B760" t="s">
        <v>2129</v>
      </c>
      <c r="C760" t="s">
        <v>2130</v>
      </c>
      <c r="D760" t="s">
        <v>2131</v>
      </c>
      <c r="E760" t="s">
        <v>995</v>
      </c>
      <c r="F760" t="str">
        <f>_xlfn.XLOOKUP(frasest[[#This Row],[autor_es]],autorest[autor_es],autorest[autor_la])</f>
        <v>Sententia Vasconica</v>
      </c>
      <c r="G760" s="6" t="str">
        <f>_xlfn.XLOOKUP(frasest[[#This Row],[autor_es]],autorest[autor_es],autorest[bio_es])</f>
        <v>Proverbios de la tradición oral vasca que reflejan la relación con la naturaleza, el trabajo y los valores comunitarios del pueblo vasco.</v>
      </c>
      <c r="H760" s="6" t="str">
        <f>_xlfn.XLOOKUP(frasest[[#This Row],[autor_es]],autorest[autor_es],autorest[bio_la])</f>
        <v>Collectio sententiarum Vasconicarum.</v>
      </c>
      <c r="I760" t="str">
        <f>_xlfn.XLOOKUP(frasest[[#This Row],[autor_es]],autorest[autor_es],autorest[codigo])</f>
        <v>eu</v>
      </c>
      <c r="J760" t="str">
        <f>_xlfn.XLOOKUP(frasest[[#This Row],[autor_es]],autorest[autor_es],autorest[idioma_es])</f>
        <v>Euskara</v>
      </c>
      <c r="K760" s="6" t="str">
        <f>_xlfn.XLOOKUP(frasest[[#This Row],[autor_es]],autorest[autor_es],autorest[idioma_la])</f>
        <v>Lingua Vasconica</v>
      </c>
      <c r="L760" s="6" t="str">
        <f>_xlfn.XLOOKUP(frasest[[#This Row],[autor_es]],autorest[autor_es],autorest[nacion_es])</f>
        <v>España</v>
      </c>
      <c r="M760" t="str">
        <f>_xlfn.XLOOKUP(frasest[[#This Row],[autor_es]],autorest[autor_es],autorest[nacion_la])</f>
        <v>Hispania</v>
      </c>
      <c r="N760" t="str">
        <f>_xlfn.XLOOKUP(frasest[[#This Row],[autor_es]],autorest[autor_es],autorest[epoca_es])</f>
        <v>Epoca Desconocida</v>
      </c>
      <c r="O760" t="str">
        <f>_xlfn.XLOOKUP(frasest[[#This Row],[autor_es]],autorest[autor_es],autorest[epoca_la])</f>
        <v>Epocha Ignota</v>
      </c>
    </row>
    <row r="761" spans="1:15">
      <c r="A761">
        <v>760</v>
      </c>
      <c r="B761" t="s">
        <v>2132</v>
      </c>
      <c r="C761" t="s">
        <v>2133</v>
      </c>
      <c r="D761" t="s">
        <v>2134</v>
      </c>
      <c r="E761" t="s">
        <v>995</v>
      </c>
      <c r="F761" t="str">
        <f>_xlfn.XLOOKUP(frasest[[#This Row],[autor_es]],autorest[autor_es],autorest[autor_la])</f>
        <v>Sententia Vasconica</v>
      </c>
      <c r="G761" s="6" t="str">
        <f>_xlfn.XLOOKUP(frasest[[#This Row],[autor_es]],autorest[autor_es],autorest[bio_es])</f>
        <v>Proverbios de la tradición oral vasca que reflejan la relación con la naturaleza, el trabajo y los valores comunitarios del pueblo vasco.</v>
      </c>
      <c r="H761" s="6" t="str">
        <f>_xlfn.XLOOKUP(frasest[[#This Row],[autor_es]],autorest[autor_es],autorest[bio_la])</f>
        <v>Collectio sententiarum Vasconicarum.</v>
      </c>
      <c r="I761" t="str">
        <f>_xlfn.XLOOKUP(frasest[[#This Row],[autor_es]],autorest[autor_es],autorest[codigo])</f>
        <v>eu</v>
      </c>
      <c r="J761" t="str">
        <f>_xlfn.XLOOKUP(frasest[[#This Row],[autor_es]],autorest[autor_es],autorest[idioma_es])</f>
        <v>Euskara</v>
      </c>
      <c r="K761" s="6" t="str">
        <f>_xlfn.XLOOKUP(frasest[[#This Row],[autor_es]],autorest[autor_es],autorest[idioma_la])</f>
        <v>Lingua Vasconica</v>
      </c>
      <c r="L761" s="6" t="str">
        <f>_xlfn.XLOOKUP(frasest[[#This Row],[autor_es]],autorest[autor_es],autorest[nacion_es])</f>
        <v>España</v>
      </c>
      <c r="M761" t="str">
        <f>_xlfn.XLOOKUP(frasest[[#This Row],[autor_es]],autorest[autor_es],autorest[nacion_la])</f>
        <v>Hispania</v>
      </c>
      <c r="N761" t="str">
        <f>_xlfn.XLOOKUP(frasest[[#This Row],[autor_es]],autorest[autor_es],autorest[epoca_es])</f>
        <v>Epoca Desconocida</v>
      </c>
      <c r="O761" t="str">
        <f>_xlfn.XLOOKUP(frasest[[#This Row],[autor_es]],autorest[autor_es],autorest[epoca_la])</f>
        <v>Epocha Ignota</v>
      </c>
    </row>
    <row r="762" spans="1:15">
      <c r="A762">
        <v>761</v>
      </c>
      <c r="B762" t="s">
        <v>2135</v>
      </c>
      <c r="C762" t="s">
        <v>2136</v>
      </c>
      <c r="D762" t="s">
        <v>2137</v>
      </c>
      <c r="E762" t="s">
        <v>995</v>
      </c>
      <c r="F762" t="str">
        <f>_xlfn.XLOOKUP(frasest[[#This Row],[autor_es]],autorest[autor_es],autorest[autor_la])</f>
        <v>Sententia Vasconica</v>
      </c>
      <c r="G762" s="6" t="str">
        <f>_xlfn.XLOOKUP(frasest[[#This Row],[autor_es]],autorest[autor_es],autorest[bio_es])</f>
        <v>Proverbios de la tradición oral vasca que reflejan la relación con la naturaleza, el trabajo y los valores comunitarios del pueblo vasco.</v>
      </c>
      <c r="H762" s="6" t="str">
        <f>_xlfn.XLOOKUP(frasest[[#This Row],[autor_es]],autorest[autor_es],autorest[bio_la])</f>
        <v>Collectio sententiarum Vasconicarum.</v>
      </c>
      <c r="I762" t="str">
        <f>_xlfn.XLOOKUP(frasest[[#This Row],[autor_es]],autorest[autor_es],autorest[codigo])</f>
        <v>eu</v>
      </c>
      <c r="J762" t="str">
        <f>_xlfn.XLOOKUP(frasest[[#This Row],[autor_es]],autorest[autor_es],autorest[idioma_es])</f>
        <v>Euskara</v>
      </c>
      <c r="K762" s="6" t="str">
        <f>_xlfn.XLOOKUP(frasest[[#This Row],[autor_es]],autorest[autor_es],autorest[idioma_la])</f>
        <v>Lingua Vasconica</v>
      </c>
      <c r="L762" s="6" t="str">
        <f>_xlfn.XLOOKUP(frasest[[#This Row],[autor_es]],autorest[autor_es],autorest[nacion_es])</f>
        <v>España</v>
      </c>
      <c r="M762" t="str">
        <f>_xlfn.XLOOKUP(frasest[[#This Row],[autor_es]],autorest[autor_es],autorest[nacion_la])</f>
        <v>Hispania</v>
      </c>
      <c r="N762" t="str">
        <f>_xlfn.XLOOKUP(frasest[[#This Row],[autor_es]],autorest[autor_es],autorest[epoca_es])</f>
        <v>Epoca Desconocida</v>
      </c>
      <c r="O762" t="str">
        <f>_xlfn.XLOOKUP(frasest[[#This Row],[autor_es]],autorest[autor_es],autorest[epoca_la])</f>
        <v>Epocha Ignota</v>
      </c>
    </row>
    <row r="763" spans="1:15">
      <c r="A763">
        <v>762</v>
      </c>
      <c r="B763" t="s">
        <v>2138</v>
      </c>
      <c r="C763" t="s">
        <v>2139</v>
      </c>
      <c r="D763" t="s">
        <v>2140</v>
      </c>
      <c r="E763" t="s">
        <v>995</v>
      </c>
      <c r="F763" t="str">
        <f>_xlfn.XLOOKUP(frasest[[#This Row],[autor_es]],autorest[autor_es],autorest[autor_la])</f>
        <v>Sententia Vasconica</v>
      </c>
      <c r="G763" s="6" t="str">
        <f>_xlfn.XLOOKUP(frasest[[#This Row],[autor_es]],autorest[autor_es],autorest[bio_es])</f>
        <v>Proverbios de la tradición oral vasca que reflejan la relación con la naturaleza, el trabajo y los valores comunitarios del pueblo vasco.</v>
      </c>
      <c r="H763" s="6" t="str">
        <f>_xlfn.XLOOKUP(frasest[[#This Row],[autor_es]],autorest[autor_es],autorest[bio_la])</f>
        <v>Collectio sententiarum Vasconicarum.</v>
      </c>
      <c r="I763" t="str">
        <f>_xlfn.XLOOKUP(frasest[[#This Row],[autor_es]],autorest[autor_es],autorest[codigo])</f>
        <v>eu</v>
      </c>
      <c r="J763" t="str">
        <f>_xlfn.XLOOKUP(frasest[[#This Row],[autor_es]],autorest[autor_es],autorest[idioma_es])</f>
        <v>Euskara</v>
      </c>
      <c r="K763" s="6" t="str">
        <f>_xlfn.XLOOKUP(frasest[[#This Row],[autor_es]],autorest[autor_es],autorest[idioma_la])</f>
        <v>Lingua Vasconica</v>
      </c>
      <c r="L763" s="6" t="str">
        <f>_xlfn.XLOOKUP(frasest[[#This Row],[autor_es]],autorest[autor_es],autorest[nacion_es])</f>
        <v>España</v>
      </c>
      <c r="M763" t="str">
        <f>_xlfn.XLOOKUP(frasest[[#This Row],[autor_es]],autorest[autor_es],autorest[nacion_la])</f>
        <v>Hispania</v>
      </c>
      <c r="N763" t="str">
        <f>_xlfn.XLOOKUP(frasest[[#This Row],[autor_es]],autorest[autor_es],autorest[epoca_es])</f>
        <v>Epoca Desconocida</v>
      </c>
      <c r="O763" t="str">
        <f>_xlfn.XLOOKUP(frasest[[#This Row],[autor_es]],autorest[autor_es],autorest[epoca_la])</f>
        <v>Epocha Ignota</v>
      </c>
    </row>
    <row r="764" spans="1:15">
      <c r="A764">
        <v>763</v>
      </c>
      <c r="B764" t="s">
        <v>2141</v>
      </c>
      <c r="C764" t="s">
        <v>2142</v>
      </c>
      <c r="D764" t="s">
        <v>2143</v>
      </c>
      <c r="E764" t="s">
        <v>995</v>
      </c>
      <c r="F764" t="str">
        <f>_xlfn.XLOOKUP(frasest[[#This Row],[autor_es]],autorest[autor_es],autorest[autor_la])</f>
        <v>Sententia Vasconica</v>
      </c>
      <c r="G764" s="6" t="str">
        <f>_xlfn.XLOOKUP(frasest[[#This Row],[autor_es]],autorest[autor_es],autorest[bio_es])</f>
        <v>Proverbios de la tradición oral vasca que reflejan la relación con la naturaleza, el trabajo y los valores comunitarios del pueblo vasco.</v>
      </c>
      <c r="H764" s="6" t="str">
        <f>_xlfn.XLOOKUP(frasest[[#This Row],[autor_es]],autorest[autor_es],autorest[bio_la])</f>
        <v>Collectio sententiarum Vasconicarum.</v>
      </c>
      <c r="I764" t="str">
        <f>_xlfn.XLOOKUP(frasest[[#This Row],[autor_es]],autorest[autor_es],autorest[codigo])</f>
        <v>eu</v>
      </c>
      <c r="J764" t="str">
        <f>_xlfn.XLOOKUP(frasest[[#This Row],[autor_es]],autorest[autor_es],autorest[idioma_es])</f>
        <v>Euskara</v>
      </c>
      <c r="K764" s="6" t="str">
        <f>_xlfn.XLOOKUP(frasest[[#This Row],[autor_es]],autorest[autor_es],autorest[idioma_la])</f>
        <v>Lingua Vasconica</v>
      </c>
      <c r="L764" s="6" t="str">
        <f>_xlfn.XLOOKUP(frasest[[#This Row],[autor_es]],autorest[autor_es],autorest[nacion_es])</f>
        <v>España</v>
      </c>
      <c r="M764" t="str">
        <f>_xlfn.XLOOKUP(frasest[[#This Row],[autor_es]],autorest[autor_es],autorest[nacion_la])</f>
        <v>Hispania</v>
      </c>
      <c r="N764" t="str">
        <f>_xlfn.XLOOKUP(frasest[[#This Row],[autor_es]],autorest[autor_es],autorest[epoca_es])</f>
        <v>Epoca Desconocida</v>
      </c>
      <c r="O764" t="str">
        <f>_xlfn.XLOOKUP(frasest[[#This Row],[autor_es]],autorest[autor_es],autorest[epoca_la])</f>
        <v>Epocha Ignota</v>
      </c>
    </row>
    <row r="765" spans="1:15">
      <c r="A765">
        <v>764</v>
      </c>
      <c r="B765" t="s">
        <v>2144</v>
      </c>
      <c r="C765" t="s">
        <v>2145</v>
      </c>
      <c r="D765" t="s">
        <v>2146</v>
      </c>
      <c r="E765" t="s">
        <v>995</v>
      </c>
      <c r="F765" t="str">
        <f>_xlfn.XLOOKUP(frasest[[#This Row],[autor_es]],autorest[autor_es],autorest[autor_la])</f>
        <v>Sententia Vasconica</v>
      </c>
      <c r="G765" s="6" t="str">
        <f>_xlfn.XLOOKUP(frasest[[#This Row],[autor_es]],autorest[autor_es],autorest[bio_es])</f>
        <v>Proverbios de la tradición oral vasca que reflejan la relación con la naturaleza, el trabajo y los valores comunitarios del pueblo vasco.</v>
      </c>
      <c r="H765" s="6" t="str">
        <f>_xlfn.XLOOKUP(frasest[[#This Row],[autor_es]],autorest[autor_es],autorest[bio_la])</f>
        <v>Collectio sententiarum Vasconicarum.</v>
      </c>
      <c r="I765" t="str">
        <f>_xlfn.XLOOKUP(frasest[[#This Row],[autor_es]],autorest[autor_es],autorest[codigo])</f>
        <v>eu</v>
      </c>
      <c r="J765" t="str">
        <f>_xlfn.XLOOKUP(frasest[[#This Row],[autor_es]],autorest[autor_es],autorest[idioma_es])</f>
        <v>Euskara</v>
      </c>
      <c r="K765" s="6" t="str">
        <f>_xlfn.XLOOKUP(frasest[[#This Row],[autor_es]],autorest[autor_es],autorest[idioma_la])</f>
        <v>Lingua Vasconica</v>
      </c>
      <c r="L765" s="6" t="str">
        <f>_xlfn.XLOOKUP(frasest[[#This Row],[autor_es]],autorest[autor_es],autorest[nacion_es])</f>
        <v>España</v>
      </c>
      <c r="M765" t="str">
        <f>_xlfn.XLOOKUP(frasest[[#This Row],[autor_es]],autorest[autor_es],autorest[nacion_la])</f>
        <v>Hispania</v>
      </c>
      <c r="N765" t="str">
        <f>_xlfn.XLOOKUP(frasest[[#This Row],[autor_es]],autorest[autor_es],autorest[epoca_es])</f>
        <v>Epoca Desconocida</v>
      </c>
      <c r="O765" t="str">
        <f>_xlfn.XLOOKUP(frasest[[#This Row],[autor_es]],autorest[autor_es],autorest[epoca_la])</f>
        <v>Epocha Ignota</v>
      </c>
    </row>
    <row r="766" spans="1:15">
      <c r="A766">
        <v>765</v>
      </c>
      <c r="B766" t="s">
        <v>2147</v>
      </c>
      <c r="C766" t="s">
        <v>2148</v>
      </c>
      <c r="D766" t="s">
        <v>2149</v>
      </c>
      <c r="E766" t="s">
        <v>995</v>
      </c>
      <c r="F766" t="str">
        <f>_xlfn.XLOOKUP(frasest[[#This Row],[autor_es]],autorest[autor_es],autorest[autor_la])</f>
        <v>Sententia Vasconica</v>
      </c>
      <c r="G766" s="6" t="str">
        <f>_xlfn.XLOOKUP(frasest[[#This Row],[autor_es]],autorest[autor_es],autorest[bio_es])</f>
        <v>Proverbios de la tradición oral vasca que reflejan la relación con la naturaleza, el trabajo y los valores comunitarios del pueblo vasco.</v>
      </c>
      <c r="H766" s="6" t="str">
        <f>_xlfn.XLOOKUP(frasest[[#This Row],[autor_es]],autorest[autor_es],autorest[bio_la])</f>
        <v>Collectio sententiarum Vasconicarum.</v>
      </c>
      <c r="I766" t="str">
        <f>_xlfn.XLOOKUP(frasest[[#This Row],[autor_es]],autorest[autor_es],autorest[codigo])</f>
        <v>eu</v>
      </c>
      <c r="J766" t="str">
        <f>_xlfn.XLOOKUP(frasest[[#This Row],[autor_es]],autorest[autor_es],autorest[idioma_es])</f>
        <v>Euskara</v>
      </c>
      <c r="K766" s="6" t="str">
        <f>_xlfn.XLOOKUP(frasest[[#This Row],[autor_es]],autorest[autor_es],autorest[idioma_la])</f>
        <v>Lingua Vasconica</v>
      </c>
      <c r="L766" s="6" t="str">
        <f>_xlfn.XLOOKUP(frasest[[#This Row],[autor_es]],autorest[autor_es],autorest[nacion_es])</f>
        <v>España</v>
      </c>
      <c r="M766" t="str">
        <f>_xlfn.XLOOKUP(frasest[[#This Row],[autor_es]],autorest[autor_es],autorest[nacion_la])</f>
        <v>Hispania</v>
      </c>
      <c r="N766" t="str">
        <f>_xlfn.XLOOKUP(frasest[[#This Row],[autor_es]],autorest[autor_es],autorest[epoca_es])</f>
        <v>Epoca Desconocida</v>
      </c>
      <c r="O766" t="str">
        <f>_xlfn.XLOOKUP(frasest[[#This Row],[autor_es]],autorest[autor_es],autorest[epoca_la])</f>
        <v>Epocha Ignota</v>
      </c>
    </row>
    <row r="767" spans="1:15">
      <c r="A767">
        <v>766</v>
      </c>
      <c r="B767" t="s">
        <v>2150</v>
      </c>
      <c r="C767" t="s">
        <v>2151</v>
      </c>
      <c r="D767" t="s">
        <v>2152</v>
      </c>
      <c r="E767" t="s">
        <v>995</v>
      </c>
      <c r="F767" t="str">
        <f>_xlfn.XLOOKUP(frasest[[#This Row],[autor_es]],autorest[autor_es],autorest[autor_la])</f>
        <v>Sententia Vasconica</v>
      </c>
      <c r="G767" s="6" t="str">
        <f>_xlfn.XLOOKUP(frasest[[#This Row],[autor_es]],autorest[autor_es],autorest[bio_es])</f>
        <v>Proverbios de la tradición oral vasca que reflejan la relación con la naturaleza, el trabajo y los valores comunitarios del pueblo vasco.</v>
      </c>
      <c r="H767" s="6" t="str">
        <f>_xlfn.XLOOKUP(frasest[[#This Row],[autor_es]],autorest[autor_es],autorest[bio_la])</f>
        <v>Collectio sententiarum Vasconicarum.</v>
      </c>
      <c r="I767" t="str">
        <f>_xlfn.XLOOKUP(frasest[[#This Row],[autor_es]],autorest[autor_es],autorest[codigo])</f>
        <v>eu</v>
      </c>
      <c r="J767" t="str">
        <f>_xlfn.XLOOKUP(frasest[[#This Row],[autor_es]],autorest[autor_es],autorest[idioma_es])</f>
        <v>Euskara</v>
      </c>
      <c r="K767" s="6" t="str">
        <f>_xlfn.XLOOKUP(frasest[[#This Row],[autor_es]],autorest[autor_es],autorest[idioma_la])</f>
        <v>Lingua Vasconica</v>
      </c>
      <c r="L767" s="6" t="str">
        <f>_xlfn.XLOOKUP(frasest[[#This Row],[autor_es]],autorest[autor_es],autorest[nacion_es])</f>
        <v>España</v>
      </c>
      <c r="M767" t="str">
        <f>_xlfn.XLOOKUP(frasest[[#This Row],[autor_es]],autorest[autor_es],autorest[nacion_la])</f>
        <v>Hispania</v>
      </c>
      <c r="N767" t="str">
        <f>_xlfn.XLOOKUP(frasest[[#This Row],[autor_es]],autorest[autor_es],autorest[epoca_es])</f>
        <v>Epoca Desconocida</v>
      </c>
      <c r="O767" t="str">
        <f>_xlfn.XLOOKUP(frasest[[#This Row],[autor_es]],autorest[autor_es],autorest[epoca_la])</f>
        <v>Epocha Ignota</v>
      </c>
    </row>
    <row r="768" spans="1:15">
      <c r="A768">
        <v>767</v>
      </c>
      <c r="B768" t="s">
        <v>2153</v>
      </c>
      <c r="C768" t="s">
        <v>2154</v>
      </c>
      <c r="D768" t="s">
        <v>2155</v>
      </c>
      <c r="E768" t="s">
        <v>995</v>
      </c>
      <c r="F768" t="str">
        <f>_xlfn.XLOOKUP(frasest[[#This Row],[autor_es]],autorest[autor_es],autorest[autor_la])</f>
        <v>Sententia Vasconica</v>
      </c>
      <c r="G768" s="6" t="str">
        <f>_xlfn.XLOOKUP(frasest[[#This Row],[autor_es]],autorest[autor_es],autorest[bio_es])</f>
        <v>Proverbios de la tradición oral vasca que reflejan la relación con la naturaleza, el trabajo y los valores comunitarios del pueblo vasco.</v>
      </c>
      <c r="H768" s="6" t="str">
        <f>_xlfn.XLOOKUP(frasest[[#This Row],[autor_es]],autorest[autor_es],autorest[bio_la])</f>
        <v>Collectio sententiarum Vasconicarum.</v>
      </c>
      <c r="I768" t="str">
        <f>_xlfn.XLOOKUP(frasest[[#This Row],[autor_es]],autorest[autor_es],autorest[codigo])</f>
        <v>eu</v>
      </c>
      <c r="J768" t="str">
        <f>_xlfn.XLOOKUP(frasest[[#This Row],[autor_es]],autorest[autor_es],autorest[idioma_es])</f>
        <v>Euskara</v>
      </c>
      <c r="K768" s="6" t="str">
        <f>_xlfn.XLOOKUP(frasest[[#This Row],[autor_es]],autorest[autor_es],autorest[idioma_la])</f>
        <v>Lingua Vasconica</v>
      </c>
      <c r="L768" s="6" t="str">
        <f>_xlfn.XLOOKUP(frasest[[#This Row],[autor_es]],autorest[autor_es],autorest[nacion_es])</f>
        <v>España</v>
      </c>
      <c r="M768" t="str">
        <f>_xlfn.XLOOKUP(frasest[[#This Row],[autor_es]],autorest[autor_es],autorest[nacion_la])</f>
        <v>Hispania</v>
      </c>
      <c r="N768" t="str">
        <f>_xlfn.XLOOKUP(frasest[[#This Row],[autor_es]],autorest[autor_es],autorest[epoca_es])</f>
        <v>Epoca Desconocida</v>
      </c>
      <c r="O768" t="str">
        <f>_xlfn.XLOOKUP(frasest[[#This Row],[autor_es]],autorest[autor_es],autorest[epoca_la])</f>
        <v>Epocha Ignota</v>
      </c>
    </row>
    <row r="769" spans="1:15">
      <c r="A769">
        <v>768</v>
      </c>
      <c r="B769" t="s">
        <v>2156</v>
      </c>
      <c r="C769" t="s">
        <v>2157</v>
      </c>
      <c r="D769" t="s">
        <v>2158</v>
      </c>
      <c r="E769" t="s">
        <v>995</v>
      </c>
      <c r="F769" t="str">
        <f>_xlfn.XLOOKUP(frasest[[#This Row],[autor_es]],autorest[autor_es],autorest[autor_la])</f>
        <v>Sententia Vasconica</v>
      </c>
      <c r="G769" s="6" t="str">
        <f>_xlfn.XLOOKUP(frasest[[#This Row],[autor_es]],autorest[autor_es],autorest[bio_es])</f>
        <v>Proverbios de la tradición oral vasca que reflejan la relación con la naturaleza, el trabajo y los valores comunitarios del pueblo vasco.</v>
      </c>
      <c r="H769" s="6" t="str">
        <f>_xlfn.XLOOKUP(frasest[[#This Row],[autor_es]],autorest[autor_es],autorest[bio_la])</f>
        <v>Collectio sententiarum Vasconicarum.</v>
      </c>
      <c r="I769" t="str">
        <f>_xlfn.XLOOKUP(frasest[[#This Row],[autor_es]],autorest[autor_es],autorest[codigo])</f>
        <v>eu</v>
      </c>
      <c r="J769" t="str">
        <f>_xlfn.XLOOKUP(frasest[[#This Row],[autor_es]],autorest[autor_es],autorest[idioma_es])</f>
        <v>Euskara</v>
      </c>
      <c r="K769" s="6" t="str">
        <f>_xlfn.XLOOKUP(frasest[[#This Row],[autor_es]],autorest[autor_es],autorest[idioma_la])</f>
        <v>Lingua Vasconica</v>
      </c>
      <c r="L769" s="6" t="str">
        <f>_xlfn.XLOOKUP(frasest[[#This Row],[autor_es]],autorest[autor_es],autorest[nacion_es])</f>
        <v>España</v>
      </c>
      <c r="M769" t="str">
        <f>_xlfn.XLOOKUP(frasest[[#This Row],[autor_es]],autorest[autor_es],autorest[nacion_la])</f>
        <v>Hispania</v>
      </c>
      <c r="N769" t="str">
        <f>_xlfn.XLOOKUP(frasest[[#This Row],[autor_es]],autorest[autor_es],autorest[epoca_es])</f>
        <v>Epoca Desconocida</v>
      </c>
      <c r="O769" t="str">
        <f>_xlfn.XLOOKUP(frasest[[#This Row],[autor_es]],autorest[autor_es],autorest[epoca_la])</f>
        <v>Epocha Ignota</v>
      </c>
    </row>
    <row r="770" spans="1:15">
      <c r="A770">
        <v>769</v>
      </c>
      <c r="B770" t="s">
        <v>2159</v>
      </c>
      <c r="C770" t="s">
        <v>2160</v>
      </c>
      <c r="D770" t="s">
        <v>2161</v>
      </c>
      <c r="E770" t="s">
        <v>995</v>
      </c>
      <c r="F770" t="str">
        <f>_xlfn.XLOOKUP(frasest[[#This Row],[autor_es]],autorest[autor_es],autorest[autor_la])</f>
        <v>Sententia Vasconica</v>
      </c>
      <c r="G770" s="6" t="str">
        <f>_xlfn.XLOOKUP(frasest[[#This Row],[autor_es]],autorest[autor_es],autorest[bio_es])</f>
        <v>Proverbios de la tradición oral vasca que reflejan la relación con la naturaleza, el trabajo y los valores comunitarios del pueblo vasco.</v>
      </c>
      <c r="H770" s="6" t="str">
        <f>_xlfn.XLOOKUP(frasest[[#This Row],[autor_es]],autorest[autor_es],autorest[bio_la])</f>
        <v>Collectio sententiarum Vasconicarum.</v>
      </c>
      <c r="I770" t="str">
        <f>_xlfn.XLOOKUP(frasest[[#This Row],[autor_es]],autorest[autor_es],autorest[codigo])</f>
        <v>eu</v>
      </c>
      <c r="J770" t="str">
        <f>_xlfn.XLOOKUP(frasest[[#This Row],[autor_es]],autorest[autor_es],autorest[idioma_es])</f>
        <v>Euskara</v>
      </c>
      <c r="K770" s="6" t="str">
        <f>_xlfn.XLOOKUP(frasest[[#This Row],[autor_es]],autorest[autor_es],autorest[idioma_la])</f>
        <v>Lingua Vasconica</v>
      </c>
      <c r="L770" s="6" t="str">
        <f>_xlfn.XLOOKUP(frasest[[#This Row],[autor_es]],autorest[autor_es],autorest[nacion_es])</f>
        <v>España</v>
      </c>
      <c r="M770" t="str">
        <f>_xlfn.XLOOKUP(frasest[[#This Row],[autor_es]],autorest[autor_es],autorest[nacion_la])</f>
        <v>Hispania</v>
      </c>
      <c r="N770" t="str">
        <f>_xlfn.XLOOKUP(frasest[[#This Row],[autor_es]],autorest[autor_es],autorest[epoca_es])</f>
        <v>Epoca Desconocida</v>
      </c>
      <c r="O770" t="str">
        <f>_xlfn.XLOOKUP(frasest[[#This Row],[autor_es]],autorest[autor_es],autorest[epoca_la])</f>
        <v>Epocha Ignota</v>
      </c>
    </row>
    <row r="771" spans="1:15">
      <c r="A771">
        <v>770</v>
      </c>
      <c r="B771" t="s">
        <v>2162</v>
      </c>
      <c r="C771" t="s">
        <v>2163</v>
      </c>
      <c r="D771" t="s">
        <v>2164</v>
      </c>
      <c r="E771" t="s">
        <v>995</v>
      </c>
      <c r="F771" t="str">
        <f>_xlfn.XLOOKUP(frasest[[#This Row],[autor_es]],autorest[autor_es],autorest[autor_la])</f>
        <v>Sententia Vasconica</v>
      </c>
      <c r="G771" s="6" t="str">
        <f>_xlfn.XLOOKUP(frasest[[#This Row],[autor_es]],autorest[autor_es],autorest[bio_es])</f>
        <v>Proverbios de la tradición oral vasca que reflejan la relación con la naturaleza, el trabajo y los valores comunitarios del pueblo vasco.</v>
      </c>
      <c r="H771" s="6" t="str">
        <f>_xlfn.XLOOKUP(frasest[[#This Row],[autor_es]],autorest[autor_es],autorest[bio_la])</f>
        <v>Collectio sententiarum Vasconicarum.</v>
      </c>
      <c r="I771" t="str">
        <f>_xlfn.XLOOKUP(frasest[[#This Row],[autor_es]],autorest[autor_es],autorest[codigo])</f>
        <v>eu</v>
      </c>
      <c r="J771" t="str">
        <f>_xlfn.XLOOKUP(frasest[[#This Row],[autor_es]],autorest[autor_es],autorest[idioma_es])</f>
        <v>Euskara</v>
      </c>
      <c r="K771" s="6" t="str">
        <f>_xlfn.XLOOKUP(frasest[[#This Row],[autor_es]],autorest[autor_es],autorest[idioma_la])</f>
        <v>Lingua Vasconica</v>
      </c>
      <c r="L771" s="6" t="str">
        <f>_xlfn.XLOOKUP(frasest[[#This Row],[autor_es]],autorest[autor_es],autorest[nacion_es])</f>
        <v>España</v>
      </c>
      <c r="M771" t="str">
        <f>_xlfn.XLOOKUP(frasest[[#This Row],[autor_es]],autorest[autor_es],autorest[nacion_la])</f>
        <v>Hispania</v>
      </c>
      <c r="N771" t="str">
        <f>_xlfn.XLOOKUP(frasest[[#This Row],[autor_es]],autorest[autor_es],autorest[epoca_es])</f>
        <v>Epoca Desconocida</v>
      </c>
      <c r="O771" t="str">
        <f>_xlfn.XLOOKUP(frasest[[#This Row],[autor_es]],autorest[autor_es],autorest[epoca_la])</f>
        <v>Epocha Ignota</v>
      </c>
    </row>
    <row r="772" spans="1:15">
      <c r="A772">
        <v>771</v>
      </c>
      <c r="B772" t="s">
        <v>2165</v>
      </c>
      <c r="C772" t="s">
        <v>2166</v>
      </c>
      <c r="D772" t="s">
        <v>2167</v>
      </c>
      <c r="E772" t="s">
        <v>995</v>
      </c>
      <c r="F772" t="str">
        <f>_xlfn.XLOOKUP(frasest[[#This Row],[autor_es]],autorest[autor_es],autorest[autor_la])</f>
        <v>Sententia Vasconica</v>
      </c>
      <c r="G772" s="6" t="str">
        <f>_xlfn.XLOOKUP(frasest[[#This Row],[autor_es]],autorest[autor_es],autorest[bio_es])</f>
        <v>Proverbios de la tradición oral vasca que reflejan la relación con la naturaleza, el trabajo y los valores comunitarios del pueblo vasco.</v>
      </c>
      <c r="H772" s="6" t="str">
        <f>_xlfn.XLOOKUP(frasest[[#This Row],[autor_es]],autorest[autor_es],autorest[bio_la])</f>
        <v>Collectio sententiarum Vasconicarum.</v>
      </c>
      <c r="I772" t="str">
        <f>_xlfn.XLOOKUP(frasest[[#This Row],[autor_es]],autorest[autor_es],autorest[codigo])</f>
        <v>eu</v>
      </c>
      <c r="J772" t="str">
        <f>_xlfn.XLOOKUP(frasest[[#This Row],[autor_es]],autorest[autor_es],autorest[idioma_es])</f>
        <v>Euskara</v>
      </c>
      <c r="K772" s="6" t="str">
        <f>_xlfn.XLOOKUP(frasest[[#This Row],[autor_es]],autorest[autor_es],autorest[idioma_la])</f>
        <v>Lingua Vasconica</v>
      </c>
      <c r="L772" s="6" t="str">
        <f>_xlfn.XLOOKUP(frasest[[#This Row],[autor_es]],autorest[autor_es],autorest[nacion_es])</f>
        <v>España</v>
      </c>
      <c r="M772" t="str">
        <f>_xlfn.XLOOKUP(frasest[[#This Row],[autor_es]],autorest[autor_es],autorest[nacion_la])</f>
        <v>Hispania</v>
      </c>
      <c r="N772" t="str">
        <f>_xlfn.XLOOKUP(frasest[[#This Row],[autor_es]],autorest[autor_es],autorest[epoca_es])</f>
        <v>Epoca Desconocida</v>
      </c>
      <c r="O772" t="str">
        <f>_xlfn.XLOOKUP(frasest[[#This Row],[autor_es]],autorest[autor_es],autorest[epoca_la])</f>
        <v>Epocha Ignota</v>
      </c>
    </row>
    <row r="773" spans="1:15">
      <c r="A773">
        <v>772</v>
      </c>
      <c r="B773" t="s">
        <v>2168</v>
      </c>
      <c r="C773" t="s">
        <v>2169</v>
      </c>
      <c r="D773" t="s">
        <v>2170</v>
      </c>
      <c r="E773" t="s">
        <v>995</v>
      </c>
      <c r="F773" t="str">
        <f>_xlfn.XLOOKUP(frasest[[#This Row],[autor_es]],autorest[autor_es],autorest[autor_la])</f>
        <v>Sententia Vasconica</v>
      </c>
      <c r="G773" s="6" t="str">
        <f>_xlfn.XLOOKUP(frasest[[#This Row],[autor_es]],autorest[autor_es],autorest[bio_es])</f>
        <v>Proverbios de la tradición oral vasca que reflejan la relación con la naturaleza, el trabajo y los valores comunitarios del pueblo vasco.</v>
      </c>
      <c r="H773" s="6" t="str">
        <f>_xlfn.XLOOKUP(frasest[[#This Row],[autor_es]],autorest[autor_es],autorest[bio_la])</f>
        <v>Collectio sententiarum Vasconicarum.</v>
      </c>
      <c r="I773" t="str">
        <f>_xlfn.XLOOKUP(frasest[[#This Row],[autor_es]],autorest[autor_es],autorest[codigo])</f>
        <v>eu</v>
      </c>
      <c r="J773" t="str">
        <f>_xlfn.XLOOKUP(frasest[[#This Row],[autor_es]],autorest[autor_es],autorest[idioma_es])</f>
        <v>Euskara</v>
      </c>
      <c r="K773" s="6" t="str">
        <f>_xlfn.XLOOKUP(frasest[[#This Row],[autor_es]],autorest[autor_es],autorest[idioma_la])</f>
        <v>Lingua Vasconica</v>
      </c>
      <c r="L773" s="6" t="str">
        <f>_xlfn.XLOOKUP(frasest[[#This Row],[autor_es]],autorest[autor_es],autorest[nacion_es])</f>
        <v>España</v>
      </c>
      <c r="M773" t="str">
        <f>_xlfn.XLOOKUP(frasest[[#This Row],[autor_es]],autorest[autor_es],autorest[nacion_la])</f>
        <v>Hispania</v>
      </c>
      <c r="N773" t="str">
        <f>_xlfn.XLOOKUP(frasest[[#This Row],[autor_es]],autorest[autor_es],autorest[epoca_es])</f>
        <v>Epoca Desconocida</v>
      </c>
      <c r="O773" t="str">
        <f>_xlfn.XLOOKUP(frasest[[#This Row],[autor_es]],autorest[autor_es],autorest[epoca_la])</f>
        <v>Epocha Ignota</v>
      </c>
    </row>
    <row r="774" spans="1:15">
      <c r="A774">
        <v>773</v>
      </c>
      <c r="B774" t="s">
        <v>2171</v>
      </c>
      <c r="C774" t="s">
        <v>2172</v>
      </c>
      <c r="D774" t="s">
        <v>2173</v>
      </c>
      <c r="E774" t="s">
        <v>995</v>
      </c>
      <c r="F774" t="str">
        <f>_xlfn.XLOOKUP(frasest[[#This Row],[autor_es]],autorest[autor_es],autorest[autor_la])</f>
        <v>Sententia Vasconica</v>
      </c>
      <c r="G774" s="6" t="str">
        <f>_xlfn.XLOOKUP(frasest[[#This Row],[autor_es]],autorest[autor_es],autorest[bio_es])</f>
        <v>Proverbios de la tradición oral vasca que reflejan la relación con la naturaleza, el trabajo y los valores comunitarios del pueblo vasco.</v>
      </c>
      <c r="H774" s="6" t="str">
        <f>_xlfn.XLOOKUP(frasest[[#This Row],[autor_es]],autorest[autor_es],autorest[bio_la])</f>
        <v>Collectio sententiarum Vasconicarum.</v>
      </c>
      <c r="I774" t="str">
        <f>_xlfn.XLOOKUP(frasest[[#This Row],[autor_es]],autorest[autor_es],autorest[codigo])</f>
        <v>eu</v>
      </c>
      <c r="J774" t="str">
        <f>_xlfn.XLOOKUP(frasest[[#This Row],[autor_es]],autorest[autor_es],autorest[idioma_es])</f>
        <v>Euskara</v>
      </c>
      <c r="K774" s="6" t="str">
        <f>_xlfn.XLOOKUP(frasest[[#This Row],[autor_es]],autorest[autor_es],autorest[idioma_la])</f>
        <v>Lingua Vasconica</v>
      </c>
      <c r="L774" s="6" t="str">
        <f>_xlfn.XLOOKUP(frasest[[#This Row],[autor_es]],autorest[autor_es],autorest[nacion_es])</f>
        <v>España</v>
      </c>
      <c r="M774" t="str">
        <f>_xlfn.XLOOKUP(frasest[[#This Row],[autor_es]],autorest[autor_es],autorest[nacion_la])</f>
        <v>Hispania</v>
      </c>
      <c r="N774" t="str">
        <f>_xlfn.XLOOKUP(frasest[[#This Row],[autor_es]],autorest[autor_es],autorest[epoca_es])</f>
        <v>Epoca Desconocida</v>
      </c>
      <c r="O774" t="str">
        <f>_xlfn.XLOOKUP(frasest[[#This Row],[autor_es]],autorest[autor_es],autorest[epoca_la])</f>
        <v>Epocha Ignota</v>
      </c>
    </row>
    <row r="775" spans="1:15">
      <c r="A775">
        <v>774</v>
      </c>
      <c r="B775" t="s">
        <v>2174</v>
      </c>
      <c r="C775" t="s">
        <v>2175</v>
      </c>
      <c r="D775" t="s">
        <v>2176</v>
      </c>
      <c r="E775" t="s">
        <v>995</v>
      </c>
      <c r="F775" t="str">
        <f>_xlfn.XLOOKUP(frasest[[#This Row],[autor_es]],autorest[autor_es],autorest[autor_la])</f>
        <v>Sententia Vasconica</v>
      </c>
      <c r="G775" s="6" t="str">
        <f>_xlfn.XLOOKUP(frasest[[#This Row],[autor_es]],autorest[autor_es],autorest[bio_es])</f>
        <v>Proverbios de la tradición oral vasca que reflejan la relación con la naturaleza, el trabajo y los valores comunitarios del pueblo vasco.</v>
      </c>
      <c r="H775" s="6" t="str">
        <f>_xlfn.XLOOKUP(frasest[[#This Row],[autor_es]],autorest[autor_es],autorest[bio_la])</f>
        <v>Collectio sententiarum Vasconicarum.</v>
      </c>
      <c r="I775" t="str">
        <f>_xlfn.XLOOKUP(frasest[[#This Row],[autor_es]],autorest[autor_es],autorest[codigo])</f>
        <v>eu</v>
      </c>
      <c r="J775" t="str">
        <f>_xlfn.XLOOKUP(frasest[[#This Row],[autor_es]],autorest[autor_es],autorest[idioma_es])</f>
        <v>Euskara</v>
      </c>
      <c r="K775" s="6" t="str">
        <f>_xlfn.XLOOKUP(frasest[[#This Row],[autor_es]],autorest[autor_es],autorest[idioma_la])</f>
        <v>Lingua Vasconica</v>
      </c>
      <c r="L775" s="6" t="str">
        <f>_xlfn.XLOOKUP(frasest[[#This Row],[autor_es]],autorest[autor_es],autorest[nacion_es])</f>
        <v>España</v>
      </c>
      <c r="M775" t="str">
        <f>_xlfn.XLOOKUP(frasest[[#This Row],[autor_es]],autorest[autor_es],autorest[nacion_la])</f>
        <v>Hispania</v>
      </c>
      <c r="N775" t="str">
        <f>_xlfn.XLOOKUP(frasest[[#This Row],[autor_es]],autorest[autor_es],autorest[epoca_es])</f>
        <v>Epoca Desconocida</v>
      </c>
      <c r="O775" t="str">
        <f>_xlfn.XLOOKUP(frasest[[#This Row],[autor_es]],autorest[autor_es],autorest[epoca_la])</f>
        <v>Epocha Ignota</v>
      </c>
    </row>
    <row r="776" spans="1:15">
      <c r="A776">
        <v>775</v>
      </c>
      <c r="B776" t="s">
        <v>2177</v>
      </c>
      <c r="C776" t="s">
        <v>2178</v>
      </c>
      <c r="D776" t="s">
        <v>2179</v>
      </c>
      <c r="E776" t="s">
        <v>995</v>
      </c>
      <c r="F776" t="str">
        <f>_xlfn.XLOOKUP(frasest[[#This Row],[autor_es]],autorest[autor_es],autorest[autor_la])</f>
        <v>Sententia Vasconica</v>
      </c>
      <c r="G776" s="6" t="str">
        <f>_xlfn.XLOOKUP(frasest[[#This Row],[autor_es]],autorest[autor_es],autorest[bio_es])</f>
        <v>Proverbios de la tradición oral vasca que reflejan la relación con la naturaleza, el trabajo y los valores comunitarios del pueblo vasco.</v>
      </c>
      <c r="H776" s="6" t="str">
        <f>_xlfn.XLOOKUP(frasest[[#This Row],[autor_es]],autorest[autor_es],autorest[bio_la])</f>
        <v>Collectio sententiarum Vasconicarum.</v>
      </c>
      <c r="I776" t="str">
        <f>_xlfn.XLOOKUP(frasest[[#This Row],[autor_es]],autorest[autor_es],autorest[codigo])</f>
        <v>eu</v>
      </c>
      <c r="J776" t="str">
        <f>_xlfn.XLOOKUP(frasest[[#This Row],[autor_es]],autorest[autor_es],autorest[idioma_es])</f>
        <v>Euskara</v>
      </c>
      <c r="K776" s="6" t="str">
        <f>_xlfn.XLOOKUP(frasest[[#This Row],[autor_es]],autorest[autor_es],autorest[idioma_la])</f>
        <v>Lingua Vasconica</v>
      </c>
      <c r="L776" s="6" t="str">
        <f>_xlfn.XLOOKUP(frasest[[#This Row],[autor_es]],autorest[autor_es],autorest[nacion_es])</f>
        <v>España</v>
      </c>
      <c r="M776" t="str">
        <f>_xlfn.XLOOKUP(frasest[[#This Row],[autor_es]],autorest[autor_es],autorest[nacion_la])</f>
        <v>Hispania</v>
      </c>
      <c r="N776" t="str">
        <f>_xlfn.XLOOKUP(frasest[[#This Row],[autor_es]],autorest[autor_es],autorest[epoca_es])</f>
        <v>Epoca Desconocida</v>
      </c>
      <c r="O776" t="str">
        <f>_xlfn.XLOOKUP(frasest[[#This Row],[autor_es]],autorest[autor_es],autorest[epoca_la])</f>
        <v>Epocha Ignota</v>
      </c>
    </row>
    <row r="777" spans="1:15">
      <c r="A777">
        <v>776</v>
      </c>
      <c r="B777" t="s">
        <v>2180</v>
      </c>
      <c r="C777" t="s">
        <v>2181</v>
      </c>
      <c r="D777" t="s">
        <v>1937</v>
      </c>
      <c r="E777" t="s">
        <v>995</v>
      </c>
      <c r="F777" t="str">
        <f>_xlfn.XLOOKUP(frasest[[#This Row],[autor_es]],autorest[autor_es],autorest[autor_la])</f>
        <v>Sententia Vasconica</v>
      </c>
      <c r="G777" s="6" t="str">
        <f>_xlfn.XLOOKUP(frasest[[#This Row],[autor_es]],autorest[autor_es],autorest[bio_es])</f>
        <v>Proverbios de la tradición oral vasca que reflejan la relación con la naturaleza, el trabajo y los valores comunitarios del pueblo vasco.</v>
      </c>
      <c r="H777" s="6" t="str">
        <f>_xlfn.XLOOKUP(frasest[[#This Row],[autor_es]],autorest[autor_es],autorest[bio_la])</f>
        <v>Collectio sententiarum Vasconicarum.</v>
      </c>
      <c r="I777" t="str">
        <f>_xlfn.XLOOKUP(frasest[[#This Row],[autor_es]],autorest[autor_es],autorest[codigo])</f>
        <v>eu</v>
      </c>
      <c r="J777" t="str">
        <f>_xlfn.XLOOKUP(frasest[[#This Row],[autor_es]],autorest[autor_es],autorest[idioma_es])</f>
        <v>Euskara</v>
      </c>
      <c r="K777" s="6" t="str">
        <f>_xlfn.XLOOKUP(frasest[[#This Row],[autor_es]],autorest[autor_es],autorest[idioma_la])</f>
        <v>Lingua Vasconica</v>
      </c>
      <c r="L777" s="6" t="str">
        <f>_xlfn.XLOOKUP(frasest[[#This Row],[autor_es]],autorest[autor_es],autorest[nacion_es])</f>
        <v>España</v>
      </c>
      <c r="M777" t="str">
        <f>_xlfn.XLOOKUP(frasest[[#This Row],[autor_es]],autorest[autor_es],autorest[nacion_la])</f>
        <v>Hispania</v>
      </c>
      <c r="N777" t="str">
        <f>_xlfn.XLOOKUP(frasest[[#This Row],[autor_es]],autorest[autor_es],autorest[epoca_es])</f>
        <v>Epoca Desconocida</v>
      </c>
      <c r="O777" t="str">
        <f>_xlfn.XLOOKUP(frasest[[#This Row],[autor_es]],autorest[autor_es],autorest[epoca_la])</f>
        <v>Epocha Ignota</v>
      </c>
    </row>
    <row r="778" spans="1:15">
      <c r="A778">
        <v>777</v>
      </c>
      <c r="B778" t="s">
        <v>2182</v>
      </c>
      <c r="C778" t="s">
        <v>2183</v>
      </c>
      <c r="D778" t="s">
        <v>2184</v>
      </c>
      <c r="E778" t="s">
        <v>995</v>
      </c>
      <c r="F778" t="str">
        <f>_xlfn.XLOOKUP(frasest[[#This Row],[autor_es]],autorest[autor_es],autorest[autor_la])</f>
        <v>Sententia Vasconica</v>
      </c>
      <c r="G778" s="6" t="str">
        <f>_xlfn.XLOOKUP(frasest[[#This Row],[autor_es]],autorest[autor_es],autorest[bio_es])</f>
        <v>Proverbios de la tradición oral vasca que reflejan la relación con la naturaleza, el trabajo y los valores comunitarios del pueblo vasco.</v>
      </c>
      <c r="H778" s="6" t="str">
        <f>_xlfn.XLOOKUP(frasest[[#This Row],[autor_es]],autorest[autor_es],autorest[bio_la])</f>
        <v>Collectio sententiarum Vasconicarum.</v>
      </c>
      <c r="I778" t="str">
        <f>_xlfn.XLOOKUP(frasest[[#This Row],[autor_es]],autorest[autor_es],autorest[codigo])</f>
        <v>eu</v>
      </c>
      <c r="J778" t="str">
        <f>_xlfn.XLOOKUP(frasest[[#This Row],[autor_es]],autorest[autor_es],autorest[idioma_es])</f>
        <v>Euskara</v>
      </c>
      <c r="K778" s="6" t="str">
        <f>_xlfn.XLOOKUP(frasest[[#This Row],[autor_es]],autorest[autor_es],autorest[idioma_la])</f>
        <v>Lingua Vasconica</v>
      </c>
      <c r="L778" s="6" t="str">
        <f>_xlfn.XLOOKUP(frasest[[#This Row],[autor_es]],autorest[autor_es],autorest[nacion_es])</f>
        <v>España</v>
      </c>
      <c r="M778" t="str">
        <f>_xlfn.XLOOKUP(frasest[[#This Row],[autor_es]],autorest[autor_es],autorest[nacion_la])</f>
        <v>Hispania</v>
      </c>
      <c r="N778" t="str">
        <f>_xlfn.XLOOKUP(frasest[[#This Row],[autor_es]],autorest[autor_es],autorest[epoca_es])</f>
        <v>Epoca Desconocida</v>
      </c>
      <c r="O778" t="str">
        <f>_xlfn.XLOOKUP(frasest[[#This Row],[autor_es]],autorest[autor_es],autorest[epoca_la])</f>
        <v>Epocha Ignota</v>
      </c>
    </row>
    <row r="779" spans="1:15">
      <c r="A779">
        <v>778</v>
      </c>
      <c r="B779" t="s">
        <v>2185</v>
      </c>
      <c r="C779" t="s">
        <v>2186</v>
      </c>
      <c r="D779" t="s">
        <v>2187</v>
      </c>
      <c r="E779" t="s">
        <v>995</v>
      </c>
      <c r="F779" t="str">
        <f>_xlfn.XLOOKUP(frasest[[#This Row],[autor_es]],autorest[autor_es],autorest[autor_la])</f>
        <v>Sententia Vasconica</v>
      </c>
      <c r="G779" s="6" t="str">
        <f>_xlfn.XLOOKUP(frasest[[#This Row],[autor_es]],autorest[autor_es],autorest[bio_es])</f>
        <v>Proverbios de la tradición oral vasca que reflejan la relación con la naturaleza, el trabajo y los valores comunitarios del pueblo vasco.</v>
      </c>
      <c r="H779" s="6" t="str">
        <f>_xlfn.XLOOKUP(frasest[[#This Row],[autor_es]],autorest[autor_es],autorest[bio_la])</f>
        <v>Collectio sententiarum Vasconicarum.</v>
      </c>
      <c r="I779" t="str">
        <f>_xlfn.XLOOKUP(frasest[[#This Row],[autor_es]],autorest[autor_es],autorest[codigo])</f>
        <v>eu</v>
      </c>
      <c r="J779" t="str">
        <f>_xlfn.XLOOKUP(frasest[[#This Row],[autor_es]],autorest[autor_es],autorest[idioma_es])</f>
        <v>Euskara</v>
      </c>
      <c r="K779" s="6" t="str">
        <f>_xlfn.XLOOKUP(frasest[[#This Row],[autor_es]],autorest[autor_es],autorest[idioma_la])</f>
        <v>Lingua Vasconica</v>
      </c>
      <c r="L779" s="6" t="str">
        <f>_xlfn.XLOOKUP(frasest[[#This Row],[autor_es]],autorest[autor_es],autorest[nacion_es])</f>
        <v>España</v>
      </c>
      <c r="M779" t="str">
        <f>_xlfn.XLOOKUP(frasest[[#This Row],[autor_es]],autorest[autor_es],autorest[nacion_la])</f>
        <v>Hispania</v>
      </c>
      <c r="N779" t="str">
        <f>_xlfn.XLOOKUP(frasest[[#This Row],[autor_es]],autorest[autor_es],autorest[epoca_es])</f>
        <v>Epoca Desconocida</v>
      </c>
      <c r="O779" t="str">
        <f>_xlfn.XLOOKUP(frasest[[#This Row],[autor_es]],autorest[autor_es],autorest[epoca_la])</f>
        <v>Epocha Ignota</v>
      </c>
    </row>
    <row r="780" spans="1:15">
      <c r="A780">
        <v>779</v>
      </c>
      <c r="B780" t="s">
        <v>2188</v>
      </c>
      <c r="C780" t="s">
        <v>2189</v>
      </c>
      <c r="D780" t="s">
        <v>2190</v>
      </c>
      <c r="E780" t="s">
        <v>995</v>
      </c>
      <c r="F780" t="str">
        <f>_xlfn.XLOOKUP(frasest[[#This Row],[autor_es]],autorest[autor_es],autorest[autor_la])</f>
        <v>Sententia Vasconica</v>
      </c>
      <c r="G780" s="6" t="str">
        <f>_xlfn.XLOOKUP(frasest[[#This Row],[autor_es]],autorest[autor_es],autorest[bio_es])</f>
        <v>Proverbios de la tradición oral vasca que reflejan la relación con la naturaleza, el trabajo y los valores comunitarios del pueblo vasco.</v>
      </c>
      <c r="H780" s="6" t="str">
        <f>_xlfn.XLOOKUP(frasest[[#This Row],[autor_es]],autorest[autor_es],autorest[bio_la])</f>
        <v>Collectio sententiarum Vasconicarum.</v>
      </c>
      <c r="I780" t="str">
        <f>_xlfn.XLOOKUP(frasest[[#This Row],[autor_es]],autorest[autor_es],autorest[codigo])</f>
        <v>eu</v>
      </c>
      <c r="J780" t="str">
        <f>_xlfn.XLOOKUP(frasest[[#This Row],[autor_es]],autorest[autor_es],autorest[idioma_es])</f>
        <v>Euskara</v>
      </c>
      <c r="K780" s="6" t="str">
        <f>_xlfn.XLOOKUP(frasest[[#This Row],[autor_es]],autorest[autor_es],autorest[idioma_la])</f>
        <v>Lingua Vasconica</v>
      </c>
      <c r="L780" s="6" t="str">
        <f>_xlfn.XLOOKUP(frasest[[#This Row],[autor_es]],autorest[autor_es],autorest[nacion_es])</f>
        <v>España</v>
      </c>
      <c r="M780" t="str">
        <f>_xlfn.XLOOKUP(frasest[[#This Row],[autor_es]],autorest[autor_es],autorest[nacion_la])</f>
        <v>Hispania</v>
      </c>
      <c r="N780" t="str">
        <f>_xlfn.XLOOKUP(frasest[[#This Row],[autor_es]],autorest[autor_es],autorest[epoca_es])</f>
        <v>Epoca Desconocida</v>
      </c>
      <c r="O780" t="str">
        <f>_xlfn.XLOOKUP(frasest[[#This Row],[autor_es]],autorest[autor_es],autorest[epoca_la])</f>
        <v>Epocha Ignota</v>
      </c>
    </row>
    <row r="781" spans="1:15">
      <c r="A781">
        <v>780</v>
      </c>
      <c r="B781" t="s">
        <v>2191</v>
      </c>
      <c r="C781" t="s">
        <v>2192</v>
      </c>
      <c r="D781" t="s">
        <v>2193</v>
      </c>
      <c r="E781" t="s">
        <v>995</v>
      </c>
      <c r="F781" t="str">
        <f>_xlfn.XLOOKUP(frasest[[#This Row],[autor_es]],autorest[autor_es],autorest[autor_la])</f>
        <v>Sententia Vasconica</v>
      </c>
      <c r="G781" s="6" t="str">
        <f>_xlfn.XLOOKUP(frasest[[#This Row],[autor_es]],autorest[autor_es],autorest[bio_es])</f>
        <v>Proverbios de la tradición oral vasca que reflejan la relación con la naturaleza, el trabajo y los valores comunitarios del pueblo vasco.</v>
      </c>
      <c r="H781" s="6" t="str">
        <f>_xlfn.XLOOKUP(frasest[[#This Row],[autor_es]],autorest[autor_es],autorest[bio_la])</f>
        <v>Collectio sententiarum Vasconicarum.</v>
      </c>
      <c r="I781" t="str">
        <f>_xlfn.XLOOKUP(frasest[[#This Row],[autor_es]],autorest[autor_es],autorest[codigo])</f>
        <v>eu</v>
      </c>
      <c r="J781" t="str">
        <f>_xlfn.XLOOKUP(frasest[[#This Row],[autor_es]],autorest[autor_es],autorest[idioma_es])</f>
        <v>Euskara</v>
      </c>
      <c r="K781" s="6" t="str">
        <f>_xlfn.XLOOKUP(frasest[[#This Row],[autor_es]],autorest[autor_es],autorest[idioma_la])</f>
        <v>Lingua Vasconica</v>
      </c>
      <c r="L781" s="6" t="str">
        <f>_xlfn.XLOOKUP(frasest[[#This Row],[autor_es]],autorest[autor_es],autorest[nacion_es])</f>
        <v>España</v>
      </c>
      <c r="M781" t="str">
        <f>_xlfn.XLOOKUP(frasest[[#This Row],[autor_es]],autorest[autor_es],autorest[nacion_la])</f>
        <v>Hispania</v>
      </c>
      <c r="N781" t="str">
        <f>_xlfn.XLOOKUP(frasest[[#This Row],[autor_es]],autorest[autor_es],autorest[epoca_es])</f>
        <v>Epoca Desconocida</v>
      </c>
      <c r="O781" t="str">
        <f>_xlfn.XLOOKUP(frasest[[#This Row],[autor_es]],autorest[autor_es],autorest[epoca_la])</f>
        <v>Epocha Ignota</v>
      </c>
    </row>
    <row r="782" spans="1:15">
      <c r="A782">
        <v>781</v>
      </c>
      <c r="B782" t="s">
        <v>2194</v>
      </c>
      <c r="C782" t="s">
        <v>2195</v>
      </c>
      <c r="D782" t="s">
        <v>2196</v>
      </c>
      <c r="E782" t="s">
        <v>995</v>
      </c>
      <c r="F782" t="str">
        <f>_xlfn.XLOOKUP(frasest[[#This Row],[autor_es]],autorest[autor_es],autorest[autor_la])</f>
        <v>Sententia Vasconica</v>
      </c>
      <c r="G782" s="6" t="str">
        <f>_xlfn.XLOOKUP(frasest[[#This Row],[autor_es]],autorest[autor_es],autorest[bio_es])</f>
        <v>Proverbios de la tradición oral vasca que reflejan la relación con la naturaleza, el trabajo y los valores comunitarios del pueblo vasco.</v>
      </c>
      <c r="H782" s="6" t="str">
        <f>_xlfn.XLOOKUP(frasest[[#This Row],[autor_es]],autorest[autor_es],autorest[bio_la])</f>
        <v>Collectio sententiarum Vasconicarum.</v>
      </c>
      <c r="I782" t="str">
        <f>_xlfn.XLOOKUP(frasest[[#This Row],[autor_es]],autorest[autor_es],autorest[codigo])</f>
        <v>eu</v>
      </c>
      <c r="J782" t="str">
        <f>_xlfn.XLOOKUP(frasest[[#This Row],[autor_es]],autorest[autor_es],autorest[idioma_es])</f>
        <v>Euskara</v>
      </c>
      <c r="K782" s="6" t="str">
        <f>_xlfn.XLOOKUP(frasest[[#This Row],[autor_es]],autorest[autor_es],autorest[idioma_la])</f>
        <v>Lingua Vasconica</v>
      </c>
      <c r="L782" s="6" t="str">
        <f>_xlfn.XLOOKUP(frasest[[#This Row],[autor_es]],autorest[autor_es],autorest[nacion_es])</f>
        <v>España</v>
      </c>
      <c r="M782" t="str">
        <f>_xlfn.XLOOKUP(frasest[[#This Row],[autor_es]],autorest[autor_es],autorest[nacion_la])</f>
        <v>Hispania</v>
      </c>
      <c r="N782" t="str">
        <f>_xlfn.XLOOKUP(frasest[[#This Row],[autor_es]],autorest[autor_es],autorest[epoca_es])</f>
        <v>Epoca Desconocida</v>
      </c>
      <c r="O782" t="str">
        <f>_xlfn.XLOOKUP(frasest[[#This Row],[autor_es]],autorest[autor_es],autorest[epoca_la])</f>
        <v>Epocha Ignota</v>
      </c>
    </row>
    <row r="783" spans="1:15">
      <c r="A783">
        <v>782</v>
      </c>
      <c r="B783" t="s">
        <v>2197</v>
      </c>
      <c r="C783" t="s">
        <v>2198</v>
      </c>
      <c r="D783" t="s">
        <v>2199</v>
      </c>
      <c r="E783" t="s">
        <v>995</v>
      </c>
      <c r="F783" t="str">
        <f>_xlfn.XLOOKUP(frasest[[#This Row],[autor_es]],autorest[autor_es],autorest[autor_la])</f>
        <v>Sententia Vasconica</v>
      </c>
      <c r="G783" s="6" t="str">
        <f>_xlfn.XLOOKUP(frasest[[#This Row],[autor_es]],autorest[autor_es],autorest[bio_es])</f>
        <v>Proverbios de la tradición oral vasca que reflejan la relación con la naturaleza, el trabajo y los valores comunitarios del pueblo vasco.</v>
      </c>
      <c r="H783" s="6" t="str">
        <f>_xlfn.XLOOKUP(frasest[[#This Row],[autor_es]],autorest[autor_es],autorest[bio_la])</f>
        <v>Collectio sententiarum Vasconicarum.</v>
      </c>
      <c r="I783" t="str">
        <f>_xlfn.XLOOKUP(frasest[[#This Row],[autor_es]],autorest[autor_es],autorest[codigo])</f>
        <v>eu</v>
      </c>
      <c r="J783" t="str">
        <f>_xlfn.XLOOKUP(frasest[[#This Row],[autor_es]],autorest[autor_es],autorest[idioma_es])</f>
        <v>Euskara</v>
      </c>
      <c r="K783" s="6" t="str">
        <f>_xlfn.XLOOKUP(frasest[[#This Row],[autor_es]],autorest[autor_es],autorest[idioma_la])</f>
        <v>Lingua Vasconica</v>
      </c>
      <c r="L783" s="6" t="str">
        <f>_xlfn.XLOOKUP(frasest[[#This Row],[autor_es]],autorest[autor_es],autorest[nacion_es])</f>
        <v>España</v>
      </c>
      <c r="M783" t="str">
        <f>_xlfn.XLOOKUP(frasest[[#This Row],[autor_es]],autorest[autor_es],autorest[nacion_la])</f>
        <v>Hispania</v>
      </c>
      <c r="N783" t="str">
        <f>_xlfn.XLOOKUP(frasest[[#This Row],[autor_es]],autorest[autor_es],autorest[epoca_es])</f>
        <v>Epoca Desconocida</v>
      </c>
      <c r="O783" t="str">
        <f>_xlfn.XLOOKUP(frasest[[#This Row],[autor_es]],autorest[autor_es],autorest[epoca_la])</f>
        <v>Epocha Ignota</v>
      </c>
    </row>
    <row r="784" spans="1:15">
      <c r="A784">
        <v>783</v>
      </c>
      <c r="B784" t="s">
        <v>2200</v>
      </c>
      <c r="C784" t="s">
        <v>2201</v>
      </c>
      <c r="D784" t="s">
        <v>2202</v>
      </c>
      <c r="E784" t="s">
        <v>995</v>
      </c>
      <c r="F784" t="str">
        <f>_xlfn.XLOOKUP(frasest[[#This Row],[autor_es]],autorest[autor_es],autorest[autor_la])</f>
        <v>Sententia Vasconica</v>
      </c>
      <c r="G784" s="6" t="str">
        <f>_xlfn.XLOOKUP(frasest[[#This Row],[autor_es]],autorest[autor_es],autorest[bio_es])</f>
        <v>Proverbios de la tradición oral vasca que reflejan la relación con la naturaleza, el trabajo y los valores comunitarios del pueblo vasco.</v>
      </c>
      <c r="H784" s="6" t="str">
        <f>_xlfn.XLOOKUP(frasest[[#This Row],[autor_es]],autorest[autor_es],autorest[bio_la])</f>
        <v>Collectio sententiarum Vasconicarum.</v>
      </c>
      <c r="I784" t="str">
        <f>_xlfn.XLOOKUP(frasest[[#This Row],[autor_es]],autorest[autor_es],autorest[codigo])</f>
        <v>eu</v>
      </c>
      <c r="J784" t="str">
        <f>_xlfn.XLOOKUP(frasest[[#This Row],[autor_es]],autorest[autor_es],autorest[idioma_es])</f>
        <v>Euskara</v>
      </c>
      <c r="K784" s="6" t="str">
        <f>_xlfn.XLOOKUP(frasest[[#This Row],[autor_es]],autorest[autor_es],autorest[idioma_la])</f>
        <v>Lingua Vasconica</v>
      </c>
      <c r="L784" s="6" t="str">
        <f>_xlfn.XLOOKUP(frasest[[#This Row],[autor_es]],autorest[autor_es],autorest[nacion_es])</f>
        <v>España</v>
      </c>
      <c r="M784" t="str">
        <f>_xlfn.XLOOKUP(frasest[[#This Row],[autor_es]],autorest[autor_es],autorest[nacion_la])</f>
        <v>Hispania</v>
      </c>
      <c r="N784" t="str">
        <f>_xlfn.XLOOKUP(frasest[[#This Row],[autor_es]],autorest[autor_es],autorest[epoca_es])</f>
        <v>Epoca Desconocida</v>
      </c>
      <c r="O784" t="str">
        <f>_xlfn.XLOOKUP(frasest[[#This Row],[autor_es]],autorest[autor_es],autorest[epoca_la])</f>
        <v>Epocha Ignota</v>
      </c>
    </row>
    <row r="785" spans="1:15">
      <c r="A785">
        <v>784</v>
      </c>
      <c r="B785" t="s">
        <v>2203</v>
      </c>
      <c r="C785" t="s">
        <v>2204</v>
      </c>
      <c r="D785" t="s">
        <v>2205</v>
      </c>
      <c r="E785" t="s">
        <v>995</v>
      </c>
      <c r="F785" t="str">
        <f>_xlfn.XLOOKUP(frasest[[#This Row],[autor_es]],autorest[autor_es],autorest[autor_la])</f>
        <v>Sententia Vasconica</v>
      </c>
      <c r="G785" s="6" t="str">
        <f>_xlfn.XLOOKUP(frasest[[#This Row],[autor_es]],autorest[autor_es],autorest[bio_es])</f>
        <v>Proverbios de la tradición oral vasca que reflejan la relación con la naturaleza, el trabajo y los valores comunitarios del pueblo vasco.</v>
      </c>
      <c r="H785" s="6" t="str">
        <f>_xlfn.XLOOKUP(frasest[[#This Row],[autor_es]],autorest[autor_es],autorest[bio_la])</f>
        <v>Collectio sententiarum Vasconicarum.</v>
      </c>
      <c r="I785" t="str">
        <f>_xlfn.XLOOKUP(frasest[[#This Row],[autor_es]],autorest[autor_es],autorest[codigo])</f>
        <v>eu</v>
      </c>
      <c r="J785" t="str">
        <f>_xlfn.XLOOKUP(frasest[[#This Row],[autor_es]],autorest[autor_es],autorest[idioma_es])</f>
        <v>Euskara</v>
      </c>
      <c r="K785" s="6" t="str">
        <f>_xlfn.XLOOKUP(frasest[[#This Row],[autor_es]],autorest[autor_es],autorest[idioma_la])</f>
        <v>Lingua Vasconica</v>
      </c>
      <c r="L785" s="6" t="str">
        <f>_xlfn.XLOOKUP(frasest[[#This Row],[autor_es]],autorest[autor_es],autorest[nacion_es])</f>
        <v>España</v>
      </c>
      <c r="M785" t="str">
        <f>_xlfn.XLOOKUP(frasest[[#This Row],[autor_es]],autorest[autor_es],autorest[nacion_la])</f>
        <v>Hispania</v>
      </c>
      <c r="N785" t="str">
        <f>_xlfn.XLOOKUP(frasest[[#This Row],[autor_es]],autorest[autor_es],autorest[epoca_es])</f>
        <v>Epoca Desconocida</v>
      </c>
      <c r="O785" t="str">
        <f>_xlfn.XLOOKUP(frasest[[#This Row],[autor_es]],autorest[autor_es],autorest[epoca_la])</f>
        <v>Epocha Ignota</v>
      </c>
    </row>
    <row r="786" spans="1:15">
      <c r="A786">
        <v>785</v>
      </c>
      <c r="B786" t="s">
        <v>2206</v>
      </c>
      <c r="C786" t="s">
        <v>2207</v>
      </c>
      <c r="D786" t="s">
        <v>2208</v>
      </c>
      <c r="E786" t="s">
        <v>995</v>
      </c>
      <c r="F786" t="str">
        <f>_xlfn.XLOOKUP(frasest[[#This Row],[autor_es]],autorest[autor_es],autorest[autor_la])</f>
        <v>Sententia Vasconica</v>
      </c>
      <c r="G786" s="6" t="str">
        <f>_xlfn.XLOOKUP(frasest[[#This Row],[autor_es]],autorest[autor_es],autorest[bio_es])</f>
        <v>Proverbios de la tradición oral vasca que reflejan la relación con la naturaleza, el trabajo y los valores comunitarios del pueblo vasco.</v>
      </c>
      <c r="H786" s="6" t="str">
        <f>_xlfn.XLOOKUP(frasest[[#This Row],[autor_es]],autorest[autor_es],autorest[bio_la])</f>
        <v>Collectio sententiarum Vasconicarum.</v>
      </c>
      <c r="I786" t="str">
        <f>_xlfn.XLOOKUP(frasest[[#This Row],[autor_es]],autorest[autor_es],autorest[codigo])</f>
        <v>eu</v>
      </c>
      <c r="J786" t="str">
        <f>_xlfn.XLOOKUP(frasest[[#This Row],[autor_es]],autorest[autor_es],autorest[idioma_es])</f>
        <v>Euskara</v>
      </c>
      <c r="K786" s="6" t="str">
        <f>_xlfn.XLOOKUP(frasest[[#This Row],[autor_es]],autorest[autor_es],autorest[idioma_la])</f>
        <v>Lingua Vasconica</v>
      </c>
      <c r="L786" s="6" t="str">
        <f>_xlfn.XLOOKUP(frasest[[#This Row],[autor_es]],autorest[autor_es],autorest[nacion_es])</f>
        <v>España</v>
      </c>
      <c r="M786" t="str">
        <f>_xlfn.XLOOKUP(frasest[[#This Row],[autor_es]],autorest[autor_es],autorest[nacion_la])</f>
        <v>Hispania</v>
      </c>
      <c r="N786" t="str">
        <f>_xlfn.XLOOKUP(frasest[[#This Row],[autor_es]],autorest[autor_es],autorest[epoca_es])</f>
        <v>Epoca Desconocida</v>
      </c>
      <c r="O786" t="str">
        <f>_xlfn.XLOOKUP(frasest[[#This Row],[autor_es]],autorest[autor_es],autorest[epoca_la])</f>
        <v>Epocha Ignota</v>
      </c>
    </row>
    <row r="787" spans="1:15">
      <c r="A787">
        <v>786</v>
      </c>
      <c r="B787" t="s">
        <v>2209</v>
      </c>
      <c r="C787" t="s">
        <v>2210</v>
      </c>
      <c r="D787" t="s">
        <v>2211</v>
      </c>
      <c r="E787" t="s">
        <v>995</v>
      </c>
      <c r="F787" t="str">
        <f>_xlfn.XLOOKUP(frasest[[#This Row],[autor_es]],autorest[autor_es],autorest[autor_la])</f>
        <v>Sententia Vasconica</v>
      </c>
      <c r="G787" s="6" t="str">
        <f>_xlfn.XLOOKUP(frasest[[#This Row],[autor_es]],autorest[autor_es],autorest[bio_es])</f>
        <v>Proverbios de la tradición oral vasca que reflejan la relación con la naturaleza, el trabajo y los valores comunitarios del pueblo vasco.</v>
      </c>
      <c r="H787" s="6" t="str">
        <f>_xlfn.XLOOKUP(frasest[[#This Row],[autor_es]],autorest[autor_es],autorest[bio_la])</f>
        <v>Collectio sententiarum Vasconicarum.</v>
      </c>
      <c r="I787" t="str">
        <f>_xlfn.XLOOKUP(frasest[[#This Row],[autor_es]],autorest[autor_es],autorest[codigo])</f>
        <v>eu</v>
      </c>
      <c r="J787" t="str">
        <f>_xlfn.XLOOKUP(frasest[[#This Row],[autor_es]],autorest[autor_es],autorest[idioma_es])</f>
        <v>Euskara</v>
      </c>
      <c r="K787" s="6" t="str">
        <f>_xlfn.XLOOKUP(frasest[[#This Row],[autor_es]],autorest[autor_es],autorest[idioma_la])</f>
        <v>Lingua Vasconica</v>
      </c>
      <c r="L787" s="6" t="str">
        <f>_xlfn.XLOOKUP(frasest[[#This Row],[autor_es]],autorest[autor_es],autorest[nacion_es])</f>
        <v>España</v>
      </c>
      <c r="M787" t="str">
        <f>_xlfn.XLOOKUP(frasest[[#This Row],[autor_es]],autorest[autor_es],autorest[nacion_la])</f>
        <v>Hispania</v>
      </c>
      <c r="N787" t="str">
        <f>_xlfn.XLOOKUP(frasest[[#This Row],[autor_es]],autorest[autor_es],autorest[epoca_es])</f>
        <v>Epoca Desconocida</v>
      </c>
      <c r="O787" t="str">
        <f>_xlfn.XLOOKUP(frasest[[#This Row],[autor_es]],autorest[autor_es],autorest[epoca_la])</f>
        <v>Epocha Ignota</v>
      </c>
    </row>
    <row r="788" spans="1:15">
      <c r="A788">
        <v>787</v>
      </c>
      <c r="B788" t="s">
        <v>2212</v>
      </c>
      <c r="C788" t="s">
        <v>2213</v>
      </c>
      <c r="D788" t="s">
        <v>2214</v>
      </c>
      <c r="E788" t="s">
        <v>995</v>
      </c>
      <c r="F788" t="str">
        <f>_xlfn.XLOOKUP(frasest[[#This Row],[autor_es]],autorest[autor_es],autorest[autor_la])</f>
        <v>Sententia Vasconica</v>
      </c>
      <c r="G788" s="6" t="str">
        <f>_xlfn.XLOOKUP(frasest[[#This Row],[autor_es]],autorest[autor_es],autorest[bio_es])</f>
        <v>Proverbios de la tradición oral vasca que reflejan la relación con la naturaleza, el trabajo y los valores comunitarios del pueblo vasco.</v>
      </c>
      <c r="H788" s="6" t="str">
        <f>_xlfn.XLOOKUP(frasest[[#This Row],[autor_es]],autorest[autor_es],autorest[bio_la])</f>
        <v>Collectio sententiarum Vasconicarum.</v>
      </c>
      <c r="I788" t="str">
        <f>_xlfn.XLOOKUP(frasest[[#This Row],[autor_es]],autorest[autor_es],autorest[codigo])</f>
        <v>eu</v>
      </c>
      <c r="J788" t="str">
        <f>_xlfn.XLOOKUP(frasest[[#This Row],[autor_es]],autorest[autor_es],autorest[idioma_es])</f>
        <v>Euskara</v>
      </c>
      <c r="K788" s="6" t="str">
        <f>_xlfn.XLOOKUP(frasest[[#This Row],[autor_es]],autorest[autor_es],autorest[idioma_la])</f>
        <v>Lingua Vasconica</v>
      </c>
      <c r="L788" s="6" t="str">
        <f>_xlfn.XLOOKUP(frasest[[#This Row],[autor_es]],autorest[autor_es],autorest[nacion_es])</f>
        <v>España</v>
      </c>
      <c r="M788" t="str">
        <f>_xlfn.XLOOKUP(frasest[[#This Row],[autor_es]],autorest[autor_es],autorest[nacion_la])</f>
        <v>Hispania</v>
      </c>
      <c r="N788" t="str">
        <f>_xlfn.XLOOKUP(frasest[[#This Row],[autor_es]],autorest[autor_es],autorest[epoca_es])</f>
        <v>Epoca Desconocida</v>
      </c>
      <c r="O788" t="str">
        <f>_xlfn.XLOOKUP(frasest[[#This Row],[autor_es]],autorest[autor_es],autorest[epoca_la])</f>
        <v>Epocha Ignota</v>
      </c>
    </row>
    <row r="789" spans="1:15">
      <c r="A789">
        <v>788</v>
      </c>
      <c r="B789" t="s">
        <v>2215</v>
      </c>
      <c r="C789" t="s">
        <v>2216</v>
      </c>
      <c r="D789" t="s">
        <v>2217</v>
      </c>
      <c r="E789" t="s">
        <v>995</v>
      </c>
      <c r="F789" t="str">
        <f>_xlfn.XLOOKUP(frasest[[#This Row],[autor_es]],autorest[autor_es],autorest[autor_la])</f>
        <v>Sententia Vasconica</v>
      </c>
      <c r="G789" s="6" t="str">
        <f>_xlfn.XLOOKUP(frasest[[#This Row],[autor_es]],autorest[autor_es],autorest[bio_es])</f>
        <v>Proverbios de la tradición oral vasca que reflejan la relación con la naturaleza, el trabajo y los valores comunitarios del pueblo vasco.</v>
      </c>
      <c r="H789" s="6" t="str">
        <f>_xlfn.XLOOKUP(frasest[[#This Row],[autor_es]],autorest[autor_es],autorest[bio_la])</f>
        <v>Collectio sententiarum Vasconicarum.</v>
      </c>
      <c r="I789" t="str">
        <f>_xlfn.XLOOKUP(frasest[[#This Row],[autor_es]],autorest[autor_es],autorest[codigo])</f>
        <v>eu</v>
      </c>
      <c r="J789" t="str">
        <f>_xlfn.XLOOKUP(frasest[[#This Row],[autor_es]],autorest[autor_es],autorest[idioma_es])</f>
        <v>Euskara</v>
      </c>
      <c r="K789" s="6" t="str">
        <f>_xlfn.XLOOKUP(frasest[[#This Row],[autor_es]],autorest[autor_es],autorest[idioma_la])</f>
        <v>Lingua Vasconica</v>
      </c>
      <c r="L789" s="6" t="str">
        <f>_xlfn.XLOOKUP(frasest[[#This Row],[autor_es]],autorest[autor_es],autorest[nacion_es])</f>
        <v>España</v>
      </c>
      <c r="M789" t="str">
        <f>_xlfn.XLOOKUP(frasest[[#This Row],[autor_es]],autorest[autor_es],autorest[nacion_la])</f>
        <v>Hispania</v>
      </c>
      <c r="N789" t="str">
        <f>_xlfn.XLOOKUP(frasest[[#This Row],[autor_es]],autorest[autor_es],autorest[epoca_es])</f>
        <v>Epoca Desconocida</v>
      </c>
      <c r="O789" t="str">
        <f>_xlfn.XLOOKUP(frasest[[#This Row],[autor_es]],autorest[autor_es],autorest[epoca_la])</f>
        <v>Epocha Ignota</v>
      </c>
    </row>
    <row r="790" spans="1:15">
      <c r="A790">
        <v>789</v>
      </c>
      <c r="B790" t="s">
        <v>2218</v>
      </c>
      <c r="C790" t="s">
        <v>2219</v>
      </c>
      <c r="D790" t="s">
        <v>2220</v>
      </c>
      <c r="E790" t="s">
        <v>995</v>
      </c>
      <c r="F790" t="str">
        <f>_xlfn.XLOOKUP(frasest[[#This Row],[autor_es]],autorest[autor_es],autorest[autor_la])</f>
        <v>Sententia Vasconica</v>
      </c>
      <c r="G790" s="6" t="str">
        <f>_xlfn.XLOOKUP(frasest[[#This Row],[autor_es]],autorest[autor_es],autorest[bio_es])</f>
        <v>Proverbios de la tradición oral vasca que reflejan la relación con la naturaleza, el trabajo y los valores comunitarios del pueblo vasco.</v>
      </c>
      <c r="H790" s="6" t="str">
        <f>_xlfn.XLOOKUP(frasest[[#This Row],[autor_es]],autorest[autor_es],autorest[bio_la])</f>
        <v>Collectio sententiarum Vasconicarum.</v>
      </c>
      <c r="I790" t="str">
        <f>_xlfn.XLOOKUP(frasest[[#This Row],[autor_es]],autorest[autor_es],autorest[codigo])</f>
        <v>eu</v>
      </c>
      <c r="J790" t="str">
        <f>_xlfn.XLOOKUP(frasest[[#This Row],[autor_es]],autorest[autor_es],autorest[idioma_es])</f>
        <v>Euskara</v>
      </c>
      <c r="K790" s="6" t="str">
        <f>_xlfn.XLOOKUP(frasest[[#This Row],[autor_es]],autorest[autor_es],autorest[idioma_la])</f>
        <v>Lingua Vasconica</v>
      </c>
      <c r="L790" s="6" t="str">
        <f>_xlfn.XLOOKUP(frasest[[#This Row],[autor_es]],autorest[autor_es],autorest[nacion_es])</f>
        <v>España</v>
      </c>
      <c r="M790" t="str">
        <f>_xlfn.XLOOKUP(frasest[[#This Row],[autor_es]],autorest[autor_es],autorest[nacion_la])</f>
        <v>Hispania</v>
      </c>
      <c r="N790" t="str">
        <f>_xlfn.XLOOKUP(frasest[[#This Row],[autor_es]],autorest[autor_es],autorest[epoca_es])</f>
        <v>Epoca Desconocida</v>
      </c>
      <c r="O790" t="str">
        <f>_xlfn.XLOOKUP(frasest[[#This Row],[autor_es]],autorest[autor_es],autorest[epoca_la])</f>
        <v>Epocha Ignota</v>
      </c>
    </row>
    <row r="791" spans="1:15">
      <c r="A791">
        <v>790</v>
      </c>
      <c r="B791" t="s">
        <v>2221</v>
      </c>
      <c r="C791" t="s">
        <v>2222</v>
      </c>
      <c r="D791" t="s">
        <v>2223</v>
      </c>
      <c r="E791" t="s">
        <v>995</v>
      </c>
      <c r="F791" t="str">
        <f>_xlfn.XLOOKUP(frasest[[#This Row],[autor_es]],autorest[autor_es],autorest[autor_la])</f>
        <v>Sententia Vasconica</v>
      </c>
      <c r="G791" s="6" t="str">
        <f>_xlfn.XLOOKUP(frasest[[#This Row],[autor_es]],autorest[autor_es],autorest[bio_es])</f>
        <v>Proverbios de la tradición oral vasca que reflejan la relación con la naturaleza, el trabajo y los valores comunitarios del pueblo vasco.</v>
      </c>
      <c r="H791" s="6" t="str">
        <f>_xlfn.XLOOKUP(frasest[[#This Row],[autor_es]],autorest[autor_es],autorest[bio_la])</f>
        <v>Collectio sententiarum Vasconicarum.</v>
      </c>
      <c r="I791" t="str">
        <f>_xlfn.XLOOKUP(frasest[[#This Row],[autor_es]],autorest[autor_es],autorest[codigo])</f>
        <v>eu</v>
      </c>
      <c r="J791" t="str">
        <f>_xlfn.XLOOKUP(frasest[[#This Row],[autor_es]],autorest[autor_es],autorest[idioma_es])</f>
        <v>Euskara</v>
      </c>
      <c r="K791" s="6" t="str">
        <f>_xlfn.XLOOKUP(frasest[[#This Row],[autor_es]],autorest[autor_es],autorest[idioma_la])</f>
        <v>Lingua Vasconica</v>
      </c>
      <c r="L791" s="6" t="str">
        <f>_xlfn.XLOOKUP(frasest[[#This Row],[autor_es]],autorest[autor_es],autorest[nacion_es])</f>
        <v>España</v>
      </c>
      <c r="M791" t="str">
        <f>_xlfn.XLOOKUP(frasest[[#This Row],[autor_es]],autorest[autor_es],autorest[nacion_la])</f>
        <v>Hispania</v>
      </c>
      <c r="N791" t="str">
        <f>_xlfn.XLOOKUP(frasest[[#This Row],[autor_es]],autorest[autor_es],autorest[epoca_es])</f>
        <v>Epoca Desconocida</v>
      </c>
      <c r="O791" t="str">
        <f>_xlfn.XLOOKUP(frasest[[#This Row],[autor_es]],autorest[autor_es],autorest[epoca_la])</f>
        <v>Epocha Ignota</v>
      </c>
    </row>
    <row r="792" spans="1:15">
      <c r="A792">
        <v>791</v>
      </c>
      <c r="B792" t="s">
        <v>2224</v>
      </c>
      <c r="C792" t="s">
        <v>2225</v>
      </c>
      <c r="D792" t="s">
        <v>2226</v>
      </c>
      <c r="E792" t="s">
        <v>995</v>
      </c>
      <c r="F792" t="str">
        <f>_xlfn.XLOOKUP(frasest[[#This Row],[autor_es]],autorest[autor_es],autorest[autor_la])</f>
        <v>Sententia Vasconica</v>
      </c>
      <c r="G792" s="6" t="str">
        <f>_xlfn.XLOOKUP(frasest[[#This Row],[autor_es]],autorest[autor_es],autorest[bio_es])</f>
        <v>Proverbios de la tradición oral vasca que reflejan la relación con la naturaleza, el trabajo y los valores comunitarios del pueblo vasco.</v>
      </c>
      <c r="H792" s="6" t="str">
        <f>_xlfn.XLOOKUP(frasest[[#This Row],[autor_es]],autorest[autor_es],autorest[bio_la])</f>
        <v>Collectio sententiarum Vasconicarum.</v>
      </c>
      <c r="I792" t="str">
        <f>_xlfn.XLOOKUP(frasest[[#This Row],[autor_es]],autorest[autor_es],autorest[codigo])</f>
        <v>eu</v>
      </c>
      <c r="J792" t="str">
        <f>_xlfn.XLOOKUP(frasest[[#This Row],[autor_es]],autorest[autor_es],autorest[idioma_es])</f>
        <v>Euskara</v>
      </c>
      <c r="K792" s="6" t="str">
        <f>_xlfn.XLOOKUP(frasest[[#This Row],[autor_es]],autorest[autor_es],autorest[idioma_la])</f>
        <v>Lingua Vasconica</v>
      </c>
      <c r="L792" s="6" t="str">
        <f>_xlfn.XLOOKUP(frasest[[#This Row],[autor_es]],autorest[autor_es],autorest[nacion_es])</f>
        <v>España</v>
      </c>
      <c r="M792" t="str">
        <f>_xlfn.XLOOKUP(frasest[[#This Row],[autor_es]],autorest[autor_es],autorest[nacion_la])</f>
        <v>Hispania</v>
      </c>
      <c r="N792" t="str">
        <f>_xlfn.XLOOKUP(frasest[[#This Row],[autor_es]],autorest[autor_es],autorest[epoca_es])</f>
        <v>Epoca Desconocida</v>
      </c>
      <c r="O792" t="str">
        <f>_xlfn.XLOOKUP(frasest[[#This Row],[autor_es]],autorest[autor_es],autorest[epoca_la])</f>
        <v>Epocha Ignota</v>
      </c>
    </row>
    <row r="793" spans="1:15">
      <c r="A793">
        <v>792</v>
      </c>
      <c r="B793" t="s">
        <v>2227</v>
      </c>
      <c r="C793" t="s">
        <v>2228</v>
      </c>
      <c r="D793" t="s">
        <v>2229</v>
      </c>
      <c r="E793" t="s">
        <v>995</v>
      </c>
      <c r="F793" t="str">
        <f>_xlfn.XLOOKUP(frasest[[#This Row],[autor_es]],autorest[autor_es],autorest[autor_la])</f>
        <v>Sententia Vasconica</v>
      </c>
      <c r="G793" s="6" t="str">
        <f>_xlfn.XLOOKUP(frasest[[#This Row],[autor_es]],autorest[autor_es],autorest[bio_es])</f>
        <v>Proverbios de la tradición oral vasca que reflejan la relación con la naturaleza, el trabajo y los valores comunitarios del pueblo vasco.</v>
      </c>
      <c r="H793" s="6" t="str">
        <f>_xlfn.XLOOKUP(frasest[[#This Row],[autor_es]],autorest[autor_es],autorest[bio_la])</f>
        <v>Collectio sententiarum Vasconicarum.</v>
      </c>
      <c r="I793" t="str">
        <f>_xlfn.XLOOKUP(frasest[[#This Row],[autor_es]],autorest[autor_es],autorest[codigo])</f>
        <v>eu</v>
      </c>
      <c r="J793" t="str">
        <f>_xlfn.XLOOKUP(frasest[[#This Row],[autor_es]],autorest[autor_es],autorest[idioma_es])</f>
        <v>Euskara</v>
      </c>
      <c r="K793" s="6" t="str">
        <f>_xlfn.XLOOKUP(frasest[[#This Row],[autor_es]],autorest[autor_es],autorest[idioma_la])</f>
        <v>Lingua Vasconica</v>
      </c>
      <c r="L793" s="6" t="str">
        <f>_xlfn.XLOOKUP(frasest[[#This Row],[autor_es]],autorest[autor_es],autorest[nacion_es])</f>
        <v>España</v>
      </c>
      <c r="M793" t="str">
        <f>_xlfn.XLOOKUP(frasest[[#This Row],[autor_es]],autorest[autor_es],autorest[nacion_la])</f>
        <v>Hispania</v>
      </c>
      <c r="N793" t="str">
        <f>_xlfn.XLOOKUP(frasest[[#This Row],[autor_es]],autorest[autor_es],autorest[epoca_es])</f>
        <v>Epoca Desconocida</v>
      </c>
      <c r="O793" t="str">
        <f>_xlfn.XLOOKUP(frasest[[#This Row],[autor_es]],autorest[autor_es],autorest[epoca_la])</f>
        <v>Epocha Ignota</v>
      </c>
    </row>
    <row r="794" spans="1:15">
      <c r="A794">
        <v>793</v>
      </c>
      <c r="B794" t="s">
        <v>2230</v>
      </c>
      <c r="C794" t="s">
        <v>2231</v>
      </c>
      <c r="D794" t="s">
        <v>2232</v>
      </c>
      <c r="E794" t="s">
        <v>995</v>
      </c>
      <c r="F794" t="str">
        <f>_xlfn.XLOOKUP(frasest[[#This Row],[autor_es]],autorest[autor_es],autorest[autor_la])</f>
        <v>Sententia Vasconica</v>
      </c>
      <c r="G794" s="6" t="str">
        <f>_xlfn.XLOOKUP(frasest[[#This Row],[autor_es]],autorest[autor_es],autorest[bio_es])</f>
        <v>Proverbios de la tradición oral vasca que reflejan la relación con la naturaleza, el trabajo y los valores comunitarios del pueblo vasco.</v>
      </c>
      <c r="H794" s="6" t="str">
        <f>_xlfn.XLOOKUP(frasest[[#This Row],[autor_es]],autorest[autor_es],autorest[bio_la])</f>
        <v>Collectio sententiarum Vasconicarum.</v>
      </c>
      <c r="I794" t="str">
        <f>_xlfn.XLOOKUP(frasest[[#This Row],[autor_es]],autorest[autor_es],autorest[codigo])</f>
        <v>eu</v>
      </c>
      <c r="J794" t="str">
        <f>_xlfn.XLOOKUP(frasest[[#This Row],[autor_es]],autorest[autor_es],autorest[idioma_es])</f>
        <v>Euskara</v>
      </c>
      <c r="K794" s="6" t="str">
        <f>_xlfn.XLOOKUP(frasest[[#This Row],[autor_es]],autorest[autor_es],autorest[idioma_la])</f>
        <v>Lingua Vasconica</v>
      </c>
      <c r="L794" s="6" t="str">
        <f>_xlfn.XLOOKUP(frasest[[#This Row],[autor_es]],autorest[autor_es],autorest[nacion_es])</f>
        <v>España</v>
      </c>
      <c r="M794" t="str">
        <f>_xlfn.XLOOKUP(frasest[[#This Row],[autor_es]],autorest[autor_es],autorest[nacion_la])</f>
        <v>Hispania</v>
      </c>
      <c r="N794" t="str">
        <f>_xlfn.XLOOKUP(frasest[[#This Row],[autor_es]],autorest[autor_es],autorest[epoca_es])</f>
        <v>Epoca Desconocida</v>
      </c>
      <c r="O794" t="str">
        <f>_xlfn.XLOOKUP(frasest[[#This Row],[autor_es]],autorest[autor_es],autorest[epoca_la])</f>
        <v>Epocha Ignota</v>
      </c>
    </row>
    <row r="795" spans="1:15">
      <c r="A795">
        <v>794</v>
      </c>
      <c r="B795" t="s">
        <v>2233</v>
      </c>
      <c r="C795" t="s">
        <v>2234</v>
      </c>
      <c r="D795" t="s">
        <v>2235</v>
      </c>
      <c r="E795" t="s">
        <v>995</v>
      </c>
      <c r="F795" t="str">
        <f>_xlfn.XLOOKUP(frasest[[#This Row],[autor_es]],autorest[autor_es],autorest[autor_la])</f>
        <v>Sententia Vasconica</v>
      </c>
      <c r="G795" s="6" t="str">
        <f>_xlfn.XLOOKUP(frasest[[#This Row],[autor_es]],autorest[autor_es],autorest[bio_es])</f>
        <v>Proverbios de la tradición oral vasca que reflejan la relación con la naturaleza, el trabajo y los valores comunitarios del pueblo vasco.</v>
      </c>
      <c r="H795" s="6" t="str">
        <f>_xlfn.XLOOKUP(frasest[[#This Row],[autor_es]],autorest[autor_es],autorest[bio_la])</f>
        <v>Collectio sententiarum Vasconicarum.</v>
      </c>
      <c r="I795" t="str">
        <f>_xlfn.XLOOKUP(frasest[[#This Row],[autor_es]],autorest[autor_es],autorest[codigo])</f>
        <v>eu</v>
      </c>
      <c r="J795" t="str">
        <f>_xlfn.XLOOKUP(frasest[[#This Row],[autor_es]],autorest[autor_es],autorest[idioma_es])</f>
        <v>Euskara</v>
      </c>
      <c r="K795" s="6" t="str">
        <f>_xlfn.XLOOKUP(frasest[[#This Row],[autor_es]],autorest[autor_es],autorest[idioma_la])</f>
        <v>Lingua Vasconica</v>
      </c>
      <c r="L795" s="6" t="str">
        <f>_xlfn.XLOOKUP(frasest[[#This Row],[autor_es]],autorest[autor_es],autorest[nacion_es])</f>
        <v>España</v>
      </c>
      <c r="M795" t="str">
        <f>_xlfn.XLOOKUP(frasest[[#This Row],[autor_es]],autorest[autor_es],autorest[nacion_la])</f>
        <v>Hispania</v>
      </c>
      <c r="N795" t="str">
        <f>_xlfn.XLOOKUP(frasest[[#This Row],[autor_es]],autorest[autor_es],autorest[epoca_es])</f>
        <v>Epoca Desconocida</v>
      </c>
      <c r="O795" t="str">
        <f>_xlfn.XLOOKUP(frasest[[#This Row],[autor_es]],autorest[autor_es],autorest[epoca_la])</f>
        <v>Epocha Ignota</v>
      </c>
    </row>
    <row r="796" spans="1:15">
      <c r="A796">
        <v>795</v>
      </c>
      <c r="B796" t="s">
        <v>2236</v>
      </c>
      <c r="C796" t="s">
        <v>2237</v>
      </c>
      <c r="D796" t="s">
        <v>2238</v>
      </c>
      <c r="E796" t="s">
        <v>995</v>
      </c>
      <c r="F796" t="str">
        <f>_xlfn.XLOOKUP(frasest[[#This Row],[autor_es]],autorest[autor_es],autorest[autor_la])</f>
        <v>Sententia Vasconica</v>
      </c>
      <c r="G796" s="6" t="str">
        <f>_xlfn.XLOOKUP(frasest[[#This Row],[autor_es]],autorest[autor_es],autorest[bio_es])</f>
        <v>Proverbios de la tradición oral vasca que reflejan la relación con la naturaleza, el trabajo y los valores comunitarios del pueblo vasco.</v>
      </c>
      <c r="H796" s="6" t="str">
        <f>_xlfn.XLOOKUP(frasest[[#This Row],[autor_es]],autorest[autor_es],autorest[bio_la])</f>
        <v>Collectio sententiarum Vasconicarum.</v>
      </c>
      <c r="I796" t="str">
        <f>_xlfn.XLOOKUP(frasest[[#This Row],[autor_es]],autorest[autor_es],autorest[codigo])</f>
        <v>eu</v>
      </c>
      <c r="J796" t="str">
        <f>_xlfn.XLOOKUP(frasest[[#This Row],[autor_es]],autorest[autor_es],autorest[idioma_es])</f>
        <v>Euskara</v>
      </c>
      <c r="K796" s="6" t="str">
        <f>_xlfn.XLOOKUP(frasest[[#This Row],[autor_es]],autorest[autor_es],autorest[idioma_la])</f>
        <v>Lingua Vasconica</v>
      </c>
      <c r="L796" s="6" t="str">
        <f>_xlfn.XLOOKUP(frasest[[#This Row],[autor_es]],autorest[autor_es],autorest[nacion_es])</f>
        <v>España</v>
      </c>
      <c r="M796" t="str">
        <f>_xlfn.XLOOKUP(frasest[[#This Row],[autor_es]],autorest[autor_es],autorest[nacion_la])</f>
        <v>Hispania</v>
      </c>
      <c r="N796" t="str">
        <f>_xlfn.XLOOKUP(frasest[[#This Row],[autor_es]],autorest[autor_es],autorest[epoca_es])</f>
        <v>Epoca Desconocida</v>
      </c>
      <c r="O796" t="str">
        <f>_xlfn.XLOOKUP(frasest[[#This Row],[autor_es]],autorest[autor_es],autorest[epoca_la])</f>
        <v>Epocha Ignota</v>
      </c>
    </row>
    <row r="797" spans="1:15">
      <c r="A797">
        <v>796</v>
      </c>
      <c r="B797" t="s">
        <v>2239</v>
      </c>
      <c r="C797" t="s">
        <v>2240</v>
      </c>
      <c r="D797" t="s">
        <v>2241</v>
      </c>
      <c r="E797" t="s">
        <v>995</v>
      </c>
      <c r="F797" t="str">
        <f>_xlfn.XLOOKUP(frasest[[#This Row],[autor_es]],autorest[autor_es],autorest[autor_la])</f>
        <v>Sententia Vasconica</v>
      </c>
      <c r="G797" s="6" t="str">
        <f>_xlfn.XLOOKUP(frasest[[#This Row],[autor_es]],autorest[autor_es],autorest[bio_es])</f>
        <v>Proverbios de la tradición oral vasca que reflejan la relación con la naturaleza, el trabajo y los valores comunitarios del pueblo vasco.</v>
      </c>
      <c r="H797" s="6" t="str">
        <f>_xlfn.XLOOKUP(frasest[[#This Row],[autor_es]],autorest[autor_es],autorest[bio_la])</f>
        <v>Collectio sententiarum Vasconicarum.</v>
      </c>
      <c r="I797" t="str">
        <f>_xlfn.XLOOKUP(frasest[[#This Row],[autor_es]],autorest[autor_es],autorest[codigo])</f>
        <v>eu</v>
      </c>
      <c r="J797" t="str">
        <f>_xlfn.XLOOKUP(frasest[[#This Row],[autor_es]],autorest[autor_es],autorest[idioma_es])</f>
        <v>Euskara</v>
      </c>
      <c r="K797" s="6" t="str">
        <f>_xlfn.XLOOKUP(frasest[[#This Row],[autor_es]],autorest[autor_es],autorest[idioma_la])</f>
        <v>Lingua Vasconica</v>
      </c>
      <c r="L797" s="6" t="str">
        <f>_xlfn.XLOOKUP(frasest[[#This Row],[autor_es]],autorest[autor_es],autorest[nacion_es])</f>
        <v>España</v>
      </c>
      <c r="M797" t="str">
        <f>_xlfn.XLOOKUP(frasest[[#This Row],[autor_es]],autorest[autor_es],autorest[nacion_la])</f>
        <v>Hispania</v>
      </c>
      <c r="N797" t="str">
        <f>_xlfn.XLOOKUP(frasest[[#This Row],[autor_es]],autorest[autor_es],autorest[epoca_es])</f>
        <v>Epoca Desconocida</v>
      </c>
      <c r="O797" t="str">
        <f>_xlfn.XLOOKUP(frasest[[#This Row],[autor_es]],autorest[autor_es],autorest[epoca_la])</f>
        <v>Epocha Ignota</v>
      </c>
    </row>
    <row r="798" spans="1:15">
      <c r="A798">
        <v>797</v>
      </c>
      <c r="B798" t="s">
        <v>2242</v>
      </c>
      <c r="C798" t="s">
        <v>2243</v>
      </c>
      <c r="D798" t="s">
        <v>2244</v>
      </c>
      <c r="E798" t="s">
        <v>995</v>
      </c>
      <c r="F798" t="str">
        <f>_xlfn.XLOOKUP(frasest[[#This Row],[autor_es]],autorest[autor_es],autorest[autor_la])</f>
        <v>Sententia Vasconica</v>
      </c>
      <c r="G798" s="6" t="str">
        <f>_xlfn.XLOOKUP(frasest[[#This Row],[autor_es]],autorest[autor_es],autorest[bio_es])</f>
        <v>Proverbios de la tradición oral vasca que reflejan la relación con la naturaleza, el trabajo y los valores comunitarios del pueblo vasco.</v>
      </c>
      <c r="H798" s="6" t="str">
        <f>_xlfn.XLOOKUP(frasest[[#This Row],[autor_es]],autorest[autor_es],autorest[bio_la])</f>
        <v>Collectio sententiarum Vasconicarum.</v>
      </c>
      <c r="I798" t="str">
        <f>_xlfn.XLOOKUP(frasest[[#This Row],[autor_es]],autorest[autor_es],autorest[codigo])</f>
        <v>eu</v>
      </c>
      <c r="J798" t="str">
        <f>_xlfn.XLOOKUP(frasest[[#This Row],[autor_es]],autorest[autor_es],autorest[idioma_es])</f>
        <v>Euskara</v>
      </c>
      <c r="K798" s="6" t="str">
        <f>_xlfn.XLOOKUP(frasest[[#This Row],[autor_es]],autorest[autor_es],autorest[idioma_la])</f>
        <v>Lingua Vasconica</v>
      </c>
      <c r="L798" s="6" t="str">
        <f>_xlfn.XLOOKUP(frasest[[#This Row],[autor_es]],autorest[autor_es],autorest[nacion_es])</f>
        <v>España</v>
      </c>
      <c r="M798" t="str">
        <f>_xlfn.XLOOKUP(frasest[[#This Row],[autor_es]],autorest[autor_es],autorest[nacion_la])</f>
        <v>Hispania</v>
      </c>
      <c r="N798" t="str">
        <f>_xlfn.XLOOKUP(frasest[[#This Row],[autor_es]],autorest[autor_es],autorest[epoca_es])</f>
        <v>Epoca Desconocida</v>
      </c>
      <c r="O798" t="str">
        <f>_xlfn.XLOOKUP(frasest[[#This Row],[autor_es]],autorest[autor_es],autorest[epoca_la])</f>
        <v>Epocha Ignota</v>
      </c>
    </row>
    <row r="799" spans="1:15">
      <c r="A799">
        <v>798</v>
      </c>
      <c r="B799" t="s">
        <v>2245</v>
      </c>
      <c r="C799" t="s">
        <v>2246</v>
      </c>
      <c r="D799" t="s">
        <v>2247</v>
      </c>
      <c r="E799" t="s">
        <v>995</v>
      </c>
      <c r="F799" t="str">
        <f>_xlfn.XLOOKUP(frasest[[#This Row],[autor_es]],autorest[autor_es],autorest[autor_la])</f>
        <v>Sententia Vasconica</v>
      </c>
      <c r="G799" s="6" t="str">
        <f>_xlfn.XLOOKUP(frasest[[#This Row],[autor_es]],autorest[autor_es],autorest[bio_es])</f>
        <v>Proverbios de la tradición oral vasca que reflejan la relación con la naturaleza, el trabajo y los valores comunitarios del pueblo vasco.</v>
      </c>
      <c r="H799" s="6" t="str">
        <f>_xlfn.XLOOKUP(frasest[[#This Row],[autor_es]],autorest[autor_es],autorest[bio_la])</f>
        <v>Collectio sententiarum Vasconicarum.</v>
      </c>
      <c r="I799" t="str">
        <f>_xlfn.XLOOKUP(frasest[[#This Row],[autor_es]],autorest[autor_es],autorest[codigo])</f>
        <v>eu</v>
      </c>
      <c r="J799" t="str">
        <f>_xlfn.XLOOKUP(frasest[[#This Row],[autor_es]],autorest[autor_es],autorest[idioma_es])</f>
        <v>Euskara</v>
      </c>
      <c r="K799" s="6" t="str">
        <f>_xlfn.XLOOKUP(frasest[[#This Row],[autor_es]],autorest[autor_es],autorest[idioma_la])</f>
        <v>Lingua Vasconica</v>
      </c>
      <c r="L799" s="6" t="str">
        <f>_xlfn.XLOOKUP(frasest[[#This Row],[autor_es]],autorest[autor_es],autorest[nacion_es])</f>
        <v>España</v>
      </c>
      <c r="M799" t="str">
        <f>_xlfn.XLOOKUP(frasest[[#This Row],[autor_es]],autorest[autor_es],autorest[nacion_la])</f>
        <v>Hispania</v>
      </c>
      <c r="N799" t="str">
        <f>_xlfn.XLOOKUP(frasest[[#This Row],[autor_es]],autorest[autor_es],autorest[epoca_es])</f>
        <v>Epoca Desconocida</v>
      </c>
      <c r="O799" t="str">
        <f>_xlfn.XLOOKUP(frasest[[#This Row],[autor_es]],autorest[autor_es],autorest[epoca_la])</f>
        <v>Epocha Ignota</v>
      </c>
    </row>
    <row r="800" spans="1:15">
      <c r="A800">
        <v>799</v>
      </c>
      <c r="B800" t="s">
        <v>2248</v>
      </c>
      <c r="C800" t="s">
        <v>2249</v>
      </c>
      <c r="D800" t="s">
        <v>2250</v>
      </c>
      <c r="E800" t="s">
        <v>995</v>
      </c>
      <c r="F800" t="str">
        <f>_xlfn.XLOOKUP(frasest[[#This Row],[autor_es]],autorest[autor_es],autorest[autor_la])</f>
        <v>Sententia Vasconica</v>
      </c>
      <c r="G800" s="6" t="str">
        <f>_xlfn.XLOOKUP(frasest[[#This Row],[autor_es]],autorest[autor_es],autorest[bio_es])</f>
        <v>Proverbios de la tradición oral vasca que reflejan la relación con la naturaleza, el trabajo y los valores comunitarios del pueblo vasco.</v>
      </c>
      <c r="H800" s="6" t="str">
        <f>_xlfn.XLOOKUP(frasest[[#This Row],[autor_es]],autorest[autor_es],autorest[bio_la])</f>
        <v>Collectio sententiarum Vasconicarum.</v>
      </c>
      <c r="I800" t="str">
        <f>_xlfn.XLOOKUP(frasest[[#This Row],[autor_es]],autorest[autor_es],autorest[codigo])</f>
        <v>eu</v>
      </c>
      <c r="J800" t="str">
        <f>_xlfn.XLOOKUP(frasest[[#This Row],[autor_es]],autorest[autor_es],autorest[idioma_es])</f>
        <v>Euskara</v>
      </c>
      <c r="K800" s="6" t="str">
        <f>_xlfn.XLOOKUP(frasest[[#This Row],[autor_es]],autorest[autor_es],autorest[idioma_la])</f>
        <v>Lingua Vasconica</v>
      </c>
      <c r="L800" s="6" t="str">
        <f>_xlfn.XLOOKUP(frasest[[#This Row],[autor_es]],autorest[autor_es],autorest[nacion_es])</f>
        <v>España</v>
      </c>
      <c r="M800" t="str">
        <f>_xlfn.XLOOKUP(frasest[[#This Row],[autor_es]],autorest[autor_es],autorest[nacion_la])</f>
        <v>Hispania</v>
      </c>
      <c r="N800" t="str">
        <f>_xlfn.XLOOKUP(frasest[[#This Row],[autor_es]],autorest[autor_es],autorest[epoca_es])</f>
        <v>Epoca Desconocida</v>
      </c>
      <c r="O800" t="str">
        <f>_xlfn.XLOOKUP(frasest[[#This Row],[autor_es]],autorest[autor_es],autorest[epoca_la])</f>
        <v>Epocha Ignota</v>
      </c>
    </row>
    <row r="801" spans="1:15">
      <c r="A801">
        <v>800</v>
      </c>
      <c r="B801" t="s">
        <v>2251</v>
      </c>
      <c r="C801" t="s">
        <v>2252</v>
      </c>
      <c r="D801" t="s">
        <v>2253</v>
      </c>
      <c r="E801" t="s">
        <v>995</v>
      </c>
      <c r="F801" t="str">
        <f>_xlfn.XLOOKUP(frasest[[#This Row],[autor_es]],autorest[autor_es],autorest[autor_la])</f>
        <v>Sententia Vasconica</v>
      </c>
      <c r="G801" s="6" t="str">
        <f>_xlfn.XLOOKUP(frasest[[#This Row],[autor_es]],autorest[autor_es],autorest[bio_es])</f>
        <v>Proverbios de la tradición oral vasca que reflejan la relación con la naturaleza, el trabajo y los valores comunitarios del pueblo vasco.</v>
      </c>
      <c r="H801" s="6" t="str">
        <f>_xlfn.XLOOKUP(frasest[[#This Row],[autor_es]],autorest[autor_es],autorest[bio_la])</f>
        <v>Collectio sententiarum Vasconicarum.</v>
      </c>
      <c r="I801" t="str">
        <f>_xlfn.XLOOKUP(frasest[[#This Row],[autor_es]],autorest[autor_es],autorest[codigo])</f>
        <v>eu</v>
      </c>
      <c r="J801" t="str">
        <f>_xlfn.XLOOKUP(frasest[[#This Row],[autor_es]],autorest[autor_es],autorest[idioma_es])</f>
        <v>Euskara</v>
      </c>
      <c r="K801" s="6" t="str">
        <f>_xlfn.XLOOKUP(frasest[[#This Row],[autor_es]],autorest[autor_es],autorest[idioma_la])</f>
        <v>Lingua Vasconica</v>
      </c>
      <c r="L801" s="6" t="str">
        <f>_xlfn.XLOOKUP(frasest[[#This Row],[autor_es]],autorest[autor_es],autorest[nacion_es])</f>
        <v>España</v>
      </c>
      <c r="M801" t="str">
        <f>_xlfn.XLOOKUP(frasest[[#This Row],[autor_es]],autorest[autor_es],autorest[nacion_la])</f>
        <v>Hispania</v>
      </c>
      <c r="N801" t="str">
        <f>_xlfn.XLOOKUP(frasest[[#This Row],[autor_es]],autorest[autor_es],autorest[epoca_es])</f>
        <v>Epoca Desconocida</v>
      </c>
      <c r="O801" t="str">
        <f>_xlfn.XLOOKUP(frasest[[#This Row],[autor_es]],autorest[autor_es],autorest[epoca_la])</f>
        <v>Epocha Ignota</v>
      </c>
    </row>
    <row r="802" spans="1:15">
      <c r="A802">
        <v>801</v>
      </c>
      <c r="B802" t="s">
        <v>2254</v>
      </c>
      <c r="C802" t="s">
        <v>2255</v>
      </c>
      <c r="D802" t="s">
        <v>2256</v>
      </c>
      <c r="E802" t="s">
        <v>995</v>
      </c>
      <c r="F802" t="str">
        <f>_xlfn.XLOOKUP(frasest[[#This Row],[autor_es]],autorest[autor_es],autorest[autor_la])</f>
        <v>Sententia Vasconica</v>
      </c>
      <c r="G802" s="6" t="str">
        <f>_xlfn.XLOOKUP(frasest[[#This Row],[autor_es]],autorest[autor_es],autorest[bio_es])</f>
        <v>Proverbios de la tradición oral vasca que reflejan la relación con la naturaleza, el trabajo y los valores comunitarios del pueblo vasco.</v>
      </c>
      <c r="H802" s="6" t="str">
        <f>_xlfn.XLOOKUP(frasest[[#This Row],[autor_es]],autorest[autor_es],autorest[bio_la])</f>
        <v>Collectio sententiarum Vasconicarum.</v>
      </c>
      <c r="I802" t="str">
        <f>_xlfn.XLOOKUP(frasest[[#This Row],[autor_es]],autorest[autor_es],autorest[codigo])</f>
        <v>eu</v>
      </c>
      <c r="J802" t="str">
        <f>_xlfn.XLOOKUP(frasest[[#This Row],[autor_es]],autorest[autor_es],autorest[idioma_es])</f>
        <v>Euskara</v>
      </c>
      <c r="K802" s="6" t="str">
        <f>_xlfn.XLOOKUP(frasest[[#This Row],[autor_es]],autorest[autor_es],autorest[idioma_la])</f>
        <v>Lingua Vasconica</v>
      </c>
      <c r="L802" s="6" t="str">
        <f>_xlfn.XLOOKUP(frasest[[#This Row],[autor_es]],autorest[autor_es],autorest[nacion_es])</f>
        <v>España</v>
      </c>
      <c r="M802" t="str">
        <f>_xlfn.XLOOKUP(frasest[[#This Row],[autor_es]],autorest[autor_es],autorest[nacion_la])</f>
        <v>Hispania</v>
      </c>
      <c r="N802" t="str">
        <f>_xlfn.XLOOKUP(frasest[[#This Row],[autor_es]],autorest[autor_es],autorest[epoca_es])</f>
        <v>Epoca Desconocida</v>
      </c>
      <c r="O802" t="str">
        <f>_xlfn.XLOOKUP(frasest[[#This Row],[autor_es]],autorest[autor_es],autorest[epoca_la])</f>
        <v>Epocha Ignota</v>
      </c>
    </row>
    <row r="803" spans="1:15">
      <c r="A803">
        <v>802</v>
      </c>
      <c r="B803" t="s">
        <v>2257</v>
      </c>
      <c r="C803" t="s">
        <v>2258</v>
      </c>
      <c r="D803" t="s">
        <v>2259</v>
      </c>
      <c r="E803" t="s">
        <v>995</v>
      </c>
      <c r="F803" t="str">
        <f>_xlfn.XLOOKUP(frasest[[#This Row],[autor_es]],autorest[autor_es],autorest[autor_la])</f>
        <v>Sententia Vasconica</v>
      </c>
      <c r="G803" s="6" t="str">
        <f>_xlfn.XLOOKUP(frasest[[#This Row],[autor_es]],autorest[autor_es],autorest[bio_es])</f>
        <v>Proverbios de la tradición oral vasca que reflejan la relación con la naturaleza, el trabajo y los valores comunitarios del pueblo vasco.</v>
      </c>
      <c r="H803" s="6" t="str">
        <f>_xlfn.XLOOKUP(frasest[[#This Row],[autor_es]],autorest[autor_es],autorest[bio_la])</f>
        <v>Collectio sententiarum Vasconicarum.</v>
      </c>
      <c r="I803" t="str">
        <f>_xlfn.XLOOKUP(frasest[[#This Row],[autor_es]],autorest[autor_es],autorest[codigo])</f>
        <v>eu</v>
      </c>
      <c r="J803" t="str">
        <f>_xlfn.XLOOKUP(frasest[[#This Row],[autor_es]],autorest[autor_es],autorest[idioma_es])</f>
        <v>Euskara</v>
      </c>
      <c r="K803" s="6" t="str">
        <f>_xlfn.XLOOKUP(frasest[[#This Row],[autor_es]],autorest[autor_es],autorest[idioma_la])</f>
        <v>Lingua Vasconica</v>
      </c>
      <c r="L803" s="6" t="str">
        <f>_xlfn.XLOOKUP(frasest[[#This Row],[autor_es]],autorest[autor_es],autorest[nacion_es])</f>
        <v>España</v>
      </c>
      <c r="M803" t="str">
        <f>_xlfn.XLOOKUP(frasest[[#This Row],[autor_es]],autorest[autor_es],autorest[nacion_la])</f>
        <v>Hispania</v>
      </c>
      <c r="N803" t="str">
        <f>_xlfn.XLOOKUP(frasest[[#This Row],[autor_es]],autorest[autor_es],autorest[epoca_es])</f>
        <v>Epoca Desconocida</v>
      </c>
      <c r="O803" t="str">
        <f>_xlfn.XLOOKUP(frasest[[#This Row],[autor_es]],autorest[autor_es],autorest[epoca_la])</f>
        <v>Epocha Ignota</v>
      </c>
    </row>
    <row r="804" spans="1:15">
      <c r="A804">
        <v>803</v>
      </c>
      <c r="B804" t="s">
        <v>2260</v>
      </c>
      <c r="C804" t="s">
        <v>2261</v>
      </c>
      <c r="D804" t="s">
        <v>2262</v>
      </c>
      <c r="E804" t="s">
        <v>995</v>
      </c>
      <c r="F804" t="str">
        <f>_xlfn.XLOOKUP(frasest[[#This Row],[autor_es]],autorest[autor_es],autorest[autor_la])</f>
        <v>Sententia Vasconica</v>
      </c>
      <c r="G804" s="6" t="str">
        <f>_xlfn.XLOOKUP(frasest[[#This Row],[autor_es]],autorest[autor_es],autorest[bio_es])</f>
        <v>Proverbios de la tradición oral vasca que reflejan la relación con la naturaleza, el trabajo y los valores comunitarios del pueblo vasco.</v>
      </c>
      <c r="H804" s="6" t="str">
        <f>_xlfn.XLOOKUP(frasest[[#This Row],[autor_es]],autorest[autor_es],autorest[bio_la])</f>
        <v>Collectio sententiarum Vasconicarum.</v>
      </c>
      <c r="I804" t="str">
        <f>_xlfn.XLOOKUP(frasest[[#This Row],[autor_es]],autorest[autor_es],autorest[codigo])</f>
        <v>eu</v>
      </c>
      <c r="J804" t="str">
        <f>_xlfn.XLOOKUP(frasest[[#This Row],[autor_es]],autorest[autor_es],autorest[idioma_es])</f>
        <v>Euskara</v>
      </c>
      <c r="K804" s="6" t="str">
        <f>_xlfn.XLOOKUP(frasest[[#This Row],[autor_es]],autorest[autor_es],autorest[idioma_la])</f>
        <v>Lingua Vasconica</v>
      </c>
      <c r="L804" s="6" t="str">
        <f>_xlfn.XLOOKUP(frasest[[#This Row],[autor_es]],autorest[autor_es],autorest[nacion_es])</f>
        <v>España</v>
      </c>
      <c r="M804" t="str">
        <f>_xlfn.XLOOKUP(frasest[[#This Row],[autor_es]],autorest[autor_es],autorest[nacion_la])</f>
        <v>Hispania</v>
      </c>
      <c r="N804" t="str">
        <f>_xlfn.XLOOKUP(frasest[[#This Row],[autor_es]],autorest[autor_es],autorest[epoca_es])</f>
        <v>Epoca Desconocida</v>
      </c>
      <c r="O804" t="str">
        <f>_xlfn.XLOOKUP(frasest[[#This Row],[autor_es]],autorest[autor_es],autorest[epoca_la])</f>
        <v>Epocha Ignota</v>
      </c>
    </row>
    <row r="805" spans="1:15">
      <c r="A805">
        <v>804</v>
      </c>
      <c r="B805" t="s">
        <v>2263</v>
      </c>
      <c r="C805" t="s">
        <v>2264</v>
      </c>
      <c r="D805" t="s">
        <v>2265</v>
      </c>
      <c r="E805" t="s">
        <v>995</v>
      </c>
      <c r="F805" t="str">
        <f>_xlfn.XLOOKUP(frasest[[#This Row],[autor_es]],autorest[autor_es],autorest[autor_la])</f>
        <v>Sententia Vasconica</v>
      </c>
      <c r="G805" s="6" t="str">
        <f>_xlfn.XLOOKUP(frasest[[#This Row],[autor_es]],autorest[autor_es],autorest[bio_es])</f>
        <v>Proverbios de la tradición oral vasca que reflejan la relación con la naturaleza, el trabajo y los valores comunitarios del pueblo vasco.</v>
      </c>
      <c r="H805" s="6" t="str">
        <f>_xlfn.XLOOKUP(frasest[[#This Row],[autor_es]],autorest[autor_es],autorest[bio_la])</f>
        <v>Collectio sententiarum Vasconicarum.</v>
      </c>
      <c r="I805" t="str">
        <f>_xlfn.XLOOKUP(frasest[[#This Row],[autor_es]],autorest[autor_es],autorest[codigo])</f>
        <v>eu</v>
      </c>
      <c r="J805" t="str">
        <f>_xlfn.XLOOKUP(frasest[[#This Row],[autor_es]],autorest[autor_es],autorest[idioma_es])</f>
        <v>Euskara</v>
      </c>
      <c r="K805" s="6" t="str">
        <f>_xlfn.XLOOKUP(frasest[[#This Row],[autor_es]],autorest[autor_es],autorest[idioma_la])</f>
        <v>Lingua Vasconica</v>
      </c>
      <c r="L805" s="6" t="str">
        <f>_xlfn.XLOOKUP(frasest[[#This Row],[autor_es]],autorest[autor_es],autorest[nacion_es])</f>
        <v>España</v>
      </c>
      <c r="M805" t="str">
        <f>_xlfn.XLOOKUP(frasest[[#This Row],[autor_es]],autorest[autor_es],autorest[nacion_la])</f>
        <v>Hispania</v>
      </c>
      <c r="N805" t="str">
        <f>_xlfn.XLOOKUP(frasest[[#This Row],[autor_es]],autorest[autor_es],autorest[epoca_es])</f>
        <v>Epoca Desconocida</v>
      </c>
      <c r="O805" t="str">
        <f>_xlfn.XLOOKUP(frasest[[#This Row],[autor_es]],autorest[autor_es],autorest[epoca_la])</f>
        <v>Epocha Ignota</v>
      </c>
    </row>
    <row r="806" spans="1:15">
      <c r="A806">
        <v>805</v>
      </c>
      <c r="B806" t="s">
        <v>2266</v>
      </c>
      <c r="C806" t="s">
        <v>2267</v>
      </c>
      <c r="D806" t="s">
        <v>2268</v>
      </c>
      <c r="E806" t="s">
        <v>995</v>
      </c>
      <c r="F806" t="str">
        <f>_xlfn.XLOOKUP(frasest[[#This Row],[autor_es]],autorest[autor_es],autorest[autor_la])</f>
        <v>Sententia Vasconica</v>
      </c>
      <c r="G806" s="6" t="str">
        <f>_xlfn.XLOOKUP(frasest[[#This Row],[autor_es]],autorest[autor_es],autorest[bio_es])</f>
        <v>Proverbios de la tradición oral vasca que reflejan la relación con la naturaleza, el trabajo y los valores comunitarios del pueblo vasco.</v>
      </c>
      <c r="H806" s="6" t="str">
        <f>_xlfn.XLOOKUP(frasest[[#This Row],[autor_es]],autorest[autor_es],autorest[bio_la])</f>
        <v>Collectio sententiarum Vasconicarum.</v>
      </c>
      <c r="I806" t="str">
        <f>_xlfn.XLOOKUP(frasest[[#This Row],[autor_es]],autorest[autor_es],autorest[codigo])</f>
        <v>eu</v>
      </c>
      <c r="J806" t="str">
        <f>_xlfn.XLOOKUP(frasest[[#This Row],[autor_es]],autorest[autor_es],autorest[idioma_es])</f>
        <v>Euskara</v>
      </c>
      <c r="K806" s="6" t="str">
        <f>_xlfn.XLOOKUP(frasest[[#This Row],[autor_es]],autorest[autor_es],autorest[idioma_la])</f>
        <v>Lingua Vasconica</v>
      </c>
      <c r="L806" s="6" t="str">
        <f>_xlfn.XLOOKUP(frasest[[#This Row],[autor_es]],autorest[autor_es],autorest[nacion_es])</f>
        <v>España</v>
      </c>
      <c r="M806" t="str">
        <f>_xlfn.XLOOKUP(frasest[[#This Row],[autor_es]],autorest[autor_es],autorest[nacion_la])</f>
        <v>Hispania</v>
      </c>
      <c r="N806" t="str">
        <f>_xlfn.XLOOKUP(frasest[[#This Row],[autor_es]],autorest[autor_es],autorest[epoca_es])</f>
        <v>Epoca Desconocida</v>
      </c>
      <c r="O806" t="str">
        <f>_xlfn.XLOOKUP(frasest[[#This Row],[autor_es]],autorest[autor_es],autorest[epoca_la])</f>
        <v>Epocha Ignota</v>
      </c>
    </row>
    <row r="807" spans="1:15">
      <c r="A807">
        <v>806</v>
      </c>
      <c r="B807" t="s">
        <v>2269</v>
      </c>
      <c r="C807" t="s">
        <v>2270</v>
      </c>
      <c r="D807" t="s">
        <v>2271</v>
      </c>
      <c r="E807" t="s">
        <v>995</v>
      </c>
      <c r="F807" t="str">
        <f>_xlfn.XLOOKUP(frasest[[#This Row],[autor_es]],autorest[autor_es],autorest[autor_la])</f>
        <v>Sententia Vasconica</v>
      </c>
      <c r="G807" s="6" t="str">
        <f>_xlfn.XLOOKUP(frasest[[#This Row],[autor_es]],autorest[autor_es],autorest[bio_es])</f>
        <v>Proverbios de la tradición oral vasca que reflejan la relación con la naturaleza, el trabajo y los valores comunitarios del pueblo vasco.</v>
      </c>
      <c r="H807" s="6" t="str">
        <f>_xlfn.XLOOKUP(frasest[[#This Row],[autor_es]],autorest[autor_es],autorest[bio_la])</f>
        <v>Collectio sententiarum Vasconicarum.</v>
      </c>
      <c r="I807" t="str">
        <f>_xlfn.XLOOKUP(frasest[[#This Row],[autor_es]],autorest[autor_es],autorest[codigo])</f>
        <v>eu</v>
      </c>
      <c r="J807" t="str">
        <f>_xlfn.XLOOKUP(frasest[[#This Row],[autor_es]],autorest[autor_es],autorest[idioma_es])</f>
        <v>Euskara</v>
      </c>
      <c r="K807" s="6" t="str">
        <f>_xlfn.XLOOKUP(frasest[[#This Row],[autor_es]],autorest[autor_es],autorest[idioma_la])</f>
        <v>Lingua Vasconica</v>
      </c>
      <c r="L807" s="6" t="str">
        <f>_xlfn.XLOOKUP(frasest[[#This Row],[autor_es]],autorest[autor_es],autorest[nacion_es])</f>
        <v>España</v>
      </c>
      <c r="M807" t="str">
        <f>_xlfn.XLOOKUP(frasest[[#This Row],[autor_es]],autorest[autor_es],autorest[nacion_la])</f>
        <v>Hispania</v>
      </c>
      <c r="N807" t="str">
        <f>_xlfn.XLOOKUP(frasest[[#This Row],[autor_es]],autorest[autor_es],autorest[epoca_es])</f>
        <v>Epoca Desconocida</v>
      </c>
      <c r="O807" t="str">
        <f>_xlfn.XLOOKUP(frasest[[#This Row],[autor_es]],autorest[autor_es],autorest[epoca_la])</f>
        <v>Epocha Ignota</v>
      </c>
    </row>
    <row r="808" spans="1:15">
      <c r="A808">
        <v>807</v>
      </c>
      <c r="B808" t="s">
        <v>2272</v>
      </c>
      <c r="C808" t="s">
        <v>2273</v>
      </c>
      <c r="D808" t="s">
        <v>2274</v>
      </c>
      <c r="E808" t="s">
        <v>995</v>
      </c>
      <c r="F808" t="str">
        <f>_xlfn.XLOOKUP(frasest[[#This Row],[autor_es]],autorest[autor_es],autorest[autor_la])</f>
        <v>Sententia Vasconica</v>
      </c>
      <c r="G808" s="6" t="str">
        <f>_xlfn.XLOOKUP(frasest[[#This Row],[autor_es]],autorest[autor_es],autorest[bio_es])</f>
        <v>Proverbios de la tradición oral vasca que reflejan la relación con la naturaleza, el trabajo y los valores comunitarios del pueblo vasco.</v>
      </c>
      <c r="H808" s="6" t="str">
        <f>_xlfn.XLOOKUP(frasest[[#This Row],[autor_es]],autorest[autor_es],autorest[bio_la])</f>
        <v>Collectio sententiarum Vasconicarum.</v>
      </c>
      <c r="I808" t="str">
        <f>_xlfn.XLOOKUP(frasest[[#This Row],[autor_es]],autorest[autor_es],autorest[codigo])</f>
        <v>eu</v>
      </c>
      <c r="J808" t="str">
        <f>_xlfn.XLOOKUP(frasest[[#This Row],[autor_es]],autorest[autor_es],autorest[idioma_es])</f>
        <v>Euskara</v>
      </c>
      <c r="K808" s="6" t="str">
        <f>_xlfn.XLOOKUP(frasest[[#This Row],[autor_es]],autorest[autor_es],autorest[idioma_la])</f>
        <v>Lingua Vasconica</v>
      </c>
      <c r="L808" s="6" t="str">
        <f>_xlfn.XLOOKUP(frasest[[#This Row],[autor_es]],autorest[autor_es],autorest[nacion_es])</f>
        <v>España</v>
      </c>
      <c r="M808" t="str">
        <f>_xlfn.XLOOKUP(frasest[[#This Row],[autor_es]],autorest[autor_es],autorest[nacion_la])</f>
        <v>Hispania</v>
      </c>
      <c r="N808" t="str">
        <f>_xlfn.XLOOKUP(frasest[[#This Row],[autor_es]],autorest[autor_es],autorest[epoca_es])</f>
        <v>Epoca Desconocida</v>
      </c>
      <c r="O808" t="str">
        <f>_xlfn.XLOOKUP(frasest[[#This Row],[autor_es]],autorest[autor_es],autorest[epoca_la])</f>
        <v>Epocha Ignota</v>
      </c>
    </row>
    <row r="809" spans="1:15">
      <c r="A809">
        <v>808</v>
      </c>
      <c r="B809" t="s">
        <v>2275</v>
      </c>
      <c r="C809" t="s">
        <v>2276</v>
      </c>
      <c r="D809" t="s">
        <v>2277</v>
      </c>
      <c r="E809" t="s">
        <v>995</v>
      </c>
      <c r="F809" t="str">
        <f>_xlfn.XLOOKUP(frasest[[#This Row],[autor_es]],autorest[autor_es],autorest[autor_la])</f>
        <v>Sententia Vasconica</v>
      </c>
      <c r="G809" s="6" t="str">
        <f>_xlfn.XLOOKUP(frasest[[#This Row],[autor_es]],autorest[autor_es],autorest[bio_es])</f>
        <v>Proverbios de la tradición oral vasca que reflejan la relación con la naturaleza, el trabajo y los valores comunitarios del pueblo vasco.</v>
      </c>
      <c r="H809" s="6" t="str">
        <f>_xlfn.XLOOKUP(frasest[[#This Row],[autor_es]],autorest[autor_es],autorest[bio_la])</f>
        <v>Collectio sententiarum Vasconicarum.</v>
      </c>
      <c r="I809" t="str">
        <f>_xlfn.XLOOKUP(frasest[[#This Row],[autor_es]],autorest[autor_es],autorest[codigo])</f>
        <v>eu</v>
      </c>
      <c r="J809" t="str">
        <f>_xlfn.XLOOKUP(frasest[[#This Row],[autor_es]],autorest[autor_es],autorest[idioma_es])</f>
        <v>Euskara</v>
      </c>
      <c r="K809" s="6" t="str">
        <f>_xlfn.XLOOKUP(frasest[[#This Row],[autor_es]],autorest[autor_es],autorest[idioma_la])</f>
        <v>Lingua Vasconica</v>
      </c>
      <c r="L809" s="6" t="str">
        <f>_xlfn.XLOOKUP(frasest[[#This Row],[autor_es]],autorest[autor_es],autorest[nacion_es])</f>
        <v>España</v>
      </c>
      <c r="M809" t="str">
        <f>_xlfn.XLOOKUP(frasest[[#This Row],[autor_es]],autorest[autor_es],autorest[nacion_la])</f>
        <v>Hispania</v>
      </c>
      <c r="N809" t="str">
        <f>_xlfn.XLOOKUP(frasest[[#This Row],[autor_es]],autorest[autor_es],autorest[epoca_es])</f>
        <v>Epoca Desconocida</v>
      </c>
      <c r="O809" t="str">
        <f>_xlfn.XLOOKUP(frasest[[#This Row],[autor_es]],autorest[autor_es],autorest[epoca_la])</f>
        <v>Epocha Ignota</v>
      </c>
    </row>
    <row r="810" spans="1:15">
      <c r="A810">
        <v>809</v>
      </c>
      <c r="B810" t="s">
        <v>2278</v>
      </c>
      <c r="C810" t="s">
        <v>2279</v>
      </c>
      <c r="D810" t="s">
        <v>2280</v>
      </c>
      <c r="E810" t="s">
        <v>995</v>
      </c>
      <c r="F810" t="str">
        <f>_xlfn.XLOOKUP(frasest[[#This Row],[autor_es]],autorest[autor_es],autorest[autor_la])</f>
        <v>Sententia Vasconica</v>
      </c>
      <c r="G810" s="6" t="str">
        <f>_xlfn.XLOOKUP(frasest[[#This Row],[autor_es]],autorest[autor_es],autorest[bio_es])</f>
        <v>Proverbios de la tradición oral vasca que reflejan la relación con la naturaleza, el trabajo y los valores comunitarios del pueblo vasco.</v>
      </c>
      <c r="H810" s="6" t="str">
        <f>_xlfn.XLOOKUP(frasest[[#This Row],[autor_es]],autorest[autor_es],autorest[bio_la])</f>
        <v>Collectio sententiarum Vasconicarum.</v>
      </c>
      <c r="I810" t="str">
        <f>_xlfn.XLOOKUP(frasest[[#This Row],[autor_es]],autorest[autor_es],autorest[codigo])</f>
        <v>eu</v>
      </c>
      <c r="J810" t="str">
        <f>_xlfn.XLOOKUP(frasest[[#This Row],[autor_es]],autorest[autor_es],autorest[idioma_es])</f>
        <v>Euskara</v>
      </c>
      <c r="K810" s="6" t="str">
        <f>_xlfn.XLOOKUP(frasest[[#This Row],[autor_es]],autorest[autor_es],autorest[idioma_la])</f>
        <v>Lingua Vasconica</v>
      </c>
      <c r="L810" s="6" t="str">
        <f>_xlfn.XLOOKUP(frasest[[#This Row],[autor_es]],autorest[autor_es],autorest[nacion_es])</f>
        <v>España</v>
      </c>
      <c r="M810" t="str">
        <f>_xlfn.XLOOKUP(frasest[[#This Row],[autor_es]],autorest[autor_es],autorest[nacion_la])</f>
        <v>Hispania</v>
      </c>
      <c r="N810" t="str">
        <f>_xlfn.XLOOKUP(frasest[[#This Row],[autor_es]],autorest[autor_es],autorest[epoca_es])</f>
        <v>Epoca Desconocida</v>
      </c>
      <c r="O810" t="str">
        <f>_xlfn.XLOOKUP(frasest[[#This Row],[autor_es]],autorest[autor_es],autorest[epoca_la])</f>
        <v>Epocha Ignota</v>
      </c>
    </row>
    <row r="811" spans="1:15">
      <c r="A811">
        <v>810</v>
      </c>
      <c r="B811" t="s">
        <v>2281</v>
      </c>
      <c r="C811" t="s">
        <v>2282</v>
      </c>
      <c r="D811" t="s">
        <v>2283</v>
      </c>
      <c r="E811" t="s">
        <v>995</v>
      </c>
      <c r="F811" t="str">
        <f>_xlfn.XLOOKUP(frasest[[#This Row],[autor_es]],autorest[autor_es],autorest[autor_la])</f>
        <v>Sententia Vasconica</v>
      </c>
      <c r="G811" s="6" t="str">
        <f>_xlfn.XLOOKUP(frasest[[#This Row],[autor_es]],autorest[autor_es],autorest[bio_es])</f>
        <v>Proverbios de la tradición oral vasca que reflejan la relación con la naturaleza, el trabajo y los valores comunitarios del pueblo vasco.</v>
      </c>
      <c r="H811" s="6" t="str">
        <f>_xlfn.XLOOKUP(frasest[[#This Row],[autor_es]],autorest[autor_es],autorest[bio_la])</f>
        <v>Collectio sententiarum Vasconicarum.</v>
      </c>
      <c r="I811" t="str">
        <f>_xlfn.XLOOKUP(frasest[[#This Row],[autor_es]],autorest[autor_es],autorest[codigo])</f>
        <v>eu</v>
      </c>
      <c r="J811" t="str">
        <f>_xlfn.XLOOKUP(frasest[[#This Row],[autor_es]],autorest[autor_es],autorest[idioma_es])</f>
        <v>Euskara</v>
      </c>
      <c r="K811" s="6" t="str">
        <f>_xlfn.XLOOKUP(frasest[[#This Row],[autor_es]],autorest[autor_es],autorest[idioma_la])</f>
        <v>Lingua Vasconica</v>
      </c>
      <c r="L811" s="6" t="str">
        <f>_xlfn.XLOOKUP(frasest[[#This Row],[autor_es]],autorest[autor_es],autorest[nacion_es])</f>
        <v>España</v>
      </c>
      <c r="M811" t="str">
        <f>_xlfn.XLOOKUP(frasest[[#This Row],[autor_es]],autorest[autor_es],autorest[nacion_la])</f>
        <v>Hispania</v>
      </c>
      <c r="N811" t="str">
        <f>_xlfn.XLOOKUP(frasest[[#This Row],[autor_es]],autorest[autor_es],autorest[epoca_es])</f>
        <v>Epoca Desconocida</v>
      </c>
      <c r="O811" t="str">
        <f>_xlfn.XLOOKUP(frasest[[#This Row],[autor_es]],autorest[autor_es],autorest[epoca_la])</f>
        <v>Epocha Ignota</v>
      </c>
    </row>
    <row r="812" spans="1:15">
      <c r="A812">
        <v>811</v>
      </c>
      <c r="B812" t="s">
        <v>2284</v>
      </c>
      <c r="C812" t="s">
        <v>2285</v>
      </c>
      <c r="D812" t="s">
        <v>2286</v>
      </c>
      <c r="E812" t="s">
        <v>995</v>
      </c>
      <c r="F812" t="str">
        <f>_xlfn.XLOOKUP(frasest[[#This Row],[autor_es]],autorest[autor_es],autorest[autor_la])</f>
        <v>Sententia Vasconica</v>
      </c>
      <c r="G812" s="6" t="str">
        <f>_xlfn.XLOOKUP(frasest[[#This Row],[autor_es]],autorest[autor_es],autorest[bio_es])</f>
        <v>Proverbios de la tradición oral vasca que reflejan la relación con la naturaleza, el trabajo y los valores comunitarios del pueblo vasco.</v>
      </c>
      <c r="H812" s="6" t="str">
        <f>_xlfn.XLOOKUP(frasest[[#This Row],[autor_es]],autorest[autor_es],autorest[bio_la])</f>
        <v>Collectio sententiarum Vasconicarum.</v>
      </c>
      <c r="I812" t="str">
        <f>_xlfn.XLOOKUP(frasest[[#This Row],[autor_es]],autorest[autor_es],autorest[codigo])</f>
        <v>eu</v>
      </c>
      <c r="J812" t="str">
        <f>_xlfn.XLOOKUP(frasest[[#This Row],[autor_es]],autorest[autor_es],autorest[idioma_es])</f>
        <v>Euskara</v>
      </c>
      <c r="K812" s="6" t="str">
        <f>_xlfn.XLOOKUP(frasest[[#This Row],[autor_es]],autorest[autor_es],autorest[idioma_la])</f>
        <v>Lingua Vasconica</v>
      </c>
      <c r="L812" s="6" t="str">
        <f>_xlfn.XLOOKUP(frasest[[#This Row],[autor_es]],autorest[autor_es],autorest[nacion_es])</f>
        <v>España</v>
      </c>
      <c r="M812" t="str">
        <f>_xlfn.XLOOKUP(frasest[[#This Row],[autor_es]],autorest[autor_es],autorest[nacion_la])</f>
        <v>Hispania</v>
      </c>
      <c r="N812" t="str">
        <f>_xlfn.XLOOKUP(frasest[[#This Row],[autor_es]],autorest[autor_es],autorest[epoca_es])</f>
        <v>Epoca Desconocida</v>
      </c>
      <c r="O812" t="str">
        <f>_xlfn.XLOOKUP(frasest[[#This Row],[autor_es]],autorest[autor_es],autorest[epoca_la])</f>
        <v>Epocha Ignota</v>
      </c>
    </row>
    <row r="813" spans="1:15">
      <c r="A813">
        <v>812</v>
      </c>
      <c r="B813" t="s">
        <v>2287</v>
      </c>
      <c r="C813" t="s">
        <v>2288</v>
      </c>
      <c r="D813" t="s">
        <v>2289</v>
      </c>
      <c r="E813" t="s">
        <v>995</v>
      </c>
      <c r="F813" t="str">
        <f>_xlfn.XLOOKUP(frasest[[#This Row],[autor_es]],autorest[autor_es],autorest[autor_la])</f>
        <v>Sententia Vasconica</v>
      </c>
      <c r="G813" s="6" t="str">
        <f>_xlfn.XLOOKUP(frasest[[#This Row],[autor_es]],autorest[autor_es],autorest[bio_es])</f>
        <v>Proverbios de la tradición oral vasca que reflejan la relación con la naturaleza, el trabajo y los valores comunitarios del pueblo vasco.</v>
      </c>
      <c r="H813" s="6" t="str">
        <f>_xlfn.XLOOKUP(frasest[[#This Row],[autor_es]],autorest[autor_es],autorest[bio_la])</f>
        <v>Collectio sententiarum Vasconicarum.</v>
      </c>
      <c r="I813" t="str">
        <f>_xlfn.XLOOKUP(frasest[[#This Row],[autor_es]],autorest[autor_es],autorest[codigo])</f>
        <v>eu</v>
      </c>
      <c r="J813" t="str">
        <f>_xlfn.XLOOKUP(frasest[[#This Row],[autor_es]],autorest[autor_es],autorest[idioma_es])</f>
        <v>Euskara</v>
      </c>
      <c r="K813" s="6" t="str">
        <f>_xlfn.XLOOKUP(frasest[[#This Row],[autor_es]],autorest[autor_es],autorest[idioma_la])</f>
        <v>Lingua Vasconica</v>
      </c>
      <c r="L813" s="6" t="str">
        <f>_xlfn.XLOOKUP(frasest[[#This Row],[autor_es]],autorest[autor_es],autorest[nacion_es])</f>
        <v>España</v>
      </c>
      <c r="M813" t="str">
        <f>_xlfn.XLOOKUP(frasest[[#This Row],[autor_es]],autorest[autor_es],autorest[nacion_la])</f>
        <v>Hispania</v>
      </c>
      <c r="N813" t="str">
        <f>_xlfn.XLOOKUP(frasest[[#This Row],[autor_es]],autorest[autor_es],autorest[epoca_es])</f>
        <v>Epoca Desconocida</v>
      </c>
      <c r="O813" t="str">
        <f>_xlfn.XLOOKUP(frasest[[#This Row],[autor_es]],autorest[autor_es],autorest[epoca_la])</f>
        <v>Epocha Ignota</v>
      </c>
    </row>
    <row r="814" spans="1:15">
      <c r="A814">
        <v>813</v>
      </c>
      <c r="B814" t="s">
        <v>2290</v>
      </c>
      <c r="C814" t="s">
        <v>2291</v>
      </c>
      <c r="D814" t="s">
        <v>2292</v>
      </c>
      <c r="E814" t="s">
        <v>995</v>
      </c>
      <c r="F814" t="str">
        <f>_xlfn.XLOOKUP(frasest[[#This Row],[autor_es]],autorest[autor_es],autorest[autor_la])</f>
        <v>Sententia Vasconica</v>
      </c>
      <c r="G814" s="6" t="str">
        <f>_xlfn.XLOOKUP(frasest[[#This Row],[autor_es]],autorest[autor_es],autorest[bio_es])</f>
        <v>Proverbios de la tradición oral vasca que reflejan la relación con la naturaleza, el trabajo y los valores comunitarios del pueblo vasco.</v>
      </c>
      <c r="H814" s="6" t="str">
        <f>_xlfn.XLOOKUP(frasest[[#This Row],[autor_es]],autorest[autor_es],autorest[bio_la])</f>
        <v>Collectio sententiarum Vasconicarum.</v>
      </c>
      <c r="I814" t="str">
        <f>_xlfn.XLOOKUP(frasest[[#This Row],[autor_es]],autorest[autor_es],autorest[codigo])</f>
        <v>eu</v>
      </c>
      <c r="J814" t="str">
        <f>_xlfn.XLOOKUP(frasest[[#This Row],[autor_es]],autorest[autor_es],autorest[idioma_es])</f>
        <v>Euskara</v>
      </c>
      <c r="K814" s="6" t="str">
        <f>_xlfn.XLOOKUP(frasest[[#This Row],[autor_es]],autorest[autor_es],autorest[idioma_la])</f>
        <v>Lingua Vasconica</v>
      </c>
      <c r="L814" s="6" t="str">
        <f>_xlfn.XLOOKUP(frasest[[#This Row],[autor_es]],autorest[autor_es],autorest[nacion_es])</f>
        <v>España</v>
      </c>
      <c r="M814" t="str">
        <f>_xlfn.XLOOKUP(frasest[[#This Row],[autor_es]],autorest[autor_es],autorest[nacion_la])</f>
        <v>Hispania</v>
      </c>
      <c r="N814" t="str">
        <f>_xlfn.XLOOKUP(frasest[[#This Row],[autor_es]],autorest[autor_es],autorest[epoca_es])</f>
        <v>Epoca Desconocida</v>
      </c>
      <c r="O814" t="str">
        <f>_xlfn.XLOOKUP(frasest[[#This Row],[autor_es]],autorest[autor_es],autorest[epoca_la])</f>
        <v>Epocha Ignota</v>
      </c>
    </row>
    <row r="815" spans="1:15">
      <c r="A815">
        <v>814</v>
      </c>
      <c r="B815" t="s">
        <v>2293</v>
      </c>
      <c r="C815" t="s">
        <v>2294</v>
      </c>
      <c r="D815" t="s">
        <v>2295</v>
      </c>
      <c r="E815" t="s">
        <v>995</v>
      </c>
      <c r="F815" t="str">
        <f>_xlfn.XLOOKUP(frasest[[#This Row],[autor_es]],autorest[autor_es],autorest[autor_la])</f>
        <v>Sententia Vasconica</v>
      </c>
      <c r="G815" s="6" t="str">
        <f>_xlfn.XLOOKUP(frasest[[#This Row],[autor_es]],autorest[autor_es],autorest[bio_es])</f>
        <v>Proverbios de la tradición oral vasca que reflejan la relación con la naturaleza, el trabajo y los valores comunitarios del pueblo vasco.</v>
      </c>
      <c r="H815" s="6" t="str">
        <f>_xlfn.XLOOKUP(frasest[[#This Row],[autor_es]],autorest[autor_es],autorest[bio_la])</f>
        <v>Collectio sententiarum Vasconicarum.</v>
      </c>
      <c r="I815" t="str">
        <f>_xlfn.XLOOKUP(frasest[[#This Row],[autor_es]],autorest[autor_es],autorest[codigo])</f>
        <v>eu</v>
      </c>
      <c r="J815" t="str">
        <f>_xlfn.XLOOKUP(frasest[[#This Row],[autor_es]],autorest[autor_es],autorest[idioma_es])</f>
        <v>Euskara</v>
      </c>
      <c r="K815" s="6" t="str">
        <f>_xlfn.XLOOKUP(frasest[[#This Row],[autor_es]],autorest[autor_es],autorest[idioma_la])</f>
        <v>Lingua Vasconica</v>
      </c>
      <c r="L815" s="6" t="str">
        <f>_xlfn.XLOOKUP(frasest[[#This Row],[autor_es]],autorest[autor_es],autorest[nacion_es])</f>
        <v>España</v>
      </c>
      <c r="M815" t="str">
        <f>_xlfn.XLOOKUP(frasest[[#This Row],[autor_es]],autorest[autor_es],autorest[nacion_la])</f>
        <v>Hispania</v>
      </c>
      <c r="N815" t="str">
        <f>_xlfn.XLOOKUP(frasest[[#This Row],[autor_es]],autorest[autor_es],autorest[epoca_es])</f>
        <v>Epoca Desconocida</v>
      </c>
      <c r="O815" t="str">
        <f>_xlfn.XLOOKUP(frasest[[#This Row],[autor_es]],autorest[autor_es],autorest[epoca_la])</f>
        <v>Epocha Ignota</v>
      </c>
    </row>
    <row r="816" spans="1:15">
      <c r="A816">
        <v>815</v>
      </c>
      <c r="B816" t="s">
        <v>2296</v>
      </c>
      <c r="C816" t="s">
        <v>2297</v>
      </c>
      <c r="D816" t="s">
        <v>2298</v>
      </c>
      <c r="E816" t="s">
        <v>995</v>
      </c>
      <c r="F816" t="str">
        <f>_xlfn.XLOOKUP(frasest[[#This Row],[autor_es]],autorest[autor_es],autorest[autor_la])</f>
        <v>Sententia Vasconica</v>
      </c>
      <c r="G816" s="6" t="str">
        <f>_xlfn.XLOOKUP(frasest[[#This Row],[autor_es]],autorest[autor_es],autorest[bio_es])</f>
        <v>Proverbios de la tradición oral vasca que reflejan la relación con la naturaleza, el trabajo y los valores comunitarios del pueblo vasco.</v>
      </c>
      <c r="H816" s="6" t="str">
        <f>_xlfn.XLOOKUP(frasest[[#This Row],[autor_es]],autorest[autor_es],autorest[bio_la])</f>
        <v>Collectio sententiarum Vasconicarum.</v>
      </c>
      <c r="I816" t="str">
        <f>_xlfn.XLOOKUP(frasest[[#This Row],[autor_es]],autorest[autor_es],autorest[codigo])</f>
        <v>eu</v>
      </c>
      <c r="J816" t="str">
        <f>_xlfn.XLOOKUP(frasest[[#This Row],[autor_es]],autorest[autor_es],autorest[idioma_es])</f>
        <v>Euskara</v>
      </c>
      <c r="K816" s="6" t="str">
        <f>_xlfn.XLOOKUP(frasest[[#This Row],[autor_es]],autorest[autor_es],autorest[idioma_la])</f>
        <v>Lingua Vasconica</v>
      </c>
      <c r="L816" s="6" t="str">
        <f>_xlfn.XLOOKUP(frasest[[#This Row],[autor_es]],autorest[autor_es],autorest[nacion_es])</f>
        <v>España</v>
      </c>
      <c r="M816" t="str">
        <f>_xlfn.XLOOKUP(frasest[[#This Row],[autor_es]],autorest[autor_es],autorest[nacion_la])</f>
        <v>Hispania</v>
      </c>
      <c r="N816" t="str">
        <f>_xlfn.XLOOKUP(frasest[[#This Row],[autor_es]],autorest[autor_es],autorest[epoca_es])</f>
        <v>Epoca Desconocida</v>
      </c>
      <c r="O816" t="str">
        <f>_xlfn.XLOOKUP(frasest[[#This Row],[autor_es]],autorest[autor_es],autorest[epoca_la])</f>
        <v>Epocha Ignota</v>
      </c>
    </row>
    <row r="817" spans="1:15">
      <c r="A817">
        <v>816</v>
      </c>
      <c r="B817" t="s">
        <v>2299</v>
      </c>
      <c r="C817" t="s">
        <v>2300</v>
      </c>
      <c r="D817" t="s">
        <v>2301</v>
      </c>
      <c r="E817" t="s">
        <v>995</v>
      </c>
      <c r="F817" t="str">
        <f>_xlfn.XLOOKUP(frasest[[#This Row],[autor_es]],autorest[autor_es],autorest[autor_la])</f>
        <v>Sententia Vasconica</v>
      </c>
      <c r="G817" s="6" t="str">
        <f>_xlfn.XLOOKUP(frasest[[#This Row],[autor_es]],autorest[autor_es],autorest[bio_es])</f>
        <v>Proverbios de la tradición oral vasca que reflejan la relación con la naturaleza, el trabajo y los valores comunitarios del pueblo vasco.</v>
      </c>
      <c r="H817" s="6" t="str">
        <f>_xlfn.XLOOKUP(frasest[[#This Row],[autor_es]],autorest[autor_es],autorest[bio_la])</f>
        <v>Collectio sententiarum Vasconicarum.</v>
      </c>
      <c r="I817" t="str">
        <f>_xlfn.XLOOKUP(frasest[[#This Row],[autor_es]],autorest[autor_es],autorest[codigo])</f>
        <v>eu</v>
      </c>
      <c r="J817" t="str">
        <f>_xlfn.XLOOKUP(frasest[[#This Row],[autor_es]],autorest[autor_es],autorest[idioma_es])</f>
        <v>Euskara</v>
      </c>
      <c r="K817" s="6" t="str">
        <f>_xlfn.XLOOKUP(frasest[[#This Row],[autor_es]],autorest[autor_es],autorest[idioma_la])</f>
        <v>Lingua Vasconica</v>
      </c>
      <c r="L817" s="6" t="str">
        <f>_xlfn.XLOOKUP(frasest[[#This Row],[autor_es]],autorest[autor_es],autorest[nacion_es])</f>
        <v>España</v>
      </c>
      <c r="M817" t="str">
        <f>_xlfn.XLOOKUP(frasest[[#This Row],[autor_es]],autorest[autor_es],autorest[nacion_la])</f>
        <v>Hispania</v>
      </c>
      <c r="N817" t="str">
        <f>_xlfn.XLOOKUP(frasest[[#This Row],[autor_es]],autorest[autor_es],autorest[epoca_es])</f>
        <v>Epoca Desconocida</v>
      </c>
      <c r="O817" t="str">
        <f>_xlfn.XLOOKUP(frasest[[#This Row],[autor_es]],autorest[autor_es],autorest[epoca_la])</f>
        <v>Epocha Ignota</v>
      </c>
    </row>
    <row r="818" spans="1:15">
      <c r="A818">
        <v>817</v>
      </c>
      <c r="B818" t="s">
        <v>2302</v>
      </c>
      <c r="C818" t="s">
        <v>2303</v>
      </c>
      <c r="D818" t="s">
        <v>2304</v>
      </c>
      <c r="E818" t="s">
        <v>995</v>
      </c>
      <c r="F818" t="str">
        <f>_xlfn.XLOOKUP(frasest[[#This Row],[autor_es]],autorest[autor_es],autorest[autor_la])</f>
        <v>Sententia Vasconica</v>
      </c>
      <c r="G818" s="6" t="str">
        <f>_xlfn.XLOOKUP(frasest[[#This Row],[autor_es]],autorest[autor_es],autorest[bio_es])</f>
        <v>Proverbios de la tradición oral vasca que reflejan la relación con la naturaleza, el trabajo y los valores comunitarios del pueblo vasco.</v>
      </c>
      <c r="H818" s="6" t="str">
        <f>_xlfn.XLOOKUP(frasest[[#This Row],[autor_es]],autorest[autor_es],autorest[bio_la])</f>
        <v>Collectio sententiarum Vasconicarum.</v>
      </c>
      <c r="I818" t="str">
        <f>_xlfn.XLOOKUP(frasest[[#This Row],[autor_es]],autorest[autor_es],autorest[codigo])</f>
        <v>eu</v>
      </c>
      <c r="J818" t="str">
        <f>_xlfn.XLOOKUP(frasest[[#This Row],[autor_es]],autorest[autor_es],autorest[idioma_es])</f>
        <v>Euskara</v>
      </c>
      <c r="K818" s="6" t="str">
        <f>_xlfn.XLOOKUP(frasest[[#This Row],[autor_es]],autorest[autor_es],autorest[idioma_la])</f>
        <v>Lingua Vasconica</v>
      </c>
      <c r="L818" s="6" t="str">
        <f>_xlfn.XLOOKUP(frasest[[#This Row],[autor_es]],autorest[autor_es],autorest[nacion_es])</f>
        <v>España</v>
      </c>
      <c r="M818" t="str">
        <f>_xlfn.XLOOKUP(frasest[[#This Row],[autor_es]],autorest[autor_es],autorest[nacion_la])</f>
        <v>Hispania</v>
      </c>
      <c r="N818" t="str">
        <f>_xlfn.XLOOKUP(frasest[[#This Row],[autor_es]],autorest[autor_es],autorest[epoca_es])</f>
        <v>Epoca Desconocida</v>
      </c>
      <c r="O818" t="str">
        <f>_xlfn.XLOOKUP(frasest[[#This Row],[autor_es]],autorest[autor_es],autorest[epoca_la])</f>
        <v>Epocha Ignota</v>
      </c>
    </row>
    <row r="819" spans="1:15">
      <c r="A819">
        <v>818</v>
      </c>
      <c r="B819" t="s">
        <v>2305</v>
      </c>
      <c r="C819" t="s">
        <v>2306</v>
      </c>
      <c r="D819" t="s">
        <v>2307</v>
      </c>
      <c r="E819" t="s">
        <v>995</v>
      </c>
      <c r="F819" t="str">
        <f>_xlfn.XLOOKUP(frasest[[#This Row],[autor_es]],autorest[autor_es],autorest[autor_la])</f>
        <v>Sententia Vasconica</v>
      </c>
      <c r="G819" s="6" t="str">
        <f>_xlfn.XLOOKUP(frasest[[#This Row],[autor_es]],autorest[autor_es],autorest[bio_es])</f>
        <v>Proverbios de la tradición oral vasca que reflejan la relación con la naturaleza, el trabajo y los valores comunitarios del pueblo vasco.</v>
      </c>
      <c r="H819" s="6" t="str">
        <f>_xlfn.XLOOKUP(frasest[[#This Row],[autor_es]],autorest[autor_es],autorest[bio_la])</f>
        <v>Collectio sententiarum Vasconicarum.</v>
      </c>
      <c r="I819" t="str">
        <f>_xlfn.XLOOKUP(frasest[[#This Row],[autor_es]],autorest[autor_es],autorest[codigo])</f>
        <v>eu</v>
      </c>
      <c r="J819" t="str">
        <f>_xlfn.XLOOKUP(frasest[[#This Row],[autor_es]],autorest[autor_es],autorest[idioma_es])</f>
        <v>Euskara</v>
      </c>
      <c r="K819" s="6" t="str">
        <f>_xlfn.XLOOKUP(frasest[[#This Row],[autor_es]],autorest[autor_es],autorest[idioma_la])</f>
        <v>Lingua Vasconica</v>
      </c>
      <c r="L819" s="6" t="str">
        <f>_xlfn.XLOOKUP(frasest[[#This Row],[autor_es]],autorest[autor_es],autorest[nacion_es])</f>
        <v>España</v>
      </c>
      <c r="M819" t="str">
        <f>_xlfn.XLOOKUP(frasest[[#This Row],[autor_es]],autorest[autor_es],autorest[nacion_la])</f>
        <v>Hispania</v>
      </c>
      <c r="N819" t="str">
        <f>_xlfn.XLOOKUP(frasest[[#This Row],[autor_es]],autorest[autor_es],autorest[epoca_es])</f>
        <v>Epoca Desconocida</v>
      </c>
      <c r="O819" t="str">
        <f>_xlfn.XLOOKUP(frasest[[#This Row],[autor_es]],autorest[autor_es],autorest[epoca_la])</f>
        <v>Epocha Ignota</v>
      </c>
    </row>
    <row r="820" spans="1:15">
      <c r="A820">
        <v>819</v>
      </c>
      <c r="B820" t="s">
        <v>2308</v>
      </c>
      <c r="C820" t="s">
        <v>2309</v>
      </c>
      <c r="D820" t="s">
        <v>2310</v>
      </c>
      <c r="E820" t="s">
        <v>995</v>
      </c>
      <c r="F820" t="str">
        <f>_xlfn.XLOOKUP(frasest[[#This Row],[autor_es]],autorest[autor_es],autorest[autor_la])</f>
        <v>Sententia Vasconica</v>
      </c>
      <c r="G820" s="6" t="str">
        <f>_xlfn.XLOOKUP(frasest[[#This Row],[autor_es]],autorest[autor_es],autorest[bio_es])</f>
        <v>Proverbios de la tradición oral vasca que reflejan la relación con la naturaleza, el trabajo y los valores comunitarios del pueblo vasco.</v>
      </c>
      <c r="H820" s="6" t="str">
        <f>_xlfn.XLOOKUP(frasest[[#This Row],[autor_es]],autorest[autor_es],autorest[bio_la])</f>
        <v>Collectio sententiarum Vasconicarum.</v>
      </c>
      <c r="I820" t="str">
        <f>_xlfn.XLOOKUP(frasest[[#This Row],[autor_es]],autorest[autor_es],autorest[codigo])</f>
        <v>eu</v>
      </c>
      <c r="J820" t="str">
        <f>_xlfn.XLOOKUP(frasest[[#This Row],[autor_es]],autorest[autor_es],autorest[idioma_es])</f>
        <v>Euskara</v>
      </c>
      <c r="K820" s="6" t="str">
        <f>_xlfn.XLOOKUP(frasest[[#This Row],[autor_es]],autorest[autor_es],autorest[idioma_la])</f>
        <v>Lingua Vasconica</v>
      </c>
      <c r="L820" s="6" t="str">
        <f>_xlfn.XLOOKUP(frasest[[#This Row],[autor_es]],autorest[autor_es],autorest[nacion_es])</f>
        <v>España</v>
      </c>
      <c r="M820" t="str">
        <f>_xlfn.XLOOKUP(frasest[[#This Row],[autor_es]],autorest[autor_es],autorest[nacion_la])</f>
        <v>Hispania</v>
      </c>
      <c r="N820" t="str">
        <f>_xlfn.XLOOKUP(frasest[[#This Row],[autor_es]],autorest[autor_es],autorest[epoca_es])</f>
        <v>Epoca Desconocida</v>
      </c>
      <c r="O820" t="str">
        <f>_xlfn.XLOOKUP(frasest[[#This Row],[autor_es]],autorest[autor_es],autorest[epoca_la])</f>
        <v>Epocha Ignota</v>
      </c>
    </row>
    <row r="821" spans="1:15">
      <c r="A821">
        <v>820</v>
      </c>
      <c r="B821" t="s">
        <v>2311</v>
      </c>
      <c r="C821" t="s">
        <v>2312</v>
      </c>
      <c r="D821" t="s">
        <v>2313</v>
      </c>
      <c r="E821" t="s">
        <v>995</v>
      </c>
      <c r="F821" t="str">
        <f>_xlfn.XLOOKUP(frasest[[#This Row],[autor_es]],autorest[autor_es],autorest[autor_la])</f>
        <v>Sententia Vasconica</v>
      </c>
      <c r="G821" s="6" t="str">
        <f>_xlfn.XLOOKUP(frasest[[#This Row],[autor_es]],autorest[autor_es],autorest[bio_es])</f>
        <v>Proverbios de la tradición oral vasca que reflejan la relación con la naturaleza, el trabajo y los valores comunitarios del pueblo vasco.</v>
      </c>
      <c r="H821" s="6" t="str">
        <f>_xlfn.XLOOKUP(frasest[[#This Row],[autor_es]],autorest[autor_es],autorest[bio_la])</f>
        <v>Collectio sententiarum Vasconicarum.</v>
      </c>
      <c r="I821" t="str">
        <f>_xlfn.XLOOKUP(frasest[[#This Row],[autor_es]],autorest[autor_es],autorest[codigo])</f>
        <v>eu</v>
      </c>
      <c r="J821" t="str">
        <f>_xlfn.XLOOKUP(frasest[[#This Row],[autor_es]],autorest[autor_es],autorest[idioma_es])</f>
        <v>Euskara</v>
      </c>
      <c r="K821" s="6" t="str">
        <f>_xlfn.XLOOKUP(frasest[[#This Row],[autor_es]],autorest[autor_es],autorest[idioma_la])</f>
        <v>Lingua Vasconica</v>
      </c>
      <c r="L821" s="6" t="str">
        <f>_xlfn.XLOOKUP(frasest[[#This Row],[autor_es]],autorest[autor_es],autorest[nacion_es])</f>
        <v>España</v>
      </c>
      <c r="M821" t="str">
        <f>_xlfn.XLOOKUP(frasest[[#This Row],[autor_es]],autorest[autor_es],autorest[nacion_la])</f>
        <v>Hispania</v>
      </c>
      <c r="N821" t="str">
        <f>_xlfn.XLOOKUP(frasest[[#This Row],[autor_es]],autorest[autor_es],autorest[epoca_es])</f>
        <v>Epoca Desconocida</v>
      </c>
      <c r="O821" t="str">
        <f>_xlfn.XLOOKUP(frasest[[#This Row],[autor_es]],autorest[autor_es],autorest[epoca_la])</f>
        <v>Epocha Ignota</v>
      </c>
    </row>
    <row r="822" spans="1:15">
      <c r="A822">
        <v>821</v>
      </c>
      <c r="B822" t="s">
        <v>2314</v>
      </c>
      <c r="C822" t="s">
        <v>2315</v>
      </c>
      <c r="D822" t="s">
        <v>2316</v>
      </c>
      <c r="E822" t="s">
        <v>995</v>
      </c>
      <c r="F822" t="str">
        <f>_xlfn.XLOOKUP(frasest[[#This Row],[autor_es]],autorest[autor_es],autorest[autor_la])</f>
        <v>Sententia Vasconica</v>
      </c>
      <c r="G822" s="6" t="str">
        <f>_xlfn.XLOOKUP(frasest[[#This Row],[autor_es]],autorest[autor_es],autorest[bio_es])</f>
        <v>Proverbios de la tradición oral vasca que reflejan la relación con la naturaleza, el trabajo y los valores comunitarios del pueblo vasco.</v>
      </c>
      <c r="H822" s="6" t="str">
        <f>_xlfn.XLOOKUP(frasest[[#This Row],[autor_es]],autorest[autor_es],autorest[bio_la])</f>
        <v>Collectio sententiarum Vasconicarum.</v>
      </c>
      <c r="I822" t="str">
        <f>_xlfn.XLOOKUP(frasest[[#This Row],[autor_es]],autorest[autor_es],autorest[codigo])</f>
        <v>eu</v>
      </c>
      <c r="J822" t="str">
        <f>_xlfn.XLOOKUP(frasest[[#This Row],[autor_es]],autorest[autor_es],autorest[idioma_es])</f>
        <v>Euskara</v>
      </c>
      <c r="K822" s="6" t="str">
        <f>_xlfn.XLOOKUP(frasest[[#This Row],[autor_es]],autorest[autor_es],autorest[idioma_la])</f>
        <v>Lingua Vasconica</v>
      </c>
      <c r="L822" s="6" t="str">
        <f>_xlfn.XLOOKUP(frasest[[#This Row],[autor_es]],autorest[autor_es],autorest[nacion_es])</f>
        <v>España</v>
      </c>
      <c r="M822" t="str">
        <f>_xlfn.XLOOKUP(frasest[[#This Row],[autor_es]],autorest[autor_es],autorest[nacion_la])</f>
        <v>Hispania</v>
      </c>
      <c r="N822" t="str">
        <f>_xlfn.XLOOKUP(frasest[[#This Row],[autor_es]],autorest[autor_es],autorest[epoca_es])</f>
        <v>Epoca Desconocida</v>
      </c>
      <c r="O822" t="str">
        <f>_xlfn.XLOOKUP(frasest[[#This Row],[autor_es]],autorest[autor_es],autorest[epoca_la])</f>
        <v>Epocha Ignota</v>
      </c>
    </row>
    <row r="823" spans="1:15">
      <c r="A823">
        <v>822</v>
      </c>
      <c r="B823" t="s">
        <v>2317</v>
      </c>
      <c r="C823" t="s">
        <v>2318</v>
      </c>
      <c r="D823" t="s">
        <v>2319</v>
      </c>
      <c r="E823" t="s">
        <v>995</v>
      </c>
      <c r="F823" t="str">
        <f>_xlfn.XLOOKUP(frasest[[#This Row],[autor_es]],autorest[autor_es],autorest[autor_la])</f>
        <v>Sententia Vasconica</v>
      </c>
      <c r="G823" s="6" t="str">
        <f>_xlfn.XLOOKUP(frasest[[#This Row],[autor_es]],autorest[autor_es],autorest[bio_es])</f>
        <v>Proverbios de la tradición oral vasca que reflejan la relación con la naturaleza, el trabajo y los valores comunitarios del pueblo vasco.</v>
      </c>
      <c r="H823" s="6" t="str">
        <f>_xlfn.XLOOKUP(frasest[[#This Row],[autor_es]],autorest[autor_es],autorest[bio_la])</f>
        <v>Collectio sententiarum Vasconicarum.</v>
      </c>
      <c r="I823" t="str">
        <f>_xlfn.XLOOKUP(frasest[[#This Row],[autor_es]],autorest[autor_es],autorest[codigo])</f>
        <v>eu</v>
      </c>
      <c r="J823" t="str">
        <f>_xlfn.XLOOKUP(frasest[[#This Row],[autor_es]],autorest[autor_es],autorest[idioma_es])</f>
        <v>Euskara</v>
      </c>
      <c r="K823" s="6" t="str">
        <f>_xlfn.XLOOKUP(frasest[[#This Row],[autor_es]],autorest[autor_es],autorest[idioma_la])</f>
        <v>Lingua Vasconica</v>
      </c>
      <c r="L823" s="6" t="str">
        <f>_xlfn.XLOOKUP(frasest[[#This Row],[autor_es]],autorest[autor_es],autorest[nacion_es])</f>
        <v>España</v>
      </c>
      <c r="M823" t="str">
        <f>_xlfn.XLOOKUP(frasest[[#This Row],[autor_es]],autorest[autor_es],autorest[nacion_la])</f>
        <v>Hispania</v>
      </c>
      <c r="N823" t="str">
        <f>_xlfn.XLOOKUP(frasest[[#This Row],[autor_es]],autorest[autor_es],autorest[epoca_es])</f>
        <v>Epoca Desconocida</v>
      </c>
      <c r="O823" t="str">
        <f>_xlfn.XLOOKUP(frasest[[#This Row],[autor_es]],autorest[autor_es],autorest[epoca_la])</f>
        <v>Epocha Ignota</v>
      </c>
    </row>
    <row r="824" spans="1:15">
      <c r="A824">
        <v>823</v>
      </c>
      <c r="B824" t="s">
        <v>2320</v>
      </c>
      <c r="C824" t="s">
        <v>2321</v>
      </c>
      <c r="D824" t="s">
        <v>2322</v>
      </c>
      <c r="E824" t="s">
        <v>995</v>
      </c>
      <c r="F824" t="str">
        <f>_xlfn.XLOOKUP(frasest[[#This Row],[autor_es]],autorest[autor_es],autorest[autor_la])</f>
        <v>Sententia Vasconica</v>
      </c>
      <c r="G824" s="6" t="str">
        <f>_xlfn.XLOOKUP(frasest[[#This Row],[autor_es]],autorest[autor_es],autorest[bio_es])</f>
        <v>Proverbios de la tradición oral vasca que reflejan la relación con la naturaleza, el trabajo y los valores comunitarios del pueblo vasco.</v>
      </c>
      <c r="H824" s="6" t="str">
        <f>_xlfn.XLOOKUP(frasest[[#This Row],[autor_es]],autorest[autor_es],autorest[bio_la])</f>
        <v>Collectio sententiarum Vasconicarum.</v>
      </c>
      <c r="I824" t="str">
        <f>_xlfn.XLOOKUP(frasest[[#This Row],[autor_es]],autorest[autor_es],autorest[codigo])</f>
        <v>eu</v>
      </c>
      <c r="J824" t="str">
        <f>_xlfn.XLOOKUP(frasest[[#This Row],[autor_es]],autorest[autor_es],autorest[idioma_es])</f>
        <v>Euskara</v>
      </c>
      <c r="K824" s="6" t="str">
        <f>_xlfn.XLOOKUP(frasest[[#This Row],[autor_es]],autorest[autor_es],autorest[idioma_la])</f>
        <v>Lingua Vasconica</v>
      </c>
      <c r="L824" s="6" t="str">
        <f>_xlfn.XLOOKUP(frasest[[#This Row],[autor_es]],autorest[autor_es],autorest[nacion_es])</f>
        <v>España</v>
      </c>
      <c r="M824" t="str">
        <f>_xlfn.XLOOKUP(frasest[[#This Row],[autor_es]],autorest[autor_es],autorest[nacion_la])</f>
        <v>Hispania</v>
      </c>
      <c r="N824" t="str">
        <f>_xlfn.XLOOKUP(frasest[[#This Row],[autor_es]],autorest[autor_es],autorest[epoca_es])</f>
        <v>Epoca Desconocida</v>
      </c>
      <c r="O824" t="str">
        <f>_xlfn.XLOOKUP(frasest[[#This Row],[autor_es]],autorest[autor_es],autorest[epoca_la])</f>
        <v>Epocha Ignota</v>
      </c>
    </row>
    <row r="825" spans="1:15">
      <c r="A825">
        <v>824</v>
      </c>
      <c r="B825" t="s">
        <v>2323</v>
      </c>
      <c r="C825" t="s">
        <v>2324</v>
      </c>
      <c r="D825" t="s">
        <v>2325</v>
      </c>
      <c r="E825" t="s">
        <v>995</v>
      </c>
      <c r="F825" t="str">
        <f>_xlfn.XLOOKUP(frasest[[#This Row],[autor_es]],autorest[autor_es],autorest[autor_la])</f>
        <v>Sententia Vasconica</v>
      </c>
      <c r="G825" s="6" t="str">
        <f>_xlfn.XLOOKUP(frasest[[#This Row],[autor_es]],autorest[autor_es],autorest[bio_es])</f>
        <v>Proverbios de la tradición oral vasca que reflejan la relación con la naturaleza, el trabajo y los valores comunitarios del pueblo vasco.</v>
      </c>
      <c r="H825" s="6" t="str">
        <f>_xlfn.XLOOKUP(frasest[[#This Row],[autor_es]],autorest[autor_es],autorest[bio_la])</f>
        <v>Collectio sententiarum Vasconicarum.</v>
      </c>
      <c r="I825" t="str">
        <f>_xlfn.XLOOKUP(frasest[[#This Row],[autor_es]],autorest[autor_es],autorest[codigo])</f>
        <v>eu</v>
      </c>
      <c r="J825" t="str">
        <f>_xlfn.XLOOKUP(frasest[[#This Row],[autor_es]],autorest[autor_es],autorest[idioma_es])</f>
        <v>Euskara</v>
      </c>
      <c r="K825" s="6" t="str">
        <f>_xlfn.XLOOKUP(frasest[[#This Row],[autor_es]],autorest[autor_es],autorest[idioma_la])</f>
        <v>Lingua Vasconica</v>
      </c>
      <c r="L825" s="6" t="str">
        <f>_xlfn.XLOOKUP(frasest[[#This Row],[autor_es]],autorest[autor_es],autorest[nacion_es])</f>
        <v>España</v>
      </c>
      <c r="M825" t="str">
        <f>_xlfn.XLOOKUP(frasest[[#This Row],[autor_es]],autorest[autor_es],autorest[nacion_la])</f>
        <v>Hispania</v>
      </c>
      <c r="N825" t="str">
        <f>_xlfn.XLOOKUP(frasest[[#This Row],[autor_es]],autorest[autor_es],autorest[epoca_es])</f>
        <v>Epoca Desconocida</v>
      </c>
      <c r="O825" t="str">
        <f>_xlfn.XLOOKUP(frasest[[#This Row],[autor_es]],autorest[autor_es],autorest[epoca_la])</f>
        <v>Epocha Ignota</v>
      </c>
    </row>
    <row r="826" spans="1:15">
      <c r="A826">
        <v>825</v>
      </c>
      <c r="B826" t="s">
        <v>2326</v>
      </c>
      <c r="C826" t="s">
        <v>2327</v>
      </c>
      <c r="D826" t="s">
        <v>2328</v>
      </c>
      <c r="E826" t="s">
        <v>995</v>
      </c>
      <c r="F826" t="str">
        <f>_xlfn.XLOOKUP(frasest[[#This Row],[autor_es]],autorest[autor_es],autorest[autor_la])</f>
        <v>Sententia Vasconica</v>
      </c>
      <c r="G826" s="6" t="str">
        <f>_xlfn.XLOOKUP(frasest[[#This Row],[autor_es]],autorest[autor_es],autorest[bio_es])</f>
        <v>Proverbios de la tradición oral vasca que reflejan la relación con la naturaleza, el trabajo y los valores comunitarios del pueblo vasco.</v>
      </c>
      <c r="H826" s="6" t="str">
        <f>_xlfn.XLOOKUP(frasest[[#This Row],[autor_es]],autorest[autor_es],autorest[bio_la])</f>
        <v>Collectio sententiarum Vasconicarum.</v>
      </c>
      <c r="I826" t="str">
        <f>_xlfn.XLOOKUP(frasest[[#This Row],[autor_es]],autorest[autor_es],autorest[codigo])</f>
        <v>eu</v>
      </c>
      <c r="J826" t="str">
        <f>_xlfn.XLOOKUP(frasest[[#This Row],[autor_es]],autorest[autor_es],autorest[idioma_es])</f>
        <v>Euskara</v>
      </c>
      <c r="K826" s="6" t="str">
        <f>_xlfn.XLOOKUP(frasest[[#This Row],[autor_es]],autorest[autor_es],autorest[idioma_la])</f>
        <v>Lingua Vasconica</v>
      </c>
      <c r="L826" s="6" t="str">
        <f>_xlfn.XLOOKUP(frasest[[#This Row],[autor_es]],autorest[autor_es],autorest[nacion_es])</f>
        <v>España</v>
      </c>
      <c r="M826" t="str">
        <f>_xlfn.XLOOKUP(frasest[[#This Row],[autor_es]],autorest[autor_es],autorest[nacion_la])</f>
        <v>Hispania</v>
      </c>
      <c r="N826" t="str">
        <f>_xlfn.XLOOKUP(frasest[[#This Row],[autor_es]],autorest[autor_es],autorest[epoca_es])</f>
        <v>Epoca Desconocida</v>
      </c>
      <c r="O826" t="str">
        <f>_xlfn.XLOOKUP(frasest[[#This Row],[autor_es]],autorest[autor_es],autorest[epoca_la])</f>
        <v>Epocha Ignota</v>
      </c>
    </row>
    <row r="827" spans="1:15">
      <c r="A827">
        <v>826</v>
      </c>
      <c r="B827" t="s">
        <v>2329</v>
      </c>
      <c r="C827" t="s">
        <v>2330</v>
      </c>
      <c r="D827" t="s">
        <v>2331</v>
      </c>
      <c r="E827" t="s">
        <v>995</v>
      </c>
      <c r="F827" t="str">
        <f>_xlfn.XLOOKUP(frasest[[#This Row],[autor_es]],autorest[autor_es],autorest[autor_la])</f>
        <v>Sententia Vasconica</v>
      </c>
      <c r="G827" s="6" t="str">
        <f>_xlfn.XLOOKUP(frasest[[#This Row],[autor_es]],autorest[autor_es],autorest[bio_es])</f>
        <v>Proverbios de la tradición oral vasca que reflejan la relación con la naturaleza, el trabajo y los valores comunitarios del pueblo vasco.</v>
      </c>
      <c r="H827" s="6" t="str">
        <f>_xlfn.XLOOKUP(frasest[[#This Row],[autor_es]],autorest[autor_es],autorest[bio_la])</f>
        <v>Collectio sententiarum Vasconicarum.</v>
      </c>
      <c r="I827" t="str">
        <f>_xlfn.XLOOKUP(frasest[[#This Row],[autor_es]],autorest[autor_es],autorest[codigo])</f>
        <v>eu</v>
      </c>
      <c r="J827" t="str">
        <f>_xlfn.XLOOKUP(frasest[[#This Row],[autor_es]],autorest[autor_es],autorest[idioma_es])</f>
        <v>Euskara</v>
      </c>
      <c r="K827" s="6" t="str">
        <f>_xlfn.XLOOKUP(frasest[[#This Row],[autor_es]],autorest[autor_es],autorest[idioma_la])</f>
        <v>Lingua Vasconica</v>
      </c>
      <c r="L827" s="6" t="str">
        <f>_xlfn.XLOOKUP(frasest[[#This Row],[autor_es]],autorest[autor_es],autorest[nacion_es])</f>
        <v>España</v>
      </c>
      <c r="M827" t="str">
        <f>_xlfn.XLOOKUP(frasest[[#This Row],[autor_es]],autorest[autor_es],autorest[nacion_la])</f>
        <v>Hispania</v>
      </c>
      <c r="N827" t="str">
        <f>_xlfn.XLOOKUP(frasest[[#This Row],[autor_es]],autorest[autor_es],autorest[epoca_es])</f>
        <v>Epoca Desconocida</v>
      </c>
      <c r="O827" t="str">
        <f>_xlfn.XLOOKUP(frasest[[#This Row],[autor_es]],autorest[autor_es],autorest[epoca_la])</f>
        <v>Epocha Ignota</v>
      </c>
    </row>
    <row r="828" spans="1:15">
      <c r="A828">
        <v>827</v>
      </c>
      <c r="B828" t="s">
        <v>2332</v>
      </c>
      <c r="C828" t="s">
        <v>2333</v>
      </c>
      <c r="D828" t="s">
        <v>2334</v>
      </c>
      <c r="E828" t="s">
        <v>995</v>
      </c>
      <c r="F828" t="str">
        <f>_xlfn.XLOOKUP(frasest[[#This Row],[autor_es]],autorest[autor_es],autorest[autor_la])</f>
        <v>Sententia Vasconica</v>
      </c>
      <c r="G828" s="6" t="str">
        <f>_xlfn.XLOOKUP(frasest[[#This Row],[autor_es]],autorest[autor_es],autorest[bio_es])</f>
        <v>Proverbios de la tradición oral vasca que reflejan la relación con la naturaleza, el trabajo y los valores comunitarios del pueblo vasco.</v>
      </c>
      <c r="H828" s="6" t="str">
        <f>_xlfn.XLOOKUP(frasest[[#This Row],[autor_es]],autorest[autor_es],autorest[bio_la])</f>
        <v>Collectio sententiarum Vasconicarum.</v>
      </c>
      <c r="I828" t="str">
        <f>_xlfn.XLOOKUP(frasest[[#This Row],[autor_es]],autorest[autor_es],autorest[codigo])</f>
        <v>eu</v>
      </c>
      <c r="J828" t="str">
        <f>_xlfn.XLOOKUP(frasest[[#This Row],[autor_es]],autorest[autor_es],autorest[idioma_es])</f>
        <v>Euskara</v>
      </c>
      <c r="K828" s="6" t="str">
        <f>_xlfn.XLOOKUP(frasest[[#This Row],[autor_es]],autorest[autor_es],autorest[idioma_la])</f>
        <v>Lingua Vasconica</v>
      </c>
      <c r="L828" s="6" t="str">
        <f>_xlfn.XLOOKUP(frasest[[#This Row],[autor_es]],autorest[autor_es],autorest[nacion_es])</f>
        <v>España</v>
      </c>
      <c r="M828" t="str">
        <f>_xlfn.XLOOKUP(frasest[[#This Row],[autor_es]],autorest[autor_es],autorest[nacion_la])</f>
        <v>Hispania</v>
      </c>
      <c r="N828" t="str">
        <f>_xlfn.XLOOKUP(frasest[[#This Row],[autor_es]],autorest[autor_es],autorest[epoca_es])</f>
        <v>Epoca Desconocida</v>
      </c>
      <c r="O828" t="str">
        <f>_xlfn.XLOOKUP(frasest[[#This Row],[autor_es]],autorest[autor_es],autorest[epoca_la])</f>
        <v>Epocha Ignota</v>
      </c>
    </row>
    <row r="829" spans="1:15">
      <c r="A829">
        <v>828</v>
      </c>
      <c r="B829" t="s">
        <v>2335</v>
      </c>
      <c r="C829" t="s">
        <v>2336</v>
      </c>
      <c r="D829" t="s">
        <v>2337</v>
      </c>
      <c r="E829" t="s">
        <v>995</v>
      </c>
      <c r="F829" t="str">
        <f>_xlfn.XLOOKUP(frasest[[#This Row],[autor_es]],autorest[autor_es],autorest[autor_la])</f>
        <v>Sententia Vasconica</v>
      </c>
      <c r="G829" s="6" t="str">
        <f>_xlfn.XLOOKUP(frasest[[#This Row],[autor_es]],autorest[autor_es],autorest[bio_es])</f>
        <v>Proverbios de la tradición oral vasca que reflejan la relación con la naturaleza, el trabajo y los valores comunitarios del pueblo vasco.</v>
      </c>
      <c r="H829" s="6" t="str">
        <f>_xlfn.XLOOKUP(frasest[[#This Row],[autor_es]],autorest[autor_es],autorest[bio_la])</f>
        <v>Collectio sententiarum Vasconicarum.</v>
      </c>
      <c r="I829" t="str">
        <f>_xlfn.XLOOKUP(frasest[[#This Row],[autor_es]],autorest[autor_es],autorest[codigo])</f>
        <v>eu</v>
      </c>
      <c r="J829" t="str">
        <f>_xlfn.XLOOKUP(frasest[[#This Row],[autor_es]],autorest[autor_es],autorest[idioma_es])</f>
        <v>Euskara</v>
      </c>
      <c r="K829" s="6" t="str">
        <f>_xlfn.XLOOKUP(frasest[[#This Row],[autor_es]],autorest[autor_es],autorest[idioma_la])</f>
        <v>Lingua Vasconica</v>
      </c>
      <c r="L829" s="6" t="str">
        <f>_xlfn.XLOOKUP(frasest[[#This Row],[autor_es]],autorest[autor_es],autorest[nacion_es])</f>
        <v>España</v>
      </c>
      <c r="M829" t="str">
        <f>_xlfn.XLOOKUP(frasest[[#This Row],[autor_es]],autorest[autor_es],autorest[nacion_la])</f>
        <v>Hispania</v>
      </c>
      <c r="N829" t="str">
        <f>_xlfn.XLOOKUP(frasest[[#This Row],[autor_es]],autorest[autor_es],autorest[epoca_es])</f>
        <v>Epoca Desconocida</v>
      </c>
      <c r="O829" t="str">
        <f>_xlfn.XLOOKUP(frasest[[#This Row],[autor_es]],autorest[autor_es],autorest[epoca_la])</f>
        <v>Epocha Ignota</v>
      </c>
    </row>
    <row r="830" spans="1:15">
      <c r="A830">
        <v>829</v>
      </c>
      <c r="B830" t="s">
        <v>2338</v>
      </c>
      <c r="C830" t="s">
        <v>2339</v>
      </c>
      <c r="D830" t="s">
        <v>2340</v>
      </c>
      <c r="E830" t="s">
        <v>995</v>
      </c>
      <c r="F830" t="str">
        <f>_xlfn.XLOOKUP(frasest[[#This Row],[autor_es]],autorest[autor_es],autorest[autor_la])</f>
        <v>Sententia Vasconica</v>
      </c>
      <c r="G830" s="6" t="str">
        <f>_xlfn.XLOOKUP(frasest[[#This Row],[autor_es]],autorest[autor_es],autorest[bio_es])</f>
        <v>Proverbios de la tradición oral vasca que reflejan la relación con la naturaleza, el trabajo y los valores comunitarios del pueblo vasco.</v>
      </c>
      <c r="H830" s="6" t="str">
        <f>_xlfn.XLOOKUP(frasest[[#This Row],[autor_es]],autorest[autor_es],autorest[bio_la])</f>
        <v>Collectio sententiarum Vasconicarum.</v>
      </c>
      <c r="I830" t="str">
        <f>_xlfn.XLOOKUP(frasest[[#This Row],[autor_es]],autorest[autor_es],autorest[codigo])</f>
        <v>eu</v>
      </c>
      <c r="J830" t="str">
        <f>_xlfn.XLOOKUP(frasest[[#This Row],[autor_es]],autorest[autor_es],autorest[idioma_es])</f>
        <v>Euskara</v>
      </c>
      <c r="K830" s="6" t="str">
        <f>_xlfn.XLOOKUP(frasest[[#This Row],[autor_es]],autorest[autor_es],autorest[idioma_la])</f>
        <v>Lingua Vasconica</v>
      </c>
      <c r="L830" s="6" t="str">
        <f>_xlfn.XLOOKUP(frasest[[#This Row],[autor_es]],autorest[autor_es],autorest[nacion_es])</f>
        <v>España</v>
      </c>
      <c r="M830" t="str">
        <f>_xlfn.XLOOKUP(frasest[[#This Row],[autor_es]],autorest[autor_es],autorest[nacion_la])</f>
        <v>Hispania</v>
      </c>
      <c r="N830" t="str">
        <f>_xlfn.XLOOKUP(frasest[[#This Row],[autor_es]],autorest[autor_es],autorest[epoca_es])</f>
        <v>Epoca Desconocida</v>
      </c>
      <c r="O830" t="str">
        <f>_xlfn.XLOOKUP(frasest[[#This Row],[autor_es]],autorest[autor_es],autorest[epoca_la])</f>
        <v>Epocha Ignota</v>
      </c>
    </row>
    <row r="831" spans="1:15">
      <c r="A831">
        <v>830</v>
      </c>
      <c r="B831" t="s">
        <v>2341</v>
      </c>
      <c r="C831" t="s">
        <v>2342</v>
      </c>
      <c r="D831" t="s">
        <v>2343</v>
      </c>
      <c r="E831" t="s">
        <v>995</v>
      </c>
      <c r="F831" t="str">
        <f>_xlfn.XLOOKUP(frasest[[#This Row],[autor_es]],autorest[autor_es],autorest[autor_la])</f>
        <v>Sententia Vasconica</v>
      </c>
      <c r="G831" s="6" t="str">
        <f>_xlfn.XLOOKUP(frasest[[#This Row],[autor_es]],autorest[autor_es],autorest[bio_es])</f>
        <v>Proverbios de la tradición oral vasca que reflejan la relación con la naturaleza, el trabajo y los valores comunitarios del pueblo vasco.</v>
      </c>
      <c r="H831" s="6" t="str">
        <f>_xlfn.XLOOKUP(frasest[[#This Row],[autor_es]],autorest[autor_es],autorest[bio_la])</f>
        <v>Collectio sententiarum Vasconicarum.</v>
      </c>
      <c r="I831" t="str">
        <f>_xlfn.XLOOKUP(frasest[[#This Row],[autor_es]],autorest[autor_es],autorest[codigo])</f>
        <v>eu</v>
      </c>
      <c r="J831" t="str">
        <f>_xlfn.XLOOKUP(frasest[[#This Row],[autor_es]],autorest[autor_es],autorest[idioma_es])</f>
        <v>Euskara</v>
      </c>
      <c r="K831" s="6" t="str">
        <f>_xlfn.XLOOKUP(frasest[[#This Row],[autor_es]],autorest[autor_es],autorest[idioma_la])</f>
        <v>Lingua Vasconica</v>
      </c>
      <c r="L831" s="6" t="str">
        <f>_xlfn.XLOOKUP(frasest[[#This Row],[autor_es]],autorest[autor_es],autorest[nacion_es])</f>
        <v>España</v>
      </c>
      <c r="M831" t="str">
        <f>_xlfn.XLOOKUP(frasest[[#This Row],[autor_es]],autorest[autor_es],autorest[nacion_la])</f>
        <v>Hispania</v>
      </c>
      <c r="N831" t="str">
        <f>_xlfn.XLOOKUP(frasest[[#This Row],[autor_es]],autorest[autor_es],autorest[epoca_es])</f>
        <v>Epoca Desconocida</v>
      </c>
      <c r="O831" t="str">
        <f>_xlfn.XLOOKUP(frasest[[#This Row],[autor_es]],autorest[autor_es],autorest[epoca_la])</f>
        <v>Epocha Ignota</v>
      </c>
    </row>
    <row r="832" spans="1:15">
      <c r="A832">
        <v>831</v>
      </c>
      <c r="B832" t="s">
        <v>2344</v>
      </c>
      <c r="C832" t="s">
        <v>2345</v>
      </c>
      <c r="D832" t="s">
        <v>2346</v>
      </c>
      <c r="E832" t="s">
        <v>995</v>
      </c>
      <c r="F832" t="str">
        <f>_xlfn.XLOOKUP(frasest[[#This Row],[autor_es]],autorest[autor_es],autorest[autor_la])</f>
        <v>Sententia Vasconica</v>
      </c>
      <c r="G832" s="6" t="str">
        <f>_xlfn.XLOOKUP(frasest[[#This Row],[autor_es]],autorest[autor_es],autorest[bio_es])</f>
        <v>Proverbios de la tradición oral vasca que reflejan la relación con la naturaleza, el trabajo y los valores comunitarios del pueblo vasco.</v>
      </c>
      <c r="H832" s="6" t="str">
        <f>_xlfn.XLOOKUP(frasest[[#This Row],[autor_es]],autorest[autor_es],autorest[bio_la])</f>
        <v>Collectio sententiarum Vasconicarum.</v>
      </c>
      <c r="I832" t="str">
        <f>_xlfn.XLOOKUP(frasest[[#This Row],[autor_es]],autorest[autor_es],autorest[codigo])</f>
        <v>eu</v>
      </c>
      <c r="J832" t="str">
        <f>_xlfn.XLOOKUP(frasest[[#This Row],[autor_es]],autorest[autor_es],autorest[idioma_es])</f>
        <v>Euskara</v>
      </c>
      <c r="K832" s="6" t="str">
        <f>_xlfn.XLOOKUP(frasest[[#This Row],[autor_es]],autorest[autor_es],autorest[idioma_la])</f>
        <v>Lingua Vasconica</v>
      </c>
      <c r="L832" s="6" t="str">
        <f>_xlfn.XLOOKUP(frasest[[#This Row],[autor_es]],autorest[autor_es],autorest[nacion_es])</f>
        <v>España</v>
      </c>
      <c r="M832" t="str">
        <f>_xlfn.XLOOKUP(frasest[[#This Row],[autor_es]],autorest[autor_es],autorest[nacion_la])</f>
        <v>Hispania</v>
      </c>
      <c r="N832" t="str">
        <f>_xlfn.XLOOKUP(frasest[[#This Row],[autor_es]],autorest[autor_es],autorest[epoca_es])</f>
        <v>Epoca Desconocida</v>
      </c>
      <c r="O832" t="str">
        <f>_xlfn.XLOOKUP(frasest[[#This Row],[autor_es]],autorest[autor_es],autorest[epoca_la])</f>
        <v>Epocha Ignota</v>
      </c>
    </row>
    <row r="833" spans="1:15">
      <c r="A833">
        <v>832</v>
      </c>
      <c r="B833" t="s">
        <v>2347</v>
      </c>
      <c r="C833" t="s">
        <v>2348</v>
      </c>
      <c r="D833" t="s">
        <v>2349</v>
      </c>
      <c r="E833" t="s">
        <v>995</v>
      </c>
      <c r="F833" t="str">
        <f>_xlfn.XLOOKUP(frasest[[#This Row],[autor_es]],autorest[autor_es],autorest[autor_la])</f>
        <v>Sententia Vasconica</v>
      </c>
      <c r="G833" s="6" t="str">
        <f>_xlfn.XLOOKUP(frasest[[#This Row],[autor_es]],autorest[autor_es],autorest[bio_es])</f>
        <v>Proverbios de la tradición oral vasca que reflejan la relación con la naturaleza, el trabajo y los valores comunitarios del pueblo vasco.</v>
      </c>
      <c r="H833" s="6" t="str">
        <f>_xlfn.XLOOKUP(frasest[[#This Row],[autor_es]],autorest[autor_es],autorest[bio_la])</f>
        <v>Collectio sententiarum Vasconicarum.</v>
      </c>
      <c r="I833" t="str">
        <f>_xlfn.XLOOKUP(frasest[[#This Row],[autor_es]],autorest[autor_es],autorest[codigo])</f>
        <v>eu</v>
      </c>
      <c r="J833" t="str">
        <f>_xlfn.XLOOKUP(frasest[[#This Row],[autor_es]],autorest[autor_es],autorest[idioma_es])</f>
        <v>Euskara</v>
      </c>
      <c r="K833" s="6" t="str">
        <f>_xlfn.XLOOKUP(frasest[[#This Row],[autor_es]],autorest[autor_es],autorest[idioma_la])</f>
        <v>Lingua Vasconica</v>
      </c>
      <c r="L833" s="6" t="str">
        <f>_xlfn.XLOOKUP(frasest[[#This Row],[autor_es]],autorest[autor_es],autorest[nacion_es])</f>
        <v>España</v>
      </c>
      <c r="M833" t="str">
        <f>_xlfn.XLOOKUP(frasest[[#This Row],[autor_es]],autorest[autor_es],autorest[nacion_la])</f>
        <v>Hispania</v>
      </c>
      <c r="N833" t="str">
        <f>_xlfn.XLOOKUP(frasest[[#This Row],[autor_es]],autorest[autor_es],autorest[epoca_es])</f>
        <v>Epoca Desconocida</v>
      </c>
      <c r="O833" t="str">
        <f>_xlfn.XLOOKUP(frasest[[#This Row],[autor_es]],autorest[autor_es],autorest[epoca_la])</f>
        <v>Epocha Ignota</v>
      </c>
    </row>
    <row r="834" spans="1:15">
      <c r="A834">
        <v>833</v>
      </c>
      <c r="B834" t="s">
        <v>2350</v>
      </c>
      <c r="C834" t="s">
        <v>2351</v>
      </c>
      <c r="D834" t="s">
        <v>2352</v>
      </c>
      <c r="E834" t="s">
        <v>995</v>
      </c>
      <c r="F834" t="str">
        <f>_xlfn.XLOOKUP(frasest[[#This Row],[autor_es]],autorest[autor_es],autorest[autor_la])</f>
        <v>Sententia Vasconica</v>
      </c>
      <c r="G834" s="6" t="str">
        <f>_xlfn.XLOOKUP(frasest[[#This Row],[autor_es]],autorest[autor_es],autorest[bio_es])</f>
        <v>Proverbios de la tradición oral vasca que reflejan la relación con la naturaleza, el trabajo y los valores comunitarios del pueblo vasco.</v>
      </c>
      <c r="H834" s="6" t="str">
        <f>_xlfn.XLOOKUP(frasest[[#This Row],[autor_es]],autorest[autor_es],autorest[bio_la])</f>
        <v>Collectio sententiarum Vasconicarum.</v>
      </c>
      <c r="I834" t="str">
        <f>_xlfn.XLOOKUP(frasest[[#This Row],[autor_es]],autorest[autor_es],autorest[codigo])</f>
        <v>eu</v>
      </c>
      <c r="J834" t="str">
        <f>_xlfn.XLOOKUP(frasest[[#This Row],[autor_es]],autorest[autor_es],autorest[idioma_es])</f>
        <v>Euskara</v>
      </c>
      <c r="K834" s="6" t="str">
        <f>_xlfn.XLOOKUP(frasest[[#This Row],[autor_es]],autorest[autor_es],autorest[idioma_la])</f>
        <v>Lingua Vasconica</v>
      </c>
      <c r="L834" s="6" t="str">
        <f>_xlfn.XLOOKUP(frasest[[#This Row],[autor_es]],autorest[autor_es],autorest[nacion_es])</f>
        <v>España</v>
      </c>
      <c r="M834" t="str">
        <f>_xlfn.XLOOKUP(frasest[[#This Row],[autor_es]],autorest[autor_es],autorest[nacion_la])</f>
        <v>Hispania</v>
      </c>
      <c r="N834" t="str">
        <f>_xlfn.XLOOKUP(frasest[[#This Row],[autor_es]],autorest[autor_es],autorest[epoca_es])</f>
        <v>Epoca Desconocida</v>
      </c>
      <c r="O834" t="str">
        <f>_xlfn.XLOOKUP(frasest[[#This Row],[autor_es]],autorest[autor_es],autorest[epoca_la])</f>
        <v>Epocha Ignota</v>
      </c>
    </row>
    <row r="835" spans="1:15">
      <c r="A835">
        <v>834</v>
      </c>
      <c r="B835" t="s">
        <v>2353</v>
      </c>
      <c r="C835" t="s">
        <v>2354</v>
      </c>
      <c r="D835" t="s">
        <v>2355</v>
      </c>
      <c r="E835" t="s">
        <v>995</v>
      </c>
      <c r="F835" t="str">
        <f>_xlfn.XLOOKUP(frasest[[#This Row],[autor_es]],autorest[autor_es],autorest[autor_la])</f>
        <v>Sententia Vasconica</v>
      </c>
      <c r="G835" s="6" t="str">
        <f>_xlfn.XLOOKUP(frasest[[#This Row],[autor_es]],autorest[autor_es],autorest[bio_es])</f>
        <v>Proverbios de la tradición oral vasca que reflejan la relación con la naturaleza, el trabajo y los valores comunitarios del pueblo vasco.</v>
      </c>
      <c r="H835" s="6" t="str">
        <f>_xlfn.XLOOKUP(frasest[[#This Row],[autor_es]],autorest[autor_es],autorest[bio_la])</f>
        <v>Collectio sententiarum Vasconicarum.</v>
      </c>
      <c r="I835" t="str">
        <f>_xlfn.XLOOKUP(frasest[[#This Row],[autor_es]],autorest[autor_es],autorest[codigo])</f>
        <v>eu</v>
      </c>
      <c r="J835" t="str">
        <f>_xlfn.XLOOKUP(frasest[[#This Row],[autor_es]],autorest[autor_es],autorest[idioma_es])</f>
        <v>Euskara</v>
      </c>
      <c r="K835" s="6" t="str">
        <f>_xlfn.XLOOKUP(frasest[[#This Row],[autor_es]],autorest[autor_es],autorest[idioma_la])</f>
        <v>Lingua Vasconica</v>
      </c>
      <c r="L835" s="6" t="str">
        <f>_xlfn.XLOOKUP(frasest[[#This Row],[autor_es]],autorest[autor_es],autorest[nacion_es])</f>
        <v>España</v>
      </c>
      <c r="M835" t="str">
        <f>_xlfn.XLOOKUP(frasest[[#This Row],[autor_es]],autorest[autor_es],autorest[nacion_la])</f>
        <v>Hispania</v>
      </c>
      <c r="N835" t="str">
        <f>_xlfn.XLOOKUP(frasest[[#This Row],[autor_es]],autorest[autor_es],autorest[epoca_es])</f>
        <v>Epoca Desconocida</v>
      </c>
      <c r="O835" t="str">
        <f>_xlfn.XLOOKUP(frasest[[#This Row],[autor_es]],autorest[autor_es],autorest[epoca_la])</f>
        <v>Epocha Ignota</v>
      </c>
    </row>
    <row r="836" spans="1:15">
      <c r="A836">
        <v>835</v>
      </c>
      <c r="B836" t="s">
        <v>2356</v>
      </c>
      <c r="C836" t="s">
        <v>2357</v>
      </c>
      <c r="D836" t="s">
        <v>1978</v>
      </c>
      <c r="E836" t="s">
        <v>995</v>
      </c>
      <c r="F836" t="str">
        <f>_xlfn.XLOOKUP(frasest[[#This Row],[autor_es]],autorest[autor_es],autorest[autor_la])</f>
        <v>Sententia Vasconica</v>
      </c>
      <c r="G836" s="6" t="str">
        <f>_xlfn.XLOOKUP(frasest[[#This Row],[autor_es]],autorest[autor_es],autorest[bio_es])</f>
        <v>Proverbios de la tradición oral vasca que reflejan la relación con la naturaleza, el trabajo y los valores comunitarios del pueblo vasco.</v>
      </c>
      <c r="H836" s="6" t="str">
        <f>_xlfn.XLOOKUP(frasest[[#This Row],[autor_es]],autorest[autor_es],autorest[bio_la])</f>
        <v>Collectio sententiarum Vasconicarum.</v>
      </c>
      <c r="I836" t="str">
        <f>_xlfn.XLOOKUP(frasest[[#This Row],[autor_es]],autorest[autor_es],autorest[codigo])</f>
        <v>eu</v>
      </c>
      <c r="J836" t="str">
        <f>_xlfn.XLOOKUP(frasest[[#This Row],[autor_es]],autorest[autor_es],autorest[idioma_es])</f>
        <v>Euskara</v>
      </c>
      <c r="K836" s="6" t="str">
        <f>_xlfn.XLOOKUP(frasest[[#This Row],[autor_es]],autorest[autor_es],autorest[idioma_la])</f>
        <v>Lingua Vasconica</v>
      </c>
      <c r="L836" s="6" t="str">
        <f>_xlfn.XLOOKUP(frasest[[#This Row],[autor_es]],autorest[autor_es],autorest[nacion_es])</f>
        <v>España</v>
      </c>
      <c r="M836" t="str">
        <f>_xlfn.XLOOKUP(frasest[[#This Row],[autor_es]],autorest[autor_es],autorest[nacion_la])</f>
        <v>Hispania</v>
      </c>
      <c r="N836" t="str">
        <f>_xlfn.XLOOKUP(frasest[[#This Row],[autor_es]],autorest[autor_es],autorest[epoca_es])</f>
        <v>Epoca Desconocida</v>
      </c>
      <c r="O836" t="str">
        <f>_xlfn.XLOOKUP(frasest[[#This Row],[autor_es]],autorest[autor_es],autorest[epoca_la])</f>
        <v>Epocha Ignota</v>
      </c>
    </row>
    <row r="837" spans="1:15">
      <c r="A837">
        <v>836</v>
      </c>
      <c r="B837" t="s">
        <v>2358</v>
      </c>
      <c r="C837" t="s">
        <v>2359</v>
      </c>
      <c r="D837" t="s">
        <v>2360</v>
      </c>
      <c r="E837" t="s">
        <v>995</v>
      </c>
      <c r="F837" t="str">
        <f>_xlfn.XLOOKUP(frasest[[#This Row],[autor_es]],autorest[autor_es],autorest[autor_la])</f>
        <v>Sententia Vasconica</v>
      </c>
      <c r="G837" s="6" t="str">
        <f>_xlfn.XLOOKUP(frasest[[#This Row],[autor_es]],autorest[autor_es],autorest[bio_es])</f>
        <v>Proverbios de la tradición oral vasca que reflejan la relación con la naturaleza, el trabajo y los valores comunitarios del pueblo vasco.</v>
      </c>
      <c r="H837" s="6" t="str">
        <f>_xlfn.XLOOKUP(frasest[[#This Row],[autor_es]],autorest[autor_es],autorest[bio_la])</f>
        <v>Collectio sententiarum Vasconicarum.</v>
      </c>
      <c r="I837" t="str">
        <f>_xlfn.XLOOKUP(frasest[[#This Row],[autor_es]],autorest[autor_es],autorest[codigo])</f>
        <v>eu</v>
      </c>
      <c r="J837" t="str">
        <f>_xlfn.XLOOKUP(frasest[[#This Row],[autor_es]],autorest[autor_es],autorest[idioma_es])</f>
        <v>Euskara</v>
      </c>
      <c r="K837" s="6" t="str">
        <f>_xlfn.XLOOKUP(frasest[[#This Row],[autor_es]],autorest[autor_es],autorest[idioma_la])</f>
        <v>Lingua Vasconica</v>
      </c>
      <c r="L837" s="6" t="str">
        <f>_xlfn.XLOOKUP(frasest[[#This Row],[autor_es]],autorest[autor_es],autorest[nacion_es])</f>
        <v>España</v>
      </c>
      <c r="M837" t="str">
        <f>_xlfn.XLOOKUP(frasest[[#This Row],[autor_es]],autorest[autor_es],autorest[nacion_la])</f>
        <v>Hispania</v>
      </c>
      <c r="N837" t="str">
        <f>_xlfn.XLOOKUP(frasest[[#This Row],[autor_es]],autorest[autor_es],autorest[epoca_es])</f>
        <v>Epoca Desconocida</v>
      </c>
      <c r="O837" t="str">
        <f>_xlfn.XLOOKUP(frasest[[#This Row],[autor_es]],autorest[autor_es],autorest[epoca_la])</f>
        <v>Epocha Ignota</v>
      </c>
    </row>
    <row r="838" spans="1:15">
      <c r="A838">
        <v>837</v>
      </c>
      <c r="B838" t="s">
        <v>2361</v>
      </c>
      <c r="C838" t="s">
        <v>2362</v>
      </c>
      <c r="D838" t="s">
        <v>2363</v>
      </c>
      <c r="E838" t="s">
        <v>995</v>
      </c>
      <c r="F838" t="str">
        <f>_xlfn.XLOOKUP(frasest[[#This Row],[autor_es]],autorest[autor_es],autorest[autor_la])</f>
        <v>Sententia Vasconica</v>
      </c>
      <c r="G838" s="6" t="str">
        <f>_xlfn.XLOOKUP(frasest[[#This Row],[autor_es]],autorest[autor_es],autorest[bio_es])</f>
        <v>Proverbios de la tradición oral vasca que reflejan la relación con la naturaleza, el trabajo y los valores comunitarios del pueblo vasco.</v>
      </c>
      <c r="H838" s="6" t="str">
        <f>_xlfn.XLOOKUP(frasest[[#This Row],[autor_es]],autorest[autor_es],autorest[bio_la])</f>
        <v>Collectio sententiarum Vasconicarum.</v>
      </c>
      <c r="I838" t="str">
        <f>_xlfn.XLOOKUP(frasest[[#This Row],[autor_es]],autorest[autor_es],autorest[codigo])</f>
        <v>eu</v>
      </c>
      <c r="J838" t="str">
        <f>_xlfn.XLOOKUP(frasest[[#This Row],[autor_es]],autorest[autor_es],autorest[idioma_es])</f>
        <v>Euskara</v>
      </c>
      <c r="K838" s="6" t="str">
        <f>_xlfn.XLOOKUP(frasest[[#This Row],[autor_es]],autorest[autor_es],autorest[idioma_la])</f>
        <v>Lingua Vasconica</v>
      </c>
      <c r="L838" s="6" t="str">
        <f>_xlfn.XLOOKUP(frasest[[#This Row],[autor_es]],autorest[autor_es],autorest[nacion_es])</f>
        <v>España</v>
      </c>
      <c r="M838" t="str">
        <f>_xlfn.XLOOKUP(frasest[[#This Row],[autor_es]],autorest[autor_es],autorest[nacion_la])</f>
        <v>Hispania</v>
      </c>
      <c r="N838" t="str">
        <f>_xlfn.XLOOKUP(frasest[[#This Row],[autor_es]],autorest[autor_es],autorest[epoca_es])</f>
        <v>Epoca Desconocida</v>
      </c>
      <c r="O838" t="str">
        <f>_xlfn.XLOOKUP(frasest[[#This Row],[autor_es]],autorest[autor_es],autorest[epoca_la])</f>
        <v>Epocha Ignota</v>
      </c>
    </row>
    <row r="839" spans="1:15">
      <c r="A839">
        <v>838</v>
      </c>
      <c r="B839" t="s">
        <v>2364</v>
      </c>
      <c r="C839" t="s">
        <v>2365</v>
      </c>
      <c r="D839" t="s">
        <v>2366</v>
      </c>
      <c r="E839" t="s">
        <v>995</v>
      </c>
      <c r="F839" t="str">
        <f>_xlfn.XLOOKUP(frasest[[#This Row],[autor_es]],autorest[autor_es],autorest[autor_la])</f>
        <v>Sententia Vasconica</v>
      </c>
      <c r="G839" s="6" t="str">
        <f>_xlfn.XLOOKUP(frasest[[#This Row],[autor_es]],autorest[autor_es],autorest[bio_es])</f>
        <v>Proverbios de la tradición oral vasca que reflejan la relación con la naturaleza, el trabajo y los valores comunitarios del pueblo vasco.</v>
      </c>
      <c r="H839" s="6" t="str">
        <f>_xlfn.XLOOKUP(frasest[[#This Row],[autor_es]],autorest[autor_es],autorest[bio_la])</f>
        <v>Collectio sententiarum Vasconicarum.</v>
      </c>
      <c r="I839" t="str">
        <f>_xlfn.XLOOKUP(frasest[[#This Row],[autor_es]],autorest[autor_es],autorest[codigo])</f>
        <v>eu</v>
      </c>
      <c r="J839" t="str">
        <f>_xlfn.XLOOKUP(frasest[[#This Row],[autor_es]],autorest[autor_es],autorest[idioma_es])</f>
        <v>Euskara</v>
      </c>
      <c r="K839" s="6" t="str">
        <f>_xlfn.XLOOKUP(frasest[[#This Row],[autor_es]],autorest[autor_es],autorest[idioma_la])</f>
        <v>Lingua Vasconica</v>
      </c>
      <c r="L839" s="6" t="str">
        <f>_xlfn.XLOOKUP(frasest[[#This Row],[autor_es]],autorest[autor_es],autorest[nacion_es])</f>
        <v>España</v>
      </c>
      <c r="M839" t="str">
        <f>_xlfn.XLOOKUP(frasest[[#This Row],[autor_es]],autorest[autor_es],autorest[nacion_la])</f>
        <v>Hispania</v>
      </c>
      <c r="N839" t="str">
        <f>_xlfn.XLOOKUP(frasest[[#This Row],[autor_es]],autorest[autor_es],autorest[epoca_es])</f>
        <v>Epoca Desconocida</v>
      </c>
      <c r="O839" t="str">
        <f>_xlfn.XLOOKUP(frasest[[#This Row],[autor_es]],autorest[autor_es],autorest[epoca_la])</f>
        <v>Epocha Ignota</v>
      </c>
    </row>
    <row r="840" spans="1:15">
      <c r="A840">
        <v>839</v>
      </c>
      <c r="B840" t="s">
        <v>2367</v>
      </c>
      <c r="C840" t="s">
        <v>2368</v>
      </c>
      <c r="D840" t="s">
        <v>2369</v>
      </c>
      <c r="E840" t="s">
        <v>995</v>
      </c>
      <c r="F840" t="str">
        <f>_xlfn.XLOOKUP(frasest[[#This Row],[autor_es]],autorest[autor_es],autorest[autor_la])</f>
        <v>Sententia Vasconica</v>
      </c>
      <c r="G840" s="6" t="str">
        <f>_xlfn.XLOOKUP(frasest[[#This Row],[autor_es]],autorest[autor_es],autorest[bio_es])</f>
        <v>Proverbios de la tradición oral vasca que reflejan la relación con la naturaleza, el trabajo y los valores comunitarios del pueblo vasco.</v>
      </c>
      <c r="H840" s="6" t="str">
        <f>_xlfn.XLOOKUP(frasest[[#This Row],[autor_es]],autorest[autor_es],autorest[bio_la])</f>
        <v>Collectio sententiarum Vasconicarum.</v>
      </c>
      <c r="I840" t="str">
        <f>_xlfn.XLOOKUP(frasest[[#This Row],[autor_es]],autorest[autor_es],autorest[codigo])</f>
        <v>eu</v>
      </c>
      <c r="J840" t="str">
        <f>_xlfn.XLOOKUP(frasest[[#This Row],[autor_es]],autorest[autor_es],autorest[idioma_es])</f>
        <v>Euskara</v>
      </c>
      <c r="K840" s="6" t="str">
        <f>_xlfn.XLOOKUP(frasest[[#This Row],[autor_es]],autorest[autor_es],autorest[idioma_la])</f>
        <v>Lingua Vasconica</v>
      </c>
      <c r="L840" s="6" t="str">
        <f>_xlfn.XLOOKUP(frasest[[#This Row],[autor_es]],autorest[autor_es],autorest[nacion_es])</f>
        <v>España</v>
      </c>
      <c r="M840" t="str">
        <f>_xlfn.XLOOKUP(frasest[[#This Row],[autor_es]],autorest[autor_es],autorest[nacion_la])</f>
        <v>Hispania</v>
      </c>
      <c r="N840" t="str">
        <f>_xlfn.XLOOKUP(frasest[[#This Row],[autor_es]],autorest[autor_es],autorest[epoca_es])</f>
        <v>Epoca Desconocida</v>
      </c>
      <c r="O840" t="str">
        <f>_xlfn.XLOOKUP(frasest[[#This Row],[autor_es]],autorest[autor_es],autorest[epoca_la])</f>
        <v>Epocha Ignota</v>
      </c>
    </row>
    <row r="841" spans="1:15">
      <c r="A841">
        <v>840</v>
      </c>
      <c r="B841" t="s">
        <v>2370</v>
      </c>
      <c r="C841" t="s">
        <v>2371</v>
      </c>
      <c r="D841" t="s">
        <v>2372</v>
      </c>
      <c r="E841" t="s">
        <v>995</v>
      </c>
      <c r="F841" t="str">
        <f>_xlfn.XLOOKUP(frasest[[#This Row],[autor_es]],autorest[autor_es],autorest[autor_la])</f>
        <v>Sententia Vasconica</v>
      </c>
      <c r="G841" s="6" t="str">
        <f>_xlfn.XLOOKUP(frasest[[#This Row],[autor_es]],autorest[autor_es],autorest[bio_es])</f>
        <v>Proverbios de la tradición oral vasca que reflejan la relación con la naturaleza, el trabajo y los valores comunitarios del pueblo vasco.</v>
      </c>
      <c r="H841" s="6" t="str">
        <f>_xlfn.XLOOKUP(frasest[[#This Row],[autor_es]],autorest[autor_es],autorest[bio_la])</f>
        <v>Collectio sententiarum Vasconicarum.</v>
      </c>
      <c r="I841" t="str">
        <f>_xlfn.XLOOKUP(frasest[[#This Row],[autor_es]],autorest[autor_es],autorest[codigo])</f>
        <v>eu</v>
      </c>
      <c r="J841" t="str">
        <f>_xlfn.XLOOKUP(frasest[[#This Row],[autor_es]],autorest[autor_es],autorest[idioma_es])</f>
        <v>Euskara</v>
      </c>
      <c r="K841" s="6" t="str">
        <f>_xlfn.XLOOKUP(frasest[[#This Row],[autor_es]],autorest[autor_es],autorest[idioma_la])</f>
        <v>Lingua Vasconica</v>
      </c>
      <c r="L841" s="6" t="str">
        <f>_xlfn.XLOOKUP(frasest[[#This Row],[autor_es]],autorest[autor_es],autorest[nacion_es])</f>
        <v>España</v>
      </c>
      <c r="M841" t="str">
        <f>_xlfn.XLOOKUP(frasest[[#This Row],[autor_es]],autorest[autor_es],autorest[nacion_la])</f>
        <v>Hispania</v>
      </c>
      <c r="N841" t="str">
        <f>_xlfn.XLOOKUP(frasest[[#This Row],[autor_es]],autorest[autor_es],autorest[epoca_es])</f>
        <v>Epoca Desconocida</v>
      </c>
      <c r="O841" t="str">
        <f>_xlfn.XLOOKUP(frasest[[#This Row],[autor_es]],autorest[autor_es],autorest[epoca_la])</f>
        <v>Epocha Ignota</v>
      </c>
    </row>
    <row r="842" spans="1:15">
      <c r="A842">
        <v>841</v>
      </c>
      <c r="B842" t="s">
        <v>2373</v>
      </c>
      <c r="C842" t="s">
        <v>2374</v>
      </c>
      <c r="D842" t="s">
        <v>2375</v>
      </c>
      <c r="E842" t="s">
        <v>995</v>
      </c>
      <c r="F842" t="str">
        <f>_xlfn.XLOOKUP(frasest[[#This Row],[autor_es]],autorest[autor_es],autorest[autor_la])</f>
        <v>Sententia Vasconica</v>
      </c>
      <c r="G842" s="6" t="str">
        <f>_xlfn.XLOOKUP(frasest[[#This Row],[autor_es]],autorest[autor_es],autorest[bio_es])</f>
        <v>Proverbios de la tradición oral vasca que reflejan la relación con la naturaleza, el trabajo y los valores comunitarios del pueblo vasco.</v>
      </c>
      <c r="H842" s="6" t="str">
        <f>_xlfn.XLOOKUP(frasest[[#This Row],[autor_es]],autorest[autor_es],autorest[bio_la])</f>
        <v>Collectio sententiarum Vasconicarum.</v>
      </c>
      <c r="I842" t="str">
        <f>_xlfn.XLOOKUP(frasest[[#This Row],[autor_es]],autorest[autor_es],autorest[codigo])</f>
        <v>eu</v>
      </c>
      <c r="J842" t="str">
        <f>_xlfn.XLOOKUP(frasest[[#This Row],[autor_es]],autorest[autor_es],autorest[idioma_es])</f>
        <v>Euskara</v>
      </c>
      <c r="K842" s="6" t="str">
        <f>_xlfn.XLOOKUP(frasest[[#This Row],[autor_es]],autorest[autor_es],autorest[idioma_la])</f>
        <v>Lingua Vasconica</v>
      </c>
      <c r="L842" s="6" t="str">
        <f>_xlfn.XLOOKUP(frasest[[#This Row],[autor_es]],autorest[autor_es],autorest[nacion_es])</f>
        <v>España</v>
      </c>
      <c r="M842" t="str">
        <f>_xlfn.XLOOKUP(frasest[[#This Row],[autor_es]],autorest[autor_es],autorest[nacion_la])</f>
        <v>Hispania</v>
      </c>
      <c r="N842" t="str">
        <f>_xlfn.XLOOKUP(frasest[[#This Row],[autor_es]],autorest[autor_es],autorest[epoca_es])</f>
        <v>Epoca Desconocida</v>
      </c>
      <c r="O842" t="str">
        <f>_xlfn.XLOOKUP(frasest[[#This Row],[autor_es]],autorest[autor_es],autorest[epoca_la])</f>
        <v>Epocha Ignota</v>
      </c>
    </row>
    <row r="843" spans="1:15">
      <c r="A843">
        <v>842</v>
      </c>
      <c r="B843" t="s">
        <v>2376</v>
      </c>
      <c r="C843" t="s">
        <v>2377</v>
      </c>
      <c r="D843" t="s">
        <v>2378</v>
      </c>
      <c r="E843" t="s">
        <v>995</v>
      </c>
      <c r="F843" t="str">
        <f>_xlfn.XLOOKUP(frasest[[#This Row],[autor_es]],autorest[autor_es],autorest[autor_la])</f>
        <v>Sententia Vasconica</v>
      </c>
      <c r="G843" s="6" t="str">
        <f>_xlfn.XLOOKUP(frasest[[#This Row],[autor_es]],autorest[autor_es],autorest[bio_es])</f>
        <v>Proverbios de la tradición oral vasca que reflejan la relación con la naturaleza, el trabajo y los valores comunitarios del pueblo vasco.</v>
      </c>
      <c r="H843" s="6" t="str">
        <f>_xlfn.XLOOKUP(frasest[[#This Row],[autor_es]],autorest[autor_es],autorest[bio_la])</f>
        <v>Collectio sententiarum Vasconicarum.</v>
      </c>
      <c r="I843" t="str">
        <f>_xlfn.XLOOKUP(frasest[[#This Row],[autor_es]],autorest[autor_es],autorest[codigo])</f>
        <v>eu</v>
      </c>
      <c r="J843" t="str">
        <f>_xlfn.XLOOKUP(frasest[[#This Row],[autor_es]],autorest[autor_es],autorest[idioma_es])</f>
        <v>Euskara</v>
      </c>
      <c r="K843" s="6" t="str">
        <f>_xlfn.XLOOKUP(frasest[[#This Row],[autor_es]],autorest[autor_es],autorest[idioma_la])</f>
        <v>Lingua Vasconica</v>
      </c>
      <c r="L843" s="6" t="str">
        <f>_xlfn.XLOOKUP(frasest[[#This Row],[autor_es]],autorest[autor_es],autorest[nacion_es])</f>
        <v>España</v>
      </c>
      <c r="M843" t="str">
        <f>_xlfn.XLOOKUP(frasest[[#This Row],[autor_es]],autorest[autor_es],autorest[nacion_la])</f>
        <v>Hispania</v>
      </c>
      <c r="N843" t="str">
        <f>_xlfn.XLOOKUP(frasest[[#This Row],[autor_es]],autorest[autor_es],autorest[epoca_es])</f>
        <v>Epoca Desconocida</v>
      </c>
      <c r="O843" t="str">
        <f>_xlfn.XLOOKUP(frasest[[#This Row],[autor_es]],autorest[autor_es],autorest[epoca_la])</f>
        <v>Epocha Ignota</v>
      </c>
    </row>
    <row r="844" spans="1:15">
      <c r="A844">
        <v>843</v>
      </c>
      <c r="B844" t="s">
        <v>2379</v>
      </c>
      <c r="C844" t="s">
        <v>2380</v>
      </c>
      <c r="D844" t="s">
        <v>1984</v>
      </c>
      <c r="E844" t="s">
        <v>995</v>
      </c>
      <c r="F844" t="str">
        <f>_xlfn.XLOOKUP(frasest[[#This Row],[autor_es]],autorest[autor_es],autorest[autor_la])</f>
        <v>Sententia Vasconica</v>
      </c>
      <c r="G844" s="6" t="str">
        <f>_xlfn.XLOOKUP(frasest[[#This Row],[autor_es]],autorest[autor_es],autorest[bio_es])</f>
        <v>Proverbios de la tradición oral vasca que reflejan la relación con la naturaleza, el trabajo y los valores comunitarios del pueblo vasco.</v>
      </c>
      <c r="H844" s="6" t="str">
        <f>_xlfn.XLOOKUP(frasest[[#This Row],[autor_es]],autorest[autor_es],autorest[bio_la])</f>
        <v>Collectio sententiarum Vasconicarum.</v>
      </c>
      <c r="I844" t="str">
        <f>_xlfn.XLOOKUP(frasest[[#This Row],[autor_es]],autorest[autor_es],autorest[codigo])</f>
        <v>eu</v>
      </c>
      <c r="J844" t="str">
        <f>_xlfn.XLOOKUP(frasest[[#This Row],[autor_es]],autorest[autor_es],autorest[idioma_es])</f>
        <v>Euskara</v>
      </c>
      <c r="K844" s="6" t="str">
        <f>_xlfn.XLOOKUP(frasest[[#This Row],[autor_es]],autorest[autor_es],autorest[idioma_la])</f>
        <v>Lingua Vasconica</v>
      </c>
      <c r="L844" s="6" t="str">
        <f>_xlfn.XLOOKUP(frasest[[#This Row],[autor_es]],autorest[autor_es],autorest[nacion_es])</f>
        <v>España</v>
      </c>
      <c r="M844" t="str">
        <f>_xlfn.XLOOKUP(frasest[[#This Row],[autor_es]],autorest[autor_es],autorest[nacion_la])</f>
        <v>Hispania</v>
      </c>
      <c r="N844" t="str">
        <f>_xlfn.XLOOKUP(frasest[[#This Row],[autor_es]],autorest[autor_es],autorest[epoca_es])</f>
        <v>Epoca Desconocida</v>
      </c>
      <c r="O844" t="str">
        <f>_xlfn.XLOOKUP(frasest[[#This Row],[autor_es]],autorest[autor_es],autorest[epoca_la])</f>
        <v>Epocha Ignota</v>
      </c>
    </row>
    <row r="845" spans="1:15">
      <c r="A845">
        <v>844</v>
      </c>
      <c r="B845" t="s">
        <v>2381</v>
      </c>
      <c r="C845" t="s">
        <v>2382</v>
      </c>
      <c r="D845" t="s">
        <v>2383</v>
      </c>
      <c r="E845" t="s">
        <v>995</v>
      </c>
      <c r="F845" t="str">
        <f>_xlfn.XLOOKUP(frasest[[#This Row],[autor_es]],autorest[autor_es],autorest[autor_la])</f>
        <v>Sententia Vasconica</v>
      </c>
      <c r="G845" s="6" t="str">
        <f>_xlfn.XLOOKUP(frasest[[#This Row],[autor_es]],autorest[autor_es],autorest[bio_es])</f>
        <v>Proverbios de la tradición oral vasca que reflejan la relación con la naturaleza, el trabajo y los valores comunitarios del pueblo vasco.</v>
      </c>
      <c r="H845" s="6" t="str">
        <f>_xlfn.XLOOKUP(frasest[[#This Row],[autor_es]],autorest[autor_es],autorest[bio_la])</f>
        <v>Collectio sententiarum Vasconicarum.</v>
      </c>
      <c r="I845" t="str">
        <f>_xlfn.XLOOKUP(frasest[[#This Row],[autor_es]],autorest[autor_es],autorest[codigo])</f>
        <v>eu</v>
      </c>
      <c r="J845" t="str">
        <f>_xlfn.XLOOKUP(frasest[[#This Row],[autor_es]],autorest[autor_es],autorest[idioma_es])</f>
        <v>Euskara</v>
      </c>
      <c r="K845" s="6" t="str">
        <f>_xlfn.XLOOKUP(frasest[[#This Row],[autor_es]],autorest[autor_es],autorest[idioma_la])</f>
        <v>Lingua Vasconica</v>
      </c>
      <c r="L845" s="6" t="str">
        <f>_xlfn.XLOOKUP(frasest[[#This Row],[autor_es]],autorest[autor_es],autorest[nacion_es])</f>
        <v>España</v>
      </c>
      <c r="M845" t="str">
        <f>_xlfn.XLOOKUP(frasest[[#This Row],[autor_es]],autorest[autor_es],autorest[nacion_la])</f>
        <v>Hispania</v>
      </c>
      <c r="N845" t="str">
        <f>_xlfn.XLOOKUP(frasest[[#This Row],[autor_es]],autorest[autor_es],autorest[epoca_es])</f>
        <v>Epoca Desconocida</v>
      </c>
      <c r="O845" t="str">
        <f>_xlfn.XLOOKUP(frasest[[#This Row],[autor_es]],autorest[autor_es],autorest[epoca_la])</f>
        <v>Epocha Ignota</v>
      </c>
    </row>
    <row r="846" spans="1:15">
      <c r="A846">
        <v>845</v>
      </c>
      <c r="B846" t="s">
        <v>2384</v>
      </c>
      <c r="C846" t="s">
        <v>2385</v>
      </c>
      <c r="D846" t="s">
        <v>1990</v>
      </c>
      <c r="E846" t="s">
        <v>995</v>
      </c>
      <c r="F846" t="str">
        <f>_xlfn.XLOOKUP(frasest[[#This Row],[autor_es]],autorest[autor_es],autorest[autor_la])</f>
        <v>Sententia Vasconica</v>
      </c>
      <c r="G846" s="6" t="str">
        <f>_xlfn.XLOOKUP(frasest[[#This Row],[autor_es]],autorest[autor_es],autorest[bio_es])</f>
        <v>Proverbios de la tradición oral vasca que reflejan la relación con la naturaleza, el trabajo y los valores comunitarios del pueblo vasco.</v>
      </c>
      <c r="H846" s="6" t="str">
        <f>_xlfn.XLOOKUP(frasest[[#This Row],[autor_es]],autorest[autor_es],autorest[bio_la])</f>
        <v>Collectio sententiarum Vasconicarum.</v>
      </c>
      <c r="I846" t="str">
        <f>_xlfn.XLOOKUP(frasest[[#This Row],[autor_es]],autorest[autor_es],autorest[codigo])</f>
        <v>eu</v>
      </c>
      <c r="J846" t="str">
        <f>_xlfn.XLOOKUP(frasest[[#This Row],[autor_es]],autorest[autor_es],autorest[idioma_es])</f>
        <v>Euskara</v>
      </c>
      <c r="K846" s="6" t="str">
        <f>_xlfn.XLOOKUP(frasest[[#This Row],[autor_es]],autorest[autor_es],autorest[idioma_la])</f>
        <v>Lingua Vasconica</v>
      </c>
      <c r="L846" s="6" t="str">
        <f>_xlfn.XLOOKUP(frasest[[#This Row],[autor_es]],autorest[autor_es],autorest[nacion_es])</f>
        <v>España</v>
      </c>
      <c r="M846" t="str">
        <f>_xlfn.XLOOKUP(frasest[[#This Row],[autor_es]],autorest[autor_es],autorest[nacion_la])</f>
        <v>Hispania</v>
      </c>
      <c r="N846" t="str">
        <f>_xlfn.XLOOKUP(frasest[[#This Row],[autor_es]],autorest[autor_es],autorest[epoca_es])</f>
        <v>Epoca Desconocida</v>
      </c>
      <c r="O846" t="str">
        <f>_xlfn.XLOOKUP(frasest[[#This Row],[autor_es]],autorest[autor_es],autorest[epoca_la])</f>
        <v>Epocha Ignota</v>
      </c>
    </row>
    <row r="847" spans="1:15">
      <c r="A847">
        <v>846</v>
      </c>
      <c r="B847" t="s">
        <v>2386</v>
      </c>
      <c r="C847" t="s">
        <v>2387</v>
      </c>
      <c r="D847" t="s">
        <v>2388</v>
      </c>
      <c r="E847" t="s">
        <v>995</v>
      </c>
      <c r="F847" t="str">
        <f>_xlfn.XLOOKUP(frasest[[#This Row],[autor_es]],autorest[autor_es],autorest[autor_la])</f>
        <v>Sententia Vasconica</v>
      </c>
      <c r="G847" s="6" t="str">
        <f>_xlfn.XLOOKUP(frasest[[#This Row],[autor_es]],autorest[autor_es],autorest[bio_es])</f>
        <v>Proverbios de la tradición oral vasca que reflejan la relación con la naturaleza, el trabajo y los valores comunitarios del pueblo vasco.</v>
      </c>
      <c r="H847" s="6" t="str">
        <f>_xlfn.XLOOKUP(frasest[[#This Row],[autor_es]],autorest[autor_es],autorest[bio_la])</f>
        <v>Collectio sententiarum Vasconicarum.</v>
      </c>
      <c r="I847" t="str">
        <f>_xlfn.XLOOKUP(frasest[[#This Row],[autor_es]],autorest[autor_es],autorest[codigo])</f>
        <v>eu</v>
      </c>
      <c r="J847" t="str">
        <f>_xlfn.XLOOKUP(frasest[[#This Row],[autor_es]],autorest[autor_es],autorest[idioma_es])</f>
        <v>Euskara</v>
      </c>
      <c r="K847" s="6" t="str">
        <f>_xlfn.XLOOKUP(frasest[[#This Row],[autor_es]],autorest[autor_es],autorest[idioma_la])</f>
        <v>Lingua Vasconica</v>
      </c>
      <c r="L847" s="6" t="str">
        <f>_xlfn.XLOOKUP(frasest[[#This Row],[autor_es]],autorest[autor_es],autorest[nacion_es])</f>
        <v>España</v>
      </c>
      <c r="M847" t="str">
        <f>_xlfn.XLOOKUP(frasest[[#This Row],[autor_es]],autorest[autor_es],autorest[nacion_la])</f>
        <v>Hispania</v>
      </c>
      <c r="N847" t="str">
        <f>_xlfn.XLOOKUP(frasest[[#This Row],[autor_es]],autorest[autor_es],autorest[epoca_es])</f>
        <v>Epoca Desconocida</v>
      </c>
      <c r="O847" t="str">
        <f>_xlfn.XLOOKUP(frasest[[#This Row],[autor_es]],autorest[autor_es],autorest[epoca_la])</f>
        <v>Epocha Ignota</v>
      </c>
    </row>
    <row r="848" spans="1:15">
      <c r="A848">
        <v>847</v>
      </c>
      <c r="B848" t="s">
        <v>2389</v>
      </c>
      <c r="C848" t="s">
        <v>2390</v>
      </c>
      <c r="D848" t="s">
        <v>2391</v>
      </c>
      <c r="E848" t="s">
        <v>995</v>
      </c>
      <c r="F848" t="str">
        <f>_xlfn.XLOOKUP(frasest[[#This Row],[autor_es]],autorest[autor_es],autorest[autor_la])</f>
        <v>Sententia Vasconica</v>
      </c>
      <c r="G848" s="6" t="str">
        <f>_xlfn.XLOOKUP(frasest[[#This Row],[autor_es]],autorest[autor_es],autorest[bio_es])</f>
        <v>Proverbios de la tradición oral vasca que reflejan la relación con la naturaleza, el trabajo y los valores comunitarios del pueblo vasco.</v>
      </c>
      <c r="H848" s="6" t="str">
        <f>_xlfn.XLOOKUP(frasest[[#This Row],[autor_es]],autorest[autor_es],autorest[bio_la])</f>
        <v>Collectio sententiarum Vasconicarum.</v>
      </c>
      <c r="I848" t="str">
        <f>_xlfn.XLOOKUP(frasest[[#This Row],[autor_es]],autorest[autor_es],autorest[codigo])</f>
        <v>eu</v>
      </c>
      <c r="J848" t="str">
        <f>_xlfn.XLOOKUP(frasest[[#This Row],[autor_es]],autorest[autor_es],autorest[idioma_es])</f>
        <v>Euskara</v>
      </c>
      <c r="K848" s="6" t="str">
        <f>_xlfn.XLOOKUP(frasest[[#This Row],[autor_es]],autorest[autor_es],autorest[idioma_la])</f>
        <v>Lingua Vasconica</v>
      </c>
      <c r="L848" s="6" t="str">
        <f>_xlfn.XLOOKUP(frasest[[#This Row],[autor_es]],autorest[autor_es],autorest[nacion_es])</f>
        <v>España</v>
      </c>
      <c r="M848" t="str">
        <f>_xlfn.XLOOKUP(frasest[[#This Row],[autor_es]],autorest[autor_es],autorest[nacion_la])</f>
        <v>Hispania</v>
      </c>
      <c r="N848" t="str">
        <f>_xlfn.XLOOKUP(frasest[[#This Row],[autor_es]],autorest[autor_es],autorest[epoca_es])</f>
        <v>Epoca Desconocida</v>
      </c>
      <c r="O848" t="str">
        <f>_xlfn.XLOOKUP(frasest[[#This Row],[autor_es]],autorest[autor_es],autorest[epoca_la])</f>
        <v>Epocha Ignota</v>
      </c>
    </row>
    <row r="849" spans="1:15">
      <c r="A849">
        <v>848</v>
      </c>
      <c r="B849" t="s">
        <v>2392</v>
      </c>
      <c r="C849" t="s">
        <v>2393</v>
      </c>
      <c r="D849" t="s">
        <v>2394</v>
      </c>
      <c r="E849" t="s">
        <v>995</v>
      </c>
      <c r="F849" t="str">
        <f>_xlfn.XLOOKUP(frasest[[#This Row],[autor_es]],autorest[autor_es],autorest[autor_la])</f>
        <v>Sententia Vasconica</v>
      </c>
      <c r="G849" s="6" t="str">
        <f>_xlfn.XLOOKUP(frasest[[#This Row],[autor_es]],autorest[autor_es],autorest[bio_es])</f>
        <v>Proverbios de la tradición oral vasca que reflejan la relación con la naturaleza, el trabajo y los valores comunitarios del pueblo vasco.</v>
      </c>
      <c r="H849" s="6" t="str">
        <f>_xlfn.XLOOKUP(frasest[[#This Row],[autor_es]],autorest[autor_es],autorest[bio_la])</f>
        <v>Collectio sententiarum Vasconicarum.</v>
      </c>
      <c r="I849" t="str">
        <f>_xlfn.XLOOKUP(frasest[[#This Row],[autor_es]],autorest[autor_es],autorest[codigo])</f>
        <v>eu</v>
      </c>
      <c r="J849" t="str">
        <f>_xlfn.XLOOKUP(frasest[[#This Row],[autor_es]],autorest[autor_es],autorest[idioma_es])</f>
        <v>Euskara</v>
      </c>
      <c r="K849" s="6" t="str">
        <f>_xlfn.XLOOKUP(frasest[[#This Row],[autor_es]],autorest[autor_es],autorest[idioma_la])</f>
        <v>Lingua Vasconica</v>
      </c>
      <c r="L849" s="6" t="str">
        <f>_xlfn.XLOOKUP(frasest[[#This Row],[autor_es]],autorest[autor_es],autorest[nacion_es])</f>
        <v>España</v>
      </c>
      <c r="M849" t="str">
        <f>_xlfn.XLOOKUP(frasest[[#This Row],[autor_es]],autorest[autor_es],autorest[nacion_la])</f>
        <v>Hispania</v>
      </c>
      <c r="N849" t="str">
        <f>_xlfn.XLOOKUP(frasest[[#This Row],[autor_es]],autorest[autor_es],autorest[epoca_es])</f>
        <v>Epoca Desconocida</v>
      </c>
      <c r="O849" t="str">
        <f>_xlfn.XLOOKUP(frasest[[#This Row],[autor_es]],autorest[autor_es],autorest[epoca_la])</f>
        <v>Epocha Ignota</v>
      </c>
    </row>
    <row r="850" spans="1:15">
      <c r="A850">
        <v>849</v>
      </c>
      <c r="B850" t="s">
        <v>2395</v>
      </c>
      <c r="C850" t="s">
        <v>2396</v>
      </c>
      <c r="D850" t="s">
        <v>2397</v>
      </c>
      <c r="E850" t="s">
        <v>995</v>
      </c>
      <c r="F850" t="str">
        <f>_xlfn.XLOOKUP(frasest[[#This Row],[autor_es]],autorest[autor_es],autorest[autor_la])</f>
        <v>Sententia Vasconica</v>
      </c>
      <c r="G850" s="6" t="str">
        <f>_xlfn.XLOOKUP(frasest[[#This Row],[autor_es]],autorest[autor_es],autorest[bio_es])</f>
        <v>Proverbios de la tradición oral vasca que reflejan la relación con la naturaleza, el trabajo y los valores comunitarios del pueblo vasco.</v>
      </c>
      <c r="H850" s="6" t="str">
        <f>_xlfn.XLOOKUP(frasest[[#This Row],[autor_es]],autorest[autor_es],autorest[bio_la])</f>
        <v>Collectio sententiarum Vasconicarum.</v>
      </c>
      <c r="I850" t="str">
        <f>_xlfn.XLOOKUP(frasest[[#This Row],[autor_es]],autorest[autor_es],autorest[codigo])</f>
        <v>eu</v>
      </c>
      <c r="J850" t="str">
        <f>_xlfn.XLOOKUP(frasest[[#This Row],[autor_es]],autorest[autor_es],autorest[idioma_es])</f>
        <v>Euskara</v>
      </c>
      <c r="K850" s="6" t="str">
        <f>_xlfn.XLOOKUP(frasest[[#This Row],[autor_es]],autorest[autor_es],autorest[idioma_la])</f>
        <v>Lingua Vasconica</v>
      </c>
      <c r="L850" s="6" t="str">
        <f>_xlfn.XLOOKUP(frasest[[#This Row],[autor_es]],autorest[autor_es],autorest[nacion_es])</f>
        <v>España</v>
      </c>
      <c r="M850" t="str">
        <f>_xlfn.XLOOKUP(frasest[[#This Row],[autor_es]],autorest[autor_es],autorest[nacion_la])</f>
        <v>Hispania</v>
      </c>
      <c r="N850" t="str">
        <f>_xlfn.XLOOKUP(frasest[[#This Row],[autor_es]],autorest[autor_es],autorest[epoca_es])</f>
        <v>Epoca Desconocida</v>
      </c>
      <c r="O850" t="str">
        <f>_xlfn.XLOOKUP(frasest[[#This Row],[autor_es]],autorest[autor_es],autorest[epoca_la])</f>
        <v>Epocha Ignota</v>
      </c>
    </row>
    <row r="851" spans="1:15">
      <c r="A851">
        <v>850</v>
      </c>
      <c r="B851" t="s">
        <v>2398</v>
      </c>
      <c r="C851" t="s">
        <v>2399</v>
      </c>
      <c r="D851" t="s">
        <v>2400</v>
      </c>
      <c r="E851" t="s">
        <v>995</v>
      </c>
      <c r="F851" t="str">
        <f>_xlfn.XLOOKUP(frasest[[#This Row],[autor_es]],autorest[autor_es],autorest[autor_la])</f>
        <v>Sententia Vasconica</v>
      </c>
      <c r="G851" s="6" t="str">
        <f>_xlfn.XLOOKUP(frasest[[#This Row],[autor_es]],autorest[autor_es],autorest[bio_es])</f>
        <v>Proverbios de la tradición oral vasca que reflejan la relación con la naturaleza, el trabajo y los valores comunitarios del pueblo vasco.</v>
      </c>
      <c r="H851" s="6" t="str">
        <f>_xlfn.XLOOKUP(frasest[[#This Row],[autor_es]],autorest[autor_es],autorest[bio_la])</f>
        <v>Collectio sententiarum Vasconicarum.</v>
      </c>
      <c r="I851" t="str">
        <f>_xlfn.XLOOKUP(frasest[[#This Row],[autor_es]],autorest[autor_es],autorest[codigo])</f>
        <v>eu</v>
      </c>
      <c r="J851" t="str">
        <f>_xlfn.XLOOKUP(frasest[[#This Row],[autor_es]],autorest[autor_es],autorest[idioma_es])</f>
        <v>Euskara</v>
      </c>
      <c r="K851" s="6" t="str">
        <f>_xlfn.XLOOKUP(frasest[[#This Row],[autor_es]],autorest[autor_es],autorest[idioma_la])</f>
        <v>Lingua Vasconica</v>
      </c>
      <c r="L851" s="6" t="str">
        <f>_xlfn.XLOOKUP(frasest[[#This Row],[autor_es]],autorest[autor_es],autorest[nacion_es])</f>
        <v>España</v>
      </c>
      <c r="M851" t="str">
        <f>_xlfn.XLOOKUP(frasest[[#This Row],[autor_es]],autorest[autor_es],autorest[nacion_la])</f>
        <v>Hispania</v>
      </c>
      <c r="N851" t="str">
        <f>_xlfn.XLOOKUP(frasest[[#This Row],[autor_es]],autorest[autor_es],autorest[epoca_es])</f>
        <v>Epoca Desconocida</v>
      </c>
      <c r="O851" t="str">
        <f>_xlfn.XLOOKUP(frasest[[#This Row],[autor_es]],autorest[autor_es],autorest[epoca_la])</f>
        <v>Epocha Ignota</v>
      </c>
    </row>
    <row r="852" spans="1:15">
      <c r="A852">
        <v>851</v>
      </c>
      <c r="B852" t="s">
        <v>2401</v>
      </c>
      <c r="C852" t="s">
        <v>2402</v>
      </c>
      <c r="D852" t="s">
        <v>2403</v>
      </c>
      <c r="E852" t="s">
        <v>995</v>
      </c>
      <c r="F852" t="str">
        <f>_xlfn.XLOOKUP(frasest[[#This Row],[autor_es]],autorest[autor_es],autorest[autor_la])</f>
        <v>Sententia Vasconica</v>
      </c>
      <c r="G852" s="6" t="str">
        <f>_xlfn.XLOOKUP(frasest[[#This Row],[autor_es]],autorest[autor_es],autorest[bio_es])</f>
        <v>Proverbios de la tradición oral vasca que reflejan la relación con la naturaleza, el trabajo y los valores comunitarios del pueblo vasco.</v>
      </c>
      <c r="H852" s="6" t="str">
        <f>_xlfn.XLOOKUP(frasest[[#This Row],[autor_es]],autorest[autor_es],autorest[bio_la])</f>
        <v>Collectio sententiarum Vasconicarum.</v>
      </c>
      <c r="I852" t="str">
        <f>_xlfn.XLOOKUP(frasest[[#This Row],[autor_es]],autorest[autor_es],autorest[codigo])</f>
        <v>eu</v>
      </c>
      <c r="J852" t="str">
        <f>_xlfn.XLOOKUP(frasest[[#This Row],[autor_es]],autorest[autor_es],autorest[idioma_es])</f>
        <v>Euskara</v>
      </c>
      <c r="K852" s="6" t="str">
        <f>_xlfn.XLOOKUP(frasest[[#This Row],[autor_es]],autorest[autor_es],autorest[idioma_la])</f>
        <v>Lingua Vasconica</v>
      </c>
      <c r="L852" s="6" t="str">
        <f>_xlfn.XLOOKUP(frasest[[#This Row],[autor_es]],autorest[autor_es],autorest[nacion_es])</f>
        <v>España</v>
      </c>
      <c r="M852" t="str">
        <f>_xlfn.XLOOKUP(frasest[[#This Row],[autor_es]],autorest[autor_es],autorest[nacion_la])</f>
        <v>Hispania</v>
      </c>
      <c r="N852" t="str">
        <f>_xlfn.XLOOKUP(frasest[[#This Row],[autor_es]],autorest[autor_es],autorest[epoca_es])</f>
        <v>Epoca Desconocida</v>
      </c>
      <c r="O852" t="str">
        <f>_xlfn.XLOOKUP(frasest[[#This Row],[autor_es]],autorest[autor_es],autorest[epoca_la])</f>
        <v>Epocha Ignota</v>
      </c>
    </row>
    <row r="853" spans="1:15">
      <c r="A853">
        <v>852</v>
      </c>
      <c r="B853" t="s">
        <v>2404</v>
      </c>
      <c r="C853" t="s">
        <v>2405</v>
      </c>
      <c r="D853" t="s">
        <v>2406</v>
      </c>
      <c r="E853" t="s">
        <v>995</v>
      </c>
      <c r="F853" t="str">
        <f>_xlfn.XLOOKUP(frasest[[#This Row],[autor_es]],autorest[autor_es],autorest[autor_la])</f>
        <v>Sententia Vasconica</v>
      </c>
      <c r="G853" s="6" t="str">
        <f>_xlfn.XLOOKUP(frasest[[#This Row],[autor_es]],autorest[autor_es],autorest[bio_es])</f>
        <v>Proverbios de la tradición oral vasca que reflejan la relación con la naturaleza, el trabajo y los valores comunitarios del pueblo vasco.</v>
      </c>
      <c r="H853" s="6" t="str">
        <f>_xlfn.XLOOKUP(frasest[[#This Row],[autor_es]],autorest[autor_es],autorest[bio_la])</f>
        <v>Collectio sententiarum Vasconicarum.</v>
      </c>
      <c r="I853" t="str">
        <f>_xlfn.XLOOKUP(frasest[[#This Row],[autor_es]],autorest[autor_es],autorest[codigo])</f>
        <v>eu</v>
      </c>
      <c r="J853" t="str">
        <f>_xlfn.XLOOKUP(frasest[[#This Row],[autor_es]],autorest[autor_es],autorest[idioma_es])</f>
        <v>Euskara</v>
      </c>
      <c r="K853" s="6" t="str">
        <f>_xlfn.XLOOKUP(frasest[[#This Row],[autor_es]],autorest[autor_es],autorest[idioma_la])</f>
        <v>Lingua Vasconica</v>
      </c>
      <c r="L853" s="6" t="str">
        <f>_xlfn.XLOOKUP(frasest[[#This Row],[autor_es]],autorest[autor_es],autorest[nacion_es])</f>
        <v>España</v>
      </c>
      <c r="M853" t="str">
        <f>_xlfn.XLOOKUP(frasest[[#This Row],[autor_es]],autorest[autor_es],autorest[nacion_la])</f>
        <v>Hispania</v>
      </c>
      <c r="N853" t="str">
        <f>_xlfn.XLOOKUP(frasest[[#This Row],[autor_es]],autorest[autor_es],autorest[epoca_es])</f>
        <v>Epoca Desconocida</v>
      </c>
      <c r="O853" t="str">
        <f>_xlfn.XLOOKUP(frasest[[#This Row],[autor_es]],autorest[autor_es],autorest[epoca_la])</f>
        <v>Epocha Ignota</v>
      </c>
    </row>
    <row r="854" spans="1:15">
      <c r="A854">
        <v>853</v>
      </c>
      <c r="B854" t="s">
        <v>1994</v>
      </c>
      <c r="C854" t="s">
        <v>2407</v>
      </c>
      <c r="D854" t="s">
        <v>1996</v>
      </c>
      <c r="E854" t="s">
        <v>995</v>
      </c>
      <c r="F854" t="str">
        <f>_xlfn.XLOOKUP(frasest[[#This Row],[autor_es]],autorest[autor_es],autorest[autor_la])</f>
        <v>Sententia Vasconica</v>
      </c>
      <c r="G854" s="6" t="str">
        <f>_xlfn.XLOOKUP(frasest[[#This Row],[autor_es]],autorest[autor_es],autorest[bio_es])</f>
        <v>Proverbios de la tradición oral vasca que reflejan la relación con la naturaleza, el trabajo y los valores comunitarios del pueblo vasco.</v>
      </c>
      <c r="H854" s="6" t="str">
        <f>_xlfn.XLOOKUP(frasest[[#This Row],[autor_es]],autorest[autor_es],autorest[bio_la])</f>
        <v>Collectio sententiarum Vasconicarum.</v>
      </c>
      <c r="I854" t="str">
        <f>_xlfn.XLOOKUP(frasest[[#This Row],[autor_es]],autorest[autor_es],autorest[codigo])</f>
        <v>eu</v>
      </c>
      <c r="J854" t="str">
        <f>_xlfn.XLOOKUP(frasest[[#This Row],[autor_es]],autorest[autor_es],autorest[idioma_es])</f>
        <v>Euskara</v>
      </c>
      <c r="K854" s="6" t="str">
        <f>_xlfn.XLOOKUP(frasest[[#This Row],[autor_es]],autorest[autor_es],autorest[idioma_la])</f>
        <v>Lingua Vasconica</v>
      </c>
      <c r="L854" s="6" t="str">
        <f>_xlfn.XLOOKUP(frasest[[#This Row],[autor_es]],autorest[autor_es],autorest[nacion_es])</f>
        <v>España</v>
      </c>
      <c r="M854" t="str">
        <f>_xlfn.XLOOKUP(frasest[[#This Row],[autor_es]],autorest[autor_es],autorest[nacion_la])</f>
        <v>Hispania</v>
      </c>
      <c r="N854" t="str">
        <f>_xlfn.XLOOKUP(frasest[[#This Row],[autor_es]],autorest[autor_es],autorest[epoca_es])</f>
        <v>Epoca Desconocida</v>
      </c>
      <c r="O854" t="str">
        <f>_xlfn.XLOOKUP(frasest[[#This Row],[autor_es]],autorest[autor_es],autorest[epoca_la])</f>
        <v>Epocha Ignota</v>
      </c>
    </row>
    <row r="855" spans="1:15">
      <c r="A855">
        <v>854</v>
      </c>
      <c r="B855" t="s">
        <v>2408</v>
      </c>
      <c r="C855" t="s">
        <v>2409</v>
      </c>
      <c r="D855" t="s">
        <v>2410</v>
      </c>
      <c r="E855" t="s">
        <v>995</v>
      </c>
      <c r="F855" t="str">
        <f>_xlfn.XLOOKUP(frasest[[#This Row],[autor_es]],autorest[autor_es],autorest[autor_la])</f>
        <v>Sententia Vasconica</v>
      </c>
      <c r="G855" s="6" t="str">
        <f>_xlfn.XLOOKUP(frasest[[#This Row],[autor_es]],autorest[autor_es],autorest[bio_es])</f>
        <v>Proverbios de la tradición oral vasca que reflejan la relación con la naturaleza, el trabajo y los valores comunitarios del pueblo vasco.</v>
      </c>
      <c r="H855" s="6" t="str">
        <f>_xlfn.XLOOKUP(frasest[[#This Row],[autor_es]],autorest[autor_es],autorest[bio_la])</f>
        <v>Collectio sententiarum Vasconicarum.</v>
      </c>
      <c r="I855" t="str">
        <f>_xlfn.XLOOKUP(frasest[[#This Row],[autor_es]],autorest[autor_es],autorest[codigo])</f>
        <v>eu</v>
      </c>
      <c r="J855" t="str">
        <f>_xlfn.XLOOKUP(frasest[[#This Row],[autor_es]],autorest[autor_es],autorest[idioma_es])</f>
        <v>Euskara</v>
      </c>
      <c r="K855" s="6" t="str">
        <f>_xlfn.XLOOKUP(frasest[[#This Row],[autor_es]],autorest[autor_es],autorest[idioma_la])</f>
        <v>Lingua Vasconica</v>
      </c>
      <c r="L855" s="6" t="str">
        <f>_xlfn.XLOOKUP(frasest[[#This Row],[autor_es]],autorest[autor_es],autorest[nacion_es])</f>
        <v>España</v>
      </c>
      <c r="M855" t="str">
        <f>_xlfn.XLOOKUP(frasest[[#This Row],[autor_es]],autorest[autor_es],autorest[nacion_la])</f>
        <v>Hispania</v>
      </c>
      <c r="N855" t="str">
        <f>_xlfn.XLOOKUP(frasest[[#This Row],[autor_es]],autorest[autor_es],autorest[epoca_es])</f>
        <v>Epoca Desconocida</v>
      </c>
      <c r="O855" t="str">
        <f>_xlfn.XLOOKUP(frasest[[#This Row],[autor_es]],autorest[autor_es],autorest[epoca_la])</f>
        <v>Epocha Ignota</v>
      </c>
    </row>
    <row r="856" spans="1:15">
      <c r="A856">
        <v>855</v>
      </c>
      <c r="B856" t="s">
        <v>2411</v>
      </c>
      <c r="C856" t="s">
        <v>2412</v>
      </c>
      <c r="D856" t="s">
        <v>2413</v>
      </c>
      <c r="E856" t="s">
        <v>995</v>
      </c>
      <c r="F856" t="str">
        <f>_xlfn.XLOOKUP(frasest[[#This Row],[autor_es]],autorest[autor_es],autorest[autor_la])</f>
        <v>Sententia Vasconica</v>
      </c>
      <c r="G856" s="6" t="str">
        <f>_xlfn.XLOOKUP(frasest[[#This Row],[autor_es]],autorest[autor_es],autorest[bio_es])</f>
        <v>Proverbios de la tradición oral vasca que reflejan la relación con la naturaleza, el trabajo y los valores comunitarios del pueblo vasco.</v>
      </c>
      <c r="H856" s="6" t="str">
        <f>_xlfn.XLOOKUP(frasest[[#This Row],[autor_es]],autorest[autor_es],autorest[bio_la])</f>
        <v>Collectio sententiarum Vasconicarum.</v>
      </c>
      <c r="I856" t="str">
        <f>_xlfn.XLOOKUP(frasest[[#This Row],[autor_es]],autorest[autor_es],autorest[codigo])</f>
        <v>eu</v>
      </c>
      <c r="J856" t="str">
        <f>_xlfn.XLOOKUP(frasest[[#This Row],[autor_es]],autorest[autor_es],autorest[idioma_es])</f>
        <v>Euskara</v>
      </c>
      <c r="K856" s="6" t="str">
        <f>_xlfn.XLOOKUP(frasest[[#This Row],[autor_es]],autorest[autor_es],autorest[idioma_la])</f>
        <v>Lingua Vasconica</v>
      </c>
      <c r="L856" s="6" t="str">
        <f>_xlfn.XLOOKUP(frasest[[#This Row],[autor_es]],autorest[autor_es],autorest[nacion_es])</f>
        <v>España</v>
      </c>
      <c r="M856" t="str">
        <f>_xlfn.XLOOKUP(frasest[[#This Row],[autor_es]],autorest[autor_es],autorest[nacion_la])</f>
        <v>Hispania</v>
      </c>
      <c r="N856" t="str">
        <f>_xlfn.XLOOKUP(frasest[[#This Row],[autor_es]],autorest[autor_es],autorest[epoca_es])</f>
        <v>Epoca Desconocida</v>
      </c>
      <c r="O856" t="str">
        <f>_xlfn.XLOOKUP(frasest[[#This Row],[autor_es]],autorest[autor_es],autorest[epoca_la])</f>
        <v>Epocha Ignota</v>
      </c>
    </row>
    <row r="857" spans="1:15">
      <c r="A857">
        <v>856</v>
      </c>
      <c r="B857" t="s">
        <v>2414</v>
      </c>
      <c r="C857" t="s">
        <v>2415</v>
      </c>
      <c r="D857" t="s">
        <v>2416</v>
      </c>
      <c r="E857" t="s">
        <v>995</v>
      </c>
      <c r="F857" t="str">
        <f>_xlfn.XLOOKUP(frasest[[#This Row],[autor_es]],autorest[autor_es],autorest[autor_la])</f>
        <v>Sententia Vasconica</v>
      </c>
      <c r="G857" s="6" t="str">
        <f>_xlfn.XLOOKUP(frasest[[#This Row],[autor_es]],autorest[autor_es],autorest[bio_es])</f>
        <v>Proverbios de la tradición oral vasca que reflejan la relación con la naturaleza, el trabajo y los valores comunitarios del pueblo vasco.</v>
      </c>
      <c r="H857" s="6" t="str">
        <f>_xlfn.XLOOKUP(frasest[[#This Row],[autor_es]],autorest[autor_es],autorest[bio_la])</f>
        <v>Collectio sententiarum Vasconicarum.</v>
      </c>
      <c r="I857" t="str">
        <f>_xlfn.XLOOKUP(frasest[[#This Row],[autor_es]],autorest[autor_es],autorest[codigo])</f>
        <v>eu</v>
      </c>
      <c r="J857" t="str">
        <f>_xlfn.XLOOKUP(frasest[[#This Row],[autor_es]],autorest[autor_es],autorest[idioma_es])</f>
        <v>Euskara</v>
      </c>
      <c r="K857" s="6" t="str">
        <f>_xlfn.XLOOKUP(frasest[[#This Row],[autor_es]],autorest[autor_es],autorest[idioma_la])</f>
        <v>Lingua Vasconica</v>
      </c>
      <c r="L857" s="6" t="str">
        <f>_xlfn.XLOOKUP(frasest[[#This Row],[autor_es]],autorest[autor_es],autorest[nacion_es])</f>
        <v>España</v>
      </c>
      <c r="M857" t="str">
        <f>_xlfn.XLOOKUP(frasest[[#This Row],[autor_es]],autorest[autor_es],autorest[nacion_la])</f>
        <v>Hispania</v>
      </c>
      <c r="N857" t="str">
        <f>_xlfn.XLOOKUP(frasest[[#This Row],[autor_es]],autorest[autor_es],autorest[epoca_es])</f>
        <v>Epoca Desconocida</v>
      </c>
      <c r="O857" t="str">
        <f>_xlfn.XLOOKUP(frasest[[#This Row],[autor_es]],autorest[autor_es],autorest[epoca_la])</f>
        <v>Epocha Ignota</v>
      </c>
    </row>
    <row r="858" spans="1:15">
      <c r="A858">
        <v>857</v>
      </c>
      <c r="B858" t="s">
        <v>2417</v>
      </c>
      <c r="C858" t="s">
        <v>2418</v>
      </c>
      <c r="D858" t="s">
        <v>2419</v>
      </c>
      <c r="E858" t="s">
        <v>995</v>
      </c>
      <c r="F858" t="str">
        <f>_xlfn.XLOOKUP(frasest[[#This Row],[autor_es]],autorest[autor_es],autorest[autor_la])</f>
        <v>Sententia Vasconica</v>
      </c>
      <c r="G858" s="6" t="str">
        <f>_xlfn.XLOOKUP(frasest[[#This Row],[autor_es]],autorest[autor_es],autorest[bio_es])</f>
        <v>Proverbios de la tradición oral vasca que reflejan la relación con la naturaleza, el trabajo y los valores comunitarios del pueblo vasco.</v>
      </c>
      <c r="H858" s="6" t="str">
        <f>_xlfn.XLOOKUP(frasest[[#This Row],[autor_es]],autorest[autor_es],autorest[bio_la])</f>
        <v>Collectio sententiarum Vasconicarum.</v>
      </c>
      <c r="I858" t="str">
        <f>_xlfn.XLOOKUP(frasest[[#This Row],[autor_es]],autorest[autor_es],autorest[codigo])</f>
        <v>eu</v>
      </c>
      <c r="J858" t="str">
        <f>_xlfn.XLOOKUP(frasest[[#This Row],[autor_es]],autorest[autor_es],autorest[idioma_es])</f>
        <v>Euskara</v>
      </c>
      <c r="K858" s="6" t="str">
        <f>_xlfn.XLOOKUP(frasest[[#This Row],[autor_es]],autorest[autor_es],autorest[idioma_la])</f>
        <v>Lingua Vasconica</v>
      </c>
      <c r="L858" s="6" t="str">
        <f>_xlfn.XLOOKUP(frasest[[#This Row],[autor_es]],autorest[autor_es],autorest[nacion_es])</f>
        <v>España</v>
      </c>
      <c r="M858" t="str">
        <f>_xlfn.XLOOKUP(frasest[[#This Row],[autor_es]],autorest[autor_es],autorest[nacion_la])</f>
        <v>Hispania</v>
      </c>
      <c r="N858" t="str">
        <f>_xlfn.XLOOKUP(frasest[[#This Row],[autor_es]],autorest[autor_es],autorest[epoca_es])</f>
        <v>Epoca Desconocida</v>
      </c>
      <c r="O858" t="str">
        <f>_xlfn.XLOOKUP(frasest[[#This Row],[autor_es]],autorest[autor_es],autorest[epoca_la])</f>
        <v>Epocha Ignota</v>
      </c>
    </row>
    <row r="859" spans="1:15">
      <c r="A859">
        <v>858</v>
      </c>
      <c r="B859" t="s">
        <v>2420</v>
      </c>
      <c r="C859" t="s">
        <v>2421</v>
      </c>
      <c r="D859" t="s">
        <v>2422</v>
      </c>
      <c r="E859" t="s">
        <v>995</v>
      </c>
      <c r="F859" t="str">
        <f>_xlfn.XLOOKUP(frasest[[#This Row],[autor_es]],autorest[autor_es],autorest[autor_la])</f>
        <v>Sententia Vasconica</v>
      </c>
      <c r="G859" s="6" t="str">
        <f>_xlfn.XLOOKUP(frasest[[#This Row],[autor_es]],autorest[autor_es],autorest[bio_es])</f>
        <v>Proverbios de la tradición oral vasca que reflejan la relación con la naturaleza, el trabajo y los valores comunitarios del pueblo vasco.</v>
      </c>
      <c r="H859" s="6" t="str">
        <f>_xlfn.XLOOKUP(frasest[[#This Row],[autor_es]],autorest[autor_es],autorest[bio_la])</f>
        <v>Collectio sententiarum Vasconicarum.</v>
      </c>
      <c r="I859" t="str">
        <f>_xlfn.XLOOKUP(frasest[[#This Row],[autor_es]],autorest[autor_es],autorest[codigo])</f>
        <v>eu</v>
      </c>
      <c r="J859" t="str">
        <f>_xlfn.XLOOKUP(frasest[[#This Row],[autor_es]],autorest[autor_es],autorest[idioma_es])</f>
        <v>Euskara</v>
      </c>
      <c r="K859" s="6" t="str">
        <f>_xlfn.XLOOKUP(frasest[[#This Row],[autor_es]],autorest[autor_es],autorest[idioma_la])</f>
        <v>Lingua Vasconica</v>
      </c>
      <c r="L859" s="6" t="str">
        <f>_xlfn.XLOOKUP(frasest[[#This Row],[autor_es]],autorest[autor_es],autorest[nacion_es])</f>
        <v>España</v>
      </c>
      <c r="M859" t="str">
        <f>_xlfn.XLOOKUP(frasest[[#This Row],[autor_es]],autorest[autor_es],autorest[nacion_la])</f>
        <v>Hispania</v>
      </c>
      <c r="N859" t="str">
        <f>_xlfn.XLOOKUP(frasest[[#This Row],[autor_es]],autorest[autor_es],autorest[epoca_es])</f>
        <v>Epoca Desconocida</v>
      </c>
      <c r="O859" t="str">
        <f>_xlfn.XLOOKUP(frasest[[#This Row],[autor_es]],autorest[autor_es],autorest[epoca_la])</f>
        <v>Epocha Ignota</v>
      </c>
    </row>
    <row r="860" spans="1:15">
      <c r="A860">
        <v>859</v>
      </c>
      <c r="B860" t="s">
        <v>2423</v>
      </c>
      <c r="C860" t="s">
        <v>2424</v>
      </c>
      <c r="D860" t="s">
        <v>2425</v>
      </c>
      <c r="E860" t="s">
        <v>995</v>
      </c>
      <c r="F860" t="str">
        <f>_xlfn.XLOOKUP(frasest[[#This Row],[autor_es]],autorest[autor_es],autorest[autor_la])</f>
        <v>Sententia Vasconica</v>
      </c>
      <c r="G860" s="6" t="str">
        <f>_xlfn.XLOOKUP(frasest[[#This Row],[autor_es]],autorest[autor_es],autorest[bio_es])</f>
        <v>Proverbios de la tradición oral vasca que reflejan la relación con la naturaleza, el trabajo y los valores comunitarios del pueblo vasco.</v>
      </c>
      <c r="H860" s="6" t="str">
        <f>_xlfn.XLOOKUP(frasest[[#This Row],[autor_es]],autorest[autor_es],autorest[bio_la])</f>
        <v>Collectio sententiarum Vasconicarum.</v>
      </c>
      <c r="I860" t="str">
        <f>_xlfn.XLOOKUP(frasest[[#This Row],[autor_es]],autorest[autor_es],autorest[codigo])</f>
        <v>eu</v>
      </c>
      <c r="J860" t="str">
        <f>_xlfn.XLOOKUP(frasest[[#This Row],[autor_es]],autorest[autor_es],autorest[idioma_es])</f>
        <v>Euskara</v>
      </c>
      <c r="K860" s="6" t="str">
        <f>_xlfn.XLOOKUP(frasest[[#This Row],[autor_es]],autorest[autor_es],autorest[idioma_la])</f>
        <v>Lingua Vasconica</v>
      </c>
      <c r="L860" s="6" t="str">
        <f>_xlfn.XLOOKUP(frasest[[#This Row],[autor_es]],autorest[autor_es],autorest[nacion_es])</f>
        <v>España</v>
      </c>
      <c r="M860" t="str">
        <f>_xlfn.XLOOKUP(frasest[[#This Row],[autor_es]],autorest[autor_es],autorest[nacion_la])</f>
        <v>Hispania</v>
      </c>
      <c r="N860" t="str">
        <f>_xlfn.XLOOKUP(frasest[[#This Row],[autor_es]],autorest[autor_es],autorest[epoca_es])</f>
        <v>Epoca Desconocida</v>
      </c>
      <c r="O860" t="str">
        <f>_xlfn.XLOOKUP(frasest[[#This Row],[autor_es]],autorest[autor_es],autorest[epoca_la])</f>
        <v>Epocha Ignota</v>
      </c>
    </row>
    <row r="861" spans="1:15">
      <c r="A861">
        <v>860</v>
      </c>
      <c r="B861" t="s">
        <v>2426</v>
      </c>
      <c r="C861" t="s">
        <v>2427</v>
      </c>
      <c r="D861" t="s">
        <v>2428</v>
      </c>
      <c r="E861" t="s">
        <v>995</v>
      </c>
      <c r="F861" t="str">
        <f>_xlfn.XLOOKUP(frasest[[#This Row],[autor_es]],autorest[autor_es],autorest[autor_la])</f>
        <v>Sententia Vasconica</v>
      </c>
      <c r="G861" s="6" t="str">
        <f>_xlfn.XLOOKUP(frasest[[#This Row],[autor_es]],autorest[autor_es],autorest[bio_es])</f>
        <v>Proverbios de la tradición oral vasca que reflejan la relación con la naturaleza, el trabajo y los valores comunitarios del pueblo vasco.</v>
      </c>
      <c r="H861" s="6" t="str">
        <f>_xlfn.XLOOKUP(frasest[[#This Row],[autor_es]],autorest[autor_es],autorest[bio_la])</f>
        <v>Collectio sententiarum Vasconicarum.</v>
      </c>
      <c r="I861" t="str">
        <f>_xlfn.XLOOKUP(frasest[[#This Row],[autor_es]],autorest[autor_es],autorest[codigo])</f>
        <v>eu</v>
      </c>
      <c r="J861" t="str">
        <f>_xlfn.XLOOKUP(frasest[[#This Row],[autor_es]],autorest[autor_es],autorest[idioma_es])</f>
        <v>Euskara</v>
      </c>
      <c r="K861" s="6" t="str">
        <f>_xlfn.XLOOKUP(frasest[[#This Row],[autor_es]],autorest[autor_es],autorest[idioma_la])</f>
        <v>Lingua Vasconica</v>
      </c>
      <c r="L861" s="6" t="str">
        <f>_xlfn.XLOOKUP(frasest[[#This Row],[autor_es]],autorest[autor_es],autorest[nacion_es])</f>
        <v>España</v>
      </c>
      <c r="M861" t="str">
        <f>_xlfn.XLOOKUP(frasest[[#This Row],[autor_es]],autorest[autor_es],autorest[nacion_la])</f>
        <v>Hispania</v>
      </c>
      <c r="N861" t="str">
        <f>_xlfn.XLOOKUP(frasest[[#This Row],[autor_es]],autorest[autor_es],autorest[epoca_es])</f>
        <v>Epoca Desconocida</v>
      </c>
      <c r="O861" t="str">
        <f>_xlfn.XLOOKUP(frasest[[#This Row],[autor_es]],autorest[autor_es],autorest[epoca_la])</f>
        <v>Epocha Ignota</v>
      </c>
    </row>
    <row r="862" spans="1:15">
      <c r="A862">
        <v>861</v>
      </c>
      <c r="B862" t="s">
        <v>2429</v>
      </c>
      <c r="C862" t="s">
        <v>2430</v>
      </c>
      <c r="D862" t="s">
        <v>2431</v>
      </c>
      <c r="E862" t="s">
        <v>995</v>
      </c>
      <c r="F862" t="str">
        <f>_xlfn.XLOOKUP(frasest[[#This Row],[autor_es]],autorest[autor_es],autorest[autor_la])</f>
        <v>Sententia Vasconica</v>
      </c>
      <c r="G862" s="6" t="str">
        <f>_xlfn.XLOOKUP(frasest[[#This Row],[autor_es]],autorest[autor_es],autorest[bio_es])</f>
        <v>Proverbios de la tradición oral vasca que reflejan la relación con la naturaleza, el trabajo y los valores comunitarios del pueblo vasco.</v>
      </c>
      <c r="H862" s="6" t="str">
        <f>_xlfn.XLOOKUP(frasest[[#This Row],[autor_es]],autorest[autor_es],autorest[bio_la])</f>
        <v>Collectio sententiarum Vasconicarum.</v>
      </c>
      <c r="I862" t="str">
        <f>_xlfn.XLOOKUP(frasest[[#This Row],[autor_es]],autorest[autor_es],autorest[codigo])</f>
        <v>eu</v>
      </c>
      <c r="J862" t="str">
        <f>_xlfn.XLOOKUP(frasest[[#This Row],[autor_es]],autorest[autor_es],autorest[idioma_es])</f>
        <v>Euskara</v>
      </c>
      <c r="K862" s="6" t="str">
        <f>_xlfn.XLOOKUP(frasest[[#This Row],[autor_es]],autorest[autor_es],autorest[idioma_la])</f>
        <v>Lingua Vasconica</v>
      </c>
      <c r="L862" s="6" t="str">
        <f>_xlfn.XLOOKUP(frasest[[#This Row],[autor_es]],autorest[autor_es],autorest[nacion_es])</f>
        <v>España</v>
      </c>
      <c r="M862" t="str">
        <f>_xlfn.XLOOKUP(frasest[[#This Row],[autor_es]],autorest[autor_es],autorest[nacion_la])</f>
        <v>Hispania</v>
      </c>
      <c r="N862" t="str">
        <f>_xlfn.XLOOKUP(frasest[[#This Row],[autor_es]],autorest[autor_es],autorest[epoca_es])</f>
        <v>Epoca Desconocida</v>
      </c>
      <c r="O862" t="str">
        <f>_xlfn.XLOOKUP(frasest[[#This Row],[autor_es]],autorest[autor_es],autorest[epoca_la])</f>
        <v>Epocha Ignota</v>
      </c>
    </row>
    <row r="863" spans="1:15">
      <c r="A863">
        <v>862</v>
      </c>
      <c r="B863" t="s">
        <v>2432</v>
      </c>
      <c r="C863" t="s">
        <v>2433</v>
      </c>
      <c r="D863" t="s">
        <v>2434</v>
      </c>
      <c r="E863" t="s">
        <v>995</v>
      </c>
      <c r="F863" t="str">
        <f>_xlfn.XLOOKUP(frasest[[#This Row],[autor_es]],autorest[autor_es],autorest[autor_la])</f>
        <v>Sententia Vasconica</v>
      </c>
      <c r="G863" s="6" t="str">
        <f>_xlfn.XLOOKUP(frasest[[#This Row],[autor_es]],autorest[autor_es],autorest[bio_es])</f>
        <v>Proverbios de la tradición oral vasca que reflejan la relación con la naturaleza, el trabajo y los valores comunitarios del pueblo vasco.</v>
      </c>
      <c r="H863" s="6" t="str">
        <f>_xlfn.XLOOKUP(frasest[[#This Row],[autor_es]],autorest[autor_es],autorest[bio_la])</f>
        <v>Collectio sententiarum Vasconicarum.</v>
      </c>
      <c r="I863" t="str">
        <f>_xlfn.XLOOKUP(frasest[[#This Row],[autor_es]],autorest[autor_es],autorest[codigo])</f>
        <v>eu</v>
      </c>
      <c r="J863" t="str">
        <f>_xlfn.XLOOKUP(frasest[[#This Row],[autor_es]],autorest[autor_es],autorest[idioma_es])</f>
        <v>Euskara</v>
      </c>
      <c r="K863" s="6" t="str">
        <f>_xlfn.XLOOKUP(frasest[[#This Row],[autor_es]],autorest[autor_es],autorest[idioma_la])</f>
        <v>Lingua Vasconica</v>
      </c>
      <c r="L863" s="6" t="str">
        <f>_xlfn.XLOOKUP(frasest[[#This Row],[autor_es]],autorest[autor_es],autorest[nacion_es])</f>
        <v>España</v>
      </c>
      <c r="M863" t="str">
        <f>_xlfn.XLOOKUP(frasest[[#This Row],[autor_es]],autorest[autor_es],autorest[nacion_la])</f>
        <v>Hispania</v>
      </c>
      <c r="N863" t="str">
        <f>_xlfn.XLOOKUP(frasest[[#This Row],[autor_es]],autorest[autor_es],autorest[epoca_es])</f>
        <v>Epoca Desconocida</v>
      </c>
      <c r="O863" t="str">
        <f>_xlfn.XLOOKUP(frasest[[#This Row],[autor_es]],autorest[autor_es],autorest[epoca_la])</f>
        <v>Epocha Ignota</v>
      </c>
    </row>
    <row r="864" spans="1:15">
      <c r="A864">
        <v>863</v>
      </c>
      <c r="B864" t="s">
        <v>2435</v>
      </c>
      <c r="C864" t="s">
        <v>2436</v>
      </c>
      <c r="D864" t="s">
        <v>2437</v>
      </c>
      <c r="E864" t="s">
        <v>995</v>
      </c>
      <c r="F864" t="str">
        <f>_xlfn.XLOOKUP(frasest[[#This Row],[autor_es]],autorest[autor_es],autorest[autor_la])</f>
        <v>Sententia Vasconica</v>
      </c>
      <c r="G864" s="6" t="str">
        <f>_xlfn.XLOOKUP(frasest[[#This Row],[autor_es]],autorest[autor_es],autorest[bio_es])</f>
        <v>Proverbios de la tradición oral vasca que reflejan la relación con la naturaleza, el trabajo y los valores comunitarios del pueblo vasco.</v>
      </c>
      <c r="H864" s="6" t="str">
        <f>_xlfn.XLOOKUP(frasest[[#This Row],[autor_es]],autorest[autor_es],autorest[bio_la])</f>
        <v>Collectio sententiarum Vasconicarum.</v>
      </c>
      <c r="I864" t="str">
        <f>_xlfn.XLOOKUP(frasest[[#This Row],[autor_es]],autorest[autor_es],autorest[codigo])</f>
        <v>eu</v>
      </c>
      <c r="J864" t="str">
        <f>_xlfn.XLOOKUP(frasest[[#This Row],[autor_es]],autorest[autor_es],autorest[idioma_es])</f>
        <v>Euskara</v>
      </c>
      <c r="K864" s="6" t="str">
        <f>_xlfn.XLOOKUP(frasest[[#This Row],[autor_es]],autorest[autor_es],autorest[idioma_la])</f>
        <v>Lingua Vasconica</v>
      </c>
      <c r="L864" s="6" t="str">
        <f>_xlfn.XLOOKUP(frasest[[#This Row],[autor_es]],autorest[autor_es],autorest[nacion_es])</f>
        <v>España</v>
      </c>
      <c r="M864" t="str">
        <f>_xlfn.XLOOKUP(frasest[[#This Row],[autor_es]],autorest[autor_es],autorest[nacion_la])</f>
        <v>Hispania</v>
      </c>
      <c r="N864" t="str">
        <f>_xlfn.XLOOKUP(frasest[[#This Row],[autor_es]],autorest[autor_es],autorest[epoca_es])</f>
        <v>Epoca Desconocida</v>
      </c>
      <c r="O864" t="str">
        <f>_xlfn.XLOOKUP(frasest[[#This Row],[autor_es]],autorest[autor_es],autorest[epoca_la])</f>
        <v>Epocha Ignota</v>
      </c>
    </row>
    <row r="865" spans="1:15">
      <c r="A865">
        <v>864</v>
      </c>
      <c r="B865" t="s">
        <v>2438</v>
      </c>
      <c r="C865" t="s">
        <v>2439</v>
      </c>
      <c r="D865" t="s">
        <v>2440</v>
      </c>
      <c r="E865" t="s">
        <v>995</v>
      </c>
      <c r="F865" t="str">
        <f>_xlfn.XLOOKUP(frasest[[#This Row],[autor_es]],autorest[autor_es],autorest[autor_la])</f>
        <v>Sententia Vasconica</v>
      </c>
      <c r="G865" s="6" t="str">
        <f>_xlfn.XLOOKUP(frasest[[#This Row],[autor_es]],autorest[autor_es],autorest[bio_es])</f>
        <v>Proverbios de la tradición oral vasca que reflejan la relación con la naturaleza, el trabajo y los valores comunitarios del pueblo vasco.</v>
      </c>
      <c r="H865" s="6" t="str">
        <f>_xlfn.XLOOKUP(frasest[[#This Row],[autor_es]],autorest[autor_es],autorest[bio_la])</f>
        <v>Collectio sententiarum Vasconicarum.</v>
      </c>
      <c r="I865" t="str">
        <f>_xlfn.XLOOKUP(frasest[[#This Row],[autor_es]],autorest[autor_es],autorest[codigo])</f>
        <v>eu</v>
      </c>
      <c r="J865" t="str">
        <f>_xlfn.XLOOKUP(frasest[[#This Row],[autor_es]],autorest[autor_es],autorest[idioma_es])</f>
        <v>Euskara</v>
      </c>
      <c r="K865" s="6" t="str">
        <f>_xlfn.XLOOKUP(frasest[[#This Row],[autor_es]],autorest[autor_es],autorest[idioma_la])</f>
        <v>Lingua Vasconica</v>
      </c>
      <c r="L865" s="6" t="str">
        <f>_xlfn.XLOOKUP(frasest[[#This Row],[autor_es]],autorest[autor_es],autorest[nacion_es])</f>
        <v>España</v>
      </c>
      <c r="M865" t="str">
        <f>_xlfn.XLOOKUP(frasest[[#This Row],[autor_es]],autorest[autor_es],autorest[nacion_la])</f>
        <v>Hispania</v>
      </c>
      <c r="N865" t="str">
        <f>_xlfn.XLOOKUP(frasest[[#This Row],[autor_es]],autorest[autor_es],autorest[epoca_es])</f>
        <v>Epoca Desconocida</v>
      </c>
      <c r="O865" t="str">
        <f>_xlfn.XLOOKUP(frasest[[#This Row],[autor_es]],autorest[autor_es],autorest[epoca_la])</f>
        <v>Epocha Ignota</v>
      </c>
    </row>
    <row r="866" spans="1:15">
      <c r="A866">
        <v>865</v>
      </c>
      <c r="B866" t="s">
        <v>2441</v>
      </c>
      <c r="C866" t="s">
        <v>2442</v>
      </c>
      <c r="D866" t="s">
        <v>2443</v>
      </c>
      <c r="E866" t="s">
        <v>995</v>
      </c>
      <c r="F866" t="str">
        <f>_xlfn.XLOOKUP(frasest[[#This Row],[autor_es]],autorest[autor_es],autorest[autor_la])</f>
        <v>Sententia Vasconica</v>
      </c>
      <c r="G866" s="6" t="str">
        <f>_xlfn.XLOOKUP(frasest[[#This Row],[autor_es]],autorest[autor_es],autorest[bio_es])</f>
        <v>Proverbios de la tradición oral vasca que reflejan la relación con la naturaleza, el trabajo y los valores comunitarios del pueblo vasco.</v>
      </c>
      <c r="H866" s="6" t="str">
        <f>_xlfn.XLOOKUP(frasest[[#This Row],[autor_es]],autorest[autor_es],autorest[bio_la])</f>
        <v>Collectio sententiarum Vasconicarum.</v>
      </c>
      <c r="I866" t="str">
        <f>_xlfn.XLOOKUP(frasest[[#This Row],[autor_es]],autorest[autor_es],autorest[codigo])</f>
        <v>eu</v>
      </c>
      <c r="J866" t="str">
        <f>_xlfn.XLOOKUP(frasest[[#This Row],[autor_es]],autorest[autor_es],autorest[idioma_es])</f>
        <v>Euskara</v>
      </c>
      <c r="K866" s="6" t="str">
        <f>_xlfn.XLOOKUP(frasest[[#This Row],[autor_es]],autorest[autor_es],autorest[idioma_la])</f>
        <v>Lingua Vasconica</v>
      </c>
      <c r="L866" s="6" t="str">
        <f>_xlfn.XLOOKUP(frasest[[#This Row],[autor_es]],autorest[autor_es],autorest[nacion_es])</f>
        <v>España</v>
      </c>
      <c r="M866" t="str">
        <f>_xlfn.XLOOKUP(frasest[[#This Row],[autor_es]],autorest[autor_es],autorest[nacion_la])</f>
        <v>Hispania</v>
      </c>
      <c r="N866" t="str">
        <f>_xlfn.XLOOKUP(frasest[[#This Row],[autor_es]],autorest[autor_es],autorest[epoca_es])</f>
        <v>Epoca Desconocida</v>
      </c>
      <c r="O866" t="str">
        <f>_xlfn.XLOOKUP(frasest[[#This Row],[autor_es]],autorest[autor_es],autorest[epoca_la])</f>
        <v>Epocha Ignota</v>
      </c>
    </row>
    <row r="867" spans="1:15">
      <c r="A867">
        <v>866</v>
      </c>
      <c r="B867" t="s">
        <v>2444</v>
      </c>
      <c r="C867" t="s">
        <v>2445</v>
      </c>
      <c r="D867" t="s">
        <v>2446</v>
      </c>
      <c r="E867" t="s">
        <v>995</v>
      </c>
      <c r="F867" t="str">
        <f>_xlfn.XLOOKUP(frasest[[#This Row],[autor_es]],autorest[autor_es],autorest[autor_la])</f>
        <v>Sententia Vasconica</v>
      </c>
      <c r="G867" s="6" t="str">
        <f>_xlfn.XLOOKUP(frasest[[#This Row],[autor_es]],autorest[autor_es],autorest[bio_es])</f>
        <v>Proverbios de la tradición oral vasca que reflejan la relación con la naturaleza, el trabajo y los valores comunitarios del pueblo vasco.</v>
      </c>
      <c r="H867" s="6" t="str">
        <f>_xlfn.XLOOKUP(frasest[[#This Row],[autor_es]],autorest[autor_es],autorest[bio_la])</f>
        <v>Collectio sententiarum Vasconicarum.</v>
      </c>
      <c r="I867" t="str">
        <f>_xlfn.XLOOKUP(frasest[[#This Row],[autor_es]],autorest[autor_es],autorest[codigo])</f>
        <v>eu</v>
      </c>
      <c r="J867" t="str">
        <f>_xlfn.XLOOKUP(frasest[[#This Row],[autor_es]],autorest[autor_es],autorest[idioma_es])</f>
        <v>Euskara</v>
      </c>
      <c r="K867" s="6" t="str">
        <f>_xlfn.XLOOKUP(frasest[[#This Row],[autor_es]],autorest[autor_es],autorest[idioma_la])</f>
        <v>Lingua Vasconica</v>
      </c>
      <c r="L867" s="6" t="str">
        <f>_xlfn.XLOOKUP(frasest[[#This Row],[autor_es]],autorest[autor_es],autorest[nacion_es])</f>
        <v>España</v>
      </c>
      <c r="M867" t="str">
        <f>_xlfn.XLOOKUP(frasest[[#This Row],[autor_es]],autorest[autor_es],autorest[nacion_la])</f>
        <v>Hispania</v>
      </c>
      <c r="N867" t="str">
        <f>_xlfn.XLOOKUP(frasest[[#This Row],[autor_es]],autorest[autor_es],autorest[epoca_es])</f>
        <v>Epoca Desconocida</v>
      </c>
      <c r="O867" t="str">
        <f>_xlfn.XLOOKUP(frasest[[#This Row],[autor_es]],autorest[autor_es],autorest[epoca_la])</f>
        <v>Epocha Ignota</v>
      </c>
    </row>
    <row r="868" spans="1:15">
      <c r="A868">
        <v>867</v>
      </c>
      <c r="B868" t="s">
        <v>2447</v>
      </c>
      <c r="C868" t="s">
        <v>2448</v>
      </c>
      <c r="D868" t="s">
        <v>2449</v>
      </c>
      <c r="E868" t="s">
        <v>995</v>
      </c>
      <c r="F868" t="str">
        <f>_xlfn.XLOOKUP(frasest[[#This Row],[autor_es]],autorest[autor_es],autorest[autor_la])</f>
        <v>Sententia Vasconica</v>
      </c>
      <c r="G868" s="6" t="str">
        <f>_xlfn.XLOOKUP(frasest[[#This Row],[autor_es]],autorest[autor_es],autorest[bio_es])</f>
        <v>Proverbios de la tradición oral vasca que reflejan la relación con la naturaleza, el trabajo y los valores comunitarios del pueblo vasco.</v>
      </c>
      <c r="H868" s="6" t="str">
        <f>_xlfn.XLOOKUP(frasest[[#This Row],[autor_es]],autorest[autor_es],autorest[bio_la])</f>
        <v>Collectio sententiarum Vasconicarum.</v>
      </c>
      <c r="I868" t="str">
        <f>_xlfn.XLOOKUP(frasest[[#This Row],[autor_es]],autorest[autor_es],autorest[codigo])</f>
        <v>eu</v>
      </c>
      <c r="J868" t="str">
        <f>_xlfn.XLOOKUP(frasest[[#This Row],[autor_es]],autorest[autor_es],autorest[idioma_es])</f>
        <v>Euskara</v>
      </c>
      <c r="K868" s="6" t="str">
        <f>_xlfn.XLOOKUP(frasest[[#This Row],[autor_es]],autorest[autor_es],autorest[idioma_la])</f>
        <v>Lingua Vasconica</v>
      </c>
      <c r="L868" s="6" t="str">
        <f>_xlfn.XLOOKUP(frasest[[#This Row],[autor_es]],autorest[autor_es],autorest[nacion_es])</f>
        <v>España</v>
      </c>
      <c r="M868" t="str">
        <f>_xlfn.XLOOKUP(frasest[[#This Row],[autor_es]],autorest[autor_es],autorest[nacion_la])</f>
        <v>Hispania</v>
      </c>
      <c r="N868" t="str">
        <f>_xlfn.XLOOKUP(frasest[[#This Row],[autor_es]],autorest[autor_es],autorest[epoca_es])</f>
        <v>Epoca Desconocida</v>
      </c>
      <c r="O868" t="str">
        <f>_xlfn.XLOOKUP(frasest[[#This Row],[autor_es]],autorest[autor_es],autorest[epoca_la])</f>
        <v>Epocha Ignota</v>
      </c>
    </row>
    <row r="869" spans="1:15">
      <c r="A869">
        <v>868</v>
      </c>
      <c r="B869" t="s">
        <v>2450</v>
      </c>
      <c r="C869" t="s">
        <v>2451</v>
      </c>
      <c r="D869" t="s">
        <v>2452</v>
      </c>
      <c r="E869" t="s">
        <v>995</v>
      </c>
      <c r="F869" t="str">
        <f>_xlfn.XLOOKUP(frasest[[#This Row],[autor_es]],autorest[autor_es],autorest[autor_la])</f>
        <v>Sententia Vasconica</v>
      </c>
      <c r="G869" s="6" t="str">
        <f>_xlfn.XLOOKUP(frasest[[#This Row],[autor_es]],autorest[autor_es],autorest[bio_es])</f>
        <v>Proverbios de la tradición oral vasca que reflejan la relación con la naturaleza, el trabajo y los valores comunitarios del pueblo vasco.</v>
      </c>
      <c r="H869" s="6" t="str">
        <f>_xlfn.XLOOKUP(frasest[[#This Row],[autor_es]],autorest[autor_es],autorest[bio_la])</f>
        <v>Collectio sententiarum Vasconicarum.</v>
      </c>
      <c r="I869" t="str">
        <f>_xlfn.XLOOKUP(frasest[[#This Row],[autor_es]],autorest[autor_es],autorest[codigo])</f>
        <v>eu</v>
      </c>
      <c r="J869" t="str">
        <f>_xlfn.XLOOKUP(frasest[[#This Row],[autor_es]],autorest[autor_es],autorest[idioma_es])</f>
        <v>Euskara</v>
      </c>
      <c r="K869" s="6" t="str">
        <f>_xlfn.XLOOKUP(frasest[[#This Row],[autor_es]],autorest[autor_es],autorest[idioma_la])</f>
        <v>Lingua Vasconica</v>
      </c>
      <c r="L869" s="6" t="str">
        <f>_xlfn.XLOOKUP(frasest[[#This Row],[autor_es]],autorest[autor_es],autorest[nacion_es])</f>
        <v>España</v>
      </c>
      <c r="M869" t="str">
        <f>_xlfn.XLOOKUP(frasest[[#This Row],[autor_es]],autorest[autor_es],autorest[nacion_la])</f>
        <v>Hispania</v>
      </c>
      <c r="N869" t="str">
        <f>_xlfn.XLOOKUP(frasest[[#This Row],[autor_es]],autorest[autor_es],autorest[epoca_es])</f>
        <v>Epoca Desconocida</v>
      </c>
      <c r="O869" t="str">
        <f>_xlfn.XLOOKUP(frasest[[#This Row],[autor_es]],autorest[autor_es],autorest[epoca_la])</f>
        <v>Epocha Ignota</v>
      </c>
    </row>
    <row r="870" spans="1:15">
      <c r="A870">
        <v>869</v>
      </c>
      <c r="B870" t="s">
        <v>2453</v>
      </c>
      <c r="C870" t="s">
        <v>2454</v>
      </c>
      <c r="D870" t="s">
        <v>2455</v>
      </c>
      <c r="E870" t="s">
        <v>995</v>
      </c>
      <c r="F870" t="str">
        <f>_xlfn.XLOOKUP(frasest[[#This Row],[autor_es]],autorest[autor_es],autorest[autor_la])</f>
        <v>Sententia Vasconica</v>
      </c>
      <c r="G870" s="6" t="str">
        <f>_xlfn.XLOOKUP(frasest[[#This Row],[autor_es]],autorest[autor_es],autorest[bio_es])</f>
        <v>Proverbios de la tradición oral vasca que reflejan la relación con la naturaleza, el trabajo y los valores comunitarios del pueblo vasco.</v>
      </c>
      <c r="H870" s="6" t="str">
        <f>_xlfn.XLOOKUP(frasest[[#This Row],[autor_es]],autorest[autor_es],autorest[bio_la])</f>
        <v>Collectio sententiarum Vasconicarum.</v>
      </c>
      <c r="I870" t="str">
        <f>_xlfn.XLOOKUP(frasest[[#This Row],[autor_es]],autorest[autor_es],autorest[codigo])</f>
        <v>eu</v>
      </c>
      <c r="J870" t="str">
        <f>_xlfn.XLOOKUP(frasest[[#This Row],[autor_es]],autorest[autor_es],autorest[idioma_es])</f>
        <v>Euskara</v>
      </c>
      <c r="K870" s="6" t="str">
        <f>_xlfn.XLOOKUP(frasest[[#This Row],[autor_es]],autorest[autor_es],autorest[idioma_la])</f>
        <v>Lingua Vasconica</v>
      </c>
      <c r="L870" s="6" t="str">
        <f>_xlfn.XLOOKUP(frasest[[#This Row],[autor_es]],autorest[autor_es],autorest[nacion_es])</f>
        <v>España</v>
      </c>
      <c r="M870" t="str">
        <f>_xlfn.XLOOKUP(frasest[[#This Row],[autor_es]],autorest[autor_es],autorest[nacion_la])</f>
        <v>Hispania</v>
      </c>
      <c r="N870" t="str">
        <f>_xlfn.XLOOKUP(frasest[[#This Row],[autor_es]],autorest[autor_es],autorest[epoca_es])</f>
        <v>Epoca Desconocida</v>
      </c>
      <c r="O870" t="str">
        <f>_xlfn.XLOOKUP(frasest[[#This Row],[autor_es]],autorest[autor_es],autorest[epoca_la])</f>
        <v>Epocha Ignota</v>
      </c>
    </row>
    <row r="871" spans="1:15">
      <c r="A871">
        <v>870</v>
      </c>
      <c r="B871" t="s">
        <v>2456</v>
      </c>
      <c r="C871" t="s">
        <v>2457</v>
      </c>
      <c r="D871" t="s">
        <v>2458</v>
      </c>
      <c r="E871" t="s">
        <v>995</v>
      </c>
      <c r="F871" t="str">
        <f>_xlfn.XLOOKUP(frasest[[#This Row],[autor_es]],autorest[autor_es],autorest[autor_la])</f>
        <v>Sententia Vasconica</v>
      </c>
      <c r="G871" s="6" t="str">
        <f>_xlfn.XLOOKUP(frasest[[#This Row],[autor_es]],autorest[autor_es],autorest[bio_es])</f>
        <v>Proverbios de la tradición oral vasca que reflejan la relación con la naturaleza, el trabajo y los valores comunitarios del pueblo vasco.</v>
      </c>
      <c r="H871" s="6" t="str">
        <f>_xlfn.XLOOKUP(frasest[[#This Row],[autor_es]],autorest[autor_es],autorest[bio_la])</f>
        <v>Collectio sententiarum Vasconicarum.</v>
      </c>
      <c r="I871" t="str">
        <f>_xlfn.XLOOKUP(frasest[[#This Row],[autor_es]],autorest[autor_es],autorest[codigo])</f>
        <v>eu</v>
      </c>
      <c r="J871" t="str">
        <f>_xlfn.XLOOKUP(frasest[[#This Row],[autor_es]],autorest[autor_es],autorest[idioma_es])</f>
        <v>Euskara</v>
      </c>
      <c r="K871" s="6" t="str">
        <f>_xlfn.XLOOKUP(frasest[[#This Row],[autor_es]],autorest[autor_es],autorest[idioma_la])</f>
        <v>Lingua Vasconica</v>
      </c>
      <c r="L871" s="6" t="str">
        <f>_xlfn.XLOOKUP(frasest[[#This Row],[autor_es]],autorest[autor_es],autorest[nacion_es])</f>
        <v>España</v>
      </c>
      <c r="M871" t="str">
        <f>_xlfn.XLOOKUP(frasest[[#This Row],[autor_es]],autorest[autor_es],autorest[nacion_la])</f>
        <v>Hispania</v>
      </c>
      <c r="N871" t="str">
        <f>_xlfn.XLOOKUP(frasest[[#This Row],[autor_es]],autorest[autor_es],autorest[epoca_es])</f>
        <v>Epoca Desconocida</v>
      </c>
      <c r="O871" t="str">
        <f>_xlfn.XLOOKUP(frasest[[#This Row],[autor_es]],autorest[autor_es],autorest[epoca_la])</f>
        <v>Epocha Ignota</v>
      </c>
    </row>
    <row r="872" spans="1:15">
      <c r="A872">
        <v>871</v>
      </c>
      <c r="B872" t="s">
        <v>2459</v>
      </c>
      <c r="C872" t="s">
        <v>2460</v>
      </c>
      <c r="D872" t="s">
        <v>2461</v>
      </c>
      <c r="E872" t="s">
        <v>995</v>
      </c>
      <c r="F872" t="str">
        <f>_xlfn.XLOOKUP(frasest[[#This Row],[autor_es]],autorest[autor_es],autorest[autor_la])</f>
        <v>Sententia Vasconica</v>
      </c>
      <c r="G872" s="6" t="str">
        <f>_xlfn.XLOOKUP(frasest[[#This Row],[autor_es]],autorest[autor_es],autorest[bio_es])</f>
        <v>Proverbios de la tradición oral vasca que reflejan la relación con la naturaleza, el trabajo y los valores comunitarios del pueblo vasco.</v>
      </c>
      <c r="H872" s="6" t="str">
        <f>_xlfn.XLOOKUP(frasest[[#This Row],[autor_es]],autorest[autor_es],autorest[bio_la])</f>
        <v>Collectio sententiarum Vasconicarum.</v>
      </c>
      <c r="I872" t="str">
        <f>_xlfn.XLOOKUP(frasest[[#This Row],[autor_es]],autorest[autor_es],autorest[codigo])</f>
        <v>eu</v>
      </c>
      <c r="J872" t="str">
        <f>_xlfn.XLOOKUP(frasest[[#This Row],[autor_es]],autorest[autor_es],autorest[idioma_es])</f>
        <v>Euskara</v>
      </c>
      <c r="K872" s="6" t="str">
        <f>_xlfn.XLOOKUP(frasest[[#This Row],[autor_es]],autorest[autor_es],autorest[idioma_la])</f>
        <v>Lingua Vasconica</v>
      </c>
      <c r="L872" s="6" t="str">
        <f>_xlfn.XLOOKUP(frasest[[#This Row],[autor_es]],autorest[autor_es],autorest[nacion_es])</f>
        <v>España</v>
      </c>
      <c r="M872" t="str">
        <f>_xlfn.XLOOKUP(frasest[[#This Row],[autor_es]],autorest[autor_es],autorest[nacion_la])</f>
        <v>Hispania</v>
      </c>
      <c r="N872" t="str">
        <f>_xlfn.XLOOKUP(frasest[[#This Row],[autor_es]],autorest[autor_es],autorest[epoca_es])</f>
        <v>Epoca Desconocida</v>
      </c>
      <c r="O872" t="str">
        <f>_xlfn.XLOOKUP(frasest[[#This Row],[autor_es]],autorest[autor_es],autorest[epoca_la])</f>
        <v>Epocha Ignota</v>
      </c>
    </row>
    <row r="873" spans="1:15">
      <c r="A873">
        <v>872</v>
      </c>
      <c r="B873" t="s">
        <v>2462</v>
      </c>
      <c r="C873" t="s">
        <v>2463</v>
      </c>
      <c r="D873" t="s">
        <v>2464</v>
      </c>
      <c r="E873" t="s">
        <v>995</v>
      </c>
      <c r="F873" t="str">
        <f>_xlfn.XLOOKUP(frasest[[#This Row],[autor_es]],autorest[autor_es],autorest[autor_la])</f>
        <v>Sententia Vasconica</v>
      </c>
      <c r="G873" s="6" t="str">
        <f>_xlfn.XLOOKUP(frasest[[#This Row],[autor_es]],autorest[autor_es],autorest[bio_es])</f>
        <v>Proverbios de la tradición oral vasca que reflejan la relación con la naturaleza, el trabajo y los valores comunitarios del pueblo vasco.</v>
      </c>
      <c r="H873" s="6" t="str">
        <f>_xlfn.XLOOKUP(frasest[[#This Row],[autor_es]],autorest[autor_es],autorest[bio_la])</f>
        <v>Collectio sententiarum Vasconicarum.</v>
      </c>
      <c r="I873" t="str">
        <f>_xlfn.XLOOKUP(frasest[[#This Row],[autor_es]],autorest[autor_es],autorest[codigo])</f>
        <v>eu</v>
      </c>
      <c r="J873" t="str">
        <f>_xlfn.XLOOKUP(frasest[[#This Row],[autor_es]],autorest[autor_es],autorest[idioma_es])</f>
        <v>Euskara</v>
      </c>
      <c r="K873" s="6" t="str">
        <f>_xlfn.XLOOKUP(frasest[[#This Row],[autor_es]],autorest[autor_es],autorest[idioma_la])</f>
        <v>Lingua Vasconica</v>
      </c>
      <c r="L873" s="6" t="str">
        <f>_xlfn.XLOOKUP(frasest[[#This Row],[autor_es]],autorest[autor_es],autorest[nacion_es])</f>
        <v>España</v>
      </c>
      <c r="M873" t="str">
        <f>_xlfn.XLOOKUP(frasest[[#This Row],[autor_es]],autorest[autor_es],autorest[nacion_la])</f>
        <v>Hispania</v>
      </c>
      <c r="N873" t="str">
        <f>_xlfn.XLOOKUP(frasest[[#This Row],[autor_es]],autorest[autor_es],autorest[epoca_es])</f>
        <v>Epoca Desconocida</v>
      </c>
      <c r="O873" t="str">
        <f>_xlfn.XLOOKUP(frasest[[#This Row],[autor_es]],autorest[autor_es],autorest[epoca_la])</f>
        <v>Epocha Ignota</v>
      </c>
    </row>
    <row r="874" spans="1:15">
      <c r="A874">
        <v>873</v>
      </c>
      <c r="B874" t="s">
        <v>2465</v>
      </c>
      <c r="C874" t="s">
        <v>2466</v>
      </c>
      <c r="D874" t="s">
        <v>2467</v>
      </c>
      <c r="E874" t="s">
        <v>995</v>
      </c>
      <c r="F874" t="str">
        <f>_xlfn.XLOOKUP(frasest[[#This Row],[autor_es]],autorest[autor_es],autorest[autor_la])</f>
        <v>Sententia Vasconica</v>
      </c>
      <c r="G874" s="6" t="str">
        <f>_xlfn.XLOOKUP(frasest[[#This Row],[autor_es]],autorest[autor_es],autorest[bio_es])</f>
        <v>Proverbios de la tradición oral vasca que reflejan la relación con la naturaleza, el trabajo y los valores comunitarios del pueblo vasco.</v>
      </c>
      <c r="H874" s="6" t="str">
        <f>_xlfn.XLOOKUP(frasest[[#This Row],[autor_es]],autorest[autor_es],autorest[bio_la])</f>
        <v>Collectio sententiarum Vasconicarum.</v>
      </c>
      <c r="I874" t="str">
        <f>_xlfn.XLOOKUP(frasest[[#This Row],[autor_es]],autorest[autor_es],autorest[codigo])</f>
        <v>eu</v>
      </c>
      <c r="J874" t="str">
        <f>_xlfn.XLOOKUP(frasest[[#This Row],[autor_es]],autorest[autor_es],autorest[idioma_es])</f>
        <v>Euskara</v>
      </c>
      <c r="K874" s="6" t="str">
        <f>_xlfn.XLOOKUP(frasest[[#This Row],[autor_es]],autorest[autor_es],autorest[idioma_la])</f>
        <v>Lingua Vasconica</v>
      </c>
      <c r="L874" s="6" t="str">
        <f>_xlfn.XLOOKUP(frasest[[#This Row],[autor_es]],autorest[autor_es],autorest[nacion_es])</f>
        <v>España</v>
      </c>
      <c r="M874" t="str">
        <f>_xlfn.XLOOKUP(frasest[[#This Row],[autor_es]],autorest[autor_es],autorest[nacion_la])</f>
        <v>Hispania</v>
      </c>
      <c r="N874" t="str">
        <f>_xlfn.XLOOKUP(frasest[[#This Row],[autor_es]],autorest[autor_es],autorest[epoca_es])</f>
        <v>Epoca Desconocida</v>
      </c>
      <c r="O874" t="str">
        <f>_xlfn.XLOOKUP(frasest[[#This Row],[autor_es]],autorest[autor_es],autorest[epoca_la])</f>
        <v>Epocha Ignota</v>
      </c>
    </row>
    <row r="875" spans="1:15">
      <c r="A875">
        <v>874</v>
      </c>
      <c r="B875" t="s">
        <v>2468</v>
      </c>
      <c r="C875" t="s">
        <v>2469</v>
      </c>
      <c r="D875" t="s">
        <v>2470</v>
      </c>
      <c r="E875" t="s">
        <v>995</v>
      </c>
      <c r="F875" t="str">
        <f>_xlfn.XLOOKUP(frasest[[#This Row],[autor_es]],autorest[autor_es],autorest[autor_la])</f>
        <v>Sententia Vasconica</v>
      </c>
      <c r="G875" s="6" t="str">
        <f>_xlfn.XLOOKUP(frasest[[#This Row],[autor_es]],autorest[autor_es],autorest[bio_es])</f>
        <v>Proverbios de la tradición oral vasca que reflejan la relación con la naturaleza, el trabajo y los valores comunitarios del pueblo vasco.</v>
      </c>
      <c r="H875" s="6" t="str">
        <f>_xlfn.XLOOKUP(frasest[[#This Row],[autor_es]],autorest[autor_es],autorest[bio_la])</f>
        <v>Collectio sententiarum Vasconicarum.</v>
      </c>
      <c r="I875" t="str">
        <f>_xlfn.XLOOKUP(frasest[[#This Row],[autor_es]],autorest[autor_es],autorest[codigo])</f>
        <v>eu</v>
      </c>
      <c r="J875" t="str">
        <f>_xlfn.XLOOKUP(frasest[[#This Row],[autor_es]],autorest[autor_es],autorest[idioma_es])</f>
        <v>Euskara</v>
      </c>
      <c r="K875" s="6" t="str">
        <f>_xlfn.XLOOKUP(frasest[[#This Row],[autor_es]],autorest[autor_es],autorest[idioma_la])</f>
        <v>Lingua Vasconica</v>
      </c>
      <c r="L875" s="6" t="str">
        <f>_xlfn.XLOOKUP(frasest[[#This Row],[autor_es]],autorest[autor_es],autorest[nacion_es])</f>
        <v>España</v>
      </c>
      <c r="M875" t="str">
        <f>_xlfn.XLOOKUP(frasest[[#This Row],[autor_es]],autorest[autor_es],autorest[nacion_la])</f>
        <v>Hispania</v>
      </c>
      <c r="N875" t="str">
        <f>_xlfn.XLOOKUP(frasest[[#This Row],[autor_es]],autorest[autor_es],autorest[epoca_es])</f>
        <v>Epoca Desconocida</v>
      </c>
      <c r="O875" t="str">
        <f>_xlfn.XLOOKUP(frasest[[#This Row],[autor_es]],autorest[autor_es],autorest[epoca_la])</f>
        <v>Epocha Ignota</v>
      </c>
    </row>
    <row r="876" spans="1:15">
      <c r="A876">
        <v>875</v>
      </c>
      <c r="B876" t="s">
        <v>2471</v>
      </c>
      <c r="C876" t="s">
        <v>2472</v>
      </c>
      <c r="D876" t="s">
        <v>2473</v>
      </c>
      <c r="E876" t="s">
        <v>995</v>
      </c>
      <c r="F876" t="str">
        <f>_xlfn.XLOOKUP(frasest[[#This Row],[autor_es]],autorest[autor_es],autorest[autor_la])</f>
        <v>Sententia Vasconica</v>
      </c>
      <c r="G876" s="6" t="str">
        <f>_xlfn.XLOOKUP(frasest[[#This Row],[autor_es]],autorest[autor_es],autorest[bio_es])</f>
        <v>Proverbios de la tradición oral vasca que reflejan la relación con la naturaleza, el trabajo y los valores comunitarios del pueblo vasco.</v>
      </c>
      <c r="H876" s="6" t="str">
        <f>_xlfn.XLOOKUP(frasest[[#This Row],[autor_es]],autorest[autor_es],autorest[bio_la])</f>
        <v>Collectio sententiarum Vasconicarum.</v>
      </c>
      <c r="I876" t="str">
        <f>_xlfn.XLOOKUP(frasest[[#This Row],[autor_es]],autorest[autor_es],autorest[codigo])</f>
        <v>eu</v>
      </c>
      <c r="J876" t="str">
        <f>_xlfn.XLOOKUP(frasest[[#This Row],[autor_es]],autorest[autor_es],autorest[idioma_es])</f>
        <v>Euskara</v>
      </c>
      <c r="K876" s="6" t="str">
        <f>_xlfn.XLOOKUP(frasest[[#This Row],[autor_es]],autorest[autor_es],autorest[idioma_la])</f>
        <v>Lingua Vasconica</v>
      </c>
      <c r="L876" s="6" t="str">
        <f>_xlfn.XLOOKUP(frasest[[#This Row],[autor_es]],autorest[autor_es],autorest[nacion_es])</f>
        <v>España</v>
      </c>
      <c r="M876" t="str">
        <f>_xlfn.XLOOKUP(frasest[[#This Row],[autor_es]],autorest[autor_es],autorest[nacion_la])</f>
        <v>Hispania</v>
      </c>
      <c r="N876" t="str">
        <f>_xlfn.XLOOKUP(frasest[[#This Row],[autor_es]],autorest[autor_es],autorest[epoca_es])</f>
        <v>Epoca Desconocida</v>
      </c>
      <c r="O876" t="str">
        <f>_xlfn.XLOOKUP(frasest[[#This Row],[autor_es]],autorest[autor_es],autorest[epoca_la])</f>
        <v>Epocha Ignota</v>
      </c>
    </row>
    <row r="877" spans="1:15">
      <c r="A877">
        <v>876</v>
      </c>
      <c r="B877" t="s">
        <v>2474</v>
      </c>
      <c r="C877" t="s">
        <v>2475</v>
      </c>
      <c r="D877" t="s">
        <v>2476</v>
      </c>
      <c r="E877" t="s">
        <v>995</v>
      </c>
      <c r="F877" t="str">
        <f>_xlfn.XLOOKUP(frasest[[#This Row],[autor_es]],autorest[autor_es],autorest[autor_la])</f>
        <v>Sententia Vasconica</v>
      </c>
      <c r="G877" s="6" t="str">
        <f>_xlfn.XLOOKUP(frasest[[#This Row],[autor_es]],autorest[autor_es],autorest[bio_es])</f>
        <v>Proverbios de la tradición oral vasca que reflejan la relación con la naturaleza, el trabajo y los valores comunitarios del pueblo vasco.</v>
      </c>
      <c r="H877" s="6" t="str">
        <f>_xlfn.XLOOKUP(frasest[[#This Row],[autor_es]],autorest[autor_es],autorest[bio_la])</f>
        <v>Collectio sententiarum Vasconicarum.</v>
      </c>
      <c r="I877" t="str">
        <f>_xlfn.XLOOKUP(frasest[[#This Row],[autor_es]],autorest[autor_es],autorest[codigo])</f>
        <v>eu</v>
      </c>
      <c r="J877" t="str">
        <f>_xlfn.XLOOKUP(frasest[[#This Row],[autor_es]],autorest[autor_es],autorest[idioma_es])</f>
        <v>Euskara</v>
      </c>
      <c r="K877" s="6" t="str">
        <f>_xlfn.XLOOKUP(frasest[[#This Row],[autor_es]],autorest[autor_es],autorest[idioma_la])</f>
        <v>Lingua Vasconica</v>
      </c>
      <c r="L877" s="6" t="str">
        <f>_xlfn.XLOOKUP(frasest[[#This Row],[autor_es]],autorest[autor_es],autorest[nacion_es])</f>
        <v>España</v>
      </c>
      <c r="M877" t="str">
        <f>_xlfn.XLOOKUP(frasest[[#This Row],[autor_es]],autorest[autor_es],autorest[nacion_la])</f>
        <v>Hispania</v>
      </c>
      <c r="N877" t="str">
        <f>_xlfn.XLOOKUP(frasest[[#This Row],[autor_es]],autorest[autor_es],autorest[epoca_es])</f>
        <v>Epoca Desconocida</v>
      </c>
      <c r="O877" t="str">
        <f>_xlfn.XLOOKUP(frasest[[#This Row],[autor_es]],autorest[autor_es],autorest[epoca_la])</f>
        <v>Epocha Ignota</v>
      </c>
    </row>
    <row r="878" spans="1:15">
      <c r="A878">
        <v>877</v>
      </c>
      <c r="B878" t="s">
        <v>2477</v>
      </c>
      <c r="C878" t="s">
        <v>2478</v>
      </c>
      <c r="D878" t="s">
        <v>2479</v>
      </c>
      <c r="E878" t="s">
        <v>995</v>
      </c>
      <c r="F878" t="str">
        <f>_xlfn.XLOOKUP(frasest[[#This Row],[autor_es]],autorest[autor_es],autorest[autor_la])</f>
        <v>Sententia Vasconica</v>
      </c>
      <c r="G878" s="6" t="str">
        <f>_xlfn.XLOOKUP(frasest[[#This Row],[autor_es]],autorest[autor_es],autorest[bio_es])</f>
        <v>Proverbios de la tradición oral vasca que reflejan la relación con la naturaleza, el trabajo y los valores comunitarios del pueblo vasco.</v>
      </c>
      <c r="H878" s="6" t="str">
        <f>_xlfn.XLOOKUP(frasest[[#This Row],[autor_es]],autorest[autor_es],autorest[bio_la])</f>
        <v>Collectio sententiarum Vasconicarum.</v>
      </c>
      <c r="I878" t="str">
        <f>_xlfn.XLOOKUP(frasest[[#This Row],[autor_es]],autorest[autor_es],autorest[codigo])</f>
        <v>eu</v>
      </c>
      <c r="J878" t="str">
        <f>_xlfn.XLOOKUP(frasest[[#This Row],[autor_es]],autorest[autor_es],autorest[idioma_es])</f>
        <v>Euskara</v>
      </c>
      <c r="K878" s="6" t="str">
        <f>_xlfn.XLOOKUP(frasest[[#This Row],[autor_es]],autorest[autor_es],autorest[idioma_la])</f>
        <v>Lingua Vasconica</v>
      </c>
      <c r="L878" s="6" t="str">
        <f>_xlfn.XLOOKUP(frasest[[#This Row],[autor_es]],autorest[autor_es],autorest[nacion_es])</f>
        <v>España</v>
      </c>
      <c r="M878" t="str">
        <f>_xlfn.XLOOKUP(frasest[[#This Row],[autor_es]],autorest[autor_es],autorest[nacion_la])</f>
        <v>Hispania</v>
      </c>
      <c r="N878" t="str">
        <f>_xlfn.XLOOKUP(frasest[[#This Row],[autor_es]],autorest[autor_es],autorest[epoca_es])</f>
        <v>Epoca Desconocida</v>
      </c>
      <c r="O878" t="str">
        <f>_xlfn.XLOOKUP(frasest[[#This Row],[autor_es]],autorest[autor_es],autorest[epoca_la])</f>
        <v>Epocha Ignota</v>
      </c>
    </row>
    <row r="879" spans="1:15">
      <c r="A879">
        <v>878</v>
      </c>
      <c r="B879" t="s">
        <v>2480</v>
      </c>
      <c r="C879" t="s">
        <v>2481</v>
      </c>
      <c r="D879" t="s">
        <v>2482</v>
      </c>
      <c r="E879" t="s">
        <v>995</v>
      </c>
      <c r="F879" t="str">
        <f>_xlfn.XLOOKUP(frasest[[#This Row],[autor_es]],autorest[autor_es],autorest[autor_la])</f>
        <v>Sententia Vasconica</v>
      </c>
      <c r="G879" s="6" t="str">
        <f>_xlfn.XLOOKUP(frasest[[#This Row],[autor_es]],autorest[autor_es],autorest[bio_es])</f>
        <v>Proverbios de la tradición oral vasca que reflejan la relación con la naturaleza, el trabajo y los valores comunitarios del pueblo vasco.</v>
      </c>
      <c r="H879" s="6" t="str">
        <f>_xlfn.XLOOKUP(frasest[[#This Row],[autor_es]],autorest[autor_es],autorest[bio_la])</f>
        <v>Collectio sententiarum Vasconicarum.</v>
      </c>
      <c r="I879" t="str">
        <f>_xlfn.XLOOKUP(frasest[[#This Row],[autor_es]],autorest[autor_es],autorest[codigo])</f>
        <v>eu</v>
      </c>
      <c r="J879" t="str">
        <f>_xlfn.XLOOKUP(frasest[[#This Row],[autor_es]],autorest[autor_es],autorest[idioma_es])</f>
        <v>Euskara</v>
      </c>
      <c r="K879" s="6" t="str">
        <f>_xlfn.XLOOKUP(frasest[[#This Row],[autor_es]],autorest[autor_es],autorest[idioma_la])</f>
        <v>Lingua Vasconica</v>
      </c>
      <c r="L879" s="6" t="str">
        <f>_xlfn.XLOOKUP(frasest[[#This Row],[autor_es]],autorest[autor_es],autorest[nacion_es])</f>
        <v>España</v>
      </c>
      <c r="M879" t="str">
        <f>_xlfn.XLOOKUP(frasest[[#This Row],[autor_es]],autorest[autor_es],autorest[nacion_la])</f>
        <v>Hispania</v>
      </c>
      <c r="N879" t="str">
        <f>_xlfn.XLOOKUP(frasest[[#This Row],[autor_es]],autorest[autor_es],autorest[epoca_es])</f>
        <v>Epoca Desconocida</v>
      </c>
      <c r="O879" t="str">
        <f>_xlfn.XLOOKUP(frasest[[#This Row],[autor_es]],autorest[autor_es],autorest[epoca_la])</f>
        <v>Epocha Ignota</v>
      </c>
    </row>
    <row r="880" spans="1:15">
      <c r="A880">
        <v>879</v>
      </c>
      <c r="B880" t="s">
        <v>2483</v>
      </c>
      <c r="C880" t="s">
        <v>2484</v>
      </c>
      <c r="D880" t="s">
        <v>2485</v>
      </c>
      <c r="E880" t="s">
        <v>995</v>
      </c>
      <c r="F880" t="str">
        <f>_xlfn.XLOOKUP(frasest[[#This Row],[autor_es]],autorest[autor_es],autorest[autor_la])</f>
        <v>Sententia Vasconica</v>
      </c>
      <c r="G880" s="6" t="str">
        <f>_xlfn.XLOOKUP(frasest[[#This Row],[autor_es]],autorest[autor_es],autorest[bio_es])</f>
        <v>Proverbios de la tradición oral vasca que reflejan la relación con la naturaleza, el trabajo y los valores comunitarios del pueblo vasco.</v>
      </c>
      <c r="H880" s="6" t="str">
        <f>_xlfn.XLOOKUP(frasest[[#This Row],[autor_es]],autorest[autor_es],autorest[bio_la])</f>
        <v>Collectio sententiarum Vasconicarum.</v>
      </c>
      <c r="I880" t="str">
        <f>_xlfn.XLOOKUP(frasest[[#This Row],[autor_es]],autorest[autor_es],autorest[codigo])</f>
        <v>eu</v>
      </c>
      <c r="J880" t="str">
        <f>_xlfn.XLOOKUP(frasest[[#This Row],[autor_es]],autorest[autor_es],autorest[idioma_es])</f>
        <v>Euskara</v>
      </c>
      <c r="K880" s="6" t="str">
        <f>_xlfn.XLOOKUP(frasest[[#This Row],[autor_es]],autorest[autor_es],autorest[idioma_la])</f>
        <v>Lingua Vasconica</v>
      </c>
      <c r="L880" s="6" t="str">
        <f>_xlfn.XLOOKUP(frasest[[#This Row],[autor_es]],autorest[autor_es],autorest[nacion_es])</f>
        <v>España</v>
      </c>
      <c r="M880" t="str">
        <f>_xlfn.XLOOKUP(frasest[[#This Row],[autor_es]],autorest[autor_es],autorest[nacion_la])</f>
        <v>Hispania</v>
      </c>
      <c r="N880" t="str">
        <f>_xlfn.XLOOKUP(frasest[[#This Row],[autor_es]],autorest[autor_es],autorest[epoca_es])</f>
        <v>Epoca Desconocida</v>
      </c>
      <c r="O880" t="str">
        <f>_xlfn.XLOOKUP(frasest[[#This Row],[autor_es]],autorest[autor_es],autorest[epoca_la])</f>
        <v>Epocha Ignota</v>
      </c>
    </row>
    <row r="881" spans="1:15">
      <c r="A881">
        <v>880</v>
      </c>
      <c r="B881" t="s">
        <v>2486</v>
      </c>
      <c r="C881" t="s">
        <v>2487</v>
      </c>
      <c r="D881" t="s">
        <v>2488</v>
      </c>
      <c r="E881" t="s">
        <v>995</v>
      </c>
      <c r="F881" t="str">
        <f>_xlfn.XLOOKUP(frasest[[#This Row],[autor_es]],autorest[autor_es],autorest[autor_la])</f>
        <v>Sententia Vasconica</v>
      </c>
      <c r="G881" s="6" t="str">
        <f>_xlfn.XLOOKUP(frasest[[#This Row],[autor_es]],autorest[autor_es],autorest[bio_es])</f>
        <v>Proverbios de la tradición oral vasca que reflejan la relación con la naturaleza, el trabajo y los valores comunitarios del pueblo vasco.</v>
      </c>
      <c r="H881" s="6" t="str">
        <f>_xlfn.XLOOKUP(frasest[[#This Row],[autor_es]],autorest[autor_es],autorest[bio_la])</f>
        <v>Collectio sententiarum Vasconicarum.</v>
      </c>
      <c r="I881" t="str">
        <f>_xlfn.XLOOKUP(frasest[[#This Row],[autor_es]],autorest[autor_es],autorest[codigo])</f>
        <v>eu</v>
      </c>
      <c r="J881" t="str">
        <f>_xlfn.XLOOKUP(frasest[[#This Row],[autor_es]],autorest[autor_es],autorest[idioma_es])</f>
        <v>Euskara</v>
      </c>
      <c r="K881" s="6" t="str">
        <f>_xlfn.XLOOKUP(frasest[[#This Row],[autor_es]],autorest[autor_es],autorest[idioma_la])</f>
        <v>Lingua Vasconica</v>
      </c>
      <c r="L881" s="6" t="str">
        <f>_xlfn.XLOOKUP(frasest[[#This Row],[autor_es]],autorest[autor_es],autorest[nacion_es])</f>
        <v>España</v>
      </c>
      <c r="M881" t="str">
        <f>_xlfn.XLOOKUP(frasest[[#This Row],[autor_es]],autorest[autor_es],autorest[nacion_la])</f>
        <v>Hispania</v>
      </c>
      <c r="N881" t="str">
        <f>_xlfn.XLOOKUP(frasest[[#This Row],[autor_es]],autorest[autor_es],autorest[epoca_es])</f>
        <v>Epoca Desconocida</v>
      </c>
      <c r="O881" t="str">
        <f>_xlfn.XLOOKUP(frasest[[#This Row],[autor_es]],autorest[autor_es],autorest[epoca_la])</f>
        <v>Epocha Ignota</v>
      </c>
    </row>
    <row r="882" spans="1:15">
      <c r="A882">
        <v>881</v>
      </c>
      <c r="B882" t="s">
        <v>2489</v>
      </c>
      <c r="C882" t="s">
        <v>2490</v>
      </c>
      <c r="D882" t="s">
        <v>2491</v>
      </c>
      <c r="E882" t="s">
        <v>995</v>
      </c>
      <c r="F882" t="str">
        <f>_xlfn.XLOOKUP(frasest[[#This Row],[autor_es]],autorest[autor_es],autorest[autor_la])</f>
        <v>Sententia Vasconica</v>
      </c>
      <c r="G882" s="6" t="str">
        <f>_xlfn.XLOOKUP(frasest[[#This Row],[autor_es]],autorest[autor_es],autorest[bio_es])</f>
        <v>Proverbios de la tradición oral vasca que reflejan la relación con la naturaleza, el trabajo y los valores comunitarios del pueblo vasco.</v>
      </c>
      <c r="H882" s="6" t="str">
        <f>_xlfn.XLOOKUP(frasest[[#This Row],[autor_es]],autorest[autor_es],autorest[bio_la])</f>
        <v>Collectio sententiarum Vasconicarum.</v>
      </c>
      <c r="I882" t="str">
        <f>_xlfn.XLOOKUP(frasest[[#This Row],[autor_es]],autorest[autor_es],autorest[codigo])</f>
        <v>eu</v>
      </c>
      <c r="J882" t="str">
        <f>_xlfn.XLOOKUP(frasest[[#This Row],[autor_es]],autorest[autor_es],autorest[idioma_es])</f>
        <v>Euskara</v>
      </c>
      <c r="K882" s="6" t="str">
        <f>_xlfn.XLOOKUP(frasest[[#This Row],[autor_es]],autorest[autor_es],autorest[idioma_la])</f>
        <v>Lingua Vasconica</v>
      </c>
      <c r="L882" s="6" t="str">
        <f>_xlfn.XLOOKUP(frasest[[#This Row],[autor_es]],autorest[autor_es],autorest[nacion_es])</f>
        <v>España</v>
      </c>
      <c r="M882" t="str">
        <f>_xlfn.XLOOKUP(frasest[[#This Row],[autor_es]],autorest[autor_es],autorest[nacion_la])</f>
        <v>Hispania</v>
      </c>
      <c r="N882" t="str">
        <f>_xlfn.XLOOKUP(frasest[[#This Row],[autor_es]],autorest[autor_es],autorest[epoca_es])</f>
        <v>Epoca Desconocida</v>
      </c>
      <c r="O882" t="str">
        <f>_xlfn.XLOOKUP(frasest[[#This Row],[autor_es]],autorest[autor_es],autorest[epoca_la])</f>
        <v>Epocha Ignota</v>
      </c>
    </row>
    <row r="883" spans="1:15">
      <c r="A883">
        <v>882</v>
      </c>
      <c r="B883" t="s">
        <v>2492</v>
      </c>
      <c r="C883" t="s">
        <v>2493</v>
      </c>
      <c r="D883" t="s">
        <v>2494</v>
      </c>
      <c r="E883" t="s">
        <v>995</v>
      </c>
      <c r="F883" t="str">
        <f>_xlfn.XLOOKUP(frasest[[#This Row],[autor_es]],autorest[autor_es],autorest[autor_la])</f>
        <v>Sententia Vasconica</v>
      </c>
      <c r="G883" s="6" t="str">
        <f>_xlfn.XLOOKUP(frasest[[#This Row],[autor_es]],autorest[autor_es],autorest[bio_es])</f>
        <v>Proverbios de la tradición oral vasca que reflejan la relación con la naturaleza, el trabajo y los valores comunitarios del pueblo vasco.</v>
      </c>
      <c r="H883" s="6" t="str">
        <f>_xlfn.XLOOKUP(frasest[[#This Row],[autor_es]],autorest[autor_es],autorest[bio_la])</f>
        <v>Collectio sententiarum Vasconicarum.</v>
      </c>
      <c r="I883" t="str">
        <f>_xlfn.XLOOKUP(frasest[[#This Row],[autor_es]],autorest[autor_es],autorest[codigo])</f>
        <v>eu</v>
      </c>
      <c r="J883" t="str">
        <f>_xlfn.XLOOKUP(frasest[[#This Row],[autor_es]],autorest[autor_es],autorest[idioma_es])</f>
        <v>Euskara</v>
      </c>
      <c r="K883" s="6" t="str">
        <f>_xlfn.XLOOKUP(frasest[[#This Row],[autor_es]],autorest[autor_es],autorest[idioma_la])</f>
        <v>Lingua Vasconica</v>
      </c>
      <c r="L883" s="6" t="str">
        <f>_xlfn.XLOOKUP(frasest[[#This Row],[autor_es]],autorest[autor_es],autorest[nacion_es])</f>
        <v>España</v>
      </c>
      <c r="M883" t="str">
        <f>_xlfn.XLOOKUP(frasest[[#This Row],[autor_es]],autorest[autor_es],autorest[nacion_la])</f>
        <v>Hispania</v>
      </c>
      <c r="N883" t="str">
        <f>_xlfn.XLOOKUP(frasest[[#This Row],[autor_es]],autorest[autor_es],autorest[epoca_es])</f>
        <v>Epoca Desconocida</v>
      </c>
      <c r="O883" t="str">
        <f>_xlfn.XLOOKUP(frasest[[#This Row],[autor_es]],autorest[autor_es],autorest[epoca_la])</f>
        <v>Epocha Ignota</v>
      </c>
    </row>
    <row r="884" spans="1:15">
      <c r="A884">
        <v>883</v>
      </c>
      <c r="B884" t="s">
        <v>2495</v>
      </c>
      <c r="C884" t="s">
        <v>2496</v>
      </c>
      <c r="D884" t="s">
        <v>2497</v>
      </c>
      <c r="E884" t="s">
        <v>995</v>
      </c>
      <c r="F884" t="str">
        <f>_xlfn.XLOOKUP(frasest[[#This Row],[autor_es]],autorest[autor_es],autorest[autor_la])</f>
        <v>Sententia Vasconica</v>
      </c>
      <c r="G884" s="6" t="str">
        <f>_xlfn.XLOOKUP(frasest[[#This Row],[autor_es]],autorest[autor_es],autorest[bio_es])</f>
        <v>Proverbios de la tradición oral vasca que reflejan la relación con la naturaleza, el trabajo y los valores comunitarios del pueblo vasco.</v>
      </c>
      <c r="H884" s="6" t="str">
        <f>_xlfn.XLOOKUP(frasest[[#This Row],[autor_es]],autorest[autor_es],autorest[bio_la])</f>
        <v>Collectio sententiarum Vasconicarum.</v>
      </c>
      <c r="I884" t="str">
        <f>_xlfn.XLOOKUP(frasest[[#This Row],[autor_es]],autorest[autor_es],autorest[codigo])</f>
        <v>eu</v>
      </c>
      <c r="J884" t="str">
        <f>_xlfn.XLOOKUP(frasest[[#This Row],[autor_es]],autorest[autor_es],autorest[idioma_es])</f>
        <v>Euskara</v>
      </c>
      <c r="K884" s="6" t="str">
        <f>_xlfn.XLOOKUP(frasest[[#This Row],[autor_es]],autorest[autor_es],autorest[idioma_la])</f>
        <v>Lingua Vasconica</v>
      </c>
      <c r="L884" s="6" t="str">
        <f>_xlfn.XLOOKUP(frasest[[#This Row],[autor_es]],autorest[autor_es],autorest[nacion_es])</f>
        <v>España</v>
      </c>
      <c r="M884" t="str">
        <f>_xlfn.XLOOKUP(frasest[[#This Row],[autor_es]],autorest[autor_es],autorest[nacion_la])</f>
        <v>Hispania</v>
      </c>
      <c r="N884" t="str">
        <f>_xlfn.XLOOKUP(frasest[[#This Row],[autor_es]],autorest[autor_es],autorest[epoca_es])</f>
        <v>Epoca Desconocida</v>
      </c>
      <c r="O884" t="str">
        <f>_xlfn.XLOOKUP(frasest[[#This Row],[autor_es]],autorest[autor_es],autorest[epoca_la])</f>
        <v>Epocha Ignota</v>
      </c>
    </row>
    <row r="885" spans="1:15">
      <c r="A885">
        <v>884</v>
      </c>
      <c r="B885" t="s">
        <v>2498</v>
      </c>
      <c r="C885" t="s">
        <v>2499</v>
      </c>
      <c r="D885" t="s">
        <v>2500</v>
      </c>
      <c r="E885" t="s">
        <v>995</v>
      </c>
      <c r="F885" t="str">
        <f>_xlfn.XLOOKUP(frasest[[#This Row],[autor_es]],autorest[autor_es],autorest[autor_la])</f>
        <v>Sententia Vasconica</v>
      </c>
      <c r="G885" s="6" t="str">
        <f>_xlfn.XLOOKUP(frasest[[#This Row],[autor_es]],autorest[autor_es],autorest[bio_es])</f>
        <v>Proverbios de la tradición oral vasca que reflejan la relación con la naturaleza, el trabajo y los valores comunitarios del pueblo vasco.</v>
      </c>
      <c r="H885" s="6" t="str">
        <f>_xlfn.XLOOKUP(frasest[[#This Row],[autor_es]],autorest[autor_es],autorest[bio_la])</f>
        <v>Collectio sententiarum Vasconicarum.</v>
      </c>
      <c r="I885" t="str">
        <f>_xlfn.XLOOKUP(frasest[[#This Row],[autor_es]],autorest[autor_es],autorest[codigo])</f>
        <v>eu</v>
      </c>
      <c r="J885" t="str">
        <f>_xlfn.XLOOKUP(frasest[[#This Row],[autor_es]],autorest[autor_es],autorest[idioma_es])</f>
        <v>Euskara</v>
      </c>
      <c r="K885" s="6" t="str">
        <f>_xlfn.XLOOKUP(frasest[[#This Row],[autor_es]],autorest[autor_es],autorest[idioma_la])</f>
        <v>Lingua Vasconica</v>
      </c>
      <c r="L885" s="6" t="str">
        <f>_xlfn.XLOOKUP(frasest[[#This Row],[autor_es]],autorest[autor_es],autorest[nacion_es])</f>
        <v>España</v>
      </c>
      <c r="M885" t="str">
        <f>_xlfn.XLOOKUP(frasest[[#This Row],[autor_es]],autorest[autor_es],autorest[nacion_la])</f>
        <v>Hispania</v>
      </c>
      <c r="N885" t="str">
        <f>_xlfn.XLOOKUP(frasest[[#This Row],[autor_es]],autorest[autor_es],autorest[epoca_es])</f>
        <v>Epoca Desconocida</v>
      </c>
      <c r="O885" t="str">
        <f>_xlfn.XLOOKUP(frasest[[#This Row],[autor_es]],autorest[autor_es],autorest[epoca_la])</f>
        <v>Epocha Ignota</v>
      </c>
    </row>
    <row r="886" spans="1:15">
      <c r="A886">
        <v>885</v>
      </c>
      <c r="B886" t="s">
        <v>2501</v>
      </c>
      <c r="C886" t="s">
        <v>2502</v>
      </c>
      <c r="D886" t="s">
        <v>2503</v>
      </c>
      <c r="E886" t="s">
        <v>995</v>
      </c>
      <c r="F886" t="str">
        <f>_xlfn.XLOOKUP(frasest[[#This Row],[autor_es]],autorest[autor_es],autorest[autor_la])</f>
        <v>Sententia Vasconica</v>
      </c>
      <c r="G886" s="6" t="str">
        <f>_xlfn.XLOOKUP(frasest[[#This Row],[autor_es]],autorest[autor_es],autorest[bio_es])</f>
        <v>Proverbios de la tradición oral vasca que reflejan la relación con la naturaleza, el trabajo y los valores comunitarios del pueblo vasco.</v>
      </c>
      <c r="H886" s="6" t="str">
        <f>_xlfn.XLOOKUP(frasest[[#This Row],[autor_es]],autorest[autor_es],autorest[bio_la])</f>
        <v>Collectio sententiarum Vasconicarum.</v>
      </c>
      <c r="I886" t="str">
        <f>_xlfn.XLOOKUP(frasest[[#This Row],[autor_es]],autorest[autor_es],autorest[codigo])</f>
        <v>eu</v>
      </c>
      <c r="J886" t="str">
        <f>_xlfn.XLOOKUP(frasest[[#This Row],[autor_es]],autorest[autor_es],autorest[idioma_es])</f>
        <v>Euskara</v>
      </c>
      <c r="K886" s="6" t="str">
        <f>_xlfn.XLOOKUP(frasest[[#This Row],[autor_es]],autorest[autor_es],autorest[idioma_la])</f>
        <v>Lingua Vasconica</v>
      </c>
      <c r="L886" s="6" t="str">
        <f>_xlfn.XLOOKUP(frasest[[#This Row],[autor_es]],autorest[autor_es],autorest[nacion_es])</f>
        <v>España</v>
      </c>
      <c r="M886" t="str">
        <f>_xlfn.XLOOKUP(frasest[[#This Row],[autor_es]],autorest[autor_es],autorest[nacion_la])</f>
        <v>Hispania</v>
      </c>
      <c r="N886" t="str">
        <f>_xlfn.XLOOKUP(frasest[[#This Row],[autor_es]],autorest[autor_es],autorest[epoca_es])</f>
        <v>Epoca Desconocida</v>
      </c>
      <c r="O886" t="str">
        <f>_xlfn.XLOOKUP(frasest[[#This Row],[autor_es]],autorest[autor_es],autorest[epoca_la])</f>
        <v>Epocha Ignota</v>
      </c>
    </row>
    <row r="887" spans="1:15">
      <c r="A887">
        <v>886</v>
      </c>
      <c r="B887" t="s">
        <v>2504</v>
      </c>
      <c r="C887" t="s">
        <v>2505</v>
      </c>
      <c r="D887" t="s">
        <v>2506</v>
      </c>
      <c r="E887" t="s">
        <v>995</v>
      </c>
      <c r="F887" t="str">
        <f>_xlfn.XLOOKUP(frasest[[#This Row],[autor_es]],autorest[autor_es],autorest[autor_la])</f>
        <v>Sententia Vasconica</v>
      </c>
      <c r="G887" s="6" t="str">
        <f>_xlfn.XLOOKUP(frasest[[#This Row],[autor_es]],autorest[autor_es],autorest[bio_es])</f>
        <v>Proverbios de la tradición oral vasca que reflejan la relación con la naturaleza, el trabajo y los valores comunitarios del pueblo vasco.</v>
      </c>
      <c r="H887" s="6" t="str">
        <f>_xlfn.XLOOKUP(frasest[[#This Row],[autor_es]],autorest[autor_es],autorest[bio_la])</f>
        <v>Collectio sententiarum Vasconicarum.</v>
      </c>
      <c r="I887" t="str">
        <f>_xlfn.XLOOKUP(frasest[[#This Row],[autor_es]],autorest[autor_es],autorest[codigo])</f>
        <v>eu</v>
      </c>
      <c r="J887" t="str">
        <f>_xlfn.XLOOKUP(frasest[[#This Row],[autor_es]],autorest[autor_es],autorest[idioma_es])</f>
        <v>Euskara</v>
      </c>
      <c r="K887" s="6" t="str">
        <f>_xlfn.XLOOKUP(frasest[[#This Row],[autor_es]],autorest[autor_es],autorest[idioma_la])</f>
        <v>Lingua Vasconica</v>
      </c>
      <c r="L887" s="6" t="str">
        <f>_xlfn.XLOOKUP(frasest[[#This Row],[autor_es]],autorest[autor_es],autorest[nacion_es])</f>
        <v>España</v>
      </c>
      <c r="M887" t="str">
        <f>_xlfn.XLOOKUP(frasest[[#This Row],[autor_es]],autorest[autor_es],autorest[nacion_la])</f>
        <v>Hispania</v>
      </c>
      <c r="N887" t="str">
        <f>_xlfn.XLOOKUP(frasest[[#This Row],[autor_es]],autorest[autor_es],autorest[epoca_es])</f>
        <v>Epoca Desconocida</v>
      </c>
      <c r="O887" t="str">
        <f>_xlfn.XLOOKUP(frasest[[#This Row],[autor_es]],autorest[autor_es],autorest[epoca_la])</f>
        <v>Epocha Ignota</v>
      </c>
    </row>
    <row r="888" spans="1:15">
      <c r="A888">
        <v>887</v>
      </c>
      <c r="B888" t="s">
        <v>2507</v>
      </c>
      <c r="C888" t="s">
        <v>2508</v>
      </c>
      <c r="D888" t="s">
        <v>2509</v>
      </c>
      <c r="E888" t="s">
        <v>995</v>
      </c>
      <c r="F888" t="str">
        <f>_xlfn.XLOOKUP(frasest[[#This Row],[autor_es]],autorest[autor_es],autorest[autor_la])</f>
        <v>Sententia Vasconica</v>
      </c>
      <c r="G888" s="6" t="str">
        <f>_xlfn.XLOOKUP(frasest[[#This Row],[autor_es]],autorest[autor_es],autorest[bio_es])</f>
        <v>Proverbios de la tradición oral vasca que reflejan la relación con la naturaleza, el trabajo y los valores comunitarios del pueblo vasco.</v>
      </c>
      <c r="H888" s="6" t="str">
        <f>_xlfn.XLOOKUP(frasest[[#This Row],[autor_es]],autorest[autor_es],autorest[bio_la])</f>
        <v>Collectio sententiarum Vasconicarum.</v>
      </c>
      <c r="I888" t="str">
        <f>_xlfn.XLOOKUP(frasest[[#This Row],[autor_es]],autorest[autor_es],autorest[codigo])</f>
        <v>eu</v>
      </c>
      <c r="J888" t="str">
        <f>_xlfn.XLOOKUP(frasest[[#This Row],[autor_es]],autorest[autor_es],autorest[idioma_es])</f>
        <v>Euskara</v>
      </c>
      <c r="K888" s="6" t="str">
        <f>_xlfn.XLOOKUP(frasest[[#This Row],[autor_es]],autorest[autor_es],autorest[idioma_la])</f>
        <v>Lingua Vasconica</v>
      </c>
      <c r="L888" s="6" t="str">
        <f>_xlfn.XLOOKUP(frasest[[#This Row],[autor_es]],autorest[autor_es],autorest[nacion_es])</f>
        <v>España</v>
      </c>
      <c r="M888" t="str">
        <f>_xlfn.XLOOKUP(frasest[[#This Row],[autor_es]],autorest[autor_es],autorest[nacion_la])</f>
        <v>Hispania</v>
      </c>
      <c r="N888" t="str">
        <f>_xlfn.XLOOKUP(frasest[[#This Row],[autor_es]],autorest[autor_es],autorest[epoca_es])</f>
        <v>Epoca Desconocida</v>
      </c>
      <c r="O888" t="str">
        <f>_xlfn.XLOOKUP(frasest[[#This Row],[autor_es]],autorest[autor_es],autorest[epoca_la])</f>
        <v>Epocha Ignota</v>
      </c>
    </row>
    <row r="889" spans="1:15">
      <c r="A889">
        <v>888</v>
      </c>
      <c r="B889" t="s">
        <v>2510</v>
      </c>
      <c r="C889" t="s">
        <v>2511</v>
      </c>
      <c r="D889" t="s">
        <v>2512</v>
      </c>
      <c r="E889" t="s">
        <v>995</v>
      </c>
      <c r="F889" t="str">
        <f>_xlfn.XLOOKUP(frasest[[#This Row],[autor_es]],autorest[autor_es],autorest[autor_la])</f>
        <v>Sententia Vasconica</v>
      </c>
      <c r="G889" s="6" t="str">
        <f>_xlfn.XLOOKUP(frasest[[#This Row],[autor_es]],autorest[autor_es],autorest[bio_es])</f>
        <v>Proverbios de la tradición oral vasca que reflejan la relación con la naturaleza, el trabajo y los valores comunitarios del pueblo vasco.</v>
      </c>
      <c r="H889" s="6" t="str">
        <f>_xlfn.XLOOKUP(frasest[[#This Row],[autor_es]],autorest[autor_es],autorest[bio_la])</f>
        <v>Collectio sententiarum Vasconicarum.</v>
      </c>
      <c r="I889" t="str">
        <f>_xlfn.XLOOKUP(frasest[[#This Row],[autor_es]],autorest[autor_es],autorest[codigo])</f>
        <v>eu</v>
      </c>
      <c r="J889" t="str">
        <f>_xlfn.XLOOKUP(frasest[[#This Row],[autor_es]],autorest[autor_es],autorest[idioma_es])</f>
        <v>Euskara</v>
      </c>
      <c r="K889" s="6" t="str">
        <f>_xlfn.XLOOKUP(frasest[[#This Row],[autor_es]],autorest[autor_es],autorest[idioma_la])</f>
        <v>Lingua Vasconica</v>
      </c>
      <c r="L889" s="6" t="str">
        <f>_xlfn.XLOOKUP(frasest[[#This Row],[autor_es]],autorest[autor_es],autorest[nacion_es])</f>
        <v>España</v>
      </c>
      <c r="M889" t="str">
        <f>_xlfn.XLOOKUP(frasest[[#This Row],[autor_es]],autorest[autor_es],autorest[nacion_la])</f>
        <v>Hispania</v>
      </c>
      <c r="N889" t="str">
        <f>_xlfn.XLOOKUP(frasest[[#This Row],[autor_es]],autorest[autor_es],autorest[epoca_es])</f>
        <v>Epoca Desconocida</v>
      </c>
      <c r="O889" t="str">
        <f>_xlfn.XLOOKUP(frasest[[#This Row],[autor_es]],autorest[autor_es],autorest[epoca_la])</f>
        <v>Epocha Ignota</v>
      </c>
    </row>
    <row r="890" spans="1:15">
      <c r="A890">
        <v>889</v>
      </c>
      <c r="B890" t="s">
        <v>2513</v>
      </c>
      <c r="C890" t="s">
        <v>2514</v>
      </c>
      <c r="D890" t="s">
        <v>2515</v>
      </c>
      <c r="E890" t="s">
        <v>995</v>
      </c>
      <c r="F890" t="str">
        <f>_xlfn.XLOOKUP(frasest[[#This Row],[autor_es]],autorest[autor_es],autorest[autor_la])</f>
        <v>Sententia Vasconica</v>
      </c>
      <c r="G890" s="6" t="str">
        <f>_xlfn.XLOOKUP(frasest[[#This Row],[autor_es]],autorest[autor_es],autorest[bio_es])</f>
        <v>Proverbios de la tradición oral vasca que reflejan la relación con la naturaleza, el trabajo y los valores comunitarios del pueblo vasco.</v>
      </c>
      <c r="H890" s="6" t="str">
        <f>_xlfn.XLOOKUP(frasest[[#This Row],[autor_es]],autorest[autor_es],autorest[bio_la])</f>
        <v>Collectio sententiarum Vasconicarum.</v>
      </c>
      <c r="I890" t="str">
        <f>_xlfn.XLOOKUP(frasest[[#This Row],[autor_es]],autorest[autor_es],autorest[codigo])</f>
        <v>eu</v>
      </c>
      <c r="J890" t="str">
        <f>_xlfn.XLOOKUP(frasest[[#This Row],[autor_es]],autorest[autor_es],autorest[idioma_es])</f>
        <v>Euskara</v>
      </c>
      <c r="K890" s="6" t="str">
        <f>_xlfn.XLOOKUP(frasest[[#This Row],[autor_es]],autorest[autor_es],autorest[idioma_la])</f>
        <v>Lingua Vasconica</v>
      </c>
      <c r="L890" s="6" t="str">
        <f>_xlfn.XLOOKUP(frasest[[#This Row],[autor_es]],autorest[autor_es],autorest[nacion_es])</f>
        <v>España</v>
      </c>
      <c r="M890" t="str">
        <f>_xlfn.XLOOKUP(frasest[[#This Row],[autor_es]],autorest[autor_es],autorest[nacion_la])</f>
        <v>Hispania</v>
      </c>
      <c r="N890" t="str">
        <f>_xlfn.XLOOKUP(frasest[[#This Row],[autor_es]],autorest[autor_es],autorest[epoca_es])</f>
        <v>Epoca Desconocida</v>
      </c>
      <c r="O890" t="str">
        <f>_xlfn.XLOOKUP(frasest[[#This Row],[autor_es]],autorest[autor_es],autorest[epoca_la])</f>
        <v>Epocha Ignota</v>
      </c>
    </row>
    <row r="891" spans="1:15">
      <c r="A891">
        <v>890</v>
      </c>
      <c r="B891" t="s">
        <v>2516</v>
      </c>
      <c r="C891" t="s">
        <v>2517</v>
      </c>
      <c r="D891" t="s">
        <v>2518</v>
      </c>
      <c r="E891" t="s">
        <v>995</v>
      </c>
      <c r="F891" t="str">
        <f>_xlfn.XLOOKUP(frasest[[#This Row],[autor_es]],autorest[autor_es],autorest[autor_la])</f>
        <v>Sententia Vasconica</v>
      </c>
      <c r="G891" s="6" t="str">
        <f>_xlfn.XLOOKUP(frasest[[#This Row],[autor_es]],autorest[autor_es],autorest[bio_es])</f>
        <v>Proverbios de la tradición oral vasca que reflejan la relación con la naturaleza, el trabajo y los valores comunitarios del pueblo vasco.</v>
      </c>
      <c r="H891" s="6" t="str">
        <f>_xlfn.XLOOKUP(frasest[[#This Row],[autor_es]],autorest[autor_es],autorest[bio_la])</f>
        <v>Collectio sententiarum Vasconicarum.</v>
      </c>
      <c r="I891" t="str">
        <f>_xlfn.XLOOKUP(frasest[[#This Row],[autor_es]],autorest[autor_es],autorest[codigo])</f>
        <v>eu</v>
      </c>
      <c r="J891" t="str">
        <f>_xlfn.XLOOKUP(frasest[[#This Row],[autor_es]],autorest[autor_es],autorest[idioma_es])</f>
        <v>Euskara</v>
      </c>
      <c r="K891" s="6" t="str">
        <f>_xlfn.XLOOKUP(frasest[[#This Row],[autor_es]],autorest[autor_es],autorest[idioma_la])</f>
        <v>Lingua Vasconica</v>
      </c>
      <c r="L891" s="6" t="str">
        <f>_xlfn.XLOOKUP(frasest[[#This Row],[autor_es]],autorest[autor_es],autorest[nacion_es])</f>
        <v>España</v>
      </c>
      <c r="M891" t="str">
        <f>_xlfn.XLOOKUP(frasest[[#This Row],[autor_es]],autorest[autor_es],autorest[nacion_la])</f>
        <v>Hispania</v>
      </c>
      <c r="N891" t="str">
        <f>_xlfn.XLOOKUP(frasest[[#This Row],[autor_es]],autorest[autor_es],autorest[epoca_es])</f>
        <v>Epoca Desconocida</v>
      </c>
      <c r="O891" t="str">
        <f>_xlfn.XLOOKUP(frasest[[#This Row],[autor_es]],autorest[autor_es],autorest[epoca_la])</f>
        <v>Epocha Ignota</v>
      </c>
    </row>
    <row r="892" spans="1:15">
      <c r="A892">
        <v>891</v>
      </c>
      <c r="B892" t="s">
        <v>2519</v>
      </c>
      <c r="C892" t="s">
        <v>2520</v>
      </c>
      <c r="D892" t="s">
        <v>2521</v>
      </c>
      <c r="E892" t="s">
        <v>995</v>
      </c>
      <c r="F892" t="str">
        <f>_xlfn.XLOOKUP(frasest[[#This Row],[autor_es]],autorest[autor_es],autorest[autor_la])</f>
        <v>Sententia Vasconica</v>
      </c>
      <c r="G892" s="6" t="str">
        <f>_xlfn.XLOOKUP(frasest[[#This Row],[autor_es]],autorest[autor_es],autorest[bio_es])</f>
        <v>Proverbios de la tradición oral vasca que reflejan la relación con la naturaleza, el trabajo y los valores comunitarios del pueblo vasco.</v>
      </c>
      <c r="H892" s="6" t="str">
        <f>_xlfn.XLOOKUP(frasest[[#This Row],[autor_es]],autorest[autor_es],autorest[bio_la])</f>
        <v>Collectio sententiarum Vasconicarum.</v>
      </c>
      <c r="I892" t="str">
        <f>_xlfn.XLOOKUP(frasest[[#This Row],[autor_es]],autorest[autor_es],autorest[codigo])</f>
        <v>eu</v>
      </c>
      <c r="J892" t="str">
        <f>_xlfn.XLOOKUP(frasest[[#This Row],[autor_es]],autorest[autor_es],autorest[idioma_es])</f>
        <v>Euskara</v>
      </c>
      <c r="K892" s="6" t="str">
        <f>_xlfn.XLOOKUP(frasest[[#This Row],[autor_es]],autorest[autor_es],autorest[idioma_la])</f>
        <v>Lingua Vasconica</v>
      </c>
      <c r="L892" s="6" t="str">
        <f>_xlfn.XLOOKUP(frasest[[#This Row],[autor_es]],autorest[autor_es],autorest[nacion_es])</f>
        <v>España</v>
      </c>
      <c r="M892" t="str">
        <f>_xlfn.XLOOKUP(frasest[[#This Row],[autor_es]],autorest[autor_es],autorest[nacion_la])</f>
        <v>Hispania</v>
      </c>
      <c r="N892" t="str">
        <f>_xlfn.XLOOKUP(frasest[[#This Row],[autor_es]],autorest[autor_es],autorest[epoca_es])</f>
        <v>Epoca Desconocida</v>
      </c>
      <c r="O892" t="str">
        <f>_xlfn.XLOOKUP(frasest[[#This Row],[autor_es]],autorest[autor_es],autorest[epoca_la])</f>
        <v>Epocha Ignota</v>
      </c>
    </row>
    <row r="893" spans="1:15">
      <c r="A893">
        <v>892</v>
      </c>
      <c r="B893" t="s">
        <v>2522</v>
      </c>
      <c r="C893" t="s">
        <v>2523</v>
      </c>
      <c r="D893" t="s">
        <v>2524</v>
      </c>
      <c r="E893" t="s">
        <v>995</v>
      </c>
      <c r="F893" t="str">
        <f>_xlfn.XLOOKUP(frasest[[#This Row],[autor_es]],autorest[autor_es],autorest[autor_la])</f>
        <v>Sententia Vasconica</v>
      </c>
      <c r="G893" s="6" t="str">
        <f>_xlfn.XLOOKUP(frasest[[#This Row],[autor_es]],autorest[autor_es],autorest[bio_es])</f>
        <v>Proverbios de la tradición oral vasca que reflejan la relación con la naturaleza, el trabajo y los valores comunitarios del pueblo vasco.</v>
      </c>
      <c r="H893" s="6" t="str">
        <f>_xlfn.XLOOKUP(frasest[[#This Row],[autor_es]],autorest[autor_es],autorest[bio_la])</f>
        <v>Collectio sententiarum Vasconicarum.</v>
      </c>
      <c r="I893" t="str">
        <f>_xlfn.XLOOKUP(frasest[[#This Row],[autor_es]],autorest[autor_es],autorest[codigo])</f>
        <v>eu</v>
      </c>
      <c r="J893" t="str">
        <f>_xlfn.XLOOKUP(frasest[[#This Row],[autor_es]],autorest[autor_es],autorest[idioma_es])</f>
        <v>Euskara</v>
      </c>
      <c r="K893" s="6" t="str">
        <f>_xlfn.XLOOKUP(frasest[[#This Row],[autor_es]],autorest[autor_es],autorest[idioma_la])</f>
        <v>Lingua Vasconica</v>
      </c>
      <c r="L893" s="6" t="str">
        <f>_xlfn.XLOOKUP(frasest[[#This Row],[autor_es]],autorest[autor_es],autorest[nacion_es])</f>
        <v>España</v>
      </c>
      <c r="M893" t="str">
        <f>_xlfn.XLOOKUP(frasest[[#This Row],[autor_es]],autorest[autor_es],autorest[nacion_la])</f>
        <v>Hispania</v>
      </c>
      <c r="N893" t="str">
        <f>_xlfn.XLOOKUP(frasest[[#This Row],[autor_es]],autorest[autor_es],autorest[epoca_es])</f>
        <v>Epoca Desconocida</v>
      </c>
      <c r="O893" t="str">
        <f>_xlfn.XLOOKUP(frasest[[#This Row],[autor_es]],autorest[autor_es],autorest[epoca_la])</f>
        <v>Epocha Ignota</v>
      </c>
    </row>
    <row r="894" spans="1:15">
      <c r="A894">
        <v>893</v>
      </c>
      <c r="B894" t="s">
        <v>2525</v>
      </c>
      <c r="C894" t="s">
        <v>2526</v>
      </c>
      <c r="D894" t="s">
        <v>2527</v>
      </c>
      <c r="E894" t="s">
        <v>995</v>
      </c>
      <c r="F894" t="str">
        <f>_xlfn.XLOOKUP(frasest[[#This Row],[autor_es]],autorest[autor_es],autorest[autor_la])</f>
        <v>Sententia Vasconica</v>
      </c>
      <c r="G894" s="6" t="str">
        <f>_xlfn.XLOOKUP(frasest[[#This Row],[autor_es]],autorest[autor_es],autorest[bio_es])</f>
        <v>Proverbios de la tradición oral vasca que reflejan la relación con la naturaleza, el trabajo y los valores comunitarios del pueblo vasco.</v>
      </c>
      <c r="H894" s="6" t="str">
        <f>_xlfn.XLOOKUP(frasest[[#This Row],[autor_es]],autorest[autor_es],autorest[bio_la])</f>
        <v>Collectio sententiarum Vasconicarum.</v>
      </c>
      <c r="I894" t="str">
        <f>_xlfn.XLOOKUP(frasest[[#This Row],[autor_es]],autorest[autor_es],autorest[codigo])</f>
        <v>eu</v>
      </c>
      <c r="J894" t="str">
        <f>_xlfn.XLOOKUP(frasest[[#This Row],[autor_es]],autorest[autor_es],autorest[idioma_es])</f>
        <v>Euskara</v>
      </c>
      <c r="K894" s="6" t="str">
        <f>_xlfn.XLOOKUP(frasest[[#This Row],[autor_es]],autorest[autor_es],autorest[idioma_la])</f>
        <v>Lingua Vasconica</v>
      </c>
      <c r="L894" s="6" t="str">
        <f>_xlfn.XLOOKUP(frasest[[#This Row],[autor_es]],autorest[autor_es],autorest[nacion_es])</f>
        <v>España</v>
      </c>
      <c r="M894" t="str">
        <f>_xlfn.XLOOKUP(frasest[[#This Row],[autor_es]],autorest[autor_es],autorest[nacion_la])</f>
        <v>Hispania</v>
      </c>
      <c r="N894" t="str">
        <f>_xlfn.XLOOKUP(frasest[[#This Row],[autor_es]],autorest[autor_es],autorest[epoca_es])</f>
        <v>Epoca Desconocida</v>
      </c>
      <c r="O894" t="str">
        <f>_xlfn.XLOOKUP(frasest[[#This Row],[autor_es]],autorest[autor_es],autorest[epoca_la])</f>
        <v>Epocha Ignota</v>
      </c>
    </row>
    <row r="895" spans="1:15">
      <c r="A895">
        <v>894</v>
      </c>
      <c r="B895" t="s">
        <v>2528</v>
      </c>
      <c r="C895" t="s">
        <v>2529</v>
      </c>
      <c r="D895" t="s">
        <v>2530</v>
      </c>
      <c r="E895" t="s">
        <v>995</v>
      </c>
      <c r="F895" t="str">
        <f>_xlfn.XLOOKUP(frasest[[#This Row],[autor_es]],autorest[autor_es],autorest[autor_la])</f>
        <v>Sententia Vasconica</v>
      </c>
      <c r="G895" s="6" t="str">
        <f>_xlfn.XLOOKUP(frasest[[#This Row],[autor_es]],autorest[autor_es],autorest[bio_es])</f>
        <v>Proverbios de la tradición oral vasca que reflejan la relación con la naturaleza, el trabajo y los valores comunitarios del pueblo vasco.</v>
      </c>
      <c r="H895" s="6" t="str">
        <f>_xlfn.XLOOKUP(frasest[[#This Row],[autor_es]],autorest[autor_es],autorest[bio_la])</f>
        <v>Collectio sententiarum Vasconicarum.</v>
      </c>
      <c r="I895" t="str">
        <f>_xlfn.XLOOKUP(frasest[[#This Row],[autor_es]],autorest[autor_es],autorest[codigo])</f>
        <v>eu</v>
      </c>
      <c r="J895" t="str">
        <f>_xlfn.XLOOKUP(frasest[[#This Row],[autor_es]],autorest[autor_es],autorest[idioma_es])</f>
        <v>Euskara</v>
      </c>
      <c r="K895" s="6" t="str">
        <f>_xlfn.XLOOKUP(frasest[[#This Row],[autor_es]],autorest[autor_es],autorest[idioma_la])</f>
        <v>Lingua Vasconica</v>
      </c>
      <c r="L895" s="6" t="str">
        <f>_xlfn.XLOOKUP(frasest[[#This Row],[autor_es]],autorest[autor_es],autorest[nacion_es])</f>
        <v>España</v>
      </c>
      <c r="M895" t="str">
        <f>_xlfn.XLOOKUP(frasest[[#This Row],[autor_es]],autorest[autor_es],autorest[nacion_la])</f>
        <v>Hispania</v>
      </c>
      <c r="N895" t="str">
        <f>_xlfn.XLOOKUP(frasest[[#This Row],[autor_es]],autorest[autor_es],autorest[epoca_es])</f>
        <v>Epoca Desconocida</v>
      </c>
      <c r="O895" t="str">
        <f>_xlfn.XLOOKUP(frasest[[#This Row],[autor_es]],autorest[autor_es],autorest[epoca_la])</f>
        <v>Epocha Ignota</v>
      </c>
    </row>
    <row r="896" spans="1:15">
      <c r="A896">
        <v>895</v>
      </c>
      <c r="B896" t="s">
        <v>2531</v>
      </c>
      <c r="C896" t="s">
        <v>2532</v>
      </c>
      <c r="D896" t="s">
        <v>2533</v>
      </c>
      <c r="E896" t="s">
        <v>995</v>
      </c>
      <c r="F896" t="str">
        <f>_xlfn.XLOOKUP(frasest[[#This Row],[autor_es]],autorest[autor_es],autorest[autor_la])</f>
        <v>Sententia Vasconica</v>
      </c>
      <c r="G896" s="6" t="str">
        <f>_xlfn.XLOOKUP(frasest[[#This Row],[autor_es]],autorest[autor_es],autorest[bio_es])</f>
        <v>Proverbios de la tradición oral vasca que reflejan la relación con la naturaleza, el trabajo y los valores comunitarios del pueblo vasco.</v>
      </c>
      <c r="H896" s="6" t="str">
        <f>_xlfn.XLOOKUP(frasest[[#This Row],[autor_es]],autorest[autor_es],autorest[bio_la])</f>
        <v>Collectio sententiarum Vasconicarum.</v>
      </c>
      <c r="I896" t="str">
        <f>_xlfn.XLOOKUP(frasest[[#This Row],[autor_es]],autorest[autor_es],autorest[codigo])</f>
        <v>eu</v>
      </c>
      <c r="J896" t="str">
        <f>_xlfn.XLOOKUP(frasest[[#This Row],[autor_es]],autorest[autor_es],autorest[idioma_es])</f>
        <v>Euskara</v>
      </c>
      <c r="K896" s="6" t="str">
        <f>_xlfn.XLOOKUP(frasest[[#This Row],[autor_es]],autorest[autor_es],autorest[idioma_la])</f>
        <v>Lingua Vasconica</v>
      </c>
      <c r="L896" s="6" t="str">
        <f>_xlfn.XLOOKUP(frasest[[#This Row],[autor_es]],autorest[autor_es],autorest[nacion_es])</f>
        <v>España</v>
      </c>
      <c r="M896" t="str">
        <f>_xlfn.XLOOKUP(frasest[[#This Row],[autor_es]],autorest[autor_es],autorest[nacion_la])</f>
        <v>Hispania</v>
      </c>
      <c r="N896" t="str">
        <f>_xlfn.XLOOKUP(frasest[[#This Row],[autor_es]],autorest[autor_es],autorest[epoca_es])</f>
        <v>Epoca Desconocida</v>
      </c>
      <c r="O896" t="str">
        <f>_xlfn.XLOOKUP(frasest[[#This Row],[autor_es]],autorest[autor_es],autorest[epoca_la])</f>
        <v>Epocha Ignota</v>
      </c>
    </row>
    <row r="897" spans="1:15">
      <c r="A897">
        <v>896</v>
      </c>
      <c r="B897" t="s">
        <v>2534</v>
      </c>
      <c r="C897" t="s">
        <v>2535</v>
      </c>
      <c r="D897" t="s">
        <v>2536</v>
      </c>
      <c r="E897" t="s">
        <v>995</v>
      </c>
      <c r="F897" t="str">
        <f>_xlfn.XLOOKUP(frasest[[#This Row],[autor_es]],autorest[autor_es],autorest[autor_la])</f>
        <v>Sententia Vasconica</v>
      </c>
      <c r="G897" s="6" t="str">
        <f>_xlfn.XLOOKUP(frasest[[#This Row],[autor_es]],autorest[autor_es],autorest[bio_es])</f>
        <v>Proverbios de la tradición oral vasca que reflejan la relación con la naturaleza, el trabajo y los valores comunitarios del pueblo vasco.</v>
      </c>
      <c r="H897" s="6" t="str">
        <f>_xlfn.XLOOKUP(frasest[[#This Row],[autor_es]],autorest[autor_es],autorest[bio_la])</f>
        <v>Collectio sententiarum Vasconicarum.</v>
      </c>
      <c r="I897" t="str">
        <f>_xlfn.XLOOKUP(frasest[[#This Row],[autor_es]],autorest[autor_es],autorest[codigo])</f>
        <v>eu</v>
      </c>
      <c r="J897" t="str">
        <f>_xlfn.XLOOKUP(frasest[[#This Row],[autor_es]],autorest[autor_es],autorest[idioma_es])</f>
        <v>Euskara</v>
      </c>
      <c r="K897" s="6" t="str">
        <f>_xlfn.XLOOKUP(frasest[[#This Row],[autor_es]],autorest[autor_es],autorest[idioma_la])</f>
        <v>Lingua Vasconica</v>
      </c>
      <c r="L897" s="6" t="str">
        <f>_xlfn.XLOOKUP(frasest[[#This Row],[autor_es]],autorest[autor_es],autorest[nacion_es])</f>
        <v>España</v>
      </c>
      <c r="M897" t="str">
        <f>_xlfn.XLOOKUP(frasest[[#This Row],[autor_es]],autorest[autor_es],autorest[nacion_la])</f>
        <v>Hispania</v>
      </c>
      <c r="N897" t="str">
        <f>_xlfn.XLOOKUP(frasest[[#This Row],[autor_es]],autorest[autor_es],autorest[epoca_es])</f>
        <v>Epoca Desconocida</v>
      </c>
      <c r="O897" t="str">
        <f>_xlfn.XLOOKUP(frasest[[#This Row],[autor_es]],autorest[autor_es],autorest[epoca_la])</f>
        <v>Epocha Ignota</v>
      </c>
    </row>
    <row r="898" spans="1:15">
      <c r="A898">
        <v>897</v>
      </c>
      <c r="B898" t="s">
        <v>2537</v>
      </c>
      <c r="C898" t="s">
        <v>2538</v>
      </c>
      <c r="D898" t="s">
        <v>2539</v>
      </c>
      <c r="E898" t="s">
        <v>995</v>
      </c>
      <c r="F898" t="str">
        <f>_xlfn.XLOOKUP(frasest[[#This Row],[autor_es]],autorest[autor_es],autorest[autor_la])</f>
        <v>Sententia Vasconica</v>
      </c>
      <c r="G898" s="6" t="str">
        <f>_xlfn.XLOOKUP(frasest[[#This Row],[autor_es]],autorest[autor_es],autorest[bio_es])</f>
        <v>Proverbios de la tradición oral vasca que reflejan la relación con la naturaleza, el trabajo y los valores comunitarios del pueblo vasco.</v>
      </c>
      <c r="H898" s="6" t="str">
        <f>_xlfn.XLOOKUP(frasest[[#This Row],[autor_es]],autorest[autor_es],autorest[bio_la])</f>
        <v>Collectio sententiarum Vasconicarum.</v>
      </c>
      <c r="I898" t="str">
        <f>_xlfn.XLOOKUP(frasest[[#This Row],[autor_es]],autorest[autor_es],autorest[codigo])</f>
        <v>eu</v>
      </c>
      <c r="J898" t="str">
        <f>_xlfn.XLOOKUP(frasest[[#This Row],[autor_es]],autorest[autor_es],autorest[idioma_es])</f>
        <v>Euskara</v>
      </c>
      <c r="K898" s="6" t="str">
        <f>_xlfn.XLOOKUP(frasest[[#This Row],[autor_es]],autorest[autor_es],autorest[idioma_la])</f>
        <v>Lingua Vasconica</v>
      </c>
      <c r="L898" s="6" t="str">
        <f>_xlfn.XLOOKUP(frasest[[#This Row],[autor_es]],autorest[autor_es],autorest[nacion_es])</f>
        <v>España</v>
      </c>
      <c r="M898" t="str">
        <f>_xlfn.XLOOKUP(frasest[[#This Row],[autor_es]],autorest[autor_es],autorest[nacion_la])</f>
        <v>Hispania</v>
      </c>
      <c r="N898" t="str">
        <f>_xlfn.XLOOKUP(frasest[[#This Row],[autor_es]],autorest[autor_es],autorest[epoca_es])</f>
        <v>Epoca Desconocida</v>
      </c>
      <c r="O898" t="str">
        <f>_xlfn.XLOOKUP(frasest[[#This Row],[autor_es]],autorest[autor_es],autorest[epoca_la])</f>
        <v>Epocha Ignota</v>
      </c>
    </row>
    <row r="899" spans="1:15">
      <c r="A899">
        <v>898</v>
      </c>
      <c r="B899" t="s">
        <v>2540</v>
      </c>
      <c r="C899" t="s">
        <v>2541</v>
      </c>
      <c r="D899" t="s">
        <v>2542</v>
      </c>
      <c r="E899" t="s">
        <v>995</v>
      </c>
      <c r="F899" t="str">
        <f>_xlfn.XLOOKUP(frasest[[#This Row],[autor_es]],autorest[autor_es],autorest[autor_la])</f>
        <v>Sententia Vasconica</v>
      </c>
      <c r="G899" s="6" t="str">
        <f>_xlfn.XLOOKUP(frasest[[#This Row],[autor_es]],autorest[autor_es],autorest[bio_es])</f>
        <v>Proverbios de la tradición oral vasca que reflejan la relación con la naturaleza, el trabajo y los valores comunitarios del pueblo vasco.</v>
      </c>
      <c r="H899" s="6" t="str">
        <f>_xlfn.XLOOKUP(frasest[[#This Row],[autor_es]],autorest[autor_es],autorest[bio_la])</f>
        <v>Collectio sententiarum Vasconicarum.</v>
      </c>
      <c r="I899" t="str">
        <f>_xlfn.XLOOKUP(frasest[[#This Row],[autor_es]],autorest[autor_es],autorest[codigo])</f>
        <v>eu</v>
      </c>
      <c r="J899" t="str">
        <f>_xlfn.XLOOKUP(frasest[[#This Row],[autor_es]],autorest[autor_es],autorest[idioma_es])</f>
        <v>Euskara</v>
      </c>
      <c r="K899" s="6" t="str">
        <f>_xlfn.XLOOKUP(frasest[[#This Row],[autor_es]],autorest[autor_es],autorest[idioma_la])</f>
        <v>Lingua Vasconica</v>
      </c>
      <c r="L899" s="6" t="str">
        <f>_xlfn.XLOOKUP(frasest[[#This Row],[autor_es]],autorest[autor_es],autorest[nacion_es])</f>
        <v>España</v>
      </c>
      <c r="M899" t="str">
        <f>_xlfn.XLOOKUP(frasest[[#This Row],[autor_es]],autorest[autor_es],autorest[nacion_la])</f>
        <v>Hispania</v>
      </c>
      <c r="N899" t="str">
        <f>_xlfn.XLOOKUP(frasest[[#This Row],[autor_es]],autorest[autor_es],autorest[epoca_es])</f>
        <v>Epoca Desconocida</v>
      </c>
      <c r="O899" t="str">
        <f>_xlfn.XLOOKUP(frasest[[#This Row],[autor_es]],autorest[autor_es],autorest[epoca_la])</f>
        <v>Epocha Ignota</v>
      </c>
    </row>
    <row r="900" spans="1:15">
      <c r="A900">
        <v>899</v>
      </c>
      <c r="B900" t="s">
        <v>2543</v>
      </c>
      <c r="C900" t="s">
        <v>2544</v>
      </c>
      <c r="D900" t="s">
        <v>2545</v>
      </c>
      <c r="E900" t="s">
        <v>995</v>
      </c>
      <c r="F900" t="str">
        <f>_xlfn.XLOOKUP(frasest[[#This Row],[autor_es]],autorest[autor_es],autorest[autor_la])</f>
        <v>Sententia Vasconica</v>
      </c>
      <c r="G900" s="6" t="str">
        <f>_xlfn.XLOOKUP(frasest[[#This Row],[autor_es]],autorest[autor_es],autorest[bio_es])</f>
        <v>Proverbios de la tradición oral vasca que reflejan la relación con la naturaleza, el trabajo y los valores comunitarios del pueblo vasco.</v>
      </c>
      <c r="H900" s="6" t="str">
        <f>_xlfn.XLOOKUP(frasest[[#This Row],[autor_es]],autorest[autor_es],autorest[bio_la])</f>
        <v>Collectio sententiarum Vasconicarum.</v>
      </c>
      <c r="I900" t="str">
        <f>_xlfn.XLOOKUP(frasest[[#This Row],[autor_es]],autorest[autor_es],autorest[codigo])</f>
        <v>eu</v>
      </c>
      <c r="J900" t="str">
        <f>_xlfn.XLOOKUP(frasest[[#This Row],[autor_es]],autorest[autor_es],autorest[idioma_es])</f>
        <v>Euskara</v>
      </c>
      <c r="K900" s="6" t="str">
        <f>_xlfn.XLOOKUP(frasest[[#This Row],[autor_es]],autorest[autor_es],autorest[idioma_la])</f>
        <v>Lingua Vasconica</v>
      </c>
      <c r="L900" s="6" t="str">
        <f>_xlfn.XLOOKUP(frasest[[#This Row],[autor_es]],autorest[autor_es],autorest[nacion_es])</f>
        <v>España</v>
      </c>
      <c r="M900" t="str">
        <f>_xlfn.XLOOKUP(frasest[[#This Row],[autor_es]],autorest[autor_es],autorest[nacion_la])</f>
        <v>Hispania</v>
      </c>
      <c r="N900" t="str">
        <f>_xlfn.XLOOKUP(frasest[[#This Row],[autor_es]],autorest[autor_es],autorest[epoca_es])</f>
        <v>Epoca Desconocida</v>
      </c>
      <c r="O900" t="str">
        <f>_xlfn.XLOOKUP(frasest[[#This Row],[autor_es]],autorest[autor_es],autorest[epoca_la])</f>
        <v>Epocha Ignota</v>
      </c>
    </row>
    <row r="901" spans="1:15">
      <c r="A901">
        <v>900</v>
      </c>
      <c r="B901" t="s">
        <v>2546</v>
      </c>
      <c r="C901" t="s">
        <v>2547</v>
      </c>
      <c r="D901" t="s">
        <v>2548</v>
      </c>
      <c r="E901" t="s">
        <v>995</v>
      </c>
      <c r="F901" t="str">
        <f>_xlfn.XLOOKUP(frasest[[#This Row],[autor_es]],autorest[autor_es],autorest[autor_la])</f>
        <v>Sententia Vasconica</v>
      </c>
      <c r="G901" s="6" t="str">
        <f>_xlfn.XLOOKUP(frasest[[#This Row],[autor_es]],autorest[autor_es],autorest[bio_es])</f>
        <v>Proverbios de la tradición oral vasca que reflejan la relación con la naturaleza, el trabajo y los valores comunitarios del pueblo vasco.</v>
      </c>
      <c r="H901" s="6" t="str">
        <f>_xlfn.XLOOKUP(frasest[[#This Row],[autor_es]],autorest[autor_es],autorest[bio_la])</f>
        <v>Collectio sententiarum Vasconicarum.</v>
      </c>
      <c r="I901" t="str">
        <f>_xlfn.XLOOKUP(frasest[[#This Row],[autor_es]],autorest[autor_es],autorest[codigo])</f>
        <v>eu</v>
      </c>
      <c r="J901" t="str">
        <f>_xlfn.XLOOKUP(frasest[[#This Row],[autor_es]],autorest[autor_es],autorest[idioma_es])</f>
        <v>Euskara</v>
      </c>
      <c r="K901" s="6" t="str">
        <f>_xlfn.XLOOKUP(frasest[[#This Row],[autor_es]],autorest[autor_es],autorest[idioma_la])</f>
        <v>Lingua Vasconica</v>
      </c>
      <c r="L901" s="6" t="str">
        <f>_xlfn.XLOOKUP(frasest[[#This Row],[autor_es]],autorest[autor_es],autorest[nacion_es])</f>
        <v>España</v>
      </c>
      <c r="M901" t="str">
        <f>_xlfn.XLOOKUP(frasest[[#This Row],[autor_es]],autorest[autor_es],autorest[nacion_la])</f>
        <v>Hispania</v>
      </c>
      <c r="N901" t="str">
        <f>_xlfn.XLOOKUP(frasest[[#This Row],[autor_es]],autorest[autor_es],autorest[epoca_es])</f>
        <v>Epoca Desconocida</v>
      </c>
      <c r="O901" t="str">
        <f>_xlfn.XLOOKUP(frasest[[#This Row],[autor_es]],autorest[autor_es],autorest[epoca_la])</f>
        <v>Epocha Ignota</v>
      </c>
    </row>
    <row r="902" spans="1:15">
      <c r="A902">
        <v>901</v>
      </c>
      <c r="B902" t="s">
        <v>2549</v>
      </c>
      <c r="C902" t="s">
        <v>2550</v>
      </c>
      <c r="D902" t="s">
        <v>2551</v>
      </c>
      <c r="E902" t="s">
        <v>995</v>
      </c>
      <c r="F902" t="str">
        <f>_xlfn.XLOOKUP(frasest[[#This Row],[autor_es]],autorest[autor_es],autorest[autor_la])</f>
        <v>Sententia Vasconica</v>
      </c>
      <c r="G902" s="6" t="str">
        <f>_xlfn.XLOOKUP(frasest[[#This Row],[autor_es]],autorest[autor_es],autorest[bio_es])</f>
        <v>Proverbios de la tradición oral vasca que reflejan la relación con la naturaleza, el trabajo y los valores comunitarios del pueblo vasco.</v>
      </c>
      <c r="H902" s="6" t="str">
        <f>_xlfn.XLOOKUP(frasest[[#This Row],[autor_es]],autorest[autor_es],autorest[bio_la])</f>
        <v>Collectio sententiarum Vasconicarum.</v>
      </c>
      <c r="I902" t="str">
        <f>_xlfn.XLOOKUP(frasest[[#This Row],[autor_es]],autorest[autor_es],autorest[codigo])</f>
        <v>eu</v>
      </c>
      <c r="J902" t="str">
        <f>_xlfn.XLOOKUP(frasest[[#This Row],[autor_es]],autorest[autor_es],autorest[idioma_es])</f>
        <v>Euskara</v>
      </c>
      <c r="K902" s="6" t="str">
        <f>_xlfn.XLOOKUP(frasest[[#This Row],[autor_es]],autorest[autor_es],autorest[idioma_la])</f>
        <v>Lingua Vasconica</v>
      </c>
      <c r="L902" s="6" t="str">
        <f>_xlfn.XLOOKUP(frasest[[#This Row],[autor_es]],autorest[autor_es],autorest[nacion_es])</f>
        <v>España</v>
      </c>
      <c r="M902" t="str">
        <f>_xlfn.XLOOKUP(frasest[[#This Row],[autor_es]],autorest[autor_es],autorest[nacion_la])</f>
        <v>Hispania</v>
      </c>
      <c r="N902" t="str">
        <f>_xlfn.XLOOKUP(frasest[[#This Row],[autor_es]],autorest[autor_es],autorest[epoca_es])</f>
        <v>Epoca Desconocida</v>
      </c>
      <c r="O902" t="str">
        <f>_xlfn.XLOOKUP(frasest[[#This Row],[autor_es]],autorest[autor_es],autorest[epoca_la])</f>
        <v>Epocha Ignota</v>
      </c>
    </row>
    <row r="903" spans="1:15">
      <c r="A903">
        <v>902</v>
      </c>
      <c r="B903" t="s">
        <v>2552</v>
      </c>
      <c r="C903" t="s">
        <v>2553</v>
      </c>
      <c r="D903" t="s">
        <v>2554</v>
      </c>
      <c r="E903" t="s">
        <v>995</v>
      </c>
      <c r="F903" t="str">
        <f>_xlfn.XLOOKUP(frasest[[#This Row],[autor_es]],autorest[autor_es],autorest[autor_la])</f>
        <v>Sententia Vasconica</v>
      </c>
      <c r="G903" s="6" t="str">
        <f>_xlfn.XLOOKUP(frasest[[#This Row],[autor_es]],autorest[autor_es],autorest[bio_es])</f>
        <v>Proverbios de la tradición oral vasca que reflejan la relación con la naturaleza, el trabajo y los valores comunitarios del pueblo vasco.</v>
      </c>
      <c r="H903" s="6" t="str">
        <f>_xlfn.XLOOKUP(frasest[[#This Row],[autor_es]],autorest[autor_es],autorest[bio_la])</f>
        <v>Collectio sententiarum Vasconicarum.</v>
      </c>
      <c r="I903" t="str">
        <f>_xlfn.XLOOKUP(frasest[[#This Row],[autor_es]],autorest[autor_es],autorest[codigo])</f>
        <v>eu</v>
      </c>
      <c r="J903" t="str">
        <f>_xlfn.XLOOKUP(frasest[[#This Row],[autor_es]],autorest[autor_es],autorest[idioma_es])</f>
        <v>Euskara</v>
      </c>
      <c r="K903" s="6" t="str">
        <f>_xlfn.XLOOKUP(frasest[[#This Row],[autor_es]],autorest[autor_es],autorest[idioma_la])</f>
        <v>Lingua Vasconica</v>
      </c>
      <c r="L903" s="6" t="str">
        <f>_xlfn.XLOOKUP(frasest[[#This Row],[autor_es]],autorest[autor_es],autorest[nacion_es])</f>
        <v>España</v>
      </c>
      <c r="M903" t="str">
        <f>_xlfn.XLOOKUP(frasest[[#This Row],[autor_es]],autorest[autor_es],autorest[nacion_la])</f>
        <v>Hispania</v>
      </c>
      <c r="N903" t="str">
        <f>_xlfn.XLOOKUP(frasest[[#This Row],[autor_es]],autorest[autor_es],autorest[epoca_es])</f>
        <v>Epoca Desconocida</v>
      </c>
      <c r="O903" t="str">
        <f>_xlfn.XLOOKUP(frasest[[#This Row],[autor_es]],autorest[autor_es],autorest[epoca_la])</f>
        <v>Epocha Ignota</v>
      </c>
    </row>
    <row r="904" spans="1:15">
      <c r="A904">
        <v>903</v>
      </c>
      <c r="B904" t="s">
        <v>2555</v>
      </c>
      <c r="C904" t="s">
        <v>2556</v>
      </c>
      <c r="D904" t="s">
        <v>2557</v>
      </c>
      <c r="E904" t="s">
        <v>995</v>
      </c>
      <c r="F904" t="str">
        <f>_xlfn.XLOOKUP(frasest[[#This Row],[autor_es]],autorest[autor_es],autorest[autor_la])</f>
        <v>Sententia Vasconica</v>
      </c>
      <c r="G904" s="6" t="str">
        <f>_xlfn.XLOOKUP(frasest[[#This Row],[autor_es]],autorest[autor_es],autorest[bio_es])</f>
        <v>Proverbios de la tradición oral vasca que reflejan la relación con la naturaleza, el trabajo y los valores comunitarios del pueblo vasco.</v>
      </c>
      <c r="H904" s="6" t="str">
        <f>_xlfn.XLOOKUP(frasest[[#This Row],[autor_es]],autorest[autor_es],autorest[bio_la])</f>
        <v>Collectio sententiarum Vasconicarum.</v>
      </c>
      <c r="I904" t="str">
        <f>_xlfn.XLOOKUP(frasest[[#This Row],[autor_es]],autorest[autor_es],autorest[codigo])</f>
        <v>eu</v>
      </c>
      <c r="J904" t="str">
        <f>_xlfn.XLOOKUP(frasest[[#This Row],[autor_es]],autorest[autor_es],autorest[idioma_es])</f>
        <v>Euskara</v>
      </c>
      <c r="K904" s="6" t="str">
        <f>_xlfn.XLOOKUP(frasest[[#This Row],[autor_es]],autorest[autor_es],autorest[idioma_la])</f>
        <v>Lingua Vasconica</v>
      </c>
      <c r="L904" s="6" t="str">
        <f>_xlfn.XLOOKUP(frasest[[#This Row],[autor_es]],autorest[autor_es],autorest[nacion_es])</f>
        <v>España</v>
      </c>
      <c r="M904" t="str">
        <f>_xlfn.XLOOKUP(frasest[[#This Row],[autor_es]],autorest[autor_es],autorest[nacion_la])</f>
        <v>Hispania</v>
      </c>
      <c r="N904" t="str">
        <f>_xlfn.XLOOKUP(frasest[[#This Row],[autor_es]],autorest[autor_es],autorest[epoca_es])</f>
        <v>Epoca Desconocida</v>
      </c>
      <c r="O904" t="str">
        <f>_xlfn.XLOOKUP(frasest[[#This Row],[autor_es]],autorest[autor_es],autorest[epoca_la])</f>
        <v>Epocha Ignota</v>
      </c>
    </row>
    <row r="905" spans="1:15">
      <c r="A905">
        <v>904</v>
      </c>
      <c r="B905" t="s">
        <v>2558</v>
      </c>
      <c r="C905" t="s">
        <v>2559</v>
      </c>
      <c r="D905" t="s">
        <v>2560</v>
      </c>
      <c r="E905" t="s">
        <v>995</v>
      </c>
      <c r="F905" t="str">
        <f>_xlfn.XLOOKUP(frasest[[#This Row],[autor_es]],autorest[autor_es],autorest[autor_la])</f>
        <v>Sententia Vasconica</v>
      </c>
      <c r="G905" s="6" t="str">
        <f>_xlfn.XLOOKUP(frasest[[#This Row],[autor_es]],autorest[autor_es],autorest[bio_es])</f>
        <v>Proverbios de la tradición oral vasca que reflejan la relación con la naturaleza, el trabajo y los valores comunitarios del pueblo vasco.</v>
      </c>
      <c r="H905" s="6" t="str">
        <f>_xlfn.XLOOKUP(frasest[[#This Row],[autor_es]],autorest[autor_es],autorest[bio_la])</f>
        <v>Collectio sententiarum Vasconicarum.</v>
      </c>
      <c r="I905" t="str">
        <f>_xlfn.XLOOKUP(frasest[[#This Row],[autor_es]],autorest[autor_es],autorest[codigo])</f>
        <v>eu</v>
      </c>
      <c r="J905" t="str">
        <f>_xlfn.XLOOKUP(frasest[[#This Row],[autor_es]],autorest[autor_es],autorest[idioma_es])</f>
        <v>Euskara</v>
      </c>
      <c r="K905" s="6" t="str">
        <f>_xlfn.XLOOKUP(frasest[[#This Row],[autor_es]],autorest[autor_es],autorest[idioma_la])</f>
        <v>Lingua Vasconica</v>
      </c>
      <c r="L905" s="6" t="str">
        <f>_xlfn.XLOOKUP(frasest[[#This Row],[autor_es]],autorest[autor_es],autorest[nacion_es])</f>
        <v>España</v>
      </c>
      <c r="M905" t="str">
        <f>_xlfn.XLOOKUP(frasest[[#This Row],[autor_es]],autorest[autor_es],autorest[nacion_la])</f>
        <v>Hispania</v>
      </c>
      <c r="N905" t="str">
        <f>_xlfn.XLOOKUP(frasest[[#This Row],[autor_es]],autorest[autor_es],autorest[epoca_es])</f>
        <v>Epoca Desconocida</v>
      </c>
      <c r="O905" t="str">
        <f>_xlfn.XLOOKUP(frasest[[#This Row],[autor_es]],autorest[autor_es],autorest[epoca_la])</f>
        <v>Epocha Ignota</v>
      </c>
    </row>
    <row r="906" spans="1:15">
      <c r="A906">
        <v>905</v>
      </c>
      <c r="B906" t="s">
        <v>2561</v>
      </c>
      <c r="C906" t="s">
        <v>2562</v>
      </c>
      <c r="D906" t="s">
        <v>2563</v>
      </c>
      <c r="E906" t="s">
        <v>995</v>
      </c>
      <c r="F906" t="str">
        <f>_xlfn.XLOOKUP(frasest[[#This Row],[autor_es]],autorest[autor_es],autorest[autor_la])</f>
        <v>Sententia Vasconica</v>
      </c>
      <c r="G906" s="6" t="str">
        <f>_xlfn.XLOOKUP(frasest[[#This Row],[autor_es]],autorest[autor_es],autorest[bio_es])</f>
        <v>Proverbios de la tradición oral vasca que reflejan la relación con la naturaleza, el trabajo y los valores comunitarios del pueblo vasco.</v>
      </c>
      <c r="H906" s="6" t="str">
        <f>_xlfn.XLOOKUP(frasest[[#This Row],[autor_es]],autorest[autor_es],autorest[bio_la])</f>
        <v>Collectio sententiarum Vasconicarum.</v>
      </c>
      <c r="I906" t="str">
        <f>_xlfn.XLOOKUP(frasest[[#This Row],[autor_es]],autorest[autor_es],autorest[codigo])</f>
        <v>eu</v>
      </c>
      <c r="J906" t="str">
        <f>_xlfn.XLOOKUP(frasest[[#This Row],[autor_es]],autorest[autor_es],autorest[idioma_es])</f>
        <v>Euskara</v>
      </c>
      <c r="K906" s="6" t="str">
        <f>_xlfn.XLOOKUP(frasest[[#This Row],[autor_es]],autorest[autor_es],autorest[idioma_la])</f>
        <v>Lingua Vasconica</v>
      </c>
      <c r="L906" s="6" t="str">
        <f>_xlfn.XLOOKUP(frasest[[#This Row],[autor_es]],autorest[autor_es],autorest[nacion_es])</f>
        <v>España</v>
      </c>
      <c r="M906" t="str">
        <f>_xlfn.XLOOKUP(frasest[[#This Row],[autor_es]],autorest[autor_es],autorest[nacion_la])</f>
        <v>Hispania</v>
      </c>
      <c r="N906" t="str">
        <f>_xlfn.XLOOKUP(frasest[[#This Row],[autor_es]],autorest[autor_es],autorest[epoca_es])</f>
        <v>Epoca Desconocida</v>
      </c>
      <c r="O906" t="str">
        <f>_xlfn.XLOOKUP(frasest[[#This Row],[autor_es]],autorest[autor_es],autorest[epoca_la])</f>
        <v>Epocha Ignota</v>
      </c>
    </row>
    <row r="907" spans="1:15">
      <c r="A907">
        <v>906</v>
      </c>
      <c r="B907" t="s">
        <v>2564</v>
      </c>
      <c r="C907" t="s">
        <v>2565</v>
      </c>
      <c r="D907" t="s">
        <v>2566</v>
      </c>
      <c r="E907" t="s">
        <v>995</v>
      </c>
      <c r="F907" t="str">
        <f>_xlfn.XLOOKUP(frasest[[#This Row],[autor_es]],autorest[autor_es],autorest[autor_la])</f>
        <v>Sententia Vasconica</v>
      </c>
      <c r="G907" s="6" t="str">
        <f>_xlfn.XLOOKUP(frasest[[#This Row],[autor_es]],autorest[autor_es],autorest[bio_es])</f>
        <v>Proverbios de la tradición oral vasca que reflejan la relación con la naturaleza, el trabajo y los valores comunitarios del pueblo vasco.</v>
      </c>
      <c r="H907" s="6" t="str">
        <f>_xlfn.XLOOKUP(frasest[[#This Row],[autor_es]],autorest[autor_es],autorest[bio_la])</f>
        <v>Collectio sententiarum Vasconicarum.</v>
      </c>
      <c r="I907" t="str">
        <f>_xlfn.XLOOKUP(frasest[[#This Row],[autor_es]],autorest[autor_es],autorest[codigo])</f>
        <v>eu</v>
      </c>
      <c r="J907" t="str">
        <f>_xlfn.XLOOKUP(frasest[[#This Row],[autor_es]],autorest[autor_es],autorest[idioma_es])</f>
        <v>Euskara</v>
      </c>
      <c r="K907" s="6" t="str">
        <f>_xlfn.XLOOKUP(frasest[[#This Row],[autor_es]],autorest[autor_es],autorest[idioma_la])</f>
        <v>Lingua Vasconica</v>
      </c>
      <c r="L907" s="6" t="str">
        <f>_xlfn.XLOOKUP(frasest[[#This Row],[autor_es]],autorest[autor_es],autorest[nacion_es])</f>
        <v>España</v>
      </c>
      <c r="M907" t="str">
        <f>_xlfn.XLOOKUP(frasest[[#This Row],[autor_es]],autorest[autor_es],autorest[nacion_la])</f>
        <v>Hispania</v>
      </c>
      <c r="N907" t="str">
        <f>_xlfn.XLOOKUP(frasest[[#This Row],[autor_es]],autorest[autor_es],autorest[epoca_es])</f>
        <v>Epoca Desconocida</v>
      </c>
      <c r="O907" t="str">
        <f>_xlfn.XLOOKUP(frasest[[#This Row],[autor_es]],autorest[autor_es],autorest[epoca_la])</f>
        <v>Epocha Ignota</v>
      </c>
    </row>
    <row r="908" spans="1:15">
      <c r="A908">
        <v>907</v>
      </c>
      <c r="B908" t="s">
        <v>2567</v>
      </c>
      <c r="C908" t="s">
        <v>2568</v>
      </c>
      <c r="D908" t="s">
        <v>2567</v>
      </c>
      <c r="E908" t="s">
        <v>21</v>
      </c>
      <c r="F908" t="str">
        <f>_xlfn.XLOOKUP(frasest[[#This Row],[autor_es]],autorest[autor_es],autorest[autor_la])</f>
        <v>Sententia Hispanica</v>
      </c>
      <c r="G908" s="6" t="str">
        <f>_xlfn.XLOOKUP(frasest[[#This Row],[autor_es]],autorest[autor_es],autorest[bio_es])</f>
        <v>Refranes populares de la tradición oral hispana que expresan de forma breve y ingeniosa enseñanzas prácticas sobre la vida cotidiana.</v>
      </c>
      <c r="H908" s="6" t="str">
        <f>_xlfn.XLOOKUP(frasest[[#This Row],[autor_es]],autorest[autor_es],autorest[bio_la])</f>
        <v>Collectio sententiarum Hispanicarum.</v>
      </c>
      <c r="I908" t="str">
        <f>_xlfn.XLOOKUP(frasest[[#This Row],[autor_es]],autorest[autor_es],autorest[codigo])</f>
        <v>es</v>
      </c>
      <c r="J908" t="str">
        <f>_xlfn.XLOOKUP(frasest[[#This Row],[autor_es]],autorest[autor_es],autorest[idioma_es])</f>
        <v>Español</v>
      </c>
      <c r="K908" s="6" t="str">
        <f>_xlfn.XLOOKUP(frasest[[#This Row],[autor_es]],autorest[autor_es],autorest[idioma_la])</f>
        <v>Lingua Hispanica</v>
      </c>
      <c r="L908" s="6" t="str">
        <f>_xlfn.XLOOKUP(frasest[[#This Row],[autor_es]],autorest[autor_es],autorest[nacion_es])</f>
        <v>España</v>
      </c>
      <c r="M908" t="str">
        <f>_xlfn.XLOOKUP(frasest[[#This Row],[autor_es]],autorest[autor_es],autorest[nacion_la])</f>
        <v>Hispania</v>
      </c>
      <c r="N908" t="str">
        <f>_xlfn.XLOOKUP(frasest[[#This Row],[autor_es]],autorest[autor_es],autorest[epoca_es])</f>
        <v>Epoca Desconocida</v>
      </c>
      <c r="O908" t="str">
        <f>_xlfn.XLOOKUP(frasest[[#This Row],[autor_es]],autorest[autor_es],autorest[epoca_la])</f>
        <v>Epocha Ignota</v>
      </c>
    </row>
    <row r="909" spans="1:15">
      <c r="A909">
        <v>908</v>
      </c>
      <c r="B909" t="s">
        <v>2569</v>
      </c>
      <c r="C909" t="s">
        <v>2570</v>
      </c>
      <c r="D909" t="s">
        <v>2569</v>
      </c>
      <c r="E909" t="s">
        <v>21</v>
      </c>
      <c r="F909" t="str">
        <f>_xlfn.XLOOKUP(frasest[[#This Row],[autor_es]],autorest[autor_es],autorest[autor_la])</f>
        <v>Sententia Hispanica</v>
      </c>
      <c r="G909" s="6" t="str">
        <f>_xlfn.XLOOKUP(frasest[[#This Row],[autor_es]],autorest[autor_es],autorest[bio_es])</f>
        <v>Refranes populares de la tradición oral hispana que expresan de forma breve y ingeniosa enseñanzas prácticas sobre la vida cotidiana.</v>
      </c>
      <c r="H909" s="6" t="str">
        <f>_xlfn.XLOOKUP(frasest[[#This Row],[autor_es]],autorest[autor_es],autorest[bio_la])</f>
        <v>Collectio sententiarum Hispanicarum.</v>
      </c>
      <c r="I909" t="str">
        <f>_xlfn.XLOOKUP(frasest[[#This Row],[autor_es]],autorest[autor_es],autorest[codigo])</f>
        <v>es</v>
      </c>
      <c r="J909" t="str">
        <f>_xlfn.XLOOKUP(frasest[[#This Row],[autor_es]],autorest[autor_es],autorest[idioma_es])</f>
        <v>Español</v>
      </c>
      <c r="K909" s="6" t="str">
        <f>_xlfn.XLOOKUP(frasest[[#This Row],[autor_es]],autorest[autor_es],autorest[idioma_la])</f>
        <v>Lingua Hispanica</v>
      </c>
      <c r="L909" s="6" t="str">
        <f>_xlfn.XLOOKUP(frasest[[#This Row],[autor_es]],autorest[autor_es],autorest[nacion_es])</f>
        <v>España</v>
      </c>
      <c r="M909" t="str">
        <f>_xlfn.XLOOKUP(frasest[[#This Row],[autor_es]],autorest[autor_es],autorest[nacion_la])</f>
        <v>Hispania</v>
      </c>
      <c r="N909" t="str">
        <f>_xlfn.XLOOKUP(frasest[[#This Row],[autor_es]],autorest[autor_es],autorest[epoca_es])</f>
        <v>Epoca Desconocida</v>
      </c>
      <c r="O909" t="str">
        <f>_xlfn.XLOOKUP(frasest[[#This Row],[autor_es]],autorest[autor_es],autorest[epoca_la])</f>
        <v>Epocha Ignota</v>
      </c>
    </row>
    <row r="910" spans="1:15">
      <c r="A910">
        <v>909</v>
      </c>
      <c r="B910" t="s">
        <v>2571</v>
      </c>
      <c r="C910" t="s">
        <v>2572</v>
      </c>
      <c r="D910" t="s">
        <v>2571</v>
      </c>
      <c r="E910" t="s">
        <v>21</v>
      </c>
      <c r="F910" t="str">
        <f>_xlfn.XLOOKUP(frasest[[#This Row],[autor_es]],autorest[autor_es],autorest[autor_la])</f>
        <v>Sententia Hispanica</v>
      </c>
      <c r="G910" s="6" t="str">
        <f>_xlfn.XLOOKUP(frasest[[#This Row],[autor_es]],autorest[autor_es],autorest[bio_es])</f>
        <v>Refranes populares de la tradición oral hispana que expresan de forma breve y ingeniosa enseñanzas prácticas sobre la vida cotidiana.</v>
      </c>
      <c r="H910" s="6" t="str">
        <f>_xlfn.XLOOKUP(frasest[[#This Row],[autor_es]],autorest[autor_es],autorest[bio_la])</f>
        <v>Collectio sententiarum Hispanicarum.</v>
      </c>
      <c r="I910" t="str">
        <f>_xlfn.XLOOKUP(frasest[[#This Row],[autor_es]],autorest[autor_es],autorest[codigo])</f>
        <v>es</v>
      </c>
      <c r="J910" t="str">
        <f>_xlfn.XLOOKUP(frasest[[#This Row],[autor_es]],autorest[autor_es],autorest[idioma_es])</f>
        <v>Español</v>
      </c>
      <c r="K910" s="6" t="str">
        <f>_xlfn.XLOOKUP(frasest[[#This Row],[autor_es]],autorest[autor_es],autorest[idioma_la])</f>
        <v>Lingua Hispanica</v>
      </c>
      <c r="L910" s="6" t="str">
        <f>_xlfn.XLOOKUP(frasest[[#This Row],[autor_es]],autorest[autor_es],autorest[nacion_es])</f>
        <v>España</v>
      </c>
      <c r="M910" t="str">
        <f>_xlfn.XLOOKUP(frasest[[#This Row],[autor_es]],autorest[autor_es],autorest[nacion_la])</f>
        <v>Hispania</v>
      </c>
      <c r="N910" t="str">
        <f>_xlfn.XLOOKUP(frasest[[#This Row],[autor_es]],autorest[autor_es],autorest[epoca_es])</f>
        <v>Epoca Desconocida</v>
      </c>
      <c r="O910" t="str">
        <f>_xlfn.XLOOKUP(frasest[[#This Row],[autor_es]],autorest[autor_es],autorest[epoca_la])</f>
        <v>Epocha Ignota</v>
      </c>
    </row>
    <row r="911" spans="1:15">
      <c r="A911">
        <v>910</v>
      </c>
      <c r="B911" t="s">
        <v>2573</v>
      </c>
      <c r="C911" t="s">
        <v>2574</v>
      </c>
      <c r="D911" t="s">
        <v>2573</v>
      </c>
      <c r="E911" t="s">
        <v>21</v>
      </c>
      <c r="F911" t="str">
        <f>_xlfn.XLOOKUP(frasest[[#This Row],[autor_es]],autorest[autor_es],autorest[autor_la])</f>
        <v>Sententia Hispanica</v>
      </c>
      <c r="G911" s="6" t="str">
        <f>_xlfn.XLOOKUP(frasest[[#This Row],[autor_es]],autorest[autor_es],autorest[bio_es])</f>
        <v>Refranes populares de la tradición oral hispana que expresan de forma breve y ingeniosa enseñanzas prácticas sobre la vida cotidiana.</v>
      </c>
      <c r="H911" s="6" t="str">
        <f>_xlfn.XLOOKUP(frasest[[#This Row],[autor_es]],autorest[autor_es],autorest[bio_la])</f>
        <v>Collectio sententiarum Hispanicarum.</v>
      </c>
      <c r="I911" t="str">
        <f>_xlfn.XLOOKUP(frasest[[#This Row],[autor_es]],autorest[autor_es],autorest[codigo])</f>
        <v>es</v>
      </c>
      <c r="J911" t="str">
        <f>_xlfn.XLOOKUP(frasest[[#This Row],[autor_es]],autorest[autor_es],autorest[idioma_es])</f>
        <v>Español</v>
      </c>
      <c r="K911" s="6" t="str">
        <f>_xlfn.XLOOKUP(frasest[[#This Row],[autor_es]],autorest[autor_es],autorest[idioma_la])</f>
        <v>Lingua Hispanica</v>
      </c>
      <c r="L911" s="6" t="str">
        <f>_xlfn.XLOOKUP(frasest[[#This Row],[autor_es]],autorest[autor_es],autorest[nacion_es])</f>
        <v>España</v>
      </c>
      <c r="M911" t="str">
        <f>_xlfn.XLOOKUP(frasest[[#This Row],[autor_es]],autorest[autor_es],autorest[nacion_la])</f>
        <v>Hispania</v>
      </c>
      <c r="N911" t="str">
        <f>_xlfn.XLOOKUP(frasest[[#This Row],[autor_es]],autorest[autor_es],autorest[epoca_es])</f>
        <v>Epoca Desconocida</v>
      </c>
      <c r="O911" t="str">
        <f>_xlfn.XLOOKUP(frasest[[#This Row],[autor_es]],autorest[autor_es],autorest[epoca_la])</f>
        <v>Epocha Ignota</v>
      </c>
    </row>
    <row r="912" spans="1:15">
      <c r="A912">
        <v>911</v>
      </c>
      <c r="B912" t="s">
        <v>2575</v>
      </c>
      <c r="C912" t="s">
        <v>2576</v>
      </c>
      <c r="D912" t="s">
        <v>2575</v>
      </c>
      <c r="E912" t="s">
        <v>21</v>
      </c>
      <c r="F912" t="str">
        <f>_xlfn.XLOOKUP(frasest[[#This Row],[autor_es]],autorest[autor_es],autorest[autor_la])</f>
        <v>Sententia Hispanica</v>
      </c>
      <c r="G912" s="6" t="str">
        <f>_xlfn.XLOOKUP(frasest[[#This Row],[autor_es]],autorest[autor_es],autorest[bio_es])</f>
        <v>Refranes populares de la tradición oral hispana que expresan de forma breve y ingeniosa enseñanzas prácticas sobre la vida cotidiana.</v>
      </c>
      <c r="H912" s="6" t="str">
        <f>_xlfn.XLOOKUP(frasest[[#This Row],[autor_es]],autorest[autor_es],autorest[bio_la])</f>
        <v>Collectio sententiarum Hispanicarum.</v>
      </c>
      <c r="I912" t="str">
        <f>_xlfn.XLOOKUP(frasest[[#This Row],[autor_es]],autorest[autor_es],autorest[codigo])</f>
        <v>es</v>
      </c>
      <c r="J912" t="str">
        <f>_xlfn.XLOOKUP(frasest[[#This Row],[autor_es]],autorest[autor_es],autorest[idioma_es])</f>
        <v>Español</v>
      </c>
      <c r="K912" s="6" t="str">
        <f>_xlfn.XLOOKUP(frasest[[#This Row],[autor_es]],autorest[autor_es],autorest[idioma_la])</f>
        <v>Lingua Hispanica</v>
      </c>
      <c r="L912" s="6" t="str">
        <f>_xlfn.XLOOKUP(frasest[[#This Row],[autor_es]],autorest[autor_es],autorest[nacion_es])</f>
        <v>España</v>
      </c>
      <c r="M912" t="str">
        <f>_xlfn.XLOOKUP(frasest[[#This Row],[autor_es]],autorest[autor_es],autorest[nacion_la])</f>
        <v>Hispania</v>
      </c>
      <c r="N912" t="str">
        <f>_xlfn.XLOOKUP(frasest[[#This Row],[autor_es]],autorest[autor_es],autorest[epoca_es])</f>
        <v>Epoca Desconocida</v>
      </c>
      <c r="O912" t="str">
        <f>_xlfn.XLOOKUP(frasest[[#This Row],[autor_es]],autorest[autor_es],autorest[epoca_la])</f>
        <v>Epocha Ignota</v>
      </c>
    </row>
    <row r="913" spans="1:15">
      <c r="A913">
        <v>912</v>
      </c>
      <c r="B913" t="s">
        <v>2577</v>
      </c>
      <c r="C913" t="s">
        <v>2578</v>
      </c>
      <c r="D913" t="s">
        <v>2577</v>
      </c>
      <c r="E913" t="s">
        <v>21</v>
      </c>
      <c r="F913" t="str">
        <f>_xlfn.XLOOKUP(frasest[[#This Row],[autor_es]],autorest[autor_es],autorest[autor_la])</f>
        <v>Sententia Hispanica</v>
      </c>
      <c r="G913" s="6" t="str">
        <f>_xlfn.XLOOKUP(frasest[[#This Row],[autor_es]],autorest[autor_es],autorest[bio_es])</f>
        <v>Refranes populares de la tradición oral hispana que expresan de forma breve y ingeniosa enseñanzas prácticas sobre la vida cotidiana.</v>
      </c>
      <c r="H913" s="6" t="str">
        <f>_xlfn.XLOOKUP(frasest[[#This Row],[autor_es]],autorest[autor_es],autorest[bio_la])</f>
        <v>Collectio sententiarum Hispanicarum.</v>
      </c>
      <c r="I913" t="str">
        <f>_xlfn.XLOOKUP(frasest[[#This Row],[autor_es]],autorest[autor_es],autorest[codigo])</f>
        <v>es</v>
      </c>
      <c r="J913" t="str">
        <f>_xlfn.XLOOKUP(frasest[[#This Row],[autor_es]],autorest[autor_es],autorest[idioma_es])</f>
        <v>Español</v>
      </c>
      <c r="K913" s="6" t="str">
        <f>_xlfn.XLOOKUP(frasest[[#This Row],[autor_es]],autorest[autor_es],autorest[idioma_la])</f>
        <v>Lingua Hispanica</v>
      </c>
      <c r="L913" s="6" t="str">
        <f>_xlfn.XLOOKUP(frasest[[#This Row],[autor_es]],autorest[autor_es],autorest[nacion_es])</f>
        <v>España</v>
      </c>
      <c r="M913" t="str">
        <f>_xlfn.XLOOKUP(frasest[[#This Row],[autor_es]],autorest[autor_es],autorest[nacion_la])</f>
        <v>Hispania</v>
      </c>
      <c r="N913" t="str">
        <f>_xlfn.XLOOKUP(frasest[[#This Row],[autor_es]],autorest[autor_es],autorest[epoca_es])</f>
        <v>Epoca Desconocida</v>
      </c>
      <c r="O913" t="str">
        <f>_xlfn.XLOOKUP(frasest[[#This Row],[autor_es]],autorest[autor_es],autorest[epoca_la])</f>
        <v>Epocha Ignota</v>
      </c>
    </row>
    <row r="914" spans="1:15">
      <c r="A914">
        <v>913</v>
      </c>
      <c r="B914" t="s">
        <v>2579</v>
      </c>
      <c r="C914" t="s">
        <v>2580</v>
      </c>
      <c r="D914" t="s">
        <v>2579</v>
      </c>
      <c r="E914" t="s">
        <v>21</v>
      </c>
      <c r="F914" t="str">
        <f>_xlfn.XLOOKUP(frasest[[#This Row],[autor_es]],autorest[autor_es],autorest[autor_la])</f>
        <v>Sententia Hispanica</v>
      </c>
      <c r="G914" s="6" t="str">
        <f>_xlfn.XLOOKUP(frasest[[#This Row],[autor_es]],autorest[autor_es],autorest[bio_es])</f>
        <v>Refranes populares de la tradición oral hispana que expresan de forma breve y ingeniosa enseñanzas prácticas sobre la vida cotidiana.</v>
      </c>
      <c r="H914" s="6" t="str">
        <f>_xlfn.XLOOKUP(frasest[[#This Row],[autor_es]],autorest[autor_es],autorest[bio_la])</f>
        <v>Collectio sententiarum Hispanicarum.</v>
      </c>
      <c r="I914" t="str">
        <f>_xlfn.XLOOKUP(frasest[[#This Row],[autor_es]],autorest[autor_es],autorest[codigo])</f>
        <v>es</v>
      </c>
      <c r="J914" t="str">
        <f>_xlfn.XLOOKUP(frasest[[#This Row],[autor_es]],autorest[autor_es],autorest[idioma_es])</f>
        <v>Español</v>
      </c>
      <c r="K914" s="6" t="str">
        <f>_xlfn.XLOOKUP(frasest[[#This Row],[autor_es]],autorest[autor_es],autorest[idioma_la])</f>
        <v>Lingua Hispanica</v>
      </c>
      <c r="L914" s="6" t="str">
        <f>_xlfn.XLOOKUP(frasest[[#This Row],[autor_es]],autorest[autor_es],autorest[nacion_es])</f>
        <v>España</v>
      </c>
      <c r="M914" t="str">
        <f>_xlfn.XLOOKUP(frasest[[#This Row],[autor_es]],autorest[autor_es],autorest[nacion_la])</f>
        <v>Hispania</v>
      </c>
      <c r="N914" t="str">
        <f>_xlfn.XLOOKUP(frasest[[#This Row],[autor_es]],autorest[autor_es],autorest[epoca_es])</f>
        <v>Epoca Desconocida</v>
      </c>
      <c r="O914" t="str">
        <f>_xlfn.XLOOKUP(frasest[[#This Row],[autor_es]],autorest[autor_es],autorest[epoca_la])</f>
        <v>Epocha Ignota</v>
      </c>
    </row>
    <row r="915" spans="1:15">
      <c r="A915">
        <v>914</v>
      </c>
      <c r="B915" t="s">
        <v>2581</v>
      </c>
      <c r="C915" t="s">
        <v>2582</v>
      </c>
      <c r="D915" t="s">
        <v>2581</v>
      </c>
      <c r="E915" t="s">
        <v>21</v>
      </c>
      <c r="F915" t="str">
        <f>_xlfn.XLOOKUP(frasest[[#This Row],[autor_es]],autorest[autor_es],autorest[autor_la])</f>
        <v>Sententia Hispanica</v>
      </c>
      <c r="G915" s="6" t="str">
        <f>_xlfn.XLOOKUP(frasest[[#This Row],[autor_es]],autorest[autor_es],autorest[bio_es])</f>
        <v>Refranes populares de la tradición oral hispana que expresan de forma breve y ingeniosa enseñanzas prácticas sobre la vida cotidiana.</v>
      </c>
      <c r="H915" s="6" t="str">
        <f>_xlfn.XLOOKUP(frasest[[#This Row],[autor_es]],autorest[autor_es],autorest[bio_la])</f>
        <v>Collectio sententiarum Hispanicarum.</v>
      </c>
      <c r="I915" t="str">
        <f>_xlfn.XLOOKUP(frasest[[#This Row],[autor_es]],autorest[autor_es],autorest[codigo])</f>
        <v>es</v>
      </c>
      <c r="J915" t="str">
        <f>_xlfn.XLOOKUP(frasest[[#This Row],[autor_es]],autorest[autor_es],autorest[idioma_es])</f>
        <v>Español</v>
      </c>
      <c r="K915" s="6" t="str">
        <f>_xlfn.XLOOKUP(frasest[[#This Row],[autor_es]],autorest[autor_es],autorest[idioma_la])</f>
        <v>Lingua Hispanica</v>
      </c>
      <c r="L915" s="6" t="str">
        <f>_xlfn.XLOOKUP(frasest[[#This Row],[autor_es]],autorest[autor_es],autorest[nacion_es])</f>
        <v>España</v>
      </c>
      <c r="M915" t="str">
        <f>_xlfn.XLOOKUP(frasest[[#This Row],[autor_es]],autorest[autor_es],autorest[nacion_la])</f>
        <v>Hispania</v>
      </c>
      <c r="N915" t="str">
        <f>_xlfn.XLOOKUP(frasest[[#This Row],[autor_es]],autorest[autor_es],autorest[epoca_es])</f>
        <v>Epoca Desconocida</v>
      </c>
      <c r="O915" t="str">
        <f>_xlfn.XLOOKUP(frasest[[#This Row],[autor_es]],autorest[autor_es],autorest[epoca_la])</f>
        <v>Epocha Ignota</v>
      </c>
    </row>
    <row r="916" spans="1:15">
      <c r="A916">
        <v>915</v>
      </c>
      <c r="B916" t="s">
        <v>2583</v>
      </c>
      <c r="C916" t="s">
        <v>2584</v>
      </c>
      <c r="D916" t="s">
        <v>2583</v>
      </c>
      <c r="E916" t="s">
        <v>21</v>
      </c>
      <c r="F916" t="str">
        <f>_xlfn.XLOOKUP(frasest[[#This Row],[autor_es]],autorest[autor_es],autorest[autor_la])</f>
        <v>Sententia Hispanica</v>
      </c>
      <c r="G916" s="6" t="str">
        <f>_xlfn.XLOOKUP(frasest[[#This Row],[autor_es]],autorest[autor_es],autorest[bio_es])</f>
        <v>Refranes populares de la tradición oral hispana que expresan de forma breve y ingeniosa enseñanzas prácticas sobre la vida cotidiana.</v>
      </c>
      <c r="H916" s="6" t="str">
        <f>_xlfn.XLOOKUP(frasest[[#This Row],[autor_es]],autorest[autor_es],autorest[bio_la])</f>
        <v>Collectio sententiarum Hispanicarum.</v>
      </c>
      <c r="I916" t="str">
        <f>_xlfn.XLOOKUP(frasest[[#This Row],[autor_es]],autorest[autor_es],autorest[codigo])</f>
        <v>es</v>
      </c>
      <c r="J916" t="str">
        <f>_xlfn.XLOOKUP(frasest[[#This Row],[autor_es]],autorest[autor_es],autorest[idioma_es])</f>
        <v>Español</v>
      </c>
      <c r="K916" s="6" t="str">
        <f>_xlfn.XLOOKUP(frasest[[#This Row],[autor_es]],autorest[autor_es],autorest[idioma_la])</f>
        <v>Lingua Hispanica</v>
      </c>
      <c r="L916" s="6" t="str">
        <f>_xlfn.XLOOKUP(frasest[[#This Row],[autor_es]],autorest[autor_es],autorest[nacion_es])</f>
        <v>España</v>
      </c>
      <c r="M916" t="str">
        <f>_xlfn.XLOOKUP(frasest[[#This Row],[autor_es]],autorest[autor_es],autorest[nacion_la])</f>
        <v>Hispania</v>
      </c>
      <c r="N916" t="str">
        <f>_xlfn.XLOOKUP(frasest[[#This Row],[autor_es]],autorest[autor_es],autorest[epoca_es])</f>
        <v>Epoca Desconocida</v>
      </c>
      <c r="O916" t="str">
        <f>_xlfn.XLOOKUP(frasest[[#This Row],[autor_es]],autorest[autor_es],autorest[epoca_la])</f>
        <v>Epocha Ignota</v>
      </c>
    </row>
    <row r="917" spans="1:15">
      <c r="A917">
        <v>916</v>
      </c>
      <c r="B917" t="s">
        <v>2585</v>
      </c>
      <c r="C917" t="s">
        <v>2586</v>
      </c>
      <c r="D917" t="s">
        <v>2585</v>
      </c>
      <c r="E917" t="s">
        <v>21</v>
      </c>
      <c r="F917" t="str">
        <f>_xlfn.XLOOKUP(frasest[[#This Row],[autor_es]],autorest[autor_es],autorest[autor_la])</f>
        <v>Sententia Hispanica</v>
      </c>
      <c r="G917" s="6" t="str">
        <f>_xlfn.XLOOKUP(frasest[[#This Row],[autor_es]],autorest[autor_es],autorest[bio_es])</f>
        <v>Refranes populares de la tradición oral hispana que expresan de forma breve y ingeniosa enseñanzas prácticas sobre la vida cotidiana.</v>
      </c>
      <c r="H917" s="6" t="str">
        <f>_xlfn.XLOOKUP(frasest[[#This Row],[autor_es]],autorest[autor_es],autorest[bio_la])</f>
        <v>Collectio sententiarum Hispanicarum.</v>
      </c>
      <c r="I917" t="str">
        <f>_xlfn.XLOOKUP(frasest[[#This Row],[autor_es]],autorest[autor_es],autorest[codigo])</f>
        <v>es</v>
      </c>
      <c r="J917" t="str">
        <f>_xlfn.XLOOKUP(frasest[[#This Row],[autor_es]],autorest[autor_es],autorest[idioma_es])</f>
        <v>Español</v>
      </c>
      <c r="K917" s="6" t="str">
        <f>_xlfn.XLOOKUP(frasest[[#This Row],[autor_es]],autorest[autor_es],autorest[idioma_la])</f>
        <v>Lingua Hispanica</v>
      </c>
      <c r="L917" s="6" t="str">
        <f>_xlfn.XLOOKUP(frasest[[#This Row],[autor_es]],autorest[autor_es],autorest[nacion_es])</f>
        <v>España</v>
      </c>
      <c r="M917" t="str">
        <f>_xlfn.XLOOKUP(frasest[[#This Row],[autor_es]],autorest[autor_es],autorest[nacion_la])</f>
        <v>Hispania</v>
      </c>
      <c r="N917" t="str">
        <f>_xlfn.XLOOKUP(frasest[[#This Row],[autor_es]],autorest[autor_es],autorest[epoca_es])</f>
        <v>Epoca Desconocida</v>
      </c>
      <c r="O917" t="str">
        <f>_xlfn.XLOOKUP(frasest[[#This Row],[autor_es]],autorest[autor_es],autorest[epoca_la])</f>
        <v>Epocha Ignota</v>
      </c>
    </row>
    <row r="918" spans="1:15">
      <c r="A918">
        <v>917</v>
      </c>
      <c r="B918" t="s">
        <v>2587</v>
      </c>
      <c r="C918" t="s">
        <v>2588</v>
      </c>
      <c r="D918" t="s">
        <v>2587</v>
      </c>
      <c r="E918" t="s">
        <v>21</v>
      </c>
      <c r="F918" t="str">
        <f>_xlfn.XLOOKUP(frasest[[#This Row],[autor_es]],autorest[autor_es],autorest[autor_la])</f>
        <v>Sententia Hispanica</v>
      </c>
      <c r="G918" s="6" t="str">
        <f>_xlfn.XLOOKUP(frasest[[#This Row],[autor_es]],autorest[autor_es],autorest[bio_es])</f>
        <v>Refranes populares de la tradición oral hispana que expresan de forma breve y ingeniosa enseñanzas prácticas sobre la vida cotidiana.</v>
      </c>
      <c r="H918" s="6" t="str">
        <f>_xlfn.XLOOKUP(frasest[[#This Row],[autor_es]],autorest[autor_es],autorest[bio_la])</f>
        <v>Collectio sententiarum Hispanicarum.</v>
      </c>
      <c r="I918" t="str">
        <f>_xlfn.XLOOKUP(frasest[[#This Row],[autor_es]],autorest[autor_es],autorest[codigo])</f>
        <v>es</v>
      </c>
      <c r="J918" t="str">
        <f>_xlfn.XLOOKUP(frasest[[#This Row],[autor_es]],autorest[autor_es],autorest[idioma_es])</f>
        <v>Español</v>
      </c>
      <c r="K918" s="6" t="str">
        <f>_xlfn.XLOOKUP(frasest[[#This Row],[autor_es]],autorest[autor_es],autorest[idioma_la])</f>
        <v>Lingua Hispanica</v>
      </c>
      <c r="L918" s="6" t="str">
        <f>_xlfn.XLOOKUP(frasest[[#This Row],[autor_es]],autorest[autor_es],autorest[nacion_es])</f>
        <v>España</v>
      </c>
      <c r="M918" t="str">
        <f>_xlfn.XLOOKUP(frasest[[#This Row],[autor_es]],autorest[autor_es],autorest[nacion_la])</f>
        <v>Hispania</v>
      </c>
      <c r="N918" t="str">
        <f>_xlfn.XLOOKUP(frasest[[#This Row],[autor_es]],autorest[autor_es],autorest[epoca_es])</f>
        <v>Epoca Desconocida</v>
      </c>
      <c r="O918" t="str">
        <f>_xlfn.XLOOKUP(frasest[[#This Row],[autor_es]],autorest[autor_es],autorest[epoca_la])</f>
        <v>Epocha Ignota</v>
      </c>
    </row>
    <row r="919" spans="1:15">
      <c r="A919">
        <v>918</v>
      </c>
      <c r="B919" t="s">
        <v>2589</v>
      </c>
      <c r="C919" t="s">
        <v>2590</v>
      </c>
      <c r="D919" t="s">
        <v>2589</v>
      </c>
      <c r="E919" t="s">
        <v>21</v>
      </c>
      <c r="F919" t="str">
        <f>_xlfn.XLOOKUP(frasest[[#This Row],[autor_es]],autorest[autor_es],autorest[autor_la])</f>
        <v>Sententia Hispanica</v>
      </c>
      <c r="G919" s="6" t="str">
        <f>_xlfn.XLOOKUP(frasest[[#This Row],[autor_es]],autorest[autor_es],autorest[bio_es])</f>
        <v>Refranes populares de la tradición oral hispana que expresan de forma breve y ingeniosa enseñanzas prácticas sobre la vida cotidiana.</v>
      </c>
      <c r="H919" s="6" t="str">
        <f>_xlfn.XLOOKUP(frasest[[#This Row],[autor_es]],autorest[autor_es],autorest[bio_la])</f>
        <v>Collectio sententiarum Hispanicarum.</v>
      </c>
      <c r="I919" t="str">
        <f>_xlfn.XLOOKUP(frasest[[#This Row],[autor_es]],autorest[autor_es],autorest[codigo])</f>
        <v>es</v>
      </c>
      <c r="J919" t="str">
        <f>_xlfn.XLOOKUP(frasest[[#This Row],[autor_es]],autorest[autor_es],autorest[idioma_es])</f>
        <v>Español</v>
      </c>
      <c r="K919" s="6" t="str">
        <f>_xlfn.XLOOKUP(frasest[[#This Row],[autor_es]],autorest[autor_es],autorest[idioma_la])</f>
        <v>Lingua Hispanica</v>
      </c>
      <c r="L919" s="6" t="str">
        <f>_xlfn.XLOOKUP(frasest[[#This Row],[autor_es]],autorest[autor_es],autorest[nacion_es])</f>
        <v>España</v>
      </c>
      <c r="M919" t="str">
        <f>_xlfn.XLOOKUP(frasest[[#This Row],[autor_es]],autorest[autor_es],autorest[nacion_la])</f>
        <v>Hispania</v>
      </c>
      <c r="N919" t="str">
        <f>_xlfn.XLOOKUP(frasest[[#This Row],[autor_es]],autorest[autor_es],autorest[epoca_es])</f>
        <v>Epoca Desconocida</v>
      </c>
      <c r="O919" t="str">
        <f>_xlfn.XLOOKUP(frasest[[#This Row],[autor_es]],autorest[autor_es],autorest[epoca_la])</f>
        <v>Epocha Ignota</v>
      </c>
    </row>
    <row r="920" spans="1:15">
      <c r="A920">
        <v>919</v>
      </c>
      <c r="B920" t="s">
        <v>2591</v>
      </c>
      <c r="C920" t="s">
        <v>2592</v>
      </c>
      <c r="D920" t="s">
        <v>2591</v>
      </c>
      <c r="E920" t="s">
        <v>21</v>
      </c>
      <c r="F920" t="str">
        <f>_xlfn.XLOOKUP(frasest[[#This Row],[autor_es]],autorest[autor_es],autorest[autor_la])</f>
        <v>Sententia Hispanica</v>
      </c>
      <c r="G920" s="6" t="str">
        <f>_xlfn.XLOOKUP(frasest[[#This Row],[autor_es]],autorest[autor_es],autorest[bio_es])</f>
        <v>Refranes populares de la tradición oral hispana que expresan de forma breve y ingeniosa enseñanzas prácticas sobre la vida cotidiana.</v>
      </c>
      <c r="H920" s="6" t="str">
        <f>_xlfn.XLOOKUP(frasest[[#This Row],[autor_es]],autorest[autor_es],autorest[bio_la])</f>
        <v>Collectio sententiarum Hispanicarum.</v>
      </c>
      <c r="I920" t="str">
        <f>_xlfn.XLOOKUP(frasest[[#This Row],[autor_es]],autorest[autor_es],autorest[codigo])</f>
        <v>es</v>
      </c>
      <c r="J920" t="str">
        <f>_xlfn.XLOOKUP(frasest[[#This Row],[autor_es]],autorest[autor_es],autorest[idioma_es])</f>
        <v>Español</v>
      </c>
      <c r="K920" s="6" t="str">
        <f>_xlfn.XLOOKUP(frasest[[#This Row],[autor_es]],autorest[autor_es],autorest[idioma_la])</f>
        <v>Lingua Hispanica</v>
      </c>
      <c r="L920" s="6" t="str">
        <f>_xlfn.XLOOKUP(frasest[[#This Row],[autor_es]],autorest[autor_es],autorest[nacion_es])</f>
        <v>España</v>
      </c>
      <c r="M920" t="str">
        <f>_xlfn.XLOOKUP(frasest[[#This Row],[autor_es]],autorest[autor_es],autorest[nacion_la])</f>
        <v>Hispania</v>
      </c>
      <c r="N920" t="str">
        <f>_xlfn.XLOOKUP(frasest[[#This Row],[autor_es]],autorest[autor_es],autorest[epoca_es])</f>
        <v>Epoca Desconocida</v>
      </c>
      <c r="O920" t="str">
        <f>_xlfn.XLOOKUP(frasest[[#This Row],[autor_es]],autorest[autor_es],autorest[epoca_la])</f>
        <v>Epocha Ignota</v>
      </c>
    </row>
    <row r="921" spans="1:15">
      <c r="A921">
        <v>920</v>
      </c>
      <c r="B921" t="s">
        <v>1982</v>
      </c>
      <c r="C921" t="s">
        <v>1983</v>
      </c>
      <c r="D921" t="s">
        <v>1982</v>
      </c>
      <c r="E921" t="s">
        <v>21</v>
      </c>
      <c r="F921" t="str">
        <f>_xlfn.XLOOKUP(frasest[[#This Row],[autor_es]],autorest[autor_es],autorest[autor_la])</f>
        <v>Sententia Hispanica</v>
      </c>
      <c r="G921" s="6" t="str">
        <f>_xlfn.XLOOKUP(frasest[[#This Row],[autor_es]],autorest[autor_es],autorest[bio_es])</f>
        <v>Refranes populares de la tradición oral hispana que expresan de forma breve y ingeniosa enseñanzas prácticas sobre la vida cotidiana.</v>
      </c>
      <c r="H921" s="6" t="str">
        <f>_xlfn.XLOOKUP(frasest[[#This Row],[autor_es]],autorest[autor_es],autorest[bio_la])</f>
        <v>Collectio sententiarum Hispanicarum.</v>
      </c>
      <c r="I921" t="str">
        <f>_xlfn.XLOOKUP(frasest[[#This Row],[autor_es]],autorest[autor_es],autorest[codigo])</f>
        <v>es</v>
      </c>
      <c r="J921" t="str">
        <f>_xlfn.XLOOKUP(frasest[[#This Row],[autor_es]],autorest[autor_es],autorest[idioma_es])</f>
        <v>Español</v>
      </c>
      <c r="K921" s="6" t="str">
        <f>_xlfn.XLOOKUP(frasest[[#This Row],[autor_es]],autorest[autor_es],autorest[idioma_la])</f>
        <v>Lingua Hispanica</v>
      </c>
      <c r="L921" s="6" t="str">
        <f>_xlfn.XLOOKUP(frasest[[#This Row],[autor_es]],autorest[autor_es],autorest[nacion_es])</f>
        <v>España</v>
      </c>
      <c r="M921" t="str">
        <f>_xlfn.XLOOKUP(frasest[[#This Row],[autor_es]],autorest[autor_es],autorest[nacion_la])</f>
        <v>Hispania</v>
      </c>
      <c r="N921" t="str">
        <f>_xlfn.XLOOKUP(frasest[[#This Row],[autor_es]],autorest[autor_es],autorest[epoca_es])</f>
        <v>Epoca Desconocida</v>
      </c>
      <c r="O921" t="str">
        <f>_xlfn.XLOOKUP(frasest[[#This Row],[autor_es]],autorest[autor_es],autorest[epoca_la])</f>
        <v>Epocha Ignota</v>
      </c>
    </row>
    <row r="922" spans="1:15">
      <c r="A922">
        <v>921</v>
      </c>
      <c r="B922" t="s">
        <v>2593</v>
      </c>
      <c r="C922" t="s">
        <v>2594</v>
      </c>
      <c r="D922" t="s">
        <v>2593</v>
      </c>
      <c r="E922" t="s">
        <v>21</v>
      </c>
      <c r="F922" t="str">
        <f>_xlfn.XLOOKUP(frasest[[#This Row],[autor_es]],autorest[autor_es],autorest[autor_la])</f>
        <v>Sententia Hispanica</v>
      </c>
      <c r="G922" s="6" t="str">
        <f>_xlfn.XLOOKUP(frasest[[#This Row],[autor_es]],autorest[autor_es],autorest[bio_es])</f>
        <v>Refranes populares de la tradición oral hispana que expresan de forma breve y ingeniosa enseñanzas prácticas sobre la vida cotidiana.</v>
      </c>
      <c r="H922" s="6" t="str">
        <f>_xlfn.XLOOKUP(frasest[[#This Row],[autor_es]],autorest[autor_es],autorest[bio_la])</f>
        <v>Collectio sententiarum Hispanicarum.</v>
      </c>
      <c r="I922" t="str">
        <f>_xlfn.XLOOKUP(frasest[[#This Row],[autor_es]],autorest[autor_es],autorest[codigo])</f>
        <v>es</v>
      </c>
      <c r="J922" t="str">
        <f>_xlfn.XLOOKUP(frasest[[#This Row],[autor_es]],autorest[autor_es],autorest[idioma_es])</f>
        <v>Español</v>
      </c>
      <c r="K922" s="6" t="str">
        <f>_xlfn.XLOOKUP(frasest[[#This Row],[autor_es]],autorest[autor_es],autorest[idioma_la])</f>
        <v>Lingua Hispanica</v>
      </c>
      <c r="L922" s="6" t="str">
        <f>_xlfn.XLOOKUP(frasest[[#This Row],[autor_es]],autorest[autor_es],autorest[nacion_es])</f>
        <v>España</v>
      </c>
      <c r="M922" t="str">
        <f>_xlfn.XLOOKUP(frasest[[#This Row],[autor_es]],autorest[autor_es],autorest[nacion_la])</f>
        <v>Hispania</v>
      </c>
      <c r="N922" t="str">
        <f>_xlfn.XLOOKUP(frasest[[#This Row],[autor_es]],autorest[autor_es],autorest[epoca_es])</f>
        <v>Epoca Desconocida</v>
      </c>
      <c r="O922" t="str">
        <f>_xlfn.XLOOKUP(frasest[[#This Row],[autor_es]],autorest[autor_es],autorest[epoca_la])</f>
        <v>Epocha Ignota</v>
      </c>
    </row>
    <row r="923" spans="1:15">
      <c r="A923">
        <v>922</v>
      </c>
      <c r="B923" t="s">
        <v>2595</v>
      </c>
      <c r="C923" t="s">
        <v>2596</v>
      </c>
      <c r="D923" t="s">
        <v>2595</v>
      </c>
      <c r="E923" t="s">
        <v>21</v>
      </c>
      <c r="F923" t="str">
        <f>_xlfn.XLOOKUP(frasest[[#This Row],[autor_es]],autorest[autor_es],autorest[autor_la])</f>
        <v>Sententia Hispanica</v>
      </c>
      <c r="G923" s="6" t="str">
        <f>_xlfn.XLOOKUP(frasest[[#This Row],[autor_es]],autorest[autor_es],autorest[bio_es])</f>
        <v>Refranes populares de la tradición oral hispana que expresan de forma breve y ingeniosa enseñanzas prácticas sobre la vida cotidiana.</v>
      </c>
      <c r="H923" s="6" t="str">
        <f>_xlfn.XLOOKUP(frasest[[#This Row],[autor_es]],autorest[autor_es],autorest[bio_la])</f>
        <v>Collectio sententiarum Hispanicarum.</v>
      </c>
      <c r="I923" t="str">
        <f>_xlfn.XLOOKUP(frasest[[#This Row],[autor_es]],autorest[autor_es],autorest[codigo])</f>
        <v>es</v>
      </c>
      <c r="J923" t="str">
        <f>_xlfn.XLOOKUP(frasest[[#This Row],[autor_es]],autorest[autor_es],autorest[idioma_es])</f>
        <v>Español</v>
      </c>
      <c r="K923" s="6" t="str">
        <f>_xlfn.XLOOKUP(frasest[[#This Row],[autor_es]],autorest[autor_es],autorest[idioma_la])</f>
        <v>Lingua Hispanica</v>
      </c>
      <c r="L923" s="6" t="str">
        <f>_xlfn.XLOOKUP(frasest[[#This Row],[autor_es]],autorest[autor_es],autorest[nacion_es])</f>
        <v>España</v>
      </c>
      <c r="M923" t="str">
        <f>_xlfn.XLOOKUP(frasest[[#This Row],[autor_es]],autorest[autor_es],autorest[nacion_la])</f>
        <v>Hispania</v>
      </c>
      <c r="N923" t="str">
        <f>_xlfn.XLOOKUP(frasest[[#This Row],[autor_es]],autorest[autor_es],autorest[epoca_es])</f>
        <v>Epoca Desconocida</v>
      </c>
      <c r="O923" t="str">
        <f>_xlfn.XLOOKUP(frasest[[#This Row],[autor_es]],autorest[autor_es],autorest[epoca_la])</f>
        <v>Epocha Ignota</v>
      </c>
    </row>
    <row r="924" spans="1:15">
      <c r="A924">
        <v>923</v>
      </c>
      <c r="B924" t="s">
        <v>2597</v>
      </c>
      <c r="C924" t="s">
        <v>2598</v>
      </c>
      <c r="D924" t="s">
        <v>2597</v>
      </c>
      <c r="E924" t="s">
        <v>21</v>
      </c>
      <c r="F924" t="str">
        <f>_xlfn.XLOOKUP(frasest[[#This Row],[autor_es]],autorest[autor_es],autorest[autor_la])</f>
        <v>Sententia Hispanica</v>
      </c>
      <c r="G924" s="6" t="str">
        <f>_xlfn.XLOOKUP(frasest[[#This Row],[autor_es]],autorest[autor_es],autorest[bio_es])</f>
        <v>Refranes populares de la tradición oral hispana que expresan de forma breve y ingeniosa enseñanzas prácticas sobre la vida cotidiana.</v>
      </c>
      <c r="H924" s="6" t="str">
        <f>_xlfn.XLOOKUP(frasest[[#This Row],[autor_es]],autorest[autor_es],autorest[bio_la])</f>
        <v>Collectio sententiarum Hispanicarum.</v>
      </c>
      <c r="I924" t="str">
        <f>_xlfn.XLOOKUP(frasest[[#This Row],[autor_es]],autorest[autor_es],autorest[codigo])</f>
        <v>es</v>
      </c>
      <c r="J924" t="str">
        <f>_xlfn.XLOOKUP(frasest[[#This Row],[autor_es]],autorest[autor_es],autorest[idioma_es])</f>
        <v>Español</v>
      </c>
      <c r="K924" s="6" t="str">
        <f>_xlfn.XLOOKUP(frasest[[#This Row],[autor_es]],autorest[autor_es],autorest[idioma_la])</f>
        <v>Lingua Hispanica</v>
      </c>
      <c r="L924" s="6" t="str">
        <f>_xlfn.XLOOKUP(frasest[[#This Row],[autor_es]],autorest[autor_es],autorest[nacion_es])</f>
        <v>España</v>
      </c>
      <c r="M924" t="str">
        <f>_xlfn.XLOOKUP(frasest[[#This Row],[autor_es]],autorest[autor_es],autorest[nacion_la])</f>
        <v>Hispania</v>
      </c>
      <c r="N924" t="str">
        <f>_xlfn.XLOOKUP(frasest[[#This Row],[autor_es]],autorest[autor_es],autorest[epoca_es])</f>
        <v>Epoca Desconocida</v>
      </c>
      <c r="O924" t="str">
        <f>_xlfn.XLOOKUP(frasest[[#This Row],[autor_es]],autorest[autor_es],autorest[epoca_la])</f>
        <v>Epocha Ignota</v>
      </c>
    </row>
    <row r="925" spans="1:15">
      <c r="A925">
        <v>924</v>
      </c>
      <c r="B925" t="s">
        <v>2599</v>
      </c>
      <c r="C925" t="s">
        <v>2600</v>
      </c>
      <c r="D925" t="s">
        <v>2599</v>
      </c>
      <c r="E925" t="s">
        <v>21</v>
      </c>
      <c r="F925" t="str">
        <f>_xlfn.XLOOKUP(frasest[[#This Row],[autor_es]],autorest[autor_es],autorest[autor_la])</f>
        <v>Sententia Hispanica</v>
      </c>
      <c r="G925" s="6" t="str">
        <f>_xlfn.XLOOKUP(frasest[[#This Row],[autor_es]],autorest[autor_es],autorest[bio_es])</f>
        <v>Refranes populares de la tradición oral hispana que expresan de forma breve y ingeniosa enseñanzas prácticas sobre la vida cotidiana.</v>
      </c>
      <c r="H925" s="6" t="str">
        <f>_xlfn.XLOOKUP(frasest[[#This Row],[autor_es]],autorest[autor_es],autorest[bio_la])</f>
        <v>Collectio sententiarum Hispanicarum.</v>
      </c>
      <c r="I925" t="str">
        <f>_xlfn.XLOOKUP(frasest[[#This Row],[autor_es]],autorest[autor_es],autorest[codigo])</f>
        <v>es</v>
      </c>
      <c r="J925" t="str">
        <f>_xlfn.XLOOKUP(frasest[[#This Row],[autor_es]],autorest[autor_es],autorest[idioma_es])</f>
        <v>Español</v>
      </c>
      <c r="K925" s="6" t="str">
        <f>_xlfn.XLOOKUP(frasest[[#This Row],[autor_es]],autorest[autor_es],autorest[idioma_la])</f>
        <v>Lingua Hispanica</v>
      </c>
      <c r="L925" s="6" t="str">
        <f>_xlfn.XLOOKUP(frasest[[#This Row],[autor_es]],autorest[autor_es],autorest[nacion_es])</f>
        <v>España</v>
      </c>
      <c r="M925" t="str">
        <f>_xlfn.XLOOKUP(frasest[[#This Row],[autor_es]],autorest[autor_es],autorest[nacion_la])</f>
        <v>Hispania</v>
      </c>
      <c r="N925" t="str">
        <f>_xlfn.XLOOKUP(frasest[[#This Row],[autor_es]],autorest[autor_es],autorest[epoca_es])</f>
        <v>Epoca Desconocida</v>
      </c>
      <c r="O925" t="str">
        <f>_xlfn.XLOOKUP(frasest[[#This Row],[autor_es]],autorest[autor_es],autorest[epoca_la])</f>
        <v>Epocha Ignota</v>
      </c>
    </row>
    <row r="926" spans="1:15">
      <c r="A926">
        <v>925</v>
      </c>
      <c r="B926" t="s">
        <v>2601</v>
      </c>
      <c r="C926" t="s">
        <v>2602</v>
      </c>
      <c r="D926" t="s">
        <v>2601</v>
      </c>
      <c r="E926" t="s">
        <v>21</v>
      </c>
      <c r="F926" t="str">
        <f>_xlfn.XLOOKUP(frasest[[#This Row],[autor_es]],autorest[autor_es],autorest[autor_la])</f>
        <v>Sententia Hispanica</v>
      </c>
      <c r="G926" s="6" t="str">
        <f>_xlfn.XLOOKUP(frasest[[#This Row],[autor_es]],autorest[autor_es],autorest[bio_es])</f>
        <v>Refranes populares de la tradición oral hispana que expresan de forma breve y ingeniosa enseñanzas prácticas sobre la vida cotidiana.</v>
      </c>
      <c r="H926" s="6" t="str">
        <f>_xlfn.XLOOKUP(frasest[[#This Row],[autor_es]],autorest[autor_es],autorest[bio_la])</f>
        <v>Collectio sententiarum Hispanicarum.</v>
      </c>
      <c r="I926" t="str">
        <f>_xlfn.XLOOKUP(frasest[[#This Row],[autor_es]],autorest[autor_es],autorest[codigo])</f>
        <v>es</v>
      </c>
      <c r="J926" t="str">
        <f>_xlfn.XLOOKUP(frasest[[#This Row],[autor_es]],autorest[autor_es],autorest[idioma_es])</f>
        <v>Español</v>
      </c>
      <c r="K926" s="6" t="str">
        <f>_xlfn.XLOOKUP(frasest[[#This Row],[autor_es]],autorest[autor_es],autorest[idioma_la])</f>
        <v>Lingua Hispanica</v>
      </c>
      <c r="L926" s="6" t="str">
        <f>_xlfn.XLOOKUP(frasest[[#This Row],[autor_es]],autorest[autor_es],autorest[nacion_es])</f>
        <v>España</v>
      </c>
      <c r="M926" t="str">
        <f>_xlfn.XLOOKUP(frasest[[#This Row],[autor_es]],autorest[autor_es],autorest[nacion_la])</f>
        <v>Hispania</v>
      </c>
      <c r="N926" t="str">
        <f>_xlfn.XLOOKUP(frasest[[#This Row],[autor_es]],autorest[autor_es],autorest[epoca_es])</f>
        <v>Epoca Desconocida</v>
      </c>
      <c r="O926" t="str">
        <f>_xlfn.XLOOKUP(frasest[[#This Row],[autor_es]],autorest[autor_es],autorest[epoca_la])</f>
        <v>Epocha Ignota</v>
      </c>
    </row>
    <row r="927" spans="1:15">
      <c r="A927">
        <v>926</v>
      </c>
      <c r="B927" t="s">
        <v>2603</v>
      </c>
      <c r="C927" t="s">
        <v>2604</v>
      </c>
      <c r="D927" t="s">
        <v>2603</v>
      </c>
      <c r="E927" t="s">
        <v>21</v>
      </c>
      <c r="F927" t="str">
        <f>_xlfn.XLOOKUP(frasest[[#This Row],[autor_es]],autorest[autor_es],autorest[autor_la])</f>
        <v>Sententia Hispanica</v>
      </c>
      <c r="G927" s="6" t="str">
        <f>_xlfn.XLOOKUP(frasest[[#This Row],[autor_es]],autorest[autor_es],autorest[bio_es])</f>
        <v>Refranes populares de la tradición oral hispana que expresan de forma breve y ingeniosa enseñanzas prácticas sobre la vida cotidiana.</v>
      </c>
      <c r="H927" s="6" t="str">
        <f>_xlfn.XLOOKUP(frasest[[#This Row],[autor_es]],autorest[autor_es],autorest[bio_la])</f>
        <v>Collectio sententiarum Hispanicarum.</v>
      </c>
      <c r="I927" t="str">
        <f>_xlfn.XLOOKUP(frasest[[#This Row],[autor_es]],autorest[autor_es],autorest[codigo])</f>
        <v>es</v>
      </c>
      <c r="J927" t="str">
        <f>_xlfn.XLOOKUP(frasest[[#This Row],[autor_es]],autorest[autor_es],autorest[idioma_es])</f>
        <v>Español</v>
      </c>
      <c r="K927" s="6" t="str">
        <f>_xlfn.XLOOKUP(frasest[[#This Row],[autor_es]],autorest[autor_es],autorest[idioma_la])</f>
        <v>Lingua Hispanica</v>
      </c>
      <c r="L927" s="6" t="str">
        <f>_xlfn.XLOOKUP(frasest[[#This Row],[autor_es]],autorest[autor_es],autorest[nacion_es])</f>
        <v>España</v>
      </c>
      <c r="M927" t="str">
        <f>_xlfn.XLOOKUP(frasest[[#This Row],[autor_es]],autorest[autor_es],autorest[nacion_la])</f>
        <v>Hispania</v>
      </c>
      <c r="N927" t="str">
        <f>_xlfn.XLOOKUP(frasest[[#This Row],[autor_es]],autorest[autor_es],autorest[epoca_es])</f>
        <v>Epoca Desconocida</v>
      </c>
      <c r="O927" t="str">
        <f>_xlfn.XLOOKUP(frasest[[#This Row],[autor_es]],autorest[autor_es],autorest[epoca_la])</f>
        <v>Epocha Ignota</v>
      </c>
    </row>
    <row r="928" spans="1:15">
      <c r="A928">
        <v>927</v>
      </c>
      <c r="B928" t="s">
        <v>2605</v>
      </c>
      <c r="C928" t="s">
        <v>2606</v>
      </c>
      <c r="D928" t="s">
        <v>2605</v>
      </c>
      <c r="E928" t="s">
        <v>21</v>
      </c>
      <c r="F928" t="str">
        <f>_xlfn.XLOOKUP(frasest[[#This Row],[autor_es]],autorest[autor_es],autorest[autor_la])</f>
        <v>Sententia Hispanica</v>
      </c>
      <c r="G928" s="6" t="str">
        <f>_xlfn.XLOOKUP(frasest[[#This Row],[autor_es]],autorest[autor_es],autorest[bio_es])</f>
        <v>Refranes populares de la tradición oral hispana que expresan de forma breve y ingeniosa enseñanzas prácticas sobre la vida cotidiana.</v>
      </c>
      <c r="H928" s="6" t="str">
        <f>_xlfn.XLOOKUP(frasest[[#This Row],[autor_es]],autorest[autor_es],autorest[bio_la])</f>
        <v>Collectio sententiarum Hispanicarum.</v>
      </c>
      <c r="I928" t="str">
        <f>_xlfn.XLOOKUP(frasest[[#This Row],[autor_es]],autorest[autor_es],autorest[codigo])</f>
        <v>es</v>
      </c>
      <c r="J928" t="str">
        <f>_xlfn.XLOOKUP(frasest[[#This Row],[autor_es]],autorest[autor_es],autorest[idioma_es])</f>
        <v>Español</v>
      </c>
      <c r="K928" s="6" t="str">
        <f>_xlfn.XLOOKUP(frasest[[#This Row],[autor_es]],autorest[autor_es],autorest[idioma_la])</f>
        <v>Lingua Hispanica</v>
      </c>
      <c r="L928" s="6" t="str">
        <f>_xlfn.XLOOKUP(frasest[[#This Row],[autor_es]],autorest[autor_es],autorest[nacion_es])</f>
        <v>España</v>
      </c>
      <c r="M928" t="str">
        <f>_xlfn.XLOOKUP(frasest[[#This Row],[autor_es]],autorest[autor_es],autorest[nacion_la])</f>
        <v>Hispania</v>
      </c>
      <c r="N928" t="str">
        <f>_xlfn.XLOOKUP(frasest[[#This Row],[autor_es]],autorest[autor_es],autorest[epoca_es])</f>
        <v>Epoca Desconocida</v>
      </c>
      <c r="O928" t="str">
        <f>_xlfn.XLOOKUP(frasest[[#This Row],[autor_es]],autorest[autor_es],autorest[epoca_la])</f>
        <v>Epocha Ignota</v>
      </c>
    </row>
    <row r="929" spans="1:15">
      <c r="A929">
        <v>928</v>
      </c>
      <c r="B929" t="s">
        <v>2607</v>
      </c>
      <c r="C929" t="s">
        <v>2608</v>
      </c>
      <c r="D929" t="s">
        <v>2607</v>
      </c>
      <c r="E929" t="s">
        <v>21</v>
      </c>
      <c r="F929" t="str">
        <f>_xlfn.XLOOKUP(frasest[[#This Row],[autor_es]],autorest[autor_es],autorest[autor_la])</f>
        <v>Sententia Hispanica</v>
      </c>
      <c r="G929" s="6" t="str">
        <f>_xlfn.XLOOKUP(frasest[[#This Row],[autor_es]],autorest[autor_es],autorest[bio_es])</f>
        <v>Refranes populares de la tradición oral hispana que expresan de forma breve y ingeniosa enseñanzas prácticas sobre la vida cotidiana.</v>
      </c>
      <c r="H929" s="6" t="str">
        <f>_xlfn.XLOOKUP(frasest[[#This Row],[autor_es]],autorest[autor_es],autorest[bio_la])</f>
        <v>Collectio sententiarum Hispanicarum.</v>
      </c>
      <c r="I929" t="str">
        <f>_xlfn.XLOOKUP(frasest[[#This Row],[autor_es]],autorest[autor_es],autorest[codigo])</f>
        <v>es</v>
      </c>
      <c r="J929" t="str">
        <f>_xlfn.XLOOKUP(frasest[[#This Row],[autor_es]],autorest[autor_es],autorest[idioma_es])</f>
        <v>Español</v>
      </c>
      <c r="K929" s="6" t="str">
        <f>_xlfn.XLOOKUP(frasest[[#This Row],[autor_es]],autorest[autor_es],autorest[idioma_la])</f>
        <v>Lingua Hispanica</v>
      </c>
      <c r="L929" s="6" t="str">
        <f>_xlfn.XLOOKUP(frasest[[#This Row],[autor_es]],autorest[autor_es],autorest[nacion_es])</f>
        <v>España</v>
      </c>
      <c r="M929" t="str">
        <f>_xlfn.XLOOKUP(frasest[[#This Row],[autor_es]],autorest[autor_es],autorest[nacion_la])</f>
        <v>Hispania</v>
      </c>
      <c r="N929" t="str">
        <f>_xlfn.XLOOKUP(frasest[[#This Row],[autor_es]],autorest[autor_es],autorest[epoca_es])</f>
        <v>Epoca Desconocida</v>
      </c>
      <c r="O929" t="str">
        <f>_xlfn.XLOOKUP(frasest[[#This Row],[autor_es]],autorest[autor_es],autorest[epoca_la])</f>
        <v>Epocha Ignota</v>
      </c>
    </row>
    <row r="930" spans="1:15">
      <c r="A930">
        <v>929</v>
      </c>
      <c r="B930" t="s">
        <v>2609</v>
      </c>
      <c r="C930" t="s">
        <v>2610</v>
      </c>
      <c r="D930" t="s">
        <v>2609</v>
      </c>
      <c r="E930" t="s">
        <v>21</v>
      </c>
      <c r="F930" t="str">
        <f>_xlfn.XLOOKUP(frasest[[#This Row],[autor_es]],autorest[autor_es],autorest[autor_la])</f>
        <v>Sententia Hispanica</v>
      </c>
      <c r="G930" s="6" t="str">
        <f>_xlfn.XLOOKUP(frasest[[#This Row],[autor_es]],autorest[autor_es],autorest[bio_es])</f>
        <v>Refranes populares de la tradición oral hispana que expresan de forma breve y ingeniosa enseñanzas prácticas sobre la vida cotidiana.</v>
      </c>
      <c r="H930" s="6" t="str">
        <f>_xlfn.XLOOKUP(frasest[[#This Row],[autor_es]],autorest[autor_es],autorest[bio_la])</f>
        <v>Collectio sententiarum Hispanicarum.</v>
      </c>
      <c r="I930" t="str">
        <f>_xlfn.XLOOKUP(frasest[[#This Row],[autor_es]],autorest[autor_es],autorest[codigo])</f>
        <v>es</v>
      </c>
      <c r="J930" t="str">
        <f>_xlfn.XLOOKUP(frasest[[#This Row],[autor_es]],autorest[autor_es],autorest[idioma_es])</f>
        <v>Español</v>
      </c>
      <c r="K930" s="6" t="str">
        <f>_xlfn.XLOOKUP(frasest[[#This Row],[autor_es]],autorest[autor_es],autorest[idioma_la])</f>
        <v>Lingua Hispanica</v>
      </c>
      <c r="L930" s="6" t="str">
        <f>_xlfn.XLOOKUP(frasest[[#This Row],[autor_es]],autorest[autor_es],autorest[nacion_es])</f>
        <v>España</v>
      </c>
      <c r="M930" t="str">
        <f>_xlfn.XLOOKUP(frasest[[#This Row],[autor_es]],autorest[autor_es],autorest[nacion_la])</f>
        <v>Hispania</v>
      </c>
      <c r="N930" t="str">
        <f>_xlfn.XLOOKUP(frasest[[#This Row],[autor_es]],autorest[autor_es],autorest[epoca_es])</f>
        <v>Epoca Desconocida</v>
      </c>
      <c r="O930" t="str">
        <f>_xlfn.XLOOKUP(frasest[[#This Row],[autor_es]],autorest[autor_es],autorest[epoca_la])</f>
        <v>Epocha Ignota</v>
      </c>
    </row>
    <row r="931" spans="1:15">
      <c r="A931">
        <v>930</v>
      </c>
      <c r="B931" t="s">
        <v>2611</v>
      </c>
      <c r="C931" t="s">
        <v>2612</v>
      </c>
      <c r="D931" t="s">
        <v>2611</v>
      </c>
      <c r="E931" t="s">
        <v>21</v>
      </c>
      <c r="F931" t="str">
        <f>_xlfn.XLOOKUP(frasest[[#This Row],[autor_es]],autorest[autor_es],autorest[autor_la])</f>
        <v>Sententia Hispanica</v>
      </c>
      <c r="G931" s="6" t="str">
        <f>_xlfn.XLOOKUP(frasest[[#This Row],[autor_es]],autorest[autor_es],autorest[bio_es])</f>
        <v>Refranes populares de la tradición oral hispana que expresan de forma breve y ingeniosa enseñanzas prácticas sobre la vida cotidiana.</v>
      </c>
      <c r="H931" s="6" t="str">
        <f>_xlfn.XLOOKUP(frasest[[#This Row],[autor_es]],autorest[autor_es],autorest[bio_la])</f>
        <v>Collectio sententiarum Hispanicarum.</v>
      </c>
      <c r="I931" t="str">
        <f>_xlfn.XLOOKUP(frasest[[#This Row],[autor_es]],autorest[autor_es],autorest[codigo])</f>
        <v>es</v>
      </c>
      <c r="J931" t="str">
        <f>_xlfn.XLOOKUP(frasest[[#This Row],[autor_es]],autorest[autor_es],autorest[idioma_es])</f>
        <v>Español</v>
      </c>
      <c r="K931" s="6" t="str">
        <f>_xlfn.XLOOKUP(frasest[[#This Row],[autor_es]],autorest[autor_es],autorest[idioma_la])</f>
        <v>Lingua Hispanica</v>
      </c>
      <c r="L931" s="6" t="str">
        <f>_xlfn.XLOOKUP(frasest[[#This Row],[autor_es]],autorest[autor_es],autorest[nacion_es])</f>
        <v>España</v>
      </c>
      <c r="M931" t="str">
        <f>_xlfn.XLOOKUP(frasest[[#This Row],[autor_es]],autorest[autor_es],autorest[nacion_la])</f>
        <v>Hispania</v>
      </c>
      <c r="N931" t="str">
        <f>_xlfn.XLOOKUP(frasest[[#This Row],[autor_es]],autorest[autor_es],autorest[epoca_es])</f>
        <v>Epoca Desconocida</v>
      </c>
      <c r="O931" t="str">
        <f>_xlfn.XLOOKUP(frasest[[#This Row],[autor_es]],autorest[autor_es],autorest[epoca_la])</f>
        <v>Epocha Ignota</v>
      </c>
    </row>
    <row r="932" spans="1:15">
      <c r="A932">
        <v>931</v>
      </c>
      <c r="B932" t="s">
        <v>2613</v>
      </c>
      <c r="C932" t="s">
        <v>2614</v>
      </c>
      <c r="D932" t="s">
        <v>2613</v>
      </c>
      <c r="E932" t="s">
        <v>21</v>
      </c>
      <c r="F932" t="str">
        <f>_xlfn.XLOOKUP(frasest[[#This Row],[autor_es]],autorest[autor_es],autorest[autor_la])</f>
        <v>Sententia Hispanica</v>
      </c>
      <c r="G932" s="6" t="str">
        <f>_xlfn.XLOOKUP(frasest[[#This Row],[autor_es]],autorest[autor_es],autorest[bio_es])</f>
        <v>Refranes populares de la tradición oral hispana que expresan de forma breve y ingeniosa enseñanzas prácticas sobre la vida cotidiana.</v>
      </c>
      <c r="H932" s="6" t="str">
        <f>_xlfn.XLOOKUP(frasest[[#This Row],[autor_es]],autorest[autor_es],autorest[bio_la])</f>
        <v>Collectio sententiarum Hispanicarum.</v>
      </c>
      <c r="I932" t="str">
        <f>_xlfn.XLOOKUP(frasest[[#This Row],[autor_es]],autorest[autor_es],autorest[codigo])</f>
        <v>es</v>
      </c>
      <c r="J932" t="str">
        <f>_xlfn.XLOOKUP(frasest[[#This Row],[autor_es]],autorest[autor_es],autorest[idioma_es])</f>
        <v>Español</v>
      </c>
      <c r="K932" s="6" t="str">
        <f>_xlfn.XLOOKUP(frasest[[#This Row],[autor_es]],autorest[autor_es],autorest[idioma_la])</f>
        <v>Lingua Hispanica</v>
      </c>
      <c r="L932" s="6" t="str">
        <f>_xlfn.XLOOKUP(frasest[[#This Row],[autor_es]],autorest[autor_es],autorest[nacion_es])</f>
        <v>España</v>
      </c>
      <c r="M932" t="str">
        <f>_xlfn.XLOOKUP(frasest[[#This Row],[autor_es]],autorest[autor_es],autorest[nacion_la])</f>
        <v>Hispania</v>
      </c>
      <c r="N932" t="str">
        <f>_xlfn.XLOOKUP(frasest[[#This Row],[autor_es]],autorest[autor_es],autorest[epoca_es])</f>
        <v>Epoca Desconocida</v>
      </c>
      <c r="O932" t="str">
        <f>_xlfn.XLOOKUP(frasest[[#This Row],[autor_es]],autorest[autor_es],autorest[epoca_la])</f>
        <v>Epocha Ignota</v>
      </c>
    </row>
    <row r="933" spans="1:15">
      <c r="A933">
        <v>932</v>
      </c>
      <c r="B933" t="s">
        <v>2615</v>
      </c>
      <c r="C933" t="s">
        <v>2616</v>
      </c>
      <c r="D933" t="s">
        <v>2615</v>
      </c>
      <c r="E933" t="s">
        <v>21</v>
      </c>
      <c r="F933" t="str">
        <f>_xlfn.XLOOKUP(frasest[[#This Row],[autor_es]],autorest[autor_es],autorest[autor_la])</f>
        <v>Sententia Hispanica</v>
      </c>
      <c r="G933" s="6" t="str">
        <f>_xlfn.XLOOKUP(frasest[[#This Row],[autor_es]],autorest[autor_es],autorest[bio_es])</f>
        <v>Refranes populares de la tradición oral hispana que expresan de forma breve y ingeniosa enseñanzas prácticas sobre la vida cotidiana.</v>
      </c>
      <c r="H933" s="6" t="str">
        <f>_xlfn.XLOOKUP(frasest[[#This Row],[autor_es]],autorest[autor_es],autorest[bio_la])</f>
        <v>Collectio sententiarum Hispanicarum.</v>
      </c>
      <c r="I933" t="str">
        <f>_xlfn.XLOOKUP(frasest[[#This Row],[autor_es]],autorest[autor_es],autorest[codigo])</f>
        <v>es</v>
      </c>
      <c r="J933" t="str">
        <f>_xlfn.XLOOKUP(frasest[[#This Row],[autor_es]],autorest[autor_es],autorest[idioma_es])</f>
        <v>Español</v>
      </c>
      <c r="K933" s="6" t="str">
        <f>_xlfn.XLOOKUP(frasest[[#This Row],[autor_es]],autorest[autor_es],autorest[idioma_la])</f>
        <v>Lingua Hispanica</v>
      </c>
      <c r="L933" s="6" t="str">
        <f>_xlfn.XLOOKUP(frasest[[#This Row],[autor_es]],autorest[autor_es],autorest[nacion_es])</f>
        <v>España</v>
      </c>
      <c r="M933" t="str">
        <f>_xlfn.XLOOKUP(frasest[[#This Row],[autor_es]],autorest[autor_es],autorest[nacion_la])</f>
        <v>Hispania</v>
      </c>
      <c r="N933" t="str">
        <f>_xlfn.XLOOKUP(frasest[[#This Row],[autor_es]],autorest[autor_es],autorest[epoca_es])</f>
        <v>Epoca Desconocida</v>
      </c>
      <c r="O933" t="str">
        <f>_xlfn.XLOOKUP(frasest[[#This Row],[autor_es]],autorest[autor_es],autorest[epoca_la])</f>
        <v>Epocha Ignota</v>
      </c>
    </row>
    <row r="934" spans="1:15">
      <c r="A934">
        <v>933</v>
      </c>
      <c r="B934" t="s">
        <v>2617</v>
      </c>
      <c r="C934" t="s">
        <v>2618</v>
      </c>
      <c r="D934" t="s">
        <v>2617</v>
      </c>
      <c r="E934" t="s">
        <v>21</v>
      </c>
      <c r="F934" t="str">
        <f>_xlfn.XLOOKUP(frasest[[#This Row],[autor_es]],autorest[autor_es],autorest[autor_la])</f>
        <v>Sententia Hispanica</v>
      </c>
      <c r="G934" s="6" t="str">
        <f>_xlfn.XLOOKUP(frasest[[#This Row],[autor_es]],autorest[autor_es],autorest[bio_es])</f>
        <v>Refranes populares de la tradición oral hispana que expresan de forma breve y ingeniosa enseñanzas prácticas sobre la vida cotidiana.</v>
      </c>
      <c r="H934" s="6" t="str">
        <f>_xlfn.XLOOKUP(frasest[[#This Row],[autor_es]],autorest[autor_es],autorest[bio_la])</f>
        <v>Collectio sententiarum Hispanicarum.</v>
      </c>
      <c r="I934" t="str">
        <f>_xlfn.XLOOKUP(frasest[[#This Row],[autor_es]],autorest[autor_es],autorest[codigo])</f>
        <v>es</v>
      </c>
      <c r="J934" t="str">
        <f>_xlfn.XLOOKUP(frasest[[#This Row],[autor_es]],autorest[autor_es],autorest[idioma_es])</f>
        <v>Español</v>
      </c>
      <c r="K934" s="6" t="str">
        <f>_xlfn.XLOOKUP(frasest[[#This Row],[autor_es]],autorest[autor_es],autorest[idioma_la])</f>
        <v>Lingua Hispanica</v>
      </c>
      <c r="L934" s="6" t="str">
        <f>_xlfn.XLOOKUP(frasest[[#This Row],[autor_es]],autorest[autor_es],autorest[nacion_es])</f>
        <v>España</v>
      </c>
      <c r="M934" t="str">
        <f>_xlfn.XLOOKUP(frasest[[#This Row],[autor_es]],autorest[autor_es],autorest[nacion_la])</f>
        <v>Hispania</v>
      </c>
      <c r="N934" t="str">
        <f>_xlfn.XLOOKUP(frasest[[#This Row],[autor_es]],autorest[autor_es],autorest[epoca_es])</f>
        <v>Epoca Desconocida</v>
      </c>
      <c r="O934" t="str">
        <f>_xlfn.XLOOKUP(frasest[[#This Row],[autor_es]],autorest[autor_es],autorest[epoca_la])</f>
        <v>Epocha Ignota</v>
      </c>
    </row>
    <row r="935" spans="1:15">
      <c r="A935">
        <v>934</v>
      </c>
      <c r="B935" t="s">
        <v>2619</v>
      </c>
      <c r="C935" t="s">
        <v>2620</v>
      </c>
      <c r="D935" t="s">
        <v>2619</v>
      </c>
      <c r="E935" t="s">
        <v>21</v>
      </c>
      <c r="F935" t="str">
        <f>_xlfn.XLOOKUP(frasest[[#This Row],[autor_es]],autorest[autor_es],autorest[autor_la])</f>
        <v>Sententia Hispanica</v>
      </c>
      <c r="G935" s="6" t="str">
        <f>_xlfn.XLOOKUP(frasest[[#This Row],[autor_es]],autorest[autor_es],autorest[bio_es])</f>
        <v>Refranes populares de la tradición oral hispana que expresan de forma breve y ingeniosa enseñanzas prácticas sobre la vida cotidiana.</v>
      </c>
      <c r="H935" s="6" t="str">
        <f>_xlfn.XLOOKUP(frasest[[#This Row],[autor_es]],autorest[autor_es],autorest[bio_la])</f>
        <v>Collectio sententiarum Hispanicarum.</v>
      </c>
      <c r="I935" t="str">
        <f>_xlfn.XLOOKUP(frasest[[#This Row],[autor_es]],autorest[autor_es],autorest[codigo])</f>
        <v>es</v>
      </c>
      <c r="J935" t="str">
        <f>_xlfn.XLOOKUP(frasest[[#This Row],[autor_es]],autorest[autor_es],autorest[idioma_es])</f>
        <v>Español</v>
      </c>
      <c r="K935" s="6" t="str">
        <f>_xlfn.XLOOKUP(frasest[[#This Row],[autor_es]],autorest[autor_es],autorest[idioma_la])</f>
        <v>Lingua Hispanica</v>
      </c>
      <c r="L935" s="6" t="str">
        <f>_xlfn.XLOOKUP(frasest[[#This Row],[autor_es]],autorest[autor_es],autorest[nacion_es])</f>
        <v>España</v>
      </c>
      <c r="M935" t="str">
        <f>_xlfn.XLOOKUP(frasest[[#This Row],[autor_es]],autorest[autor_es],autorest[nacion_la])</f>
        <v>Hispania</v>
      </c>
      <c r="N935" t="str">
        <f>_xlfn.XLOOKUP(frasest[[#This Row],[autor_es]],autorest[autor_es],autorest[epoca_es])</f>
        <v>Epoca Desconocida</v>
      </c>
      <c r="O935" t="str">
        <f>_xlfn.XLOOKUP(frasest[[#This Row],[autor_es]],autorest[autor_es],autorest[epoca_la])</f>
        <v>Epocha Ignota</v>
      </c>
    </row>
    <row r="936" spans="1:15">
      <c r="A936">
        <v>935</v>
      </c>
      <c r="B936" t="s">
        <v>2621</v>
      </c>
      <c r="C936" t="s">
        <v>2622</v>
      </c>
      <c r="D936" t="s">
        <v>2621</v>
      </c>
      <c r="E936" t="s">
        <v>21</v>
      </c>
      <c r="F936" t="str">
        <f>_xlfn.XLOOKUP(frasest[[#This Row],[autor_es]],autorest[autor_es],autorest[autor_la])</f>
        <v>Sententia Hispanica</v>
      </c>
      <c r="G936" s="6" t="str">
        <f>_xlfn.XLOOKUP(frasest[[#This Row],[autor_es]],autorest[autor_es],autorest[bio_es])</f>
        <v>Refranes populares de la tradición oral hispana que expresan de forma breve y ingeniosa enseñanzas prácticas sobre la vida cotidiana.</v>
      </c>
      <c r="H936" s="6" t="str">
        <f>_xlfn.XLOOKUP(frasest[[#This Row],[autor_es]],autorest[autor_es],autorest[bio_la])</f>
        <v>Collectio sententiarum Hispanicarum.</v>
      </c>
      <c r="I936" t="str">
        <f>_xlfn.XLOOKUP(frasest[[#This Row],[autor_es]],autorest[autor_es],autorest[codigo])</f>
        <v>es</v>
      </c>
      <c r="J936" t="str">
        <f>_xlfn.XLOOKUP(frasest[[#This Row],[autor_es]],autorest[autor_es],autorest[idioma_es])</f>
        <v>Español</v>
      </c>
      <c r="K936" s="6" t="str">
        <f>_xlfn.XLOOKUP(frasest[[#This Row],[autor_es]],autorest[autor_es],autorest[idioma_la])</f>
        <v>Lingua Hispanica</v>
      </c>
      <c r="L936" s="6" t="str">
        <f>_xlfn.XLOOKUP(frasest[[#This Row],[autor_es]],autorest[autor_es],autorest[nacion_es])</f>
        <v>España</v>
      </c>
      <c r="M936" t="str">
        <f>_xlfn.XLOOKUP(frasest[[#This Row],[autor_es]],autorest[autor_es],autorest[nacion_la])</f>
        <v>Hispania</v>
      </c>
      <c r="N936" t="str">
        <f>_xlfn.XLOOKUP(frasest[[#This Row],[autor_es]],autorest[autor_es],autorest[epoca_es])</f>
        <v>Epoca Desconocida</v>
      </c>
      <c r="O936" t="str">
        <f>_xlfn.XLOOKUP(frasest[[#This Row],[autor_es]],autorest[autor_es],autorest[epoca_la])</f>
        <v>Epocha Ignota</v>
      </c>
    </row>
    <row r="937" spans="1:15">
      <c r="A937">
        <v>936</v>
      </c>
      <c r="B937" t="s">
        <v>2623</v>
      </c>
      <c r="C937" t="s">
        <v>2624</v>
      </c>
      <c r="D937" t="s">
        <v>2623</v>
      </c>
      <c r="E937" t="s">
        <v>21</v>
      </c>
      <c r="F937" t="str">
        <f>_xlfn.XLOOKUP(frasest[[#This Row],[autor_es]],autorest[autor_es],autorest[autor_la])</f>
        <v>Sententia Hispanica</v>
      </c>
      <c r="G937" s="6" t="str">
        <f>_xlfn.XLOOKUP(frasest[[#This Row],[autor_es]],autorest[autor_es],autorest[bio_es])</f>
        <v>Refranes populares de la tradición oral hispana que expresan de forma breve y ingeniosa enseñanzas prácticas sobre la vida cotidiana.</v>
      </c>
      <c r="H937" s="6" t="str">
        <f>_xlfn.XLOOKUP(frasest[[#This Row],[autor_es]],autorest[autor_es],autorest[bio_la])</f>
        <v>Collectio sententiarum Hispanicarum.</v>
      </c>
      <c r="I937" t="str">
        <f>_xlfn.XLOOKUP(frasest[[#This Row],[autor_es]],autorest[autor_es],autorest[codigo])</f>
        <v>es</v>
      </c>
      <c r="J937" t="str">
        <f>_xlfn.XLOOKUP(frasest[[#This Row],[autor_es]],autorest[autor_es],autorest[idioma_es])</f>
        <v>Español</v>
      </c>
      <c r="K937" s="6" t="str">
        <f>_xlfn.XLOOKUP(frasest[[#This Row],[autor_es]],autorest[autor_es],autorest[idioma_la])</f>
        <v>Lingua Hispanica</v>
      </c>
      <c r="L937" s="6" t="str">
        <f>_xlfn.XLOOKUP(frasest[[#This Row],[autor_es]],autorest[autor_es],autorest[nacion_es])</f>
        <v>España</v>
      </c>
      <c r="M937" t="str">
        <f>_xlfn.XLOOKUP(frasest[[#This Row],[autor_es]],autorest[autor_es],autorest[nacion_la])</f>
        <v>Hispania</v>
      </c>
      <c r="N937" t="str">
        <f>_xlfn.XLOOKUP(frasest[[#This Row],[autor_es]],autorest[autor_es],autorest[epoca_es])</f>
        <v>Epoca Desconocida</v>
      </c>
      <c r="O937" t="str">
        <f>_xlfn.XLOOKUP(frasest[[#This Row],[autor_es]],autorest[autor_es],autorest[epoca_la])</f>
        <v>Epocha Ignota</v>
      </c>
    </row>
    <row r="938" spans="1:15">
      <c r="A938">
        <v>937</v>
      </c>
      <c r="B938" t="s">
        <v>2625</v>
      </c>
      <c r="C938" t="s">
        <v>2626</v>
      </c>
      <c r="D938" t="s">
        <v>2625</v>
      </c>
      <c r="E938" t="s">
        <v>21</v>
      </c>
      <c r="F938" t="str">
        <f>_xlfn.XLOOKUP(frasest[[#This Row],[autor_es]],autorest[autor_es],autorest[autor_la])</f>
        <v>Sententia Hispanica</v>
      </c>
      <c r="G938" s="6" t="str">
        <f>_xlfn.XLOOKUP(frasest[[#This Row],[autor_es]],autorest[autor_es],autorest[bio_es])</f>
        <v>Refranes populares de la tradición oral hispana que expresan de forma breve y ingeniosa enseñanzas prácticas sobre la vida cotidiana.</v>
      </c>
      <c r="H938" s="6" t="str">
        <f>_xlfn.XLOOKUP(frasest[[#This Row],[autor_es]],autorest[autor_es],autorest[bio_la])</f>
        <v>Collectio sententiarum Hispanicarum.</v>
      </c>
      <c r="I938" t="str">
        <f>_xlfn.XLOOKUP(frasest[[#This Row],[autor_es]],autorest[autor_es],autorest[codigo])</f>
        <v>es</v>
      </c>
      <c r="J938" t="str">
        <f>_xlfn.XLOOKUP(frasest[[#This Row],[autor_es]],autorest[autor_es],autorest[idioma_es])</f>
        <v>Español</v>
      </c>
      <c r="K938" s="6" t="str">
        <f>_xlfn.XLOOKUP(frasest[[#This Row],[autor_es]],autorest[autor_es],autorest[idioma_la])</f>
        <v>Lingua Hispanica</v>
      </c>
      <c r="L938" s="6" t="str">
        <f>_xlfn.XLOOKUP(frasest[[#This Row],[autor_es]],autorest[autor_es],autorest[nacion_es])</f>
        <v>España</v>
      </c>
      <c r="M938" t="str">
        <f>_xlfn.XLOOKUP(frasest[[#This Row],[autor_es]],autorest[autor_es],autorest[nacion_la])</f>
        <v>Hispania</v>
      </c>
      <c r="N938" t="str">
        <f>_xlfn.XLOOKUP(frasest[[#This Row],[autor_es]],autorest[autor_es],autorest[epoca_es])</f>
        <v>Epoca Desconocida</v>
      </c>
      <c r="O938" t="str">
        <f>_xlfn.XLOOKUP(frasest[[#This Row],[autor_es]],autorest[autor_es],autorest[epoca_la])</f>
        <v>Epocha Ignota</v>
      </c>
    </row>
    <row r="939" spans="1:15">
      <c r="A939">
        <v>938</v>
      </c>
      <c r="B939" t="s">
        <v>2627</v>
      </c>
      <c r="C939" t="s">
        <v>2628</v>
      </c>
      <c r="D939" t="s">
        <v>2627</v>
      </c>
      <c r="E939" t="s">
        <v>21</v>
      </c>
      <c r="F939" t="str">
        <f>_xlfn.XLOOKUP(frasest[[#This Row],[autor_es]],autorest[autor_es],autorest[autor_la])</f>
        <v>Sententia Hispanica</v>
      </c>
      <c r="G939" s="6" t="str">
        <f>_xlfn.XLOOKUP(frasest[[#This Row],[autor_es]],autorest[autor_es],autorest[bio_es])</f>
        <v>Refranes populares de la tradición oral hispana que expresan de forma breve y ingeniosa enseñanzas prácticas sobre la vida cotidiana.</v>
      </c>
      <c r="H939" s="6" t="str">
        <f>_xlfn.XLOOKUP(frasest[[#This Row],[autor_es]],autorest[autor_es],autorest[bio_la])</f>
        <v>Collectio sententiarum Hispanicarum.</v>
      </c>
      <c r="I939" t="str">
        <f>_xlfn.XLOOKUP(frasest[[#This Row],[autor_es]],autorest[autor_es],autorest[codigo])</f>
        <v>es</v>
      </c>
      <c r="J939" t="str">
        <f>_xlfn.XLOOKUP(frasest[[#This Row],[autor_es]],autorest[autor_es],autorest[idioma_es])</f>
        <v>Español</v>
      </c>
      <c r="K939" s="6" t="str">
        <f>_xlfn.XLOOKUP(frasest[[#This Row],[autor_es]],autorest[autor_es],autorest[idioma_la])</f>
        <v>Lingua Hispanica</v>
      </c>
      <c r="L939" s="6" t="str">
        <f>_xlfn.XLOOKUP(frasest[[#This Row],[autor_es]],autorest[autor_es],autorest[nacion_es])</f>
        <v>España</v>
      </c>
      <c r="M939" t="str">
        <f>_xlfn.XLOOKUP(frasest[[#This Row],[autor_es]],autorest[autor_es],autorest[nacion_la])</f>
        <v>Hispania</v>
      </c>
      <c r="N939" t="str">
        <f>_xlfn.XLOOKUP(frasest[[#This Row],[autor_es]],autorest[autor_es],autorest[epoca_es])</f>
        <v>Epoca Desconocida</v>
      </c>
      <c r="O939" t="str">
        <f>_xlfn.XLOOKUP(frasest[[#This Row],[autor_es]],autorest[autor_es],autorest[epoca_la])</f>
        <v>Epocha Ignota</v>
      </c>
    </row>
    <row r="940" spans="1:15">
      <c r="A940">
        <v>939</v>
      </c>
      <c r="B940" t="s">
        <v>2629</v>
      </c>
      <c r="C940" t="s">
        <v>2630</v>
      </c>
      <c r="D940" t="s">
        <v>2629</v>
      </c>
      <c r="E940" t="s">
        <v>21</v>
      </c>
      <c r="F940" t="str">
        <f>_xlfn.XLOOKUP(frasest[[#This Row],[autor_es]],autorest[autor_es],autorest[autor_la])</f>
        <v>Sententia Hispanica</v>
      </c>
      <c r="G940" s="6" t="str">
        <f>_xlfn.XLOOKUP(frasest[[#This Row],[autor_es]],autorest[autor_es],autorest[bio_es])</f>
        <v>Refranes populares de la tradición oral hispana que expresan de forma breve y ingeniosa enseñanzas prácticas sobre la vida cotidiana.</v>
      </c>
      <c r="H940" s="6" t="str">
        <f>_xlfn.XLOOKUP(frasest[[#This Row],[autor_es]],autorest[autor_es],autorest[bio_la])</f>
        <v>Collectio sententiarum Hispanicarum.</v>
      </c>
      <c r="I940" t="str">
        <f>_xlfn.XLOOKUP(frasest[[#This Row],[autor_es]],autorest[autor_es],autorest[codigo])</f>
        <v>es</v>
      </c>
      <c r="J940" t="str">
        <f>_xlfn.XLOOKUP(frasest[[#This Row],[autor_es]],autorest[autor_es],autorest[idioma_es])</f>
        <v>Español</v>
      </c>
      <c r="K940" s="6" t="str">
        <f>_xlfn.XLOOKUP(frasest[[#This Row],[autor_es]],autorest[autor_es],autorest[idioma_la])</f>
        <v>Lingua Hispanica</v>
      </c>
      <c r="L940" s="6" t="str">
        <f>_xlfn.XLOOKUP(frasest[[#This Row],[autor_es]],autorest[autor_es],autorest[nacion_es])</f>
        <v>España</v>
      </c>
      <c r="M940" t="str">
        <f>_xlfn.XLOOKUP(frasest[[#This Row],[autor_es]],autorest[autor_es],autorest[nacion_la])</f>
        <v>Hispania</v>
      </c>
      <c r="N940" t="str">
        <f>_xlfn.XLOOKUP(frasest[[#This Row],[autor_es]],autorest[autor_es],autorest[epoca_es])</f>
        <v>Epoca Desconocida</v>
      </c>
      <c r="O940" t="str">
        <f>_xlfn.XLOOKUP(frasest[[#This Row],[autor_es]],autorest[autor_es],autorest[epoca_la])</f>
        <v>Epocha Ignota</v>
      </c>
    </row>
    <row r="941" spans="1:15">
      <c r="A941">
        <v>940</v>
      </c>
      <c r="B941" t="s">
        <v>2631</v>
      </c>
      <c r="C941" t="s">
        <v>2632</v>
      </c>
      <c r="D941" t="s">
        <v>2631</v>
      </c>
      <c r="E941" t="s">
        <v>21</v>
      </c>
      <c r="F941" t="str">
        <f>_xlfn.XLOOKUP(frasest[[#This Row],[autor_es]],autorest[autor_es],autorest[autor_la])</f>
        <v>Sententia Hispanica</v>
      </c>
      <c r="G941" s="6" t="str">
        <f>_xlfn.XLOOKUP(frasest[[#This Row],[autor_es]],autorest[autor_es],autorest[bio_es])</f>
        <v>Refranes populares de la tradición oral hispana que expresan de forma breve y ingeniosa enseñanzas prácticas sobre la vida cotidiana.</v>
      </c>
      <c r="H941" s="6" t="str">
        <f>_xlfn.XLOOKUP(frasest[[#This Row],[autor_es]],autorest[autor_es],autorest[bio_la])</f>
        <v>Collectio sententiarum Hispanicarum.</v>
      </c>
      <c r="I941" t="str">
        <f>_xlfn.XLOOKUP(frasest[[#This Row],[autor_es]],autorest[autor_es],autorest[codigo])</f>
        <v>es</v>
      </c>
      <c r="J941" t="str">
        <f>_xlfn.XLOOKUP(frasest[[#This Row],[autor_es]],autorest[autor_es],autorest[idioma_es])</f>
        <v>Español</v>
      </c>
      <c r="K941" s="6" t="str">
        <f>_xlfn.XLOOKUP(frasest[[#This Row],[autor_es]],autorest[autor_es],autorest[idioma_la])</f>
        <v>Lingua Hispanica</v>
      </c>
      <c r="L941" s="6" t="str">
        <f>_xlfn.XLOOKUP(frasest[[#This Row],[autor_es]],autorest[autor_es],autorest[nacion_es])</f>
        <v>España</v>
      </c>
      <c r="M941" t="str">
        <f>_xlfn.XLOOKUP(frasest[[#This Row],[autor_es]],autorest[autor_es],autorest[nacion_la])</f>
        <v>Hispania</v>
      </c>
      <c r="N941" t="str">
        <f>_xlfn.XLOOKUP(frasest[[#This Row],[autor_es]],autorest[autor_es],autorest[epoca_es])</f>
        <v>Epoca Desconocida</v>
      </c>
      <c r="O941" t="str">
        <f>_xlfn.XLOOKUP(frasest[[#This Row],[autor_es]],autorest[autor_es],autorest[epoca_la])</f>
        <v>Epocha Ignota</v>
      </c>
    </row>
    <row r="942" spans="1:15">
      <c r="A942">
        <v>941</v>
      </c>
      <c r="B942" t="s">
        <v>2633</v>
      </c>
      <c r="C942" t="s">
        <v>2634</v>
      </c>
      <c r="D942" t="s">
        <v>2633</v>
      </c>
      <c r="E942" t="s">
        <v>21</v>
      </c>
      <c r="F942" t="str">
        <f>_xlfn.XLOOKUP(frasest[[#This Row],[autor_es]],autorest[autor_es],autorest[autor_la])</f>
        <v>Sententia Hispanica</v>
      </c>
      <c r="G942" s="6" t="str">
        <f>_xlfn.XLOOKUP(frasest[[#This Row],[autor_es]],autorest[autor_es],autorest[bio_es])</f>
        <v>Refranes populares de la tradición oral hispana que expresan de forma breve y ingeniosa enseñanzas prácticas sobre la vida cotidiana.</v>
      </c>
      <c r="H942" s="6" t="str">
        <f>_xlfn.XLOOKUP(frasest[[#This Row],[autor_es]],autorest[autor_es],autorest[bio_la])</f>
        <v>Collectio sententiarum Hispanicarum.</v>
      </c>
      <c r="I942" t="str">
        <f>_xlfn.XLOOKUP(frasest[[#This Row],[autor_es]],autorest[autor_es],autorest[codigo])</f>
        <v>es</v>
      </c>
      <c r="J942" t="str">
        <f>_xlfn.XLOOKUP(frasest[[#This Row],[autor_es]],autorest[autor_es],autorest[idioma_es])</f>
        <v>Español</v>
      </c>
      <c r="K942" s="6" t="str">
        <f>_xlfn.XLOOKUP(frasest[[#This Row],[autor_es]],autorest[autor_es],autorest[idioma_la])</f>
        <v>Lingua Hispanica</v>
      </c>
      <c r="L942" s="6" t="str">
        <f>_xlfn.XLOOKUP(frasest[[#This Row],[autor_es]],autorest[autor_es],autorest[nacion_es])</f>
        <v>España</v>
      </c>
      <c r="M942" t="str">
        <f>_xlfn.XLOOKUP(frasest[[#This Row],[autor_es]],autorest[autor_es],autorest[nacion_la])</f>
        <v>Hispania</v>
      </c>
      <c r="N942" t="str">
        <f>_xlfn.XLOOKUP(frasest[[#This Row],[autor_es]],autorest[autor_es],autorest[epoca_es])</f>
        <v>Epoca Desconocida</v>
      </c>
      <c r="O942" t="str">
        <f>_xlfn.XLOOKUP(frasest[[#This Row],[autor_es]],autorest[autor_es],autorest[epoca_la])</f>
        <v>Epocha Ignota</v>
      </c>
    </row>
    <row r="943" spans="1:15">
      <c r="A943">
        <v>942</v>
      </c>
      <c r="B943" t="s">
        <v>2635</v>
      </c>
      <c r="C943" t="s">
        <v>2636</v>
      </c>
      <c r="D943" t="s">
        <v>2635</v>
      </c>
      <c r="E943" t="s">
        <v>21</v>
      </c>
      <c r="F943" t="str">
        <f>_xlfn.XLOOKUP(frasest[[#This Row],[autor_es]],autorest[autor_es],autorest[autor_la])</f>
        <v>Sententia Hispanica</v>
      </c>
      <c r="G943" s="6" t="str">
        <f>_xlfn.XLOOKUP(frasest[[#This Row],[autor_es]],autorest[autor_es],autorest[bio_es])</f>
        <v>Refranes populares de la tradición oral hispana que expresan de forma breve y ingeniosa enseñanzas prácticas sobre la vida cotidiana.</v>
      </c>
      <c r="H943" s="6" t="str">
        <f>_xlfn.XLOOKUP(frasest[[#This Row],[autor_es]],autorest[autor_es],autorest[bio_la])</f>
        <v>Collectio sententiarum Hispanicarum.</v>
      </c>
      <c r="I943" t="str">
        <f>_xlfn.XLOOKUP(frasest[[#This Row],[autor_es]],autorest[autor_es],autorest[codigo])</f>
        <v>es</v>
      </c>
      <c r="J943" t="str">
        <f>_xlfn.XLOOKUP(frasest[[#This Row],[autor_es]],autorest[autor_es],autorest[idioma_es])</f>
        <v>Español</v>
      </c>
      <c r="K943" s="6" t="str">
        <f>_xlfn.XLOOKUP(frasest[[#This Row],[autor_es]],autorest[autor_es],autorest[idioma_la])</f>
        <v>Lingua Hispanica</v>
      </c>
      <c r="L943" s="6" t="str">
        <f>_xlfn.XLOOKUP(frasest[[#This Row],[autor_es]],autorest[autor_es],autorest[nacion_es])</f>
        <v>España</v>
      </c>
      <c r="M943" t="str">
        <f>_xlfn.XLOOKUP(frasest[[#This Row],[autor_es]],autorest[autor_es],autorest[nacion_la])</f>
        <v>Hispania</v>
      </c>
      <c r="N943" t="str">
        <f>_xlfn.XLOOKUP(frasest[[#This Row],[autor_es]],autorest[autor_es],autorest[epoca_es])</f>
        <v>Epoca Desconocida</v>
      </c>
      <c r="O943" t="str">
        <f>_xlfn.XLOOKUP(frasest[[#This Row],[autor_es]],autorest[autor_es],autorest[epoca_la])</f>
        <v>Epocha Ignota</v>
      </c>
    </row>
    <row r="944" spans="1:15">
      <c r="A944">
        <v>943</v>
      </c>
      <c r="B944" t="s">
        <v>2637</v>
      </c>
      <c r="C944" t="s">
        <v>2638</v>
      </c>
      <c r="D944" t="s">
        <v>2637</v>
      </c>
      <c r="E944" t="s">
        <v>21</v>
      </c>
      <c r="F944" t="str">
        <f>_xlfn.XLOOKUP(frasest[[#This Row],[autor_es]],autorest[autor_es],autorest[autor_la])</f>
        <v>Sententia Hispanica</v>
      </c>
      <c r="G944" s="6" t="str">
        <f>_xlfn.XLOOKUP(frasest[[#This Row],[autor_es]],autorest[autor_es],autorest[bio_es])</f>
        <v>Refranes populares de la tradición oral hispana que expresan de forma breve y ingeniosa enseñanzas prácticas sobre la vida cotidiana.</v>
      </c>
      <c r="H944" s="6" t="str">
        <f>_xlfn.XLOOKUP(frasest[[#This Row],[autor_es]],autorest[autor_es],autorest[bio_la])</f>
        <v>Collectio sententiarum Hispanicarum.</v>
      </c>
      <c r="I944" t="str">
        <f>_xlfn.XLOOKUP(frasest[[#This Row],[autor_es]],autorest[autor_es],autorest[codigo])</f>
        <v>es</v>
      </c>
      <c r="J944" t="str">
        <f>_xlfn.XLOOKUP(frasest[[#This Row],[autor_es]],autorest[autor_es],autorest[idioma_es])</f>
        <v>Español</v>
      </c>
      <c r="K944" s="6" t="str">
        <f>_xlfn.XLOOKUP(frasest[[#This Row],[autor_es]],autorest[autor_es],autorest[idioma_la])</f>
        <v>Lingua Hispanica</v>
      </c>
      <c r="L944" s="6" t="str">
        <f>_xlfn.XLOOKUP(frasest[[#This Row],[autor_es]],autorest[autor_es],autorest[nacion_es])</f>
        <v>España</v>
      </c>
      <c r="M944" t="str">
        <f>_xlfn.XLOOKUP(frasest[[#This Row],[autor_es]],autorest[autor_es],autorest[nacion_la])</f>
        <v>Hispania</v>
      </c>
      <c r="N944" t="str">
        <f>_xlfn.XLOOKUP(frasest[[#This Row],[autor_es]],autorest[autor_es],autorest[epoca_es])</f>
        <v>Epoca Desconocida</v>
      </c>
      <c r="O944" t="str">
        <f>_xlfn.XLOOKUP(frasest[[#This Row],[autor_es]],autorest[autor_es],autorest[epoca_la])</f>
        <v>Epocha Ignota</v>
      </c>
    </row>
    <row r="945" spans="1:15">
      <c r="A945">
        <v>944</v>
      </c>
      <c r="B945" t="s">
        <v>2639</v>
      </c>
      <c r="C945" t="s">
        <v>2640</v>
      </c>
      <c r="D945" t="s">
        <v>2639</v>
      </c>
      <c r="E945" t="s">
        <v>21</v>
      </c>
      <c r="F945" t="str">
        <f>_xlfn.XLOOKUP(frasest[[#This Row],[autor_es]],autorest[autor_es],autorest[autor_la])</f>
        <v>Sententia Hispanica</v>
      </c>
      <c r="G945" s="6" t="str">
        <f>_xlfn.XLOOKUP(frasest[[#This Row],[autor_es]],autorest[autor_es],autorest[bio_es])</f>
        <v>Refranes populares de la tradición oral hispana que expresan de forma breve y ingeniosa enseñanzas prácticas sobre la vida cotidiana.</v>
      </c>
      <c r="H945" s="6" t="str">
        <f>_xlfn.XLOOKUP(frasest[[#This Row],[autor_es]],autorest[autor_es],autorest[bio_la])</f>
        <v>Collectio sententiarum Hispanicarum.</v>
      </c>
      <c r="I945" t="str">
        <f>_xlfn.XLOOKUP(frasest[[#This Row],[autor_es]],autorest[autor_es],autorest[codigo])</f>
        <v>es</v>
      </c>
      <c r="J945" t="str">
        <f>_xlfn.XLOOKUP(frasest[[#This Row],[autor_es]],autorest[autor_es],autorest[idioma_es])</f>
        <v>Español</v>
      </c>
      <c r="K945" s="6" t="str">
        <f>_xlfn.XLOOKUP(frasest[[#This Row],[autor_es]],autorest[autor_es],autorest[idioma_la])</f>
        <v>Lingua Hispanica</v>
      </c>
      <c r="L945" s="6" t="str">
        <f>_xlfn.XLOOKUP(frasest[[#This Row],[autor_es]],autorest[autor_es],autorest[nacion_es])</f>
        <v>España</v>
      </c>
      <c r="M945" t="str">
        <f>_xlfn.XLOOKUP(frasest[[#This Row],[autor_es]],autorest[autor_es],autorest[nacion_la])</f>
        <v>Hispania</v>
      </c>
      <c r="N945" t="str">
        <f>_xlfn.XLOOKUP(frasest[[#This Row],[autor_es]],autorest[autor_es],autorest[epoca_es])</f>
        <v>Epoca Desconocida</v>
      </c>
      <c r="O945" t="str">
        <f>_xlfn.XLOOKUP(frasest[[#This Row],[autor_es]],autorest[autor_es],autorest[epoca_la])</f>
        <v>Epocha Ignota</v>
      </c>
    </row>
    <row r="946" spans="1:15">
      <c r="A946">
        <v>945</v>
      </c>
      <c r="B946" t="s">
        <v>2641</v>
      </c>
      <c r="C946" t="s">
        <v>2642</v>
      </c>
      <c r="D946" t="s">
        <v>2641</v>
      </c>
      <c r="E946" t="s">
        <v>21</v>
      </c>
      <c r="F946" t="str">
        <f>_xlfn.XLOOKUP(frasest[[#This Row],[autor_es]],autorest[autor_es],autorest[autor_la])</f>
        <v>Sententia Hispanica</v>
      </c>
      <c r="G946" s="6" t="str">
        <f>_xlfn.XLOOKUP(frasest[[#This Row],[autor_es]],autorest[autor_es],autorest[bio_es])</f>
        <v>Refranes populares de la tradición oral hispana que expresan de forma breve y ingeniosa enseñanzas prácticas sobre la vida cotidiana.</v>
      </c>
      <c r="H946" s="6" t="str">
        <f>_xlfn.XLOOKUP(frasest[[#This Row],[autor_es]],autorest[autor_es],autorest[bio_la])</f>
        <v>Collectio sententiarum Hispanicarum.</v>
      </c>
      <c r="I946" t="str">
        <f>_xlfn.XLOOKUP(frasest[[#This Row],[autor_es]],autorest[autor_es],autorest[codigo])</f>
        <v>es</v>
      </c>
      <c r="J946" t="str">
        <f>_xlfn.XLOOKUP(frasest[[#This Row],[autor_es]],autorest[autor_es],autorest[idioma_es])</f>
        <v>Español</v>
      </c>
      <c r="K946" s="6" t="str">
        <f>_xlfn.XLOOKUP(frasest[[#This Row],[autor_es]],autorest[autor_es],autorest[idioma_la])</f>
        <v>Lingua Hispanica</v>
      </c>
      <c r="L946" s="6" t="str">
        <f>_xlfn.XLOOKUP(frasest[[#This Row],[autor_es]],autorest[autor_es],autorest[nacion_es])</f>
        <v>España</v>
      </c>
      <c r="M946" t="str">
        <f>_xlfn.XLOOKUP(frasest[[#This Row],[autor_es]],autorest[autor_es],autorest[nacion_la])</f>
        <v>Hispania</v>
      </c>
      <c r="N946" t="str">
        <f>_xlfn.XLOOKUP(frasest[[#This Row],[autor_es]],autorest[autor_es],autorest[epoca_es])</f>
        <v>Epoca Desconocida</v>
      </c>
      <c r="O946" t="str">
        <f>_xlfn.XLOOKUP(frasest[[#This Row],[autor_es]],autorest[autor_es],autorest[epoca_la])</f>
        <v>Epocha Ignota</v>
      </c>
    </row>
    <row r="947" spans="1:15">
      <c r="A947">
        <v>946</v>
      </c>
      <c r="B947" t="s">
        <v>2643</v>
      </c>
      <c r="C947" t="s">
        <v>2644</v>
      </c>
      <c r="D947" t="s">
        <v>2643</v>
      </c>
      <c r="E947" t="s">
        <v>21</v>
      </c>
      <c r="F947" t="str">
        <f>_xlfn.XLOOKUP(frasest[[#This Row],[autor_es]],autorest[autor_es],autorest[autor_la])</f>
        <v>Sententia Hispanica</v>
      </c>
      <c r="G947" s="6" t="str">
        <f>_xlfn.XLOOKUP(frasest[[#This Row],[autor_es]],autorest[autor_es],autorest[bio_es])</f>
        <v>Refranes populares de la tradición oral hispana que expresan de forma breve y ingeniosa enseñanzas prácticas sobre la vida cotidiana.</v>
      </c>
      <c r="H947" s="6" t="str">
        <f>_xlfn.XLOOKUP(frasest[[#This Row],[autor_es]],autorest[autor_es],autorest[bio_la])</f>
        <v>Collectio sententiarum Hispanicarum.</v>
      </c>
      <c r="I947" t="str">
        <f>_xlfn.XLOOKUP(frasest[[#This Row],[autor_es]],autorest[autor_es],autorest[codigo])</f>
        <v>es</v>
      </c>
      <c r="J947" t="str">
        <f>_xlfn.XLOOKUP(frasest[[#This Row],[autor_es]],autorest[autor_es],autorest[idioma_es])</f>
        <v>Español</v>
      </c>
      <c r="K947" s="6" t="str">
        <f>_xlfn.XLOOKUP(frasest[[#This Row],[autor_es]],autorest[autor_es],autorest[idioma_la])</f>
        <v>Lingua Hispanica</v>
      </c>
      <c r="L947" s="6" t="str">
        <f>_xlfn.XLOOKUP(frasest[[#This Row],[autor_es]],autorest[autor_es],autorest[nacion_es])</f>
        <v>España</v>
      </c>
      <c r="M947" t="str">
        <f>_xlfn.XLOOKUP(frasest[[#This Row],[autor_es]],autorest[autor_es],autorest[nacion_la])</f>
        <v>Hispania</v>
      </c>
      <c r="N947" t="str">
        <f>_xlfn.XLOOKUP(frasest[[#This Row],[autor_es]],autorest[autor_es],autorest[epoca_es])</f>
        <v>Epoca Desconocida</v>
      </c>
      <c r="O947" t="str">
        <f>_xlfn.XLOOKUP(frasest[[#This Row],[autor_es]],autorest[autor_es],autorest[epoca_la])</f>
        <v>Epocha Ignota</v>
      </c>
    </row>
    <row r="948" spans="1:15">
      <c r="A948">
        <v>947</v>
      </c>
      <c r="B948" t="s">
        <v>2645</v>
      </c>
      <c r="C948" t="s">
        <v>2646</v>
      </c>
      <c r="D948" t="s">
        <v>2645</v>
      </c>
      <c r="E948" t="s">
        <v>21</v>
      </c>
      <c r="F948" t="str">
        <f>_xlfn.XLOOKUP(frasest[[#This Row],[autor_es]],autorest[autor_es],autorest[autor_la])</f>
        <v>Sententia Hispanica</v>
      </c>
      <c r="G948" s="6" t="str">
        <f>_xlfn.XLOOKUP(frasest[[#This Row],[autor_es]],autorest[autor_es],autorest[bio_es])</f>
        <v>Refranes populares de la tradición oral hispana que expresan de forma breve y ingeniosa enseñanzas prácticas sobre la vida cotidiana.</v>
      </c>
      <c r="H948" s="6" t="str">
        <f>_xlfn.XLOOKUP(frasest[[#This Row],[autor_es]],autorest[autor_es],autorest[bio_la])</f>
        <v>Collectio sententiarum Hispanicarum.</v>
      </c>
      <c r="I948" t="str">
        <f>_xlfn.XLOOKUP(frasest[[#This Row],[autor_es]],autorest[autor_es],autorest[codigo])</f>
        <v>es</v>
      </c>
      <c r="J948" t="str">
        <f>_xlfn.XLOOKUP(frasest[[#This Row],[autor_es]],autorest[autor_es],autorest[idioma_es])</f>
        <v>Español</v>
      </c>
      <c r="K948" s="6" t="str">
        <f>_xlfn.XLOOKUP(frasest[[#This Row],[autor_es]],autorest[autor_es],autorest[idioma_la])</f>
        <v>Lingua Hispanica</v>
      </c>
      <c r="L948" s="6" t="str">
        <f>_xlfn.XLOOKUP(frasest[[#This Row],[autor_es]],autorest[autor_es],autorest[nacion_es])</f>
        <v>España</v>
      </c>
      <c r="M948" t="str">
        <f>_xlfn.XLOOKUP(frasest[[#This Row],[autor_es]],autorest[autor_es],autorest[nacion_la])</f>
        <v>Hispania</v>
      </c>
      <c r="N948" t="str">
        <f>_xlfn.XLOOKUP(frasest[[#This Row],[autor_es]],autorest[autor_es],autorest[epoca_es])</f>
        <v>Epoca Desconocida</v>
      </c>
      <c r="O948" t="str">
        <f>_xlfn.XLOOKUP(frasest[[#This Row],[autor_es]],autorest[autor_es],autorest[epoca_la])</f>
        <v>Epocha Ignota</v>
      </c>
    </row>
    <row r="949" spans="1:15">
      <c r="A949">
        <v>948</v>
      </c>
      <c r="B949" t="s">
        <v>2647</v>
      </c>
      <c r="C949" t="s">
        <v>2648</v>
      </c>
      <c r="D949" t="s">
        <v>2647</v>
      </c>
      <c r="E949" t="s">
        <v>21</v>
      </c>
      <c r="F949" t="str">
        <f>_xlfn.XLOOKUP(frasest[[#This Row],[autor_es]],autorest[autor_es],autorest[autor_la])</f>
        <v>Sententia Hispanica</v>
      </c>
      <c r="G949" s="6" t="str">
        <f>_xlfn.XLOOKUP(frasest[[#This Row],[autor_es]],autorest[autor_es],autorest[bio_es])</f>
        <v>Refranes populares de la tradición oral hispana que expresan de forma breve y ingeniosa enseñanzas prácticas sobre la vida cotidiana.</v>
      </c>
      <c r="H949" s="6" t="str">
        <f>_xlfn.XLOOKUP(frasest[[#This Row],[autor_es]],autorest[autor_es],autorest[bio_la])</f>
        <v>Collectio sententiarum Hispanicarum.</v>
      </c>
      <c r="I949" t="str">
        <f>_xlfn.XLOOKUP(frasest[[#This Row],[autor_es]],autorest[autor_es],autorest[codigo])</f>
        <v>es</v>
      </c>
      <c r="J949" t="str">
        <f>_xlfn.XLOOKUP(frasest[[#This Row],[autor_es]],autorest[autor_es],autorest[idioma_es])</f>
        <v>Español</v>
      </c>
      <c r="K949" s="6" t="str">
        <f>_xlfn.XLOOKUP(frasest[[#This Row],[autor_es]],autorest[autor_es],autorest[idioma_la])</f>
        <v>Lingua Hispanica</v>
      </c>
      <c r="L949" s="6" t="str">
        <f>_xlfn.XLOOKUP(frasest[[#This Row],[autor_es]],autorest[autor_es],autorest[nacion_es])</f>
        <v>España</v>
      </c>
      <c r="M949" t="str">
        <f>_xlfn.XLOOKUP(frasest[[#This Row],[autor_es]],autorest[autor_es],autorest[nacion_la])</f>
        <v>Hispania</v>
      </c>
      <c r="N949" t="str">
        <f>_xlfn.XLOOKUP(frasest[[#This Row],[autor_es]],autorest[autor_es],autorest[epoca_es])</f>
        <v>Epoca Desconocida</v>
      </c>
      <c r="O949" t="str">
        <f>_xlfn.XLOOKUP(frasest[[#This Row],[autor_es]],autorest[autor_es],autorest[epoca_la])</f>
        <v>Epocha Ignota</v>
      </c>
    </row>
    <row r="950" spans="1:15">
      <c r="A950">
        <v>949</v>
      </c>
      <c r="B950" t="s">
        <v>2649</v>
      </c>
      <c r="C950" t="s">
        <v>2650</v>
      </c>
      <c r="D950" t="s">
        <v>2649</v>
      </c>
      <c r="E950" t="s">
        <v>21</v>
      </c>
      <c r="F950" t="str">
        <f>_xlfn.XLOOKUP(frasest[[#This Row],[autor_es]],autorest[autor_es],autorest[autor_la])</f>
        <v>Sententia Hispanica</v>
      </c>
      <c r="G950" s="6" t="str">
        <f>_xlfn.XLOOKUP(frasest[[#This Row],[autor_es]],autorest[autor_es],autorest[bio_es])</f>
        <v>Refranes populares de la tradición oral hispana que expresan de forma breve y ingeniosa enseñanzas prácticas sobre la vida cotidiana.</v>
      </c>
      <c r="H950" s="6" t="str">
        <f>_xlfn.XLOOKUP(frasest[[#This Row],[autor_es]],autorest[autor_es],autorest[bio_la])</f>
        <v>Collectio sententiarum Hispanicarum.</v>
      </c>
      <c r="I950" t="str">
        <f>_xlfn.XLOOKUP(frasest[[#This Row],[autor_es]],autorest[autor_es],autorest[codigo])</f>
        <v>es</v>
      </c>
      <c r="J950" t="str">
        <f>_xlfn.XLOOKUP(frasest[[#This Row],[autor_es]],autorest[autor_es],autorest[idioma_es])</f>
        <v>Español</v>
      </c>
      <c r="K950" s="6" t="str">
        <f>_xlfn.XLOOKUP(frasest[[#This Row],[autor_es]],autorest[autor_es],autorest[idioma_la])</f>
        <v>Lingua Hispanica</v>
      </c>
      <c r="L950" s="6" t="str">
        <f>_xlfn.XLOOKUP(frasest[[#This Row],[autor_es]],autorest[autor_es],autorest[nacion_es])</f>
        <v>España</v>
      </c>
      <c r="M950" t="str">
        <f>_xlfn.XLOOKUP(frasest[[#This Row],[autor_es]],autorest[autor_es],autorest[nacion_la])</f>
        <v>Hispania</v>
      </c>
      <c r="N950" t="str">
        <f>_xlfn.XLOOKUP(frasest[[#This Row],[autor_es]],autorest[autor_es],autorest[epoca_es])</f>
        <v>Epoca Desconocida</v>
      </c>
      <c r="O950" t="str">
        <f>_xlfn.XLOOKUP(frasest[[#This Row],[autor_es]],autorest[autor_es],autorest[epoca_la])</f>
        <v>Epocha Ignota</v>
      </c>
    </row>
    <row r="951" spans="1:15">
      <c r="A951">
        <v>950</v>
      </c>
      <c r="B951" t="s">
        <v>2651</v>
      </c>
      <c r="C951" t="s">
        <v>2652</v>
      </c>
      <c r="D951" t="s">
        <v>2651</v>
      </c>
      <c r="E951" t="s">
        <v>21</v>
      </c>
      <c r="F951" t="str">
        <f>_xlfn.XLOOKUP(frasest[[#This Row],[autor_es]],autorest[autor_es],autorest[autor_la])</f>
        <v>Sententia Hispanica</v>
      </c>
      <c r="G951" s="6" t="str">
        <f>_xlfn.XLOOKUP(frasest[[#This Row],[autor_es]],autorest[autor_es],autorest[bio_es])</f>
        <v>Refranes populares de la tradición oral hispana que expresan de forma breve y ingeniosa enseñanzas prácticas sobre la vida cotidiana.</v>
      </c>
      <c r="H951" s="6" t="str">
        <f>_xlfn.XLOOKUP(frasest[[#This Row],[autor_es]],autorest[autor_es],autorest[bio_la])</f>
        <v>Collectio sententiarum Hispanicarum.</v>
      </c>
      <c r="I951" t="str">
        <f>_xlfn.XLOOKUP(frasest[[#This Row],[autor_es]],autorest[autor_es],autorest[codigo])</f>
        <v>es</v>
      </c>
      <c r="J951" t="str">
        <f>_xlfn.XLOOKUP(frasest[[#This Row],[autor_es]],autorest[autor_es],autorest[idioma_es])</f>
        <v>Español</v>
      </c>
      <c r="K951" s="6" t="str">
        <f>_xlfn.XLOOKUP(frasest[[#This Row],[autor_es]],autorest[autor_es],autorest[idioma_la])</f>
        <v>Lingua Hispanica</v>
      </c>
      <c r="L951" s="6" t="str">
        <f>_xlfn.XLOOKUP(frasest[[#This Row],[autor_es]],autorest[autor_es],autorest[nacion_es])</f>
        <v>España</v>
      </c>
      <c r="M951" t="str">
        <f>_xlfn.XLOOKUP(frasest[[#This Row],[autor_es]],autorest[autor_es],autorest[nacion_la])</f>
        <v>Hispania</v>
      </c>
      <c r="N951" t="str">
        <f>_xlfn.XLOOKUP(frasest[[#This Row],[autor_es]],autorest[autor_es],autorest[epoca_es])</f>
        <v>Epoca Desconocida</v>
      </c>
      <c r="O951" t="str">
        <f>_xlfn.XLOOKUP(frasest[[#This Row],[autor_es]],autorest[autor_es],autorest[epoca_la])</f>
        <v>Epocha Ignota</v>
      </c>
    </row>
    <row r="952" spans="1:15">
      <c r="A952">
        <v>951</v>
      </c>
      <c r="B952" t="s">
        <v>2653</v>
      </c>
      <c r="C952" t="s">
        <v>2654</v>
      </c>
      <c r="D952" t="s">
        <v>2653</v>
      </c>
      <c r="E952" t="s">
        <v>21</v>
      </c>
      <c r="F952" t="str">
        <f>_xlfn.XLOOKUP(frasest[[#This Row],[autor_es]],autorest[autor_es],autorest[autor_la])</f>
        <v>Sententia Hispanica</v>
      </c>
      <c r="G952" s="6" t="str">
        <f>_xlfn.XLOOKUP(frasest[[#This Row],[autor_es]],autorest[autor_es],autorest[bio_es])</f>
        <v>Refranes populares de la tradición oral hispana que expresan de forma breve y ingeniosa enseñanzas prácticas sobre la vida cotidiana.</v>
      </c>
      <c r="H952" s="6" t="str">
        <f>_xlfn.XLOOKUP(frasest[[#This Row],[autor_es]],autorest[autor_es],autorest[bio_la])</f>
        <v>Collectio sententiarum Hispanicarum.</v>
      </c>
      <c r="I952" t="str">
        <f>_xlfn.XLOOKUP(frasest[[#This Row],[autor_es]],autorest[autor_es],autorest[codigo])</f>
        <v>es</v>
      </c>
      <c r="J952" t="str">
        <f>_xlfn.XLOOKUP(frasest[[#This Row],[autor_es]],autorest[autor_es],autorest[idioma_es])</f>
        <v>Español</v>
      </c>
      <c r="K952" s="6" t="str">
        <f>_xlfn.XLOOKUP(frasest[[#This Row],[autor_es]],autorest[autor_es],autorest[idioma_la])</f>
        <v>Lingua Hispanica</v>
      </c>
      <c r="L952" s="6" t="str">
        <f>_xlfn.XLOOKUP(frasest[[#This Row],[autor_es]],autorest[autor_es],autorest[nacion_es])</f>
        <v>España</v>
      </c>
      <c r="M952" t="str">
        <f>_xlfn.XLOOKUP(frasest[[#This Row],[autor_es]],autorest[autor_es],autorest[nacion_la])</f>
        <v>Hispania</v>
      </c>
      <c r="N952" t="str">
        <f>_xlfn.XLOOKUP(frasest[[#This Row],[autor_es]],autorest[autor_es],autorest[epoca_es])</f>
        <v>Epoca Desconocida</v>
      </c>
      <c r="O952" t="str">
        <f>_xlfn.XLOOKUP(frasest[[#This Row],[autor_es]],autorest[autor_es],autorest[epoca_la])</f>
        <v>Epocha Ignota</v>
      </c>
    </row>
    <row r="953" spans="1:15">
      <c r="A953">
        <v>952</v>
      </c>
      <c r="B953" t="s">
        <v>2655</v>
      </c>
      <c r="C953" t="s">
        <v>2656</v>
      </c>
      <c r="D953" t="s">
        <v>2655</v>
      </c>
      <c r="E953" t="s">
        <v>21</v>
      </c>
      <c r="F953" t="str">
        <f>_xlfn.XLOOKUP(frasest[[#This Row],[autor_es]],autorest[autor_es],autorest[autor_la])</f>
        <v>Sententia Hispanica</v>
      </c>
      <c r="G953" s="6" t="str">
        <f>_xlfn.XLOOKUP(frasest[[#This Row],[autor_es]],autorest[autor_es],autorest[bio_es])</f>
        <v>Refranes populares de la tradición oral hispana que expresan de forma breve y ingeniosa enseñanzas prácticas sobre la vida cotidiana.</v>
      </c>
      <c r="H953" s="6" t="str">
        <f>_xlfn.XLOOKUP(frasest[[#This Row],[autor_es]],autorest[autor_es],autorest[bio_la])</f>
        <v>Collectio sententiarum Hispanicarum.</v>
      </c>
      <c r="I953" t="str">
        <f>_xlfn.XLOOKUP(frasest[[#This Row],[autor_es]],autorest[autor_es],autorest[codigo])</f>
        <v>es</v>
      </c>
      <c r="J953" t="str">
        <f>_xlfn.XLOOKUP(frasest[[#This Row],[autor_es]],autorest[autor_es],autorest[idioma_es])</f>
        <v>Español</v>
      </c>
      <c r="K953" s="6" t="str">
        <f>_xlfn.XLOOKUP(frasest[[#This Row],[autor_es]],autorest[autor_es],autorest[idioma_la])</f>
        <v>Lingua Hispanica</v>
      </c>
      <c r="L953" s="6" t="str">
        <f>_xlfn.XLOOKUP(frasest[[#This Row],[autor_es]],autorest[autor_es],autorest[nacion_es])</f>
        <v>España</v>
      </c>
      <c r="M953" t="str">
        <f>_xlfn.XLOOKUP(frasest[[#This Row],[autor_es]],autorest[autor_es],autorest[nacion_la])</f>
        <v>Hispania</v>
      </c>
      <c r="N953" t="str">
        <f>_xlfn.XLOOKUP(frasest[[#This Row],[autor_es]],autorest[autor_es],autorest[epoca_es])</f>
        <v>Epoca Desconocida</v>
      </c>
      <c r="O953" t="str">
        <f>_xlfn.XLOOKUP(frasest[[#This Row],[autor_es]],autorest[autor_es],autorest[epoca_la])</f>
        <v>Epocha Ignota</v>
      </c>
    </row>
    <row r="954" spans="1:15">
      <c r="A954">
        <v>953</v>
      </c>
      <c r="B954" t="s">
        <v>2657</v>
      </c>
      <c r="C954" t="s">
        <v>2658</v>
      </c>
      <c r="D954" t="s">
        <v>2657</v>
      </c>
      <c r="E954" t="s">
        <v>21</v>
      </c>
      <c r="F954" t="str">
        <f>_xlfn.XLOOKUP(frasest[[#This Row],[autor_es]],autorest[autor_es],autorest[autor_la])</f>
        <v>Sententia Hispanica</v>
      </c>
      <c r="G954" s="6" t="str">
        <f>_xlfn.XLOOKUP(frasest[[#This Row],[autor_es]],autorest[autor_es],autorest[bio_es])</f>
        <v>Refranes populares de la tradición oral hispana que expresan de forma breve y ingeniosa enseñanzas prácticas sobre la vida cotidiana.</v>
      </c>
      <c r="H954" s="6" t="str">
        <f>_xlfn.XLOOKUP(frasest[[#This Row],[autor_es]],autorest[autor_es],autorest[bio_la])</f>
        <v>Collectio sententiarum Hispanicarum.</v>
      </c>
      <c r="I954" t="str">
        <f>_xlfn.XLOOKUP(frasest[[#This Row],[autor_es]],autorest[autor_es],autorest[codigo])</f>
        <v>es</v>
      </c>
      <c r="J954" t="str">
        <f>_xlfn.XLOOKUP(frasest[[#This Row],[autor_es]],autorest[autor_es],autorest[idioma_es])</f>
        <v>Español</v>
      </c>
      <c r="K954" s="6" t="str">
        <f>_xlfn.XLOOKUP(frasest[[#This Row],[autor_es]],autorest[autor_es],autorest[idioma_la])</f>
        <v>Lingua Hispanica</v>
      </c>
      <c r="L954" s="6" t="str">
        <f>_xlfn.XLOOKUP(frasest[[#This Row],[autor_es]],autorest[autor_es],autorest[nacion_es])</f>
        <v>España</v>
      </c>
      <c r="M954" t="str">
        <f>_xlfn.XLOOKUP(frasest[[#This Row],[autor_es]],autorest[autor_es],autorest[nacion_la])</f>
        <v>Hispania</v>
      </c>
      <c r="N954" t="str">
        <f>_xlfn.XLOOKUP(frasest[[#This Row],[autor_es]],autorest[autor_es],autorest[epoca_es])</f>
        <v>Epoca Desconocida</v>
      </c>
      <c r="O954" t="str">
        <f>_xlfn.XLOOKUP(frasest[[#This Row],[autor_es]],autorest[autor_es],autorest[epoca_la])</f>
        <v>Epocha Ignota</v>
      </c>
    </row>
    <row r="955" spans="1:15">
      <c r="A955">
        <v>954</v>
      </c>
      <c r="B955" t="s">
        <v>2659</v>
      </c>
      <c r="C955" t="s">
        <v>2660</v>
      </c>
      <c r="D955" t="s">
        <v>2659</v>
      </c>
      <c r="E955" t="s">
        <v>21</v>
      </c>
      <c r="F955" t="str">
        <f>_xlfn.XLOOKUP(frasest[[#This Row],[autor_es]],autorest[autor_es],autorest[autor_la])</f>
        <v>Sententia Hispanica</v>
      </c>
      <c r="G955" s="6" t="str">
        <f>_xlfn.XLOOKUP(frasest[[#This Row],[autor_es]],autorest[autor_es],autorest[bio_es])</f>
        <v>Refranes populares de la tradición oral hispana que expresan de forma breve y ingeniosa enseñanzas prácticas sobre la vida cotidiana.</v>
      </c>
      <c r="H955" s="6" t="str">
        <f>_xlfn.XLOOKUP(frasest[[#This Row],[autor_es]],autorest[autor_es],autorest[bio_la])</f>
        <v>Collectio sententiarum Hispanicarum.</v>
      </c>
      <c r="I955" t="str">
        <f>_xlfn.XLOOKUP(frasest[[#This Row],[autor_es]],autorest[autor_es],autorest[codigo])</f>
        <v>es</v>
      </c>
      <c r="J955" t="str">
        <f>_xlfn.XLOOKUP(frasest[[#This Row],[autor_es]],autorest[autor_es],autorest[idioma_es])</f>
        <v>Español</v>
      </c>
      <c r="K955" s="6" t="str">
        <f>_xlfn.XLOOKUP(frasest[[#This Row],[autor_es]],autorest[autor_es],autorest[idioma_la])</f>
        <v>Lingua Hispanica</v>
      </c>
      <c r="L955" s="6" t="str">
        <f>_xlfn.XLOOKUP(frasest[[#This Row],[autor_es]],autorest[autor_es],autorest[nacion_es])</f>
        <v>España</v>
      </c>
      <c r="M955" t="str">
        <f>_xlfn.XLOOKUP(frasest[[#This Row],[autor_es]],autorest[autor_es],autorest[nacion_la])</f>
        <v>Hispania</v>
      </c>
      <c r="N955" t="str">
        <f>_xlfn.XLOOKUP(frasest[[#This Row],[autor_es]],autorest[autor_es],autorest[epoca_es])</f>
        <v>Epoca Desconocida</v>
      </c>
      <c r="O955" t="str">
        <f>_xlfn.XLOOKUP(frasest[[#This Row],[autor_es]],autorest[autor_es],autorest[epoca_la])</f>
        <v>Epocha Ignota</v>
      </c>
    </row>
    <row r="956" spans="1:15">
      <c r="A956">
        <v>955</v>
      </c>
      <c r="B956" t="s">
        <v>2661</v>
      </c>
      <c r="C956" t="s">
        <v>2662</v>
      </c>
      <c r="D956" t="s">
        <v>2661</v>
      </c>
      <c r="E956" t="s">
        <v>21</v>
      </c>
      <c r="F956" t="str">
        <f>_xlfn.XLOOKUP(frasest[[#This Row],[autor_es]],autorest[autor_es],autorest[autor_la])</f>
        <v>Sententia Hispanica</v>
      </c>
      <c r="G956" s="6" t="str">
        <f>_xlfn.XLOOKUP(frasest[[#This Row],[autor_es]],autorest[autor_es],autorest[bio_es])</f>
        <v>Refranes populares de la tradición oral hispana que expresan de forma breve y ingeniosa enseñanzas prácticas sobre la vida cotidiana.</v>
      </c>
      <c r="H956" s="6" t="str">
        <f>_xlfn.XLOOKUP(frasest[[#This Row],[autor_es]],autorest[autor_es],autorest[bio_la])</f>
        <v>Collectio sententiarum Hispanicarum.</v>
      </c>
      <c r="I956" t="str">
        <f>_xlfn.XLOOKUP(frasest[[#This Row],[autor_es]],autorest[autor_es],autorest[codigo])</f>
        <v>es</v>
      </c>
      <c r="J956" t="str">
        <f>_xlfn.XLOOKUP(frasest[[#This Row],[autor_es]],autorest[autor_es],autorest[idioma_es])</f>
        <v>Español</v>
      </c>
      <c r="K956" s="6" t="str">
        <f>_xlfn.XLOOKUP(frasest[[#This Row],[autor_es]],autorest[autor_es],autorest[idioma_la])</f>
        <v>Lingua Hispanica</v>
      </c>
      <c r="L956" s="6" t="str">
        <f>_xlfn.XLOOKUP(frasest[[#This Row],[autor_es]],autorest[autor_es],autorest[nacion_es])</f>
        <v>España</v>
      </c>
      <c r="M956" t="str">
        <f>_xlfn.XLOOKUP(frasest[[#This Row],[autor_es]],autorest[autor_es],autorest[nacion_la])</f>
        <v>Hispania</v>
      </c>
      <c r="N956" t="str">
        <f>_xlfn.XLOOKUP(frasest[[#This Row],[autor_es]],autorest[autor_es],autorest[epoca_es])</f>
        <v>Epoca Desconocida</v>
      </c>
      <c r="O956" t="str">
        <f>_xlfn.XLOOKUP(frasest[[#This Row],[autor_es]],autorest[autor_es],autorest[epoca_la])</f>
        <v>Epocha Ignota</v>
      </c>
    </row>
    <row r="957" spans="1:15">
      <c r="A957">
        <v>956</v>
      </c>
      <c r="B957" t="s">
        <v>2663</v>
      </c>
      <c r="C957" t="s">
        <v>2664</v>
      </c>
      <c r="D957" t="s">
        <v>2663</v>
      </c>
      <c r="E957" t="s">
        <v>21</v>
      </c>
      <c r="F957" t="str">
        <f>_xlfn.XLOOKUP(frasest[[#This Row],[autor_es]],autorest[autor_es],autorest[autor_la])</f>
        <v>Sententia Hispanica</v>
      </c>
      <c r="G957" s="6" t="str">
        <f>_xlfn.XLOOKUP(frasest[[#This Row],[autor_es]],autorest[autor_es],autorest[bio_es])</f>
        <v>Refranes populares de la tradición oral hispana que expresan de forma breve y ingeniosa enseñanzas prácticas sobre la vida cotidiana.</v>
      </c>
      <c r="H957" s="6" t="str">
        <f>_xlfn.XLOOKUP(frasest[[#This Row],[autor_es]],autorest[autor_es],autorest[bio_la])</f>
        <v>Collectio sententiarum Hispanicarum.</v>
      </c>
      <c r="I957" t="str">
        <f>_xlfn.XLOOKUP(frasest[[#This Row],[autor_es]],autorest[autor_es],autorest[codigo])</f>
        <v>es</v>
      </c>
      <c r="J957" t="str">
        <f>_xlfn.XLOOKUP(frasest[[#This Row],[autor_es]],autorest[autor_es],autorest[idioma_es])</f>
        <v>Español</v>
      </c>
      <c r="K957" s="6" t="str">
        <f>_xlfn.XLOOKUP(frasest[[#This Row],[autor_es]],autorest[autor_es],autorest[idioma_la])</f>
        <v>Lingua Hispanica</v>
      </c>
      <c r="L957" s="6" t="str">
        <f>_xlfn.XLOOKUP(frasest[[#This Row],[autor_es]],autorest[autor_es],autorest[nacion_es])</f>
        <v>España</v>
      </c>
      <c r="M957" t="str">
        <f>_xlfn.XLOOKUP(frasest[[#This Row],[autor_es]],autorest[autor_es],autorest[nacion_la])</f>
        <v>Hispania</v>
      </c>
      <c r="N957" t="str">
        <f>_xlfn.XLOOKUP(frasest[[#This Row],[autor_es]],autorest[autor_es],autorest[epoca_es])</f>
        <v>Epoca Desconocida</v>
      </c>
      <c r="O957" t="str">
        <f>_xlfn.XLOOKUP(frasest[[#This Row],[autor_es]],autorest[autor_es],autorest[epoca_la])</f>
        <v>Epocha Ignota</v>
      </c>
    </row>
    <row r="958" spans="1:15">
      <c r="A958">
        <v>957</v>
      </c>
      <c r="B958" t="s">
        <v>2665</v>
      </c>
      <c r="C958" t="s">
        <v>2666</v>
      </c>
      <c r="D958" t="s">
        <v>2665</v>
      </c>
      <c r="E958" t="s">
        <v>21</v>
      </c>
      <c r="F958" t="str">
        <f>_xlfn.XLOOKUP(frasest[[#This Row],[autor_es]],autorest[autor_es],autorest[autor_la])</f>
        <v>Sententia Hispanica</v>
      </c>
      <c r="G958" s="6" t="str">
        <f>_xlfn.XLOOKUP(frasest[[#This Row],[autor_es]],autorest[autor_es],autorest[bio_es])</f>
        <v>Refranes populares de la tradición oral hispana que expresan de forma breve y ingeniosa enseñanzas prácticas sobre la vida cotidiana.</v>
      </c>
      <c r="H958" s="6" t="str">
        <f>_xlfn.XLOOKUP(frasest[[#This Row],[autor_es]],autorest[autor_es],autorest[bio_la])</f>
        <v>Collectio sententiarum Hispanicarum.</v>
      </c>
      <c r="I958" t="str">
        <f>_xlfn.XLOOKUP(frasest[[#This Row],[autor_es]],autorest[autor_es],autorest[codigo])</f>
        <v>es</v>
      </c>
      <c r="J958" t="str">
        <f>_xlfn.XLOOKUP(frasest[[#This Row],[autor_es]],autorest[autor_es],autorest[idioma_es])</f>
        <v>Español</v>
      </c>
      <c r="K958" s="6" t="str">
        <f>_xlfn.XLOOKUP(frasest[[#This Row],[autor_es]],autorest[autor_es],autorest[idioma_la])</f>
        <v>Lingua Hispanica</v>
      </c>
      <c r="L958" s="6" t="str">
        <f>_xlfn.XLOOKUP(frasest[[#This Row],[autor_es]],autorest[autor_es],autorest[nacion_es])</f>
        <v>España</v>
      </c>
      <c r="M958" t="str">
        <f>_xlfn.XLOOKUP(frasest[[#This Row],[autor_es]],autorest[autor_es],autorest[nacion_la])</f>
        <v>Hispania</v>
      </c>
      <c r="N958" t="str">
        <f>_xlfn.XLOOKUP(frasest[[#This Row],[autor_es]],autorest[autor_es],autorest[epoca_es])</f>
        <v>Epoca Desconocida</v>
      </c>
      <c r="O958" t="str">
        <f>_xlfn.XLOOKUP(frasest[[#This Row],[autor_es]],autorest[autor_es],autorest[epoca_la])</f>
        <v>Epocha Ignota</v>
      </c>
    </row>
    <row r="959" spans="1:15">
      <c r="A959">
        <v>958</v>
      </c>
      <c r="B959" t="s">
        <v>2667</v>
      </c>
      <c r="C959" t="s">
        <v>2668</v>
      </c>
      <c r="D959" t="s">
        <v>2667</v>
      </c>
      <c r="E959" t="s">
        <v>21</v>
      </c>
      <c r="F959" t="str">
        <f>_xlfn.XLOOKUP(frasest[[#This Row],[autor_es]],autorest[autor_es],autorest[autor_la])</f>
        <v>Sententia Hispanica</v>
      </c>
      <c r="G959" s="6" t="str">
        <f>_xlfn.XLOOKUP(frasest[[#This Row],[autor_es]],autorest[autor_es],autorest[bio_es])</f>
        <v>Refranes populares de la tradición oral hispana que expresan de forma breve y ingeniosa enseñanzas prácticas sobre la vida cotidiana.</v>
      </c>
      <c r="H959" s="6" t="str">
        <f>_xlfn.XLOOKUP(frasest[[#This Row],[autor_es]],autorest[autor_es],autorest[bio_la])</f>
        <v>Collectio sententiarum Hispanicarum.</v>
      </c>
      <c r="I959" t="str">
        <f>_xlfn.XLOOKUP(frasest[[#This Row],[autor_es]],autorest[autor_es],autorest[codigo])</f>
        <v>es</v>
      </c>
      <c r="J959" t="str">
        <f>_xlfn.XLOOKUP(frasest[[#This Row],[autor_es]],autorest[autor_es],autorest[idioma_es])</f>
        <v>Español</v>
      </c>
      <c r="K959" s="6" t="str">
        <f>_xlfn.XLOOKUP(frasest[[#This Row],[autor_es]],autorest[autor_es],autorest[idioma_la])</f>
        <v>Lingua Hispanica</v>
      </c>
      <c r="L959" s="6" t="str">
        <f>_xlfn.XLOOKUP(frasest[[#This Row],[autor_es]],autorest[autor_es],autorest[nacion_es])</f>
        <v>España</v>
      </c>
      <c r="M959" t="str">
        <f>_xlfn.XLOOKUP(frasest[[#This Row],[autor_es]],autorest[autor_es],autorest[nacion_la])</f>
        <v>Hispania</v>
      </c>
      <c r="N959" t="str">
        <f>_xlfn.XLOOKUP(frasest[[#This Row],[autor_es]],autorest[autor_es],autorest[epoca_es])</f>
        <v>Epoca Desconocida</v>
      </c>
      <c r="O959" t="str">
        <f>_xlfn.XLOOKUP(frasest[[#This Row],[autor_es]],autorest[autor_es],autorest[epoca_la])</f>
        <v>Epocha Ignota</v>
      </c>
    </row>
    <row r="960" spans="1:15">
      <c r="A960">
        <v>959</v>
      </c>
      <c r="B960" t="s">
        <v>2669</v>
      </c>
      <c r="C960" t="s">
        <v>1921</v>
      </c>
      <c r="D960" t="s">
        <v>2669</v>
      </c>
      <c r="E960" t="s">
        <v>21</v>
      </c>
      <c r="F960" t="str">
        <f>_xlfn.XLOOKUP(frasest[[#This Row],[autor_es]],autorest[autor_es],autorest[autor_la])</f>
        <v>Sententia Hispanica</v>
      </c>
      <c r="G960" s="6" t="str">
        <f>_xlfn.XLOOKUP(frasest[[#This Row],[autor_es]],autorest[autor_es],autorest[bio_es])</f>
        <v>Refranes populares de la tradición oral hispana que expresan de forma breve y ingeniosa enseñanzas prácticas sobre la vida cotidiana.</v>
      </c>
      <c r="H960" s="6" t="str">
        <f>_xlfn.XLOOKUP(frasest[[#This Row],[autor_es]],autorest[autor_es],autorest[bio_la])</f>
        <v>Collectio sententiarum Hispanicarum.</v>
      </c>
      <c r="I960" t="str">
        <f>_xlfn.XLOOKUP(frasest[[#This Row],[autor_es]],autorest[autor_es],autorest[codigo])</f>
        <v>es</v>
      </c>
      <c r="J960" t="str">
        <f>_xlfn.XLOOKUP(frasest[[#This Row],[autor_es]],autorest[autor_es],autorest[idioma_es])</f>
        <v>Español</v>
      </c>
      <c r="K960" s="6" t="str">
        <f>_xlfn.XLOOKUP(frasest[[#This Row],[autor_es]],autorest[autor_es],autorest[idioma_la])</f>
        <v>Lingua Hispanica</v>
      </c>
      <c r="L960" s="6" t="str">
        <f>_xlfn.XLOOKUP(frasest[[#This Row],[autor_es]],autorest[autor_es],autorest[nacion_es])</f>
        <v>España</v>
      </c>
      <c r="M960" t="str">
        <f>_xlfn.XLOOKUP(frasest[[#This Row],[autor_es]],autorest[autor_es],autorest[nacion_la])</f>
        <v>Hispania</v>
      </c>
      <c r="N960" t="str">
        <f>_xlfn.XLOOKUP(frasest[[#This Row],[autor_es]],autorest[autor_es],autorest[epoca_es])</f>
        <v>Epoca Desconocida</v>
      </c>
      <c r="O960" t="str">
        <f>_xlfn.XLOOKUP(frasest[[#This Row],[autor_es]],autorest[autor_es],autorest[epoca_la])</f>
        <v>Epocha Ignota</v>
      </c>
    </row>
    <row r="961" spans="1:15">
      <c r="A961">
        <v>960</v>
      </c>
      <c r="B961" t="s">
        <v>2670</v>
      </c>
      <c r="C961" t="s">
        <v>2671</v>
      </c>
      <c r="D961" t="s">
        <v>2670</v>
      </c>
      <c r="E961" t="s">
        <v>21</v>
      </c>
      <c r="F961" t="str">
        <f>_xlfn.XLOOKUP(frasest[[#This Row],[autor_es]],autorest[autor_es],autorest[autor_la])</f>
        <v>Sententia Hispanica</v>
      </c>
      <c r="G961" s="6" t="str">
        <f>_xlfn.XLOOKUP(frasest[[#This Row],[autor_es]],autorest[autor_es],autorest[bio_es])</f>
        <v>Refranes populares de la tradición oral hispana que expresan de forma breve y ingeniosa enseñanzas prácticas sobre la vida cotidiana.</v>
      </c>
      <c r="H961" s="6" t="str">
        <f>_xlfn.XLOOKUP(frasest[[#This Row],[autor_es]],autorest[autor_es],autorest[bio_la])</f>
        <v>Collectio sententiarum Hispanicarum.</v>
      </c>
      <c r="I961" t="str">
        <f>_xlfn.XLOOKUP(frasest[[#This Row],[autor_es]],autorest[autor_es],autorest[codigo])</f>
        <v>es</v>
      </c>
      <c r="J961" t="str">
        <f>_xlfn.XLOOKUP(frasest[[#This Row],[autor_es]],autorest[autor_es],autorest[idioma_es])</f>
        <v>Español</v>
      </c>
      <c r="K961" s="6" t="str">
        <f>_xlfn.XLOOKUP(frasest[[#This Row],[autor_es]],autorest[autor_es],autorest[idioma_la])</f>
        <v>Lingua Hispanica</v>
      </c>
      <c r="L961" s="6" t="str">
        <f>_xlfn.XLOOKUP(frasest[[#This Row],[autor_es]],autorest[autor_es],autorest[nacion_es])</f>
        <v>España</v>
      </c>
      <c r="M961" t="str">
        <f>_xlfn.XLOOKUP(frasest[[#This Row],[autor_es]],autorest[autor_es],autorest[nacion_la])</f>
        <v>Hispania</v>
      </c>
      <c r="N961" t="str">
        <f>_xlfn.XLOOKUP(frasest[[#This Row],[autor_es]],autorest[autor_es],autorest[epoca_es])</f>
        <v>Epoca Desconocida</v>
      </c>
      <c r="O961" t="str">
        <f>_xlfn.XLOOKUP(frasest[[#This Row],[autor_es]],autorest[autor_es],autorest[epoca_la])</f>
        <v>Epocha Ignota</v>
      </c>
    </row>
    <row r="962" spans="1:15">
      <c r="A962">
        <v>961</v>
      </c>
      <c r="B962" t="s">
        <v>2672</v>
      </c>
      <c r="C962" t="s">
        <v>2673</v>
      </c>
      <c r="D962" t="s">
        <v>2672</v>
      </c>
      <c r="E962" t="s">
        <v>21</v>
      </c>
      <c r="F962" t="str">
        <f>_xlfn.XLOOKUP(frasest[[#This Row],[autor_es]],autorest[autor_es],autorest[autor_la])</f>
        <v>Sententia Hispanica</v>
      </c>
      <c r="G962" s="6" t="str">
        <f>_xlfn.XLOOKUP(frasest[[#This Row],[autor_es]],autorest[autor_es],autorest[bio_es])</f>
        <v>Refranes populares de la tradición oral hispana que expresan de forma breve y ingeniosa enseñanzas prácticas sobre la vida cotidiana.</v>
      </c>
      <c r="H962" s="6" t="str">
        <f>_xlfn.XLOOKUP(frasest[[#This Row],[autor_es]],autorest[autor_es],autorest[bio_la])</f>
        <v>Collectio sententiarum Hispanicarum.</v>
      </c>
      <c r="I962" t="str">
        <f>_xlfn.XLOOKUP(frasest[[#This Row],[autor_es]],autorest[autor_es],autorest[codigo])</f>
        <v>es</v>
      </c>
      <c r="J962" t="str">
        <f>_xlfn.XLOOKUP(frasest[[#This Row],[autor_es]],autorest[autor_es],autorest[idioma_es])</f>
        <v>Español</v>
      </c>
      <c r="K962" s="6" t="str">
        <f>_xlfn.XLOOKUP(frasest[[#This Row],[autor_es]],autorest[autor_es],autorest[idioma_la])</f>
        <v>Lingua Hispanica</v>
      </c>
      <c r="L962" s="6" t="str">
        <f>_xlfn.XLOOKUP(frasest[[#This Row],[autor_es]],autorest[autor_es],autorest[nacion_es])</f>
        <v>España</v>
      </c>
      <c r="M962" t="str">
        <f>_xlfn.XLOOKUP(frasest[[#This Row],[autor_es]],autorest[autor_es],autorest[nacion_la])</f>
        <v>Hispania</v>
      </c>
      <c r="N962" t="str">
        <f>_xlfn.XLOOKUP(frasest[[#This Row],[autor_es]],autorest[autor_es],autorest[epoca_es])</f>
        <v>Epoca Desconocida</v>
      </c>
      <c r="O962" t="str">
        <f>_xlfn.XLOOKUP(frasest[[#This Row],[autor_es]],autorest[autor_es],autorest[epoca_la])</f>
        <v>Epocha Ignota</v>
      </c>
    </row>
    <row r="963" spans="1:15">
      <c r="A963">
        <v>962</v>
      </c>
      <c r="B963" t="s">
        <v>2674</v>
      </c>
      <c r="C963" t="s">
        <v>2675</v>
      </c>
      <c r="D963" t="s">
        <v>2674</v>
      </c>
      <c r="E963" t="s">
        <v>21</v>
      </c>
      <c r="F963" t="str">
        <f>_xlfn.XLOOKUP(frasest[[#This Row],[autor_es]],autorest[autor_es],autorest[autor_la])</f>
        <v>Sententia Hispanica</v>
      </c>
      <c r="G963" s="6" t="str">
        <f>_xlfn.XLOOKUP(frasest[[#This Row],[autor_es]],autorest[autor_es],autorest[bio_es])</f>
        <v>Refranes populares de la tradición oral hispana que expresan de forma breve y ingeniosa enseñanzas prácticas sobre la vida cotidiana.</v>
      </c>
      <c r="H963" s="6" t="str">
        <f>_xlfn.XLOOKUP(frasest[[#This Row],[autor_es]],autorest[autor_es],autorest[bio_la])</f>
        <v>Collectio sententiarum Hispanicarum.</v>
      </c>
      <c r="I963" t="str">
        <f>_xlfn.XLOOKUP(frasest[[#This Row],[autor_es]],autorest[autor_es],autorest[codigo])</f>
        <v>es</v>
      </c>
      <c r="J963" t="str">
        <f>_xlfn.XLOOKUP(frasest[[#This Row],[autor_es]],autorest[autor_es],autorest[idioma_es])</f>
        <v>Español</v>
      </c>
      <c r="K963" s="6" t="str">
        <f>_xlfn.XLOOKUP(frasest[[#This Row],[autor_es]],autorest[autor_es],autorest[idioma_la])</f>
        <v>Lingua Hispanica</v>
      </c>
      <c r="L963" s="6" t="str">
        <f>_xlfn.XLOOKUP(frasest[[#This Row],[autor_es]],autorest[autor_es],autorest[nacion_es])</f>
        <v>España</v>
      </c>
      <c r="M963" t="str">
        <f>_xlfn.XLOOKUP(frasest[[#This Row],[autor_es]],autorest[autor_es],autorest[nacion_la])</f>
        <v>Hispania</v>
      </c>
      <c r="N963" t="str">
        <f>_xlfn.XLOOKUP(frasest[[#This Row],[autor_es]],autorest[autor_es],autorest[epoca_es])</f>
        <v>Epoca Desconocida</v>
      </c>
      <c r="O963" t="str">
        <f>_xlfn.XLOOKUP(frasest[[#This Row],[autor_es]],autorest[autor_es],autorest[epoca_la])</f>
        <v>Epocha Ignota</v>
      </c>
    </row>
    <row r="964" spans="1:15">
      <c r="A964">
        <v>963</v>
      </c>
      <c r="B964" t="s">
        <v>2676</v>
      </c>
      <c r="C964" t="s">
        <v>2677</v>
      </c>
      <c r="D964" t="s">
        <v>2676</v>
      </c>
      <c r="E964" t="s">
        <v>21</v>
      </c>
      <c r="F964" t="str">
        <f>_xlfn.XLOOKUP(frasest[[#This Row],[autor_es]],autorest[autor_es],autorest[autor_la])</f>
        <v>Sententia Hispanica</v>
      </c>
      <c r="G964" s="6" t="str">
        <f>_xlfn.XLOOKUP(frasest[[#This Row],[autor_es]],autorest[autor_es],autorest[bio_es])</f>
        <v>Refranes populares de la tradición oral hispana que expresan de forma breve y ingeniosa enseñanzas prácticas sobre la vida cotidiana.</v>
      </c>
      <c r="H964" s="6" t="str">
        <f>_xlfn.XLOOKUP(frasest[[#This Row],[autor_es]],autorest[autor_es],autorest[bio_la])</f>
        <v>Collectio sententiarum Hispanicarum.</v>
      </c>
      <c r="I964" t="str">
        <f>_xlfn.XLOOKUP(frasest[[#This Row],[autor_es]],autorest[autor_es],autorest[codigo])</f>
        <v>es</v>
      </c>
      <c r="J964" t="str">
        <f>_xlfn.XLOOKUP(frasest[[#This Row],[autor_es]],autorest[autor_es],autorest[idioma_es])</f>
        <v>Español</v>
      </c>
      <c r="K964" s="6" t="str">
        <f>_xlfn.XLOOKUP(frasest[[#This Row],[autor_es]],autorest[autor_es],autorest[idioma_la])</f>
        <v>Lingua Hispanica</v>
      </c>
      <c r="L964" s="6" t="str">
        <f>_xlfn.XLOOKUP(frasest[[#This Row],[autor_es]],autorest[autor_es],autorest[nacion_es])</f>
        <v>España</v>
      </c>
      <c r="M964" t="str">
        <f>_xlfn.XLOOKUP(frasest[[#This Row],[autor_es]],autorest[autor_es],autorest[nacion_la])</f>
        <v>Hispania</v>
      </c>
      <c r="N964" t="str">
        <f>_xlfn.XLOOKUP(frasest[[#This Row],[autor_es]],autorest[autor_es],autorest[epoca_es])</f>
        <v>Epoca Desconocida</v>
      </c>
      <c r="O964" t="str">
        <f>_xlfn.XLOOKUP(frasest[[#This Row],[autor_es]],autorest[autor_es],autorest[epoca_la])</f>
        <v>Epocha Ignota</v>
      </c>
    </row>
    <row r="965" spans="1:15">
      <c r="A965">
        <v>964</v>
      </c>
      <c r="B965" t="s">
        <v>2678</v>
      </c>
      <c r="C965" t="s">
        <v>2679</v>
      </c>
      <c r="D965" t="s">
        <v>2678</v>
      </c>
      <c r="E965" t="s">
        <v>21</v>
      </c>
      <c r="F965" t="str">
        <f>_xlfn.XLOOKUP(frasest[[#This Row],[autor_es]],autorest[autor_es],autorest[autor_la])</f>
        <v>Sententia Hispanica</v>
      </c>
      <c r="G965" s="6" t="str">
        <f>_xlfn.XLOOKUP(frasest[[#This Row],[autor_es]],autorest[autor_es],autorest[bio_es])</f>
        <v>Refranes populares de la tradición oral hispana que expresan de forma breve y ingeniosa enseñanzas prácticas sobre la vida cotidiana.</v>
      </c>
      <c r="H965" s="6" t="str">
        <f>_xlfn.XLOOKUP(frasest[[#This Row],[autor_es]],autorest[autor_es],autorest[bio_la])</f>
        <v>Collectio sententiarum Hispanicarum.</v>
      </c>
      <c r="I965" t="str">
        <f>_xlfn.XLOOKUP(frasest[[#This Row],[autor_es]],autorest[autor_es],autorest[codigo])</f>
        <v>es</v>
      </c>
      <c r="J965" t="str">
        <f>_xlfn.XLOOKUP(frasest[[#This Row],[autor_es]],autorest[autor_es],autorest[idioma_es])</f>
        <v>Español</v>
      </c>
      <c r="K965" s="6" t="str">
        <f>_xlfn.XLOOKUP(frasest[[#This Row],[autor_es]],autorest[autor_es],autorest[idioma_la])</f>
        <v>Lingua Hispanica</v>
      </c>
      <c r="L965" s="6" t="str">
        <f>_xlfn.XLOOKUP(frasest[[#This Row],[autor_es]],autorest[autor_es],autorest[nacion_es])</f>
        <v>España</v>
      </c>
      <c r="M965" t="str">
        <f>_xlfn.XLOOKUP(frasest[[#This Row],[autor_es]],autorest[autor_es],autorest[nacion_la])</f>
        <v>Hispania</v>
      </c>
      <c r="N965" t="str">
        <f>_xlfn.XLOOKUP(frasest[[#This Row],[autor_es]],autorest[autor_es],autorest[epoca_es])</f>
        <v>Epoca Desconocida</v>
      </c>
      <c r="O965" t="str">
        <f>_xlfn.XLOOKUP(frasest[[#This Row],[autor_es]],autorest[autor_es],autorest[epoca_la])</f>
        <v>Epocha Ignota</v>
      </c>
    </row>
    <row r="966" spans="1:15">
      <c r="A966">
        <v>965</v>
      </c>
      <c r="B966" t="s">
        <v>2680</v>
      </c>
      <c r="C966" t="s">
        <v>2681</v>
      </c>
      <c r="D966" t="s">
        <v>2680</v>
      </c>
      <c r="E966" t="s">
        <v>21</v>
      </c>
      <c r="F966" t="str">
        <f>_xlfn.XLOOKUP(frasest[[#This Row],[autor_es]],autorest[autor_es],autorest[autor_la])</f>
        <v>Sententia Hispanica</v>
      </c>
      <c r="G966" s="6" t="str">
        <f>_xlfn.XLOOKUP(frasest[[#This Row],[autor_es]],autorest[autor_es],autorest[bio_es])</f>
        <v>Refranes populares de la tradición oral hispana que expresan de forma breve y ingeniosa enseñanzas prácticas sobre la vida cotidiana.</v>
      </c>
      <c r="H966" s="6" t="str">
        <f>_xlfn.XLOOKUP(frasest[[#This Row],[autor_es]],autorest[autor_es],autorest[bio_la])</f>
        <v>Collectio sententiarum Hispanicarum.</v>
      </c>
      <c r="I966" t="str">
        <f>_xlfn.XLOOKUP(frasest[[#This Row],[autor_es]],autorest[autor_es],autorest[codigo])</f>
        <v>es</v>
      </c>
      <c r="J966" t="str">
        <f>_xlfn.XLOOKUP(frasest[[#This Row],[autor_es]],autorest[autor_es],autorest[idioma_es])</f>
        <v>Español</v>
      </c>
      <c r="K966" s="6" t="str">
        <f>_xlfn.XLOOKUP(frasest[[#This Row],[autor_es]],autorest[autor_es],autorest[idioma_la])</f>
        <v>Lingua Hispanica</v>
      </c>
      <c r="L966" s="6" t="str">
        <f>_xlfn.XLOOKUP(frasest[[#This Row],[autor_es]],autorest[autor_es],autorest[nacion_es])</f>
        <v>España</v>
      </c>
      <c r="M966" t="str">
        <f>_xlfn.XLOOKUP(frasest[[#This Row],[autor_es]],autorest[autor_es],autorest[nacion_la])</f>
        <v>Hispania</v>
      </c>
      <c r="N966" t="str">
        <f>_xlfn.XLOOKUP(frasest[[#This Row],[autor_es]],autorest[autor_es],autorest[epoca_es])</f>
        <v>Epoca Desconocida</v>
      </c>
      <c r="O966" t="str">
        <f>_xlfn.XLOOKUP(frasest[[#This Row],[autor_es]],autorest[autor_es],autorest[epoca_la])</f>
        <v>Epocha Ignota</v>
      </c>
    </row>
    <row r="967" spans="1:15">
      <c r="A967">
        <v>966</v>
      </c>
      <c r="B967" t="s">
        <v>2682</v>
      </c>
      <c r="C967" t="s">
        <v>2683</v>
      </c>
      <c r="D967" t="s">
        <v>2682</v>
      </c>
      <c r="E967" t="s">
        <v>21</v>
      </c>
      <c r="F967" t="str">
        <f>_xlfn.XLOOKUP(frasest[[#This Row],[autor_es]],autorest[autor_es],autorest[autor_la])</f>
        <v>Sententia Hispanica</v>
      </c>
      <c r="G967" s="6" t="str">
        <f>_xlfn.XLOOKUP(frasest[[#This Row],[autor_es]],autorest[autor_es],autorest[bio_es])</f>
        <v>Refranes populares de la tradición oral hispana que expresan de forma breve y ingeniosa enseñanzas prácticas sobre la vida cotidiana.</v>
      </c>
      <c r="H967" s="6" t="str">
        <f>_xlfn.XLOOKUP(frasest[[#This Row],[autor_es]],autorest[autor_es],autorest[bio_la])</f>
        <v>Collectio sententiarum Hispanicarum.</v>
      </c>
      <c r="I967" t="str">
        <f>_xlfn.XLOOKUP(frasest[[#This Row],[autor_es]],autorest[autor_es],autorest[codigo])</f>
        <v>es</v>
      </c>
      <c r="J967" t="str">
        <f>_xlfn.XLOOKUP(frasest[[#This Row],[autor_es]],autorest[autor_es],autorest[idioma_es])</f>
        <v>Español</v>
      </c>
      <c r="K967" s="6" t="str">
        <f>_xlfn.XLOOKUP(frasest[[#This Row],[autor_es]],autorest[autor_es],autorest[idioma_la])</f>
        <v>Lingua Hispanica</v>
      </c>
      <c r="L967" s="6" t="str">
        <f>_xlfn.XLOOKUP(frasest[[#This Row],[autor_es]],autorest[autor_es],autorest[nacion_es])</f>
        <v>España</v>
      </c>
      <c r="M967" t="str">
        <f>_xlfn.XLOOKUP(frasest[[#This Row],[autor_es]],autorest[autor_es],autorest[nacion_la])</f>
        <v>Hispania</v>
      </c>
      <c r="N967" t="str">
        <f>_xlfn.XLOOKUP(frasest[[#This Row],[autor_es]],autorest[autor_es],autorest[epoca_es])</f>
        <v>Epoca Desconocida</v>
      </c>
      <c r="O967" t="str">
        <f>_xlfn.XLOOKUP(frasest[[#This Row],[autor_es]],autorest[autor_es],autorest[epoca_la])</f>
        <v>Epocha Ignota</v>
      </c>
    </row>
    <row r="968" spans="1:15">
      <c r="A968">
        <v>967</v>
      </c>
      <c r="B968" t="s">
        <v>2684</v>
      </c>
      <c r="C968" t="s">
        <v>2685</v>
      </c>
      <c r="D968" t="s">
        <v>2684</v>
      </c>
      <c r="E968" t="s">
        <v>21</v>
      </c>
      <c r="F968" t="str">
        <f>_xlfn.XLOOKUP(frasest[[#This Row],[autor_es]],autorest[autor_es],autorest[autor_la])</f>
        <v>Sententia Hispanica</v>
      </c>
      <c r="G968" s="6" t="str">
        <f>_xlfn.XLOOKUP(frasest[[#This Row],[autor_es]],autorest[autor_es],autorest[bio_es])</f>
        <v>Refranes populares de la tradición oral hispana que expresan de forma breve y ingeniosa enseñanzas prácticas sobre la vida cotidiana.</v>
      </c>
      <c r="H968" s="6" t="str">
        <f>_xlfn.XLOOKUP(frasest[[#This Row],[autor_es]],autorest[autor_es],autorest[bio_la])</f>
        <v>Collectio sententiarum Hispanicarum.</v>
      </c>
      <c r="I968" t="str">
        <f>_xlfn.XLOOKUP(frasest[[#This Row],[autor_es]],autorest[autor_es],autorest[codigo])</f>
        <v>es</v>
      </c>
      <c r="J968" t="str">
        <f>_xlfn.XLOOKUP(frasest[[#This Row],[autor_es]],autorest[autor_es],autorest[idioma_es])</f>
        <v>Español</v>
      </c>
      <c r="K968" s="6" t="str">
        <f>_xlfn.XLOOKUP(frasest[[#This Row],[autor_es]],autorest[autor_es],autorest[idioma_la])</f>
        <v>Lingua Hispanica</v>
      </c>
      <c r="L968" s="6" t="str">
        <f>_xlfn.XLOOKUP(frasest[[#This Row],[autor_es]],autorest[autor_es],autorest[nacion_es])</f>
        <v>España</v>
      </c>
      <c r="M968" t="str">
        <f>_xlfn.XLOOKUP(frasest[[#This Row],[autor_es]],autorest[autor_es],autorest[nacion_la])</f>
        <v>Hispania</v>
      </c>
      <c r="N968" t="str">
        <f>_xlfn.XLOOKUP(frasest[[#This Row],[autor_es]],autorest[autor_es],autorest[epoca_es])</f>
        <v>Epoca Desconocida</v>
      </c>
      <c r="O968" t="str">
        <f>_xlfn.XLOOKUP(frasest[[#This Row],[autor_es]],autorest[autor_es],autorest[epoca_la])</f>
        <v>Epocha Ignota</v>
      </c>
    </row>
    <row r="969" spans="1:15">
      <c r="A969">
        <v>968</v>
      </c>
      <c r="B969" t="s">
        <v>2686</v>
      </c>
      <c r="C969" t="s">
        <v>2687</v>
      </c>
      <c r="D969" t="s">
        <v>2686</v>
      </c>
      <c r="E969" t="s">
        <v>21</v>
      </c>
      <c r="F969" t="str">
        <f>_xlfn.XLOOKUP(frasest[[#This Row],[autor_es]],autorest[autor_es],autorest[autor_la])</f>
        <v>Sententia Hispanica</v>
      </c>
      <c r="G969" s="6" t="str">
        <f>_xlfn.XLOOKUP(frasest[[#This Row],[autor_es]],autorest[autor_es],autorest[bio_es])</f>
        <v>Refranes populares de la tradición oral hispana que expresan de forma breve y ingeniosa enseñanzas prácticas sobre la vida cotidiana.</v>
      </c>
      <c r="H969" s="6" t="str">
        <f>_xlfn.XLOOKUP(frasest[[#This Row],[autor_es]],autorest[autor_es],autorest[bio_la])</f>
        <v>Collectio sententiarum Hispanicarum.</v>
      </c>
      <c r="I969" t="str">
        <f>_xlfn.XLOOKUP(frasest[[#This Row],[autor_es]],autorest[autor_es],autorest[codigo])</f>
        <v>es</v>
      </c>
      <c r="J969" t="str">
        <f>_xlfn.XLOOKUP(frasest[[#This Row],[autor_es]],autorest[autor_es],autorest[idioma_es])</f>
        <v>Español</v>
      </c>
      <c r="K969" s="6" t="str">
        <f>_xlfn.XLOOKUP(frasest[[#This Row],[autor_es]],autorest[autor_es],autorest[idioma_la])</f>
        <v>Lingua Hispanica</v>
      </c>
      <c r="L969" s="6" t="str">
        <f>_xlfn.XLOOKUP(frasest[[#This Row],[autor_es]],autorest[autor_es],autorest[nacion_es])</f>
        <v>España</v>
      </c>
      <c r="M969" t="str">
        <f>_xlfn.XLOOKUP(frasest[[#This Row],[autor_es]],autorest[autor_es],autorest[nacion_la])</f>
        <v>Hispania</v>
      </c>
      <c r="N969" t="str">
        <f>_xlfn.XLOOKUP(frasest[[#This Row],[autor_es]],autorest[autor_es],autorest[epoca_es])</f>
        <v>Epoca Desconocida</v>
      </c>
      <c r="O969" t="str">
        <f>_xlfn.XLOOKUP(frasest[[#This Row],[autor_es]],autorest[autor_es],autorest[epoca_la])</f>
        <v>Epocha Ignota</v>
      </c>
    </row>
    <row r="970" spans="1:15">
      <c r="A970">
        <v>969</v>
      </c>
      <c r="B970" t="s">
        <v>2688</v>
      </c>
      <c r="C970" t="s">
        <v>2689</v>
      </c>
      <c r="D970" t="s">
        <v>2688</v>
      </c>
      <c r="E970" t="s">
        <v>21</v>
      </c>
      <c r="F970" t="str">
        <f>_xlfn.XLOOKUP(frasest[[#This Row],[autor_es]],autorest[autor_es],autorest[autor_la])</f>
        <v>Sententia Hispanica</v>
      </c>
      <c r="G970" s="6" t="str">
        <f>_xlfn.XLOOKUP(frasest[[#This Row],[autor_es]],autorest[autor_es],autorest[bio_es])</f>
        <v>Refranes populares de la tradición oral hispana que expresan de forma breve y ingeniosa enseñanzas prácticas sobre la vida cotidiana.</v>
      </c>
      <c r="H970" s="6" t="str">
        <f>_xlfn.XLOOKUP(frasest[[#This Row],[autor_es]],autorest[autor_es],autorest[bio_la])</f>
        <v>Collectio sententiarum Hispanicarum.</v>
      </c>
      <c r="I970" t="str">
        <f>_xlfn.XLOOKUP(frasest[[#This Row],[autor_es]],autorest[autor_es],autorest[codigo])</f>
        <v>es</v>
      </c>
      <c r="J970" t="str">
        <f>_xlfn.XLOOKUP(frasest[[#This Row],[autor_es]],autorest[autor_es],autorest[idioma_es])</f>
        <v>Español</v>
      </c>
      <c r="K970" s="6" t="str">
        <f>_xlfn.XLOOKUP(frasest[[#This Row],[autor_es]],autorest[autor_es],autorest[idioma_la])</f>
        <v>Lingua Hispanica</v>
      </c>
      <c r="L970" s="6" t="str">
        <f>_xlfn.XLOOKUP(frasest[[#This Row],[autor_es]],autorest[autor_es],autorest[nacion_es])</f>
        <v>España</v>
      </c>
      <c r="M970" t="str">
        <f>_xlfn.XLOOKUP(frasest[[#This Row],[autor_es]],autorest[autor_es],autorest[nacion_la])</f>
        <v>Hispania</v>
      </c>
      <c r="N970" t="str">
        <f>_xlfn.XLOOKUP(frasest[[#This Row],[autor_es]],autorest[autor_es],autorest[epoca_es])</f>
        <v>Epoca Desconocida</v>
      </c>
      <c r="O970" t="str">
        <f>_xlfn.XLOOKUP(frasest[[#This Row],[autor_es]],autorest[autor_es],autorest[epoca_la])</f>
        <v>Epocha Ignota</v>
      </c>
    </row>
    <row r="971" spans="1:15">
      <c r="A971">
        <v>970</v>
      </c>
      <c r="B971" t="s">
        <v>2690</v>
      </c>
      <c r="C971" t="s">
        <v>2691</v>
      </c>
      <c r="D971" t="s">
        <v>2690</v>
      </c>
      <c r="E971" t="s">
        <v>21</v>
      </c>
      <c r="F971" t="str">
        <f>_xlfn.XLOOKUP(frasest[[#This Row],[autor_es]],autorest[autor_es],autorest[autor_la])</f>
        <v>Sententia Hispanica</v>
      </c>
      <c r="G971" s="6" t="str">
        <f>_xlfn.XLOOKUP(frasest[[#This Row],[autor_es]],autorest[autor_es],autorest[bio_es])</f>
        <v>Refranes populares de la tradición oral hispana que expresan de forma breve y ingeniosa enseñanzas prácticas sobre la vida cotidiana.</v>
      </c>
      <c r="H971" s="6" t="str">
        <f>_xlfn.XLOOKUP(frasest[[#This Row],[autor_es]],autorest[autor_es],autorest[bio_la])</f>
        <v>Collectio sententiarum Hispanicarum.</v>
      </c>
      <c r="I971" t="str">
        <f>_xlfn.XLOOKUP(frasest[[#This Row],[autor_es]],autorest[autor_es],autorest[codigo])</f>
        <v>es</v>
      </c>
      <c r="J971" t="str">
        <f>_xlfn.XLOOKUP(frasest[[#This Row],[autor_es]],autorest[autor_es],autorest[idioma_es])</f>
        <v>Español</v>
      </c>
      <c r="K971" s="6" t="str">
        <f>_xlfn.XLOOKUP(frasest[[#This Row],[autor_es]],autorest[autor_es],autorest[idioma_la])</f>
        <v>Lingua Hispanica</v>
      </c>
      <c r="L971" s="6" t="str">
        <f>_xlfn.XLOOKUP(frasest[[#This Row],[autor_es]],autorest[autor_es],autorest[nacion_es])</f>
        <v>España</v>
      </c>
      <c r="M971" t="str">
        <f>_xlfn.XLOOKUP(frasest[[#This Row],[autor_es]],autorest[autor_es],autorest[nacion_la])</f>
        <v>Hispania</v>
      </c>
      <c r="N971" t="str">
        <f>_xlfn.XLOOKUP(frasest[[#This Row],[autor_es]],autorest[autor_es],autorest[epoca_es])</f>
        <v>Epoca Desconocida</v>
      </c>
      <c r="O971" t="str">
        <f>_xlfn.XLOOKUP(frasest[[#This Row],[autor_es]],autorest[autor_es],autorest[epoca_la])</f>
        <v>Epocha Ignota</v>
      </c>
    </row>
    <row r="972" spans="1:15">
      <c r="A972">
        <v>971</v>
      </c>
      <c r="B972" t="s">
        <v>2692</v>
      </c>
      <c r="C972" t="s">
        <v>2693</v>
      </c>
      <c r="D972" t="s">
        <v>2692</v>
      </c>
      <c r="E972" t="s">
        <v>21</v>
      </c>
      <c r="F972" t="str">
        <f>_xlfn.XLOOKUP(frasest[[#This Row],[autor_es]],autorest[autor_es],autorest[autor_la])</f>
        <v>Sententia Hispanica</v>
      </c>
      <c r="G972" s="6" t="str">
        <f>_xlfn.XLOOKUP(frasest[[#This Row],[autor_es]],autorest[autor_es],autorest[bio_es])</f>
        <v>Refranes populares de la tradición oral hispana que expresan de forma breve y ingeniosa enseñanzas prácticas sobre la vida cotidiana.</v>
      </c>
      <c r="H972" s="6" t="str">
        <f>_xlfn.XLOOKUP(frasest[[#This Row],[autor_es]],autorest[autor_es],autorest[bio_la])</f>
        <v>Collectio sententiarum Hispanicarum.</v>
      </c>
      <c r="I972" t="str">
        <f>_xlfn.XLOOKUP(frasest[[#This Row],[autor_es]],autorest[autor_es],autorest[codigo])</f>
        <v>es</v>
      </c>
      <c r="J972" t="str">
        <f>_xlfn.XLOOKUP(frasest[[#This Row],[autor_es]],autorest[autor_es],autorest[idioma_es])</f>
        <v>Español</v>
      </c>
      <c r="K972" s="6" t="str">
        <f>_xlfn.XLOOKUP(frasest[[#This Row],[autor_es]],autorest[autor_es],autorest[idioma_la])</f>
        <v>Lingua Hispanica</v>
      </c>
      <c r="L972" s="6" t="str">
        <f>_xlfn.XLOOKUP(frasest[[#This Row],[autor_es]],autorest[autor_es],autorest[nacion_es])</f>
        <v>España</v>
      </c>
      <c r="M972" t="str">
        <f>_xlfn.XLOOKUP(frasest[[#This Row],[autor_es]],autorest[autor_es],autorest[nacion_la])</f>
        <v>Hispania</v>
      </c>
      <c r="N972" t="str">
        <f>_xlfn.XLOOKUP(frasest[[#This Row],[autor_es]],autorest[autor_es],autorest[epoca_es])</f>
        <v>Epoca Desconocida</v>
      </c>
      <c r="O972" t="str">
        <f>_xlfn.XLOOKUP(frasest[[#This Row],[autor_es]],autorest[autor_es],autorest[epoca_la])</f>
        <v>Epocha Ignota</v>
      </c>
    </row>
    <row r="973" spans="1:15">
      <c r="A973">
        <v>972</v>
      </c>
      <c r="B973" t="s">
        <v>2694</v>
      </c>
      <c r="C973" t="s">
        <v>2695</v>
      </c>
      <c r="D973" t="s">
        <v>2694</v>
      </c>
      <c r="E973" t="s">
        <v>21</v>
      </c>
      <c r="F973" t="str">
        <f>_xlfn.XLOOKUP(frasest[[#This Row],[autor_es]],autorest[autor_es],autorest[autor_la])</f>
        <v>Sententia Hispanica</v>
      </c>
      <c r="G973" s="6" t="str">
        <f>_xlfn.XLOOKUP(frasest[[#This Row],[autor_es]],autorest[autor_es],autorest[bio_es])</f>
        <v>Refranes populares de la tradición oral hispana que expresan de forma breve y ingeniosa enseñanzas prácticas sobre la vida cotidiana.</v>
      </c>
      <c r="H973" s="6" t="str">
        <f>_xlfn.XLOOKUP(frasest[[#This Row],[autor_es]],autorest[autor_es],autorest[bio_la])</f>
        <v>Collectio sententiarum Hispanicarum.</v>
      </c>
      <c r="I973" t="str">
        <f>_xlfn.XLOOKUP(frasest[[#This Row],[autor_es]],autorest[autor_es],autorest[codigo])</f>
        <v>es</v>
      </c>
      <c r="J973" t="str">
        <f>_xlfn.XLOOKUP(frasest[[#This Row],[autor_es]],autorest[autor_es],autorest[idioma_es])</f>
        <v>Español</v>
      </c>
      <c r="K973" s="6" t="str">
        <f>_xlfn.XLOOKUP(frasest[[#This Row],[autor_es]],autorest[autor_es],autorest[idioma_la])</f>
        <v>Lingua Hispanica</v>
      </c>
      <c r="L973" s="6" t="str">
        <f>_xlfn.XLOOKUP(frasest[[#This Row],[autor_es]],autorest[autor_es],autorest[nacion_es])</f>
        <v>España</v>
      </c>
      <c r="M973" t="str">
        <f>_xlfn.XLOOKUP(frasest[[#This Row],[autor_es]],autorest[autor_es],autorest[nacion_la])</f>
        <v>Hispania</v>
      </c>
      <c r="N973" t="str">
        <f>_xlfn.XLOOKUP(frasest[[#This Row],[autor_es]],autorest[autor_es],autorest[epoca_es])</f>
        <v>Epoca Desconocida</v>
      </c>
      <c r="O973" t="str">
        <f>_xlfn.XLOOKUP(frasest[[#This Row],[autor_es]],autorest[autor_es],autorest[epoca_la])</f>
        <v>Epocha Ignota</v>
      </c>
    </row>
    <row r="974" spans="1:15">
      <c r="A974">
        <v>973</v>
      </c>
      <c r="B974" t="s">
        <v>2696</v>
      </c>
      <c r="C974" t="s">
        <v>2697</v>
      </c>
      <c r="D974" t="s">
        <v>2696</v>
      </c>
      <c r="E974" t="s">
        <v>21</v>
      </c>
      <c r="F974" t="str">
        <f>_xlfn.XLOOKUP(frasest[[#This Row],[autor_es]],autorest[autor_es],autorest[autor_la])</f>
        <v>Sententia Hispanica</v>
      </c>
      <c r="G974" s="6" t="str">
        <f>_xlfn.XLOOKUP(frasest[[#This Row],[autor_es]],autorest[autor_es],autorest[bio_es])</f>
        <v>Refranes populares de la tradición oral hispana que expresan de forma breve y ingeniosa enseñanzas prácticas sobre la vida cotidiana.</v>
      </c>
      <c r="H974" s="6" t="str">
        <f>_xlfn.XLOOKUP(frasest[[#This Row],[autor_es]],autorest[autor_es],autorest[bio_la])</f>
        <v>Collectio sententiarum Hispanicarum.</v>
      </c>
      <c r="I974" t="str">
        <f>_xlfn.XLOOKUP(frasest[[#This Row],[autor_es]],autorest[autor_es],autorest[codigo])</f>
        <v>es</v>
      </c>
      <c r="J974" t="str">
        <f>_xlfn.XLOOKUP(frasest[[#This Row],[autor_es]],autorest[autor_es],autorest[idioma_es])</f>
        <v>Español</v>
      </c>
      <c r="K974" s="6" t="str">
        <f>_xlfn.XLOOKUP(frasest[[#This Row],[autor_es]],autorest[autor_es],autorest[idioma_la])</f>
        <v>Lingua Hispanica</v>
      </c>
      <c r="L974" s="6" t="str">
        <f>_xlfn.XLOOKUP(frasest[[#This Row],[autor_es]],autorest[autor_es],autorest[nacion_es])</f>
        <v>España</v>
      </c>
      <c r="M974" t="str">
        <f>_xlfn.XLOOKUP(frasest[[#This Row],[autor_es]],autorest[autor_es],autorest[nacion_la])</f>
        <v>Hispania</v>
      </c>
      <c r="N974" t="str">
        <f>_xlfn.XLOOKUP(frasest[[#This Row],[autor_es]],autorest[autor_es],autorest[epoca_es])</f>
        <v>Epoca Desconocida</v>
      </c>
      <c r="O974" t="str">
        <f>_xlfn.XLOOKUP(frasest[[#This Row],[autor_es]],autorest[autor_es],autorest[epoca_la])</f>
        <v>Epocha Ignota</v>
      </c>
    </row>
    <row r="975" spans="1:15">
      <c r="A975">
        <v>974</v>
      </c>
      <c r="B975" t="s">
        <v>2698</v>
      </c>
      <c r="C975" t="s">
        <v>2699</v>
      </c>
      <c r="D975" t="s">
        <v>2698</v>
      </c>
      <c r="E975" t="s">
        <v>21</v>
      </c>
      <c r="F975" t="str">
        <f>_xlfn.XLOOKUP(frasest[[#This Row],[autor_es]],autorest[autor_es],autorest[autor_la])</f>
        <v>Sententia Hispanica</v>
      </c>
      <c r="G975" s="6" t="str">
        <f>_xlfn.XLOOKUP(frasest[[#This Row],[autor_es]],autorest[autor_es],autorest[bio_es])</f>
        <v>Refranes populares de la tradición oral hispana que expresan de forma breve y ingeniosa enseñanzas prácticas sobre la vida cotidiana.</v>
      </c>
      <c r="H975" s="6" t="str">
        <f>_xlfn.XLOOKUP(frasest[[#This Row],[autor_es]],autorest[autor_es],autorest[bio_la])</f>
        <v>Collectio sententiarum Hispanicarum.</v>
      </c>
      <c r="I975" t="str">
        <f>_xlfn.XLOOKUP(frasest[[#This Row],[autor_es]],autorest[autor_es],autorest[codigo])</f>
        <v>es</v>
      </c>
      <c r="J975" t="str">
        <f>_xlfn.XLOOKUP(frasest[[#This Row],[autor_es]],autorest[autor_es],autorest[idioma_es])</f>
        <v>Español</v>
      </c>
      <c r="K975" s="6" t="str">
        <f>_xlfn.XLOOKUP(frasest[[#This Row],[autor_es]],autorest[autor_es],autorest[idioma_la])</f>
        <v>Lingua Hispanica</v>
      </c>
      <c r="L975" s="6" t="str">
        <f>_xlfn.XLOOKUP(frasest[[#This Row],[autor_es]],autorest[autor_es],autorest[nacion_es])</f>
        <v>España</v>
      </c>
      <c r="M975" t="str">
        <f>_xlfn.XLOOKUP(frasest[[#This Row],[autor_es]],autorest[autor_es],autorest[nacion_la])</f>
        <v>Hispania</v>
      </c>
      <c r="N975" t="str">
        <f>_xlfn.XLOOKUP(frasest[[#This Row],[autor_es]],autorest[autor_es],autorest[epoca_es])</f>
        <v>Epoca Desconocida</v>
      </c>
      <c r="O975" t="str">
        <f>_xlfn.XLOOKUP(frasest[[#This Row],[autor_es]],autorest[autor_es],autorest[epoca_la])</f>
        <v>Epocha Ignota</v>
      </c>
    </row>
    <row r="976" spans="1:15">
      <c r="A976">
        <v>975</v>
      </c>
      <c r="B976" t="s">
        <v>2700</v>
      </c>
      <c r="C976" t="s">
        <v>2701</v>
      </c>
      <c r="D976" t="s">
        <v>2700</v>
      </c>
      <c r="E976" t="s">
        <v>21</v>
      </c>
      <c r="F976" t="str">
        <f>_xlfn.XLOOKUP(frasest[[#This Row],[autor_es]],autorest[autor_es],autorest[autor_la])</f>
        <v>Sententia Hispanica</v>
      </c>
      <c r="G976" s="6" t="str">
        <f>_xlfn.XLOOKUP(frasest[[#This Row],[autor_es]],autorest[autor_es],autorest[bio_es])</f>
        <v>Refranes populares de la tradición oral hispana que expresan de forma breve y ingeniosa enseñanzas prácticas sobre la vida cotidiana.</v>
      </c>
      <c r="H976" s="6" t="str">
        <f>_xlfn.XLOOKUP(frasest[[#This Row],[autor_es]],autorest[autor_es],autorest[bio_la])</f>
        <v>Collectio sententiarum Hispanicarum.</v>
      </c>
      <c r="I976" t="str">
        <f>_xlfn.XLOOKUP(frasest[[#This Row],[autor_es]],autorest[autor_es],autorest[codigo])</f>
        <v>es</v>
      </c>
      <c r="J976" t="str">
        <f>_xlfn.XLOOKUP(frasest[[#This Row],[autor_es]],autorest[autor_es],autorest[idioma_es])</f>
        <v>Español</v>
      </c>
      <c r="K976" s="6" t="str">
        <f>_xlfn.XLOOKUP(frasest[[#This Row],[autor_es]],autorest[autor_es],autorest[idioma_la])</f>
        <v>Lingua Hispanica</v>
      </c>
      <c r="L976" s="6" t="str">
        <f>_xlfn.XLOOKUP(frasest[[#This Row],[autor_es]],autorest[autor_es],autorest[nacion_es])</f>
        <v>España</v>
      </c>
      <c r="M976" t="str">
        <f>_xlfn.XLOOKUP(frasest[[#This Row],[autor_es]],autorest[autor_es],autorest[nacion_la])</f>
        <v>Hispania</v>
      </c>
      <c r="N976" t="str">
        <f>_xlfn.XLOOKUP(frasest[[#This Row],[autor_es]],autorest[autor_es],autorest[epoca_es])</f>
        <v>Epoca Desconocida</v>
      </c>
      <c r="O976" t="str">
        <f>_xlfn.XLOOKUP(frasest[[#This Row],[autor_es]],autorest[autor_es],autorest[epoca_la])</f>
        <v>Epocha Ignota</v>
      </c>
    </row>
    <row r="977" spans="1:15">
      <c r="A977">
        <v>976</v>
      </c>
      <c r="B977" t="s">
        <v>2702</v>
      </c>
      <c r="C977" t="s">
        <v>2703</v>
      </c>
      <c r="D977" t="s">
        <v>2702</v>
      </c>
      <c r="E977" t="s">
        <v>21</v>
      </c>
      <c r="F977" t="str">
        <f>_xlfn.XLOOKUP(frasest[[#This Row],[autor_es]],autorest[autor_es],autorest[autor_la])</f>
        <v>Sententia Hispanica</v>
      </c>
      <c r="G977" s="6" t="str">
        <f>_xlfn.XLOOKUP(frasest[[#This Row],[autor_es]],autorest[autor_es],autorest[bio_es])</f>
        <v>Refranes populares de la tradición oral hispana que expresan de forma breve y ingeniosa enseñanzas prácticas sobre la vida cotidiana.</v>
      </c>
      <c r="H977" s="6" t="str">
        <f>_xlfn.XLOOKUP(frasest[[#This Row],[autor_es]],autorest[autor_es],autorest[bio_la])</f>
        <v>Collectio sententiarum Hispanicarum.</v>
      </c>
      <c r="I977" t="str">
        <f>_xlfn.XLOOKUP(frasest[[#This Row],[autor_es]],autorest[autor_es],autorest[codigo])</f>
        <v>es</v>
      </c>
      <c r="J977" t="str">
        <f>_xlfn.XLOOKUP(frasest[[#This Row],[autor_es]],autorest[autor_es],autorest[idioma_es])</f>
        <v>Español</v>
      </c>
      <c r="K977" s="6" t="str">
        <f>_xlfn.XLOOKUP(frasest[[#This Row],[autor_es]],autorest[autor_es],autorest[idioma_la])</f>
        <v>Lingua Hispanica</v>
      </c>
      <c r="L977" s="6" t="str">
        <f>_xlfn.XLOOKUP(frasest[[#This Row],[autor_es]],autorest[autor_es],autorest[nacion_es])</f>
        <v>España</v>
      </c>
      <c r="M977" t="str">
        <f>_xlfn.XLOOKUP(frasest[[#This Row],[autor_es]],autorest[autor_es],autorest[nacion_la])</f>
        <v>Hispania</v>
      </c>
      <c r="N977" t="str">
        <f>_xlfn.XLOOKUP(frasest[[#This Row],[autor_es]],autorest[autor_es],autorest[epoca_es])</f>
        <v>Epoca Desconocida</v>
      </c>
      <c r="O977" t="str">
        <f>_xlfn.XLOOKUP(frasest[[#This Row],[autor_es]],autorest[autor_es],autorest[epoca_la])</f>
        <v>Epocha Ignota</v>
      </c>
    </row>
    <row r="978" spans="1:15">
      <c r="A978">
        <v>977</v>
      </c>
      <c r="B978" t="s">
        <v>2704</v>
      </c>
      <c r="C978" t="s">
        <v>2705</v>
      </c>
      <c r="D978" t="s">
        <v>2704</v>
      </c>
      <c r="E978" t="s">
        <v>21</v>
      </c>
      <c r="F978" t="str">
        <f>_xlfn.XLOOKUP(frasest[[#This Row],[autor_es]],autorest[autor_es],autorest[autor_la])</f>
        <v>Sententia Hispanica</v>
      </c>
      <c r="G978" s="6" t="str">
        <f>_xlfn.XLOOKUP(frasest[[#This Row],[autor_es]],autorest[autor_es],autorest[bio_es])</f>
        <v>Refranes populares de la tradición oral hispana que expresan de forma breve y ingeniosa enseñanzas prácticas sobre la vida cotidiana.</v>
      </c>
      <c r="H978" s="6" t="str">
        <f>_xlfn.XLOOKUP(frasest[[#This Row],[autor_es]],autorest[autor_es],autorest[bio_la])</f>
        <v>Collectio sententiarum Hispanicarum.</v>
      </c>
      <c r="I978" t="str">
        <f>_xlfn.XLOOKUP(frasest[[#This Row],[autor_es]],autorest[autor_es],autorest[codigo])</f>
        <v>es</v>
      </c>
      <c r="J978" t="str">
        <f>_xlfn.XLOOKUP(frasest[[#This Row],[autor_es]],autorest[autor_es],autorest[idioma_es])</f>
        <v>Español</v>
      </c>
      <c r="K978" s="6" t="str">
        <f>_xlfn.XLOOKUP(frasest[[#This Row],[autor_es]],autorest[autor_es],autorest[idioma_la])</f>
        <v>Lingua Hispanica</v>
      </c>
      <c r="L978" s="6" t="str">
        <f>_xlfn.XLOOKUP(frasest[[#This Row],[autor_es]],autorest[autor_es],autorest[nacion_es])</f>
        <v>España</v>
      </c>
      <c r="M978" t="str">
        <f>_xlfn.XLOOKUP(frasest[[#This Row],[autor_es]],autorest[autor_es],autorest[nacion_la])</f>
        <v>Hispania</v>
      </c>
      <c r="N978" t="str">
        <f>_xlfn.XLOOKUP(frasest[[#This Row],[autor_es]],autorest[autor_es],autorest[epoca_es])</f>
        <v>Epoca Desconocida</v>
      </c>
      <c r="O978" t="str">
        <f>_xlfn.XLOOKUP(frasest[[#This Row],[autor_es]],autorest[autor_es],autorest[epoca_la])</f>
        <v>Epocha Ignota</v>
      </c>
    </row>
    <row r="979" spans="1:15">
      <c r="A979">
        <v>978</v>
      </c>
      <c r="B979" t="s">
        <v>2706</v>
      </c>
      <c r="C979" t="s">
        <v>2707</v>
      </c>
      <c r="D979" t="s">
        <v>2706</v>
      </c>
      <c r="E979" t="s">
        <v>21</v>
      </c>
      <c r="F979" t="str">
        <f>_xlfn.XLOOKUP(frasest[[#This Row],[autor_es]],autorest[autor_es],autorest[autor_la])</f>
        <v>Sententia Hispanica</v>
      </c>
      <c r="G979" s="6" t="str">
        <f>_xlfn.XLOOKUP(frasest[[#This Row],[autor_es]],autorest[autor_es],autorest[bio_es])</f>
        <v>Refranes populares de la tradición oral hispana que expresan de forma breve y ingeniosa enseñanzas prácticas sobre la vida cotidiana.</v>
      </c>
      <c r="H979" s="6" t="str">
        <f>_xlfn.XLOOKUP(frasest[[#This Row],[autor_es]],autorest[autor_es],autorest[bio_la])</f>
        <v>Collectio sententiarum Hispanicarum.</v>
      </c>
      <c r="I979" t="str">
        <f>_xlfn.XLOOKUP(frasest[[#This Row],[autor_es]],autorest[autor_es],autorest[codigo])</f>
        <v>es</v>
      </c>
      <c r="J979" t="str">
        <f>_xlfn.XLOOKUP(frasest[[#This Row],[autor_es]],autorest[autor_es],autorest[idioma_es])</f>
        <v>Español</v>
      </c>
      <c r="K979" s="6" t="str">
        <f>_xlfn.XLOOKUP(frasest[[#This Row],[autor_es]],autorest[autor_es],autorest[idioma_la])</f>
        <v>Lingua Hispanica</v>
      </c>
      <c r="L979" s="6" t="str">
        <f>_xlfn.XLOOKUP(frasest[[#This Row],[autor_es]],autorest[autor_es],autorest[nacion_es])</f>
        <v>España</v>
      </c>
      <c r="M979" t="str">
        <f>_xlfn.XLOOKUP(frasest[[#This Row],[autor_es]],autorest[autor_es],autorest[nacion_la])</f>
        <v>Hispania</v>
      </c>
      <c r="N979" t="str">
        <f>_xlfn.XLOOKUP(frasest[[#This Row],[autor_es]],autorest[autor_es],autorest[epoca_es])</f>
        <v>Epoca Desconocida</v>
      </c>
      <c r="O979" t="str">
        <f>_xlfn.XLOOKUP(frasest[[#This Row],[autor_es]],autorest[autor_es],autorest[epoca_la])</f>
        <v>Epocha Ignota</v>
      </c>
    </row>
    <row r="980" spans="1:15">
      <c r="A980">
        <v>979</v>
      </c>
      <c r="B980" t="s">
        <v>2236</v>
      </c>
      <c r="C980" t="s">
        <v>2237</v>
      </c>
      <c r="D980" t="s">
        <v>2236</v>
      </c>
      <c r="E980" t="s">
        <v>21</v>
      </c>
      <c r="F980" t="str">
        <f>_xlfn.XLOOKUP(frasest[[#This Row],[autor_es]],autorest[autor_es],autorest[autor_la])</f>
        <v>Sententia Hispanica</v>
      </c>
      <c r="G980" s="6" t="str">
        <f>_xlfn.XLOOKUP(frasest[[#This Row],[autor_es]],autorest[autor_es],autorest[bio_es])</f>
        <v>Refranes populares de la tradición oral hispana que expresan de forma breve y ingeniosa enseñanzas prácticas sobre la vida cotidiana.</v>
      </c>
      <c r="H980" s="6" t="str">
        <f>_xlfn.XLOOKUP(frasest[[#This Row],[autor_es]],autorest[autor_es],autorest[bio_la])</f>
        <v>Collectio sententiarum Hispanicarum.</v>
      </c>
      <c r="I980" t="str">
        <f>_xlfn.XLOOKUP(frasest[[#This Row],[autor_es]],autorest[autor_es],autorest[codigo])</f>
        <v>es</v>
      </c>
      <c r="J980" t="str">
        <f>_xlfn.XLOOKUP(frasest[[#This Row],[autor_es]],autorest[autor_es],autorest[idioma_es])</f>
        <v>Español</v>
      </c>
      <c r="K980" s="6" t="str">
        <f>_xlfn.XLOOKUP(frasest[[#This Row],[autor_es]],autorest[autor_es],autorest[idioma_la])</f>
        <v>Lingua Hispanica</v>
      </c>
      <c r="L980" s="6" t="str">
        <f>_xlfn.XLOOKUP(frasest[[#This Row],[autor_es]],autorest[autor_es],autorest[nacion_es])</f>
        <v>España</v>
      </c>
      <c r="M980" t="str">
        <f>_xlfn.XLOOKUP(frasest[[#This Row],[autor_es]],autorest[autor_es],autorest[nacion_la])</f>
        <v>Hispania</v>
      </c>
      <c r="N980" t="str">
        <f>_xlfn.XLOOKUP(frasest[[#This Row],[autor_es]],autorest[autor_es],autorest[epoca_es])</f>
        <v>Epoca Desconocida</v>
      </c>
      <c r="O980" t="str">
        <f>_xlfn.XLOOKUP(frasest[[#This Row],[autor_es]],autorest[autor_es],autorest[epoca_la])</f>
        <v>Epocha Ignota</v>
      </c>
    </row>
    <row r="981" spans="1:15">
      <c r="A981">
        <v>980</v>
      </c>
      <c r="B981" t="s">
        <v>2708</v>
      </c>
      <c r="C981" t="s">
        <v>2709</v>
      </c>
      <c r="D981" t="s">
        <v>2708</v>
      </c>
      <c r="E981" t="s">
        <v>21</v>
      </c>
      <c r="F981" t="str">
        <f>_xlfn.XLOOKUP(frasest[[#This Row],[autor_es]],autorest[autor_es],autorest[autor_la])</f>
        <v>Sententia Hispanica</v>
      </c>
      <c r="G981" s="6" t="str">
        <f>_xlfn.XLOOKUP(frasest[[#This Row],[autor_es]],autorest[autor_es],autorest[bio_es])</f>
        <v>Refranes populares de la tradición oral hispana que expresan de forma breve y ingeniosa enseñanzas prácticas sobre la vida cotidiana.</v>
      </c>
      <c r="H981" s="6" t="str">
        <f>_xlfn.XLOOKUP(frasest[[#This Row],[autor_es]],autorest[autor_es],autorest[bio_la])</f>
        <v>Collectio sententiarum Hispanicarum.</v>
      </c>
      <c r="I981" t="str">
        <f>_xlfn.XLOOKUP(frasest[[#This Row],[autor_es]],autorest[autor_es],autorest[codigo])</f>
        <v>es</v>
      </c>
      <c r="J981" t="str">
        <f>_xlfn.XLOOKUP(frasest[[#This Row],[autor_es]],autorest[autor_es],autorest[idioma_es])</f>
        <v>Español</v>
      </c>
      <c r="K981" s="6" t="str">
        <f>_xlfn.XLOOKUP(frasest[[#This Row],[autor_es]],autorest[autor_es],autorest[idioma_la])</f>
        <v>Lingua Hispanica</v>
      </c>
      <c r="L981" s="6" t="str">
        <f>_xlfn.XLOOKUP(frasest[[#This Row],[autor_es]],autorest[autor_es],autorest[nacion_es])</f>
        <v>España</v>
      </c>
      <c r="M981" t="str">
        <f>_xlfn.XLOOKUP(frasest[[#This Row],[autor_es]],autorest[autor_es],autorest[nacion_la])</f>
        <v>Hispania</v>
      </c>
      <c r="N981" t="str">
        <f>_xlfn.XLOOKUP(frasest[[#This Row],[autor_es]],autorest[autor_es],autorest[epoca_es])</f>
        <v>Epoca Desconocida</v>
      </c>
      <c r="O981" t="str">
        <f>_xlfn.XLOOKUP(frasest[[#This Row],[autor_es]],autorest[autor_es],autorest[epoca_la])</f>
        <v>Epocha Ignota</v>
      </c>
    </row>
    <row r="982" spans="1:15">
      <c r="A982">
        <v>981</v>
      </c>
      <c r="B982" t="s">
        <v>2710</v>
      </c>
      <c r="C982" t="s">
        <v>2711</v>
      </c>
      <c r="D982" t="s">
        <v>2710</v>
      </c>
      <c r="E982" t="s">
        <v>21</v>
      </c>
      <c r="F982" t="str">
        <f>_xlfn.XLOOKUP(frasest[[#This Row],[autor_es]],autorest[autor_es],autorest[autor_la])</f>
        <v>Sententia Hispanica</v>
      </c>
      <c r="G982" s="6" t="str">
        <f>_xlfn.XLOOKUP(frasest[[#This Row],[autor_es]],autorest[autor_es],autorest[bio_es])</f>
        <v>Refranes populares de la tradición oral hispana que expresan de forma breve y ingeniosa enseñanzas prácticas sobre la vida cotidiana.</v>
      </c>
      <c r="H982" s="6" t="str">
        <f>_xlfn.XLOOKUP(frasest[[#This Row],[autor_es]],autorest[autor_es],autorest[bio_la])</f>
        <v>Collectio sententiarum Hispanicarum.</v>
      </c>
      <c r="I982" t="str">
        <f>_xlfn.XLOOKUP(frasest[[#This Row],[autor_es]],autorest[autor_es],autorest[codigo])</f>
        <v>es</v>
      </c>
      <c r="J982" t="str">
        <f>_xlfn.XLOOKUP(frasest[[#This Row],[autor_es]],autorest[autor_es],autorest[idioma_es])</f>
        <v>Español</v>
      </c>
      <c r="K982" s="6" t="str">
        <f>_xlfn.XLOOKUP(frasest[[#This Row],[autor_es]],autorest[autor_es],autorest[idioma_la])</f>
        <v>Lingua Hispanica</v>
      </c>
      <c r="L982" s="6" t="str">
        <f>_xlfn.XLOOKUP(frasest[[#This Row],[autor_es]],autorest[autor_es],autorest[nacion_es])</f>
        <v>España</v>
      </c>
      <c r="M982" t="str">
        <f>_xlfn.XLOOKUP(frasest[[#This Row],[autor_es]],autorest[autor_es],autorest[nacion_la])</f>
        <v>Hispania</v>
      </c>
      <c r="N982" t="str">
        <f>_xlfn.XLOOKUP(frasest[[#This Row],[autor_es]],autorest[autor_es],autorest[epoca_es])</f>
        <v>Epoca Desconocida</v>
      </c>
      <c r="O982" t="str">
        <f>_xlfn.XLOOKUP(frasest[[#This Row],[autor_es]],autorest[autor_es],autorest[epoca_la])</f>
        <v>Epocha Ignota</v>
      </c>
    </row>
    <row r="983" spans="1:15">
      <c r="A983">
        <v>982</v>
      </c>
      <c r="B983" t="s">
        <v>2712</v>
      </c>
      <c r="C983" t="s">
        <v>2713</v>
      </c>
      <c r="D983" t="s">
        <v>2712</v>
      </c>
      <c r="E983" t="s">
        <v>21</v>
      </c>
      <c r="F983" t="str">
        <f>_xlfn.XLOOKUP(frasest[[#This Row],[autor_es]],autorest[autor_es],autorest[autor_la])</f>
        <v>Sententia Hispanica</v>
      </c>
      <c r="G983" s="6" t="str">
        <f>_xlfn.XLOOKUP(frasest[[#This Row],[autor_es]],autorest[autor_es],autorest[bio_es])</f>
        <v>Refranes populares de la tradición oral hispana que expresan de forma breve y ingeniosa enseñanzas prácticas sobre la vida cotidiana.</v>
      </c>
      <c r="H983" s="6" t="str">
        <f>_xlfn.XLOOKUP(frasest[[#This Row],[autor_es]],autorest[autor_es],autorest[bio_la])</f>
        <v>Collectio sententiarum Hispanicarum.</v>
      </c>
      <c r="I983" t="str">
        <f>_xlfn.XLOOKUP(frasest[[#This Row],[autor_es]],autorest[autor_es],autorest[codigo])</f>
        <v>es</v>
      </c>
      <c r="J983" t="str">
        <f>_xlfn.XLOOKUP(frasest[[#This Row],[autor_es]],autorest[autor_es],autorest[idioma_es])</f>
        <v>Español</v>
      </c>
      <c r="K983" s="6" t="str">
        <f>_xlfn.XLOOKUP(frasest[[#This Row],[autor_es]],autorest[autor_es],autorest[idioma_la])</f>
        <v>Lingua Hispanica</v>
      </c>
      <c r="L983" s="6" t="str">
        <f>_xlfn.XLOOKUP(frasest[[#This Row],[autor_es]],autorest[autor_es],autorest[nacion_es])</f>
        <v>España</v>
      </c>
      <c r="M983" t="str">
        <f>_xlfn.XLOOKUP(frasest[[#This Row],[autor_es]],autorest[autor_es],autorest[nacion_la])</f>
        <v>Hispania</v>
      </c>
      <c r="N983" t="str">
        <f>_xlfn.XLOOKUP(frasest[[#This Row],[autor_es]],autorest[autor_es],autorest[epoca_es])</f>
        <v>Epoca Desconocida</v>
      </c>
      <c r="O983" t="str">
        <f>_xlfn.XLOOKUP(frasest[[#This Row],[autor_es]],autorest[autor_es],autorest[epoca_la])</f>
        <v>Epocha Ignota</v>
      </c>
    </row>
    <row r="984" spans="1:15">
      <c r="A984">
        <v>983</v>
      </c>
      <c r="B984" t="s">
        <v>2714</v>
      </c>
      <c r="C984" t="s">
        <v>2715</v>
      </c>
      <c r="D984" t="s">
        <v>2714</v>
      </c>
      <c r="E984" t="s">
        <v>21</v>
      </c>
      <c r="F984" t="str">
        <f>_xlfn.XLOOKUP(frasest[[#This Row],[autor_es]],autorest[autor_es],autorest[autor_la])</f>
        <v>Sententia Hispanica</v>
      </c>
      <c r="G984" s="6" t="str">
        <f>_xlfn.XLOOKUP(frasest[[#This Row],[autor_es]],autorest[autor_es],autorest[bio_es])</f>
        <v>Refranes populares de la tradición oral hispana que expresan de forma breve y ingeniosa enseñanzas prácticas sobre la vida cotidiana.</v>
      </c>
      <c r="H984" s="6" t="str">
        <f>_xlfn.XLOOKUP(frasest[[#This Row],[autor_es]],autorest[autor_es],autorest[bio_la])</f>
        <v>Collectio sententiarum Hispanicarum.</v>
      </c>
      <c r="I984" t="str">
        <f>_xlfn.XLOOKUP(frasest[[#This Row],[autor_es]],autorest[autor_es],autorest[codigo])</f>
        <v>es</v>
      </c>
      <c r="J984" t="str">
        <f>_xlfn.XLOOKUP(frasest[[#This Row],[autor_es]],autorest[autor_es],autorest[idioma_es])</f>
        <v>Español</v>
      </c>
      <c r="K984" s="6" t="str">
        <f>_xlfn.XLOOKUP(frasest[[#This Row],[autor_es]],autorest[autor_es],autorest[idioma_la])</f>
        <v>Lingua Hispanica</v>
      </c>
      <c r="L984" s="6" t="str">
        <f>_xlfn.XLOOKUP(frasest[[#This Row],[autor_es]],autorest[autor_es],autorest[nacion_es])</f>
        <v>España</v>
      </c>
      <c r="M984" t="str">
        <f>_xlfn.XLOOKUP(frasest[[#This Row],[autor_es]],autorest[autor_es],autorest[nacion_la])</f>
        <v>Hispania</v>
      </c>
      <c r="N984" t="str">
        <f>_xlfn.XLOOKUP(frasest[[#This Row],[autor_es]],autorest[autor_es],autorest[epoca_es])</f>
        <v>Epoca Desconocida</v>
      </c>
      <c r="O984" t="str">
        <f>_xlfn.XLOOKUP(frasest[[#This Row],[autor_es]],autorest[autor_es],autorest[epoca_la])</f>
        <v>Epocha Ignota</v>
      </c>
    </row>
    <row r="985" spans="1:15">
      <c r="A985">
        <v>984</v>
      </c>
      <c r="B985" t="s">
        <v>2716</v>
      </c>
      <c r="C985" t="s">
        <v>2717</v>
      </c>
      <c r="D985" t="s">
        <v>2716</v>
      </c>
      <c r="E985" t="s">
        <v>21</v>
      </c>
      <c r="F985" t="str">
        <f>_xlfn.XLOOKUP(frasest[[#This Row],[autor_es]],autorest[autor_es],autorest[autor_la])</f>
        <v>Sententia Hispanica</v>
      </c>
      <c r="G985" s="6" t="str">
        <f>_xlfn.XLOOKUP(frasest[[#This Row],[autor_es]],autorest[autor_es],autorest[bio_es])</f>
        <v>Refranes populares de la tradición oral hispana que expresan de forma breve y ingeniosa enseñanzas prácticas sobre la vida cotidiana.</v>
      </c>
      <c r="H985" s="6" t="str">
        <f>_xlfn.XLOOKUP(frasest[[#This Row],[autor_es]],autorest[autor_es],autorest[bio_la])</f>
        <v>Collectio sententiarum Hispanicarum.</v>
      </c>
      <c r="I985" t="str">
        <f>_xlfn.XLOOKUP(frasest[[#This Row],[autor_es]],autorest[autor_es],autorest[codigo])</f>
        <v>es</v>
      </c>
      <c r="J985" t="str">
        <f>_xlfn.XLOOKUP(frasest[[#This Row],[autor_es]],autorest[autor_es],autorest[idioma_es])</f>
        <v>Español</v>
      </c>
      <c r="K985" s="6" t="str">
        <f>_xlfn.XLOOKUP(frasest[[#This Row],[autor_es]],autorest[autor_es],autorest[idioma_la])</f>
        <v>Lingua Hispanica</v>
      </c>
      <c r="L985" s="6" t="str">
        <f>_xlfn.XLOOKUP(frasest[[#This Row],[autor_es]],autorest[autor_es],autorest[nacion_es])</f>
        <v>España</v>
      </c>
      <c r="M985" t="str">
        <f>_xlfn.XLOOKUP(frasest[[#This Row],[autor_es]],autorest[autor_es],autorest[nacion_la])</f>
        <v>Hispania</v>
      </c>
      <c r="N985" t="str">
        <f>_xlfn.XLOOKUP(frasest[[#This Row],[autor_es]],autorest[autor_es],autorest[epoca_es])</f>
        <v>Epoca Desconocida</v>
      </c>
      <c r="O985" t="str">
        <f>_xlfn.XLOOKUP(frasest[[#This Row],[autor_es]],autorest[autor_es],autorest[epoca_la])</f>
        <v>Epocha Ignota</v>
      </c>
    </row>
    <row r="986" spans="1:15">
      <c r="A986">
        <v>985</v>
      </c>
      <c r="B986" t="s">
        <v>2718</v>
      </c>
      <c r="C986" t="s">
        <v>2719</v>
      </c>
      <c r="D986" t="s">
        <v>2718</v>
      </c>
      <c r="E986" t="s">
        <v>21</v>
      </c>
      <c r="F986" t="str">
        <f>_xlfn.XLOOKUP(frasest[[#This Row],[autor_es]],autorest[autor_es],autorest[autor_la])</f>
        <v>Sententia Hispanica</v>
      </c>
      <c r="G986" s="6" t="str">
        <f>_xlfn.XLOOKUP(frasest[[#This Row],[autor_es]],autorest[autor_es],autorest[bio_es])</f>
        <v>Refranes populares de la tradición oral hispana que expresan de forma breve y ingeniosa enseñanzas prácticas sobre la vida cotidiana.</v>
      </c>
      <c r="H986" s="6" t="str">
        <f>_xlfn.XLOOKUP(frasest[[#This Row],[autor_es]],autorest[autor_es],autorest[bio_la])</f>
        <v>Collectio sententiarum Hispanicarum.</v>
      </c>
      <c r="I986" t="str">
        <f>_xlfn.XLOOKUP(frasest[[#This Row],[autor_es]],autorest[autor_es],autorest[codigo])</f>
        <v>es</v>
      </c>
      <c r="J986" t="str">
        <f>_xlfn.XLOOKUP(frasest[[#This Row],[autor_es]],autorest[autor_es],autorest[idioma_es])</f>
        <v>Español</v>
      </c>
      <c r="K986" s="6" t="str">
        <f>_xlfn.XLOOKUP(frasest[[#This Row],[autor_es]],autorest[autor_es],autorest[idioma_la])</f>
        <v>Lingua Hispanica</v>
      </c>
      <c r="L986" s="6" t="str">
        <f>_xlfn.XLOOKUP(frasest[[#This Row],[autor_es]],autorest[autor_es],autorest[nacion_es])</f>
        <v>España</v>
      </c>
      <c r="M986" t="str">
        <f>_xlfn.XLOOKUP(frasest[[#This Row],[autor_es]],autorest[autor_es],autorest[nacion_la])</f>
        <v>Hispania</v>
      </c>
      <c r="N986" t="str">
        <f>_xlfn.XLOOKUP(frasest[[#This Row],[autor_es]],autorest[autor_es],autorest[epoca_es])</f>
        <v>Epoca Desconocida</v>
      </c>
      <c r="O986" t="str">
        <f>_xlfn.XLOOKUP(frasest[[#This Row],[autor_es]],autorest[autor_es],autorest[epoca_la])</f>
        <v>Epocha Ignota</v>
      </c>
    </row>
    <row r="987" spans="1:15">
      <c r="A987">
        <v>986</v>
      </c>
      <c r="B987" t="s">
        <v>2720</v>
      </c>
      <c r="C987" t="s">
        <v>2721</v>
      </c>
      <c r="D987" t="s">
        <v>2720</v>
      </c>
      <c r="E987" t="s">
        <v>21</v>
      </c>
      <c r="F987" t="str">
        <f>_xlfn.XLOOKUP(frasest[[#This Row],[autor_es]],autorest[autor_es],autorest[autor_la])</f>
        <v>Sententia Hispanica</v>
      </c>
      <c r="G987" s="6" t="str">
        <f>_xlfn.XLOOKUP(frasest[[#This Row],[autor_es]],autorest[autor_es],autorest[bio_es])</f>
        <v>Refranes populares de la tradición oral hispana que expresan de forma breve y ingeniosa enseñanzas prácticas sobre la vida cotidiana.</v>
      </c>
      <c r="H987" s="6" t="str">
        <f>_xlfn.XLOOKUP(frasest[[#This Row],[autor_es]],autorest[autor_es],autorest[bio_la])</f>
        <v>Collectio sententiarum Hispanicarum.</v>
      </c>
      <c r="I987" t="str">
        <f>_xlfn.XLOOKUP(frasest[[#This Row],[autor_es]],autorest[autor_es],autorest[codigo])</f>
        <v>es</v>
      </c>
      <c r="J987" t="str">
        <f>_xlfn.XLOOKUP(frasest[[#This Row],[autor_es]],autorest[autor_es],autorest[idioma_es])</f>
        <v>Español</v>
      </c>
      <c r="K987" s="6" t="str">
        <f>_xlfn.XLOOKUP(frasest[[#This Row],[autor_es]],autorest[autor_es],autorest[idioma_la])</f>
        <v>Lingua Hispanica</v>
      </c>
      <c r="L987" s="6" t="str">
        <f>_xlfn.XLOOKUP(frasest[[#This Row],[autor_es]],autorest[autor_es],autorest[nacion_es])</f>
        <v>España</v>
      </c>
      <c r="M987" t="str">
        <f>_xlfn.XLOOKUP(frasest[[#This Row],[autor_es]],autorest[autor_es],autorest[nacion_la])</f>
        <v>Hispania</v>
      </c>
      <c r="N987" t="str">
        <f>_xlfn.XLOOKUP(frasest[[#This Row],[autor_es]],autorest[autor_es],autorest[epoca_es])</f>
        <v>Epoca Desconocida</v>
      </c>
      <c r="O987" t="str">
        <f>_xlfn.XLOOKUP(frasest[[#This Row],[autor_es]],autorest[autor_es],autorest[epoca_la])</f>
        <v>Epocha Ignota</v>
      </c>
    </row>
    <row r="988" spans="1:15">
      <c r="A988">
        <v>987</v>
      </c>
      <c r="B988" t="s">
        <v>2722</v>
      </c>
      <c r="C988" t="s">
        <v>2723</v>
      </c>
      <c r="D988" t="s">
        <v>2722</v>
      </c>
      <c r="E988" t="s">
        <v>21</v>
      </c>
      <c r="F988" t="str">
        <f>_xlfn.XLOOKUP(frasest[[#This Row],[autor_es]],autorest[autor_es],autorest[autor_la])</f>
        <v>Sententia Hispanica</v>
      </c>
      <c r="G988" s="6" t="str">
        <f>_xlfn.XLOOKUP(frasest[[#This Row],[autor_es]],autorest[autor_es],autorest[bio_es])</f>
        <v>Refranes populares de la tradición oral hispana que expresan de forma breve y ingeniosa enseñanzas prácticas sobre la vida cotidiana.</v>
      </c>
      <c r="H988" s="6" t="str">
        <f>_xlfn.XLOOKUP(frasest[[#This Row],[autor_es]],autorest[autor_es],autorest[bio_la])</f>
        <v>Collectio sententiarum Hispanicarum.</v>
      </c>
      <c r="I988" t="str">
        <f>_xlfn.XLOOKUP(frasest[[#This Row],[autor_es]],autorest[autor_es],autorest[codigo])</f>
        <v>es</v>
      </c>
      <c r="J988" t="str">
        <f>_xlfn.XLOOKUP(frasest[[#This Row],[autor_es]],autorest[autor_es],autorest[idioma_es])</f>
        <v>Español</v>
      </c>
      <c r="K988" s="6" t="str">
        <f>_xlfn.XLOOKUP(frasest[[#This Row],[autor_es]],autorest[autor_es],autorest[idioma_la])</f>
        <v>Lingua Hispanica</v>
      </c>
      <c r="L988" s="6" t="str">
        <f>_xlfn.XLOOKUP(frasest[[#This Row],[autor_es]],autorest[autor_es],autorest[nacion_es])</f>
        <v>España</v>
      </c>
      <c r="M988" t="str">
        <f>_xlfn.XLOOKUP(frasest[[#This Row],[autor_es]],autorest[autor_es],autorest[nacion_la])</f>
        <v>Hispania</v>
      </c>
      <c r="N988" t="str">
        <f>_xlfn.XLOOKUP(frasest[[#This Row],[autor_es]],autorest[autor_es],autorest[epoca_es])</f>
        <v>Epoca Desconocida</v>
      </c>
      <c r="O988" t="str">
        <f>_xlfn.XLOOKUP(frasest[[#This Row],[autor_es]],autorest[autor_es],autorest[epoca_la])</f>
        <v>Epocha Ignota</v>
      </c>
    </row>
    <row r="989" spans="1:15">
      <c r="A989">
        <v>988</v>
      </c>
      <c r="B989" t="s">
        <v>2724</v>
      </c>
      <c r="C989" t="s">
        <v>2725</v>
      </c>
      <c r="D989" t="s">
        <v>2724</v>
      </c>
      <c r="E989" t="s">
        <v>21</v>
      </c>
      <c r="F989" t="str">
        <f>_xlfn.XLOOKUP(frasest[[#This Row],[autor_es]],autorest[autor_es],autorest[autor_la])</f>
        <v>Sententia Hispanica</v>
      </c>
      <c r="G989" s="6" t="str">
        <f>_xlfn.XLOOKUP(frasest[[#This Row],[autor_es]],autorest[autor_es],autorest[bio_es])</f>
        <v>Refranes populares de la tradición oral hispana que expresan de forma breve y ingeniosa enseñanzas prácticas sobre la vida cotidiana.</v>
      </c>
      <c r="H989" s="6" t="str">
        <f>_xlfn.XLOOKUP(frasest[[#This Row],[autor_es]],autorest[autor_es],autorest[bio_la])</f>
        <v>Collectio sententiarum Hispanicarum.</v>
      </c>
      <c r="I989" t="str">
        <f>_xlfn.XLOOKUP(frasest[[#This Row],[autor_es]],autorest[autor_es],autorest[codigo])</f>
        <v>es</v>
      </c>
      <c r="J989" t="str">
        <f>_xlfn.XLOOKUP(frasest[[#This Row],[autor_es]],autorest[autor_es],autorest[idioma_es])</f>
        <v>Español</v>
      </c>
      <c r="K989" s="6" t="str">
        <f>_xlfn.XLOOKUP(frasest[[#This Row],[autor_es]],autorest[autor_es],autorest[idioma_la])</f>
        <v>Lingua Hispanica</v>
      </c>
      <c r="L989" s="6" t="str">
        <f>_xlfn.XLOOKUP(frasest[[#This Row],[autor_es]],autorest[autor_es],autorest[nacion_es])</f>
        <v>España</v>
      </c>
      <c r="M989" t="str">
        <f>_xlfn.XLOOKUP(frasest[[#This Row],[autor_es]],autorest[autor_es],autorest[nacion_la])</f>
        <v>Hispania</v>
      </c>
      <c r="N989" t="str">
        <f>_xlfn.XLOOKUP(frasest[[#This Row],[autor_es]],autorest[autor_es],autorest[epoca_es])</f>
        <v>Epoca Desconocida</v>
      </c>
      <c r="O989" t="str">
        <f>_xlfn.XLOOKUP(frasest[[#This Row],[autor_es]],autorest[autor_es],autorest[epoca_la])</f>
        <v>Epocha Ignota</v>
      </c>
    </row>
    <row r="990" spans="1:15">
      <c r="A990">
        <v>989</v>
      </c>
      <c r="B990" t="s">
        <v>2726</v>
      </c>
      <c r="C990" t="s">
        <v>2727</v>
      </c>
      <c r="D990" t="s">
        <v>2726</v>
      </c>
      <c r="E990" t="s">
        <v>21</v>
      </c>
      <c r="F990" t="str">
        <f>_xlfn.XLOOKUP(frasest[[#This Row],[autor_es]],autorest[autor_es],autorest[autor_la])</f>
        <v>Sententia Hispanica</v>
      </c>
      <c r="G990" s="6" t="str">
        <f>_xlfn.XLOOKUP(frasest[[#This Row],[autor_es]],autorest[autor_es],autorest[bio_es])</f>
        <v>Refranes populares de la tradición oral hispana que expresan de forma breve y ingeniosa enseñanzas prácticas sobre la vida cotidiana.</v>
      </c>
      <c r="H990" s="6" t="str">
        <f>_xlfn.XLOOKUP(frasest[[#This Row],[autor_es]],autorest[autor_es],autorest[bio_la])</f>
        <v>Collectio sententiarum Hispanicarum.</v>
      </c>
      <c r="I990" t="str">
        <f>_xlfn.XLOOKUP(frasest[[#This Row],[autor_es]],autorest[autor_es],autorest[codigo])</f>
        <v>es</v>
      </c>
      <c r="J990" t="str">
        <f>_xlfn.XLOOKUP(frasest[[#This Row],[autor_es]],autorest[autor_es],autorest[idioma_es])</f>
        <v>Español</v>
      </c>
      <c r="K990" s="6" t="str">
        <f>_xlfn.XLOOKUP(frasest[[#This Row],[autor_es]],autorest[autor_es],autorest[idioma_la])</f>
        <v>Lingua Hispanica</v>
      </c>
      <c r="L990" s="6" t="str">
        <f>_xlfn.XLOOKUP(frasest[[#This Row],[autor_es]],autorest[autor_es],autorest[nacion_es])</f>
        <v>España</v>
      </c>
      <c r="M990" t="str">
        <f>_xlfn.XLOOKUP(frasest[[#This Row],[autor_es]],autorest[autor_es],autorest[nacion_la])</f>
        <v>Hispania</v>
      </c>
      <c r="N990" t="str">
        <f>_xlfn.XLOOKUP(frasest[[#This Row],[autor_es]],autorest[autor_es],autorest[epoca_es])</f>
        <v>Epoca Desconocida</v>
      </c>
      <c r="O990" t="str">
        <f>_xlfn.XLOOKUP(frasest[[#This Row],[autor_es]],autorest[autor_es],autorest[epoca_la])</f>
        <v>Epocha Ignota</v>
      </c>
    </row>
    <row r="991" spans="1:15">
      <c r="A991">
        <v>990</v>
      </c>
      <c r="B991" t="s">
        <v>2728</v>
      </c>
      <c r="C991" t="s">
        <v>2729</v>
      </c>
      <c r="D991" t="s">
        <v>2728</v>
      </c>
      <c r="E991" t="s">
        <v>21</v>
      </c>
      <c r="F991" t="str">
        <f>_xlfn.XLOOKUP(frasest[[#This Row],[autor_es]],autorest[autor_es],autorest[autor_la])</f>
        <v>Sententia Hispanica</v>
      </c>
      <c r="G991" s="6" t="str">
        <f>_xlfn.XLOOKUP(frasest[[#This Row],[autor_es]],autorest[autor_es],autorest[bio_es])</f>
        <v>Refranes populares de la tradición oral hispana que expresan de forma breve y ingeniosa enseñanzas prácticas sobre la vida cotidiana.</v>
      </c>
      <c r="H991" s="6" t="str">
        <f>_xlfn.XLOOKUP(frasest[[#This Row],[autor_es]],autorest[autor_es],autorest[bio_la])</f>
        <v>Collectio sententiarum Hispanicarum.</v>
      </c>
      <c r="I991" t="str">
        <f>_xlfn.XLOOKUP(frasest[[#This Row],[autor_es]],autorest[autor_es],autorest[codigo])</f>
        <v>es</v>
      </c>
      <c r="J991" t="str">
        <f>_xlfn.XLOOKUP(frasest[[#This Row],[autor_es]],autorest[autor_es],autorest[idioma_es])</f>
        <v>Español</v>
      </c>
      <c r="K991" s="6" t="str">
        <f>_xlfn.XLOOKUP(frasest[[#This Row],[autor_es]],autorest[autor_es],autorest[idioma_la])</f>
        <v>Lingua Hispanica</v>
      </c>
      <c r="L991" s="6" t="str">
        <f>_xlfn.XLOOKUP(frasest[[#This Row],[autor_es]],autorest[autor_es],autorest[nacion_es])</f>
        <v>España</v>
      </c>
      <c r="M991" t="str">
        <f>_xlfn.XLOOKUP(frasest[[#This Row],[autor_es]],autorest[autor_es],autorest[nacion_la])</f>
        <v>Hispania</v>
      </c>
      <c r="N991" t="str">
        <f>_xlfn.XLOOKUP(frasest[[#This Row],[autor_es]],autorest[autor_es],autorest[epoca_es])</f>
        <v>Epoca Desconocida</v>
      </c>
      <c r="O991" t="str">
        <f>_xlfn.XLOOKUP(frasest[[#This Row],[autor_es]],autorest[autor_es],autorest[epoca_la])</f>
        <v>Epocha Ignota</v>
      </c>
    </row>
    <row r="992" spans="1:15">
      <c r="A992">
        <v>991</v>
      </c>
      <c r="B992" t="s">
        <v>2242</v>
      </c>
      <c r="C992" t="s">
        <v>2243</v>
      </c>
      <c r="D992" t="s">
        <v>2242</v>
      </c>
      <c r="E992" t="s">
        <v>21</v>
      </c>
      <c r="F992" t="str">
        <f>_xlfn.XLOOKUP(frasest[[#This Row],[autor_es]],autorest[autor_es],autorest[autor_la])</f>
        <v>Sententia Hispanica</v>
      </c>
      <c r="G992" s="6" t="str">
        <f>_xlfn.XLOOKUP(frasest[[#This Row],[autor_es]],autorest[autor_es],autorest[bio_es])</f>
        <v>Refranes populares de la tradición oral hispana que expresan de forma breve y ingeniosa enseñanzas prácticas sobre la vida cotidiana.</v>
      </c>
      <c r="H992" s="6" t="str">
        <f>_xlfn.XLOOKUP(frasest[[#This Row],[autor_es]],autorest[autor_es],autorest[bio_la])</f>
        <v>Collectio sententiarum Hispanicarum.</v>
      </c>
      <c r="I992" t="str">
        <f>_xlfn.XLOOKUP(frasest[[#This Row],[autor_es]],autorest[autor_es],autorest[codigo])</f>
        <v>es</v>
      </c>
      <c r="J992" t="str">
        <f>_xlfn.XLOOKUP(frasest[[#This Row],[autor_es]],autorest[autor_es],autorest[idioma_es])</f>
        <v>Español</v>
      </c>
      <c r="K992" s="6" t="str">
        <f>_xlfn.XLOOKUP(frasest[[#This Row],[autor_es]],autorest[autor_es],autorest[idioma_la])</f>
        <v>Lingua Hispanica</v>
      </c>
      <c r="L992" s="6" t="str">
        <f>_xlfn.XLOOKUP(frasest[[#This Row],[autor_es]],autorest[autor_es],autorest[nacion_es])</f>
        <v>España</v>
      </c>
      <c r="M992" t="str">
        <f>_xlfn.XLOOKUP(frasest[[#This Row],[autor_es]],autorest[autor_es],autorest[nacion_la])</f>
        <v>Hispania</v>
      </c>
      <c r="N992" t="str">
        <f>_xlfn.XLOOKUP(frasest[[#This Row],[autor_es]],autorest[autor_es],autorest[epoca_es])</f>
        <v>Epoca Desconocida</v>
      </c>
      <c r="O992" t="str">
        <f>_xlfn.XLOOKUP(frasest[[#This Row],[autor_es]],autorest[autor_es],autorest[epoca_la])</f>
        <v>Epocha Ignota</v>
      </c>
    </row>
    <row r="993" spans="1:15">
      <c r="A993">
        <v>992</v>
      </c>
      <c r="B993" t="s">
        <v>2730</v>
      </c>
      <c r="C993" t="s">
        <v>2731</v>
      </c>
      <c r="D993" t="s">
        <v>2730</v>
      </c>
      <c r="E993" t="s">
        <v>21</v>
      </c>
      <c r="F993" t="str">
        <f>_xlfn.XLOOKUP(frasest[[#This Row],[autor_es]],autorest[autor_es],autorest[autor_la])</f>
        <v>Sententia Hispanica</v>
      </c>
      <c r="G993" s="6" t="str">
        <f>_xlfn.XLOOKUP(frasest[[#This Row],[autor_es]],autorest[autor_es],autorest[bio_es])</f>
        <v>Refranes populares de la tradición oral hispana que expresan de forma breve y ingeniosa enseñanzas prácticas sobre la vida cotidiana.</v>
      </c>
      <c r="H993" s="6" t="str">
        <f>_xlfn.XLOOKUP(frasest[[#This Row],[autor_es]],autorest[autor_es],autorest[bio_la])</f>
        <v>Collectio sententiarum Hispanicarum.</v>
      </c>
      <c r="I993" t="str">
        <f>_xlfn.XLOOKUP(frasest[[#This Row],[autor_es]],autorest[autor_es],autorest[codigo])</f>
        <v>es</v>
      </c>
      <c r="J993" t="str">
        <f>_xlfn.XLOOKUP(frasest[[#This Row],[autor_es]],autorest[autor_es],autorest[idioma_es])</f>
        <v>Español</v>
      </c>
      <c r="K993" s="6" t="str">
        <f>_xlfn.XLOOKUP(frasest[[#This Row],[autor_es]],autorest[autor_es],autorest[idioma_la])</f>
        <v>Lingua Hispanica</v>
      </c>
      <c r="L993" s="6" t="str">
        <f>_xlfn.XLOOKUP(frasest[[#This Row],[autor_es]],autorest[autor_es],autorest[nacion_es])</f>
        <v>España</v>
      </c>
      <c r="M993" t="str">
        <f>_xlfn.XLOOKUP(frasest[[#This Row],[autor_es]],autorest[autor_es],autorest[nacion_la])</f>
        <v>Hispania</v>
      </c>
      <c r="N993" t="str">
        <f>_xlfn.XLOOKUP(frasest[[#This Row],[autor_es]],autorest[autor_es],autorest[epoca_es])</f>
        <v>Epoca Desconocida</v>
      </c>
      <c r="O993" t="str">
        <f>_xlfn.XLOOKUP(frasest[[#This Row],[autor_es]],autorest[autor_es],autorest[epoca_la])</f>
        <v>Epocha Ignota</v>
      </c>
    </row>
    <row r="994" spans="1:15">
      <c r="A994">
        <v>993</v>
      </c>
      <c r="B994" t="s">
        <v>2732</v>
      </c>
      <c r="C994" t="s">
        <v>2733</v>
      </c>
      <c r="D994" t="s">
        <v>2732</v>
      </c>
      <c r="E994" t="s">
        <v>21</v>
      </c>
      <c r="F994" t="str">
        <f>_xlfn.XLOOKUP(frasest[[#This Row],[autor_es]],autorest[autor_es],autorest[autor_la])</f>
        <v>Sententia Hispanica</v>
      </c>
      <c r="G994" s="6" t="str">
        <f>_xlfn.XLOOKUP(frasest[[#This Row],[autor_es]],autorest[autor_es],autorest[bio_es])</f>
        <v>Refranes populares de la tradición oral hispana que expresan de forma breve y ingeniosa enseñanzas prácticas sobre la vida cotidiana.</v>
      </c>
      <c r="H994" s="6" t="str">
        <f>_xlfn.XLOOKUP(frasest[[#This Row],[autor_es]],autorest[autor_es],autorest[bio_la])</f>
        <v>Collectio sententiarum Hispanicarum.</v>
      </c>
      <c r="I994" t="str">
        <f>_xlfn.XLOOKUP(frasest[[#This Row],[autor_es]],autorest[autor_es],autorest[codigo])</f>
        <v>es</v>
      </c>
      <c r="J994" t="str">
        <f>_xlfn.XLOOKUP(frasest[[#This Row],[autor_es]],autorest[autor_es],autorest[idioma_es])</f>
        <v>Español</v>
      </c>
      <c r="K994" s="6" t="str">
        <f>_xlfn.XLOOKUP(frasest[[#This Row],[autor_es]],autorest[autor_es],autorest[idioma_la])</f>
        <v>Lingua Hispanica</v>
      </c>
      <c r="L994" s="6" t="str">
        <f>_xlfn.XLOOKUP(frasest[[#This Row],[autor_es]],autorest[autor_es],autorest[nacion_es])</f>
        <v>España</v>
      </c>
      <c r="M994" t="str">
        <f>_xlfn.XLOOKUP(frasest[[#This Row],[autor_es]],autorest[autor_es],autorest[nacion_la])</f>
        <v>Hispania</v>
      </c>
      <c r="N994" t="str">
        <f>_xlfn.XLOOKUP(frasest[[#This Row],[autor_es]],autorest[autor_es],autorest[epoca_es])</f>
        <v>Epoca Desconocida</v>
      </c>
      <c r="O994" t="str">
        <f>_xlfn.XLOOKUP(frasest[[#This Row],[autor_es]],autorest[autor_es],autorest[epoca_la])</f>
        <v>Epocha Ignota</v>
      </c>
    </row>
    <row r="995" spans="1:15">
      <c r="A995">
        <v>994</v>
      </c>
      <c r="B995" t="s">
        <v>2734</v>
      </c>
      <c r="C995" t="s">
        <v>2735</v>
      </c>
      <c r="D995" t="s">
        <v>2734</v>
      </c>
      <c r="E995" t="s">
        <v>21</v>
      </c>
      <c r="F995" t="str">
        <f>_xlfn.XLOOKUP(frasest[[#This Row],[autor_es]],autorest[autor_es],autorest[autor_la])</f>
        <v>Sententia Hispanica</v>
      </c>
      <c r="G995" s="6" t="str">
        <f>_xlfn.XLOOKUP(frasest[[#This Row],[autor_es]],autorest[autor_es],autorest[bio_es])</f>
        <v>Refranes populares de la tradición oral hispana que expresan de forma breve y ingeniosa enseñanzas prácticas sobre la vida cotidiana.</v>
      </c>
      <c r="H995" s="6" t="str">
        <f>_xlfn.XLOOKUP(frasest[[#This Row],[autor_es]],autorest[autor_es],autorest[bio_la])</f>
        <v>Collectio sententiarum Hispanicarum.</v>
      </c>
      <c r="I995" t="str">
        <f>_xlfn.XLOOKUP(frasest[[#This Row],[autor_es]],autorest[autor_es],autorest[codigo])</f>
        <v>es</v>
      </c>
      <c r="J995" t="str">
        <f>_xlfn.XLOOKUP(frasest[[#This Row],[autor_es]],autorest[autor_es],autorest[idioma_es])</f>
        <v>Español</v>
      </c>
      <c r="K995" s="6" t="str">
        <f>_xlfn.XLOOKUP(frasest[[#This Row],[autor_es]],autorest[autor_es],autorest[idioma_la])</f>
        <v>Lingua Hispanica</v>
      </c>
      <c r="L995" s="6" t="str">
        <f>_xlfn.XLOOKUP(frasest[[#This Row],[autor_es]],autorest[autor_es],autorest[nacion_es])</f>
        <v>España</v>
      </c>
      <c r="M995" t="str">
        <f>_xlfn.XLOOKUP(frasest[[#This Row],[autor_es]],autorest[autor_es],autorest[nacion_la])</f>
        <v>Hispania</v>
      </c>
      <c r="N995" t="str">
        <f>_xlfn.XLOOKUP(frasest[[#This Row],[autor_es]],autorest[autor_es],autorest[epoca_es])</f>
        <v>Epoca Desconocida</v>
      </c>
      <c r="O995" t="str">
        <f>_xlfn.XLOOKUP(frasest[[#This Row],[autor_es]],autorest[autor_es],autorest[epoca_la])</f>
        <v>Epocha Ignota</v>
      </c>
    </row>
    <row r="996" spans="1:15">
      <c r="A996">
        <v>995</v>
      </c>
      <c r="B996" t="s">
        <v>2736</v>
      </c>
      <c r="C996" t="s">
        <v>2737</v>
      </c>
      <c r="D996" t="s">
        <v>2736</v>
      </c>
      <c r="E996" t="s">
        <v>21</v>
      </c>
      <c r="F996" t="str">
        <f>_xlfn.XLOOKUP(frasest[[#This Row],[autor_es]],autorest[autor_es],autorest[autor_la])</f>
        <v>Sententia Hispanica</v>
      </c>
      <c r="G996" s="6" t="str">
        <f>_xlfn.XLOOKUP(frasest[[#This Row],[autor_es]],autorest[autor_es],autorest[bio_es])</f>
        <v>Refranes populares de la tradición oral hispana que expresan de forma breve y ingeniosa enseñanzas prácticas sobre la vida cotidiana.</v>
      </c>
      <c r="H996" s="6" t="str">
        <f>_xlfn.XLOOKUP(frasest[[#This Row],[autor_es]],autorest[autor_es],autorest[bio_la])</f>
        <v>Collectio sententiarum Hispanicarum.</v>
      </c>
      <c r="I996" t="str">
        <f>_xlfn.XLOOKUP(frasest[[#This Row],[autor_es]],autorest[autor_es],autorest[codigo])</f>
        <v>es</v>
      </c>
      <c r="J996" t="str">
        <f>_xlfn.XLOOKUP(frasest[[#This Row],[autor_es]],autorest[autor_es],autorest[idioma_es])</f>
        <v>Español</v>
      </c>
      <c r="K996" s="6" t="str">
        <f>_xlfn.XLOOKUP(frasest[[#This Row],[autor_es]],autorest[autor_es],autorest[idioma_la])</f>
        <v>Lingua Hispanica</v>
      </c>
      <c r="L996" s="6" t="str">
        <f>_xlfn.XLOOKUP(frasest[[#This Row],[autor_es]],autorest[autor_es],autorest[nacion_es])</f>
        <v>España</v>
      </c>
      <c r="M996" t="str">
        <f>_xlfn.XLOOKUP(frasest[[#This Row],[autor_es]],autorest[autor_es],autorest[nacion_la])</f>
        <v>Hispania</v>
      </c>
      <c r="N996" t="str">
        <f>_xlfn.XLOOKUP(frasest[[#This Row],[autor_es]],autorest[autor_es],autorest[epoca_es])</f>
        <v>Epoca Desconocida</v>
      </c>
      <c r="O996" t="str">
        <f>_xlfn.XLOOKUP(frasest[[#This Row],[autor_es]],autorest[autor_es],autorest[epoca_la])</f>
        <v>Epocha Ignota</v>
      </c>
    </row>
    <row r="997" spans="1:15">
      <c r="A997">
        <v>996</v>
      </c>
      <c r="B997" t="s">
        <v>2738</v>
      </c>
      <c r="C997" t="s">
        <v>2739</v>
      </c>
      <c r="D997" t="s">
        <v>2738</v>
      </c>
      <c r="E997" t="s">
        <v>21</v>
      </c>
      <c r="F997" t="str">
        <f>_xlfn.XLOOKUP(frasest[[#This Row],[autor_es]],autorest[autor_es],autorest[autor_la])</f>
        <v>Sententia Hispanica</v>
      </c>
      <c r="G997" s="6" t="str">
        <f>_xlfn.XLOOKUP(frasest[[#This Row],[autor_es]],autorest[autor_es],autorest[bio_es])</f>
        <v>Refranes populares de la tradición oral hispana que expresan de forma breve y ingeniosa enseñanzas prácticas sobre la vida cotidiana.</v>
      </c>
      <c r="H997" s="6" t="str">
        <f>_xlfn.XLOOKUP(frasest[[#This Row],[autor_es]],autorest[autor_es],autorest[bio_la])</f>
        <v>Collectio sententiarum Hispanicarum.</v>
      </c>
      <c r="I997" t="str">
        <f>_xlfn.XLOOKUP(frasest[[#This Row],[autor_es]],autorest[autor_es],autorest[codigo])</f>
        <v>es</v>
      </c>
      <c r="J997" t="str">
        <f>_xlfn.XLOOKUP(frasest[[#This Row],[autor_es]],autorest[autor_es],autorest[idioma_es])</f>
        <v>Español</v>
      </c>
      <c r="K997" s="6" t="str">
        <f>_xlfn.XLOOKUP(frasest[[#This Row],[autor_es]],autorest[autor_es],autorest[idioma_la])</f>
        <v>Lingua Hispanica</v>
      </c>
      <c r="L997" s="6" t="str">
        <f>_xlfn.XLOOKUP(frasest[[#This Row],[autor_es]],autorest[autor_es],autorest[nacion_es])</f>
        <v>España</v>
      </c>
      <c r="M997" t="str">
        <f>_xlfn.XLOOKUP(frasest[[#This Row],[autor_es]],autorest[autor_es],autorest[nacion_la])</f>
        <v>Hispania</v>
      </c>
      <c r="N997" t="str">
        <f>_xlfn.XLOOKUP(frasest[[#This Row],[autor_es]],autorest[autor_es],autorest[epoca_es])</f>
        <v>Epoca Desconocida</v>
      </c>
      <c r="O997" t="str">
        <f>_xlfn.XLOOKUP(frasest[[#This Row],[autor_es]],autorest[autor_es],autorest[epoca_la])</f>
        <v>Epocha Ignota</v>
      </c>
    </row>
    <row r="998" spans="1:15">
      <c r="A998">
        <v>997</v>
      </c>
      <c r="B998" t="s">
        <v>2740</v>
      </c>
      <c r="C998" t="s">
        <v>2741</v>
      </c>
      <c r="D998" t="s">
        <v>2740</v>
      </c>
      <c r="E998" t="s">
        <v>21</v>
      </c>
      <c r="F998" t="str">
        <f>_xlfn.XLOOKUP(frasest[[#This Row],[autor_es]],autorest[autor_es],autorest[autor_la])</f>
        <v>Sententia Hispanica</v>
      </c>
      <c r="G998" s="6" t="str">
        <f>_xlfn.XLOOKUP(frasest[[#This Row],[autor_es]],autorest[autor_es],autorest[bio_es])</f>
        <v>Refranes populares de la tradición oral hispana que expresan de forma breve y ingeniosa enseñanzas prácticas sobre la vida cotidiana.</v>
      </c>
      <c r="H998" s="6" t="str">
        <f>_xlfn.XLOOKUP(frasest[[#This Row],[autor_es]],autorest[autor_es],autorest[bio_la])</f>
        <v>Collectio sententiarum Hispanicarum.</v>
      </c>
      <c r="I998" t="str">
        <f>_xlfn.XLOOKUP(frasest[[#This Row],[autor_es]],autorest[autor_es],autorest[codigo])</f>
        <v>es</v>
      </c>
      <c r="J998" t="str">
        <f>_xlfn.XLOOKUP(frasest[[#This Row],[autor_es]],autorest[autor_es],autorest[idioma_es])</f>
        <v>Español</v>
      </c>
      <c r="K998" s="6" t="str">
        <f>_xlfn.XLOOKUP(frasest[[#This Row],[autor_es]],autorest[autor_es],autorest[idioma_la])</f>
        <v>Lingua Hispanica</v>
      </c>
      <c r="L998" s="6" t="str">
        <f>_xlfn.XLOOKUP(frasest[[#This Row],[autor_es]],autorest[autor_es],autorest[nacion_es])</f>
        <v>España</v>
      </c>
      <c r="M998" t="str">
        <f>_xlfn.XLOOKUP(frasest[[#This Row],[autor_es]],autorest[autor_es],autorest[nacion_la])</f>
        <v>Hispania</v>
      </c>
      <c r="N998" t="str">
        <f>_xlfn.XLOOKUP(frasest[[#This Row],[autor_es]],autorest[autor_es],autorest[epoca_es])</f>
        <v>Epoca Desconocida</v>
      </c>
      <c r="O998" t="str">
        <f>_xlfn.XLOOKUP(frasest[[#This Row],[autor_es]],autorest[autor_es],autorest[epoca_la])</f>
        <v>Epocha Ignota</v>
      </c>
    </row>
    <row r="999" spans="1:15">
      <c r="A999">
        <v>998</v>
      </c>
      <c r="B999" t="s">
        <v>2742</v>
      </c>
      <c r="C999" t="s">
        <v>2743</v>
      </c>
      <c r="D999" t="s">
        <v>2742</v>
      </c>
      <c r="E999" t="s">
        <v>21</v>
      </c>
      <c r="F999" t="str">
        <f>_xlfn.XLOOKUP(frasest[[#This Row],[autor_es]],autorest[autor_es],autorest[autor_la])</f>
        <v>Sententia Hispanica</v>
      </c>
      <c r="G999" s="6" t="str">
        <f>_xlfn.XLOOKUP(frasest[[#This Row],[autor_es]],autorest[autor_es],autorest[bio_es])</f>
        <v>Refranes populares de la tradición oral hispana que expresan de forma breve y ingeniosa enseñanzas prácticas sobre la vida cotidiana.</v>
      </c>
      <c r="H999" s="6" t="str">
        <f>_xlfn.XLOOKUP(frasest[[#This Row],[autor_es]],autorest[autor_es],autorest[bio_la])</f>
        <v>Collectio sententiarum Hispanicarum.</v>
      </c>
      <c r="I999" t="str">
        <f>_xlfn.XLOOKUP(frasest[[#This Row],[autor_es]],autorest[autor_es],autorest[codigo])</f>
        <v>es</v>
      </c>
      <c r="J999" t="str">
        <f>_xlfn.XLOOKUP(frasest[[#This Row],[autor_es]],autorest[autor_es],autorest[idioma_es])</f>
        <v>Español</v>
      </c>
      <c r="K999" s="6" t="str">
        <f>_xlfn.XLOOKUP(frasest[[#This Row],[autor_es]],autorest[autor_es],autorest[idioma_la])</f>
        <v>Lingua Hispanica</v>
      </c>
      <c r="L999" s="6" t="str">
        <f>_xlfn.XLOOKUP(frasest[[#This Row],[autor_es]],autorest[autor_es],autorest[nacion_es])</f>
        <v>España</v>
      </c>
      <c r="M999" t="str">
        <f>_xlfn.XLOOKUP(frasest[[#This Row],[autor_es]],autorest[autor_es],autorest[nacion_la])</f>
        <v>Hispania</v>
      </c>
      <c r="N999" t="str">
        <f>_xlfn.XLOOKUP(frasest[[#This Row],[autor_es]],autorest[autor_es],autorest[epoca_es])</f>
        <v>Epoca Desconocida</v>
      </c>
      <c r="O999" t="str">
        <f>_xlfn.XLOOKUP(frasest[[#This Row],[autor_es]],autorest[autor_es],autorest[epoca_la])</f>
        <v>Epocha Ignota</v>
      </c>
    </row>
    <row r="1000" spans="1:15">
      <c r="A1000">
        <v>999</v>
      </c>
      <c r="B1000" t="s">
        <v>2744</v>
      </c>
      <c r="C1000" t="s">
        <v>2745</v>
      </c>
      <c r="D1000" t="s">
        <v>2744</v>
      </c>
      <c r="E1000" t="s">
        <v>21</v>
      </c>
      <c r="F1000" t="str">
        <f>_xlfn.XLOOKUP(frasest[[#This Row],[autor_es]],autorest[autor_es],autorest[autor_la])</f>
        <v>Sententia Hispanica</v>
      </c>
      <c r="G1000" s="6" t="str">
        <f>_xlfn.XLOOKUP(frasest[[#This Row],[autor_es]],autorest[autor_es],autorest[bio_es])</f>
        <v>Refranes populares de la tradición oral hispana que expresan de forma breve y ingeniosa enseñanzas prácticas sobre la vida cotidiana.</v>
      </c>
      <c r="H1000" s="6" t="str">
        <f>_xlfn.XLOOKUP(frasest[[#This Row],[autor_es]],autorest[autor_es],autorest[bio_la])</f>
        <v>Collectio sententiarum Hispanicarum.</v>
      </c>
      <c r="I1000" t="str">
        <f>_xlfn.XLOOKUP(frasest[[#This Row],[autor_es]],autorest[autor_es],autorest[codigo])</f>
        <v>es</v>
      </c>
      <c r="J1000" t="str">
        <f>_xlfn.XLOOKUP(frasest[[#This Row],[autor_es]],autorest[autor_es],autorest[idioma_es])</f>
        <v>Español</v>
      </c>
      <c r="K1000" s="6" t="str">
        <f>_xlfn.XLOOKUP(frasest[[#This Row],[autor_es]],autorest[autor_es],autorest[idioma_la])</f>
        <v>Lingua Hispanica</v>
      </c>
      <c r="L1000" s="6" t="str">
        <f>_xlfn.XLOOKUP(frasest[[#This Row],[autor_es]],autorest[autor_es],autorest[nacion_es])</f>
        <v>España</v>
      </c>
      <c r="M1000" t="str">
        <f>_xlfn.XLOOKUP(frasest[[#This Row],[autor_es]],autorest[autor_es],autorest[nacion_la])</f>
        <v>Hispania</v>
      </c>
      <c r="N1000" t="str">
        <f>_xlfn.XLOOKUP(frasest[[#This Row],[autor_es]],autorest[autor_es],autorest[epoca_es])</f>
        <v>Epoca Desconocida</v>
      </c>
      <c r="O1000" t="str">
        <f>_xlfn.XLOOKUP(frasest[[#This Row],[autor_es]],autorest[autor_es],autorest[epoca_la])</f>
        <v>Epocha Ignota</v>
      </c>
    </row>
    <row r="1001" spans="1:15">
      <c r="A1001">
        <v>1000</v>
      </c>
      <c r="B1001" t="s">
        <v>2746</v>
      </c>
      <c r="C1001" t="s">
        <v>2747</v>
      </c>
      <c r="D1001" t="s">
        <v>2746</v>
      </c>
      <c r="E1001" t="s">
        <v>21</v>
      </c>
      <c r="F1001" t="str">
        <f>_xlfn.XLOOKUP(frasest[[#This Row],[autor_es]],autorest[autor_es],autorest[autor_la])</f>
        <v>Sententia Hispanica</v>
      </c>
      <c r="G1001" s="6" t="str">
        <f>_xlfn.XLOOKUP(frasest[[#This Row],[autor_es]],autorest[autor_es],autorest[bio_es])</f>
        <v>Refranes populares de la tradición oral hispana que expresan de forma breve y ingeniosa enseñanzas prácticas sobre la vida cotidiana.</v>
      </c>
      <c r="H1001" s="6" t="str">
        <f>_xlfn.XLOOKUP(frasest[[#This Row],[autor_es]],autorest[autor_es],autorest[bio_la])</f>
        <v>Collectio sententiarum Hispanicarum.</v>
      </c>
      <c r="I1001" t="str">
        <f>_xlfn.XLOOKUP(frasest[[#This Row],[autor_es]],autorest[autor_es],autorest[codigo])</f>
        <v>es</v>
      </c>
      <c r="J1001" t="str">
        <f>_xlfn.XLOOKUP(frasest[[#This Row],[autor_es]],autorest[autor_es],autorest[idioma_es])</f>
        <v>Español</v>
      </c>
      <c r="K1001" s="6" t="str">
        <f>_xlfn.XLOOKUP(frasest[[#This Row],[autor_es]],autorest[autor_es],autorest[idioma_la])</f>
        <v>Lingua Hispanica</v>
      </c>
      <c r="L1001" s="6" t="str">
        <f>_xlfn.XLOOKUP(frasest[[#This Row],[autor_es]],autorest[autor_es],autorest[nacion_es])</f>
        <v>España</v>
      </c>
      <c r="M1001" t="str">
        <f>_xlfn.XLOOKUP(frasest[[#This Row],[autor_es]],autorest[autor_es],autorest[nacion_la])</f>
        <v>Hispania</v>
      </c>
      <c r="N1001" t="str">
        <f>_xlfn.XLOOKUP(frasest[[#This Row],[autor_es]],autorest[autor_es],autorest[epoca_es])</f>
        <v>Epoca Desconocida</v>
      </c>
      <c r="O1001" t="str">
        <f>_xlfn.XLOOKUP(frasest[[#This Row],[autor_es]],autorest[autor_es],autorest[epoca_la])</f>
        <v>Epocha Ignota</v>
      </c>
    </row>
    <row r="1002" spans="1:15">
      <c r="A1002">
        <v>1001</v>
      </c>
      <c r="B1002" t="s">
        <v>2748</v>
      </c>
      <c r="C1002" t="s">
        <v>2749</v>
      </c>
      <c r="D1002" t="s">
        <v>2748</v>
      </c>
      <c r="E1002" t="s">
        <v>21</v>
      </c>
      <c r="F1002" t="str">
        <f>_xlfn.XLOOKUP(frasest[[#This Row],[autor_es]],autorest[autor_es],autorest[autor_la])</f>
        <v>Sententia Hispanica</v>
      </c>
      <c r="G1002" s="6" t="str">
        <f>_xlfn.XLOOKUP(frasest[[#This Row],[autor_es]],autorest[autor_es],autorest[bio_es])</f>
        <v>Refranes populares de la tradición oral hispana que expresan de forma breve y ingeniosa enseñanzas prácticas sobre la vida cotidiana.</v>
      </c>
      <c r="H1002" s="6" t="str">
        <f>_xlfn.XLOOKUP(frasest[[#This Row],[autor_es]],autorest[autor_es],autorest[bio_la])</f>
        <v>Collectio sententiarum Hispanicarum.</v>
      </c>
      <c r="I1002" t="str">
        <f>_xlfn.XLOOKUP(frasest[[#This Row],[autor_es]],autorest[autor_es],autorest[codigo])</f>
        <v>es</v>
      </c>
      <c r="J1002" t="str">
        <f>_xlfn.XLOOKUP(frasest[[#This Row],[autor_es]],autorest[autor_es],autorest[idioma_es])</f>
        <v>Español</v>
      </c>
      <c r="K1002" s="6" t="str">
        <f>_xlfn.XLOOKUP(frasest[[#This Row],[autor_es]],autorest[autor_es],autorest[idioma_la])</f>
        <v>Lingua Hispanica</v>
      </c>
      <c r="L1002" s="6" t="str">
        <f>_xlfn.XLOOKUP(frasest[[#This Row],[autor_es]],autorest[autor_es],autorest[nacion_es])</f>
        <v>España</v>
      </c>
      <c r="M1002" t="str">
        <f>_xlfn.XLOOKUP(frasest[[#This Row],[autor_es]],autorest[autor_es],autorest[nacion_la])</f>
        <v>Hispania</v>
      </c>
      <c r="N1002" t="str">
        <f>_xlfn.XLOOKUP(frasest[[#This Row],[autor_es]],autorest[autor_es],autorest[epoca_es])</f>
        <v>Epoca Desconocida</v>
      </c>
      <c r="O1002" t="str">
        <f>_xlfn.XLOOKUP(frasest[[#This Row],[autor_es]],autorest[autor_es],autorest[epoca_la])</f>
        <v>Epocha Ignota</v>
      </c>
    </row>
    <row r="1003" spans="1:15">
      <c r="A1003">
        <v>1002</v>
      </c>
      <c r="B1003" t="s">
        <v>2750</v>
      </c>
      <c r="C1003" t="s">
        <v>2751</v>
      </c>
      <c r="D1003" t="s">
        <v>2750</v>
      </c>
      <c r="E1003" t="s">
        <v>21</v>
      </c>
      <c r="F1003" t="str">
        <f>_xlfn.XLOOKUP(frasest[[#This Row],[autor_es]],autorest[autor_es],autorest[autor_la])</f>
        <v>Sententia Hispanica</v>
      </c>
      <c r="G1003" s="6" t="str">
        <f>_xlfn.XLOOKUP(frasest[[#This Row],[autor_es]],autorest[autor_es],autorest[bio_es])</f>
        <v>Refranes populares de la tradición oral hispana que expresan de forma breve y ingeniosa enseñanzas prácticas sobre la vida cotidiana.</v>
      </c>
      <c r="H1003" s="6" t="str">
        <f>_xlfn.XLOOKUP(frasest[[#This Row],[autor_es]],autorest[autor_es],autorest[bio_la])</f>
        <v>Collectio sententiarum Hispanicarum.</v>
      </c>
      <c r="I1003" t="str">
        <f>_xlfn.XLOOKUP(frasest[[#This Row],[autor_es]],autorest[autor_es],autorest[codigo])</f>
        <v>es</v>
      </c>
      <c r="J1003" t="str">
        <f>_xlfn.XLOOKUP(frasest[[#This Row],[autor_es]],autorest[autor_es],autorest[idioma_es])</f>
        <v>Español</v>
      </c>
      <c r="K1003" s="6" t="str">
        <f>_xlfn.XLOOKUP(frasest[[#This Row],[autor_es]],autorest[autor_es],autorest[idioma_la])</f>
        <v>Lingua Hispanica</v>
      </c>
      <c r="L1003" s="6" t="str">
        <f>_xlfn.XLOOKUP(frasest[[#This Row],[autor_es]],autorest[autor_es],autorest[nacion_es])</f>
        <v>España</v>
      </c>
      <c r="M1003" t="str">
        <f>_xlfn.XLOOKUP(frasest[[#This Row],[autor_es]],autorest[autor_es],autorest[nacion_la])</f>
        <v>Hispania</v>
      </c>
      <c r="N1003" t="str">
        <f>_xlfn.XLOOKUP(frasest[[#This Row],[autor_es]],autorest[autor_es],autorest[epoca_es])</f>
        <v>Epoca Desconocida</v>
      </c>
      <c r="O1003" t="str">
        <f>_xlfn.XLOOKUP(frasest[[#This Row],[autor_es]],autorest[autor_es],autorest[epoca_la])</f>
        <v>Epocha Ignota</v>
      </c>
    </row>
    <row r="1004" spans="1:15">
      <c r="A1004">
        <v>1003</v>
      </c>
      <c r="B1004" t="s">
        <v>2752</v>
      </c>
      <c r="C1004" t="s">
        <v>2753</v>
      </c>
      <c r="D1004" t="s">
        <v>2752</v>
      </c>
      <c r="E1004" t="s">
        <v>21</v>
      </c>
      <c r="F1004" t="str">
        <f>_xlfn.XLOOKUP(frasest[[#This Row],[autor_es]],autorest[autor_es],autorest[autor_la])</f>
        <v>Sententia Hispanica</v>
      </c>
      <c r="G1004" s="6" t="str">
        <f>_xlfn.XLOOKUP(frasest[[#This Row],[autor_es]],autorest[autor_es],autorest[bio_es])</f>
        <v>Refranes populares de la tradición oral hispana que expresan de forma breve y ingeniosa enseñanzas prácticas sobre la vida cotidiana.</v>
      </c>
      <c r="H1004" s="6" t="str">
        <f>_xlfn.XLOOKUP(frasest[[#This Row],[autor_es]],autorest[autor_es],autorest[bio_la])</f>
        <v>Collectio sententiarum Hispanicarum.</v>
      </c>
      <c r="I1004" t="str">
        <f>_xlfn.XLOOKUP(frasest[[#This Row],[autor_es]],autorest[autor_es],autorest[codigo])</f>
        <v>es</v>
      </c>
      <c r="J1004" t="str">
        <f>_xlfn.XLOOKUP(frasest[[#This Row],[autor_es]],autorest[autor_es],autorest[idioma_es])</f>
        <v>Español</v>
      </c>
      <c r="K1004" s="6" t="str">
        <f>_xlfn.XLOOKUP(frasest[[#This Row],[autor_es]],autorest[autor_es],autorest[idioma_la])</f>
        <v>Lingua Hispanica</v>
      </c>
      <c r="L1004" s="6" t="str">
        <f>_xlfn.XLOOKUP(frasest[[#This Row],[autor_es]],autorest[autor_es],autorest[nacion_es])</f>
        <v>España</v>
      </c>
      <c r="M1004" t="str">
        <f>_xlfn.XLOOKUP(frasest[[#This Row],[autor_es]],autorest[autor_es],autorest[nacion_la])</f>
        <v>Hispania</v>
      </c>
      <c r="N1004" t="str">
        <f>_xlfn.XLOOKUP(frasest[[#This Row],[autor_es]],autorest[autor_es],autorest[epoca_es])</f>
        <v>Epoca Desconocida</v>
      </c>
      <c r="O1004" t="str">
        <f>_xlfn.XLOOKUP(frasest[[#This Row],[autor_es]],autorest[autor_es],autorest[epoca_la])</f>
        <v>Epocha Ignota</v>
      </c>
    </row>
    <row r="1005" spans="1:15">
      <c r="A1005">
        <v>1004</v>
      </c>
      <c r="B1005" t="s">
        <v>2180</v>
      </c>
      <c r="C1005" t="s">
        <v>2181</v>
      </c>
      <c r="D1005" t="s">
        <v>2180</v>
      </c>
      <c r="E1005" t="s">
        <v>21</v>
      </c>
      <c r="F1005" t="str">
        <f>_xlfn.XLOOKUP(frasest[[#This Row],[autor_es]],autorest[autor_es],autorest[autor_la])</f>
        <v>Sententia Hispanica</v>
      </c>
      <c r="G1005" s="6" t="str">
        <f>_xlfn.XLOOKUP(frasest[[#This Row],[autor_es]],autorest[autor_es],autorest[bio_es])</f>
        <v>Refranes populares de la tradición oral hispana que expresan de forma breve y ingeniosa enseñanzas prácticas sobre la vida cotidiana.</v>
      </c>
      <c r="H1005" s="6" t="str">
        <f>_xlfn.XLOOKUP(frasest[[#This Row],[autor_es]],autorest[autor_es],autorest[bio_la])</f>
        <v>Collectio sententiarum Hispanicarum.</v>
      </c>
      <c r="I1005" t="str">
        <f>_xlfn.XLOOKUP(frasest[[#This Row],[autor_es]],autorest[autor_es],autorest[codigo])</f>
        <v>es</v>
      </c>
      <c r="J1005" t="str">
        <f>_xlfn.XLOOKUP(frasest[[#This Row],[autor_es]],autorest[autor_es],autorest[idioma_es])</f>
        <v>Español</v>
      </c>
      <c r="K1005" s="6" t="str">
        <f>_xlfn.XLOOKUP(frasest[[#This Row],[autor_es]],autorest[autor_es],autorest[idioma_la])</f>
        <v>Lingua Hispanica</v>
      </c>
      <c r="L1005" s="6" t="str">
        <f>_xlfn.XLOOKUP(frasest[[#This Row],[autor_es]],autorest[autor_es],autorest[nacion_es])</f>
        <v>España</v>
      </c>
      <c r="M1005" t="str">
        <f>_xlfn.XLOOKUP(frasest[[#This Row],[autor_es]],autorest[autor_es],autorest[nacion_la])</f>
        <v>Hispania</v>
      </c>
      <c r="N1005" t="str">
        <f>_xlfn.XLOOKUP(frasest[[#This Row],[autor_es]],autorest[autor_es],autorest[epoca_es])</f>
        <v>Epoca Desconocida</v>
      </c>
      <c r="O1005" t="str">
        <f>_xlfn.XLOOKUP(frasest[[#This Row],[autor_es]],autorest[autor_es],autorest[epoca_la])</f>
        <v>Epocha Ignota</v>
      </c>
    </row>
    <row r="1006" spans="1:15">
      <c r="A1006">
        <v>1005</v>
      </c>
      <c r="B1006" t="s">
        <v>2754</v>
      </c>
      <c r="C1006" t="s">
        <v>2755</v>
      </c>
      <c r="D1006" t="s">
        <v>2754</v>
      </c>
      <c r="E1006" t="s">
        <v>21</v>
      </c>
      <c r="F1006" t="str">
        <f>_xlfn.XLOOKUP(frasest[[#This Row],[autor_es]],autorest[autor_es],autorest[autor_la])</f>
        <v>Sententia Hispanica</v>
      </c>
      <c r="G1006" s="6" t="str">
        <f>_xlfn.XLOOKUP(frasest[[#This Row],[autor_es]],autorest[autor_es],autorest[bio_es])</f>
        <v>Refranes populares de la tradición oral hispana que expresan de forma breve y ingeniosa enseñanzas prácticas sobre la vida cotidiana.</v>
      </c>
      <c r="H1006" s="6" t="str">
        <f>_xlfn.XLOOKUP(frasest[[#This Row],[autor_es]],autorest[autor_es],autorest[bio_la])</f>
        <v>Collectio sententiarum Hispanicarum.</v>
      </c>
      <c r="I1006" t="str">
        <f>_xlfn.XLOOKUP(frasest[[#This Row],[autor_es]],autorest[autor_es],autorest[codigo])</f>
        <v>es</v>
      </c>
      <c r="J1006" t="str">
        <f>_xlfn.XLOOKUP(frasest[[#This Row],[autor_es]],autorest[autor_es],autorest[idioma_es])</f>
        <v>Español</v>
      </c>
      <c r="K1006" s="6" t="str">
        <f>_xlfn.XLOOKUP(frasest[[#This Row],[autor_es]],autorest[autor_es],autorest[idioma_la])</f>
        <v>Lingua Hispanica</v>
      </c>
      <c r="L1006" s="6" t="str">
        <f>_xlfn.XLOOKUP(frasest[[#This Row],[autor_es]],autorest[autor_es],autorest[nacion_es])</f>
        <v>España</v>
      </c>
      <c r="M1006" t="str">
        <f>_xlfn.XLOOKUP(frasest[[#This Row],[autor_es]],autorest[autor_es],autorest[nacion_la])</f>
        <v>Hispania</v>
      </c>
      <c r="N1006" t="str">
        <f>_xlfn.XLOOKUP(frasest[[#This Row],[autor_es]],autorest[autor_es],autorest[epoca_es])</f>
        <v>Epoca Desconocida</v>
      </c>
      <c r="O1006" t="str">
        <f>_xlfn.XLOOKUP(frasest[[#This Row],[autor_es]],autorest[autor_es],autorest[epoca_la])</f>
        <v>Epocha Ignota</v>
      </c>
    </row>
    <row r="1007" spans="1:15">
      <c r="A1007">
        <v>1006</v>
      </c>
      <c r="B1007" t="s">
        <v>2756</v>
      </c>
      <c r="C1007" t="s">
        <v>2757</v>
      </c>
      <c r="D1007" t="s">
        <v>2756</v>
      </c>
      <c r="E1007" t="s">
        <v>21</v>
      </c>
      <c r="F1007" t="str">
        <f>_xlfn.XLOOKUP(frasest[[#This Row],[autor_es]],autorest[autor_es],autorest[autor_la])</f>
        <v>Sententia Hispanica</v>
      </c>
      <c r="G1007" s="6" t="str">
        <f>_xlfn.XLOOKUP(frasest[[#This Row],[autor_es]],autorest[autor_es],autorest[bio_es])</f>
        <v>Refranes populares de la tradición oral hispana que expresan de forma breve y ingeniosa enseñanzas prácticas sobre la vida cotidiana.</v>
      </c>
      <c r="H1007" s="6" t="str">
        <f>_xlfn.XLOOKUP(frasest[[#This Row],[autor_es]],autorest[autor_es],autorest[bio_la])</f>
        <v>Collectio sententiarum Hispanicarum.</v>
      </c>
      <c r="I1007" t="str">
        <f>_xlfn.XLOOKUP(frasest[[#This Row],[autor_es]],autorest[autor_es],autorest[codigo])</f>
        <v>es</v>
      </c>
      <c r="J1007" t="str">
        <f>_xlfn.XLOOKUP(frasest[[#This Row],[autor_es]],autorest[autor_es],autorest[idioma_es])</f>
        <v>Español</v>
      </c>
      <c r="K1007" s="6" t="str">
        <f>_xlfn.XLOOKUP(frasest[[#This Row],[autor_es]],autorest[autor_es],autorest[idioma_la])</f>
        <v>Lingua Hispanica</v>
      </c>
      <c r="L1007" s="6" t="str">
        <f>_xlfn.XLOOKUP(frasest[[#This Row],[autor_es]],autorest[autor_es],autorest[nacion_es])</f>
        <v>España</v>
      </c>
      <c r="M1007" t="str">
        <f>_xlfn.XLOOKUP(frasest[[#This Row],[autor_es]],autorest[autor_es],autorest[nacion_la])</f>
        <v>Hispania</v>
      </c>
      <c r="N1007" t="str">
        <f>_xlfn.XLOOKUP(frasest[[#This Row],[autor_es]],autorest[autor_es],autorest[epoca_es])</f>
        <v>Epoca Desconocida</v>
      </c>
      <c r="O1007" t="str">
        <f>_xlfn.XLOOKUP(frasest[[#This Row],[autor_es]],autorest[autor_es],autorest[epoca_la])</f>
        <v>Epocha Ignota</v>
      </c>
    </row>
    <row r="1008" spans="1:15">
      <c r="A1008">
        <v>1007</v>
      </c>
      <c r="B1008" t="s">
        <v>2758</v>
      </c>
      <c r="C1008" t="s">
        <v>2759</v>
      </c>
      <c r="D1008" t="s">
        <v>2758</v>
      </c>
      <c r="E1008" t="s">
        <v>21</v>
      </c>
      <c r="F1008" t="str">
        <f>_xlfn.XLOOKUP(frasest[[#This Row],[autor_es]],autorest[autor_es],autorest[autor_la])</f>
        <v>Sententia Hispanica</v>
      </c>
      <c r="G1008" s="6" t="str">
        <f>_xlfn.XLOOKUP(frasest[[#This Row],[autor_es]],autorest[autor_es],autorest[bio_es])</f>
        <v>Refranes populares de la tradición oral hispana que expresan de forma breve y ingeniosa enseñanzas prácticas sobre la vida cotidiana.</v>
      </c>
      <c r="H1008" s="6" t="str">
        <f>_xlfn.XLOOKUP(frasest[[#This Row],[autor_es]],autorest[autor_es],autorest[bio_la])</f>
        <v>Collectio sententiarum Hispanicarum.</v>
      </c>
      <c r="I1008" t="str">
        <f>_xlfn.XLOOKUP(frasest[[#This Row],[autor_es]],autorest[autor_es],autorest[codigo])</f>
        <v>es</v>
      </c>
      <c r="J1008" t="str">
        <f>_xlfn.XLOOKUP(frasest[[#This Row],[autor_es]],autorest[autor_es],autorest[idioma_es])</f>
        <v>Español</v>
      </c>
      <c r="K1008" s="6" t="str">
        <f>_xlfn.XLOOKUP(frasest[[#This Row],[autor_es]],autorest[autor_es],autorest[idioma_la])</f>
        <v>Lingua Hispanica</v>
      </c>
      <c r="L1008" s="6" t="str">
        <f>_xlfn.XLOOKUP(frasest[[#This Row],[autor_es]],autorest[autor_es],autorest[nacion_es])</f>
        <v>España</v>
      </c>
      <c r="M1008" t="str">
        <f>_xlfn.XLOOKUP(frasest[[#This Row],[autor_es]],autorest[autor_es],autorest[nacion_la])</f>
        <v>Hispania</v>
      </c>
      <c r="N1008" t="str">
        <f>_xlfn.XLOOKUP(frasest[[#This Row],[autor_es]],autorest[autor_es],autorest[epoca_es])</f>
        <v>Epoca Desconocida</v>
      </c>
      <c r="O1008" t="str">
        <f>_xlfn.XLOOKUP(frasest[[#This Row],[autor_es]],autorest[autor_es],autorest[epoca_la])</f>
        <v>Epocha Ignota</v>
      </c>
    </row>
    <row r="1009" spans="1:15">
      <c r="A1009">
        <v>1008</v>
      </c>
      <c r="B1009" t="s">
        <v>2760</v>
      </c>
      <c r="C1009" t="s">
        <v>2761</v>
      </c>
      <c r="D1009" t="s">
        <v>2760</v>
      </c>
      <c r="E1009" t="s">
        <v>21</v>
      </c>
      <c r="F1009" t="str">
        <f>_xlfn.XLOOKUP(frasest[[#This Row],[autor_es]],autorest[autor_es],autorest[autor_la])</f>
        <v>Sententia Hispanica</v>
      </c>
      <c r="G1009" s="6" t="str">
        <f>_xlfn.XLOOKUP(frasest[[#This Row],[autor_es]],autorest[autor_es],autorest[bio_es])</f>
        <v>Refranes populares de la tradición oral hispana que expresan de forma breve y ingeniosa enseñanzas prácticas sobre la vida cotidiana.</v>
      </c>
      <c r="H1009" s="6" t="str">
        <f>_xlfn.XLOOKUP(frasest[[#This Row],[autor_es]],autorest[autor_es],autorest[bio_la])</f>
        <v>Collectio sententiarum Hispanicarum.</v>
      </c>
      <c r="I1009" t="str">
        <f>_xlfn.XLOOKUP(frasest[[#This Row],[autor_es]],autorest[autor_es],autorest[codigo])</f>
        <v>es</v>
      </c>
      <c r="J1009" t="str">
        <f>_xlfn.XLOOKUP(frasest[[#This Row],[autor_es]],autorest[autor_es],autorest[idioma_es])</f>
        <v>Español</v>
      </c>
      <c r="K1009" s="6" t="str">
        <f>_xlfn.XLOOKUP(frasest[[#This Row],[autor_es]],autorest[autor_es],autorest[idioma_la])</f>
        <v>Lingua Hispanica</v>
      </c>
      <c r="L1009" s="6" t="str">
        <f>_xlfn.XLOOKUP(frasest[[#This Row],[autor_es]],autorest[autor_es],autorest[nacion_es])</f>
        <v>España</v>
      </c>
      <c r="M1009" t="str">
        <f>_xlfn.XLOOKUP(frasest[[#This Row],[autor_es]],autorest[autor_es],autorest[nacion_la])</f>
        <v>Hispania</v>
      </c>
      <c r="N1009" t="str">
        <f>_xlfn.XLOOKUP(frasest[[#This Row],[autor_es]],autorest[autor_es],autorest[epoca_es])</f>
        <v>Epoca Desconocida</v>
      </c>
      <c r="O1009" t="str">
        <f>_xlfn.XLOOKUP(frasest[[#This Row],[autor_es]],autorest[autor_es],autorest[epoca_la])</f>
        <v>Epocha Ignota</v>
      </c>
    </row>
    <row r="1010" spans="1:15">
      <c r="A1010">
        <v>1009</v>
      </c>
      <c r="B1010" t="s">
        <v>2762</v>
      </c>
      <c r="C1010" t="s">
        <v>2763</v>
      </c>
      <c r="D1010" t="s">
        <v>2762</v>
      </c>
      <c r="E1010" t="s">
        <v>21</v>
      </c>
      <c r="F1010" t="str">
        <f>_xlfn.XLOOKUP(frasest[[#This Row],[autor_es]],autorest[autor_es],autorest[autor_la])</f>
        <v>Sententia Hispanica</v>
      </c>
      <c r="G1010" s="6" t="str">
        <f>_xlfn.XLOOKUP(frasest[[#This Row],[autor_es]],autorest[autor_es],autorest[bio_es])</f>
        <v>Refranes populares de la tradición oral hispana que expresan de forma breve y ingeniosa enseñanzas prácticas sobre la vida cotidiana.</v>
      </c>
      <c r="H1010" s="6" t="str">
        <f>_xlfn.XLOOKUP(frasest[[#This Row],[autor_es]],autorest[autor_es],autorest[bio_la])</f>
        <v>Collectio sententiarum Hispanicarum.</v>
      </c>
      <c r="I1010" t="str">
        <f>_xlfn.XLOOKUP(frasest[[#This Row],[autor_es]],autorest[autor_es],autorest[codigo])</f>
        <v>es</v>
      </c>
      <c r="J1010" t="str">
        <f>_xlfn.XLOOKUP(frasest[[#This Row],[autor_es]],autorest[autor_es],autorest[idioma_es])</f>
        <v>Español</v>
      </c>
      <c r="K1010" s="6" t="str">
        <f>_xlfn.XLOOKUP(frasest[[#This Row],[autor_es]],autorest[autor_es],autorest[idioma_la])</f>
        <v>Lingua Hispanica</v>
      </c>
      <c r="L1010" s="6" t="str">
        <f>_xlfn.XLOOKUP(frasest[[#This Row],[autor_es]],autorest[autor_es],autorest[nacion_es])</f>
        <v>España</v>
      </c>
      <c r="M1010" t="str">
        <f>_xlfn.XLOOKUP(frasest[[#This Row],[autor_es]],autorest[autor_es],autorest[nacion_la])</f>
        <v>Hispania</v>
      </c>
      <c r="N1010" t="str">
        <f>_xlfn.XLOOKUP(frasest[[#This Row],[autor_es]],autorest[autor_es],autorest[epoca_es])</f>
        <v>Epoca Desconocida</v>
      </c>
      <c r="O1010" t="str">
        <f>_xlfn.XLOOKUP(frasest[[#This Row],[autor_es]],autorest[autor_es],autorest[epoca_la])</f>
        <v>Epocha Ignota</v>
      </c>
    </row>
    <row r="1011" spans="1:15">
      <c r="A1011">
        <v>1010</v>
      </c>
      <c r="B1011" t="s">
        <v>2764</v>
      </c>
      <c r="C1011" t="s">
        <v>2765</v>
      </c>
      <c r="D1011" t="s">
        <v>2764</v>
      </c>
      <c r="E1011" t="s">
        <v>21</v>
      </c>
      <c r="F1011" t="str">
        <f>_xlfn.XLOOKUP(frasest[[#This Row],[autor_es]],autorest[autor_es],autorest[autor_la])</f>
        <v>Sententia Hispanica</v>
      </c>
      <c r="G1011" s="6" t="str">
        <f>_xlfn.XLOOKUP(frasest[[#This Row],[autor_es]],autorest[autor_es],autorest[bio_es])</f>
        <v>Refranes populares de la tradición oral hispana que expresan de forma breve y ingeniosa enseñanzas prácticas sobre la vida cotidiana.</v>
      </c>
      <c r="H1011" s="6" t="str">
        <f>_xlfn.XLOOKUP(frasest[[#This Row],[autor_es]],autorest[autor_es],autorest[bio_la])</f>
        <v>Collectio sententiarum Hispanicarum.</v>
      </c>
      <c r="I1011" t="str">
        <f>_xlfn.XLOOKUP(frasest[[#This Row],[autor_es]],autorest[autor_es],autorest[codigo])</f>
        <v>es</v>
      </c>
      <c r="J1011" t="str">
        <f>_xlfn.XLOOKUP(frasest[[#This Row],[autor_es]],autorest[autor_es],autorest[idioma_es])</f>
        <v>Español</v>
      </c>
      <c r="K1011" s="6" t="str">
        <f>_xlfn.XLOOKUP(frasest[[#This Row],[autor_es]],autorest[autor_es],autorest[idioma_la])</f>
        <v>Lingua Hispanica</v>
      </c>
      <c r="L1011" s="6" t="str">
        <f>_xlfn.XLOOKUP(frasest[[#This Row],[autor_es]],autorest[autor_es],autorest[nacion_es])</f>
        <v>España</v>
      </c>
      <c r="M1011" t="str">
        <f>_xlfn.XLOOKUP(frasest[[#This Row],[autor_es]],autorest[autor_es],autorest[nacion_la])</f>
        <v>Hispania</v>
      </c>
      <c r="N1011" t="str">
        <f>_xlfn.XLOOKUP(frasest[[#This Row],[autor_es]],autorest[autor_es],autorest[epoca_es])</f>
        <v>Epoca Desconocida</v>
      </c>
      <c r="O1011" t="str">
        <f>_xlfn.XLOOKUP(frasest[[#This Row],[autor_es]],autorest[autor_es],autorest[epoca_la])</f>
        <v>Epocha Ignota</v>
      </c>
    </row>
    <row r="1012" spans="1:15">
      <c r="A1012">
        <v>1011</v>
      </c>
      <c r="B1012" t="s">
        <v>2766</v>
      </c>
      <c r="C1012" t="s">
        <v>2767</v>
      </c>
      <c r="D1012" t="s">
        <v>2766</v>
      </c>
      <c r="E1012" t="s">
        <v>21</v>
      </c>
      <c r="F1012" t="str">
        <f>_xlfn.XLOOKUP(frasest[[#This Row],[autor_es]],autorest[autor_es],autorest[autor_la])</f>
        <v>Sententia Hispanica</v>
      </c>
      <c r="G1012" s="6" t="str">
        <f>_xlfn.XLOOKUP(frasest[[#This Row],[autor_es]],autorest[autor_es],autorest[bio_es])</f>
        <v>Refranes populares de la tradición oral hispana que expresan de forma breve y ingeniosa enseñanzas prácticas sobre la vida cotidiana.</v>
      </c>
      <c r="H1012" s="6" t="str">
        <f>_xlfn.XLOOKUP(frasest[[#This Row],[autor_es]],autorest[autor_es],autorest[bio_la])</f>
        <v>Collectio sententiarum Hispanicarum.</v>
      </c>
      <c r="I1012" t="str">
        <f>_xlfn.XLOOKUP(frasest[[#This Row],[autor_es]],autorest[autor_es],autorest[codigo])</f>
        <v>es</v>
      </c>
      <c r="J1012" t="str">
        <f>_xlfn.XLOOKUP(frasest[[#This Row],[autor_es]],autorest[autor_es],autorest[idioma_es])</f>
        <v>Español</v>
      </c>
      <c r="K1012" s="6" t="str">
        <f>_xlfn.XLOOKUP(frasest[[#This Row],[autor_es]],autorest[autor_es],autorest[idioma_la])</f>
        <v>Lingua Hispanica</v>
      </c>
      <c r="L1012" s="6" t="str">
        <f>_xlfn.XLOOKUP(frasest[[#This Row],[autor_es]],autorest[autor_es],autorest[nacion_es])</f>
        <v>España</v>
      </c>
      <c r="M1012" t="str">
        <f>_xlfn.XLOOKUP(frasest[[#This Row],[autor_es]],autorest[autor_es],autorest[nacion_la])</f>
        <v>Hispania</v>
      </c>
      <c r="N1012" t="str">
        <f>_xlfn.XLOOKUP(frasest[[#This Row],[autor_es]],autorest[autor_es],autorest[epoca_es])</f>
        <v>Epoca Desconocida</v>
      </c>
      <c r="O1012" t="str">
        <f>_xlfn.XLOOKUP(frasest[[#This Row],[autor_es]],autorest[autor_es],autorest[epoca_la])</f>
        <v>Epocha Ignota</v>
      </c>
    </row>
    <row r="1013" spans="1:15">
      <c r="A1013">
        <v>1012</v>
      </c>
      <c r="B1013" t="s">
        <v>2768</v>
      </c>
      <c r="C1013" t="s">
        <v>2769</v>
      </c>
      <c r="D1013" t="s">
        <v>2768</v>
      </c>
      <c r="E1013" t="s">
        <v>21</v>
      </c>
      <c r="F1013" t="str">
        <f>_xlfn.XLOOKUP(frasest[[#This Row],[autor_es]],autorest[autor_es],autorest[autor_la])</f>
        <v>Sententia Hispanica</v>
      </c>
      <c r="G1013" s="6" t="str">
        <f>_xlfn.XLOOKUP(frasest[[#This Row],[autor_es]],autorest[autor_es],autorest[bio_es])</f>
        <v>Refranes populares de la tradición oral hispana que expresan de forma breve y ingeniosa enseñanzas prácticas sobre la vida cotidiana.</v>
      </c>
      <c r="H1013" s="6" t="str">
        <f>_xlfn.XLOOKUP(frasest[[#This Row],[autor_es]],autorest[autor_es],autorest[bio_la])</f>
        <v>Collectio sententiarum Hispanicarum.</v>
      </c>
      <c r="I1013" t="str">
        <f>_xlfn.XLOOKUP(frasest[[#This Row],[autor_es]],autorest[autor_es],autorest[codigo])</f>
        <v>es</v>
      </c>
      <c r="J1013" t="str">
        <f>_xlfn.XLOOKUP(frasest[[#This Row],[autor_es]],autorest[autor_es],autorest[idioma_es])</f>
        <v>Español</v>
      </c>
      <c r="K1013" s="6" t="str">
        <f>_xlfn.XLOOKUP(frasest[[#This Row],[autor_es]],autorest[autor_es],autorest[idioma_la])</f>
        <v>Lingua Hispanica</v>
      </c>
      <c r="L1013" s="6" t="str">
        <f>_xlfn.XLOOKUP(frasest[[#This Row],[autor_es]],autorest[autor_es],autorest[nacion_es])</f>
        <v>España</v>
      </c>
      <c r="M1013" t="str">
        <f>_xlfn.XLOOKUP(frasest[[#This Row],[autor_es]],autorest[autor_es],autorest[nacion_la])</f>
        <v>Hispania</v>
      </c>
      <c r="N1013" t="str">
        <f>_xlfn.XLOOKUP(frasest[[#This Row],[autor_es]],autorest[autor_es],autorest[epoca_es])</f>
        <v>Epoca Desconocida</v>
      </c>
      <c r="O1013" t="str">
        <f>_xlfn.XLOOKUP(frasest[[#This Row],[autor_es]],autorest[autor_es],autorest[epoca_la])</f>
        <v>Epocha Ignota</v>
      </c>
    </row>
    <row r="1014" spans="1:15">
      <c r="A1014">
        <v>1013</v>
      </c>
      <c r="B1014" t="s">
        <v>2770</v>
      </c>
      <c r="C1014" t="s">
        <v>2771</v>
      </c>
      <c r="D1014" t="s">
        <v>2770</v>
      </c>
      <c r="E1014" t="s">
        <v>21</v>
      </c>
      <c r="F1014" t="str">
        <f>_xlfn.XLOOKUP(frasest[[#This Row],[autor_es]],autorest[autor_es],autorest[autor_la])</f>
        <v>Sententia Hispanica</v>
      </c>
      <c r="G1014" s="6" t="str">
        <f>_xlfn.XLOOKUP(frasest[[#This Row],[autor_es]],autorest[autor_es],autorest[bio_es])</f>
        <v>Refranes populares de la tradición oral hispana que expresan de forma breve y ingeniosa enseñanzas prácticas sobre la vida cotidiana.</v>
      </c>
      <c r="H1014" s="6" t="str">
        <f>_xlfn.XLOOKUP(frasest[[#This Row],[autor_es]],autorest[autor_es],autorest[bio_la])</f>
        <v>Collectio sententiarum Hispanicarum.</v>
      </c>
      <c r="I1014" t="str">
        <f>_xlfn.XLOOKUP(frasest[[#This Row],[autor_es]],autorest[autor_es],autorest[codigo])</f>
        <v>es</v>
      </c>
      <c r="J1014" t="str">
        <f>_xlfn.XLOOKUP(frasest[[#This Row],[autor_es]],autorest[autor_es],autorest[idioma_es])</f>
        <v>Español</v>
      </c>
      <c r="K1014" s="6" t="str">
        <f>_xlfn.XLOOKUP(frasest[[#This Row],[autor_es]],autorest[autor_es],autorest[idioma_la])</f>
        <v>Lingua Hispanica</v>
      </c>
      <c r="L1014" s="6" t="str">
        <f>_xlfn.XLOOKUP(frasest[[#This Row],[autor_es]],autorest[autor_es],autorest[nacion_es])</f>
        <v>España</v>
      </c>
      <c r="M1014" t="str">
        <f>_xlfn.XLOOKUP(frasest[[#This Row],[autor_es]],autorest[autor_es],autorest[nacion_la])</f>
        <v>Hispania</v>
      </c>
      <c r="N1014" t="str">
        <f>_xlfn.XLOOKUP(frasest[[#This Row],[autor_es]],autorest[autor_es],autorest[epoca_es])</f>
        <v>Epoca Desconocida</v>
      </c>
      <c r="O1014" t="str">
        <f>_xlfn.XLOOKUP(frasest[[#This Row],[autor_es]],autorest[autor_es],autorest[epoca_la])</f>
        <v>Epocha Ignota</v>
      </c>
    </row>
    <row r="1015" spans="1:15">
      <c r="A1015">
        <v>1014</v>
      </c>
      <c r="B1015" t="s">
        <v>2772</v>
      </c>
      <c r="C1015" t="s">
        <v>2773</v>
      </c>
      <c r="D1015" t="s">
        <v>2772</v>
      </c>
      <c r="E1015" t="s">
        <v>21</v>
      </c>
      <c r="F1015" t="str">
        <f>_xlfn.XLOOKUP(frasest[[#This Row],[autor_es]],autorest[autor_es],autorest[autor_la])</f>
        <v>Sententia Hispanica</v>
      </c>
      <c r="G1015" s="6" t="str">
        <f>_xlfn.XLOOKUP(frasest[[#This Row],[autor_es]],autorest[autor_es],autorest[bio_es])</f>
        <v>Refranes populares de la tradición oral hispana que expresan de forma breve y ingeniosa enseñanzas prácticas sobre la vida cotidiana.</v>
      </c>
      <c r="H1015" s="6" t="str">
        <f>_xlfn.XLOOKUP(frasest[[#This Row],[autor_es]],autorest[autor_es],autorest[bio_la])</f>
        <v>Collectio sententiarum Hispanicarum.</v>
      </c>
      <c r="I1015" t="str">
        <f>_xlfn.XLOOKUP(frasest[[#This Row],[autor_es]],autorest[autor_es],autorest[codigo])</f>
        <v>es</v>
      </c>
      <c r="J1015" t="str">
        <f>_xlfn.XLOOKUP(frasest[[#This Row],[autor_es]],autorest[autor_es],autorest[idioma_es])</f>
        <v>Español</v>
      </c>
      <c r="K1015" s="6" t="str">
        <f>_xlfn.XLOOKUP(frasest[[#This Row],[autor_es]],autorest[autor_es],autorest[idioma_la])</f>
        <v>Lingua Hispanica</v>
      </c>
      <c r="L1015" s="6" t="str">
        <f>_xlfn.XLOOKUP(frasest[[#This Row],[autor_es]],autorest[autor_es],autorest[nacion_es])</f>
        <v>España</v>
      </c>
      <c r="M1015" t="str">
        <f>_xlfn.XLOOKUP(frasest[[#This Row],[autor_es]],autorest[autor_es],autorest[nacion_la])</f>
        <v>Hispania</v>
      </c>
      <c r="N1015" t="str">
        <f>_xlfn.XLOOKUP(frasest[[#This Row],[autor_es]],autorest[autor_es],autorest[epoca_es])</f>
        <v>Epoca Desconocida</v>
      </c>
      <c r="O1015" t="str">
        <f>_xlfn.XLOOKUP(frasest[[#This Row],[autor_es]],autorest[autor_es],autorest[epoca_la])</f>
        <v>Epocha Ignota</v>
      </c>
    </row>
    <row r="1016" spans="1:15">
      <c r="A1016">
        <v>1015</v>
      </c>
      <c r="B1016" t="s">
        <v>2774</v>
      </c>
      <c r="C1016" t="s">
        <v>2775</v>
      </c>
      <c r="D1016" t="s">
        <v>2774</v>
      </c>
      <c r="E1016" t="s">
        <v>21</v>
      </c>
      <c r="F1016" t="str">
        <f>_xlfn.XLOOKUP(frasest[[#This Row],[autor_es]],autorest[autor_es],autorest[autor_la])</f>
        <v>Sententia Hispanica</v>
      </c>
      <c r="G1016" s="6" t="str">
        <f>_xlfn.XLOOKUP(frasest[[#This Row],[autor_es]],autorest[autor_es],autorest[bio_es])</f>
        <v>Refranes populares de la tradición oral hispana que expresan de forma breve y ingeniosa enseñanzas prácticas sobre la vida cotidiana.</v>
      </c>
      <c r="H1016" s="6" t="str">
        <f>_xlfn.XLOOKUP(frasest[[#This Row],[autor_es]],autorest[autor_es],autorest[bio_la])</f>
        <v>Collectio sententiarum Hispanicarum.</v>
      </c>
      <c r="I1016" t="str">
        <f>_xlfn.XLOOKUP(frasest[[#This Row],[autor_es]],autorest[autor_es],autorest[codigo])</f>
        <v>es</v>
      </c>
      <c r="J1016" t="str">
        <f>_xlfn.XLOOKUP(frasest[[#This Row],[autor_es]],autorest[autor_es],autorest[idioma_es])</f>
        <v>Español</v>
      </c>
      <c r="K1016" s="6" t="str">
        <f>_xlfn.XLOOKUP(frasest[[#This Row],[autor_es]],autorest[autor_es],autorest[idioma_la])</f>
        <v>Lingua Hispanica</v>
      </c>
      <c r="L1016" s="6" t="str">
        <f>_xlfn.XLOOKUP(frasest[[#This Row],[autor_es]],autorest[autor_es],autorest[nacion_es])</f>
        <v>España</v>
      </c>
      <c r="M1016" t="str">
        <f>_xlfn.XLOOKUP(frasest[[#This Row],[autor_es]],autorest[autor_es],autorest[nacion_la])</f>
        <v>Hispania</v>
      </c>
      <c r="N1016" t="str">
        <f>_xlfn.XLOOKUP(frasest[[#This Row],[autor_es]],autorest[autor_es],autorest[epoca_es])</f>
        <v>Epoca Desconocida</v>
      </c>
      <c r="O1016" t="str">
        <f>_xlfn.XLOOKUP(frasest[[#This Row],[autor_es]],autorest[autor_es],autorest[epoca_la])</f>
        <v>Epocha Ignota</v>
      </c>
    </row>
    <row r="1017" spans="1:15">
      <c r="A1017">
        <v>1016</v>
      </c>
      <c r="B1017" t="s">
        <v>2776</v>
      </c>
      <c r="C1017" t="s">
        <v>2777</v>
      </c>
      <c r="D1017" t="s">
        <v>2776</v>
      </c>
      <c r="E1017" t="s">
        <v>21</v>
      </c>
      <c r="F1017" t="str">
        <f>_xlfn.XLOOKUP(frasest[[#This Row],[autor_es]],autorest[autor_es],autorest[autor_la])</f>
        <v>Sententia Hispanica</v>
      </c>
      <c r="G1017" s="6" t="str">
        <f>_xlfn.XLOOKUP(frasest[[#This Row],[autor_es]],autorest[autor_es],autorest[bio_es])</f>
        <v>Refranes populares de la tradición oral hispana que expresan de forma breve y ingeniosa enseñanzas prácticas sobre la vida cotidiana.</v>
      </c>
      <c r="H1017" s="6" t="str">
        <f>_xlfn.XLOOKUP(frasest[[#This Row],[autor_es]],autorest[autor_es],autorest[bio_la])</f>
        <v>Collectio sententiarum Hispanicarum.</v>
      </c>
      <c r="I1017" t="str">
        <f>_xlfn.XLOOKUP(frasest[[#This Row],[autor_es]],autorest[autor_es],autorest[codigo])</f>
        <v>es</v>
      </c>
      <c r="J1017" t="str">
        <f>_xlfn.XLOOKUP(frasest[[#This Row],[autor_es]],autorest[autor_es],autorest[idioma_es])</f>
        <v>Español</v>
      </c>
      <c r="K1017" s="6" t="str">
        <f>_xlfn.XLOOKUP(frasest[[#This Row],[autor_es]],autorest[autor_es],autorest[idioma_la])</f>
        <v>Lingua Hispanica</v>
      </c>
      <c r="L1017" s="6" t="str">
        <f>_xlfn.XLOOKUP(frasest[[#This Row],[autor_es]],autorest[autor_es],autorest[nacion_es])</f>
        <v>España</v>
      </c>
      <c r="M1017" t="str">
        <f>_xlfn.XLOOKUP(frasest[[#This Row],[autor_es]],autorest[autor_es],autorest[nacion_la])</f>
        <v>Hispania</v>
      </c>
      <c r="N1017" t="str">
        <f>_xlfn.XLOOKUP(frasest[[#This Row],[autor_es]],autorest[autor_es],autorest[epoca_es])</f>
        <v>Epoca Desconocida</v>
      </c>
      <c r="O1017" t="str">
        <f>_xlfn.XLOOKUP(frasest[[#This Row],[autor_es]],autorest[autor_es],autorest[epoca_la])</f>
        <v>Epocha Ignota</v>
      </c>
    </row>
    <row r="1018" spans="1:15">
      <c r="A1018">
        <v>1017</v>
      </c>
      <c r="B1018" t="s">
        <v>2778</v>
      </c>
      <c r="C1018" t="s">
        <v>2779</v>
      </c>
      <c r="D1018" t="s">
        <v>2778</v>
      </c>
      <c r="E1018" t="s">
        <v>21</v>
      </c>
      <c r="F1018" t="str">
        <f>_xlfn.XLOOKUP(frasest[[#This Row],[autor_es]],autorest[autor_es],autorest[autor_la])</f>
        <v>Sententia Hispanica</v>
      </c>
      <c r="G1018" s="6" t="str">
        <f>_xlfn.XLOOKUP(frasest[[#This Row],[autor_es]],autorest[autor_es],autorest[bio_es])</f>
        <v>Refranes populares de la tradición oral hispana que expresan de forma breve y ingeniosa enseñanzas prácticas sobre la vida cotidiana.</v>
      </c>
      <c r="H1018" s="6" t="str">
        <f>_xlfn.XLOOKUP(frasest[[#This Row],[autor_es]],autorest[autor_es],autorest[bio_la])</f>
        <v>Collectio sententiarum Hispanicarum.</v>
      </c>
      <c r="I1018" t="str">
        <f>_xlfn.XLOOKUP(frasest[[#This Row],[autor_es]],autorest[autor_es],autorest[codigo])</f>
        <v>es</v>
      </c>
      <c r="J1018" t="str">
        <f>_xlfn.XLOOKUP(frasest[[#This Row],[autor_es]],autorest[autor_es],autorest[idioma_es])</f>
        <v>Español</v>
      </c>
      <c r="K1018" s="6" t="str">
        <f>_xlfn.XLOOKUP(frasest[[#This Row],[autor_es]],autorest[autor_es],autorest[idioma_la])</f>
        <v>Lingua Hispanica</v>
      </c>
      <c r="L1018" s="6" t="str">
        <f>_xlfn.XLOOKUP(frasest[[#This Row],[autor_es]],autorest[autor_es],autorest[nacion_es])</f>
        <v>España</v>
      </c>
      <c r="M1018" t="str">
        <f>_xlfn.XLOOKUP(frasest[[#This Row],[autor_es]],autorest[autor_es],autorest[nacion_la])</f>
        <v>Hispania</v>
      </c>
      <c r="N1018" t="str">
        <f>_xlfn.XLOOKUP(frasest[[#This Row],[autor_es]],autorest[autor_es],autorest[epoca_es])</f>
        <v>Epoca Desconocida</v>
      </c>
      <c r="O1018" t="str">
        <f>_xlfn.XLOOKUP(frasest[[#This Row],[autor_es]],autorest[autor_es],autorest[epoca_la])</f>
        <v>Epocha Ignota</v>
      </c>
    </row>
    <row r="1019" spans="1:15">
      <c r="A1019">
        <v>1018</v>
      </c>
      <c r="B1019" t="s">
        <v>2780</v>
      </c>
      <c r="C1019" t="s">
        <v>2781</v>
      </c>
      <c r="D1019" t="s">
        <v>2780</v>
      </c>
      <c r="E1019" t="s">
        <v>21</v>
      </c>
      <c r="F1019" t="str">
        <f>_xlfn.XLOOKUP(frasest[[#This Row],[autor_es]],autorest[autor_es],autorest[autor_la])</f>
        <v>Sententia Hispanica</v>
      </c>
      <c r="G1019" s="6" t="str">
        <f>_xlfn.XLOOKUP(frasest[[#This Row],[autor_es]],autorest[autor_es],autorest[bio_es])</f>
        <v>Refranes populares de la tradición oral hispana que expresan de forma breve y ingeniosa enseñanzas prácticas sobre la vida cotidiana.</v>
      </c>
      <c r="H1019" s="6" t="str">
        <f>_xlfn.XLOOKUP(frasest[[#This Row],[autor_es]],autorest[autor_es],autorest[bio_la])</f>
        <v>Collectio sententiarum Hispanicarum.</v>
      </c>
      <c r="I1019" t="str">
        <f>_xlfn.XLOOKUP(frasest[[#This Row],[autor_es]],autorest[autor_es],autorest[codigo])</f>
        <v>es</v>
      </c>
      <c r="J1019" t="str">
        <f>_xlfn.XLOOKUP(frasest[[#This Row],[autor_es]],autorest[autor_es],autorest[idioma_es])</f>
        <v>Español</v>
      </c>
      <c r="K1019" s="6" t="str">
        <f>_xlfn.XLOOKUP(frasest[[#This Row],[autor_es]],autorest[autor_es],autorest[idioma_la])</f>
        <v>Lingua Hispanica</v>
      </c>
      <c r="L1019" s="6" t="str">
        <f>_xlfn.XLOOKUP(frasest[[#This Row],[autor_es]],autorest[autor_es],autorest[nacion_es])</f>
        <v>España</v>
      </c>
      <c r="M1019" t="str">
        <f>_xlfn.XLOOKUP(frasest[[#This Row],[autor_es]],autorest[autor_es],autorest[nacion_la])</f>
        <v>Hispania</v>
      </c>
      <c r="N1019" t="str">
        <f>_xlfn.XLOOKUP(frasest[[#This Row],[autor_es]],autorest[autor_es],autorest[epoca_es])</f>
        <v>Epoca Desconocida</v>
      </c>
      <c r="O1019" t="str">
        <f>_xlfn.XLOOKUP(frasest[[#This Row],[autor_es]],autorest[autor_es],autorest[epoca_la])</f>
        <v>Epocha Ignota</v>
      </c>
    </row>
    <row r="1020" spans="1:15">
      <c r="A1020">
        <v>1019</v>
      </c>
      <c r="B1020" t="s">
        <v>2782</v>
      </c>
      <c r="C1020" t="s">
        <v>2783</v>
      </c>
      <c r="D1020" t="s">
        <v>2782</v>
      </c>
      <c r="E1020" t="s">
        <v>21</v>
      </c>
      <c r="F1020" t="str">
        <f>_xlfn.XLOOKUP(frasest[[#This Row],[autor_es]],autorest[autor_es],autorest[autor_la])</f>
        <v>Sententia Hispanica</v>
      </c>
      <c r="G1020" s="6" t="str">
        <f>_xlfn.XLOOKUP(frasest[[#This Row],[autor_es]],autorest[autor_es],autorest[bio_es])</f>
        <v>Refranes populares de la tradición oral hispana que expresan de forma breve y ingeniosa enseñanzas prácticas sobre la vida cotidiana.</v>
      </c>
      <c r="H1020" s="6" t="str">
        <f>_xlfn.XLOOKUP(frasest[[#This Row],[autor_es]],autorest[autor_es],autorest[bio_la])</f>
        <v>Collectio sententiarum Hispanicarum.</v>
      </c>
      <c r="I1020" t="str">
        <f>_xlfn.XLOOKUP(frasest[[#This Row],[autor_es]],autorest[autor_es],autorest[codigo])</f>
        <v>es</v>
      </c>
      <c r="J1020" t="str">
        <f>_xlfn.XLOOKUP(frasest[[#This Row],[autor_es]],autorest[autor_es],autorest[idioma_es])</f>
        <v>Español</v>
      </c>
      <c r="K1020" s="6" t="str">
        <f>_xlfn.XLOOKUP(frasest[[#This Row],[autor_es]],autorest[autor_es],autorest[idioma_la])</f>
        <v>Lingua Hispanica</v>
      </c>
      <c r="L1020" s="6" t="str">
        <f>_xlfn.XLOOKUP(frasest[[#This Row],[autor_es]],autorest[autor_es],autorest[nacion_es])</f>
        <v>España</v>
      </c>
      <c r="M1020" t="str">
        <f>_xlfn.XLOOKUP(frasest[[#This Row],[autor_es]],autorest[autor_es],autorest[nacion_la])</f>
        <v>Hispania</v>
      </c>
      <c r="N1020" t="str">
        <f>_xlfn.XLOOKUP(frasest[[#This Row],[autor_es]],autorest[autor_es],autorest[epoca_es])</f>
        <v>Epoca Desconocida</v>
      </c>
      <c r="O1020" t="str">
        <f>_xlfn.XLOOKUP(frasest[[#This Row],[autor_es]],autorest[autor_es],autorest[epoca_la])</f>
        <v>Epocha Ignota</v>
      </c>
    </row>
    <row r="1021" spans="1:15">
      <c r="A1021">
        <v>1020</v>
      </c>
      <c r="B1021" t="s">
        <v>2784</v>
      </c>
      <c r="C1021" t="s">
        <v>2785</v>
      </c>
      <c r="D1021" t="s">
        <v>2784</v>
      </c>
      <c r="E1021" t="s">
        <v>21</v>
      </c>
      <c r="F1021" t="str">
        <f>_xlfn.XLOOKUP(frasest[[#This Row],[autor_es]],autorest[autor_es],autorest[autor_la])</f>
        <v>Sententia Hispanica</v>
      </c>
      <c r="G1021" s="6" t="str">
        <f>_xlfn.XLOOKUP(frasest[[#This Row],[autor_es]],autorest[autor_es],autorest[bio_es])</f>
        <v>Refranes populares de la tradición oral hispana que expresan de forma breve y ingeniosa enseñanzas prácticas sobre la vida cotidiana.</v>
      </c>
      <c r="H1021" s="6" t="str">
        <f>_xlfn.XLOOKUP(frasest[[#This Row],[autor_es]],autorest[autor_es],autorest[bio_la])</f>
        <v>Collectio sententiarum Hispanicarum.</v>
      </c>
      <c r="I1021" t="str">
        <f>_xlfn.XLOOKUP(frasest[[#This Row],[autor_es]],autorest[autor_es],autorest[codigo])</f>
        <v>es</v>
      </c>
      <c r="J1021" t="str">
        <f>_xlfn.XLOOKUP(frasest[[#This Row],[autor_es]],autorest[autor_es],autorest[idioma_es])</f>
        <v>Español</v>
      </c>
      <c r="K1021" s="6" t="str">
        <f>_xlfn.XLOOKUP(frasest[[#This Row],[autor_es]],autorest[autor_es],autorest[idioma_la])</f>
        <v>Lingua Hispanica</v>
      </c>
      <c r="L1021" s="6" t="str">
        <f>_xlfn.XLOOKUP(frasest[[#This Row],[autor_es]],autorest[autor_es],autorest[nacion_es])</f>
        <v>España</v>
      </c>
      <c r="M1021" t="str">
        <f>_xlfn.XLOOKUP(frasest[[#This Row],[autor_es]],autorest[autor_es],autorest[nacion_la])</f>
        <v>Hispania</v>
      </c>
      <c r="N1021" t="str">
        <f>_xlfn.XLOOKUP(frasest[[#This Row],[autor_es]],autorest[autor_es],autorest[epoca_es])</f>
        <v>Epoca Desconocida</v>
      </c>
      <c r="O1021" t="str">
        <f>_xlfn.XLOOKUP(frasest[[#This Row],[autor_es]],autorest[autor_es],autorest[epoca_la])</f>
        <v>Epocha Ignota</v>
      </c>
    </row>
    <row r="1022" spans="1:15">
      <c r="A1022">
        <v>1021</v>
      </c>
      <c r="B1022" t="s">
        <v>2786</v>
      </c>
      <c r="C1022" t="s">
        <v>2787</v>
      </c>
      <c r="D1022" t="s">
        <v>2786</v>
      </c>
      <c r="E1022" t="s">
        <v>21</v>
      </c>
      <c r="F1022" t="str">
        <f>_xlfn.XLOOKUP(frasest[[#This Row],[autor_es]],autorest[autor_es],autorest[autor_la])</f>
        <v>Sententia Hispanica</v>
      </c>
      <c r="G1022" s="6" t="str">
        <f>_xlfn.XLOOKUP(frasest[[#This Row],[autor_es]],autorest[autor_es],autorest[bio_es])</f>
        <v>Refranes populares de la tradición oral hispana que expresan de forma breve y ingeniosa enseñanzas prácticas sobre la vida cotidiana.</v>
      </c>
      <c r="H1022" s="6" t="str">
        <f>_xlfn.XLOOKUP(frasest[[#This Row],[autor_es]],autorest[autor_es],autorest[bio_la])</f>
        <v>Collectio sententiarum Hispanicarum.</v>
      </c>
      <c r="I1022" t="str">
        <f>_xlfn.XLOOKUP(frasest[[#This Row],[autor_es]],autorest[autor_es],autorest[codigo])</f>
        <v>es</v>
      </c>
      <c r="J1022" t="str">
        <f>_xlfn.XLOOKUP(frasest[[#This Row],[autor_es]],autorest[autor_es],autorest[idioma_es])</f>
        <v>Español</v>
      </c>
      <c r="K1022" s="6" t="str">
        <f>_xlfn.XLOOKUP(frasest[[#This Row],[autor_es]],autorest[autor_es],autorest[idioma_la])</f>
        <v>Lingua Hispanica</v>
      </c>
      <c r="L1022" s="6" t="str">
        <f>_xlfn.XLOOKUP(frasest[[#This Row],[autor_es]],autorest[autor_es],autorest[nacion_es])</f>
        <v>España</v>
      </c>
      <c r="M1022" t="str">
        <f>_xlfn.XLOOKUP(frasest[[#This Row],[autor_es]],autorest[autor_es],autorest[nacion_la])</f>
        <v>Hispania</v>
      </c>
      <c r="N1022" t="str">
        <f>_xlfn.XLOOKUP(frasest[[#This Row],[autor_es]],autorest[autor_es],autorest[epoca_es])</f>
        <v>Epoca Desconocida</v>
      </c>
      <c r="O1022" t="str">
        <f>_xlfn.XLOOKUP(frasest[[#This Row],[autor_es]],autorest[autor_es],autorest[epoca_la])</f>
        <v>Epocha Ignota</v>
      </c>
    </row>
    <row r="1023" spans="1:15">
      <c r="A1023">
        <v>1022</v>
      </c>
      <c r="B1023" t="s">
        <v>2788</v>
      </c>
      <c r="C1023" t="s">
        <v>2711</v>
      </c>
      <c r="D1023" t="s">
        <v>2788</v>
      </c>
      <c r="E1023" t="s">
        <v>21</v>
      </c>
      <c r="F1023" t="str">
        <f>_xlfn.XLOOKUP(frasest[[#This Row],[autor_es]],autorest[autor_es],autorest[autor_la])</f>
        <v>Sententia Hispanica</v>
      </c>
      <c r="G1023" s="6" t="str">
        <f>_xlfn.XLOOKUP(frasest[[#This Row],[autor_es]],autorest[autor_es],autorest[bio_es])</f>
        <v>Refranes populares de la tradición oral hispana que expresan de forma breve y ingeniosa enseñanzas prácticas sobre la vida cotidiana.</v>
      </c>
      <c r="H1023" s="6" t="str">
        <f>_xlfn.XLOOKUP(frasest[[#This Row],[autor_es]],autorest[autor_es],autorest[bio_la])</f>
        <v>Collectio sententiarum Hispanicarum.</v>
      </c>
      <c r="I1023" t="str">
        <f>_xlfn.XLOOKUP(frasest[[#This Row],[autor_es]],autorest[autor_es],autorest[codigo])</f>
        <v>es</v>
      </c>
      <c r="J1023" t="str">
        <f>_xlfn.XLOOKUP(frasest[[#This Row],[autor_es]],autorest[autor_es],autorest[idioma_es])</f>
        <v>Español</v>
      </c>
      <c r="K1023" s="6" t="str">
        <f>_xlfn.XLOOKUP(frasest[[#This Row],[autor_es]],autorest[autor_es],autorest[idioma_la])</f>
        <v>Lingua Hispanica</v>
      </c>
      <c r="L1023" s="6" t="str">
        <f>_xlfn.XLOOKUP(frasest[[#This Row],[autor_es]],autorest[autor_es],autorest[nacion_es])</f>
        <v>España</v>
      </c>
      <c r="M1023" t="str">
        <f>_xlfn.XLOOKUP(frasest[[#This Row],[autor_es]],autorest[autor_es],autorest[nacion_la])</f>
        <v>Hispania</v>
      </c>
      <c r="N1023" t="str">
        <f>_xlfn.XLOOKUP(frasest[[#This Row],[autor_es]],autorest[autor_es],autorest[epoca_es])</f>
        <v>Epoca Desconocida</v>
      </c>
      <c r="O1023" t="str">
        <f>_xlfn.XLOOKUP(frasest[[#This Row],[autor_es]],autorest[autor_es],autorest[epoca_la])</f>
        <v>Epocha Ignota</v>
      </c>
    </row>
    <row r="1024" spans="1:15">
      <c r="A1024">
        <v>1023</v>
      </c>
      <c r="B1024" t="s">
        <v>2789</v>
      </c>
      <c r="C1024" t="s">
        <v>2790</v>
      </c>
      <c r="D1024" t="s">
        <v>2789</v>
      </c>
      <c r="E1024" t="s">
        <v>21</v>
      </c>
      <c r="F1024" t="str">
        <f>_xlfn.XLOOKUP(frasest[[#This Row],[autor_es]],autorest[autor_es],autorest[autor_la])</f>
        <v>Sententia Hispanica</v>
      </c>
      <c r="G1024" s="6" t="str">
        <f>_xlfn.XLOOKUP(frasest[[#This Row],[autor_es]],autorest[autor_es],autorest[bio_es])</f>
        <v>Refranes populares de la tradición oral hispana que expresan de forma breve y ingeniosa enseñanzas prácticas sobre la vida cotidiana.</v>
      </c>
      <c r="H1024" s="6" t="str">
        <f>_xlfn.XLOOKUP(frasest[[#This Row],[autor_es]],autorest[autor_es],autorest[bio_la])</f>
        <v>Collectio sententiarum Hispanicarum.</v>
      </c>
      <c r="I1024" t="str">
        <f>_xlfn.XLOOKUP(frasest[[#This Row],[autor_es]],autorest[autor_es],autorest[codigo])</f>
        <v>es</v>
      </c>
      <c r="J1024" t="str">
        <f>_xlfn.XLOOKUP(frasest[[#This Row],[autor_es]],autorest[autor_es],autorest[idioma_es])</f>
        <v>Español</v>
      </c>
      <c r="K1024" s="6" t="str">
        <f>_xlfn.XLOOKUP(frasest[[#This Row],[autor_es]],autorest[autor_es],autorest[idioma_la])</f>
        <v>Lingua Hispanica</v>
      </c>
      <c r="L1024" s="6" t="str">
        <f>_xlfn.XLOOKUP(frasest[[#This Row],[autor_es]],autorest[autor_es],autorest[nacion_es])</f>
        <v>España</v>
      </c>
      <c r="M1024" t="str">
        <f>_xlfn.XLOOKUP(frasest[[#This Row],[autor_es]],autorest[autor_es],autorest[nacion_la])</f>
        <v>Hispania</v>
      </c>
      <c r="N1024" t="str">
        <f>_xlfn.XLOOKUP(frasest[[#This Row],[autor_es]],autorest[autor_es],autorest[epoca_es])</f>
        <v>Epoca Desconocida</v>
      </c>
      <c r="O1024" t="str">
        <f>_xlfn.XLOOKUP(frasest[[#This Row],[autor_es]],autorest[autor_es],autorest[epoca_la])</f>
        <v>Epocha Ignota</v>
      </c>
    </row>
    <row r="1025" spans="1:15">
      <c r="A1025">
        <v>1024</v>
      </c>
      <c r="B1025" t="s">
        <v>2791</v>
      </c>
      <c r="C1025" t="s">
        <v>2792</v>
      </c>
      <c r="D1025" t="s">
        <v>2791</v>
      </c>
      <c r="E1025" t="s">
        <v>21</v>
      </c>
      <c r="F1025" t="str">
        <f>_xlfn.XLOOKUP(frasest[[#This Row],[autor_es]],autorest[autor_es],autorest[autor_la])</f>
        <v>Sententia Hispanica</v>
      </c>
      <c r="G1025" s="6" t="str">
        <f>_xlfn.XLOOKUP(frasest[[#This Row],[autor_es]],autorest[autor_es],autorest[bio_es])</f>
        <v>Refranes populares de la tradición oral hispana que expresan de forma breve y ingeniosa enseñanzas prácticas sobre la vida cotidiana.</v>
      </c>
      <c r="H1025" s="6" t="str">
        <f>_xlfn.XLOOKUP(frasest[[#This Row],[autor_es]],autorest[autor_es],autorest[bio_la])</f>
        <v>Collectio sententiarum Hispanicarum.</v>
      </c>
      <c r="I1025" t="str">
        <f>_xlfn.XLOOKUP(frasest[[#This Row],[autor_es]],autorest[autor_es],autorest[codigo])</f>
        <v>es</v>
      </c>
      <c r="J1025" t="str">
        <f>_xlfn.XLOOKUP(frasest[[#This Row],[autor_es]],autorest[autor_es],autorest[idioma_es])</f>
        <v>Español</v>
      </c>
      <c r="K1025" s="6" t="str">
        <f>_xlfn.XLOOKUP(frasest[[#This Row],[autor_es]],autorest[autor_es],autorest[idioma_la])</f>
        <v>Lingua Hispanica</v>
      </c>
      <c r="L1025" s="6" t="str">
        <f>_xlfn.XLOOKUP(frasest[[#This Row],[autor_es]],autorest[autor_es],autorest[nacion_es])</f>
        <v>España</v>
      </c>
      <c r="M1025" t="str">
        <f>_xlfn.XLOOKUP(frasest[[#This Row],[autor_es]],autorest[autor_es],autorest[nacion_la])</f>
        <v>Hispania</v>
      </c>
      <c r="N1025" t="str">
        <f>_xlfn.XLOOKUP(frasest[[#This Row],[autor_es]],autorest[autor_es],autorest[epoca_es])</f>
        <v>Epoca Desconocida</v>
      </c>
      <c r="O1025" t="str">
        <f>_xlfn.XLOOKUP(frasest[[#This Row],[autor_es]],autorest[autor_es],autorest[epoca_la])</f>
        <v>Epocha Ignota</v>
      </c>
    </row>
    <row r="1026" spans="1:15">
      <c r="A1026">
        <v>1025</v>
      </c>
      <c r="B1026" t="s">
        <v>2793</v>
      </c>
      <c r="C1026" t="s">
        <v>2794</v>
      </c>
      <c r="D1026" t="s">
        <v>2793</v>
      </c>
      <c r="E1026" t="s">
        <v>21</v>
      </c>
      <c r="F1026" t="str">
        <f>_xlfn.XLOOKUP(frasest[[#This Row],[autor_es]],autorest[autor_es],autorest[autor_la])</f>
        <v>Sententia Hispanica</v>
      </c>
      <c r="G1026" s="6" t="str">
        <f>_xlfn.XLOOKUP(frasest[[#This Row],[autor_es]],autorest[autor_es],autorest[bio_es])</f>
        <v>Refranes populares de la tradición oral hispana que expresan de forma breve y ingeniosa enseñanzas prácticas sobre la vida cotidiana.</v>
      </c>
      <c r="H1026" s="6" t="str">
        <f>_xlfn.XLOOKUP(frasest[[#This Row],[autor_es]],autorest[autor_es],autorest[bio_la])</f>
        <v>Collectio sententiarum Hispanicarum.</v>
      </c>
      <c r="I1026" t="str">
        <f>_xlfn.XLOOKUP(frasest[[#This Row],[autor_es]],autorest[autor_es],autorest[codigo])</f>
        <v>es</v>
      </c>
      <c r="J1026" t="str">
        <f>_xlfn.XLOOKUP(frasest[[#This Row],[autor_es]],autorest[autor_es],autorest[idioma_es])</f>
        <v>Español</v>
      </c>
      <c r="K1026" s="6" t="str">
        <f>_xlfn.XLOOKUP(frasest[[#This Row],[autor_es]],autorest[autor_es],autorest[idioma_la])</f>
        <v>Lingua Hispanica</v>
      </c>
      <c r="L1026" s="6" t="str">
        <f>_xlfn.XLOOKUP(frasest[[#This Row],[autor_es]],autorest[autor_es],autorest[nacion_es])</f>
        <v>España</v>
      </c>
      <c r="M1026" t="str">
        <f>_xlfn.XLOOKUP(frasest[[#This Row],[autor_es]],autorest[autor_es],autorest[nacion_la])</f>
        <v>Hispania</v>
      </c>
      <c r="N1026" t="str">
        <f>_xlfn.XLOOKUP(frasest[[#This Row],[autor_es]],autorest[autor_es],autorest[epoca_es])</f>
        <v>Epoca Desconocida</v>
      </c>
      <c r="O1026" t="str">
        <f>_xlfn.XLOOKUP(frasest[[#This Row],[autor_es]],autorest[autor_es],autorest[epoca_la])</f>
        <v>Epocha Ignota</v>
      </c>
    </row>
    <row r="1027" spans="1:15">
      <c r="A1027">
        <v>1026</v>
      </c>
      <c r="B1027" t="s">
        <v>2760</v>
      </c>
      <c r="C1027" t="s">
        <v>2761</v>
      </c>
      <c r="D1027" t="s">
        <v>2760</v>
      </c>
      <c r="E1027" t="s">
        <v>21</v>
      </c>
      <c r="F1027" t="str">
        <f>_xlfn.XLOOKUP(frasest[[#This Row],[autor_es]],autorest[autor_es],autorest[autor_la])</f>
        <v>Sententia Hispanica</v>
      </c>
      <c r="G1027" s="6" t="str">
        <f>_xlfn.XLOOKUP(frasest[[#This Row],[autor_es]],autorest[autor_es],autorest[bio_es])</f>
        <v>Refranes populares de la tradición oral hispana que expresan de forma breve y ingeniosa enseñanzas prácticas sobre la vida cotidiana.</v>
      </c>
      <c r="H1027" s="6" t="str">
        <f>_xlfn.XLOOKUP(frasest[[#This Row],[autor_es]],autorest[autor_es],autorest[bio_la])</f>
        <v>Collectio sententiarum Hispanicarum.</v>
      </c>
      <c r="I1027" t="str">
        <f>_xlfn.XLOOKUP(frasest[[#This Row],[autor_es]],autorest[autor_es],autorest[codigo])</f>
        <v>es</v>
      </c>
      <c r="J1027" t="str">
        <f>_xlfn.XLOOKUP(frasest[[#This Row],[autor_es]],autorest[autor_es],autorest[idioma_es])</f>
        <v>Español</v>
      </c>
      <c r="K1027" s="6" t="str">
        <f>_xlfn.XLOOKUP(frasest[[#This Row],[autor_es]],autorest[autor_es],autorest[idioma_la])</f>
        <v>Lingua Hispanica</v>
      </c>
      <c r="L1027" s="6" t="str">
        <f>_xlfn.XLOOKUP(frasest[[#This Row],[autor_es]],autorest[autor_es],autorest[nacion_es])</f>
        <v>España</v>
      </c>
      <c r="M1027" t="str">
        <f>_xlfn.XLOOKUP(frasest[[#This Row],[autor_es]],autorest[autor_es],autorest[nacion_la])</f>
        <v>Hispania</v>
      </c>
      <c r="N1027" t="str">
        <f>_xlfn.XLOOKUP(frasest[[#This Row],[autor_es]],autorest[autor_es],autorest[epoca_es])</f>
        <v>Epoca Desconocida</v>
      </c>
      <c r="O1027" t="str">
        <f>_xlfn.XLOOKUP(frasest[[#This Row],[autor_es]],autorest[autor_es],autorest[epoca_la])</f>
        <v>Epocha Ignota</v>
      </c>
    </row>
    <row r="1028" spans="1:15">
      <c r="A1028">
        <v>1027</v>
      </c>
      <c r="B1028" t="s">
        <v>2795</v>
      </c>
      <c r="C1028" t="s">
        <v>2796</v>
      </c>
      <c r="D1028" t="s">
        <v>2795</v>
      </c>
      <c r="E1028" t="s">
        <v>21</v>
      </c>
      <c r="F1028" t="str">
        <f>_xlfn.XLOOKUP(frasest[[#This Row],[autor_es]],autorest[autor_es],autorest[autor_la])</f>
        <v>Sententia Hispanica</v>
      </c>
      <c r="G1028" s="6" t="str">
        <f>_xlfn.XLOOKUP(frasest[[#This Row],[autor_es]],autorest[autor_es],autorest[bio_es])</f>
        <v>Refranes populares de la tradición oral hispana que expresan de forma breve y ingeniosa enseñanzas prácticas sobre la vida cotidiana.</v>
      </c>
      <c r="H1028" s="6" t="str">
        <f>_xlfn.XLOOKUP(frasest[[#This Row],[autor_es]],autorest[autor_es],autorest[bio_la])</f>
        <v>Collectio sententiarum Hispanicarum.</v>
      </c>
      <c r="I1028" t="str">
        <f>_xlfn.XLOOKUP(frasest[[#This Row],[autor_es]],autorest[autor_es],autorest[codigo])</f>
        <v>es</v>
      </c>
      <c r="J1028" t="str">
        <f>_xlfn.XLOOKUP(frasest[[#This Row],[autor_es]],autorest[autor_es],autorest[idioma_es])</f>
        <v>Español</v>
      </c>
      <c r="K1028" s="6" t="str">
        <f>_xlfn.XLOOKUP(frasest[[#This Row],[autor_es]],autorest[autor_es],autorest[idioma_la])</f>
        <v>Lingua Hispanica</v>
      </c>
      <c r="L1028" s="6" t="str">
        <f>_xlfn.XLOOKUP(frasest[[#This Row],[autor_es]],autorest[autor_es],autorest[nacion_es])</f>
        <v>España</v>
      </c>
      <c r="M1028" t="str">
        <f>_xlfn.XLOOKUP(frasest[[#This Row],[autor_es]],autorest[autor_es],autorest[nacion_la])</f>
        <v>Hispania</v>
      </c>
      <c r="N1028" t="str">
        <f>_xlfn.XLOOKUP(frasest[[#This Row],[autor_es]],autorest[autor_es],autorest[epoca_es])</f>
        <v>Epoca Desconocida</v>
      </c>
      <c r="O1028" t="str">
        <f>_xlfn.XLOOKUP(frasest[[#This Row],[autor_es]],autorest[autor_es],autorest[epoca_la])</f>
        <v>Epocha Ignota</v>
      </c>
    </row>
    <row r="1029" spans="1:15">
      <c r="A1029">
        <v>1028</v>
      </c>
      <c r="B1029" t="s">
        <v>2797</v>
      </c>
      <c r="C1029" t="s">
        <v>2798</v>
      </c>
      <c r="D1029" t="s">
        <v>2797</v>
      </c>
      <c r="E1029" t="s">
        <v>21</v>
      </c>
      <c r="F1029" t="str">
        <f>_xlfn.XLOOKUP(frasest[[#This Row],[autor_es]],autorest[autor_es],autorest[autor_la])</f>
        <v>Sententia Hispanica</v>
      </c>
      <c r="G1029" s="6" t="str">
        <f>_xlfn.XLOOKUP(frasest[[#This Row],[autor_es]],autorest[autor_es],autorest[bio_es])</f>
        <v>Refranes populares de la tradición oral hispana que expresan de forma breve y ingeniosa enseñanzas prácticas sobre la vida cotidiana.</v>
      </c>
      <c r="H1029" s="6" t="str">
        <f>_xlfn.XLOOKUP(frasest[[#This Row],[autor_es]],autorest[autor_es],autorest[bio_la])</f>
        <v>Collectio sententiarum Hispanicarum.</v>
      </c>
      <c r="I1029" t="str">
        <f>_xlfn.XLOOKUP(frasest[[#This Row],[autor_es]],autorest[autor_es],autorest[codigo])</f>
        <v>es</v>
      </c>
      <c r="J1029" t="str">
        <f>_xlfn.XLOOKUP(frasest[[#This Row],[autor_es]],autorest[autor_es],autorest[idioma_es])</f>
        <v>Español</v>
      </c>
      <c r="K1029" s="6" t="str">
        <f>_xlfn.XLOOKUP(frasest[[#This Row],[autor_es]],autorest[autor_es],autorest[idioma_la])</f>
        <v>Lingua Hispanica</v>
      </c>
      <c r="L1029" s="6" t="str">
        <f>_xlfn.XLOOKUP(frasest[[#This Row],[autor_es]],autorest[autor_es],autorest[nacion_es])</f>
        <v>España</v>
      </c>
      <c r="M1029" t="str">
        <f>_xlfn.XLOOKUP(frasest[[#This Row],[autor_es]],autorest[autor_es],autorest[nacion_la])</f>
        <v>Hispania</v>
      </c>
      <c r="N1029" t="str">
        <f>_xlfn.XLOOKUP(frasest[[#This Row],[autor_es]],autorest[autor_es],autorest[epoca_es])</f>
        <v>Epoca Desconocida</v>
      </c>
      <c r="O1029" t="str">
        <f>_xlfn.XLOOKUP(frasest[[#This Row],[autor_es]],autorest[autor_es],autorest[epoca_la])</f>
        <v>Epocha Ignota</v>
      </c>
    </row>
    <row r="1030" spans="1:15">
      <c r="A1030">
        <v>1029</v>
      </c>
      <c r="B1030" t="s">
        <v>2799</v>
      </c>
      <c r="C1030" t="s">
        <v>2800</v>
      </c>
      <c r="D1030" t="s">
        <v>2799</v>
      </c>
      <c r="E1030" t="s">
        <v>21</v>
      </c>
      <c r="F1030" t="str">
        <f>_xlfn.XLOOKUP(frasest[[#This Row],[autor_es]],autorest[autor_es],autorest[autor_la])</f>
        <v>Sententia Hispanica</v>
      </c>
      <c r="G1030" s="6" t="str">
        <f>_xlfn.XLOOKUP(frasest[[#This Row],[autor_es]],autorest[autor_es],autorest[bio_es])</f>
        <v>Refranes populares de la tradición oral hispana que expresan de forma breve y ingeniosa enseñanzas prácticas sobre la vida cotidiana.</v>
      </c>
      <c r="H1030" s="6" t="str">
        <f>_xlfn.XLOOKUP(frasest[[#This Row],[autor_es]],autorest[autor_es],autorest[bio_la])</f>
        <v>Collectio sententiarum Hispanicarum.</v>
      </c>
      <c r="I1030" t="str">
        <f>_xlfn.XLOOKUP(frasest[[#This Row],[autor_es]],autorest[autor_es],autorest[codigo])</f>
        <v>es</v>
      </c>
      <c r="J1030" t="str">
        <f>_xlfn.XLOOKUP(frasest[[#This Row],[autor_es]],autorest[autor_es],autorest[idioma_es])</f>
        <v>Español</v>
      </c>
      <c r="K1030" s="6" t="str">
        <f>_xlfn.XLOOKUP(frasest[[#This Row],[autor_es]],autorest[autor_es],autorest[idioma_la])</f>
        <v>Lingua Hispanica</v>
      </c>
      <c r="L1030" s="6" t="str">
        <f>_xlfn.XLOOKUP(frasest[[#This Row],[autor_es]],autorest[autor_es],autorest[nacion_es])</f>
        <v>España</v>
      </c>
      <c r="M1030" t="str">
        <f>_xlfn.XLOOKUP(frasest[[#This Row],[autor_es]],autorest[autor_es],autorest[nacion_la])</f>
        <v>Hispania</v>
      </c>
      <c r="N1030" t="str">
        <f>_xlfn.XLOOKUP(frasest[[#This Row],[autor_es]],autorest[autor_es],autorest[epoca_es])</f>
        <v>Epoca Desconocida</v>
      </c>
      <c r="O1030" t="str">
        <f>_xlfn.XLOOKUP(frasest[[#This Row],[autor_es]],autorest[autor_es],autorest[epoca_la])</f>
        <v>Epocha Ignota</v>
      </c>
    </row>
    <row r="1031" spans="1:15">
      <c r="A1031">
        <v>1030</v>
      </c>
      <c r="B1031" t="s">
        <v>2801</v>
      </c>
      <c r="C1031" t="s">
        <v>2802</v>
      </c>
      <c r="D1031" t="s">
        <v>2801</v>
      </c>
      <c r="E1031" t="s">
        <v>21</v>
      </c>
      <c r="F1031" t="str">
        <f>_xlfn.XLOOKUP(frasest[[#This Row],[autor_es]],autorest[autor_es],autorest[autor_la])</f>
        <v>Sententia Hispanica</v>
      </c>
      <c r="G1031" s="6" t="str">
        <f>_xlfn.XLOOKUP(frasest[[#This Row],[autor_es]],autorest[autor_es],autorest[bio_es])</f>
        <v>Refranes populares de la tradición oral hispana que expresan de forma breve y ingeniosa enseñanzas prácticas sobre la vida cotidiana.</v>
      </c>
      <c r="H1031" s="6" t="str">
        <f>_xlfn.XLOOKUP(frasest[[#This Row],[autor_es]],autorest[autor_es],autorest[bio_la])</f>
        <v>Collectio sententiarum Hispanicarum.</v>
      </c>
      <c r="I1031" t="str">
        <f>_xlfn.XLOOKUP(frasest[[#This Row],[autor_es]],autorest[autor_es],autorest[codigo])</f>
        <v>es</v>
      </c>
      <c r="J1031" t="str">
        <f>_xlfn.XLOOKUP(frasest[[#This Row],[autor_es]],autorest[autor_es],autorest[idioma_es])</f>
        <v>Español</v>
      </c>
      <c r="K1031" s="6" t="str">
        <f>_xlfn.XLOOKUP(frasest[[#This Row],[autor_es]],autorest[autor_es],autorest[idioma_la])</f>
        <v>Lingua Hispanica</v>
      </c>
      <c r="L1031" s="6" t="str">
        <f>_xlfn.XLOOKUP(frasest[[#This Row],[autor_es]],autorest[autor_es],autorest[nacion_es])</f>
        <v>España</v>
      </c>
      <c r="M1031" t="str">
        <f>_xlfn.XLOOKUP(frasest[[#This Row],[autor_es]],autorest[autor_es],autorest[nacion_la])</f>
        <v>Hispania</v>
      </c>
      <c r="N1031" t="str">
        <f>_xlfn.XLOOKUP(frasest[[#This Row],[autor_es]],autorest[autor_es],autorest[epoca_es])</f>
        <v>Epoca Desconocida</v>
      </c>
      <c r="O1031" t="str">
        <f>_xlfn.XLOOKUP(frasest[[#This Row],[autor_es]],autorest[autor_es],autorest[epoca_la])</f>
        <v>Epocha Ignota</v>
      </c>
    </row>
    <row r="1032" spans="1:15">
      <c r="A1032">
        <v>1031</v>
      </c>
      <c r="B1032" t="s">
        <v>2803</v>
      </c>
      <c r="C1032" t="s">
        <v>2804</v>
      </c>
      <c r="D1032" t="s">
        <v>2803</v>
      </c>
      <c r="E1032" t="s">
        <v>21</v>
      </c>
      <c r="F1032" t="str">
        <f>_xlfn.XLOOKUP(frasest[[#This Row],[autor_es]],autorest[autor_es],autorest[autor_la])</f>
        <v>Sententia Hispanica</v>
      </c>
      <c r="G1032" s="6" t="str">
        <f>_xlfn.XLOOKUP(frasest[[#This Row],[autor_es]],autorest[autor_es],autorest[bio_es])</f>
        <v>Refranes populares de la tradición oral hispana que expresan de forma breve y ingeniosa enseñanzas prácticas sobre la vida cotidiana.</v>
      </c>
      <c r="H1032" s="6" t="str">
        <f>_xlfn.XLOOKUP(frasest[[#This Row],[autor_es]],autorest[autor_es],autorest[bio_la])</f>
        <v>Collectio sententiarum Hispanicarum.</v>
      </c>
      <c r="I1032" t="str">
        <f>_xlfn.XLOOKUP(frasest[[#This Row],[autor_es]],autorest[autor_es],autorest[codigo])</f>
        <v>es</v>
      </c>
      <c r="J1032" t="str">
        <f>_xlfn.XLOOKUP(frasest[[#This Row],[autor_es]],autorest[autor_es],autorest[idioma_es])</f>
        <v>Español</v>
      </c>
      <c r="K1032" s="6" t="str">
        <f>_xlfn.XLOOKUP(frasest[[#This Row],[autor_es]],autorest[autor_es],autorest[idioma_la])</f>
        <v>Lingua Hispanica</v>
      </c>
      <c r="L1032" s="6" t="str">
        <f>_xlfn.XLOOKUP(frasest[[#This Row],[autor_es]],autorest[autor_es],autorest[nacion_es])</f>
        <v>España</v>
      </c>
      <c r="M1032" t="str">
        <f>_xlfn.XLOOKUP(frasest[[#This Row],[autor_es]],autorest[autor_es],autorest[nacion_la])</f>
        <v>Hispania</v>
      </c>
      <c r="N1032" t="str">
        <f>_xlfn.XLOOKUP(frasest[[#This Row],[autor_es]],autorest[autor_es],autorest[epoca_es])</f>
        <v>Epoca Desconocida</v>
      </c>
      <c r="O1032" t="str">
        <f>_xlfn.XLOOKUP(frasest[[#This Row],[autor_es]],autorest[autor_es],autorest[epoca_la])</f>
        <v>Epocha Ignota</v>
      </c>
    </row>
    <row r="1033" spans="1:15">
      <c r="A1033">
        <v>1032</v>
      </c>
      <c r="B1033" t="s">
        <v>2805</v>
      </c>
      <c r="C1033" t="s">
        <v>2806</v>
      </c>
      <c r="D1033" s="1" t="s">
        <v>2807</v>
      </c>
      <c r="E1033" t="s">
        <v>33</v>
      </c>
      <c r="F1033" t="str">
        <f>_xlfn.XLOOKUP(frasest[[#This Row],[autor_es]],autorest[autor_es],autorest[autor_la])</f>
        <v>Proverbium Sinense</v>
      </c>
      <c r="G1033" s="6" t="str">
        <f>_xlfn.XLOOKUP(frasest[[#This Row],[autor_es]],autorest[autor_es],autorest[bio_es])</f>
        <v>Conjunto de proverbios tradicionales de la cultura china que transmiten sabiduría popular, valores morales y enseñanzas prácticas transmitidas oralmente durante siglos.</v>
      </c>
      <c r="H1033" s="6" t="str">
        <f>_xlfn.XLOOKUP(frasest[[#This Row],[autor_es]],autorest[autor_es],autorest[bio_la])</f>
        <v>Collectio sententiarum Sinensium, magnopere in cultura tradita.</v>
      </c>
      <c r="I1033" t="str">
        <f>_xlfn.XLOOKUP(frasest[[#This Row],[autor_es]],autorest[autor_es],autorest[codigo])</f>
        <v>zh</v>
      </c>
      <c r="J1033" t="str">
        <f>_xlfn.XLOOKUP(frasest[[#This Row],[autor_es]],autorest[autor_es],autorest[idioma_es])</f>
        <v>Chino</v>
      </c>
      <c r="K1033" s="6" t="str">
        <f>_xlfn.XLOOKUP(frasest[[#This Row],[autor_es]],autorest[autor_es],autorest[idioma_la])</f>
        <v>Lingua Sinica</v>
      </c>
      <c r="L1033" s="6" t="str">
        <f>_xlfn.XLOOKUP(frasest[[#This Row],[autor_es]],autorest[autor_es],autorest[nacion_es])</f>
        <v>China</v>
      </c>
      <c r="M1033" t="str">
        <f>_xlfn.XLOOKUP(frasest[[#This Row],[autor_es]],autorest[autor_es],autorest[nacion_la])</f>
        <v>Sinae</v>
      </c>
      <c r="N1033" t="str">
        <f>_xlfn.XLOOKUP(frasest[[#This Row],[autor_es]],autorest[autor_es],autorest[epoca_es])</f>
        <v>Epoca Desconocida</v>
      </c>
      <c r="O1033" t="str">
        <f>_xlfn.XLOOKUP(frasest[[#This Row],[autor_es]],autorest[autor_es],autorest[epoca_la])</f>
        <v>Epocha Ignota</v>
      </c>
    </row>
    <row r="1034" spans="1:15">
      <c r="A1034">
        <v>1033</v>
      </c>
      <c r="B1034" t="s">
        <v>2808</v>
      </c>
      <c r="C1034" t="s">
        <v>2809</v>
      </c>
      <c r="D1034" s="1" t="s">
        <v>2810</v>
      </c>
      <c r="E1034" t="s">
        <v>33</v>
      </c>
      <c r="F1034" t="str">
        <f>_xlfn.XLOOKUP(frasest[[#This Row],[autor_es]],autorest[autor_es],autorest[autor_la])</f>
        <v>Proverbium Sinense</v>
      </c>
      <c r="G1034" s="6" t="str">
        <f>_xlfn.XLOOKUP(frasest[[#This Row],[autor_es]],autorest[autor_es],autorest[bio_es])</f>
        <v>Conjunto de proverbios tradicionales de la cultura china que transmiten sabiduría popular, valores morales y enseñanzas prácticas transmitidas oralmente durante siglos.</v>
      </c>
      <c r="H1034" s="6" t="str">
        <f>_xlfn.XLOOKUP(frasest[[#This Row],[autor_es]],autorest[autor_es],autorest[bio_la])</f>
        <v>Collectio sententiarum Sinensium, magnopere in cultura tradita.</v>
      </c>
      <c r="I1034" t="str">
        <f>_xlfn.XLOOKUP(frasest[[#This Row],[autor_es]],autorest[autor_es],autorest[codigo])</f>
        <v>zh</v>
      </c>
      <c r="J1034" t="str">
        <f>_xlfn.XLOOKUP(frasest[[#This Row],[autor_es]],autorest[autor_es],autorest[idioma_es])</f>
        <v>Chino</v>
      </c>
      <c r="K1034" s="6" t="str">
        <f>_xlfn.XLOOKUP(frasest[[#This Row],[autor_es]],autorest[autor_es],autorest[idioma_la])</f>
        <v>Lingua Sinica</v>
      </c>
      <c r="L1034" s="6" t="str">
        <f>_xlfn.XLOOKUP(frasest[[#This Row],[autor_es]],autorest[autor_es],autorest[nacion_es])</f>
        <v>China</v>
      </c>
      <c r="M1034" t="str">
        <f>_xlfn.XLOOKUP(frasest[[#This Row],[autor_es]],autorest[autor_es],autorest[nacion_la])</f>
        <v>Sinae</v>
      </c>
      <c r="N1034" t="str">
        <f>_xlfn.XLOOKUP(frasest[[#This Row],[autor_es]],autorest[autor_es],autorest[epoca_es])</f>
        <v>Epoca Desconocida</v>
      </c>
      <c r="O1034" t="str">
        <f>_xlfn.XLOOKUP(frasest[[#This Row],[autor_es]],autorest[autor_es],autorest[epoca_la])</f>
        <v>Epocha Ignota</v>
      </c>
    </row>
    <row r="1035" spans="1:15">
      <c r="A1035">
        <v>1034</v>
      </c>
      <c r="B1035" t="s">
        <v>2811</v>
      </c>
      <c r="C1035" t="s">
        <v>2812</v>
      </c>
      <c r="D1035" s="1" t="s">
        <v>2813</v>
      </c>
      <c r="E1035" t="s">
        <v>33</v>
      </c>
      <c r="F1035" t="str">
        <f>_xlfn.XLOOKUP(frasest[[#This Row],[autor_es]],autorest[autor_es],autorest[autor_la])</f>
        <v>Proverbium Sinense</v>
      </c>
      <c r="G1035" s="6" t="str">
        <f>_xlfn.XLOOKUP(frasest[[#This Row],[autor_es]],autorest[autor_es],autorest[bio_es])</f>
        <v>Conjunto de proverbios tradicionales de la cultura china que transmiten sabiduría popular, valores morales y enseñanzas prácticas transmitidas oralmente durante siglos.</v>
      </c>
      <c r="H1035" s="6" t="str">
        <f>_xlfn.XLOOKUP(frasest[[#This Row],[autor_es]],autorest[autor_es],autorest[bio_la])</f>
        <v>Collectio sententiarum Sinensium, magnopere in cultura tradita.</v>
      </c>
      <c r="I1035" t="str">
        <f>_xlfn.XLOOKUP(frasest[[#This Row],[autor_es]],autorest[autor_es],autorest[codigo])</f>
        <v>zh</v>
      </c>
      <c r="J1035" t="str">
        <f>_xlfn.XLOOKUP(frasest[[#This Row],[autor_es]],autorest[autor_es],autorest[idioma_es])</f>
        <v>Chino</v>
      </c>
      <c r="K1035" s="6" t="str">
        <f>_xlfn.XLOOKUP(frasest[[#This Row],[autor_es]],autorest[autor_es],autorest[idioma_la])</f>
        <v>Lingua Sinica</v>
      </c>
      <c r="L1035" s="6" t="str">
        <f>_xlfn.XLOOKUP(frasest[[#This Row],[autor_es]],autorest[autor_es],autorest[nacion_es])</f>
        <v>China</v>
      </c>
      <c r="M1035" t="str">
        <f>_xlfn.XLOOKUP(frasest[[#This Row],[autor_es]],autorest[autor_es],autorest[nacion_la])</f>
        <v>Sinae</v>
      </c>
      <c r="N1035" t="str">
        <f>_xlfn.XLOOKUP(frasest[[#This Row],[autor_es]],autorest[autor_es],autorest[epoca_es])</f>
        <v>Epoca Desconocida</v>
      </c>
      <c r="O1035" t="str">
        <f>_xlfn.XLOOKUP(frasest[[#This Row],[autor_es]],autorest[autor_es],autorest[epoca_la])</f>
        <v>Epocha Ignota</v>
      </c>
    </row>
    <row r="1036" spans="1:15">
      <c r="A1036">
        <v>1035</v>
      </c>
      <c r="B1036" t="s">
        <v>2814</v>
      </c>
      <c r="C1036" t="s">
        <v>2815</v>
      </c>
      <c r="D1036" s="1" t="s">
        <v>2816</v>
      </c>
      <c r="E1036" t="s">
        <v>33</v>
      </c>
      <c r="F1036" t="str">
        <f>_xlfn.XLOOKUP(frasest[[#This Row],[autor_es]],autorest[autor_es],autorest[autor_la])</f>
        <v>Proverbium Sinense</v>
      </c>
      <c r="G1036" s="6" t="str">
        <f>_xlfn.XLOOKUP(frasest[[#This Row],[autor_es]],autorest[autor_es],autorest[bio_es])</f>
        <v>Conjunto de proverbios tradicionales de la cultura china que transmiten sabiduría popular, valores morales y enseñanzas prácticas transmitidas oralmente durante siglos.</v>
      </c>
      <c r="H1036" s="6" t="str">
        <f>_xlfn.XLOOKUP(frasest[[#This Row],[autor_es]],autorest[autor_es],autorest[bio_la])</f>
        <v>Collectio sententiarum Sinensium, magnopere in cultura tradita.</v>
      </c>
      <c r="I1036" t="str">
        <f>_xlfn.XLOOKUP(frasest[[#This Row],[autor_es]],autorest[autor_es],autorest[codigo])</f>
        <v>zh</v>
      </c>
      <c r="J1036" t="str">
        <f>_xlfn.XLOOKUP(frasest[[#This Row],[autor_es]],autorest[autor_es],autorest[idioma_es])</f>
        <v>Chino</v>
      </c>
      <c r="K1036" s="6" t="str">
        <f>_xlfn.XLOOKUP(frasest[[#This Row],[autor_es]],autorest[autor_es],autorest[idioma_la])</f>
        <v>Lingua Sinica</v>
      </c>
      <c r="L1036" s="6" t="str">
        <f>_xlfn.XLOOKUP(frasest[[#This Row],[autor_es]],autorest[autor_es],autorest[nacion_es])</f>
        <v>China</v>
      </c>
      <c r="M1036" t="str">
        <f>_xlfn.XLOOKUP(frasest[[#This Row],[autor_es]],autorest[autor_es],autorest[nacion_la])</f>
        <v>Sinae</v>
      </c>
      <c r="N1036" t="str">
        <f>_xlfn.XLOOKUP(frasest[[#This Row],[autor_es]],autorest[autor_es],autorest[epoca_es])</f>
        <v>Epoca Desconocida</v>
      </c>
      <c r="O1036" t="str">
        <f>_xlfn.XLOOKUP(frasest[[#This Row],[autor_es]],autorest[autor_es],autorest[epoca_la])</f>
        <v>Epocha Ignota</v>
      </c>
    </row>
    <row r="1037" spans="1:15">
      <c r="A1037">
        <v>1036</v>
      </c>
      <c r="B1037" t="s">
        <v>2817</v>
      </c>
      <c r="C1037" t="s">
        <v>2818</v>
      </c>
      <c r="D1037" s="1" t="s">
        <v>2819</v>
      </c>
      <c r="E1037" t="s">
        <v>33</v>
      </c>
      <c r="F1037" t="str">
        <f>_xlfn.XLOOKUP(frasest[[#This Row],[autor_es]],autorest[autor_es],autorest[autor_la])</f>
        <v>Proverbium Sinense</v>
      </c>
      <c r="G1037" s="6" t="str">
        <f>_xlfn.XLOOKUP(frasest[[#This Row],[autor_es]],autorest[autor_es],autorest[bio_es])</f>
        <v>Conjunto de proverbios tradicionales de la cultura china que transmiten sabiduría popular, valores morales y enseñanzas prácticas transmitidas oralmente durante siglos.</v>
      </c>
      <c r="H1037" s="6" t="str">
        <f>_xlfn.XLOOKUP(frasest[[#This Row],[autor_es]],autorest[autor_es],autorest[bio_la])</f>
        <v>Collectio sententiarum Sinensium, magnopere in cultura tradita.</v>
      </c>
      <c r="I1037" t="str">
        <f>_xlfn.XLOOKUP(frasest[[#This Row],[autor_es]],autorest[autor_es],autorest[codigo])</f>
        <v>zh</v>
      </c>
      <c r="J1037" t="str">
        <f>_xlfn.XLOOKUP(frasest[[#This Row],[autor_es]],autorest[autor_es],autorest[idioma_es])</f>
        <v>Chino</v>
      </c>
      <c r="K1037" s="6" t="str">
        <f>_xlfn.XLOOKUP(frasest[[#This Row],[autor_es]],autorest[autor_es],autorest[idioma_la])</f>
        <v>Lingua Sinica</v>
      </c>
      <c r="L1037" s="6" t="str">
        <f>_xlfn.XLOOKUP(frasest[[#This Row],[autor_es]],autorest[autor_es],autorest[nacion_es])</f>
        <v>China</v>
      </c>
      <c r="M1037" t="str">
        <f>_xlfn.XLOOKUP(frasest[[#This Row],[autor_es]],autorest[autor_es],autorest[nacion_la])</f>
        <v>Sinae</v>
      </c>
      <c r="N1037" t="str">
        <f>_xlfn.XLOOKUP(frasest[[#This Row],[autor_es]],autorest[autor_es],autorest[epoca_es])</f>
        <v>Epoca Desconocida</v>
      </c>
      <c r="O1037" t="str">
        <f>_xlfn.XLOOKUP(frasest[[#This Row],[autor_es]],autorest[autor_es],autorest[epoca_la])</f>
        <v>Epocha Ignota</v>
      </c>
    </row>
    <row r="1038" spans="1:15">
      <c r="A1038">
        <v>1037</v>
      </c>
      <c r="B1038" t="s">
        <v>2820</v>
      </c>
      <c r="C1038" t="s">
        <v>2821</v>
      </c>
      <c r="D1038" s="1" t="s">
        <v>2822</v>
      </c>
      <c r="E1038" t="s">
        <v>33</v>
      </c>
      <c r="F1038" t="str">
        <f>_xlfn.XLOOKUP(frasest[[#This Row],[autor_es]],autorest[autor_es],autorest[autor_la])</f>
        <v>Proverbium Sinense</v>
      </c>
      <c r="G1038" s="6" t="str">
        <f>_xlfn.XLOOKUP(frasest[[#This Row],[autor_es]],autorest[autor_es],autorest[bio_es])</f>
        <v>Conjunto de proverbios tradicionales de la cultura china que transmiten sabiduría popular, valores morales y enseñanzas prácticas transmitidas oralmente durante siglos.</v>
      </c>
      <c r="H1038" s="6" t="str">
        <f>_xlfn.XLOOKUP(frasest[[#This Row],[autor_es]],autorest[autor_es],autorest[bio_la])</f>
        <v>Collectio sententiarum Sinensium, magnopere in cultura tradita.</v>
      </c>
      <c r="I1038" t="str">
        <f>_xlfn.XLOOKUP(frasest[[#This Row],[autor_es]],autorest[autor_es],autorest[codigo])</f>
        <v>zh</v>
      </c>
      <c r="J1038" t="str">
        <f>_xlfn.XLOOKUP(frasest[[#This Row],[autor_es]],autorest[autor_es],autorest[idioma_es])</f>
        <v>Chino</v>
      </c>
      <c r="K1038" s="6" t="str">
        <f>_xlfn.XLOOKUP(frasest[[#This Row],[autor_es]],autorest[autor_es],autorest[idioma_la])</f>
        <v>Lingua Sinica</v>
      </c>
      <c r="L1038" s="6" t="str">
        <f>_xlfn.XLOOKUP(frasest[[#This Row],[autor_es]],autorest[autor_es],autorest[nacion_es])</f>
        <v>China</v>
      </c>
      <c r="M1038" t="str">
        <f>_xlfn.XLOOKUP(frasest[[#This Row],[autor_es]],autorest[autor_es],autorest[nacion_la])</f>
        <v>Sinae</v>
      </c>
      <c r="N1038" t="str">
        <f>_xlfn.XLOOKUP(frasest[[#This Row],[autor_es]],autorest[autor_es],autorest[epoca_es])</f>
        <v>Epoca Desconocida</v>
      </c>
      <c r="O1038" t="str">
        <f>_xlfn.XLOOKUP(frasest[[#This Row],[autor_es]],autorest[autor_es],autorest[epoca_la])</f>
        <v>Epocha Ignota</v>
      </c>
    </row>
    <row r="1039" spans="1:15">
      <c r="A1039">
        <v>1038</v>
      </c>
      <c r="B1039" t="s">
        <v>2823</v>
      </c>
      <c r="C1039" t="s">
        <v>2824</v>
      </c>
      <c r="D1039" s="1" t="s">
        <v>2825</v>
      </c>
      <c r="E1039" t="s">
        <v>33</v>
      </c>
      <c r="F1039" t="str">
        <f>_xlfn.XLOOKUP(frasest[[#This Row],[autor_es]],autorest[autor_es],autorest[autor_la])</f>
        <v>Proverbium Sinense</v>
      </c>
      <c r="G1039" s="6" t="str">
        <f>_xlfn.XLOOKUP(frasest[[#This Row],[autor_es]],autorest[autor_es],autorest[bio_es])</f>
        <v>Conjunto de proverbios tradicionales de la cultura china que transmiten sabiduría popular, valores morales y enseñanzas prácticas transmitidas oralmente durante siglos.</v>
      </c>
      <c r="H1039" s="6" t="str">
        <f>_xlfn.XLOOKUP(frasest[[#This Row],[autor_es]],autorest[autor_es],autorest[bio_la])</f>
        <v>Collectio sententiarum Sinensium, magnopere in cultura tradita.</v>
      </c>
      <c r="I1039" t="str">
        <f>_xlfn.XLOOKUP(frasest[[#This Row],[autor_es]],autorest[autor_es],autorest[codigo])</f>
        <v>zh</v>
      </c>
      <c r="J1039" t="str">
        <f>_xlfn.XLOOKUP(frasest[[#This Row],[autor_es]],autorest[autor_es],autorest[idioma_es])</f>
        <v>Chino</v>
      </c>
      <c r="K1039" s="6" t="str">
        <f>_xlfn.XLOOKUP(frasest[[#This Row],[autor_es]],autorest[autor_es],autorest[idioma_la])</f>
        <v>Lingua Sinica</v>
      </c>
      <c r="L1039" s="6" t="str">
        <f>_xlfn.XLOOKUP(frasest[[#This Row],[autor_es]],autorest[autor_es],autorest[nacion_es])</f>
        <v>China</v>
      </c>
      <c r="M1039" t="str">
        <f>_xlfn.XLOOKUP(frasest[[#This Row],[autor_es]],autorest[autor_es],autorest[nacion_la])</f>
        <v>Sinae</v>
      </c>
      <c r="N1039" t="str">
        <f>_xlfn.XLOOKUP(frasest[[#This Row],[autor_es]],autorest[autor_es],autorest[epoca_es])</f>
        <v>Epoca Desconocida</v>
      </c>
      <c r="O1039" t="str">
        <f>_xlfn.XLOOKUP(frasest[[#This Row],[autor_es]],autorest[autor_es],autorest[epoca_la])</f>
        <v>Epocha Ignota</v>
      </c>
    </row>
    <row r="1040" spans="1:15">
      <c r="A1040">
        <v>1039</v>
      </c>
      <c r="B1040" t="s">
        <v>2826</v>
      </c>
      <c r="C1040" t="s">
        <v>2827</v>
      </c>
      <c r="D1040" s="1" t="s">
        <v>2828</v>
      </c>
      <c r="E1040" t="s">
        <v>33</v>
      </c>
      <c r="F1040" t="str">
        <f>_xlfn.XLOOKUP(frasest[[#This Row],[autor_es]],autorest[autor_es],autorest[autor_la])</f>
        <v>Proverbium Sinense</v>
      </c>
      <c r="G1040" s="6" t="str">
        <f>_xlfn.XLOOKUP(frasest[[#This Row],[autor_es]],autorest[autor_es],autorest[bio_es])</f>
        <v>Conjunto de proverbios tradicionales de la cultura china que transmiten sabiduría popular, valores morales y enseñanzas prácticas transmitidas oralmente durante siglos.</v>
      </c>
      <c r="H1040" s="6" t="str">
        <f>_xlfn.XLOOKUP(frasest[[#This Row],[autor_es]],autorest[autor_es],autorest[bio_la])</f>
        <v>Collectio sententiarum Sinensium, magnopere in cultura tradita.</v>
      </c>
      <c r="I1040" t="str">
        <f>_xlfn.XLOOKUP(frasest[[#This Row],[autor_es]],autorest[autor_es],autorest[codigo])</f>
        <v>zh</v>
      </c>
      <c r="J1040" t="str">
        <f>_xlfn.XLOOKUP(frasest[[#This Row],[autor_es]],autorest[autor_es],autorest[idioma_es])</f>
        <v>Chino</v>
      </c>
      <c r="K1040" s="6" t="str">
        <f>_xlfn.XLOOKUP(frasest[[#This Row],[autor_es]],autorest[autor_es],autorest[idioma_la])</f>
        <v>Lingua Sinica</v>
      </c>
      <c r="L1040" s="6" t="str">
        <f>_xlfn.XLOOKUP(frasest[[#This Row],[autor_es]],autorest[autor_es],autorest[nacion_es])</f>
        <v>China</v>
      </c>
      <c r="M1040" t="str">
        <f>_xlfn.XLOOKUP(frasest[[#This Row],[autor_es]],autorest[autor_es],autorest[nacion_la])</f>
        <v>Sinae</v>
      </c>
      <c r="N1040" t="str">
        <f>_xlfn.XLOOKUP(frasest[[#This Row],[autor_es]],autorest[autor_es],autorest[epoca_es])</f>
        <v>Epoca Desconocida</v>
      </c>
      <c r="O1040" t="str">
        <f>_xlfn.XLOOKUP(frasest[[#This Row],[autor_es]],autorest[autor_es],autorest[epoca_la])</f>
        <v>Epocha Ignota</v>
      </c>
    </row>
    <row r="1041" spans="1:15">
      <c r="A1041">
        <v>1040</v>
      </c>
      <c r="B1041" t="s">
        <v>2829</v>
      </c>
      <c r="C1041" t="s">
        <v>2830</v>
      </c>
      <c r="D1041" s="1" t="s">
        <v>2831</v>
      </c>
      <c r="E1041" t="s">
        <v>33</v>
      </c>
      <c r="F1041" t="str">
        <f>_xlfn.XLOOKUP(frasest[[#This Row],[autor_es]],autorest[autor_es],autorest[autor_la])</f>
        <v>Proverbium Sinense</v>
      </c>
      <c r="G1041" s="6" t="str">
        <f>_xlfn.XLOOKUP(frasest[[#This Row],[autor_es]],autorest[autor_es],autorest[bio_es])</f>
        <v>Conjunto de proverbios tradicionales de la cultura china que transmiten sabiduría popular, valores morales y enseñanzas prácticas transmitidas oralmente durante siglos.</v>
      </c>
      <c r="H1041" s="6" t="str">
        <f>_xlfn.XLOOKUP(frasest[[#This Row],[autor_es]],autorest[autor_es],autorest[bio_la])</f>
        <v>Collectio sententiarum Sinensium, magnopere in cultura tradita.</v>
      </c>
      <c r="I1041" t="str">
        <f>_xlfn.XLOOKUP(frasest[[#This Row],[autor_es]],autorest[autor_es],autorest[codigo])</f>
        <v>zh</v>
      </c>
      <c r="J1041" t="str">
        <f>_xlfn.XLOOKUP(frasest[[#This Row],[autor_es]],autorest[autor_es],autorest[idioma_es])</f>
        <v>Chino</v>
      </c>
      <c r="K1041" s="6" t="str">
        <f>_xlfn.XLOOKUP(frasest[[#This Row],[autor_es]],autorest[autor_es],autorest[idioma_la])</f>
        <v>Lingua Sinica</v>
      </c>
      <c r="L1041" s="6" t="str">
        <f>_xlfn.XLOOKUP(frasest[[#This Row],[autor_es]],autorest[autor_es],autorest[nacion_es])</f>
        <v>China</v>
      </c>
      <c r="M1041" t="str">
        <f>_xlfn.XLOOKUP(frasest[[#This Row],[autor_es]],autorest[autor_es],autorest[nacion_la])</f>
        <v>Sinae</v>
      </c>
      <c r="N1041" t="str">
        <f>_xlfn.XLOOKUP(frasest[[#This Row],[autor_es]],autorest[autor_es],autorest[epoca_es])</f>
        <v>Epoca Desconocida</v>
      </c>
      <c r="O1041" t="str">
        <f>_xlfn.XLOOKUP(frasest[[#This Row],[autor_es]],autorest[autor_es],autorest[epoca_la])</f>
        <v>Epocha Ignota</v>
      </c>
    </row>
    <row r="1042" spans="1:15">
      <c r="A1042">
        <v>1041</v>
      </c>
      <c r="B1042" t="s">
        <v>2832</v>
      </c>
      <c r="C1042" t="s">
        <v>2833</v>
      </c>
      <c r="D1042" s="1" t="s">
        <v>2834</v>
      </c>
      <c r="E1042" t="s">
        <v>33</v>
      </c>
      <c r="F1042" t="str">
        <f>_xlfn.XLOOKUP(frasest[[#This Row],[autor_es]],autorest[autor_es],autorest[autor_la])</f>
        <v>Proverbium Sinense</v>
      </c>
      <c r="G1042" s="6" t="str">
        <f>_xlfn.XLOOKUP(frasest[[#This Row],[autor_es]],autorest[autor_es],autorest[bio_es])</f>
        <v>Conjunto de proverbios tradicionales de la cultura china que transmiten sabiduría popular, valores morales y enseñanzas prácticas transmitidas oralmente durante siglos.</v>
      </c>
      <c r="H1042" s="6" t="str">
        <f>_xlfn.XLOOKUP(frasest[[#This Row],[autor_es]],autorest[autor_es],autorest[bio_la])</f>
        <v>Collectio sententiarum Sinensium, magnopere in cultura tradita.</v>
      </c>
      <c r="I1042" t="str">
        <f>_xlfn.XLOOKUP(frasest[[#This Row],[autor_es]],autorest[autor_es],autorest[codigo])</f>
        <v>zh</v>
      </c>
      <c r="J1042" t="str">
        <f>_xlfn.XLOOKUP(frasest[[#This Row],[autor_es]],autorest[autor_es],autorest[idioma_es])</f>
        <v>Chino</v>
      </c>
      <c r="K1042" s="6" t="str">
        <f>_xlfn.XLOOKUP(frasest[[#This Row],[autor_es]],autorest[autor_es],autorest[idioma_la])</f>
        <v>Lingua Sinica</v>
      </c>
      <c r="L1042" s="6" t="str">
        <f>_xlfn.XLOOKUP(frasest[[#This Row],[autor_es]],autorest[autor_es],autorest[nacion_es])</f>
        <v>China</v>
      </c>
      <c r="M1042" t="str">
        <f>_xlfn.XLOOKUP(frasest[[#This Row],[autor_es]],autorest[autor_es],autorest[nacion_la])</f>
        <v>Sinae</v>
      </c>
      <c r="N1042" t="str">
        <f>_xlfn.XLOOKUP(frasest[[#This Row],[autor_es]],autorest[autor_es],autorest[epoca_es])</f>
        <v>Epoca Desconocida</v>
      </c>
      <c r="O1042" t="str">
        <f>_xlfn.XLOOKUP(frasest[[#This Row],[autor_es]],autorest[autor_es],autorest[epoca_la])</f>
        <v>Epocha Ignota</v>
      </c>
    </row>
    <row r="1043" spans="1:15">
      <c r="A1043">
        <v>1042</v>
      </c>
      <c r="B1043" t="s">
        <v>2835</v>
      </c>
      <c r="C1043" t="s">
        <v>2836</v>
      </c>
      <c r="D1043" s="1" t="s">
        <v>1049</v>
      </c>
      <c r="E1043" t="s">
        <v>33</v>
      </c>
      <c r="F1043" t="str">
        <f>_xlfn.XLOOKUP(frasest[[#This Row],[autor_es]],autorest[autor_es],autorest[autor_la])</f>
        <v>Proverbium Sinense</v>
      </c>
      <c r="G1043" s="6" t="str">
        <f>_xlfn.XLOOKUP(frasest[[#This Row],[autor_es]],autorest[autor_es],autorest[bio_es])</f>
        <v>Conjunto de proverbios tradicionales de la cultura china que transmiten sabiduría popular, valores morales y enseñanzas prácticas transmitidas oralmente durante siglos.</v>
      </c>
      <c r="H1043" s="6" t="str">
        <f>_xlfn.XLOOKUP(frasest[[#This Row],[autor_es]],autorest[autor_es],autorest[bio_la])</f>
        <v>Collectio sententiarum Sinensium, magnopere in cultura tradita.</v>
      </c>
      <c r="I1043" t="str">
        <f>_xlfn.XLOOKUP(frasest[[#This Row],[autor_es]],autorest[autor_es],autorest[codigo])</f>
        <v>zh</v>
      </c>
      <c r="J1043" t="str">
        <f>_xlfn.XLOOKUP(frasest[[#This Row],[autor_es]],autorest[autor_es],autorest[idioma_es])</f>
        <v>Chino</v>
      </c>
      <c r="K1043" s="6" t="str">
        <f>_xlfn.XLOOKUP(frasest[[#This Row],[autor_es]],autorest[autor_es],autorest[idioma_la])</f>
        <v>Lingua Sinica</v>
      </c>
      <c r="L1043" s="6" t="str">
        <f>_xlfn.XLOOKUP(frasest[[#This Row],[autor_es]],autorest[autor_es],autorest[nacion_es])</f>
        <v>China</v>
      </c>
      <c r="M1043" t="str">
        <f>_xlfn.XLOOKUP(frasest[[#This Row],[autor_es]],autorest[autor_es],autorest[nacion_la])</f>
        <v>Sinae</v>
      </c>
      <c r="N1043" t="str">
        <f>_xlfn.XLOOKUP(frasest[[#This Row],[autor_es]],autorest[autor_es],autorest[epoca_es])</f>
        <v>Epoca Desconocida</v>
      </c>
      <c r="O1043" t="str">
        <f>_xlfn.XLOOKUP(frasest[[#This Row],[autor_es]],autorest[autor_es],autorest[epoca_la])</f>
        <v>Epocha Ignota</v>
      </c>
    </row>
    <row r="1044" spans="1:15">
      <c r="A1044">
        <v>1043</v>
      </c>
      <c r="B1044" t="s">
        <v>2837</v>
      </c>
      <c r="C1044" t="s">
        <v>2838</v>
      </c>
      <c r="D1044" s="1" t="s">
        <v>2839</v>
      </c>
      <c r="E1044" t="s">
        <v>33</v>
      </c>
      <c r="F1044" t="str">
        <f>_xlfn.XLOOKUP(frasest[[#This Row],[autor_es]],autorest[autor_es],autorest[autor_la])</f>
        <v>Proverbium Sinense</v>
      </c>
      <c r="G1044" s="6" t="str">
        <f>_xlfn.XLOOKUP(frasest[[#This Row],[autor_es]],autorest[autor_es],autorest[bio_es])</f>
        <v>Conjunto de proverbios tradicionales de la cultura china que transmiten sabiduría popular, valores morales y enseñanzas prácticas transmitidas oralmente durante siglos.</v>
      </c>
      <c r="H1044" s="6" t="str">
        <f>_xlfn.XLOOKUP(frasest[[#This Row],[autor_es]],autorest[autor_es],autorest[bio_la])</f>
        <v>Collectio sententiarum Sinensium, magnopere in cultura tradita.</v>
      </c>
      <c r="I1044" t="str">
        <f>_xlfn.XLOOKUP(frasest[[#This Row],[autor_es]],autorest[autor_es],autorest[codigo])</f>
        <v>zh</v>
      </c>
      <c r="J1044" t="str">
        <f>_xlfn.XLOOKUP(frasest[[#This Row],[autor_es]],autorest[autor_es],autorest[idioma_es])</f>
        <v>Chino</v>
      </c>
      <c r="K1044" s="6" t="str">
        <f>_xlfn.XLOOKUP(frasest[[#This Row],[autor_es]],autorest[autor_es],autorest[idioma_la])</f>
        <v>Lingua Sinica</v>
      </c>
      <c r="L1044" s="6" t="str">
        <f>_xlfn.XLOOKUP(frasest[[#This Row],[autor_es]],autorest[autor_es],autorest[nacion_es])</f>
        <v>China</v>
      </c>
      <c r="M1044" t="str">
        <f>_xlfn.XLOOKUP(frasest[[#This Row],[autor_es]],autorest[autor_es],autorest[nacion_la])</f>
        <v>Sinae</v>
      </c>
      <c r="N1044" t="str">
        <f>_xlfn.XLOOKUP(frasest[[#This Row],[autor_es]],autorest[autor_es],autorest[epoca_es])</f>
        <v>Epoca Desconocida</v>
      </c>
      <c r="O1044" t="str">
        <f>_xlfn.XLOOKUP(frasest[[#This Row],[autor_es]],autorest[autor_es],autorest[epoca_la])</f>
        <v>Epocha Ignota</v>
      </c>
    </row>
    <row r="1045" spans="1:15">
      <c r="A1045">
        <v>1044</v>
      </c>
      <c r="B1045" t="s">
        <v>2840</v>
      </c>
      <c r="C1045" t="s">
        <v>2841</v>
      </c>
      <c r="D1045" s="1" t="s">
        <v>2842</v>
      </c>
      <c r="E1045" t="s">
        <v>33</v>
      </c>
      <c r="F1045" t="str">
        <f>_xlfn.XLOOKUP(frasest[[#This Row],[autor_es]],autorest[autor_es],autorest[autor_la])</f>
        <v>Proverbium Sinense</v>
      </c>
      <c r="G1045" s="6" t="str">
        <f>_xlfn.XLOOKUP(frasest[[#This Row],[autor_es]],autorest[autor_es],autorest[bio_es])</f>
        <v>Conjunto de proverbios tradicionales de la cultura china que transmiten sabiduría popular, valores morales y enseñanzas prácticas transmitidas oralmente durante siglos.</v>
      </c>
      <c r="H1045" s="6" t="str">
        <f>_xlfn.XLOOKUP(frasest[[#This Row],[autor_es]],autorest[autor_es],autorest[bio_la])</f>
        <v>Collectio sententiarum Sinensium, magnopere in cultura tradita.</v>
      </c>
      <c r="I1045" t="str">
        <f>_xlfn.XLOOKUP(frasest[[#This Row],[autor_es]],autorest[autor_es],autorest[codigo])</f>
        <v>zh</v>
      </c>
      <c r="J1045" t="str">
        <f>_xlfn.XLOOKUP(frasest[[#This Row],[autor_es]],autorest[autor_es],autorest[idioma_es])</f>
        <v>Chino</v>
      </c>
      <c r="K1045" s="6" t="str">
        <f>_xlfn.XLOOKUP(frasest[[#This Row],[autor_es]],autorest[autor_es],autorest[idioma_la])</f>
        <v>Lingua Sinica</v>
      </c>
      <c r="L1045" s="6" t="str">
        <f>_xlfn.XLOOKUP(frasest[[#This Row],[autor_es]],autorest[autor_es],autorest[nacion_es])</f>
        <v>China</v>
      </c>
      <c r="M1045" t="str">
        <f>_xlfn.XLOOKUP(frasest[[#This Row],[autor_es]],autorest[autor_es],autorest[nacion_la])</f>
        <v>Sinae</v>
      </c>
      <c r="N1045" t="str">
        <f>_xlfn.XLOOKUP(frasest[[#This Row],[autor_es]],autorest[autor_es],autorest[epoca_es])</f>
        <v>Epoca Desconocida</v>
      </c>
      <c r="O1045" t="str">
        <f>_xlfn.XLOOKUP(frasest[[#This Row],[autor_es]],autorest[autor_es],autorest[epoca_la])</f>
        <v>Epocha Ignota</v>
      </c>
    </row>
    <row r="1046" spans="1:15">
      <c r="A1046">
        <v>1045</v>
      </c>
      <c r="B1046" t="s">
        <v>2843</v>
      </c>
      <c r="C1046" t="s">
        <v>2844</v>
      </c>
      <c r="D1046" s="1" t="s">
        <v>2845</v>
      </c>
      <c r="E1046" t="s">
        <v>33</v>
      </c>
      <c r="F1046" t="str">
        <f>_xlfn.XLOOKUP(frasest[[#This Row],[autor_es]],autorest[autor_es],autorest[autor_la])</f>
        <v>Proverbium Sinense</v>
      </c>
      <c r="G1046" s="6" t="str">
        <f>_xlfn.XLOOKUP(frasest[[#This Row],[autor_es]],autorest[autor_es],autorest[bio_es])</f>
        <v>Conjunto de proverbios tradicionales de la cultura china que transmiten sabiduría popular, valores morales y enseñanzas prácticas transmitidas oralmente durante siglos.</v>
      </c>
      <c r="H1046" s="6" t="str">
        <f>_xlfn.XLOOKUP(frasest[[#This Row],[autor_es]],autorest[autor_es],autorest[bio_la])</f>
        <v>Collectio sententiarum Sinensium, magnopere in cultura tradita.</v>
      </c>
      <c r="I1046" t="str">
        <f>_xlfn.XLOOKUP(frasest[[#This Row],[autor_es]],autorest[autor_es],autorest[codigo])</f>
        <v>zh</v>
      </c>
      <c r="J1046" t="str">
        <f>_xlfn.XLOOKUP(frasest[[#This Row],[autor_es]],autorest[autor_es],autorest[idioma_es])</f>
        <v>Chino</v>
      </c>
      <c r="K1046" s="6" t="str">
        <f>_xlfn.XLOOKUP(frasest[[#This Row],[autor_es]],autorest[autor_es],autorest[idioma_la])</f>
        <v>Lingua Sinica</v>
      </c>
      <c r="L1046" s="6" t="str">
        <f>_xlfn.XLOOKUP(frasest[[#This Row],[autor_es]],autorest[autor_es],autorest[nacion_es])</f>
        <v>China</v>
      </c>
      <c r="M1046" t="str">
        <f>_xlfn.XLOOKUP(frasest[[#This Row],[autor_es]],autorest[autor_es],autorest[nacion_la])</f>
        <v>Sinae</v>
      </c>
      <c r="N1046" t="str">
        <f>_xlfn.XLOOKUP(frasest[[#This Row],[autor_es]],autorest[autor_es],autorest[epoca_es])</f>
        <v>Epoca Desconocida</v>
      </c>
      <c r="O1046" t="str">
        <f>_xlfn.XLOOKUP(frasest[[#This Row],[autor_es]],autorest[autor_es],autorest[epoca_la])</f>
        <v>Epocha Ignota</v>
      </c>
    </row>
    <row r="1047" spans="1:15">
      <c r="A1047">
        <v>1046</v>
      </c>
      <c r="B1047" t="s">
        <v>2846</v>
      </c>
      <c r="C1047" t="s">
        <v>2847</v>
      </c>
      <c r="D1047" s="1" t="s">
        <v>2848</v>
      </c>
      <c r="E1047" t="s">
        <v>33</v>
      </c>
      <c r="F1047" t="str">
        <f>_xlfn.XLOOKUP(frasest[[#This Row],[autor_es]],autorest[autor_es],autorest[autor_la])</f>
        <v>Proverbium Sinense</v>
      </c>
      <c r="G1047" s="6" t="str">
        <f>_xlfn.XLOOKUP(frasest[[#This Row],[autor_es]],autorest[autor_es],autorest[bio_es])</f>
        <v>Conjunto de proverbios tradicionales de la cultura china que transmiten sabiduría popular, valores morales y enseñanzas prácticas transmitidas oralmente durante siglos.</v>
      </c>
      <c r="H1047" s="6" t="str">
        <f>_xlfn.XLOOKUP(frasest[[#This Row],[autor_es]],autorest[autor_es],autorest[bio_la])</f>
        <v>Collectio sententiarum Sinensium, magnopere in cultura tradita.</v>
      </c>
      <c r="I1047" t="str">
        <f>_xlfn.XLOOKUP(frasest[[#This Row],[autor_es]],autorest[autor_es],autorest[codigo])</f>
        <v>zh</v>
      </c>
      <c r="J1047" t="str">
        <f>_xlfn.XLOOKUP(frasest[[#This Row],[autor_es]],autorest[autor_es],autorest[idioma_es])</f>
        <v>Chino</v>
      </c>
      <c r="K1047" s="6" t="str">
        <f>_xlfn.XLOOKUP(frasest[[#This Row],[autor_es]],autorest[autor_es],autorest[idioma_la])</f>
        <v>Lingua Sinica</v>
      </c>
      <c r="L1047" s="6" t="str">
        <f>_xlfn.XLOOKUP(frasest[[#This Row],[autor_es]],autorest[autor_es],autorest[nacion_es])</f>
        <v>China</v>
      </c>
      <c r="M1047" t="str">
        <f>_xlfn.XLOOKUP(frasest[[#This Row],[autor_es]],autorest[autor_es],autorest[nacion_la])</f>
        <v>Sinae</v>
      </c>
      <c r="N1047" t="str">
        <f>_xlfn.XLOOKUP(frasest[[#This Row],[autor_es]],autorest[autor_es],autorest[epoca_es])</f>
        <v>Epoca Desconocida</v>
      </c>
      <c r="O1047" t="str">
        <f>_xlfn.XLOOKUP(frasest[[#This Row],[autor_es]],autorest[autor_es],autorest[epoca_la])</f>
        <v>Epocha Ignota</v>
      </c>
    </row>
    <row r="1048" spans="1:15">
      <c r="A1048">
        <v>1047</v>
      </c>
      <c r="B1048" t="s">
        <v>2849</v>
      </c>
      <c r="C1048" t="s">
        <v>2850</v>
      </c>
      <c r="D1048" s="1" t="s">
        <v>2851</v>
      </c>
      <c r="E1048" t="s">
        <v>33</v>
      </c>
      <c r="F1048" t="str">
        <f>_xlfn.XLOOKUP(frasest[[#This Row],[autor_es]],autorest[autor_es],autorest[autor_la])</f>
        <v>Proverbium Sinense</v>
      </c>
      <c r="G1048" s="6" t="str">
        <f>_xlfn.XLOOKUP(frasest[[#This Row],[autor_es]],autorest[autor_es],autorest[bio_es])</f>
        <v>Conjunto de proverbios tradicionales de la cultura china que transmiten sabiduría popular, valores morales y enseñanzas prácticas transmitidas oralmente durante siglos.</v>
      </c>
      <c r="H1048" s="6" t="str">
        <f>_xlfn.XLOOKUP(frasest[[#This Row],[autor_es]],autorest[autor_es],autorest[bio_la])</f>
        <v>Collectio sententiarum Sinensium, magnopere in cultura tradita.</v>
      </c>
      <c r="I1048" t="str">
        <f>_xlfn.XLOOKUP(frasest[[#This Row],[autor_es]],autorest[autor_es],autorest[codigo])</f>
        <v>zh</v>
      </c>
      <c r="J1048" t="str">
        <f>_xlfn.XLOOKUP(frasest[[#This Row],[autor_es]],autorest[autor_es],autorest[idioma_es])</f>
        <v>Chino</v>
      </c>
      <c r="K1048" s="6" t="str">
        <f>_xlfn.XLOOKUP(frasest[[#This Row],[autor_es]],autorest[autor_es],autorest[idioma_la])</f>
        <v>Lingua Sinica</v>
      </c>
      <c r="L1048" s="6" t="str">
        <f>_xlfn.XLOOKUP(frasest[[#This Row],[autor_es]],autorest[autor_es],autorest[nacion_es])</f>
        <v>China</v>
      </c>
      <c r="M1048" t="str">
        <f>_xlfn.XLOOKUP(frasest[[#This Row],[autor_es]],autorest[autor_es],autorest[nacion_la])</f>
        <v>Sinae</v>
      </c>
      <c r="N1048" t="str">
        <f>_xlfn.XLOOKUP(frasest[[#This Row],[autor_es]],autorest[autor_es],autorest[epoca_es])</f>
        <v>Epoca Desconocida</v>
      </c>
      <c r="O1048" t="str">
        <f>_xlfn.XLOOKUP(frasest[[#This Row],[autor_es]],autorest[autor_es],autorest[epoca_la])</f>
        <v>Epocha Ignota</v>
      </c>
    </row>
    <row r="1049" spans="1:15">
      <c r="A1049">
        <v>1048</v>
      </c>
      <c r="B1049" t="s">
        <v>2852</v>
      </c>
      <c r="C1049" t="s">
        <v>2853</v>
      </c>
      <c r="D1049" s="1" t="s">
        <v>2854</v>
      </c>
      <c r="E1049" t="s">
        <v>33</v>
      </c>
      <c r="F1049" t="str">
        <f>_xlfn.XLOOKUP(frasest[[#This Row],[autor_es]],autorest[autor_es],autorest[autor_la])</f>
        <v>Proverbium Sinense</v>
      </c>
      <c r="G1049" s="6" t="str">
        <f>_xlfn.XLOOKUP(frasest[[#This Row],[autor_es]],autorest[autor_es],autorest[bio_es])</f>
        <v>Conjunto de proverbios tradicionales de la cultura china que transmiten sabiduría popular, valores morales y enseñanzas prácticas transmitidas oralmente durante siglos.</v>
      </c>
      <c r="H1049" s="6" t="str">
        <f>_xlfn.XLOOKUP(frasest[[#This Row],[autor_es]],autorest[autor_es],autorest[bio_la])</f>
        <v>Collectio sententiarum Sinensium, magnopere in cultura tradita.</v>
      </c>
      <c r="I1049" t="str">
        <f>_xlfn.XLOOKUP(frasest[[#This Row],[autor_es]],autorest[autor_es],autorest[codigo])</f>
        <v>zh</v>
      </c>
      <c r="J1049" t="str">
        <f>_xlfn.XLOOKUP(frasest[[#This Row],[autor_es]],autorest[autor_es],autorest[idioma_es])</f>
        <v>Chino</v>
      </c>
      <c r="K1049" s="6" t="str">
        <f>_xlfn.XLOOKUP(frasest[[#This Row],[autor_es]],autorest[autor_es],autorest[idioma_la])</f>
        <v>Lingua Sinica</v>
      </c>
      <c r="L1049" s="6" t="str">
        <f>_xlfn.XLOOKUP(frasest[[#This Row],[autor_es]],autorest[autor_es],autorest[nacion_es])</f>
        <v>China</v>
      </c>
      <c r="M1049" t="str">
        <f>_xlfn.XLOOKUP(frasest[[#This Row],[autor_es]],autorest[autor_es],autorest[nacion_la])</f>
        <v>Sinae</v>
      </c>
      <c r="N1049" t="str">
        <f>_xlfn.XLOOKUP(frasest[[#This Row],[autor_es]],autorest[autor_es],autorest[epoca_es])</f>
        <v>Epoca Desconocida</v>
      </c>
      <c r="O1049" t="str">
        <f>_xlfn.XLOOKUP(frasest[[#This Row],[autor_es]],autorest[autor_es],autorest[epoca_la])</f>
        <v>Epocha Ignota</v>
      </c>
    </row>
    <row r="1050" spans="1:15">
      <c r="A1050">
        <v>1049</v>
      </c>
      <c r="B1050" t="s">
        <v>2855</v>
      </c>
      <c r="C1050" t="s">
        <v>2856</v>
      </c>
      <c r="D1050" s="1" t="s">
        <v>2857</v>
      </c>
      <c r="E1050" t="s">
        <v>33</v>
      </c>
      <c r="F1050" t="str">
        <f>_xlfn.XLOOKUP(frasest[[#This Row],[autor_es]],autorest[autor_es],autorest[autor_la])</f>
        <v>Proverbium Sinense</v>
      </c>
      <c r="G1050" s="6" t="str">
        <f>_xlfn.XLOOKUP(frasest[[#This Row],[autor_es]],autorest[autor_es],autorest[bio_es])</f>
        <v>Conjunto de proverbios tradicionales de la cultura china que transmiten sabiduría popular, valores morales y enseñanzas prácticas transmitidas oralmente durante siglos.</v>
      </c>
      <c r="H1050" s="6" t="str">
        <f>_xlfn.XLOOKUP(frasest[[#This Row],[autor_es]],autorest[autor_es],autorest[bio_la])</f>
        <v>Collectio sententiarum Sinensium, magnopere in cultura tradita.</v>
      </c>
      <c r="I1050" t="str">
        <f>_xlfn.XLOOKUP(frasest[[#This Row],[autor_es]],autorest[autor_es],autorest[codigo])</f>
        <v>zh</v>
      </c>
      <c r="J1050" t="str">
        <f>_xlfn.XLOOKUP(frasest[[#This Row],[autor_es]],autorest[autor_es],autorest[idioma_es])</f>
        <v>Chino</v>
      </c>
      <c r="K1050" s="6" t="str">
        <f>_xlfn.XLOOKUP(frasest[[#This Row],[autor_es]],autorest[autor_es],autorest[idioma_la])</f>
        <v>Lingua Sinica</v>
      </c>
      <c r="L1050" s="6" t="str">
        <f>_xlfn.XLOOKUP(frasest[[#This Row],[autor_es]],autorest[autor_es],autorest[nacion_es])</f>
        <v>China</v>
      </c>
      <c r="M1050" t="str">
        <f>_xlfn.XLOOKUP(frasest[[#This Row],[autor_es]],autorest[autor_es],autorest[nacion_la])</f>
        <v>Sinae</v>
      </c>
      <c r="N1050" t="str">
        <f>_xlfn.XLOOKUP(frasest[[#This Row],[autor_es]],autorest[autor_es],autorest[epoca_es])</f>
        <v>Epoca Desconocida</v>
      </c>
      <c r="O1050" t="str">
        <f>_xlfn.XLOOKUP(frasest[[#This Row],[autor_es]],autorest[autor_es],autorest[epoca_la])</f>
        <v>Epocha Ignota</v>
      </c>
    </row>
    <row r="1051" spans="1:15">
      <c r="A1051">
        <v>1050</v>
      </c>
      <c r="B1051" t="s">
        <v>2858</v>
      </c>
      <c r="C1051" t="s">
        <v>2859</v>
      </c>
      <c r="D1051" s="1" t="s">
        <v>2860</v>
      </c>
      <c r="E1051" t="s">
        <v>33</v>
      </c>
      <c r="F1051" t="str">
        <f>_xlfn.XLOOKUP(frasest[[#This Row],[autor_es]],autorest[autor_es],autorest[autor_la])</f>
        <v>Proverbium Sinense</v>
      </c>
      <c r="G1051" s="6" t="str">
        <f>_xlfn.XLOOKUP(frasest[[#This Row],[autor_es]],autorest[autor_es],autorest[bio_es])</f>
        <v>Conjunto de proverbios tradicionales de la cultura china que transmiten sabiduría popular, valores morales y enseñanzas prácticas transmitidas oralmente durante siglos.</v>
      </c>
      <c r="H1051" s="6" t="str">
        <f>_xlfn.XLOOKUP(frasest[[#This Row],[autor_es]],autorest[autor_es],autorest[bio_la])</f>
        <v>Collectio sententiarum Sinensium, magnopere in cultura tradita.</v>
      </c>
      <c r="I1051" t="str">
        <f>_xlfn.XLOOKUP(frasest[[#This Row],[autor_es]],autorest[autor_es],autorest[codigo])</f>
        <v>zh</v>
      </c>
      <c r="J1051" t="str">
        <f>_xlfn.XLOOKUP(frasest[[#This Row],[autor_es]],autorest[autor_es],autorest[idioma_es])</f>
        <v>Chino</v>
      </c>
      <c r="K1051" s="6" t="str">
        <f>_xlfn.XLOOKUP(frasest[[#This Row],[autor_es]],autorest[autor_es],autorest[idioma_la])</f>
        <v>Lingua Sinica</v>
      </c>
      <c r="L1051" s="6" t="str">
        <f>_xlfn.XLOOKUP(frasest[[#This Row],[autor_es]],autorest[autor_es],autorest[nacion_es])</f>
        <v>China</v>
      </c>
      <c r="M1051" t="str">
        <f>_xlfn.XLOOKUP(frasest[[#This Row],[autor_es]],autorest[autor_es],autorest[nacion_la])</f>
        <v>Sinae</v>
      </c>
      <c r="N1051" t="str">
        <f>_xlfn.XLOOKUP(frasest[[#This Row],[autor_es]],autorest[autor_es],autorest[epoca_es])</f>
        <v>Epoca Desconocida</v>
      </c>
      <c r="O1051" t="str">
        <f>_xlfn.XLOOKUP(frasest[[#This Row],[autor_es]],autorest[autor_es],autorest[epoca_la])</f>
        <v>Epocha Ignota</v>
      </c>
    </row>
    <row r="1052" spans="1:15">
      <c r="A1052">
        <v>1051</v>
      </c>
      <c r="B1052" t="s">
        <v>2861</v>
      </c>
      <c r="C1052" t="s">
        <v>2862</v>
      </c>
      <c r="D1052" s="1" t="s">
        <v>2863</v>
      </c>
      <c r="E1052" t="s">
        <v>33</v>
      </c>
      <c r="F1052" t="str">
        <f>_xlfn.XLOOKUP(frasest[[#This Row],[autor_es]],autorest[autor_es],autorest[autor_la])</f>
        <v>Proverbium Sinense</v>
      </c>
      <c r="G1052" s="6" t="str">
        <f>_xlfn.XLOOKUP(frasest[[#This Row],[autor_es]],autorest[autor_es],autorest[bio_es])</f>
        <v>Conjunto de proverbios tradicionales de la cultura china que transmiten sabiduría popular, valores morales y enseñanzas prácticas transmitidas oralmente durante siglos.</v>
      </c>
      <c r="H1052" s="6" t="str">
        <f>_xlfn.XLOOKUP(frasest[[#This Row],[autor_es]],autorest[autor_es],autorest[bio_la])</f>
        <v>Collectio sententiarum Sinensium, magnopere in cultura tradita.</v>
      </c>
      <c r="I1052" t="str">
        <f>_xlfn.XLOOKUP(frasest[[#This Row],[autor_es]],autorest[autor_es],autorest[codigo])</f>
        <v>zh</v>
      </c>
      <c r="J1052" t="str">
        <f>_xlfn.XLOOKUP(frasest[[#This Row],[autor_es]],autorest[autor_es],autorest[idioma_es])</f>
        <v>Chino</v>
      </c>
      <c r="K1052" s="6" t="str">
        <f>_xlfn.XLOOKUP(frasest[[#This Row],[autor_es]],autorest[autor_es],autorest[idioma_la])</f>
        <v>Lingua Sinica</v>
      </c>
      <c r="L1052" s="6" t="str">
        <f>_xlfn.XLOOKUP(frasest[[#This Row],[autor_es]],autorest[autor_es],autorest[nacion_es])</f>
        <v>China</v>
      </c>
      <c r="M1052" t="str">
        <f>_xlfn.XLOOKUP(frasest[[#This Row],[autor_es]],autorest[autor_es],autorest[nacion_la])</f>
        <v>Sinae</v>
      </c>
      <c r="N1052" t="str">
        <f>_xlfn.XLOOKUP(frasest[[#This Row],[autor_es]],autorest[autor_es],autorest[epoca_es])</f>
        <v>Epoca Desconocida</v>
      </c>
      <c r="O1052" t="str">
        <f>_xlfn.XLOOKUP(frasest[[#This Row],[autor_es]],autorest[autor_es],autorest[epoca_la])</f>
        <v>Epocha Ignota</v>
      </c>
    </row>
    <row r="1053" spans="1:15">
      <c r="A1053">
        <v>1052</v>
      </c>
      <c r="B1053" t="s">
        <v>2864</v>
      </c>
      <c r="C1053" t="s">
        <v>2865</v>
      </c>
      <c r="D1053" s="1" t="s">
        <v>2866</v>
      </c>
      <c r="E1053" t="s">
        <v>33</v>
      </c>
      <c r="F1053" t="str">
        <f>_xlfn.XLOOKUP(frasest[[#This Row],[autor_es]],autorest[autor_es],autorest[autor_la])</f>
        <v>Proverbium Sinense</v>
      </c>
      <c r="G1053" s="6" t="str">
        <f>_xlfn.XLOOKUP(frasest[[#This Row],[autor_es]],autorest[autor_es],autorest[bio_es])</f>
        <v>Conjunto de proverbios tradicionales de la cultura china que transmiten sabiduría popular, valores morales y enseñanzas prácticas transmitidas oralmente durante siglos.</v>
      </c>
      <c r="H1053" s="6" t="str">
        <f>_xlfn.XLOOKUP(frasest[[#This Row],[autor_es]],autorest[autor_es],autorest[bio_la])</f>
        <v>Collectio sententiarum Sinensium, magnopere in cultura tradita.</v>
      </c>
      <c r="I1053" t="str">
        <f>_xlfn.XLOOKUP(frasest[[#This Row],[autor_es]],autorest[autor_es],autorest[codigo])</f>
        <v>zh</v>
      </c>
      <c r="J1053" t="str">
        <f>_xlfn.XLOOKUP(frasest[[#This Row],[autor_es]],autorest[autor_es],autorest[idioma_es])</f>
        <v>Chino</v>
      </c>
      <c r="K1053" s="6" t="str">
        <f>_xlfn.XLOOKUP(frasest[[#This Row],[autor_es]],autorest[autor_es],autorest[idioma_la])</f>
        <v>Lingua Sinica</v>
      </c>
      <c r="L1053" s="6" t="str">
        <f>_xlfn.XLOOKUP(frasest[[#This Row],[autor_es]],autorest[autor_es],autorest[nacion_es])</f>
        <v>China</v>
      </c>
      <c r="M1053" t="str">
        <f>_xlfn.XLOOKUP(frasest[[#This Row],[autor_es]],autorest[autor_es],autorest[nacion_la])</f>
        <v>Sinae</v>
      </c>
      <c r="N1053" t="str">
        <f>_xlfn.XLOOKUP(frasest[[#This Row],[autor_es]],autorest[autor_es],autorest[epoca_es])</f>
        <v>Epoca Desconocida</v>
      </c>
      <c r="O1053" t="str">
        <f>_xlfn.XLOOKUP(frasest[[#This Row],[autor_es]],autorest[autor_es],autorest[epoca_la])</f>
        <v>Epocha Ignota</v>
      </c>
    </row>
    <row r="1054" spans="1:15">
      <c r="A1054">
        <v>1053</v>
      </c>
      <c r="B1054" t="s">
        <v>2867</v>
      </c>
      <c r="C1054" t="s">
        <v>2868</v>
      </c>
      <c r="D1054" s="1" t="s">
        <v>2869</v>
      </c>
      <c r="E1054" t="s">
        <v>33</v>
      </c>
      <c r="F1054" t="str">
        <f>_xlfn.XLOOKUP(frasest[[#This Row],[autor_es]],autorest[autor_es],autorest[autor_la])</f>
        <v>Proverbium Sinense</v>
      </c>
      <c r="G1054" s="6" t="str">
        <f>_xlfn.XLOOKUP(frasest[[#This Row],[autor_es]],autorest[autor_es],autorest[bio_es])</f>
        <v>Conjunto de proverbios tradicionales de la cultura china que transmiten sabiduría popular, valores morales y enseñanzas prácticas transmitidas oralmente durante siglos.</v>
      </c>
      <c r="H1054" s="6" t="str">
        <f>_xlfn.XLOOKUP(frasest[[#This Row],[autor_es]],autorest[autor_es],autorest[bio_la])</f>
        <v>Collectio sententiarum Sinensium, magnopere in cultura tradita.</v>
      </c>
      <c r="I1054" t="str">
        <f>_xlfn.XLOOKUP(frasest[[#This Row],[autor_es]],autorest[autor_es],autorest[codigo])</f>
        <v>zh</v>
      </c>
      <c r="J1054" t="str">
        <f>_xlfn.XLOOKUP(frasest[[#This Row],[autor_es]],autorest[autor_es],autorest[idioma_es])</f>
        <v>Chino</v>
      </c>
      <c r="K1054" s="6" t="str">
        <f>_xlfn.XLOOKUP(frasest[[#This Row],[autor_es]],autorest[autor_es],autorest[idioma_la])</f>
        <v>Lingua Sinica</v>
      </c>
      <c r="L1054" s="6" t="str">
        <f>_xlfn.XLOOKUP(frasest[[#This Row],[autor_es]],autorest[autor_es],autorest[nacion_es])</f>
        <v>China</v>
      </c>
      <c r="M1054" t="str">
        <f>_xlfn.XLOOKUP(frasest[[#This Row],[autor_es]],autorest[autor_es],autorest[nacion_la])</f>
        <v>Sinae</v>
      </c>
      <c r="N1054" t="str">
        <f>_xlfn.XLOOKUP(frasest[[#This Row],[autor_es]],autorest[autor_es],autorest[epoca_es])</f>
        <v>Epoca Desconocida</v>
      </c>
      <c r="O1054" t="str">
        <f>_xlfn.XLOOKUP(frasest[[#This Row],[autor_es]],autorest[autor_es],autorest[epoca_la])</f>
        <v>Epocha Ignota</v>
      </c>
    </row>
    <row r="1055" spans="1:15">
      <c r="A1055">
        <v>1054</v>
      </c>
      <c r="B1055" t="s">
        <v>2870</v>
      </c>
      <c r="C1055" t="s">
        <v>2871</v>
      </c>
      <c r="D1055" s="1" t="s">
        <v>2872</v>
      </c>
      <c r="E1055" t="s">
        <v>33</v>
      </c>
      <c r="F1055" t="str">
        <f>_xlfn.XLOOKUP(frasest[[#This Row],[autor_es]],autorest[autor_es],autorest[autor_la])</f>
        <v>Proverbium Sinense</v>
      </c>
      <c r="G1055" s="6" t="str">
        <f>_xlfn.XLOOKUP(frasest[[#This Row],[autor_es]],autorest[autor_es],autorest[bio_es])</f>
        <v>Conjunto de proverbios tradicionales de la cultura china que transmiten sabiduría popular, valores morales y enseñanzas prácticas transmitidas oralmente durante siglos.</v>
      </c>
      <c r="H1055" s="6" t="str">
        <f>_xlfn.XLOOKUP(frasest[[#This Row],[autor_es]],autorest[autor_es],autorest[bio_la])</f>
        <v>Collectio sententiarum Sinensium, magnopere in cultura tradita.</v>
      </c>
      <c r="I1055" t="str">
        <f>_xlfn.XLOOKUP(frasest[[#This Row],[autor_es]],autorest[autor_es],autorest[codigo])</f>
        <v>zh</v>
      </c>
      <c r="J1055" t="str">
        <f>_xlfn.XLOOKUP(frasest[[#This Row],[autor_es]],autorest[autor_es],autorest[idioma_es])</f>
        <v>Chino</v>
      </c>
      <c r="K1055" s="6" t="str">
        <f>_xlfn.XLOOKUP(frasest[[#This Row],[autor_es]],autorest[autor_es],autorest[idioma_la])</f>
        <v>Lingua Sinica</v>
      </c>
      <c r="L1055" s="6" t="str">
        <f>_xlfn.XLOOKUP(frasest[[#This Row],[autor_es]],autorest[autor_es],autorest[nacion_es])</f>
        <v>China</v>
      </c>
      <c r="M1055" t="str">
        <f>_xlfn.XLOOKUP(frasest[[#This Row],[autor_es]],autorest[autor_es],autorest[nacion_la])</f>
        <v>Sinae</v>
      </c>
      <c r="N1055" t="str">
        <f>_xlfn.XLOOKUP(frasest[[#This Row],[autor_es]],autorest[autor_es],autorest[epoca_es])</f>
        <v>Epoca Desconocida</v>
      </c>
      <c r="O1055" t="str">
        <f>_xlfn.XLOOKUP(frasest[[#This Row],[autor_es]],autorest[autor_es],autorest[epoca_la])</f>
        <v>Epocha Ignota</v>
      </c>
    </row>
    <row r="1056" spans="1:15">
      <c r="A1056">
        <v>1055</v>
      </c>
      <c r="B1056" t="s">
        <v>2873</v>
      </c>
      <c r="C1056" t="s">
        <v>2874</v>
      </c>
      <c r="D1056" s="1" t="s">
        <v>2875</v>
      </c>
      <c r="E1056" t="s">
        <v>33</v>
      </c>
      <c r="F1056" t="str">
        <f>_xlfn.XLOOKUP(frasest[[#This Row],[autor_es]],autorest[autor_es],autorest[autor_la])</f>
        <v>Proverbium Sinense</v>
      </c>
      <c r="G1056" s="6" t="str">
        <f>_xlfn.XLOOKUP(frasest[[#This Row],[autor_es]],autorest[autor_es],autorest[bio_es])</f>
        <v>Conjunto de proverbios tradicionales de la cultura china que transmiten sabiduría popular, valores morales y enseñanzas prácticas transmitidas oralmente durante siglos.</v>
      </c>
      <c r="H1056" s="6" t="str">
        <f>_xlfn.XLOOKUP(frasest[[#This Row],[autor_es]],autorest[autor_es],autorest[bio_la])</f>
        <v>Collectio sententiarum Sinensium, magnopere in cultura tradita.</v>
      </c>
      <c r="I1056" t="str">
        <f>_xlfn.XLOOKUP(frasest[[#This Row],[autor_es]],autorest[autor_es],autorest[codigo])</f>
        <v>zh</v>
      </c>
      <c r="J1056" t="str">
        <f>_xlfn.XLOOKUP(frasest[[#This Row],[autor_es]],autorest[autor_es],autorest[idioma_es])</f>
        <v>Chino</v>
      </c>
      <c r="K1056" s="6" t="str">
        <f>_xlfn.XLOOKUP(frasest[[#This Row],[autor_es]],autorest[autor_es],autorest[idioma_la])</f>
        <v>Lingua Sinica</v>
      </c>
      <c r="L1056" s="6" t="str">
        <f>_xlfn.XLOOKUP(frasest[[#This Row],[autor_es]],autorest[autor_es],autorest[nacion_es])</f>
        <v>China</v>
      </c>
      <c r="M1056" t="str">
        <f>_xlfn.XLOOKUP(frasest[[#This Row],[autor_es]],autorest[autor_es],autorest[nacion_la])</f>
        <v>Sinae</v>
      </c>
      <c r="N1056" t="str">
        <f>_xlfn.XLOOKUP(frasest[[#This Row],[autor_es]],autorest[autor_es],autorest[epoca_es])</f>
        <v>Epoca Desconocida</v>
      </c>
      <c r="O1056" t="str">
        <f>_xlfn.XLOOKUP(frasest[[#This Row],[autor_es]],autorest[autor_es],autorest[epoca_la])</f>
        <v>Epocha Ignota</v>
      </c>
    </row>
    <row r="1057" spans="1:15">
      <c r="A1057">
        <v>1056</v>
      </c>
      <c r="B1057" t="s">
        <v>2876</v>
      </c>
      <c r="C1057" t="s">
        <v>2877</v>
      </c>
      <c r="D1057" s="1" t="s">
        <v>2878</v>
      </c>
      <c r="E1057" t="s">
        <v>33</v>
      </c>
      <c r="F1057" t="str">
        <f>_xlfn.XLOOKUP(frasest[[#This Row],[autor_es]],autorest[autor_es],autorest[autor_la])</f>
        <v>Proverbium Sinense</v>
      </c>
      <c r="G1057" s="6" t="str">
        <f>_xlfn.XLOOKUP(frasest[[#This Row],[autor_es]],autorest[autor_es],autorest[bio_es])</f>
        <v>Conjunto de proverbios tradicionales de la cultura china que transmiten sabiduría popular, valores morales y enseñanzas prácticas transmitidas oralmente durante siglos.</v>
      </c>
      <c r="H1057" s="6" t="str">
        <f>_xlfn.XLOOKUP(frasest[[#This Row],[autor_es]],autorest[autor_es],autorest[bio_la])</f>
        <v>Collectio sententiarum Sinensium, magnopere in cultura tradita.</v>
      </c>
      <c r="I1057" t="str">
        <f>_xlfn.XLOOKUP(frasest[[#This Row],[autor_es]],autorest[autor_es],autorest[codigo])</f>
        <v>zh</v>
      </c>
      <c r="J1057" t="str">
        <f>_xlfn.XLOOKUP(frasest[[#This Row],[autor_es]],autorest[autor_es],autorest[idioma_es])</f>
        <v>Chino</v>
      </c>
      <c r="K1057" s="6" t="str">
        <f>_xlfn.XLOOKUP(frasest[[#This Row],[autor_es]],autorest[autor_es],autorest[idioma_la])</f>
        <v>Lingua Sinica</v>
      </c>
      <c r="L1057" s="6" t="str">
        <f>_xlfn.XLOOKUP(frasest[[#This Row],[autor_es]],autorest[autor_es],autorest[nacion_es])</f>
        <v>China</v>
      </c>
      <c r="M1057" t="str">
        <f>_xlfn.XLOOKUP(frasest[[#This Row],[autor_es]],autorest[autor_es],autorest[nacion_la])</f>
        <v>Sinae</v>
      </c>
      <c r="N1057" t="str">
        <f>_xlfn.XLOOKUP(frasest[[#This Row],[autor_es]],autorest[autor_es],autorest[epoca_es])</f>
        <v>Epoca Desconocida</v>
      </c>
      <c r="O1057" t="str">
        <f>_xlfn.XLOOKUP(frasest[[#This Row],[autor_es]],autorest[autor_es],autorest[epoca_la])</f>
        <v>Epocha Ignota</v>
      </c>
    </row>
    <row r="1058" spans="1:15">
      <c r="A1058">
        <v>1057</v>
      </c>
      <c r="B1058" t="s">
        <v>2879</v>
      </c>
      <c r="C1058" t="s">
        <v>2880</v>
      </c>
      <c r="D1058" s="1" t="s">
        <v>2881</v>
      </c>
      <c r="E1058" t="s">
        <v>33</v>
      </c>
      <c r="F1058" t="str">
        <f>_xlfn.XLOOKUP(frasest[[#This Row],[autor_es]],autorest[autor_es],autorest[autor_la])</f>
        <v>Proverbium Sinense</v>
      </c>
      <c r="G1058" s="6" t="str">
        <f>_xlfn.XLOOKUP(frasest[[#This Row],[autor_es]],autorest[autor_es],autorest[bio_es])</f>
        <v>Conjunto de proverbios tradicionales de la cultura china que transmiten sabiduría popular, valores morales y enseñanzas prácticas transmitidas oralmente durante siglos.</v>
      </c>
      <c r="H1058" s="6" t="str">
        <f>_xlfn.XLOOKUP(frasest[[#This Row],[autor_es]],autorest[autor_es],autorest[bio_la])</f>
        <v>Collectio sententiarum Sinensium, magnopere in cultura tradita.</v>
      </c>
      <c r="I1058" t="str">
        <f>_xlfn.XLOOKUP(frasest[[#This Row],[autor_es]],autorest[autor_es],autorest[codigo])</f>
        <v>zh</v>
      </c>
      <c r="J1058" t="str">
        <f>_xlfn.XLOOKUP(frasest[[#This Row],[autor_es]],autorest[autor_es],autorest[idioma_es])</f>
        <v>Chino</v>
      </c>
      <c r="K1058" s="6" t="str">
        <f>_xlfn.XLOOKUP(frasest[[#This Row],[autor_es]],autorest[autor_es],autorest[idioma_la])</f>
        <v>Lingua Sinica</v>
      </c>
      <c r="L1058" s="6" t="str">
        <f>_xlfn.XLOOKUP(frasest[[#This Row],[autor_es]],autorest[autor_es],autorest[nacion_es])</f>
        <v>China</v>
      </c>
      <c r="M1058" t="str">
        <f>_xlfn.XLOOKUP(frasest[[#This Row],[autor_es]],autorest[autor_es],autorest[nacion_la])</f>
        <v>Sinae</v>
      </c>
      <c r="N1058" t="str">
        <f>_xlfn.XLOOKUP(frasest[[#This Row],[autor_es]],autorest[autor_es],autorest[epoca_es])</f>
        <v>Epoca Desconocida</v>
      </c>
      <c r="O1058" t="str">
        <f>_xlfn.XLOOKUP(frasest[[#This Row],[autor_es]],autorest[autor_es],autorest[epoca_la])</f>
        <v>Epocha Ignota</v>
      </c>
    </row>
    <row r="1059" spans="1:15">
      <c r="A1059">
        <v>1058</v>
      </c>
      <c r="B1059" t="s">
        <v>2882</v>
      </c>
      <c r="C1059" t="s">
        <v>2883</v>
      </c>
      <c r="D1059" s="1" t="s">
        <v>2884</v>
      </c>
      <c r="E1059" t="s">
        <v>33</v>
      </c>
      <c r="F1059" t="str">
        <f>_xlfn.XLOOKUP(frasest[[#This Row],[autor_es]],autorest[autor_es],autorest[autor_la])</f>
        <v>Proverbium Sinense</v>
      </c>
      <c r="G1059" s="6" t="str">
        <f>_xlfn.XLOOKUP(frasest[[#This Row],[autor_es]],autorest[autor_es],autorest[bio_es])</f>
        <v>Conjunto de proverbios tradicionales de la cultura china que transmiten sabiduría popular, valores morales y enseñanzas prácticas transmitidas oralmente durante siglos.</v>
      </c>
      <c r="H1059" s="6" t="str">
        <f>_xlfn.XLOOKUP(frasest[[#This Row],[autor_es]],autorest[autor_es],autorest[bio_la])</f>
        <v>Collectio sententiarum Sinensium, magnopere in cultura tradita.</v>
      </c>
      <c r="I1059" t="str">
        <f>_xlfn.XLOOKUP(frasest[[#This Row],[autor_es]],autorest[autor_es],autorest[codigo])</f>
        <v>zh</v>
      </c>
      <c r="J1059" t="str">
        <f>_xlfn.XLOOKUP(frasest[[#This Row],[autor_es]],autorest[autor_es],autorest[idioma_es])</f>
        <v>Chino</v>
      </c>
      <c r="K1059" s="6" t="str">
        <f>_xlfn.XLOOKUP(frasest[[#This Row],[autor_es]],autorest[autor_es],autorest[idioma_la])</f>
        <v>Lingua Sinica</v>
      </c>
      <c r="L1059" s="6" t="str">
        <f>_xlfn.XLOOKUP(frasest[[#This Row],[autor_es]],autorest[autor_es],autorest[nacion_es])</f>
        <v>China</v>
      </c>
      <c r="M1059" t="str">
        <f>_xlfn.XLOOKUP(frasest[[#This Row],[autor_es]],autorest[autor_es],autorest[nacion_la])</f>
        <v>Sinae</v>
      </c>
      <c r="N1059" t="str">
        <f>_xlfn.XLOOKUP(frasest[[#This Row],[autor_es]],autorest[autor_es],autorest[epoca_es])</f>
        <v>Epoca Desconocida</v>
      </c>
      <c r="O1059" t="str">
        <f>_xlfn.XLOOKUP(frasest[[#This Row],[autor_es]],autorest[autor_es],autorest[epoca_la])</f>
        <v>Epocha Ignota</v>
      </c>
    </row>
    <row r="1060" spans="1:15">
      <c r="A1060">
        <v>1059</v>
      </c>
      <c r="B1060" t="s">
        <v>2885</v>
      </c>
      <c r="C1060" t="s">
        <v>2886</v>
      </c>
      <c r="D1060" s="1" t="s">
        <v>2887</v>
      </c>
      <c r="E1060" t="s">
        <v>33</v>
      </c>
      <c r="F1060" t="str">
        <f>_xlfn.XLOOKUP(frasest[[#This Row],[autor_es]],autorest[autor_es],autorest[autor_la])</f>
        <v>Proverbium Sinense</v>
      </c>
      <c r="G1060" s="6" t="str">
        <f>_xlfn.XLOOKUP(frasest[[#This Row],[autor_es]],autorest[autor_es],autorest[bio_es])</f>
        <v>Conjunto de proverbios tradicionales de la cultura china que transmiten sabiduría popular, valores morales y enseñanzas prácticas transmitidas oralmente durante siglos.</v>
      </c>
      <c r="H1060" s="6" t="str">
        <f>_xlfn.XLOOKUP(frasest[[#This Row],[autor_es]],autorest[autor_es],autorest[bio_la])</f>
        <v>Collectio sententiarum Sinensium, magnopere in cultura tradita.</v>
      </c>
      <c r="I1060" t="str">
        <f>_xlfn.XLOOKUP(frasest[[#This Row],[autor_es]],autorest[autor_es],autorest[codigo])</f>
        <v>zh</v>
      </c>
      <c r="J1060" t="str">
        <f>_xlfn.XLOOKUP(frasest[[#This Row],[autor_es]],autorest[autor_es],autorest[idioma_es])</f>
        <v>Chino</v>
      </c>
      <c r="K1060" s="6" t="str">
        <f>_xlfn.XLOOKUP(frasest[[#This Row],[autor_es]],autorest[autor_es],autorest[idioma_la])</f>
        <v>Lingua Sinica</v>
      </c>
      <c r="L1060" s="6" t="str">
        <f>_xlfn.XLOOKUP(frasest[[#This Row],[autor_es]],autorest[autor_es],autorest[nacion_es])</f>
        <v>China</v>
      </c>
      <c r="M1060" t="str">
        <f>_xlfn.XLOOKUP(frasest[[#This Row],[autor_es]],autorest[autor_es],autorest[nacion_la])</f>
        <v>Sinae</v>
      </c>
      <c r="N1060" t="str">
        <f>_xlfn.XLOOKUP(frasest[[#This Row],[autor_es]],autorest[autor_es],autorest[epoca_es])</f>
        <v>Epoca Desconocida</v>
      </c>
      <c r="O1060" t="str">
        <f>_xlfn.XLOOKUP(frasest[[#This Row],[autor_es]],autorest[autor_es],autorest[epoca_la])</f>
        <v>Epocha Ignota</v>
      </c>
    </row>
    <row r="1061" spans="1:15">
      <c r="A1061">
        <v>1060</v>
      </c>
      <c r="B1061" t="s">
        <v>2888</v>
      </c>
      <c r="C1061" t="s">
        <v>2889</v>
      </c>
      <c r="D1061" s="1" t="s">
        <v>2890</v>
      </c>
      <c r="E1061" t="s">
        <v>33</v>
      </c>
      <c r="F1061" t="str">
        <f>_xlfn.XLOOKUP(frasest[[#This Row],[autor_es]],autorest[autor_es],autorest[autor_la])</f>
        <v>Proverbium Sinense</v>
      </c>
      <c r="G1061" s="6" t="str">
        <f>_xlfn.XLOOKUP(frasest[[#This Row],[autor_es]],autorest[autor_es],autorest[bio_es])</f>
        <v>Conjunto de proverbios tradicionales de la cultura china que transmiten sabiduría popular, valores morales y enseñanzas prácticas transmitidas oralmente durante siglos.</v>
      </c>
      <c r="H1061" s="6" t="str">
        <f>_xlfn.XLOOKUP(frasest[[#This Row],[autor_es]],autorest[autor_es],autorest[bio_la])</f>
        <v>Collectio sententiarum Sinensium, magnopere in cultura tradita.</v>
      </c>
      <c r="I1061" t="str">
        <f>_xlfn.XLOOKUP(frasest[[#This Row],[autor_es]],autorest[autor_es],autorest[codigo])</f>
        <v>zh</v>
      </c>
      <c r="J1061" t="str">
        <f>_xlfn.XLOOKUP(frasest[[#This Row],[autor_es]],autorest[autor_es],autorest[idioma_es])</f>
        <v>Chino</v>
      </c>
      <c r="K1061" s="6" t="str">
        <f>_xlfn.XLOOKUP(frasest[[#This Row],[autor_es]],autorest[autor_es],autorest[idioma_la])</f>
        <v>Lingua Sinica</v>
      </c>
      <c r="L1061" s="6" t="str">
        <f>_xlfn.XLOOKUP(frasest[[#This Row],[autor_es]],autorest[autor_es],autorest[nacion_es])</f>
        <v>China</v>
      </c>
      <c r="M1061" t="str">
        <f>_xlfn.XLOOKUP(frasest[[#This Row],[autor_es]],autorest[autor_es],autorest[nacion_la])</f>
        <v>Sinae</v>
      </c>
      <c r="N1061" t="str">
        <f>_xlfn.XLOOKUP(frasest[[#This Row],[autor_es]],autorest[autor_es],autorest[epoca_es])</f>
        <v>Epoca Desconocida</v>
      </c>
      <c r="O1061" t="str">
        <f>_xlfn.XLOOKUP(frasest[[#This Row],[autor_es]],autorest[autor_es],autorest[epoca_la])</f>
        <v>Epocha Ignota</v>
      </c>
    </row>
    <row r="1062" spans="1:15">
      <c r="A1062">
        <v>1061</v>
      </c>
      <c r="B1062" t="s">
        <v>2891</v>
      </c>
      <c r="C1062" t="s">
        <v>2892</v>
      </c>
      <c r="D1062" s="1" t="s">
        <v>2893</v>
      </c>
      <c r="E1062" t="s">
        <v>33</v>
      </c>
      <c r="F1062" t="str">
        <f>_xlfn.XLOOKUP(frasest[[#This Row],[autor_es]],autorest[autor_es],autorest[autor_la])</f>
        <v>Proverbium Sinense</v>
      </c>
      <c r="G1062" s="6" t="str">
        <f>_xlfn.XLOOKUP(frasest[[#This Row],[autor_es]],autorest[autor_es],autorest[bio_es])</f>
        <v>Conjunto de proverbios tradicionales de la cultura china que transmiten sabiduría popular, valores morales y enseñanzas prácticas transmitidas oralmente durante siglos.</v>
      </c>
      <c r="H1062" s="6" t="str">
        <f>_xlfn.XLOOKUP(frasest[[#This Row],[autor_es]],autorest[autor_es],autorest[bio_la])</f>
        <v>Collectio sententiarum Sinensium, magnopere in cultura tradita.</v>
      </c>
      <c r="I1062" t="str">
        <f>_xlfn.XLOOKUP(frasest[[#This Row],[autor_es]],autorest[autor_es],autorest[codigo])</f>
        <v>zh</v>
      </c>
      <c r="J1062" t="str">
        <f>_xlfn.XLOOKUP(frasest[[#This Row],[autor_es]],autorest[autor_es],autorest[idioma_es])</f>
        <v>Chino</v>
      </c>
      <c r="K1062" s="6" t="str">
        <f>_xlfn.XLOOKUP(frasest[[#This Row],[autor_es]],autorest[autor_es],autorest[idioma_la])</f>
        <v>Lingua Sinica</v>
      </c>
      <c r="L1062" s="6" t="str">
        <f>_xlfn.XLOOKUP(frasest[[#This Row],[autor_es]],autorest[autor_es],autorest[nacion_es])</f>
        <v>China</v>
      </c>
      <c r="M1062" t="str">
        <f>_xlfn.XLOOKUP(frasest[[#This Row],[autor_es]],autorest[autor_es],autorest[nacion_la])</f>
        <v>Sinae</v>
      </c>
      <c r="N1062" t="str">
        <f>_xlfn.XLOOKUP(frasest[[#This Row],[autor_es]],autorest[autor_es],autorest[epoca_es])</f>
        <v>Epoca Desconocida</v>
      </c>
      <c r="O1062" t="str">
        <f>_xlfn.XLOOKUP(frasest[[#This Row],[autor_es]],autorest[autor_es],autorest[epoca_la])</f>
        <v>Epocha Ignota</v>
      </c>
    </row>
    <row r="1063" spans="1:15">
      <c r="A1063">
        <v>1062</v>
      </c>
      <c r="B1063" t="s">
        <v>2894</v>
      </c>
      <c r="C1063" t="s">
        <v>2895</v>
      </c>
      <c r="D1063" s="1" t="s">
        <v>2896</v>
      </c>
      <c r="E1063" t="s">
        <v>33</v>
      </c>
      <c r="F1063" t="str">
        <f>_xlfn.XLOOKUP(frasest[[#This Row],[autor_es]],autorest[autor_es],autorest[autor_la])</f>
        <v>Proverbium Sinense</v>
      </c>
      <c r="G1063" s="6" t="str">
        <f>_xlfn.XLOOKUP(frasest[[#This Row],[autor_es]],autorest[autor_es],autorest[bio_es])</f>
        <v>Conjunto de proverbios tradicionales de la cultura china que transmiten sabiduría popular, valores morales y enseñanzas prácticas transmitidas oralmente durante siglos.</v>
      </c>
      <c r="H1063" s="6" t="str">
        <f>_xlfn.XLOOKUP(frasest[[#This Row],[autor_es]],autorest[autor_es],autorest[bio_la])</f>
        <v>Collectio sententiarum Sinensium, magnopere in cultura tradita.</v>
      </c>
      <c r="I1063" t="str">
        <f>_xlfn.XLOOKUP(frasest[[#This Row],[autor_es]],autorest[autor_es],autorest[codigo])</f>
        <v>zh</v>
      </c>
      <c r="J1063" t="str">
        <f>_xlfn.XLOOKUP(frasest[[#This Row],[autor_es]],autorest[autor_es],autorest[idioma_es])</f>
        <v>Chino</v>
      </c>
      <c r="K1063" s="6" t="str">
        <f>_xlfn.XLOOKUP(frasest[[#This Row],[autor_es]],autorest[autor_es],autorest[idioma_la])</f>
        <v>Lingua Sinica</v>
      </c>
      <c r="L1063" s="6" t="str">
        <f>_xlfn.XLOOKUP(frasest[[#This Row],[autor_es]],autorest[autor_es],autorest[nacion_es])</f>
        <v>China</v>
      </c>
      <c r="M1063" t="str">
        <f>_xlfn.XLOOKUP(frasest[[#This Row],[autor_es]],autorest[autor_es],autorest[nacion_la])</f>
        <v>Sinae</v>
      </c>
      <c r="N1063" t="str">
        <f>_xlfn.XLOOKUP(frasest[[#This Row],[autor_es]],autorest[autor_es],autorest[epoca_es])</f>
        <v>Epoca Desconocida</v>
      </c>
      <c r="O1063" t="str">
        <f>_xlfn.XLOOKUP(frasest[[#This Row],[autor_es]],autorest[autor_es],autorest[epoca_la])</f>
        <v>Epocha Ignota</v>
      </c>
    </row>
    <row r="1064" spans="1:15">
      <c r="A1064">
        <v>1063</v>
      </c>
      <c r="B1064" t="s">
        <v>2897</v>
      </c>
      <c r="C1064" t="s">
        <v>2898</v>
      </c>
      <c r="D1064" s="1" t="s">
        <v>2899</v>
      </c>
      <c r="E1064" t="s">
        <v>33</v>
      </c>
      <c r="F1064" t="str">
        <f>_xlfn.XLOOKUP(frasest[[#This Row],[autor_es]],autorest[autor_es],autorest[autor_la])</f>
        <v>Proverbium Sinense</v>
      </c>
      <c r="G1064" s="6" t="str">
        <f>_xlfn.XLOOKUP(frasest[[#This Row],[autor_es]],autorest[autor_es],autorest[bio_es])</f>
        <v>Conjunto de proverbios tradicionales de la cultura china que transmiten sabiduría popular, valores morales y enseñanzas prácticas transmitidas oralmente durante siglos.</v>
      </c>
      <c r="H1064" s="6" t="str">
        <f>_xlfn.XLOOKUP(frasest[[#This Row],[autor_es]],autorest[autor_es],autorest[bio_la])</f>
        <v>Collectio sententiarum Sinensium, magnopere in cultura tradita.</v>
      </c>
      <c r="I1064" t="str">
        <f>_xlfn.XLOOKUP(frasest[[#This Row],[autor_es]],autorest[autor_es],autorest[codigo])</f>
        <v>zh</v>
      </c>
      <c r="J1064" t="str">
        <f>_xlfn.XLOOKUP(frasest[[#This Row],[autor_es]],autorest[autor_es],autorest[idioma_es])</f>
        <v>Chino</v>
      </c>
      <c r="K1064" s="6" t="str">
        <f>_xlfn.XLOOKUP(frasest[[#This Row],[autor_es]],autorest[autor_es],autorest[idioma_la])</f>
        <v>Lingua Sinica</v>
      </c>
      <c r="L1064" s="6" t="str">
        <f>_xlfn.XLOOKUP(frasest[[#This Row],[autor_es]],autorest[autor_es],autorest[nacion_es])</f>
        <v>China</v>
      </c>
      <c r="M1064" t="str">
        <f>_xlfn.XLOOKUP(frasest[[#This Row],[autor_es]],autorest[autor_es],autorest[nacion_la])</f>
        <v>Sinae</v>
      </c>
      <c r="N1064" t="str">
        <f>_xlfn.XLOOKUP(frasest[[#This Row],[autor_es]],autorest[autor_es],autorest[epoca_es])</f>
        <v>Epoca Desconocida</v>
      </c>
      <c r="O1064" t="str">
        <f>_xlfn.XLOOKUP(frasest[[#This Row],[autor_es]],autorest[autor_es],autorest[epoca_la])</f>
        <v>Epocha Ignota</v>
      </c>
    </row>
    <row r="1065" spans="1:15">
      <c r="A1065">
        <v>1064</v>
      </c>
      <c r="B1065" t="s">
        <v>2900</v>
      </c>
      <c r="C1065" t="s">
        <v>2901</v>
      </c>
      <c r="D1065" s="1" t="s">
        <v>2902</v>
      </c>
      <c r="E1065" t="s">
        <v>33</v>
      </c>
      <c r="F1065" t="str">
        <f>_xlfn.XLOOKUP(frasest[[#This Row],[autor_es]],autorest[autor_es],autorest[autor_la])</f>
        <v>Proverbium Sinense</v>
      </c>
      <c r="G1065" s="6" t="str">
        <f>_xlfn.XLOOKUP(frasest[[#This Row],[autor_es]],autorest[autor_es],autorest[bio_es])</f>
        <v>Conjunto de proverbios tradicionales de la cultura china que transmiten sabiduría popular, valores morales y enseñanzas prácticas transmitidas oralmente durante siglos.</v>
      </c>
      <c r="H1065" s="6" t="str">
        <f>_xlfn.XLOOKUP(frasest[[#This Row],[autor_es]],autorest[autor_es],autorest[bio_la])</f>
        <v>Collectio sententiarum Sinensium, magnopere in cultura tradita.</v>
      </c>
      <c r="I1065" t="str">
        <f>_xlfn.XLOOKUP(frasest[[#This Row],[autor_es]],autorest[autor_es],autorest[codigo])</f>
        <v>zh</v>
      </c>
      <c r="J1065" t="str">
        <f>_xlfn.XLOOKUP(frasest[[#This Row],[autor_es]],autorest[autor_es],autorest[idioma_es])</f>
        <v>Chino</v>
      </c>
      <c r="K1065" s="6" t="str">
        <f>_xlfn.XLOOKUP(frasest[[#This Row],[autor_es]],autorest[autor_es],autorest[idioma_la])</f>
        <v>Lingua Sinica</v>
      </c>
      <c r="L1065" s="6" t="str">
        <f>_xlfn.XLOOKUP(frasest[[#This Row],[autor_es]],autorest[autor_es],autorest[nacion_es])</f>
        <v>China</v>
      </c>
      <c r="M1065" t="str">
        <f>_xlfn.XLOOKUP(frasest[[#This Row],[autor_es]],autorest[autor_es],autorest[nacion_la])</f>
        <v>Sinae</v>
      </c>
      <c r="N1065" t="str">
        <f>_xlfn.XLOOKUP(frasest[[#This Row],[autor_es]],autorest[autor_es],autorest[epoca_es])</f>
        <v>Epoca Desconocida</v>
      </c>
      <c r="O1065" t="str">
        <f>_xlfn.XLOOKUP(frasest[[#This Row],[autor_es]],autorest[autor_es],autorest[epoca_la])</f>
        <v>Epocha Ignota</v>
      </c>
    </row>
    <row r="1066" spans="1:15">
      <c r="A1066">
        <v>1065</v>
      </c>
      <c r="B1066" t="s">
        <v>2903</v>
      </c>
      <c r="C1066" t="s">
        <v>2904</v>
      </c>
      <c r="D1066" s="1" t="s">
        <v>2905</v>
      </c>
      <c r="E1066" t="s">
        <v>33</v>
      </c>
      <c r="F1066" t="str">
        <f>_xlfn.XLOOKUP(frasest[[#This Row],[autor_es]],autorest[autor_es],autorest[autor_la])</f>
        <v>Proverbium Sinense</v>
      </c>
      <c r="G1066" s="6" t="str">
        <f>_xlfn.XLOOKUP(frasest[[#This Row],[autor_es]],autorest[autor_es],autorest[bio_es])</f>
        <v>Conjunto de proverbios tradicionales de la cultura china que transmiten sabiduría popular, valores morales y enseñanzas prácticas transmitidas oralmente durante siglos.</v>
      </c>
      <c r="H1066" s="6" t="str">
        <f>_xlfn.XLOOKUP(frasest[[#This Row],[autor_es]],autorest[autor_es],autorest[bio_la])</f>
        <v>Collectio sententiarum Sinensium, magnopere in cultura tradita.</v>
      </c>
      <c r="I1066" t="str">
        <f>_xlfn.XLOOKUP(frasest[[#This Row],[autor_es]],autorest[autor_es],autorest[codigo])</f>
        <v>zh</v>
      </c>
      <c r="J1066" t="str">
        <f>_xlfn.XLOOKUP(frasest[[#This Row],[autor_es]],autorest[autor_es],autorest[idioma_es])</f>
        <v>Chino</v>
      </c>
      <c r="K1066" s="6" t="str">
        <f>_xlfn.XLOOKUP(frasest[[#This Row],[autor_es]],autorest[autor_es],autorest[idioma_la])</f>
        <v>Lingua Sinica</v>
      </c>
      <c r="L1066" s="6" t="str">
        <f>_xlfn.XLOOKUP(frasest[[#This Row],[autor_es]],autorest[autor_es],autorest[nacion_es])</f>
        <v>China</v>
      </c>
      <c r="M1066" t="str">
        <f>_xlfn.XLOOKUP(frasest[[#This Row],[autor_es]],autorest[autor_es],autorest[nacion_la])</f>
        <v>Sinae</v>
      </c>
      <c r="N1066" t="str">
        <f>_xlfn.XLOOKUP(frasest[[#This Row],[autor_es]],autorest[autor_es],autorest[epoca_es])</f>
        <v>Epoca Desconocida</v>
      </c>
      <c r="O1066" t="str">
        <f>_xlfn.XLOOKUP(frasest[[#This Row],[autor_es]],autorest[autor_es],autorest[epoca_la])</f>
        <v>Epocha Ignota</v>
      </c>
    </row>
    <row r="1067" spans="1:15">
      <c r="A1067">
        <v>1066</v>
      </c>
      <c r="B1067" t="s">
        <v>2906</v>
      </c>
      <c r="C1067" t="s">
        <v>2907</v>
      </c>
      <c r="D1067" s="1" t="s">
        <v>2908</v>
      </c>
      <c r="E1067" t="s">
        <v>33</v>
      </c>
      <c r="F1067" t="str">
        <f>_xlfn.XLOOKUP(frasest[[#This Row],[autor_es]],autorest[autor_es],autorest[autor_la])</f>
        <v>Proverbium Sinense</v>
      </c>
      <c r="G1067" s="6" t="str">
        <f>_xlfn.XLOOKUP(frasest[[#This Row],[autor_es]],autorest[autor_es],autorest[bio_es])</f>
        <v>Conjunto de proverbios tradicionales de la cultura china que transmiten sabiduría popular, valores morales y enseñanzas prácticas transmitidas oralmente durante siglos.</v>
      </c>
      <c r="H1067" s="6" t="str">
        <f>_xlfn.XLOOKUP(frasest[[#This Row],[autor_es]],autorest[autor_es],autorest[bio_la])</f>
        <v>Collectio sententiarum Sinensium, magnopere in cultura tradita.</v>
      </c>
      <c r="I1067" t="str">
        <f>_xlfn.XLOOKUP(frasest[[#This Row],[autor_es]],autorest[autor_es],autorest[codigo])</f>
        <v>zh</v>
      </c>
      <c r="J1067" t="str">
        <f>_xlfn.XLOOKUP(frasest[[#This Row],[autor_es]],autorest[autor_es],autorest[idioma_es])</f>
        <v>Chino</v>
      </c>
      <c r="K1067" s="6" t="str">
        <f>_xlfn.XLOOKUP(frasest[[#This Row],[autor_es]],autorest[autor_es],autorest[idioma_la])</f>
        <v>Lingua Sinica</v>
      </c>
      <c r="L1067" s="6" t="str">
        <f>_xlfn.XLOOKUP(frasest[[#This Row],[autor_es]],autorest[autor_es],autorest[nacion_es])</f>
        <v>China</v>
      </c>
      <c r="M1067" t="str">
        <f>_xlfn.XLOOKUP(frasest[[#This Row],[autor_es]],autorest[autor_es],autorest[nacion_la])</f>
        <v>Sinae</v>
      </c>
      <c r="N1067" t="str">
        <f>_xlfn.XLOOKUP(frasest[[#This Row],[autor_es]],autorest[autor_es],autorest[epoca_es])</f>
        <v>Epoca Desconocida</v>
      </c>
      <c r="O1067" t="str">
        <f>_xlfn.XLOOKUP(frasest[[#This Row],[autor_es]],autorest[autor_es],autorest[epoca_la])</f>
        <v>Epocha Ignota</v>
      </c>
    </row>
    <row r="1068" spans="1:15">
      <c r="A1068">
        <v>1067</v>
      </c>
      <c r="B1068" t="s">
        <v>2909</v>
      </c>
      <c r="C1068" t="s">
        <v>2910</v>
      </c>
      <c r="D1068" s="1" t="s">
        <v>2911</v>
      </c>
      <c r="E1068" t="s">
        <v>33</v>
      </c>
      <c r="F1068" t="str">
        <f>_xlfn.XLOOKUP(frasest[[#This Row],[autor_es]],autorest[autor_es],autorest[autor_la])</f>
        <v>Proverbium Sinense</v>
      </c>
      <c r="G1068" s="6" t="str">
        <f>_xlfn.XLOOKUP(frasest[[#This Row],[autor_es]],autorest[autor_es],autorest[bio_es])</f>
        <v>Conjunto de proverbios tradicionales de la cultura china que transmiten sabiduría popular, valores morales y enseñanzas prácticas transmitidas oralmente durante siglos.</v>
      </c>
      <c r="H1068" s="6" t="str">
        <f>_xlfn.XLOOKUP(frasest[[#This Row],[autor_es]],autorest[autor_es],autorest[bio_la])</f>
        <v>Collectio sententiarum Sinensium, magnopere in cultura tradita.</v>
      </c>
      <c r="I1068" t="str">
        <f>_xlfn.XLOOKUP(frasest[[#This Row],[autor_es]],autorest[autor_es],autorest[codigo])</f>
        <v>zh</v>
      </c>
      <c r="J1068" t="str">
        <f>_xlfn.XLOOKUP(frasest[[#This Row],[autor_es]],autorest[autor_es],autorest[idioma_es])</f>
        <v>Chino</v>
      </c>
      <c r="K1068" s="6" t="str">
        <f>_xlfn.XLOOKUP(frasest[[#This Row],[autor_es]],autorest[autor_es],autorest[idioma_la])</f>
        <v>Lingua Sinica</v>
      </c>
      <c r="L1068" s="6" t="str">
        <f>_xlfn.XLOOKUP(frasest[[#This Row],[autor_es]],autorest[autor_es],autorest[nacion_es])</f>
        <v>China</v>
      </c>
      <c r="M1068" t="str">
        <f>_xlfn.XLOOKUP(frasest[[#This Row],[autor_es]],autorest[autor_es],autorest[nacion_la])</f>
        <v>Sinae</v>
      </c>
      <c r="N1068" t="str">
        <f>_xlfn.XLOOKUP(frasest[[#This Row],[autor_es]],autorest[autor_es],autorest[epoca_es])</f>
        <v>Epoca Desconocida</v>
      </c>
      <c r="O1068" t="str">
        <f>_xlfn.XLOOKUP(frasest[[#This Row],[autor_es]],autorest[autor_es],autorest[epoca_la])</f>
        <v>Epocha Ignota</v>
      </c>
    </row>
    <row r="1069" spans="1:15">
      <c r="A1069">
        <v>1068</v>
      </c>
      <c r="B1069" t="s">
        <v>2912</v>
      </c>
      <c r="C1069" t="s">
        <v>2913</v>
      </c>
      <c r="D1069" s="1" t="s">
        <v>2914</v>
      </c>
      <c r="E1069" t="s">
        <v>33</v>
      </c>
      <c r="F1069" t="str">
        <f>_xlfn.XLOOKUP(frasest[[#This Row],[autor_es]],autorest[autor_es],autorest[autor_la])</f>
        <v>Proverbium Sinense</v>
      </c>
      <c r="G1069" s="6" t="str">
        <f>_xlfn.XLOOKUP(frasest[[#This Row],[autor_es]],autorest[autor_es],autorest[bio_es])</f>
        <v>Conjunto de proverbios tradicionales de la cultura china que transmiten sabiduría popular, valores morales y enseñanzas prácticas transmitidas oralmente durante siglos.</v>
      </c>
      <c r="H1069" s="6" t="str">
        <f>_xlfn.XLOOKUP(frasest[[#This Row],[autor_es]],autorest[autor_es],autorest[bio_la])</f>
        <v>Collectio sententiarum Sinensium, magnopere in cultura tradita.</v>
      </c>
      <c r="I1069" t="str">
        <f>_xlfn.XLOOKUP(frasest[[#This Row],[autor_es]],autorest[autor_es],autorest[codigo])</f>
        <v>zh</v>
      </c>
      <c r="J1069" t="str">
        <f>_xlfn.XLOOKUP(frasest[[#This Row],[autor_es]],autorest[autor_es],autorest[idioma_es])</f>
        <v>Chino</v>
      </c>
      <c r="K1069" s="6" t="str">
        <f>_xlfn.XLOOKUP(frasest[[#This Row],[autor_es]],autorest[autor_es],autorest[idioma_la])</f>
        <v>Lingua Sinica</v>
      </c>
      <c r="L1069" s="6" t="str">
        <f>_xlfn.XLOOKUP(frasest[[#This Row],[autor_es]],autorest[autor_es],autorest[nacion_es])</f>
        <v>China</v>
      </c>
      <c r="M1069" t="str">
        <f>_xlfn.XLOOKUP(frasest[[#This Row],[autor_es]],autorest[autor_es],autorest[nacion_la])</f>
        <v>Sinae</v>
      </c>
      <c r="N1069" t="str">
        <f>_xlfn.XLOOKUP(frasest[[#This Row],[autor_es]],autorest[autor_es],autorest[epoca_es])</f>
        <v>Epoca Desconocida</v>
      </c>
      <c r="O1069" t="str">
        <f>_xlfn.XLOOKUP(frasest[[#This Row],[autor_es]],autorest[autor_es],autorest[epoca_la])</f>
        <v>Epocha Ignota</v>
      </c>
    </row>
    <row r="1070" spans="1:15">
      <c r="A1070">
        <v>1069</v>
      </c>
      <c r="B1070" t="s">
        <v>2915</v>
      </c>
      <c r="C1070" t="s">
        <v>2916</v>
      </c>
      <c r="D1070" s="1" t="s">
        <v>2917</v>
      </c>
      <c r="E1070" t="s">
        <v>33</v>
      </c>
      <c r="F1070" t="str">
        <f>_xlfn.XLOOKUP(frasest[[#This Row],[autor_es]],autorest[autor_es],autorest[autor_la])</f>
        <v>Proverbium Sinense</v>
      </c>
      <c r="G1070" s="6" t="str">
        <f>_xlfn.XLOOKUP(frasest[[#This Row],[autor_es]],autorest[autor_es],autorest[bio_es])</f>
        <v>Conjunto de proverbios tradicionales de la cultura china que transmiten sabiduría popular, valores morales y enseñanzas prácticas transmitidas oralmente durante siglos.</v>
      </c>
      <c r="H1070" s="6" t="str">
        <f>_xlfn.XLOOKUP(frasest[[#This Row],[autor_es]],autorest[autor_es],autorest[bio_la])</f>
        <v>Collectio sententiarum Sinensium, magnopere in cultura tradita.</v>
      </c>
      <c r="I1070" t="str">
        <f>_xlfn.XLOOKUP(frasest[[#This Row],[autor_es]],autorest[autor_es],autorest[codigo])</f>
        <v>zh</v>
      </c>
      <c r="J1070" t="str">
        <f>_xlfn.XLOOKUP(frasest[[#This Row],[autor_es]],autorest[autor_es],autorest[idioma_es])</f>
        <v>Chino</v>
      </c>
      <c r="K1070" s="6" t="str">
        <f>_xlfn.XLOOKUP(frasest[[#This Row],[autor_es]],autorest[autor_es],autorest[idioma_la])</f>
        <v>Lingua Sinica</v>
      </c>
      <c r="L1070" s="6" t="str">
        <f>_xlfn.XLOOKUP(frasest[[#This Row],[autor_es]],autorest[autor_es],autorest[nacion_es])</f>
        <v>China</v>
      </c>
      <c r="M1070" t="str">
        <f>_xlfn.XLOOKUP(frasest[[#This Row],[autor_es]],autorest[autor_es],autorest[nacion_la])</f>
        <v>Sinae</v>
      </c>
      <c r="N1070" t="str">
        <f>_xlfn.XLOOKUP(frasest[[#This Row],[autor_es]],autorest[autor_es],autorest[epoca_es])</f>
        <v>Epoca Desconocida</v>
      </c>
      <c r="O1070" t="str">
        <f>_xlfn.XLOOKUP(frasest[[#This Row],[autor_es]],autorest[autor_es],autorest[epoca_la])</f>
        <v>Epocha Ignota</v>
      </c>
    </row>
    <row r="1071" spans="1:15">
      <c r="A1071">
        <v>1070</v>
      </c>
      <c r="B1071" t="s">
        <v>2918</v>
      </c>
      <c r="C1071" t="s">
        <v>2919</v>
      </c>
      <c r="D1071" s="1" t="s">
        <v>2920</v>
      </c>
      <c r="E1071" t="s">
        <v>33</v>
      </c>
      <c r="F1071" t="str">
        <f>_xlfn.XLOOKUP(frasest[[#This Row],[autor_es]],autorest[autor_es],autorest[autor_la])</f>
        <v>Proverbium Sinense</v>
      </c>
      <c r="G1071" s="6" t="str">
        <f>_xlfn.XLOOKUP(frasest[[#This Row],[autor_es]],autorest[autor_es],autorest[bio_es])</f>
        <v>Conjunto de proverbios tradicionales de la cultura china que transmiten sabiduría popular, valores morales y enseñanzas prácticas transmitidas oralmente durante siglos.</v>
      </c>
      <c r="H1071" s="6" t="str">
        <f>_xlfn.XLOOKUP(frasest[[#This Row],[autor_es]],autorest[autor_es],autorest[bio_la])</f>
        <v>Collectio sententiarum Sinensium, magnopere in cultura tradita.</v>
      </c>
      <c r="I1071" t="str">
        <f>_xlfn.XLOOKUP(frasest[[#This Row],[autor_es]],autorest[autor_es],autorest[codigo])</f>
        <v>zh</v>
      </c>
      <c r="J1071" t="str">
        <f>_xlfn.XLOOKUP(frasest[[#This Row],[autor_es]],autorest[autor_es],autorest[idioma_es])</f>
        <v>Chino</v>
      </c>
      <c r="K1071" s="6" t="str">
        <f>_xlfn.XLOOKUP(frasest[[#This Row],[autor_es]],autorest[autor_es],autorest[idioma_la])</f>
        <v>Lingua Sinica</v>
      </c>
      <c r="L1071" s="6" t="str">
        <f>_xlfn.XLOOKUP(frasest[[#This Row],[autor_es]],autorest[autor_es],autorest[nacion_es])</f>
        <v>China</v>
      </c>
      <c r="M1071" t="str">
        <f>_xlfn.XLOOKUP(frasest[[#This Row],[autor_es]],autorest[autor_es],autorest[nacion_la])</f>
        <v>Sinae</v>
      </c>
      <c r="N1071" t="str">
        <f>_xlfn.XLOOKUP(frasest[[#This Row],[autor_es]],autorest[autor_es],autorest[epoca_es])</f>
        <v>Epoca Desconocida</v>
      </c>
      <c r="O1071" t="str">
        <f>_xlfn.XLOOKUP(frasest[[#This Row],[autor_es]],autorest[autor_es],autorest[epoca_la])</f>
        <v>Epocha Ignota</v>
      </c>
    </row>
    <row r="1072" spans="1:15">
      <c r="A1072">
        <v>1071</v>
      </c>
      <c r="B1072" t="s">
        <v>2921</v>
      </c>
      <c r="C1072" t="s">
        <v>2922</v>
      </c>
      <c r="D1072" s="1" t="s">
        <v>2923</v>
      </c>
      <c r="E1072" t="s">
        <v>33</v>
      </c>
      <c r="F1072" t="str">
        <f>_xlfn.XLOOKUP(frasest[[#This Row],[autor_es]],autorest[autor_es],autorest[autor_la])</f>
        <v>Proverbium Sinense</v>
      </c>
      <c r="G1072" s="6" t="str">
        <f>_xlfn.XLOOKUP(frasest[[#This Row],[autor_es]],autorest[autor_es],autorest[bio_es])</f>
        <v>Conjunto de proverbios tradicionales de la cultura china que transmiten sabiduría popular, valores morales y enseñanzas prácticas transmitidas oralmente durante siglos.</v>
      </c>
      <c r="H1072" s="6" t="str">
        <f>_xlfn.XLOOKUP(frasest[[#This Row],[autor_es]],autorest[autor_es],autorest[bio_la])</f>
        <v>Collectio sententiarum Sinensium, magnopere in cultura tradita.</v>
      </c>
      <c r="I1072" t="str">
        <f>_xlfn.XLOOKUP(frasest[[#This Row],[autor_es]],autorest[autor_es],autorest[codigo])</f>
        <v>zh</v>
      </c>
      <c r="J1072" t="str">
        <f>_xlfn.XLOOKUP(frasest[[#This Row],[autor_es]],autorest[autor_es],autorest[idioma_es])</f>
        <v>Chino</v>
      </c>
      <c r="K1072" s="6" t="str">
        <f>_xlfn.XLOOKUP(frasest[[#This Row],[autor_es]],autorest[autor_es],autorest[idioma_la])</f>
        <v>Lingua Sinica</v>
      </c>
      <c r="L1072" s="6" t="str">
        <f>_xlfn.XLOOKUP(frasest[[#This Row],[autor_es]],autorest[autor_es],autorest[nacion_es])</f>
        <v>China</v>
      </c>
      <c r="M1072" t="str">
        <f>_xlfn.XLOOKUP(frasest[[#This Row],[autor_es]],autorest[autor_es],autorest[nacion_la])</f>
        <v>Sinae</v>
      </c>
      <c r="N1072" t="str">
        <f>_xlfn.XLOOKUP(frasest[[#This Row],[autor_es]],autorest[autor_es],autorest[epoca_es])</f>
        <v>Epoca Desconocida</v>
      </c>
      <c r="O1072" t="str">
        <f>_xlfn.XLOOKUP(frasest[[#This Row],[autor_es]],autorest[autor_es],autorest[epoca_la])</f>
        <v>Epocha Ignota</v>
      </c>
    </row>
    <row r="1073" spans="1:15">
      <c r="A1073">
        <v>1072</v>
      </c>
      <c r="B1073" t="s">
        <v>2924</v>
      </c>
      <c r="C1073" t="s">
        <v>2925</v>
      </c>
      <c r="D1073" s="1" t="s">
        <v>2926</v>
      </c>
      <c r="E1073" t="s">
        <v>33</v>
      </c>
      <c r="F1073" t="str">
        <f>_xlfn.XLOOKUP(frasest[[#This Row],[autor_es]],autorest[autor_es],autorest[autor_la])</f>
        <v>Proverbium Sinense</v>
      </c>
      <c r="G1073" s="6" t="str">
        <f>_xlfn.XLOOKUP(frasest[[#This Row],[autor_es]],autorest[autor_es],autorest[bio_es])</f>
        <v>Conjunto de proverbios tradicionales de la cultura china que transmiten sabiduría popular, valores morales y enseñanzas prácticas transmitidas oralmente durante siglos.</v>
      </c>
      <c r="H1073" s="6" t="str">
        <f>_xlfn.XLOOKUP(frasest[[#This Row],[autor_es]],autorest[autor_es],autorest[bio_la])</f>
        <v>Collectio sententiarum Sinensium, magnopere in cultura tradita.</v>
      </c>
      <c r="I1073" t="str">
        <f>_xlfn.XLOOKUP(frasest[[#This Row],[autor_es]],autorest[autor_es],autorest[codigo])</f>
        <v>zh</v>
      </c>
      <c r="J1073" t="str">
        <f>_xlfn.XLOOKUP(frasest[[#This Row],[autor_es]],autorest[autor_es],autorest[idioma_es])</f>
        <v>Chino</v>
      </c>
      <c r="K1073" s="6" t="str">
        <f>_xlfn.XLOOKUP(frasest[[#This Row],[autor_es]],autorest[autor_es],autorest[idioma_la])</f>
        <v>Lingua Sinica</v>
      </c>
      <c r="L1073" s="6" t="str">
        <f>_xlfn.XLOOKUP(frasest[[#This Row],[autor_es]],autorest[autor_es],autorest[nacion_es])</f>
        <v>China</v>
      </c>
      <c r="M1073" t="str">
        <f>_xlfn.XLOOKUP(frasest[[#This Row],[autor_es]],autorest[autor_es],autorest[nacion_la])</f>
        <v>Sinae</v>
      </c>
      <c r="N1073" t="str">
        <f>_xlfn.XLOOKUP(frasest[[#This Row],[autor_es]],autorest[autor_es],autorest[epoca_es])</f>
        <v>Epoca Desconocida</v>
      </c>
      <c r="O1073" t="str">
        <f>_xlfn.XLOOKUP(frasest[[#This Row],[autor_es]],autorest[autor_es],autorest[epoca_la])</f>
        <v>Epocha Ignota</v>
      </c>
    </row>
    <row r="1074" spans="1:15">
      <c r="A1074">
        <v>1073</v>
      </c>
      <c r="B1074" t="s">
        <v>1029</v>
      </c>
      <c r="C1074" t="s">
        <v>2927</v>
      </c>
      <c r="D1074" s="1" t="s">
        <v>1031</v>
      </c>
      <c r="E1074" t="s">
        <v>33</v>
      </c>
      <c r="F1074" t="str">
        <f>_xlfn.XLOOKUP(frasest[[#This Row],[autor_es]],autorest[autor_es],autorest[autor_la])</f>
        <v>Proverbium Sinense</v>
      </c>
      <c r="G1074" s="6" t="str">
        <f>_xlfn.XLOOKUP(frasest[[#This Row],[autor_es]],autorest[autor_es],autorest[bio_es])</f>
        <v>Conjunto de proverbios tradicionales de la cultura china que transmiten sabiduría popular, valores morales y enseñanzas prácticas transmitidas oralmente durante siglos.</v>
      </c>
      <c r="H1074" s="6" t="str">
        <f>_xlfn.XLOOKUP(frasest[[#This Row],[autor_es]],autorest[autor_es],autorest[bio_la])</f>
        <v>Collectio sententiarum Sinensium, magnopere in cultura tradita.</v>
      </c>
      <c r="I1074" t="str">
        <f>_xlfn.XLOOKUP(frasest[[#This Row],[autor_es]],autorest[autor_es],autorest[codigo])</f>
        <v>zh</v>
      </c>
      <c r="J1074" t="str">
        <f>_xlfn.XLOOKUP(frasest[[#This Row],[autor_es]],autorest[autor_es],autorest[idioma_es])</f>
        <v>Chino</v>
      </c>
      <c r="K1074" s="6" t="str">
        <f>_xlfn.XLOOKUP(frasest[[#This Row],[autor_es]],autorest[autor_es],autorest[idioma_la])</f>
        <v>Lingua Sinica</v>
      </c>
      <c r="L1074" s="6" t="str">
        <f>_xlfn.XLOOKUP(frasest[[#This Row],[autor_es]],autorest[autor_es],autorest[nacion_es])</f>
        <v>China</v>
      </c>
      <c r="M1074" t="str">
        <f>_xlfn.XLOOKUP(frasest[[#This Row],[autor_es]],autorest[autor_es],autorest[nacion_la])</f>
        <v>Sinae</v>
      </c>
      <c r="N1074" t="str">
        <f>_xlfn.XLOOKUP(frasest[[#This Row],[autor_es]],autorest[autor_es],autorest[epoca_es])</f>
        <v>Epoca Desconocida</v>
      </c>
      <c r="O1074" t="str">
        <f>_xlfn.XLOOKUP(frasest[[#This Row],[autor_es]],autorest[autor_es],autorest[epoca_la])</f>
        <v>Epocha Ignota</v>
      </c>
    </row>
    <row r="1075" spans="1:15">
      <c r="A1075">
        <v>1074</v>
      </c>
      <c r="B1075" t="s">
        <v>2928</v>
      </c>
      <c r="C1075" t="s">
        <v>2929</v>
      </c>
      <c r="D1075" s="1" t="s">
        <v>2930</v>
      </c>
      <c r="E1075" t="s">
        <v>33</v>
      </c>
      <c r="F1075" t="str">
        <f>_xlfn.XLOOKUP(frasest[[#This Row],[autor_es]],autorest[autor_es],autorest[autor_la])</f>
        <v>Proverbium Sinense</v>
      </c>
      <c r="G1075" s="6" t="str">
        <f>_xlfn.XLOOKUP(frasest[[#This Row],[autor_es]],autorest[autor_es],autorest[bio_es])</f>
        <v>Conjunto de proverbios tradicionales de la cultura china que transmiten sabiduría popular, valores morales y enseñanzas prácticas transmitidas oralmente durante siglos.</v>
      </c>
      <c r="H1075" s="6" t="str">
        <f>_xlfn.XLOOKUP(frasest[[#This Row],[autor_es]],autorest[autor_es],autorest[bio_la])</f>
        <v>Collectio sententiarum Sinensium, magnopere in cultura tradita.</v>
      </c>
      <c r="I1075" t="str">
        <f>_xlfn.XLOOKUP(frasest[[#This Row],[autor_es]],autorest[autor_es],autorest[codigo])</f>
        <v>zh</v>
      </c>
      <c r="J1075" t="str">
        <f>_xlfn.XLOOKUP(frasest[[#This Row],[autor_es]],autorest[autor_es],autorest[idioma_es])</f>
        <v>Chino</v>
      </c>
      <c r="K1075" s="6" t="str">
        <f>_xlfn.XLOOKUP(frasest[[#This Row],[autor_es]],autorest[autor_es],autorest[idioma_la])</f>
        <v>Lingua Sinica</v>
      </c>
      <c r="L1075" s="6" t="str">
        <f>_xlfn.XLOOKUP(frasest[[#This Row],[autor_es]],autorest[autor_es],autorest[nacion_es])</f>
        <v>China</v>
      </c>
      <c r="M1075" t="str">
        <f>_xlfn.XLOOKUP(frasest[[#This Row],[autor_es]],autorest[autor_es],autorest[nacion_la])</f>
        <v>Sinae</v>
      </c>
      <c r="N1075" t="str">
        <f>_xlfn.XLOOKUP(frasest[[#This Row],[autor_es]],autorest[autor_es],autorest[epoca_es])</f>
        <v>Epoca Desconocida</v>
      </c>
      <c r="O1075" t="str">
        <f>_xlfn.XLOOKUP(frasest[[#This Row],[autor_es]],autorest[autor_es],autorest[epoca_la])</f>
        <v>Epocha Ignota</v>
      </c>
    </row>
    <row r="1076" spans="1:15">
      <c r="A1076">
        <v>1075</v>
      </c>
      <c r="B1076" t="s">
        <v>2931</v>
      </c>
      <c r="C1076" t="s">
        <v>2932</v>
      </c>
      <c r="D1076" s="1" t="s">
        <v>2933</v>
      </c>
      <c r="E1076" t="s">
        <v>33</v>
      </c>
      <c r="F1076" t="str">
        <f>_xlfn.XLOOKUP(frasest[[#This Row],[autor_es]],autorest[autor_es],autorest[autor_la])</f>
        <v>Proverbium Sinense</v>
      </c>
      <c r="G1076" s="6" t="str">
        <f>_xlfn.XLOOKUP(frasest[[#This Row],[autor_es]],autorest[autor_es],autorest[bio_es])</f>
        <v>Conjunto de proverbios tradicionales de la cultura china que transmiten sabiduría popular, valores morales y enseñanzas prácticas transmitidas oralmente durante siglos.</v>
      </c>
      <c r="H1076" s="6" t="str">
        <f>_xlfn.XLOOKUP(frasest[[#This Row],[autor_es]],autorest[autor_es],autorest[bio_la])</f>
        <v>Collectio sententiarum Sinensium, magnopere in cultura tradita.</v>
      </c>
      <c r="I1076" t="str">
        <f>_xlfn.XLOOKUP(frasest[[#This Row],[autor_es]],autorest[autor_es],autorest[codigo])</f>
        <v>zh</v>
      </c>
      <c r="J1076" t="str">
        <f>_xlfn.XLOOKUP(frasest[[#This Row],[autor_es]],autorest[autor_es],autorest[idioma_es])</f>
        <v>Chino</v>
      </c>
      <c r="K1076" s="6" t="str">
        <f>_xlfn.XLOOKUP(frasest[[#This Row],[autor_es]],autorest[autor_es],autorest[idioma_la])</f>
        <v>Lingua Sinica</v>
      </c>
      <c r="L1076" s="6" t="str">
        <f>_xlfn.XLOOKUP(frasest[[#This Row],[autor_es]],autorest[autor_es],autorest[nacion_es])</f>
        <v>China</v>
      </c>
      <c r="M1076" t="str">
        <f>_xlfn.XLOOKUP(frasest[[#This Row],[autor_es]],autorest[autor_es],autorest[nacion_la])</f>
        <v>Sinae</v>
      </c>
      <c r="N1076" t="str">
        <f>_xlfn.XLOOKUP(frasest[[#This Row],[autor_es]],autorest[autor_es],autorest[epoca_es])</f>
        <v>Epoca Desconocida</v>
      </c>
      <c r="O1076" t="str">
        <f>_xlfn.XLOOKUP(frasest[[#This Row],[autor_es]],autorest[autor_es],autorest[epoca_la])</f>
        <v>Epocha Ignota</v>
      </c>
    </row>
    <row r="1077" spans="1:15">
      <c r="A1077">
        <v>1076</v>
      </c>
      <c r="B1077" t="s">
        <v>2934</v>
      </c>
      <c r="C1077" t="s">
        <v>2935</v>
      </c>
      <c r="D1077" s="1" t="s">
        <v>2936</v>
      </c>
      <c r="E1077" t="s">
        <v>33</v>
      </c>
      <c r="F1077" t="str">
        <f>_xlfn.XLOOKUP(frasest[[#This Row],[autor_es]],autorest[autor_es],autorest[autor_la])</f>
        <v>Proverbium Sinense</v>
      </c>
      <c r="G1077" s="6" t="str">
        <f>_xlfn.XLOOKUP(frasest[[#This Row],[autor_es]],autorest[autor_es],autorest[bio_es])</f>
        <v>Conjunto de proverbios tradicionales de la cultura china que transmiten sabiduría popular, valores morales y enseñanzas prácticas transmitidas oralmente durante siglos.</v>
      </c>
      <c r="H1077" s="6" t="str">
        <f>_xlfn.XLOOKUP(frasest[[#This Row],[autor_es]],autorest[autor_es],autorest[bio_la])</f>
        <v>Collectio sententiarum Sinensium, magnopere in cultura tradita.</v>
      </c>
      <c r="I1077" t="str">
        <f>_xlfn.XLOOKUP(frasest[[#This Row],[autor_es]],autorest[autor_es],autorest[codigo])</f>
        <v>zh</v>
      </c>
      <c r="J1077" t="str">
        <f>_xlfn.XLOOKUP(frasest[[#This Row],[autor_es]],autorest[autor_es],autorest[idioma_es])</f>
        <v>Chino</v>
      </c>
      <c r="K1077" s="6" t="str">
        <f>_xlfn.XLOOKUP(frasest[[#This Row],[autor_es]],autorest[autor_es],autorest[idioma_la])</f>
        <v>Lingua Sinica</v>
      </c>
      <c r="L1077" s="6" t="str">
        <f>_xlfn.XLOOKUP(frasest[[#This Row],[autor_es]],autorest[autor_es],autorest[nacion_es])</f>
        <v>China</v>
      </c>
      <c r="M1077" t="str">
        <f>_xlfn.XLOOKUP(frasest[[#This Row],[autor_es]],autorest[autor_es],autorest[nacion_la])</f>
        <v>Sinae</v>
      </c>
      <c r="N1077" t="str">
        <f>_xlfn.XLOOKUP(frasest[[#This Row],[autor_es]],autorest[autor_es],autorest[epoca_es])</f>
        <v>Epoca Desconocida</v>
      </c>
      <c r="O1077" t="str">
        <f>_xlfn.XLOOKUP(frasest[[#This Row],[autor_es]],autorest[autor_es],autorest[epoca_la])</f>
        <v>Epocha Ignota</v>
      </c>
    </row>
    <row r="1078" spans="1:15">
      <c r="A1078">
        <v>1077</v>
      </c>
      <c r="B1078" t="s">
        <v>2937</v>
      </c>
      <c r="C1078" t="s">
        <v>2938</v>
      </c>
      <c r="D1078" s="1" t="s">
        <v>2939</v>
      </c>
      <c r="E1078" t="s">
        <v>33</v>
      </c>
      <c r="F1078" t="str">
        <f>_xlfn.XLOOKUP(frasest[[#This Row],[autor_es]],autorest[autor_es],autorest[autor_la])</f>
        <v>Proverbium Sinense</v>
      </c>
      <c r="G1078" s="6" t="str">
        <f>_xlfn.XLOOKUP(frasest[[#This Row],[autor_es]],autorest[autor_es],autorest[bio_es])</f>
        <v>Conjunto de proverbios tradicionales de la cultura china que transmiten sabiduría popular, valores morales y enseñanzas prácticas transmitidas oralmente durante siglos.</v>
      </c>
      <c r="H1078" s="6" t="str">
        <f>_xlfn.XLOOKUP(frasest[[#This Row],[autor_es]],autorest[autor_es],autorest[bio_la])</f>
        <v>Collectio sententiarum Sinensium, magnopere in cultura tradita.</v>
      </c>
      <c r="I1078" t="str">
        <f>_xlfn.XLOOKUP(frasest[[#This Row],[autor_es]],autorest[autor_es],autorest[codigo])</f>
        <v>zh</v>
      </c>
      <c r="J1078" t="str">
        <f>_xlfn.XLOOKUP(frasest[[#This Row],[autor_es]],autorest[autor_es],autorest[idioma_es])</f>
        <v>Chino</v>
      </c>
      <c r="K1078" s="6" t="str">
        <f>_xlfn.XLOOKUP(frasest[[#This Row],[autor_es]],autorest[autor_es],autorest[idioma_la])</f>
        <v>Lingua Sinica</v>
      </c>
      <c r="L1078" s="6" t="str">
        <f>_xlfn.XLOOKUP(frasest[[#This Row],[autor_es]],autorest[autor_es],autorest[nacion_es])</f>
        <v>China</v>
      </c>
      <c r="M1078" t="str">
        <f>_xlfn.XLOOKUP(frasest[[#This Row],[autor_es]],autorest[autor_es],autorest[nacion_la])</f>
        <v>Sinae</v>
      </c>
      <c r="N1078" t="str">
        <f>_xlfn.XLOOKUP(frasest[[#This Row],[autor_es]],autorest[autor_es],autorest[epoca_es])</f>
        <v>Epoca Desconocida</v>
      </c>
      <c r="O1078" t="str">
        <f>_xlfn.XLOOKUP(frasest[[#This Row],[autor_es]],autorest[autor_es],autorest[epoca_la])</f>
        <v>Epocha Ignota</v>
      </c>
    </row>
    <row r="1079" spans="1:15">
      <c r="A1079">
        <v>1078</v>
      </c>
      <c r="B1079" t="s">
        <v>2940</v>
      </c>
      <c r="C1079" t="s">
        <v>2941</v>
      </c>
      <c r="D1079" s="1" t="s">
        <v>2942</v>
      </c>
      <c r="E1079" t="s">
        <v>33</v>
      </c>
      <c r="F1079" t="str">
        <f>_xlfn.XLOOKUP(frasest[[#This Row],[autor_es]],autorest[autor_es],autorest[autor_la])</f>
        <v>Proverbium Sinense</v>
      </c>
      <c r="G1079" s="6" t="str">
        <f>_xlfn.XLOOKUP(frasest[[#This Row],[autor_es]],autorest[autor_es],autorest[bio_es])</f>
        <v>Conjunto de proverbios tradicionales de la cultura china que transmiten sabiduría popular, valores morales y enseñanzas prácticas transmitidas oralmente durante siglos.</v>
      </c>
      <c r="H1079" s="6" t="str">
        <f>_xlfn.XLOOKUP(frasest[[#This Row],[autor_es]],autorest[autor_es],autorest[bio_la])</f>
        <v>Collectio sententiarum Sinensium, magnopere in cultura tradita.</v>
      </c>
      <c r="I1079" t="str">
        <f>_xlfn.XLOOKUP(frasest[[#This Row],[autor_es]],autorest[autor_es],autorest[codigo])</f>
        <v>zh</v>
      </c>
      <c r="J1079" t="str">
        <f>_xlfn.XLOOKUP(frasest[[#This Row],[autor_es]],autorest[autor_es],autorest[idioma_es])</f>
        <v>Chino</v>
      </c>
      <c r="K1079" s="6" t="str">
        <f>_xlfn.XLOOKUP(frasest[[#This Row],[autor_es]],autorest[autor_es],autorest[idioma_la])</f>
        <v>Lingua Sinica</v>
      </c>
      <c r="L1079" s="6" t="str">
        <f>_xlfn.XLOOKUP(frasest[[#This Row],[autor_es]],autorest[autor_es],autorest[nacion_es])</f>
        <v>China</v>
      </c>
      <c r="M1079" t="str">
        <f>_xlfn.XLOOKUP(frasest[[#This Row],[autor_es]],autorest[autor_es],autorest[nacion_la])</f>
        <v>Sinae</v>
      </c>
      <c r="N1079" t="str">
        <f>_xlfn.XLOOKUP(frasest[[#This Row],[autor_es]],autorest[autor_es],autorest[epoca_es])</f>
        <v>Epoca Desconocida</v>
      </c>
      <c r="O1079" t="str">
        <f>_xlfn.XLOOKUP(frasest[[#This Row],[autor_es]],autorest[autor_es],autorest[epoca_la])</f>
        <v>Epocha Ignota</v>
      </c>
    </row>
    <row r="1080" spans="1:15">
      <c r="A1080">
        <v>1079</v>
      </c>
      <c r="B1080" t="s">
        <v>2943</v>
      </c>
      <c r="C1080" t="s">
        <v>2944</v>
      </c>
      <c r="D1080" s="1" t="s">
        <v>2945</v>
      </c>
      <c r="E1080" t="s">
        <v>33</v>
      </c>
      <c r="F1080" t="str">
        <f>_xlfn.XLOOKUP(frasest[[#This Row],[autor_es]],autorest[autor_es],autorest[autor_la])</f>
        <v>Proverbium Sinense</v>
      </c>
      <c r="G1080" s="6" t="str">
        <f>_xlfn.XLOOKUP(frasest[[#This Row],[autor_es]],autorest[autor_es],autorest[bio_es])</f>
        <v>Conjunto de proverbios tradicionales de la cultura china que transmiten sabiduría popular, valores morales y enseñanzas prácticas transmitidas oralmente durante siglos.</v>
      </c>
      <c r="H1080" s="6" t="str">
        <f>_xlfn.XLOOKUP(frasest[[#This Row],[autor_es]],autorest[autor_es],autorest[bio_la])</f>
        <v>Collectio sententiarum Sinensium, magnopere in cultura tradita.</v>
      </c>
      <c r="I1080" t="str">
        <f>_xlfn.XLOOKUP(frasest[[#This Row],[autor_es]],autorest[autor_es],autorest[codigo])</f>
        <v>zh</v>
      </c>
      <c r="J1080" t="str">
        <f>_xlfn.XLOOKUP(frasest[[#This Row],[autor_es]],autorest[autor_es],autorest[idioma_es])</f>
        <v>Chino</v>
      </c>
      <c r="K1080" s="6" t="str">
        <f>_xlfn.XLOOKUP(frasest[[#This Row],[autor_es]],autorest[autor_es],autorest[idioma_la])</f>
        <v>Lingua Sinica</v>
      </c>
      <c r="L1080" s="6" t="str">
        <f>_xlfn.XLOOKUP(frasest[[#This Row],[autor_es]],autorest[autor_es],autorest[nacion_es])</f>
        <v>China</v>
      </c>
      <c r="M1080" t="str">
        <f>_xlfn.XLOOKUP(frasest[[#This Row],[autor_es]],autorest[autor_es],autorest[nacion_la])</f>
        <v>Sinae</v>
      </c>
      <c r="N1080" t="str">
        <f>_xlfn.XLOOKUP(frasest[[#This Row],[autor_es]],autorest[autor_es],autorest[epoca_es])</f>
        <v>Epoca Desconocida</v>
      </c>
      <c r="O1080" t="str">
        <f>_xlfn.XLOOKUP(frasest[[#This Row],[autor_es]],autorest[autor_es],autorest[epoca_la])</f>
        <v>Epocha Ignota</v>
      </c>
    </row>
    <row r="1081" spans="1:15">
      <c r="A1081">
        <v>1080</v>
      </c>
      <c r="B1081" t="s">
        <v>2946</v>
      </c>
      <c r="C1081" t="s">
        <v>2947</v>
      </c>
      <c r="D1081" s="1" t="s">
        <v>2948</v>
      </c>
      <c r="E1081" t="s">
        <v>33</v>
      </c>
      <c r="F1081" t="str">
        <f>_xlfn.XLOOKUP(frasest[[#This Row],[autor_es]],autorest[autor_es],autorest[autor_la])</f>
        <v>Proverbium Sinense</v>
      </c>
      <c r="G1081" s="6" t="str">
        <f>_xlfn.XLOOKUP(frasest[[#This Row],[autor_es]],autorest[autor_es],autorest[bio_es])</f>
        <v>Conjunto de proverbios tradicionales de la cultura china que transmiten sabiduría popular, valores morales y enseñanzas prácticas transmitidas oralmente durante siglos.</v>
      </c>
      <c r="H1081" s="6" t="str">
        <f>_xlfn.XLOOKUP(frasest[[#This Row],[autor_es]],autorest[autor_es],autorest[bio_la])</f>
        <v>Collectio sententiarum Sinensium, magnopere in cultura tradita.</v>
      </c>
      <c r="I1081" t="str">
        <f>_xlfn.XLOOKUP(frasest[[#This Row],[autor_es]],autorest[autor_es],autorest[codigo])</f>
        <v>zh</v>
      </c>
      <c r="J1081" t="str">
        <f>_xlfn.XLOOKUP(frasest[[#This Row],[autor_es]],autorest[autor_es],autorest[idioma_es])</f>
        <v>Chino</v>
      </c>
      <c r="K1081" s="6" t="str">
        <f>_xlfn.XLOOKUP(frasest[[#This Row],[autor_es]],autorest[autor_es],autorest[idioma_la])</f>
        <v>Lingua Sinica</v>
      </c>
      <c r="L1081" s="6" t="str">
        <f>_xlfn.XLOOKUP(frasest[[#This Row],[autor_es]],autorest[autor_es],autorest[nacion_es])</f>
        <v>China</v>
      </c>
      <c r="M1081" t="str">
        <f>_xlfn.XLOOKUP(frasest[[#This Row],[autor_es]],autorest[autor_es],autorest[nacion_la])</f>
        <v>Sinae</v>
      </c>
      <c r="N1081" t="str">
        <f>_xlfn.XLOOKUP(frasest[[#This Row],[autor_es]],autorest[autor_es],autorest[epoca_es])</f>
        <v>Epoca Desconocida</v>
      </c>
      <c r="O1081" t="str">
        <f>_xlfn.XLOOKUP(frasest[[#This Row],[autor_es]],autorest[autor_es],autorest[epoca_la])</f>
        <v>Epocha Ignota</v>
      </c>
    </row>
    <row r="1082" spans="1:15">
      <c r="A1082">
        <v>1081</v>
      </c>
      <c r="B1082" t="s">
        <v>2949</v>
      </c>
      <c r="C1082" t="s">
        <v>2950</v>
      </c>
      <c r="D1082" s="1" t="s">
        <v>2951</v>
      </c>
      <c r="E1082" t="s">
        <v>33</v>
      </c>
      <c r="F1082" t="str">
        <f>_xlfn.XLOOKUP(frasest[[#This Row],[autor_es]],autorest[autor_es],autorest[autor_la])</f>
        <v>Proverbium Sinense</v>
      </c>
      <c r="G1082" s="6" t="str">
        <f>_xlfn.XLOOKUP(frasest[[#This Row],[autor_es]],autorest[autor_es],autorest[bio_es])</f>
        <v>Conjunto de proverbios tradicionales de la cultura china que transmiten sabiduría popular, valores morales y enseñanzas prácticas transmitidas oralmente durante siglos.</v>
      </c>
      <c r="H1082" s="6" t="str">
        <f>_xlfn.XLOOKUP(frasest[[#This Row],[autor_es]],autorest[autor_es],autorest[bio_la])</f>
        <v>Collectio sententiarum Sinensium, magnopere in cultura tradita.</v>
      </c>
      <c r="I1082" t="str">
        <f>_xlfn.XLOOKUP(frasest[[#This Row],[autor_es]],autorest[autor_es],autorest[codigo])</f>
        <v>zh</v>
      </c>
      <c r="J1082" t="str">
        <f>_xlfn.XLOOKUP(frasest[[#This Row],[autor_es]],autorest[autor_es],autorest[idioma_es])</f>
        <v>Chino</v>
      </c>
      <c r="K1082" s="6" t="str">
        <f>_xlfn.XLOOKUP(frasest[[#This Row],[autor_es]],autorest[autor_es],autorest[idioma_la])</f>
        <v>Lingua Sinica</v>
      </c>
      <c r="L1082" s="6" t="str">
        <f>_xlfn.XLOOKUP(frasest[[#This Row],[autor_es]],autorest[autor_es],autorest[nacion_es])</f>
        <v>China</v>
      </c>
      <c r="M1082" t="str">
        <f>_xlfn.XLOOKUP(frasest[[#This Row],[autor_es]],autorest[autor_es],autorest[nacion_la])</f>
        <v>Sinae</v>
      </c>
      <c r="N1082" t="str">
        <f>_xlfn.XLOOKUP(frasest[[#This Row],[autor_es]],autorest[autor_es],autorest[epoca_es])</f>
        <v>Epoca Desconocida</v>
      </c>
      <c r="O1082" t="str">
        <f>_xlfn.XLOOKUP(frasest[[#This Row],[autor_es]],autorest[autor_es],autorest[epoca_la])</f>
        <v>Epocha Ignota</v>
      </c>
    </row>
    <row r="1083" spans="1:15">
      <c r="A1083">
        <v>1082</v>
      </c>
      <c r="B1083" t="s">
        <v>2952</v>
      </c>
      <c r="C1083" t="s">
        <v>2953</v>
      </c>
      <c r="D1083" s="1" t="s">
        <v>2954</v>
      </c>
      <c r="E1083" t="s">
        <v>33</v>
      </c>
      <c r="F1083" t="str">
        <f>_xlfn.XLOOKUP(frasest[[#This Row],[autor_es]],autorest[autor_es],autorest[autor_la])</f>
        <v>Proverbium Sinense</v>
      </c>
      <c r="G1083" s="6" t="str">
        <f>_xlfn.XLOOKUP(frasest[[#This Row],[autor_es]],autorest[autor_es],autorest[bio_es])</f>
        <v>Conjunto de proverbios tradicionales de la cultura china que transmiten sabiduría popular, valores morales y enseñanzas prácticas transmitidas oralmente durante siglos.</v>
      </c>
      <c r="H1083" s="6" t="str">
        <f>_xlfn.XLOOKUP(frasest[[#This Row],[autor_es]],autorest[autor_es],autorest[bio_la])</f>
        <v>Collectio sententiarum Sinensium, magnopere in cultura tradita.</v>
      </c>
      <c r="I1083" t="str">
        <f>_xlfn.XLOOKUP(frasest[[#This Row],[autor_es]],autorest[autor_es],autorest[codigo])</f>
        <v>zh</v>
      </c>
      <c r="J1083" t="str">
        <f>_xlfn.XLOOKUP(frasest[[#This Row],[autor_es]],autorest[autor_es],autorest[idioma_es])</f>
        <v>Chino</v>
      </c>
      <c r="K1083" s="6" t="str">
        <f>_xlfn.XLOOKUP(frasest[[#This Row],[autor_es]],autorest[autor_es],autorest[idioma_la])</f>
        <v>Lingua Sinica</v>
      </c>
      <c r="L1083" s="6" t="str">
        <f>_xlfn.XLOOKUP(frasest[[#This Row],[autor_es]],autorest[autor_es],autorest[nacion_es])</f>
        <v>China</v>
      </c>
      <c r="M1083" t="str">
        <f>_xlfn.XLOOKUP(frasest[[#This Row],[autor_es]],autorest[autor_es],autorest[nacion_la])</f>
        <v>Sinae</v>
      </c>
      <c r="N1083" t="str">
        <f>_xlfn.XLOOKUP(frasest[[#This Row],[autor_es]],autorest[autor_es],autorest[epoca_es])</f>
        <v>Epoca Desconocida</v>
      </c>
      <c r="O1083" t="str">
        <f>_xlfn.XLOOKUP(frasest[[#This Row],[autor_es]],autorest[autor_es],autorest[epoca_la])</f>
        <v>Epocha Ignota</v>
      </c>
    </row>
    <row r="1084" spans="1:15">
      <c r="A1084">
        <v>1083</v>
      </c>
      <c r="B1084" t="s">
        <v>2955</v>
      </c>
      <c r="C1084" t="s">
        <v>2956</v>
      </c>
      <c r="D1084" s="1" t="s">
        <v>2957</v>
      </c>
      <c r="E1084" t="s">
        <v>33</v>
      </c>
      <c r="F1084" t="str">
        <f>_xlfn.XLOOKUP(frasest[[#This Row],[autor_es]],autorest[autor_es],autorest[autor_la])</f>
        <v>Proverbium Sinense</v>
      </c>
      <c r="G1084" s="6" t="str">
        <f>_xlfn.XLOOKUP(frasest[[#This Row],[autor_es]],autorest[autor_es],autorest[bio_es])</f>
        <v>Conjunto de proverbios tradicionales de la cultura china que transmiten sabiduría popular, valores morales y enseñanzas prácticas transmitidas oralmente durante siglos.</v>
      </c>
      <c r="H1084" s="6" t="str">
        <f>_xlfn.XLOOKUP(frasest[[#This Row],[autor_es]],autorest[autor_es],autorest[bio_la])</f>
        <v>Collectio sententiarum Sinensium, magnopere in cultura tradita.</v>
      </c>
      <c r="I1084" t="str">
        <f>_xlfn.XLOOKUP(frasest[[#This Row],[autor_es]],autorest[autor_es],autorest[codigo])</f>
        <v>zh</v>
      </c>
      <c r="J1084" t="str">
        <f>_xlfn.XLOOKUP(frasest[[#This Row],[autor_es]],autorest[autor_es],autorest[idioma_es])</f>
        <v>Chino</v>
      </c>
      <c r="K1084" s="6" t="str">
        <f>_xlfn.XLOOKUP(frasest[[#This Row],[autor_es]],autorest[autor_es],autorest[idioma_la])</f>
        <v>Lingua Sinica</v>
      </c>
      <c r="L1084" s="6" t="str">
        <f>_xlfn.XLOOKUP(frasest[[#This Row],[autor_es]],autorest[autor_es],autorest[nacion_es])</f>
        <v>China</v>
      </c>
      <c r="M1084" t="str">
        <f>_xlfn.XLOOKUP(frasest[[#This Row],[autor_es]],autorest[autor_es],autorest[nacion_la])</f>
        <v>Sinae</v>
      </c>
      <c r="N1084" t="str">
        <f>_xlfn.XLOOKUP(frasest[[#This Row],[autor_es]],autorest[autor_es],autorest[epoca_es])</f>
        <v>Epoca Desconocida</v>
      </c>
      <c r="O1084" t="str">
        <f>_xlfn.XLOOKUP(frasest[[#This Row],[autor_es]],autorest[autor_es],autorest[epoca_la])</f>
        <v>Epocha Ignota</v>
      </c>
    </row>
    <row r="1085" spans="1:15">
      <c r="A1085">
        <v>1084</v>
      </c>
      <c r="B1085" t="s">
        <v>2958</v>
      </c>
      <c r="C1085" t="s">
        <v>2959</v>
      </c>
      <c r="D1085" s="1" t="s">
        <v>2960</v>
      </c>
      <c r="E1085" t="s">
        <v>33</v>
      </c>
      <c r="F1085" t="str">
        <f>_xlfn.XLOOKUP(frasest[[#This Row],[autor_es]],autorest[autor_es],autorest[autor_la])</f>
        <v>Proverbium Sinense</v>
      </c>
      <c r="G1085" s="6" t="str">
        <f>_xlfn.XLOOKUP(frasest[[#This Row],[autor_es]],autorest[autor_es],autorest[bio_es])</f>
        <v>Conjunto de proverbios tradicionales de la cultura china que transmiten sabiduría popular, valores morales y enseñanzas prácticas transmitidas oralmente durante siglos.</v>
      </c>
      <c r="H1085" s="6" t="str">
        <f>_xlfn.XLOOKUP(frasest[[#This Row],[autor_es]],autorest[autor_es],autorest[bio_la])</f>
        <v>Collectio sententiarum Sinensium, magnopere in cultura tradita.</v>
      </c>
      <c r="I1085" t="str">
        <f>_xlfn.XLOOKUP(frasest[[#This Row],[autor_es]],autorest[autor_es],autorest[codigo])</f>
        <v>zh</v>
      </c>
      <c r="J1085" t="str">
        <f>_xlfn.XLOOKUP(frasest[[#This Row],[autor_es]],autorest[autor_es],autorest[idioma_es])</f>
        <v>Chino</v>
      </c>
      <c r="K1085" s="6" t="str">
        <f>_xlfn.XLOOKUP(frasest[[#This Row],[autor_es]],autorest[autor_es],autorest[idioma_la])</f>
        <v>Lingua Sinica</v>
      </c>
      <c r="L1085" s="6" t="str">
        <f>_xlfn.XLOOKUP(frasest[[#This Row],[autor_es]],autorest[autor_es],autorest[nacion_es])</f>
        <v>China</v>
      </c>
      <c r="M1085" t="str">
        <f>_xlfn.XLOOKUP(frasest[[#This Row],[autor_es]],autorest[autor_es],autorest[nacion_la])</f>
        <v>Sinae</v>
      </c>
      <c r="N1085" t="str">
        <f>_xlfn.XLOOKUP(frasest[[#This Row],[autor_es]],autorest[autor_es],autorest[epoca_es])</f>
        <v>Epoca Desconocida</v>
      </c>
      <c r="O1085" t="str">
        <f>_xlfn.XLOOKUP(frasest[[#This Row],[autor_es]],autorest[autor_es],autorest[epoca_la])</f>
        <v>Epocha Ignota</v>
      </c>
    </row>
    <row r="1086" spans="1:15">
      <c r="A1086">
        <v>1085</v>
      </c>
      <c r="B1086" t="s">
        <v>2961</v>
      </c>
      <c r="C1086" t="s">
        <v>2962</v>
      </c>
      <c r="D1086" s="1" t="s">
        <v>2963</v>
      </c>
      <c r="E1086" t="s">
        <v>33</v>
      </c>
      <c r="F1086" t="str">
        <f>_xlfn.XLOOKUP(frasest[[#This Row],[autor_es]],autorest[autor_es],autorest[autor_la])</f>
        <v>Proverbium Sinense</v>
      </c>
      <c r="G1086" s="6" t="str">
        <f>_xlfn.XLOOKUP(frasest[[#This Row],[autor_es]],autorest[autor_es],autorest[bio_es])</f>
        <v>Conjunto de proverbios tradicionales de la cultura china que transmiten sabiduría popular, valores morales y enseñanzas prácticas transmitidas oralmente durante siglos.</v>
      </c>
      <c r="H1086" s="6" t="str">
        <f>_xlfn.XLOOKUP(frasest[[#This Row],[autor_es]],autorest[autor_es],autorest[bio_la])</f>
        <v>Collectio sententiarum Sinensium, magnopere in cultura tradita.</v>
      </c>
      <c r="I1086" t="str">
        <f>_xlfn.XLOOKUP(frasest[[#This Row],[autor_es]],autorest[autor_es],autorest[codigo])</f>
        <v>zh</v>
      </c>
      <c r="J1086" t="str">
        <f>_xlfn.XLOOKUP(frasest[[#This Row],[autor_es]],autorest[autor_es],autorest[idioma_es])</f>
        <v>Chino</v>
      </c>
      <c r="K1086" s="6" t="str">
        <f>_xlfn.XLOOKUP(frasest[[#This Row],[autor_es]],autorest[autor_es],autorest[idioma_la])</f>
        <v>Lingua Sinica</v>
      </c>
      <c r="L1086" s="6" t="str">
        <f>_xlfn.XLOOKUP(frasest[[#This Row],[autor_es]],autorest[autor_es],autorest[nacion_es])</f>
        <v>China</v>
      </c>
      <c r="M1086" t="str">
        <f>_xlfn.XLOOKUP(frasest[[#This Row],[autor_es]],autorest[autor_es],autorest[nacion_la])</f>
        <v>Sinae</v>
      </c>
      <c r="N1086" t="str">
        <f>_xlfn.XLOOKUP(frasest[[#This Row],[autor_es]],autorest[autor_es],autorest[epoca_es])</f>
        <v>Epoca Desconocida</v>
      </c>
      <c r="O1086" t="str">
        <f>_xlfn.XLOOKUP(frasest[[#This Row],[autor_es]],autorest[autor_es],autorest[epoca_la])</f>
        <v>Epocha Ignota</v>
      </c>
    </row>
    <row r="1087" spans="1:15">
      <c r="A1087">
        <v>1086</v>
      </c>
      <c r="B1087" t="s">
        <v>2964</v>
      </c>
      <c r="C1087" t="s">
        <v>2965</v>
      </c>
      <c r="D1087" s="1" t="s">
        <v>2966</v>
      </c>
      <c r="E1087" t="s">
        <v>33</v>
      </c>
      <c r="F1087" t="str">
        <f>_xlfn.XLOOKUP(frasest[[#This Row],[autor_es]],autorest[autor_es],autorest[autor_la])</f>
        <v>Proverbium Sinense</v>
      </c>
      <c r="G1087" s="6" t="str">
        <f>_xlfn.XLOOKUP(frasest[[#This Row],[autor_es]],autorest[autor_es],autorest[bio_es])</f>
        <v>Conjunto de proverbios tradicionales de la cultura china que transmiten sabiduría popular, valores morales y enseñanzas prácticas transmitidas oralmente durante siglos.</v>
      </c>
      <c r="H1087" s="6" t="str">
        <f>_xlfn.XLOOKUP(frasest[[#This Row],[autor_es]],autorest[autor_es],autorest[bio_la])</f>
        <v>Collectio sententiarum Sinensium, magnopere in cultura tradita.</v>
      </c>
      <c r="I1087" t="str">
        <f>_xlfn.XLOOKUP(frasest[[#This Row],[autor_es]],autorest[autor_es],autorest[codigo])</f>
        <v>zh</v>
      </c>
      <c r="J1087" t="str">
        <f>_xlfn.XLOOKUP(frasest[[#This Row],[autor_es]],autorest[autor_es],autorest[idioma_es])</f>
        <v>Chino</v>
      </c>
      <c r="K1087" s="6" t="str">
        <f>_xlfn.XLOOKUP(frasest[[#This Row],[autor_es]],autorest[autor_es],autorest[idioma_la])</f>
        <v>Lingua Sinica</v>
      </c>
      <c r="L1087" s="6" t="str">
        <f>_xlfn.XLOOKUP(frasest[[#This Row],[autor_es]],autorest[autor_es],autorest[nacion_es])</f>
        <v>China</v>
      </c>
      <c r="M1087" t="str">
        <f>_xlfn.XLOOKUP(frasest[[#This Row],[autor_es]],autorest[autor_es],autorest[nacion_la])</f>
        <v>Sinae</v>
      </c>
      <c r="N1087" t="str">
        <f>_xlfn.XLOOKUP(frasest[[#This Row],[autor_es]],autorest[autor_es],autorest[epoca_es])</f>
        <v>Epoca Desconocida</v>
      </c>
      <c r="O1087" t="str">
        <f>_xlfn.XLOOKUP(frasest[[#This Row],[autor_es]],autorest[autor_es],autorest[epoca_la])</f>
        <v>Epocha Ignota</v>
      </c>
    </row>
    <row r="1088" spans="1:15">
      <c r="A1088">
        <v>1087</v>
      </c>
      <c r="B1088" t="s">
        <v>2967</v>
      </c>
      <c r="C1088" t="s">
        <v>2968</v>
      </c>
      <c r="D1088" s="1" t="s">
        <v>2969</v>
      </c>
      <c r="E1088" t="s">
        <v>33</v>
      </c>
      <c r="F1088" t="str">
        <f>_xlfn.XLOOKUP(frasest[[#This Row],[autor_es]],autorest[autor_es],autorest[autor_la])</f>
        <v>Proverbium Sinense</v>
      </c>
      <c r="G1088" s="6" t="str">
        <f>_xlfn.XLOOKUP(frasest[[#This Row],[autor_es]],autorest[autor_es],autorest[bio_es])</f>
        <v>Conjunto de proverbios tradicionales de la cultura china que transmiten sabiduría popular, valores morales y enseñanzas prácticas transmitidas oralmente durante siglos.</v>
      </c>
      <c r="H1088" s="6" t="str">
        <f>_xlfn.XLOOKUP(frasest[[#This Row],[autor_es]],autorest[autor_es],autorest[bio_la])</f>
        <v>Collectio sententiarum Sinensium, magnopere in cultura tradita.</v>
      </c>
      <c r="I1088" t="str">
        <f>_xlfn.XLOOKUP(frasest[[#This Row],[autor_es]],autorest[autor_es],autorest[codigo])</f>
        <v>zh</v>
      </c>
      <c r="J1088" t="str">
        <f>_xlfn.XLOOKUP(frasest[[#This Row],[autor_es]],autorest[autor_es],autorest[idioma_es])</f>
        <v>Chino</v>
      </c>
      <c r="K1088" s="6" t="str">
        <f>_xlfn.XLOOKUP(frasest[[#This Row],[autor_es]],autorest[autor_es],autorest[idioma_la])</f>
        <v>Lingua Sinica</v>
      </c>
      <c r="L1088" s="6" t="str">
        <f>_xlfn.XLOOKUP(frasest[[#This Row],[autor_es]],autorest[autor_es],autorest[nacion_es])</f>
        <v>China</v>
      </c>
      <c r="M1088" t="str">
        <f>_xlfn.XLOOKUP(frasest[[#This Row],[autor_es]],autorest[autor_es],autorest[nacion_la])</f>
        <v>Sinae</v>
      </c>
      <c r="N1088" t="str">
        <f>_xlfn.XLOOKUP(frasest[[#This Row],[autor_es]],autorest[autor_es],autorest[epoca_es])</f>
        <v>Epoca Desconocida</v>
      </c>
      <c r="O1088" t="str">
        <f>_xlfn.XLOOKUP(frasest[[#This Row],[autor_es]],autorest[autor_es],autorest[epoca_la])</f>
        <v>Epocha Ignota</v>
      </c>
    </row>
    <row r="1089" spans="1:15">
      <c r="A1089">
        <v>1088</v>
      </c>
      <c r="B1089" t="s">
        <v>2970</v>
      </c>
      <c r="C1089" t="s">
        <v>2971</v>
      </c>
      <c r="D1089" s="1" t="s">
        <v>2972</v>
      </c>
      <c r="E1089" t="s">
        <v>33</v>
      </c>
      <c r="F1089" t="str">
        <f>_xlfn.XLOOKUP(frasest[[#This Row],[autor_es]],autorest[autor_es],autorest[autor_la])</f>
        <v>Proverbium Sinense</v>
      </c>
      <c r="G1089" s="6" t="str">
        <f>_xlfn.XLOOKUP(frasest[[#This Row],[autor_es]],autorest[autor_es],autorest[bio_es])</f>
        <v>Conjunto de proverbios tradicionales de la cultura china que transmiten sabiduría popular, valores morales y enseñanzas prácticas transmitidas oralmente durante siglos.</v>
      </c>
      <c r="H1089" s="6" t="str">
        <f>_xlfn.XLOOKUP(frasest[[#This Row],[autor_es]],autorest[autor_es],autorest[bio_la])</f>
        <v>Collectio sententiarum Sinensium, magnopere in cultura tradita.</v>
      </c>
      <c r="I1089" t="str">
        <f>_xlfn.XLOOKUP(frasest[[#This Row],[autor_es]],autorest[autor_es],autorest[codigo])</f>
        <v>zh</v>
      </c>
      <c r="J1089" t="str">
        <f>_xlfn.XLOOKUP(frasest[[#This Row],[autor_es]],autorest[autor_es],autorest[idioma_es])</f>
        <v>Chino</v>
      </c>
      <c r="K1089" s="6" t="str">
        <f>_xlfn.XLOOKUP(frasest[[#This Row],[autor_es]],autorest[autor_es],autorest[idioma_la])</f>
        <v>Lingua Sinica</v>
      </c>
      <c r="L1089" s="6" t="str">
        <f>_xlfn.XLOOKUP(frasest[[#This Row],[autor_es]],autorest[autor_es],autorest[nacion_es])</f>
        <v>China</v>
      </c>
      <c r="M1089" t="str">
        <f>_xlfn.XLOOKUP(frasest[[#This Row],[autor_es]],autorest[autor_es],autorest[nacion_la])</f>
        <v>Sinae</v>
      </c>
      <c r="N1089" t="str">
        <f>_xlfn.XLOOKUP(frasest[[#This Row],[autor_es]],autorest[autor_es],autorest[epoca_es])</f>
        <v>Epoca Desconocida</v>
      </c>
      <c r="O1089" t="str">
        <f>_xlfn.XLOOKUP(frasest[[#This Row],[autor_es]],autorest[autor_es],autorest[epoca_la])</f>
        <v>Epocha Ignota</v>
      </c>
    </row>
    <row r="1090" spans="1:15">
      <c r="A1090">
        <v>1089</v>
      </c>
      <c r="B1090" t="s">
        <v>2973</v>
      </c>
      <c r="C1090" t="s">
        <v>2974</v>
      </c>
      <c r="D1090" s="1" t="s">
        <v>2975</v>
      </c>
      <c r="E1090" t="s">
        <v>33</v>
      </c>
      <c r="F1090" t="str">
        <f>_xlfn.XLOOKUP(frasest[[#This Row],[autor_es]],autorest[autor_es],autorest[autor_la])</f>
        <v>Proverbium Sinense</v>
      </c>
      <c r="G1090" s="6" t="str">
        <f>_xlfn.XLOOKUP(frasest[[#This Row],[autor_es]],autorest[autor_es],autorest[bio_es])</f>
        <v>Conjunto de proverbios tradicionales de la cultura china que transmiten sabiduría popular, valores morales y enseñanzas prácticas transmitidas oralmente durante siglos.</v>
      </c>
      <c r="H1090" s="6" t="str">
        <f>_xlfn.XLOOKUP(frasest[[#This Row],[autor_es]],autorest[autor_es],autorest[bio_la])</f>
        <v>Collectio sententiarum Sinensium, magnopere in cultura tradita.</v>
      </c>
      <c r="I1090" t="str">
        <f>_xlfn.XLOOKUP(frasest[[#This Row],[autor_es]],autorest[autor_es],autorest[codigo])</f>
        <v>zh</v>
      </c>
      <c r="J1090" t="str">
        <f>_xlfn.XLOOKUP(frasest[[#This Row],[autor_es]],autorest[autor_es],autorest[idioma_es])</f>
        <v>Chino</v>
      </c>
      <c r="K1090" s="6" t="str">
        <f>_xlfn.XLOOKUP(frasest[[#This Row],[autor_es]],autorest[autor_es],autorest[idioma_la])</f>
        <v>Lingua Sinica</v>
      </c>
      <c r="L1090" s="6" t="str">
        <f>_xlfn.XLOOKUP(frasest[[#This Row],[autor_es]],autorest[autor_es],autorest[nacion_es])</f>
        <v>China</v>
      </c>
      <c r="M1090" t="str">
        <f>_xlfn.XLOOKUP(frasest[[#This Row],[autor_es]],autorest[autor_es],autorest[nacion_la])</f>
        <v>Sinae</v>
      </c>
      <c r="N1090" t="str">
        <f>_xlfn.XLOOKUP(frasest[[#This Row],[autor_es]],autorest[autor_es],autorest[epoca_es])</f>
        <v>Epoca Desconocida</v>
      </c>
      <c r="O1090" t="str">
        <f>_xlfn.XLOOKUP(frasest[[#This Row],[autor_es]],autorest[autor_es],autorest[epoca_la])</f>
        <v>Epocha Ignota</v>
      </c>
    </row>
    <row r="1091" spans="1:15">
      <c r="A1091">
        <v>1090</v>
      </c>
      <c r="B1091" t="s">
        <v>2976</v>
      </c>
      <c r="C1091" t="s">
        <v>2977</v>
      </c>
      <c r="D1091" s="1" t="s">
        <v>2978</v>
      </c>
      <c r="E1091" t="s">
        <v>33</v>
      </c>
      <c r="F1091" t="str">
        <f>_xlfn.XLOOKUP(frasest[[#This Row],[autor_es]],autorest[autor_es],autorest[autor_la])</f>
        <v>Proverbium Sinense</v>
      </c>
      <c r="G1091" s="6" t="str">
        <f>_xlfn.XLOOKUP(frasest[[#This Row],[autor_es]],autorest[autor_es],autorest[bio_es])</f>
        <v>Conjunto de proverbios tradicionales de la cultura china que transmiten sabiduría popular, valores morales y enseñanzas prácticas transmitidas oralmente durante siglos.</v>
      </c>
      <c r="H1091" s="6" t="str">
        <f>_xlfn.XLOOKUP(frasest[[#This Row],[autor_es]],autorest[autor_es],autorest[bio_la])</f>
        <v>Collectio sententiarum Sinensium, magnopere in cultura tradita.</v>
      </c>
      <c r="I1091" t="str">
        <f>_xlfn.XLOOKUP(frasest[[#This Row],[autor_es]],autorest[autor_es],autorest[codigo])</f>
        <v>zh</v>
      </c>
      <c r="J1091" t="str">
        <f>_xlfn.XLOOKUP(frasest[[#This Row],[autor_es]],autorest[autor_es],autorest[idioma_es])</f>
        <v>Chino</v>
      </c>
      <c r="K1091" s="6" t="str">
        <f>_xlfn.XLOOKUP(frasest[[#This Row],[autor_es]],autorest[autor_es],autorest[idioma_la])</f>
        <v>Lingua Sinica</v>
      </c>
      <c r="L1091" s="6" t="str">
        <f>_xlfn.XLOOKUP(frasest[[#This Row],[autor_es]],autorest[autor_es],autorest[nacion_es])</f>
        <v>China</v>
      </c>
      <c r="M1091" t="str">
        <f>_xlfn.XLOOKUP(frasest[[#This Row],[autor_es]],autorest[autor_es],autorest[nacion_la])</f>
        <v>Sinae</v>
      </c>
      <c r="N1091" t="str">
        <f>_xlfn.XLOOKUP(frasest[[#This Row],[autor_es]],autorest[autor_es],autorest[epoca_es])</f>
        <v>Epoca Desconocida</v>
      </c>
      <c r="O1091" t="str">
        <f>_xlfn.XLOOKUP(frasest[[#This Row],[autor_es]],autorest[autor_es],autorest[epoca_la])</f>
        <v>Epocha Ignota</v>
      </c>
    </row>
    <row r="1092" spans="1:15">
      <c r="A1092">
        <v>1091</v>
      </c>
      <c r="B1092" t="s">
        <v>2979</v>
      </c>
      <c r="C1092" t="s">
        <v>2980</v>
      </c>
      <c r="D1092" s="1" t="s">
        <v>2981</v>
      </c>
      <c r="E1092" t="s">
        <v>33</v>
      </c>
      <c r="F1092" t="str">
        <f>_xlfn.XLOOKUP(frasest[[#This Row],[autor_es]],autorest[autor_es],autorest[autor_la])</f>
        <v>Proverbium Sinense</v>
      </c>
      <c r="G1092" s="6" t="str">
        <f>_xlfn.XLOOKUP(frasest[[#This Row],[autor_es]],autorest[autor_es],autorest[bio_es])</f>
        <v>Conjunto de proverbios tradicionales de la cultura china que transmiten sabiduría popular, valores morales y enseñanzas prácticas transmitidas oralmente durante siglos.</v>
      </c>
      <c r="H1092" s="6" t="str">
        <f>_xlfn.XLOOKUP(frasest[[#This Row],[autor_es]],autorest[autor_es],autorest[bio_la])</f>
        <v>Collectio sententiarum Sinensium, magnopere in cultura tradita.</v>
      </c>
      <c r="I1092" t="str">
        <f>_xlfn.XLOOKUP(frasest[[#This Row],[autor_es]],autorest[autor_es],autorest[codigo])</f>
        <v>zh</v>
      </c>
      <c r="J1092" t="str">
        <f>_xlfn.XLOOKUP(frasest[[#This Row],[autor_es]],autorest[autor_es],autorest[idioma_es])</f>
        <v>Chino</v>
      </c>
      <c r="K1092" s="6" t="str">
        <f>_xlfn.XLOOKUP(frasest[[#This Row],[autor_es]],autorest[autor_es],autorest[idioma_la])</f>
        <v>Lingua Sinica</v>
      </c>
      <c r="L1092" s="6" t="str">
        <f>_xlfn.XLOOKUP(frasest[[#This Row],[autor_es]],autorest[autor_es],autorest[nacion_es])</f>
        <v>China</v>
      </c>
      <c r="M1092" t="str">
        <f>_xlfn.XLOOKUP(frasest[[#This Row],[autor_es]],autorest[autor_es],autorest[nacion_la])</f>
        <v>Sinae</v>
      </c>
      <c r="N1092" t="str">
        <f>_xlfn.XLOOKUP(frasest[[#This Row],[autor_es]],autorest[autor_es],autorest[epoca_es])</f>
        <v>Epoca Desconocida</v>
      </c>
      <c r="O1092" t="str">
        <f>_xlfn.XLOOKUP(frasest[[#This Row],[autor_es]],autorest[autor_es],autorest[epoca_la])</f>
        <v>Epocha Ignota</v>
      </c>
    </row>
    <row r="1093" spans="1:15">
      <c r="A1093">
        <v>1092</v>
      </c>
      <c r="B1093" t="s">
        <v>2982</v>
      </c>
      <c r="C1093" t="s">
        <v>2983</v>
      </c>
      <c r="D1093" s="1" t="s">
        <v>2984</v>
      </c>
      <c r="E1093" t="s">
        <v>33</v>
      </c>
      <c r="F1093" t="str">
        <f>_xlfn.XLOOKUP(frasest[[#This Row],[autor_es]],autorest[autor_es],autorest[autor_la])</f>
        <v>Proverbium Sinense</v>
      </c>
      <c r="G1093" s="6" t="str">
        <f>_xlfn.XLOOKUP(frasest[[#This Row],[autor_es]],autorest[autor_es],autorest[bio_es])</f>
        <v>Conjunto de proverbios tradicionales de la cultura china que transmiten sabiduría popular, valores morales y enseñanzas prácticas transmitidas oralmente durante siglos.</v>
      </c>
      <c r="H1093" s="6" t="str">
        <f>_xlfn.XLOOKUP(frasest[[#This Row],[autor_es]],autorest[autor_es],autorest[bio_la])</f>
        <v>Collectio sententiarum Sinensium, magnopere in cultura tradita.</v>
      </c>
      <c r="I1093" t="str">
        <f>_xlfn.XLOOKUP(frasest[[#This Row],[autor_es]],autorest[autor_es],autorest[codigo])</f>
        <v>zh</v>
      </c>
      <c r="J1093" t="str">
        <f>_xlfn.XLOOKUP(frasest[[#This Row],[autor_es]],autorest[autor_es],autorest[idioma_es])</f>
        <v>Chino</v>
      </c>
      <c r="K1093" s="6" t="str">
        <f>_xlfn.XLOOKUP(frasest[[#This Row],[autor_es]],autorest[autor_es],autorest[idioma_la])</f>
        <v>Lingua Sinica</v>
      </c>
      <c r="L1093" s="6" t="str">
        <f>_xlfn.XLOOKUP(frasest[[#This Row],[autor_es]],autorest[autor_es],autorest[nacion_es])</f>
        <v>China</v>
      </c>
      <c r="M1093" t="str">
        <f>_xlfn.XLOOKUP(frasest[[#This Row],[autor_es]],autorest[autor_es],autorest[nacion_la])</f>
        <v>Sinae</v>
      </c>
      <c r="N1093" t="str">
        <f>_xlfn.XLOOKUP(frasest[[#This Row],[autor_es]],autorest[autor_es],autorest[epoca_es])</f>
        <v>Epoca Desconocida</v>
      </c>
      <c r="O1093" t="str">
        <f>_xlfn.XLOOKUP(frasest[[#This Row],[autor_es]],autorest[autor_es],autorest[epoca_la])</f>
        <v>Epocha Ignota</v>
      </c>
    </row>
    <row r="1094" spans="1:15">
      <c r="A1094">
        <v>1093</v>
      </c>
      <c r="B1094" t="s">
        <v>2985</v>
      </c>
      <c r="C1094" t="s">
        <v>2986</v>
      </c>
      <c r="D1094" s="1" t="s">
        <v>2987</v>
      </c>
      <c r="E1094" t="s">
        <v>33</v>
      </c>
      <c r="F1094" t="str">
        <f>_xlfn.XLOOKUP(frasest[[#This Row],[autor_es]],autorest[autor_es],autorest[autor_la])</f>
        <v>Proverbium Sinense</v>
      </c>
      <c r="G1094" s="6" t="str">
        <f>_xlfn.XLOOKUP(frasest[[#This Row],[autor_es]],autorest[autor_es],autorest[bio_es])</f>
        <v>Conjunto de proverbios tradicionales de la cultura china que transmiten sabiduría popular, valores morales y enseñanzas prácticas transmitidas oralmente durante siglos.</v>
      </c>
      <c r="H1094" s="6" t="str">
        <f>_xlfn.XLOOKUP(frasest[[#This Row],[autor_es]],autorest[autor_es],autorest[bio_la])</f>
        <v>Collectio sententiarum Sinensium, magnopere in cultura tradita.</v>
      </c>
      <c r="I1094" t="str">
        <f>_xlfn.XLOOKUP(frasest[[#This Row],[autor_es]],autorest[autor_es],autorest[codigo])</f>
        <v>zh</v>
      </c>
      <c r="J1094" t="str">
        <f>_xlfn.XLOOKUP(frasest[[#This Row],[autor_es]],autorest[autor_es],autorest[idioma_es])</f>
        <v>Chino</v>
      </c>
      <c r="K1094" s="6" t="str">
        <f>_xlfn.XLOOKUP(frasest[[#This Row],[autor_es]],autorest[autor_es],autorest[idioma_la])</f>
        <v>Lingua Sinica</v>
      </c>
      <c r="L1094" s="6" t="str">
        <f>_xlfn.XLOOKUP(frasest[[#This Row],[autor_es]],autorest[autor_es],autorest[nacion_es])</f>
        <v>China</v>
      </c>
      <c r="M1094" t="str">
        <f>_xlfn.XLOOKUP(frasest[[#This Row],[autor_es]],autorest[autor_es],autorest[nacion_la])</f>
        <v>Sinae</v>
      </c>
      <c r="N1094" t="str">
        <f>_xlfn.XLOOKUP(frasest[[#This Row],[autor_es]],autorest[autor_es],autorest[epoca_es])</f>
        <v>Epoca Desconocida</v>
      </c>
      <c r="O1094" t="str">
        <f>_xlfn.XLOOKUP(frasest[[#This Row],[autor_es]],autorest[autor_es],autorest[epoca_la])</f>
        <v>Epocha Ignota</v>
      </c>
    </row>
    <row r="1095" spans="1:15">
      <c r="A1095">
        <v>1094</v>
      </c>
      <c r="B1095" t="s">
        <v>2988</v>
      </c>
      <c r="C1095" t="s">
        <v>2989</v>
      </c>
      <c r="D1095" s="1" t="s">
        <v>2990</v>
      </c>
      <c r="E1095" t="s">
        <v>33</v>
      </c>
      <c r="F1095" t="str">
        <f>_xlfn.XLOOKUP(frasest[[#This Row],[autor_es]],autorest[autor_es],autorest[autor_la])</f>
        <v>Proverbium Sinense</v>
      </c>
      <c r="G1095" s="6" t="str">
        <f>_xlfn.XLOOKUP(frasest[[#This Row],[autor_es]],autorest[autor_es],autorest[bio_es])</f>
        <v>Conjunto de proverbios tradicionales de la cultura china que transmiten sabiduría popular, valores morales y enseñanzas prácticas transmitidas oralmente durante siglos.</v>
      </c>
      <c r="H1095" s="6" t="str">
        <f>_xlfn.XLOOKUP(frasest[[#This Row],[autor_es]],autorest[autor_es],autorest[bio_la])</f>
        <v>Collectio sententiarum Sinensium, magnopere in cultura tradita.</v>
      </c>
      <c r="I1095" t="str">
        <f>_xlfn.XLOOKUP(frasest[[#This Row],[autor_es]],autorest[autor_es],autorest[codigo])</f>
        <v>zh</v>
      </c>
      <c r="J1095" t="str">
        <f>_xlfn.XLOOKUP(frasest[[#This Row],[autor_es]],autorest[autor_es],autorest[idioma_es])</f>
        <v>Chino</v>
      </c>
      <c r="K1095" s="6" t="str">
        <f>_xlfn.XLOOKUP(frasest[[#This Row],[autor_es]],autorest[autor_es],autorest[idioma_la])</f>
        <v>Lingua Sinica</v>
      </c>
      <c r="L1095" s="6" t="str">
        <f>_xlfn.XLOOKUP(frasest[[#This Row],[autor_es]],autorest[autor_es],autorest[nacion_es])</f>
        <v>China</v>
      </c>
      <c r="M1095" t="str">
        <f>_xlfn.XLOOKUP(frasest[[#This Row],[autor_es]],autorest[autor_es],autorest[nacion_la])</f>
        <v>Sinae</v>
      </c>
      <c r="N1095" t="str">
        <f>_xlfn.XLOOKUP(frasest[[#This Row],[autor_es]],autorest[autor_es],autorest[epoca_es])</f>
        <v>Epoca Desconocida</v>
      </c>
      <c r="O1095" t="str">
        <f>_xlfn.XLOOKUP(frasest[[#This Row],[autor_es]],autorest[autor_es],autorest[epoca_la])</f>
        <v>Epocha Ignota</v>
      </c>
    </row>
    <row r="1096" spans="1:15">
      <c r="A1096">
        <v>1095</v>
      </c>
      <c r="B1096" t="s">
        <v>2991</v>
      </c>
      <c r="C1096" t="s">
        <v>2992</v>
      </c>
      <c r="D1096" s="1" t="s">
        <v>2993</v>
      </c>
      <c r="E1096" t="s">
        <v>33</v>
      </c>
      <c r="F1096" t="str">
        <f>_xlfn.XLOOKUP(frasest[[#This Row],[autor_es]],autorest[autor_es],autorest[autor_la])</f>
        <v>Proverbium Sinense</v>
      </c>
      <c r="G1096" s="6" t="str">
        <f>_xlfn.XLOOKUP(frasest[[#This Row],[autor_es]],autorest[autor_es],autorest[bio_es])</f>
        <v>Conjunto de proverbios tradicionales de la cultura china que transmiten sabiduría popular, valores morales y enseñanzas prácticas transmitidas oralmente durante siglos.</v>
      </c>
      <c r="H1096" s="6" t="str">
        <f>_xlfn.XLOOKUP(frasest[[#This Row],[autor_es]],autorest[autor_es],autorest[bio_la])</f>
        <v>Collectio sententiarum Sinensium, magnopere in cultura tradita.</v>
      </c>
      <c r="I1096" t="str">
        <f>_xlfn.XLOOKUP(frasest[[#This Row],[autor_es]],autorest[autor_es],autorest[codigo])</f>
        <v>zh</v>
      </c>
      <c r="J1096" t="str">
        <f>_xlfn.XLOOKUP(frasest[[#This Row],[autor_es]],autorest[autor_es],autorest[idioma_es])</f>
        <v>Chino</v>
      </c>
      <c r="K1096" s="6" t="str">
        <f>_xlfn.XLOOKUP(frasest[[#This Row],[autor_es]],autorest[autor_es],autorest[idioma_la])</f>
        <v>Lingua Sinica</v>
      </c>
      <c r="L1096" s="6" t="str">
        <f>_xlfn.XLOOKUP(frasest[[#This Row],[autor_es]],autorest[autor_es],autorest[nacion_es])</f>
        <v>China</v>
      </c>
      <c r="M1096" t="str">
        <f>_xlfn.XLOOKUP(frasest[[#This Row],[autor_es]],autorest[autor_es],autorest[nacion_la])</f>
        <v>Sinae</v>
      </c>
      <c r="N1096" t="str">
        <f>_xlfn.XLOOKUP(frasest[[#This Row],[autor_es]],autorest[autor_es],autorest[epoca_es])</f>
        <v>Epoca Desconocida</v>
      </c>
      <c r="O1096" t="str">
        <f>_xlfn.XLOOKUP(frasest[[#This Row],[autor_es]],autorest[autor_es],autorest[epoca_la])</f>
        <v>Epocha Ignota</v>
      </c>
    </row>
    <row r="1097" spans="1:15">
      <c r="A1097">
        <v>1096</v>
      </c>
      <c r="B1097" t="s">
        <v>2994</v>
      </c>
      <c r="C1097" t="s">
        <v>2995</v>
      </c>
      <c r="D1097" s="1" t="s">
        <v>2996</v>
      </c>
      <c r="E1097" t="s">
        <v>33</v>
      </c>
      <c r="F1097" t="str">
        <f>_xlfn.XLOOKUP(frasest[[#This Row],[autor_es]],autorest[autor_es],autorest[autor_la])</f>
        <v>Proverbium Sinense</v>
      </c>
      <c r="G1097" s="6" t="str">
        <f>_xlfn.XLOOKUP(frasest[[#This Row],[autor_es]],autorest[autor_es],autorest[bio_es])</f>
        <v>Conjunto de proverbios tradicionales de la cultura china que transmiten sabiduría popular, valores morales y enseñanzas prácticas transmitidas oralmente durante siglos.</v>
      </c>
      <c r="H1097" s="6" t="str">
        <f>_xlfn.XLOOKUP(frasest[[#This Row],[autor_es]],autorest[autor_es],autorest[bio_la])</f>
        <v>Collectio sententiarum Sinensium, magnopere in cultura tradita.</v>
      </c>
      <c r="I1097" t="str">
        <f>_xlfn.XLOOKUP(frasest[[#This Row],[autor_es]],autorest[autor_es],autorest[codigo])</f>
        <v>zh</v>
      </c>
      <c r="J1097" t="str">
        <f>_xlfn.XLOOKUP(frasest[[#This Row],[autor_es]],autorest[autor_es],autorest[idioma_es])</f>
        <v>Chino</v>
      </c>
      <c r="K1097" s="6" t="str">
        <f>_xlfn.XLOOKUP(frasest[[#This Row],[autor_es]],autorest[autor_es],autorest[idioma_la])</f>
        <v>Lingua Sinica</v>
      </c>
      <c r="L1097" s="6" t="str">
        <f>_xlfn.XLOOKUP(frasest[[#This Row],[autor_es]],autorest[autor_es],autorest[nacion_es])</f>
        <v>China</v>
      </c>
      <c r="M1097" t="str">
        <f>_xlfn.XLOOKUP(frasest[[#This Row],[autor_es]],autorest[autor_es],autorest[nacion_la])</f>
        <v>Sinae</v>
      </c>
      <c r="N1097" t="str">
        <f>_xlfn.XLOOKUP(frasest[[#This Row],[autor_es]],autorest[autor_es],autorest[epoca_es])</f>
        <v>Epoca Desconocida</v>
      </c>
      <c r="O1097" t="str">
        <f>_xlfn.XLOOKUP(frasest[[#This Row],[autor_es]],autorest[autor_es],autorest[epoca_la])</f>
        <v>Epocha Ignota</v>
      </c>
    </row>
    <row r="1098" spans="1:15">
      <c r="A1098">
        <v>1097</v>
      </c>
      <c r="B1098" t="s">
        <v>2997</v>
      </c>
      <c r="C1098" t="s">
        <v>2998</v>
      </c>
      <c r="D1098" s="1" t="s">
        <v>2999</v>
      </c>
      <c r="E1098" t="s">
        <v>33</v>
      </c>
      <c r="F1098" t="str">
        <f>_xlfn.XLOOKUP(frasest[[#This Row],[autor_es]],autorest[autor_es],autorest[autor_la])</f>
        <v>Proverbium Sinense</v>
      </c>
      <c r="G1098" s="6" t="str">
        <f>_xlfn.XLOOKUP(frasest[[#This Row],[autor_es]],autorest[autor_es],autorest[bio_es])</f>
        <v>Conjunto de proverbios tradicionales de la cultura china que transmiten sabiduría popular, valores morales y enseñanzas prácticas transmitidas oralmente durante siglos.</v>
      </c>
      <c r="H1098" s="6" t="str">
        <f>_xlfn.XLOOKUP(frasest[[#This Row],[autor_es]],autorest[autor_es],autorest[bio_la])</f>
        <v>Collectio sententiarum Sinensium, magnopere in cultura tradita.</v>
      </c>
      <c r="I1098" t="str">
        <f>_xlfn.XLOOKUP(frasest[[#This Row],[autor_es]],autorest[autor_es],autorest[codigo])</f>
        <v>zh</v>
      </c>
      <c r="J1098" t="str">
        <f>_xlfn.XLOOKUP(frasest[[#This Row],[autor_es]],autorest[autor_es],autorest[idioma_es])</f>
        <v>Chino</v>
      </c>
      <c r="K1098" s="6" t="str">
        <f>_xlfn.XLOOKUP(frasest[[#This Row],[autor_es]],autorest[autor_es],autorest[idioma_la])</f>
        <v>Lingua Sinica</v>
      </c>
      <c r="L1098" s="6" t="str">
        <f>_xlfn.XLOOKUP(frasest[[#This Row],[autor_es]],autorest[autor_es],autorest[nacion_es])</f>
        <v>China</v>
      </c>
      <c r="M1098" t="str">
        <f>_xlfn.XLOOKUP(frasest[[#This Row],[autor_es]],autorest[autor_es],autorest[nacion_la])</f>
        <v>Sinae</v>
      </c>
      <c r="N1098" t="str">
        <f>_xlfn.XLOOKUP(frasest[[#This Row],[autor_es]],autorest[autor_es],autorest[epoca_es])</f>
        <v>Epoca Desconocida</v>
      </c>
      <c r="O1098" t="str">
        <f>_xlfn.XLOOKUP(frasest[[#This Row],[autor_es]],autorest[autor_es],autorest[epoca_la])</f>
        <v>Epocha Ignota</v>
      </c>
    </row>
    <row r="1099" spans="1:15">
      <c r="A1099">
        <v>1098</v>
      </c>
      <c r="B1099" t="s">
        <v>3000</v>
      </c>
      <c r="C1099" t="s">
        <v>3001</v>
      </c>
      <c r="D1099" s="1" t="s">
        <v>3002</v>
      </c>
      <c r="E1099" t="s">
        <v>33</v>
      </c>
      <c r="F1099" t="str">
        <f>_xlfn.XLOOKUP(frasest[[#This Row],[autor_es]],autorest[autor_es],autorest[autor_la])</f>
        <v>Proverbium Sinense</v>
      </c>
      <c r="G1099" s="6" t="str">
        <f>_xlfn.XLOOKUP(frasest[[#This Row],[autor_es]],autorest[autor_es],autorest[bio_es])</f>
        <v>Conjunto de proverbios tradicionales de la cultura china que transmiten sabiduría popular, valores morales y enseñanzas prácticas transmitidas oralmente durante siglos.</v>
      </c>
      <c r="H1099" s="6" t="str">
        <f>_xlfn.XLOOKUP(frasest[[#This Row],[autor_es]],autorest[autor_es],autorest[bio_la])</f>
        <v>Collectio sententiarum Sinensium, magnopere in cultura tradita.</v>
      </c>
      <c r="I1099" t="str">
        <f>_xlfn.XLOOKUP(frasest[[#This Row],[autor_es]],autorest[autor_es],autorest[codigo])</f>
        <v>zh</v>
      </c>
      <c r="J1099" t="str">
        <f>_xlfn.XLOOKUP(frasest[[#This Row],[autor_es]],autorest[autor_es],autorest[idioma_es])</f>
        <v>Chino</v>
      </c>
      <c r="K1099" s="6" t="str">
        <f>_xlfn.XLOOKUP(frasest[[#This Row],[autor_es]],autorest[autor_es],autorest[idioma_la])</f>
        <v>Lingua Sinica</v>
      </c>
      <c r="L1099" s="6" t="str">
        <f>_xlfn.XLOOKUP(frasest[[#This Row],[autor_es]],autorest[autor_es],autorest[nacion_es])</f>
        <v>China</v>
      </c>
      <c r="M1099" t="str">
        <f>_xlfn.XLOOKUP(frasest[[#This Row],[autor_es]],autorest[autor_es],autorest[nacion_la])</f>
        <v>Sinae</v>
      </c>
      <c r="N1099" t="str">
        <f>_xlfn.XLOOKUP(frasest[[#This Row],[autor_es]],autorest[autor_es],autorest[epoca_es])</f>
        <v>Epoca Desconocida</v>
      </c>
      <c r="O1099" t="str">
        <f>_xlfn.XLOOKUP(frasest[[#This Row],[autor_es]],autorest[autor_es],autorest[epoca_la])</f>
        <v>Epocha Ignota</v>
      </c>
    </row>
    <row r="1100" spans="1:15">
      <c r="A1100">
        <v>1099</v>
      </c>
      <c r="B1100" t="s">
        <v>3003</v>
      </c>
      <c r="C1100" t="s">
        <v>3004</v>
      </c>
      <c r="D1100" s="1" t="s">
        <v>3005</v>
      </c>
      <c r="E1100" t="s">
        <v>33</v>
      </c>
      <c r="F1100" t="str">
        <f>_xlfn.XLOOKUP(frasest[[#This Row],[autor_es]],autorest[autor_es],autorest[autor_la])</f>
        <v>Proverbium Sinense</v>
      </c>
      <c r="G1100" s="6" t="str">
        <f>_xlfn.XLOOKUP(frasest[[#This Row],[autor_es]],autorest[autor_es],autorest[bio_es])</f>
        <v>Conjunto de proverbios tradicionales de la cultura china que transmiten sabiduría popular, valores morales y enseñanzas prácticas transmitidas oralmente durante siglos.</v>
      </c>
      <c r="H1100" s="6" t="str">
        <f>_xlfn.XLOOKUP(frasest[[#This Row],[autor_es]],autorest[autor_es],autorest[bio_la])</f>
        <v>Collectio sententiarum Sinensium, magnopere in cultura tradita.</v>
      </c>
      <c r="I1100" t="str">
        <f>_xlfn.XLOOKUP(frasest[[#This Row],[autor_es]],autorest[autor_es],autorest[codigo])</f>
        <v>zh</v>
      </c>
      <c r="J1100" t="str">
        <f>_xlfn.XLOOKUP(frasest[[#This Row],[autor_es]],autorest[autor_es],autorest[idioma_es])</f>
        <v>Chino</v>
      </c>
      <c r="K1100" s="6" t="str">
        <f>_xlfn.XLOOKUP(frasest[[#This Row],[autor_es]],autorest[autor_es],autorest[idioma_la])</f>
        <v>Lingua Sinica</v>
      </c>
      <c r="L1100" s="6" t="str">
        <f>_xlfn.XLOOKUP(frasest[[#This Row],[autor_es]],autorest[autor_es],autorest[nacion_es])</f>
        <v>China</v>
      </c>
      <c r="M1100" t="str">
        <f>_xlfn.XLOOKUP(frasest[[#This Row],[autor_es]],autorest[autor_es],autorest[nacion_la])</f>
        <v>Sinae</v>
      </c>
      <c r="N1100" t="str">
        <f>_xlfn.XLOOKUP(frasest[[#This Row],[autor_es]],autorest[autor_es],autorest[epoca_es])</f>
        <v>Epoca Desconocida</v>
      </c>
      <c r="O1100" t="str">
        <f>_xlfn.XLOOKUP(frasest[[#This Row],[autor_es]],autorest[autor_es],autorest[epoca_la])</f>
        <v>Epocha Ignota</v>
      </c>
    </row>
    <row r="1101" spans="1:15">
      <c r="A1101">
        <v>1100</v>
      </c>
      <c r="B1101" t="s">
        <v>3006</v>
      </c>
      <c r="C1101" t="s">
        <v>3007</v>
      </c>
      <c r="D1101" s="1" t="s">
        <v>3008</v>
      </c>
      <c r="E1101" t="s">
        <v>33</v>
      </c>
      <c r="F1101" t="str">
        <f>_xlfn.XLOOKUP(frasest[[#This Row],[autor_es]],autorest[autor_es],autorest[autor_la])</f>
        <v>Proverbium Sinense</v>
      </c>
      <c r="G1101" s="6" t="str">
        <f>_xlfn.XLOOKUP(frasest[[#This Row],[autor_es]],autorest[autor_es],autorest[bio_es])</f>
        <v>Conjunto de proverbios tradicionales de la cultura china que transmiten sabiduría popular, valores morales y enseñanzas prácticas transmitidas oralmente durante siglos.</v>
      </c>
      <c r="H1101" s="6" t="str">
        <f>_xlfn.XLOOKUP(frasest[[#This Row],[autor_es]],autorest[autor_es],autorest[bio_la])</f>
        <v>Collectio sententiarum Sinensium, magnopere in cultura tradita.</v>
      </c>
      <c r="I1101" t="str">
        <f>_xlfn.XLOOKUP(frasest[[#This Row],[autor_es]],autorest[autor_es],autorest[codigo])</f>
        <v>zh</v>
      </c>
      <c r="J1101" t="str">
        <f>_xlfn.XLOOKUP(frasest[[#This Row],[autor_es]],autorest[autor_es],autorest[idioma_es])</f>
        <v>Chino</v>
      </c>
      <c r="K1101" s="6" t="str">
        <f>_xlfn.XLOOKUP(frasest[[#This Row],[autor_es]],autorest[autor_es],autorest[idioma_la])</f>
        <v>Lingua Sinica</v>
      </c>
      <c r="L1101" s="6" t="str">
        <f>_xlfn.XLOOKUP(frasest[[#This Row],[autor_es]],autorest[autor_es],autorest[nacion_es])</f>
        <v>China</v>
      </c>
      <c r="M1101" t="str">
        <f>_xlfn.XLOOKUP(frasest[[#This Row],[autor_es]],autorest[autor_es],autorest[nacion_la])</f>
        <v>Sinae</v>
      </c>
      <c r="N1101" t="str">
        <f>_xlfn.XLOOKUP(frasest[[#This Row],[autor_es]],autorest[autor_es],autorest[epoca_es])</f>
        <v>Epoca Desconocida</v>
      </c>
      <c r="O1101" t="str">
        <f>_xlfn.XLOOKUP(frasest[[#This Row],[autor_es]],autorest[autor_es],autorest[epoca_la])</f>
        <v>Epocha Ignota</v>
      </c>
    </row>
    <row r="1102" spans="1:15">
      <c r="A1102">
        <v>1101</v>
      </c>
      <c r="B1102" t="s">
        <v>3009</v>
      </c>
      <c r="C1102" t="s">
        <v>3010</v>
      </c>
      <c r="D1102" s="1" t="s">
        <v>3011</v>
      </c>
      <c r="E1102" t="s">
        <v>33</v>
      </c>
      <c r="F1102" t="str">
        <f>_xlfn.XLOOKUP(frasest[[#This Row],[autor_es]],autorest[autor_es],autorest[autor_la])</f>
        <v>Proverbium Sinense</v>
      </c>
      <c r="G1102" s="6" t="str">
        <f>_xlfn.XLOOKUP(frasest[[#This Row],[autor_es]],autorest[autor_es],autorest[bio_es])</f>
        <v>Conjunto de proverbios tradicionales de la cultura china que transmiten sabiduría popular, valores morales y enseñanzas prácticas transmitidas oralmente durante siglos.</v>
      </c>
      <c r="H1102" s="6" t="str">
        <f>_xlfn.XLOOKUP(frasest[[#This Row],[autor_es]],autorest[autor_es],autorest[bio_la])</f>
        <v>Collectio sententiarum Sinensium, magnopere in cultura tradita.</v>
      </c>
      <c r="I1102" t="str">
        <f>_xlfn.XLOOKUP(frasest[[#This Row],[autor_es]],autorest[autor_es],autorest[codigo])</f>
        <v>zh</v>
      </c>
      <c r="J1102" t="str">
        <f>_xlfn.XLOOKUP(frasest[[#This Row],[autor_es]],autorest[autor_es],autorest[idioma_es])</f>
        <v>Chino</v>
      </c>
      <c r="K1102" s="6" t="str">
        <f>_xlfn.XLOOKUP(frasest[[#This Row],[autor_es]],autorest[autor_es],autorest[idioma_la])</f>
        <v>Lingua Sinica</v>
      </c>
      <c r="L1102" s="6" t="str">
        <f>_xlfn.XLOOKUP(frasest[[#This Row],[autor_es]],autorest[autor_es],autorest[nacion_es])</f>
        <v>China</v>
      </c>
      <c r="M1102" t="str">
        <f>_xlfn.XLOOKUP(frasest[[#This Row],[autor_es]],autorest[autor_es],autorest[nacion_la])</f>
        <v>Sinae</v>
      </c>
      <c r="N1102" t="str">
        <f>_xlfn.XLOOKUP(frasest[[#This Row],[autor_es]],autorest[autor_es],autorest[epoca_es])</f>
        <v>Epoca Desconocida</v>
      </c>
      <c r="O1102" t="str">
        <f>_xlfn.XLOOKUP(frasest[[#This Row],[autor_es]],autorest[autor_es],autorest[epoca_la])</f>
        <v>Epocha Ignota</v>
      </c>
    </row>
    <row r="1103" spans="1:15">
      <c r="A1103">
        <v>1102</v>
      </c>
      <c r="B1103" t="s">
        <v>3012</v>
      </c>
      <c r="C1103" t="s">
        <v>3013</v>
      </c>
      <c r="D1103" s="1" t="s">
        <v>3014</v>
      </c>
      <c r="E1103" t="s">
        <v>33</v>
      </c>
      <c r="F1103" t="str">
        <f>_xlfn.XLOOKUP(frasest[[#This Row],[autor_es]],autorest[autor_es],autorest[autor_la])</f>
        <v>Proverbium Sinense</v>
      </c>
      <c r="G1103" s="6" t="str">
        <f>_xlfn.XLOOKUP(frasest[[#This Row],[autor_es]],autorest[autor_es],autorest[bio_es])</f>
        <v>Conjunto de proverbios tradicionales de la cultura china que transmiten sabiduría popular, valores morales y enseñanzas prácticas transmitidas oralmente durante siglos.</v>
      </c>
      <c r="H1103" s="6" t="str">
        <f>_xlfn.XLOOKUP(frasest[[#This Row],[autor_es]],autorest[autor_es],autorest[bio_la])</f>
        <v>Collectio sententiarum Sinensium, magnopere in cultura tradita.</v>
      </c>
      <c r="I1103" t="str">
        <f>_xlfn.XLOOKUP(frasest[[#This Row],[autor_es]],autorest[autor_es],autorest[codigo])</f>
        <v>zh</v>
      </c>
      <c r="J1103" t="str">
        <f>_xlfn.XLOOKUP(frasest[[#This Row],[autor_es]],autorest[autor_es],autorest[idioma_es])</f>
        <v>Chino</v>
      </c>
      <c r="K1103" s="6" t="str">
        <f>_xlfn.XLOOKUP(frasest[[#This Row],[autor_es]],autorest[autor_es],autorest[idioma_la])</f>
        <v>Lingua Sinica</v>
      </c>
      <c r="L1103" s="6" t="str">
        <f>_xlfn.XLOOKUP(frasest[[#This Row],[autor_es]],autorest[autor_es],autorest[nacion_es])</f>
        <v>China</v>
      </c>
      <c r="M1103" t="str">
        <f>_xlfn.XLOOKUP(frasest[[#This Row],[autor_es]],autorest[autor_es],autorest[nacion_la])</f>
        <v>Sinae</v>
      </c>
      <c r="N1103" t="str">
        <f>_xlfn.XLOOKUP(frasest[[#This Row],[autor_es]],autorest[autor_es],autorest[epoca_es])</f>
        <v>Epoca Desconocida</v>
      </c>
      <c r="O1103" t="str">
        <f>_xlfn.XLOOKUP(frasest[[#This Row],[autor_es]],autorest[autor_es],autorest[epoca_la])</f>
        <v>Epocha Ignota</v>
      </c>
    </row>
    <row r="1104" spans="1:15">
      <c r="A1104">
        <v>1103</v>
      </c>
      <c r="B1104" t="s">
        <v>3015</v>
      </c>
      <c r="C1104" t="s">
        <v>3016</v>
      </c>
      <c r="D1104" s="1" t="s">
        <v>3017</v>
      </c>
      <c r="E1104" t="s">
        <v>33</v>
      </c>
      <c r="F1104" t="str">
        <f>_xlfn.XLOOKUP(frasest[[#This Row],[autor_es]],autorest[autor_es],autorest[autor_la])</f>
        <v>Proverbium Sinense</v>
      </c>
      <c r="G1104" s="6" t="str">
        <f>_xlfn.XLOOKUP(frasest[[#This Row],[autor_es]],autorest[autor_es],autorest[bio_es])</f>
        <v>Conjunto de proverbios tradicionales de la cultura china que transmiten sabiduría popular, valores morales y enseñanzas prácticas transmitidas oralmente durante siglos.</v>
      </c>
      <c r="H1104" s="6" t="str">
        <f>_xlfn.XLOOKUP(frasest[[#This Row],[autor_es]],autorest[autor_es],autorest[bio_la])</f>
        <v>Collectio sententiarum Sinensium, magnopere in cultura tradita.</v>
      </c>
      <c r="I1104" t="str">
        <f>_xlfn.XLOOKUP(frasest[[#This Row],[autor_es]],autorest[autor_es],autorest[codigo])</f>
        <v>zh</v>
      </c>
      <c r="J1104" t="str">
        <f>_xlfn.XLOOKUP(frasest[[#This Row],[autor_es]],autorest[autor_es],autorest[idioma_es])</f>
        <v>Chino</v>
      </c>
      <c r="K1104" s="6" t="str">
        <f>_xlfn.XLOOKUP(frasest[[#This Row],[autor_es]],autorest[autor_es],autorest[idioma_la])</f>
        <v>Lingua Sinica</v>
      </c>
      <c r="L1104" s="6" t="str">
        <f>_xlfn.XLOOKUP(frasest[[#This Row],[autor_es]],autorest[autor_es],autorest[nacion_es])</f>
        <v>China</v>
      </c>
      <c r="M1104" t="str">
        <f>_xlfn.XLOOKUP(frasest[[#This Row],[autor_es]],autorest[autor_es],autorest[nacion_la])</f>
        <v>Sinae</v>
      </c>
      <c r="N1104" t="str">
        <f>_xlfn.XLOOKUP(frasest[[#This Row],[autor_es]],autorest[autor_es],autorest[epoca_es])</f>
        <v>Epoca Desconocida</v>
      </c>
      <c r="O1104" t="str">
        <f>_xlfn.XLOOKUP(frasest[[#This Row],[autor_es]],autorest[autor_es],autorest[epoca_la])</f>
        <v>Epocha Ignota</v>
      </c>
    </row>
    <row r="1105" spans="1:15">
      <c r="A1105">
        <v>1104</v>
      </c>
      <c r="B1105" t="s">
        <v>3018</v>
      </c>
      <c r="C1105" t="s">
        <v>3019</v>
      </c>
      <c r="D1105" s="1" t="s">
        <v>3020</v>
      </c>
      <c r="E1105" t="s">
        <v>33</v>
      </c>
      <c r="F1105" t="str">
        <f>_xlfn.XLOOKUP(frasest[[#This Row],[autor_es]],autorest[autor_es],autorest[autor_la])</f>
        <v>Proverbium Sinense</v>
      </c>
      <c r="G1105" s="6" t="str">
        <f>_xlfn.XLOOKUP(frasest[[#This Row],[autor_es]],autorest[autor_es],autorest[bio_es])</f>
        <v>Conjunto de proverbios tradicionales de la cultura china que transmiten sabiduría popular, valores morales y enseñanzas prácticas transmitidas oralmente durante siglos.</v>
      </c>
      <c r="H1105" s="6" t="str">
        <f>_xlfn.XLOOKUP(frasest[[#This Row],[autor_es]],autorest[autor_es],autorest[bio_la])</f>
        <v>Collectio sententiarum Sinensium, magnopere in cultura tradita.</v>
      </c>
      <c r="I1105" t="str">
        <f>_xlfn.XLOOKUP(frasest[[#This Row],[autor_es]],autorest[autor_es],autorest[codigo])</f>
        <v>zh</v>
      </c>
      <c r="J1105" t="str">
        <f>_xlfn.XLOOKUP(frasest[[#This Row],[autor_es]],autorest[autor_es],autorest[idioma_es])</f>
        <v>Chino</v>
      </c>
      <c r="K1105" s="6" t="str">
        <f>_xlfn.XLOOKUP(frasest[[#This Row],[autor_es]],autorest[autor_es],autorest[idioma_la])</f>
        <v>Lingua Sinica</v>
      </c>
      <c r="L1105" s="6" t="str">
        <f>_xlfn.XLOOKUP(frasest[[#This Row],[autor_es]],autorest[autor_es],autorest[nacion_es])</f>
        <v>China</v>
      </c>
      <c r="M1105" t="str">
        <f>_xlfn.XLOOKUP(frasest[[#This Row],[autor_es]],autorest[autor_es],autorest[nacion_la])</f>
        <v>Sinae</v>
      </c>
      <c r="N1105" t="str">
        <f>_xlfn.XLOOKUP(frasest[[#This Row],[autor_es]],autorest[autor_es],autorest[epoca_es])</f>
        <v>Epoca Desconocida</v>
      </c>
      <c r="O1105" t="str">
        <f>_xlfn.XLOOKUP(frasest[[#This Row],[autor_es]],autorest[autor_es],autorest[epoca_la])</f>
        <v>Epocha Ignota</v>
      </c>
    </row>
    <row r="1106" spans="1:15">
      <c r="A1106">
        <v>1105</v>
      </c>
      <c r="B1106" t="s">
        <v>3021</v>
      </c>
      <c r="C1106" t="s">
        <v>3022</v>
      </c>
      <c r="D1106" s="1" t="s">
        <v>3023</v>
      </c>
      <c r="E1106" t="s">
        <v>33</v>
      </c>
      <c r="F1106" t="str">
        <f>_xlfn.XLOOKUP(frasest[[#This Row],[autor_es]],autorest[autor_es],autorest[autor_la])</f>
        <v>Proverbium Sinense</v>
      </c>
      <c r="G1106" s="6" t="str">
        <f>_xlfn.XLOOKUP(frasest[[#This Row],[autor_es]],autorest[autor_es],autorest[bio_es])</f>
        <v>Conjunto de proverbios tradicionales de la cultura china que transmiten sabiduría popular, valores morales y enseñanzas prácticas transmitidas oralmente durante siglos.</v>
      </c>
      <c r="H1106" s="6" t="str">
        <f>_xlfn.XLOOKUP(frasest[[#This Row],[autor_es]],autorest[autor_es],autorest[bio_la])</f>
        <v>Collectio sententiarum Sinensium, magnopere in cultura tradita.</v>
      </c>
      <c r="I1106" t="str">
        <f>_xlfn.XLOOKUP(frasest[[#This Row],[autor_es]],autorest[autor_es],autorest[codigo])</f>
        <v>zh</v>
      </c>
      <c r="J1106" t="str">
        <f>_xlfn.XLOOKUP(frasest[[#This Row],[autor_es]],autorest[autor_es],autorest[idioma_es])</f>
        <v>Chino</v>
      </c>
      <c r="K1106" s="6" t="str">
        <f>_xlfn.XLOOKUP(frasest[[#This Row],[autor_es]],autorest[autor_es],autorest[idioma_la])</f>
        <v>Lingua Sinica</v>
      </c>
      <c r="L1106" s="6" t="str">
        <f>_xlfn.XLOOKUP(frasest[[#This Row],[autor_es]],autorest[autor_es],autorest[nacion_es])</f>
        <v>China</v>
      </c>
      <c r="M1106" t="str">
        <f>_xlfn.XLOOKUP(frasest[[#This Row],[autor_es]],autorest[autor_es],autorest[nacion_la])</f>
        <v>Sinae</v>
      </c>
      <c r="N1106" t="str">
        <f>_xlfn.XLOOKUP(frasest[[#This Row],[autor_es]],autorest[autor_es],autorest[epoca_es])</f>
        <v>Epoca Desconocida</v>
      </c>
      <c r="O1106" t="str">
        <f>_xlfn.XLOOKUP(frasest[[#This Row],[autor_es]],autorest[autor_es],autorest[epoca_la])</f>
        <v>Epocha Ignota</v>
      </c>
    </row>
    <row r="1107" spans="1:15">
      <c r="A1107">
        <v>1106</v>
      </c>
      <c r="B1107" t="s">
        <v>3024</v>
      </c>
      <c r="C1107" t="s">
        <v>3025</v>
      </c>
      <c r="D1107" s="1" t="s">
        <v>3026</v>
      </c>
      <c r="E1107" t="s">
        <v>33</v>
      </c>
      <c r="F1107" t="str">
        <f>_xlfn.XLOOKUP(frasest[[#This Row],[autor_es]],autorest[autor_es],autorest[autor_la])</f>
        <v>Proverbium Sinense</v>
      </c>
      <c r="G1107" s="6" t="str">
        <f>_xlfn.XLOOKUP(frasest[[#This Row],[autor_es]],autorest[autor_es],autorest[bio_es])</f>
        <v>Conjunto de proverbios tradicionales de la cultura china que transmiten sabiduría popular, valores morales y enseñanzas prácticas transmitidas oralmente durante siglos.</v>
      </c>
      <c r="H1107" s="6" t="str">
        <f>_xlfn.XLOOKUP(frasest[[#This Row],[autor_es]],autorest[autor_es],autorest[bio_la])</f>
        <v>Collectio sententiarum Sinensium, magnopere in cultura tradita.</v>
      </c>
      <c r="I1107" t="str">
        <f>_xlfn.XLOOKUP(frasest[[#This Row],[autor_es]],autorest[autor_es],autorest[codigo])</f>
        <v>zh</v>
      </c>
      <c r="J1107" t="str">
        <f>_xlfn.XLOOKUP(frasest[[#This Row],[autor_es]],autorest[autor_es],autorest[idioma_es])</f>
        <v>Chino</v>
      </c>
      <c r="K1107" s="6" t="str">
        <f>_xlfn.XLOOKUP(frasest[[#This Row],[autor_es]],autorest[autor_es],autorest[idioma_la])</f>
        <v>Lingua Sinica</v>
      </c>
      <c r="L1107" s="6" t="str">
        <f>_xlfn.XLOOKUP(frasest[[#This Row],[autor_es]],autorest[autor_es],autorest[nacion_es])</f>
        <v>China</v>
      </c>
      <c r="M1107" t="str">
        <f>_xlfn.XLOOKUP(frasest[[#This Row],[autor_es]],autorest[autor_es],autorest[nacion_la])</f>
        <v>Sinae</v>
      </c>
      <c r="N1107" t="str">
        <f>_xlfn.XLOOKUP(frasest[[#This Row],[autor_es]],autorest[autor_es],autorest[epoca_es])</f>
        <v>Epoca Desconocida</v>
      </c>
      <c r="O1107" t="str">
        <f>_xlfn.XLOOKUP(frasest[[#This Row],[autor_es]],autorest[autor_es],autorest[epoca_la])</f>
        <v>Epocha Ignota</v>
      </c>
    </row>
    <row r="1108" spans="1:15">
      <c r="A1108">
        <v>1107</v>
      </c>
      <c r="B1108" t="s">
        <v>3027</v>
      </c>
      <c r="C1108" t="s">
        <v>3028</v>
      </c>
      <c r="D1108" s="1" t="s">
        <v>3029</v>
      </c>
      <c r="E1108" t="s">
        <v>33</v>
      </c>
      <c r="F1108" t="str">
        <f>_xlfn.XLOOKUP(frasest[[#This Row],[autor_es]],autorest[autor_es],autorest[autor_la])</f>
        <v>Proverbium Sinense</v>
      </c>
      <c r="G1108" s="6" t="str">
        <f>_xlfn.XLOOKUP(frasest[[#This Row],[autor_es]],autorest[autor_es],autorest[bio_es])</f>
        <v>Conjunto de proverbios tradicionales de la cultura china que transmiten sabiduría popular, valores morales y enseñanzas prácticas transmitidas oralmente durante siglos.</v>
      </c>
      <c r="H1108" s="6" t="str">
        <f>_xlfn.XLOOKUP(frasest[[#This Row],[autor_es]],autorest[autor_es],autorest[bio_la])</f>
        <v>Collectio sententiarum Sinensium, magnopere in cultura tradita.</v>
      </c>
      <c r="I1108" t="str">
        <f>_xlfn.XLOOKUP(frasest[[#This Row],[autor_es]],autorest[autor_es],autorest[codigo])</f>
        <v>zh</v>
      </c>
      <c r="J1108" t="str">
        <f>_xlfn.XLOOKUP(frasest[[#This Row],[autor_es]],autorest[autor_es],autorest[idioma_es])</f>
        <v>Chino</v>
      </c>
      <c r="K1108" s="6" t="str">
        <f>_xlfn.XLOOKUP(frasest[[#This Row],[autor_es]],autorest[autor_es],autorest[idioma_la])</f>
        <v>Lingua Sinica</v>
      </c>
      <c r="L1108" s="6" t="str">
        <f>_xlfn.XLOOKUP(frasest[[#This Row],[autor_es]],autorest[autor_es],autorest[nacion_es])</f>
        <v>China</v>
      </c>
      <c r="M1108" t="str">
        <f>_xlfn.XLOOKUP(frasest[[#This Row],[autor_es]],autorest[autor_es],autorest[nacion_la])</f>
        <v>Sinae</v>
      </c>
      <c r="N1108" t="str">
        <f>_xlfn.XLOOKUP(frasest[[#This Row],[autor_es]],autorest[autor_es],autorest[epoca_es])</f>
        <v>Epoca Desconocida</v>
      </c>
      <c r="O1108" t="str">
        <f>_xlfn.XLOOKUP(frasest[[#This Row],[autor_es]],autorest[autor_es],autorest[epoca_la])</f>
        <v>Epocha Ignota</v>
      </c>
    </row>
    <row r="1109" spans="1:15">
      <c r="A1109">
        <v>1108</v>
      </c>
      <c r="B1109" t="s">
        <v>3030</v>
      </c>
      <c r="C1109" t="s">
        <v>3031</v>
      </c>
      <c r="D1109" s="1" t="s">
        <v>3032</v>
      </c>
      <c r="E1109" t="s">
        <v>33</v>
      </c>
      <c r="F1109" t="str">
        <f>_xlfn.XLOOKUP(frasest[[#This Row],[autor_es]],autorest[autor_es],autorest[autor_la])</f>
        <v>Proverbium Sinense</v>
      </c>
      <c r="G1109" s="6" t="str">
        <f>_xlfn.XLOOKUP(frasest[[#This Row],[autor_es]],autorest[autor_es],autorest[bio_es])</f>
        <v>Conjunto de proverbios tradicionales de la cultura china que transmiten sabiduría popular, valores morales y enseñanzas prácticas transmitidas oralmente durante siglos.</v>
      </c>
      <c r="H1109" s="6" t="str">
        <f>_xlfn.XLOOKUP(frasest[[#This Row],[autor_es]],autorest[autor_es],autorest[bio_la])</f>
        <v>Collectio sententiarum Sinensium, magnopere in cultura tradita.</v>
      </c>
      <c r="I1109" t="str">
        <f>_xlfn.XLOOKUP(frasest[[#This Row],[autor_es]],autorest[autor_es],autorest[codigo])</f>
        <v>zh</v>
      </c>
      <c r="J1109" t="str">
        <f>_xlfn.XLOOKUP(frasest[[#This Row],[autor_es]],autorest[autor_es],autorest[idioma_es])</f>
        <v>Chino</v>
      </c>
      <c r="K1109" s="6" t="str">
        <f>_xlfn.XLOOKUP(frasest[[#This Row],[autor_es]],autorest[autor_es],autorest[idioma_la])</f>
        <v>Lingua Sinica</v>
      </c>
      <c r="L1109" s="6" t="str">
        <f>_xlfn.XLOOKUP(frasest[[#This Row],[autor_es]],autorest[autor_es],autorest[nacion_es])</f>
        <v>China</v>
      </c>
      <c r="M1109" t="str">
        <f>_xlfn.XLOOKUP(frasest[[#This Row],[autor_es]],autorest[autor_es],autorest[nacion_la])</f>
        <v>Sinae</v>
      </c>
      <c r="N1109" t="str">
        <f>_xlfn.XLOOKUP(frasest[[#This Row],[autor_es]],autorest[autor_es],autorest[epoca_es])</f>
        <v>Epoca Desconocida</v>
      </c>
      <c r="O1109" t="str">
        <f>_xlfn.XLOOKUP(frasest[[#This Row],[autor_es]],autorest[autor_es],autorest[epoca_la])</f>
        <v>Epocha Ignota</v>
      </c>
    </row>
    <row r="1110" spans="1:15">
      <c r="A1110">
        <v>1109</v>
      </c>
      <c r="B1110" t="s">
        <v>3033</v>
      </c>
      <c r="C1110" t="s">
        <v>3034</v>
      </c>
      <c r="D1110" s="1" t="s">
        <v>3035</v>
      </c>
      <c r="E1110" t="s">
        <v>33</v>
      </c>
      <c r="F1110" t="str">
        <f>_xlfn.XLOOKUP(frasest[[#This Row],[autor_es]],autorest[autor_es],autorest[autor_la])</f>
        <v>Proverbium Sinense</v>
      </c>
      <c r="G1110" s="6" t="str">
        <f>_xlfn.XLOOKUP(frasest[[#This Row],[autor_es]],autorest[autor_es],autorest[bio_es])</f>
        <v>Conjunto de proverbios tradicionales de la cultura china que transmiten sabiduría popular, valores morales y enseñanzas prácticas transmitidas oralmente durante siglos.</v>
      </c>
      <c r="H1110" s="6" t="str">
        <f>_xlfn.XLOOKUP(frasest[[#This Row],[autor_es]],autorest[autor_es],autorest[bio_la])</f>
        <v>Collectio sententiarum Sinensium, magnopere in cultura tradita.</v>
      </c>
      <c r="I1110" t="str">
        <f>_xlfn.XLOOKUP(frasest[[#This Row],[autor_es]],autorest[autor_es],autorest[codigo])</f>
        <v>zh</v>
      </c>
      <c r="J1110" t="str">
        <f>_xlfn.XLOOKUP(frasest[[#This Row],[autor_es]],autorest[autor_es],autorest[idioma_es])</f>
        <v>Chino</v>
      </c>
      <c r="K1110" s="6" t="str">
        <f>_xlfn.XLOOKUP(frasest[[#This Row],[autor_es]],autorest[autor_es],autorest[idioma_la])</f>
        <v>Lingua Sinica</v>
      </c>
      <c r="L1110" s="6" t="str">
        <f>_xlfn.XLOOKUP(frasest[[#This Row],[autor_es]],autorest[autor_es],autorest[nacion_es])</f>
        <v>China</v>
      </c>
      <c r="M1110" t="str">
        <f>_xlfn.XLOOKUP(frasest[[#This Row],[autor_es]],autorest[autor_es],autorest[nacion_la])</f>
        <v>Sinae</v>
      </c>
      <c r="N1110" t="str">
        <f>_xlfn.XLOOKUP(frasest[[#This Row],[autor_es]],autorest[autor_es],autorest[epoca_es])</f>
        <v>Epoca Desconocida</v>
      </c>
      <c r="O1110" t="str">
        <f>_xlfn.XLOOKUP(frasest[[#This Row],[autor_es]],autorest[autor_es],autorest[epoca_la])</f>
        <v>Epocha Ignota</v>
      </c>
    </row>
    <row r="1111" spans="1:15">
      <c r="A1111">
        <v>1110</v>
      </c>
      <c r="B1111" t="s">
        <v>3036</v>
      </c>
      <c r="C1111" t="s">
        <v>3037</v>
      </c>
      <c r="D1111" s="1" t="s">
        <v>3038</v>
      </c>
      <c r="E1111" t="s">
        <v>33</v>
      </c>
      <c r="F1111" t="str">
        <f>_xlfn.XLOOKUP(frasest[[#This Row],[autor_es]],autorest[autor_es],autorest[autor_la])</f>
        <v>Proverbium Sinense</v>
      </c>
      <c r="G1111" s="6" t="str">
        <f>_xlfn.XLOOKUP(frasest[[#This Row],[autor_es]],autorest[autor_es],autorest[bio_es])</f>
        <v>Conjunto de proverbios tradicionales de la cultura china que transmiten sabiduría popular, valores morales y enseñanzas prácticas transmitidas oralmente durante siglos.</v>
      </c>
      <c r="H1111" s="6" t="str">
        <f>_xlfn.XLOOKUP(frasest[[#This Row],[autor_es]],autorest[autor_es],autorest[bio_la])</f>
        <v>Collectio sententiarum Sinensium, magnopere in cultura tradita.</v>
      </c>
      <c r="I1111" t="str">
        <f>_xlfn.XLOOKUP(frasest[[#This Row],[autor_es]],autorest[autor_es],autorest[codigo])</f>
        <v>zh</v>
      </c>
      <c r="J1111" t="str">
        <f>_xlfn.XLOOKUP(frasest[[#This Row],[autor_es]],autorest[autor_es],autorest[idioma_es])</f>
        <v>Chino</v>
      </c>
      <c r="K1111" s="6" t="str">
        <f>_xlfn.XLOOKUP(frasest[[#This Row],[autor_es]],autorest[autor_es],autorest[idioma_la])</f>
        <v>Lingua Sinica</v>
      </c>
      <c r="L1111" s="6" t="str">
        <f>_xlfn.XLOOKUP(frasest[[#This Row],[autor_es]],autorest[autor_es],autorest[nacion_es])</f>
        <v>China</v>
      </c>
      <c r="M1111" t="str">
        <f>_xlfn.XLOOKUP(frasest[[#This Row],[autor_es]],autorest[autor_es],autorest[nacion_la])</f>
        <v>Sinae</v>
      </c>
      <c r="N1111" t="str">
        <f>_xlfn.XLOOKUP(frasest[[#This Row],[autor_es]],autorest[autor_es],autorest[epoca_es])</f>
        <v>Epoca Desconocida</v>
      </c>
      <c r="O1111" t="str">
        <f>_xlfn.XLOOKUP(frasest[[#This Row],[autor_es]],autorest[autor_es],autorest[epoca_la])</f>
        <v>Epocha Ignota</v>
      </c>
    </row>
    <row r="1112" spans="1:15">
      <c r="A1112">
        <v>1111</v>
      </c>
      <c r="B1112" t="s">
        <v>3039</v>
      </c>
      <c r="C1112" t="s">
        <v>3040</v>
      </c>
      <c r="D1112" s="1" t="s">
        <v>3041</v>
      </c>
      <c r="E1112" t="s">
        <v>33</v>
      </c>
      <c r="F1112" t="str">
        <f>_xlfn.XLOOKUP(frasest[[#This Row],[autor_es]],autorest[autor_es],autorest[autor_la])</f>
        <v>Proverbium Sinense</v>
      </c>
      <c r="G1112" s="6" t="str">
        <f>_xlfn.XLOOKUP(frasest[[#This Row],[autor_es]],autorest[autor_es],autorest[bio_es])</f>
        <v>Conjunto de proverbios tradicionales de la cultura china que transmiten sabiduría popular, valores morales y enseñanzas prácticas transmitidas oralmente durante siglos.</v>
      </c>
      <c r="H1112" s="6" t="str">
        <f>_xlfn.XLOOKUP(frasest[[#This Row],[autor_es]],autorest[autor_es],autorest[bio_la])</f>
        <v>Collectio sententiarum Sinensium, magnopere in cultura tradita.</v>
      </c>
      <c r="I1112" t="str">
        <f>_xlfn.XLOOKUP(frasest[[#This Row],[autor_es]],autorest[autor_es],autorest[codigo])</f>
        <v>zh</v>
      </c>
      <c r="J1112" t="str">
        <f>_xlfn.XLOOKUP(frasest[[#This Row],[autor_es]],autorest[autor_es],autorest[idioma_es])</f>
        <v>Chino</v>
      </c>
      <c r="K1112" s="6" t="str">
        <f>_xlfn.XLOOKUP(frasest[[#This Row],[autor_es]],autorest[autor_es],autorest[idioma_la])</f>
        <v>Lingua Sinica</v>
      </c>
      <c r="L1112" s="6" t="str">
        <f>_xlfn.XLOOKUP(frasest[[#This Row],[autor_es]],autorest[autor_es],autorest[nacion_es])</f>
        <v>China</v>
      </c>
      <c r="M1112" t="str">
        <f>_xlfn.XLOOKUP(frasest[[#This Row],[autor_es]],autorest[autor_es],autorest[nacion_la])</f>
        <v>Sinae</v>
      </c>
      <c r="N1112" t="str">
        <f>_xlfn.XLOOKUP(frasest[[#This Row],[autor_es]],autorest[autor_es],autorest[epoca_es])</f>
        <v>Epoca Desconocida</v>
      </c>
      <c r="O1112" t="str">
        <f>_xlfn.XLOOKUP(frasest[[#This Row],[autor_es]],autorest[autor_es],autorest[epoca_la])</f>
        <v>Epocha Ignota</v>
      </c>
    </row>
    <row r="1113" spans="1:15">
      <c r="A1113">
        <v>1112</v>
      </c>
      <c r="B1113" t="s">
        <v>3042</v>
      </c>
      <c r="C1113" t="s">
        <v>3043</v>
      </c>
      <c r="D1113" s="1" t="s">
        <v>3044</v>
      </c>
      <c r="E1113" t="s">
        <v>33</v>
      </c>
      <c r="F1113" t="str">
        <f>_xlfn.XLOOKUP(frasest[[#This Row],[autor_es]],autorest[autor_es],autorest[autor_la])</f>
        <v>Proverbium Sinense</v>
      </c>
      <c r="G1113" s="6" t="str">
        <f>_xlfn.XLOOKUP(frasest[[#This Row],[autor_es]],autorest[autor_es],autorest[bio_es])</f>
        <v>Conjunto de proverbios tradicionales de la cultura china que transmiten sabiduría popular, valores morales y enseñanzas prácticas transmitidas oralmente durante siglos.</v>
      </c>
      <c r="H1113" s="6" t="str">
        <f>_xlfn.XLOOKUP(frasest[[#This Row],[autor_es]],autorest[autor_es],autorest[bio_la])</f>
        <v>Collectio sententiarum Sinensium, magnopere in cultura tradita.</v>
      </c>
      <c r="I1113" t="str">
        <f>_xlfn.XLOOKUP(frasest[[#This Row],[autor_es]],autorest[autor_es],autorest[codigo])</f>
        <v>zh</v>
      </c>
      <c r="J1113" t="str">
        <f>_xlfn.XLOOKUP(frasest[[#This Row],[autor_es]],autorest[autor_es],autorest[idioma_es])</f>
        <v>Chino</v>
      </c>
      <c r="K1113" s="6" t="str">
        <f>_xlfn.XLOOKUP(frasest[[#This Row],[autor_es]],autorest[autor_es],autorest[idioma_la])</f>
        <v>Lingua Sinica</v>
      </c>
      <c r="L1113" s="6" t="str">
        <f>_xlfn.XLOOKUP(frasest[[#This Row],[autor_es]],autorest[autor_es],autorest[nacion_es])</f>
        <v>China</v>
      </c>
      <c r="M1113" t="str">
        <f>_xlfn.XLOOKUP(frasest[[#This Row],[autor_es]],autorest[autor_es],autorest[nacion_la])</f>
        <v>Sinae</v>
      </c>
      <c r="N1113" t="str">
        <f>_xlfn.XLOOKUP(frasest[[#This Row],[autor_es]],autorest[autor_es],autorest[epoca_es])</f>
        <v>Epoca Desconocida</v>
      </c>
      <c r="O1113" t="str">
        <f>_xlfn.XLOOKUP(frasest[[#This Row],[autor_es]],autorest[autor_es],autorest[epoca_la])</f>
        <v>Epocha Ignota</v>
      </c>
    </row>
    <row r="1114" spans="1:15">
      <c r="A1114">
        <v>1113</v>
      </c>
      <c r="B1114" t="s">
        <v>3045</v>
      </c>
      <c r="C1114" t="s">
        <v>3046</v>
      </c>
      <c r="D1114" s="1" t="s">
        <v>3047</v>
      </c>
      <c r="E1114" t="s">
        <v>33</v>
      </c>
      <c r="F1114" t="str">
        <f>_xlfn.XLOOKUP(frasest[[#This Row],[autor_es]],autorest[autor_es],autorest[autor_la])</f>
        <v>Proverbium Sinense</v>
      </c>
      <c r="G1114" s="6" t="str">
        <f>_xlfn.XLOOKUP(frasest[[#This Row],[autor_es]],autorest[autor_es],autorest[bio_es])</f>
        <v>Conjunto de proverbios tradicionales de la cultura china que transmiten sabiduría popular, valores morales y enseñanzas prácticas transmitidas oralmente durante siglos.</v>
      </c>
      <c r="H1114" s="6" t="str">
        <f>_xlfn.XLOOKUP(frasest[[#This Row],[autor_es]],autorest[autor_es],autorest[bio_la])</f>
        <v>Collectio sententiarum Sinensium, magnopere in cultura tradita.</v>
      </c>
      <c r="I1114" t="str">
        <f>_xlfn.XLOOKUP(frasest[[#This Row],[autor_es]],autorest[autor_es],autorest[codigo])</f>
        <v>zh</v>
      </c>
      <c r="J1114" t="str">
        <f>_xlfn.XLOOKUP(frasest[[#This Row],[autor_es]],autorest[autor_es],autorest[idioma_es])</f>
        <v>Chino</v>
      </c>
      <c r="K1114" s="6" t="str">
        <f>_xlfn.XLOOKUP(frasest[[#This Row],[autor_es]],autorest[autor_es],autorest[idioma_la])</f>
        <v>Lingua Sinica</v>
      </c>
      <c r="L1114" s="6" t="str">
        <f>_xlfn.XLOOKUP(frasest[[#This Row],[autor_es]],autorest[autor_es],autorest[nacion_es])</f>
        <v>China</v>
      </c>
      <c r="M1114" t="str">
        <f>_xlfn.XLOOKUP(frasest[[#This Row],[autor_es]],autorest[autor_es],autorest[nacion_la])</f>
        <v>Sinae</v>
      </c>
      <c r="N1114" t="str">
        <f>_xlfn.XLOOKUP(frasest[[#This Row],[autor_es]],autorest[autor_es],autorest[epoca_es])</f>
        <v>Epoca Desconocida</v>
      </c>
      <c r="O1114" t="str">
        <f>_xlfn.XLOOKUP(frasest[[#This Row],[autor_es]],autorest[autor_es],autorest[epoca_la])</f>
        <v>Epocha Ignota</v>
      </c>
    </row>
    <row r="1115" spans="1:15">
      <c r="A1115">
        <v>1114</v>
      </c>
      <c r="B1115" t="s">
        <v>3048</v>
      </c>
      <c r="C1115" t="s">
        <v>3049</v>
      </c>
      <c r="D1115" s="1" t="s">
        <v>3050</v>
      </c>
      <c r="E1115" t="s">
        <v>33</v>
      </c>
      <c r="F1115" t="str">
        <f>_xlfn.XLOOKUP(frasest[[#This Row],[autor_es]],autorest[autor_es],autorest[autor_la])</f>
        <v>Proverbium Sinense</v>
      </c>
      <c r="G1115" s="6" t="str">
        <f>_xlfn.XLOOKUP(frasest[[#This Row],[autor_es]],autorest[autor_es],autorest[bio_es])</f>
        <v>Conjunto de proverbios tradicionales de la cultura china que transmiten sabiduría popular, valores morales y enseñanzas prácticas transmitidas oralmente durante siglos.</v>
      </c>
      <c r="H1115" s="6" t="str">
        <f>_xlfn.XLOOKUP(frasest[[#This Row],[autor_es]],autorest[autor_es],autorest[bio_la])</f>
        <v>Collectio sententiarum Sinensium, magnopere in cultura tradita.</v>
      </c>
      <c r="I1115" t="str">
        <f>_xlfn.XLOOKUP(frasest[[#This Row],[autor_es]],autorest[autor_es],autorest[codigo])</f>
        <v>zh</v>
      </c>
      <c r="J1115" t="str">
        <f>_xlfn.XLOOKUP(frasest[[#This Row],[autor_es]],autorest[autor_es],autorest[idioma_es])</f>
        <v>Chino</v>
      </c>
      <c r="K1115" s="6" t="str">
        <f>_xlfn.XLOOKUP(frasest[[#This Row],[autor_es]],autorest[autor_es],autorest[idioma_la])</f>
        <v>Lingua Sinica</v>
      </c>
      <c r="L1115" s="6" t="str">
        <f>_xlfn.XLOOKUP(frasest[[#This Row],[autor_es]],autorest[autor_es],autorest[nacion_es])</f>
        <v>China</v>
      </c>
      <c r="M1115" t="str">
        <f>_xlfn.XLOOKUP(frasest[[#This Row],[autor_es]],autorest[autor_es],autorest[nacion_la])</f>
        <v>Sinae</v>
      </c>
      <c r="N1115" t="str">
        <f>_xlfn.XLOOKUP(frasest[[#This Row],[autor_es]],autorest[autor_es],autorest[epoca_es])</f>
        <v>Epoca Desconocida</v>
      </c>
      <c r="O1115" t="str">
        <f>_xlfn.XLOOKUP(frasest[[#This Row],[autor_es]],autorest[autor_es],autorest[epoca_la])</f>
        <v>Epocha Ignota</v>
      </c>
    </row>
    <row r="1116" spans="1:15">
      <c r="A1116">
        <v>1115</v>
      </c>
      <c r="B1116" t="s">
        <v>3051</v>
      </c>
      <c r="C1116" t="s">
        <v>3052</v>
      </c>
      <c r="D1116" s="1" t="s">
        <v>3053</v>
      </c>
      <c r="E1116" t="s">
        <v>33</v>
      </c>
      <c r="F1116" t="str">
        <f>_xlfn.XLOOKUP(frasest[[#This Row],[autor_es]],autorest[autor_es],autorest[autor_la])</f>
        <v>Proverbium Sinense</v>
      </c>
      <c r="G1116" s="6" t="str">
        <f>_xlfn.XLOOKUP(frasest[[#This Row],[autor_es]],autorest[autor_es],autorest[bio_es])</f>
        <v>Conjunto de proverbios tradicionales de la cultura china que transmiten sabiduría popular, valores morales y enseñanzas prácticas transmitidas oralmente durante siglos.</v>
      </c>
      <c r="H1116" s="6" t="str">
        <f>_xlfn.XLOOKUP(frasest[[#This Row],[autor_es]],autorest[autor_es],autorest[bio_la])</f>
        <v>Collectio sententiarum Sinensium, magnopere in cultura tradita.</v>
      </c>
      <c r="I1116" t="str">
        <f>_xlfn.XLOOKUP(frasest[[#This Row],[autor_es]],autorest[autor_es],autorest[codigo])</f>
        <v>zh</v>
      </c>
      <c r="J1116" t="str">
        <f>_xlfn.XLOOKUP(frasest[[#This Row],[autor_es]],autorest[autor_es],autorest[idioma_es])</f>
        <v>Chino</v>
      </c>
      <c r="K1116" s="6" t="str">
        <f>_xlfn.XLOOKUP(frasest[[#This Row],[autor_es]],autorest[autor_es],autorest[idioma_la])</f>
        <v>Lingua Sinica</v>
      </c>
      <c r="L1116" s="6" t="str">
        <f>_xlfn.XLOOKUP(frasest[[#This Row],[autor_es]],autorest[autor_es],autorest[nacion_es])</f>
        <v>China</v>
      </c>
      <c r="M1116" t="str">
        <f>_xlfn.XLOOKUP(frasest[[#This Row],[autor_es]],autorest[autor_es],autorest[nacion_la])</f>
        <v>Sinae</v>
      </c>
      <c r="N1116" t="str">
        <f>_xlfn.XLOOKUP(frasest[[#This Row],[autor_es]],autorest[autor_es],autorest[epoca_es])</f>
        <v>Epoca Desconocida</v>
      </c>
      <c r="O1116" t="str">
        <f>_xlfn.XLOOKUP(frasest[[#This Row],[autor_es]],autorest[autor_es],autorest[epoca_la])</f>
        <v>Epocha Ignota</v>
      </c>
    </row>
    <row r="1117" spans="1:15">
      <c r="A1117">
        <v>1116</v>
      </c>
      <c r="B1117" t="s">
        <v>3054</v>
      </c>
      <c r="C1117" t="s">
        <v>3055</v>
      </c>
      <c r="D1117" s="1" t="s">
        <v>3056</v>
      </c>
      <c r="E1117" t="s">
        <v>33</v>
      </c>
      <c r="F1117" t="str">
        <f>_xlfn.XLOOKUP(frasest[[#This Row],[autor_es]],autorest[autor_es],autorest[autor_la])</f>
        <v>Proverbium Sinense</v>
      </c>
      <c r="G1117" s="6" t="str">
        <f>_xlfn.XLOOKUP(frasest[[#This Row],[autor_es]],autorest[autor_es],autorest[bio_es])</f>
        <v>Conjunto de proverbios tradicionales de la cultura china que transmiten sabiduría popular, valores morales y enseñanzas prácticas transmitidas oralmente durante siglos.</v>
      </c>
      <c r="H1117" s="6" t="str">
        <f>_xlfn.XLOOKUP(frasest[[#This Row],[autor_es]],autorest[autor_es],autorest[bio_la])</f>
        <v>Collectio sententiarum Sinensium, magnopere in cultura tradita.</v>
      </c>
      <c r="I1117" t="str">
        <f>_xlfn.XLOOKUP(frasest[[#This Row],[autor_es]],autorest[autor_es],autorest[codigo])</f>
        <v>zh</v>
      </c>
      <c r="J1117" t="str">
        <f>_xlfn.XLOOKUP(frasest[[#This Row],[autor_es]],autorest[autor_es],autorest[idioma_es])</f>
        <v>Chino</v>
      </c>
      <c r="K1117" s="6" t="str">
        <f>_xlfn.XLOOKUP(frasest[[#This Row],[autor_es]],autorest[autor_es],autorest[idioma_la])</f>
        <v>Lingua Sinica</v>
      </c>
      <c r="L1117" s="6" t="str">
        <f>_xlfn.XLOOKUP(frasest[[#This Row],[autor_es]],autorest[autor_es],autorest[nacion_es])</f>
        <v>China</v>
      </c>
      <c r="M1117" t="str">
        <f>_xlfn.XLOOKUP(frasest[[#This Row],[autor_es]],autorest[autor_es],autorest[nacion_la])</f>
        <v>Sinae</v>
      </c>
      <c r="N1117" t="str">
        <f>_xlfn.XLOOKUP(frasest[[#This Row],[autor_es]],autorest[autor_es],autorest[epoca_es])</f>
        <v>Epoca Desconocida</v>
      </c>
      <c r="O1117" t="str">
        <f>_xlfn.XLOOKUP(frasest[[#This Row],[autor_es]],autorest[autor_es],autorest[epoca_la])</f>
        <v>Epocha Ignota</v>
      </c>
    </row>
    <row r="1118" spans="1:15">
      <c r="A1118">
        <v>1117</v>
      </c>
      <c r="B1118" t="s">
        <v>3057</v>
      </c>
      <c r="C1118" t="s">
        <v>3058</v>
      </c>
      <c r="D1118" s="1" t="s">
        <v>3059</v>
      </c>
      <c r="E1118" t="s">
        <v>33</v>
      </c>
      <c r="F1118" t="str">
        <f>_xlfn.XLOOKUP(frasest[[#This Row],[autor_es]],autorest[autor_es],autorest[autor_la])</f>
        <v>Proverbium Sinense</v>
      </c>
      <c r="G1118" s="6" t="str">
        <f>_xlfn.XLOOKUP(frasest[[#This Row],[autor_es]],autorest[autor_es],autorest[bio_es])</f>
        <v>Conjunto de proverbios tradicionales de la cultura china que transmiten sabiduría popular, valores morales y enseñanzas prácticas transmitidas oralmente durante siglos.</v>
      </c>
      <c r="H1118" s="6" t="str">
        <f>_xlfn.XLOOKUP(frasest[[#This Row],[autor_es]],autorest[autor_es],autorest[bio_la])</f>
        <v>Collectio sententiarum Sinensium, magnopere in cultura tradita.</v>
      </c>
      <c r="I1118" t="str">
        <f>_xlfn.XLOOKUP(frasest[[#This Row],[autor_es]],autorest[autor_es],autorest[codigo])</f>
        <v>zh</v>
      </c>
      <c r="J1118" t="str">
        <f>_xlfn.XLOOKUP(frasest[[#This Row],[autor_es]],autorest[autor_es],autorest[idioma_es])</f>
        <v>Chino</v>
      </c>
      <c r="K1118" s="6" t="str">
        <f>_xlfn.XLOOKUP(frasest[[#This Row],[autor_es]],autorest[autor_es],autorest[idioma_la])</f>
        <v>Lingua Sinica</v>
      </c>
      <c r="L1118" s="6" t="str">
        <f>_xlfn.XLOOKUP(frasest[[#This Row],[autor_es]],autorest[autor_es],autorest[nacion_es])</f>
        <v>China</v>
      </c>
      <c r="M1118" t="str">
        <f>_xlfn.XLOOKUP(frasest[[#This Row],[autor_es]],autorest[autor_es],autorest[nacion_la])</f>
        <v>Sinae</v>
      </c>
      <c r="N1118" t="str">
        <f>_xlfn.XLOOKUP(frasest[[#This Row],[autor_es]],autorest[autor_es],autorest[epoca_es])</f>
        <v>Epoca Desconocida</v>
      </c>
      <c r="O1118" t="str">
        <f>_xlfn.XLOOKUP(frasest[[#This Row],[autor_es]],autorest[autor_es],autorest[epoca_la])</f>
        <v>Epocha Ignota</v>
      </c>
    </row>
    <row r="1119" spans="1:15">
      <c r="A1119">
        <v>1118</v>
      </c>
      <c r="B1119" t="s">
        <v>3060</v>
      </c>
      <c r="C1119" t="s">
        <v>3061</v>
      </c>
      <c r="D1119" s="1" t="s">
        <v>3062</v>
      </c>
      <c r="E1119" t="s">
        <v>33</v>
      </c>
      <c r="F1119" t="str">
        <f>_xlfn.XLOOKUP(frasest[[#This Row],[autor_es]],autorest[autor_es],autorest[autor_la])</f>
        <v>Proverbium Sinense</v>
      </c>
      <c r="G1119" s="6" t="str">
        <f>_xlfn.XLOOKUP(frasest[[#This Row],[autor_es]],autorest[autor_es],autorest[bio_es])</f>
        <v>Conjunto de proverbios tradicionales de la cultura china que transmiten sabiduría popular, valores morales y enseñanzas prácticas transmitidas oralmente durante siglos.</v>
      </c>
      <c r="H1119" s="6" t="str">
        <f>_xlfn.XLOOKUP(frasest[[#This Row],[autor_es]],autorest[autor_es],autorest[bio_la])</f>
        <v>Collectio sententiarum Sinensium, magnopere in cultura tradita.</v>
      </c>
      <c r="I1119" t="str">
        <f>_xlfn.XLOOKUP(frasest[[#This Row],[autor_es]],autorest[autor_es],autorest[codigo])</f>
        <v>zh</v>
      </c>
      <c r="J1119" t="str">
        <f>_xlfn.XLOOKUP(frasest[[#This Row],[autor_es]],autorest[autor_es],autorest[idioma_es])</f>
        <v>Chino</v>
      </c>
      <c r="K1119" s="6" t="str">
        <f>_xlfn.XLOOKUP(frasest[[#This Row],[autor_es]],autorest[autor_es],autorest[idioma_la])</f>
        <v>Lingua Sinica</v>
      </c>
      <c r="L1119" s="6" t="str">
        <f>_xlfn.XLOOKUP(frasest[[#This Row],[autor_es]],autorest[autor_es],autorest[nacion_es])</f>
        <v>China</v>
      </c>
      <c r="M1119" t="str">
        <f>_xlfn.XLOOKUP(frasest[[#This Row],[autor_es]],autorest[autor_es],autorest[nacion_la])</f>
        <v>Sinae</v>
      </c>
      <c r="N1119" t="str">
        <f>_xlfn.XLOOKUP(frasest[[#This Row],[autor_es]],autorest[autor_es],autorest[epoca_es])</f>
        <v>Epoca Desconocida</v>
      </c>
      <c r="O1119" t="str">
        <f>_xlfn.XLOOKUP(frasest[[#This Row],[autor_es]],autorest[autor_es],autorest[epoca_la])</f>
        <v>Epocha Ignota</v>
      </c>
    </row>
    <row r="1120" spans="1:15">
      <c r="A1120">
        <v>1119</v>
      </c>
      <c r="B1120" t="s">
        <v>3063</v>
      </c>
      <c r="C1120" t="s">
        <v>3064</v>
      </c>
      <c r="D1120" s="1" t="s">
        <v>3065</v>
      </c>
      <c r="E1120" t="s">
        <v>33</v>
      </c>
      <c r="F1120" t="str">
        <f>_xlfn.XLOOKUP(frasest[[#This Row],[autor_es]],autorest[autor_es],autorest[autor_la])</f>
        <v>Proverbium Sinense</v>
      </c>
      <c r="G1120" s="6" t="str">
        <f>_xlfn.XLOOKUP(frasest[[#This Row],[autor_es]],autorest[autor_es],autorest[bio_es])</f>
        <v>Conjunto de proverbios tradicionales de la cultura china que transmiten sabiduría popular, valores morales y enseñanzas prácticas transmitidas oralmente durante siglos.</v>
      </c>
      <c r="H1120" s="6" t="str">
        <f>_xlfn.XLOOKUP(frasest[[#This Row],[autor_es]],autorest[autor_es],autorest[bio_la])</f>
        <v>Collectio sententiarum Sinensium, magnopere in cultura tradita.</v>
      </c>
      <c r="I1120" t="str">
        <f>_xlfn.XLOOKUP(frasest[[#This Row],[autor_es]],autorest[autor_es],autorest[codigo])</f>
        <v>zh</v>
      </c>
      <c r="J1120" t="str">
        <f>_xlfn.XLOOKUP(frasest[[#This Row],[autor_es]],autorest[autor_es],autorest[idioma_es])</f>
        <v>Chino</v>
      </c>
      <c r="K1120" s="6" t="str">
        <f>_xlfn.XLOOKUP(frasest[[#This Row],[autor_es]],autorest[autor_es],autorest[idioma_la])</f>
        <v>Lingua Sinica</v>
      </c>
      <c r="L1120" s="6" t="str">
        <f>_xlfn.XLOOKUP(frasest[[#This Row],[autor_es]],autorest[autor_es],autorest[nacion_es])</f>
        <v>China</v>
      </c>
      <c r="M1120" t="str">
        <f>_xlfn.XLOOKUP(frasest[[#This Row],[autor_es]],autorest[autor_es],autorest[nacion_la])</f>
        <v>Sinae</v>
      </c>
      <c r="N1120" t="str">
        <f>_xlfn.XLOOKUP(frasest[[#This Row],[autor_es]],autorest[autor_es],autorest[epoca_es])</f>
        <v>Epoca Desconocida</v>
      </c>
      <c r="O1120" t="str">
        <f>_xlfn.XLOOKUP(frasest[[#This Row],[autor_es]],autorest[autor_es],autorest[epoca_la])</f>
        <v>Epocha Ignota</v>
      </c>
    </row>
    <row r="1121" spans="1:15">
      <c r="A1121">
        <v>1120</v>
      </c>
      <c r="B1121" t="s">
        <v>3066</v>
      </c>
      <c r="C1121" t="s">
        <v>3067</v>
      </c>
      <c r="D1121" s="1" t="s">
        <v>3068</v>
      </c>
      <c r="E1121" t="s">
        <v>33</v>
      </c>
      <c r="F1121" t="str">
        <f>_xlfn.XLOOKUP(frasest[[#This Row],[autor_es]],autorest[autor_es],autorest[autor_la])</f>
        <v>Proverbium Sinense</v>
      </c>
      <c r="G1121" s="6" t="str">
        <f>_xlfn.XLOOKUP(frasest[[#This Row],[autor_es]],autorest[autor_es],autorest[bio_es])</f>
        <v>Conjunto de proverbios tradicionales de la cultura china que transmiten sabiduría popular, valores morales y enseñanzas prácticas transmitidas oralmente durante siglos.</v>
      </c>
      <c r="H1121" s="6" t="str">
        <f>_xlfn.XLOOKUP(frasest[[#This Row],[autor_es]],autorest[autor_es],autorest[bio_la])</f>
        <v>Collectio sententiarum Sinensium, magnopere in cultura tradita.</v>
      </c>
      <c r="I1121" t="str">
        <f>_xlfn.XLOOKUP(frasest[[#This Row],[autor_es]],autorest[autor_es],autorest[codigo])</f>
        <v>zh</v>
      </c>
      <c r="J1121" t="str">
        <f>_xlfn.XLOOKUP(frasest[[#This Row],[autor_es]],autorest[autor_es],autorest[idioma_es])</f>
        <v>Chino</v>
      </c>
      <c r="K1121" s="6" t="str">
        <f>_xlfn.XLOOKUP(frasest[[#This Row],[autor_es]],autorest[autor_es],autorest[idioma_la])</f>
        <v>Lingua Sinica</v>
      </c>
      <c r="L1121" s="6" t="str">
        <f>_xlfn.XLOOKUP(frasest[[#This Row],[autor_es]],autorest[autor_es],autorest[nacion_es])</f>
        <v>China</v>
      </c>
      <c r="M1121" t="str">
        <f>_xlfn.XLOOKUP(frasest[[#This Row],[autor_es]],autorest[autor_es],autorest[nacion_la])</f>
        <v>Sinae</v>
      </c>
      <c r="N1121" t="str">
        <f>_xlfn.XLOOKUP(frasest[[#This Row],[autor_es]],autorest[autor_es],autorest[epoca_es])</f>
        <v>Epoca Desconocida</v>
      </c>
      <c r="O1121" t="str">
        <f>_xlfn.XLOOKUP(frasest[[#This Row],[autor_es]],autorest[autor_es],autorest[epoca_la])</f>
        <v>Epocha Ignota</v>
      </c>
    </row>
    <row r="1122" spans="1:15">
      <c r="A1122">
        <v>1121</v>
      </c>
      <c r="B1122" t="s">
        <v>3069</v>
      </c>
      <c r="C1122" t="s">
        <v>3070</v>
      </c>
      <c r="D1122" s="1" t="s">
        <v>3071</v>
      </c>
      <c r="E1122" t="s">
        <v>33</v>
      </c>
      <c r="F1122" t="str">
        <f>_xlfn.XLOOKUP(frasest[[#This Row],[autor_es]],autorest[autor_es],autorest[autor_la])</f>
        <v>Proverbium Sinense</v>
      </c>
      <c r="G1122" s="6" t="str">
        <f>_xlfn.XLOOKUP(frasest[[#This Row],[autor_es]],autorest[autor_es],autorest[bio_es])</f>
        <v>Conjunto de proverbios tradicionales de la cultura china que transmiten sabiduría popular, valores morales y enseñanzas prácticas transmitidas oralmente durante siglos.</v>
      </c>
      <c r="H1122" s="6" t="str">
        <f>_xlfn.XLOOKUP(frasest[[#This Row],[autor_es]],autorest[autor_es],autorest[bio_la])</f>
        <v>Collectio sententiarum Sinensium, magnopere in cultura tradita.</v>
      </c>
      <c r="I1122" t="str">
        <f>_xlfn.XLOOKUP(frasest[[#This Row],[autor_es]],autorest[autor_es],autorest[codigo])</f>
        <v>zh</v>
      </c>
      <c r="J1122" t="str">
        <f>_xlfn.XLOOKUP(frasest[[#This Row],[autor_es]],autorest[autor_es],autorest[idioma_es])</f>
        <v>Chino</v>
      </c>
      <c r="K1122" s="6" t="str">
        <f>_xlfn.XLOOKUP(frasest[[#This Row],[autor_es]],autorest[autor_es],autorest[idioma_la])</f>
        <v>Lingua Sinica</v>
      </c>
      <c r="L1122" s="6" t="str">
        <f>_xlfn.XLOOKUP(frasest[[#This Row],[autor_es]],autorest[autor_es],autorest[nacion_es])</f>
        <v>China</v>
      </c>
      <c r="M1122" t="str">
        <f>_xlfn.XLOOKUP(frasest[[#This Row],[autor_es]],autorest[autor_es],autorest[nacion_la])</f>
        <v>Sinae</v>
      </c>
      <c r="N1122" t="str">
        <f>_xlfn.XLOOKUP(frasest[[#This Row],[autor_es]],autorest[autor_es],autorest[epoca_es])</f>
        <v>Epoca Desconocida</v>
      </c>
      <c r="O1122" t="str">
        <f>_xlfn.XLOOKUP(frasest[[#This Row],[autor_es]],autorest[autor_es],autorest[epoca_la])</f>
        <v>Epocha Ignota</v>
      </c>
    </row>
    <row r="1123" spans="1:15">
      <c r="A1123">
        <v>1122</v>
      </c>
      <c r="B1123" t="s">
        <v>3072</v>
      </c>
      <c r="C1123" t="s">
        <v>3073</v>
      </c>
      <c r="D1123" s="1" t="s">
        <v>3074</v>
      </c>
      <c r="E1123" t="s">
        <v>33</v>
      </c>
      <c r="F1123" t="str">
        <f>_xlfn.XLOOKUP(frasest[[#This Row],[autor_es]],autorest[autor_es],autorest[autor_la])</f>
        <v>Proverbium Sinense</v>
      </c>
      <c r="G1123" s="6" t="str">
        <f>_xlfn.XLOOKUP(frasest[[#This Row],[autor_es]],autorest[autor_es],autorest[bio_es])</f>
        <v>Conjunto de proverbios tradicionales de la cultura china que transmiten sabiduría popular, valores morales y enseñanzas prácticas transmitidas oralmente durante siglos.</v>
      </c>
      <c r="H1123" s="6" t="str">
        <f>_xlfn.XLOOKUP(frasest[[#This Row],[autor_es]],autorest[autor_es],autorest[bio_la])</f>
        <v>Collectio sententiarum Sinensium, magnopere in cultura tradita.</v>
      </c>
      <c r="I1123" t="str">
        <f>_xlfn.XLOOKUP(frasest[[#This Row],[autor_es]],autorest[autor_es],autorest[codigo])</f>
        <v>zh</v>
      </c>
      <c r="J1123" t="str">
        <f>_xlfn.XLOOKUP(frasest[[#This Row],[autor_es]],autorest[autor_es],autorest[idioma_es])</f>
        <v>Chino</v>
      </c>
      <c r="K1123" s="6" t="str">
        <f>_xlfn.XLOOKUP(frasest[[#This Row],[autor_es]],autorest[autor_es],autorest[idioma_la])</f>
        <v>Lingua Sinica</v>
      </c>
      <c r="L1123" s="6" t="str">
        <f>_xlfn.XLOOKUP(frasest[[#This Row],[autor_es]],autorest[autor_es],autorest[nacion_es])</f>
        <v>China</v>
      </c>
      <c r="M1123" t="str">
        <f>_xlfn.XLOOKUP(frasest[[#This Row],[autor_es]],autorest[autor_es],autorest[nacion_la])</f>
        <v>Sinae</v>
      </c>
      <c r="N1123" t="str">
        <f>_xlfn.XLOOKUP(frasest[[#This Row],[autor_es]],autorest[autor_es],autorest[epoca_es])</f>
        <v>Epoca Desconocida</v>
      </c>
      <c r="O1123" t="str">
        <f>_xlfn.XLOOKUP(frasest[[#This Row],[autor_es]],autorest[autor_es],autorest[epoca_la])</f>
        <v>Epocha Ignota</v>
      </c>
    </row>
    <row r="1124" spans="1:15">
      <c r="A1124">
        <v>1123</v>
      </c>
      <c r="B1124" t="s">
        <v>3075</v>
      </c>
      <c r="C1124" t="s">
        <v>3076</v>
      </c>
      <c r="D1124" s="1" t="s">
        <v>3077</v>
      </c>
      <c r="E1124" t="s">
        <v>33</v>
      </c>
      <c r="F1124" t="str">
        <f>_xlfn.XLOOKUP(frasest[[#This Row],[autor_es]],autorest[autor_es],autorest[autor_la])</f>
        <v>Proverbium Sinense</v>
      </c>
      <c r="G1124" s="6" t="str">
        <f>_xlfn.XLOOKUP(frasest[[#This Row],[autor_es]],autorest[autor_es],autorest[bio_es])</f>
        <v>Conjunto de proverbios tradicionales de la cultura china que transmiten sabiduría popular, valores morales y enseñanzas prácticas transmitidas oralmente durante siglos.</v>
      </c>
      <c r="H1124" s="6" t="str">
        <f>_xlfn.XLOOKUP(frasest[[#This Row],[autor_es]],autorest[autor_es],autorest[bio_la])</f>
        <v>Collectio sententiarum Sinensium, magnopere in cultura tradita.</v>
      </c>
      <c r="I1124" t="str">
        <f>_xlfn.XLOOKUP(frasest[[#This Row],[autor_es]],autorest[autor_es],autorest[codigo])</f>
        <v>zh</v>
      </c>
      <c r="J1124" t="str">
        <f>_xlfn.XLOOKUP(frasest[[#This Row],[autor_es]],autorest[autor_es],autorest[idioma_es])</f>
        <v>Chino</v>
      </c>
      <c r="K1124" s="6" t="str">
        <f>_xlfn.XLOOKUP(frasest[[#This Row],[autor_es]],autorest[autor_es],autorest[idioma_la])</f>
        <v>Lingua Sinica</v>
      </c>
      <c r="L1124" s="6" t="str">
        <f>_xlfn.XLOOKUP(frasest[[#This Row],[autor_es]],autorest[autor_es],autorest[nacion_es])</f>
        <v>China</v>
      </c>
      <c r="M1124" t="str">
        <f>_xlfn.XLOOKUP(frasest[[#This Row],[autor_es]],autorest[autor_es],autorest[nacion_la])</f>
        <v>Sinae</v>
      </c>
      <c r="N1124" t="str">
        <f>_xlfn.XLOOKUP(frasest[[#This Row],[autor_es]],autorest[autor_es],autorest[epoca_es])</f>
        <v>Epoca Desconocida</v>
      </c>
      <c r="O1124" t="str">
        <f>_xlfn.XLOOKUP(frasest[[#This Row],[autor_es]],autorest[autor_es],autorest[epoca_la])</f>
        <v>Epocha Ignota</v>
      </c>
    </row>
    <row r="1125" spans="1:15">
      <c r="A1125">
        <v>1124</v>
      </c>
      <c r="B1125" t="s">
        <v>3078</v>
      </c>
      <c r="C1125" t="s">
        <v>3079</v>
      </c>
      <c r="D1125" s="1" t="s">
        <v>3080</v>
      </c>
      <c r="E1125" t="s">
        <v>33</v>
      </c>
      <c r="F1125" t="str">
        <f>_xlfn.XLOOKUP(frasest[[#This Row],[autor_es]],autorest[autor_es],autorest[autor_la])</f>
        <v>Proverbium Sinense</v>
      </c>
      <c r="G1125" s="6" t="str">
        <f>_xlfn.XLOOKUP(frasest[[#This Row],[autor_es]],autorest[autor_es],autorest[bio_es])</f>
        <v>Conjunto de proverbios tradicionales de la cultura china que transmiten sabiduría popular, valores morales y enseñanzas prácticas transmitidas oralmente durante siglos.</v>
      </c>
      <c r="H1125" s="6" t="str">
        <f>_xlfn.XLOOKUP(frasest[[#This Row],[autor_es]],autorest[autor_es],autorest[bio_la])</f>
        <v>Collectio sententiarum Sinensium, magnopere in cultura tradita.</v>
      </c>
      <c r="I1125" t="str">
        <f>_xlfn.XLOOKUP(frasest[[#This Row],[autor_es]],autorest[autor_es],autorest[codigo])</f>
        <v>zh</v>
      </c>
      <c r="J1125" t="str">
        <f>_xlfn.XLOOKUP(frasest[[#This Row],[autor_es]],autorest[autor_es],autorest[idioma_es])</f>
        <v>Chino</v>
      </c>
      <c r="K1125" s="6" t="str">
        <f>_xlfn.XLOOKUP(frasest[[#This Row],[autor_es]],autorest[autor_es],autorest[idioma_la])</f>
        <v>Lingua Sinica</v>
      </c>
      <c r="L1125" s="6" t="str">
        <f>_xlfn.XLOOKUP(frasest[[#This Row],[autor_es]],autorest[autor_es],autorest[nacion_es])</f>
        <v>China</v>
      </c>
      <c r="M1125" t="str">
        <f>_xlfn.XLOOKUP(frasest[[#This Row],[autor_es]],autorest[autor_es],autorest[nacion_la])</f>
        <v>Sinae</v>
      </c>
      <c r="N1125" t="str">
        <f>_xlfn.XLOOKUP(frasest[[#This Row],[autor_es]],autorest[autor_es],autorest[epoca_es])</f>
        <v>Epoca Desconocida</v>
      </c>
      <c r="O1125" t="str">
        <f>_xlfn.XLOOKUP(frasest[[#This Row],[autor_es]],autorest[autor_es],autorest[epoca_la])</f>
        <v>Epocha Ignota</v>
      </c>
    </row>
    <row r="1126" spans="1:15">
      <c r="A1126">
        <v>1125</v>
      </c>
      <c r="B1126" t="s">
        <v>3081</v>
      </c>
      <c r="C1126" t="s">
        <v>3082</v>
      </c>
      <c r="D1126" s="1" t="s">
        <v>3083</v>
      </c>
      <c r="E1126" t="s">
        <v>33</v>
      </c>
      <c r="F1126" t="str">
        <f>_xlfn.XLOOKUP(frasest[[#This Row],[autor_es]],autorest[autor_es],autorest[autor_la])</f>
        <v>Proverbium Sinense</v>
      </c>
      <c r="G1126" s="6" t="str">
        <f>_xlfn.XLOOKUP(frasest[[#This Row],[autor_es]],autorest[autor_es],autorest[bio_es])</f>
        <v>Conjunto de proverbios tradicionales de la cultura china que transmiten sabiduría popular, valores morales y enseñanzas prácticas transmitidas oralmente durante siglos.</v>
      </c>
      <c r="H1126" s="6" t="str">
        <f>_xlfn.XLOOKUP(frasest[[#This Row],[autor_es]],autorest[autor_es],autorest[bio_la])</f>
        <v>Collectio sententiarum Sinensium, magnopere in cultura tradita.</v>
      </c>
      <c r="I1126" t="str">
        <f>_xlfn.XLOOKUP(frasest[[#This Row],[autor_es]],autorest[autor_es],autorest[codigo])</f>
        <v>zh</v>
      </c>
      <c r="J1126" t="str">
        <f>_xlfn.XLOOKUP(frasest[[#This Row],[autor_es]],autorest[autor_es],autorest[idioma_es])</f>
        <v>Chino</v>
      </c>
      <c r="K1126" s="6" t="str">
        <f>_xlfn.XLOOKUP(frasest[[#This Row],[autor_es]],autorest[autor_es],autorest[idioma_la])</f>
        <v>Lingua Sinica</v>
      </c>
      <c r="L1126" s="6" t="str">
        <f>_xlfn.XLOOKUP(frasest[[#This Row],[autor_es]],autorest[autor_es],autorest[nacion_es])</f>
        <v>China</v>
      </c>
      <c r="M1126" t="str">
        <f>_xlfn.XLOOKUP(frasest[[#This Row],[autor_es]],autorest[autor_es],autorest[nacion_la])</f>
        <v>Sinae</v>
      </c>
      <c r="N1126" t="str">
        <f>_xlfn.XLOOKUP(frasest[[#This Row],[autor_es]],autorest[autor_es],autorest[epoca_es])</f>
        <v>Epoca Desconocida</v>
      </c>
      <c r="O1126" t="str">
        <f>_xlfn.XLOOKUP(frasest[[#This Row],[autor_es]],autorest[autor_es],autorest[epoca_la])</f>
        <v>Epocha Ignota</v>
      </c>
    </row>
    <row r="1127" spans="1:15">
      <c r="A1127">
        <v>1126</v>
      </c>
      <c r="B1127" t="s">
        <v>3084</v>
      </c>
      <c r="C1127" t="s">
        <v>3085</v>
      </c>
      <c r="D1127" s="1" t="s">
        <v>3086</v>
      </c>
      <c r="E1127" t="s">
        <v>33</v>
      </c>
      <c r="F1127" t="str">
        <f>_xlfn.XLOOKUP(frasest[[#This Row],[autor_es]],autorest[autor_es],autorest[autor_la])</f>
        <v>Proverbium Sinense</v>
      </c>
      <c r="G1127" s="6" t="str">
        <f>_xlfn.XLOOKUP(frasest[[#This Row],[autor_es]],autorest[autor_es],autorest[bio_es])</f>
        <v>Conjunto de proverbios tradicionales de la cultura china que transmiten sabiduría popular, valores morales y enseñanzas prácticas transmitidas oralmente durante siglos.</v>
      </c>
      <c r="H1127" s="6" t="str">
        <f>_xlfn.XLOOKUP(frasest[[#This Row],[autor_es]],autorest[autor_es],autorest[bio_la])</f>
        <v>Collectio sententiarum Sinensium, magnopere in cultura tradita.</v>
      </c>
      <c r="I1127" t="str">
        <f>_xlfn.XLOOKUP(frasest[[#This Row],[autor_es]],autorest[autor_es],autorest[codigo])</f>
        <v>zh</v>
      </c>
      <c r="J1127" t="str">
        <f>_xlfn.XLOOKUP(frasest[[#This Row],[autor_es]],autorest[autor_es],autorest[idioma_es])</f>
        <v>Chino</v>
      </c>
      <c r="K1127" s="6" t="str">
        <f>_xlfn.XLOOKUP(frasest[[#This Row],[autor_es]],autorest[autor_es],autorest[idioma_la])</f>
        <v>Lingua Sinica</v>
      </c>
      <c r="L1127" s="6" t="str">
        <f>_xlfn.XLOOKUP(frasest[[#This Row],[autor_es]],autorest[autor_es],autorest[nacion_es])</f>
        <v>China</v>
      </c>
      <c r="M1127" t="str">
        <f>_xlfn.XLOOKUP(frasest[[#This Row],[autor_es]],autorest[autor_es],autorest[nacion_la])</f>
        <v>Sinae</v>
      </c>
      <c r="N1127" t="str">
        <f>_xlfn.XLOOKUP(frasest[[#This Row],[autor_es]],autorest[autor_es],autorest[epoca_es])</f>
        <v>Epoca Desconocida</v>
      </c>
      <c r="O1127" t="str">
        <f>_xlfn.XLOOKUP(frasest[[#This Row],[autor_es]],autorest[autor_es],autorest[epoca_la])</f>
        <v>Epocha Ignota</v>
      </c>
    </row>
    <row r="1128" spans="1:15">
      <c r="A1128">
        <v>1127</v>
      </c>
      <c r="B1128" t="s">
        <v>3087</v>
      </c>
      <c r="C1128" t="s">
        <v>3088</v>
      </c>
      <c r="D1128" s="1" t="s">
        <v>3089</v>
      </c>
      <c r="E1128" t="s">
        <v>33</v>
      </c>
      <c r="F1128" t="str">
        <f>_xlfn.XLOOKUP(frasest[[#This Row],[autor_es]],autorest[autor_es],autorest[autor_la])</f>
        <v>Proverbium Sinense</v>
      </c>
      <c r="G1128" s="6" t="str">
        <f>_xlfn.XLOOKUP(frasest[[#This Row],[autor_es]],autorest[autor_es],autorest[bio_es])</f>
        <v>Conjunto de proverbios tradicionales de la cultura china que transmiten sabiduría popular, valores morales y enseñanzas prácticas transmitidas oralmente durante siglos.</v>
      </c>
      <c r="H1128" s="6" t="str">
        <f>_xlfn.XLOOKUP(frasest[[#This Row],[autor_es]],autorest[autor_es],autorest[bio_la])</f>
        <v>Collectio sententiarum Sinensium, magnopere in cultura tradita.</v>
      </c>
      <c r="I1128" t="str">
        <f>_xlfn.XLOOKUP(frasest[[#This Row],[autor_es]],autorest[autor_es],autorest[codigo])</f>
        <v>zh</v>
      </c>
      <c r="J1128" t="str">
        <f>_xlfn.XLOOKUP(frasest[[#This Row],[autor_es]],autorest[autor_es],autorest[idioma_es])</f>
        <v>Chino</v>
      </c>
      <c r="K1128" s="6" t="str">
        <f>_xlfn.XLOOKUP(frasest[[#This Row],[autor_es]],autorest[autor_es],autorest[idioma_la])</f>
        <v>Lingua Sinica</v>
      </c>
      <c r="L1128" s="6" t="str">
        <f>_xlfn.XLOOKUP(frasest[[#This Row],[autor_es]],autorest[autor_es],autorest[nacion_es])</f>
        <v>China</v>
      </c>
      <c r="M1128" t="str">
        <f>_xlfn.XLOOKUP(frasest[[#This Row],[autor_es]],autorest[autor_es],autorest[nacion_la])</f>
        <v>Sinae</v>
      </c>
      <c r="N1128" t="str">
        <f>_xlfn.XLOOKUP(frasest[[#This Row],[autor_es]],autorest[autor_es],autorest[epoca_es])</f>
        <v>Epoca Desconocida</v>
      </c>
      <c r="O1128" t="str">
        <f>_xlfn.XLOOKUP(frasest[[#This Row],[autor_es]],autorest[autor_es],autorest[epoca_la])</f>
        <v>Epocha Ignota</v>
      </c>
    </row>
    <row r="1129" spans="1:15">
      <c r="A1129">
        <v>1128</v>
      </c>
      <c r="B1129" t="s">
        <v>3090</v>
      </c>
      <c r="C1129" t="s">
        <v>3091</v>
      </c>
      <c r="D1129" s="1" t="s">
        <v>3092</v>
      </c>
      <c r="E1129" t="s">
        <v>33</v>
      </c>
      <c r="F1129" t="str">
        <f>_xlfn.XLOOKUP(frasest[[#This Row],[autor_es]],autorest[autor_es],autorest[autor_la])</f>
        <v>Proverbium Sinense</v>
      </c>
      <c r="G1129" s="6" t="str">
        <f>_xlfn.XLOOKUP(frasest[[#This Row],[autor_es]],autorest[autor_es],autorest[bio_es])</f>
        <v>Conjunto de proverbios tradicionales de la cultura china que transmiten sabiduría popular, valores morales y enseñanzas prácticas transmitidas oralmente durante siglos.</v>
      </c>
      <c r="H1129" s="6" t="str">
        <f>_xlfn.XLOOKUP(frasest[[#This Row],[autor_es]],autorest[autor_es],autorest[bio_la])</f>
        <v>Collectio sententiarum Sinensium, magnopere in cultura tradita.</v>
      </c>
      <c r="I1129" t="str">
        <f>_xlfn.XLOOKUP(frasest[[#This Row],[autor_es]],autorest[autor_es],autorest[codigo])</f>
        <v>zh</v>
      </c>
      <c r="J1129" t="str">
        <f>_xlfn.XLOOKUP(frasest[[#This Row],[autor_es]],autorest[autor_es],autorest[idioma_es])</f>
        <v>Chino</v>
      </c>
      <c r="K1129" s="6" t="str">
        <f>_xlfn.XLOOKUP(frasest[[#This Row],[autor_es]],autorest[autor_es],autorest[idioma_la])</f>
        <v>Lingua Sinica</v>
      </c>
      <c r="L1129" s="6" t="str">
        <f>_xlfn.XLOOKUP(frasest[[#This Row],[autor_es]],autorest[autor_es],autorest[nacion_es])</f>
        <v>China</v>
      </c>
      <c r="M1129" t="str">
        <f>_xlfn.XLOOKUP(frasest[[#This Row],[autor_es]],autorest[autor_es],autorest[nacion_la])</f>
        <v>Sinae</v>
      </c>
      <c r="N1129" t="str">
        <f>_xlfn.XLOOKUP(frasest[[#This Row],[autor_es]],autorest[autor_es],autorest[epoca_es])</f>
        <v>Epoca Desconocida</v>
      </c>
      <c r="O1129" t="str">
        <f>_xlfn.XLOOKUP(frasest[[#This Row],[autor_es]],autorest[autor_es],autorest[epoca_la])</f>
        <v>Epocha Ignota</v>
      </c>
    </row>
    <row r="1130" spans="1:15">
      <c r="A1130">
        <v>1129</v>
      </c>
      <c r="B1130" t="s">
        <v>3093</v>
      </c>
      <c r="C1130" t="s">
        <v>3094</v>
      </c>
      <c r="D1130" s="1" t="s">
        <v>3095</v>
      </c>
      <c r="E1130" t="s">
        <v>33</v>
      </c>
      <c r="F1130" t="str">
        <f>_xlfn.XLOOKUP(frasest[[#This Row],[autor_es]],autorest[autor_es],autorest[autor_la])</f>
        <v>Proverbium Sinense</v>
      </c>
      <c r="G1130" s="6" t="str">
        <f>_xlfn.XLOOKUP(frasest[[#This Row],[autor_es]],autorest[autor_es],autorest[bio_es])</f>
        <v>Conjunto de proverbios tradicionales de la cultura china que transmiten sabiduría popular, valores morales y enseñanzas prácticas transmitidas oralmente durante siglos.</v>
      </c>
      <c r="H1130" s="6" t="str">
        <f>_xlfn.XLOOKUP(frasest[[#This Row],[autor_es]],autorest[autor_es],autorest[bio_la])</f>
        <v>Collectio sententiarum Sinensium, magnopere in cultura tradita.</v>
      </c>
      <c r="I1130" t="str">
        <f>_xlfn.XLOOKUP(frasest[[#This Row],[autor_es]],autorest[autor_es],autorest[codigo])</f>
        <v>zh</v>
      </c>
      <c r="J1130" t="str">
        <f>_xlfn.XLOOKUP(frasest[[#This Row],[autor_es]],autorest[autor_es],autorest[idioma_es])</f>
        <v>Chino</v>
      </c>
      <c r="K1130" s="6" t="str">
        <f>_xlfn.XLOOKUP(frasest[[#This Row],[autor_es]],autorest[autor_es],autorest[idioma_la])</f>
        <v>Lingua Sinica</v>
      </c>
      <c r="L1130" s="6" t="str">
        <f>_xlfn.XLOOKUP(frasest[[#This Row],[autor_es]],autorest[autor_es],autorest[nacion_es])</f>
        <v>China</v>
      </c>
      <c r="M1130" t="str">
        <f>_xlfn.XLOOKUP(frasest[[#This Row],[autor_es]],autorest[autor_es],autorest[nacion_la])</f>
        <v>Sinae</v>
      </c>
      <c r="N1130" t="str">
        <f>_xlfn.XLOOKUP(frasest[[#This Row],[autor_es]],autorest[autor_es],autorest[epoca_es])</f>
        <v>Epoca Desconocida</v>
      </c>
      <c r="O1130" t="str">
        <f>_xlfn.XLOOKUP(frasest[[#This Row],[autor_es]],autorest[autor_es],autorest[epoca_la])</f>
        <v>Epocha Ignota</v>
      </c>
    </row>
    <row r="1131" spans="1:15">
      <c r="A1131">
        <v>1130</v>
      </c>
      <c r="B1131" t="s">
        <v>3096</v>
      </c>
      <c r="C1131" t="s">
        <v>3097</v>
      </c>
      <c r="D1131" s="1" t="s">
        <v>3098</v>
      </c>
      <c r="E1131" t="s">
        <v>33</v>
      </c>
      <c r="F1131" t="str">
        <f>_xlfn.XLOOKUP(frasest[[#This Row],[autor_es]],autorest[autor_es],autorest[autor_la])</f>
        <v>Proverbium Sinense</v>
      </c>
      <c r="G1131" s="6" t="str">
        <f>_xlfn.XLOOKUP(frasest[[#This Row],[autor_es]],autorest[autor_es],autorest[bio_es])</f>
        <v>Conjunto de proverbios tradicionales de la cultura china que transmiten sabiduría popular, valores morales y enseñanzas prácticas transmitidas oralmente durante siglos.</v>
      </c>
      <c r="H1131" s="6" t="str">
        <f>_xlfn.XLOOKUP(frasest[[#This Row],[autor_es]],autorest[autor_es],autorest[bio_la])</f>
        <v>Collectio sententiarum Sinensium, magnopere in cultura tradita.</v>
      </c>
      <c r="I1131" t="str">
        <f>_xlfn.XLOOKUP(frasest[[#This Row],[autor_es]],autorest[autor_es],autorest[codigo])</f>
        <v>zh</v>
      </c>
      <c r="J1131" t="str">
        <f>_xlfn.XLOOKUP(frasest[[#This Row],[autor_es]],autorest[autor_es],autorest[idioma_es])</f>
        <v>Chino</v>
      </c>
      <c r="K1131" s="6" t="str">
        <f>_xlfn.XLOOKUP(frasest[[#This Row],[autor_es]],autorest[autor_es],autorest[idioma_la])</f>
        <v>Lingua Sinica</v>
      </c>
      <c r="L1131" s="6" t="str">
        <f>_xlfn.XLOOKUP(frasest[[#This Row],[autor_es]],autorest[autor_es],autorest[nacion_es])</f>
        <v>China</v>
      </c>
      <c r="M1131" t="str">
        <f>_xlfn.XLOOKUP(frasest[[#This Row],[autor_es]],autorest[autor_es],autorest[nacion_la])</f>
        <v>Sinae</v>
      </c>
      <c r="N1131" t="str">
        <f>_xlfn.XLOOKUP(frasest[[#This Row],[autor_es]],autorest[autor_es],autorest[epoca_es])</f>
        <v>Epoca Desconocida</v>
      </c>
      <c r="O1131" t="str">
        <f>_xlfn.XLOOKUP(frasest[[#This Row],[autor_es]],autorest[autor_es],autorest[epoca_la])</f>
        <v>Epocha Ignota</v>
      </c>
    </row>
    <row r="1132" spans="1:15">
      <c r="A1132">
        <v>1131</v>
      </c>
      <c r="B1132" t="s">
        <v>3099</v>
      </c>
      <c r="C1132" t="s">
        <v>3100</v>
      </c>
      <c r="D1132" s="1" t="s">
        <v>3101</v>
      </c>
      <c r="E1132" t="s">
        <v>33</v>
      </c>
      <c r="F1132" t="str">
        <f>_xlfn.XLOOKUP(frasest[[#This Row],[autor_es]],autorest[autor_es],autorest[autor_la])</f>
        <v>Proverbium Sinense</v>
      </c>
      <c r="G1132" s="6" t="str">
        <f>_xlfn.XLOOKUP(frasest[[#This Row],[autor_es]],autorest[autor_es],autorest[bio_es])</f>
        <v>Conjunto de proverbios tradicionales de la cultura china que transmiten sabiduría popular, valores morales y enseñanzas prácticas transmitidas oralmente durante siglos.</v>
      </c>
      <c r="H1132" s="6" t="str">
        <f>_xlfn.XLOOKUP(frasest[[#This Row],[autor_es]],autorest[autor_es],autorest[bio_la])</f>
        <v>Collectio sententiarum Sinensium, magnopere in cultura tradita.</v>
      </c>
      <c r="I1132" t="str">
        <f>_xlfn.XLOOKUP(frasest[[#This Row],[autor_es]],autorest[autor_es],autorest[codigo])</f>
        <v>zh</v>
      </c>
      <c r="J1132" t="str">
        <f>_xlfn.XLOOKUP(frasest[[#This Row],[autor_es]],autorest[autor_es],autorest[idioma_es])</f>
        <v>Chino</v>
      </c>
      <c r="K1132" s="6" t="str">
        <f>_xlfn.XLOOKUP(frasest[[#This Row],[autor_es]],autorest[autor_es],autorest[idioma_la])</f>
        <v>Lingua Sinica</v>
      </c>
      <c r="L1132" s="6" t="str">
        <f>_xlfn.XLOOKUP(frasest[[#This Row],[autor_es]],autorest[autor_es],autorest[nacion_es])</f>
        <v>China</v>
      </c>
      <c r="M1132" t="str">
        <f>_xlfn.XLOOKUP(frasest[[#This Row],[autor_es]],autorest[autor_es],autorest[nacion_la])</f>
        <v>Sinae</v>
      </c>
      <c r="N1132" t="str">
        <f>_xlfn.XLOOKUP(frasest[[#This Row],[autor_es]],autorest[autor_es],autorest[epoca_es])</f>
        <v>Epoca Desconocida</v>
      </c>
      <c r="O1132" t="str">
        <f>_xlfn.XLOOKUP(frasest[[#This Row],[autor_es]],autorest[autor_es],autorest[epoca_la])</f>
        <v>Epocha Ignota</v>
      </c>
    </row>
    <row r="1133" spans="1:15">
      <c r="A1133">
        <v>1132</v>
      </c>
      <c r="B1133" t="s">
        <v>3102</v>
      </c>
      <c r="C1133" t="s">
        <v>3103</v>
      </c>
      <c r="D1133" s="1" t="s">
        <v>3104</v>
      </c>
      <c r="E1133" t="s">
        <v>33</v>
      </c>
      <c r="F1133" t="str">
        <f>_xlfn.XLOOKUP(frasest[[#This Row],[autor_es]],autorest[autor_es],autorest[autor_la])</f>
        <v>Proverbium Sinense</v>
      </c>
      <c r="G1133" s="6" t="str">
        <f>_xlfn.XLOOKUP(frasest[[#This Row],[autor_es]],autorest[autor_es],autorest[bio_es])</f>
        <v>Conjunto de proverbios tradicionales de la cultura china que transmiten sabiduría popular, valores morales y enseñanzas prácticas transmitidas oralmente durante siglos.</v>
      </c>
      <c r="H1133" s="6" t="str">
        <f>_xlfn.XLOOKUP(frasest[[#This Row],[autor_es]],autorest[autor_es],autorest[bio_la])</f>
        <v>Collectio sententiarum Sinensium, magnopere in cultura tradita.</v>
      </c>
      <c r="I1133" t="str">
        <f>_xlfn.XLOOKUP(frasest[[#This Row],[autor_es]],autorest[autor_es],autorest[codigo])</f>
        <v>zh</v>
      </c>
      <c r="J1133" t="str">
        <f>_xlfn.XLOOKUP(frasest[[#This Row],[autor_es]],autorest[autor_es],autorest[idioma_es])</f>
        <v>Chino</v>
      </c>
      <c r="K1133" s="6" t="str">
        <f>_xlfn.XLOOKUP(frasest[[#This Row],[autor_es]],autorest[autor_es],autorest[idioma_la])</f>
        <v>Lingua Sinica</v>
      </c>
      <c r="L1133" s="6" t="str">
        <f>_xlfn.XLOOKUP(frasest[[#This Row],[autor_es]],autorest[autor_es],autorest[nacion_es])</f>
        <v>China</v>
      </c>
      <c r="M1133" t="str">
        <f>_xlfn.XLOOKUP(frasest[[#This Row],[autor_es]],autorest[autor_es],autorest[nacion_la])</f>
        <v>Sinae</v>
      </c>
      <c r="N1133" t="str">
        <f>_xlfn.XLOOKUP(frasest[[#This Row],[autor_es]],autorest[autor_es],autorest[epoca_es])</f>
        <v>Epoca Desconocida</v>
      </c>
      <c r="O1133" t="str">
        <f>_xlfn.XLOOKUP(frasest[[#This Row],[autor_es]],autorest[autor_es],autorest[epoca_la])</f>
        <v>Epocha Ignota</v>
      </c>
    </row>
    <row r="1134" spans="1:15">
      <c r="A1134">
        <v>1133</v>
      </c>
      <c r="B1134" t="s">
        <v>3105</v>
      </c>
      <c r="C1134" t="s">
        <v>3106</v>
      </c>
      <c r="D1134" s="1" t="s">
        <v>3107</v>
      </c>
      <c r="E1134" t="s">
        <v>33</v>
      </c>
      <c r="F1134" t="str">
        <f>_xlfn.XLOOKUP(frasest[[#This Row],[autor_es]],autorest[autor_es],autorest[autor_la])</f>
        <v>Proverbium Sinense</v>
      </c>
      <c r="G1134" s="6" t="str">
        <f>_xlfn.XLOOKUP(frasest[[#This Row],[autor_es]],autorest[autor_es],autorest[bio_es])</f>
        <v>Conjunto de proverbios tradicionales de la cultura china que transmiten sabiduría popular, valores morales y enseñanzas prácticas transmitidas oralmente durante siglos.</v>
      </c>
      <c r="H1134" s="6" t="str">
        <f>_xlfn.XLOOKUP(frasest[[#This Row],[autor_es]],autorest[autor_es],autorest[bio_la])</f>
        <v>Collectio sententiarum Sinensium, magnopere in cultura tradita.</v>
      </c>
      <c r="I1134" t="str">
        <f>_xlfn.XLOOKUP(frasest[[#This Row],[autor_es]],autorest[autor_es],autorest[codigo])</f>
        <v>zh</v>
      </c>
      <c r="J1134" t="str">
        <f>_xlfn.XLOOKUP(frasest[[#This Row],[autor_es]],autorest[autor_es],autorest[idioma_es])</f>
        <v>Chino</v>
      </c>
      <c r="K1134" s="6" t="str">
        <f>_xlfn.XLOOKUP(frasest[[#This Row],[autor_es]],autorest[autor_es],autorest[idioma_la])</f>
        <v>Lingua Sinica</v>
      </c>
      <c r="L1134" s="6" t="str">
        <f>_xlfn.XLOOKUP(frasest[[#This Row],[autor_es]],autorest[autor_es],autorest[nacion_es])</f>
        <v>China</v>
      </c>
      <c r="M1134" t="str">
        <f>_xlfn.XLOOKUP(frasest[[#This Row],[autor_es]],autorest[autor_es],autorest[nacion_la])</f>
        <v>Sinae</v>
      </c>
      <c r="N1134" t="str">
        <f>_xlfn.XLOOKUP(frasest[[#This Row],[autor_es]],autorest[autor_es],autorest[epoca_es])</f>
        <v>Epoca Desconocida</v>
      </c>
      <c r="O1134" t="str">
        <f>_xlfn.XLOOKUP(frasest[[#This Row],[autor_es]],autorest[autor_es],autorest[epoca_la])</f>
        <v>Epocha Ignota</v>
      </c>
    </row>
    <row r="1135" spans="1:15">
      <c r="A1135">
        <v>1134</v>
      </c>
      <c r="B1135" t="s">
        <v>3108</v>
      </c>
      <c r="C1135" t="s">
        <v>3109</v>
      </c>
      <c r="D1135" s="1" t="s">
        <v>3110</v>
      </c>
      <c r="E1135" t="s">
        <v>33</v>
      </c>
      <c r="F1135" t="str">
        <f>_xlfn.XLOOKUP(frasest[[#This Row],[autor_es]],autorest[autor_es],autorest[autor_la])</f>
        <v>Proverbium Sinense</v>
      </c>
      <c r="G1135" s="6" t="str">
        <f>_xlfn.XLOOKUP(frasest[[#This Row],[autor_es]],autorest[autor_es],autorest[bio_es])</f>
        <v>Conjunto de proverbios tradicionales de la cultura china que transmiten sabiduría popular, valores morales y enseñanzas prácticas transmitidas oralmente durante siglos.</v>
      </c>
      <c r="H1135" s="6" t="str">
        <f>_xlfn.XLOOKUP(frasest[[#This Row],[autor_es]],autorest[autor_es],autorest[bio_la])</f>
        <v>Collectio sententiarum Sinensium, magnopere in cultura tradita.</v>
      </c>
      <c r="I1135" t="str">
        <f>_xlfn.XLOOKUP(frasest[[#This Row],[autor_es]],autorest[autor_es],autorest[codigo])</f>
        <v>zh</v>
      </c>
      <c r="J1135" t="str">
        <f>_xlfn.XLOOKUP(frasest[[#This Row],[autor_es]],autorest[autor_es],autorest[idioma_es])</f>
        <v>Chino</v>
      </c>
      <c r="K1135" s="6" t="str">
        <f>_xlfn.XLOOKUP(frasest[[#This Row],[autor_es]],autorest[autor_es],autorest[idioma_la])</f>
        <v>Lingua Sinica</v>
      </c>
      <c r="L1135" s="6" t="str">
        <f>_xlfn.XLOOKUP(frasest[[#This Row],[autor_es]],autorest[autor_es],autorest[nacion_es])</f>
        <v>China</v>
      </c>
      <c r="M1135" t="str">
        <f>_xlfn.XLOOKUP(frasest[[#This Row],[autor_es]],autorest[autor_es],autorest[nacion_la])</f>
        <v>Sinae</v>
      </c>
      <c r="N1135" t="str">
        <f>_xlfn.XLOOKUP(frasest[[#This Row],[autor_es]],autorest[autor_es],autorest[epoca_es])</f>
        <v>Epoca Desconocida</v>
      </c>
      <c r="O1135" t="str">
        <f>_xlfn.XLOOKUP(frasest[[#This Row],[autor_es]],autorest[autor_es],autorest[epoca_la])</f>
        <v>Epocha Ignota</v>
      </c>
    </row>
    <row r="1136" spans="1:15">
      <c r="A1136">
        <v>1135</v>
      </c>
      <c r="B1136" t="s">
        <v>3111</v>
      </c>
      <c r="C1136" t="s">
        <v>3112</v>
      </c>
      <c r="D1136" s="1" t="s">
        <v>3113</v>
      </c>
      <c r="E1136" t="s">
        <v>33</v>
      </c>
      <c r="F1136" t="str">
        <f>_xlfn.XLOOKUP(frasest[[#This Row],[autor_es]],autorest[autor_es],autorest[autor_la])</f>
        <v>Proverbium Sinense</v>
      </c>
      <c r="G1136" s="6" t="str">
        <f>_xlfn.XLOOKUP(frasest[[#This Row],[autor_es]],autorest[autor_es],autorest[bio_es])</f>
        <v>Conjunto de proverbios tradicionales de la cultura china que transmiten sabiduría popular, valores morales y enseñanzas prácticas transmitidas oralmente durante siglos.</v>
      </c>
      <c r="H1136" s="6" t="str">
        <f>_xlfn.XLOOKUP(frasest[[#This Row],[autor_es]],autorest[autor_es],autorest[bio_la])</f>
        <v>Collectio sententiarum Sinensium, magnopere in cultura tradita.</v>
      </c>
      <c r="I1136" t="str">
        <f>_xlfn.XLOOKUP(frasest[[#This Row],[autor_es]],autorest[autor_es],autorest[codigo])</f>
        <v>zh</v>
      </c>
      <c r="J1136" t="str">
        <f>_xlfn.XLOOKUP(frasest[[#This Row],[autor_es]],autorest[autor_es],autorest[idioma_es])</f>
        <v>Chino</v>
      </c>
      <c r="K1136" s="6" t="str">
        <f>_xlfn.XLOOKUP(frasest[[#This Row],[autor_es]],autorest[autor_es],autorest[idioma_la])</f>
        <v>Lingua Sinica</v>
      </c>
      <c r="L1136" s="6" t="str">
        <f>_xlfn.XLOOKUP(frasest[[#This Row],[autor_es]],autorest[autor_es],autorest[nacion_es])</f>
        <v>China</v>
      </c>
      <c r="M1136" t="str">
        <f>_xlfn.XLOOKUP(frasest[[#This Row],[autor_es]],autorest[autor_es],autorest[nacion_la])</f>
        <v>Sinae</v>
      </c>
      <c r="N1136" t="str">
        <f>_xlfn.XLOOKUP(frasest[[#This Row],[autor_es]],autorest[autor_es],autorest[epoca_es])</f>
        <v>Epoca Desconocida</v>
      </c>
      <c r="O1136" t="str">
        <f>_xlfn.XLOOKUP(frasest[[#This Row],[autor_es]],autorest[autor_es],autorest[epoca_la])</f>
        <v>Epocha Ignota</v>
      </c>
    </row>
    <row r="1137" spans="1:15">
      <c r="A1137">
        <v>1136</v>
      </c>
      <c r="B1137" t="s">
        <v>3114</v>
      </c>
      <c r="C1137" t="s">
        <v>3115</v>
      </c>
      <c r="D1137" s="1" t="s">
        <v>3116</v>
      </c>
      <c r="E1137" t="s">
        <v>33</v>
      </c>
      <c r="F1137" t="str">
        <f>_xlfn.XLOOKUP(frasest[[#This Row],[autor_es]],autorest[autor_es],autorest[autor_la])</f>
        <v>Proverbium Sinense</v>
      </c>
      <c r="G1137" s="6" t="str">
        <f>_xlfn.XLOOKUP(frasest[[#This Row],[autor_es]],autorest[autor_es],autorest[bio_es])</f>
        <v>Conjunto de proverbios tradicionales de la cultura china que transmiten sabiduría popular, valores morales y enseñanzas prácticas transmitidas oralmente durante siglos.</v>
      </c>
      <c r="H1137" s="6" t="str">
        <f>_xlfn.XLOOKUP(frasest[[#This Row],[autor_es]],autorest[autor_es],autorest[bio_la])</f>
        <v>Collectio sententiarum Sinensium, magnopere in cultura tradita.</v>
      </c>
      <c r="I1137" t="str">
        <f>_xlfn.XLOOKUP(frasest[[#This Row],[autor_es]],autorest[autor_es],autorest[codigo])</f>
        <v>zh</v>
      </c>
      <c r="J1137" t="str">
        <f>_xlfn.XLOOKUP(frasest[[#This Row],[autor_es]],autorest[autor_es],autorest[idioma_es])</f>
        <v>Chino</v>
      </c>
      <c r="K1137" s="6" t="str">
        <f>_xlfn.XLOOKUP(frasest[[#This Row],[autor_es]],autorest[autor_es],autorest[idioma_la])</f>
        <v>Lingua Sinica</v>
      </c>
      <c r="L1137" s="6" t="str">
        <f>_xlfn.XLOOKUP(frasest[[#This Row],[autor_es]],autorest[autor_es],autorest[nacion_es])</f>
        <v>China</v>
      </c>
      <c r="M1137" t="str">
        <f>_xlfn.XLOOKUP(frasest[[#This Row],[autor_es]],autorest[autor_es],autorest[nacion_la])</f>
        <v>Sinae</v>
      </c>
      <c r="N1137" t="str">
        <f>_xlfn.XLOOKUP(frasest[[#This Row],[autor_es]],autorest[autor_es],autorest[epoca_es])</f>
        <v>Epoca Desconocida</v>
      </c>
      <c r="O1137" t="str">
        <f>_xlfn.XLOOKUP(frasest[[#This Row],[autor_es]],autorest[autor_es],autorest[epoca_la])</f>
        <v>Epocha Ignota</v>
      </c>
    </row>
    <row r="1138" spans="1:15">
      <c r="A1138">
        <v>1137</v>
      </c>
      <c r="B1138" t="s">
        <v>3117</v>
      </c>
      <c r="C1138" t="s">
        <v>3118</v>
      </c>
      <c r="D1138" s="1" t="s">
        <v>3119</v>
      </c>
      <c r="E1138" t="s">
        <v>33</v>
      </c>
      <c r="F1138" t="str">
        <f>_xlfn.XLOOKUP(frasest[[#This Row],[autor_es]],autorest[autor_es],autorest[autor_la])</f>
        <v>Proverbium Sinense</v>
      </c>
      <c r="G1138" s="6" t="str">
        <f>_xlfn.XLOOKUP(frasest[[#This Row],[autor_es]],autorest[autor_es],autorest[bio_es])</f>
        <v>Conjunto de proverbios tradicionales de la cultura china que transmiten sabiduría popular, valores morales y enseñanzas prácticas transmitidas oralmente durante siglos.</v>
      </c>
      <c r="H1138" s="6" t="str">
        <f>_xlfn.XLOOKUP(frasest[[#This Row],[autor_es]],autorest[autor_es],autorest[bio_la])</f>
        <v>Collectio sententiarum Sinensium, magnopere in cultura tradita.</v>
      </c>
      <c r="I1138" t="str">
        <f>_xlfn.XLOOKUP(frasest[[#This Row],[autor_es]],autorest[autor_es],autorest[codigo])</f>
        <v>zh</v>
      </c>
      <c r="J1138" t="str">
        <f>_xlfn.XLOOKUP(frasest[[#This Row],[autor_es]],autorest[autor_es],autorest[idioma_es])</f>
        <v>Chino</v>
      </c>
      <c r="K1138" s="6" t="str">
        <f>_xlfn.XLOOKUP(frasest[[#This Row],[autor_es]],autorest[autor_es],autorest[idioma_la])</f>
        <v>Lingua Sinica</v>
      </c>
      <c r="L1138" s="6" t="str">
        <f>_xlfn.XLOOKUP(frasest[[#This Row],[autor_es]],autorest[autor_es],autorest[nacion_es])</f>
        <v>China</v>
      </c>
      <c r="M1138" t="str">
        <f>_xlfn.XLOOKUP(frasest[[#This Row],[autor_es]],autorest[autor_es],autorest[nacion_la])</f>
        <v>Sinae</v>
      </c>
      <c r="N1138" t="str">
        <f>_xlfn.XLOOKUP(frasest[[#This Row],[autor_es]],autorest[autor_es],autorest[epoca_es])</f>
        <v>Epoca Desconocida</v>
      </c>
      <c r="O1138" t="str">
        <f>_xlfn.XLOOKUP(frasest[[#This Row],[autor_es]],autorest[autor_es],autorest[epoca_la])</f>
        <v>Epocha Ignota</v>
      </c>
    </row>
    <row r="1139" spans="1:15">
      <c r="A1139">
        <v>1138</v>
      </c>
      <c r="B1139" t="s">
        <v>3120</v>
      </c>
      <c r="C1139" t="s">
        <v>3121</v>
      </c>
      <c r="D1139" s="1" t="s">
        <v>3122</v>
      </c>
      <c r="E1139" t="s">
        <v>33</v>
      </c>
      <c r="F1139" t="str">
        <f>_xlfn.XLOOKUP(frasest[[#This Row],[autor_es]],autorest[autor_es],autorest[autor_la])</f>
        <v>Proverbium Sinense</v>
      </c>
      <c r="G1139" s="6" t="str">
        <f>_xlfn.XLOOKUP(frasest[[#This Row],[autor_es]],autorest[autor_es],autorest[bio_es])</f>
        <v>Conjunto de proverbios tradicionales de la cultura china que transmiten sabiduría popular, valores morales y enseñanzas prácticas transmitidas oralmente durante siglos.</v>
      </c>
      <c r="H1139" s="6" t="str">
        <f>_xlfn.XLOOKUP(frasest[[#This Row],[autor_es]],autorest[autor_es],autorest[bio_la])</f>
        <v>Collectio sententiarum Sinensium, magnopere in cultura tradita.</v>
      </c>
      <c r="I1139" t="str">
        <f>_xlfn.XLOOKUP(frasest[[#This Row],[autor_es]],autorest[autor_es],autorest[codigo])</f>
        <v>zh</v>
      </c>
      <c r="J1139" t="str">
        <f>_xlfn.XLOOKUP(frasest[[#This Row],[autor_es]],autorest[autor_es],autorest[idioma_es])</f>
        <v>Chino</v>
      </c>
      <c r="K1139" s="6" t="str">
        <f>_xlfn.XLOOKUP(frasest[[#This Row],[autor_es]],autorest[autor_es],autorest[idioma_la])</f>
        <v>Lingua Sinica</v>
      </c>
      <c r="L1139" s="6" t="str">
        <f>_xlfn.XLOOKUP(frasest[[#This Row],[autor_es]],autorest[autor_es],autorest[nacion_es])</f>
        <v>China</v>
      </c>
      <c r="M1139" t="str">
        <f>_xlfn.XLOOKUP(frasest[[#This Row],[autor_es]],autorest[autor_es],autorest[nacion_la])</f>
        <v>Sinae</v>
      </c>
      <c r="N1139" t="str">
        <f>_xlfn.XLOOKUP(frasest[[#This Row],[autor_es]],autorest[autor_es],autorest[epoca_es])</f>
        <v>Epoca Desconocida</v>
      </c>
      <c r="O1139" t="str">
        <f>_xlfn.XLOOKUP(frasest[[#This Row],[autor_es]],autorest[autor_es],autorest[epoca_la])</f>
        <v>Epocha Ignota</v>
      </c>
    </row>
    <row r="1140" spans="1:15">
      <c r="A1140">
        <v>1139</v>
      </c>
      <c r="B1140" t="s">
        <v>3123</v>
      </c>
      <c r="C1140" t="s">
        <v>3124</v>
      </c>
      <c r="D1140" s="1" t="s">
        <v>3125</v>
      </c>
      <c r="E1140" t="s">
        <v>33</v>
      </c>
      <c r="F1140" t="str">
        <f>_xlfn.XLOOKUP(frasest[[#This Row],[autor_es]],autorest[autor_es],autorest[autor_la])</f>
        <v>Proverbium Sinense</v>
      </c>
      <c r="G1140" s="6" t="str">
        <f>_xlfn.XLOOKUP(frasest[[#This Row],[autor_es]],autorest[autor_es],autorest[bio_es])</f>
        <v>Conjunto de proverbios tradicionales de la cultura china que transmiten sabiduría popular, valores morales y enseñanzas prácticas transmitidas oralmente durante siglos.</v>
      </c>
      <c r="H1140" s="6" t="str">
        <f>_xlfn.XLOOKUP(frasest[[#This Row],[autor_es]],autorest[autor_es],autorest[bio_la])</f>
        <v>Collectio sententiarum Sinensium, magnopere in cultura tradita.</v>
      </c>
      <c r="I1140" t="str">
        <f>_xlfn.XLOOKUP(frasest[[#This Row],[autor_es]],autorest[autor_es],autorest[codigo])</f>
        <v>zh</v>
      </c>
      <c r="J1140" t="str">
        <f>_xlfn.XLOOKUP(frasest[[#This Row],[autor_es]],autorest[autor_es],autorest[idioma_es])</f>
        <v>Chino</v>
      </c>
      <c r="K1140" s="6" t="str">
        <f>_xlfn.XLOOKUP(frasest[[#This Row],[autor_es]],autorest[autor_es],autorest[idioma_la])</f>
        <v>Lingua Sinica</v>
      </c>
      <c r="L1140" s="6" t="str">
        <f>_xlfn.XLOOKUP(frasest[[#This Row],[autor_es]],autorest[autor_es],autorest[nacion_es])</f>
        <v>China</v>
      </c>
      <c r="M1140" t="str">
        <f>_xlfn.XLOOKUP(frasest[[#This Row],[autor_es]],autorest[autor_es],autorest[nacion_la])</f>
        <v>Sinae</v>
      </c>
      <c r="N1140" t="str">
        <f>_xlfn.XLOOKUP(frasest[[#This Row],[autor_es]],autorest[autor_es],autorest[epoca_es])</f>
        <v>Epoca Desconocida</v>
      </c>
      <c r="O1140" t="str">
        <f>_xlfn.XLOOKUP(frasest[[#This Row],[autor_es]],autorest[autor_es],autorest[epoca_la])</f>
        <v>Epocha Ignota</v>
      </c>
    </row>
    <row r="1141" spans="1:15">
      <c r="A1141">
        <v>1140</v>
      </c>
      <c r="B1141" t="s">
        <v>3126</v>
      </c>
      <c r="C1141" t="s">
        <v>3127</v>
      </c>
      <c r="D1141" s="1" t="s">
        <v>3128</v>
      </c>
      <c r="E1141" t="s">
        <v>33</v>
      </c>
      <c r="F1141" t="str">
        <f>_xlfn.XLOOKUP(frasest[[#This Row],[autor_es]],autorest[autor_es],autorest[autor_la])</f>
        <v>Proverbium Sinense</v>
      </c>
      <c r="G1141" s="6" t="str">
        <f>_xlfn.XLOOKUP(frasest[[#This Row],[autor_es]],autorest[autor_es],autorest[bio_es])</f>
        <v>Conjunto de proverbios tradicionales de la cultura china que transmiten sabiduría popular, valores morales y enseñanzas prácticas transmitidas oralmente durante siglos.</v>
      </c>
      <c r="H1141" s="6" t="str">
        <f>_xlfn.XLOOKUP(frasest[[#This Row],[autor_es]],autorest[autor_es],autorest[bio_la])</f>
        <v>Collectio sententiarum Sinensium, magnopere in cultura tradita.</v>
      </c>
      <c r="I1141" t="str">
        <f>_xlfn.XLOOKUP(frasest[[#This Row],[autor_es]],autorest[autor_es],autorest[codigo])</f>
        <v>zh</v>
      </c>
      <c r="J1141" t="str">
        <f>_xlfn.XLOOKUP(frasest[[#This Row],[autor_es]],autorest[autor_es],autorest[idioma_es])</f>
        <v>Chino</v>
      </c>
      <c r="K1141" s="6" t="str">
        <f>_xlfn.XLOOKUP(frasest[[#This Row],[autor_es]],autorest[autor_es],autorest[idioma_la])</f>
        <v>Lingua Sinica</v>
      </c>
      <c r="L1141" s="6" t="str">
        <f>_xlfn.XLOOKUP(frasest[[#This Row],[autor_es]],autorest[autor_es],autorest[nacion_es])</f>
        <v>China</v>
      </c>
      <c r="M1141" t="str">
        <f>_xlfn.XLOOKUP(frasest[[#This Row],[autor_es]],autorest[autor_es],autorest[nacion_la])</f>
        <v>Sinae</v>
      </c>
      <c r="N1141" t="str">
        <f>_xlfn.XLOOKUP(frasest[[#This Row],[autor_es]],autorest[autor_es],autorest[epoca_es])</f>
        <v>Epoca Desconocida</v>
      </c>
      <c r="O1141" t="str">
        <f>_xlfn.XLOOKUP(frasest[[#This Row],[autor_es]],autorest[autor_es],autorest[epoca_la])</f>
        <v>Epocha Ignota</v>
      </c>
    </row>
    <row r="1142" spans="1:15">
      <c r="A1142">
        <v>1141</v>
      </c>
      <c r="B1142" t="s">
        <v>3129</v>
      </c>
      <c r="C1142" t="s">
        <v>3130</v>
      </c>
      <c r="D1142" s="1" t="s">
        <v>3131</v>
      </c>
      <c r="E1142" t="s">
        <v>33</v>
      </c>
      <c r="F1142" t="str">
        <f>_xlfn.XLOOKUP(frasest[[#This Row],[autor_es]],autorest[autor_es],autorest[autor_la])</f>
        <v>Proverbium Sinense</v>
      </c>
      <c r="G1142" s="6" t="str">
        <f>_xlfn.XLOOKUP(frasest[[#This Row],[autor_es]],autorest[autor_es],autorest[bio_es])</f>
        <v>Conjunto de proverbios tradicionales de la cultura china que transmiten sabiduría popular, valores morales y enseñanzas prácticas transmitidas oralmente durante siglos.</v>
      </c>
      <c r="H1142" s="6" t="str">
        <f>_xlfn.XLOOKUP(frasest[[#This Row],[autor_es]],autorest[autor_es],autorest[bio_la])</f>
        <v>Collectio sententiarum Sinensium, magnopere in cultura tradita.</v>
      </c>
      <c r="I1142" t="str">
        <f>_xlfn.XLOOKUP(frasest[[#This Row],[autor_es]],autorest[autor_es],autorest[codigo])</f>
        <v>zh</v>
      </c>
      <c r="J1142" t="str">
        <f>_xlfn.XLOOKUP(frasest[[#This Row],[autor_es]],autorest[autor_es],autorest[idioma_es])</f>
        <v>Chino</v>
      </c>
      <c r="K1142" s="6" t="str">
        <f>_xlfn.XLOOKUP(frasest[[#This Row],[autor_es]],autorest[autor_es],autorest[idioma_la])</f>
        <v>Lingua Sinica</v>
      </c>
      <c r="L1142" s="6" t="str">
        <f>_xlfn.XLOOKUP(frasest[[#This Row],[autor_es]],autorest[autor_es],autorest[nacion_es])</f>
        <v>China</v>
      </c>
      <c r="M1142" t="str">
        <f>_xlfn.XLOOKUP(frasest[[#This Row],[autor_es]],autorest[autor_es],autorest[nacion_la])</f>
        <v>Sinae</v>
      </c>
      <c r="N1142" t="str">
        <f>_xlfn.XLOOKUP(frasest[[#This Row],[autor_es]],autorest[autor_es],autorest[epoca_es])</f>
        <v>Epoca Desconocida</v>
      </c>
      <c r="O1142" t="str">
        <f>_xlfn.XLOOKUP(frasest[[#This Row],[autor_es]],autorest[autor_es],autorest[epoca_la])</f>
        <v>Epocha Ignota</v>
      </c>
    </row>
    <row r="1143" spans="1:15">
      <c r="A1143">
        <v>1142</v>
      </c>
      <c r="B1143" t="s">
        <v>3132</v>
      </c>
      <c r="C1143" t="s">
        <v>3133</v>
      </c>
      <c r="D1143" s="1" t="s">
        <v>3134</v>
      </c>
      <c r="E1143" t="s">
        <v>33</v>
      </c>
      <c r="F1143" t="str">
        <f>_xlfn.XLOOKUP(frasest[[#This Row],[autor_es]],autorest[autor_es],autorest[autor_la])</f>
        <v>Proverbium Sinense</v>
      </c>
      <c r="G1143" s="6" t="str">
        <f>_xlfn.XLOOKUP(frasest[[#This Row],[autor_es]],autorest[autor_es],autorest[bio_es])</f>
        <v>Conjunto de proverbios tradicionales de la cultura china que transmiten sabiduría popular, valores morales y enseñanzas prácticas transmitidas oralmente durante siglos.</v>
      </c>
      <c r="H1143" s="6" t="str">
        <f>_xlfn.XLOOKUP(frasest[[#This Row],[autor_es]],autorest[autor_es],autorest[bio_la])</f>
        <v>Collectio sententiarum Sinensium, magnopere in cultura tradita.</v>
      </c>
      <c r="I1143" t="str">
        <f>_xlfn.XLOOKUP(frasest[[#This Row],[autor_es]],autorest[autor_es],autorest[codigo])</f>
        <v>zh</v>
      </c>
      <c r="J1143" t="str">
        <f>_xlfn.XLOOKUP(frasest[[#This Row],[autor_es]],autorest[autor_es],autorest[idioma_es])</f>
        <v>Chino</v>
      </c>
      <c r="K1143" s="6" t="str">
        <f>_xlfn.XLOOKUP(frasest[[#This Row],[autor_es]],autorest[autor_es],autorest[idioma_la])</f>
        <v>Lingua Sinica</v>
      </c>
      <c r="L1143" s="6" t="str">
        <f>_xlfn.XLOOKUP(frasest[[#This Row],[autor_es]],autorest[autor_es],autorest[nacion_es])</f>
        <v>China</v>
      </c>
      <c r="M1143" t="str">
        <f>_xlfn.XLOOKUP(frasest[[#This Row],[autor_es]],autorest[autor_es],autorest[nacion_la])</f>
        <v>Sinae</v>
      </c>
      <c r="N1143" t="str">
        <f>_xlfn.XLOOKUP(frasest[[#This Row],[autor_es]],autorest[autor_es],autorest[epoca_es])</f>
        <v>Epoca Desconocida</v>
      </c>
      <c r="O1143" t="str">
        <f>_xlfn.XLOOKUP(frasest[[#This Row],[autor_es]],autorest[autor_es],autorest[epoca_la])</f>
        <v>Epocha Ignota</v>
      </c>
    </row>
    <row r="1144" spans="1:15">
      <c r="A1144">
        <v>1143</v>
      </c>
      <c r="B1144" t="s">
        <v>3135</v>
      </c>
      <c r="C1144" t="s">
        <v>3136</v>
      </c>
      <c r="D1144" s="1" t="s">
        <v>3137</v>
      </c>
      <c r="E1144" t="s">
        <v>33</v>
      </c>
      <c r="F1144" t="str">
        <f>_xlfn.XLOOKUP(frasest[[#This Row],[autor_es]],autorest[autor_es],autorest[autor_la])</f>
        <v>Proverbium Sinense</v>
      </c>
      <c r="G1144" s="6" t="str">
        <f>_xlfn.XLOOKUP(frasest[[#This Row],[autor_es]],autorest[autor_es],autorest[bio_es])</f>
        <v>Conjunto de proverbios tradicionales de la cultura china que transmiten sabiduría popular, valores morales y enseñanzas prácticas transmitidas oralmente durante siglos.</v>
      </c>
      <c r="H1144" s="6" t="str">
        <f>_xlfn.XLOOKUP(frasest[[#This Row],[autor_es]],autorest[autor_es],autorest[bio_la])</f>
        <v>Collectio sententiarum Sinensium, magnopere in cultura tradita.</v>
      </c>
      <c r="I1144" t="str">
        <f>_xlfn.XLOOKUP(frasest[[#This Row],[autor_es]],autorest[autor_es],autorest[codigo])</f>
        <v>zh</v>
      </c>
      <c r="J1144" t="str">
        <f>_xlfn.XLOOKUP(frasest[[#This Row],[autor_es]],autorest[autor_es],autorest[idioma_es])</f>
        <v>Chino</v>
      </c>
      <c r="K1144" s="6" t="str">
        <f>_xlfn.XLOOKUP(frasest[[#This Row],[autor_es]],autorest[autor_es],autorest[idioma_la])</f>
        <v>Lingua Sinica</v>
      </c>
      <c r="L1144" s="6" t="str">
        <f>_xlfn.XLOOKUP(frasest[[#This Row],[autor_es]],autorest[autor_es],autorest[nacion_es])</f>
        <v>China</v>
      </c>
      <c r="M1144" t="str">
        <f>_xlfn.XLOOKUP(frasest[[#This Row],[autor_es]],autorest[autor_es],autorest[nacion_la])</f>
        <v>Sinae</v>
      </c>
      <c r="N1144" t="str">
        <f>_xlfn.XLOOKUP(frasest[[#This Row],[autor_es]],autorest[autor_es],autorest[epoca_es])</f>
        <v>Epoca Desconocida</v>
      </c>
      <c r="O1144" t="str">
        <f>_xlfn.XLOOKUP(frasest[[#This Row],[autor_es]],autorest[autor_es],autorest[epoca_la])</f>
        <v>Epocha Ignota</v>
      </c>
    </row>
    <row r="1145" spans="1:15">
      <c r="A1145">
        <v>1144</v>
      </c>
      <c r="B1145" t="s">
        <v>3138</v>
      </c>
      <c r="C1145" t="s">
        <v>3139</v>
      </c>
      <c r="D1145" s="1" t="s">
        <v>3140</v>
      </c>
      <c r="E1145" t="s">
        <v>33</v>
      </c>
      <c r="F1145" t="str">
        <f>_xlfn.XLOOKUP(frasest[[#This Row],[autor_es]],autorest[autor_es],autorest[autor_la])</f>
        <v>Proverbium Sinense</v>
      </c>
      <c r="G1145" s="6" t="str">
        <f>_xlfn.XLOOKUP(frasest[[#This Row],[autor_es]],autorest[autor_es],autorest[bio_es])</f>
        <v>Conjunto de proverbios tradicionales de la cultura china que transmiten sabiduría popular, valores morales y enseñanzas prácticas transmitidas oralmente durante siglos.</v>
      </c>
      <c r="H1145" s="6" t="str">
        <f>_xlfn.XLOOKUP(frasest[[#This Row],[autor_es]],autorest[autor_es],autorest[bio_la])</f>
        <v>Collectio sententiarum Sinensium, magnopere in cultura tradita.</v>
      </c>
      <c r="I1145" t="str">
        <f>_xlfn.XLOOKUP(frasest[[#This Row],[autor_es]],autorest[autor_es],autorest[codigo])</f>
        <v>zh</v>
      </c>
      <c r="J1145" t="str">
        <f>_xlfn.XLOOKUP(frasest[[#This Row],[autor_es]],autorest[autor_es],autorest[idioma_es])</f>
        <v>Chino</v>
      </c>
      <c r="K1145" s="6" t="str">
        <f>_xlfn.XLOOKUP(frasest[[#This Row],[autor_es]],autorest[autor_es],autorest[idioma_la])</f>
        <v>Lingua Sinica</v>
      </c>
      <c r="L1145" s="6" t="str">
        <f>_xlfn.XLOOKUP(frasest[[#This Row],[autor_es]],autorest[autor_es],autorest[nacion_es])</f>
        <v>China</v>
      </c>
      <c r="M1145" t="str">
        <f>_xlfn.XLOOKUP(frasest[[#This Row],[autor_es]],autorest[autor_es],autorest[nacion_la])</f>
        <v>Sinae</v>
      </c>
      <c r="N1145" t="str">
        <f>_xlfn.XLOOKUP(frasest[[#This Row],[autor_es]],autorest[autor_es],autorest[epoca_es])</f>
        <v>Epoca Desconocida</v>
      </c>
      <c r="O1145" t="str">
        <f>_xlfn.XLOOKUP(frasest[[#This Row],[autor_es]],autorest[autor_es],autorest[epoca_la])</f>
        <v>Epocha Ignota</v>
      </c>
    </row>
    <row r="1146" spans="1:15">
      <c r="A1146">
        <v>1145</v>
      </c>
      <c r="B1146" t="s">
        <v>3141</v>
      </c>
      <c r="C1146" t="s">
        <v>3142</v>
      </c>
      <c r="D1146" s="1" t="s">
        <v>3143</v>
      </c>
      <c r="E1146" t="s">
        <v>33</v>
      </c>
      <c r="F1146" t="str">
        <f>_xlfn.XLOOKUP(frasest[[#This Row],[autor_es]],autorest[autor_es],autorest[autor_la])</f>
        <v>Proverbium Sinense</v>
      </c>
      <c r="G1146" s="6" t="str">
        <f>_xlfn.XLOOKUP(frasest[[#This Row],[autor_es]],autorest[autor_es],autorest[bio_es])</f>
        <v>Conjunto de proverbios tradicionales de la cultura china que transmiten sabiduría popular, valores morales y enseñanzas prácticas transmitidas oralmente durante siglos.</v>
      </c>
      <c r="H1146" s="6" t="str">
        <f>_xlfn.XLOOKUP(frasest[[#This Row],[autor_es]],autorest[autor_es],autorest[bio_la])</f>
        <v>Collectio sententiarum Sinensium, magnopere in cultura tradita.</v>
      </c>
      <c r="I1146" t="str">
        <f>_xlfn.XLOOKUP(frasest[[#This Row],[autor_es]],autorest[autor_es],autorest[codigo])</f>
        <v>zh</v>
      </c>
      <c r="J1146" t="str">
        <f>_xlfn.XLOOKUP(frasest[[#This Row],[autor_es]],autorest[autor_es],autorest[idioma_es])</f>
        <v>Chino</v>
      </c>
      <c r="K1146" s="6" t="str">
        <f>_xlfn.XLOOKUP(frasest[[#This Row],[autor_es]],autorest[autor_es],autorest[idioma_la])</f>
        <v>Lingua Sinica</v>
      </c>
      <c r="L1146" s="6" t="str">
        <f>_xlfn.XLOOKUP(frasest[[#This Row],[autor_es]],autorest[autor_es],autorest[nacion_es])</f>
        <v>China</v>
      </c>
      <c r="M1146" t="str">
        <f>_xlfn.XLOOKUP(frasest[[#This Row],[autor_es]],autorest[autor_es],autorest[nacion_la])</f>
        <v>Sinae</v>
      </c>
      <c r="N1146" t="str">
        <f>_xlfn.XLOOKUP(frasest[[#This Row],[autor_es]],autorest[autor_es],autorest[epoca_es])</f>
        <v>Epoca Desconocida</v>
      </c>
      <c r="O1146" t="str">
        <f>_xlfn.XLOOKUP(frasest[[#This Row],[autor_es]],autorest[autor_es],autorest[epoca_la])</f>
        <v>Epocha Ignota</v>
      </c>
    </row>
    <row r="1147" spans="1:15">
      <c r="A1147">
        <v>1146</v>
      </c>
      <c r="B1147" t="s">
        <v>3144</v>
      </c>
      <c r="C1147" t="s">
        <v>3145</v>
      </c>
      <c r="D1147" s="1" t="s">
        <v>3146</v>
      </c>
      <c r="E1147" t="s">
        <v>33</v>
      </c>
      <c r="F1147" t="str">
        <f>_xlfn.XLOOKUP(frasest[[#This Row],[autor_es]],autorest[autor_es],autorest[autor_la])</f>
        <v>Proverbium Sinense</v>
      </c>
      <c r="G1147" s="6" t="str">
        <f>_xlfn.XLOOKUP(frasest[[#This Row],[autor_es]],autorest[autor_es],autorest[bio_es])</f>
        <v>Conjunto de proverbios tradicionales de la cultura china que transmiten sabiduría popular, valores morales y enseñanzas prácticas transmitidas oralmente durante siglos.</v>
      </c>
      <c r="H1147" s="6" t="str">
        <f>_xlfn.XLOOKUP(frasest[[#This Row],[autor_es]],autorest[autor_es],autorest[bio_la])</f>
        <v>Collectio sententiarum Sinensium, magnopere in cultura tradita.</v>
      </c>
      <c r="I1147" t="str">
        <f>_xlfn.XLOOKUP(frasest[[#This Row],[autor_es]],autorest[autor_es],autorest[codigo])</f>
        <v>zh</v>
      </c>
      <c r="J1147" t="str">
        <f>_xlfn.XLOOKUP(frasest[[#This Row],[autor_es]],autorest[autor_es],autorest[idioma_es])</f>
        <v>Chino</v>
      </c>
      <c r="K1147" s="6" t="str">
        <f>_xlfn.XLOOKUP(frasest[[#This Row],[autor_es]],autorest[autor_es],autorest[idioma_la])</f>
        <v>Lingua Sinica</v>
      </c>
      <c r="L1147" s="6" t="str">
        <f>_xlfn.XLOOKUP(frasest[[#This Row],[autor_es]],autorest[autor_es],autorest[nacion_es])</f>
        <v>China</v>
      </c>
      <c r="M1147" t="str">
        <f>_xlfn.XLOOKUP(frasest[[#This Row],[autor_es]],autorest[autor_es],autorest[nacion_la])</f>
        <v>Sinae</v>
      </c>
      <c r="N1147" t="str">
        <f>_xlfn.XLOOKUP(frasest[[#This Row],[autor_es]],autorest[autor_es],autorest[epoca_es])</f>
        <v>Epoca Desconocida</v>
      </c>
      <c r="O1147" t="str">
        <f>_xlfn.XLOOKUP(frasest[[#This Row],[autor_es]],autorest[autor_es],autorest[epoca_la])</f>
        <v>Epocha Ignota</v>
      </c>
    </row>
    <row r="1148" spans="1:15">
      <c r="A1148">
        <v>1147</v>
      </c>
      <c r="B1148" t="s">
        <v>3147</v>
      </c>
      <c r="C1148" t="s">
        <v>3148</v>
      </c>
      <c r="D1148" s="1" t="s">
        <v>3149</v>
      </c>
      <c r="E1148" t="s">
        <v>33</v>
      </c>
      <c r="F1148" t="str">
        <f>_xlfn.XLOOKUP(frasest[[#This Row],[autor_es]],autorest[autor_es],autorest[autor_la])</f>
        <v>Proverbium Sinense</v>
      </c>
      <c r="G1148" s="6" t="str">
        <f>_xlfn.XLOOKUP(frasest[[#This Row],[autor_es]],autorest[autor_es],autorest[bio_es])</f>
        <v>Conjunto de proverbios tradicionales de la cultura china que transmiten sabiduría popular, valores morales y enseñanzas prácticas transmitidas oralmente durante siglos.</v>
      </c>
      <c r="H1148" s="6" t="str">
        <f>_xlfn.XLOOKUP(frasest[[#This Row],[autor_es]],autorest[autor_es],autorest[bio_la])</f>
        <v>Collectio sententiarum Sinensium, magnopere in cultura tradita.</v>
      </c>
      <c r="I1148" t="str">
        <f>_xlfn.XLOOKUP(frasest[[#This Row],[autor_es]],autorest[autor_es],autorest[codigo])</f>
        <v>zh</v>
      </c>
      <c r="J1148" t="str">
        <f>_xlfn.XLOOKUP(frasest[[#This Row],[autor_es]],autorest[autor_es],autorest[idioma_es])</f>
        <v>Chino</v>
      </c>
      <c r="K1148" s="6" t="str">
        <f>_xlfn.XLOOKUP(frasest[[#This Row],[autor_es]],autorest[autor_es],autorest[idioma_la])</f>
        <v>Lingua Sinica</v>
      </c>
      <c r="L1148" s="6" t="str">
        <f>_xlfn.XLOOKUP(frasest[[#This Row],[autor_es]],autorest[autor_es],autorest[nacion_es])</f>
        <v>China</v>
      </c>
      <c r="M1148" t="str">
        <f>_xlfn.XLOOKUP(frasest[[#This Row],[autor_es]],autorest[autor_es],autorest[nacion_la])</f>
        <v>Sinae</v>
      </c>
      <c r="N1148" t="str">
        <f>_xlfn.XLOOKUP(frasest[[#This Row],[autor_es]],autorest[autor_es],autorest[epoca_es])</f>
        <v>Epoca Desconocida</v>
      </c>
      <c r="O1148" t="str">
        <f>_xlfn.XLOOKUP(frasest[[#This Row],[autor_es]],autorest[autor_es],autorest[epoca_la])</f>
        <v>Epocha Ignota</v>
      </c>
    </row>
    <row r="1149" spans="1:15">
      <c r="A1149">
        <v>1148</v>
      </c>
      <c r="B1149" t="s">
        <v>3150</v>
      </c>
      <c r="C1149" t="s">
        <v>3151</v>
      </c>
      <c r="D1149" s="1" t="s">
        <v>3152</v>
      </c>
      <c r="E1149" t="s">
        <v>33</v>
      </c>
      <c r="F1149" t="str">
        <f>_xlfn.XLOOKUP(frasest[[#This Row],[autor_es]],autorest[autor_es],autorest[autor_la])</f>
        <v>Proverbium Sinense</v>
      </c>
      <c r="G1149" s="6" t="str">
        <f>_xlfn.XLOOKUP(frasest[[#This Row],[autor_es]],autorest[autor_es],autorest[bio_es])</f>
        <v>Conjunto de proverbios tradicionales de la cultura china que transmiten sabiduría popular, valores morales y enseñanzas prácticas transmitidas oralmente durante siglos.</v>
      </c>
      <c r="H1149" s="6" t="str">
        <f>_xlfn.XLOOKUP(frasest[[#This Row],[autor_es]],autorest[autor_es],autorest[bio_la])</f>
        <v>Collectio sententiarum Sinensium, magnopere in cultura tradita.</v>
      </c>
      <c r="I1149" t="str">
        <f>_xlfn.XLOOKUP(frasest[[#This Row],[autor_es]],autorest[autor_es],autorest[codigo])</f>
        <v>zh</v>
      </c>
      <c r="J1149" t="str">
        <f>_xlfn.XLOOKUP(frasest[[#This Row],[autor_es]],autorest[autor_es],autorest[idioma_es])</f>
        <v>Chino</v>
      </c>
      <c r="K1149" s="6" t="str">
        <f>_xlfn.XLOOKUP(frasest[[#This Row],[autor_es]],autorest[autor_es],autorest[idioma_la])</f>
        <v>Lingua Sinica</v>
      </c>
      <c r="L1149" s="6" t="str">
        <f>_xlfn.XLOOKUP(frasest[[#This Row],[autor_es]],autorest[autor_es],autorest[nacion_es])</f>
        <v>China</v>
      </c>
      <c r="M1149" t="str">
        <f>_xlfn.XLOOKUP(frasest[[#This Row],[autor_es]],autorest[autor_es],autorest[nacion_la])</f>
        <v>Sinae</v>
      </c>
      <c r="N1149" t="str">
        <f>_xlfn.XLOOKUP(frasest[[#This Row],[autor_es]],autorest[autor_es],autorest[epoca_es])</f>
        <v>Epoca Desconocida</v>
      </c>
      <c r="O1149" t="str">
        <f>_xlfn.XLOOKUP(frasest[[#This Row],[autor_es]],autorest[autor_es],autorest[epoca_la])</f>
        <v>Epocha Ignota</v>
      </c>
    </row>
    <row r="1150" spans="1:15">
      <c r="A1150">
        <v>1149</v>
      </c>
      <c r="B1150" t="s">
        <v>3153</v>
      </c>
      <c r="C1150" t="s">
        <v>3154</v>
      </c>
      <c r="D1150" s="1" t="s">
        <v>3155</v>
      </c>
      <c r="E1150" t="s">
        <v>33</v>
      </c>
      <c r="F1150" t="str">
        <f>_xlfn.XLOOKUP(frasest[[#This Row],[autor_es]],autorest[autor_es],autorest[autor_la])</f>
        <v>Proverbium Sinense</v>
      </c>
      <c r="G1150" s="6" t="str">
        <f>_xlfn.XLOOKUP(frasest[[#This Row],[autor_es]],autorest[autor_es],autorest[bio_es])</f>
        <v>Conjunto de proverbios tradicionales de la cultura china que transmiten sabiduría popular, valores morales y enseñanzas prácticas transmitidas oralmente durante siglos.</v>
      </c>
      <c r="H1150" s="6" t="str">
        <f>_xlfn.XLOOKUP(frasest[[#This Row],[autor_es]],autorest[autor_es],autorest[bio_la])</f>
        <v>Collectio sententiarum Sinensium, magnopere in cultura tradita.</v>
      </c>
      <c r="I1150" t="str">
        <f>_xlfn.XLOOKUP(frasest[[#This Row],[autor_es]],autorest[autor_es],autorest[codigo])</f>
        <v>zh</v>
      </c>
      <c r="J1150" t="str">
        <f>_xlfn.XLOOKUP(frasest[[#This Row],[autor_es]],autorest[autor_es],autorest[idioma_es])</f>
        <v>Chino</v>
      </c>
      <c r="K1150" s="6" t="str">
        <f>_xlfn.XLOOKUP(frasest[[#This Row],[autor_es]],autorest[autor_es],autorest[idioma_la])</f>
        <v>Lingua Sinica</v>
      </c>
      <c r="L1150" s="6" t="str">
        <f>_xlfn.XLOOKUP(frasest[[#This Row],[autor_es]],autorest[autor_es],autorest[nacion_es])</f>
        <v>China</v>
      </c>
      <c r="M1150" t="str">
        <f>_xlfn.XLOOKUP(frasest[[#This Row],[autor_es]],autorest[autor_es],autorest[nacion_la])</f>
        <v>Sinae</v>
      </c>
      <c r="N1150" t="str">
        <f>_xlfn.XLOOKUP(frasest[[#This Row],[autor_es]],autorest[autor_es],autorest[epoca_es])</f>
        <v>Epoca Desconocida</v>
      </c>
      <c r="O1150" t="str">
        <f>_xlfn.XLOOKUP(frasest[[#This Row],[autor_es]],autorest[autor_es],autorest[epoca_la])</f>
        <v>Epocha Ignota</v>
      </c>
    </row>
    <row r="1151" spans="1:15">
      <c r="A1151">
        <v>1150</v>
      </c>
      <c r="B1151" t="s">
        <v>3156</v>
      </c>
      <c r="C1151" t="s">
        <v>3157</v>
      </c>
      <c r="D1151" s="1" t="s">
        <v>2890</v>
      </c>
      <c r="E1151" t="s">
        <v>33</v>
      </c>
      <c r="F1151" t="str">
        <f>_xlfn.XLOOKUP(frasest[[#This Row],[autor_es]],autorest[autor_es],autorest[autor_la])</f>
        <v>Proverbium Sinense</v>
      </c>
      <c r="G1151" s="6" t="str">
        <f>_xlfn.XLOOKUP(frasest[[#This Row],[autor_es]],autorest[autor_es],autorest[bio_es])</f>
        <v>Conjunto de proverbios tradicionales de la cultura china que transmiten sabiduría popular, valores morales y enseñanzas prácticas transmitidas oralmente durante siglos.</v>
      </c>
      <c r="H1151" s="6" t="str">
        <f>_xlfn.XLOOKUP(frasest[[#This Row],[autor_es]],autorest[autor_es],autorest[bio_la])</f>
        <v>Collectio sententiarum Sinensium, magnopere in cultura tradita.</v>
      </c>
      <c r="I1151" t="str">
        <f>_xlfn.XLOOKUP(frasest[[#This Row],[autor_es]],autorest[autor_es],autorest[codigo])</f>
        <v>zh</v>
      </c>
      <c r="J1151" t="str">
        <f>_xlfn.XLOOKUP(frasest[[#This Row],[autor_es]],autorest[autor_es],autorest[idioma_es])</f>
        <v>Chino</v>
      </c>
      <c r="K1151" s="6" t="str">
        <f>_xlfn.XLOOKUP(frasest[[#This Row],[autor_es]],autorest[autor_es],autorest[idioma_la])</f>
        <v>Lingua Sinica</v>
      </c>
      <c r="L1151" s="6" t="str">
        <f>_xlfn.XLOOKUP(frasest[[#This Row],[autor_es]],autorest[autor_es],autorest[nacion_es])</f>
        <v>China</v>
      </c>
      <c r="M1151" t="str">
        <f>_xlfn.XLOOKUP(frasest[[#This Row],[autor_es]],autorest[autor_es],autorest[nacion_la])</f>
        <v>Sinae</v>
      </c>
      <c r="N1151" t="str">
        <f>_xlfn.XLOOKUP(frasest[[#This Row],[autor_es]],autorest[autor_es],autorest[epoca_es])</f>
        <v>Epoca Desconocida</v>
      </c>
      <c r="O1151" t="str">
        <f>_xlfn.XLOOKUP(frasest[[#This Row],[autor_es]],autorest[autor_es],autorest[epoca_la])</f>
        <v>Epocha Ignota</v>
      </c>
    </row>
    <row r="1152" spans="1:15">
      <c r="A1152">
        <v>1151</v>
      </c>
      <c r="B1152" t="s">
        <v>3158</v>
      </c>
      <c r="C1152" t="s">
        <v>3159</v>
      </c>
      <c r="D1152" s="1" t="s">
        <v>3160</v>
      </c>
      <c r="E1152" t="s">
        <v>33</v>
      </c>
      <c r="F1152" t="str">
        <f>_xlfn.XLOOKUP(frasest[[#This Row],[autor_es]],autorest[autor_es],autorest[autor_la])</f>
        <v>Proverbium Sinense</v>
      </c>
      <c r="G1152" s="6" t="str">
        <f>_xlfn.XLOOKUP(frasest[[#This Row],[autor_es]],autorest[autor_es],autorest[bio_es])</f>
        <v>Conjunto de proverbios tradicionales de la cultura china que transmiten sabiduría popular, valores morales y enseñanzas prácticas transmitidas oralmente durante siglos.</v>
      </c>
      <c r="H1152" s="6" t="str">
        <f>_xlfn.XLOOKUP(frasest[[#This Row],[autor_es]],autorest[autor_es],autorest[bio_la])</f>
        <v>Collectio sententiarum Sinensium, magnopere in cultura tradita.</v>
      </c>
      <c r="I1152" t="str">
        <f>_xlfn.XLOOKUP(frasest[[#This Row],[autor_es]],autorest[autor_es],autorest[codigo])</f>
        <v>zh</v>
      </c>
      <c r="J1152" t="str">
        <f>_xlfn.XLOOKUP(frasest[[#This Row],[autor_es]],autorest[autor_es],autorest[idioma_es])</f>
        <v>Chino</v>
      </c>
      <c r="K1152" s="6" t="str">
        <f>_xlfn.XLOOKUP(frasest[[#This Row],[autor_es]],autorest[autor_es],autorest[idioma_la])</f>
        <v>Lingua Sinica</v>
      </c>
      <c r="L1152" s="6" t="str">
        <f>_xlfn.XLOOKUP(frasest[[#This Row],[autor_es]],autorest[autor_es],autorest[nacion_es])</f>
        <v>China</v>
      </c>
      <c r="M1152" t="str">
        <f>_xlfn.XLOOKUP(frasest[[#This Row],[autor_es]],autorest[autor_es],autorest[nacion_la])</f>
        <v>Sinae</v>
      </c>
      <c r="N1152" t="str">
        <f>_xlfn.XLOOKUP(frasest[[#This Row],[autor_es]],autorest[autor_es],autorest[epoca_es])</f>
        <v>Epoca Desconocida</v>
      </c>
      <c r="O1152" t="str">
        <f>_xlfn.XLOOKUP(frasest[[#This Row],[autor_es]],autorest[autor_es],autorest[epoca_la])</f>
        <v>Epocha Ignota</v>
      </c>
    </row>
    <row r="1153" spans="1:15">
      <c r="A1153">
        <v>1152</v>
      </c>
      <c r="B1153" t="s">
        <v>3161</v>
      </c>
      <c r="C1153" t="s">
        <v>3162</v>
      </c>
      <c r="D1153" s="1" t="s">
        <v>3163</v>
      </c>
      <c r="E1153" t="s">
        <v>33</v>
      </c>
      <c r="F1153" t="str">
        <f>_xlfn.XLOOKUP(frasest[[#This Row],[autor_es]],autorest[autor_es],autorest[autor_la])</f>
        <v>Proverbium Sinense</v>
      </c>
      <c r="G1153" s="6" t="str">
        <f>_xlfn.XLOOKUP(frasest[[#This Row],[autor_es]],autorest[autor_es],autorest[bio_es])</f>
        <v>Conjunto de proverbios tradicionales de la cultura china que transmiten sabiduría popular, valores morales y enseñanzas prácticas transmitidas oralmente durante siglos.</v>
      </c>
      <c r="H1153" s="6" t="str">
        <f>_xlfn.XLOOKUP(frasest[[#This Row],[autor_es]],autorest[autor_es],autorest[bio_la])</f>
        <v>Collectio sententiarum Sinensium, magnopere in cultura tradita.</v>
      </c>
      <c r="I1153" t="str">
        <f>_xlfn.XLOOKUP(frasest[[#This Row],[autor_es]],autorest[autor_es],autorest[codigo])</f>
        <v>zh</v>
      </c>
      <c r="J1153" t="str">
        <f>_xlfn.XLOOKUP(frasest[[#This Row],[autor_es]],autorest[autor_es],autorest[idioma_es])</f>
        <v>Chino</v>
      </c>
      <c r="K1153" s="6" t="str">
        <f>_xlfn.XLOOKUP(frasest[[#This Row],[autor_es]],autorest[autor_es],autorest[idioma_la])</f>
        <v>Lingua Sinica</v>
      </c>
      <c r="L1153" s="6" t="str">
        <f>_xlfn.XLOOKUP(frasest[[#This Row],[autor_es]],autorest[autor_es],autorest[nacion_es])</f>
        <v>China</v>
      </c>
      <c r="M1153" t="str">
        <f>_xlfn.XLOOKUP(frasest[[#This Row],[autor_es]],autorest[autor_es],autorest[nacion_la])</f>
        <v>Sinae</v>
      </c>
      <c r="N1153" t="str">
        <f>_xlfn.XLOOKUP(frasest[[#This Row],[autor_es]],autorest[autor_es],autorest[epoca_es])</f>
        <v>Epoca Desconocida</v>
      </c>
      <c r="O1153" t="str">
        <f>_xlfn.XLOOKUP(frasest[[#This Row],[autor_es]],autorest[autor_es],autorest[epoca_la])</f>
        <v>Epocha Ignota</v>
      </c>
    </row>
    <row r="1154" spans="1:15">
      <c r="A1154">
        <v>1153</v>
      </c>
      <c r="B1154" t="s">
        <v>3164</v>
      </c>
      <c r="C1154" t="s">
        <v>3165</v>
      </c>
      <c r="D1154" s="1" t="s">
        <v>3166</v>
      </c>
      <c r="E1154" t="s">
        <v>33</v>
      </c>
      <c r="F1154" t="str">
        <f>_xlfn.XLOOKUP(frasest[[#This Row],[autor_es]],autorest[autor_es],autorest[autor_la])</f>
        <v>Proverbium Sinense</v>
      </c>
      <c r="G1154" s="6" t="str">
        <f>_xlfn.XLOOKUP(frasest[[#This Row],[autor_es]],autorest[autor_es],autorest[bio_es])</f>
        <v>Conjunto de proverbios tradicionales de la cultura china que transmiten sabiduría popular, valores morales y enseñanzas prácticas transmitidas oralmente durante siglos.</v>
      </c>
      <c r="H1154" s="6" t="str">
        <f>_xlfn.XLOOKUP(frasest[[#This Row],[autor_es]],autorest[autor_es],autorest[bio_la])</f>
        <v>Collectio sententiarum Sinensium, magnopere in cultura tradita.</v>
      </c>
      <c r="I1154" t="str">
        <f>_xlfn.XLOOKUP(frasest[[#This Row],[autor_es]],autorest[autor_es],autorest[codigo])</f>
        <v>zh</v>
      </c>
      <c r="J1154" t="str">
        <f>_xlfn.XLOOKUP(frasest[[#This Row],[autor_es]],autorest[autor_es],autorest[idioma_es])</f>
        <v>Chino</v>
      </c>
      <c r="K1154" s="6" t="str">
        <f>_xlfn.XLOOKUP(frasest[[#This Row],[autor_es]],autorest[autor_es],autorest[idioma_la])</f>
        <v>Lingua Sinica</v>
      </c>
      <c r="L1154" s="6" t="str">
        <f>_xlfn.XLOOKUP(frasest[[#This Row],[autor_es]],autorest[autor_es],autorest[nacion_es])</f>
        <v>China</v>
      </c>
      <c r="M1154" t="str">
        <f>_xlfn.XLOOKUP(frasest[[#This Row],[autor_es]],autorest[autor_es],autorest[nacion_la])</f>
        <v>Sinae</v>
      </c>
      <c r="N1154" t="str">
        <f>_xlfn.XLOOKUP(frasest[[#This Row],[autor_es]],autorest[autor_es],autorest[epoca_es])</f>
        <v>Epoca Desconocida</v>
      </c>
      <c r="O1154" t="str">
        <f>_xlfn.XLOOKUP(frasest[[#This Row],[autor_es]],autorest[autor_es],autorest[epoca_la])</f>
        <v>Epocha Ignota</v>
      </c>
    </row>
    <row r="1155" spans="1:15">
      <c r="A1155">
        <v>1154</v>
      </c>
      <c r="B1155" t="s">
        <v>3167</v>
      </c>
      <c r="C1155" t="s">
        <v>3168</v>
      </c>
      <c r="D1155" s="1" t="s">
        <v>3169</v>
      </c>
      <c r="E1155" t="s">
        <v>33</v>
      </c>
      <c r="F1155" t="str">
        <f>_xlfn.XLOOKUP(frasest[[#This Row],[autor_es]],autorest[autor_es],autorest[autor_la])</f>
        <v>Proverbium Sinense</v>
      </c>
      <c r="G1155" s="6" t="str">
        <f>_xlfn.XLOOKUP(frasest[[#This Row],[autor_es]],autorest[autor_es],autorest[bio_es])</f>
        <v>Conjunto de proverbios tradicionales de la cultura china que transmiten sabiduría popular, valores morales y enseñanzas prácticas transmitidas oralmente durante siglos.</v>
      </c>
      <c r="H1155" s="6" t="str">
        <f>_xlfn.XLOOKUP(frasest[[#This Row],[autor_es]],autorest[autor_es],autorest[bio_la])</f>
        <v>Collectio sententiarum Sinensium, magnopere in cultura tradita.</v>
      </c>
      <c r="I1155" t="str">
        <f>_xlfn.XLOOKUP(frasest[[#This Row],[autor_es]],autorest[autor_es],autorest[codigo])</f>
        <v>zh</v>
      </c>
      <c r="J1155" t="str">
        <f>_xlfn.XLOOKUP(frasest[[#This Row],[autor_es]],autorest[autor_es],autorest[idioma_es])</f>
        <v>Chino</v>
      </c>
      <c r="K1155" s="6" t="str">
        <f>_xlfn.XLOOKUP(frasest[[#This Row],[autor_es]],autorest[autor_es],autorest[idioma_la])</f>
        <v>Lingua Sinica</v>
      </c>
      <c r="L1155" s="6" t="str">
        <f>_xlfn.XLOOKUP(frasest[[#This Row],[autor_es]],autorest[autor_es],autorest[nacion_es])</f>
        <v>China</v>
      </c>
      <c r="M1155" t="str">
        <f>_xlfn.XLOOKUP(frasest[[#This Row],[autor_es]],autorest[autor_es],autorest[nacion_la])</f>
        <v>Sinae</v>
      </c>
      <c r="N1155" t="str">
        <f>_xlfn.XLOOKUP(frasest[[#This Row],[autor_es]],autorest[autor_es],autorest[epoca_es])</f>
        <v>Epoca Desconocida</v>
      </c>
      <c r="O1155" t="str">
        <f>_xlfn.XLOOKUP(frasest[[#This Row],[autor_es]],autorest[autor_es],autorest[epoca_la])</f>
        <v>Epocha Ignota</v>
      </c>
    </row>
    <row r="1156" spans="1:15">
      <c r="A1156">
        <v>1155</v>
      </c>
      <c r="B1156" t="s">
        <v>3170</v>
      </c>
      <c r="C1156" t="s">
        <v>3171</v>
      </c>
      <c r="D1156" s="1" t="s">
        <v>3172</v>
      </c>
      <c r="E1156" t="s">
        <v>33</v>
      </c>
      <c r="F1156" t="str">
        <f>_xlfn.XLOOKUP(frasest[[#This Row],[autor_es]],autorest[autor_es],autorest[autor_la])</f>
        <v>Proverbium Sinense</v>
      </c>
      <c r="G1156" s="6" t="str">
        <f>_xlfn.XLOOKUP(frasest[[#This Row],[autor_es]],autorest[autor_es],autorest[bio_es])</f>
        <v>Conjunto de proverbios tradicionales de la cultura china que transmiten sabiduría popular, valores morales y enseñanzas prácticas transmitidas oralmente durante siglos.</v>
      </c>
      <c r="H1156" s="6" t="str">
        <f>_xlfn.XLOOKUP(frasest[[#This Row],[autor_es]],autorest[autor_es],autorest[bio_la])</f>
        <v>Collectio sententiarum Sinensium, magnopere in cultura tradita.</v>
      </c>
      <c r="I1156" t="str">
        <f>_xlfn.XLOOKUP(frasest[[#This Row],[autor_es]],autorest[autor_es],autorest[codigo])</f>
        <v>zh</v>
      </c>
      <c r="J1156" t="str">
        <f>_xlfn.XLOOKUP(frasest[[#This Row],[autor_es]],autorest[autor_es],autorest[idioma_es])</f>
        <v>Chino</v>
      </c>
      <c r="K1156" s="6" t="str">
        <f>_xlfn.XLOOKUP(frasest[[#This Row],[autor_es]],autorest[autor_es],autorest[idioma_la])</f>
        <v>Lingua Sinica</v>
      </c>
      <c r="L1156" s="6" t="str">
        <f>_xlfn.XLOOKUP(frasest[[#This Row],[autor_es]],autorest[autor_es],autorest[nacion_es])</f>
        <v>China</v>
      </c>
      <c r="M1156" t="str">
        <f>_xlfn.XLOOKUP(frasest[[#This Row],[autor_es]],autorest[autor_es],autorest[nacion_la])</f>
        <v>Sinae</v>
      </c>
      <c r="N1156" t="str">
        <f>_xlfn.XLOOKUP(frasest[[#This Row],[autor_es]],autorest[autor_es],autorest[epoca_es])</f>
        <v>Epoca Desconocida</v>
      </c>
      <c r="O1156" t="str">
        <f>_xlfn.XLOOKUP(frasest[[#This Row],[autor_es]],autorest[autor_es],autorest[epoca_la])</f>
        <v>Epocha Ignota</v>
      </c>
    </row>
    <row r="1157" spans="1:15">
      <c r="A1157">
        <v>1156</v>
      </c>
      <c r="B1157" t="s">
        <v>3173</v>
      </c>
      <c r="C1157" t="s">
        <v>3174</v>
      </c>
      <c r="D1157" s="1" t="s">
        <v>3175</v>
      </c>
      <c r="E1157" t="s">
        <v>33</v>
      </c>
      <c r="F1157" t="str">
        <f>_xlfn.XLOOKUP(frasest[[#This Row],[autor_es]],autorest[autor_es],autorest[autor_la])</f>
        <v>Proverbium Sinense</v>
      </c>
      <c r="G1157" s="6" t="str">
        <f>_xlfn.XLOOKUP(frasest[[#This Row],[autor_es]],autorest[autor_es],autorest[bio_es])</f>
        <v>Conjunto de proverbios tradicionales de la cultura china que transmiten sabiduría popular, valores morales y enseñanzas prácticas transmitidas oralmente durante siglos.</v>
      </c>
      <c r="H1157" s="6" t="str">
        <f>_xlfn.XLOOKUP(frasest[[#This Row],[autor_es]],autorest[autor_es],autorest[bio_la])</f>
        <v>Collectio sententiarum Sinensium, magnopere in cultura tradita.</v>
      </c>
      <c r="I1157" t="str">
        <f>_xlfn.XLOOKUP(frasest[[#This Row],[autor_es]],autorest[autor_es],autorest[codigo])</f>
        <v>zh</v>
      </c>
      <c r="J1157" t="str">
        <f>_xlfn.XLOOKUP(frasest[[#This Row],[autor_es]],autorest[autor_es],autorest[idioma_es])</f>
        <v>Chino</v>
      </c>
      <c r="K1157" s="6" t="str">
        <f>_xlfn.XLOOKUP(frasest[[#This Row],[autor_es]],autorest[autor_es],autorest[idioma_la])</f>
        <v>Lingua Sinica</v>
      </c>
      <c r="L1157" s="6" t="str">
        <f>_xlfn.XLOOKUP(frasest[[#This Row],[autor_es]],autorest[autor_es],autorest[nacion_es])</f>
        <v>China</v>
      </c>
      <c r="M1157" t="str">
        <f>_xlfn.XLOOKUP(frasest[[#This Row],[autor_es]],autorest[autor_es],autorest[nacion_la])</f>
        <v>Sinae</v>
      </c>
      <c r="N1157" t="str">
        <f>_xlfn.XLOOKUP(frasest[[#This Row],[autor_es]],autorest[autor_es],autorest[epoca_es])</f>
        <v>Epoca Desconocida</v>
      </c>
      <c r="O1157" t="str">
        <f>_xlfn.XLOOKUP(frasest[[#This Row],[autor_es]],autorest[autor_es],autorest[epoca_la])</f>
        <v>Epocha Ignota</v>
      </c>
    </row>
    <row r="1158" spans="1:15">
      <c r="A1158">
        <v>1157</v>
      </c>
      <c r="B1158" t="s">
        <v>3176</v>
      </c>
      <c r="C1158" t="s">
        <v>3177</v>
      </c>
      <c r="D1158" s="1" t="s">
        <v>3178</v>
      </c>
      <c r="E1158" t="s">
        <v>33</v>
      </c>
      <c r="F1158" t="str">
        <f>_xlfn.XLOOKUP(frasest[[#This Row],[autor_es]],autorest[autor_es],autorest[autor_la])</f>
        <v>Proverbium Sinense</v>
      </c>
      <c r="G1158" s="6" t="str">
        <f>_xlfn.XLOOKUP(frasest[[#This Row],[autor_es]],autorest[autor_es],autorest[bio_es])</f>
        <v>Conjunto de proverbios tradicionales de la cultura china que transmiten sabiduría popular, valores morales y enseñanzas prácticas transmitidas oralmente durante siglos.</v>
      </c>
      <c r="H1158" s="6" t="str">
        <f>_xlfn.XLOOKUP(frasest[[#This Row],[autor_es]],autorest[autor_es],autorest[bio_la])</f>
        <v>Collectio sententiarum Sinensium, magnopere in cultura tradita.</v>
      </c>
      <c r="I1158" t="str">
        <f>_xlfn.XLOOKUP(frasest[[#This Row],[autor_es]],autorest[autor_es],autorest[codigo])</f>
        <v>zh</v>
      </c>
      <c r="J1158" t="str">
        <f>_xlfn.XLOOKUP(frasest[[#This Row],[autor_es]],autorest[autor_es],autorest[idioma_es])</f>
        <v>Chino</v>
      </c>
      <c r="K1158" s="6" t="str">
        <f>_xlfn.XLOOKUP(frasest[[#This Row],[autor_es]],autorest[autor_es],autorest[idioma_la])</f>
        <v>Lingua Sinica</v>
      </c>
      <c r="L1158" s="6" t="str">
        <f>_xlfn.XLOOKUP(frasest[[#This Row],[autor_es]],autorest[autor_es],autorest[nacion_es])</f>
        <v>China</v>
      </c>
      <c r="M1158" t="str">
        <f>_xlfn.XLOOKUP(frasest[[#This Row],[autor_es]],autorest[autor_es],autorest[nacion_la])</f>
        <v>Sinae</v>
      </c>
      <c r="N1158" t="str">
        <f>_xlfn.XLOOKUP(frasest[[#This Row],[autor_es]],autorest[autor_es],autorest[epoca_es])</f>
        <v>Epoca Desconocida</v>
      </c>
      <c r="O1158" t="str">
        <f>_xlfn.XLOOKUP(frasest[[#This Row],[autor_es]],autorest[autor_es],autorest[epoca_la])</f>
        <v>Epocha Ignota</v>
      </c>
    </row>
    <row r="1159" spans="1:15">
      <c r="A1159">
        <v>1158</v>
      </c>
      <c r="B1159" t="s">
        <v>3179</v>
      </c>
      <c r="C1159" t="s">
        <v>3180</v>
      </c>
      <c r="D1159" s="1" t="s">
        <v>3181</v>
      </c>
      <c r="E1159" t="s">
        <v>33</v>
      </c>
      <c r="F1159" t="str">
        <f>_xlfn.XLOOKUP(frasest[[#This Row],[autor_es]],autorest[autor_es],autorest[autor_la])</f>
        <v>Proverbium Sinense</v>
      </c>
      <c r="G1159" s="6" t="str">
        <f>_xlfn.XLOOKUP(frasest[[#This Row],[autor_es]],autorest[autor_es],autorest[bio_es])</f>
        <v>Conjunto de proverbios tradicionales de la cultura china que transmiten sabiduría popular, valores morales y enseñanzas prácticas transmitidas oralmente durante siglos.</v>
      </c>
      <c r="H1159" s="6" t="str">
        <f>_xlfn.XLOOKUP(frasest[[#This Row],[autor_es]],autorest[autor_es],autorest[bio_la])</f>
        <v>Collectio sententiarum Sinensium, magnopere in cultura tradita.</v>
      </c>
      <c r="I1159" t="str">
        <f>_xlfn.XLOOKUP(frasest[[#This Row],[autor_es]],autorest[autor_es],autorest[codigo])</f>
        <v>zh</v>
      </c>
      <c r="J1159" t="str">
        <f>_xlfn.XLOOKUP(frasest[[#This Row],[autor_es]],autorest[autor_es],autorest[idioma_es])</f>
        <v>Chino</v>
      </c>
      <c r="K1159" s="6" t="str">
        <f>_xlfn.XLOOKUP(frasest[[#This Row],[autor_es]],autorest[autor_es],autorest[idioma_la])</f>
        <v>Lingua Sinica</v>
      </c>
      <c r="L1159" s="6" t="str">
        <f>_xlfn.XLOOKUP(frasest[[#This Row],[autor_es]],autorest[autor_es],autorest[nacion_es])</f>
        <v>China</v>
      </c>
      <c r="M1159" t="str">
        <f>_xlfn.XLOOKUP(frasest[[#This Row],[autor_es]],autorest[autor_es],autorest[nacion_la])</f>
        <v>Sinae</v>
      </c>
      <c r="N1159" t="str">
        <f>_xlfn.XLOOKUP(frasest[[#This Row],[autor_es]],autorest[autor_es],autorest[epoca_es])</f>
        <v>Epoca Desconocida</v>
      </c>
      <c r="O1159" t="str">
        <f>_xlfn.XLOOKUP(frasest[[#This Row],[autor_es]],autorest[autor_es],autorest[epoca_la])</f>
        <v>Epocha Ignota</v>
      </c>
    </row>
    <row r="1160" spans="1:15">
      <c r="A1160">
        <v>1159</v>
      </c>
      <c r="B1160" t="s">
        <v>3182</v>
      </c>
      <c r="C1160" t="s">
        <v>3183</v>
      </c>
      <c r="D1160" s="1" t="s">
        <v>3184</v>
      </c>
      <c r="E1160" t="s">
        <v>33</v>
      </c>
      <c r="F1160" t="str">
        <f>_xlfn.XLOOKUP(frasest[[#This Row],[autor_es]],autorest[autor_es],autorest[autor_la])</f>
        <v>Proverbium Sinense</v>
      </c>
      <c r="G1160" s="6" t="str">
        <f>_xlfn.XLOOKUP(frasest[[#This Row],[autor_es]],autorest[autor_es],autorest[bio_es])</f>
        <v>Conjunto de proverbios tradicionales de la cultura china que transmiten sabiduría popular, valores morales y enseñanzas prácticas transmitidas oralmente durante siglos.</v>
      </c>
      <c r="H1160" s="6" t="str">
        <f>_xlfn.XLOOKUP(frasest[[#This Row],[autor_es]],autorest[autor_es],autorest[bio_la])</f>
        <v>Collectio sententiarum Sinensium, magnopere in cultura tradita.</v>
      </c>
      <c r="I1160" t="str">
        <f>_xlfn.XLOOKUP(frasest[[#This Row],[autor_es]],autorest[autor_es],autorest[codigo])</f>
        <v>zh</v>
      </c>
      <c r="J1160" t="str">
        <f>_xlfn.XLOOKUP(frasest[[#This Row],[autor_es]],autorest[autor_es],autorest[idioma_es])</f>
        <v>Chino</v>
      </c>
      <c r="K1160" s="6" t="str">
        <f>_xlfn.XLOOKUP(frasest[[#This Row],[autor_es]],autorest[autor_es],autorest[idioma_la])</f>
        <v>Lingua Sinica</v>
      </c>
      <c r="L1160" s="6" t="str">
        <f>_xlfn.XLOOKUP(frasest[[#This Row],[autor_es]],autorest[autor_es],autorest[nacion_es])</f>
        <v>China</v>
      </c>
      <c r="M1160" t="str">
        <f>_xlfn.XLOOKUP(frasest[[#This Row],[autor_es]],autorest[autor_es],autorest[nacion_la])</f>
        <v>Sinae</v>
      </c>
      <c r="N1160" t="str">
        <f>_xlfn.XLOOKUP(frasest[[#This Row],[autor_es]],autorest[autor_es],autorest[epoca_es])</f>
        <v>Epoca Desconocida</v>
      </c>
      <c r="O1160" t="str">
        <f>_xlfn.XLOOKUP(frasest[[#This Row],[autor_es]],autorest[autor_es],autorest[epoca_la])</f>
        <v>Epocha Ignota</v>
      </c>
    </row>
    <row r="1161" spans="1:15">
      <c r="A1161">
        <v>1160</v>
      </c>
      <c r="B1161" t="s">
        <v>3185</v>
      </c>
      <c r="C1161" t="s">
        <v>3186</v>
      </c>
      <c r="D1161" s="1" t="s">
        <v>3187</v>
      </c>
      <c r="E1161" t="s">
        <v>33</v>
      </c>
      <c r="F1161" t="str">
        <f>_xlfn.XLOOKUP(frasest[[#This Row],[autor_es]],autorest[autor_es],autorest[autor_la])</f>
        <v>Proverbium Sinense</v>
      </c>
      <c r="G1161" s="6" t="str">
        <f>_xlfn.XLOOKUP(frasest[[#This Row],[autor_es]],autorest[autor_es],autorest[bio_es])</f>
        <v>Conjunto de proverbios tradicionales de la cultura china que transmiten sabiduría popular, valores morales y enseñanzas prácticas transmitidas oralmente durante siglos.</v>
      </c>
      <c r="H1161" s="6" t="str">
        <f>_xlfn.XLOOKUP(frasest[[#This Row],[autor_es]],autorest[autor_es],autorest[bio_la])</f>
        <v>Collectio sententiarum Sinensium, magnopere in cultura tradita.</v>
      </c>
      <c r="I1161" t="str">
        <f>_xlfn.XLOOKUP(frasest[[#This Row],[autor_es]],autorest[autor_es],autorest[codigo])</f>
        <v>zh</v>
      </c>
      <c r="J1161" t="str">
        <f>_xlfn.XLOOKUP(frasest[[#This Row],[autor_es]],autorest[autor_es],autorest[idioma_es])</f>
        <v>Chino</v>
      </c>
      <c r="K1161" s="6" t="str">
        <f>_xlfn.XLOOKUP(frasest[[#This Row],[autor_es]],autorest[autor_es],autorest[idioma_la])</f>
        <v>Lingua Sinica</v>
      </c>
      <c r="L1161" s="6" t="str">
        <f>_xlfn.XLOOKUP(frasest[[#This Row],[autor_es]],autorest[autor_es],autorest[nacion_es])</f>
        <v>China</v>
      </c>
      <c r="M1161" t="str">
        <f>_xlfn.XLOOKUP(frasest[[#This Row],[autor_es]],autorest[autor_es],autorest[nacion_la])</f>
        <v>Sinae</v>
      </c>
      <c r="N1161" t="str">
        <f>_xlfn.XLOOKUP(frasest[[#This Row],[autor_es]],autorest[autor_es],autorest[epoca_es])</f>
        <v>Epoca Desconocida</v>
      </c>
      <c r="O1161" t="str">
        <f>_xlfn.XLOOKUP(frasest[[#This Row],[autor_es]],autorest[autor_es],autorest[epoca_la])</f>
        <v>Epocha Ignota</v>
      </c>
    </row>
    <row r="1162" spans="1:15">
      <c r="A1162">
        <v>1161</v>
      </c>
      <c r="B1162" t="s">
        <v>3188</v>
      </c>
      <c r="C1162" t="s">
        <v>3189</v>
      </c>
      <c r="D1162" s="1" t="s">
        <v>3190</v>
      </c>
      <c r="E1162" t="s">
        <v>33</v>
      </c>
      <c r="F1162" t="str">
        <f>_xlfn.XLOOKUP(frasest[[#This Row],[autor_es]],autorest[autor_es],autorest[autor_la])</f>
        <v>Proverbium Sinense</v>
      </c>
      <c r="G1162" s="6" t="str">
        <f>_xlfn.XLOOKUP(frasest[[#This Row],[autor_es]],autorest[autor_es],autorest[bio_es])</f>
        <v>Conjunto de proverbios tradicionales de la cultura china que transmiten sabiduría popular, valores morales y enseñanzas prácticas transmitidas oralmente durante siglos.</v>
      </c>
      <c r="H1162" s="6" t="str">
        <f>_xlfn.XLOOKUP(frasest[[#This Row],[autor_es]],autorest[autor_es],autorest[bio_la])</f>
        <v>Collectio sententiarum Sinensium, magnopere in cultura tradita.</v>
      </c>
      <c r="I1162" t="str">
        <f>_xlfn.XLOOKUP(frasest[[#This Row],[autor_es]],autorest[autor_es],autorest[codigo])</f>
        <v>zh</v>
      </c>
      <c r="J1162" t="str">
        <f>_xlfn.XLOOKUP(frasest[[#This Row],[autor_es]],autorest[autor_es],autorest[idioma_es])</f>
        <v>Chino</v>
      </c>
      <c r="K1162" s="6" t="str">
        <f>_xlfn.XLOOKUP(frasest[[#This Row],[autor_es]],autorest[autor_es],autorest[idioma_la])</f>
        <v>Lingua Sinica</v>
      </c>
      <c r="L1162" s="6" t="str">
        <f>_xlfn.XLOOKUP(frasest[[#This Row],[autor_es]],autorest[autor_es],autorest[nacion_es])</f>
        <v>China</v>
      </c>
      <c r="M1162" t="str">
        <f>_xlfn.XLOOKUP(frasest[[#This Row],[autor_es]],autorest[autor_es],autorest[nacion_la])</f>
        <v>Sinae</v>
      </c>
      <c r="N1162" t="str">
        <f>_xlfn.XLOOKUP(frasest[[#This Row],[autor_es]],autorest[autor_es],autorest[epoca_es])</f>
        <v>Epoca Desconocida</v>
      </c>
      <c r="O1162" t="str">
        <f>_xlfn.XLOOKUP(frasest[[#This Row],[autor_es]],autorest[autor_es],autorest[epoca_la])</f>
        <v>Epocha Ignota</v>
      </c>
    </row>
    <row r="1163" spans="1:15">
      <c r="A1163">
        <v>1162</v>
      </c>
      <c r="B1163" t="s">
        <v>3191</v>
      </c>
      <c r="C1163" t="s">
        <v>3192</v>
      </c>
      <c r="D1163" s="1" t="s">
        <v>3193</v>
      </c>
      <c r="E1163" t="s">
        <v>33</v>
      </c>
      <c r="F1163" t="str">
        <f>_xlfn.XLOOKUP(frasest[[#This Row],[autor_es]],autorest[autor_es],autorest[autor_la])</f>
        <v>Proverbium Sinense</v>
      </c>
      <c r="G1163" s="6" t="str">
        <f>_xlfn.XLOOKUP(frasest[[#This Row],[autor_es]],autorest[autor_es],autorest[bio_es])</f>
        <v>Conjunto de proverbios tradicionales de la cultura china que transmiten sabiduría popular, valores morales y enseñanzas prácticas transmitidas oralmente durante siglos.</v>
      </c>
      <c r="H1163" s="6" t="str">
        <f>_xlfn.XLOOKUP(frasest[[#This Row],[autor_es]],autorest[autor_es],autorest[bio_la])</f>
        <v>Collectio sententiarum Sinensium, magnopere in cultura tradita.</v>
      </c>
      <c r="I1163" t="str">
        <f>_xlfn.XLOOKUP(frasest[[#This Row],[autor_es]],autorest[autor_es],autorest[codigo])</f>
        <v>zh</v>
      </c>
      <c r="J1163" t="str">
        <f>_xlfn.XLOOKUP(frasest[[#This Row],[autor_es]],autorest[autor_es],autorest[idioma_es])</f>
        <v>Chino</v>
      </c>
      <c r="K1163" s="6" t="str">
        <f>_xlfn.XLOOKUP(frasest[[#This Row],[autor_es]],autorest[autor_es],autorest[idioma_la])</f>
        <v>Lingua Sinica</v>
      </c>
      <c r="L1163" s="6" t="str">
        <f>_xlfn.XLOOKUP(frasest[[#This Row],[autor_es]],autorest[autor_es],autorest[nacion_es])</f>
        <v>China</v>
      </c>
      <c r="M1163" t="str">
        <f>_xlfn.XLOOKUP(frasest[[#This Row],[autor_es]],autorest[autor_es],autorest[nacion_la])</f>
        <v>Sinae</v>
      </c>
      <c r="N1163" t="str">
        <f>_xlfn.XLOOKUP(frasest[[#This Row],[autor_es]],autorest[autor_es],autorest[epoca_es])</f>
        <v>Epoca Desconocida</v>
      </c>
      <c r="O1163" t="str">
        <f>_xlfn.XLOOKUP(frasest[[#This Row],[autor_es]],autorest[autor_es],autorest[epoca_la])</f>
        <v>Epocha Ignota</v>
      </c>
    </row>
    <row r="1164" spans="1:15">
      <c r="A1164">
        <v>1163</v>
      </c>
      <c r="B1164" t="s">
        <v>3194</v>
      </c>
      <c r="C1164" t="s">
        <v>3195</v>
      </c>
      <c r="D1164" s="1" t="s">
        <v>2881</v>
      </c>
      <c r="E1164" t="s">
        <v>33</v>
      </c>
      <c r="F1164" t="str">
        <f>_xlfn.XLOOKUP(frasest[[#This Row],[autor_es]],autorest[autor_es],autorest[autor_la])</f>
        <v>Proverbium Sinense</v>
      </c>
      <c r="G1164" s="6" t="str">
        <f>_xlfn.XLOOKUP(frasest[[#This Row],[autor_es]],autorest[autor_es],autorest[bio_es])</f>
        <v>Conjunto de proverbios tradicionales de la cultura china que transmiten sabiduría popular, valores morales y enseñanzas prácticas transmitidas oralmente durante siglos.</v>
      </c>
      <c r="H1164" s="6" t="str">
        <f>_xlfn.XLOOKUP(frasest[[#This Row],[autor_es]],autorest[autor_es],autorest[bio_la])</f>
        <v>Collectio sententiarum Sinensium, magnopere in cultura tradita.</v>
      </c>
      <c r="I1164" t="str">
        <f>_xlfn.XLOOKUP(frasest[[#This Row],[autor_es]],autorest[autor_es],autorest[codigo])</f>
        <v>zh</v>
      </c>
      <c r="J1164" t="str">
        <f>_xlfn.XLOOKUP(frasest[[#This Row],[autor_es]],autorest[autor_es],autorest[idioma_es])</f>
        <v>Chino</v>
      </c>
      <c r="K1164" s="6" t="str">
        <f>_xlfn.XLOOKUP(frasest[[#This Row],[autor_es]],autorest[autor_es],autorest[idioma_la])</f>
        <v>Lingua Sinica</v>
      </c>
      <c r="L1164" s="6" t="str">
        <f>_xlfn.XLOOKUP(frasest[[#This Row],[autor_es]],autorest[autor_es],autorest[nacion_es])</f>
        <v>China</v>
      </c>
      <c r="M1164" t="str">
        <f>_xlfn.XLOOKUP(frasest[[#This Row],[autor_es]],autorest[autor_es],autorest[nacion_la])</f>
        <v>Sinae</v>
      </c>
      <c r="N1164" t="str">
        <f>_xlfn.XLOOKUP(frasest[[#This Row],[autor_es]],autorest[autor_es],autorest[epoca_es])</f>
        <v>Epoca Desconocida</v>
      </c>
      <c r="O1164" t="str">
        <f>_xlfn.XLOOKUP(frasest[[#This Row],[autor_es]],autorest[autor_es],autorest[epoca_la])</f>
        <v>Epocha Ignota</v>
      </c>
    </row>
    <row r="1165" spans="1:15">
      <c r="A1165">
        <v>1164</v>
      </c>
      <c r="B1165" t="s">
        <v>3196</v>
      </c>
      <c r="C1165" t="s">
        <v>3197</v>
      </c>
      <c r="D1165" s="1" t="s">
        <v>3198</v>
      </c>
      <c r="E1165" t="s">
        <v>33</v>
      </c>
      <c r="F1165" t="str">
        <f>_xlfn.XLOOKUP(frasest[[#This Row],[autor_es]],autorest[autor_es],autorest[autor_la])</f>
        <v>Proverbium Sinense</v>
      </c>
      <c r="G1165" s="6" t="str">
        <f>_xlfn.XLOOKUP(frasest[[#This Row],[autor_es]],autorest[autor_es],autorest[bio_es])</f>
        <v>Conjunto de proverbios tradicionales de la cultura china que transmiten sabiduría popular, valores morales y enseñanzas prácticas transmitidas oralmente durante siglos.</v>
      </c>
      <c r="H1165" s="6" t="str">
        <f>_xlfn.XLOOKUP(frasest[[#This Row],[autor_es]],autorest[autor_es],autorest[bio_la])</f>
        <v>Collectio sententiarum Sinensium, magnopere in cultura tradita.</v>
      </c>
      <c r="I1165" t="str">
        <f>_xlfn.XLOOKUP(frasest[[#This Row],[autor_es]],autorest[autor_es],autorest[codigo])</f>
        <v>zh</v>
      </c>
      <c r="J1165" t="str">
        <f>_xlfn.XLOOKUP(frasest[[#This Row],[autor_es]],autorest[autor_es],autorest[idioma_es])</f>
        <v>Chino</v>
      </c>
      <c r="K1165" s="6" t="str">
        <f>_xlfn.XLOOKUP(frasest[[#This Row],[autor_es]],autorest[autor_es],autorest[idioma_la])</f>
        <v>Lingua Sinica</v>
      </c>
      <c r="L1165" s="6" t="str">
        <f>_xlfn.XLOOKUP(frasest[[#This Row],[autor_es]],autorest[autor_es],autorest[nacion_es])</f>
        <v>China</v>
      </c>
      <c r="M1165" t="str">
        <f>_xlfn.XLOOKUP(frasest[[#This Row],[autor_es]],autorest[autor_es],autorest[nacion_la])</f>
        <v>Sinae</v>
      </c>
      <c r="N1165" t="str">
        <f>_xlfn.XLOOKUP(frasest[[#This Row],[autor_es]],autorest[autor_es],autorest[epoca_es])</f>
        <v>Epoca Desconocida</v>
      </c>
      <c r="O1165" t="str">
        <f>_xlfn.XLOOKUP(frasest[[#This Row],[autor_es]],autorest[autor_es],autorest[epoca_la])</f>
        <v>Epocha Ignota</v>
      </c>
    </row>
    <row r="1166" spans="1:15">
      <c r="A1166">
        <v>1165</v>
      </c>
      <c r="B1166" t="s">
        <v>3199</v>
      </c>
      <c r="C1166" t="s">
        <v>3200</v>
      </c>
      <c r="D1166" s="1" t="s">
        <v>3201</v>
      </c>
      <c r="E1166" t="s">
        <v>33</v>
      </c>
      <c r="F1166" t="str">
        <f>_xlfn.XLOOKUP(frasest[[#This Row],[autor_es]],autorest[autor_es],autorest[autor_la])</f>
        <v>Proverbium Sinense</v>
      </c>
      <c r="G1166" s="6" t="str">
        <f>_xlfn.XLOOKUP(frasest[[#This Row],[autor_es]],autorest[autor_es],autorest[bio_es])</f>
        <v>Conjunto de proverbios tradicionales de la cultura china que transmiten sabiduría popular, valores morales y enseñanzas prácticas transmitidas oralmente durante siglos.</v>
      </c>
      <c r="H1166" s="6" t="str">
        <f>_xlfn.XLOOKUP(frasest[[#This Row],[autor_es]],autorest[autor_es],autorest[bio_la])</f>
        <v>Collectio sententiarum Sinensium, magnopere in cultura tradita.</v>
      </c>
      <c r="I1166" t="str">
        <f>_xlfn.XLOOKUP(frasest[[#This Row],[autor_es]],autorest[autor_es],autorest[codigo])</f>
        <v>zh</v>
      </c>
      <c r="J1166" t="str">
        <f>_xlfn.XLOOKUP(frasest[[#This Row],[autor_es]],autorest[autor_es],autorest[idioma_es])</f>
        <v>Chino</v>
      </c>
      <c r="K1166" s="6" t="str">
        <f>_xlfn.XLOOKUP(frasest[[#This Row],[autor_es]],autorest[autor_es],autorest[idioma_la])</f>
        <v>Lingua Sinica</v>
      </c>
      <c r="L1166" s="6" t="str">
        <f>_xlfn.XLOOKUP(frasest[[#This Row],[autor_es]],autorest[autor_es],autorest[nacion_es])</f>
        <v>China</v>
      </c>
      <c r="M1166" t="str">
        <f>_xlfn.XLOOKUP(frasest[[#This Row],[autor_es]],autorest[autor_es],autorest[nacion_la])</f>
        <v>Sinae</v>
      </c>
      <c r="N1166" t="str">
        <f>_xlfn.XLOOKUP(frasest[[#This Row],[autor_es]],autorest[autor_es],autorest[epoca_es])</f>
        <v>Epoca Desconocida</v>
      </c>
      <c r="O1166" t="str">
        <f>_xlfn.XLOOKUP(frasest[[#This Row],[autor_es]],autorest[autor_es],autorest[epoca_la])</f>
        <v>Epocha Ignota</v>
      </c>
    </row>
    <row r="1167" spans="1:15">
      <c r="A1167">
        <v>1166</v>
      </c>
      <c r="B1167" t="s">
        <v>3202</v>
      </c>
      <c r="C1167" t="s">
        <v>3203</v>
      </c>
      <c r="D1167" s="1" t="s">
        <v>3204</v>
      </c>
      <c r="E1167" t="s">
        <v>33</v>
      </c>
      <c r="F1167" t="str">
        <f>_xlfn.XLOOKUP(frasest[[#This Row],[autor_es]],autorest[autor_es],autorest[autor_la])</f>
        <v>Proverbium Sinense</v>
      </c>
      <c r="G1167" s="6" t="str">
        <f>_xlfn.XLOOKUP(frasest[[#This Row],[autor_es]],autorest[autor_es],autorest[bio_es])</f>
        <v>Conjunto de proverbios tradicionales de la cultura china que transmiten sabiduría popular, valores morales y enseñanzas prácticas transmitidas oralmente durante siglos.</v>
      </c>
      <c r="H1167" s="6" t="str">
        <f>_xlfn.XLOOKUP(frasest[[#This Row],[autor_es]],autorest[autor_es],autorest[bio_la])</f>
        <v>Collectio sententiarum Sinensium, magnopere in cultura tradita.</v>
      </c>
      <c r="I1167" t="str">
        <f>_xlfn.XLOOKUP(frasest[[#This Row],[autor_es]],autorest[autor_es],autorest[codigo])</f>
        <v>zh</v>
      </c>
      <c r="J1167" t="str">
        <f>_xlfn.XLOOKUP(frasest[[#This Row],[autor_es]],autorest[autor_es],autorest[idioma_es])</f>
        <v>Chino</v>
      </c>
      <c r="K1167" s="6" t="str">
        <f>_xlfn.XLOOKUP(frasest[[#This Row],[autor_es]],autorest[autor_es],autorest[idioma_la])</f>
        <v>Lingua Sinica</v>
      </c>
      <c r="L1167" s="6" t="str">
        <f>_xlfn.XLOOKUP(frasest[[#This Row],[autor_es]],autorest[autor_es],autorest[nacion_es])</f>
        <v>China</v>
      </c>
      <c r="M1167" t="str">
        <f>_xlfn.XLOOKUP(frasest[[#This Row],[autor_es]],autorest[autor_es],autorest[nacion_la])</f>
        <v>Sinae</v>
      </c>
      <c r="N1167" t="str">
        <f>_xlfn.XLOOKUP(frasest[[#This Row],[autor_es]],autorest[autor_es],autorest[epoca_es])</f>
        <v>Epoca Desconocida</v>
      </c>
      <c r="O1167" t="str">
        <f>_xlfn.XLOOKUP(frasest[[#This Row],[autor_es]],autorest[autor_es],autorest[epoca_la])</f>
        <v>Epocha Ignota</v>
      </c>
    </row>
    <row r="1168" spans="1:15">
      <c r="A1168">
        <v>1167</v>
      </c>
      <c r="B1168" t="s">
        <v>3205</v>
      </c>
      <c r="C1168" t="s">
        <v>3206</v>
      </c>
      <c r="D1168" s="1" t="s">
        <v>3207</v>
      </c>
      <c r="E1168" t="s">
        <v>33</v>
      </c>
      <c r="F1168" t="str">
        <f>_xlfn.XLOOKUP(frasest[[#This Row],[autor_es]],autorest[autor_es],autorest[autor_la])</f>
        <v>Proverbium Sinense</v>
      </c>
      <c r="G1168" s="6" t="str">
        <f>_xlfn.XLOOKUP(frasest[[#This Row],[autor_es]],autorest[autor_es],autorest[bio_es])</f>
        <v>Conjunto de proverbios tradicionales de la cultura china que transmiten sabiduría popular, valores morales y enseñanzas prácticas transmitidas oralmente durante siglos.</v>
      </c>
      <c r="H1168" s="6" t="str">
        <f>_xlfn.XLOOKUP(frasest[[#This Row],[autor_es]],autorest[autor_es],autorest[bio_la])</f>
        <v>Collectio sententiarum Sinensium, magnopere in cultura tradita.</v>
      </c>
      <c r="I1168" t="str">
        <f>_xlfn.XLOOKUP(frasest[[#This Row],[autor_es]],autorest[autor_es],autorest[codigo])</f>
        <v>zh</v>
      </c>
      <c r="J1168" t="str">
        <f>_xlfn.XLOOKUP(frasest[[#This Row],[autor_es]],autorest[autor_es],autorest[idioma_es])</f>
        <v>Chino</v>
      </c>
      <c r="K1168" s="6" t="str">
        <f>_xlfn.XLOOKUP(frasest[[#This Row],[autor_es]],autorest[autor_es],autorest[idioma_la])</f>
        <v>Lingua Sinica</v>
      </c>
      <c r="L1168" s="6" t="str">
        <f>_xlfn.XLOOKUP(frasest[[#This Row],[autor_es]],autorest[autor_es],autorest[nacion_es])</f>
        <v>China</v>
      </c>
      <c r="M1168" t="str">
        <f>_xlfn.XLOOKUP(frasest[[#This Row],[autor_es]],autorest[autor_es],autorest[nacion_la])</f>
        <v>Sinae</v>
      </c>
      <c r="N1168" t="str">
        <f>_xlfn.XLOOKUP(frasest[[#This Row],[autor_es]],autorest[autor_es],autorest[epoca_es])</f>
        <v>Epoca Desconocida</v>
      </c>
      <c r="O1168" t="str">
        <f>_xlfn.XLOOKUP(frasest[[#This Row],[autor_es]],autorest[autor_es],autorest[epoca_la])</f>
        <v>Epocha Ignota</v>
      </c>
    </row>
    <row r="1169" spans="1:15">
      <c r="A1169">
        <v>1168</v>
      </c>
      <c r="B1169" t="s">
        <v>3208</v>
      </c>
      <c r="C1169" t="s">
        <v>3209</v>
      </c>
      <c r="D1169" s="1" t="s">
        <v>3210</v>
      </c>
      <c r="E1169" t="s">
        <v>33</v>
      </c>
      <c r="F1169" t="str">
        <f>_xlfn.XLOOKUP(frasest[[#This Row],[autor_es]],autorest[autor_es],autorest[autor_la])</f>
        <v>Proverbium Sinense</v>
      </c>
      <c r="G1169" s="6" t="str">
        <f>_xlfn.XLOOKUP(frasest[[#This Row],[autor_es]],autorest[autor_es],autorest[bio_es])</f>
        <v>Conjunto de proverbios tradicionales de la cultura china que transmiten sabiduría popular, valores morales y enseñanzas prácticas transmitidas oralmente durante siglos.</v>
      </c>
      <c r="H1169" s="6" t="str">
        <f>_xlfn.XLOOKUP(frasest[[#This Row],[autor_es]],autorest[autor_es],autorest[bio_la])</f>
        <v>Collectio sententiarum Sinensium, magnopere in cultura tradita.</v>
      </c>
      <c r="I1169" t="str">
        <f>_xlfn.XLOOKUP(frasest[[#This Row],[autor_es]],autorest[autor_es],autorest[codigo])</f>
        <v>zh</v>
      </c>
      <c r="J1169" t="str">
        <f>_xlfn.XLOOKUP(frasest[[#This Row],[autor_es]],autorest[autor_es],autorest[idioma_es])</f>
        <v>Chino</v>
      </c>
      <c r="K1169" s="6" t="str">
        <f>_xlfn.XLOOKUP(frasest[[#This Row],[autor_es]],autorest[autor_es],autorest[idioma_la])</f>
        <v>Lingua Sinica</v>
      </c>
      <c r="L1169" s="6" t="str">
        <f>_xlfn.XLOOKUP(frasest[[#This Row],[autor_es]],autorest[autor_es],autorest[nacion_es])</f>
        <v>China</v>
      </c>
      <c r="M1169" t="str">
        <f>_xlfn.XLOOKUP(frasest[[#This Row],[autor_es]],autorest[autor_es],autorest[nacion_la])</f>
        <v>Sinae</v>
      </c>
      <c r="N1169" t="str">
        <f>_xlfn.XLOOKUP(frasest[[#This Row],[autor_es]],autorest[autor_es],autorest[epoca_es])</f>
        <v>Epoca Desconocida</v>
      </c>
      <c r="O1169" t="str">
        <f>_xlfn.XLOOKUP(frasest[[#This Row],[autor_es]],autorest[autor_es],autorest[epoca_la])</f>
        <v>Epocha Ignota</v>
      </c>
    </row>
    <row r="1170" spans="1:15">
      <c r="A1170">
        <v>1169</v>
      </c>
      <c r="B1170" t="s">
        <v>3211</v>
      </c>
      <c r="C1170" t="s">
        <v>3212</v>
      </c>
      <c r="D1170" s="1" t="s">
        <v>3213</v>
      </c>
      <c r="E1170" t="s">
        <v>33</v>
      </c>
      <c r="F1170" t="str">
        <f>_xlfn.XLOOKUP(frasest[[#This Row],[autor_es]],autorest[autor_es],autorest[autor_la])</f>
        <v>Proverbium Sinense</v>
      </c>
      <c r="G1170" s="6" t="str">
        <f>_xlfn.XLOOKUP(frasest[[#This Row],[autor_es]],autorest[autor_es],autorest[bio_es])</f>
        <v>Conjunto de proverbios tradicionales de la cultura china que transmiten sabiduría popular, valores morales y enseñanzas prácticas transmitidas oralmente durante siglos.</v>
      </c>
      <c r="H1170" s="6" t="str">
        <f>_xlfn.XLOOKUP(frasest[[#This Row],[autor_es]],autorest[autor_es],autorest[bio_la])</f>
        <v>Collectio sententiarum Sinensium, magnopere in cultura tradita.</v>
      </c>
      <c r="I1170" t="str">
        <f>_xlfn.XLOOKUP(frasest[[#This Row],[autor_es]],autorest[autor_es],autorest[codigo])</f>
        <v>zh</v>
      </c>
      <c r="J1170" t="str">
        <f>_xlfn.XLOOKUP(frasest[[#This Row],[autor_es]],autorest[autor_es],autorest[idioma_es])</f>
        <v>Chino</v>
      </c>
      <c r="K1170" s="6" t="str">
        <f>_xlfn.XLOOKUP(frasest[[#This Row],[autor_es]],autorest[autor_es],autorest[idioma_la])</f>
        <v>Lingua Sinica</v>
      </c>
      <c r="L1170" s="6" t="str">
        <f>_xlfn.XLOOKUP(frasest[[#This Row],[autor_es]],autorest[autor_es],autorest[nacion_es])</f>
        <v>China</v>
      </c>
      <c r="M1170" t="str">
        <f>_xlfn.XLOOKUP(frasest[[#This Row],[autor_es]],autorest[autor_es],autorest[nacion_la])</f>
        <v>Sinae</v>
      </c>
      <c r="N1170" t="str">
        <f>_xlfn.XLOOKUP(frasest[[#This Row],[autor_es]],autorest[autor_es],autorest[epoca_es])</f>
        <v>Epoca Desconocida</v>
      </c>
      <c r="O1170" t="str">
        <f>_xlfn.XLOOKUP(frasest[[#This Row],[autor_es]],autorest[autor_es],autorest[epoca_la])</f>
        <v>Epocha Ignota</v>
      </c>
    </row>
    <row r="1171" spans="1:15">
      <c r="A1171">
        <v>1170</v>
      </c>
      <c r="B1171" t="s">
        <v>3214</v>
      </c>
      <c r="C1171" t="s">
        <v>3215</v>
      </c>
      <c r="D1171" s="1" t="s">
        <v>3216</v>
      </c>
      <c r="E1171" t="s">
        <v>33</v>
      </c>
      <c r="F1171" t="str">
        <f>_xlfn.XLOOKUP(frasest[[#This Row],[autor_es]],autorest[autor_es],autorest[autor_la])</f>
        <v>Proverbium Sinense</v>
      </c>
      <c r="G1171" s="6" t="str">
        <f>_xlfn.XLOOKUP(frasest[[#This Row],[autor_es]],autorest[autor_es],autorest[bio_es])</f>
        <v>Conjunto de proverbios tradicionales de la cultura china que transmiten sabiduría popular, valores morales y enseñanzas prácticas transmitidas oralmente durante siglos.</v>
      </c>
      <c r="H1171" s="6" t="str">
        <f>_xlfn.XLOOKUP(frasest[[#This Row],[autor_es]],autorest[autor_es],autorest[bio_la])</f>
        <v>Collectio sententiarum Sinensium, magnopere in cultura tradita.</v>
      </c>
      <c r="I1171" t="str">
        <f>_xlfn.XLOOKUP(frasest[[#This Row],[autor_es]],autorest[autor_es],autorest[codigo])</f>
        <v>zh</v>
      </c>
      <c r="J1171" t="str">
        <f>_xlfn.XLOOKUP(frasest[[#This Row],[autor_es]],autorest[autor_es],autorest[idioma_es])</f>
        <v>Chino</v>
      </c>
      <c r="K1171" s="6" t="str">
        <f>_xlfn.XLOOKUP(frasest[[#This Row],[autor_es]],autorest[autor_es],autorest[idioma_la])</f>
        <v>Lingua Sinica</v>
      </c>
      <c r="L1171" s="6" t="str">
        <f>_xlfn.XLOOKUP(frasest[[#This Row],[autor_es]],autorest[autor_es],autorest[nacion_es])</f>
        <v>China</v>
      </c>
      <c r="M1171" t="str">
        <f>_xlfn.XLOOKUP(frasest[[#This Row],[autor_es]],autorest[autor_es],autorest[nacion_la])</f>
        <v>Sinae</v>
      </c>
      <c r="N1171" t="str">
        <f>_xlfn.XLOOKUP(frasest[[#This Row],[autor_es]],autorest[autor_es],autorest[epoca_es])</f>
        <v>Epoca Desconocida</v>
      </c>
      <c r="O1171" t="str">
        <f>_xlfn.XLOOKUP(frasest[[#This Row],[autor_es]],autorest[autor_es],autorest[epoca_la])</f>
        <v>Epocha Ignota</v>
      </c>
    </row>
    <row r="1172" spans="1:15">
      <c r="A1172">
        <v>1171</v>
      </c>
      <c r="B1172" t="s">
        <v>3217</v>
      </c>
      <c r="C1172" t="s">
        <v>3218</v>
      </c>
      <c r="D1172" s="1" t="s">
        <v>3219</v>
      </c>
      <c r="E1172" t="s">
        <v>33</v>
      </c>
      <c r="F1172" t="str">
        <f>_xlfn.XLOOKUP(frasest[[#This Row],[autor_es]],autorest[autor_es],autorest[autor_la])</f>
        <v>Proverbium Sinense</v>
      </c>
      <c r="G1172" s="6" t="str">
        <f>_xlfn.XLOOKUP(frasest[[#This Row],[autor_es]],autorest[autor_es],autorest[bio_es])</f>
        <v>Conjunto de proverbios tradicionales de la cultura china que transmiten sabiduría popular, valores morales y enseñanzas prácticas transmitidas oralmente durante siglos.</v>
      </c>
      <c r="H1172" s="6" t="str">
        <f>_xlfn.XLOOKUP(frasest[[#This Row],[autor_es]],autorest[autor_es],autorest[bio_la])</f>
        <v>Collectio sententiarum Sinensium, magnopere in cultura tradita.</v>
      </c>
      <c r="I1172" t="str">
        <f>_xlfn.XLOOKUP(frasest[[#This Row],[autor_es]],autorest[autor_es],autorest[codigo])</f>
        <v>zh</v>
      </c>
      <c r="J1172" t="str">
        <f>_xlfn.XLOOKUP(frasest[[#This Row],[autor_es]],autorest[autor_es],autorest[idioma_es])</f>
        <v>Chino</v>
      </c>
      <c r="K1172" s="6" t="str">
        <f>_xlfn.XLOOKUP(frasest[[#This Row],[autor_es]],autorest[autor_es],autorest[idioma_la])</f>
        <v>Lingua Sinica</v>
      </c>
      <c r="L1172" s="6" t="str">
        <f>_xlfn.XLOOKUP(frasest[[#This Row],[autor_es]],autorest[autor_es],autorest[nacion_es])</f>
        <v>China</v>
      </c>
      <c r="M1172" t="str">
        <f>_xlfn.XLOOKUP(frasest[[#This Row],[autor_es]],autorest[autor_es],autorest[nacion_la])</f>
        <v>Sinae</v>
      </c>
      <c r="N1172" t="str">
        <f>_xlfn.XLOOKUP(frasest[[#This Row],[autor_es]],autorest[autor_es],autorest[epoca_es])</f>
        <v>Epoca Desconocida</v>
      </c>
      <c r="O1172" t="str">
        <f>_xlfn.XLOOKUP(frasest[[#This Row],[autor_es]],autorest[autor_es],autorest[epoca_la])</f>
        <v>Epocha Ignota</v>
      </c>
    </row>
    <row r="1173" spans="1:15">
      <c r="A1173">
        <v>1172</v>
      </c>
      <c r="B1173" t="s">
        <v>3220</v>
      </c>
      <c r="C1173" t="s">
        <v>3221</v>
      </c>
      <c r="D1173" s="1" t="s">
        <v>3222</v>
      </c>
      <c r="E1173" t="s">
        <v>33</v>
      </c>
      <c r="F1173" t="str">
        <f>_xlfn.XLOOKUP(frasest[[#This Row],[autor_es]],autorest[autor_es],autorest[autor_la])</f>
        <v>Proverbium Sinense</v>
      </c>
      <c r="G1173" s="6" t="str">
        <f>_xlfn.XLOOKUP(frasest[[#This Row],[autor_es]],autorest[autor_es],autorest[bio_es])</f>
        <v>Conjunto de proverbios tradicionales de la cultura china que transmiten sabiduría popular, valores morales y enseñanzas prácticas transmitidas oralmente durante siglos.</v>
      </c>
      <c r="H1173" s="6" t="str">
        <f>_xlfn.XLOOKUP(frasest[[#This Row],[autor_es]],autorest[autor_es],autorest[bio_la])</f>
        <v>Collectio sententiarum Sinensium, magnopere in cultura tradita.</v>
      </c>
      <c r="I1173" t="str">
        <f>_xlfn.XLOOKUP(frasest[[#This Row],[autor_es]],autorest[autor_es],autorest[codigo])</f>
        <v>zh</v>
      </c>
      <c r="J1173" t="str">
        <f>_xlfn.XLOOKUP(frasest[[#This Row],[autor_es]],autorest[autor_es],autorest[idioma_es])</f>
        <v>Chino</v>
      </c>
      <c r="K1173" s="6" t="str">
        <f>_xlfn.XLOOKUP(frasest[[#This Row],[autor_es]],autorest[autor_es],autorest[idioma_la])</f>
        <v>Lingua Sinica</v>
      </c>
      <c r="L1173" s="6" t="str">
        <f>_xlfn.XLOOKUP(frasest[[#This Row],[autor_es]],autorest[autor_es],autorest[nacion_es])</f>
        <v>China</v>
      </c>
      <c r="M1173" t="str">
        <f>_xlfn.XLOOKUP(frasest[[#This Row],[autor_es]],autorest[autor_es],autorest[nacion_la])</f>
        <v>Sinae</v>
      </c>
      <c r="N1173" t="str">
        <f>_xlfn.XLOOKUP(frasest[[#This Row],[autor_es]],autorest[autor_es],autorest[epoca_es])</f>
        <v>Epoca Desconocida</v>
      </c>
      <c r="O1173" t="str">
        <f>_xlfn.XLOOKUP(frasest[[#This Row],[autor_es]],autorest[autor_es],autorest[epoca_la])</f>
        <v>Epocha Ignota</v>
      </c>
    </row>
    <row r="1174" spans="1:15">
      <c r="A1174">
        <v>1173</v>
      </c>
      <c r="B1174" t="s">
        <v>3223</v>
      </c>
      <c r="C1174" t="s">
        <v>3224</v>
      </c>
      <c r="D1174" s="1" t="s">
        <v>3225</v>
      </c>
      <c r="E1174" t="s">
        <v>33</v>
      </c>
      <c r="F1174" t="str">
        <f>_xlfn.XLOOKUP(frasest[[#This Row],[autor_es]],autorest[autor_es],autorest[autor_la])</f>
        <v>Proverbium Sinense</v>
      </c>
      <c r="G1174" s="6" t="str">
        <f>_xlfn.XLOOKUP(frasest[[#This Row],[autor_es]],autorest[autor_es],autorest[bio_es])</f>
        <v>Conjunto de proverbios tradicionales de la cultura china que transmiten sabiduría popular, valores morales y enseñanzas prácticas transmitidas oralmente durante siglos.</v>
      </c>
      <c r="H1174" s="6" t="str">
        <f>_xlfn.XLOOKUP(frasest[[#This Row],[autor_es]],autorest[autor_es],autorest[bio_la])</f>
        <v>Collectio sententiarum Sinensium, magnopere in cultura tradita.</v>
      </c>
      <c r="I1174" t="str">
        <f>_xlfn.XLOOKUP(frasest[[#This Row],[autor_es]],autorest[autor_es],autorest[codigo])</f>
        <v>zh</v>
      </c>
      <c r="J1174" t="str">
        <f>_xlfn.XLOOKUP(frasest[[#This Row],[autor_es]],autorest[autor_es],autorest[idioma_es])</f>
        <v>Chino</v>
      </c>
      <c r="K1174" s="6" t="str">
        <f>_xlfn.XLOOKUP(frasest[[#This Row],[autor_es]],autorest[autor_es],autorest[idioma_la])</f>
        <v>Lingua Sinica</v>
      </c>
      <c r="L1174" s="6" t="str">
        <f>_xlfn.XLOOKUP(frasest[[#This Row],[autor_es]],autorest[autor_es],autorest[nacion_es])</f>
        <v>China</v>
      </c>
      <c r="M1174" t="str">
        <f>_xlfn.XLOOKUP(frasest[[#This Row],[autor_es]],autorest[autor_es],autorest[nacion_la])</f>
        <v>Sinae</v>
      </c>
      <c r="N1174" t="str">
        <f>_xlfn.XLOOKUP(frasest[[#This Row],[autor_es]],autorest[autor_es],autorest[epoca_es])</f>
        <v>Epoca Desconocida</v>
      </c>
      <c r="O1174" t="str">
        <f>_xlfn.XLOOKUP(frasest[[#This Row],[autor_es]],autorest[autor_es],autorest[epoca_la])</f>
        <v>Epocha Ignota</v>
      </c>
    </row>
    <row r="1175" spans="1:15">
      <c r="A1175">
        <v>1174</v>
      </c>
      <c r="B1175" t="s">
        <v>3226</v>
      </c>
      <c r="C1175" t="s">
        <v>3227</v>
      </c>
      <c r="D1175" s="1" t="s">
        <v>3228</v>
      </c>
      <c r="E1175" t="s">
        <v>33</v>
      </c>
      <c r="F1175" t="str">
        <f>_xlfn.XLOOKUP(frasest[[#This Row],[autor_es]],autorest[autor_es],autorest[autor_la])</f>
        <v>Proverbium Sinense</v>
      </c>
      <c r="G1175" s="6" t="str">
        <f>_xlfn.XLOOKUP(frasest[[#This Row],[autor_es]],autorest[autor_es],autorest[bio_es])</f>
        <v>Conjunto de proverbios tradicionales de la cultura china que transmiten sabiduría popular, valores morales y enseñanzas prácticas transmitidas oralmente durante siglos.</v>
      </c>
      <c r="H1175" s="6" t="str">
        <f>_xlfn.XLOOKUP(frasest[[#This Row],[autor_es]],autorest[autor_es],autorest[bio_la])</f>
        <v>Collectio sententiarum Sinensium, magnopere in cultura tradita.</v>
      </c>
      <c r="I1175" t="str">
        <f>_xlfn.XLOOKUP(frasest[[#This Row],[autor_es]],autorest[autor_es],autorest[codigo])</f>
        <v>zh</v>
      </c>
      <c r="J1175" t="str">
        <f>_xlfn.XLOOKUP(frasest[[#This Row],[autor_es]],autorest[autor_es],autorest[idioma_es])</f>
        <v>Chino</v>
      </c>
      <c r="K1175" s="6" t="str">
        <f>_xlfn.XLOOKUP(frasest[[#This Row],[autor_es]],autorest[autor_es],autorest[idioma_la])</f>
        <v>Lingua Sinica</v>
      </c>
      <c r="L1175" s="6" t="str">
        <f>_xlfn.XLOOKUP(frasest[[#This Row],[autor_es]],autorest[autor_es],autorest[nacion_es])</f>
        <v>China</v>
      </c>
      <c r="M1175" t="str">
        <f>_xlfn.XLOOKUP(frasest[[#This Row],[autor_es]],autorest[autor_es],autorest[nacion_la])</f>
        <v>Sinae</v>
      </c>
      <c r="N1175" t="str">
        <f>_xlfn.XLOOKUP(frasest[[#This Row],[autor_es]],autorest[autor_es],autorest[epoca_es])</f>
        <v>Epoca Desconocida</v>
      </c>
      <c r="O1175" t="str">
        <f>_xlfn.XLOOKUP(frasest[[#This Row],[autor_es]],autorest[autor_es],autorest[epoca_la])</f>
        <v>Epocha Ignota</v>
      </c>
    </row>
    <row r="1176" spans="1:15">
      <c r="A1176">
        <v>1175</v>
      </c>
      <c r="B1176" t="s">
        <v>3229</v>
      </c>
      <c r="C1176" t="s">
        <v>3230</v>
      </c>
      <c r="D1176" s="1" t="s">
        <v>3231</v>
      </c>
      <c r="E1176" t="s">
        <v>33</v>
      </c>
      <c r="F1176" t="str">
        <f>_xlfn.XLOOKUP(frasest[[#This Row],[autor_es]],autorest[autor_es],autorest[autor_la])</f>
        <v>Proverbium Sinense</v>
      </c>
      <c r="G1176" s="6" t="str">
        <f>_xlfn.XLOOKUP(frasest[[#This Row],[autor_es]],autorest[autor_es],autorest[bio_es])</f>
        <v>Conjunto de proverbios tradicionales de la cultura china que transmiten sabiduría popular, valores morales y enseñanzas prácticas transmitidas oralmente durante siglos.</v>
      </c>
      <c r="H1176" s="6" t="str">
        <f>_xlfn.XLOOKUP(frasest[[#This Row],[autor_es]],autorest[autor_es],autorest[bio_la])</f>
        <v>Collectio sententiarum Sinensium, magnopere in cultura tradita.</v>
      </c>
      <c r="I1176" t="str">
        <f>_xlfn.XLOOKUP(frasest[[#This Row],[autor_es]],autorest[autor_es],autorest[codigo])</f>
        <v>zh</v>
      </c>
      <c r="J1176" t="str">
        <f>_xlfn.XLOOKUP(frasest[[#This Row],[autor_es]],autorest[autor_es],autorest[idioma_es])</f>
        <v>Chino</v>
      </c>
      <c r="K1176" s="6" t="str">
        <f>_xlfn.XLOOKUP(frasest[[#This Row],[autor_es]],autorest[autor_es],autorest[idioma_la])</f>
        <v>Lingua Sinica</v>
      </c>
      <c r="L1176" s="6" t="str">
        <f>_xlfn.XLOOKUP(frasest[[#This Row],[autor_es]],autorest[autor_es],autorest[nacion_es])</f>
        <v>China</v>
      </c>
      <c r="M1176" t="str">
        <f>_xlfn.XLOOKUP(frasest[[#This Row],[autor_es]],autorest[autor_es],autorest[nacion_la])</f>
        <v>Sinae</v>
      </c>
      <c r="N1176" t="str">
        <f>_xlfn.XLOOKUP(frasest[[#This Row],[autor_es]],autorest[autor_es],autorest[epoca_es])</f>
        <v>Epoca Desconocida</v>
      </c>
      <c r="O1176" t="str">
        <f>_xlfn.XLOOKUP(frasest[[#This Row],[autor_es]],autorest[autor_es],autorest[epoca_la])</f>
        <v>Epocha Ignota</v>
      </c>
    </row>
    <row r="1177" spans="1:15">
      <c r="A1177">
        <v>1176</v>
      </c>
      <c r="B1177" t="s">
        <v>3232</v>
      </c>
      <c r="C1177" t="s">
        <v>3233</v>
      </c>
      <c r="D1177" s="1" t="s">
        <v>3234</v>
      </c>
      <c r="E1177" t="s">
        <v>33</v>
      </c>
      <c r="F1177" t="str">
        <f>_xlfn.XLOOKUP(frasest[[#This Row],[autor_es]],autorest[autor_es],autorest[autor_la])</f>
        <v>Proverbium Sinense</v>
      </c>
      <c r="G1177" s="6" t="str">
        <f>_xlfn.XLOOKUP(frasest[[#This Row],[autor_es]],autorest[autor_es],autorest[bio_es])</f>
        <v>Conjunto de proverbios tradicionales de la cultura china que transmiten sabiduría popular, valores morales y enseñanzas prácticas transmitidas oralmente durante siglos.</v>
      </c>
      <c r="H1177" s="6" t="str">
        <f>_xlfn.XLOOKUP(frasest[[#This Row],[autor_es]],autorest[autor_es],autorest[bio_la])</f>
        <v>Collectio sententiarum Sinensium, magnopere in cultura tradita.</v>
      </c>
      <c r="I1177" t="str">
        <f>_xlfn.XLOOKUP(frasest[[#This Row],[autor_es]],autorest[autor_es],autorest[codigo])</f>
        <v>zh</v>
      </c>
      <c r="J1177" t="str">
        <f>_xlfn.XLOOKUP(frasest[[#This Row],[autor_es]],autorest[autor_es],autorest[idioma_es])</f>
        <v>Chino</v>
      </c>
      <c r="K1177" s="6" t="str">
        <f>_xlfn.XLOOKUP(frasest[[#This Row],[autor_es]],autorest[autor_es],autorest[idioma_la])</f>
        <v>Lingua Sinica</v>
      </c>
      <c r="L1177" s="6" t="str">
        <f>_xlfn.XLOOKUP(frasest[[#This Row],[autor_es]],autorest[autor_es],autorest[nacion_es])</f>
        <v>China</v>
      </c>
      <c r="M1177" t="str">
        <f>_xlfn.XLOOKUP(frasest[[#This Row],[autor_es]],autorest[autor_es],autorest[nacion_la])</f>
        <v>Sinae</v>
      </c>
      <c r="N1177" t="str">
        <f>_xlfn.XLOOKUP(frasest[[#This Row],[autor_es]],autorest[autor_es],autorest[epoca_es])</f>
        <v>Epoca Desconocida</v>
      </c>
      <c r="O1177" t="str">
        <f>_xlfn.XLOOKUP(frasest[[#This Row],[autor_es]],autorest[autor_es],autorest[epoca_la])</f>
        <v>Epocha Ignota</v>
      </c>
    </row>
    <row r="1178" spans="1:15">
      <c r="A1178">
        <v>1177</v>
      </c>
      <c r="B1178" t="s">
        <v>3235</v>
      </c>
      <c r="C1178" t="s">
        <v>3236</v>
      </c>
      <c r="D1178" s="1" t="s">
        <v>3237</v>
      </c>
      <c r="E1178" t="s">
        <v>33</v>
      </c>
      <c r="F1178" t="str">
        <f>_xlfn.XLOOKUP(frasest[[#This Row],[autor_es]],autorest[autor_es],autorest[autor_la])</f>
        <v>Proverbium Sinense</v>
      </c>
      <c r="G1178" s="6" t="str">
        <f>_xlfn.XLOOKUP(frasest[[#This Row],[autor_es]],autorest[autor_es],autorest[bio_es])</f>
        <v>Conjunto de proverbios tradicionales de la cultura china que transmiten sabiduría popular, valores morales y enseñanzas prácticas transmitidas oralmente durante siglos.</v>
      </c>
      <c r="H1178" s="6" t="str">
        <f>_xlfn.XLOOKUP(frasest[[#This Row],[autor_es]],autorest[autor_es],autorest[bio_la])</f>
        <v>Collectio sententiarum Sinensium, magnopere in cultura tradita.</v>
      </c>
      <c r="I1178" t="str">
        <f>_xlfn.XLOOKUP(frasest[[#This Row],[autor_es]],autorest[autor_es],autorest[codigo])</f>
        <v>zh</v>
      </c>
      <c r="J1178" t="str">
        <f>_xlfn.XLOOKUP(frasest[[#This Row],[autor_es]],autorest[autor_es],autorest[idioma_es])</f>
        <v>Chino</v>
      </c>
      <c r="K1178" s="6" t="str">
        <f>_xlfn.XLOOKUP(frasest[[#This Row],[autor_es]],autorest[autor_es],autorest[idioma_la])</f>
        <v>Lingua Sinica</v>
      </c>
      <c r="L1178" s="6" t="str">
        <f>_xlfn.XLOOKUP(frasest[[#This Row],[autor_es]],autorest[autor_es],autorest[nacion_es])</f>
        <v>China</v>
      </c>
      <c r="M1178" t="str">
        <f>_xlfn.XLOOKUP(frasest[[#This Row],[autor_es]],autorest[autor_es],autorest[nacion_la])</f>
        <v>Sinae</v>
      </c>
      <c r="N1178" t="str">
        <f>_xlfn.XLOOKUP(frasest[[#This Row],[autor_es]],autorest[autor_es],autorest[epoca_es])</f>
        <v>Epoca Desconocida</v>
      </c>
      <c r="O1178" t="str">
        <f>_xlfn.XLOOKUP(frasest[[#This Row],[autor_es]],autorest[autor_es],autorest[epoca_la])</f>
        <v>Epocha Ignota</v>
      </c>
    </row>
    <row r="1179" spans="1:15">
      <c r="A1179">
        <v>1178</v>
      </c>
      <c r="B1179" t="s">
        <v>3238</v>
      </c>
      <c r="C1179" t="s">
        <v>3239</v>
      </c>
      <c r="D1179" s="1" t="s">
        <v>3240</v>
      </c>
      <c r="E1179" t="s">
        <v>33</v>
      </c>
      <c r="F1179" t="str">
        <f>_xlfn.XLOOKUP(frasest[[#This Row],[autor_es]],autorest[autor_es],autorest[autor_la])</f>
        <v>Proverbium Sinense</v>
      </c>
      <c r="G1179" s="6" t="str">
        <f>_xlfn.XLOOKUP(frasest[[#This Row],[autor_es]],autorest[autor_es],autorest[bio_es])</f>
        <v>Conjunto de proverbios tradicionales de la cultura china que transmiten sabiduría popular, valores morales y enseñanzas prácticas transmitidas oralmente durante siglos.</v>
      </c>
      <c r="H1179" s="6" t="str">
        <f>_xlfn.XLOOKUP(frasest[[#This Row],[autor_es]],autorest[autor_es],autorest[bio_la])</f>
        <v>Collectio sententiarum Sinensium, magnopere in cultura tradita.</v>
      </c>
      <c r="I1179" t="str">
        <f>_xlfn.XLOOKUP(frasest[[#This Row],[autor_es]],autorest[autor_es],autorest[codigo])</f>
        <v>zh</v>
      </c>
      <c r="J1179" t="str">
        <f>_xlfn.XLOOKUP(frasest[[#This Row],[autor_es]],autorest[autor_es],autorest[idioma_es])</f>
        <v>Chino</v>
      </c>
      <c r="K1179" s="6" t="str">
        <f>_xlfn.XLOOKUP(frasest[[#This Row],[autor_es]],autorest[autor_es],autorest[idioma_la])</f>
        <v>Lingua Sinica</v>
      </c>
      <c r="L1179" s="6" t="str">
        <f>_xlfn.XLOOKUP(frasest[[#This Row],[autor_es]],autorest[autor_es],autorest[nacion_es])</f>
        <v>China</v>
      </c>
      <c r="M1179" t="str">
        <f>_xlfn.XLOOKUP(frasest[[#This Row],[autor_es]],autorest[autor_es],autorest[nacion_la])</f>
        <v>Sinae</v>
      </c>
      <c r="N1179" t="str">
        <f>_xlfn.XLOOKUP(frasest[[#This Row],[autor_es]],autorest[autor_es],autorest[epoca_es])</f>
        <v>Epoca Desconocida</v>
      </c>
      <c r="O1179" t="str">
        <f>_xlfn.XLOOKUP(frasest[[#This Row],[autor_es]],autorest[autor_es],autorest[epoca_la])</f>
        <v>Epocha Ignota</v>
      </c>
    </row>
    <row r="1180" spans="1:15">
      <c r="A1180">
        <v>1179</v>
      </c>
      <c r="B1180" t="s">
        <v>3241</v>
      </c>
      <c r="C1180" t="s">
        <v>3242</v>
      </c>
      <c r="D1180" s="1" t="s">
        <v>3243</v>
      </c>
      <c r="E1180" t="s">
        <v>33</v>
      </c>
      <c r="F1180" t="str">
        <f>_xlfn.XLOOKUP(frasest[[#This Row],[autor_es]],autorest[autor_es],autorest[autor_la])</f>
        <v>Proverbium Sinense</v>
      </c>
      <c r="G1180" s="6" t="str">
        <f>_xlfn.XLOOKUP(frasest[[#This Row],[autor_es]],autorest[autor_es],autorest[bio_es])</f>
        <v>Conjunto de proverbios tradicionales de la cultura china que transmiten sabiduría popular, valores morales y enseñanzas prácticas transmitidas oralmente durante siglos.</v>
      </c>
      <c r="H1180" s="6" t="str">
        <f>_xlfn.XLOOKUP(frasest[[#This Row],[autor_es]],autorest[autor_es],autorest[bio_la])</f>
        <v>Collectio sententiarum Sinensium, magnopere in cultura tradita.</v>
      </c>
      <c r="I1180" t="str">
        <f>_xlfn.XLOOKUP(frasest[[#This Row],[autor_es]],autorest[autor_es],autorest[codigo])</f>
        <v>zh</v>
      </c>
      <c r="J1180" t="str">
        <f>_xlfn.XLOOKUP(frasest[[#This Row],[autor_es]],autorest[autor_es],autorest[idioma_es])</f>
        <v>Chino</v>
      </c>
      <c r="K1180" s="6" t="str">
        <f>_xlfn.XLOOKUP(frasest[[#This Row],[autor_es]],autorest[autor_es],autorest[idioma_la])</f>
        <v>Lingua Sinica</v>
      </c>
      <c r="L1180" s="6" t="str">
        <f>_xlfn.XLOOKUP(frasest[[#This Row],[autor_es]],autorest[autor_es],autorest[nacion_es])</f>
        <v>China</v>
      </c>
      <c r="M1180" t="str">
        <f>_xlfn.XLOOKUP(frasest[[#This Row],[autor_es]],autorest[autor_es],autorest[nacion_la])</f>
        <v>Sinae</v>
      </c>
      <c r="N1180" t="str">
        <f>_xlfn.XLOOKUP(frasest[[#This Row],[autor_es]],autorest[autor_es],autorest[epoca_es])</f>
        <v>Epoca Desconocida</v>
      </c>
      <c r="O1180" t="str">
        <f>_xlfn.XLOOKUP(frasest[[#This Row],[autor_es]],autorest[autor_es],autorest[epoca_la])</f>
        <v>Epocha Ignota</v>
      </c>
    </row>
    <row r="1181" spans="1:15">
      <c r="A1181">
        <v>1180</v>
      </c>
      <c r="B1181" t="s">
        <v>3244</v>
      </c>
      <c r="C1181" t="s">
        <v>3245</v>
      </c>
      <c r="D1181" s="1" t="s">
        <v>3246</v>
      </c>
      <c r="E1181" t="s">
        <v>33</v>
      </c>
      <c r="F1181" t="str">
        <f>_xlfn.XLOOKUP(frasest[[#This Row],[autor_es]],autorest[autor_es],autorest[autor_la])</f>
        <v>Proverbium Sinense</v>
      </c>
      <c r="G1181" s="6" t="str">
        <f>_xlfn.XLOOKUP(frasest[[#This Row],[autor_es]],autorest[autor_es],autorest[bio_es])</f>
        <v>Conjunto de proverbios tradicionales de la cultura china que transmiten sabiduría popular, valores morales y enseñanzas prácticas transmitidas oralmente durante siglos.</v>
      </c>
      <c r="H1181" s="6" t="str">
        <f>_xlfn.XLOOKUP(frasest[[#This Row],[autor_es]],autorest[autor_es],autorest[bio_la])</f>
        <v>Collectio sententiarum Sinensium, magnopere in cultura tradita.</v>
      </c>
      <c r="I1181" t="str">
        <f>_xlfn.XLOOKUP(frasest[[#This Row],[autor_es]],autorest[autor_es],autorest[codigo])</f>
        <v>zh</v>
      </c>
      <c r="J1181" t="str">
        <f>_xlfn.XLOOKUP(frasest[[#This Row],[autor_es]],autorest[autor_es],autorest[idioma_es])</f>
        <v>Chino</v>
      </c>
      <c r="K1181" s="6" t="str">
        <f>_xlfn.XLOOKUP(frasest[[#This Row],[autor_es]],autorest[autor_es],autorest[idioma_la])</f>
        <v>Lingua Sinica</v>
      </c>
      <c r="L1181" s="6" t="str">
        <f>_xlfn.XLOOKUP(frasest[[#This Row],[autor_es]],autorest[autor_es],autorest[nacion_es])</f>
        <v>China</v>
      </c>
      <c r="M1181" t="str">
        <f>_xlfn.XLOOKUP(frasest[[#This Row],[autor_es]],autorest[autor_es],autorest[nacion_la])</f>
        <v>Sinae</v>
      </c>
      <c r="N1181" t="str">
        <f>_xlfn.XLOOKUP(frasest[[#This Row],[autor_es]],autorest[autor_es],autorest[epoca_es])</f>
        <v>Epoca Desconocida</v>
      </c>
      <c r="O1181" t="str">
        <f>_xlfn.XLOOKUP(frasest[[#This Row],[autor_es]],autorest[autor_es],autorest[epoca_la])</f>
        <v>Epocha Ignota</v>
      </c>
    </row>
    <row r="1182" spans="1:15">
      <c r="A1182">
        <v>1181</v>
      </c>
      <c r="B1182" t="s">
        <v>3247</v>
      </c>
      <c r="C1182" t="s">
        <v>3248</v>
      </c>
      <c r="D1182" s="1" t="s">
        <v>3249</v>
      </c>
      <c r="E1182" t="s">
        <v>33</v>
      </c>
      <c r="F1182" t="str">
        <f>_xlfn.XLOOKUP(frasest[[#This Row],[autor_es]],autorest[autor_es],autorest[autor_la])</f>
        <v>Proverbium Sinense</v>
      </c>
      <c r="G1182" s="6" t="str">
        <f>_xlfn.XLOOKUP(frasest[[#This Row],[autor_es]],autorest[autor_es],autorest[bio_es])</f>
        <v>Conjunto de proverbios tradicionales de la cultura china que transmiten sabiduría popular, valores morales y enseñanzas prácticas transmitidas oralmente durante siglos.</v>
      </c>
      <c r="H1182" s="6" t="str">
        <f>_xlfn.XLOOKUP(frasest[[#This Row],[autor_es]],autorest[autor_es],autorest[bio_la])</f>
        <v>Collectio sententiarum Sinensium, magnopere in cultura tradita.</v>
      </c>
      <c r="I1182" t="str">
        <f>_xlfn.XLOOKUP(frasest[[#This Row],[autor_es]],autorest[autor_es],autorest[codigo])</f>
        <v>zh</v>
      </c>
      <c r="J1182" t="str">
        <f>_xlfn.XLOOKUP(frasest[[#This Row],[autor_es]],autorest[autor_es],autorest[idioma_es])</f>
        <v>Chino</v>
      </c>
      <c r="K1182" s="6" t="str">
        <f>_xlfn.XLOOKUP(frasest[[#This Row],[autor_es]],autorest[autor_es],autorest[idioma_la])</f>
        <v>Lingua Sinica</v>
      </c>
      <c r="L1182" s="6" t="str">
        <f>_xlfn.XLOOKUP(frasest[[#This Row],[autor_es]],autorest[autor_es],autorest[nacion_es])</f>
        <v>China</v>
      </c>
      <c r="M1182" t="str">
        <f>_xlfn.XLOOKUP(frasest[[#This Row],[autor_es]],autorest[autor_es],autorest[nacion_la])</f>
        <v>Sinae</v>
      </c>
      <c r="N1182" t="str">
        <f>_xlfn.XLOOKUP(frasest[[#This Row],[autor_es]],autorest[autor_es],autorest[epoca_es])</f>
        <v>Epoca Desconocida</v>
      </c>
      <c r="O1182" t="str">
        <f>_xlfn.XLOOKUP(frasest[[#This Row],[autor_es]],autorest[autor_es],autorest[epoca_la])</f>
        <v>Epocha Ignota</v>
      </c>
    </row>
    <row r="1183" spans="1:15">
      <c r="A1183">
        <v>1182</v>
      </c>
      <c r="B1183" t="s">
        <v>3250</v>
      </c>
      <c r="C1183" t="s">
        <v>3251</v>
      </c>
      <c r="D1183" s="1" t="s">
        <v>3252</v>
      </c>
      <c r="E1183" t="s">
        <v>33</v>
      </c>
      <c r="F1183" t="str">
        <f>_xlfn.XLOOKUP(frasest[[#This Row],[autor_es]],autorest[autor_es],autorest[autor_la])</f>
        <v>Proverbium Sinense</v>
      </c>
      <c r="G1183" s="6" t="str">
        <f>_xlfn.XLOOKUP(frasest[[#This Row],[autor_es]],autorest[autor_es],autorest[bio_es])</f>
        <v>Conjunto de proverbios tradicionales de la cultura china que transmiten sabiduría popular, valores morales y enseñanzas prácticas transmitidas oralmente durante siglos.</v>
      </c>
      <c r="H1183" s="6" t="str">
        <f>_xlfn.XLOOKUP(frasest[[#This Row],[autor_es]],autorest[autor_es],autorest[bio_la])</f>
        <v>Collectio sententiarum Sinensium, magnopere in cultura tradita.</v>
      </c>
      <c r="I1183" t="str">
        <f>_xlfn.XLOOKUP(frasest[[#This Row],[autor_es]],autorest[autor_es],autorest[codigo])</f>
        <v>zh</v>
      </c>
      <c r="J1183" t="str">
        <f>_xlfn.XLOOKUP(frasest[[#This Row],[autor_es]],autorest[autor_es],autorest[idioma_es])</f>
        <v>Chino</v>
      </c>
      <c r="K1183" s="6" t="str">
        <f>_xlfn.XLOOKUP(frasest[[#This Row],[autor_es]],autorest[autor_es],autorest[idioma_la])</f>
        <v>Lingua Sinica</v>
      </c>
      <c r="L1183" s="6" t="str">
        <f>_xlfn.XLOOKUP(frasest[[#This Row],[autor_es]],autorest[autor_es],autorest[nacion_es])</f>
        <v>China</v>
      </c>
      <c r="M1183" t="str">
        <f>_xlfn.XLOOKUP(frasest[[#This Row],[autor_es]],autorest[autor_es],autorest[nacion_la])</f>
        <v>Sinae</v>
      </c>
      <c r="N1183" t="str">
        <f>_xlfn.XLOOKUP(frasest[[#This Row],[autor_es]],autorest[autor_es],autorest[epoca_es])</f>
        <v>Epoca Desconocida</v>
      </c>
      <c r="O1183" t="str">
        <f>_xlfn.XLOOKUP(frasest[[#This Row],[autor_es]],autorest[autor_es],autorest[epoca_la])</f>
        <v>Epocha Ignota</v>
      </c>
    </row>
    <row r="1184" spans="1:15">
      <c r="A1184">
        <v>1183</v>
      </c>
      <c r="B1184" t="s">
        <v>3253</v>
      </c>
      <c r="C1184" t="s">
        <v>3254</v>
      </c>
      <c r="D1184" s="1" t="s">
        <v>3255</v>
      </c>
      <c r="E1184" t="s">
        <v>33</v>
      </c>
      <c r="F1184" t="str">
        <f>_xlfn.XLOOKUP(frasest[[#This Row],[autor_es]],autorest[autor_es],autorest[autor_la])</f>
        <v>Proverbium Sinense</v>
      </c>
      <c r="G1184" s="6" t="str">
        <f>_xlfn.XLOOKUP(frasest[[#This Row],[autor_es]],autorest[autor_es],autorest[bio_es])</f>
        <v>Conjunto de proverbios tradicionales de la cultura china que transmiten sabiduría popular, valores morales y enseñanzas prácticas transmitidas oralmente durante siglos.</v>
      </c>
      <c r="H1184" s="6" t="str">
        <f>_xlfn.XLOOKUP(frasest[[#This Row],[autor_es]],autorest[autor_es],autorest[bio_la])</f>
        <v>Collectio sententiarum Sinensium, magnopere in cultura tradita.</v>
      </c>
      <c r="I1184" t="str">
        <f>_xlfn.XLOOKUP(frasest[[#This Row],[autor_es]],autorest[autor_es],autorest[codigo])</f>
        <v>zh</v>
      </c>
      <c r="J1184" t="str">
        <f>_xlfn.XLOOKUP(frasest[[#This Row],[autor_es]],autorest[autor_es],autorest[idioma_es])</f>
        <v>Chino</v>
      </c>
      <c r="K1184" s="6" t="str">
        <f>_xlfn.XLOOKUP(frasest[[#This Row],[autor_es]],autorest[autor_es],autorest[idioma_la])</f>
        <v>Lingua Sinica</v>
      </c>
      <c r="L1184" s="6" t="str">
        <f>_xlfn.XLOOKUP(frasest[[#This Row],[autor_es]],autorest[autor_es],autorest[nacion_es])</f>
        <v>China</v>
      </c>
      <c r="M1184" t="str">
        <f>_xlfn.XLOOKUP(frasest[[#This Row],[autor_es]],autorest[autor_es],autorest[nacion_la])</f>
        <v>Sinae</v>
      </c>
      <c r="N1184" t="str">
        <f>_xlfn.XLOOKUP(frasest[[#This Row],[autor_es]],autorest[autor_es],autorest[epoca_es])</f>
        <v>Epoca Desconocida</v>
      </c>
      <c r="O1184" t="str">
        <f>_xlfn.XLOOKUP(frasest[[#This Row],[autor_es]],autorest[autor_es],autorest[epoca_la])</f>
        <v>Epocha Ignota</v>
      </c>
    </row>
    <row r="1185" spans="1:15">
      <c r="A1185">
        <v>1184</v>
      </c>
      <c r="B1185" t="s">
        <v>1066</v>
      </c>
      <c r="C1185" t="s">
        <v>1067</v>
      </c>
      <c r="D1185" s="1" t="s">
        <v>3256</v>
      </c>
      <c r="E1185" t="s">
        <v>33</v>
      </c>
      <c r="F1185" t="str">
        <f>_xlfn.XLOOKUP(frasest[[#This Row],[autor_es]],autorest[autor_es],autorest[autor_la])</f>
        <v>Proverbium Sinense</v>
      </c>
      <c r="G1185" s="6" t="str">
        <f>_xlfn.XLOOKUP(frasest[[#This Row],[autor_es]],autorest[autor_es],autorest[bio_es])</f>
        <v>Conjunto de proverbios tradicionales de la cultura china que transmiten sabiduría popular, valores morales y enseñanzas prácticas transmitidas oralmente durante siglos.</v>
      </c>
      <c r="H1185" s="6" t="str">
        <f>_xlfn.XLOOKUP(frasest[[#This Row],[autor_es]],autorest[autor_es],autorest[bio_la])</f>
        <v>Collectio sententiarum Sinensium, magnopere in cultura tradita.</v>
      </c>
      <c r="I1185" t="str">
        <f>_xlfn.XLOOKUP(frasest[[#This Row],[autor_es]],autorest[autor_es],autorest[codigo])</f>
        <v>zh</v>
      </c>
      <c r="J1185" t="str">
        <f>_xlfn.XLOOKUP(frasest[[#This Row],[autor_es]],autorest[autor_es],autorest[idioma_es])</f>
        <v>Chino</v>
      </c>
      <c r="K1185" s="6" t="str">
        <f>_xlfn.XLOOKUP(frasest[[#This Row],[autor_es]],autorest[autor_es],autorest[idioma_la])</f>
        <v>Lingua Sinica</v>
      </c>
      <c r="L1185" s="6" t="str">
        <f>_xlfn.XLOOKUP(frasest[[#This Row],[autor_es]],autorest[autor_es],autorest[nacion_es])</f>
        <v>China</v>
      </c>
      <c r="M1185" t="str">
        <f>_xlfn.XLOOKUP(frasest[[#This Row],[autor_es]],autorest[autor_es],autorest[nacion_la])</f>
        <v>Sinae</v>
      </c>
      <c r="N1185" t="str">
        <f>_xlfn.XLOOKUP(frasest[[#This Row],[autor_es]],autorest[autor_es],autorest[epoca_es])</f>
        <v>Epoca Desconocida</v>
      </c>
      <c r="O1185" t="str">
        <f>_xlfn.XLOOKUP(frasest[[#This Row],[autor_es]],autorest[autor_es],autorest[epoca_la])</f>
        <v>Epocha Ignota</v>
      </c>
    </row>
    <row r="1186" spans="1:15">
      <c r="A1186">
        <v>1185</v>
      </c>
      <c r="B1186" t="s">
        <v>3257</v>
      </c>
      <c r="C1186" t="s">
        <v>3258</v>
      </c>
      <c r="D1186" s="1" t="s">
        <v>3259</v>
      </c>
      <c r="E1186" t="s">
        <v>33</v>
      </c>
      <c r="F1186" t="str">
        <f>_xlfn.XLOOKUP(frasest[[#This Row],[autor_es]],autorest[autor_es],autorest[autor_la])</f>
        <v>Proverbium Sinense</v>
      </c>
      <c r="G1186" s="6" t="str">
        <f>_xlfn.XLOOKUP(frasest[[#This Row],[autor_es]],autorest[autor_es],autorest[bio_es])</f>
        <v>Conjunto de proverbios tradicionales de la cultura china que transmiten sabiduría popular, valores morales y enseñanzas prácticas transmitidas oralmente durante siglos.</v>
      </c>
      <c r="H1186" s="6" t="str">
        <f>_xlfn.XLOOKUP(frasest[[#This Row],[autor_es]],autorest[autor_es],autorest[bio_la])</f>
        <v>Collectio sententiarum Sinensium, magnopere in cultura tradita.</v>
      </c>
      <c r="I1186" t="str">
        <f>_xlfn.XLOOKUP(frasest[[#This Row],[autor_es]],autorest[autor_es],autorest[codigo])</f>
        <v>zh</v>
      </c>
      <c r="J1186" t="str">
        <f>_xlfn.XLOOKUP(frasest[[#This Row],[autor_es]],autorest[autor_es],autorest[idioma_es])</f>
        <v>Chino</v>
      </c>
      <c r="K1186" s="6" t="str">
        <f>_xlfn.XLOOKUP(frasest[[#This Row],[autor_es]],autorest[autor_es],autorest[idioma_la])</f>
        <v>Lingua Sinica</v>
      </c>
      <c r="L1186" s="6" t="str">
        <f>_xlfn.XLOOKUP(frasest[[#This Row],[autor_es]],autorest[autor_es],autorest[nacion_es])</f>
        <v>China</v>
      </c>
      <c r="M1186" t="str">
        <f>_xlfn.XLOOKUP(frasest[[#This Row],[autor_es]],autorest[autor_es],autorest[nacion_la])</f>
        <v>Sinae</v>
      </c>
      <c r="N1186" t="str">
        <f>_xlfn.XLOOKUP(frasest[[#This Row],[autor_es]],autorest[autor_es],autorest[epoca_es])</f>
        <v>Epoca Desconocida</v>
      </c>
      <c r="O1186" t="str">
        <f>_xlfn.XLOOKUP(frasest[[#This Row],[autor_es]],autorest[autor_es],autorest[epoca_la])</f>
        <v>Epocha Ignota</v>
      </c>
    </row>
    <row r="1187" spans="1:15">
      <c r="A1187">
        <v>1186</v>
      </c>
      <c r="B1187" t="s">
        <v>3260</v>
      </c>
      <c r="C1187" t="s">
        <v>3261</v>
      </c>
      <c r="D1187" s="1" t="s">
        <v>104</v>
      </c>
      <c r="E1187" t="s">
        <v>33</v>
      </c>
      <c r="F1187" t="str">
        <f>_xlfn.XLOOKUP(frasest[[#This Row],[autor_es]],autorest[autor_es],autorest[autor_la])</f>
        <v>Proverbium Sinense</v>
      </c>
      <c r="G1187" s="6" t="str">
        <f>_xlfn.XLOOKUP(frasest[[#This Row],[autor_es]],autorest[autor_es],autorest[bio_es])</f>
        <v>Conjunto de proverbios tradicionales de la cultura china que transmiten sabiduría popular, valores morales y enseñanzas prácticas transmitidas oralmente durante siglos.</v>
      </c>
      <c r="H1187" s="6" t="str">
        <f>_xlfn.XLOOKUP(frasest[[#This Row],[autor_es]],autorest[autor_es],autorest[bio_la])</f>
        <v>Collectio sententiarum Sinensium, magnopere in cultura tradita.</v>
      </c>
      <c r="I1187" t="str">
        <f>_xlfn.XLOOKUP(frasest[[#This Row],[autor_es]],autorest[autor_es],autorest[codigo])</f>
        <v>zh</v>
      </c>
      <c r="J1187" t="str">
        <f>_xlfn.XLOOKUP(frasest[[#This Row],[autor_es]],autorest[autor_es],autorest[idioma_es])</f>
        <v>Chino</v>
      </c>
      <c r="K1187" s="6" t="str">
        <f>_xlfn.XLOOKUP(frasest[[#This Row],[autor_es]],autorest[autor_es],autorest[idioma_la])</f>
        <v>Lingua Sinica</v>
      </c>
      <c r="L1187" s="6" t="str">
        <f>_xlfn.XLOOKUP(frasest[[#This Row],[autor_es]],autorest[autor_es],autorest[nacion_es])</f>
        <v>China</v>
      </c>
      <c r="M1187" t="str">
        <f>_xlfn.XLOOKUP(frasest[[#This Row],[autor_es]],autorest[autor_es],autorest[nacion_la])</f>
        <v>Sinae</v>
      </c>
      <c r="N1187" t="str">
        <f>_xlfn.XLOOKUP(frasest[[#This Row],[autor_es]],autorest[autor_es],autorest[epoca_es])</f>
        <v>Epoca Desconocida</v>
      </c>
      <c r="O1187" t="str">
        <f>_xlfn.XLOOKUP(frasest[[#This Row],[autor_es]],autorest[autor_es],autorest[epoca_la])</f>
        <v>Epocha Ignota</v>
      </c>
    </row>
    <row r="1188" spans="1:15">
      <c r="A1188">
        <v>1187</v>
      </c>
      <c r="B1188" t="s">
        <v>3262</v>
      </c>
      <c r="C1188" t="s">
        <v>3263</v>
      </c>
      <c r="D1188" s="1" t="s">
        <v>3264</v>
      </c>
      <c r="E1188" t="s">
        <v>33</v>
      </c>
      <c r="F1188" t="str">
        <f>_xlfn.XLOOKUP(frasest[[#This Row],[autor_es]],autorest[autor_es],autorest[autor_la])</f>
        <v>Proverbium Sinense</v>
      </c>
      <c r="G1188" s="6" t="str">
        <f>_xlfn.XLOOKUP(frasest[[#This Row],[autor_es]],autorest[autor_es],autorest[bio_es])</f>
        <v>Conjunto de proverbios tradicionales de la cultura china que transmiten sabiduría popular, valores morales y enseñanzas prácticas transmitidas oralmente durante siglos.</v>
      </c>
      <c r="H1188" s="6" t="str">
        <f>_xlfn.XLOOKUP(frasest[[#This Row],[autor_es]],autorest[autor_es],autorest[bio_la])</f>
        <v>Collectio sententiarum Sinensium, magnopere in cultura tradita.</v>
      </c>
      <c r="I1188" t="str">
        <f>_xlfn.XLOOKUP(frasest[[#This Row],[autor_es]],autorest[autor_es],autorest[codigo])</f>
        <v>zh</v>
      </c>
      <c r="J1188" t="str">
        <f>_xlfn.XLOOKUP(frasest[[#This Row],[autor_es]],autorest[autor_es],autorest[idioma_es])</f>
        <v>Chino</v>
      </c>
      <c r="K1188" s="6" t="str">
        <f>_xlfn.XLOOKUP(frasest[[#This Row],[autor_es]],autorest[autor_es],autorest[idioma_la])</f>
        <v>Lingua Sinica</v>
      </c>
      <c r="L1188" s="6" t="str">
        <f>_xlfn.XLOOKUP(frasest[[#This Row],[autor_es]],autorest[autor_es],autorest[nacion_es])</f>
        <v>China</v>
      </c>
      <c r="M1188" t="str">
        <f>_xlfn.XLOOKUP(frasest[[#This Row],[autor_es]],autorest[autor_es],autorest[nacion_la])</f>
        <v>Sinae</v>
      </c>
      <c r="N1188" t="str">
        <f>_xlfn.XLOOKUP(frasest[[#This Row],[autor_es]],autorest[autor_es],autorest[epoca_es])</f>
        <v>Epoca Desconocida</v>
      </c>
      <c r="O1188" t="str">
        <f>_xlfn.XLOOKUP(frasest[[#This Row],[autor_es]],autorest[autor_es],autorest[epoca_la])</f>
        <v>Epocha Ignota</v>
      </c>
    </row>
    <row r="1189" spans="1:15">
      <c r="A1189">
        <v>1188</v>
      </c>
      <c r="B1189" t="s">
        <v>3265</v>
      </c>
      <c r="C1189" t="s">
        <v>3266</v>
      </c>
      <c r="D1189" s="1" t="s">
        <v>3267</v>
      </c>
      <c r="E1189" t="s">
        <v>33</v>
      </c>
      <c r="F1189" t="str">
        <f>_xlfn.XLOOKUP(frasest[[#This Row],[autor_es]],autorest[autor_es],autorest[autor_la])</f>
        <v>Proverbium Sinense</v>
      </c>
      <c r="G1189" s="6" t="str">
        <f>_xlfn.XLOOKUP(frasest[[#This Row],[autor_es]],autorest[autor_es],autorest[bio_es])</f>
        <v>Conjunto de proverbios tradicionales de la cultura china que transmiten sabiduría popular, valores morales y enseñanzas prácticas transmitidas oralmente durante siglos.</v>
      </c>
      <c r="H1189" s="6" t="str">
        <f>_xlfn.XLOOKUP(frasest[[#This Row],[autor_es]],autorest[autor_es],autorest[bio_la])</f>
        <v>Collectio sententiarum Sinensium, magnopere in cultura tradita.</v>
      </c>
      <c r="I1189" t="str">
        <f>_xlfn.XLOOKUP(frasest[[#This Row],[autor_es]],autorest[autor_es],autorest[codigo])</f>
        <v>zh</v>
      </c>
      <c r="J1189" t="str">
        <f>_xlfn.XLOOKUP(frasest[[#This Row],[autor_es]],autorest[autor_es],autorest[idioma_es])</f>
        <v>Chino</v>
      </c>
      <c r="K1189" s="6" t="str">
        <f>_xlfn.XLOOKUP(frasest[[#This Row],[autor_es]],autorest[autor_es],autorest[idioma_la])</f>
        <v>Lingua Sinica</v>
      </c>
      <c r="L1189" s="6" t="str">
        <f>_xlfn.XLOOKUP(frasest[[#This Row],[autor_es]],autorest[autor_es],autorest[nacion_es])</f>
        <v>China</v>
      </c>
      <c r="M1189" t="str">
        <f>_xlfn.XLOOKUP(frasest[[#This Row],[autor_es]],autorest[autor_es],autorest[nacion_la])</f>
        <v>Sinae</v>
      </c>
      <c r="N1189" t="str">
        <f>_xlfn.XLOOKUP(frasest[[#This Row],[autor_es]],autorest[autor_es],autorest[epoca_es])</f>
        <v>Epoca Desconocida</v>
      </c>
      <c r="O1189" t="str">
        <f>_xlfn.XLOOKUP(frasest[[#This Row],[autor_es]],autorest[autor_es],autorest[epoca_la])</f>
        <v>Epocha Ignota</v>
      </c>
    </row>
    <row r="1190" spans="1:15">
      <c r="A1190">
        <v>1189</v>
      </c>
      <c r="B1190" t="s">
        <v>3268</v>
      </c>
      <c r="C1190" t="s">
        <v>3269</v>
      </c>
      <c r="D1190" s="1" t="s">
        <v>3270</v>
      </c>
      <c r="E1190" t="s">
        <v>33</v>
      </c>
      <c r="F1190" t="str">
        <f>_xlfn.XLOOKUP(frasest[[#This Row],[autor_es]],autorest[autor_es],autorest[autor_la])</f>
        <v>Proverbium Sinense</v>
      </c>
      <c r="G1190" s="6" t="str">
        <f>_xlfn.XLOOKUP(frasest[[#This Row],[autor_es]],autorest[autor_es],autorest[bio_es])</f>
        <v>Conjunto de proverbios tradicionales de la cultura china que transmiten sabiduría popular, valores morales y enseñanzas prácticas transmitidas oralmente durante siglos.</v>
      </c>
      <c r="H1190" s="6" t="str">
        <f>_xlfn.XLOOKUP(frasest[[#This Row],[autor_es]],autorest[autor_es],autorest[bio_la])</f>
        <v>Collectio sententiarum Sinensium, magnopere in cultura tradita.</v>
      </c>
      <c r="I1190" t="str">
        <f>_xlfn.XLOOKUP(frasest[[#This Row],[autor_es]],autorest[autor_es],autorest[codigo])</f>
        <v>zh</v>
      </c>
      <c r="J1190" t="str">
        <f>_xlfn.XLOOKUP(frasest[[#This Row],[autor_es]],autorest[autor_es],autorest[idioma_es])</f>
        <v>Chino</v>
      </c>
      <c r="K1190" s="6" t="str">
        <f>_xlfn.XLOOKUP(frasest[[#This Row],[autor_es]],autorest[autor_es],autorest[idioma_la])</f>
        <v>Lingua Sinica</v>
      </c>
      <c r="L1190" s="6" t="str">
        <f>_xlfn.XLOOKUP(frasest[[#This Row],[autor_es]],autorest[autor_es],autorest[nacion_es])</f>
        <v>China</v>
      </c>
      <c r="M1190" t="str">
        <f>_xlfn.XLOOKUP(frasest[[#This Row],[autor_es]],autorest[autor_es],autorest[nacion_la])</f>
        <v>Sinae</v>
      </c>
      <c r="N1190" t="str">
        <f>_xlfn.XLOOKUP(frasest[[#This Row],[autor_es]],autorest[autor_es],autorest[epoca_es])</f>
        <v>Epoca Desconocida</v>
      </c>
      <c r="O1190" t="str">
        <f>_xlfn.XLOOKUP(frasest[[#This Row],[autor_es]],autorest[autor_es],autorest[epoca_la])</f>
        <v>Epocha Ignota</v>
      </c>
    </row>
    <row r="1191" spans="1:15">
      <c r="A1191">
        <v>1190</v>
      </c>
      <c r="B1191" t="s">
        <v>3271</v>
      </c>
      <c r="C1191" t="s">
        <v>3272</v>
      </c>
      <c r="D1191" s="1" t="s">
        <v>3273</v>
      </c>
      <c r="E1191" t="s">
        <v>33</v>
      </c>
      <c r="F1191" t="str">
        <f>_xlfn.XLOOKUP(frasest[[#This Row],[autor_es]],autorest[autor_es],autorest[autor_la])</f>
        <v>Proverbium Sinense</v>
      </c>
      <c r="G1191" s="6" t="str">
        <f>_xlfn.XLOOKUP(frasest[[#This Row],[autor_es]],autorest[autor_es],autorest[bio_es])</f>
        <v>Conjunto de proverbios tradicionales de la cultura china que transmiten sabiduría popular, valores morales y enseñanzas prácticas transmitidas oralmente durante siglos.</v>
      </c>
      <c r="H1191" s="6" t="str">
        <f>_xlfn.XLOOKUP(frasest[[#This Row],[autor_es]],autorest[autor_es],autorest[bio_la])</f>
        <v>Collectio sententiarum Sinensium, magnopere in cultura tradita.</v>
      </c>
      <c r="I1191" t="str">
        <f>_xlfn.XLOOKUP(frasest[[#This Row],[autor_es]],autorest[autor_es],autorest[codigo])</f>
        <v>zh</v>
      </c>
      <c r="J1191" t="str">
        <f>_xlfn.XLOOKUP(frasest[[#This Row],[autor_es]],autorest[autor_es],autorest[idioma_es])</f>
        <v>Chino</v>
      </c>
      <c r="K1191" s="6" t="str">
        <f>_xlfn.XLOOKUP(frasest[[#This Row],[autor_es]],autorest[autor_es],autorest[idioma_la])</f>
        <v>Lingua Sinica</v>
      </c>
      <c r="L1191" s="6" t="str">
        <f>_xlfn.XLOOKUP(frasest[[#This Row],[autor_es]],autorest[autor_es],autorest[nacion_es])</f>
        <v>China</v>
      </c>
      <c r="M1191" t="str">
        <f>_xlfn.XLOOKUP(frasest[[#This Row],[autor_es]],autorest[autor_es],autorest[nacion_la])</f>
        <v>Sinae</v>
      </c>
      <c r="N1191" t="str">
        <f>_xlfn.XLOOKUP(frasest[[#This Row],[autor_es]],autorest[autor_es],autorest[epoca_es])</f>
        <v>Epoca Desconocida</v>
      </c>
      <c r="O1191" t="str">
        <f>_xlfn.XLOOKUP(frasest[[#This Row],[autor_es]],autorest[autor_es],autorest[epoca_la])</f>
        <v>Epocha Ignota</v>
      </c>
    </row>
    <row r="1192" spans="1:15">
      <c r="A1192">
        <v>1191</v>
      </c>
      <c r="B1192" t="s">
        <v>3274</v>
      </c>
      <c r="C1192" t="s">
        <v>3275</v>
      </c>
      <c r="D1192" s="1" t="s">
        <v>3276</v>
      </c>
      <c r="E1192" t="s">
        <v>33</v>
      </c>
      <c r="F1192" t="str">
        <f>_xlfn.XLOOKUP(frasest[[#This Row],[autor_es]],autorest[autor_es],autorest[autor_la])</f>
        <v>Proverbium Sinense</v>
      </c>
      <c r="G1192" s="6" t="str">
        <f>_xlfn.XLOOKUP(frasest[[#This Row],[autor_es]],autorest[autor_es],autorest[bio_es])</f>
        <v>Conjunto de proverbios tradicionales de la cultura china que transmiten sabiduría popular, valores morales y enseñanzas prácticas transmitidas oralmente durante siglos.</v>
      </c>
      <c r="H1192" s="6" t="str">
        <f>_xlfn.XLOOKUP(frasest[[#This Row],[autor_es]],autorest[autor_es],autorest[bio_la])</f>
        <v>Collectio sententiarum Sinensium, magnopere in cultura tradita.</v>
      </c>
      <c r="I1192" t="str">
        <f>_xlfn.XLOOKUP(frasest[[#This Row],[autor_es]],autorest[autor_es],autorest[codigo])</f>
        <v>zh</v>
      </c>
      <c r="J1192" t="str">
        <f>_xlfn.XLOOKUP(frasest[[#This Row],[autor_es]],autorest[autor_es],autorest[idioma_es])</f>
        <v>Chino</v>
      </c>
      <c r="K1192" s="6" t="str">
        <f>_xlfn.XLOOKUP(frasest[[#This Row],[autor_es]],autorest[autor_es],autorest[idioma_la])</f>
        <v>Lingua Sinica</v>
      </c>
      <c r="L1192" s="6" t="str">
        <f>_xlfn.XLOOKUP(frasest[[#This Row],[autor_es]],autorest[autor_es],autorest[nacion_es])</f>
        <v>China</v>
      </c>
      <c r="M1192" t="str">
        <f>_xlfn.XLOOKUP(frasest[[#This Row],[autor_es]],autorest[autor_es],autorest[nacion_la])</f>
        <v>Sinae</v>
      </c>
      <c r="N1192" t="str">
        <f>_xlfn.XLOOKUP(frasest[[#This Row],[autor_es]],autorest[autor_es],autorest[epoca_es])</f>
        <v>Epoca Desconocida</v>
      </c>
      <c r="O1192" t="str">
        <f>_xlfn.XLOOKUP(frasest[[#This Row],[autor_es]],autorest[autor_es],autorest[epoca_la])</f>
        <v>Epocha Ignota</v>
      </c>
    </row>
    <row r="1193" spans="1:15">
      <c r="A1193">
        <v>1192</v>
      </c>
      <c r="B1193" t="s">
        <v>3277</v>
      </c>
      <c r="C1193" t="s">
        <v>3278</v>
      </c>
      <c r="D1193" s="1" t="s">
        <v>3279</v>
      </c>
      <c r="E1193" t="s">
        <v>33</v>
      </c>
      <c r="F1193" t="str">
        <f>_xlfn.XLOOKUP(frasest[[#This Row],[autor_es]],autorest[autor_es],autorest[autor_la])</f>
        <v>Proverbium Sinense</v>
      </c>
      <c r="G1193" s="6" t="str">
        <f>_xlfn.XLOOKUP(frasest[[#This Row],[autor_es]],autorest[autor_es],autorest[bio_es])</f>
        <v>Conjunto de proverbios tradicionales de la cultura china que transmiten sabiduría popular, valores morales y enseñanzas prácticas transmitidas oralmente durante siglos.</v>
      </c>
      <c r="H1193" s="6" t="str">
        <f>_xlfn.XLOOKUP(frasest[[#This Row],[autor_es]],autorest[autor_es],autorest[bio_la])</f>
        <v>Collectio sententiarum Sinensium, magnopere in cultura tradita.</v>
      </c>
      <c r="I1193" t="str">
        <f>_xlfn.XLOOKUP(frasest[[#This Row],[autor_es]],autorest[autor_es],autorest[codigo])</f>
        <v>zh</v>
      </c>
      <c r="J1193" t="str">
        <f>_xlfn.XLOOKUP(frasest[[#This Row],[autor_es]],autorest[autor_es],autorest[idioma_es])</f>
        <v>Chino</v>
      </c>
      <c r="K1193" s="6" t="str">
        <f>_xlfn.XLOOKUP(frasest[[#This Row],[autor_es]],autorest[autor_es],autorest[idioma_la])</f>
        <v>Lingua Sinica</v>
      </c>
      <c r="L1193" s="6" t="str">
        <f>_xlfn.XLOOKUP(frasest[[#This Row],[autor_es]],autorest[autor_es],autorest[nacion_es])</f>
        <v>China</v>
      </c>
      <c r="M1193" t="str">
        <f>_xlfn.XLOOKUP(frasest[[#This Row],[autor_es]],autorest[autor_es],autorest[nacion_la])</f>
        <v>Sinae</v>
      </c>
      <c r="N1193" t="str">
        <f>_xlfn.XLOOKUP(frasest[[#This Row],[autor_es]],autorest[autor_es],autorest[epoca_es])</f>
        <v>Epoca Desconocida</v>
      </c>
      <c r="O1193" t="str">
        <f>_xlfn.XLOOKUP(frasest[[#This Row],[autor_es]],autorest[autor_es],autorest[epoca_la])</f>
        <v>Epocha Ignota</v>
      </c>
    </row>
    <row r="1194" spans="1:15">
      <c r="A1194">
        <v>1193</v>
      </c>
      <c r="B1194" t="s">
        <v>3280</v>
      </c>
      <c r="C1194" t="s">
        <v>3281</v>
      </c>
      <c r="D1194" s="1" t="s">
        <v>3282</v>
      </c>
      <c r="E1194" t="s">
        <v>33</v>
      </c>
      <c r="F1194" t="str">
        <f>_xlfn.XLOOKUP(frasest[[#This Row],[autor_es]],autorest[autor_es],autorest[autor_la])</f>
        <v>Proverbium Sinense</v>
      </c>
      <c r="G1194" s="6" t="str">
        <f>_xlfn.XLOOKUP(frasest[[#This Row],[autor_es]],autorest[autor_es],autorest[bio_es])</f>
        <v>Conjunto de proverbios tradicionales de la cultura china que transmiten sabiduría popular, valores morales y enseñanzas prácticas transmitidas oralmente durante siglos.</v>
      </c>
      <c r="H1194" s="6" t="str">
        <f>_xlfn.XLOOKUP(frasest[[#This Row],[autor_es]],autorest[autor_es],autorest[bio_la])</f>
        <v>Collectio sententiarum Sinensium, magnopere in cultura tradita.</v>
      </c>
      <c r="I1194" t="str">
        <f>_xlfn.XLOOKUP(frasest[[#This Row],[autor_es]],autorest[autor_es],autorest[codigo])</f>
        <v>zh</v>
      </c>
      <c r="J1194" t="str">
        <f>_xlfn.XLOOKUP(frasest[[#This Row],[autor_es]],autorest[autor_es],autorest[idioma_es])</f>
        <v>Chino</v>
      </c>
      <c r="K1194" s="6" t="str">
        <f>_xlfn.XLOOKUP(frasest[[#This Row],[autor_es]],autorest[autor_es],autorest[idioma_la])</f>
        <v>Lingua Sinica</v>
      </c>
      <c r="L1194" s="6" t="str">
        <f>_xlfn.XLOOKUP(frasest[[#This Row],[autor_es]],autorest[autor_es],autorest[nacion_es])</f>
        <v>China</v>
      </c>
      <c r="M1194" t="str">
        <f>_xlfn.XLOOKUP(frasest[[#This Row],[autor_es]],autorest[autor_es],autorest[nacion_la])</f>
        <v>Sinae</v>
      </c>
      <c r="N1194" t="str">
        <f>_xlfn.XLOOKUP(frasest[[#This Row],[autor_es]],autorest[autor_es],autorest[epoca_es])</f>
        <v>Epoca Desconocida</v>
      </c>
      <c r="O1194" t="str">
        <f>_xlfn.XLOOKUP(frasest[[#This Row],[autor_es]],autorest[autor_es],autorest[epoca_la])</f>
        <v>Epocha Ignota</v>
      </c>
    </row>
    <row r="1195" spans="1:15">
      <c r="A1195">
        <v>1194</v>
      </c>
      <c r="B1195" t="s">
        <v>3283</v>
      </c>
      <c r="C1195" t="s">
        <v>3284</v>
      </c>
      <c r="D1195" s="1" t="s">
        <v>3285</v>
      </c>
      <c r="E1195" t="s">
        <v>33</v>
      </c>
      <c r="F1195" t="str">
        <f>_xlfn.XLOOKUP(frasest[[#This Row],[autor_es]],autorest[autor_es],autorest[autor_la])</f>
        <v>Proverbium Sinense</v>
      </c>
      <c r="G1195" s="6" t="str">
        <f>_xlfn.XLOOKUP(frasest[[#This Row],[autor_es]],autorest[autor_es],autorest[bio_es])</f>
        <v>Conjunto de proverbios tradicionales de la cultura china que transmiten sabiduría popular, valores morales y enseñanzas prácticas transmitidas oralmente durante siglos.</v>
      </c>
      <c r="H1195" s="6" t="str">
        <f>_xlfn.XLOOKUP(frasest[[#This Row],[autor_es]],autorest[autor_es],autorest[bio_la])</f>
        <v>Collectio sententiarum Sinensium, magnopere in cultura tradita.</v>
      </c>
      <c r="I1195" t="str">
        <f>_xlfn.XLOOKUP(frasest[[#This Row],[autor_es]],autorest[autor_es],autorest[codigo])</f>
        <v>zh</v>
      </c>
      <c r="J1195" t="str">
        <f>_xlfn.XLOOKUP(frasest[[#This Row],[autor_es]],autorest[autor_es],autorest[idioma_es])</f>
        <v>Chino</v>
      </c>
      <c r="K1195" s="6" t="str">
        <f>_xlfn.XLOOKUP(frasest[[#This Row],[autor_es]],autorest[autor_es],autorest[idioma_la])</f>
        <v>Lingua Sinica</v>
      </c>
      <c r="L1195" s="6" t="str">
        <f>_xlfn.XLOOKUP(frasest[[#This Row],[autor_es]],autorest[autor_es],autorest[nacion_es])</f>
        <v>China</v>
      </c>
      <c r="M1195" t="str">
        <f>_xlfn.XLOOKUP(frasest[[#This Row],[autor_es]],autorest[autor_es],autorest[nacion_la])</f>
        <v>Sinae</v>
      </c>
      <c r="N1195" t="str">
        <f>_xlfn.XLOOKUP(frasest[[#This Row],[autor_es]],autorest[autor_es],autorest[epoca_es])</f>
        <v>Epoca Desconocida</v>
      </c>
      <c r="O1195" t="str">
        <f>_xlfn.XLOOKUP(frasest[[#This Row],[autor_es]],autorest[autor_es],autorest[epoca_la])</f>
        <v>Epocha Ignota</v>
      </c>
    </row>
    <row r="1196" spans="1:15">
      <c r="A1196">
        <v>1195</v>
      </c>
      <c r="B1196" t="s">
        <v>3286</v>
      </c>
      <c r="C1196" t="s">
        <v>3287</v>
      </c>
      <c r="D1196" s="1" t="s">
        <v>3288</v>
      </c>
      <c r="E1196" t="s">
        <v>33</v>
      </c>
      <c r="F1196" t="str">
        <f>_xlfn.XLOOKUP(frasest[[#This Row],[autor_es]],autorest[autor_es],autorest[autor_la])</f>
        <v>Proverbium Sinense</v>
      </c>
      <c r="G1196" s="6" t="str">
        <f>_xlfn.XLOOKUP(frasest[[#This Row],[autor_es]],autorest[autor_es],autorest[bio_es])</f>
        <v>Conjunto de proverbios tradicionales de la cultura china que transmiten sabiduría popular, valores morales y enseñanzas prácticas transmitidas oralmente durante siglos.</v>
      </c>
      <c r="H1196" s="6" t="str">
        <f>_xlfn.XLOOKUP(frasest[[#This Row],[autor_es]],autorest[autor_es],autorest[bio_la])</f>
        <v>Collectio sententiarum Sinensium, magnopere in cultura tradita.</v>
      </c>
      <c r="I1196" t="str">
        <f>_xlfn.XLOOKUP(frasest[[#This Row],[autor_es]],autorest[autor_es],autorest[codigo])</f>
        <v>zh</v>
      </c>
      <c r="J1196" t="str">
        <f>_xlfn.XLOOKUP(frasest[[#This Row],[autor_es]],autorest[autor_es],autorest[idioma_es])</f>
        <v>Chino</v>
      </c>
      <c r="K1196" s="6" t="str">
        <f>_xlfn.XLOOKUP(frasest[[#This Row],[autor_es]],autorest[autor_es],autorest[idioma_la])</f>
        <v>Lingua Sinica</v>
      </c>
      <c r="L1196" s="6" t="str">
        <f>_xlfn.XLOOKUP(frasest[[#This Row],[autor_es]],autorest[autor_es],autorest[nacion_es])</f>
        <v>China</v>
      </c>
      <c r="M1196" t="str">
        <f>_xlfn.XLOOKUP(frasest[[#This Row],[autor_es]],autorest[autor_es],autorest[nacion_la])</f>
        <v>Sinae</v>
      </c>
      <c r="N1196" t="str">
        <f>_xlfn.XLOOKUP(frasest[[#This Row],[autor_es]],autorest[autor_es],autorest[epoca_es])</f>
        <v>Epoca Desconocida</v>
      </c>
      <c r="O1196" t="str">
        <f>_xlfn.XLOOKUP(frasest[[#This Row],[autor_es]],autorest[autor_es],autorest[epoca_la])</f>
        <v>Epocha Ignota</v>
      </c>
    </row>
    <row r="1197" spans="1:15">
      <c r="A1197">
        <v>1196</v>
      </c>
      <c r="B1197" t="s">
        <v>3289</v>
      </c>
      <c r="C1197" t="s">
        <v>1977</v>
      </c>
      <c r="D1197" s="1" t="s">
        <v>3290</v>
      </c>
      <c r="E1197" t="s">
        <v>33</v>
      </c>
      <c r="F1197" t="str">
        <f>_xlfn.XLOOKUP(frasest[[#This Row],[autor_es]],autorest[autor_es],autorest[autor_la])</f>
        <v>Proverbium Sinense</v>
      </c>
      <c r="G1197" s="6" t="str">
        <f>_xlfn.XLOOKUP(frasest[[#This Row],[autor_es]],autorest[autor_es],autorest[bio_es])</f>
        <v>Conjunto de proverbios tradicionales de la cultura china que transmiten sabiduría popular, valores morales y enseñanzas prácticas transmitidas oralmente durante siglos.</v>
      </c>
      <c r="H1197" s="6" t="str">
        <f>_xlfn.XLOOKUP(frasest[[#This Row],[autor_es]],autorest[autor_es],autorest[bio_la])</f>
        <v>Collectio sententiarum Sinensium, magnopere in cultura tradita.</v>
      </c>
      <c r="I1197" t="str">
        <f>_xlfn.XLOOKUP(frasest[[#This Row],[autor_es]],autorest[autor_es],autorest[codigo])</f>
        <v>zh</v>
      </c>
      <c r="J1197" t="str">
        <f>_xlfn.XLOOKUP(frasest[[#This Row],[autor_es]],autorest[autor_es],autorest[idioma_es])</f>
        <v>Chino</v>
      </c>
      <c r="K1197" s="6" t="str">
        <f>_xlfn.XLOOKUP(frasest[[#This Row],[autor_es]],autorest[autor_es],autorest[idioma_la])</f>
        <v>Lingua Sinica</v>
      </c>
      <c r="L1197" s="6" t="str">
        <f>_xlfn.XLOOKUP(frasest[[#This Row],[autor_es]],autorest[autor_es],autorest[nacion_es])</f>
        <v>China</v>
      </c>
      <c r="M1197" t="str">
        <f>_xlfn.XLOOKUP(frasest[[#This Row],[autor_es]],autorest[autor_es],autorest[nacion_la])</f>
        <v>Sinae</v>
      </c>
      <c r="N1197" t="str">
        <f>_xlfn.XLOOKUP(frasest[[#This Row],[autor_es]],autorest[autor_es],autorest[epoca_es])</f>
        <v>Epoca Desconocida</v>
      </c>
      <c r="O1197" t="str">
        <f>_xlfn.XLOOKUP(frasest[[#This Row],[autor_es]],autorest[autor_es],autorest[epoca_la])</f>
        <v>Epocha Ignota</v>
      </c>
    </row>
    <row r="1198" spans="1:15">
      <c r="A1198">
        <v>1197</v>
      </c>
      <c r="B1198" t="s">
        <v>3291</v>
      </c>
      <c r="C1198" t="s">
        <v>3292</v>
      </c>
      <c r="D1198" s="1" t="s">
        <v>3293</v>
      </c>
      <c r="E1198" t="s">
        <v>33</v>
      </c>
      <c r="F1198" t="str">
        <f>_xlfn.XLOOKUP(frasest[[#This Row],[autor_es]],autorest[autor_es],autorest[autor_la])</f>
        <v>Proverbium Sinense</v>
      </c>
      <c r="G1198" s="6" t="str">
        <f>_xlfn.XLOOKUP(frasest[[#This Row],[autor_es]],autorest[autor_es],autorest[bio_es])</f>
        <v>Conjunto de proverbios tradicionales de la cultura china que transmiten sabiduría popular, valores morales y enseñanzas prácticas transmitidas oralmente durante siglos.</v>
      </c>
      <c r="H1198" s="6" t="str">
        <f>_xlfn.XLOOKUP(frasest[[#This Row],[autor_es]],autorest[autor_es],autorest[bio_la])</f>
        <v>Collectio sententiarum Sinensium, magnopere in cultura tradita.</v>
      </c>
      <c r="I1198" t="str">
        <f>_xlfn.XLOOKUP(frasest[[#This Row],[autor_es]],autorest[autor_es],autorest[codigo])</f>
        <v>zh</v>
      </c>
      <c r="J1198" t="str">
        <f>_xlfn.XLOOKUP(frasest[[#This Row],[autor_es]],autorest[autor_es],autorest[idioma_es])</f>
        <v>Chino</v>
      </c>
      <c r="K1198" s="6" t="str">
        <f>_xlfn.XLOOKUP(frasest[[#This Row],[autor_es]],autorest[autor_es],autorest[idioma_la])</f>
        <v>Lingua Sinica</v>
      </c>
      <c r="L1198" s="6" t="str">
        <f>_xlfn.XLOOKUP(frasest[[#This Row],[autor_es]],autorest[autor_es],autorest[nacion_es])</f>
        <v>China</v>
      </c>
      <c r="M1198" t="str">
        <f>_xlfn.XLOOKUP(frasest[[#This Row],[autor_es]],autorest[autor_es],autorest[nacion_la])</f>
        <v>Sinae</v>
      </c>
      <c r="N1198" t="str">
        <f>_xlfn.XLOOKUP(frasest[[#This Row],[autor_es]],autorest[autor_es],autorest[epoca_es])</f>
        <v>Epoca Desconocida</v>
      </c>
      <c r="O1198" t="str">
        <f>_xlfn.XLOOKUP(frasest[[#This Row],[autor_es]],autorest[autor_es],autorest[epoca_la])</f>
        <v>Epocha Ignota</v>
      </c>
    </row>
    <row r="1199" spans="1:15">
      <c r="A1199">
        <v>1198</v>
      </c>
      <c r="B1199" t="s">
        <v>3294</v>
      </c>
      <c r="C1199" t="s">
        <v>3295</v>
      </c>
      <c r="D1199" s="1" t="s">
        <v>3296</v>
      </c>
      <c r="E1199" t="s">
        <v>33</v>
      </c>
      <c r="F1199" t="str">
        <f>_xlfn.XLOOKUP(frasest[[#This Row],[autor_es]],autorest[autor_es],autorest[autor_la])</f>
        <v>Proverbium Sinense</v>
      </c>
      <c r="G1199" s="6" t="str">
        <f>_xlfn.XLOOKUP(frasest[[#This Row],[autor_es]],autorest[autor_es],autorest[bio_es])</f>
        <v>Conjunto de proverbios tradicionales de la cultura china que transmiten sabiduría popular, valores morales y enseñanzas prácticas transmitidas oralmente durante siglos.</v>
      </c>
      <c r="H1199" s="6" t="str">
        <f>_xlfn.XLOOKUP(frasest[[#This Row],[autor_es]],autorest[autor_es],autorest[bio_la])</f>
        <v>Collectio sententiarum Sinensium, magnopere in cultura tradita.</v>
      </c>
      <c r="I1199" t="str">
        <f>_xlfn.XLOOKUP(frasest[[#This Row],[autor_es]],autorest[autor_es],autorest[codigo])</f>
        <v>zh</v>
      </c>
      <c r="J1199" t="str">
        <f>_xlfn.XLOOKUP(frasest[[#This Row],[autor_es]],autorest[autor_es],autorest[idioma_es])</f>
        <v>Chino</v>
      </c>
      <c r="K1199" s="6" t="str">
        <f>_xlfn.XLOOKUP(frasest[[#This Row],[autor_es]],autorest[autor_es],autorest[idioma_la])</f>
        <v>Lingua Sinica</v>
      </c>
      <c r="L1199" s="6" t="str">
        <f>_xlfn.XLOOKUP(frasest[[#This Row],[autor_es]],autorest[autor_es],autorest[nacion_es])</f>
        <v>China</v>
      </c>
      <c r="M1199" t="str">
        <f>_xlfn.XLOOKUP(frasest[[#This Row],[autor_es]],autorest[autor_es],autorest[nacion_la])</f>
        <v>Sinae</v>
      </c>
      <c r="N1199" t="str">
        <f>_xlfn.XLOOKUP(frasest[[#This Row],[autor_es]],autorest[autor_es],autorest[epoca_es])</f>
        <v>Epoca Desconocida</v>
      </c>
      <c r="O1199" t="str">
        <f>_xlfn.XLOOKUP(frasest[[#This Row],[autor_es]],autorest[autor_es],autorest[epoca_la])</f>
        <v>Epocha Ignota</v>
      </c>
    </row>
    <row r="1200" spans="1:15">
      <c r="A1200">
        <v>1199</v>
      </c>
      <c r="B1200" t="s">
        <v>3297</v>
      </c>
      <c r="C1200" t="s">
        <v>3298</v>
      </c>
      <c r="D1200" s="1" t="s">
        <v>3299</v>
      </c>
      <c r="E1200" t="s">
        <v>33</v>
      </c>
      <c r="F1200" t="str">
        <f>_xlfn.XLOOKUP(frasest[[#This Row],[autor_es]],autorest[autor_es],autorest[autor_la])</f>
        <v>Proverbium Sinense</v>
      </c>
      <c r="G1200" s="6" t="str">
        <f>_xlfn.XLOOKUP(frasest[[#This Row],[autor_es]],autorest[autor_es],autorest[bio_es])</f>
        <v>Conjunto de proverbios tradicionales de la cultura china que transmiten sabiduría popular, valores morales y enseñanzas prácticas transmitidas oralmente durante siglos.</v>
      </c>
      <c r="H1200" s="6" t="str">
        <f>_xlfn.XLOOKUP(frasest[[#This Row],[autor_es]],autorest[autor_es],autorest[bio_la])</f>
        <v>Collectio sententiarum Sinensium, magnopere in cultura tradita.</v>
      </c>
      <c r="I1200" t="str">
        <f>_xlfn.XLOOKUP(frasest[[#This Row],[autor_es]],autorest[autor_es],autorest[codigo])</f>
        <v>zh</v>
      </c>
      <c r="J1200" t="str">
        <f>_xlfn.XLOOKUP(frasest[[#This Row],[autor_es]],autorest[autor_es],autorest[idioma_es])</f>
        <v>Chino</v>
      </c>
      <c r="K1200" s="6" t="str">
        <f>_xlfn.XLOOKUP(frasest[[#This Row],[autor_es]],autorest[autor_es],autorest[idioma_la])</f>
        <v>Lingua Sinica</v>
      </c>
      <c r="L1200" s="6" t="str">
        <f>_xlfn.XLOOKUP(frasest[[#This Row],[autor_es]],autorest[autor_es],autorest[nacion_es])</f>
        <v>China</v>
      </c>
      <c r="M1200" t="str">
        <f>_xlfn.XLOOKUP(frasest[[#This Row],[autor_es]],autorest[autor_es],autorest[nacion_la])</f>
        <v>Sinae</v>
      </c>
      <c r="N1200" t="str">
        <f>_xlfn.XLOOKUP(frasest[[#This Row],[autor_es]],autorest[autor_es],autorest[epoca_es])</f>
        <v>Epoca Desconocida</v>
      </c>
      <c r="O1200" t="str">
        <f>_xlfn.XLOOKUP(frasest[[#This Row],[autor_es]],autorest[autor_es],autorest[epoca_la])</f>
        <v>Epocha Ignota</v>
      </c>
    </row>
    <row r="1201" spans="1:15">
      <c r="A1201">
        <v>1200</v>
      </c>
      <c r="B1201" t="s">
        <v>3300</v>
      </c>
      <c r="C1201" t="s">
        <v>2616</v>
      </c>
      <c r="D1201" s="1" t="s">
        <v>3219</v>
      </c>
      <c r="E1201" t="s">
        <v>33</v>
      </c>
      <c r="F1201" t="str">
        <f>_xlfn.XLOOKUP(frasest[[#This Row],[autor_es]],autorest[autor_es],autorest[autor_la])</f>
        <v>Proverbium Sinense</v>
      </c>
      <c r="G1201" s="6" t="str">
        <f>_xlfn.XLOOKUP(frasest[[#This Row],[autor_es]],autorest[autor_es],autorest[bio_es])</f>
        <v>Conjunto de proverbios tradicionales de la cultura china que transmiten sabiduría popular, valores morales y enseñanzas prácticas transmitidas oralmente durante siglos.</v>
      </c>
      <c r="H1201" s="6" t="str">
        <f>_xlfn.XLOOKUP(frasest[[#This Row],[autor_es]],autorest[autor_es],autorest[bio_la])</f>
        <v>Collectio sententiarum Sinensium, magnopere in cultura tradita.</v>
      </c>
      <c r="I1201" t="str">
        <f>_xlfn.XLOOKUP(frasest[[#This Row],[autor_es]],autorest[autor_es],autorest[codigo])</f>
        <v>zh</v>
      </c>
      <c r="J1201" t="str">
        <f>_xlfn.XLOOKUP(frasest[[#This Row],[autor_es]],autorest[autor_es],autorest[idioma_es])</f>
        <v>Chino</v>
      </c>
      <c r="K1201" s="6" t="str">
        <f>_xlfn.XLOOKUP(frasest[[#This Row],[autor_es]],autorest[autor_es],autorest[idioma_la])</f>
        <v>Lingua Sinica</v>
      </c>
      <c r="L1201" s="6" t="str">
        <f>_xlfn.XLOOKUP(frasest[[#This Row],[autor_es]],autorest[autor_es],autorest[nacion_es])</f>
        <v>China</v>
      </c>
      <c r="M1201" t="str">
        <f>_xlfn.XLOOKUP(frasest[[#This Row],[autor_es]],autorest[autor_es],autorest[nacion_la])</f>
        <v>Sinae</v>
      </c>
      <c r="N1201" t="str">
        <f>_xlfn.XLOOKUP(frasest[[#This Row],[autor_es]],autorest[autor_es],autorest[epoca_es])</f>
        <v>Epoca Desconocida</v>
      </c>
      <c r="O1201" t="str">
        <f>_xlfn.XLOOKUP(frasest[[#This Row],[autor_es]],autorest[autor_es],autorest[epoca_la])</f>
        <v>Epocha Ignota</v>
      </c>
    </row>
    <row r="1202" spans="1:15">
      <c r="A1202">
        <v>1201</v>
      </c>
      <c r="B1202" t="s">
        <v>3301</v>
      </c>
      <c r="C1202" t="s">
        <v>3302</v>
      </c>
      <c r="D1202" s="1" t="s">
        <v>3303</v>
      </c>
      <c r="E1202" t="s">
        <v>33</v>
      </c>
      <c r="F1202" t="str">
        <f>_xlfn.XLOOKUP(frasest[[#This Row],[autor_es]],autorest[autor_es],autorest[autor_la])</f>
        <v>Proverbium Sinense</v>
      </c>
      <c r="G1202" s="6" t="str">
        <f>_xlfn.XLOOKUP(frasest[[#This Row],[autor_es]],autorest[autor_es],autorest[bio_es])</f>
        <v>Conjunto de proverbios tradicionales de la cultura china que transmiten sabiduría popular, valores morales y enseñanzas prácticas transmitidas oralmente durante siglos.</v>
      </c>
      <c r="H1202" s="6" t="str">
        <f>_xlfn.XLOOKUP(frasest[[#This Row],[autor_es]],autorest[autor_es],autorest[bio_la])</f>
        <v>Collectio sententiarum Sinensium, magnopere in cultura tradita.</v>
      </c>
      <c r="I1202" t="str">
        <f>_xlfn.XLOOKUP(frasest[[#This Row],[autor_es]],autorest[autor_es],autorest[codigo])</f>
        <v>zh</v>
      </c>
      <c r="J1202" t="str">
        <f>_xlfn.XLOOKUP(frasest[[#This Row],[autor_es]],autorest[autor_es],autorest[idioma_es])</f>
        <v>Chino</v>
      </c>
      <c r="K1202" s="6" t="str">
        <f>_xlfn.XLOOKUP(frasest[[#This Row],[autor_es]],autorest[autor_es],autorest[idioma_la])</f>
        <v>Lingua Sinica</v>
      </c>
      <c r="L1202" s="6" t="str">
        <f>_xlfn.XLOOKUP(frasest[[#This Row],[autor_es]],autorest[autor_es],autorest[nacion_es])</f>
        <v>China</v>
      </c>
      <c r="M1202" t="str">
        <f>_xlfn.XLOOKUP(frasest[[#This Row],[autor_es]],autorest[autor_es],autorest[nacion_la])</f>
        <v>Sinae</v>
      </c>
      <c r="N1202" t="str">
        <f>_xlfn.XLOOKUP(frasest[[#This Row],[autor_es]],autorest[autor_es],autorest[epoca_es])</f>
        <v>Epoca Desconocida</v>
      </c>
      <c r="O1202" t="str">
        <f>_xlfn.XLOOKUP(frasest[[#This Row],[autor_es]],autorest[autor_es],autorest[epoca_la])</f>
        <v>Epocha Ignota</v>
      </c>
    </row>
    <row r="1203" spans="1:15">
      <c r="A1203">
        <v>1202</v>
      </c>
      <c r="B1203" t="s">
        <v>3304</v>
      </c>
      <c r="C1203" t="s">
        <v>3305</v>
      </c>
      <c r="D1203" s="1" t="s">
        <v>3306</v>
      </c>
      <c r="E1203" t="s">
        <v>33</v>
      </c>
      <c r="F1203" t="str">
        <f>_xlfn.XLOOKUP(frasest[[#This Row],[autor_es]],autorest[autor_es],autorest[autor_la])</f>
        <v>Proverbium Sinense</v>
      </c>
      <c r="G1203" s="6" t="str">
        <f>_xlfn.XLOOKUP(frasest[[#This Row],[autor_es]],autorest[autor_es],autorest[bio_es])</f>
        <v>Conjunto de proverbios tradicionales de la cultura china que transmiten sabiduría popular, valores morales y enseñanzas prácticas transmitidas oralmente durante siglos.</v>
      </c>
      <c r="H1203" s="6" t="str">
        <f>_xlfn.XLOOKUP(frasest[[#This Row],[autor_es]],autorest[autor_es],autorest[bio_la])</f>
        <v>Collectio sententiarum Sinensium, magnopere in cultura tradita.</v>
      </c>
      <c r="I1203" t="str">
        <f>_xlfn.XLOOKUP(frasest[[#This Row],[autor_es]],autorest[autor_es],autorest[codigo])</f>
        <v>zh</v>
      </c>
      <c r="J1203" t="str">
        <f>_xlfn.XLOOKUP(frasest[[#This Row],[autor_es]],autorest[autor_es],autorest[idioma_es])</f>
        <v>Chino</v>
      </c>
      <c r="K1203" s="6" t="str">
        <f>_xlfn.XLOOKUP(frasest[[#This Row],[autor_es]],autorest[autor_es],autorest[idioma_la])</f>
        <v>Lingua Sinica</v>
      </c>
      <c r="L1203" s="6" t="str">
        <f>_xlfn.XLOOKUP(frasest[[#This Row],[autor_es]],autorest[autor_es],autorest[nacion_es])</f>
        <v>China</v>
      </c>
      <c r="M1203" t="str">
        <f>_xlfn.XLOOKUP(frasest[[#This Row],[autor_es]],autorest[autor_es],autorest[nacion_la])</f>
        <v>Sinae</v>
      </c>
      <c r="N1203" t="str">
        <f>_xlfn.XLOOKUP(frasest[[#This Row],[autor_es]],autorest[autor_es],autorest[epoca_es])</f>
        <v>Epoca Desconocida</v>
      </c>
      <c r="O1203" t="str">
        <f>_xlfn.XLOOKUP(frasest[[#This Row],[autor_es]],autorest[autor_es],autorest[epoca_la])</f>
        <v>Epocha Ignota</v>
      </c>
    </row>
    <row r="1204" spans="1:15">
      <c r="A1204">
        <v>1203</v>
      </c>
      <c r="B1204" t="s">
        <v>3307</v>
      </c>
      <c r="C1204" t="s">
        <v>3308</v>
      </c>
      <c r="D1204" s="1" t="s">
        <v>3309</v>
      </c>
      <c r="E1204" t="s">
        <v>33</v>
      </c>
      <c r="F1204" t="str">
        <f>_xlfn.XLOOKUP(frasest[[#This Row],[autor_es]],autorest[autor_es],autorest[autor_la])</f>
        <v>Proverbium Sinense</v>
      </c>
      <c r="G1204" s="6" t="str">
        <f>_xlfn.XLOOKUP(frasest[[#This Row],[autor_es]],autorest[autor_es],autorest[bio_es])</f>
        <v>Conjunto de proverbios tradicionales de la cultura china que transmiten sabiduría popular, valores morales y enseñanzas prácticas transmitidas oralmente durante siglos.</v>
      </c>
      <c r="H1204" s="6" t="str">
        <f>_xlfn.XLOOKUP(frasest[[#This Row],[autor_es]],autorest[autor_es],autorest[bio_la])</f>
        <v>Collectio sententiarum Sinensium, magnopere in cultura tradita.</v>
      </c>
      <c r="I1204" t="str">
        <f>_xlfn.XLOOKUP(frasest[[#This Row],[autor_es]],autorest[autor_es],autorest[codigo])</f>
        <v>zh</v>
      </c>
      <c r="J1204" t="str">
        <f>_xlfn.XLOOKUP(frasest[[#This Row],[autor_es]],autorest[autor_es],autorest[idioma_es])</f>
        <v>Chino</v>
      </c>
      <c r="K1204" s="6" t="str">
        <f>_xlfn.XLOOKUP(frasest[[#This Row],[autor_es]],autorest[autor_es],autorest[idioma_la])</f>
        <v>Lingua Sinica</v>
      </c>
      <c r="L1204" s="6" t="str">
        <f>_xlfn.XLOOKUP(frasest[[#This Row],[autor_es]],autorest[autor_es],autorest[nacion_es])</f>
        <v>China</v>
      </c>
      <c r="M1204" t="str">
        <f>_xlfn.XLOOKUP(frasest[[#This Row],[autor_es]],autorest[autor_es],autorest[nacion_la])</f>
        <v>Sinae</v>
      </c>
      <c r="N1204" t="str">
        <f>_xlfn.XLOOKUP(frasest[[#This Row],[autor_es]],autorest[autor_es],autorest[epoca_es])</f>
        <v>Epoca Desconocida</v>
      </c>
      <c r="O1204" t="str">
        <f>_xlfn.XLOOKUP(frasest[[#This Row],[autor_es]],autorest[autor_es],autorest[epoca_la])</f>
        <v>Epocha Ignota</v>
      </c>
    </row>
    <row r="1205" spans="1:15">
      <c r="A1205">
        <v>1204</v>
      </c>
      <c r="B1205" t="s">
        <v>3310</v>
      </c>
      <c r="C1205" t="s">
        <v>3311</v>
      </c>
      <c r="D1205" s="1" t="s">
        <v>3312</v>
      </c>
      <c r="E1205" t="s">
        <v>33</v>
      </c>
      <c r="F1205" t="str">
        <f>_xlfn.XLOOKUP(frasest[[#This Row],[autor_es]],autorest[autor_es],autorest[autor_la])</f>
        <v>Proverbium Sinense</v>
      </c>
      <c r="G1205" s="6" t="str">
        <f>_xlfn.XLOOKUP(frasest[[#This Row],[autor_es]],autorest[autor_es],autorest[bio_es])</f>
        <v>Conjunto de proverbios tradicionales de la cultura china que transmiten sabiduría popular, valores morales y enseñanzas prácticas transmitidas oralmente durante siglos.</v>
      </c>
      <c r="H1205" s="6" t="str">
        <f>_xlfn.XLOOKUP(frasest[[#This Row],[autor_es]],autorest[autor_es],autorest[bio_la])</f>
        <v>Collectio sententiarum Sinensium, magnopere in cultura tradita.</v>
      </c>
      <c r="I1205" t="str">
        <f>_xlfn.XLOOKUP(frasest[[#This Row],[autor_es]],autorest[autor_es],autorest[codigo])</f>
        <v>zh</v>
      </c>
      <c r="J1205" t="str">
        <f>_xlfn.XLOOKUP(frasest[[#This Row],[autor_es]],autorest[autor_es],autorest[idioma_es])</f>
        <v>Chino</v>
      </c>
      <c r="K1205" s="6" t="str">
        <f>_xlfn.XLOOKUP(frasest[[#This Row],[autor_es]],autorest[autor_es],autorest[idioma_la])</f>
        <v>Lingua Sinica</v>
      </c>
      <c r="L1205" s="6" t="str">
        <f>_xlfn.XLOOKUP(frasest[[#This Row],[autor_es]],autorest[autor_es],autorest[nacion_es])</f>
        <v>China</v>
      </c>
      <c r="M1205" t="str">
        <f>_xlfn.XLOOKUP(frasest[[#This Row],[autor_es]],autorest[autor_es],autorest[nacion_la])</f>
        <v>Sinae</v>
      </c>
      <c r="N1205" t="str">
        <f>_xlfn.XLOOKUP(frasest[[#This Row],[autor_es]],autorest[autor_es],autorest[epoca_es])</f>
        <v>Epoca Desconocida</v>
      </c>
      <c r="O1205" t="str">
        <f>_xlfn.XLOOKUP(frasest[[#This Row],[autor_es]],autorest[autor_es],autorest[epoca_la])</f>
        <v>Epocha Ignota</v>
      </c>
    </row>
    <row r="1206" spans="1:15">
      <c r="A1206">
        <v>1205</v>
      </c>
      <c r="B1206" t="s">
        <v>3313</v>
      </c>
      <c r="C1206" t="s">
        <v>3314</v>
      </c>
      <c r="D1206" s="1" t="s">
        <v>2863</v>
      </c>
      <c r="E1206" t="s">
        <v>33</v>
      </c>
      <c r="F1206" t="str">
        <f>_xlfn.XLOOKUP(frasest[[#This Row],[autor_es]],autorest[autor_es],autorest[autor_la])</f>
        <v>Proverbium Sinense</v>
      </c>
      <c r="G1206" s="6" t="str">
        <f>_xlfn.XLOOKUP(frasest[[#This Row],[autor_es]],autorest[autor_es],autorest[bio_es])</f>
        <v>Conjunto de proverbios tradicionales de la cultura china que transmiten sabiduría popular, valores morales y enseñanzas prácticas transmitidas oralmente durante siglos.</v>
      </c>
      <c r="H1206" s="6" t="str">
        <f>_xlfn.XLOOKUP(frasest[[#This Row],[autor_es]],autorest[autor_es],autorest[bio_la])</f>
        <v>Collectio sententiarum Sinensium, magnopere in cultura tradita.</v>
      </c>
      <c r="I1206" t="str">
        <f>_xlfn.XLOOKUP(frasest[[#This Row],[autor_es]],autorest[autor_es],autorest[codigo])</f>
        <v>zh</v>
      </c>
      <c r="J1206" t="str">
        <f>_xlfn.XLOOKUP(frasest[[#This Row],[autor_es]],autorest[autor_es],autorest[idioma_es])</f>
        <v>Chino</v>
      </c>
      <c r="K1206" s="6" t="str">
        <f>_xlfn.XLOOKUP(frasest[[#This Row],[autor_es]],autorest[autor_es],autorest[idioma_la])</f>
        <v>Lingua Sinica</v>
      </c>
      <c r="L1206" s="6" t="str">
        <f>_xlfn.XLOOKUP(frasest[[#This Row],[autor_es]],autorest[autor_es],autorest[nacion_es])</f>
        <v>China</v>
      </c>
      <c r="M1206" t="str">
        <f>_xlfn.XLOOKUP(frasest[[#This Row],[autor_es]],autorest[autor_es],autorest[nacion_la])</f>
        <v>Sinae</v>
      </c>
      <c r="N1206" t="str">
        <f>_xlfn.XLOOKUP(frasest[[#This Row],[autor_es]],autorest[autor_es],autorest[epoca_es])</f>
        <v>Epoca Desconocida</v>
      </c>
      <c r="O1206" t="str">
        <f>_xlfn.XLOOKUP(frasest[[#This Row],[autor_es]],autorest[autor_es],autorest[epoca_la])</f>
        <v>Epocha Ignota</v>
      </c>
    </row>
    <row r="1207" spans="1:15">
      <c r="A1207">
        <v>1206</v>
      </c>
      <c r="B1207" t="s">
        <v>3315</v>
      </c>
      <c r="C1207" t="s">
        <v>2602</v>
      </c>
      <c r="D1207" s="1" t="s">
        <v>3316</v>
      </c>
      <c r="E1207" t="s">
        <v>33</v>
      </c>
      <c r="F1207" t="str">
        <f>_xlfn.XLOOKUP(frasest[[#This Row],[autor_es]],autorest[autor_es],autorest[autor_la])</f>
        <v>Proverbium Sinense</v>
      </c>
      <c r="G1207" s="6" t="str">
        <f>_xlfn.XLOOKUP(frasest[[#This Row],[autor_es]],autorest[autor_es],autorest[bio_es])</f>
        <v>Conjunto de proverbios tradicionales de la cultura china que transmiten sabiduría popular, valores morales y enseñanzas prácticas transmitidas oralmente durante siglos.</v>
      </c>
      <c r="H1207" s="6" t="str">
        <f>_xlfn.XLOOKUP(frasest[[#This Row],[autor_es]],autorest[autor_es],autorest[bio_la])</f>
        <v>Collectio sententiarum Sinensium, magnopere in cultura tradita.</v>
      </c>
      <c r="I1207" t="str">
        <f>_xlfn.XLOOKUP(frasest[[#This Row],[autor_es]],autorest[autor_es],autorest[codigo])</f>
        <v>zh</v>
      </c>
      <c r="J1207" t="str">
        <f>_xlfn.XLOOKUP(frasest[[#This Row],[autor_es]],autorest[autor_es],autorest[idioma_es])</f>
        <v>Chino</v>
      </c>
      <c r="K1207" s="6" t="str">
        <f>_xlfn.XLOOKUP(frasest[[#This Row],[autor_es]],autorest[autor_es],autorest[idioma_la])</f>
        <v>Lingua Sinica</v>
      </c>
      <c r="L1207" s="6" t="str">
        <f>_xlfn.XLOOKUP(frasest[[#This Row],[autor_es]],autorest[autor_es],autorest[nacion_es])</f>
        <v>China</v>
      </c>
      <c r="M1207" t="str">
        <f>_xlfn.XLOOKUP(frasest[[#This Row],[autor_es]],autorest[autor_es],autorest[nacion_la])</f>
        <v>Sinae</v>
      </c>
      <c r="N1207" t="str">
        <f>_xlfn.XLOOKUP(frasest[[#This Row],[autor_es]],autorest[autor_es],autorest[epoca_es])</f>
        <v>Epoca Desconocida</v>
      </c>
      <c r="O1207" t="str">
        <f>_xlfn.XLOOKUP(frasest[[#This Row],[autor_es]],autorest[autor_es],autorest[epoca_la])</f>
        <v>Epocha Ignota</v>
      </c>
    </row>
    <row r="1208" spans="1:15">
      <c r="A1208">
        <v>1207</v>
      </c>
      <c r="B1208" t="s">
        <v>2591</v>
      </c>
      <c r="C1208" t="s">
        <v>2592</v>
      </c>
      <c r="D1208" s="1" t="s">
        <v>3317</v>
      </c>
      <c r="E1208" t="s">
        <v>33</v>
      </c>
      <c r="F1208" t="str">
        <f>_xlfn.XLOOKUP(frasest[[#This Row],[autor_es]],autorest[autor_es],autorest[autor_la])</f>
        <v>Proverbium Sinense</v>
      </c>
      <c r="G1208" s="6" t="str">
        <f>_xlfn.XLOOKUP(frasest[[#This Row],[autor_es]],autorest[autor_es],autorest[bio_es])</f>
        <v>Conjunto de proverbios tradicionales de la cultura china que transmiten sabiduría popular, valores morales y enseñanzas prácticas transmitidas oralmente durante siglos.</v>
      </c>
      <c r="H1208" s="6" t="str">
        <f>_xlfn.XLOOKUP(frasest[[#This Row],[autor_es]],autorest[autor_es],autorest[bio_la])</f>
        <v>Collectio sententiarum Sinensium, magnopere in cultura tradita.</v>
      </c>
      <c r="I1208" t="str">
        <f>_xlfn.XLOOKUP(frasest[[#This Row],[autor_es]],autorest[autor_es],autorest[codigo])</f>
        <v>zh</v>
      </c>
      <c r="J1208" t="str">
        <f>_xlfn.XLOOKUP(frasest[[#This Row],[autor_es]],autorest[autor_es],autorest[idioma_es])</f>
        <v>Chino</v>
      </c>
      <c r="K1208" s="6" t="str">
        <f>_xlfn.XLOOKUP(frasest[[#This Row],[autor_es]],autorest[autor_es],autorest[idioma_la])</f>
        <v>Lingua Sinica</v>
      </c>
      <c r="L1208" s="6" t="str">
        <f>_xlfn.XLOOKUP(frasest[[#This Row],[autor_es]],autorest[autor_es],autorest[nacion_es])</f>
        <v>China</v>
      </c>
      <c r="M1208" t="str">
        <f>_xlfn.XLOOKUP(frasest[[#This Row],[autor_es]],autorest[autor_es],autorest[nacion_la])</f>
        <v>Sinae</v>
      </c>
      <c r="N1208" t="str">
        <f>_xlfn.XLOOKUP(frasest[[#This Row],[autor_es]],autorest[autor_es],autorest[epoca_es])</f>
        <v>Epoca Desconocida</v>
      </c>
      <c r="O1208" t="str">
        <f>_xlfn.XLOOKUP(frasest[[#This Row],[autor_es]],autorest[autor_es],autorest[epoca_la])</f>
        <v>Epocha Ignota</v>
      </c>
    </row>
    <row r="1209" spans="1:15">
      <c r="A1209">
        <v>1208</v>
      </c>
      <c r="B1209" t="s">
        <v>3318</v>
      </c>
      <c r="C1209" t="s">
        <v>3319</v>
      </c>
      <c r="D1209" s="1" t="s">
        <v>3320</v>
      </c>
      <c r="E1209" t="s">
        <v>33</v>
      </c>
      <c r="F1209" t="str">
        <f>_xlfn.XLOOKUP(frasest[[#This Row],[autor_es]],autorest[autor_es],autorest[autor_la])</f>
        <v>Proverbium Sinense</v>
      </c>
      <c r="G1209" s="6" t="str">
        <f>_xlfn.XLOOKUP(frasest[[#This Row],[autor_es]],autorest[autor_es],autorest[bio_es])</f>
        <v>Conjunto de proverbios tradicionales de la cultura china que transmiten sabiduría popular, valores morales y enseñanzas prácticas transmitidas oralmente durante siglos.</v>
      </c>
      <c r="H1209" s="6" t="str">
        <f>_xlfn.XLOOKUP(frasest[[#This Row],[autor_es]],autorest[autor_es],autorest[bio_la])</f>
        <v>Collectio sententiarum Sinensium, magnopere in cultura tradita.</v>
      </c>
      <c r="I1209" t="str">
        <f>_xlfn.XLOOKUP(frasest[[#This Row],[autor_es]],autorest[autor_es],autorest[codigo])</f>
        <v>zh</v>
      </c>
      <c r="J1209" t="str">
        <f>_xlfn.XLOOKUP(frasest[[#This Row],[autor_es]],autorest[autor_es],autorest[idioma_es])</f>
        <v>Chino</v>
      </c>
      <c r="K1209" s="6" t="str">
        <f>_xlfn.XLOOKUP(frasest[[#This Row],[autor_es]],autorest[autor_es],autorest[idioma_la])</f>
        <v>Lingua Sinica</v>
      </c>
      <c r="L1209" s="6" t="str">
        <f>_xlfn.XLOOKUP(frasest[[#This Row],[autor_es]],autorest[autor_es],autorest[nacion_es])</f>
        <v>China</v>
      </c>
      <c r="M1209" t="str">
        <f>_xlfn.XLOOKUP(frasest[[#This Row],[autor_es]],autorest[autor_es],autorest[nacion_la])</f>
        <v>Sinae</v>
      </c>
      <c r="N1209" t="str">
        <f>_xlfn.XLOOKUP(frasest[[#This Row],[autor_es]],autorest[autor_es],autorest[epoca_es])</f>
        <v>Epoca Desconocida</v>
      </c>
      <c r="O1209" t="str">
        <f>_xlfn.XLOOKUP(frasest[[#This Row],[autor_es]],autorest[autor_es],autorest[epoca_la])</f>
        <v>Epocha Ignota</v>
      </c>
    </row>
    <row r="1210" spans="1:15">
      <c r="A1210">
        <v>1209</v>
      </c>
      <c r="B1210" t="s">
        <v>3321</v>
      </c>
      <c r="C1210" t="s">
        <v>3322</v>
      </c>
      <c r="D1210" s="1" t="s">
        <v>3146</v>
      </c>
      <c r="E1210" t="s">
        <v>33</v>
      </c>
      <c r="F1210" t="str">
        <f>_xlfn.XLOOKUP(frasest[[#This Row],[autor_es]],autorest[autor_es],autorest[autor_la])</f>
        <v>Proverbium Sinense</v>
      </c>
      <c r="G1210" s="6" t="str">
        <f>_xlfn.XLOOKUP(frasest[[#This Row],[autor_es]],autorest[autor_es],autorest[bio_es])</f>
        <v>Conjunto de proverbios tradicionales de la cultura china que transmiten sabiduría popular, valores morales y enseñanzas prácticas transmitidas oralmente durante siglos.</v>
      </c>
      <c r="H1210" s="6" t="str">
        <f>_xlfn.XLOOKUP(frasest[[#This Row],[autor_es]],autorest[autor_es],autorest[bio_la])</f>
        <v>Collectio sententiarum Sinensium, magnopere in cultura tradita.</v>
      </c>
      <c r="I1210" t="str">
        <f>_xlfn.XLOOKUP(frasest[[#This Row],[autor_es]],autorest[autor_es],autorest[codigo])</f>
        <v>zh</v>
      </c>
      <c r="J1210" t="str">
        <f>_xlfn.XLOOKUP(frasest[[#This Row],[autor_es]],autorest[autor_es],autorest[idioma_es])</f>
        <v>Chino</v>
      </c>
      <c r="K1210" s="6" t="str">
        <f>_xlfn.XLOOKUP(frasest[[#This Row],[autor_es]],autorest[autor_es],autorest[idioma_la])</f>
        <v>Lingua Sinica</v>
      </c>
      <c r="L1210" s="6" t="str">
        <f>_xlfn.XLOOKUP(frasest[[#This Row],[autor_es]],autorest[autor_es],autorest[nacion_es])</f>
        <v>China</v>
      </c>
      <c r="M1210" t="str">
        <f>_xlfn.XLOOKUP(frasest[[#This Row],[autor_es]],autorest[autor_es],autorest[nacion_la])</f>
        <v>Sinae</v>
      </c>
      <c r="N1210" t="str">
        <f>_xlfn.XLOOKUP(frasest[[#This Row],[autor_es]],autorest[autor_es],autorest[epoca_es])</f>
        <v>Epoca Desconocida</v>
      </c>
      <c r="O1210" t="str">
        <f>_xlfn.XLOOKUP(frasest[[#This Row],[autor_es]],autorest[autor_es],autorest[epoca_la])</f>
        <v>Epocha Ignota</v>
      </c>
    </row>
    <row r="1211" spans="1:15">
      <c r="A1211">
        <v>1210</v>
      </c>
      <c r="B1211" t="s">
        <v>3323</v>
      </c>
      <c r="C1211" t="s">
        <v>3324</v>
      </c>
      <c r="D1211" s="1" t="s">
        <v>3325</v>
      </c>
      <c r="E1211" t="s">
        <v>33</v>
      </c>
      <c r="F1211" t="str">
        <f>_xlfn.XLOOKUP(frasest[[#This Row],[autor_es]],autorest[autor_es],autorest[autor_la])</f>
        <v>Proverbium Sinense</v>
      </c>
      <c r="G1211" s="6" t="str">
        <f>_xlfn.XLOOKUP(frasest[[#This Row],[autor_es]],autorest[autor_es],autorest[bio_es])</f>
        <v>Conjunto de proverbios tradicionales de la cultura china que transmiten sabiduría popular, valores morales y enseñanzas prácticas transmitidas oralmente durante siglos.</v>
      </c>
      <c r="H1211" s="6" t="str">
        <f>_xlfn.XLOOKUP(frasest[[#This Row],[autor_es]],autorest[autor_es],autorest[bio_la])</f>
        <v>Collectio sententiarum Sinensium, magnopere in cultura tradita.</v>
      </c>
      <c r="I1211" t="str">
        <f>_xlfn.XLOOKUP(frasest[[#This Row],[autor_es]],autorest[autor_es],autorest[codigo])</f>
        <v>zh</v>
      </c>
      <c r="J1211" t="str">
        <f>_xlfn.XLOOKUP(frasest[[#This Row],[autor_es]],autorest[autor_es],autorest[idioma_es])</f>
        <v>Chino</v>
      </c>
      <c r="K1211" s="6" t="str">
        <f>_xlfn.XLOOKUP(frasest[[#This Row],[autor_es]],autorest[autor_es],autorest[idioma_la])</f>
        <v>Lingua Sinica</v>
      </c>
      <c r="L1211" s="6" t="str">
        <f>_xlfn.XLOOKUP(frasest[[#This Row],[autor_es]],autorest[autor_es],autorest[nacion_es])</f>
        <v>China</v>
      </c>
      <c r="M1211" t="str">
        <f>_xlfn.XLOOKUP(frasest[[#This Row],[autor_es]],autorest[autor_es],autorest[nacion_la])</f>
        <v>Sinae</v>
      </c>
      <c r="N1211" t="str">
        <f>_xlfn.XLOOKUP(frasest[[#This Row],[autor_es]],autorest[autor_es],autorest[epoca_es])</f>
        <v>Epoca Desconocida</v>
      </c>
      <c r="O1211" t="str">
        <f>_xlfn.XLOOKUP(frasest[[#This Row],[autor_es]],autorest[autor_es],autorest[epoca_la])</f>
        <v>Epocha Ignota</v>
      </c>
    </row>
    <row r="1212" spans="1:15">
      <c r="A1212">
        <v>1211</v>
      </c>
      <c r="B1212" t="s">
        <v>3326</v>
      </c>
      <c r="C1212" t="s">
        <v>3327</v>
      </c>
      <c r="D1212" s="1" t="s">
        <v>3328</v>
      </c>
      <c r="E1212" t="s">
        <v>33</v>
      </c>
      <c r="F1212" t="str">
        <f>_xlfn.XLOOKUP(frasest[[#This Row],[autor_es]],autorest[autor_es],autorest[autor_la])</f>
        <v>Proverbium Sinense</v>
      </c>
      <c r="G1212" s="6" t="str">
        <f>_xlfn.XLOOKUP(frasest[[#This Row],[autor_es]],autorest[autor_es],autorest[bio_es])</f>
        <v>Conjunto de proverbios tradicionales de la cultura china que transmiten sabiduría popular, valores morales y enseñanzas prácticas transmitidas oralmente durante siglos.</v>
      </c>
      <c r="H1212" s="6" t="str">
        <f>_xlfn.XLOOKUP(frasest[[#This Row],[autor_es]],autorest[autor_es],autorest[bio_la])</f>
        <v>Collectio sententiarum Sinensium, magnopere in cultura tradita.</v>
      </c>
      <c r="I1212" t="str">
        <f>_xlfn.XLOOKUP(frasest[[#This Row],[autor_es]],autorest[autor_es],autorest[codigo])</f>
        <v>zh</v>
      </c>
      <c r="J1212" t="str">
        <f>_xlfn.XLOOKUP(frasest[[#This Row],[autor_es]],autorest[autor_es],autorest[idioma_es])</f>
        <v>Chino</v>
      </c>
      <c r="K1212" s="6" t="str">
        <f>_xlfn.XLOOKUP(frasest[[#This Row],[autor_es]],autorest[autor_es],autorest[idioma_la])</f>
        <v>Lingua Sinica</v>
      </c>
      <c r="L1212" s="6" t="str">
        <f>_xlfn.XLOOKUP(frasest[[#This Row],[autor_es]],autorest[autor_es],autorest[nacion_es])</f>
        <v>China</v>
      </c>
      <c r="M1212" t="str">
        <f>_xlfn.XLOOKUP(frasest[[#This Row],[autor_es]],autorest[autor_es],autorest[nacion_la])</f>
        <v>Sinae</v>
      </c>
      <c r="N1212" t="str">
        <f>_xlfn.XLOOKUP(frasest[[#This Row],[autor_es]],autorest[autor_es],autorest[epoca_es])</f>
        <v>Epoca Desconocida</v>
      </c>
      <c r="O1212" t="str">
        <f>_xlfn.XLOOKUP(frasest[[#This Row],[autor_es]],autorest[autor_es],autorest[epoca_la])</f>
        <v>Epocha Ignota</v>
      </c>
    </row>
    <row r="1213" spans="1:15">
      <c r="A1213">
        <v>1212</v>
      </c>
      <c r="B1213" t="s">
        <v>3329</v>
      </c>
      <c r="C1213" t="s">
        <v>3330</v>
      </c>
      <c r="D1213" s="1" t="s">
        <v>3160</v>
      </c>
      <c r="E1213" t="s">
        <v>33</v>
      </c>
      <c r="F1213" t="str">
        <f>_xlfn.XLOOKUP(frasest[[#This Row],[autor_es]],autorest[autor_es],autorest[autor_la])</f>
        <v>Proverbium Sinense</v>
      </c>
      <c r="G1213" s="6" t="str">
        <f>_xlfn.XLOOKUP(frasest[[#This Row],[autor_es]],autorest[autor_es],autorest[bio_es])</f>
        <v>Conjunto de proverbios tradicionales de la cultura china que transmiten sabiduría popular, valores morales y enseñanzas prácticas transmitidas oralmente durante siglos.</v>
      </c>
      <c r="H1213" s="6" t="str">
        <f>_xlfn.XLOOKUP(frasest[[#This Row],[autor_es]],autorest[autor_es],autorest[bio_la])</f>
        <v>Collectio sententiarum Sinensium, magnopere in cultura tradita.</v>
      </c>
      <c r="I1213" t="str">
        <f>_xlfn.XLOOKUP(frasest[[#This Row],[autor_es]],autorest[autor_es],autorest[codigo])</f>
        <v>zh</v>
      </c>
      <c r="J1213" t="str">
        <f>_xlfn.XLOOKUP(frasest[[#This Row],[autor_es]],autorest[autor_es],autorest[idioma_es])</f>
        <v>Chino</v>
      </c>
      <c r="K1213" s="6" t="str">
        <f>_xlfn.XLOOKUP(frasest[[#This Row],[autor_es]],autorest[autor_es],autorest[idioma_la])</f>
        <v>Lingua Sinica</v>
      </c>
      <c r="L1213" s="6" t="str">
        <f>_xlfn.XLOOKUP(frasest[[#This Row],[autor_es]],autorest[autor_es],autorest[nacion_es])</f>
        <v>China</v>
      </c>
      <c r="M1213" t="str">
        <f>_xlfn.XLOOKUP(frasest[[#This Row],[autor_es]],autorest[autor_es],autorest[nacion_la])</f>
        <v>Sinae</v>
      </c>
      <c r="N1213" t="str">
        <f>_xlfn.XLOOKUP(frasest[[#This Row],[autor_es]],autorest[autor_es],autorest[epoca_es])</f>
        <v>Epoca Desconocida</v>
      </c>
      <c r="O1213" t="str">
        <f>_xlfn.XLOOKUP(frasest[[#This Row],[autor_es]],autorest[autor_es],autorest[epoca_la])</f>
        <v>Epocha Ignota</v>
      </c>
    </row>
    <row r="1214" spans="1:15">
      <c r="A1214">
        <v>1213</v>
      </c>
      <c r="B1214" t="s">
        <v>3331</v>
      </c>
      <c r="C1214" t="s">
        <v>3332</v>
      </c>
      <c r="D1214" s="1" t="s">
        <v>3333</v>
      </c>
      <c r="E1214" t="s">
        <v>33</v>
      </c>
      <c r="F1214" t="str">
        <f>_xlfn.XLOOKUP(frasest[[#This Row],[autor_es]],autorest[autor_es],autorest[autor_la])</f>
        <v>Proverbium Sinense</v>
      </c>
      <c r="G1214" s="6" t="str">
        <f>_xlfn.XLOOKUP(frasest[[#This Row],[autor_es]],autorest[autor_es],autorest[bio_es])</f>
        <v>Conjunto de proverbios tradicionales de la cultura china que transmiten sabiduría popular, valores morales y enseñanzas prácticas transmitidas oralmente durante siglos.</v>
      </c>
      <c r="H1214" s="6" t="str">
        <f>_xlfn.XLOOKUP(frasest[[#This Row],[autor_es]],autorest[autor_es],autorest[bio_la])</f>
        <v>Collectio sententiarum Sinensium, magnopere in cultura tradita.</v>
      </c>
      <c r="I1214" t="str">
        <f>_xlfn.XLOOKUP(frasest[[#This Row],[autor_es]],autorest[autor_es],autorest[codigo])</f>
        <v>zh</v>
      </c>
      <c r="J1214" t="str">
        <f>_xlfn.XLOOKUP(frasest[[#This Row],[autor_es]],autorest[autor_es],autorest[idioma_es])</f>
        <v>Chino</v>
      </c>
      <c r="K1214" s="6" t="str">
        <f>_xlfn.XLOOKUP(frasest[[#This Row],[autor_es]],autorest[autor_es],autorest[idioma_la])</f>
        <v>Lingua Sinica</v>
      </c>
      <c r="L1214" s="6" t="str">
        <f>_xlfn.XLOOKUP(frasest[[#This Row],[autor_es]],autorest[autor_es],autorest[nacion_es])</f>
        <v>China</v>
      </c>
      <c r="M1214" t="str">
        <f>_xlfn.XLOOKUP(frasest[[#This Row],[autor_es]],autorest[autor_es],autorest[nacion_la])</f>
        <v>Sinae</v>
      </c>
      <c r="N1214" t="str">
        <f>_xlfn.XLOOKUP(frasest[[#This Row],[autor_es]],autorest[autor_es],autorest[epoca_es])</f>
        <v>Epoca Desconocida</v>
      </c>
      <c r="O1214" t="str">
        <f>_xlfn.XLOOKUP(frasest[[#This Row],[autor_es]],autorest[autor_es],autorest[epoca_la])</f>
        <v>Epocha Ignota</v>
      </c>
    </row>
    <row r="1215" spans="1:15">
      <c r="A1215">
        <v>1214</v>
      </c>
      <c r="B1215" t="s">
        <v>3334</v>
      </c>
      <c r="C1215" t="s">
        <v>3335</v>
      </c>
      <c r="D1215" s="1" t="s">
        <v>3336</v>
      </c>
      <c r="E1215" t="s">
        <v>33</v>
      </c>
      <c r="F1215" t="str">
        <f>_xlfn.XLOOKUP(frasest[[#This Row],[autor_es]],autorest[autor_es],autorest[autor_la])</f>
        <v>Proverbium Sinense</v>
      </c>
      <c r="G1215" s="6" t="str">
        <f>_xlfn.XLOOKUP(frasest[[#This Row],[autor_es]],autorest[autor_es],autorest[bio_es])</f>
        <v>Conjunto de proverbios tradicionales de la cultura china que transmiten sabiduría popular, valores morales y enseñanzas prácticas transmitidas oralmente durante siglos.</v>
      </c>
      <c r="H1215" s="6" t="str">
        <f>_xlfn.XLOOKUP(frasest[[#This Row],[autor_es]],autorest[autor_es],autorest[bio_la])</f>
        <v>Collectio sententiarum Sinensium, magnopere in cultura tradita.</v>
      </c>
      <c r="I1215" t="str">
        <f>_xlfn.XLOOKUP(frasest[[#This Row],[autor_es]],autorest[autor_es],autorest[codigo])</f>
        <v>zh</v>
      </c>
      <c r="J1215" t="str">
        <f>_xlfn.XLOOKUP(frasest[[#This Row],[autor_es]],autorest[autor_es],autorest[idioma_es])</f>
        <v>Chino</v>
      </c>
      <c r="K1215" s="6" t="str">
        <f>_xlfn.XLOOKUP(frasest[[#This Row],[autor_es]],autorest[autor_es],autorest[idioma_la])</f>
        <v>Lingua Sinica</v>
      </c>
      <c r="L1215" s="6" t="str">
        <f>_xlfn.XLOOKUP(frasest[[#This Row],[autor_es]],autorest[autor_es],autorest[nacion_es])</f>
        <v>China</v>
      </c>
      <c r="M1215" t="str">
        <f>_xlfn.XLOOKUP(frasest[[#This Row],[autor_es]],autorest[autor_es],autorest[nacion_la])</f>
        <v>Sinae</v>
      </c>
      <c r="N1215" t="str">
        <f>_xlfn.XLOOKUP(frasest[[#This Row],[autor_es]],autorest[autor_es],autorest[epoca_es])</f>
        <v>Epoca Desconocida</v>
      </c>
      <c r="O1215" t="str">
        <f>_xlfn.XLOOKUP(frasest[[#This Row],[autor_es]],autorest[autor_es],autorest[epoca_la])</f>
        <v>Epocha Ignota</v>
      </c>
    </row>
    <row r="1216" spans="1:15">
      <c r="A1216">
        <v>1215</v>
      </c>
      <c r="B1216" t="s">
        <v>3337</v>
      </c>
      <c r="C1216" t="s">
        <v>3338</v>
      </c>
      <c r="D1216" s="1" t="s">
        <v>3339</v>
      </c>
      <c r="E1216" t="s">
        <v>33</v>
      </c>
      <c r="F1216" t="str">
        <f>_xlfn.XLOOKUP(frasest[[#This Row],[autor_es]],autorest[autor_es],autorest[autor_la])</f>
        <v>Proverbium Sinense</v>
      </c>
      <c r="G1216" s="6" t="str">
        <f>_xlfn.XLOOKUP(frasest[[#This Row],[autor_es]],autorest[autor_es],autorest[bio_es])</f>
        <v>Conjunto de proverbios tradicionales de la cultura china que transmiten sabiduría popular, valores morales y enseñanzas prácticas transmitidas oralmente durante siglos.</v>
      </c>
      <c r="H1216" s="6" t="str">
        <f>_xlfn.XLOOKUP(frasest[[#This Row],[autor_es]],autorest[autor_es],autorest[bio_la])</f>
        <v>Collectio sententiarum Sinensium, magnopere in cultura tradita.</v>
      </c>
      <c r="I1216" t="str">
        <f>_xlfn.XLOOKUP(frasest[[#This Row],[autor_es]],autorest[autor_es],autorest[codigo])</f>
        <v>zh</v>
      </c>
      <c r="J1216" t="str">
        <f>_xlfn.XLOOKUP(frasest[[#This Row],[autor_es]],autorest[autor_es],autorest[idioma_es])</f>
        <v>Chino</v>
      </c>
      <c r="K1216" s="6" t="str">
        <f>_xlfn.XLOOKUP(frasest[[#This Row],[autor_es]],autorest[autor_es],autorest[idioma_la])</f>
        <v>Lingua Sinica</v>
      </c>
      <c r="L1216" s="6" t="str">
        <f>_xlfn.XLOOKUP(frasest[[#This Row],[autor_es]],autorest[autor_es],autorest[nacion_es])</f>
        <v>China</v>
      </c>
      <c r="M1216" t="str">
        <f>_xlfn.XLOOKUP(frasest[[#This Row],[autor_es]],autorest[autor_es],autorest[nacion_la])</f>
        <v>Sinae</v>
      </c>
      <c r="N1216" t="str">
        <f>_xlfn.XLOOKUP(frasest[[#This Row],[autor_es]],autorest[autor_es],autorest[epoca_es])</f>
        <v>Epoca Desconocida</v>
      </c>
      <c r="O1216" t="str">
        <f>_xlfn.XLOOKUP(frasest[[#This Row],[autor_es]],autorest[autor_es],autorest[epoca_la])</f>
        <v>Epocha Ignota</v>
      </c>
    </row>
    <row r="1217" spans="1:15">
      <c r="A1217">
        <v>1216</v>
      </c>
      <c r="B1217" t="s">
        <v>3340</v>
      </c>
      <c r="C1217" t="s">
        <v>3341</v>
      </c>
      <c r="D1217" s="1" t="s">
        <v>3342</v>
      </c>
      <c r="E1217" t="s">
        <v>33</v>
      </c>
      <c r="F1217" t="str">
        <f>_xlfn.XLOOKUP(frasest[[#This Row],[autor_es]],autorest[autor_es],autorest[autor_la])</f>
        <v>Proverbium Sinense</v>
      </c>
      <c r="G1217" s="6" t="str">
        <f>_xlfn.XLOOKUP(frasest[[#This Row],[autor_es]],autorest[autor_es],autorest[bio_es])</f>
        <v>Conjunto de proverbios tradicionales de la cultura china que transmiten sabiduría popular, valores morales y enseñanzas prácticas transmitidas oralmente durante siglos.</v>
      </c>
      <c r="H1217" s="6" t="str">
        <f>_xlfn.XLOOKUP(frasest[[#This Row],[autor_es]],autorest[autor_es],autorest[bio_la])</f>
        <v>Collectio sententiarum Sinensium, magnopere in cultura tradita.</v>
      </c>
      <c r="I1217" t="str">
        <f>_xlfn.XLOOKUP(frasest[[#This Row],[autor_es]],autorest[autor_es],autorest[codigo])</f>
        <v>zh</v>
      </c>
      <c r="J1217" t="str">
        <f>_xlfn.XLOOKUP(frasest[[#This Row],[autor_es]],autorest[autor_es],autorest[idioma_es])</f>
        <v>Chino</v>
      </c>
      <c r="K1217" s="6" t="str">
        <f>_xlfn.XLOOKUP(frasest[[#This Row],[autor_es]],autorest[autor_es],autorest[idioma_la])</f>
        <v>Lingua Sinica</v>
      </c>
      <c r="L1217" s="6" t="str">
        <f>_xlfn.XLOOKUP(frasest[[#This Row],[autor_es]],autorest[autor_es],autorest[nacion_es])</f>
        <v>China</v>
      </c>
      <c r="M1217" t="str">
        <f>_xlfn.XLOOKUP(frasest[[#This Row],[autor_es]],autorest[autor_es],autorest[nacion_la])</f>
        <v>Sinae</v>
      </c>
      <c r="N1217" t="str">
        <f>_xlfn.XLOOKUP(frasest[[#This Row],[autor_es]],autorest[autor_es],autorest[epoca_es])</f>
        <v>Epoca Desconocida</v>
      </c>
      <c r="O1217" t="str">
        <f>_xlfn.XLOOKUP(frasest[[#This Row],[autor_es]],autorest[autor_es],autorest[epoca_la])</f>
        <v>Epocha Ignota</v>
      </c>
    </row>
    <row r="1218" spans="1:15">
      <c r="A1218">
        <v>1217</v>
      </c>
      <c r="B1218" t="s">
        <v>3343</v>
      </c>
      <c r="C1218" t="s">
        <v>3344</v>
      </c>
      <c r="D1218" s="1" t="s">
        <v>3345</v>
      </c>
      <c r="E1218" t="s">
        <v>33</v>
      </c>
      <c r="F1218" t="str">
        <f>_xlfn.XLOOKUP(frasest[[#This Row],[autor_es]],autorest[autor_es],autorest[autor_la])</f>
        <v>Proverbium Sinense</v>
      </c>
      <c r="G1218" s="6" t="str">
        <f>_xlfn.XLOOKUP(frasest[[#This Row],[autor_es]],autorest[autor_es],autorest[bio_es])</f>
        <v>Conjunto de proverbios tradicionales de la cultura china que transmiten sabiduría popular, valores morales y enseñanzas prácticas transmitidas oralmente durante siglos.</v>
      </c>
      <c r="H1218" s="6" t="str">
        <f>_xlfn.XLOOKUP(frasest[[#This Row],[autor_es]],autorest[autor_es],autorest[bio_la])</f>
        <v>Collectio sententiarum Sinensium, magnopere in cultura tradita.</v>
      </c>
      <c r="I1218" t="str">
        <f>_xlfn.XLOOKUP(frasest[[#This Row],[autor_es]],autorest[autor_es],autorest[codigo])</f>
        <v>zh</v>
      </c>
      <c r="J1218" t="str">
        <f>_xlfn.XLOOKUP(frasest[[#This Row],[autor_es]],autorest[autor_es],autorest[idioma_es])</f>
        <v>Chino</v>
      </c>
      <c r="K1218" s="6" t="str">
        <f>_xlfn.XLOOKUP(frasest[[#This Row],[autor_es]],autorest[autor_es],autorest[idioma_la])</f>
        <v>Lingua Sinica</v>
      </c>
      <c r="L1218" s="6" t="str">
        <f>_xlfn.XLOOKUP(frasest[[#This Row],[autor_es]],autorest[autor_es],autorest[nacion_es])</f>
        <v>China</v>
      </c>
      <c r="M1218" t="str">
        <f>_xlfn.XLOOKUP(frasest[[#This Row],[autor_es]],autorest[autor_es],autorest[nacion_la])</f>
        <v>Sinae</v>
      </c>
      <c r="N1218" t="str">
        <f>_xlfn.XLOOKUP(frasest[[#This Row],[autor_es]],autorest[autor_es],autorest[epoca_es])</f>
        <v>Epoca Desconocida</v>
      </c>
      <c r="O1218" t="str">
        <f>_xlfn.XLOOKUP(frasest[[#This Row],[autor_es]],autorest[autor_es],autorest[epoca_la])</f>
        <v>Epocha Ignota</v>
      </c>
    </row>
    <row r="1219" spans="1:15">
      <c r="A1219">
        <v>1218</v>
      </c>
      <c r="B1219" t="s">
        <v>3346</v>
      </c>
      <c r="C1219" t="s">
        <v>3347</v>
      </c>
      <c r="D1219" s="1" t="s">
        <v>3348</v>
      </c>
      <c r="E1219" t="s">
        <v>33</v>
      </c>
      <c r="F1219" t="str">
        <f>_xlfn.XLOOKUP(frasest[[#This Row],[autor_es]],autorest[autor_es],autorest[autor_la])</f>
        <v>Proverbium Sinense</v>
      </c>
      <c r="G1219" s="6" t="str">
        <f>_xlfn.XLOOKUP(frasest[[#This Row],[autor_es]],autorest[autor_es],autorest[bio_es])</f>
        <v>Conjunto de proverbios tradicionales de la cultura china que transmiten sabiduría popular, valores morales y enseñanzas prácticas transmitidas oralmente durante siglos.</v>
      </c>
      <c r="H1219" s="6" t="str">
        <f>_xlfn.XLOOKUP(frasest[[#This Row],[autor_es]],autorest[autor_es],autorest[bio_la])</f>
        <v>Collectio sententiarum Sinensium, magnopere in cultura tradita.</v>
      </c>
      <c r="I1219" t="str">
        <f>_xlfn.XLOOKUP(frasest[[#This Row],[autor_es]],autorest[autor_es],autorest[codigo])</f>
        <v>zh</v>
      </c>
      <c r="J1219" t="str">
        <f>_xlfn.XLOOKUP(frasest[[#This Row],[autor_es]],autorest[autor_es],autorest[idioma_es])</f>
        <v>Chino</v>
      </c>
      <c r="K1219" s="6" t="str">
        <f>_xlfn.XLOOKUP(frasest[[#This Row],[autor_es]],autorest[autor_es],autorest[idioma_la])</f>
        <v>Lingua Sinica</v>
      </c>
      <c r="L1219" s="6" t="str">
        <f>_xlfn.XLOOKUP(frasest[[#This Row],[autor_es]],autorest[autor_es],autorest[nacion_es])</f>
        <v>China</v>
      </c>
      <c r="M1219" t="str">
        <f>_xlfn.XLOOKUP(frasest[[#This Row],[autor_es]],autorest[autor_es],autorest[nacion_la])</f>
        <v>Sinae</v>
      </c>
      <c r="N1219" t="str">
        <f>_xlfn.XLOOKUP(frasest[[#This Row],[autor_es]],autorest[autor_es],autorest[epoca_es])</f>
        <v>Epoca Desconocida</v>
      </c>
      <c r="O1219" t="str">
        <f>_xlfn.XLOOKUP(frasest[[#This Row],[autor_es]],autorest[autor_es],autorest[epoca_la])</f>
        <v>Epocha Ignota</v>
      </c>
    </row>
    <row r="1220" spans="1:15">
      <c r="A1220">
        <v>1219</v>
      </c>
      <c r="B1220" t="s">
        <v>3349</v>
      </c>
      <c r="C1220" t="s">
        <v>3350</v>
      </c>
      <c r="D1220" s="1" t="s">
        <v>3351</v>
      </c>
      <c r="E1220" t="s">
        <v>33</v>
      </c>
      <c r="F1220" t="str">
        <f>_xlfn.XLOOKUP(frasest[[#This Row],[autor_es]],autorest[autor_es],autorest[autor_la])</f>
        <v>Proverbium Sinense</v>
      </c>
      <c r="G1220" s="6" t="str">
        <f>_xlfn.XLOOKUP(frasest[[#This Row],[autor_es]],autorest[autor_es],autorest[bio_es])</f>
        <v>Conjunto de proverbios tradicionales de la cultura china que transmiten sabiduría popular, valores morales y enseñanzas prácticas transmitidas oralmente durante siglos.</v>
      </c>
      <c r="H1220" s="6" t="str">
        <f>_xlfn.XLOOKUP(frasest[[#This Row],[autor_es]],autorest[autor_es],autorest[bio_la])</f>
        <v>Collectio sententiarum Sinensium, magnopere in cultura tradita.</v>
      </c>
      <c r="I1220" t="str">
        <f>_xlfn.XLOOKUP(frasest[[#This Row],[autor_es]],autorest[autor_es],autorest[codigo])</f>
        <v>zh</v>
      </c>
      <c r="J1220" t="str">
        <f>_xlfn.XLOOKUP(frasest[[#This Row],[autor_es]],autorest[autor_es],autorest[idioma_es])</f>
        <v>Chino</v>
      </c>
      <c r="K1220" s="6" t="str">
        <f>_xlfn.XLOOKUP(frasest[[#This Row],[autor_es]],autorest[autor_es],autorest[idioma_la])</f>
        <v>Lingua Sinica</v>
      </c>
      <c r="L1220" s="6" t="str">
        <f>_xlfn.XLOOKUP(frasest[[#This Row],[autor_es]],autorest[autor_es],autorest[nacion_es])</f>
        <v>China</v>
      </c>
      <c r="M1220" t="str">
        <f>_xlfn.XLOOKUP(frasest[[#This Row],[autor_es]],autorest[autor_es],autorest[nacion_la])</f>
        <v>Sinae</v>
      </c>
      <c r="N1220" t="str">
        <f>_xlfn.XLOOKUP(frasest[[#This Row],[autor_es]],autorest[autor_es],autorest[epoca_es])</f>
        <v>Epoca Desconocida</v>
      </c>
      <c r="O1220" t="str">
        <f>_xlfn.XLOOKUP(frasest[[#This Row],[autor_es]],autorest[autor_es],autorest[epoca_la])</f>
        <v>Epocha Ignota</v>
      </c>
    </row>
    <row r="1221" spans="1:15">
      <c r="A1221">
        <v>1220</v>
      </c>
      <c r="B1221" t="s">
        <v>3352</v>
      </c>
      <c r="C1221" t="s">
        <v>3353</v>
      </c>
      <c r="D1221" s="1" t="s">
        <v>3354</v>
      </c>
      <c r="E1221" t="s">
        <v>33</v>
      </c>
      <c r="F1221" t="str">
        <f>_xlfn.XLOOKUP(frasest[[#This Row],[autor_es]],autorest[autor_es],autorest[autor_la])</f>
        <v>Proverbium Sinense</v>
      </c>
      <c r="G1221" s="6" t="str">
        <f>_xlfn.XLOOKUP(frasest[[#This Row],[autor_es]],autorest[autor_es],autorest[bio_es])</f>
        <v>Conjunto de proverbios tradicionales de la cultura china que transmiten sabiduría popular, valores morales y enseñanzas prácticas transmitidas oralmente durante siglos.</v>
      </c>
      <c r="H1221" s="6" t="str">
        <f>_xlfn.XLOOKUP(frasest[[#This Row],[autor_es]],autorest[autor_es],autorest[bio_la])</f>
        <v>Collectio sententiarum Sinensium, magnopere in cultura tradita.</v>
      </c>
      <c r="I1221" t="str">
        <f>_xlfn.XLOOKUP(frasest[[#This Row],[autor_es]],autorest[autor_es],autorest[codigo])</f>
        <v>zh</v>
      </c>
      <c r="J1221" t="str">
        <f>_xlfn.XLOOKUP(frasest[[#This Row],[autor_es]],autorest[autor_es],autorest[idioma_es])</f>
        <v>Chino</v>
      </c>
      <c r="K1221" s="6" t="str">
        <f>_xlfn.XLOOKUP(frasest[[#This Row],[autor_es]],autorest[autor_es],autorest[idioma_la])</f>
        <v>Lingua Sinica</v>
      </c>
      <c r="L1221" s="6" t="str">
        <f>_xlfn.XLOOKUP(frasest[[#This Row],[autor_es]],autorest[autor_es],autorest[nacion_es])</f>
        <v>China</v>
      </c>
      <c r="M1221" t="str">
        <f>_xlfn.XLOOKUP(frasest[[#This Row],[autor_es]],autorest[autor_es],autorest[nacion_la])</f>
        <v>Sinae</v>
      </c>
      <c r="N1221" t="str">
        <f>_xlfn.XLOOKUP(frasest[[#This Row],[autor_es]],autorest[autor_es],autorest[epoca_es])</f>
        <v>Epoca Desconocida</v>
      </c>
      <c r="O1221" t="str">
        <f>_xlfn.XLOOKUP(frasest[[#This Row],[autor_es]],autorest[autor_es],autorest[epoca_la])</f>
        <v>Epocha Ignota</v>
      </c>
    </row>
    <row r="1222" spans="1:15">
      <c r="A1222">
        <v>1221</v>
      </c>
      <c r="B1222" t="s">
        <v>3355</v>
      </c>
      <c r="C1222" t="s">
        <v>3356</v>
      </c>
      <c r="D1222" s="1" t="s">
        <v>3357</v>
      </c>
      <c r="E1222" t="s">
        <v>33</v>
      </c>
      <c r="F1222" t="str">
        <f>_xlfn.XLOOKUP(frasest[[#This Row],[autor_es]],autorest[autor_es],autorest[autor_la])</f>
        <v>Proverbium Sinense</v>
      </c>
      <c r="G1222" s="6" t="str">
        <f>_xlfn.XLOOKUP(frasest[[#This Row],[autor_es]],autorest[autor_es],autorest[bio_es])</f>
        <v>Conjunto de proverbios tradicionales de la cultura china que transmiten sabiduría popular, valores morales y enseñanzas prácticas transmitidas oralmente durante siglos.</v>
      </c>
      <c r="H1222" s="6" t="str">
        <f>_xlfn.XLOOKUP(frasest[[#This Row],[autor_es]],autorest[autor_es],autorest[bio_la])</f>
        <v>Collectio sententiarum Sinensium, magnopere in cultura tradita.</v>
      </c>
      <c r="I1222" t="str">
        <f>_xlfn.XLOOKUP(frasest[[#This Row],[autor_es]],autorest[autor_es],autorest[codigo])</f>
        <v>zh</v>
      </c>
      <c r="J1222" t="str">
        <f>_xlfn.XLOOKUP(frasest[[#This Row],[autor_es]],autorest[autor_es],autorest[idioma_es])</f>
        <v>Chino</v>
      </c>
      <c r="K1222" s="6" t="str">
        <f>_xlfn.XLOOKUP(frasest[[#This Row],[autor_es]],autorest[autor_es],autorest[idioma_la])</f>
        <v>Lingua Sinica</v>
      </c>
      <c r="L1222" s="6" t="str">
        <f>_xlfn.XLOOKUP(frasest[[#This Row],[autor_es]],autorest[autor_es],autorest[nacion_es])</f>
        <v>China</v>
      </c>
      <c r="M1222" t="str">
        <f>_xlfn.XLOOKUP(frasest[[#This Row],[autor_es]],autorest[autor_es],autorest[nacion_la])</f>
        <v>Sinae</v>
      </c>
      <c r="N1222" t="str">
        <f>_xlfn.XLOOKUP(frasest[[#This Row],[autor_es]],autorest[autor_es],autorest[epoca_es])</f>
        <v>Epoca Desconocida</v>
      </c>
      <c r="O1222" t="str">
        <f>_xlfn.XLOOKUP(frasest[[#This Row],[autor_es]],autorest[autor_es],autorest[epoca_la])</f>
        <v>Epocha Ignota</v>
      </c>
    </row>
    <row r="1223" spans="1:15">
      <c r="A1223">
        <v>1222</v>
      </c>
      <c r="B1223" t="s">
        <v>3358</v>
      </c>
      <c r="C1223" t="s">
        <v>3359</v>
      </c>
      <c r="D1223" s="1" t="s">
        <v>3360</v>
      </c>
      <c r="E1223" t="s">
        <v>33</v>
      </c>
      <c r="F1223" t="str">
        <f>_xlfn.XLOOKUP(frasest[[#This Row],[autor_es]],autorest[autor_es],autorest[autor_la])</f>
        <v>Proverbium Sinense</v>
      </c>
      <c r="G1223" s="6" t="str">
        <f>_xlfn.XLOOKUP(frasest[[#This Row],[autor_es]],autorest[autor_es],autorest[bio_es])</f>
        <v>Conjunto de proverbios tradicionales de la cultura china que transmiten sabiduría popular, valores morales y enseñanzas prácticas transmitidas oralmente durante siglos.</v>
      </c>
      <c r="H1223" s="6" t="str">
        <f>_xlfn.XLOOKUP(frasest[[#This Row],[autor_es]],autorest[autor_es],autorest[bio_la])</f>
        <v>Collectio sententiarum Sinensium, magnopere in cultura tradita.</v>
      </c>
      <c r="I1223" t="str">
        <f>_xlfn.XLOOKUP(frasest[[#This Row],[autor_es]],autorest[autor_es],autorest[codigo])</f>
        <v>zh</v>
      </c>
      <c r="J1223" t="str">
        <f>_xlfn.XLOOKUP(frasest[[#This Row],[autor_es]],autorest[autor_es],autorest[idioma_es])</f>
        <v>Chino</v>
      </c>
      <c r="K1223" s="6" t="str">
        <f>_xlfn.XLOOKUP(frasest[[#This Row],[autor_es]],autorest[autor_es],autorest[idioma_la])</f>
        <v>Lingua Sinica</v>
      </c>
      <c r="L1223" s="6" t="str">
        <f>_xlfn.XLOOKUP(frasest[[#This Row],[autor_es]],autorest[autor_es],autorest[nacion_es])</f>
        <v>China</v>
      </c>
      <c r="M1223" t="str">
        <f>_xlfn.XLOOKUP(frasest[[#This Row],[autor_es]],autorest[autor_es],autorest[nacion_la])</f>
        <v>Sinae</v>
      </c>
      <c r="N1223" t="str">
        <f>_xlfn.XLOOKUP(frasest[[#This Row],[autor_es]],autorest[autor_es],autorest[epoca_es])</f>
        <v>Epoca Desconocida</v>
      </c>
      <c r="O1223" t="str">
        <f>_xlfn.XLOOKUP(frasest[[#This Row],[autor_es]],autorest[autor_es],autorest[epoca_la])</f>
        <v>Epocha Ignota</v>
      </c>
    </row>
    <row r="1224" spans="1:15">
      <c r="A1224">
        <v>1223</v>
      </c>
      <c r="B1224" t="s">
        <v>3361</v>
      </c>
      <c r="C1224" t="s">
        <v>3362</v>
      </c>
      <c r="D1224" s="1" t="s">
        <v>3363</v>
      </c>
      <c r="E1224" t="s">
        <v>33</v>
      </c>
      <c r="F1224" t="str">
        <f>_xlfn.XLOOKUP(frasest[[#This Row],[autor_es]],autorest[autor_es],autorest[autor_la])</f>
        <v>Proverbium Sinense</v>
      </c>
      <c r="G1224" s="6" t="str">
        <f>_xlfn.XLOOKUP(frasest[[#This Row],[autor_es]],autorest[autor_es],autorest[bio_es])</f>
        <v>Conjunto de proverbios tradicionales de la cultura china que transmiten sabiduría popular, valores morales y enseñanzas prácticas transmitidas oralmente durante siglos.</v>
      </c>
      <c r="H1224" s="6" t="str">
        <f>_xlfn.XLOOKUP(frasest[[#This Row],[autor_es]],autorest[autor_es],autorest[bio_la])</f>
        <v>Collectio sententiarum Sinensium, magnopere in cultura tradita.</v>
      </c>
      <c r="I1224" t="str">
        <f>_xlfn.XLOOKUP(frasest[[#This Row],[autor_es]],autorest[autor_es],autorest[codigo])</f>
        <v>zh</v>
      </c>
      <c r="J1224" t="str">
        <f>_xlfn.XLOOKUP(frasest[[#This Row],[autor_es]],autorest[autor_es],autorest[idioma_es])</f>
        <v>Chino</v>
      </c>
      <c r="K1224" s="6" t="str">
        <f>_xlfn.XLOOKUP(frasest[[#This Row],[autor_es]],autorest[autor_es],autorest[idioma_la])</f>
        <v>Lingua Sinica</v>
      </c>
      <c r="L1224" s="6" t="str">
        <f>_xlfn.XLOOKUP(frasest[[#This Row],[autor_es]],autorest[autor_es],autorest[nacion_es])</f>
        <v>China</v>
      </c>
      <c r="M1224" t="str">
        <f>_xlfn.XLOOKUP(frasest[[#This Row],[autor_es]],autorest[autor_es],autorest[nacion_la])</f>
        <v>Sinae</v>
      </c>
      <c r="N1224" t="str">
        <f>_xlfn.XLOOKUP(frasest[[#This Row],[autor_es]],autorest[autor_es],autorest[epoca_es])</f>
        <v>Epoca Desconocida</v>
      </c>
      <c r="O1224" t="str">
        <f>_xlfn.XLOOKUP(frasest[[#This Row],[autor_es]],autorest[autor_es],autorest[epoca_la])</f>
        <v>Epocha Ignota</v>
      </c>
    </row>
    <row r="1225" spans="1:15">
      <c r="A1225">
        <v>1224</v>
      </c>
      <c r="B1225" t="s">
        <v>3364</v>
      </c>
      <c r="C1225" t="s">
        <v>3365</v>
      </c>
      <c r="D1225" s="1" t="s">
        <v>3366</v>
      </c>
      <c r="E1225" t="s">
        <v>33</v>
      </c>
      <c r="F1225" t="str">
        <f>_xlfn.XLOOKUP(frasest[[#This Row],[autor_es]],autorest[autor_es],autorest[autor_la])</f>
        <v>Proverbium Sinense</v>
      </c>
      <c r="G1225" s="6" t="str">
        <f>_xlfn.XLOOKUP(frasest[[#This Row],[autor_es]],autorest[autor_es],autorest[bio_es])</f>
        <v>Conjunto de proverbios tradicionales de la cultura china que transmiten sabiduría popular, valores morales y enseñanzas prácticas transmitidas oralmente durante siglos.</v>
      </c>
      <c r="H1225" s="6" t="str">
        <f>_xlfn.XLOOKUP(frasest[[#This Row],[autor_es]],autorest[autor_es],autorest[bio_la])</f>
        <v>Collectio sententiarum Sinensium, magnopere in cultura tradita.</v>
      </c>
      <c r="I1225" t="str">
        <f>_xlfn.XLOOKUP(frasest[[#This Row],[autor_es]],autorest[autor_es],autorest[codigo])</f>
        <v>zh</v>
      </c>
      <c r="J1225" t="str">
        <f>_xlfn.XLOOKUP(frasest[[#This Row],[autor_es]],autorest[autor_es],autorest[idioma_es])</f>
        <v>Chino</v>
      </c>
      <c r="K1225" s="6" t="str">
        <f>_xlfn.XLOOKUP(frasest[[#This Row],[autor_es]],autorest[autor_es],autorest[idioma_la])</f>
        <v>Lingua Sinica</v>
      </c>
      <c r="L1225" s="6" t="str">
        <f>_xlfn.XLOOKUP(frasest[[#This Row],[autor_es]],autorest[autor_es],autorest[nacion_es])</f>
        <v>China</v>
      </c>
      <c r="M1225" t="str">
        <f>_xlfn.XLOOKUP(frasest[[#This Row],[autor_es]],autorest[autor_es],autorest[nacion_la])</f>
        <v>Sinae</v>
      </c>
      <c r="N1225" t="str">
        <f>_xlfn.XLOOKUP(frasest[[#This Row],[autor_es]],autorest[autor_es],autorest[epoca_es])</f>
        <v>Epoca Desconocida</v>
      </c>
      <c r="O1225" t="str">
        <f>_xlfn.XLOOKUP(frasest[[#This Row],[autor_es]],autorest[autor_es],autorest[epoca_la])</f>
        <v>Epocha Ignota</v>
      </c>
    </row>
    <row r="1226" spans="1:15">
      <c r="A1226">
        <v>1225</v>
      </c>
      <c r="B1226" t="s">
        <v>3367</v>
      </c>
      <c r="C1226" t="s">
        <v>3368</v>
      </c>
      <c r="D1226" s="1" t="s">
        <v>3369</v>
      </c>
      <c r="E1226" t="s">
        <v>33</v>
      </c>
      <c r="F1226" t="str">
        <f>_xlfn.XLOOKUP(frasest[[#This Row],[autor_es]],autorest[autor_es],autorest[autor_la])</f>
        <v>Proverbium Sinense</v>
      </c>
      <c r="G1226" s="6" t="str">
        <f>_xlfn.XLOOKUP(frasest[[#This Row],[autor_es]],autorest[autor_es],autorest[bio_es])</f>
        <v>Conjunto de proverbios tradicionales de la cultura china que transmiten sabiduría popular, valores morales y enseñanzas prácticas transmitidas oralmente durante siglos.</v>
      </c>
      <c r="H1226" s="6" t="str">
        <f>_xlfn.XLOOKUP(frasest[[#This Row],[autor_es]],autorest[autor_es],autorest[bio_la])</f>
        <v>Collectio sententiarum Sinensium, magnopere in cultura tradita.</v>
      </c>
      <c r="I1226" t="str">
        <f>_xlfn.XLOOKUP(frasest[[#This Row],[autor_es]],autorest[autor_es],autorest[codigo])</f>
        <v>zh</v>
      </c>
      <c r="J1226" t="str">
        <f>_xlfn.XLOOKUP(frasest[[#This Row],[autor_es]],autorest[autor_es],autorest[idioma_es])</f>
        <v>Chino</v>
      </c>
      <c r="K1226" s="6" t="str">
        <f>_xlfn.XLOOKUP(frasest[[#This Row],[autor_es]],autorest[autor_es],autorest[idioma_la])</f>
        <v>Lingua Sinica</v>
      </c>
      <c r="L1226" s="6" t="str">
        <f>_xlfn.XLOOKUP(frasest[[#This Row],[autor_es]],autorest[autor_es],autorest[nacion_es])</f>
        <v>China</v>
      </c>
      <c r="M1226" t="str">
        <f>_xlfn.XLOOKUP(frasest[[#This Row],[autor_es]],autorest[autor_es],autorest[nacion_la])</f>
        <v>Sinae</v>
      </c>
      <c r="N1226" t="str">
        <f>_xlfn.XLOOKUP(frasest[[#This Row],[autor_es]],autorest[autor_es],autorest[epoca_es])</f>
        <v>Epoca Desconocida</v>
      </c>
      <c r="O1226" t="str">
        <f>_xlfn.XLOOKUP(frasest[[#This Row],[autor_es]],autorest[autor_es],autorest[epoca_la])</f>
        <v>Epocha Ignota</v>
      </c>
    </row>
    <row r="1227" spans="1:15">
      <c r="A1227">
        <v>1226</v>
      </c>
      <c r="B1227" t="s">
        <v>3370</v>
      </c>
      <c r="C1227" t="s">
        <v>3371</v>
      </c>
      <c r="D1227" s="1" t="s">
        <v>3299</v>
      </c>
      <c r="E1227" t="s">
        <v>33</v>
      </c>
      <c r="F1227" t="str">
        <f>_xlfn.XLOOKUP(frasest[[#This Row],[autor_es]],autorest[autor_es],autorest[autor_la])</f>
        <v>Proverbium Sinense</v>
      </c>
      <c r="G1227" s="6" t="str">
        <f>_xlfn.XLOOKUP(frasest[[#This Row],[autor_es]],autorest[autor_es],autorest[bio_es])</f>
        <v>Conjunto de proverbios tradicionales de la cultura china que transmiten sabiduría popular, valores morales y enseñanzas prácticas transmitidas oralmente durante siglos.</v>
      </c>
      <c r="H1227" s="6" t="str">
        <f>_xlfn.XLOOKUP(frasest[[#This Row],[autor_es]],autorest[autor_es],autorest[bio_la])</f>
        <v>Collectio sententiarum Sinensium, magnopere in cultura tradita.</v>
      </c>
      <c r="I1227" t="str">
        <f>_xlfn.XLOOKUP(frasest[[#This Row],[autor_es]],autorest[autor_es],autorest[codigo])</f>
        <v>zh</v>
      </c>
      <c r="J1227" t="str">
        <f>_xlfn.XLOOKUP(frasest[[#This Row],[autor_es]],autorest[autor_es],autorest[idioma_es])</f>
        <v>Chino</v>
      </c>
      <c r="K1227" s="6" t="str">
        <f>_xlfn.XLOOKUP(frasest[[#This Row],[autor_es]],autorest[autor_es],autorest[idioma_la])</f>
        <v>Lingua Sinica</v>
      </c>
      <c r="L1227" s="6" t="str">
        <f>_xlfn.XLOOKUP(frasest[[#This Row],[autor_es]],autorest[autor_es],autorest[nacion_es])</f>
        <v>China</v>
      </c>
      <c r="M1227" t="str">
        <f>_xlfn.XLOOKUP(frasest[[#This Row],[autor_es]],autorest[autor_es],autorest[nacion_la])</f>
        <v>Sinae</v>
      </c>
      <c r="N1227" t="str">
        <f>_xlfn.XLOOKUP(frasest[[#This Row],[autor_es]],autorest[autor_es],autorest[epoca_es])</f>
        <v>Epoca Desconocida</v>
      </c>
      <c r="O1227" t="str">
        <f>_xlfn.XLOOKUP(frasest[[#This Row],[autor_es]],autorest[autor_es],autorest[epoca_la])</f>
        <v>Epocha Ignota</v>
      </c>
    </row>
    <row r="1228" spans="1:15">
      <c r="A1228">
        <v>1227</v>
      </c>
      <c r="B1228" t="s">
        <v>3372</v>
      </c>
      <c r="C1228" t="s">
        <v>3373</v>
      </c>
      <c r="D1228" s="1" t="s">
        <v>3374</v>
      </c>
      <c r="E1228" t="s">
        <v>33</v>
      </c>
      <c r="F1228" t="str">
        <f>_xlfn.XLOOKUP(frasest[[#This Row],[autor_es]],autorest[autor_es],autorest[autor_la])</f>
        <v>Proverbium Sinense</v>
      </c>
      <c r="G1228" s="6" t="str">
        <f>_xlfn.XLOOKUP(frasest[[#This Row],[autor_es]],autorest[autor_es],autorest[bio_es])</f>
        <v>Conjunto de proverbios tradicionales de la cultura china que transmiten sabiduría popular, valores morales y enseñanzas prácticas transmitidas oralmente durante siglos.</v>
      </c>
      <c r="H1228" s="6" t="str">
        <f>_xlfn.XLOOKUP(frasest[[#This Row],[autor_es]],autorest[autor_es],autorest[bio_la])</f>
        <v>Collectio sententiarum Sinensium, magnopere in cultura tradita.</v>
      </c>
      <c r="I1228" t="str">
        <f>_xlfn.XLOOKUP(frasest[[#This Row],[autor_es]],autorest[autor_es],autorest[codigo])</f>
        <v>zh</v>
      </c>
      <c r="J1228" t="str">
        <f>_xlfn.XLOOKUP(frasest[[#This Row],[autor_es]],autorest[autor_es],autorest[idioma_es])</f>
        <v>Chino</v>
      </c>
      <c r="K1228" s="6" t="str">
        <f>_xlfn.XLOOKUP(frasest[[#This Row],[autor_es]],autorest[autor_es],autorest[idioma_la])</f>
        <v>Lingua Sinica</v>
      </c>
      <c r="L1228" s="6" t="str">
        <f>_xlfn.XLOOKUP(frasest[[#This Row],[autor_es]],autorest[autor_es],autorest[nacion_es])</f>
        <v>China</v>
      </c>
      <c r="M1228" t="str">
        <f>_xlfn.XLOOKUP(frasest[[#This Row],[autor_es]],autorest[autor_es],autorest[nacion_la])</f>
        <v>Sinae</v>
      </c>
      <c r="N1228" t="str">
        <f>_xlfn.XLOOKUP(frasest[[#This Row],[autor_es]],autorest[autor_es],autorest[epoca_es])</f>
        <v>Epoca Desconocida</v>
      </c>
      <c r="O1228" t="str">
        <f>_xlfn.XLOOKUP(frasest[[#This Row],[autor_es]],autorest[autor_es],autorest[epoca_la])</f>
        <v>Epocha Ignota</v>
      </c>
    </row>
    <row r="1229" spans="1:15">
      <c r="A1229">
        <v>1228</v>
      </c>
      <c r="B1229" t="s">
        <v>3375</v>
      </c>
      <c r="C1229" t="s">
        <v>3376</v>
      </c>
      <c r="D1229" s="1" t="s">
        <v>3377</v>
      </c>
      <c r="E1229" t="s">
        <v>33</v>
      </c>
      <c r="F1229" t="str">
        <f>_xlfn.XLOOKUP(frasest[[#This Row],[autor_es]],autorest[autor_es],autorest[autor_la])</f>
        <v>Proverbium Sinense</v>
      </c>
      <c r="G1229" s="6" t="str">
        <f>_xlfn.XLOOKUP(frasest[[#This Row],[autor_es]],autorest[autor_es],autorest[bio_es])</f>
        <v>Conjunto de proverbios tradicionales de la cultura china que transmiten sabiduría popular, valores morales y enseñanzas prácticas transmitidas oralmente durante siglos.</v>
      </c>
      <c r="H1229" s="6" t="str">
        <f>_xlfn.XLOOKUP(frasest[[#This Row],[autor_es]],autorest[autor_es],autorest[bio_la])</f>
        <v>Collectio sententiarum Sinensium, magnopere in cultura tradita.</v>
      </c>
      <c r="I1229" t="str">
        <f>_xlfn.XLOOKUP(frasest[[#This Row],[autor_es]],autorest[autor_es],autorest[codigo])</f>
        <v>zh</v>
      </c>
      <c r="J1229" t="str">
        <f>_xlfn.XLOOKUP(frasest[[#This Row],[autor_es]],autorest[autor_es],autorest[idioma_es])</f>
        <v>Chino</v>
      </c>
      <c r="K1229" s="6" t="str">
        <f>_xlfn.XLOOKUP(frasest[[#This Row],[autor_es]],autorest[autor_es],autorest[idioma_la])</f>
        <v>Lingua Sinica</v>
      </c>
      <c r="L1229" s="6" t="str">
        <f>_xlfn.XLOOKUP(frasest[[#This Row],[autor_es]],autorest[autor_es],autorest[nacion_es])</f>
        <v>China</v>
      </c>
      <c r="M1229" t="str">
        <f>_xlfn.XLOOKUP(frasest[[#This Row],[autor_es]],autorest[autor_es],autorest[nacion_la])</f>
        <v>Sinae</v>
      </c>
      <c r="N1229" t="str">
        <f>_xlfn.XLOOKUP(frasest[[#This Row],[autor_es]],autorest[autor_es],autorest[epoca_es])</f>
        <v>Epoca Desconocida</v>
      </c>
      <c r="O1229" t="str">
        <f>_xlfn.XLOOKUP(frasest[[#This Row],[autor_es]],autorest[autor_es],autorest[epoca_la])</f>
        <v>Epocha Ignota</v>
      </c>
    </row>
    <row r="1230" spans="1:15">
      <c r="A1230">
        <v>1229</v>
      </c>
      <c r="B1230" t="s">
        <v>3378</v>
      </c>
      <c r="C1230" t="s">
        <v>3379</v>
      </c>
      <c r="D1230" s="1" t="s">
        <v>3380</v>
      </c>
      <c r="E1230" t="s">
        <v>33</v>
      </c>
      <c r="F1230" t="str">
        <f>_xlfn.XLOOKUP(frasest[[#This Row],[autor_es]],autorest[autor_es],autorest[autor_la])</f>
        <v>Proverbium Sinense</v>
      </c>
      <c r="G1230" s="6" t="str">
        <f>_xlfn.XLOOKUP(frasest[[#This Row],[autor_es]],autorest[autor_es],autorest[bio_es])</f>
        <v>Conjunto de proverbios tradicionales de la cultura china que transmiten sabiduría popular, valores morales y enseñanzas prácticas transmitidas oralmente durante siglos.</v>
      </c>
      <c r="H1230" s="6" t="str">
        <f>_xlfn.XLOOKUP(frasest[[#This Row],[autor_es]],autorest[autor_es],autorest[bio_la])</f>
        <v>Collectio sententiarum Sinensium, magnopere in cultura tradita.</v>
      </c>
      <c r="I1230" t="str">
        <f>_xlfn.XLOOKUP(frasest[[#This Row],[autor_es]],autorest[autor_es],autorest[codigo])</f>
        <v>zh</v>
      </c>
      <c r="J1230" t="str">
        <f>_xlfn.XLOOKUP(frasest[[#This Row],[autor_es]],autorest[autor_es],autorest[idioma_es])</f>
        <v>Chino</v>
      </c>
      <c r="K1230" s="6" t="str">
        <f>_xlfn.XLOOKUP(frasest[[#This Row],[autor_es]],autorest[autor_es],autorest[idioma_la])</f>
        <v>Lingua Sinica</v>
      </c>
      <c r="L1230" s="6" t="str">
        <f>_xlfn.XLOOKUP(frasest[[#This Row],[autor_es]],autorest[autor_es],autorest[nacion_es])</f>
        <v>China</v>
      </c>
      <c r="M1230" t="str">
        <f>_xlfn.XLOOKUP(frasest[[#This Row],[autor_es]],autorest[autor_es],autorest[nacion_la])</f>
        <v>Sinae</v>
      </c>
      <c r="N1230" t="str">
        <f>_xlfn.XLOOKUP(frasest[[#This Row],[autor_es]],autorest[autor_es],autorest[epoca_es])</f>
        <v>Epoca Desconocida</v>
      </c>
      <c r="O1230" t="str">
        <f>_xlfn.XLOOKUP(frasest[[#This Row],[autor_es]],autorest[autor_es],autorest[epoca_la])</f>
        <v>Epocha Ignota</v>
      </c>
    </row>
    <row r="1231" spans="1:15">
      <c r="A1231">
        <v>1230</v>
      </c>
      <c r="B1231" t="s">
        <v>3381</v>
      </c>
      <c r="C1231" t="s">
        <v>3382</v>
      </c>
      <c r="D1231" s="1" t="s">
        <v>3383</v>
      </c>
      <c r="E1231" t="s">
        <v>33</v>
      </c>
      <c r="F1231" t="str">
        <f>_xlfn.XLOOKUP(frasest[[#This Row],[autor_es]],autorest[autor_es],autorest[autor_la])</f>
        <v>Proverbium Sinense</v>
      </c>
      <c r="G1231" s="6" t="str">
        <f>_xlfn.XLOOKUP(frasest[[#This Row],[autor_es]],autorest[autor_es],autorest[bio_es])</f>
        <v>Conjunto de proverbios tradicionales de la cultura china que transmiten sabiduría popular, valores morales y enseñanzas prácticas transmitidas oralmente durante siglos.</v>
      </c>
      <c r="H1231" s="6" t="str">
        <f>_xlfn.XLOOKUP(frasest[[#This Row],[autor_es]],autorest[autor_es],autorest[bio_la])</f>
        <v>Collectio sententiarum Sinensium, magnopere in cultura tradita.</v>
      </c>
      <c r="I1231" t="str">
        <f>_xlfn.XLOOKUP(frasest[[#This Row],[autor_es]],autorest[autor_es],autorest[codigo])</f>
        <v>zh</v>
      </c>
      <c r="J1231" t="str">
        <f>_xlfn.XLOOKUP(frasest[[#This Row],[autor_es]],autorest[autor_es],autorest[idioma_es])</f>
        <v>Chino</v>
      </c>
      <c r="K1231" s="6" t="str">
        <f>_xlfn.XLOOKUP(frasest[[#This Row],[autor_es]],autorest[autor_es],autorest[idioma_la])</f>
        <v>Lingua Sinica</v>
      </c>
      <c r="L1231" s="6" t="str">
        <f>_xlfn.XLOOKUP(frasest[[#This Row],[autor_es]],autorest[autor_es],autorest[nacion_es])</f>
        <v>China</v>
      </c>
      <c r="M1231" t="str">
        <f>_xlfn.XLOOKUP(frasest[[#This Row],[autor_es]],autorest[autor_es],autorest[nacion_la])</f>
        <v>Sinae</v>
      </c>
      <c r="N1231" t="str">
        <f>_xlfn.XLOOKUP(frasest[[#This Row],[autor_es]],autorest[autor_es],autorest[epoca_es])</f>
        <v>Epoca Desconocida</v>
      </c>
      <c r="O1231" t="str">
        <f>_xlfn.XLOOKUP(frasest[[#This Row],[autor_es]],autorest[autor_es],autorest[epoca_la])</f>
        <v>Epocha Ignota</v>
      </c>
    </row>
    <row r="1232" spans="1:15">
      <c r="A1232">
        <v>1231</v>
      </c>
      <c r="B1232" t="s">
        <v>3384</v>
      </c>
      <c r="C1232" t="s">
        <v>3385</v>
      </c>
      <c r="D1232" s="1" t="s">
        <v>3386</v>
      </c>
      <c r="E1232" t="s">
        <v>33</v>
      </c>
      <c r="F1232" t="str">
        <f>_xlfn.XLOOKUP(frasest[[#This Row],[autor_es]],autorest[autor_es],autorest[autor_la])</f>
        <v>Proverbium Sinense</v>
      </c>
      <c r="G1232" s="6" t="str">
        <f>_xlfn.XLOOKUP(frasest[[#This Row],[autor_es]],autorest[autor_es],autorest[bio_es])</f>
        <v>Conjunto de proverbios tradicionales de la cultura china que transmiten sabiduría popular, valores morales y enseñanzas prácticas transmitidas oralmente durante siglos.</v>
      </c>
      <c r="H1232" s="6" t="str">
        <f>_xlfn.XLOOKUP(frasest[[#This Row],[autor_es]],autorest[autor_es],autorest[bio_la])</f>
        <v>Collectio sententiarum Sinensium, magnopere in cultura tradita.</v>
      </c>
      <c r="I1232" t="str">
        <f>_xlfn.XLOOKUP(frasest[[#This Row],[autor_es]],autorest[autor_es],autorest[codigo])</f>
        <v>zh</v>
      </c>
      <c r="J1232" t="str">
        <f>_xlfn.XLOOKUP(frasest[[#This Row],[autor_es]],autorest[autor_es],autorest[idioma_es])</f>
        <v>Chino</v>
      </c>
      <c r="K1232" s="6" t="str">
        <f>_xlfn.XLOOKUP(frasest[[#This Row],[autor_es]],autorest[autor_es],autorest[idioma_la])</f>
        <v>Lingua Sinica</v>
      </c>
      <c r="L1232" s="6" t="str">
        <f>_xlfn.XLOOKUP(frasest[[#This Row],[autor_es]],autorest[autor_es],autorest[nacion_es])</f>
        <v>China</v>
      </c>
      <c r="M1232" t="str">
        <f>_xlfn.XLOOKUP(frasest[[#This Row],[autor_es]],autorest[autor_es],autorest[nacion_la])</f>
        <v>Sinae</v>
      </c>
      <c r="N1232" t="str">
        <f>_xlfn.XLOOKUP(frasest[[#This Row],[autor_es]],autorest[autor_es],autorest[epoca_es])</f>
        <v>Epoca Desconocida</v>
      </c>
      <c r="O1232" t="str">
        <f>_xlfn.XLOOKUP(frasest[[#This Row],[autor_es]],autorest[autor_es],autorest[epoca_la])</f>
        <v>Epocha Ignota</v>
      </c>
    </row>
    <row r="1233" spans="1:15">
      <c r="A1233">
        <v>1232</v>
      </c>
      <c r="B1233" t="s">
        <v>3387</v>
      </c>
      <c r="C1233" t="s">
        <v>3388</v>
      </c>
      <c r="D1233" s="1" t="s">
        <v>3389</v>
      </c>
      <c r="E1233" t="s">
        <v>33</v>
      </c>
      <c r="F1233" t="str">
        <f>_xlfn.XLOOKUP(frasest[[#This Row],[autor_es]],autorest[autor_es],autorest[autor_la])</f>
        <v>Proverbium Sinense</v>
      </c>
      <c r="G1233" s="6" t="str">
        <f>_xlfn.XLOOKUP(frasest[[#This Row],[autor_es]],autorest[autor_es],autorest[bio_es])</f>
        <v>Conjunto de proverbios tradicionales de la cultura china que transmiten sabiduría popular, valores morales y enseñanzas prácticas transmitidas oralmente durante siglos.</v>
      </c>
      <c r="H1233" s="6" t="str">
        <f>_xlfn.XLOOKUP(frasest[[#This Row],[autor_es]],autorest[autor_es],autorest[bio_la])</f>
        <v>Collectio sententiarum Sinensium, magnopere in cultura tradita.</v>
      </c>
      <c r="I1233" t="str">
        <f>_xlfn.XLOOKUP(frasest[[#This Row],[autor_es]],autorest[autor_es],autorest[codigo])</f>
        <v>zh</v>
      </c>
      <c r="J1233" t="str">
        <f>_xlfn.XLOOKUP(frasest[[#This Row],[autor_es]],autorest[autor_es],autorest[idioma_es])</f>
        <v>Chino</v>
      </c>
      <c r="K1233" s="6" t="str">
        <f>_xlfn.XLOOKUP(frasest[[#This Row],[autor_es]],autorest[autor_es],autorest[idioma_la])</f>
        <v>Lingua Sinica</v>
      </c>
      <c r="L1233" s="6" t="str">
        <f>_xlfn.XLOOKUP(frasest[[#This Row],[autor_es]],autorest[autor_es],autorest[nacion_es])</f>
        <v>China</v>
      </c>
      <c r="M1233" t="str">
        <f>_xlfn.XLOOKUP(frasest[[#This Row],[autor_es]],autorest[autor_es],autorest[nacion_la])</f>
        <v>Sinae</v>
      </c>
      <c r="N1233" t="str">
        <f>_xlfn.XLOOKUP(frasest[[#This Row],[autor_es]],autorest[autor_es],autorest[epoca_es])</f>
        <v>Epoca Desconocida</v>
      </c>
      <c r="O1233" t="str">
        <f>_xlfn.XLOOKUP(frasest[[#This Row],[autor_es]],autorest[autor_es],autorest[epoca_la])</f>
        <v>Epocha Ignota</v>
      </c>
    </row>
    <row r="1234" spans="1:15">
      <c r="A1234">
        <v>1233</v>
      </c>
      <c r="B1234" t="s">
        <v>3390</v>
      </c>
      <c r="C1234" t="s">
        <v>3391</v>
      </c>
      <c r="D1234" s="1" t="s">
        <v>3392</v>
      </c>
      <c r="E1234" t="s">
        <v>33</v>
      </c>
      <c r="F1234" t="str">
        <f>_xlfn.XLOOKUP(frasest[[#This Row],[autor_es]],autorest[autor_es],autorest[autor_la])</f>
        <v>Proverbium Sinense</v>
      </c>
      <c r="G1234" s="6" t="str">
        <f>_xlfn.XLOOKUP(frasest[[#This Row],[autor_es]],autorest[autor_es],autorest[bio_es])</f>
        <v>Conjunto de proverbios tradicionales de la cultura china que transmiten sabiduría popular, valores morales y enseñanzas prácticas transmitidas oralmente durante siglos.</v>
      </c>
      <c r="H1234" s="6" t="str">
        <f>_xlfn.XLOOKUP(frasest[[#This Row],[autor_es]],autorest[autor_es],autorest[bio_la])</f>
        <v>Collectio sententiarum Sinensium, magnopere in cultura tradita.</v>
      </c>
      <c r="I1234" t="str">
        <f>_xlfn.XLOOKUP(frasest[[#This Row],[autor_es]],autorest[autor_es],autorest[codigo])</f>
        <v>zh</v>
      </c>
      <c r="J1234" t="str">
        <f>_xlfn.XLOOKUP(frasest[[#This Row],[autor_es]],autorest[autor_es],autorest[idioma_es])</f>
        <v>Chino</v>
      </c>
      <c r="K1234" s="6" t="str">
        <f>_xlfn.XLOOKUP(frasest[[#This Row],[autor_es]],autorest[autor_es],autorest[idioma_la])</f>
        <v>Lingua Sinica</v>
      </c>
      <c r="L1234" s="6" t="str">
        <f>_xlfn.XLOOKUP(frasest[[#This Row],[autor_es]],autorest[autor_es],autorest[nacion_es])</f>
        <v>China</v>
      </c>
      <c r="M1234" t="str">
        <f>_xlfn.XLOOKUP(frasest[[#This Row],[autor_es]],autorest[autor_es],autorest[nacion_la])</f>
        <v>Sinae</v>
      </c>
      <c r="N1234" t="str">
        <f>_xlfn.XLOOKUP(frasest[[#This Row],[autor_es]],autorest[autor_es],autorest[epoca_es])</f>
        <v>Epoca Desconocida</v>
      </c>
      <c r="O1234" t="str">
        <f>_xlfn.XLOOKUP(frasest[[#This Row],[autor_es]],autorest[autor_es],autorest[epoca_la])</f>
        <v>Epocha Ignota</v>
      </c>
    </row>
    <row r="1235" spans="1:15">
      <c r="A1235">
        <v>1234</v>
      </c>
      <c r="B1235" t="s">
        <v>3393</v>
      </c>
      <c r="C1235" t="s">
        <v>3394</v>
      </c>
      <c r="D1235" s="1" t="s">
        <v>3395</v>
      </c>
      <c r="E1235" t="s">
        <v>33</v>
      </c>
      <c r="F1235" t="str">
        <f>_xlfn.XLOOKUP(frasest[[#This Row],[autor_es]],autorest[autor_es],autorest[autor_la])</f>
        <v>Proverbium Sinense</v>
      </c>
      <c r="G1235" s="6" t="str">
        <f>_xlfn.XLOOKUP(frasest[[#This Row],[autor_es]],autorest[autor_es],autorest[bio_es])</f>
        <v>Conjunto de proverbios tradicionales de la cultura china que transmiten sabiduría popular, valores morales y enseñanzas prácticas transmitidas oralmente durante siglos.</v>
      </c>
      <c r="H1235" s="6" t="str">
        <f>_xlfn.XLOOKUP(frasest[[#This Row],[autor_es]],autorest[autor_es],autorest[bio_la])</f>
        <v>Collectio sententiarum Sinensium, magnopere in cultura tradita.</v>
      </c>
      <c r="I1235" t="str">
        <f>_xlfn.XLOOKUP(frasest[[#This Row],[autor_es]],autorest[autor_es],autorest[codigo])</f>
        <v>zh</v>
      </c>
      <c r="J1235" t="str">
        <f>_xlfn.XLOOKUP(frasest[[#This Row],[autor_es]],autorest[autor_es],autorest[idioma_es])</f>
        <v>Chino</v>
      </c>
      <c r="K1235" s="6" t="str">
        <f>_xlfn.XLOOKUP(frasest[[#This Row],[autor_es]],autorest[autor_es],autorest[idioma_la])</f>
        <v>Lingua Sinica</v>
      </c>
      <c r="L1235" s="6" t="str">
        <f>_xlfn.XLOOKUP(frasest[[#This Row],[autor_es]],autorest[autor_es],autorest[nacion_es])</f>
        <v>China</v>
      </c>
      <c r="M1235" t="str">
        <f>_xlfn.XLOOKUP(frasest[[#This Row],[autor_es]],autorest[autor_es],autorest[nacion_la])</f>
        <v>Sinae</v>
      </c>
      <c r="N1235" t="str">
        <f>_xlfn.XLOOKUP(frasest[[#This Row],[autor_es]],autorest[autor_es],autorest[epoca_es])</f>
        <v>Epoca Desconocida</v>
      </c>
      <c r="O1235" t="str">
        <f>_xlfn.XLOOKUP(frasest[[#This Row],[autor_es]],autorest[autor_es],autorest[epoca_la])</f>
        <v>Epocha Ignota</v>
      </c>
    </row>
    <row r="1236" spans="1:15">
      <c r="A1236">
        <v>1235</v>
      </c>
      <c r="B1236" t="s">
        <v>3396</v>
      </c>
      <c r="C1236" t="s">
        <v>3397</v>
      </c>
      <c r="D1236" s="1" t="s">
        <v>3398</v>
      </c>
      <c r="E1236" t="s">
        <v>33</v>
      </c>
      <c r="F1236" t="str">
        <f>_xlfn.XLOOKUP(frasest[[#This Row],[autor_es]],autorest[autor_es],autorest[autor_la])</f>
        <v>Proverbium Sinense</v>
      </c>
      <c r="G1236" s="6" t="str">
        <f>_xlfn.XLOOKUP(frasest[[#This Row],[autor_es]],autorest[autor_es],autorest[bio_es])</f>
        <v>Conjunto de proverbios tradicionales de la cultura china que transmiten sabiduría popular, valores morales y enseñanzas prácticas transmitidas oralmente durante siglos.</v>
      </c>
      <c r="H1236" s="6" t="str">
        <f>_xlfn.XLOOKUP(frasest[[#This Row],[autor_es]],autorest[autor_es],autorest[bio_la])</f>
        <v>Collectio sententiarum Sinensium, magnopere in cultura tradita.</v>
      </c>
      <c r="I1236" t="str">
        <f>_xlfn.XLOOKUP(frasest[[#This Row],[autor_es]],autorest[autor_es],autorest[codigo])</f>
        <v>zh</v>
      </c>
      <c r="J1236" t="str">
        <f>_xlfn.XLOOKUP(frasest[[#This Row],[autor_es]],autorest[autor_es],autorest[idioma_es])</f>
        <v>Chino</v>
      </c>
      <c r="K1236" s="6" t="str">
        <f>_xlfn.XLOOKUP(frasest[[#This Row],[autor_es]],autorest[autor_es],autorest[idioma_la])</f>
        <v>Lingua Sinica</v>
      </c>
      <c r="L1236" s="6" t="str">
        <f>_xlfn.XLOOKUP(frasest[[#This Row],[autor_es]],autorest[autor_es],autorest[nacion_es])</f>
        <v>China</v>
      </c>
      <c r="M1236" t="str">
        <f>_xlfn.XLOOKUP(frasest[[#This Row],[autor_es]],autorest[autor_es],autorest[nacion_la])</f>
        <v>Sinae</v>
      </c>
      <c r="N1236" t="str">
        <f>_xlfn.XLOOKUP(frasest[[#This Row],[autor_es]],autorest[autor_es],autorest[epoca_es])</f>
        <v>Epoca Desconocida</v>
      </c>
      <c r="O1236" t="str">
        <f>_xlfn.XLOOKUP(frasest[[#This Row],[autor_es]],autorest[autor_es],autorest[epoca_la])</f>
        <v>Epocha Ignota</v>
      </c>
    </row>
    <row r="1237" spans="1:15">
      <c r="A1237">
        <v>1236</v>
      </c>
      <c r="B1237" t="s">
        <v>3399</v>
      </c>
      <c r="C1237" t="s">
        <v>3400</v>
      </c>
      <c r="D1237" s="1" t="s">
        <v>3401</v>
      </c>
      <c r="E1237" t="s">
        <v>33</v>
      </c>
      <c r="F1237" t="str">
        <f>_xlfn.XLOOKUP(frasest[[#This Row],[autor_es]],autorest[autor_es],autorest[autor_la])</f>
        <v>Proverbium Sinense</v>
      </c>
      <c r="G1237" s="6" t="str">
        <f>_xlfn.XLOOKUP(frasest[[#This Row],[autor_es]],autorest[autor_es],autorest[bio_es])</f>
        <v>Conjunto de proverbios tradicionales de la cultura china que transmiten sabiduría popular, valores morales y enseñanzas prácticas transmitidas oralmente durante siglos.</v>
      </c>
      <c r="H1237" s="6" t="str">
        <f>_xlfn.XLOOKUP(frasest[[#This Row],[autor_es]],autorest[autor_es],autorest[bio_la])</f>
        <v>Collectio sententiarum Sinensium, magnopere in cultura tradita.</v>
      </c>
      <c r="I1237" t="str">
        <f>_xlfn.XLOOKUP(frasest[[#This Row],[autor_es]],autorest[autor_es],autorest[codigo])</f>
        <v>zh</v>
      </c>
      <c r="J1237" t="str">
        <f>_xlfn.XLOOKUP(frasest[[#This Row],[autor_es]],autorest[autor_es],autorest[idioma_es])</f>
        <v>Chino</v>
      </c>
      <c r="K1237" s="6" t="str">
        <f>_xlfn.XLOOKUP(frasest[[#This Row],[autor_es]],autorest[autor_es],autorest[idioma_la])</f>
        <v>Lingua Sinica</v>
      </c>
      <c r="L1237" s="6" t="str">
        <f>_xlfn.XLOOKUP(frasest[[#This Row],[autor_es]],autorest[autor_es],autorest[nacion_es])</f>
        <v>China</v>
      </c>
      <c r="M1237" t="str">
        <f>_xlfn.XLOOKUP(frasest[[#This Row],[autor_es]],autorest[autor_es],autorest[nacion_la])</f>
        <v>Sinae</v>
      </c>
      <c r="N1237" t="str">
        <f>_xlfn.XLOOKUP(frasest[[#This Row],[autor_es]],autorest[autor_es],autorest[epoca_es])</f>
        <v>Epoca Desconocida</v>
      </c>
      <c r="O1237" t="str">
        <f>_xlfn.XLOOKUP(frasest[[#This Row],[autor_es]],autorest[autor_es],autorest[epoca_la])</f>
        <v>Epocha Ignota</v>
      </c>
    </row>
    <row r="1238" spans="1:15">
      <c r="A1238">
        <v>1237</v>
      </c>
      <c r="B1238" t="s">
        <v>3402</v>
      </c>
      <c r="C1238" t="s">
        <v>3403</v>
      </c>
      <c r="D1238" s="1" t="s">
        <v>3404</v>
      </c>
      <c r="E1238" t="s">
        <v>33</v>
      </c>
      <c r="F1238" t="str">
        <f>_xlfn.XLOOKUP(frasest[[#This Row],[autor_es]],autorest[autor_es],autorest[autor_la])</f>
        <v>Proverbium Sinense</v>
      </c>
      <c r="G1238" s="6" t="str">
        <f>_xlfn.XLOOKUP(frasest[[#This Row],[autor_es]],autorest[autor_es],autorest[bio_es])</f>
        <v>Conjunto de proverbios tradicionales de la cultura china que transmiten sabiduría popular, valores morales y enseñanzas prácticas transmitidas oralmente durante siglos.</v>
      </c>
      <c r="H1238" s="6" t="str">
        <f>_xlfn.XLOOKUP(frasest[[#This Row],[autor_es]],autorest[autor_es],autorest[bio_la])</f>
        <v>Collectio sententiarum Sinensium, magnopere in cultura tradita.</v>
      </c>
      <c r="I1238" t="str">
        <f>_xlfn.XLOOKUP(frasest[[#This Row],[autor_es]],autorest[autor_es],autorest[codigo])</f>
        <v>zh</v>
      </c>
      <c r="J1238" t="str">
        <f>_xlfn.XLOOKUP(frasest[[#This Row],[autor_es]],autorest[autor_es],autorest[idioma_es])</f>
        <v>Chino</v>
      </c>
      <c r="K1238" s="6" t="str">
        <f>_xlfn.XLOOKUP(frasest[[#This Row],[autor_es]],autorest[autor_es],autorest[idioma_la])</f>
        <v>Lingua Sinica</v>
      </c>
      <c r="L1238" s="6" t="str">
        <f>_xlfn.XLOOKUP(frasest[[#This Row],[autor_es]],autorest[autor_es],autorest[nacion_es])</f>
        <v>China</v>
      </c>
      <c r="M1238" t="str">
        <f>_xlfn.XLOOKUP(frasest[[#This Row],[autor_es]],autorest[autor_es],autorest[nacion_la])</f>
        <v>Sinae</v>
      </c>
      <c r="N1238" t="str">
        <f>_xlfn.XLOOKUP(frasest[[#This Row],[autor_es]],autorest[autor_es],autorest[epoca_es])</f>
        <v>Epoca Desconocida</v>
      </c>
      <c r="O1238" t="str">
        <f>_xlfn.XLOOKUP(frasest[[#This Row],[autor_es]],autorest[autor_es],autorest[epoca_la])</f>
        <v>Epocha Ignota</v>
      </c>
    </row>
    <row r="1239" spans="1:15">
      <c r="A1239">
        <v>1238</v>
      </c>
      <c r="B1239" t="s">
        <v>3405</v>
      </c>
      <c r="C1239" t="s">
        <v>3406</v>
      </c>
      <c r="D1239" s="1" t="s">
        <v>1043</v>
      </c>
      <c r="E1239" t="s">
        <v>33</v>
      </c>
      <c r="F1239" t="str">
        <f>_xlfn.XLOOKUP(frasest[[#This Row],[autor_es]],autorest[autor_es],autorest[autor_la])</f>
        <v>Proverbium Sinense</v>
      </c>
      <c r="G1239" s="6" t="str">
        <f>_xlfn.XLOOKUP(frasest[[#This Row],[autor_es]],autorest[autor_es],autorest[bio_es])</f>
        <v>Conjunto de proverbios tradicionales de la cultura china que transmiten sabiduría popular, valores morales y enseñanzas prácticas transmitidas oralmente durante siglos.</v>
      </c>
      <c r="H1239" s="6" t="str">
        <f>_xlfn.XLOOKUP(frasest[[#This Row],[autor_es]],autorest[autor_es],autorest[bio_la])</f>
        <v>Collectio sententiarum Sinensium, magnopere in cultura tradita.</v>
      </c>
      <c r="I1239" t="str">
        <f>_xlfn.XLOOKUP(frasest[[#This Row],[autor_es]],autorest[autor_es],autorest[codigo])</f>
        <v>zh</v>
      </c>
      <c r="J1239" t="str">
        <f>_xlfn.XLOOKUP(frasest[[#This Row],[autor_es]],autorest[autor_es],autorest[idioma_es])</f>
        <v>Chino</v>
      </c>
      <c r="K1239" s="6" t="str">
        <f>_xlfn.XLOOKUP(frasest[[#This Row],[autor_es]],autorest[autor_es],autorest[idioma_la])</f>
        <v>Lingua Sinica</v>
      </c>
      <c r="L1239" s="6" t="str">
        <f>_xlfn.XLOOKUP(frasest[[#This Row],[autor_es]],autorest[autor_es],autorest[nacion_es])</f>
        <v>China</v>
      </c>
      <c r="M1239" t="str">
        <f>_xlfn.XLOOKUP(frasest[[#This Row],[autor_es]],autorest[autor_es],autorest[nacion_la])</f>
        <v>Sinae</v>
      </c>
      <c r="N1239" t="str">
        <f>_xlfn.XLOOKUP(frasest[[#This Row],[autor_es]],autorest[autor_es],autorest[epoca_es])</f>
        <v>Epoca Desconocida</v>
      </c>
      <c r="O1239" t="str">
        <f>_xlfn.XLOOKUP(frasest[[#This Row],[autor_es]],autorest[autor_es],autorest[epoca_la])</f>
        <v>Epocha Ignota</v>
      </c>
    </row>
    <row r="1240" spans="1:15">
      <c r="A1240">
        <v>1239</v>
      </c>
      <c r="B1240" t="s">
        <v>3407</v>
      </c>
      <c r="C1240" t="s">
        <v>3408</v>
      </c>
      <c r="D1240" s="1" t="s">
        <v>3409</v>
      </c>
      <c r="E1240" t="s">
        <v>33</v>
      </c>
      <c r="F1240" t="str">
        <f>_xlfn.XLOOKUP(frasest[[#This Row],[autor_es]],autorest[autor_es],autorest[autor_la])</f>
        <v>Proverbium Sinense</v>
      </c>
      <c r="G1240" s="6" t="str">
        <f>_xlfn.XLOOKUP(frasest[[#This Row],[autor_es]],autorest[autor_es],autorest[bio_es])</f>
        <v>Conjunto de proverbios tradicionales de la cultura china que transmiten sabiduría popular, valores morales y enseñanzas prácticas transmitidas oralmente durante siglos.</v>
      </c>
      <c r="H1240" s="6" t="str">
        <f>_xlfn.XLOOKUP(frasest[[#This Row],[autor_es]],autorest[autor_es],autorest[bio_la])</f>
        <v>Collectio sententiarum Sinensium, magnopere in cultura tradita.</v>
      </c>
      <c r="I1240" t="str">
        <f>_xlfn.XLOOKUP(frasest[[#This Row],[autor_es]],autorest[autor_es],autorest[codigo])</f>
        <v>zh</v>
      </c>
      <c r="J1240" t="str">
        <f>_xlfn.XLOOKUP(frasest[[#This Row],[autor_es]],autorest[autor_es],autorest[idioma_es])</f>
        <v>Chino</v>
      </c>
      <c r="K1240" s="6" t="str">
        <f>_xlfn.XLOOKUP(frasest[[#This Row],[autor_es]],autorest[autor_es],autorest[idioma_la])</f>
        <v>Lingua Sinica</v>
      </c>
      <c r="L1240" s="6" t="str">
        <f>_xlfn.XLOOKUP(frasest[[#This Row],[autor_es]],autorest[autor_es],autorest[nacion_es])</f>
        <v>China</v>
      </c>
      <c r="M1240" t="str">
        <f>_xlfn.XLOOKUP(frasest[[#This Row],[autor_es]],autorest[autor_es],autorest[nacion_la])</f>
        <v>Sinae</v>
      </c>
      <c r="N1240" t="str">
        <f>_xlfn.XLOOKUP(frasest[[#This Row],[autor_es]],autorest[autor_es],autorest[epoca_es])</f>
        <v>Epoca Desconocida</v>
      </c>
      <c r="O1240" t="str">
        <f>_xlfn.XLOOKUP(frasest[[#This Row],[autor_es]],autorest[autor_es],autorest[epoca_la])</f>
        <v>Epocha Ignota</v>
      </c>
    </row>
    <row r="1241" spans="1:15">
      <c r="A1241">
        <v>1240</v>
      </c>
      <c r="B1241" t="s">
        <v>3410</v>
      </c>
      <c r="C1241" t="s">
        <v>3411</v>
      </c>
      <c r="D1241" s="1" t="s">
        <v>3412</v>
      </c>
      <c r="E1241" t="s">
        <v>33</v>
      </c>
      <c r="F1241" t="str">
        <f>_xlfn.XLOOKUP(frasest[[#This Row],[autor_es]],autorest[autor_es],autorest[autor_la])</f>
        <v>Proverbium Sinense</v>
      </c>
      <c r="G1241" s="6" t="str">
        <f>_xlfn.XLOOKUP(frasest[[#This Row],[autor_es]],autorest[autor_es],autorest[bio_es])</f>
        <v>Conjunto de proverbios tradicionales de la cultura china que transmiten sabiduría popular, valores morales y enseñanzas prácticas transmitidas oralmente durante siglos.</v>
      </c>
      <c r="H1241" s="6" t="str">
        <f>_xlfn.XLOOKUP(frasest[[#This Row],[autor_es]],autorest[autor_es],autorest[bio_la])</f>
        <v>Collectio sententiarum Sinensium, magnopere in cultura tradita.</v>
      </c>
      <c r="I1241" t="str">
        <f>_xlfn.XLOOKUP(frasest[[#This Row],[autor_es]],autorest[autor_es],autorest[codigo])</f>
        <v>zh</v>
      </c>
      <c r="J1241" t="str">
        <f>_xlfn.XLOOKUP(frasest[[#This Row],[autor_es]],autorest[autor_es],autorest[idioma_es])</f>
        <v>Chino</v>
      </c>
      <c r="K1241" s="6" t="str">
        <f>_xlfn.XLOOKUP(frasest[[#This Row],[autor_es]],autorest[autor_es],autorest[idioma_la])</f>
        <v>Lingua Sinica</v>
      </c>
      <c r="L1241" s="6" t="str">
        <f>_xlfn.XLOOKUP(frasest[[#This Row],[autor_es]],autorest[autor_es],autorest[nacion_es])</f>
        <v>China</v>
      </c>
      <c r="M1241" t="str">
        <f>_xlfn.XLOOKUP(frasest[[#This Row],[autor_es]],autorest[autor_es],autorest[nacion_la])</f>
        <v>Sinae</v>
      </c>
      <c r="N1241" t="str">
        <f>_xlfn.XLOOKUP(frasest[[#This Row],[autor_es]],autorest[autor_es],autorest[epoca_es])</f>
        <v>Epoca Desconocida</v>
      </c>
      <c r="O1241" t="str">
        <f>_xlfn.XLOOKUP(frasest[[#This Row],[autor_es]],autorest[autor_es],autorest[epoca_la])</f>
        <v>Epocha Ignota</v>
      </c>
    </row>
    <row r="1242" spans="1:15">
      <c r="A1242">
        <v>1241</v>
      </c>
      <c r="B1242" t="s">
        <v>3413</v>
      </c>
      <c r="C1242" t="s">
        <v>3414</v>
      </c>
      <c r="D1242" s="1" t="s">
        <v>3415</v>
      </c>
      <c r="E1242" t="s">
        <v>33</v>
      </c>
      <c r="F1242" t="str">
        <f>_xlfn.XLOOKUP(frasest[[#This Row],[autor_es]],autorest[autor_es],autorest[autor_la])</f>
        <v>Proverbium Sinense</v>
      </c>
      <c r="G1242" s="6" t="str">
        <f>_xlfn.XLOOKUP(frasest[[#This Row],[autor_es]],autorest[autor_es],autorest[bio_es])</f>
        <v>Conjunto de proverbios tradicionales de la cultura china que transmiten sabiduría popular, valores morales y enseñanzas prácticas transmitidas oralmente durante siglos.</v>
      </c>
      <c r="H1242" s="6" t="str">
        <f>_xlfn.XLOOKUP(frasest[[#This Row],[autor_es]],autorest[autor_es],autorest[bio_la])</f>
        <v>Collectio sententiarum Sinensium, magnopere in cultura tradita.</v>
      </c>
      <c r="I1242" t="str">
        <f>_xlfn.XLOOKUP(frasest[[#This Row],[autor_es]],autorest[autor_es],autorest[codigo])</f>
        <v>zh</v>
      </c>
      <c r="J1242" t="str">
        <f>_xlfn.XLOOKUP(frasest[[#This Row],[autor_es]],autorest[autor_es],autorest[idioma_es])</f>
        <v>Chino</v>
      </c>
      <c r="K1242" s="6" t="str">
        <f>_xlfn.XLOOKUP(frasest[[#This Row],[autor_es]],autorest[autor_es],autorest[idioma_la])</f>
        <v>Lingua Sinica</v>
      </c>
      <c r="L1242" s="6" t="str">
        <f>_xlfn.XLOOKUP(frasest[[#This Row],[autor_es]],autorest[autor_es],autorest[nacion_es])</f>
        <v>China</v>
      </c>
      <c r="M1242" t="str">
        <f>_xlfn.XLOOKUP(frasest[[#This Row],[autor_es]],autorest[autor_es],autorest[nacion_la])</f>
        <v>Sinae</v>
      </c>
      <c r="N1242" t="str">
        <f>_xlfn.XLOOKUP(frasest[[#This Row],[autor_es]],autorest[autor_es],autorest[epoca_es])</f>
        <v>Epoca Desconocida</v>
      </c>
      <c r="O1242" t="str">
        <f>_xlfn.XLOOKUP(frasest[[#This Row],[autor_es]],autorest[autor_es],autorest[epoca_la])</f>
        <v>Epocha Ignota</v>
      </c>
    </row>
    <row r="1243" spans="1:15">
      <c r="A1243">
        <v>1242</v>
      </c>
      <c r="B1243" t="s">
        <v>3416</v>
      </c>
      <c r="C1243" t="s">
        <v>3417</v>
      </c>
      <c r="D1243" s="1" t="s">
        <v>3418</v>
      </c>
      <c r="E1243" t="s">
        <v>33</v>
      </c>
      <c r="F1243" t="str">
        <f>_xlfn.XLOOKUP(frasest[[#This Row],[autor_es]],autorest[autor_es],autorest[autor_la])</f>
        <v>Proverbium Sinense</v>
      </c>
      <c r="G1243" s="6" t="str">
        <f>_xlfn.XLOOKUP(frasest[[#This Row],[autor_es]],autorest[autor_es],autorest[bio_es])</f>
        <v>Conjunto de proverbios tradicionales de la cultura china que transmiten sabiduría popular, valores morales y enseñanzas prácticas transmitidas oralmente durante siglos.</v>
      </c>
      <c r="H1243" s="6" t="str">
        <f>_xlfn.XLOOKUP(frasest[[#This Row],[autor_es]],autorest[autor_es],autorest[bio_la])</f>
        <v>Collectio sententiarum Sinensium, magnopere in cultura tradita.</v>
      </c>
      <c r="I1243" t="str">
        <f>_xlfn.XLOOKUP(frasest[[#This Row],[autor_es]],autorest[autor_es],autorest[codigo])</f>
        <v>zh</v>
      </c>
      <c r="J1243" t="str">
        <f>_xlfn.XLOOKUP(frasest[[#This Row],[autor_es]],autorest[autor_es],autorest[idioma_es])</f>
        <v>Chino</v>
      </c>
      <c r="K1243" s="6" t="str">
        <f>_xlfn.XLOOKUP(frasest[[#This Row],[autor_es]],autorest[autor_es],autorest[idioma_la])</f>
        <v>Lingua Sinica</v>
      </c>
      <c r="L1243" s="6" t="str">
        <f>_xlfn.XLOOKUP(frasest[[#This Row],[autor_es]],autorest[autor_es],autorest[nacion_es])</f>
        <v>China</v>
      </c>
      <c r="M1243" t="str">
        <f>_xlfn.XLOOKUP(frasest[[#This Row],[autor_es]],autorest[autor_es],autorest[nacion_la])</f>
        <v>Sinae</v>
      </c>
      <c r="N1243" t="str">
        <f>_xlfn.XLOOKUP(frasest[[#This Row],[autor_es]],autorest[autor_es],autorest[epoca_es])</f>
        <v>Epoca Desconocida</v>
      </c>
      <c r="O1243" t="str">
        <f>_xlfn.XLOOKUP(frasest[[#This Row],[autor_es]],autorest[autor_es],autorest[epoca_la])</f>
        <v>Epocha Ignota</v>
      </c>
    </row>
    <row r="1244" spans="1:15">
      <c r="A1244">
        <v>1243</v>
      </c>
      <c r="B1244" t="s">
        <v>3419</v>
      </c>
      <c r="C1244" t="s">
        <v>3420</v>
      </c>
      <c r="D1244" s="1" t="s">
        <v>3421</v>
      </c>
      <c r="E1244" t="s">
        <v>33</v>
      </c>
      <c r="F1244" t="str">
        <f>_xlfn.XLOOKUP(frasest[[#This Row],[autor_es]],autorest[autor_es],autorest[autor_la])</f>
        <v>Proverbium Sinense</v>
      </c>
      <c r="G1244" s="6" t="str">
        <f>_xlfn.XLOOKUP(frasest[[#This Row],[autor_es]],autorest[autor_es],autorest[bio_es])</f>
        <v>Conjunto de proverbios tradicionales de la cultura china que transmiten sabiduría popular, valores morales y enseñanzas prácticas transmitidas oralmente durante siglos.</v>
      </c>
      <c r="H1244" s="6" t="str">
        <f>_xlfn.XLOOKUP(frasest[[#This Row],[autor_es]],autorest[autor_es],autorest[bio_la])</f>
        <v>Collectio sententiarum Sinensium, magnopere in cultura tradita.</v>
      </c>
      <c r="I1244" t="str">
        <f>_xlfn.XLOOKUP(frasest[[#This Row],[autor_es]],autorest[autor_es],autorest[codigo])</f>
        <v>zh</v>
      </c>
      <c r="J1244" t="str">
        <f>_xlfn.XLOOKUP(frasest[[#This Row],[autor_es]],autorest[autor_es],autorest[idioma_es])</f>
        <v>Chino</v>
      </c>
      <c r="K1244" s="6" t="str">
        <f>_xlfn.XLOOKUP(frasest[[#This Row],[autor_es]],autorest[autor_es],autorest[idioma_la])</f>
        <v>Lingua Sinica</v>
      </c>
      <c r="L1244" s="6" t="str">
        <f>_xlfn.XLOOKUP(frasest[[#This Row],[autor_es]],autorest[autor_es],autorest[nacion_es])</f>
        <v>China</v>
      </c>
      <c r="M1244" t="str">
        <f>_xlfn.XLOOKUP(frasest[[#This Row],[autor_es]],autorest[autor_es],autorest[nacion_la])</f>
        <v>Sinae</v>
      </c>
      <c r="N1244" t="str">
        <f>_xlfn.XLOOKUP(frasest[[#This Row],[autor_es]],autorest[autor_es],autorest[epoca_es])</f>
        <v>Epoca Desconocida</v>
      </c>
      <c r="O1244" t="str">
        <f>_xlfn.XLOOKUP(frasest[[#This Row],[autor_es]],autorest[autor_es],autorest[epoca_la])</f>
        <v>Epocha Ignota</v>
      </c>
    </row>
    <row r="1245" spans="1:15">
      <c r="A1245">
        <v>1244</v>
      </c>
      <c r="B1245" t="s">
        <v>3422</v>
      </c>
      <c r="C1245" t="s">
        <v>3423</v>
      </c>
      <c r="D1245" s="1" t="s">
        <v>3424</v>
      </c>
      <c r="E1245" t="s">
        <v>33</v>
      </c>
      <c r="F1245" t="str">
        <f>_xlfn.XLOOKUP(frasest[[#This Row],[autor_es]],autorest[autor_es],autorest[autor_la])</f>
        <v>Proverbium Sinense</v>
      </c>
      <c r="G1245" s="6" t="str">
        <f>_xlfn.XLOOKUP(frasest[[#This Row],[autor_es]],autorest[autor_es],autorest[bio_es])</f>
        <v>Conjunto de proverbios tradicionales de la cultura china que transmiten sabiduría popular, valores morales y enseñanzas prácticas transmitidas oralmente durante siglos.</v>
      </c>
      <c r="H1245" s="6" t="str">
        <f>_xlfn.XLOOKUP(frasest[[#This Row],[autor_es]],autorest[autor_es],autorest[bio_la])</f>
        <v>Collectio sententiarum Sinensium, magnopere in cultura tradita.</v>
      </c>
      <c r="I1245" t="str">
        <f>_xlfn.XLOOKUP(frasest[[#This Row],[autor_es]],autorest[autor_es],autorest[codigo])</f>
        <v>zh</v>
      </c>
      <c r="J1245" t="str">
        <f>_xlfn.XLOOKUP(frasest[[#This Row],[autor_es]],autorest[autor_es],autorest[idioma_es])</f>
        <v>Chino</v>
      </c>
      <c r="K1245" s="6" t="str">
        <f>_xlfn.XLOOKUP(frasest[[#This Row],[autor_es]],autorest[autor_es],autorest[idioma_la])</f>
        <v>Lingua Sinica</v>
      </c>
      <c r="L1245" s="6" t="str">
        <f>_xlfn.XLOOKUP(frasest[[#This Row],[autor_es]],autorest[autor_es],autorest[nacion_es])</f>
        <v>China</v>
      </c>
      <c r="M1245" t="str">
        <f>_xlfn.XLOOKUP(frasest[[#This Row],[autor_es]],autorest[autor_es],autorest[nacion_la])</f>
        <v>Sinae</v>
      </c>
      <c r="N1245" t="str">
        <f>_xlfn.XLOOKUP(frasest[[#This Row],[autor_es]],autorest[autor_es],autorest[epoca_es])</f>
        <v>Epoca Desconocida</v>
      </c>
      <c r="O1245" t="str">
        <f>_xlfn.XLOOKUP(frasest[[#This Row],[autor_es]],autorest[autor_es],autorest[epoca_la])</f>
        <v>Epocha Ignota</v>
      </c>
    </row>
    <row r="1246" spans="1:15">
      <c r="A1246">
        <v>1245</v>
      </c>
      <c r="B1246" t="s">
        <v>3425</v>
      </c>
      <c r="C1246" t="s">
        <v>3426</v>
      </c>
      <c r="D1246" s="1" t="s">
        <v>3427</v>
      </c>
      <c r="E1246" t="s">
        <v>33</v>
      </c>
      <c r="F1246" t="str">
        <f>_xlfn.XLOOKUP(frasest[[#This Row],[autor_es]],autorest[autor_es],autorest[autor_la])</f>
        <v>Proverbium Sinense</v>
      </c>
      <c r="G1246" s="6" t="str">
        <f>_xlfn.XLOOKUP(frasest[[#This Row],[autor_es]],autorest[autor_es],autorest[bio_es])</f>
        <v>Conjunto de proverbios tradicionales de la cultura china que transmiten sabiduría popular, valores morales y enseñanzas prácticas transmitidas oralmente durante siglos.</v>
      </c>
      <c r="H1246" s="6" t="str">
        <f>_xlfn.XLOOKUP(frasest[[#This Row],[autor_es]],autorest[autor_es],autorest[bio_la])</f>
        <v>Collectio sententiarum Sinensium, magnopere in cultura tradita.</v>
      </c>
      <c r="I1246" t="str">
        <f>_xlfn.XLOOKUP(frasest[[#This Row],[autor_es]],autorest[autor_es],autorest[codigo])</f>
        <v>zh</v>
      </c>
      <c r="J1246" t="str">
        <f>_xlfn.XLOOKUP(frasest[[#This Row],[autor_es]],autorest[autor_es],autorest[idioma_es])</f>
        <v>Chino</v>
      </c>
      <c r="K1246" s="6" t="str">
        <f>_xlfn.XLOOKUP(frasest[[#This Row],[autor_es]],autorest[autor_es],autorest[idioma_la])</f>
        <v>Lingua Sinica</v>
      </c>
      <c r="L1246" s="6" t="str">
        <f>_xlfn.XLOOKUP(frasest[[#This Row],[autor_es]],autorest[autor_es],autorest[nacion_es])</f>
        <v>China</v>
      </c>
      <c r="M1246" t="str">
        <f>_xlfn.XLOOKUP(frasest[[#This Row],[autor_es]],autorest[autor_es],autorest[nacion_la])</f>
        <v>Sinae</v>
      </c>
      <c r="N1246" t="str">
        <f>_xlfn.XLOOKUP(frasest[[#This Row],[autor_es]],autorest[autor_es],autorest[epoca_es])</f>
        <v>Epoca Desconocida</v>
      </c>
      <c r="O1246" t="str">
        <f>_xlfn.XLOOKUP(frasest[[#This Row],[autor_es]],autorest[autor_es],autorest[epoca_la])</f>
        <v>Epocha Ignota</v>
      </c>
    </row>
    <row r="1247" spans="1:15">
      <c r="A1247">
        <v>1246</v>
      </c>
      <c r="B1247" t="s">
        <v>3428</v>
      </c>
      <c r="C1247" t="s">
        <v>3429</v>
      </c>
      <c r="D1247" s="1" t="s">
        <v>3430</v>
      </c>
      <c r="E1247" t="s">
        <v>33</v>
      </c>
      <c r="F1247" t="str">
        <f>_xlfn.XLOOKUP(frasest[[#This Row],[autor_es]],autorest[autor_es],autorest[autor_la])</f>
        <v>Proverbium Sinense</v>
      </c>
      <c r="G1247" s="6" t="str">
        <f>_xlfn.XLOOKUP(frasest[[#This Row],[autor_es]],autorest[autor_es],autorest[bio_es])</f>
        <v>Conjunto de proverbios tradicionales de la cultura china que transmiten sabiduría popular, valores morales y enseñanzas prácticas transmitidas oralmente durante siglos.</v>
      </c>
      <c r="H1247" s="6" t="str">
        <f>_xlfn.XLOOKUP(frasest[[#This Row],[autor_es]],autorest[autor_es],autorest[bio_la])</f>
        <v>Collectio sententiarum Sinensium, magnopere in cultura tradita.</v>
      </c>
      <c r="I1247" t="str">
        <f>_xlfn.XLOOKUP(frasest[[#This Row],[autor_es]],autorest[autor_es],autorest[codigo])</f>
        <v>zh</v>
      </c>
      <c r="J1247" t="str">
        <f>_xlfn.XLOOKUP(frasest[[#This Row],[autor_es]],autorest[autor_es],autorest[idioma_es])</f>
        <v>Chino</v>
      </c>
      <c r="K1247" s="6" t="str">
        <f>_xlfn.XLOOKUP(frasest[[#This Row],[autor_es]],autorest[autor_es],autorest[idioma_la])</f>
        <v>Lingua Sinica</v>
      </c>
      <c r="L1247" s="6" t="str">
        <f>_xlfn.XLOOKUP(frasest[[#This Row],[autor_es]],autorest[autor_es],autorest[nacion_es])</f>
        <v>China</v>
      </c>
      <c r="M1247" t="str">
        <f>_xlfn.XLOOKUP(frasest[[#This Row],[autor_es]],autorest[autor_es],autorest[nacion_la])</f>
        <v>Sinae</v>
      </c>
      <c r="N1247" t="str">
        <f>_xlfn.XLOOKUP(frasest[[#This Row],[autor_es]],autorest[autor_es],autorest[epoca_es])</f>
        <v>Epoca Desconocida</v>
      </c>
      <c r="O1247" t="str">
        <f>_xlfn.XLOOKUP(frasest[[#This Row],[autor_es]],autorest[autor_es],autorest[epoca_la])</f>
        <v>Epocha Ignota</v>
      </c>
    </row>
    <row r="1248" spans="1:15">
      <c r="A1248">
        <v>1247</v>
      </c>
      <c r="B1248" t="s">
        <v>3431</v>
      </c>
      <c r="C1248" t="s">
        <v>3432</v>
      </c>
      <c r="D1248" s="1" t="s">
        <v>3433</v>
      </c>
      <c r="E1248" t="s">
        <v>33</v>
      </c>
      <c r="F1248" t="str">
        <f>_xlfn.XLOOKUP(frasest[[#This Row],[autor_es]],autorest[autor_es],autorest[autor_la])</f>
        <v>Proverbium Sinense</v>
      </c>
      <c r="G1248" s="6" t="str">
        <f>_xlfn.XLOOKUP(frasest[[#This Row],[autor_es]],autorest[autor_es],autorest[bio_es])</f>
        <v>Conjunto de proverbios tradicionales de la cultura china que transmiten sabiduría popular, valores morales y enseñanzas prácticas transmitidas oralmente durante siglos.</v>
      </c>
      <c r="H1248" s="6" t="str">
        <f>_xlfn.XLOOKUP(frasest[[#This Row],[autor_es]],autorest[autor_es],autorest[bio_la])</f>
        <v>Collectio sententiarum Sinensium, magnopere in cultura tradita.</v>
      </c>
      <c r="I1248" t="str">
        <f>_xlfn.XLOOKUP(frasest[[#This Row],[autor_es]],autorest[autor_es],autorest[codigo])</f>
        <v>zh</v>
      </c>
      <c r="J1248" t="str">
        <f>_xlfn.XLOOKUP(frasest[[#This Row],[autor_es]],autorest[autor_es],autorest[idioma_es])</f>
        <v>Chino</v>
      </c>
      <c r="K1248" s="6" t="str">
        <f>_xlfn.XLOOKUP(frasest[[#This Row],[autor_es]],autorest[autor_es],autorest[idioma_la])</f>
        <v>Lingua Sinica</v>
      </c>
      <c r="L1248" s="6" t="str">
        <f>_xlfn.XLOOKUP(frasest[[#This Row],[autor_es]],autorest[autor_es],autorest[nacion_es])</f>
        <v>China</v>
      </c>
      <c r="M1248" t="str">
        <f>_xlfn.XLOOKUP(frasest[[#This Row],[autor_es]],autorest[autor_es],autorest[nacion_la])</f>
        <v>Sinae</v>
      </c>
      <c r="N1248" t="str">
        <f>_xlfn.XLOOKUP(frasest[[#This Row],[autor_es]],autorest[autor_es],autorest[epoca_es])</f>
        <v>Epoca Desconocida</v>
      </c>
      <c r="O1248" t="str">
        <f>_xlfn.XLOOKUP(frasest[[#This Row],[autor_es]],autorest[autor_es],autorest[epoca_la])</f>
        <v>Epocha Ignota</v>
      </c>
    </row>
    <row r="1249" spans="1:15">
      <c r="A1249">
        <v>1248</v>
      </c>
      <c r="B1249" t="s">
        <v>3434</v>
      </c>
      <c r="C1249" t="s">
        <v>3435</v>
      </c>
      <c r="D1249" s="1" t="s">
        <v>3436</v>
      </c>
      <c r="E1249" t="s">
        <v>33</v>
      </c>
      <c r="F1249" t="str">
        <f>_xlfn.XLOOKUP(frasest[[#This Row],[autor_es]],autorest[autor_es],autorest[autor_la])</f>
        <v>Proverbium Sinense</v>
      </c>
      <c r="G1249" s="6" t="str">
        <f>_xlfn.XLOOKUP(frasest[[#This Row],[autor_es]],autorest[autor_es],autorest[bio_es])</f>
        <v>Conjunto de proverbios tradicionales de la cultura china que transmiten sabiduría popular, valores morales y enseñanzas prácticas transmitidas oralmente durante siglos.</v>
      </c>
      <c r="H1249" s="6" t="str">
        <f>_xlfn.XLOOKUP(frasest[[#This Row],[autor_es]],autorest[autor_es],autorest[bio_la])</f>
        <v>Collectio sententiarum Sinensium, magnopere in cultura tradita.</v>
      </c>
      <c r="I1249" t="str">
        <f>_xlfn.XLOOKUP(frasest[[#This Row],[autor_es]],autorest[autor_es],autorest[codigo])</f>
        <v>zh</v>
      </c>
      <c r="J1249" t="str">
        <f>_xlfn.XLOOKUP(frasest[[#This Row],[autor_es]],autorest[autor_es],autorest[idioma_es])</f>
        <v>Chino</v>
      </c>
      <c r="K1249" s="6" t="str">
        <f>_xlfn.XLOOKUP(frasest[[#This Row],[autor_es]],autorest[autor_es],autorest[idioma_la])</f>
        <v>Lingua Sinica</v>
      </c>
      <c r="L1249" s="6" t="str">
        <f>_xlfn.XLOOKUP(frasest[[#This Row],[autor_es]],autorest[autor_es],autorest[nacion_es])</f>
        <v>China</v>
      </c>
      <c r="M1249" t="str">
        <f>_xlfn.XLOOKUP(frasest[[#This Row],[autor_es]],autorest[autor_es],autorest[nacion_la])</f>
        <v>Sinae</v>
      </c>
      <c r="N1249" t="str">
        <f>_xlfn.XLOOKUP(frasest[[#This Row],[autor_es]],autorest[autor_es],autorest[epoca_es])</f>
        <v>Epoca Desconocida</v>
      </c>
      <c r="O1249" t="str">
        <f>_xlfn.XLOOKUP(frasest[[#This Row],[autor_es]],autorest[autor_es],autorest[epoca_la])</f>
        <v>Epocha Ignota</v>
      </c>
    </row>
    <row r="1250" spans="1:15">
      <c r="A1250">
        <v>1249</v>
      </c>
      <c r="B1250" t="s">
        <v>3437</v>
      </c>
      <c r="C1250" t="s">
        <v>3438</v>
      </c>
      <c r="D1250" s="1" t="s">
        <v>3439</v>
      </c>
      <c r="E1250" t="s">
        <v>33</v>
      </c>
      <c r="F1250" t="str">
        <f>_xlfn.XLOOKUP(frasest[[#This Row],[autor_es]],autorest[autor_es],autorest[autor_la])</f>
        <v>Proverbium Sinense</v>
      </c>
      <c r="G1250" s="6" t="str">
        <f>_xlfn.XLOOKUP(frasest[[#This Row],[autor_es]],autorest[autor_es],autorest[bio_es])</f>
        <v>Conjunto de proverbios tradicionales de la cultura china que transmiten sabiduría popular, valores morales y enseñanzas prácticas transmitidas oralmente durante siglos.</v>
      </c>
      <c r="H1250" s="6" t="str">
        <f>_xlfn.XLOOKUP(frasest[[#This Row],[autor_es]],autorest[autor_es],autorest[bio_la])</f>
        <v>Collectio sententiarum Sinensium, magnopere in cultura tradita.</v>
      </c>
      <c r="I1250" t="str">
        <f>_xlfn.XLOOKUP(frasest[[#This Row],[autor_es]],autorest[autor_es],autorest[codigo])</f>
        <v>zh</v>
      </c>
      <c r="J1250" t="str">
        <f>_xlfn.XLOOKUP(frasest[[#This Row],[autor_es]],autorest[autor_es],autorest[idioma_es])</f>
        <v>Chino</v>
      </c>
      <c r="K1250" s="6" t="str">
        <f>_xlfn.XLOOKUP(frasest[[#This Row],[autor_es]],autorest[autor_es],autorest[idioma_la])</f>
        <v>Lingua Sinica</v>
      </c>
      <c r="L1250" s="6" t="str">
        <f>_xlfn.XLOOKUP(frasest[[#This Row],[autor_es]],autorest[autor_es],autorest[nacion_es])</f>
        <v>China</v>
      </c>
      <c r="M1250" t="str">
        <f>_xlfn.XLOOKUP(frasest[[#This Row],[autor_es]],autorest[autor_es],autorest[nacion_la])</f>
        <v>Sinae</v>
      </c>
      <c r="N1250" t="str">
        <f>_xlfn.XLOOKUP(frasest[[#This Row],[autor_es]],autorest[autor_es],autorest[epoca_es])</f>
        <v>Epoca Desconocida</v>
      </c>
      <c r="O1250" t="str">
        <f>_xlfn.XLOOKUP(frasest[[#This Row],[autor_es]],autorest[autor_es],autorest[epoca_la])</f>
        <v>Epocha Ignota</v>
      </c>
    </row>
    <row r="1251" spans="1:15">
      <c r="A1251">
        <v>1250</v>
      </c>
      <c r="B1251" t="s">
        <v>3440</v>
      </c>
      <c r="C1251" t="s">
        <v>3441</v>
      </c>
      <c r="D1251" s="1" t="s">
        <v>3442</v>
      </c>
      <c r="E1251" t="s">
        <v>33</v>
      </c>
      <c r="F1251" t="str">
        <f>_xlfn.XLOOKUP(frasest[[#This Row],[autor_es]],autorest[autor_es],autorest[autor_la])</f>
        <v>Proverbium Sinense</v>
      </c>
      <c r="G1251" s="6" t="str">
        <f>_xlfn.XLOOKUP(frasest[[#This Row],[autor_es]],autorest[autor_es],autorest[bio_es])</f>
        <v>Conjunto de proverbios tradicionales de la cultura china que transmiten sabiduría popular, valores morales y enseñanzas prácticas transmitidas oralmente durante siglos.</v>
      </c>
      <c r="H1251" s="6" t="str">
        <f>_xlfn.XLOOKUP(frasest[[#This Row],[autor_es]],autorest[autor_es],autorest[bio_la])</f>
        <v>Collectio sententiarum Sinensium, magnopere in cultura tradita.</v>
      </c>
      <c r="I1251" t="str">
        <f>_xlfn.XLOOKUP(frasest[[#This Row],[autor_es]],autorest[autor_es],autorest[codigo])</f>
        <v>zh</v>
      </c>
      <c r="J1251" t="str">
        <f>_xlfn.XLOOKUP(frasest[[#This Row],[autor_es]],autorest[autor_es],autorest[idioma_es])</f>
        <v>Chino</v>
      </c>
      <c r="K1251" s="6" t="str">
        <f>_xlfn.XLOOKUP(frasest[[#This Row],[autor_es]],autorest[autor_es],autorest[idioma_la])</f>
        <v>Lingua Sinica</v>
      </c>
      <c r="L1251" s="6" t="str">
        <f>_xlfn.XLOOKUP(frasest[[#This Row],[autor_es]],autorest[autor_es],autorest[nacion_es])</f>
        <v>China</v>
      </c>
      <c r="M1251" t="str">
        <f>_xlfn.XLOOKUP(frasest[[#This Row],[autor_es]],autorest[autor_es],autorest[nacion_la])</f>
        <v>Sinae</v>
      </c>
      <c r="N1251" t="str">
        <f>_xlfn.XLOOKUP(frasest[[#This Row],[autor_es]],autorest[autor_es],autorest[epoca_es])</f>
        <v>Epoca Desconocida</v>
      </c>
      <c r="O1251" t="str">
        <f>_xlfn.XLOOKUP(frasest[[#This Row],[autor_es]],autorest[autor_es],autorest[epoca_la])</f>
        <v>Epocha Ignota</v>
      </c>
    </row>
    <row r="1252" spans="1:15">
      <c r="A1252">
        <v>1251</v>
      </c>
      <c r="B1252" t="s">
        <v>3443</v>
      </c>
      <c r="C1252" t="s">
        <v>3444</v>
      </c>
      <c r="D1252" s="1" t="s">
        <v>3445</v>
      </c>
      <c r="E1252" t="s">
        <v>33</v>
      </c>
      <c r="F1252" t="str">
        <f>_xlfn.XLOOKUP(frasest[[#This Row],[autor_es]],autorest[autor_es],autorest[autor_la])</f>
        <v>Proverbium Sinense</v>
      </c>
      <c r="G1252" s="6" t="str">
        <f>_xlfn.XLOOKUP(frasest[[#This Row],[autor_es]],autorest[autor_es],autorest[bio_es])</f>
        <v>Conjunto de proverbios tradicionales de la cultura china que transmiten sabiduría popular, valores morales y enseñanzas prácticas transmitidas oralmente durante siglos.</v>
      </c>
      <c r="H1252" s="6" t="str">
        <f>_xlfn.XLOOKUP(frasest[[#This Row],[autor_es]],autorest[autor_es],autorest[bio_la])</f>
        <v>Collectio sententiarum Sinensium, magnopere in cultura tradita.</v>
      </c>
      <c r="I1252" t="str">
        <f>_xlfn.XLOOKUP(frasest[[#This Row],[autor_es]],autorest[autor_es],autorest[codigo])</f>
        <v>zh</v>
      </c>
      <c r="J1252" t="str">
        <f>_xlfn.XLOOKUP(frasest[[#This Row],[autor_es]],autorest[autor_es],autorest[idioma_es])</f>
        <v>Chino</v>
      </c>
      <c r="K1252" s="6" t="str">
        <f>_xlfn.XLOOKUP(frasest[[#This Row],[autor_es]],autorest[autor_es],autorest[idioma_la])</f>
        <v>Lingua Sinica</v>
      </c>
      <c r="L1252" s="6" t="str">
        <f>_xlfn.XLOOKUP(frasest[[#This Row],[autor_es]],autorest[autor_es],autorest[nacion_es])</f>
        <v>China</v>
      </c>
      <c r="M1252" t="str">
        <f>_xlfn.XLOOKUP(frasest[[#This Row],[autor_es]],autorest[autor_es],autorest[nacion_la])</f>
        <v>Sinae</v>
      </c>
      <c r="N1252" t="str">
        <f>_xlfn.XLOOKUP(frasest[[#This Row],[autor_es]],autorest[autor_es],autorest[epoca_es])</f>
        <v>Epoca Desconocida</v>
      </c>
      <c r="O1252" t="str">
        <f>_xlfn.XLOOKUP(frasest[[#This Row],[autor_es]],autorest[autor_es],autorest[epoca_la])</f>
        <v>Epocha Ignota</v>
      </c>
    </row>
    <row r="1253" spans="1:15">
      <c r="A1253">
        <v>1252</v>
      </c>
      <c r="B1253" t="s">
        <v>3446</v>
      </c>
      <c r="C1253" t="s">
        <v>3447</v>
      </c>
      <c r="D1253" s="1" t="s">
        <v>3448</v>
      </c>
      <c r="E1253" t="s">
        <v>33</v>
      </c>
      <c r="F1253" t="str">
        <f>_xlfn.XLOOKUP(frasest[[#This Row],[autor_es]],autorest[autor_es],autorest[autor_la])</f>
        <v>Proverbium Sinense</v>
      </c>
      <c r="G1253" s="6" t="str">
        <f>_xlfn.XLOOKUP(frasest[[#This Row],[autor_es]],autorest[autor_es],autorest[bio_es])</f>
        <v>Conjunto de proverbios tradicionales de la cultura china que transmiten sabiduría popular, valores morales y enseñanzas prácticas transmitidas oralmente durante siglos.</v>
      </c>
      <c r="H1253" s="6" t="str">
        <f>_xlfn.XLOOKUP(frasest[[#This Row],[autor_es]],autorest[autor_es],autorest[bio_la])</f>
        <v>Collectio sententiarum Sinensium, magnopere in cultura tradita.</v>
      </c>
      <c r="I1253" t="str">
        <f>_xlfn.XLOOKUP(frasest[[#This Row],[autor_es]],autorest[autor_es],autorest[codigo])</f>
        <v>zh</v>
      </c>
      <c r="J1253" t="str">
        <f>_xlfn.XLOOKUP(frasest[[#This Row],[autor_es]],autorest[autor_es],autorest[idioma_es])</f>
        <v>Chino</v>
      </c>
      <c r="K1253" s="6" t="str">
        <f>_xlfn.XLOOKUP(frasest[[#This Row],[autor_es]],autorest[autor_es],autorest[idioma_la])</f>
        <v>Lingua Sinica</v>
      </c>
      <c r="L1253" s="6" t="str">
        <f>_xlfn.XLOOKUP(frasest[[#This Row],[autor_es]],autorest[autor_es],autorest[nacion_es])</f>
        <v>China</v>
      </c>
      <c r="M1253" t="str">
        <f>_xlfn.XLOOKUP(frasest[[#This Row],[autor_es]],autorest[autor_es],autorest[nacion_la])</f>
        <v>Sinae</v>
      </c>
      <c r="N1253" t="str">
        <f>_xlfn.XLOOKUP(frasest[[#This Row],[autor_es]],autorest[autor_es],autorest[epoca_es])</f>
        <v>Epoca Desconocida</v>
      </c>
      <c r="O1253" t="str">
        <f>_xlfn.XLOOKUP(frasest[[#This Row],[autor_es]],autorest[autor_es],autorest[epoca_la])</f>
        <v>Epocha Ignota</v>
      </c>
    </row>
    <row r="1254" spans="1:15">
      <c r="A1254">
        <v>1253</v>
      </c>
      <c r="B1254" t="s">
        <v>3449</v>
      </c>
      <c r="C1254" t="s">
        <v>3450</v>
      </c>
      <c r="D1254" s="1" t="s">
        <v>3451</v>
      </c>
      <c r="E1254" t="s">
        <v>33</v>
      </c>
      <c r="F1254" t="str">
        <f>_xlfn.XLOOKUP(frasest[[#This Row],[autor_es]],autorest[autor_es],autorest[autor_la])</f>
        <v>Proverbium Sinense</v>
      </c>
      <c r="G1254" s="6" t="str">
        <f>_xlfn.XLOOKUP(frasest[[#This Row],[autor_es]],autorest[autor_es],autorest[bio_es])</f>
        <v>Conjunto de proverbios tradicionales de la cultura china que transmiten sabiduría popular, valores morales y enseñanzas prácticas transmitidas oralmente durante siglos.</v>
      </c>
      <c r="H1254" s="6" t="str">
        <f>_xlfn.XLOOKUP(frasest[[#This Row],[autor_es]],autorest[autor_es],autorest[bio_la])</f>
        <v>Collectio sententiarum Sinensium, magnopere in cultura tradita.</v>
      </c>
      <c r="I1254" t="str">
        <f>_xlfn.XLOOKUP(frasest[[#This Row],[autor_es]],autorest[autor_es],autorest[codigo])</f>
        <v>zh</v>
      </c>
      <c r="J1254" t="str">
        <f>_xlfn.XLOOKUP(frasest[[#This Row],[autor_es]],autorest[autor_es],autorest[idioma_es])</f>
        <v>Chino</v>
      </c>
      <c r="K1254" s="6" t="str">
        <f>_xlfn.XLOOKUP(frasest[[#This Row],[autor_es]],autorest[autor_es],autorest[idioma_la])</f>
        <v>Lingua Sinica</v>
      </c>
      <c r="L1254" s="6" t="str">
        <f>_xlfn.XLOOKUP(frasest[[#This Row],[autor_es]],autorest[autor_es],autorest[nacion_es])</f>
        <v>China</v>
      </c>
      <c r="M1254" t="str">
        <f>_xlfn.XLOOKUP(frasest[[#This Row],[autor_es]],autorest[autor_es],autorest[nacion_la])</f>
        <v>Sinae</v>
      </c>
      <c r="N1254" t="str">
        <f>_xlfn.XLOOKUP(frasest[[#This Row],[autor_es]],autorest[autor_es],autorest[epoca_es])</f>
        <v>Epoca Desconocida</v>
      </c>
      <c r="O1254" t="str">
        <f>_xlfn.XLOOKUP(frasest[[#This Row],[autor_es]],autorest[autor_es],autorest[epoca_la])</f>
        <v>Epocha Ignota</v>
      </c>
    </row>
    <row r="1255" spans="1:15">
      <c r="A1255">
        <v>1254</v>
      </c>
      <c r="B1255" t="s">
        <v>3452</v>
      </c>
      <c r="C1255" t="s">
        <v>3453</v>
      </c>
      <c r="D1255" s="1" t="s">
        <v>3454</v>
      </c>
      <c r="E1255" t="s">
        <v>33</v>
      </c>
      <c r="F1255" t="str">
        <f>_xlfn.XLOOKUP(frasest[[#This Row],[autor_es]],autorest[autor_es],autorest[autor_la])</f>
        <v>Proverbium Sinense</v>
      </c>
      <c r="G1255" s="6" t="str">
        <f>_xlfn.XLOOKUP(frasest[[#This Row],[autor_es]],autorest[autor_es],autorest[bio_es])</f>
        <v>Conjunto de proverbios tradicionales de la cultura china que transmiten sabiduría popular, valores morales y enseñanzas prácticas transmitidas oralmente durante siglos.</v>
      </c>
      <c r="H1255" s="6" t="str">
        <f>_xlfn.XLOOKUP(frasest[[#This Row],[autor_es]],autorest[autor_es],autorest[bio_la])</f>
        <v>Collectio sententiarum Sinensium, magnopere in cultura tradita.</v>
      </c>
      <c r="I1255" t="str">
        <f>_xlfn.XLOOKUP(frasest[[#This Row],[autor_es]],autorest[autor_es],autorest[codigo])</f>
        <v>zh</v>
      </c>
      <c r="J1255" t="str">
        <f>_xlfn.XLOOKUP(frasest[[#This Row],[autor_es]],autorest[autor_es],autorest[idioma_es])</f>
        <v>Chino</v>
      </c>
      <c r="K1255" s="6" t="str">
        <f>_xlfn.XLOOKUP(frasest[[#This Row],[autor_es]],autorest[autor_es],autorest[idioma_la])</f>
        <v>Lingua Sinica</v>
      </c>
      <c r="L1255" s="6" t="str">
        <f>_xlfn.XLOOKUP(frasest[[#This Row],[autor_es]],autorest[autor_es],autorest[nacion_es])</f>
        <v>China</v>
      </c>
      <c r="M1255" t="str">
        <f>_xlfn.XLOOKUP(frasest[[#This Row],[autor_es]],autorest[autor_es],autorest[nacion_la])</f>
        <v>Sinae</v>
      </c>
      <c r="N1255" t="str">
        <f>_xlfn.XLOOKUP(frasest[[#This Row],[autor_es]],autorest[autor_es],autorest[epoca_es])</f>
        <v>Epoca Desconocida</v>
      </c>
      <c r="O1255" t="str">
        <f>_xlfn.XLOOKUP(frasest[[#This Row],[autor_es]],autorest[autor_es],autorest[epoca_la])</f>
        <v>Epocha Ignota</v>
      </c>
    </row>
    <row r="1256" spans="1:15">
      <c r="A1256">
        <v>1255</v>
      </c>
      <c r="B1256" t="s">
        <v>3455</v>
      </c>
      <c r="C1256" t="s">
        <v>3456</v>
      </c>
      <c r="D1256" s="1" t="s">
        <v>3457</v>
      </c>
      <c r="E1256" t="s">
        <v>33</v>
      </c>
      <c r="F1256" t="str">
        <f>_xlfn.XLOOKUP(frasest[[#This Row],[autor_es]],autorest[autor_es],autorest[autor_la])</f>
        <v>Proverbium Sinense</v>
      </c>
      <c r="G1256" s="6" t="str">
        <f>_xlfn.XLOOKUP(frasest[[#This Row],[autor_es]],autorest[autor_es],autorest[bio_es])</f>
        <v>Conjunto de proverbios tradicionales de la cultura china que transmiten sabiduría popular, valores morales y enseñanzas prácticas transmitidas oralmente durante siglos.</v>
      </c>
      <c r="H1256" s="6" t="str">
        <f>_xlfn.XLOOKUP(frasest[[#This Row],[autor_es]],autorest[autor_es],autorest[bio_la])</f>
        <v>Collectio sententiarum Sinensium, magnopere in cultura tradita.</v>
      </c>
      <c r="I1256" t="str">
        <f>_xlfn.XLOOKUP(frasest[[#This Row],[autor_es]],autorest[autor_es],autorest[codigo])</f>
        <v>zh</v>
      </c>
      <c r="J1256" t="str">
        <f>_xlfn.XLOOKUP(frasest[[#This Row],[autor_es]],autorest[autor_es],autorest[idioma_es])</f>
        <v>Chino</v>
      </c>
      <c r="K1256" s="6" t="str">
        <f>_xlfn.XLOOKUP(frasest[[#This Row],[autor_es]],autorest[autor_es],autorest[idioma_la])</f>
        <v>Lingua Sinica</v>
      </c>
      <c r="L1256" s="6" t="str">
        <f>_xlfn.XLOOKUP(frasest[[#This Row],[autor_es]],autorest[autor_es],autorest[nacion_es])</f>
        <v>China</v>
      </c>
      <c r="M1256" t="str">
        <f>_xlfn.XLOOKUP(frasest[[#This Row],[autor_es]],autorest[autor_es],autorest[nacion_la])</f>
        <v>Sinae</v>
      </c>
      <c r="N1256" t="str">
        <f>_xlfn.XLOOKUP(frasest[[#This Row],[autor_es]],autorest[autor_es],autorest[epoca_es])</f>
        <v>Epoca Desconocida</v>
      </c>
      <c r="O1256" t="str">
        <f>_xlfn.XLOOKUP(frasest[[#This Row],[autor_es]],autorest[autor_es],autorest[epoca_la])</f>
        <v>Epocha Ignota</v>
      </c>
    </row>
    <row r="1257" spans="1:15">
      <c r="A1257">
        <v>1256</v>
      </c>
      <c r="B1257" t="s">
        <v>3458</v>
      </c>
      <c r="C1257" t="s">
        <v>3459</v>
      </c>
      <c r="D1257" s="1" t="s">
        <v>3460</v>
      </c>
      <c r="E1257" t="s">
        <v>33</v>
      </c>
      <c r="F1257" t="str">
        <f>_xlfn.XLOOKUP(frasest[[#This Row],[autor_es]],autorest[autor_es],autorest[autor_la])</f>
        <v>Proverbium Sinense</v>
      </c>
      <c r="G1257" s="6" t="str">
        <f>_xlfn.XLOOKUP(frasest[[#This Row],[autor_es]],autorest[autor_es],autorest[bio_es])</f>
        <v>Conjunto de proverbios tradicionales de la cultura china que transmiten sabiduría popular, valores morales y enseñanzas prácticas transmitidas oralmente durante siglos.</v>
      </c>
      <c r="H1257" s="6" t="str">
        <f>_xlfn.XLOOKUP(frasest[[#This Row],[autor_es]],autorest[autor_es],autorest[bio_la])</f>
        <v>Collectio sententiarum Sinensium, magnopere in cultura tradita.</v>
      </c>
      <c r="I1257" t="str">
        <f>_xlfn.XLOOKUP(frasest[[#This Row],[autor_es]],autorest[autor_es],autorest[codigo])</f>
        <v>zh</v>
      </c>
      <c r="J1257" t="str">
        <f>_xlfn.XLOOKUP(frasest[[#This Row],[autor_es]],autorest[autor_es],autorest[idioma_es])</f>
        <v>Chino</v>
      </c>
      <c r="K1257" s="6" t="str">
        <f>_xlfn.XLOOKUP(frasest[[#This Row],[autor_es]],autorest[autor_es],autorest[idioma_la])</f>
        <v>Lingua Sinica</v>
      </c>
      <c r="L1257" s="6" t="str">
        <f>_xlfn.XLOOKUP(frasest[[#This Row],[autor_es]],autorest[autor_es],autorest[nacion_es])</f>
        <v>China</v>
      </c>
      <c r="M1257" t="str">
        <f>_xlfn.XLOOKUP(frasest[[#This Row],[autor_es]],autorest[autor_es],autorest[nacion_la])</f>
        <v>Sinae</v>
      </c>
      <c r="N1257" t="str">
        <f>_xlfn.XLOOKUP(frasest[[#This Row],[autor_es]],autorest[autor_es],autorest[epoca_es])</f>
        <v>Epoca Desconocida</v>
      </c>
      <c r="O1257" t="str">
        <f>_xlfn.XLOOKUP(frasest[[#This Row],[autor_es]],autorest[autor_es],autorest[epoca_la])</f>
        <v>Epocha Ignota</v>
      </c>
    </row>
    <row r="1258" spans="1:15">
      <c r="A1258">
        <v>1257</v>
      </c>
      <c r="B1258" t="s">
        <v>3461</v>
      </c>
      <c r="C1258" t="s">
        <v>3462</v>
      </c>
      <c r="D1258" s="1" t="s">
        <v>3463</v>
      </c>
      <c r="E1258" t="s">
        <v>33</v>
      </c>
      <c r="F1258" t="str">
        <f>_xlfn.XLOOKUP(frasest[[#This Row],[autor_es]],autorest[autor_es],autorest[autor_la])</f>
        <v>Proverbium Sinense</v>
      </c>
      <c r="G1258" s="6" t="str">
        <f>_xlfn.XLOOKUP(frasest[[#This Row],[autor_es]],autorest[autor_es],autorest[bio_es])</f>
        <v>Conjunto de proverbios tradicionales de la cultura china que transmiten sabiduría popular, valores morales y enseñanzas prácticas transmitidas oralmente durante siglos.</v>
      </c>
      <c r="H1258" s="6" t="str">
        <f>_xlfn.XLOOKUP(frasest[[#This Row],[autor_es]],autorest[autor_es],autorest[bio_la])</f>
        <v>Collectio sententiarum Sinensium, magnopere in cultura tradita.</v>
      </c>
      <c r="I1258" t="str">
        <f>_xlfn.XLOOKUP(frasest[[#This Row],[autor_es]],autorest[autor_es],autorest[codigo])</f>
        <v>zh</v>
      </c>
      <c r="J1258" t="str">
        <f>_xlfn.XLOOKUP(frasest[[#This Row],[autor_es]],autorest[autor_es],autorest[idioma_es])</f>
        <v>Chino</v>
      </c>
      <c r="K1258" s="6" t="str">
        <f>_xlfn.XLOOKUP(frasest[[#This Row],[autor_es]],autorest[autor_es],autorest[idioma_la])</f>
        <v>Lingua Sinica</v>
      </c>
      <c r="L1258" s="6" t="str">
        <f>_xlfn.XLOOKUP(frasest[[#This Row],[autor_es]],autorest[autor_es],autorest[nacion_es])</f>
        <v>China</v>
      </c>
      <c r="M1258" t="str">
        <f>_xlfn.XLOOKUP(frasest[[#This Row],[autor_es]],autorest[autor_es],autorest[nacion_la])</f>
        <v>Sinae</v>
      </c>
      <c r="N1258" t="str">
        <f>_xlfn.XLOOKUP(frasest[[#This Row],[autor_es]],autorest[autor_es],autorest[epoca_es])</f>
        <v>Epoca Desconocida</v>
      </c>
      <c r="O1258" t="str">
        <f>_xlfn.XLOOKUP(frasest[[#This Row],[autor_es]],autorest[autor_es],autorest[epoca_la])</f>
        <v>Epocha Ignota</v>
      </c>
    </row>
    <row r="1259" spans="1:15">
      <c r="A1259">
        <v>1258</v>
      </c>
      <c r="B1259" t="s">
        <v>3464</v>
      </c>
      <c r="C1259" t="s">
        <v>3465</v>
      </c>
      <c r="D1259" s="1" t="s">
        <v>3466</v>
      </c>
      <c r="E1259" t="s">
        <v>33</v>
      </c>
      <c r="F1259" t="str">
        <f>_xlfn.XLOOKUP(frasest[[#This Row],[autor_es]],autorest[autor_es],autorest[autor_la])</f>
        <v>Proverbium Sinense</v>
      </c>
      <c r="G1259" s="6" t="str">
        <f>_xlfn.XLOOKUP(frasest[[#This Row],[autor_es]],autorest[autor_es],autorest[bio_es])</f>
        <v>Conjunto de proverbios tradicionales de la cultura china que transmiten sabiduría popular, valores morales y enseñanzas prácticas transmitidas oralmente durante siglos.</v>
      </c>
      <c r="H1259" s="6" t="str">
        <f>_xlfn.XLOOKUP(frasest[[#This Row],[autor_es]],autorest[autor_es],autorest[bio_la])</f>
        <v>Collectio sententiarum Sinensium, magnopere in cultura tradita.</v>
      </c>
      <c r="I1259" t="str">
        <f>_xlfn.XLOOKUP(frasest[[#This Row],[autor_es]],autorest[autor_es],autorest[codigo])</f>
        <v>zh</v>
      </c>
      <c r="J1259" t="str">
        <f>_xlfn.XLOOKUP(frasest[[#This Row],[autor_es]],autorest[autor_es],autorest[idioma_es])</f>
        <v>Chino</v>
      </c>
      <c r="K1259" s="6" t="str">
        <f>_xlfn.XLOOKUP(frasest[[#This Row],[autor_es]],autorest[autor_es],autorest[idioma_la])</f>
        <v>Lingua Sinica</v>
      </c>
      <c r="L1259" s="6" t="str">
        <f>_xlfn.XLOOKUP(frasest[[#This Row],[autor_es]],autorest[autor_es],autorest[nacion_es])</f>
        <v>China</v>
      </c>
      <c r="M1259" t="str">
        <f>_xlfn.XLOOKUP(frasest[[#This Row],[autor_es]],autorest[autor_es],autorest[nacion_la])</f>
        <v>Sinae</v>
      </c>
      <c r="N1259" t="str">
        <f>_xlfn.XLOOKUP(frasest[[#This Row],[autor_es]],autorest[autor_es],autorest[epoca_es])</f>
        <v>Epoca Desconocida</v>
      </c>
      <c r="O1259" t="str">
        <f>_xlfn.XLOOKUP(frasest[[#This Row],[autor_es]],autorest[autor_es],autorest[epoca_la])</f>
        <v>Epocha Ignota</v>
      </c>
    </row>
    <row r="1260" spans="1:15">
      <c r="A1260">
        <v>1259</v>
      </c>
      <c r="B1260" t="s">
        <v>3467</v>
      </c>
      <c r="C1260" t="s">
        <v>3468</v>
      </c>
      <c r="D1260" s="1" t="s">
        <v>3469</v>
      </c>
      <c r="E1260" t="s">
        <v>33</v>
      </c>
      <c r="F1260" t="str">
        <f>_xlfn.XLOOKUP(frasest[[#This Row],[autor_es]],autorest[autor_es],autorest[autor_la])</f>
        <v>Proverbium Sinense</v>
      </c>
      <c r="G1260" s="6" t="str">
        <f>_xlfn.XLOOKUP(frasest[[#This Row],[autor_es]],autorest[autor_es],autorest[bio_es])</f>
        <v>Conjunto de proverbios tradicionales de la cultura china que transmiten sabiduría popular, valores morales y enseñanzas prácticas transmitidas oralmente durante siglos.</v>
      </c>
      <c r="H1260" s="6" t="str">
        <f>_xlfn.XLOOKUP(frasest[[#This Row],[autor_es]],autorest[autor_es],autorest[bio_la])</f>
        <v>Collectio sententiarum Sinensium, magnopere in cultura tradita.</v>
      </c>
      <c r="I1260" t="str">
        <f>_xlfn.XLOOKUP(frasest[[#This Row],[autor_es]],autorest[autor_es],autorest[codigo])</f>
        <v>zh</v>
      </c>
      <c r="J1260" t="str">
        <f>_xlfn.XLOOKUP(frasest[[#This Row],[autor_es]],autorest[autor_es],autorest[idioma_es])</f>
        <v>Chino</v>
      </c>
      <c r="K1260" s="6" t="str">
        <f>_xlfn.XLOOKUP(frasest[[#This Row],[autor_es]],autorest[autor_es],autorest[idioma_la])</f>
        <v>Lingua Sinica</v>
      </c>
      <c r="L1260" s="6" t="str">
        <f>_xlfn.XLOOKUP(frasest[[#This Row],[autor_es]],autorest[autor_es],autorest[nacion_es])</f>
        <v>China</v>
      </c>
      <c r="M1260" t="str">
        <f>_xlfn.XLOOKUP(frasest[[#This Row],[autor_es]],autorest[autor_es],autorest[nacion_la])</f>
        <v>Sinae</v>
      </c>
      <c r="N1260" t="str">
        <f>_xlfn.XLOOKUP(frasest[[#This Row],[autor_es]],autorest[autor_es],autorest[epoca_es])</f>
        <v>Epoca Desconocida</v>
      </c>
      <c r="O1260" t="str">
        <f>_xlfn.XLOOKUP(frasest[[#This Row],[autor_es]],autorest[autor_es],autorest[epoca_la])</f>
        <v>Epocha Ignota</v>
      </c>
    </row>
    <row r="1261" spans="1:15">
      <c r="A1261">
        <v>1260</v>
      </c>
      <c r="B1261" t="s">
        <v>3470</v>
      </c>
      <c r="C1261" t="s">
        <v>3471</v>
      </c>
      <c r="D1261" s="1" t="s">
        <v>3472</v>
      </c>
      <c r="E1261" t="s">
        <v>33</v>
      </c>
      <c r="F1261" t="str">
        <f>_xlfn.XLOOKUP(frasest[[#This Row],[autor_es]],autorest[autor_es],autorest[autor_la])</f>
        <v>Proverbium Sinense</v>
      </c>
      <c r="G1261" s="6" t="str">
        <f>_xlfn.XLOOKUP(frasest[[#This Row],[autor_es]],autorest[autor_es],autorest[bio_es])</f>
        <v>Conjunto de proverbios tradicionales de la cultura china que transmiten sabiduría popular, valores morales y enseñanzas prácticas transmitidas oralmente durante siglos.</v>
      </c>
      <c r="H1261" s="6" t="str">
        <f>_xlfn.XLOOKUP(frasest[[#This Row],[autor_es]],autorest[autor_es],autorest[bio_la])</f>
        <v>Collectio sententiarum Sinensium, magnopere in cultura tradita.</v>
      </c>
      <c r="I1261" t="str">
        <f>_xlfn.XLOOKUP(frasest[[#This Row],[autor_es]],autorest[autor_es],autorest[codigo])</f>
        <v>zh</v>
      </c>
      <c r="J1261" t="str">
        <f>_xlfn.XLOOKUP(frasest[[#This Row],[autor_es]],autorest[autor_es],autorest[idioma_es])</f>
        <v>Chino</v>
      </c>
      <c r="K1261" s="6" t="str">
        <f>_xlfn.XLOOKUP(frasest[[#This Row],[autor_es]],autorest[autor_es],autorest[idioma_la])</f>
        <v>Lingua Sinica</v>
      </c>
      <c r="L1261" s="6" t="str">
        <f>_xlfn.XLOOKUP(frasest[[#This Row],[autor_es]],autorest[autor_es],autorest[nacion_es])</f>
        <v>China</v>
      </c>
      <c r="M1261" t="str">
        <f>_xlfn.XLOOKUP(frasest[[#This Row],[autor_es]],autorest[autor_es],autorest[nacion_la])</f>
        <v>Sinae</v>
      </c>
      <c r="N1261" t="str">
        <f>_xlfn.XLOOKUP(frasest[[#This Row],[autor_es]],autorest[autor_es],autorest[epoca_es])</f>
        <v>Epoca Desconocida</v>
      </c>
      <c r="O1261" t="str">
        <f>_xlfn.XLOOKUP(frasest[[#This Row],[autor_es]],autorest[autor_es],autorest[epoca_la])</f>
        <v>Epocha Ignota</v>
      </c>
    </row>
    <row r="1262" spans="1:15">
      <c r="A1262">
        <v>1261</v>
      </c>
      <c r="B1262" t="s">
        <v>3473</v>
      </c>
      <c r="C1262" t="s">
        <v>3474</v>
      </c>
      <c r="D1262" s="1" t="s">
        <v>3475</v>
      </c>
      <c r="E1262" t="s">
        <v>33</v>
      </c>
      <c r="F1262" t="str">
        <f>_xlfn.XLOOKUP(frasest[[#This Row],[autor_es]],autorest[autor_es],autorest[autor_la])</f>
        <v>Proverbium Sinense</v>
      </c>
      <c r="G1262" s="6" t="str">
        <f>_xlfn.XLOOKUP(frasest[[#This Row],[autor_es]],autorest[autor_es],autorest[bio_es])</f>
        <v>Conjunto de proverbios tradicionales de la cultura china que transmiten sabiduría popular, valores morales y enseñanzas prácticas transmitidas oralmente durante siglos.</v>
      </c>
      <c r="H1262" s="6" t="str">
        <f>_xlfn.XLOOKUP(frasest[[#This Row],[autor_es]],autorest[autor_es],autorest[bio_la])</f>
        <v>Collectio sententiarum Sinensium, magnopere in cultura tradita.</v>
      </c>
      <c r="I1262" t="str">
        <f>_xlfn.XLOOKUP(frasest[[#This Row],[autor_es]],autorest[autor_es],autorest[codigo])</f>
        <v>zh</v>
      </c>
      <c r="J1262" t="str">
        <f>_xlfn.XLOOKUP(frasest[[#This Row],[autor_es]],autorest[autor_es],autorest[idioma_es])</f>
        <v>Chino</v>
      </c>
      <c r="K1262" s="6" t="str">
        <f>_xlfn.XLOOKUP(frasest[[#This Row],[autor_es]],autorest[autor_es],autorest[idioma_la])</f>
        <v>Lingua Sinica</v>
      </c>
      <c r="L1262" s="6" t="str">
        <f>_xlfn.XLOOKUP(frasest[[#This Row],[autor_es]],autorest[autor_es],autorest[nacion_es])</f>
        <v>China</v>
      </c>
      <c r="M1262" t="str">
        <f>_xlfn.XLOOKUP(frasest[[#This Row],[autor_es]],autorest[autor_es],autorest[nacion_la])</f>
        <v>Sinae</v>
      </c>
      <c r="N1262" t="str">
        <f>_xlfn.XLOOKUP(frasest[[#This Row],[autor_es]],autorest[autor_es],autorest[epoca_es])</f>
        <v>Epoca Desconocida</v>
      </c>
      <c r="O1262" t="str">
        <f>_xlfn.XLOOKUP(frasest[[#This Row],[autor_es]],autorest[autor_es],autorest[epoca_la])</f>
        <v>Epocha Ignota</v>
      </c>
    </row>
    <row r="1263" spans="1:15">
      <c r="A1263">
        <v>1262</v>
      </c>
      <c r="B1263" t="s">
        <v>3476</v>
      </c>
      <c r="C1263" t="s">
        <v>3477</v>
      </c>
      <c r="D1263" s="1" t="s">
        <v>2890</v>
      </c>
      <c r="E1263" t="s">
        <v>33</v>
      </c>
      <c r="F1263" t="str">
        <f>_xlfn.XLOOKUP(frasest[[#This Row],[autor_es]],autorest[autor_es],autorest[autor_la])</f>
        <v>Proverbium Sinense</v>
      </c>
      <c r="G1263" s="6" t="str">
        <f>_xlfn.XLOOKUP(frasest[[#This Row],[autor_es]],autorest[autor_es],autorest[bio_es])</f>
        <v>Conjunto de proverbios tradicionales de la cultura china que transmiten sabiduría popular, valores morales y enseñanzas prácticas transmitidas oralmente durante siglos.</v>
      </c>
      <c r="H1263" s="6" t="str">
        <f>_xlfn.XLOOKUP(frasest[[#This Row],[autor_es]],autorest[autor_es],autorest[bio_la])</f>
        <v>Collectio sententiarum Sinensium, magnopere in cultura tradita.</v>
      </c>
      <c r="I1263" t="str">
        <f>_xlfn.XLOOKUP(frasest[[#This Row],[autor_es]],autorest[autor_es],autorest[codigo])</f>
        <v>zh</v>
      </c>
      <c r="J1263" t="str">
        <f>_xlfn.XLOOKUP(frasest[[#This Row],[autor_es]],autorest[autor_es],autorest[idioma_es])</f>
        <v>Chino</v>
      </c>
      <c r="K1263" s="6" t="str">
        <f>_xlfn.XLOOKUP(frasest[[#This Row],[autor_es]],autorest[autor_es],autorest[idioma_la])</f>
        <v>Lingua Sinica</v>
      </c>
      <c r="L1263" s="6" t="str">
        <f>_xlfn.XLOOKUP(frasest[[#This Row],[autor_es]],autorest[autor_es],autorest[nacion_es])</f>
        <v>China</v>
      </c>
      <c r="M1263" t="str">
        <f>_xlfn.XLOOKUP(frasest[[#This Row],[autor_es]],autorest[autor_es],autorest[nacion_la])</f>
        <v>Sinae</v>
      </c>
      <c r="N1263" t="str">
        <f>_xlfn.XLOOKUP(frasest[[#This Row],[autor_es]],autorest[autor_es],autorest[epoca_es])</f>
        <v>Epoca Desconocida</v>
      </c>
      <c r="O1263" t="str">
        <f>_xlfn.XLOOKUP(frasest[[#This Row],[autor_es]],autorest[autor_es],autorest[epoca_la])</f>
        <v>Epocha Ignota</v>
      </c>
    </row>
    <row r="1264" spans="1:15">
      <c r="A1264">
        <v>1263</v>
      </c>
      <c r="B1264" t="s">
        <v>3478</v>
      </c>
      <c r="C1264" t="s">
        <v>3479</v>
      </c>
      <c r="D1264" s="1" t="s">
        <v>3480</v>
      </c>
      <c r="E1264" t="s">
        <v>33</v>
      </c>
      <c r="F1264" t="str">
        <f>_xlfn.XLOOKUP(frasest[[#This Row],[autor_es]],autorest[autor_es],autorest[autor_la])</f>
        <v>Proverbium Sinense</v>
      </c>
      <c r="G1264" s="6" t="str">
        <f>_xlfn.XLOOKUP(frasest[[#This Row],[autor_es]],autorest[autor_es],autorest[bio_es])</f>
        <v>Conjunto de proverbios tradicionales de la cultura china que transmiten sabiduría popular, valores morales y enseñanzas prácticas transmitidas oralmente durante siglos.</v>
      </c>
      <c r="H1264" s="6" t="str">
        <f>_xlfn.XLOOKUP(frasest[[#This Row],[autor_es]],autorest[autor_es],autorest[bio_la])</f>
        <v>Collectio sententiarum Sinensium, magnopere in cultura tradita.</v>
      </c>
      <c r="I1264" t="str">
        <f>_xlfn.XLOOKUP(frasest[[#This Row],[autor_es]],autorest[autor_es],autorest[codigo])</f>
        <v>zh</v>
      </c>
      <c r="J1264" t="str">
        <f>_xlfn.XLOOKUP(frasest[[#This Row],[autor_es]],autorest[autor_es],autorest[idioma_es])</f>
        <v>Chino</v>
      </c>
      <c r="K1264" s="6" t="str">
        <f>_xlfn.XLOOKUP(frasest[[#This Row],[autor_es]],autorest[autor_es],autorest[idioma_la])</f>
        <v>Lingua Sinica</v>
      </c>
      <c r="L1264" s="6" t="str">
        <f>_xlfn.XLOOKUP(frasest[[#This Row],[autor_es]],autorest[autor_es],autorest[nacion_es])</f>
        <v>China</v>
      </c>
      <c r="M1264" t="str">
        <f>_xlfn.XLOOKUP(frasest[[#This Row],[autor_es]],autorest[autor_es],autorest[nacion_la])</f>
        <v>Sinae</v>
      </c>
      <c r="N1264" t="str">
        <f>_xlfn.XLOOKUP(frasest[[#This Row],[autor_es]],autorest[autor_es],autorest[epoca_es])</f>
        <v>Epoca Desconocida</v>
      </c>
      <c r="O1264" t="str">
        <f>_xlfn.XLOOKUP(frasest[[#This Row],[autor_es]],autorest[autor_es],autorest[epoca_la])</f>
        <v>Epocha Ignota</v>
      </c>
    </row>
    <row r="1265" spans="1:15">
      <c r="A1265">
        <v>1264</v>
      </c>
      <c r="B1265" t="s">
        <v>3481</v>
      </c>
      <c r="C1265" t="s">
        <v>3482</v>
      </c>
      <c r="D1265" s="1" t="s">
        <v>3483</v>
      </c>
      <c r="E1265" t="s">
        <v>33</v>
      </c>
      <c r="F1265" t="str">
        <f>_xlfn.XLOOKUP(frasest[[#This Row],[autor_es]],autorest[autor_es],autorest[autor_la])</f>
        <v>Proverbium Sinense</v>
      </c>
      <c r="G1265" s="6" t="str">
        <f>_xlfn.XLOOKUP(frasest[[#This Row],[autor_es]],autorest[autor_es],autorest[bio_es])</f>
        <v>Conjunto de proverbios tradicionales de la cultura china que transmiten sabiduría popular, valores morales y enseñanzas prácticas transmitidas oralmente durante siglos.</v>
      </c>
      <c r="H1265" s="6" t="str">
        <f>_xlfn.XLOOKUP(frasest[[#This Row],[autor_es]],autorest[autor_es],autorest[bio_la])</f>
        <v>Collectio sententiarum Sinensium, magnopere in cultura tradita.</v>
      </c>
      <c r="I1265" t="str">
        <f>_xlfn.XLOOKUP(frasest[[#This Row],[autor_es]],autorest[autor_es],autorest[codigo])</f>
        <v>zh</v>
      </c>
      <c r="J1265" t="str">
        <f>_xlfn.XLOOKUP(frasest[[#This Row],[autor_es]],autorest[autor_es],autorest[idioma_es])</f>
        <v>Chino</v>
      </c>
      <c r="K1265" s="6" t="str">
        <f>_xlfn.XLOOKUP(frasest[[#This Row],[autor_es]],autorest[autor_es],autorest[idioma_la])</f>
        <v>Lingua Sinica</v>
      </c>
      <c r="L1265" s="6" t="str">
        <f>_xlfn.XLOOKUP(frasest[[#This Row],[autor_es]],autorest[autor_es],autorest[nacion_es])</f>
        <v>China</v>
      </c>
      <c r="M1265" t="str">
        <f>_xlfn.XLOOKUP(frasest[[#This Row],[autor_es]],autorest[autor_es],autorest[nacion_la])</f>
        <v>Sinae</v>
      </c>
      <c r="N1265" t="str">
        <f>_xlfn.XLOOKUP(frasest[[#This Row],[autor_es]],autorest[autor_es],autorest[epoca_es])</f>
        <v>Epoca Desconocida</v>
      </c>
      <c r="O1265" t="str">
        <f>_xlfn.XLOOKUP(frasest[[#This Row],[autor_es]],autorest[autor_es],autorest[epoca_la])</f>
        <v>Epocha Ignota</v>
      </c>
    </row>
    <row r="1266" spans="1:15">
      <c r="A1266">
        <v>1265</v>
      </c>
      <c r="B1266" t="s">
        <v>3484</v>
      </c>
      <c r="C1266" t="s">
        <v>3485</v>
      </c>
      <c r="D1266" s="1" t="s">
        <v>3486</v>
      </c>
      <c r="E1266" t="s">
        <v>33</v>
      </c>
      <c r="F1266" t="str">
        <f>_xlfn.XLOOKUP(frasest[[#This Row],[autor_es]],autorest[autor_es],autorest[autor_la])</f>
        <v>Proverbium Sinense</v>
      </c>
      <c r="G1266" s="6" t="str">
        <f>_xlfn.XLOOKUP(frasest[[#This Row],[autor_es]],autorest[autor_es],autorest[bio_es])</f>
        <v>Conjunto de proverbios tradicionales de la cultura china que transmiten sabiduría popular, valores morales y enseñanzas prácticas transmitidas oralmente durante siglos.</v>
      </c>
      <c r="H1266" s="6" t="str">
        <f>_xlfn.XLOOKUP(frasest[[#This Row],[autor_es]],autorest[autor_es],autorest[bio_la])</f>
        <v>Collectio sententiarum Sinensium, magnopere in cultura tradita.</v>
      </c>
      <c r="I1266" t="str">
        <f>_xlfn.XLOOKUP(frasest[[#This Row],[autor_es]],autorest[autor_es],autorest[codigo])</f>
        <v>zh</v>
      </c>
      <c r="J1266" t="str">
        <f>_xlfn.XLOOKUP(frasest[[#This Row],[autor_es]],autorest[autor_es],autorest[idioma_es])</f>
        <v>Chino</v>
      </c>
      <c r="K1266" s="6" t="str">
        <f>_xlfn.XLOOKUP(frasest[[#This Row],[autor_es]],autorest[autor_es],autorest[idioma_la])</f>
        <v>Lingua Sinica</v>
      </c>
      <c r="L1266" s="6" t="str">
        <f>_xlfn.XLOOKUP(frasest[[#This Row],[autor_es]],autorest[autor_es],autorest[nacion_es])</f>
        <v>China</v>
      </c>
      <c r="M1266" t="str">
        <f>_xlfn.XLOOKUP(frasest[[#This Row],[autor_es]],autorest[autor_es],autorest[nacion_la])</f>
        <v>Sinae</v>
      </c>
      <c r="N1266" t="str">
        <f>_xlfn.XLOOKUP(frasest[[#This Row],[autor_es]],autorest[autor_es],autorest[epoca_es])</f>
        <v>Epoca Desconocida</v>
      </c>
      <c r="O1266" t="str">
        <f>_xlfn.XLOOKUP(frasest[[#This Row],[autor_es]],autorest[autor_es],autorest[epoca_la])</f>
        <v>Epocha Ignota</v>
      </c>
    </row>
    <row r="1267" spans="1:15">
      <c r="A1267">
        <v>1266</v>
      </c>
      <c r="B1267" t="s">
        <v>3487</v>
      </c>
      <c r="C1267" t="s">
        <v>3488</v>
      </c>
      <c r="D1267" s="1" t="s">
        <v>3489</v>
      </c>
      <c r="E1267" t="s">
        <v>33</v>
      </c>
      <c r="F1267" t="str">
        <f>_xlfn.XLOOKUP(frasest[[#This Row],[autor_es]],autorest[autor_es],autorest[autor_la])</f>
        <v>Proverbium Sinense</v>
      </c>
      <c r="G1267" s="6" t="str">
        <f>_xlfn.XLOOKUP(frasest[[#This Row],[autor_es]],autorest[autor_es],autorest[bio_es])</f>
        <v>Conjunto de proverbios tradicionales de la cultura china que transmiten sabiduría popular, valores morales y enseñanzas prácticas transmitidas oralmente durante siglos.</v>
      </c>
      <c r="H1267" s="6" t="str">
        <f>_xlfn.XLOOKUP(frasest[[#This Row],[autor_es]],autorest[autor_es],autorest[bio_la])</f>
        <v>Collectio sententiarum Sinensium, magnopere in cultura tradita.</v>
      </c>
      <c r="I1267" t="str">
        <f>_xlfn.XLOOKUP(frasest[[#This Row],[autor_es]],autorest[autor_es],autorest[codigo])</f>
        <v>zh</v>
      </c>
      <c r="J1267" t="str">
        <f>_xlfn.XLOOKUP(frasest[[#This Row],[autor_es]],autorest[autor_es],autorest[idioma_es])</f>
        <v>Chino</v>
      </c>
      <c r="K1267" s="6" t="str">
        <f>_xlfn.XLOOKUP(frasest[[#This Row],[autor_es]],autorest[autor_es],autorest[idioma_la])</f>
        <v>Lingua Sinica</v>
      </c>
      <c r="L1267" s="6" t="str">
        <f>_xlfn.XLOOKUP(frasest[[#This Row],[autor_es]],autorest[autor_es],autorest[nacion_es])</f>
        <v>China</v>
      </c>
      <c r="M1267" t="str">
        <f>_xlfn.XLOOKUP(frasest[[#This Row],[autor_es]],autorest[autor_es],autorest[nacion_la])</f>
        <v>Sinae</v>
      </c>
      <c r="N1267" t="str">
        <f>_xlfn.XLOOKUP(frasest[[#This Row],[autor_es]],autorest[autor_es],autorest[epoca_es])</f>
        <v>Epoca Desconocida</v>
      </c>
      <c r="O1267" t="str">
        <f>_xlfn.XLOOKUP(frasest[[#This Row],[autor_es]],autorest[autor_es],autorest[epoca_la])</f>
        <v>Epocha Ignota</v>
      </c>
    </row>
    <row r="1268" spans="1:15">
      <c r="A1268">
        <v>1267</v>
      </c>
      <c r="B1268" t="s">
        <v>3490</v>
      </c>
      <c r="C1268" t="s">
        <v>3491</v>
      </c>
      <c r="D1268" s="1" t="s">
        <v>3492</v>
      </c>
      <c r="E1268" t="s">
        <v>33</v>
      </c>
      <c r="F1268" t="str">
        <f>_xlfn.XLOOKUP(frasest[[#This Row],[autor_es]],autorest[autor_es],autorest[autor_la])</f>
        <v>Proverbium Sinense</v>
      </c>
      <c r="G1268" s="6" t="str">
        <f>_xlfn.XLOOKUP(frasest[[#This Row],[autor_es]],autorest[autor_es],autorest[bio_es])</f>
        <v>Conjunto de proverbios tradicionales de la cultura china que transmiten sabiduría popular, valores morales y enseñanzas prácticas transmitidas oralmente durante siglos.</v>
      </c>
      <c r="H1268" s="6" t="str">
        <f>_xlfn.XLOOKUP(frasest[[#This Row],[autor_es]],autorest[autor_es],autorest[bio_la])</f>
        <v>Collectio sententiarum Sinensium, magnopere in cultura tradita.</v>
      </c>
      <c r="I1268" t="str">
        <f>_xlfn.XLOOKUP(frasest[[#This Row],[autor_es]],autorest[autor_es],autorest[codigo])</f>
        <v>zh</v>
      </c>
      <c r="J1268" t="str">
        <f>_xlfn.XLOOKUP(frasest[[#This Row],[autor_es]],autorest[autor_es],autorest[idioma_es])</f>
        <v>Chino</v>
      </c>
      <c r="K1268" s="6" t="str">
        <f>_xlfn.XLOOKUP(frasest[[#This Row],[autor_es]],autorest[autor_es],autorest[idioma_la])</f>
        <v>Lingua Sinica</v>
      </c>
      <c r="L1268" s="6" t="str">
        <f>_xlfn.XLOOKUP(frasest[[#This Row],[autor_es]],autorest[autor_es],autorest[nacion_es])</f>
        <v>China</v>
      </c>
      <c r="M1268" t="str">
        <f>_xlfn.XLOOKUP(frasest[[#This Row],[autor_es]],autorest[autor_es],autorest[nacion_la])</f>
        <v>Sinae</v>
      </c>
      <c r="N1268" t="str">
        <f>_xlfn.XLOOKUP(frasest[[#This Row],[autor_es]],autorest[autor_es],autorest[epoca_es])</f>
        <v>Epoca Desconocida</v>
      </c>
      <c r="O1268" t="str">
        <f>_xlfn.XLOOKUP(frasest[[#This Row],[autor_es]],autorest[autor_es],autorest[epoca_la])</f>
        <v>Epocha Ignota</v>
      </c>
    </row>
    <row r="1269" spans="1:15">
      <c r="A1269">
        <v>1268</v>
      </c>
      <c r="B1269" t="s">
        <v>3493</v>
      </c>
      <c r="C1269" t="s">
        <v>3494</v>
      </c>
      <c r="D1269" s="1" t="s">
        <v>3495</v>
      </c>
      <c r="E1269" t="s">
        <v>33</v>
      </c>
      <c r="F1269" t="str">
        <f>_xlfn.XLOOKUP(frasest[[#This Row],[autor_es]],autorest[autor_es],autorest[autor_la])</f>
        <v>Proverbium Sinense</v>
      </c>
      <c r="G1269" s="6" t="str">
        <f>_xlfn.XLOOKUP(frasest[[#This Row],[autor_es]],autorest[autor_es],autorest[bio_es])</f>
        <v>Conjunto de proverbios tradicionales de la cultura china que transmiten sabiduría popular, valores morales y enseñanzas prácticas transmitidas oralmente durante siglos.</v>
      </c>
      <c r="H1269" s="6" t="str">
        <f>_xlfn.XLOOKUP(frasest[[#This Row],[autor_es]],autorest[autor_es],autorest[bio_la])</f>
        <v>Collectio sententiarum Sinensium, magnopere in cultura tradita.</v>
      </c>
      <c r="I1269" t="str">
        <f>_xlfn.XLOOKUP(frasest[[#This Row],[autor_es]],autorest[autor_es],autorest[codigo])</f>
        <v>zh</v>
      </c>
      <c r="J1269" t="str">
        <f>_xlfn.XLOOKUP(frasest[[#This Row],[autor_es]],autorest[autor_es],autorest[idioma_es])</f>
        <v>Chino</v>
      </c>
      <c r="K1269" s="6" t="str">
        <f>_xlfn.XLOOKUP(frasest[[#This Row],[autor_es]],autorest[autor_es],autorest[idioma_la])</f>
        <v>Lingua Sinica</v>
      </c>
      <c r="L1269" s="6" t="str">
        <f>_xlfn.XLOOKUP(frasest[[#This Row],[autor_es]],autorest[autor_es],autorest[nacion_es])</f>
        <v>China</v>
      </c>
      <c r="M1269" t="str">
        <f>_xlfn.XLOOKUP(frasest[[#This Row],[autor_es]],autorest[autor_es],autorest[nacion_la])</f>
        <v>Sinae</v>
      </c>
      <c r="N1269" t="str">
        <f>_xlfn.XLOOKUP(frasest[[#This Row],[autor_es]],autorest[autor_es],autorest[epoca_es])</f>
        <v>Epoca Desconocida</v>
      </c>
      <c r="O1269" t="str">
        <f>_xlfn.XLOOKUP(frasest[[#This Row],[autor_es]],autorest[autor_es],autorest[epoca_la])</f>
        <v>Epocha Ignota</v>
      </c>
    </row>
    <row r="1270" spans="1:15">
      <c r="A1270">
        <v>1269</v>
      </c>
      <c r="B1270" t="s">
        <v>3496</v>
      </c>
      <c r="C1270" t="s">
        <v>3497</v>
      </c>
      <c r="D1270" s="1" t="s">
        <v>3498</v>
      </c>
      <c r="E1270" t="s">
        <v>33</v>
      </c>
      <c r="F1270" t="str">
        <f>_xlfn.XLOOKUP(frasest[[#This Row],[autor_es]],autorest[autor_es],autorest[autor_la])</f>
        <v>Proverbium Sinense</v>
      </c>
      <c r="G1270" s="6" t="str">
        <f>_xlfn.XLOOKUP(frasest[[#This Row],[autor_es]],autorest[autor_es],autorest[bio_es])</f>
        <v>Conjunto de proverbios tradicionales de la cultura china que transmiten sabiduría popular, valores morales y enseñanzas prácticas transmitidas oralmente durante siglos.</v>
      </c>
      <c r="H1270" s="6" t="str">
        <f>_xlfn.XLOOKUP(frasest[[#This Row],[autor_es]],autorest[autor_es],autorest[bio_la])</f>
        <v>Collectio sententiarum Sinensium, magnopere in cultura tradita.</v>
      </c>
      <c r="I1270" t="str">
        <f>_xlfn.XLOOKUP(frasest[[#This Row],[autor_es]],autorest[autor_es],autorest[codigo])</f>
        <v>zh</v>
      </c>
      <c r="J1270" t="str">
        <f>_xlfn.XLOOKUP(frasest[[#This Row],[autor_es]],autorest[autor_es],autorest[idioma_es])</f>
        <v>Chino</v>
      </c>
      <c r="K1270" s="6" t="str">
        <f>_xlfn.XLOOKUP(frasest[[#This Row],[autor_es]],autorest[autor_es],autorest[idioma_la])</f>
        <v>Lingua Sinica</v>
      </c>
      <c r="L1270" s="6" t="str">
        <f>_xlfn.XLOOKUP(frasest[[#This Row],[autor_es]],autorest[autor_es],autorest[nacion_es])</f>
        <v>China</v>
      </c>
      <c r="M1270" t="str">
        <f>_xlfn.XLOOKUP(frasest[[#This Row],[autor_es]],autorest[autor_es],autorest[nacion_la])</f>
        <v>Sinae</v>
      </c>
      <c r="N1270" t="str">
        <f>_xlfn.XLOOKUP(frasest[[#This Row],[autor_es]],autorest[autor_es],autorest[epoca_es])</f>
        <v>Epoca Desconocida</v>
      </c>
      <c r="O1270" t="str">
        <f>_xlfn.XLOOKUP(frasest[[#This Row],[autor_es]],autorest[autor_es],autorest[epoca_la])</f>
        <v>Epocha Ignota</v>
      </c>
    </row>
    <row r="1271" spans="1:15">
      <c r="A1271">
        <v>1270</v>
      </c>
      <c r="B1271" t="s">
        <v>3499</v>
      </c>
      <c r="C1271" t="s">
        <v>3500</v>
      </c>
      <c r="D1271" s="1" t="s">
        <v>3501</v>
      </c>
      <c r="E1271" t="s">
        <v>33</v>
      </c>
      <c r="F1271" t="str">
        <f>_xlfn.XLOOKUP(frasest[[#This Row],[autor_es]],autorest[autor_es],autorest[autor_la])</f>
        <v>Proverbium Sinense</v>
      </c>
      <c r="G1271" s="6" t="str">
        <f>_xlfn.XLOOKUP(frasest[[#This Row],[autor_es]],autorest[autor_es],autorest[bio_es])</f>
        <v>Conjunto de proverbios tradicionales de la cultura china que transmiten sabiduría popular, valores morales y enseñanzas prácticas transmitidas oralmente durante siglos.</v>
      </c>
      <c r="H1271" s="6" t="str">
        <f>_xlfn.XLOOKUP(frasest[[#This Row],[autor_es]],autorest[autor_es],autorest[bio_la])</f>
        <v>Collectio sententiarum Sinensium, magnopere in cultura tradita.</v>
      </c>
      <c r="I1271" t="str">
        <f>_xlfn.XLOOKUP(frasest[[#This Row],[autor_es]],autorest[autor_es],autorest[codigo])</f>
        <v>zh</v>
      </c>
      <c r="J1271" t="str">
        <f>_xlfn.XLOOKUP(frasest[[#This Row],[autor_es]],autorest[autor_es],autorest[idioma_es])</f>
        <v>Chino</v>
      </c>
      <c r="K1271" s="6" t="str">
        <f>_xlfn.XLOOKUP(frasest[[#This Row],[autor_es]],autorest[autor_es],autorest[idioma_la])</f>
        <v>Lingua Sinica</v>
      </c>
      <c r="L1271" s="6" t="str">
        <f>_xlfn.XLOOKUP(frasest[[#This Row],[autor_es]],autorest[autor_es],autorest[nacion_es])</f>
        <v>China</v>
      </c>
      <c r="M1271" t="str">
        <f>_xlfn.XLOOKUP(frasest[[#This Row],[autor_es]],autorest[autor_es],autorest[nacion_la])</f>
        <v>Sinae</v>
      </c>
      <c r="N1271" t="str">
        <f>_xlfn.XLOOKUP(frasest[[#This Row],[autor_es]],autorest[autor_es],autorest[epoca_es])</f>
        <v>Epoca Desconocida</v>
      </c>
      <c r="O1271" t="str">
        <f>_xlfn.XLOOKUP(frasest[[#This Row],[autor_es]],autorest[autor_es],autorest[epoca_la])</f>
        <v>Epocha Ignota</v>
      </c>
    </row>
    <row r="1272" spans="1:15">
      <c r="A1272">
        <v>1271</v>
      </c>
      <c r="B1272" t="s">
        <v>3502</v>
      </c>
      <c r="C1272" t="s">
        <v>3503</v>
      </c>
      <c r="D1272" s="1" t="s">
        <v>3504</v>
      </c>
      <c r="E1272" t="s">
        <v>33</v>
      </c>
      <c r="F1272" t="str">
        <f>_xlfn.XLOOKUP(frasest[[#This Row],[autor_es]],autorest[autor_es],autorest[autor_la])</f>
        <v>Proverbium Sinense</v>
      </c>
      <c r="G1272" s="6" t="str">
        <f>_xlfn.XLOOKUP(frasest[[#This Row],[autor_es]],autorest[autor_es],autorest[bio_es])</f>
        <v>Conjunto de proverbios tradicionales de la cultura china que transmiten sabiduría popular, valores morales y enseñanzas prácticas transmitidas oralmente durante siglos.</v>
      </c>
      <c r="H1272" s="6" t="str">
        <f>_xlfn.XLOOKUP(frasest[[#This Row],[autor_es]],autorest[autor_es],autorest[bio_la])</f>
        <v>Collectio sententiarum Sinensium, magnopere in cultura tradita.</v>
      </c>
      <c r="I1272" t="str">
        <f>_xlfn.XLOOKUP(frasest[[#This Row],[autor_es]],autorest[autor_es],autorest[codigo])</f>
        <v>zh</v>
      </c>
      <c r="J1272" t="str">
        <f>_xlfn.XLOOKUP(frasest[[#This Row],[autor_es]],autorest[autor_es],autorest[idioma_es])</f>
        <v>Chino</v>
      </c>
      <c r="K1272" s="6" t="str">
        <f>_xlfn.XLOOKUP(frasest[[#This Row],[autor_es]],autorest[autor_es],autorest[idioma_la])</f>
        <v>Lingua Sinica</v>
      </c>
      <c r="L1272" s="6" t="str">
        <f>_xlfn.XLOOKUP(frasest[[#This Row],[autor_es]],autorest[autor_es],autorest[nacion_es])</f>
        <v>China</v>
      </c>
      <c r="M1272" t="str">
        <f>_xlfn.XLOOKUP(frasest[[#This Row],[autor_es]],autorest[autor_es],autorest[nacion_la])</f>
        <v>Sinae</v>
      </c>
      <c r="N1272" t="str">
        <f>_xlfn.XLOOKUP(frasest[[#This Row],[autor_es]],autorest[autor_es],autorest[epoca_es])</f>
        <v>Epoca Desconocida</v>
      </c>
      <c r="O1272" t="str">
        <f>_xlfn.XLOOKUP(frasest[[#This Row],[autor_es]],autorest[autor_es],autorest[epoca_la])</f>
        <v>Epocha Ignota</v>
      </c>
    </row>
    <row r="1273" spans="1:15">
      <c r="A1273">
        <v>1272</v>
      </c>
      <c r="B1273" t="s">
        <v>3505</v>
      </c>
      <c r="C1273" t="s">
        <v>3506</v>
      </c>
      <c r="D1273" s="1" t="s">
        <v>3507</v>
      </c>
      <c r="E1273" t="s">
        <v>33</v>
      </c>
      <c r="F1273" t="str">
        <f>_xlfn.XLOOKUP(frasest[[#This Row],[autor_es]],autorest[autor_es],autorest[autor_la])</f>
        <v>Proverbium Sinense</v>
      </c>
      <c r="G1273" s="6" t="str">
        <f>_xlfn.XLOOKUP(frasest[[#This Row],[autor_es]],autorest[autor_es],autorest[bio_es])</f>
        <v>Conjunto de proverbios tradicionales de la cultura china que transmiten sabiduría popular, valores morales y enseñanzas prácticas transmitidas oralmente durante siglos.</v>
      </c>
      <c r="H1273" s="6" t="str">
        <f>_xlfn.XLOOKUP(frasest[[#This Row],[autor_es]],autorest[autor_es],autorest[bio_la])</f>
        <v>Collectio sententiarum Sinensium, magnopere in cultura tradita.</v>
      </c>
      <c r="I1273" t="str">
        <f>_xlfn.XLOOKUP(frasest[[#This Row],[autor_es]],autorest[autor_es],autorest[codigo])</f>
        <v>zh</v>
      </c>
      <c r="J1273" t="str">
        <f>_xlfn.XLOOKUP(frasest[[#This Row],[autor_es]],autorest[autor_es],autorest[idioma_es])</f>
        <v>Chino</v>
      </c>
      <c r="K1273" s="6" t="str">
        <f>_xlfn.XLOOKUP(frasest[[#This Row],[autor_es]],autorest[autor_es],autorest[idioma_la])</f>
        <v>Lingua Sinica</v>
      </c>
      <c r="L1273" s="6" t="str">
        <f>_xlfn.XLOOKUP(frasest[[#This Row],[autor_es]],autorest[autor_es],autorest[nacion_es])</f>
        <v>China</v>
      </c>
      <c r="M1273" t="str">
        <f>_xlfn.XLOOKUP(frasest[[#This Row],[autor_es]],autorest[autor_es],autorest[nacion_la])</f>
        <v>Sinae</v>
      </c>
      <c r="N1273" t="str">
        <f>_xlfn.XLOOKUP(frasest[[#This Row],[autor_es]],autorest[autor_es],autorest[epoca_es])</f>
        <v>Epoca Desconocida</v>
      </c>
      <c r="O1273" t="str">
        <f>_xlfn.XLOOKUP(frasest[[#This Row],[autor_es]],autorest[autor_es],autorest[epoca_la])</f>
        <v>Epocha Ignota</v>
      </c>
    </row>
    <row r="1274" spans="1:15">
      <c r="A1274">
        <v>1273</v>
      </c>
      <c r="B1274" t="s">
        <v>3508</v>
      </c>
      <c r="C1274" t="s">
        <v>3509</v>
      </c>
      <c r="D1274" s="1" t="s">
        <v>3510</v>
      </c>
      <c r="E1274" t="s">
        <v>33</v>
      </c>
      <c r="F1274" t="str">
        <f>_xlfn.XLOOKUP(frasest[[#This Row],[autor_es]],autorest[autor_es],autorest[autor_la])</f>
        <v>Proverbium Sinense</v>
      </c>
      <c r="G1274" s="6" t="str">
        <f>_xlfn.XLOOKUP(frasest[[#This Row],[autor_es]],autorest[autor_es],autorest[bio_es])</f>
        <v>Conjunto de proverbios tradicionales de la cultura china que transmiten sabiduría popular, valores morales y enseñanzas prácticas transmitidas oralmente durante siglos.</v>
      </c>
      <c r="H1274" s="6" t="str">
        <f>_xlfn.XLOOKUP(frasest[[#This Row],[autor_es]],autorest[autor_es],autorest[bio_la])</f>
        <v>Collectio sententiarum Sinensium, magnopere in cultura tradita.</v>
      </c>
      <c r="I1274" t="str">
        <f>_xlfn.XLOOKUP(frasest[[#This Row],[autor_es]],autorest[autor_es],autorest[codigo])</f>
        <v>zh</v>
      </c>
      <c r="J1274" t="str">
        <f>_xlfn.XLOOKUP(frasest[[#This Row],[autor_es]],autorest[autor_es],autorest[idioma_es])</f>
        <v>Chino</v>
      </c>
      <c r="K1274" s="6" t="str">
        <f>_xlfn.XLOOKUP(frasest[[#This Row],[autor_es]],autorest[autor_es],autorest[idioma_la])</f>
        <v>Lingua Sinica</v>
      </c>
      <c r="L1274" s="6" t="str">
        <f>_xlfn.XLOOKUP(frasest[[#This Row],[autor_es]],autorest[autor_es],autorest[nacion_es])</f>
        <v>China</v>
      </c>
      <c r="M1274" t="str">
        <f>_xlfn.XLOOKUP(frasest[[#This Row],[autor_es]],autorest[autor_es],autorest[nacion_la])</f>
        <v>Sinae</v>
      </c>
      <c r="N1274" t="str">
        <f>_xlfn.XLOOKUP(frasest[[#This Row],[autor_es]],autorest[autor_es],autorest[epoca_es])</f>
        <v>Epoca Desconocida</v>
      </c>
      <c r="O1274" t="str">
        <f>_xlfn.XLOOKUP(frasest[[#This Row],[autor_es]],autorest[autor_es],autorest[epoca_la])</f>
        <v>Epocha Ignota</v>
      </c>
    </row>
    <row r="1275" spans="1:15">
      <c r="A1275">
        <v>1274</v>
      </c>
      <c r="B1275" t="s">
        <v>3511</v>
      </c>
      <c r="C1275" t="s">
        <v>3512</v>
      </c>
      <c r="D1275" s="1" t="s">
        <v>3513</v>
      </c>
      <c r="E1275" t="s">
        <v>33</v>
      </c>
      <c r="F1275" t="str">
        <f>_xlfn.XLOOKUP(frasest[[#This Row],[autor_es]],autorest[autor_es],autorest[autor_la])</f>
        <v>Proverbium Sinense</v>
      </c>
      <c r="G1275" s="6" t="str">
        <f>_xlfn.XLOOKUP(frasest[[#This Row],[autor_es]],autorest[autor_es],autorest[bio_es])</f>
        <v>Conjunto de proverbios tradicionales de la cultura china que transmiten sabiduría popular, valores morales y enseñanzas prácticas transmitidas oralmente durante siglos.</v>
      </c>
      <c r="H1275" s="6" t="str">
        <f>_xlfn.XLOOKUP(frasest[[#This Row],[autor_es]],autorest[autor_es],autorest[bio_la])</f>
        <v>Collectio sententiarum Sinensium, magnopere in cultura tradita.</v>
      </c>
      <c r="I1275" t="str">
        <f>_xlfn.XLOOKUP(frasest[[#This Row],[autor_es]],autorest[autor_es],autorest[codigo])</f>
        <v>zh</v>
      </c>
      <c r="J1275" t="str">
        <f>_xlfn.XLOOKUP(frasest[[#This Row],[autor_es]],autorest[autor_es],autorest[idioma_es])</f>
        <v>Chino</v>
      </c>
      <c r="K1275" s="6" t="str">
        <f>_xlfn.XLOOKUP(frasest[[#This Row],[autor_es]],autorest[autor_es],autorest[idioma_la])</f>
        <v>Lingua Sinica</v>
      </c>
      <c r="L1275" s="6" t="str">
        <f>_xlfn.XLOOKUP(frasest[[#This Row],[autor_es]],autorest[autor_es],autorest[nacion_es])</f>
        <v>China</v>
      </c>
      <c r="M1275" t="str">
        <f>_xlfn.XLOOKUP(frasest[[#This Row],[autor_es]],autorest[autor_es],autorest[nacion_la])</f>
        <v>Sinae</v>
      </c>
      <c r="N1275" t="str">
        <f>_xlfn.XLOOKUP(frasest[[#This Row],[autor_es]],autorest[autor_es],autorest[epoca_es])</f>
        <v>Epoca Desconocida</v>
      </c>
      <c r="O1275" t="str">
        <f>_xlfn.XLOOKUP(frasest[[#This Row],[autor_es]],autorest[autor_es],autorest[epoca_la])</f>
        <v>Epocha Ignota</v>
      </c>
    </row>
    <row r="1276" spans="1:15">
      <c r="A1276">
        <v>1275</v>
      </c>
      <c r="B1276" t="s">
        <v>3514</v>
      </c>
      <c r="C1276" t="s">
        <v>3515</v>
      </c>
      <c r="D1276" s="1" t="s">
        <v>3516</v>
      </c>
      <c r="E1276" t="s">
        <v>33</v>
      </c>
      <c r="F1276" t="str">
        <f>_xlfn.XLOOKUP(frasest[[#This Row],[autor_es]],autorest[autor_es],autorest[autor_la])</f>
        <v>Proverbium Sinense</v>
      </c>
      <c r="G1276" s="6" t="str">
        <f>_xlfn.XLOOKUP(frasest[[#This Row],[autor_es]],autorest[autor_es],autorest[bio_es])</f>
        <v>Conjunto de proverbios tradicionales de la cultura china que transmiten sabiduría popular, valores morales y enseñanzas prácticas transmitidas oralmente durante siglos.</v>
      </c>
      <c r="H1276" s="6" t="str">
        <f>_xlfn.XLOOKUP(frasest[[#This Row],[autor_es]],autorest[autor_es],autorest[bio_la])</f>
        <v>Collectio sententiarum Sinensium, magnopere in cultura tradita.</v>
      </c>
      <c r="I1276" t="str">
        <f>_xlfn.XLOOKUP(frasest[[#This Row],[autor_es]],autorest[autor_es],autorest[codigo])</f>
        <v>zh</v>
      </c>
      <c r="J1276" t="str">
        <f>_xlfn.XLOOKUP(frasest[[#This Row],[autor_es]],autorest[autor_es],autorest[idioma_es])</f>
        <v>Chino</v>
      </c>
      <c r="K1276" s="6" t="str">
        <f>_xlfn.XLOOKUP(frasest[[#This Row],[autor_es]],autorest[autor_es],autorest[idioma_la])</f>
        <v>Lingua Sinica</v>
      </c>
      <c r="L1276" s="6" t="str">
        <f>_xlfn.XLOOKUP(frasest[[#This Row],[autor_es]],autorest[autor_es],autorest[nacion_es])</f>
        <v>China</v>
      </c>
      <c r="M1276" t="str">
        <f>_xlfn.XLOOKUP(frasest[[#This Row],[autor_es]],autorest[autor_es],autorest[nacion_la])</f>
        <v>Sinae</v>
      </c>
      <c r="N1276" t="str">
        <f>_xlfn.XLOOKUP(frasest[[#This Row],[autor_es]],autorest[autor_es],autorest[epoca_es])</f>
        <v>Epoca Desconocida</v>
      </c>
      <c r="O1276" t="str">
        <f>_xlfn.XLOOKUP(frasest[[#This Row],[autor_es]],autorest[autor_es],autorest[epoca_la])</f>
        <v>Epocha Ignota</v>
      </c>
    </row>
    <row r="1277" spans="1:15">
      <c r="A1277">
        <v>1276</v>
      </c>
      <c r="B1277" t="s">
        <v>3517</v>
      </c>
      <c r="C1277" t="s">
        <v>3518</v>
      </c>
      <c r="D1277" s="1" t="s">
        <v>3519</v>
      </c>
      <c r="E1277" t="s">
        <v>33</v>
      </c>
      <c r="F1277" t="str">
        <f>_xlfn.XLOOKUP(frasest[[#This Row],[autor_es]],autorest[autor_es],autorest[autor_la])</f>
        <v>Proverbium Sinense</v>
      </c>
      <c r="G1277" s="6" t="str">
        <f>_xlfn.XLOOKUP(frasest[[#This Row],[autor_es]],autorest[autor_es],autorest[bio_es])</f>
        <v>Conjunto de proverbios tradicionales de la cultura china que transmiten sabiduría popular, valores morales y enseñanzas prácticas transmitidas oralmente durante siglos.</v>
      </c>
      <c r="H1277" s="6" t="str">
        <f>_xlfn.XLOOKUP(frasest[[#This Row],[autor_es]],autorest[autor_es],autorest[bio_la])</f>
        <v>Collectio sententiarum Sinensium, magnopere in cultura tradita.</v>
      </c>
      <c r="I1277" t="str">
        <f>_xlfn.XLOOKUP(frasest[[#This Row],[autor_es]],autorest[autor_es],autorest[codigo])</f>
        <v>zh</v>
      </c>
      <c r="J1277" t="str">
        <f>_xlfn.XLOOKUP(frasest[[#This Row],[autor_es]],autorest[autor_es],autorest[idioma_es])</f>
        <v>Chino</v>
      </c>
      <c r="K1277" s="6" t="str">
        <f>_xlfn.XLOOKUP(frasest[[#This Row],[autor_es]],autorest[autor_es],autorest[idioma_la])</f>
        <v>Lingua Sinica</v>
      </c>
      <c r="L1277" s="6" t="str">
        <f>_xlfn.XLOOKUP(frasest[[#This Row],[autor_es]],autorest[autor_es],autorest[nacion_es])</f>
        <v>China</v>
      </c>
      <c r="M1277" t="str">
        <f>_xlfn.XLOOKUP(frasest[[#This Row],[autor_es]],autorest[autor_es],autorest[nacion_la])</f>
        <v>Sinae</v>
      </c>
      <c r="N1277" t="str">
        <f>_xlfn.XLOOKUP(frasest[[#This Row],[autor_es]],autorest[autor_es],autorest[epoca_es])</f>
        <v>Epoca Desconocida</v>
      </c>
      <c r="O1277" t="str">
        <f>_xlfn.XLOOKUP(frasest[[#This Row],[autor_es]],autorest[autor_es],autorest[epoca_la])</f>
        <v>Epocha Ignota</v>
      </c>
    </row>
    <row r="1278" spans="1:15">
      <c r="A1278">
        <v>1277</v>
      </c>
      <c r="B1278" t="s">
        <v>3520</v>
      </c>
      <c r="C1278" t="s">
        <v>3521</v>
      </c>
      <c r="D1278" s="1" t="s">
        <v>3522</v>
      </c>
      <c r="E1278" t="s">
        <v>33</v>
      </c>
      <c r="F1278" t="str">
        <f>_xlfn.XLOOKUP(frasest[[#This Row],[autor_es]],autorest[autor_es],autorest[autor_la])</f>
        <v>Proverbium Sinense</v>
      </c>
      <c r="G1278" s="6" t="str">
        <f>_xlfn.XLOOKUP(frasest[[#This Row],[autor_es]],autorest[autor_es],autorest[bio_es])</f>
        <v>Conjunto de proverbios tradicionales de la cultura china que transmiten sabiduría popular, valores morales y enseñanzas prácticas transmitidas oralmente durante siglos.</v>
      </c>
      <c r="H1278" s="6" t="str">
        <f>_xlfn.XLOOKUP(frasest[[#This Row],[autor_es]],autorest[autor_es],autorest[bio_la])</f>
        <v>Collectio sententiarum Sinensium, magnopere in cultura tradita.</v>
      </c>
      <c r="I1278" t="str">
        <f>_xlfn.XLOOKUP(frasest[[#This Row],[autor_es]],autorest[autor_es],autorest[codigo])</f>
        <v>zh</v>
      </c>
      <c r="J1278" t="str">
        <f>_xlfn.XLOOKUP(frasest[[#This Row],[autor_es]],autorest[autor_es],autorest[idioma_es])</f>
        <v>Chino</v>
      </c>
      <c r="K1278" s="6" t="str">
        <f>_xlfn.XLOOKUP(frasest[[#This Row],[autor_es]],autorest[autor_es],autorest[idioma_la])</f>
        <v>Lingua Sinica</v>
      </c>
      <c r="L1278" s="6" t="str">
        <f>_xlfn.XLOOKUP(frasest[[#This Row],[autor_es]],autorest[autor_es],autorest[nacion_es])</f>
        <v>China</v>
      </c>
      <c r="M1278" t="str">
        <f>_xlfn.XLOOKUP(frasest[[#This Row],[autor_es]],autorest[autor_es],autorest[nacion_la])</f>
        <v>Sinae</v>
      </c>
      <c r="N1278" t="str">
        <f>_xlfn.XLOOKUP(frasest[[#This Row],[autor_es]],autorest[autor_es],autorest[epoca_es])</f>
        <v>Epoca Desconocida</v>
      </c>
      <c r="O1278" t="str">
        <f>_xlfn.XLOOKUP(frasest[[#This Row],[autor_es]],autorest[autor_es],autorest[epoca_la])</f>
        <v>Epocha Ignota</v>
      </c>
    </row>
    <row r="1279" spans="1:15">
      <c r="A1279">
        <v>1278</v>
      </c>
      <c r="B1279" t="s">
        <v>3523</v>
      </c>
      <c r="C1279" t="s">
        <v>3524</v>
      </c>
      <c r="D1279" s="1" t="s">
        <v>3525</v>
      </c>
      <c r="E1279" t="s">
        <v>33</v>
      </c>
      <c r="F1279" t="str">
        <f>_xlfn.XLOOKUP(frasest[[#This Row],[autor_es]],autorest[autor_es],autorest[autor_la])</f>
        <v>Proverbium Sinense</v>
      </c>
      <c r="G1279" s="6" t="str">
        <f>_xlfn.XLOOKUP(frasest[[#This Row],[autor_es]],autorest[autor_es],autorest[bio_es])</f>
        <v>Conjunto de proverbios tradicionales de la cultura china que transmiten sabiduría popular, valores morales y enseñanzas prácticas transmitidas oralmente durante siglos.</v>
      </c>
      <c r="H1279" s="6" t="str">
        <f>_xlfn.XLOOKUP(frasest[[#This Row],[autor_es]],autorest[autor_es],autorest[bio_la])</f>
        <v>Collectio sententiarum Sinensium, magnopere in cultura tradita.</v>
      </c>
      <c r="I1279" t="str">
        <f>_xlfn.XLOOKUP(frasest[[#This Row],[autor_es]],autorest[autor_es],autorest[codigo])</f>
        <v>zh</v>
      </c>
      <c r="J1279" t="str">
        <f>_xlfn.XLOOKUP(frasest[[#This Row],[autor_es]],autorest[autor_es],autorest[idioma_es])</f>
        <v>Chino</v>
      </c>
      <c r="K1279" s="6" t="str">
        <f>_xlfn.XLOOKUP(frasest[[#This Row],[autor_es]],autorest[autor_es],autorest[idioma_la])</f>
        <v>Lingua Sinica</v>
      </c>
      <c r="L1279" s="6" t="str">
        <f>_xlfn.XLOOKUP(frasest[[#This Row],[autor_es]],autorest[autor_es],autorest[nacion_es])</f>
        <v>China</v>
      </c>
      <c r="M1279" t="str">
        <f>_xlfn.XLOOKUP(frasest[[#This Row],[autor_es]],autorest[autor_es],autorest[nacion_la])</f>
        <v>Sinae</v>
      </c>
      <c r="N1279" t="str">
        <f>_xlfn.XLOOKUP(frasest[[#This Row],[autor_es]],autorest[autor_es],autorest[epoca_es])</f>
        <v>Epoca Desconocida</v>
      </c>
      <c r="O1279" t="str">
        <f>_xlfn.XLOOKUP(frasest[[#This Row],[autor_es]],autorest[autor_es],autorest[epoca_la])</f>
        <v>Epocha Ignota</v>
      </c>
    </row>
    <row r="1280" spans="1:15">
      <c r="A1280">
        <v>1279</v>
      </c>
      <c r="B1280" t="s">
        <v>3526</v>
      </c>
      <c r="C1280" t="s">
        <v>3527</v>
      </c>
      <c r="D1280" s="1" t="s">
        <v>3528</v>
      </c>
      <c r="E1280" t="s">
        <v>33</v>
      </c>
      <c r="F1280" t="str">
        <f>_xlfn.XLOOKUP(frasest[[#This Row],[autor_es]],autorest[autor_es],autorest[autor_la])</f>
        <v>Proverbium Sinense</v>
      </c>
      <c r="G1280" s="6" t="str">
        <f>_xlfn.XLOOKUP(frasest[[#This Row],[autor_es]],autorest[autor_es],autorest[bio_es])</f>
        <v>Conjunto de proverbios tradicionales de la cultura china que transmiten sabiduría popular, valores morales y enseñanzas prácticas transmitidas oralmente durante siglos.</v>
      </c>
      <c r="H1280" s="6" t="str">
        <f>_xlfn.XLOOKUP(frasest[[#This Row],[autor_es]],autorest[autor_es],autorest[bio_la])</f>
        <v>Collectio sententiarum Sinensium, magnopere in cultura tradita.</v>
      </c>
      <c r="I1280" t="str">
        <f>_xlfn.XLOOKUP(frasest[[#This Row],[autor_es]],autorest[autor_es],autorest[codigo])</f>
        <v>zh</v>
      </c>
      <c r="J1280" t="str">
        <f>_xlfn.XLOOKUP(frasest[[#This Row],[autor_es]],autorest[autor_es],autorest[idioma_es])</f>
        <v>Chino</v>
      </c>
      <c r="K1280" s="6" t="str">
        <f>_xlfn.XLOOKUP(frasest[[#This Row],[autor_es]],autorest[autor_es],autorest[idioma_la])</f>
        <v>Lingua Sinica</v>
      </c>
      <c r="L1280" s="6" t="str">
        <f>_xlfn.XLOOKUP(frasest[[#This Row],[autor_es]],autorest[autor_es],autorest[nacion_es])</f>
        <v>China</v>
      </c>
      <c r="M1280" t="str">
        <f>_xlfn.XLOOKUP(frasest[[#This Row],[autor_es]],autorest[autor_es],autorest[nacion_la])</f>
        <v>Sinae</v>
      </c>
      <c r="N1280" t="str">
        <f>_xlfn.XLOOKUP(frasest[[#This Row],[autor_es]],autorest[autor_es],autorest[epoca_es])</f>
        <v>Epoca Desconocida</v>
      </c>
      <c r="O1280" t="str">
        <f>_xlfn.XLOOKUP(frasest[[#This Row],[autor_es]],autorest[autor_es],autorest[epoca_la])</f>
        <v>Epocha Ignota</v>
      </c>
    </row>
    <row r="1281" spans="1:15">
      <c r="A1281">
        <v>1280</v>
      </c>
      <c r="B1281" t="s">
        <v>3529</v>
      </c>
      <c r="C1281" t="s">
        <v>3530</v>
      </c>
      <c r="D1281" s="1" t="s">
        <v>3531</v>
      </c>
      <c r="E1281" t="s">
        <v>33</v>
      </c>
      <c r="F1281" t="str">
        <f>_xlfn.XLOOKUP(frasest[[#This Row],[autor_es]],autorest[autor_es],autorest[autor_la])</f>
        <v>Proverbium Sinense</v>
      </c>
      <c r="G1281" s="6" t="str">
        <f>_xlfn.XLOOKUP(frasest[[#This Row],[autor_es]],autorest[autor_es],autorest[bio_es])</f>
        <v>Conjunto de proverbios tradicionales de la cultura china que transmiten sabiduría popular, valores morales y enseñanzas prácticas transmitidas oralmente durante siglos.</v>
      </c>
      <c r="H1281" s="6" t="str">
        <f>_xlfn.XLOOKUP(frasest[[#This Row],[autor_es]],autorest[autor_es],autorest[bio_la])</f>
        <v>Collectio sententiarum Sinensium, magnopere in cultura tradita.</v>
      </c>
      <c r="I1281" t="str">
        <f>_xlfn.XLOOKUP(frasest[[#This Row],[autor_es]],autorest[autor_es],autorest[codigo])</f>
        <v>zh</v>
      </c>
      <c r="J1281" t="str">
        <f>_xlfn.XLOOKUP(frasest[[#This Row],[autor_es]],autorest[autor_es],autorest[idioma_es])</f>
        <v>Chino</v>
      </c>
      <c r="K1281" s="6" t="str">
        <f>_xlfn.XLOOKUP(frasest[[#This Row],[autor_es]],autorest[autor_es],autorest[idioma_la])</f>
        <v>Lingua Sinica</v>
      </c>
      <c r="L1281" s="6" t="str">
        <f>_xlfn.XLOOKUP(frasest[[#This Row],[autor_es]],autorest[autor_es],autorest[nacion_es])</f>
        <v>China</v>
      </c>
      <c r="M1281" t="str">
        <f>_xlfn.XLOOKUP(frasest[[#This Row],[autor_es]],autorest[autor_es],autorest[nacion_la])</f>
        <v>Sinae</v>
      </c>
      <c r="N1281" t="str">
        <f>_xlfn.XLOOKUP(frasest[[#This Row],[autor_es]],autorest[autor_es],autorest[epoca_es])</f>
        <v>Epoca Desconocida</v>
      </c>
      <c r="O1281" t="str">
        <f>_xlfn.XLOOKUP(frasest[[#This Row],[autor_es]],autorest[autor_es],autorest[epoca_la])</f>
        <v>Epocha Ignota</v>
      </c>
    </row>
    <row r="1282" spans="1:15">
      <c r="A1282">
        <v>1281</v>
      </c>
      <c r="B1282" t="s">
        <v>3532</v>
      </c>
      <c r="C1282" t="s">
        <v>3533</v>
      </c>
      <c r="D1282" s="1" t="s">
        <v>3534</v>
      </c>
      <c r="E1282" t="s">
        <v>33</v>
      </c>
      <c r="F1282" t="str">
        <f>_xlfn.XLOOKUP(frasest[[#This Row],[autor_es]],autorest[autor_es],autorest[autor_la])</f>
        <v>Proverbium Sinense</v>
      </c>
      <c r="G1282" s="6" t="str">
        <f>_xlfn.XLOOKUP(frasest[[#This Row],[autor_es]],autorest[autor_es],autorest[bio_es])</f>
        <v>Conjunto de proverbios tradicionales de la cultura china que transmiten sabiduría popular, valores morales y enseñanzas prácticas transmitidas oralmente durante siglos.</v>
      </c>
      <c r="H1282" s="6" t="str">
        <f>_xlfn.XLOOKUP(frasest[[#This Row],[autor_es]],autorest[autor_es],autorest[bio_la])</f>
        <v>Collectio sententiarum Sinensium, magnopere in cultura tradita.</v>
      </c>
      <c r="I1282" t="str">
        <f>_xlfn.XLOOKUP(frasest[[#This Row],[autor_es]],autorest[autor_es],autorest[codigo])</f>
        <v>zh</v>
      </c>
      <c r="J1282" t="str">
        <f>_xlfn.XLOOKUP(frasest[[#This Row],[autor_es]],autorest[autor_es],autorest[idioma_es])</f>
        <v>Chino</v>
      </c>
      <c r="K1282" s="6" t="str">
        <f>_xlfn.XLOOKUP(frasest[[#This Row],[autor_es]],autorest[autor_es],autorest[idioma_la])</f>
        <v>Lingua Sinica</v>
      </c>
      <c r="L1282" s="6" t="str">
        <f>_xlfn.XLOOKUP(frasest[[#This Row],[autor_es]],autorest[autor_es],autorest[nacion_es])</f>
        <v>China</v>
      </c>
      <c r="M1282" t="str">
        <f>_xlfn.XLOOKUP(frasest[[#This Row],[autor_es]],autorest[autor_es],autorest[nacion_la])</f>
        <v>Sinae</v>
      </c>
      <c r="N1282" t="str">
        <f>_xlfn.XLOOKUP(frasest[[#This Row],[autor_es]],autorest[autor_es],autorest[epoca_es])</f>
        <v>Epoca Desconocida</v>
      </c>
      <c r="O1282" t="str">
        <f>_xlfn.XLOOKUP(frasest[[#This Row],[autor_es]],autorest[autor_es],autorest[epoca_la])</f>
        <v>Epocha Ignota</v>
      </c>
    </row>
    <row r="1283" spans="1:15">
      <c r="A1283">
        <v>1282</v>
      </c>
      <c r="B1283" t="s">
        <v>3535</v>
      </c>
      <c r="C1283" t="s">
        <v>3536</v>
      </c>
      <c r="D1283" s="1" t="s">
        <v>3095</v>
      </c>
      <c r="E1283" t="s">
        <v>33</v>
      </c>
      <c r="F1283" t="str">
        <f>_xlfn.XLOOKUP(frasest[[#This Row],[autor_es]],autorest[autor_es],autorest[autor_la])</f>
        <v>Proverbium Sinense</v>
      </c>
      <c r="G1283" s="6" t="str">
        <f>_xlfn.XLOOKUP(frasest[[#This Row],[autor_es]],autorest[autor_es],autorest[bio_es])</f>
        <v>Conjunto de proverbios tradicionales de la cultura china que transmiten sabiduría popular, valores morales y enseñanzas prácticas transmitidas oralmente durante siglos.</v>
      </c>
      <c r="H1283" s="6" t="str">
        <f>_xlfn.XLOOKUP(frasest[[#This Row],[autor_es]],autorest[autor_es],autorest[bio_la])</f>
        <v>Collectio sententiarum Sinensium, magnopere in cultura tradita.</v>
      </c>
      <c r="I1283" t="str">
        <f>_xlfn.XLOOKUP(frasest[[#This Row],[autor_es]],autorest[autor_es],autorest[codigo])</f>
        <v>zh</v>
      </c>
      <c r="J1283" t="str">
        <f>_xlfn.XLOOKUP(frasest[[#This Row],[autor_es]],autorest[autor_es],autorest[idioma_es])</f>
        <v>Chino</v>
      </c>
      <c r="K1283" s="6" t="str">
        <f>_xlfn.XLOOKUP(frasest[[#This Row],[autor_es]],autorest[autor_es],autorest[idioma_la])</f>
        <v>Lingua Sinica</v>
      </c>
      <c r="L1283" s="6" t="str">
        <f>_xlfn.XLOOKUP(frasest[[#This Row],[autor_es]],autorest[autor_es],autorest[nacion_es])</f>
        <v>China</v>
      </c>
      <c r="M1283" t="str">
        <f>_xlfn.XLOOKUP(frasest[[#This Row],[autor_es]],autorest[autor_es],autorest[nacion_la])</f>
        <v>Sinae</v>
      </c>
      <c r="N1283" t="str">
        <f>_xlfn.XLOOKUP(frasest[[#This Row],[autor_es]],autorest[autor_es],autorest[epoca_es])</f>
        <v>Epoca Desconocida</v>
      </c>
      <c r="O1283" t="str">
        <f>_xlfn.XLOOKUP(frasest[[#This Row],[autor_es]],autorest[autor_es],autorest[epoca_la])</f>
        <v>Epocha Ignota</v>
      </c>
    </row>
    <row r="1284" spans="1:15">
      <c r="A1284">
        <v>1283</v>
      </c>
      <c r="B1284" t="s">
        <v>3537</v>
      </c>
      <c r="C1284" t="s">
        <v>3538</v>
      </c>
      <c r="D1284" s="1" t="s">
        <v>3539</v>
      </c>
      <c r="E1284" t="s">
        <v>33</v>
      </c>
      <c r="F1284" t="str">
        <f>_xlfn.XLOOKUP(frasest[[#This Row],[autor_es]],autorest[autor_es],autorest[autor_la])</f>
        <v>Proverbium Sinense</v>
      </c>
      <c r="G1284" s="6" t="str">
        <f>_xlfn.XLOOKUP(frasest[[#This Row],[autor_es]],autorest[autor_es],autorest[bio_es])</f>
        <v>Conjunto de proverbios tradicionales de la cultura china que transmiten sabiduría popular, valores morales y enseñanzas prácticas transmitidas oralmente durante siglos.</v>
      </c>
      <c r="H1284" s="6" t="str">
        <f>_xlfn.XLOOKUP(frasest[[#This Row],[autor_es]],autorest[autor_es],autorest[bio_la])</f>
        <v>Collectio sententiarum Sinensium, magnopere in cultura tradita.</v>
      </c>
      <c r="I1284" t="str">
        <f>_xlfn.XLOOKUP(frasest[[#This Row],[autor_es]],autorest[autor_es],autorest[codigo])</f>
        <v>zh</v>
      </c>
      <c r="J1284" t="str">
        <f>_xlfn.XLOOKUP(frasest[[#This Row],[autor_es]],autorest[autor_es],autorest[idioma_es])</f>
        <v>Chino</v>
      </c>
      <c r="K1284" s="6" t="str">
        <f>_xlfn.XLOOKUP(frasest[[#This Row],[autor_es]],autorest[autor_es],autorest[idioma_la])</f>
        <v>Lingua Sinica</v>
      </c>
      <c r="L1284" s="6" t="str">
        <f>_xlfn.XLOOKUP(frasest[[#This Row],[autor_es]],autorest[autor_es],autorest[nacion_es])</f>
        <v>China</v>
      </c>
      <c r="M1284" t="str">
        <f>_xlfn.XLOOKUP(frasest[[#This Row],[autor_es]],autorest[autor_es],autorest[nacion_la])</f>
        <v>Sinae</v>
      </c>
      <c r="N1284" t="str">
        <f>_xlfn.XLOOKUP(frasest[[#This Row],[autor_es]],autorest[autor_es],autorest[epoca_es])</f>
        <v>Epoca Desconocida</v>
      </c>
      <c r="O1284" t="str">
        <f>_xlfn.XLOOKUP(frasest[[#This Row],[autor_es]],autorest[autor_es],autorest[epoca_la])</f>
        <v>Epocha Ignota</v>
      </c>
    </row>
    <row r="1285" spans="1:15">
      <c r="A1285">
        <v>1284</v>
      </c>
      <c r="B1285" t="s">
        <v>3540</v>
      </c>
      <c r="C1285" t="s">
        <v>3541</v>
      </c>
      <c r="D1285" s="1" t="s">
        <v>3542</v>
      </c>
      <c r="E1285" t="s">
        <v>33</v>
      </c>
      <c r="F1285" t="str">
        <f>_xlfn.XLOOKUP(frasest[[#This Row],[autor_es]],autorest[autor_es],autorest[autor_la])</f>
        <v>Proverbium Sinense</v>
      </c>
      <c r="G1285" s="6" t="str">
        <f>_xlfn.XLOOKUP(frasest[[#This Row],[autor_es]],autorest[autor_es],autorest[bio_es])</f>
        <v>Conjunto de proverbios tradicionales de la cultura china que transmiten sabiduría popular, valores morales y enseñanzas prácticas transmitidas oralmente durante siglos.</v>
      </c>
      <c r="H1285" s="6" t="str">
        <f>_xlfn.XLOOKUP(frasest[[#This Row],[autor_es]],autorest[autor_es],autorest[bio_la])</f>
        <v>Collectio sententiarum Sinensium, magnopere in cultura tradita.</v>
      </c>
      <c r="I1285" t="str">
        <f>_xlfn.XLOOKUP(frasest[[#This Row],[autor_es]],autorest[autor_es],autorest[codigo])</f>
        <v>zh</v>
      </c>
      <c r="J1285" t="str">
        <f>_xlfn.XLOOKUP(frasest[[#This Row],[autor_es]],autorest[autor_es],autorest[idioma_es])</f>
        <v>Chino</v>
      </c>
      <c r="K1285" s="6" t="str">
        <f>_xlfn.XLOOKUP(frasest[[#This Row],[autor_es]],autorest[autor_es],autorest[idioma_la])</f>
        <v>Lingua Sinica</v>
      </c>
      <c r="L1285" s="6" t="str">
        <f>_xlfn.XLOOKUP(frasest[[#This Row],[autor_es]],autorest[autor_es],autorest[nacion_es])</f>
        <v>China</v>
      </c>
      <c r="M1285" t="str">
        <f>_xlfn.XLOOKUP(frasest[[#This Row],[autor_es]],autorest[autor_es],autorest[nacion_la])</f>
        <v>Sinae</v>
      </c>
      <c r="N1285" t="str">
        <f>_xlfn.XLOOKUP(frasest[[#This Row],[autor_es]],autorest[autor_es],autorest[epoca_es])</f>
        <v>Epoca Desconocida</v>
      </c>
      <c r="O1285" t="str">
        <f>_xlfn.XLOOKUP(frasest[[#This Row],[autor_es]],autorest[autor_es],autorest[epoca_la])</f>
        <v>Epocha Ignota</v>
      </c>
    </row>
    <row r="1286" spans="1:15">
      <c r="A1286">
        <v>1285</v>
      </c>
      <c r="B1286" t="s">
        <v>3543</v>
      </c>
      <c r="C1286" t="s">
        <v>3544</v>
      </c>
      <c r="D1286" s="1" t="s">
        <v>3545</v>
      </c>
      <c r="E1286" t="s">
        <v>33</v>
      </c>
      <c r="F1286" t="str">
        <f>_xlfn.XLOOKUP(frasest[[#This Row],[autor_es]],autorest[autor_es],autorest[autor_la])</f>
        <v>Proverbium Sinense</v>
      </c>
      <c r="G1286" s="6" t="str">
        <f>_xlfn.XLOOKUP(frasest[[#This Row],[autor_es]],autorest[autor_es],autorest[bio_es])</f>
        <v>Conjunto de proverbios tradicionales de la cultura china que transmiten sabiduría popular, valores morales y enseñanzas prácticas transmitidas oralmente durante siglos.</v>
      </c>
      <c r="H1286" s="6" t="str">
        <f>_xlfn.XLOOKUP(frasest[[#This Row],[autor_es]],autorest[autor_es],autorest[bio_la])</f>
        <v>Collectio sententiarum Sinensium, magnopere in cultura tradita.</v>
      </c>
      <c r="I1286" t="str">
        <f>_xlfn.XLOOKUP(frasest[[#This Row],[autor_es]],autorest[autor_es],autorest[codigo])</f>
        <v>zh</v>
      </c>
      <c r="J1286" t="str">
        <f>_xlfn.XLOOKUP(frasest[[#This Row],[autor_es]],autorest[autor_es],autorest[idioma_es])</f>
        <v>Chino</v>
      </c>
      <c r="K1286" s="6" t="str">
        <f>_xlfn.XLOOKUP(frasest[[#This Row],[autor_es]],autorest[autor_es],autorest[idioma_la])</f>
        <v>Lingua Sinica</v>
      </c>
      <c r="L1286" s="6" t="str">
        <f>_xlfn.XLOOKUP(frasest[[#This Row],[autor_es]],autorest[autor_es],autorest[nacion_es])</f>
        <v>China</v>
      </c>
      <c r="M1286" t="str">
        <f>_xlfn.XLOOKUP(frasest[[#This Row],[autor_es]],autorest[autor_es],autorest[nacion_la])</f>
        <v>Sinae</v>
      </c>
      <c r="N1286" t="str">
        <f>_xlfn.XLOOKUP(frasest[[#This Row],[autor_es]],autorest[autor_es],autorest[epoca_es])</f>
        <v>Epoca Desconocida</v>
      </c>
      <c r="O1286" t="str">
        <f>_xlfn.XLOOKUP(frasest[[#This Row],[autor_es]],autorest[autor_es],autorest[epoca_la])</f>
        <v>Epocha Ignota</v>
      </c>
    </row>
    <row r="1287" spans="1:15">
      <c r="A1287">
        <v>1286</v>
      </c>
      <c r="B1287" t="s">
        <v>3546</v>
      </c>
      <c r="C1287" t="s">
        <v>3547</v>
      </c>
      <c r="D1287" s="1" t="s">
        <v>3548</v>
      </c>
      <c r="E1287" t="s">
        <v>33</v>
      </c>
      <c r="F1287" t="str">
        <f>_xlfn.XLOOKUP(frasest[[#This Row],[autor_es]],autorest[autor_es],autorest[autor_la])</f>
        <v>Proverbium Sinense</v>
      </c>
      <c r="G1287" s="6" t="str">
        <f>_xlfn.XLOOKUP(frasest[[#This Row],[autor_es]],autorest[autor_es],autorest[bio_es])</f>
        <v>Conjunto de proverbios tradicionales de la cultura china que transmiten sabiduría popular, valores morales y enseñanzas prácticas transmitidas oralmente durante siglos.</v>
      </c>
      <c r="H1287" s="6" t="str">
        <f>_xlfn.XLOOKUP(frasest[[#This Row],[autor_es]],autorest[autor_es],autorest[bio_la])</f>
        <v>Collectio sententiarum Sinensium, magnopere in cultura tradita.</v>
      </c>
      <c r="I1287" t="str">
        <f>_xlfn.XLOOKUP(frasest[[#This Row],[autor_es]],autorest[autor_es],autorest[codigo])</f>
        <v>zh</v>
      </c>
      <c r="J1287" t="str">
        <f>_xlfn.XLOOKUP(frasest[[#This Row],[autor_es]],autorest[autor_es],autorest[idioma_es])</f>
        <v>Chino</v>
      </c>
      <c r="K1287" s="6" t="str">
        <f>_xlfn.XLOOKUP(frasest[[#This Row],[autor_es]],autorest[autor_es],autorest[idioma_la])</f>
        <v>Lingua Sinica</v>
      </c>
      <c r="L1287" s="6" t="str">
        <f>_xlfn.XLOOKUP(frasest[[#This Row],[autor_es]],autorest[autor_es],autorest[nacion_es])</f>
        <v>China</v>
      </c>
      <c r="M1287" t="str">
        <f>_xlfn.XLOOKUP(frasest[[#This Row],[autor_es]],autorest[autor_es],autorest[nacion_la])</f>
        <v>Sinae</v>
      </c>
      <c r="N1287" t="str">
        <f>_xlfn.XLOOKUP(frasest[[#This Row],[autor_es]],autorest[autor_es],autorest[epoca_es])</f>
        <v>Epoca Desconocida</v>
      </c>
      <c r="O1287" t="str">
        <f>_xlfn.XLOOKUP(frasest[[#This Row],[autor_es]],autorest[autor_es],autorest[epoca_la])</f>
        <v>Epocha Ignota</v>
      </c>
    </row>
    <row r="1288" spans="1:15">
      <c r="A1288">
        <v>1287</v>
      </c>
      <c r="B1288" t="s">
        <v>3549</v>
      </c>
      <c r="C1288" t="s">
        <v>3550</v>
      </c>
      <c r="D1288" s="1" t="s">
        <v>3551</v>
      </c>
      <c r="E1288" t="s">
        <v>33</v>
      </c>
      <c r="F1288" t="str">
        <f>_xlfn.XLOOKUP(frasest[[#This Row],[autor_es]],autorest[autor_es],autorest[autor_la])</f>
        <v>Proverbium Sinense</v>
      </c>
      <c r="G1288" s="6" t="str">
        <f>_xlfn.XLOOKUP(frasest[[#This Row],[autor_es]],autorest[autor_es],autorest[bio_es])</f>
        <v>Conjunto de proverbios tradicionales de la cultura china que transmiten sabiduría popular, valores morales y enseñanzas prácticas transmitidas oralmente durante siglos.</v>
      </c>
      <c r="H1288" s="6" t="str">
        <f>_xlfn.XLOOKUP(frasest[[#This Row],[autor_es]],autorest[autor_es],autorest[bio_la])</f>
        <v>Collectio sententiarum Sinensium, magnopere in cultura tradita.</v>
      </c>
      <c r="I1288" t="str">
        <f>_xlfn.XLOOKUP(frasest[[#This Row],[autor_es]],autorest[autor_es],autorest[codigo])</f>
        <v>zh</v>
      </c>
      <c r="J1288" t="str">
        <f>_xlfn.XLOOKUP(frasest[[#This Row],[autor_es]],autorest[autor_es],autorest[idioma_es])</f>
        <v>Chino</v>
      </c>
      <c r="K1288" s="6" t="str">
        <f>_xlfn.XLOOKUP(frasest[[#This Row],[autor_es]],autorest[autor_es],autorest[idioma_la])</f>
        <v>Lingua Sinica</v>
      </c>
      <c r="L1288" s="6" t="str">
        <f>_xlfn.XLOOKUP(frasest[[#This Row],[autor_es]],autorest[autor_es],autorest[nacion_es])</f>
        <v>China</v>
      </c>
      <c r="M1288" t="str">
        <f>_xlfn.XLOOKUP(frasest[[#This Row],[autor_es]],autorest[autor_es],autorest[nacion_la])</f>
        <v>Sinae</v>
      </c>
      <c r="N1288" t="str">
        <f>_xlfn.XLOOKUP(frasest[[#This Row],[autor_es]],autorest[autor_es],autorest[epoca_es])</f>
        <v>Epoca Desconocida</v>
      </c>
      <c r="O1288" t="str">
        <f>_xlfn.XLOOKUP(frasest[[#This Row],[autor_es]],autorest[autor_es],autorest[epoca_la])</f>
        <v>Epocha Ignota</v>
      </c>
    </row>
    <row r="1289" spans="1:15">
      <c r="A1289">
        <v>1288</v>
      </c>
      <c r="B1289" t="s">
        <v>3552</v>
      </c>
      <c r="C1289" t="s">
        <v>3553</v>
      </c>
      <c r="D1289" s="1" t="s">
        <v>3554</v>
      </c>
      <c r="E1289" t="s">
        <v>33</v>
      </c>
      <c r="F1289" t="str">
        <f>_xlfn.XLOOKUP(frasest[[#This Row],[autor_es]],autorest[autor_es],autorest[autor_la])</f>
        <v>Proverbium Sinense</v>
      </c>
      <c r="G1289" s="6" t="str">
        <f>_xlfn.XLOOKUP(frasest[[#This Row],[autor_es]],autorest[autor_es],autorest[bio_es])</f>
        <v>Conjunto de proverbios tradicionales de la cultura china que transmiten sabiduría popular, valores morales y enseñanzas prácticas transmitidas oralmente durante siglos.</v>
      </c>
      <c r="H1289" s="6" t="str">
        <f>_xlfn.XLOOKUP(frasest[[#This Row],[autor_es]],autorest[autor_es],autorest[bio_la])</f>
        <v>Collectio sententiarum Sinensium, magnopere in cultura tradita.</v>
      </c>
      <c r="I1289" t="str">
        <f>_xlfn.XLOOKUP(frasest[[#This Row],[autor_es]],autorest[autor_es],autorest[codigo])</f>
        <v>zh</v>
      </c>
      <c r="J1289" t="str">
        <f>_xlfn.XLOOKUP(frasest[[#This Row],[autor_es]],autorest[autor_es],autorest[idioma_es])</f>
        <v>Chino</v>
      </c>
      <c r="K1289" s="6" t="str">
        <f>_xlfn.XLOOKUP(frasest[[#This Row],[autor_es]],autorest[autor_es],autorest[idioma_la])</f>
        <v>Lingua Sinica</v>
      </c>
      <c r="L1289" s="6" t="str">
        <f>_xlfn.XLOOKUP(frasest[[#This Row],[autor_es]],autorest[autor_es],autorest[nacion_es])</f>
        <v>China</v>
      </c>
      <c r="M1289" t="str">
        <f>_xlfn.XLOOKUP(frasest[[#This Row],[autor_es]],autorest[autor_es],autorest[nacion_la])</f>
        <v>Sinae</v>
      </c>
      <c r="N1289" t="str">
        <f>_xlfn.XLOOKUP(frasest[[#This Row],[autor_es]],autorest[autor_es],autorest[epoca_es])</f>
        <v>Epoca Desconocida</v>
      </c>
      <c r="O1289" t="str">
        <f>_xlfn.XLOOKUP(frasest[[#This Row],[autor_es]],autorest[autor_es],autorest[epoca_la])</f>
        <v>Epocha Ignota</v>
      </c>
    </row>
    <row r="1290" spans="1:15">
      <c r="A1290">
        <v>1289</v>
      </c>
      <c r="B1290" t="s">
        <v>3555</v>
      </c>
      <c r="C1290" t="s">
        <v>3556</v>
      </c>
      <c r="D1290" s="1" t="s">
        <v>3557</v>
      </c>
      <c r="E1290" t="s">
        <v>33</v>
      </c>
      <c r="F1290" t="str">
        <f>_xlfn.XLOOKUP(frasest[[#This Row],[autor_es]],autorest[autor_es],autorest[autor_la])</f>
        <v>Proverbium Sinense</v>
      </c>
      <c r="G1290" s="6" t="str">
        <f>_xlfn.XLOOKUP(frasest[[#This Row],[autor_es]],autorest[autor_es],autorest[bio_es])</f>
        <v>Conjunto de proverbios tradicionales de la cultura china que transmiten sabiduría popular, valores morales y enseñanzas prácticas transmitidas oralmente durante siglos.</v>
      </c>
      <c r="H1290" s="6" t="str">
        <f>_xlfn.XLOOKUP(frasest[[#This Row],[autor_es]],autorest[autor_es],autorest[bio_la])</f>
        <v>Collectio sententiarum Sinensium, magnopere in cultura tradita.</v>
      </c>
      <c r="I1290" t="str">
        <f>_xlfn.XLOOKUP(frasest[[#This Row],[autor_es]],autorest[autor_es],autorest[codigo])</f>
        <v>zh</v>
      </c>
      <c r="J1290" t="str">
        <f>_xlfn.XLOOKUP(frasest[[#This Row],[autor_es]],autorest[autor_es],autorest[idioma_es])</f>
        <v>Chino</v>
      </c>
      <c r="K1290" s="6" t="str">
        <f>_xlfn.XLOOKUP(frasest[[#This Row],[autor_es]],autorest[autor_es],autorest[idioma_la])</f>
        <v>Lingua Sinica</v>
      </c>
      <c r="L1290" s="6" t="str">
        <f>_xlfn.XLOOKUP(frasest[[#This Row],[autor_es]],autorest[autor_es],autorest[nacion_es])</f>
        <v>China</v>
      </c>
      <c r="M1290" t="str">
        <f>_xlfn.XLOOKUP(frasest[[#This Row],[autor_es]],autorest[autor_es],autorest[nacion_la])</f>
        <v>Sinae</v>
      </c>
      <c r="N1290" t="str">
        <f>_xlfn.XLOOKUP(frasest[[#This Row],[autor_es]],autorest[autor_es],autorest[epoca_es])</f>
        <v>Epoca Desconocida</v>
      </c>
      <c r="O1290" t="str">
        <f>_xlfn.XLOOKUP(frasest[[#This Row],[autor_es]],autorest[autor_es],autorest[epoca_la])</f>
        <v>Epocha Ignota</v>
      </c>
    </row>
    <row r="1291" spans="1:15">
      <c r="A1291">
        <v>1290</v>
      </c>
      <c r="B1291" t="s">
        <v>3558</v>
      </c>
      <c r="C1291" t="s">
        <v>3559</v>
      </c>
      <c r="D1291" s="1" t="s">
        <v>3560</v>
      </c>
      <c r="E1291" t="s">
        <v>33</v>
      </c>
      <c r="F1291" t="str">
        <f>_xlfn.XLOOKUP(frasest[[#This Row],[autor_es]],autorest[autor_es],autorest[autor_la])</f>
        <v>Proverbium Sinense</v>
      </c>
      <c r="G1291" s="6" t="str">
        <f>_xlfn.XLOOKUP(frasest[[#This Row],[autor_es]],autorest[autor_es],autorest[bio_es])</f>
        <v>Conjunto de proverbios tradicionales de la cultura china que transmiten sabiduría popular, valores morales y enseñanzas prácticas transmitidas oralmente durante siglos.</v>
      </c>
      <c r="H1291" s="6" t="str">
        <f>_xlfn.XLOOKUP(frasest[[#This Row],[autor_es]],autorest[autor_es],autorest[bio_la])</f>
        <v>Collectio sententiarum Sinensium, magnopere in cultura tradita.</v>
      </c>
      <c r="I1291" t="str">
        <f>_xlfn.XLOOKUP(frasest[[#This Row],[autor_es]],autorest[autor_es],autorest[codigo])</f>
        <v>zh</v>
      </c>
      <c r="J1291" t="str">
        <f>_xlfn.XLOOKUP(frasest[[#This Row],[autor_es]],autorest[autor_es],autorest[idioma_es])</f>
        <v>Chino</v>
      </c>
      <c r="K1291" s="6" t="str">
        <f>_xlfn.XLOOKUP(frasest[[#This Row],[autor_es]],autorest[autor_es],autorest[idioma_la])</f>
        <v>Lingua Sinica</v>
      </c>
      <c r="L1291" s="6" t="str">
        <f>_xlfn.XLOOKUP(frasest[[#This Row],[autor_es]],autorest[autor_es],autorest[nacion_es])</f>
        <v>China</v>
      </c>
      <c r="M1291" t="str">
        <f>_xlfn.XLOOKUP(frasest[[#This Row],[autor_es]],autorest[autor_es],autorest[nacion_la])</f>
        <v>Sinae</v>
      </c>
      <c r="N1291" t="str">
        <f>_xlfn.XLOOKUP(frasest[[#This Row],[autor_es]],autorest[autor_es],autorest[epoca_es])</f>
        <v>Epoca Desconocida</v>
      </c>
      <c r="O1291" t="str">
        <f>_xlfn.XLOOKUP(frasest[[#This Row],[autor_es]],autorest[autor_es],autorest[epoca_la])</f>
        <v>Epocha Ignota</v>
      </c>
    </row>
    <row r="1292" spans="1:15">
      <c r="A1292">
        <v>1291</v>
      </c>
      <c r="B1292" t="s">
        <v>3561</v>
      </c>
      <c r="C1292" t="s">
        <v>3562</v>
      </c>
      <c r="D1292" s="1" t="s">
        <v>3563</v>
      </c>
      <c r="E1292" t="s">
        <v>33</v>
      </c>
      <c r="F1292" t="str">
        <f>_xlfn.XLOOKUP(frasest[[#This Row],[autor_es]],autorest[autor_es],autorest[autor_la])</f>
        <v>Proverbium Sinense</v>
      </c>
      <c r="G1292" s="6" t="str">
        <f>_xlfn.XLOOKUP(frasest[[#This Row],[autor_es]],autorest[autor_es],autorest[bio_es])</f>
        <v>Conjunto de proverbios tradicionales de la cultura china que transmiten sabiduría popular, valores morales y enseñanzas prácticas transmitidas oralmente durante siglos.</v>
      </c>
      <c r="H1292" s="6" t="str">
        <f>_xlfn.XLOOKUP(frasest[[#This Row],[autor_es]],autorest[autor_es],autorest[bio_la])</f>
        <v>Collectio sententiarum Sinensium, magnopere in cultura tradita.</v>
      </c>
      <c r="I1292" t="str">
        <f>_xlfn.XLOOKUP(frasest[[#This Row],[autor_es]],autorest[autor_es],autorest[codigo])</f>
        <v>zh</v>
      </c>
      <c r="J1292" t="str">
        <f>_xlfn.XLOOKUP(frasest[[#This Row],[autor_es]],autorest[autor_es],autorest[idioma_es])</f>
        <v>Chino</v>
      </c>
      <c r="K1292" s="6" t="str">
        <f>_xlfn.XLOOKUP(frasest[[#This Row],[autor_es]],autorest[autor_es],autorest[idioma_la])</f>
        <v>Lingua Sinica</v>
      </c>
      <c r="L1292" s="6" t="str">
        <f>_xlfn.XLOOKUP(frasest[[#This Row],[autor_es]],autorest[autor_es],autorest[nacion_es])</f>
        <v>China</v>
      </c>
      <c r="M1292" t="str">
        <f>_xlfn.XLOOKUP(frasest[[#This Row],[autor_es]],autorest[autor_es],autorest[nacion_la])</f>
        <v>Sinae</v>
      </c>
      <c r="N1292" t="str">
        <f>_xlfn.XLOOKUP(frasest[[#This Row],[autor_es]],autorest[autor_es],autorest[epoca_es])</f>
        <v>Epoca Desconocida</v>
      </c>
      <c r="O1292" t="str">
        <f>_xlfn.XLOOKUP(frasest[[#This Row],[autor_es]],autorest[autor_es],autorest[epoca_la])</f>
        <v>Epocha Ignota</v>
      </c>
    </row>
    <row r="1293" spans="1:15">
      <c r="A1293">
        <v>1292</v>
      </c>
      <c r="B1293" t="s">
        <v>3564</v>
      </c>
      <c r="C1293" t="s">
        <v>3565</v>
      </c>
      <c r="D1293" s="1" t="s">
        <v>3566</v>
      </c>
      <c r="E1293" t="s">
        <v>33</v>
      </c>
      <c r="F1293" t="str">
        <f>_xlfn.XLOOKUP(frasest[[#This Row],[autor_es]],autorest[autor_es],autorest[autor_la])</f>
        <v>Proverbium Sinense</v>
      </c>
      <c r="G1293" s="6" t="str">
        <f>_xlfn.XLOOKUP(frasest[[#This Row],[autor_es]],autorest[autor_es],autorest[bio_es])</f>
        <v>Conjunto de proverbios tradicionales de la cultura china que transmiten sabiduría popular, valores morales y enseñanzas prácticas transmitidas oralmente durante siglos.</v>
      </c>
      <c r="H1293" s="6" t="str">
        <f>_xlfn.XLOOKUP(frasest[[#This Row],[autor_es]],autorest[autor_es],autorest[bio_la])</f>
        <v>Collectio sententiarum Sinensium, magnopere in cultura tradita.</v>
      </c>
      <c r="I1293" t="str">
        <f>_xlfn.XLOOKUP(frasest[[#This Row],[autor_es]],autorest[autor_es],autorest[codigo])</f>
        <v>zh</v>
      </c>
      <c r="J1293" t="str">
        <f>_xlfn.XLOOKUP(frasest[[#This Row],[autor_es]],autorest[autor_es],autorest[idioma_es])</f>
        <v>Chino</v>
      </c>
      <c r="K1293" s="6" t="str">
        <f>_xlfn.XLOOKUP(frasest[[#This Row],[autor_es]],autorest[autor_es],autorest[idioma_la])</f>
        <v>Lingua Sinica</v>
      </c>
      <c r="L1293" s="6" t="str">
        <f>_xlfn.XLOOKUP(frasest[[#This Row],[autor_es]],autorest[autor_es],autorest[nacion_es])</f>
        <v>China</v>
      </c>
      <c r="M1293" t="str">
        <f>_xlfn.XLOOKUP(frasest[[#This Row],[autor_es]],autorest[autor_es],autorest[nacion_la])</f>
        <v>Sinae</v>
      </c>
      <c r="N1293" t="str">
        <f>_xlfn.XLOOKUP(frasest[[#This Row],[autor_es]],autorest[autor_es],autorest[epoca_es])</f>
        <v>Epoca Desconocida</v>
      </c>
      <c r="O1293" t="str">
        <f>_xlfn.XLOOKUP(frasest[[#This Row],[autor_es]],autorest[autor_es],autorest[epoca_la])</f>
        <v>Epocha Ignota</v>
      </c>
    </row>
    <row r="1294" spans="1:15">
      <c r="A1294">
        <v>1293</v>
      </c>
      <c r="B1294" t="s">
        <v>3567</v>
      </c>
      <c r="C1294" t="s">
        <v>3568</v>
      </c>
      <c r="D1294" s="1" t="s">
        <v>3569</v>
      </c>
      <c r="E1294" t="s">
        <v>33</v>
      </c>
      <c r="F1294" t="str">
        <f>_xlfn.XLOOKUP(frasest[[#This Row],[autor_es]],autorest[autor_es],autorest[autor_la])</f>
        <v>Proverbium Sinense</v>
      </c>
      <c r="G1294" s="6" t="str">
        <f>_xlfn.XLOOKUP(frasest[[#This Row],[autor_es]],autorest[autor_es],autorest[bio_es])</f>
        <v>Conjunto de proverbios tradicionales de la cultura china que transmiten sabiduría popular, valores morales y enseñanzas prácticas transmitidas oralmente durante siglos.</v>
      </c>
      <c r="H1294" s="6" t="str">
        <f>_xlfn.XLOOKUP(frasest[[#This Row],[autor_es]],autorest[autor_es],autorest[bio_la])</f>
        <v>Collectio sententiarum Sinensium, magnopere in cultura tradita.</v>
      </c>
      <c r="I1294" t="str">
        <f>_xlfn.XLOOKUP(frasest[[#This Row],[autor_es]],autorest[autor_es],autorest[codigo])</f>
        <v>zh</v>
      </c>
      <c r="J1294" t="str">
        <f>_xlfn.XLOOKUP(frasest[[#This Row],[autor_es]],autorest[autor_es],autorest[idioma_es])</f>
        <v>Chino</v>
      </c>
      <c r="K1294" s="6" t="str">
        <f>_xlfn.XLOOKUP(frasest[[#This Row],[autor_es]],autorest[autor_es],autorest[idioma_la])</f>
        <v>Lingua Sinica</v>
      </c>
      <c r="L1294" s="6" t="str">
        <f>_xlfn.XLOOKUP(frasest[[#This Row],[autor_es]],autorest[autor_es],autorest[nacion_es])</f>
        <v>China</v>
      </c>
      <c r="M1294" t="str">
        <f>_xlfn.XLOOKUP(frasest[[#This Row],[autor_es]],autorest[autor_es],autorest[nacion_la])</f>
        <v>Sinae</v>
      </c>
      <c r="N1294" t="str">
        <f>_xlfn.XLOOKUP(frasest[[#This Row],[autor_es]],autorest[autor_es],autorest[epoca_es])</f>
        <v>Epoca Desconocida</v>
      </c>
      <c r="O1294" t="str">
        <f>_xlfn.XLOOKUP(frasest[[#This Row],[autor_es]],autorest[autor_es],autorest[epoca_la])</f>
        <v>Epocha Ignota</v>
      </c>
    </row>
    <row r="1295" spans="1:15">
      <c r="A1295">
        <v>1294</v>
      </c>
      <c r="B1295" t="s">
        <v>3570</v>
      </c>
      <c r="C1295" t="s">
        <v>3571</v>
      </c>
      <c r="D1295" s="1" t="s">
        <v>3572</v>
      </c>
      <c r="E1295" t="s">
        <v>33</v>
      </c>
      <c r="F1295" t="str">
        <f>_xlfn.XLOOKUP(frasest[[#This Row],[autor_es]],autorest[autor_es],autorest[autor_la])</f>
        <v>Proverbium Sinense</v>
      </c>
      <c r="G1295" s="6" t="str">
        <f>_xlfn.XLOOKUP(frasest[[#This Row],[autor_es]],autorest[autor_es],autorest[bio_es])</f>
        <v>Conjunto de proverbios tradicionales de la cultura china que transmiten sabiduría popular, valores morales y enseñanzas prácticas transmitidas oralmente durante siglos.</v>
      </c>
      <c r="H1295" s="6" t="str">
        <f>_xlfn.XLOOKUP(frasest[[#This Row],[autor_es]],autorest[autor_es],autorest[bio_la])</f>
        <v>Collectio sententiarum Sinensium, magnopere in cultura tradita.</v>
      </c>
      <c r="I1295" t="str">
        <f>_xlfn.XLOOKUP(frasest[[#This Row],[autor_es]],autorest[autor_es],autorest[codigo])</f>
        <v>zh</v>
      </c>
      <c r="J1295" t="str">
        <f>_xlfn.XLOOKUP(frasest[[#This Row],[autor_es]],autorest[autor_es],autorest[idioma_es])</f>
        <v>Chino</v>
      </c>
      <c r="K1295" s="6" t="str">
        <f>_xlfn.XLOOKUP(frasest[[#This Row],[autor_es]],autorest[autor_es],autorest[idioma_la])</f>
        <v>Lingua Sinica</v>
      </c>
      <c r="L1295" s="6" t="str">
        <f>_xlfn.XLOOKUP(frasest[[#This Row],[autor_es]],autorest[autor_es],autorest[nacion_es])</f>
        <v>China</v>
      </c>
      <c r="M1295" t="str">
        <f>_xlfn.XLOOKUP(frasest[[#This Row],[autor_es]],autorest[autor_es],autorest[nacion_la])</f>
        <v>Sinae</v>
      </c>
      <c r="N1295" t="str">
        <f>_xlfn.XLOOKUP(frasest[[#This Row],[autor_es]],autorest[autor_es],autorest[epoca_es])</f>
        <v>Epoca Desconocida</v>
      </c>
      <c r="O1295" t="str">
        <f>_xlfn.XLOOKUP(frasest[[#This Row],[autor_es]],autorest[autor_es],autorest[epoca_la])</f>
        <v>Epocha Ignota</v>
      </c>
    </row>
    <row r="1296" spans="1:15">
      <c r="A1296">
        <v>1295</v>
      </c>
      <c r="B1296" t="s">
        <v>3573</v>
      </c>
      <c r="C1296" t="s">
        <v>3574</v>
      </c>
      <c r="D1296" s="1" t="s">
        <v>3575</v>
      </c>
      <c r="E1296" t="s">
        <v>33</v>
      </c>
      <c r="F1296" t="str">
        <f>_xlfn.XLOOKUP(frasest[[#This Row],[autor_es]],autorest[autor_es],autorest[autor_la])</f>
        <v>Proverbium Sinense</v>
      </c>
      <c r="G1296" s="6" t="str">
        <f>_xlfn.XLOOKUP(frasest[[#This Row],[autor_es]],autorest[autor_es],autorest[bio_es])</f>
        <v>Conjunto de proverbios tradicionales de la cultura china que transmiten sabiduría popular, valores morales y enseñanzas prácticas transmitidas oralmente durante siglos.</v>
      </c>
      <c r="H1296" s="6" t="str">
        <f>_xlfn.XLOOKUP(frasest[[#This Row],[autor_es]],autorest[autor_es],autorest[bio_la])</f>
        <v>Collectio sententiarum Sinensium, magnopere in cultura tradita.</v>
      </c>
      <c r="I1296" t="str">
        <f>_xlfn.XLOOKUP(frasest[[#This Row],[autor_es]],autorest[autor_es],autorest[codigo])</f>
        <v>zh</v>
      </c>
      <c r="J1296" t="str">
        <f>_xlfn.XLOOKUP(frasest[[#This Row],[autor_es]],autorest[autor_es],autorest[idioma_es])</f>
        <v>Chino</v>
      </c>
      <c r="K1296" s="6" t="str">
        <f>_xlfn.XLOOKUP(frasest[[#This Row],[autor_es]],autorest[autor_es],autorest[idioma_la])</f>
        <v>Lingua Sinica</v>
      </c>
      <c r="L1296" s="6" t="str">
        <f>_xlfn.XLOOKUP(frasest[[#This Row],[autor_es]],autorest[autor_es],autorest[nacion_es])</f>
        <v>China</v>
      </c>
      <c r="M1296" t="str">
        <f>_xlfn.XLOOKUP(frasest[[#This Row],[autor_es]],autorest[autor_es],autorest[nacion_la])</f>
        <v>Sinae</v>
      </c>
      <c r="N1296" t="str">
        <f>_xlfn.XLOOKUP(frasest[[#This Row],[autor_es]],autorest[autor_es],autorest[epoca_es])</f>
        <v>Epoca Desconocida</v>
      </c>
      <c r="O1296" t="str">
        <f>_xlfn.XLOOKUP(frasest[[#This Row],[autor_es]],autorest[autor_es],autorest[epoca_la])</f>
        <v>Epocha Ignota</v>
      </c>
    </row>
    <row r="1297" spans="1:15">
      <c r="A1297">
        <v>1296</v>
      </c>
      <c r="B1297" t="s">
        <v>3576</v>
      </c>
      <c r="C1297" t="s">
        <v>3577</v>
      </c>
      <c r="D1297" s="1" t="s">
        <v>2996</v>
      </c>
      <c r="E1297" t="s">
        <v>33</v>
      </c>
      <c r="F1297" t="str">
        <f>_xlfn.XLOOKUP(frasest[[#This Row],[autor_es]],autorest[autor_es],autorest[autor_la])</f>
        <v>Proverbium Sinense</v>
      </c>
      <c r="G1297" s="6" t="str">
        <f>_xlfn.XLOOKUP(frasest[[#This Row],[autor_es]],autorest[autor_es],autorest[bio_es])</f>
        <v>Conjunto de proverbios tradicionales de la cultura china que transmiten sabiduría popular, valores morales y enseñanzas prácticas transmitidas oralmente durante siglos.</v>
      </c>
      <c r="H1297" s="6" t="str">
        <f>_xlfn.XLOOKUP(frasest[[#This Row],[autor_es]],autorest[autor_es],autorest[bio_la])</f>
        <v>Collectio sententiarum Sinensium, magnopere in cultura tradita.</v>
      </c>
      <c r="I1297" t="str">
        <f>_xlfn.XLOOKUP(frasest[[#This Row],[autor_es]],autorest[autor_es],autorest[codigo])</f>
        <v>zh</v>
      </c>
      <c r="J1297" t="str">
        <f>_xlfn.XLOOKUP(frasest[[#This Row],[autor_es]],autorest[autor_es],autorest[idioma_es])</f>
        <v>Chino</v>
      </c>
      <c r="K1297" s="6" t="str">
        <f>_xlfn.XLOOKUP(frasest[[#This Row],[autor_es]],autorest[autor_es],autorest[idioma_la])</f>
        <v>Lingua Sinica</v>
      </c>
      <c r="L1297" s="6" t="str">
        <f>_xlfn.XLOOKUP(frasest[[#This Row],[autor_es]],autorest[autor_es],autorest[nacion_es])</f>
        <v>China</v>
      </c>
      <c r="M1297" t="str">
        <f>_xlfn.XLOOKUP(frasest[[#This Row],[autor_es]],autorest[autor_es],autorest[nacion_la])</f>
        <v>Sinae</v>
      </c>
      <c r="N1297" t="str">
        <f>_xlfn.XLOOKUP(frasest[[#This Row],[autor_es]],autorest[autor_es],autorest[epoca_es])</f>
        <v>Epoca Desconocida</v>
      </c>
      <c r="O1297" t="str">
        <f>_xlfn.XLOOKUP(frasest[[#This Row],[autor_es]],autorest[autor_es],autorest[epoca_la])</f>
        <v>Epocha Ignota</v>
      </c>
    </row>
    <row r="1298" spans="1:15">
      <c r="A1298">
        <v>1297</v>
      </c>
      <c r="B1298" t="s">
        <v>3578</v>
      </c>
      <c r="C1298" t="s">
        <v>3579</v>
      </c>
      <c r="D1298" s="1" t="s">
        <v>3580</v>
      </c>
      <c r="E1298" t="s">
        <v>33</v>
      </c>
      <c r="F1298" t="str">
        <f>_xlfn.XLOOKUP(frasest[[#This Row],[autor_es]],autorest[autor_es],autorest[autor_la])</f>
        <v>Proverbium Sinense</v>
      </c>
      <c r="G1298" s="6" t="str">
        <f>_xlfn.XLOOKUP(frasest[[#This Row],[autor_es]],autorest[autor_es],autorest[bio_es])</f>
        <v>Conjunto de proverbios tradicionales de la cultura china que transmiten sabiduría popular, valores morales y enseñanzas prácticas transmitidas oralmente durante siglos.</v>
      </c>
      <c r="H1298" s="6" t="str">
        <f>_xlfn.XLOOKUP(frasest[[#This Row],[autor_es]],autorest[autor_es],autorest[bio_la])</f>
        <v>Collectio sententiarum Sinensium, magnopere in cultura tradita.</v>
      </c>
      <c r="I1298" t="str">
        <f>_xlfn.XLOOKUP(frasest[[#This Row],[autor_es]],autorest[autor_es],autorest[codigo])</f>
        <v>zh</v>
      </c>
      <c r="J1298" t="str">
        <f>_xlfn.XLOOKUP(frasest[[#This Row],[autor_es]],autorest[autor_es],autorest[idioma_es])</f>
        <v>Chino</v>
      </c>
      <c r="K1298" s="6" t="str">
        <f>_xlfn.XLOOKUP(frasest[[#This Row],[autor_es]],autorest[autor_es],autorest[idioma_la])</f>
        <v>Lingua Sinica</v>
      </c>
      <c r="L1298" s="6" t="str">
        <f>_xlfn.XLOOKUP(frasest[[#This Row],[autor_es]],autorest[autor_es],autorest[nacion_es])</f>
        <v>China</v>
      </c>
      <c r="M1298" t="str">
        <f>_xlfn.XLOOKUP(frasest[[#This Row],[autor_es]],autorest[autor_es],autorest[nacion_la])</f>
        <v>Sinae</v>
      </c>
      <c r="N1298" t="str">
        <f>_xlfn.XLOOKUP(frasest[[#This Row],[autor_es]],autorest[autor_es],autorest[epoca_es])</f>
        <v>Epoca Desconocida</v>
      </c>
      <c r="O1298" t="str">
        <f>_xlfn.XLOOKUP(frasest[[#This Row],[autor_es]],autorest[autor_es],autorest[epoca_la])</f>
        <v>Epocha Ignota</v>
      </c>
    </row>
    <row r="1299" spans="1:15">
      <c r="A1299">
        <v>1298</v>
      </c>
      <c r="B1299" t="s">
        <v>3581</v>
      </c>
      <c r="C1299" t="s">
        <v>3582</v>
      </c>
      <c r="D1299" s="1" t="s">
        <v>3583</v>
      </c>
      <c r="E1299" t="s">
        <v>33</v>
      </c>
      <c r="F1299" t="str">
        <f>_xlfn.XLOOKUP(frasest[[#This Row],[autor_es]],autorest[autor_es],autorest[autor_la])</f>
        <v>Proverbium Sinense</v>
      </c>
      <c r="G1299" s="6" t="str">
        <f>_xlfn.XLOOKUP(frasest[[#This Row],[autor_es]],autorest[autor_es],autorest[bio_es])</f>
        <v>Conjunto de proverbios tradicionales de la cultura china que transmiten sabiduría popular, valores morales y enseñanzas prácticas transmitidas oralmente durante siglos.</v>
      </c>
      <c r="H1299" s="6" t="str">
        <f>_xlfn.XLOOKUP(frasest[[#This Row],[autor_es]],autorest[autor_es],autorest[bio_la])</f>
        <v>Collectio sententiarum Sinensium, magnopere in cultura tradita.</v>
      </c>
      <c r="I1299" t="str">
        <f>_xlfn.XLOOKUP(frasest[[#This Row],[autor_es]],autorest[autor_es],autorest[codigo])</f>
        <v>zh</v>
      </c>
      <c r="J1299" t="str">
        <f>_xlfn.XLOOKUP(frasest[[#This Row],[autor_es]],autorest[autor_es],autorest[idioma_es])</f>
        <v>Chino</v>
      </c>
      <c r="K1299" s="6" t="str">
        <f>_xlfn.XLOOKUP(frasest[[#This Row],[autor_es]],autorest[autor_es],autorest[idioma_la])</f>
        <v>Lingua Sinica</v>
      </c>
      <c r="L1299" s="6" t="str">
        <f>_xlfn.XLOOKUP(frasest[[#This Row],[autor_es]],autorest[autor_es],autorest[nacion_es])</f>
        <v>China</v>
      </c>
      <c r="M1299" t="str">
        <f>_xlfn.XLOOKUP(frasest[[#This Row],[autor_es]],autorest[autor_es],autorest[nacion_la])</f>
        <v>Sinae</v>
      </c>
      <c r="N1299" t="str">
        <f>_xlfn.XLOOKUP(frasest[[#This Row],[autor_es]],autorest[autor_es],autorest[epoca_es])</f>
        <v>Epoca Desconocida</v>
      </c>
      <c r="O1299" t="str">
        <f>_xlfn.XLOOKUP(frasest[[#This Row],[autor_es]],autorest[autor_es],autorest[epoca_la])</f>
        <v>Epocha Ignota</v>
      </c>
    </row>
    <row r="1300" spans="1:15">
      <c r="A1300">
        <v>1299</v>
      </c>
      <c r="B1300" t="s">
        <v>3584</v>
      </c>
      <c r="C1300" t="s">
        <v>3585</v>
      </c>
      <c r="D1300" s="1" t="s">
        <v>2972</v>
      </c>
      <c r="E1300" t="s">
        <v>33</v>
      </c>
      <c r="F1300" t="str">
        <f>_xlfn.XLOOKUP(frasest[[#This Row],[autor_es]],autorest[autor_es],autorest[autor_la])</f>
        <v>Proverbium Sinense</v>
      </c>
      <c r="G1300" s="6" t="str">
        <f>_xlfn.XLOOKUP(frasest[[#This Row],[autor_es]],autorest[autor_es],autorest[bio_es])</f>
        <v>Conjunto de proverbios tradicionales de la cultura china que transmiten sabiduría popular, valores morales y enseñanzas prácticas transmitidas oralmente durante siglos.</v>
      </c>
      <c r="H1300" s="6" t="str">
        <f>_xlfn.XLOOKUP(frasest[[#This Row],[autor_es]],autorest[autor_es],autorest[bio_la])</f>
        <v>Collectio sententiarum Sinensium, magnopere in cultura tradita.</v>
      </c>
      <c r="I1300" t="str">
        <f>_xlfn.XLOOKUP(frasest[[#This Row],[autor_es]],autorest[autor_es],autorest[codigo])</f>
        <v>zh</v>
      </c>
      <c r="J1300" t="str">
        <f>_xlfn.XLOOKUP(frasest[[#This Row],[autor_es]],autorest[autor_es],autorest[idioma_es])</f>
        <v>Chino</v>
      </c>
      <c r="K1300" s="6" t="str">
        <f>_xlfn.XLOOKUP(frasest[[#This Row],[autor_es]],autorest[autor_es],autorest[idioma_la])</f>
        <v>Lingua Sinica</v>
      </c>
      <c r="L1300" s="6" t="str">
        <f>_xlfn.XLOOKUP(frasest[[#This Row],[autor_es]],autorest[autor_es],autorest[nacion_es])</f>
        <v>China</v>
      </c>
      <c r="M1300" t="str">
        <f>_xlfn.XLOOKUP(frasest[[#This Row],[autor_es]],autorest[autor_es],autorest[nacion_la])</f>
        <v>Sinae</v>
      </c>
      <c r="N1300" t="str">
        <f>_xlfn.XLOOKUP(frasest[[#This Row],[autor_es]],autorest[autor_es],autorest[epoca_es])</f>
        <v>Epoca Desconocida</v>
      </c>
      <c r="O1300" t="str">
        <f>_xlfn.XLOOKUP(frasest[[#This Row],[autor_es]],autorest[autor_es],autorest[epoca_la])</f>
        <v>Epocha Ignota</v>
      </c>
    </row>
    <row r="1301" spans="1:15">
      <c r="A1301">
        <v>1300</v>
      </c>
      <c r="B1301" t="s">
        <v>3586</v>
      </c>
      <c r="C1301" t="s">
        <v>3587</v>
      </c>
      <c r="D1301" s="1" t="s">
        <v>3588</v>
      </c>
      <c r="E1301" t="s">
        <v>33</v>
      </c>
      <c r="F1301" t="str">
        <f>_xlfn.XLOOKUP(frasest[[#This Row],[autor_es]],autorest[autor_es],autorest[autor_la])</f>
        <v>Proverbium Sinense</v>
      </c>
      <c r="G1301" s="6" t="str">
        <f>_xlfn.XLOOKUP(frasest[[#This Row],[autor_es]],autorest[autor_es],autorest[bio_es])</f>
        <v>Conjunto de proverbios tradicionales de la cultura china que transmiten sabiduría popular, valores morales y enseñanzas prácticas transmitidas oralmente durante siglos.</v>
      </c>
      <c r="H1301" s="6" t="str">
        <f>_xlfn.XLOOKUP(frasest[[#This Row],[autor_es]],autorest[autor_es],autorest[bio_la])</f>
        <v>Collectio sententiarum Sinensium, magnopere in cultura tradita.</v>
      </c>
      <c r="I1301" t="str">
        <f>_xlfn.XLOOKUP(frasest[[#This Row],[autor_es]],autorest[autor_es],autorest[codigo])</f>
        <v>zh</v>
      </c>
      <c r="J1301" t="str">
        <f>_xlfn.XLOOKUP(frasest[[#This Row],[autor_es]],autorest[autor_es],autorest[idioma_es])</f>
        <v>Chino</v>
      </c>
      <c r="K1301" s="6" t="str">
        <f>_xlfn.XLOOKUP(frasest[[#This Row],[autor_es]],autorest[autor_es],autorest[idioma_la])</f>
        <v>Lingua Sinica</v>
      </c>
      <c r="L1301" s="6" t="str">
        <f>_xlfn.XLOOKUP(frasest[[#This Row],[autor_es]],autorest[autor_es],autorest[nacion_es])</f>
        <v>China</v>
      </c>
      <c r="M1301" t="str">
        <f>_xlfn.XLOOKUP(frasest[[#This Row],[autor_es]],autorest[autor_es],autorest[nacion_la])</f>
        <v>Sinae</v>
      </c>
      <c r="N1301" t="str">
        <f>_xlfn.XLOOKUP(frasest[[#This Row],[autor_es]],autorest[autor_es],autorest[epoca_es])</f>
        <v>Epoca Desconocida</v>
      </c>
      <c r="O1301" t="str">
        <f>_xlfn.XLOOKUP(frasest[[#This Row],[autor_es]],autorest[autor_es],autorest[epoca_la])</f>
        <v>Epocha Ignota</v>
      </c>
    </row>
    <row r="1302" spans="1:15">
      <c r="A1302">
        <v>1301</v>
      </c>
      <c r="B1302" t="s">
        <v>3589</v>
      </c>
      <c r="C1302" t="s">
        <v>3590</v>
      </c>
      <c r="D1302" s="1" t="s">
        <v>3591</v>
      </c>
      <c r="E1302" t="s">
        <v>33</v>
      </c>
      <c r="F1302" t="str">
        <f>_xlfn.XLOOKUP(frasest[[#This Row],[autor_es]],autorest[autor_es],autorest[autor_la])</f>
        <v>Proverbium Sinense</v>
      </c>
      <c r="G1302" s="6" t="str">
        <f>_xlfn.XLOOKUP(frasest[[#This Row],[autor_es]],autorest[autor_es],autorest[bio_es])</f>
        <v>Conjunto de proverbios tradicionales de la cultura china que transmiten sabiduría popular, valores morales y enseñanzas prácticas transmitidas oralmente durante siglos.</v>
      </c>
      <c r="H1302" s="6" t="str">
        <f>_xlfn.XLOOKUP(frasest[[#This Row],[autor_es]],autorest[autor_es],autorest[bio_la])</f>
        <v>Collectio sententiarum Sinensium, magnopere in cultura tradita.</v>
      </c>
      <c r="I1302" t="str">
        <f>_xlfn.XLOOKUP(frasest[[#This Row],[autor_es]],autorest[autor_es],autorest[codigo])</f>
        <v>zh</v>
      </c>
      <c r="J1302" t="str">
        <f>_xlfn.XLOOKUP(frasest[[#This Row],[autor_es]],autorest[autor_es],autorest[idioma_es])</f>
        <v>Chino</v>
      </c>
      <c r="K1302" s="6" t="str">
        <f>_xlfn.XLOOKUP(frasest[[#This Row],[autor_es]],autorest[autor_es],autorest[idioma_la])</f>
        <v>Lingua Sinica</v>
      </c>
      <c r="L1302" s="6" t="str">
        <f>_xlfn.XLOOKUP(frasest[[#This Row],[autor_es]],autorest[autor_es],autorest[nacion_es])</f>
        <v>China</v>
      </c>
      <c r="M1302" t="str">
        <f>_xlfn.XLOOKUP(frasest[[#This Row],[autor_es]],autorest[autor_es],autorest[nacion_la])</f>
        <v>Sinae</v>
      </c>
      <c r="N1302" t="str">
        <f>_xlfn.XLOOKUP(frasest[[#This Row],[autor_es]],autorest[autor_es],autorest[epoca_es])</f>
        <v>Epoca Desconocida</v>
      </c>
      <c r="O1302" t="str">
        <f>_xlfn.XLOOKUP(frasest[[#This Row],[autor_es]],autorest[autor_es],autorest[epoca_la])</f>
        <v>Epocha Ignota</v>
      </c>
    </row>
    <row r="1303" spans="1:15">
      <c r="A1303">
        <v>1302</v>
      </c>
      <c r="B1303" t="s">
        <v>3592</v>
      </c>
      <c r="C1303" t="s">
        <v>3593</v>
      </c>
      <c r="D1303" s="1" t="s">
        <v>3594</v>
      </c>
      <c r="E1303" t="s">
        <v>33</v>
      </c>
      <c r="F1303" t="str">
        <f>_xlfn.XLOOKUP(frasest[[#This Row],[autor_es]],autorest[autor_es],autorest[autor_la])</f>
        <v>Proverbium Sinense</v>
      </c>
      <c r="G1303" s="6" t="str">
        <f>_xlfn.XLOOKUP(frasest[[#This Row],[autor_es]],autorest[autor_es],autorest[bio_es])</f>
        <v>Conjunto de proverbios tradicionales de la cultura china que transmiten sabiduría popular, valores morales y enseñanzas prácticas transmitidas oralmente durante siglos.</v>
      </c>
      <c r="H1303" s="6" t="str">
        <f>_xlfn.XLOOKUP(frasest[[#This Row],[autor_es]],autorest[autor_es],autorest[bio_la])</f>
        <v>Collectio sententiarum Sinensium, magnopere in cultura tradita.</v>
      </c>
      <c r="I1303" t="str">
        <f>_xlfn.XLOOKUP(frasest[[#This Row],[autor_es]],autorest[autor_es],autorest[codigo])</f>
        <v>zh</v>
      </c>
      <c r="J1303" t="str">
        <f>_xlfn.XLOOKUP(frasest[[#This Row],[autor_es]],autorest[autor_es],autorest[idioma_es])</f>
        <v>Chino</v>
      </c>
      <c r="K1303" s="6" t="str">
        <f>_xlfn.XLOOKUP(frasest[[#This Row],[autor_es]],autorest[autor_es],autorest[idioma_la])</f>
        <v>Lingua Sinica</v>
      </c>
      <c r="L1303" s="6" t="str">
        <f>_xlfn.XLOOKUP(frasest[[#This Row],[autor_es]],autorest[autor_es],autorest[nacion_es])</f>
        <v>China</v>
      </c>
      <c r="M1303" t="str">
        <f>_xlfn.XLOOKUP(frasest[[#This Row],[autor_es]],autorest[autor_es],autorest[nacion_la])</f>
        <v>Sinae</v>
      </c>
      <c r="N1303" t="str">
        <f>_xlfn.XLOOKUP(frasest[[#This Row],[autor_es]],autorest[autor_es],autorest[epoca_es])</f>
        <v>Epoca Desconocida</v>
      </c>
      <c r="O1303" t="str">
        <f>_xlfn.XLOOKUP(frasest[[#This Row],[autor_es]],autorest[autor_es],autorest[epoca_la])</f>
        <v>Epocha Ignota</v>
      </c>
    </row>
    <row r="1304" spans="1:15">
      <c r="A1304">
        <v>1303</v>
      </c>
      <c r="B1304" t="s">
        <v>3595</v>
      </c>
      <c r="C1304" t="s">
        <v>3596</v>
      </c>
      <c r="D1304" s="1" t="s">
        <v>3597</v>
      </c>
      <c r="E1304" t="s">
        <v>33</v>
      </c>
      <c r="F1304" t="str">
        <f>_xlfn.XLOOKUP(frasest[[#This Row],[autor_es]],autorest[autor_es],autorest[autor_la])</f>
        <v>Proverbium Sinense</v>
      </c>
      <c r="G1304" s="6" t="str">
        <f>_xlfn.XLOOKUP(frasest[[#This Row],[autor_es]],autorest[autor_es],autorest[bio_es])</f>
        <v>Conjunto de proverbios tradicionales de la cultura china que transmiten sabiduría popular, valores morales y enseñanzas prácticas transmitidas oralmente durante siglos.</v>
      </c>
      <c r="H1304" s="6" t="str">
        <f>_xlfn.XLOOKUP(frasest[[#This Row],[autor_es]],autorest[autor_es],autorest[bio_la])</f>
        <v>Collectio sententiarum Sinensium, magnopere in cultura tradita.</v>
      </c>
      <c r="I1304" t="str">
        <f>_xlfn.XLOOKUP(frasest[[#This Row],[autor_es]],autorest[autor_es],autorest[codigo])</f>
        <v>zh</v>
      </c>
      <c r="J1304" t="str">
        <f>_xlfn.XLOOKUP(frasest[[#This Row],[autor_es]],autorest[autor_es],autorest[idioma_es])</f>
        <v>Chino</v>
      </c>
      <c r="K1304" s="6" t="str">
        <f>_xlfn.XLOOKUP(frasest[[#This Row],[autor_es]],autorest[autor_es],autorest[idioma_la])</f>
        <v>Lingua Sinica</v>
      </c>
      <c r="L1304" s="6" t="str">
        <f>_xlfn.XLOOKUP(frasest[[#This Row],[autor_es]],autorest[autor_es],autorest[nacion_es])</f>
        <v>China</v>
      </c>
      <c r="M1304" t="str">
        <f>_xlfn.XLOOKUP(frasest[[#This Row],[autor_es]],autorest[autor_es],autorest[nacion_la])</f>
        <v>Sinae</v>
      </c>
      <c r="N1304" t="str">
        <f>_xlfn.XLOOKUP(frasest[[#This Row],[autor_es]],autorest[autor_es],autorest[epoca_es])</f>
        <v>Epoca Desconocida</v>
      </c>
      <c r="O1304" t="str">
        <f>_xlfn.XLOOKUP(frasest[[#This Row],[autor_es]],autorest[autor_es],autorest[epoca_la])</f>
        <v>Epocha Ignota</v>
      </c>
    </row>
    <row r="1305" spans="1:15">
      <c r="A1305">
        <v>1304</v>
      </c>
      <c r="B1305" t="s">
        <v>3598</v>
      </c>
      <c r="C1305" t="s">
        <v>3599</v>
      </c>
      <c r="D1305" s="1" t="s">
        <v>3600</v>
      </c>
      <c r="E1305" t="s">
        <v>33</v>
      </c>
      <c r="F1305" t="str">
        <f>_xlfn.XLOOKUP(frasest[[#This Row],[autor_es]],autorest[autor_es],autorest[autor_la])</f>
        <v>Proverbium Sinense</v>
      </c>
      <c r="G1305" s="6" t="str">
        <f>_xlfn.XLOOKUP(frasest[[#This Row],[autor_es]],autorest[autor_es],autorest[bio_es])</f>
        <v>Conjunto de proverbios tradicionales de la cultura china que transmiten sabiduría popular, valores morales y enseñanzas prácticas transmitidas oralmente durante siglos.</v>
      </c>
      <c r="H1305" s="6" t="str">
        <f>_xlfn.XLOOKUP(frasest[[#This Row],[autor_es]],autorest[autor_es],autorest[bio_la])</f>
        <v>Collectio sententiarum Sinensium, magnopere in cultura tradita.</v>
      </c>
      <c r="I1305" t="str">
        <f>_xlfn.XLOOKUP(frasest[[#This Row],[autor_es]],autorest[autor_es],autorest[codigo])</f>
        <v>zh</v>
      </c>
      <c r="J1305" t="str">
        <f>_xlfn.XLOOKUP(frasest[[#This Row],[autor_es]],autorest[autor_es],autorest[idioma_es])</f>
        <v>Chino</v>
      </c>
      <c r="K1305" s="6" t="str">
        <f>_xlfn.XLOOKUP(frasest[[#This Row],[autor_es]],autorest[autor_es],autorest[idioma_la])</f>
        <v>Lingua Sinica</v>
      </c>
      <c r="L1305" s="6" t="str">
        <f>_xlfn.XLOOKUP(frasest[[#This Row],[autor_es]],autorest[autor_es],autorest[nacion_es])</f>
        <v>China</v>
      </c>
      <c r="M1305" t="str">
        <f>_xlfn.XLOOKUP(frasest[[#This Row],[autor_es]],autorest[autor_es],autorest[nacion_la])</f>
        <v>Sinae</v>
      </c>
      <c r="N1305" t="str">
        <f>_xlfn.XLOOKUP(frasest[[#This Row],[autor_es]],autorest[autor_es],autorest[epoca_es])</f>
        <v>Epoca Desconocida</v>
      </c>
      <c r="O1305" t="str">
        <f>_xlfn.XLOOKUP(frasest[[#This Row],[autor_es]],autorest[autor_es],autorest[epoca_la])</f>
        <v>Epocha Ignota</v>
      </c>
    </row>
    <row r="1306" spans="1:15">
      <c r="A1306">
        <v>1305</v>
      </c>
      <c r="B1306" t="s">
        <v>3601</v>
      </c>
      <c r="C1306" t="s">
        <v>3602</v>
      </c>
      <c r="D1306" s="1" t="s">
        <v>3603</v>
      </c>
      <c r="E1306" t="s">
        <v>33</v>
      </c>
      <c r="F1306" t="str">
        <f>_xlfn.XLOOKUP(frasest[[#This Row],[autor_es]],autorest[autor_es],autorest[autor_la])</f>
        <v>Proverbium Sinense</v>
      </c>
      <c r="G1306" s="6" t="str">
        <f>_xlfn.XLOOKUP(frasest[[#This Row],[autor_es]],autorest[autor_es],autorest[bio_es])</f>
        <v>Conjunto de proverbios tradicionales de la cultura china que transmiten sabiduría popular, valores morales y enseñanzas prácticas transmitidas oralmente durante siglos.</v>
      </c>
      <c r="H1306" s="6" t="str">
        <f>_xlfn.XLOOKUP(frasest[[#This Row],[autor_es]],autorest[autor_es],autorest[bio_la])</f>
        <v>Collectio sententiarum Sinensium, magnopere in cultura tradita.</v>
      </c>
      <c r="I1306" t="str">
        <f>_xlfn.XLOOKUP(frasest[[#This Row],[autor_es]],autorest[autor_es],autorest[codigo])</f>
        <v>zh</v>
      </c>
      <c r="J1306" t="str">
        <f>_xlfn.XLOOKUP(frasest[[#This Row],[autor_es]],autorest[autor_es],autorest[idioma_es])</f>
        <v>Chino</v>
      </c>
      <c r="K1306" s="6" t="str">
        <f>_xlfn.XLOOKUP(frasest[[#This Row],[autor_es]],autorest[autor_es],autorest[idioma_la])</f>
        <v>Lingua Sinica</v>
      </c>
      <c r="L1306" s="6" t="str">
        <f>_xlfn.XLOOKUP(frasest[[#This Row],[autor_es]],autorest[autor_es],autorest[nacion_es])</f>
        <v>China</v>
      </c>
      <c r="M1306" t="str">
        <f>_xlfn.XLOOKUP(frasest[[#This Row],[autor_es]],autorest[autor_es],autorest[nacion_la])</f>
        <v>Sinae</v>
      </c>
      <c r="N1306" t="str">
        <f>_xlfn.XLOOKUP(frasest[[#This Row],[autor_es]],autorest[autor_es],autorest[epoca_es])</f>
        <v>Epoca Desconocida</v>
      </c>
      <c r="O1306" t="str">
        <f>_xlfn.XLOOKUP(frasest[[#This Row],[autor_es]],autorest[autor_es],autorest[epoca_la])</f>
        <v>Epocha Ignota</v>
      </c>
    </row>
    <row r="1307" spans="1:15">
      <c r="A1307">
        <v>1306</v>
      </c>
      <c r="B1307" t="s">
        <v>3604</v>
      </c>
      <c r="C1307" t="s">
        <v>3605</v>
      </c>
      <c r="D1307" s="1" t="s">
        <v>3606</v>
      </c>
      <c r="E1307" t="s">
        <v>33</v>
      </c>
      <c r="F1307" t="str">
        <f>_xlfn.XLOOKUP(frasest[[#This Row],[autor_es]],autorest[autor_es],autorest[autor_la])</f>
        <v>Proverbium Sinense</v>
      </c>
      <c r="G1307" s="6" t="str">
        <f>_xlfn.XLOOKUP(frasest[[#This Row],[autor_es]],autorest[autor_es],autorest[bio_es])</f>
        <v>Conjunto de proverbios tradicionales de la cultura china que transmiten sabiduría popular, valores morales y enseñanzas prácticas transmitidas oralmente durante siglos.</v>
      </c>
      <c r="H1307" s="6" t="str">
        <f>_xlfn.XLOOKUP(frasest[[#This Row],[autor_es]],autorest[autor_es],autorest[bio_la])</f>
        <v>Collectio sententiarum Sinensium, magnopere in cultura tradita.</v>
      </c>
      <c r="I1307" t="str">
        <f>_xlfn.XLOOKUP(frasest[[#This Row],[autor_es]],autorest[autor_es],autorest[codigo])</f>
        <v>zh</v>
      </c>
      <c r="J1307" t="str">
        <f>_xlfn.XLOOKUP(frasest[[#This Row],[autor_es]],autorest[autor_es],autorest[idioma_es])</f>
        <v>Chino</v>
      </c>
      <c r="K1307" s="6" t="str">
        <f>_xlfn.XLOOKUP(frasest[[#This Row],[autor_es]],autorest[autor_es],autorest[idioma_la])</f>
        <v>Lingua Sinica</v>
      </c>
      <c r="L1307" s="6" t="str">
        <f>_xlfn.XLOOKUP(frasest[[#This Row],[autor_es]],autorest[autor_es],autorest[nacion_es])</f>
        <v>China</v>
      </c>
      <c r="M1307" t="str">
        <f>_xlfn.XLOOKUP(frasest[[#This Row],[autor_es]],autorest[autor_es],autorest[nacion_la])</f>
        <v>Sinae</v>
      </c>
      <c r="N1307" t="str">
        <f>_xlfn.XLOOKUP(frasest[[#This Row],[autor_es]],autorest[autor_es],autorest[epoca_es])</f>
        <v>Epoca Desconocida</v>
      </c>
      <c r="O1307" t="str">
        <f>_xlfn.XLOOKUP(frasest[[#This Row],[autor_es]],autorest[autor_es],autorest[epoca_la])</f>
        <v>Epocha Ignota</v>
      </c>
    </row>
    <row r="1308" spans="1:15">
      <c r="A1308">
        <v>1307</v>
      </c>
      <c r="B1308" t="s">
        <v>3607</v>
      </c>
      <c r="C1308" t="s">
        <v>3608</v>
      </c>
      <c r="D1308" s="1" t="s">
        <v>3609</v>
      </c>
      <c r="E1308" t="s">
        <v>33</v>
      </c>
      <c r="F1308" t="str">
        <f>_xlfn.XLOOKUP(frasest[[#This Row],[autor_es]],autorest[autor_es],autorest[autor_la])</f>
        <v>Proverbium Sinense</v>
      </c>
      <c r="G1308" s="6" t="str">
        <f>_xlfn.XLOOKUP(frasest[[#This Row],[autor_es]],autorest[autor_es],autorest[bio_es])</f>
        <v>Conjunto de proverbios tradicionales de la cultura china que transmiten sabiduría popular, valores morales y enseñanzas prácticas transmitidas oralmente durante siglos.</v>
      </c>
      <c r="H1308" s="6" t="str">
        <f>_xlfn.XLOOKUP(frasest[[#This Row],[autor_es]],autorest[autor_es],autorest[bio_la])</f>
        <v>Collectio sententiarum Sinensium, magnopere in cultura tradita.</v>
      </c>
      <c r="I1308" t="str">
        <f>_xlfn.XLOOKUP(frasest[[#This Row],[autor_es]],autorest[autor_es],autorest[codigo])</f>
        <v>zh</v>
      </c>
      <c r="J1308" t="str">
        <f>_xlfn.XLOOKUP(frasest[[#This Row],[autor_es]],autorest[autor_es],autorest[idioma_es])</f>
        <v>Chino</v>
      </c>
      <c r="K1308" s="6" t="str">
        <f>_xlfn.XLOOKUP(frasest[[#This Row],[autor_es]],autorest[autor_es],autorest[idioma_la])</f>
        <v>Lingua Sinica</v>
      </c>
      <c r="L1308" s="6" t="str">
        <f>_xlfn.XLOOKUP(frasest[[#This Row],[autor_es]],autorest[autor_es],autorest[nacion_es])</f>
        <v>China</v>
      </c>
      <c r="M1308" t="str">
        <f>_xlfn.XLOOKUP(frasest[[#This Row],[autor_es]],autorest[autor_es],autorest[nacion_la])</f>
        <v>Sinae</v>
      </c>
      <c r="N1308" t="str">
        <f>_xlfn.XLOOKUP(frasest[[#This Row],[autor_es]],autorest[autor_es],autorest[epoca_es])</f>
        <v>Epoca Desconocida</v>
      </c>
      <c r="O1308" t="str">
        <f>_xlfn.XLOOKUP(frasest[[#This Row],[autor_es]],autorest[autor_es],autorest[epoca_la])</f>
        <v>Epocha Ignota</v>
      </c>
    </row>
    <row r="1309" spans="1:15">
      <c r="A1309">
        <v>1308</v>
      </c>
      <c r="B1309" t="s">
        <v>3610</v>
      </c>
      <c r="C1309" t="s">
        <v>3611</v>
      </c>
      <c r="D1309" s="1" t="s">
        <v>3612</v>
      </c>
      <c r="E1309" t="s">
        <v>33</v>
      </c>
      <c r="F1309" t="str">
        <f>_xlfn.XLOOKUP(frasest[[#This Row],[autor_es]],autorest[autor_es],autorest[autor_la])</f>
        <v>Proverbium Sinense</v>
      </c>
      <c r="G1309" s="6" t="str">
        <f>_xlfn.XLOOKUP(frasest[[#This Row],[autor_es]],autorest[autor_es],autorest[bio_es])</f>
        <v>Conjunto de proverbios tradicionales de la cultura china que transmiten sabiduría popular, valores morales y enseñanzas prácticas transmitidas oralmente durante siglos.</v>
      </c>
      <c r="H1309" s="6" t="str">
        <f>_xlfn.XLOOKUP(frasest[[#This Row],[autor_es]],autorest[autor_es],autorest[bio_la])</f>
        <v>Collectio sententiarum Sinensium, magnopere in cultura tradita.</v>
      </c>
      <c r="I1309" t="str">
        <f>_xlfn.XLOOKUP(frasest[[#This Row],[autor_es]],autorest[autor_es],autorest[codigo])</f>
        <v>zh</v>
      </c>
      <c r="J1309" t="str">
        <f>_xlfn.XLOOKUP(frasest[[#This Row],[autor_es]],autorest[autor_es],autorest[idioma_es])</f>
        <v>Chino</v>
      </c>
      <c r="K1309" s="6" t="str">
        <f>_xlfn.XLOOKUP(frasest[[#This Row],[autor_es]],autorest[autor_es],autorest[idioma_la])</f>
        <v>Lingua Sinica</v>
      </c>
      <c r="L1309" s="6" t="str">
        <f>_xlfn.XLOOKUP(frasest[[#This Row],[autor_es]],autorest[autor_es],autorest[nacion_es])</f>
        <v>China</v>
      </c>
      <c r="M1309" t="str">
        <f>_xlfn.XLOOKUP(frasest[[#This Row],[autor_es]],autorest[autor_es],autorest[nacion_la])</f>
        <v>Sinae</v>
      </c>
      <c r="N1309" t="str">
        <f>_xlfn.XLOOKUP(frasest[[#This Row],[autor_es]],autorest[autor_es],autorest[epoca_es])</f>
        <v>Epoca Desconocida</v>
      </c>
      <c r="O1309" t="str">
        <f>_xlfn.XLOOKUP(frasest[[#This Row],[autor_es]],autorest[autor_es],autorest[epoca_la])</f>
        <v>Epocha Ignota</v>
      </c>
    </row>
    <row r="1310" spans="1:15">
      <c r="A1310">
        <v>1309</v>
      </c>
      <c r="B1310" t="s">
        <v>3613</v>
      </c>
      <c r="C1310" t="s">
        <v>3614</v>
      </c>
      <c r="D1310" s="1" t="s">
        <v>3615</v>
      </c>
      <c r="E1310" t="s">
        <v>33</v>
      </c>
      <c r="F1310" t="str">
        <f>_xlfn.XLOOKUP(frasest[[#This Row],[autor_es]],autorest[autor_es],autorest[autor_la])</f>
        <v>Proverbium Sinense</v>
      </c>
      <c r="G1310" s="6" t="str">
        <f>_xlfn.XLOOKUP(frasest[[#This Row],[autor_es]],autorest[autor_es],autorest[bio_es])</f>
        <v>Conjunto de proverbios tradicionales de la cultura china que transmiten sabiduría popular, valores morales y enseñanzas prácticas transmitidas oralmente durante siglos.</v>
      </c>
      <c r="H1310" s="6" t="str">
        <f>_xlfn.XLOOKUP(frasest[[#This Row],[autor_es]],autorest[autor_es],autorest[bio_la])</f>
        <v>Collectio sententiarum Sinensium, magnopere in cultura tradita.</v>
      </c>
      <c r="I1310" t="str">
        <f>_xlfn.XLOOKUP(frasest[[#This Row],[autor_es]],autorest[autor_es],autorest[codigo])</f>
        <v>zh</v>
      </c>
      <c r="J1310" t="str">
        <f>_xlfn.XLOOKUP(frasest[[#This Row],[autor_es]],autorest[autor_es],autorest[idioma_es])</f>
        <v>Chino</v>
      </c>
      <c r="K1310" s="6" t="str">
        <f>_xlfn.XLOOKUP(frasest[[#This Row],[autor_es]],autorest[autor_es],autorest[idioma_la])</f>
        <v>Lingua Sinica</v>
      </c>
      <c r="L1310" s="6" t="str">
        <f>_xlfn.XLOOKUP(frasest[[#This Row],[autor_es]],autorest[autor_es],autorest[nacion_es])</f>
        <v>China</v>
      </c>
      <c r="M1310" t="str">
        <f>_xlfn.XLOOKUP(frasest[[#This Row],[autor_es]],autorest[autor_es],autorest[nacion_la])</f>
        <v>Sinae</v>
      </c>
      <c r="N1310" t="str">
        <f>_xlfn.XLOOKUP(frasest[[#This Row],[autor_es]],autorest[autor_es],autorest[epoca_es])</f>
        <v>Epoca Desconocida</v>
      </c>
      <c r="O1310" t="str">
        <f>_xlfn.XLOOKUP(frasest[[#This Row],[autor_es]],autorest[autor_es],autorest[epoca_la])</f>
        <v>Epocha Ignota</v>
      </c>
    </row>
    <row r="1311" spans="1:15">
      <c r="A1311">
        <v>1310</v>
      </c>
      <c r="B1311" t="s">
        <v>3616</v>
      </c>
      <c r="C1311" t="s">
        <v>3617</v>
      </c>
      <c r="D1311" s="1" t="s">
        <v>3618</v>
      </c>
      <c r="E1311" t="s">
        <v>33</v>
      </c>
      <c r="F1311" t="str">
        <f>_xlfn.XLOOKUP(frasest[[#This Row],[autor_es]],autorest[autor_es],autorest[autor_la])</f>
        <v>Proverbium Sinense</v>
      </c>
      <c r="G1311" s="6" t="str">
        <f>_xlfn.XLOOKUP(frasest[[#This Row],[autor_es]],autorest[autor_es],autorest[bio_es])</f>
        <v>Conjunto de proverbios tradicionales de la cultura china que transmiten sabiduría popular, valores morales y enseñanzas prácticas transmitidas oralmente durante siglos.</v>
      </c>
      <c r="H1311" s="6" t="str">
        <f>_xlfn.XLOOKUP(frasest[[#This Row],[autor_es]],autorest[autor_es],autorest[bio_la])</f>
        <v>Collectio sententiarum Sinensium, magnopere in cultura tradita.</v>
      </c>
      <c r="I1311" t="str">
        <f>_xlfn.XLOOKUP(frasest[[#This Row],[autor_es]],autorest[autor_es],autorest[codigo])</f>
        <v>zh</v>
      </c>
      <c r="J1311" t="str">
        <f>_xlfn.XLOOKUP(frasest[[#This Row],[autor_es]],autorest[autor_es],autorest[idioma_es])</f>
        <v>Chino</v>
      </c>
      <c r="K1311" s="6" t="str">
        <f>_xlfn.XLOOKUP(frasest[[#This Row],[autor_es]],autorest[autor_es],autorest[idioma_la])</f>
        <v>Lingua Sinica</v>
      </c>
      <c r="L1311" s="6" t="str">
        <f>_xlfn.XLOOKUP(frasest[[#This Row],[autor_es]],autorest[autor_es],autorest[nacion_es])</f>
        <v>China</v>
      </c>
      <c r="M1311" t="str">
        <f>_xlfn.XLOOKUP(frasest[[#This Row],[autor_es]],autorest[autor_es],autorest[nacion_la])</f>
        <v>Sinae</v>
      </c>
      <c r="N1311" t="str">
        <f>_xlfn.XLOOKUP(frasest[[#This Row],[autor_es]],autorest[autor_es],autorest[epoca_es])</f>
        <v>Epoca Desconocida</v>
      </c>
      <c r="O1311" t="str">
        <f>_xlfn.XLOOKUP(frasest[[#This Row],[autor_es]],autorest[autor_es],autorest[epoca_la])</f>
        <v>Epocha Ignota</v>
      </c>
    </row>
    <row r="1312" spans="1:15">
      <c r="A1312">
        <v>1311</v>
      </c>
      <c r="B1312" t="s">
        <v>3619</v>
      </c>
      <c r="C1312" t="s">
        <v>3620</v>
      </c>
      <c r="D1312" s="1" t="s">
        <v>3621</v>
      </c>
      <c r="E1312" t="s">
        <v>33</v>
      </c>
      <c r="F1312" t="str">
        <f>_xlfn.XLOOKUP(frasest[[#This Row],[autor_es]],autorest[autor_es],autorest[autor_la])</f>
        <v>Proverbium Sinense</v>
      </c>
      <c r="G1312" s="6" t="str">
        <f>_xlfn.XLOOKUP(frasest[[#This Row],[autor_es]],autorest[autor_es],autorest[bio_es])</f>
        <v>Conjunto de proverbios tradicionales de la cultura china que transmiten sabiduría popular, valores morales y enseñanzas prácticas transmitidas oralmente durante siglos.</v>
      </c>
      <c r="H1312" s="6" t="str">
        <f>_xlfn.XLOOKUP(frasest[[#This Row],[autor_es]],autorest[autor_es],autorest[bio_la])</f>
        <v>Collectio sententiarum Sinensium, magnopere in cultura tradita.</v>
      </c>
      <c r="I1312" t="str">
        <f>_xlfn.XLOOKUP(frasest[[#This Row],[autor_es]],autorest[autor_es],autorest[codigo])</f>
        <v>zh</v>
      </c>
      <c r="J1312" t="str">
        <f>_xlfn.XLOOKUP(frasest[[#This Row],[autor_es]],autorest[autor_es],autorest[idioma_es])</f>
        <v>Chino</v>
      </c>
      <c r="K1312" s="6" t="str">
        <f>_xlfn.XLOOKUP(frasest[[#This Row],[autor_es]],autorest[autor_es],autorest[idioma_la])</f>
        <v>Lingua Sinica</v>
      </c>
      <c r="L1312" s="6" t="str">
        <f>_xlfn.XLOOKUP(frasest[[#This Row],[autor_es]],autorest[autor_es],autorest[nacion_es])</f>
        <v>China</v>
      </c>
      <c r="M1312" t="str">
        <f>_xlfn.XLOOKUP(frasest[[#This Row],[autor_es]],autorest[autor_es],autorest[nacion_la])</f>
        <v>Sinae</v>
      </c>
      <c r="N1312" t="str">
        <f>_xlfn.XLOOKUP(frasest[[#This Row],[autor_es]],autorest[autor_es],autorest[epoca_es])</f>
        <v>Epoca Desconocida</v>
      </c>
      <c r="O1312" t="str">
        <f>_xlfn.XLOOKUP(frasest[[#This Row],[autor_es]],autorest[autor_es],autorest[epoca_la])</f>
        <v>Epocha Ignota</v>
      </c>
    </row>
    <row r="1313" spans="1:15">
      <c r="A1313">
        <v>1312</v>
      </c>
      <c r="B1313" t="s">
        <v>3622</v>
      </c>
      <c r="C1313" t="s">
        <v>3623</v>
      </c>
      <c r="D1313" s="1" t="s">
        <v>3624</v>
      </c>
      <c r="E1313" t="s">
        <v>33</v>
      </c>
      <c r="F1313" t="str">
        <f>_xlfn.XLOOKUP(frasest[[#This Row],[autor_es]],autorest[autor_es],autorest[autor_la])</f>
        <v>Proverbium Sinense</v>
      </c>
      <c r="G1313" s="6" t="str">
        <f>_xlfn.XLOOKUP(frasest[[#This Row],[autor_es]],autorest[autor_es],autorest[bio_es])</f>
        <v>Conjunto de proverbios tradicionales de la cultura china que transmiten sabiduría popular, valores morales y enseñanzas prácticas transmitidas oralmente durante siglos.</v>
      </c>
      <c r="H1313" s="6" t="str">
        <f>_xlfn.XLOOKUP(frasest[[#This Row],[autor_es]],autorest[autor_es],autorest[bio_la])</f>
        <v>Collectio sententiarum Sinensium, magnopere in cultura tradita.</v>
      </c>
      <c r="I1313" t="str">
        <f>_xlfn.XLOOKUP(frasest[[#This Row],[autor_es]],autorest[autor_es],autorest[codigo])</f>
        <v>zh</v>
      </c>
      <c r="J1313" t="str">
        <f>_xlfn.XLOOKUP(frasest[[#This Row],[autor_es]],autorest[autor_es],autorest[idioma_es])</f>
        <v>Chino</v>
      </c>
      <c r="K1313" s="6" t="str">
        <f>_xlfn.XLOOKUP(frasest[[#This Row],[autor_es]],autorest[autor_es],autorest[idioma_la])</f>
        <v>Lingua Sinica</v>
      </c>
      <c r="L1313" s="6" t="str">
        <f>_xlfn.XLOOKUP(frasest[[#This Row],[autor_es]],autorest[autor_es],autorest[nacion_es])</f>
        <v>China</v>
      </c>
      <c r="M1313" t="str">
        <f>_xlfn.XLOOKUP(frasest[[#This Row],[autor_es]],autorest[autor_es],autorest[nacion_la])</f>
        <v>Sinae</v>
      </c>
      <c r="N1313" t="str">
        <f>_xlfn.XLOOKUP(frasest[[#This Row],[autor_es]],autorest[autor_es],autorest[epoca_es])</f>
        <v>Epoca Desconocida</v>
      </c>
      <c r="O1313" t="str">
        <f>_xlfn.XLOOKUP(frasest[[#This Row],[autor_es]],autorest[autor_es],autorest[epoca_la])</f>
        <v>Epocha Ignota</v>
      </c>
    </row>
    <row r="1314" spans="1:15">
      <c r="A1314">
        <v>1313</v>
      </c>
      <c r="B1314" t="s">
        <v>3625</v>
      </c>
      <c r="C1314" t="s">
        <v>3626</v>
      </c>
      <c r="D1314" s="1" t="s">
        <v>3627</v>
      </c>
      <c r="E1314" t="s">
        <v>33</v>
      </c>
      <c r="F1314" t="str">
        <f>_xlfn.XLOOKUP(frasest[[#This Row],[autor_es]],autorest[autor_es],autorest[autor_la])</f>
        <v>Proverbium Sinense</v>
      </c>
      <c r="G1314" s="6" t="str">
        <f>_xlfn.XLOOKUP(frasest[[#This Row],[autor_es]],autorest[autor_es],autorest[bio_es])</f>
        <v>Conjunto de proverbios tradicionales de la cultura china que transmiten sabiduría popular, valores morales y enseñanzas prácticas transmitidas oralmente durante siglos.</v>
      </c>
      <c r="H1314" s="6" t="str">
        <f>_xlfn.XLOOKUP(frasest[[#This Row],[autor_es]],autorest[autor_es],autorest[bio_la])</f>
        <v>Collectio sententiarum Sinensium, magnopere in cultura tradita.</v>
      </c>
      <c r="I1314" t="str">
        <f>_xlfn.XLOOKUP(frasest[[#This Row],[autor_es]],autorest[autor_es],autorest[codigo])</f>
        <v>zh</v>
      </c>
      <c r="J1314" t="str">
        <f>_xlfn.XLOOKUP(frasest[[#This Row],[autor_es]],autorest[autor_es],autorest[idioma_es])</f>
        <v>Chino</v>
      </c>
      <c r="K1314" s="6" t="str">
        <f>_xlfn.XLOOKUP(frasest[[#This Row],[autor_es]],autorest[autor_es],autorest[idioma_la])</f>
        <v>Lingua Sinica</v>
      </c>
      <c r="L1314" s="6" t="str">
        <f>_xlfn.XLOOKUP(frasest[[#This Row],[autor_es]],autorest[autor_es],autorest[nacion_es])</f>
        <v>China</v>
      </c>
      <c r="M1314" t="str">
        <f>_xlfn.XLOOKUP(frasest[[#This Row],[autor_es]],autorest[autor_es],autorest[nacion_la])</f>
        <v>Sinae</v>
      </c>
      <c r="N1314" t="str">
        <f>_xlfn.XLOOKUP(frasest[[#This Row],[autor_es]],autorest[autor_es],autorest[epoca_es])</f>
        <v>Epoca Desconocida</v>
      </c>
      <c r="O1314" t="str">
        <f>_xlfn.XLOOKUP(frasest[[#This Row],[autor_es]],autorest[autor_es],autorest[epoca_la])</f>
        <v>Epocha Ignota</v>
      </c>
    </row>
    <row r="1315" spans="1:15">
      <c r="A1315">
        <v>1314</v>
      </c>
      <c r="B1315" t="s">
        <v>3628</v>
      </c>
      <c r="C1315" t="s">
        <v>3629</v>
      </c>
      <c r="D1315" s="1" t="s">
        <v>3630</v>
      </c>
      <c r="E1315" t="s">
        <v>33</v>
      </c>
      <c r="F1315" t="str">
        <f>_xlfn.XLOOKUP(frasest[[#This Row],[autor_es]],autorest[autor_es],autorest[autor_la])</f>
        <v>Proverbium Sinense</v>
      </c>
      <c r="G1315" s="6" t="str">
        <f>_xlfn.XLOOKUP(frasest[[#This Row],[autor_es]],autorest[autor_es],autorest[bio_es])</f>
        <v>Conjunto de proverbios tradicionales de la cultura china que transmiten sabiduría popular, valores morales y enseñanzas prácticas transmitidas oralmente durante siglos.</v>
      </c>
      <c r="H1315" s="6" t="str">
        <f>_xlfn.XLOOKUP(frasest[[#This Row],[autor_es]],autorest[autor_es],autorest[bio_la])</f>
        <v>Collectio sententiarum Sinensium, magnopere in cultura tradita.</v>
      </c>
      <c r="I1315" t="str">
        <f>_xlfn.XLOOKUP(frasest[[#This Row],[autor_es]],autorest[autor_es],autorest[codigo])</f>
        <v>zh</v>
      </c>
      <c r="J1315" t="str">
        <f>_xlfn.XLOOKUP(frasest[[#This Row],[autor_es]],autorest[autor_es],autorest[idioma_es])</f>
        <v>Chino</v>
      </c>
      <c r="K1315" s="6" t="str">
        <f>_xlfn.XLOOKUP(frasest[[#This Row],[autor_es]],autorest[autor_es],autorest[idioma_la])</f>
        <v>Lingua Sinica</v>
      </c>
      <c r="L1315" s="6" t="str">
        <f>_xlfn.XLOOKUP(frasest[[#This Row],[autor_es]],autorest[autor_es],autorest[nacion_es])</f>
        <v>China</v>
      </c>
      <c r="M1315" t="str">
        <f>_xlfn.XLOOKUP(frasest[[#This Row],[autor_es]],autorest[autor_es],autorest[nacion_la])</f>
        <v>Sinae</v>
      </c>
      <c r="N1315" t="str">
        <f>_xlfn.XLOOKUP(frasest[[#This Row],[autor_es]],autorest[autor_es],autorest[epoca_es])</f>
        <v>Epoca Desconocida</v>
      </c>
      <c r="O1315" t="str">
        <f>_xlfn.XLOOKUP(frasest[[#This Row],[autor_es]],autorest[autor_es],autorest[epoca_la])</f>
        <v>Epocha Ignota</v>
      </c>
    </row>
    <row r="1316" spans="1:15">
      <c r="A1316">
        <v>1315</v>
      </c>
      <c r="B1316" t="s">
        <v>3631</v>
      </c>
      <c r="C1316" t="s">
        <v>3632</v>
      </c>
      <c r="D1316" s="1" t="s">
        <v>3160</v>
      </c>
      <c r="E1316" t="s">
        <v>33</v>
      </c>
      <c r="F1316" t="str">
        <f>_xlfn.XLOOKUP(frasest[[#This Row],[autor_es]],autorest[autor_es],autorest[autor_la])</f>
        <v>Proverbium Sinense</v>
      </c>
      <c r="G1316" s="6" t="str">
        <f>_xlfn.XLOOKUP(frasest[[#This Row],[autor_es]],autorest[autor_es],autorest[bio_es])</f>
        <v>Conjunto de proverbios tradicionales de la cultura china que transmiten sabiduría popular, valores morales y enseñanzas prácticas transmitidas oralmente durante siglos.</v>
      </c>
      <c r="H1316" s="6" t="str">
        <f>_xlfn.XLOOKUP(frasest[[#This Row],[autor_es]],autorest[autor_es],autorest[bio_la])</f>
        <v>Collectio sententiarum Sinensium, magnopere in cultura tradita.</v>
      </c>
      <c r="I1316" t="str">
        <f>_xlfn.XLOOKUP(frasest[[#This Row],[autor_es]],autorest[autor_es],autorest[codigo])</f>
        <v>zh</v>
      </c>
      <c r="J1316" t="str">
        <f>_xlfn.XLOOKUP(frasest[[#This Row],[autor_es]],autorest[autor_es],autorest[idioma_es])</f>
        <v>Chino</v>
      </c>
      <c r="K1316" s="6" t="str">
        <f>_xlfn.XLOOKUP(frasest[[#This Row],[autor_es]],autorest[autor_es],autorest[idioma_la])</f>
        <v>Lingua Sinica</v>
      </c>
      <c r="L1316" s="6" t="str">
        <f>_xlfn.XLOOKUP(frasest[[#This Row],[autor_es]],autorest[autor_es],autorest[nacion_es])</f>
        <v>China</v>
      </c>
      <c r="M1316" t="str">
        <f>_xlfn.XLOOKUP(frasest[[#This Row],[autor_es]],autorest[autor_es],autorest[nacion_la])</f>
        <v>Sinae</v>
      </c>
      <c r="N1316" t="str">
        <f>_xlfn.XLOOKUP(frasest[[#This Row],[autor_es]],autorest[autor_es],autorest[epoca_es])</f>
        <v>Epoca Desconocida</v>
      </c>
      <c r="O1316" t="str">
        <f>_xlfn.XLOOKUP(frasest[[#This Row],[autor_es]],autorest[autor_es],autorest[epoca_la])</f>
        <v>Epocha Ignota</v>
      </c>
    </row>
    <row r="1317" spans="1:15">
      <c r="A1317">
        <v>1316</v>
      </c>
      <c r="B1317" t="s">
        <v>3633</v>
      </c>
      <c r="C1317" t="s">
        <v>3634</v>
      </c>
      <c r="D1317" s="1" t="s">
        <v>3635</v>
      </c>
      <c r="E1317" t="s">
        <v>33</v>
      </c>
      <c r="F1317" t="str">
        <f>_xlfn.XLOOKUP(frasest[[#This Row],[autor_es]],autorest[autor_es],autorest[autor_la])</f>
        <v>Proverbium Sinense</v>
      </c>
      <c r="G1317" s="6" t="str">
        <f>_xlfn.XLOOKUP(frasest[[#This Row],[autor_es]],autorest[autor_es],autorest[bio_es])</f>
        <v>Conjunto de proverbios tradicionales de la cultura china que transmiten sabiduría popular, valores morales y enseñanzas prácticas transmitidas oralmente durante siglos.</v>
      </c>
      <c r="H1317" s="6" t="str">
        <f>_xlfn.XLOOKUP(frasest[[#This Row],[autor_es]],autorest[autor_es],autorest[bio_la])</f>
        <v>Collectio sententiarum Sinensium, magnopere in cultura tradita.</v>
      </c>
      <c r="I1317" t="str">
        <f>_xlfn.XLOOKUP(frasest[[#This Row],[autor_es]],autorest[autor_es],autorest[codigo])</f>
        <v>zh</v>
      </c>
      <c r="J1317" t="str">
        <f>_xlfn.XLOOKUP(frasest[[#This Row],[autor_es]],autorest[autor_es],autorest[idioma_es])</f>
        <v>Chino</v>
      </c>
      <c r="K1317" s="6" t="str">
        <f>_xlfn.XLOOKUP(frasest[[#This Row],[autor_es]],autorest[autor_es],autorest[idioma_la])</f>
        <v>Lingua Sinica</v>
      </c>
      <c r="L1317" s="6" t="str">
        <f>_xlfn.XLOOKUP(frasest[[#This Row],[autor_es]],autorest[autor_es],autorest[nacion_es])</f>
        <v>China</v>
      </c>
      <c r="M1317" t="str">
        <f>_xlfn.XLOOKUP(frasest[[#This Row],[autor_es]],autorest[autor_es],autorest[nacion_la])</f>
        <v>Sinae</v>
      </c>
      <c r="N1317" t="str">
        <f>_xlfn.XLOOKUP(frasest[[#This Row],[autor_es]],autorest[autor_es],autorest[epoca_es])</f>
        <v>Epoca Desconocida</v>
      </c>
      <c r="O1317" t="str">
        <f>_xlfn.XLOOKUP(frasest[[#This Row],[autor_es]],autorest[autor_es],autorest[epoca_la])</f>
        <v>Epocha Ignota</v>
      </c>
    </row>
    <row r="1318" spans="1:15">
      <c r="A1318">
        <v>1317</v>
      </c>
      <c r="B1318" t="s">
        <v>3636</v>
      </c>
      <c r="C1318" t="s">
        <v>3637</v>
      </c>
      <c r="D1318" s="1" t="s">
        <v>3638</v>
      </c>
      <c r="E1318" t="s">
        <v>33</v>
      </c>
      <c r="F1318" t="str">
        <f>_xlfn.XLOOKUP(frasest[[#This Row],[autor_es]],autorest[autor_es],autorest[autor_la])</f>
        <v>Proverbium Sinense</v>
      </c>
      <c r="G1318" s="6" t="str">
        <f>_xlfn.XLOOKUP(frasest[[#This Row],[autor_es]],autorest[autor_es],autorest[bio_es])</f>
        <v>Conjunto de proverbios tradicionales de la cultura china que transmiten sabiduría popular, valores morales y enseñanzas prácticas transmitidas oralmente durante siglos.</v>
      </c>
      <c r="H1318" s="6" t="str">
        <f>_xlfn.XLOOKUP(frasest[[#This Row],[autor_es]],autorest[autor_es],autorest[bio_la])</f>
        <v>Collectio sententiarum Sinensium, magnopere in cultura tradita.</v>
      </c>
      <c r="I1318" t="str">
        <f>_xlfn.XLOOKUP(frasest[[#This Row],[autor_es]],autorest[autor_es],autorest[codigo])</f>
        <v>zh</v>
      </c>
      <c r="J1318" t="str">
        <f>_xlfn.XLOOKUP(frasest[[#This Row],[autor_es]],autorest[autor_es],autorest[idioma_es])</f>
        <v>Chino</v>
      </c>
      <c r="K1318" s="6" t="str">
        <f>_xlfn.XLOOKUP(frasest[[#This Row],[autor_es]],autorest[autor_es],autorest[idioma_la])</f>
        <v>Lingua Sinica</v>
      </c>
      <c r="L1318" s="6" t="str">
        <f>_xlfn.XLOOKUP(frasest[[#This Row],[autor_es]],autorest[autor_es],autorest[nacion_es])</f>
        <v>China</v>
      </c>
      <c r="M1318" t="str">
        <f>_xlfn.XLOOKUP(frasest[[#This Row],[autor_es]],autorest[autor_es],autorest[nacion_la])</f>
        <v>Sinae</v>
      </c>
      <c r="N1318" t="str">
        <f>_xlfn.XLOOKUP(frasest[[#This Row],[autor_es]],autorest[autor_es],autorest[epoca_es])</f>
        <v>Epoca Desconocida</v>
      </c>
      <c r="O1318" t="str">
        <f>_xlfn.XLOOKUP(frasest[[#This Row],[autor_es]],autorest[autor_es],autorest[epoca_la])</f>
        <v>Epocha Ignota</v>
      </c>
    </row>
    <row r="1319" spans="1:15">
      <c r="A1319">
        <v>1318</v>
      </c>
      <c r="B1319" t="s">
        <v>105</v>
      </c>
      <c r="C1319" t="s">
        <v>3639</v>
      </c>
      <c r="D1319" s="1" t="s">
        <v>3640</v>
      </c>
      <c r="E1319" t="s">
        <v>33</v>
      </c>
      <c r="F1319" t="str">
        <f>_xlfn.XLOOKUP(frasest[[#This Row],[autor_es]],autorest[autor_es],autorest[autor_la])</f>
        <v>Proverbium Sinense</v>
      </c>
      <c r="G1319" s="6" t="str">
        <f>_xlfn.XLOOKUP(frasest[[#This Row],[autor_es]],autorest[autor_es],autorest[bio_es])</f>
        <v>Conjunto de proverbios tradicionales de la cultura china que transmiten sabiduría popular, valores morales y enseñanzas prácticas transmitidas oralmente durante siglos.</v>
      </c>
      <c r="H1319" s="6" t="str">
        <f>_xlfn.XLOOKUP(frasest[[#This Row],[autor_es]],autorest[autor_es],autorest[bio_la])</f>
        <v>Collectio sententiarum Sinensium, magnopere in cultura tradita.</v>
      </c>
      <c r="I1319" t="str">
        <f>_xlfn.XLOOKUP(frasest[[#This Row],[autor_es]],autorest[autor_es],autorest[codigo])</f>
        <v>zh</v>
      </c>
      <c r="J1319" t="str">
        <f>_xlfn.XLOOKUP(frasest[[#This Row],[autor_es]],autorest[autor_es],autorest[idioma_es])</f>
        <v>Chino</v>
      </c>
      <c r="K1319" s="6" t="str">
        <f>_xlfn.XLOOKUP(frasest[[#This Row],[autor_es]],autorest[autor_es],autorest[idioma_la])</f>
        <v>Lingua Sinica</v>
      </c>
      <c r="L1319" s="6" t="str">
        <f>_xlfn.XLOOKUP(frasest[[#This Row],[autor_es]],autorest[autor_es],autorest[nacion_es])</f>
        <v>China</v>
      </c>
      <c r="M1319" t="str">
        <f>_xlfn.XLOOKUP(frasest[[#This Row],[autor_es]],autorest[autor_es],autorest[nacion_la])</f>
        <v>Sinae</v>
      </c>
      <c r="N1319" t="str">
        <f>_xlfn.XLOOKUP(frasest[[#This Row],[autor_es]],autorest[autor_es],autorest[epoca_es])</f>
        <v>Epoca Desconocida</v>
      </c>
      <c r="O1319" t="str">
        <f>_xlfn.XLOOKUP(frasest[[#This Row],[autor_es]],autorest[autor_es],autorest[epoca_la])</f>
        <v>Epocha Ignota</v>
      </c>
    </row>
    <row r="1320" spans="1:15">
      <c r="A1320">
        <v>1319</v>
      </c>
      <c r="B1320" t="s">
        <v>3641</v>
      </c>
      <c r="C1320" t="s">
        <v>3642</v>
      </c>
      <c r="D1320" s="1" t="s">
        <v>3398</v>
      </c>
      <c r="E1320" t="s">
        <v>33</v>
      </c>
      <c r="F1320" t="str">
        <f>_xlfn.XLOOKUP(frasest[[#This Row],[autor_es]],autorest[autor_es],autorest[autor_la])</f>
        <v>Proverbium Sinense</v>
      </c>
      <c r="G1320" s="6" t="str">
        <f>_xlfn.XLOOKUP(frasest[[#This Row],[autor_es]],autorest[autor_es],autorest[bio_es])</f>
        <v>Conjunto de proverbios tradicionales de la cultura china que transmiten sabiduría popular, valores morales y enseñanzas prácticas transmitidas oralmente durante siglos.</v>
      </c>
      <c r="H1320" s="6" t="str">
        <f>_xlfn.XLOOKUP(frasest[[#This Row],[autor_es]],autorest[autor_es],autorest[bio_la])</f>
        <v>Collectio sententiarum Sinensium, magnopere in cultura tradita.</v>
      </c>
      <c r="I1320" t="str">
        <f>_xlfn.XLOOKUP(frasest[[#This Row],[autor_es]],autorest[autor_es],autorest[codigo])</f>
        <v>zh</v>
      </c>
      <c r="J1320" t="str">
        <f>_xlfn.XLOOKUP(frasest[[#This Row],[autor_es]],autorest[autor_es],autorest[idioma_es])</f>
        <v>Chino</v>
      </c>
      <c r="K1320" s="6" t="str">
        <f>_xlfn.XLOOKUP(frasest[[#This Row],[autor_es]],autorest[autor_es],autorest[idioma_la])</f>
        <v>Lingua Sinica</v>
      </c>
      <c r="L1320" s="6" t="str">
        <f>_xlfn.XLOOKUP(frasest[[#This Row],[autor_es]],autorest[autor_es],autorest[nacion_es])</f>
        <v>China</v>
      </c>
      <c r="M1320" t="str">
        <f>_xlfn.XLOOKUP(frasest[[#This Row],[autor_es]],autorest[autor_es],autorest[nacion_la])</f>
        <v>Sinae</v>
      </c>
      <c r="N1320" t="str">
        <f>_xlfn.XLOOKUP(frasest[[#This Row],[autor_es]],autorest[autor_es],autorest[epoca_es])</f>
        <v>Epoca Desconocida</v>
      </c>
      <c r="O1320" t="str">
        <f>_xlfn.XLOOKUP(frasest[[#This Row],[autor_es]],autorest[autor_es],autorest[epoca_la])</f>
        <v>Epocha Ignota</v>
      </c>
    </row>
    <row r="1321" spans="1:15">
      <c r="A1321">
        <v>1320</v>
      </c>
      <c r="B1321" t="s">
        <v>3643</v>
      </c>
      <c r="C1321" t="s">
        <v>3644</v>
      </c>
      <c r="D1321" s="1" t="s">
        <v>3645</v>
      </c>
      <c r="E1321" t="s">
        <v>33</v>
      </c>
      <c r="F1321" t="str">
        <f>_xlfn.XLOOKUP(frasest[[#This Row],[autor_es]],autorest[autor_es],autorest[autor_la])</f>
        <v>Proverbium Sinense</v>
      </c>
      <c r="G1321" s="6" t="str">
        <f>_xlfn.XLOOKUP(frasest[[#This Row],[autor_es]],autorest[autor_es],autorest[bio_es])</f>
        <v>Conjunto de proverbios tradicionales de la cultura china que transmiten sabiduría popular, valores morales y enseñanzas prácticas transmitidas oralmente durante siglos.</v>
      </c>
      <c r="H1321" s="6" t="str">
        <f>_xlfn.XLOOKUP(frasest[[#This Row],[autor_es]],autorest[autor_es],autorest[bio_la])</f>
        <v>Collectio sententiarum Sinensium, magnopere in cultura tradita.</v>
      </c>
      <c r="I1321" t="str">
        <f>_xlfn.XLOOKUP(frasest[[#This Row],[autor_es]],autorest[autor_es],autorest[codigo])</f>
        <v>zh</v>
      </c>
      <c r="J1321" t="str">
        <f>_xlfn.XLOOKUP(frasest[[#This Row],[autor_es]],autorest[autor_es],autorest[idioma_es])</f>
        <v>Chino</v>
      </c>
      <c r="K1321" s="6" t="str">
        <f>_xlfn.XLOOKUP(frasest[[#This Row],[autor_es]],autorest[autor_es],autorest[idioma_la])</f>
        <v>Lingua Sinica</v>
      </c>
      <c r="L1321" s="6" t="str">
        <f>_xlfn.XLOOKUP(frasest[[#This Row],[autor_es]],autorest[autor_es],autorest[nacion_es])</f>
        <v>China</v>
      </c>
      <c r="M1321" t="str">
        <f>_xlfn.XLOOKUP(frasest[[#This Row],[autor_es]],autorest[autor_es],autorest[nacion_la])</f>
        <v>Sinae</v>
      </c>
      <c r="N1321" t="str">
        <f>_xlfn.XLOOKUP(frasest[[#This Row],[autor_es]],autorest[autor_es],autorest[epoca_es])</f>
        <v>Epoca Desconocida</v>
      </c>
      <c r="O1321" t="str">
        <f>_xlfn.XLOOKUP(frasest[[#This Row],[autor_es]],autorest[autor_es],autorest[epoca_la])</f>
        <v>Epocha Ignota</v>
      </c>
    </row>
    <row r="1322" spans="1:15">
      <c r="A1322">
        <v>1321</v>
      </c>
      <c r="B1322" t="s">
        <v>3646</v>
      </c>
      <c r="C1322" t="s">
        <v>3647</v>
      </c>
      <c r="D1322" s="1" t="s">
        <v>3648</v>
      </c>
      <c r="E1322" t="s">
        <v>33</v>
      </c>
      <c r="F1322" t="str">
        <f>_xlfn.XLOOKUP(frasest[[#This Row],[autor_es]],autorest[autor_es],autorest[autor_la])</f>
        <v>Proverbium Sinense</v>
      </c>
      <c r="G1322" s="6" t="str">
        <f>_xlfn.XLOOKUP(frasest[[#This Row],[autor_es]],autorest[autor_es],autorest[bio_es])</f>
        <v>Conjunto de proverbios tradicionales de la cultura china que transmiten sabiduría popular, valores morales y enseñanzas prácticas transmitidas oralmente durante siglos.</v>
      </c>
      <c r="H1322" s="6" t="str">
        <f>_xlfn.XLOOKUP(frasest[[#This Row],[autor_es]],autorest[autor_es],autorest[bio_la])</f>
        <v>Collectio sententiarum Sinensium, magnopere in cultura tradita.</v>
      </c>
      <c r="I1322" t="str">
        <f>_xlfn.XLOOKUP(frasest[[#This Row],[autor_es]],autorest[autor_es],autorest[codigo])</f>
        <v>zh</v>
      </c>
      <c r="J1322" t="str">
        <f>_xlfn.XLOOKUP(frasest[[#This Row],[autor_es]],autorest[autor_es],autorest[idioma_es])</f>
        <v>Chino</v>
      </c>
      <c r="K1322" s="6" t="str">
        <f>_xlfn.XLOOKUP(frasest[[#This Row],[autor_es]],autorest[autor_es],autorest[idioma_la])</f>
        <v>Lingua Sinica</v>
      </c>
      <c r="L1322" s="6" t="str">
        <f>_xlfn.XLOOKUP(frasest[[#This Row],[autor_es]],autorest[autor_es],autorest[nacion_es])</f>
        <v>China</v>
      </c>
      <c r="M1322" t="str">
        <f>_xlfn.XLOOKUP(frasest[[#This Row],[autor_es]],autorest[autor_es],autorest[nacion_la])</f>
        <v>Sinae</v>
      </c>
      <c r="N1322" t="str">
        <f>_xlfn.XLOOKUP(frasest[[#This Row],[autor_es]],autorest[autor_es],autorest[epoca_es])</f>
        <v>Epoca Desconocida</v>
      </c>
      <c r="O1322" t="str">
        <f>_xlfn.XLOOKUP(frasest[[#This Row],[autor_es]],autorest[autor_es],autorest[epoca_la])</f>
        <v>Epocha Ignota</v>
      </c>
    </row>
    <row r="1323" spans="1:15">
      <c r="A1323">
        <v>1322</v>
      </c>
      <c r="B1323" t="s">
        <v>3649</v>
      </c>
      <c r="C1323" t="s">
        <v>3650</v>
      </c>
      <c r="D1323" s="1" t="s">
        <v>3020</v>
      </c>
      <c r="E1323" t="s">
        <v>33</v>
      </c>
      <c r="F1323" t="str">
        <f>_xlfn.XLOOKUP(frasest[[#This Row],[autor_es]],autorest[autor_es],autorest[autor_la])</f>
        <v>Proverbium Sinense</v>
      </c>
      <c r="G1323" s="6" t="str">
        <f>_xlfn.XLOOKUP(frasest[[#This Row],[autor_es]],autorest[autor_es],autorest[bio_es])</f>
        <v>Conjunto de proverbios tradicionales de la cultura china que transmiten sabiduría popular, valores morales y enseñanzas prácticas transmitidas oralmente durante siglos.</v>
      </c>
      <c r="H1323" s="6" t="str">
        <f>_xlfn.XLOOKUP(frasest[[#This Row],[autor_es]],autorest[autor_es],autorest[bio_la])</f>
        <v>Collectio sententiarum Sinensium, magnopere in cultura tradita.</v>
      </c>
      <c r="I1323" t="str">
        <f>_xlfn.XLOOKUP(frasest[[#This Row],[autor_es]],autorest[autor_es],autorest[codigo])</f>
        <v>zh</v>
      </c>
      <c r="J1323" t="str">
        <f>_xlfn.XLOOKUP(frasest[[#This Row],[autor_es]],autorest[autor_es],autorest[idioma_es])</f>
        <v>Chino</v>
      </c>
      <c r="K1323" s="6" t="str">
        <f>_xlfn.XLOOKUP(frasest[[#This Row],[autor_es]],autorest[autor_es],autorest[idioma_la])</f>
        <v>Lingua Sinica</v>
      </c>
      <c r="L1323" s="6" t="str">
        <f>_xlfn.XLOOKUP(frasest[[#This Row],[autor_es]],autorest[autor_es],autorest[nacion_es])</f>
        <v>China</v>
      </c>
      <c r="M1323" t="str">
        <f>_xlfn.XLOOKUP(frasest[[#This Row],[autor_es]],autorest[autor_es],autorest[nacion_la])</f>
        <v>Sinae</v>
      </c>
      <c r="N1323" t="str">
        <f>_xlfn.XLOOKUP(frasest[[#This Row],[autor_es]],autorest[autor_es],autorest[epoca_es])</f>
        <v>Epoca Desconocida</v>
      </c>
      <c r="O1323" t="str">
        <f>_xlfn.XLOOKUP(frasest[[#This Row],[autor_es]],autorest[autor_es],autorest[epoca_la])</f>
        <v>Epocha Ignota</v>
      </c>
    </row>
    <row r="1324" spans="1:15">
      <c r="A1324">
        <v>1323</v>
      </c>
      <c r="B1324" t="s">
        <v>3651</v>
      </c>
      <c r="C1324" t="s">
        <v>3652</v>
      </c>
      <c r="D1324" s="1" t="s">
        <v>3653</v>
      </c>
      <c r="E1324" t="s">
        <v>33</v>
      </c>
      <c r="F1324" t="str">
        <f>_xlfn.XLOOKUP(frasest[[#This Row],[autor_es]],autorest[autor_es],autorest[autor_la])</f>
        <v>Proverbium Sinense</v>
      </c>
      <c r="G1324" s="6" t="str">
        <f>_xlfn.XLOOKUP(frasest[[#This Row],[autor_es]],autorest[autor_es],autorest[bio_es])</f>
        <v>Conjunto de proverbios tradicionales de la cultura china que transmiten sabiduría popular, valores morales y enseñanzas prácticas transmitidas oralmente durante siglos.</v>
      </c>
      <c r="H1324" s="6" t="str">
        <f>_xlfn.XLOOKUP(frasest[[#This Row],[autor_es]],autorest[autor_es],autorest[bio_la])</f>
        <v>Collectio sententiarum Sinensium, magnopere in cultura tradita.</v>
      </c>
      <c r="I1324" t="str">
        <f>_xlfn.XLOOKUP(frasest[[#This Row],[autor_es]],autorest[autor_es],autorest[codigo])</f>
        <v>zh</v>
      </c>
      <c r="J1324" t="str">
        <f>_xlfn.XLOOKUP(frasest[[#This Row],[autor_es]],autorest[autor_es],autorest[idioma_es])</f>
        <v>Chino</v>
      </c>
      <c r="K1324" s="6" t="str">
        <f>_xlfn.XLOOKUP(frasest[[#This Row],[autor_es]],autorest[autor_es],autorest[idioma_la])</f>
        <v>Lingua Sinica</v>
      </c>
      <c r="L1324" s="6" t="str">
        <f>_xlfn.XLOOKUP(frasest[[#This Row],[autor_es]],autorest[autor_es],autorest[nacion_es])</f>
        <v>China</v>
      </c>
      <c r="M1324" t="str">
        <f>_xlfn.XLOOKUP(frasest[[#This Row],[autor_es]],autorest[autor_es],autorest[nacion_la])</f>
        <v>Sinae</v>
      </c>
      <c r="N1324" t="str">
        <f>_xlfn.XLOOKUP(frasest[[#This Row],[autor_es]],autorest[autor_es],autorest[epoca_es])</f>
        <v>Epoca Desconocida</v>
      </c>
      <c r="O1324" t="str">
        <f>_xlfn.XLOOKUP(frasest[[#This Row],[autor_es]],autorest[autor_es],autorest[epoca_la])</f>
        <v>Epocha Ignota</v>
      </c>
    </row>
    <row r="1325" spans="1:15">
      <c r="A1325">
        <v>1324</v>
      </c>
      <c r="B1325" t="s">
        <v>3654</v>
      </c>
      <c r="C1325" t="s">
        <v>3655</v>
      </c>
      <c r="D1325" s="1" t="s">
        <v>3656</v>
      </c>
      <c r="E1325" t="s">
        <v>33</v>
      </c>
      <c r="F1325" t="str">
        <f>_xlfn.XLOOKUP(frasest[[#This Row],[autor_es]],autorest[autor_es],autorest[autor_la])</f>
        <v>Proverbium Sinense</v>
      </c>
      <c r="G1325" s="6" t="str">
        <f>_xlfn.XLOOKUP(frasest[[#This Row],[autor_es]],autorest[autor_es],autorest[bio_es])</f>
        <v>Conjunto de proverbios tradicionales de la cultura china que transmiten sabiduría popular, valores morales y enseñanzas prácticas transmitidas oralmente durante siglos.</v>
      </c>
      <c r="H1325" s="6" t="str">
        <f>_xlfn.XLOOKUP(frasest[[#This Row],[autor_es]],autorest[autor_es],autorest[bio_la])</f>
        <v>Collectio sententiarum Sinensium, magnopere in cultura tradita.</v>
      </c>
      <c r="I1325" t="str">
        <f>_xlfn.XLOOKUP(frasest[[#This Row],[autor_es]],autorest[autor_es],autorest[codigo])</f>
        <v>zh</v>
      </c>
      <c r="J1325" t="str">
        <f>_xlfn.XLOOKUP(frasest[[#This Row],[autor_es]],autorest[autor_es],autorest[idioma_es])</f>
        <v>Chino</v>
      </c>
      <c r="K1325" s="6" t="str">
        <f>_xlfn.XLOOKUP(frasest[[#This Row],[autor_es]],autorest[autor_es],autorest[idioma_la])</f>
        <v>Lingua Sinica</v>
      </c>
      <c r="L1325" s="6" t="str">
        <f>_xlfn.XLOOKUP(frasest[[#This Row],[autor_es]],autorest[autor_es],autorest[nacion_es])</f>
        <v>China</v>
      </c>
      <c r="M1325" t="str">
        <f>_xlfn.XLOOKUP(frasest[[#This Row],[autor_es]],autorest[autor_es],autorest[nacion_la])</f>
        <v>Sinae</v>
      </c>
      <c r="N1325" t="str">
        <f>_xlfn.XLOOKUP(frasest[[#This Row],[autor_es]],autorest[autor_es],autorest[epoca_es])</f>
        <v>Epoca Desconocida</v>
      </c>
      <c r="O1325" t="str">
        <f>_xlfn.XLOOKUP(frasest[[#This Row],[autor_es]],autorest[autor_es],autorest[epoca_la])</f>
        <v>Epocha Ignota</v>
      </c>
    </row>
    <row r="1326" spans="1:15">
      <c r="A1326">
        <v>1325</v>
      </c>
      <c r="B1326" t="s">
        <v>3657</v>
      </c>
      <c r="C1326" t="s">
        <v>3658</v>
      </c>
      <c r="D1326" s="1" t="s">
        <v>3659</v>
      </c>
      <c r="E1326" t="s">
        <v>33</v>
      </c>
      <c r="F1326" t="str">
        <f>_xlfn.XLOOKUP(frasest[[#This Row],[autor_es]],autorest[autor_es],autorest[autor_la])</f>
        <v>Proverbium Sinense</v>
      </c>
      <c r="G1326" s="6" t="str">
        <f>_xlfn.XLOOKUP(frasest[[#This Row],[autor_es]],autorest[autor_es],autorest[bio_es])</f>
        <v>Conjunto de proverbios tradicionales de la cultura china que transmiten sabiduría popular, valores morales y enseñanzas prácticas transmitidas oralmente durante siglos.</v>
      </c>
      <c r="H1326" s="6" t="str">
        <f>_xlfn.XLOOKUP(frasest[[#This Row],[autor_es]],autorest[autor_es],autorest[bio_la])</f>
        <v>Collectio sententiarum Sinensium, magnopere in cultura tradita.</v>
      </c>
      <c r="I1326" t="str">
        <f>_xlfn.XLOOKUP(frasest[[#This Row],[autor_es]],autorest[autor_es],autorest[codigo])</f>
        <v>zh</v>
      </c>
      <c r="J1326" t="str">
        <f>_xlfn.XLOOKUP(frasest[[#This Row],[autor_es]],autorest[autor_es],autorest[idioma_es])</f>
        <v>Chino</v>
      </c>
      <c r="K1326" s="6" t="str">
        <f>_xlfn.XLOOKUP(frasest[[#This Row],[autor_es]],autorest[autor_es],autorest[idioma_la])</f>
        <v>Lingua Sinica</v>
      </c>
      <c r="L1326" s="6" t="str">
        <f>_xlfn.XLOOKUP(frasest[[#This Row],[autor_es]],autorest[autor_es],autorest[nacion_es])</f>
        <v>China</v>
      </c>
      <c r="M1326" t="str">
        <f>_xlfn.XLOOKUP(frasest[[#This Row],[autor_es]],autorest[autor_es],autorest[nacion_la])</f>
        <v>Sinae</v>
      </c>
      <c r="N1326" t="str">
        <f>_xlfn.XLOOKUP(frasest[[#This Row],[autor_es]],autorest[autor_es],autorest[epoca_es])</f>
        <v>Epoca Desconocida</v>
      </c>
      <c r="O1326" t="str">
        <f>_xlfn.XLOOKUP(frasest[[#This Row],[autor_es]],autorest[autor_es],autorest[epoca_la])</f>
        <v>Epocha Ignota</v>
      </c>
    </row>
    <row r="1327" spans="1:15">
      <c r="A1327">
        <v>1326</v>
      </c>
      <c r="B1327" t="s">
        <v>3660</v>
      </c>
      <c r="C1327" t="s">
        <v>3661</v>
      </c>
      <c r="D1327" s="1" t="s">
        <v>3662</v>
      </c>
      <c r="E1327" t="s">
        <v>33</v>
      </c>
      <c r="F1327" t="str">
        <f>_xlfn.XLOOKUP(frasest[[#This Row],[autor_es]],autorest[autor_es],autorest[autor_la])</f>
        <v>Proverbium Sinense</v>
      </c>
      <c r="G1327" s="6" t="str">
        <f>_xlfn.XLOOKUP(frasest[[#This Row],[autor_es]],autorest[autor_es],autorest[bio_es])</f>
        <v>Conjunto de proverbios tradicionales de la cultura china que transmiten sabiduría popular, valores morales y enseñanzas prácticas transmitidas oralmente durante siglos.</v>
      </c>
      <c r="H1327" s="6" t="str">
        <f>_xlfn.XLOOKUP(frasest[[#This Row],[autor_es]],autorest[autor_es],autorest[bio_la])</f>
        <v>Collectio sententiarum Sinensium, magnopere in cultura tradita.</v>
      </c>
      <c r="I1327" t="str">
        <f>_xlfn.XLOOKUP(frasest[[#This Row],[autor_es]],autorest[autor_es],autorest[codigo])</f>
        <v>zh</v>
      </c>
      <c r="J1327" t="str">
        <f>_xlfn.XLOOKUP(frasest[[#This Row],[autor_es]],autorest[autor_es],autorest[idioma_es])</f>
        <v>Chino</v>
      </c>
      <c r="K1327" s="6" t="str">
        <f>_xlfn.XLOOKUP(frasest[[#This Row],[autor_es]],autorest[autor_es],autorest[idioma_la])</f>
        <v>Lingua Sinica</v>
      </c>
      <c r="L1327" s="6" t="str">
        <f>_xlfn.XLOOKUP(frasest[[#This Row],[autor_es]],autorest[autor_es],autorest[nacion_es])</f>
        <v>China</v>
      </c>
      <c r="M1327" t="str">
        <f>_xlfn.XLOOKUP(frasest[[#This Row],[autor_es]],autorest[autor_es],autorest[nacion_la])</f>
        <v>Sinae</v>
      </c>
      <c r="N1327" t="str">
        <f>_xlfn.XLOOKUP(frasest[[#This Row],[autor_es]],autorest[autor_es],autorest[epoca_es])</f>
        <v>Epoca Desconocida</v>
      </c>
      <c r="O1327" t="str">
        <f>_xlfn.XLOOKUP(frasest[[#This Row],[autor_es]],autorest[autor_es],autorest[epoca_la])</f>
        <v>Epocha Ignota</v>
      </c>
    </row>
    <row r="1328" spans="1:15">
      <c r="A1328">
        <v>1327</v>
      </c>
      <c r="B1328" t="s">
        <v>3663</v>
      </c>
      <c r="C1328" t="s">
        <v>3664</v>
      </c>
      <c r="D1328" s="1" t="s">
        <v>3665</v>
      </c>
      <c r="E1328" t="s">
        <v>33</v>
      </c>
      <c r="F1328" t="str">
        <f>_xlfn.XLOOKUP(frasest[[#This Row],[autor_es]],autorest[autor_es],autorest[autor_la])</f>
        <v>Proverbium Sinense</v>
      </c>
      <c r="G1328" s="6" t="str">
        <f>_xlfn.XLOOKUP(frasest[[#This Row],[autor_es]],autorest[autor_es],autorest[bio_es])</f>
        <v>Conjunto de proverbios tradicionales de la cultura china que transmiten sabiduría popular, valores morales y enseñanzas prácticas transmitidas oralmente durante siglos.</v>
      </c>
      <c r="H1328" s="6" t="str">
        <f>_xlfn.XLOOKUP(frasest[[#This Row],[autor_es]],autorest[autor_es],autorest[bio_la])</f>
        <v>Collectio sententiarum Sinensium, magnopere in cultura tradita.</v>
      </c>
      <c r="I1328" t="str">
        <f>_xlfn.XLOOKUP(frasest[[#This Row],[autor_es]],autorest[autor_es],autorest[codigo])</f>
        <v>zh</v>
      </c>
      <c r="J1328" t="str">
        <f>_xlfn.XLOOKUP(frasest[[#This Row],[autor_es]],autorest[autor_es],autorest[idioma_es])</f>
        <v>Chino</v>
      </c>
      <c r="K1328" s="6" t="str">
        <f>_xlfn.XLOOKUP(frasest[[#This Row],[autor_es]],autorest[autor_es],autorest[idioma_la])</f>
        <v>Lingua Sinica</v>
      </c>
      <c r="L1328" s="6" t="str">
        <f>_xlfn.XLOOKUP(frasest[[#This Row],[autor_es]],autorest[autor_es],autorest[nacion_es])</f>
        <v>China</v>
      </c>
      <c r="M1328" t="str">
        <f>_xlfn.XLOOKUP(frasest[[#This Row],[autor_es]],autorest[autor_es],autorest[nacion_la])</f>
        <v>Sinae</v>
      </c>
      <c r="N1328" t="str">
        <f>_xlfn.XLOOKUP(frasest[[#This Row],[autor_es]],autorest[autor_es],autorest[epoca_es])</f>
        <v>Epoca Desconocida</v>
      </c>
      <c r="O1328" t="str">
        <f>_xlfn.XLOOKUP(frasest[[#This Row],[autor_es]],autorest[autor_es],autorest[epoca_la])</f>
        <v>Epocha Ignota</v>
      </c>
    </row>
    <row r="1329" spans="1:15">
      <c r="A1329">
        <v>1328</v>
      </c>
      <c r="B1329" t="s">
        <v>3666</v>
      </c>
      <c r="C1329" t="s">
        <v>3667</v>
      </c>
      <c r="D1329" s="1" t="s">
        <v>3668</v>
      </c>
      <c r="E1329" t="s">
        <v>33</v>
      </c>
      <c r="F1329" t="str">
        <f>_xlfn.XLOOKUP(frasest[[#This Row],[autor_es]],autorest[autor_es],autorest[autor_la])</f>
        <v>Proverbium Sinense</v>
      </c>
      <c r="G1329" s="6" t="str">
        <f>_xlfn.XLOOKUP(frasest[[#This Row],[autor_es]],autorest[autor_es],autorest[bio_es])</f>
        <v>Conjunto de proverbios tradicionales de la cultura china que transmiten sabiduría popular, valores morales y enseñanzas prácticas transmitidas oralmente durante siglos.</v>
      </c>
      <c r="H1329" s="6" t="str">
        <f>_xlfn.XLOOKUP(frasest[[#This Row],[autor_es]],autorest[autor_es],autorest[bio_la])</f>
        <v>Collectio sententiarum Sinensium, magnopere in cultura tradita.</v>
      </c>
      <c r="I1329" t="str">
        <f>_xlfn.XLOOKUP(frasest[[#This Row],[autor_es]],autorest[autor_es],autorest[codigo])</f>
        <v>zh</v>
      </c>
      <c r="J1329" t="str">
        <f>_xlfn.XLOOKUP(frasest[[#This Row],[autor_es]],autorest[autor_es],autorest[idioma_es])</f>
        <v>Chino</v>
      </c>
      <c r="K1329" s="6" t="str">
        <f>_xlfn.XLOOKUP(frasest[[#This Row],[autor_es]],autorest[autor_es],autorest[idioma_la])</f>
        <v>Lingua Sinica</v>
      </c>
      <c r="L1329" s="6" t="str">
        <f>_xlfn.XLOOKUP(frasest[[#This Row],[autor_es]],autorest[autor_es],autorest[nacion_es])</f>
        <v>China</v>
      </c>
      <c r="M1329" t="str">
        <f>_xlfn.XLOOKUP(frasest[[#This Row],[autor_es]],autorest[autor_es],autorest[nacion_la])</f>
        <v>Sinae</v>
      </c>
      <c r="N1329" t="str">
        <f>_xlfn.XLOOKUP(frasest[[#This Row],[autor_es]],autorest[autor_es],autorest[epoca_es])</f>
        <v>Epoca Desconocida</v>
      </c>
      <c r="O1329" t="str">
        <f>_xlfn.XLOOKUP(frasest[[#This Row],[autor_es]],autorest[autor_es],autorest[epoca_la])</f>
        <v>Epocha Ignota</v>
      </c>
    </row>
    <row r="1330" spans="1:15">
      <c r="A1330">
        <v>1329</v>
      </c>
      <c r="B1330" t="s">
        <v>3669</v>
      </c>
      <c r="C1330" t="s">
        <v>3670</v>
      </c>
      <c r="D1330" s="1" t="s">
        <v>3671</v>
      </c>
      <c r="E1330" t="s">
        <v>33</v>
      </c>
      <c r="F1330" t="str">
        <f>_xlfn.XLOOKUP(frasest[[#This Row],[autor_es]],autorest[autor_es],autorest[autor_la])</f>
        <v>Proverbium Sinense</v>
      </c>
      <c r="G1330" s="6" t="str">
        <f>_xlfn.XLOOKUP(frasest[[#This Row],[autor_es]],autorest[autor_es],autorest[bio_es])</f>
        <v>Conjunto de proverbios tradicionales de la cultura china que transmiten sabiduría popular, valores morales y enseñanzas prácticas transmitidas oralmente durante siglos.</v>
      </c>
      <c r="H1330" s="6" t="str">
        <f>_xlfn.XLOOKUP(frasest[[#This Row],[autor_es]],autorest[autor_es],autorest[bio_la])</f>
        <v>Collectio sententiarum Sinensium, magnopere in cultura tradita.</v>
      </c>
      <c r="I1330" t="str">
        <f>_xlfn.XLOOKUP(frasest[[#This Row],[autor_es]],autorest[autor_es],autorest[codigo])</f>
        <v>zh</v>
      </c>
      <c r="J1330" t="str">
        <f>_xlfn.XLOOKUP(frasest[[#This Row],[autor_es]],autorest[autor_es],autorest[idioma_es])</f>
        <v>Chino</v>
      </c>
      <c r="K1330" s="6" t="str">
        <f>_xlfn.XLOOKUP(frasest[[#This Row],[autor_es]],autorest[autor_es],autorest[idioma_la])</f>
        <v>Lingua Sinica</v>
      </c>
      <c r="L1330" s="6" t="str">
        <f>_xlfn.XLOOKUP(frasest[[#This Row],[autor_es]],autorest[autor_es],autorest[nacion_es])</f>
        <v>China</v>
      </c>
      <c r="M1330" t="str">
        <f>_xlfn.XLOOKUP(frasest[[#This Row],[autor_es]],autorest[autor_es],autorest[nacion_la])</f>
        <v>Sinae</v>
      </c>
      <c r="N1330" t="str">
        <f>_xlfn.XLOOKUP(frasest[[#This Row],[autor_es]],autorest[autor_es],autorest[epoca_es])</f>
        <v>Epoca Desconocida</v>
      </c>
      <c r="O1330" t="str">
        <f>_xlfn.XLOOKUP(frasest[[#This Row],[autor_es]],autorest[autor_es],autorest[epoca_la])</f>
        <v>Epocha Ignota</v>
      </c>
    </row>
    <row r="1331" spans="1:15">
      <c r="A1331">
        <v>1330</v>
      </c>
      <c r="B1331" t="s">
        <v>3672</v>
      </c>
      <c r="C1331" t="s">
        <v>3673</v>
      </c>
      <c r="D1331" s="1" t="s">
        <v>3674</v>
      </c>
      <c r="E1331" t="s">
        <v>33</v>
      </c>
      <c r="F1331" t="str">
        <f>_xlfn.XLOOKUP(frasest[[#This Row],[autor_es]],autorest[autor_es],autorest[autor_la])</f>
        <v>Proverbium Sinense</v>
      </c>
      <c r="G1331" s="6" t="str">
        <f>_xlfn.XLOOKUP(frasest[[#This Row],[autor_es]],autorest[autor_es],autorest[bio_es])</f>
        <v>Conjunto de proverbios tradicionales de la cultura china que transmiten sabiduría popular, valores morales y enseñanzas prácticas transmitidas oralmente durante siglos.</v>
      </c>
      <c r="H1331" s="6" t="str">
        <f>_xlfn.XLOOKUP(frasest[[#This Row],[autor_es]],autorest[autor_es],autorest[bio_la])</f>
        <v>Collectio sententiarum Sinensium, magnopere in cultura tradita.</v>
      </c>
      <c r="I1331" t="str">
        <f>_xlfn.XLOOKUP(frasest[[#This Row],[autor_es]],autorest[autor_es],autorest[codigo])</f>
        <v>zh</v>
      </c>
      <c r="J1331" t="str">
        <f>_xlfn.XLOOKUP(frasest[[#This Row],[autor_es]],autorest[autor_es],autorest[idioma_es])</f>
        <v>Chino</v>
      </c>
      <c r="K1331" s="6" t="str">
        <f>_xlfn.XLOOKUP(frasest[[#This Row],[autor_es]],autorest[autor_es],autorest[idioma_la])</f>
        <v>Lingua Sinica</v>
      </c>
      <c r="L1331" s="6" t="str">
        <f>_xlfn.XLOOKUP(frasest[[#This Row],[autor_es]],autorest[autor_es],autorest[nacion_es])</f>
        <v>China</v>
      </c>
      <c r="M1331" t="str">
        <f>_xlfn.XLOOKUP(frasest[[#This Row],[autor_es]],autorest[autor_es],autorest[nacion_la])</f>
        <v>Sinae</v>
      </c>
      <c r="N1331" t="str">
        <f>_xlfn.XLOOKUP(frasest[[#This Row],[autor_es]],autorest[autor_es],autorest[epoca_es])</f>
        <v>Epoca Desconocida</v>
      </c>
      <c r="O1331" t="str">
        <f>_xlfn.XLOOKUP(frasest[[#This Row],[autor_es]],autorest[autor_es],autorest[epoca_la])</f>
        <v>Epocha Ignota</v>
      </c>
    </row>
    <row r="1332" spans="1:15">
      <c r="A1332">
        <v>1331</v>
      </c>
      <c r="B1332" t="s">
        <v>3675</v>
      </c>
      <c r="C1332" t="s">
        <v>3676</v>
      </c>
      <c r="D1332" s="1" t="s">
        <v>3677</v>
      </c>
      <c r="E1332" t="s">
        <v>33</v>
      </c>
      <c r="F1332" t="str">
        <f>_xlfn.XLOOKUP(frasest[[#This Row],[autor_es]],autorest[autor_es],autorest[autor_la])</f>
        <v>Proverbium Sinense</v>
      </c>
      <c r="G1332" s="6" t="str">
        <f>_xlfn.XLOOKUP(frasest[[#This Row],[autor_es]],autorest[autor_es],autorest[bio_es])</f>
        <v>Conjunto de proverbios tradicionales de la cultura china que transmiten sabiduría popular, valores morales y enseñanzas prácticas transmitidas oralmente durante siglos.</v>
      </c>
      <c r="H1332" s="6" t="str">
        <f>_xlfn.XLOOKUP(frasest[[#This Row],[autor_es]],autorest[autor_es],autorest[bio_la])</f>
        <v>Collectio sententiarum Sinensium, magnopere in cultura tradita.</v>
      </c>
      <c r="I1332" t="str">
        <f>_xlfn.XLOOKUP(frasest[[#This Row],[autor_es]],autorest[autor_es],autorest[codigo])</f>
        <v>zh</v>
      </c>
      <c r="J1332" t="str">
        <f>_xlfn.XLOOKUP(frasest[[#This Row],[autor_es]],autorest[autor_es],autorest[idioma_es])</f>
        <v>Chino</v>
      </c>
      <c r="K1332" s="6" t="str">
        <f>_xlfn.XLOOKUP(frasest[[#This Row],[autor_es]],autorest[autor_es],autorest[idioma_la])</f>
        <v>Lingua Sinica</v>
      </c>
      <c r="L1332" s="6" t="str">
        <f>_xlfn.XLOOKUP(frasest[[#This Row],[autor_es]],autorest[autor_es],autorest[nacion_es])</f>
        <v>China</v>
      </c>
      <c r="M1332" t="str">
        <f>_xlfn.XLOOKUP(frasest[[#This Row],[autor_es]],autorest[autor_es],autorest[nacion_la])</f>
        <v>Sinae</v>
      </c>
      <c r="N1332" t="str">
        <f>_xlfn.XLOOKUP(frasest[[#This Row],[autor_es]],autorest[autor_es],autorest[epoca_es])</f>
        <v>Epoca Desconocida</v>
      </c>
      <c r="O1332" t="str">
        <f>_xlfn.XLOOKUP(frasest[[#This Row],[autor_es]],autorest[autor_es],autorest[epoca_la])</f>
        <v>Epocha Ignota</v>
      </c>
    </row>
    <row r="1333" spans="1:15">
      <c r="A1333">
        <v>1332</v>
      </c>
      <c r="B1333" t="s">
        <v>3678</v>
      </c>
      <c r="C1333" t="s">
        <v>3679</v>
      </c>
      <c r="D1333" s="1" t="s">
        <v>3680</v>
      </c>
      <c r="E1333" t="s">
        <v>33</v>
      </c>
      <c r="F1333" t="str">
        <f>_xlfn.XLOOKUP(frasest[[#This Row],[autor_es]],autorest[autor_es],autorest[autor_la])</f>
        <v>Proverbium Sinense</v>
      </c>
      <c r="G1333" s="6" t="str">
        <f>_xlfn.XLOOKUP(frasest[[#This Row],[autor_es]],autorest[autor_es],autorest[bio_es])</f>
        <v>Conjunto de proverbios tradicionales de la cultura china que transmiten sabiduría popular, valores morales y enseñanzas prácticas transmitidas oralmente durante siglos.</v>
      </c>
      <c r="H1333" s="6" t="str">
        <f>_xlfn.XLOOKUP(frasest[[#This Row],[autor_es]],autorest[autor_es],autorest[bio_la])</f>
        <v>Collectio sententiarum Sinensium, magnopere in cultura tradita.</v>
      </c>
      <c r="I1333" t="str">
        <f>_xlfn.XLOOKUP(frasest[[#This Row],[autor_es]],autorest[autor_es],autorest[codigo])</f>
        <v>zh</v>
      </c>
      <c r="J1333" t="str">
        <f>_xlfn.XLOOKUP(frasest[[#This Row],[autor_es]],autorest[autor_es],autorest[idioma_es])</f>
        <v>Chino</v>
      </c>
      <c r="K1333" s="6" t="str">
        <f>_xlfn.XLOOKUP(frasest[[#This Row],[autor_es]],autorest[autor_es],autorest[idioma_la])</f>
        <v>Lingua Sinica</v>
      </c>
      <c r="L1333" s="6" t="str">
        <f>_xlfn.XLOOKUP(frasest[[#This Row],[autor_es]],autorest[autor_es],autorest[nacion_es])</f>
        <v>China</v>
      </c>
      <c r="M1333" t="str">
        <f>_xlfn.XLOOKUP(frasest[[#This Row],[autor_es]],autorest[autor_es],autorest[nacion_la])</f>
        <v>Sinae</v>
      </c>
      <c r="N1333" t="str">
        <f>_xlfn.XLOOKUP(frasest[[#This Row],[autor_es]],autorest[autor_es],autorest[epoca_es])</f>
        <v>Epoca Desconocida</v>
      </c>
      <c r="O1333" t="str">
        <f>_xlfn.XLOOKUP(frasest[[#This Row],[autor_es]],autorest[autor_es],autorest[epoca_la])</f>
        <v>Epocha Ignota</v>
      </c>
    </row>
    <row r="1334" spans="1:15">
      <c r="A1334">
        <v>1333</v>
      </c>
      <c r="B1334" t="s">
        <v>3681</v>
      </c>
      <c r="C1334" t="s">
        <v>3682</v>
      </c>
      <c r="D1334" s="1" t="s">
        <v>3683</v>
      </c>
      <c r="E1334" t="s">
        <v>33</v>
      </c>
      <c r="F1334" t="str">
        <f>_xlfn.XLOOKUP(frasest[[#This Row],[autor_es]],autorest[autor_es],autorest[autor_la])</f>
        <v>Proverbium Sinense</v>
      </c>
      <c r="G1334" s="6" t="str">
        <f>_xlfn.XLOOKUP(frasest[[#This Row],[autor_es]],autorest[autor_es],autorest[bio_es])</f>
        <v>Conjunto de proverbios tradicionales de la cultura china que transmiten sabiduría popular, valores morales y enseñanzas prácticas transmitidas oralmente durante siglos.</v>
      </c>
      <c r="H1334" s="6" t="str">
        <f>_xlfn.XLOOKUP(frasest[[#This Row],[autor_es]],autorest[autor_es],autorest[bio_la])</f>
        <v>Collectio sententiarum Sinensium, magnopere in cultura tradita.</v>
      </c>
      <c r="I1334" t="str">
        <f>_xlfn.XLOOKUP(frasest[[#This Row],[autor_es]],autorest[autor_es],autorest[codigo])</f>
        <v>zh</v>
      </c>
      <c r="J1334" t="str">
        <f>_xlfn.XLOOKUP(frasest[[#This Row],[autor_es]],autorest[autor_es],autorest[idioma_es])</f>
        <v>Chino</v>
      </c>
      <c r="K1334" s="6" t="str">
        <f>_xlfn.XLOOKUP(frasest[[#This Row],[autor_es]],autorest[autor_es],autorest[idioma_la])</f>
        <v>Lingua Sinica</v>
      </c>
      <c r="L1334" s="6" t="str">
        <f>_xlfn.XLOOKUP(frasest[[#This Row],[autor_es]],autorest[autor_es],autorest[nacion_es])</f>
        <v>China</v>
      </c>
      <c r="M1334" t="str">
        <f>_xlfn.XLOOKUP(frasest[[#This Row],[autor_es]],autorest[autor_es],autorest[nacion_la])</f>
        <v>Sinae</v>
      </c>
      <c r="N1334" t="str">
        <f>_xlfn.XLOOKUP(frasest[[#This Row],[autor_es]],autorest[autor_es],autorest[epoca_es])</f>
        <v>Epoca Desconocida</v>
      </c>
      <c r="O1334" t="str">
        <f>_xlfn.XLOOKUP(frasest[[#This Row],[autor_es]],autorest[autor_es],autorest[epoca_la])</f>
        <v>Epocha Ignota</v>
      </c>
    </row>
    <row r="1335" spans="1:15">
      <c r="A1335">
        <v>1334</v>
      </c>
      <c r="B1335" t="s">
        <v>3684</v>
      </c>
      <c r="C1335" t="s">
        <v>3685</v>
      </c>
      <c r="D1335" s="1" t="s">
        <v>3686</v>
      </c>
      <c r="E1335" t="s">
        <v>33</v>
      </c>
      <c r="F1335" t="str">
        <f>_xlfn.XLOOKUP(frasest[[#This Row],[autor_es]],autorest[autor_es],autorest[autor_la])</f>
        <v>Proverbium Sinense</v>
      </c>
      <c r="G1335" s="6" t="str">
        <f>_xlfn.XLOOKUP(frasest[[#This Row],[autor_es]],autorest[autor_es],autorest[bio_es])</f>
        <v>Conjunto de proverbios tradicionales de la cultura china que transmiten sabiduría popular, valores morales y enseñanzas prácticas transmitidas oralmente durante siglos.</v>
      </c>
      <c r="H1335" s="6" t="str">
        <f>_xlfn.XLOOKUP(frasest[[#This Row],[autor_es]],autorest[autor_es],autorest[bio_la])</f>
        <v>Collectio sententiarum Sinensium, magnopere in cultura tradita.</v>
      </c>
      <c r="I1335" t="str">
        <f>_xlfn.XLOOKUP(frasest[[#This Row],[autor_es]],autorest[autor_es],autorest[codigo])</f>
        <v>zh</v>
      </c>
      <c r="J1335" t="str">
        <f>_xlfn.XLOOKUP(frasest[[#This Row],[autor_es]],autorest[autor_es],autorest[idioma_es])</f>
        <v>Chino</v>
      </c>
      <c r="K1335" s="6" t="str">
        <f>_xlfn.XLOOKUP(frasest[[#This Row],[autor_es]],autorest[autor_es],autorest[idioma_la])</f>
        <v>Lingua Sinica</v>
      </c>
      <c r="L1335" s="6" t="str">
        <f>_xlfn.XLOOKUP(frasest[[#This Row],[autor_es]],autorest[autor_es],autorest[nacion_es])</f>
        <v>China</v>
      </c>
      <c r="M1335" t="str">
        <f>_xlfn.XLOOKUP(frasest[[#This Row],[autor_es]],autorest[autor_es],autorest[nacion_la])</f>
        <v>Sinae</v>
      </c>
      <c r="N1335" t="str">
        <f>_xlfn.XLOOKUP(frasest[[#This Row],[autor_es]],autorest[autor_es],autorest[epoca_es])</f>
        <v>Epoca Desconocida</v>
      </c>
      <c r="O1335" t="str">
        <f>_xlfn.XLOOKUP(frasest[[#This Row],[autor_es]],autorest[autor_es],autorest[epoca_la])</f>
        <v>Epocha Ignota</v>
      </c>
    </row>
    <row r="1336" spans="1:15">
      <c r="A1336">
        <v>1335</v>
      </c>
      <c r="B1336" t="s">
        <v>3687</v>
      </c>
      <c r="C1336" t="s">
        <v>3688</v>
      </c>
      <c r="D1336" s="1" t="s">
        <v>3689</v>
      </c>
      <c r="E1336" t="s">
        <v>33</v>
      </c>
      <c r="F1336" t="str">
        <f>_xlfn.XLOOKUP(frasest[[#This Row],[autor_es]],autorest[autor_es],autorest[autor_la])</f>
        <v>Proverbium Sinense</v>
      </c>
      <c r="G1336" s="6" t="str">
        <f>_xlfn.XLOOKUP(frasest[[#This Row],[autor_es]],autorest[autor_es],autorest[bio_es])</f>
        <v>Conjunto de proverbios tradicionales de la cultura china que transmiten sabiduría popular, valores morales y enseñanzas prácticas transmitidas oralmente durante siglos.</v>
      </c>
      <c r="H1336" s="6" t="str">
        <f>_xlfn.XLOOKUP(frasest[[#This Row],[autor_es]],autorest[autor_es],autorest[bio_la])</f>
        <v>Collectio sententiarum Sinensium, magnopere in cultura tradita.</v>
      </c>
      <c r="I1336" t="str">
        <f>_xlfn.XLOOKUP(frasest[[#This Row],[autor_es]],autorest[autor_es],autorest[codigo])</f>
        <v>zh</v>
      </c>
      <c r="J1336" t="str">
        <f>_xlfn.XLOOKUP(frasest[[#This Row],[autor_es]],autorest[autor_es],autorest[idioma_es])</f>
        <v>Chino</v>
      </c>
      <c r="K1336" s="6" t="str">
        <f>_xlfn.XLOOKUP(frasest[[#This Row],[autor_es]],autorest[autor_es],autorest[idioma_la])</f>
        <v>Lingua Sinica</v>
      </c>
      <c r="L1336" s="6" t="str">
        <f>_xlfn.XLOOKUP(frasest[[#This Row],[autor_es]],autorest[autor_es],autorest[nacion_es])</f>
        <v>China</v>
      </c>
      <c r="M1336" t="str">
        <f>_xlfn.XLOOKUP(frasest[[#This Row],[autor_es]],autorest[autor_es],autorest[nacion_la])</f>
        <v>Sinae</v>
      </c>
      <c r="N1336" t="str">
        <f>_xlfn.XLOOKUP(frasest[[#This Row],[autor_es]],autorest[autor_es],autorest[epoca_es])</f>
        <v>Epoca Desconocida</v>
      </c>
      <c r="O1336" t="str">
        <f>_xlfn.XLOOKUP(frasest[[#This Row],[autor_es]],autorest[autor_es],autorest[epoca_la])</f>
        <v>Epocha Ignota</v>
      </c>
    </row>
    <row r="1337" spans="1:15">
      <c r="A1337">
        <v>1336</v>
      </c>
      <c r="B1337" t="s">
        <v>3690</v>
      </c>
      <c r="C1337" t="s">
        <v>3691</v>
      </c>
      <c r="D1337" s="1" t="s">
        <v>3692</v>
      </c>
      <c r="E1337" t="s">
        <v>33</v>
      </c>
      <c r="F1337" t="str">
        <f>_xlfn.XLOOKUP(frasest[[#This Row],[autor_es]],autorest[autor_es],autorest[autor_la])</f>
        <v>Proverbium Sinense</v>
      </c>
      <c r="G1337" s="6" t="str">
        <f>_xlfn.XLOOKUP(frasest[[#This Row],[autor_es]],autorest[autor_es],autorest[bio_es])</f>
        <v>Conjunto de proverbios tradicionales de la cultura china que transmiten sabiduría popular, valores morales y enseñanzas prácticas transmitidas oralmente durante siglos.</v>
      </c>
      <c r="H1337" s="6" t="str">
        <f>_xlfn.XLOOKUP(frasest[[#This Row],[autor_es]],autorest[autor_es],autorest[bio_la])</f>
        <v>Collectio sententiarum Sinensium, magnopere in cultura tradita.</v>
      </c>
      <c r="I1337" t="str">
        <f>_xlfn.XLOOKUP(frasest[[#This Row],[autor_es]],autorest[autor_es],autorest[codigo])</f>
        <v>zh</v>
      </c>
      <c r="J1337" t="str">
        <f>_xlfn.XLOOKUP(frasest[[#This Row],[autor_es]],autorest[autor_es],autorest[idioma_es])</f>
        <v>Chino</v>
      </c>
      <c r="K1337" s="6" t="str">
        <f>_xlfn.XLOOKUP(frasest[[#This Row],[autor_es]],autorest[autor_es],autorest[idioma_la])</f>
        <v>Lingua Sinica</v>
      </c>
      <c r="L1337" s="6" t="str">
        <f>_xlfn.XLOOKUP(frasest[[#This Row],[autor_es]],autorest[autor_es],autorest[nacion_es])</f>
        <v>China</v>
      </c>
      <c r="M1337" t="str">
        <f>_xlfn.XLOOKUP(frasest[[#This Row],[autor_es]],autorest[autor_es],autorest[nacion_la])</f>
        <v>Sinae</v>
      </c>
      <c r="N1337" t="str">
        <f>_xlfn.XLOOKUP(frasest[[#This Row],[autor_es]],autorest[autor_es],autorest[epoca_es])</f>
        <v>Epoca Desconocida</v>
      </c>
      <c r="O1337" t="str">
        <f>_xlfn.XLOOKUP(frasest[[#This Row],[autor_es]],autorest[autor_es],autorest[epoca_la])</f>
        <v>Epocha Ignota</v>
      </c>
    </row>
    <row r="1338" spans="1:15">
      <c r="A1338">
        <v>1337</v>
      </c>
      <c r="B1338" t="s">
        <v>3693</v>
      </c>
      <c r="C1338" t="s">
        <v>3694</v>
      </c>
      <c r="D1338" s="1" t="s">
        <v>3563</v>
      </c>
      <c r="E1338" t="s">
        <v>33</v>
      </c>
      <c r="F1338" t="str">
        <f>_xlfn.XLOOKUP(frasest[[#This Row],[autor_es]],autorest[autor_es],autorest[autor_la])</f>
        <v>Proverbium Sinense</v>
      </c>
      <c r="G1338" s="6" t="str">
        <f>_xlfn.XLOOKUP(frasest[[#This Row],[autor_es]],autorest[autor_es],autorest[bio_es])</f>
        <v>Conjunto de proverbios tradicionales de la cultura china que transmiten sabiduría popular, valores morales y enseñanzas prácticas transmitidas oralmente durante siglos.</v>
      </c>
      <c r="H1338" s="6" t="str">
        <f>_xlfn.XLOOKUP(frasest[[#This Row],[autor_es]],autorest[autor_es],autorest[bio_la])</f>
        <v>Collectio sententiarum Sinensium, magnopere in cultura tradita.</v>
      </c>
      <c r="I1338" t="str">
        <f>_xlfn.XLOOKUP(frasest[[#This Row],[autor_es]],autorest[autor_es],autorest[codigo])</f>
        <v>zh</v>
      </c>
      <c r="J1338" t="str">
        <f>_xlfn.XLOOKUP(frasest[[#This Row],[autor_es]],autorest[autor_es],autorest[idioma_es])</f>
        <v>Chino</v>
      </c>
      <c r="K1338" s="6" t="str">
        <f>_xlfn.XLOOKUP(frasest[[#This Row],[autor_es]],autorest[autor_es],autorest[idioma_la])</f>
        <v>Lingua Sinica</v>
      </c>
      <c r="L1338" s="6" t="str">
        <f>_xlfn.XLOOKUP(frasest[[#This Row],[autor_es]],autorest[autor_es],autorest[nacion_es])</f>
        <v>China</v>
      </c>
      <c r="M1338" t="str">
        <f>_xlfn.XLOOKUP(frasest[[#This Row],[autor_es]],autorest[autor_es],autorest[nacion_la])</f>
        <v>Sinae</v>
      </c>
      <c r="N1338" t="str">
        <f>_xlfn.XLOOKUP(frasest[[#This Row],[autor_es]],autorest[autor_es],autorest[epoca_es])</f>
        <v>Epoca Desconocida</v>
      </c>
      <c r="O1338" t="str">
        <f>_xlfn.XLOOKUP(frasest[[#This Row],[autor_es]],autorest[autor_es],autorest[epoca_la])</f>
        <v>Epocha Ignota</v>
      </c>
    </row>
    <row r="1339" spans="1:15">
      <c r="A1339">
        <v>1338</v>
      </c>
      <c r="B1339" t="s">
        <v>3695</v>
      </c>
      <c r="C1339" t="s">
        <v>3696</v>
      </c>
      <c r="D1339" s="1" t="s">
        <v>3697</v>
      </c>
      <c r="E1339" t="s">
        <v>33</v>
      </c>
      <c r="F1339" t="str">
        <f>_xlfn.XLOOKUP(frasest[[#This Row],[autor_es]],autorest[autor_es],autorest[autor_la])</f>
        <v>Proverbium Sinense</v>
      </c>
      <c r="G1339" s="6" t="str">
        <f>_xlfn.XLOOKUP(frasest[[#This Row],[autor_es]],autorest[autor_es],autorest[bio_es])</f>
        <v>Conjunto de proverbios tradicionales de la cultura china que transmiten sabiduría popular, valores morales y enseñanzas prácticas transmitidas oralmente durante siglos.</v>
      </c>
      <c r="H1339" s="6" t="str">
        <f>_xlfn.XLOOKUP(frasest[[#This Row],[autor_es]],autorest[autor_es],autorest[bio_la])</f>
        <v>Collectio sententiarum Sinensium, magnopere in cultura tradita.</v>
      </c>
      <c r="I1339" t="str">
        <f>_xlfn.XLOOKUP(frasest[[#This Row],[autor_es]],autorest[autor_es],autorest[codigo])</f>
        <v>zh</v>
      </c>
      <c r="J1339" t="str">
        <f>_xlfn.XLOOKUP(frasest[[#This Row],[autor_es]],autorest[autor_es],autorest[idioma_es])</f>
        <v>Chino</v>
      </c>
      <c r="K1339" s="6" t="str">
        <f>_xlfn.XLOOKUP(frasest[[#This Row],[autor_es]],autorest[autor_es],autorest[idioma_la])</f>
        <v>Lingua Sinica</v>
      </c>
      <c r="L1339" s="6" t="str">
        <f>_xlfn.XLOOKUP(frasest[[#This Row],[autor_es]],autorest[autor_es],autorest[nacion_es])</f>
        <v>China</v>
      </c>
      <c r="M1339" t="str">
        <f>_xlfn.XLOOKUP(frasest[[#This Row],[autor_es]],autorest[autor_es],autorest[nacion_la])</f>
        <v>Sinae</v>
      </c>
      <c r="N1339" t="str">
        <f>_xlfn.XLOOKUP(frasest[[#This Row],[autor_es]],autorest[autor_es],autorest[epoca_es])</f>
        <v>Epoca Desconocida</v>
      </c>
      <c r="O1339" t="str">
        <f>_xlfn.XLOOKUP(frasest[[#This Row],[autor_es]],autorest[autor_es],autorest[epoca_la])</f>
        <v>Epocha Ignota</v>
      </c>
    </row>
    <row r="1340" spans="1:15">
      <c r="A1340">
        <v>1339</v>
      </c>
      <c r="B1340" t="s">
        <v>3698</v>
      </c>
      <c r="C1340" t="s">
        <v>3699</v>
      </c>
      <c r="D1340" s="1" t="s">
        <v>3700</v>
      </c>
      <c r="E1340" t="s">
        <v>33</v>
      </c>
      <c r="F1340" t="str">
        <f>_xlfn.XLOOKUP(frasest[[#This Row],[autor_es]],autorest[autor_es],autorest[autor_la])</f>
        <v>Proverbium Sinense</v>
      </c>
      <c r="G1340" s="6" t="str">
        <f>_xlfn.XLOOKUP(frasest[[#This Row],[autor_es]],autorest[autor_es],autorest[bio_es])</f>
        <v>Conjunto de proverbios tradicionales de la cultura china que transmiten sabiduría popular, valores morales y enseñanzas prácticas transmitidas oralmente durante siglos.</v>
      </c>
      <c r="H1340" s="6" t="str">
        <f>_xlfn.XLOOKUP(frasest[[#This Row],[autor_es]],autorest[autor_es],autorest[bio_la])</f>
        <v>Collectio sententiarum Sinensium, magnopere in cultura tradita.</v>
      </c>
      <c r="I1340" t="str">
        <f>_xlfn.XLOOKUP(frasest[[#This Row],[autor_es]],autorest[autor_es],autorest[codigo])</f>
        <v>zh</v>
      </c>
      <c r="J1340" t="str">
        <f>_xlfn.XLOOKUP(frasest[[#This Row],[autor_es]],autorest[autor_es],autorest[idioma_es])</f>
        <v>Chino</v>
      </c>
      <c r="K1340" s="6" t="str">
        <f>_xlfn.XLOOKUP(frasest[[#This Row],[autor_es]],autorest[autor_es],autorest[idioma_la])</f>
        <v>Lingua Sinica</v>
      </c>
      <c r="L1340" s="6" t="str">
        <f>_xlfn.XLOOKUP(frasest[[#This Row],[autor_es]],autorest[autor_es],autorest[nacion_es])</f>
        <v>China</v>
      </c>
      <c r="M1340" t="str">
        <f>_xlfn.XLOOKUP(frasest[[#This Row],[autor_es]],autorest[autor_es],autorest[nacion_la])</f>
        <v>Sinae</v>
      </c>
      <c r="N1340" t="str">
        <f>_xlfn.XLOOKUP(frasest[[#This Row],[autor_es]],autorest[autor_es],autorest[epoca_es])</f>
        <v>Epoca Desconocida</v>
      </c>
      <c r="O1340" t="str">
        <f>_xlfn.XLOOKUP(frasest[[#This Row],[autor_es]],autorest[autor_es],autorest[epoca_la])</f>
        <v>Epocha Ignota</v>
      </c>
    </row>
    <row r="1341" spans="1:15">
      <c r="A1341">
        <v>1340</v>
      </c>
      <c r="B1341" t="s">
        <v>3701</v>
      </c>
      <c r="C1341" t="s">
        <v>3702</v>
      </c>
      <c r="D1341" s="1" t="s">
        <v>3703</v>
      </c>
      <c r="E1341" t="s">
        <v>33</v>
      </c>
      <c r="F1341" t="str">
        <f>_xlfn.XLOOKUP(frasest[[#This Row],[autor_es]],autorest[autor_es],autorest[autor_la])</f>
        <v>Proverbium Sinense</v>
      </c>
      <c r="G1341" s="6" t="str">
        <f>_xlfn.XLOOKUP(frasest[[#This Row],[autor_es]],autorest[autor_es],autorest[bio_es])</f>
        <v>Conjunto de proverbios tradicionales de la cultura china que transmiten sabiduría popular, valores morales y enseñanzas prácticas transmitidas oralmente durante siglos.</v>
      </c>
      <c r="H1341" s="6" t="str">
        <f>_xlfn.XLOOKUP(frasest[[#This Row],[autor_es]],autorest[autor_es],autorest[bio_la])</f>
        <v>Collectio sententiarum Sinensium, magnopere in cultura tradita.</v>
      </c>
      <c r="I1341" t="str">
        <f>_xlfn.XLOOKUP(frasest[[#This Row],[autor_es]],autorest[autor_es],autorest[codigo])</f>
        <v>zh</v>
      </c>
      <c r="J1341" t="str">
        <f>_xlfn.XLOOKUP(frasest[[#This Row],[autor_es]],autorest[autor_es],autorest[idioma_es])</f>
        <v>Chino</v>
      </c>
      <c r="K1341" s="6" t="str">
        <f>_xlfn.XLOOKUP(frasest[[#This Row],[autor_es]],autorest[autor_es],autorest[idioma_la])</f>
        <v>Lingua Sinica</v>
      </c>
      <c r="L1341" s="6" t="str">
        <f>_xlfn.XLOOKUP(frasest[[#This Row],[autor_es]],autorest[autor_es],autorest[nacion_es])</f>
        <v>China</v>
      </c>
      <c r="M1341" t="str">
        <f>_xlfn.XLOOKUP(frasest[[#This Row],[autor_es]],autorest[autor_es],autorest[nacion_la])</f>
        <v>Sinae</v>
      </c>
      <c r="N1341" t="str">
        <f>_xlfn.XLOOKUP(frasest[[#This Row],[autor_es]],autorest[autor_es],autorest[epoca_es])</f>
        <v>Epoca Desconocida</v>
      </c>
      <c r="O1341" t="str">
        <f>_xlfn.XLOOKUP(frasest[[#This Row],[autor_es]],autorest[autor_es],autorest[epoca_la])</f>
        <v>Epocha Ignota</v>
      </c>
    </row>
    <row r="1342" spans="1:15">
      <c r="A1342">
        <v>1341</v>
      </c>
      <c r="B1342" t="s">
        <v>3704</v>
      </c>
      <c r="C1342" t="s">
        <v>3705</v>
      </c>
      <c r="D1342" s="1" t="s">
        <v>3706</v>
      </c>
      <c r="E1342" t="s">
        <v>33</v>
      </c>
      <c r="F1342" t="str">
        <f>_xlfn.XLOOKUP(frasest[[#This Row],[autor_es]],autorest[autor_es],autorest[autor_la])</f>
        <v>Proverbium Sinense</v>
      </c>
      <c r="G1342" s="6" t="str">
        <f>_xlfn.XLOOKUP(frasest[[#This Row],[autor_es]],autorest[autor_es],autorest[bio_es])</f>
        <v>Conjunto de proverbios tradicionales de la cultura china que transmiten sabiduría popular, valores morales y enseñanzas prácticas transmitidas oralmente durante siglos.</v>
      </c>
      <c r="H1342" s="6" t="str">
        <f>_xlfn.XLOOKUP(frasest[[#This Row],[autor_es]],autorest[autor_es],autorest[bio_la])</f>
        <v>Collectio sententiarum Sinensium, magnopere in cultura tradita.</v>
      </c>
      <c r="I1342" t="str">
        <f>_xlfn.XLOOKUP(frasest[[#This Row],[autor_es]],autorest[autor_es],autorest[codigo])</f>
        <v>zh</v>
      </c>
      <c r="J1342" t="str">
        <f>_xlfn.XLOOKUP(frasest[[#This Row],[autor_es]],autorest[autor_es],autorest[idioma_es])</f>
        <v>Chino</v>
      </c>
      <c r="K1342" s="6" t="str">
        <f>_xlfn.XLOOKUP(frasest[[#This Row],[autor_es]],autorest[autor_es],autorest[idioma_la])</f>
        <v>Lingua Sinica</v>
      </c>
      <c r="L1342" s="6" t="str">
        <f>_xlfn.XLOOKUP(frasest[[#This Row],[autor_es]],autorest[autor_es],autorest[nacion_es])</f>
        <v>China</v>
      </c>
      <c r="M1342" t="str">
        <f>_xlfn.XLOOKUP(frasest[[#This Row],[autor_es]],autorest[autor_es],autorest[nacion_la])</f>
        <v>Sinae</v>
      </c>
      <c r="N1342" t="str">
        <f>_xlfn.XLOOKUP(frasest[[#This Row],[autor_es]],autorest[autor_es],autorest[epoca_es])</f>
        <v>Epoca Desconocida</v>
      </c>
      <c r="O1342" t="str">
        <f>_xlfn.XLOOKUP(frasest[[#This Row],[autor_es]],autorest[autor_es],autorest[epoca_la])</f>
        <v>Epocha Ignota</v>
      </c>
    </row>
    <row r="1343" spans="1:15">
      <c r="A1343">
        <v>1342</v>
      </c>
      <c r="B1343" t="s">
        <v>3707</v>
      </c>
      <c r="C1343" t="s">
        <v>3708</v>
      </c>
      <c r="D1343" s="1" t="s">
        <v>3709</v>
      </c>
      <c r="E1343" t="s">
        <v>33</v>
      </c>
      <c r="F1343" t="str">
        <f>_xlfn.XLOOKUP(frasest[[#This Row],[autor_es]],autorest[autor_es],autorest[autor_la])</f>
        <v>Proverbium Sinense</v>
      </c>
      <c r="G1343" s="6" t="str">
        <f>_xlfn.XLOOKUP(frasest[[#This Row],[autor_es]],autorest[autor_es],autorest[bio_es])</f>
        <v>Conjunto de proverbios tradicionales de la cultura china que transmiten sabiduría popular, valores morales y enseñanzas prácticas transmitidas oralmente durante siglos.</v>
      </c>
      <c r="H1343" s="6" t="str">
        <f>_xlfn.XLOOKUP(frasest[[#This Row],[autor_es]],autorest[autor_es],autorest[bio_la])</f>
        <v>Collectio sententiarum Sinensium, magnopere in cultura tradita.</v>
      </c>
      <c r="I1343" t="str">
        <f>_xlfn.XLOOKUP(frasest[[#This Row],[autor_es]],autorest[autor_es],autorest[codigo])</f>
        <v>zh</v>
      </c>
      <c r="J1343" t="str">
        <f>_xlfn.XLOOKUP(frasest[[#This Row],[autor_es]],autorest[autor_es],autorest[idioma_es])</f>
        <v>Chino</v>
      </c>
      <c r="K1343" s="6" t="str">
        <f>_xlfn.XLOOKUP(frasest[[#This Row],[autor_es]],autorest[autor_es],autorest[idioma_la])</f>
        <v>Lingua Sinica</v>
      </c>
      <c r="L1343" s="6" t="str">
        <f>_xlfn.XLOOKUP(frasest[[#This Row],[autor_es]],autorest[autor_es],autorest[nacion_es])</f>
        <v>China</v>
      </c>
      <c r="M1343" t="str">
        <f>_xlfn.XLOOKUP(frasest[[#This Row],[autor_es]],autorest[autor_es],autorest[nacion_la])</f>
        <v>Sinae</v>
      </c>
      <c r="N1343" t="str">
        <f>_xlfn.XLOOKUP(frasest[[#This Row],[autor_es]],autorest[autor_es],autorest[epoca_es])</f>
        <v>Epoca Desconocida</v>
      </c>
      <c r="O1343" t="str">
        <f>_xlfn.XLOOKUP(frasest[[#This Row],[autor_es]],autorest[autor_es],autorest[epoca_la])</f>
        <v>Epocha Ignota</v>
      </c>
    </row>
    <row r="1344" spans="1:15">
      <c r="A1344">
        <v>1343</v>
      </c>
      <c r="B1344" t="s">
        <v>3710</v>
      </c>
      <c r="C1344" t="s">
        <v>3711</v>
      </c>
      <c r="D1344" s="1" t="s">
        <v>2839</v>
      </c>
      <c r="E1344" t="s">
        <v>33</v>
      </c>
      <c r="F1344" t="str">
        <f>_xlfn.XLOOKUP(frasest[[#This Row],[autor_es]],autorest[autor_es],autorest[autor_la])</f>
        <v>Proverbium Sinense</v>
      </c>
      <c r="G1344" s="6" t="str">
        <f>_xlfn.XLOOKUP(frasest[[#This Row],[autor_es]],autorest[autor_es],autorest[bio_es])</f>
        <v>Conjunto de proverbios tradicionales de la cultura china que transmiten sabiduría popular, valores morales y enseñanzas prácticas transmitidas oralmente durante siglos.</v>
      </c>
      <c r="H1344" s="6" t="str">
        <f>_xlfn.XLOOKUP(frasest[[#This Row],[autor_es]],autorest[autor_es],autorest[bio_la])</f>
        <v>Collectio sententiarum Sinensium, magnopere in cultura tradita.</v>
      </c>
      <c r="I1344" t="str">
        <f>_xlfn.XLOOKUP(frasest[[#This Row],[autor_es]],autorest[autor_es],autorest[codigo])</f>
        <v>zh</v>
      </c>
      <c r="J1344" t="str">
        <f>_xlfn.XLOOKUP(frasest[[#This Row],[autor_es]],autorest[autor_es],autorest[idioma_es])</f>
        <v>Chino</v>
      </c>
      <c r="K1344" s="6" t="str">
        <f>_xlfn.XLOOKUP(frasest[[#This Row],[autor_es]],autorest[autor_es],autorest[idioma_la])</f>
        <v>Lingua Sinica</v>
      </c>
      <c r="L1344" s="6" t="str">
        <f>_xlfn.XLOOKUP(frasest[[#This Row],[autor_es]],autorest[autor_es],autorest[nacion_es])</f>
        <v>China</v>
      </c>
      <c r="M1344" t="str">
        <f>_xlfn.XLOOKUP(frasest[[#This Row],[autor_es]],autorest[autor_es],autorest[nacion_la])</f>
        <v>Sinae</v>
      </c>
      <c r="N1344" t="str">
        <f>_xlfn.XLOOKUP(frasest[[#This Row],[autor_es]],autorest[autor_es],autorest[epoca_es])</f>
        <v>Epoca Desconocida</v>
      </c>
      <c r="O1344" t="str">
        <f>_xlfn.XLOOKUP(frasest[[#This Row],[autor_es]],autorest[autor_es],autorest[epoca_la])</f>
        <v>Epocha Ignota</v>
      </c>
    </row>
    <row r="1345" spans="1:15">
      <c r="A1345">
        <v>1344</v>
      </c>
      <c r="B1345" t="s">
        <v>3712</v>
      </c>
      <c r="C1345" t="s">
        <v>3713</v>
      </c>
      <c r="D1345" s="1" t="s">
        <v>3714</v>
      </c>
      <c r="E1345" t="s">
        <v>33</v>
      </c>
      <c r="F1345" t="str">
        <f>_xlfn.XLOOKUP(frasest[[#This Row],[autor_es]],autorest[autor_es],autorest[autor_la])</f>
        <v>Proverbium Sinense</v>
      </c>
      <c r="G1345" s="6" t="str">
        <f>_xlfn.XLOOKUP(frasest[[#This Row],[autor_es]],autorest[autor_es],autorest[bio_es])</f>
        <v>Conjunto de proverbios tradicionales de la cultura china que transmiten sabiduría popular, valores morales y enseñanzas prácticas transmitidas oralmente durante siglos.</v>
      </c>
      <c r="H1345" s="6" t="str">
        <f>_xlfn.XLOOKUP(frasest[[#This Row],[autor_es]],autorest[autor_es],autorest[bio_la])</f>
        <v>Collectio sententiarum Sinensium, magnopere in cultura tradita.</v>
      </c>
      <c r="I1345" t="str">
        <f>_xlfn.XLOOKUP(frasest[[#This Row],[autor_es]],autorest[autor_es],autorest[codigo])</f>
        <v>zh</v>
      </c>
      <c r="J1345" t="str">
        <f>_xlfn.XLOOKUP(frasest[[#This Row],[autor_es]],autorest[autor_es],autorest[idioma_es])</f>
        <v>Chino</v>
      </c>
      <c r="K1345" s="6" t="str">
        <f>_xlfn.XLOOKUP(frasest[[#This Row],[autor_es]],autorest[autor_es],autorest[idioma_la])</f>
        <v>Lingua Sinica</v>
      </c>
      <c r="L1345" s="6" t="str">
        <f>_xlfn.XLOOKUP(frasest[[#This Row],[autor_es]],autorest[autor_es],autorest[nacion_es])</f>
        <v>China</v>
      </c>
      <c r="M1345" t="str">
        <f>_xlfn.XLOOKUP(frasest[[#This Row],[autor_es]],autorest[autor_es],autorest[nacion_la])</f>
        <v>Sinae</v>
      </c>
      <c r="N1345" t="str">
        <f>_xlfn.XLOOKUP(frasest[[#This Row],[autor_es]],autorest[autor_es],autorest[epoca_es])</f>
        <v>Epoca Desconocida</v>
      </c>
      <c r="O1345" t="str">
        <f>_xlfn.XLOOKUP(frasest[[#This Row],[autor_es]],autorest[autor_es],autorest[epoca_la])</f>
        <v>Epocha Ignota</v>
      </c>
    </row>
    <row r="1346" spans="1:15">
      <c r="A1346">
        <v>1345</v>
      </c>
      <c r="B1346" t="s">
        <v>3715</v>
      </c>
      <c r="C1346" t="s">
        <v>3716</v>
      </c>
      <c r="D1346" s="1" t="s">
        <v>3717</v>
      </c>
      <c r="E1346" t="s">
        <v>33</v>
      </c>
      <c r="F1346" t="str">
        <f>_xlfn.XLOOKUP(frasest[[#This Row],[autor_es]],autorest[autor_es],autorest[autor_la])</f>
        <v>Proverbium Sinense</v>
      </c>
      <c r="G1346" s="6" t="str">
        <f>_xlfn.XLOOKUP(frasest[[#This Row],[autor_es]],autorest[autor_es],autorest[bio_es])</f>
        <v>Conjunto de proverbios tradicionales de la cultura china que transmiten sabiduría popular, valores morales y enseñanzas prácticas transmitidas oralmente durante siglos.</v>
      </c>
      <c r="H1346" s="6" t="str">
        <f>_xlfn.XLOOKUP(frasest[[#This Row],[autor_es]],autorest[autor_es],autorest[bio_la])</f>
        <v>Collectio sententiarum Sinensium, magnopere in cultura tradita.</v>
      </c>
      <c r="I1346" t="str">
        <f>_xlfn.XLOOKUP(frasest[[#This Row],[autor_es]],autorest[autor_es],autorest[codigo])</f>
        <v>zh</v>
      </c>
      <c r="J1346" t="str">
        <f>_xlfn.XLOOKUP(frasest[[#This Row],[autor_es]],autorest[autor_es],autorest[idioma_es])</f>
        <v>Chino</v>
      </c>
      <c r="K1346" s="6" t="str">
        <f>_xlfn.XLOOKUP(frasest[[#This Row],[autor_es]],autorest[autor_es],autorest[idioma_la])</f>
        <v>Lingua Sinica</v>
      </c>
      <c r="L1346" s="6" t="str">
        <f>_xlfn.XLOOKUP(frasest[[#This Row],[autor_es]],autorest[autor_es],autorest[nacion_es])</f>
        <v>China</v>
      </c>
      <c r="M1346" t="str">
        <f>_xlfn.XLOOKUP(frasest[[#This Row],[autor_es]],autorest[autor_es],autorest[nacion_la])</f>
        <v>Sinae</v>
      </c>
      <c r="N1346" t="str">
        <f>_xlfn.XLOOKUP(frasest[[#This Row],[autor_es]],autorest[autor_es],autorest[epoca_es])</f>
        <v>Epoca Desconocida</v>
      </c>
      <c r="O1346" t="str">
        <f>_xlfn.XLOOKUP(frasest[[#This Row],[autor_es]],autorest[autor_es],autorest[epoca_la])</f>
        <v>Epocha Ignota</v>
      </c>
    </row>
    <row r="1347" spans="1:15">
      <c r="A1347">
        <v>1346</v>
      </c>
      <c r="B1347" t="s">
        <v>3718</v>
      </c>
      <c r="C1347" t="s">
        <v>3719</v>
      </c>
      <c r="D1347" s="1" t="s">
        <v>3720</v>
      </c>
      <c r="E1347" t="s">
        <v>33</v>
      </c>
      <c r="F1347" t="str">
        <f>_xlfn.XLOOKUP(frasest[[#This Row],[autor_es]],autorest[autor_es],autorest[autor_la])</f>
        <v>Proverbium Sinense</v>
      </c>
      <c r="G1347" s="6" t="str">
        <f>_xlfn.XLOOKUP(frasest[[#This Row],[autor_es]],autorest[autor_es],autorest[bio_es])</f>
        <v>Conjunto de proverbios tradicionales de la cultura china que transmiten sabiduría popular, valores morales y enseñanzas prácticas transmitidas oralmente durante siglos.</v>
      </c>
      <c r="H1347" s="6" t="str">
        <f>_xlfn.XLOOKUP(frasest[[#This Row],[autor_es]],autorest[autor_es],autorest[bio_la])</f>
        <v>Collectio sententiarum Sinensium, magnopere in cultura tradita.</v>
      </c>
      <c r="I1347" t="str">
        <f>_xlfn.XLOOKUP(frasest[[#This Row],[autor_es]],autorest[autor_es],autorest[codigo])</f>
        <v>zh</v>
      </c>
      <c r="J1347" t="str">
        <f>_xlfn.XLOOKUP(frasest[[#This Row],[autor_es]],autorest[autor_es],autorest[idioma_es])</f>
        <v>Chino</v>
      </c>
      <c r="K1347" s="6" t="str">
        <f>_xlfn.XLOOKUP(frasest[[#This Row],[autor_es]],autorest[autor_es],autorest[idioma_la])</f>
        <v>Lingua Sinica</v>
      </c>
      <c r="L1347" s="6" t="str">
        <f>_xlfn.XLOOKUP(frasest[[#This Row],[autor_es]],autorest[autor_es],autorest[nacion_es])</f>
        <v>China</v>
      </c>
      <c r="M1347" t="str">
        <f>_xlfn.XLOOKUP(frasest[[#This Row],[autor_es]],autorest[autor_es],autorest[nacion_la])</f>
        <v>Sinae</v>
      </c>
      <c r="N1347" t="str">
        <f>_xlfn.XLOOKUP(frasest[[#This Row],[autor_es]],autorest[autor_es],autorest[epoca_es])</f>
        <v>Epoca Desconocida</v>
      </c>
      <c r="O1347" t="str">
        <f>_xlfn.XLOOKUP(frasest[[#This Row],[autor_es]],autorest[autor_es],autorest[epoca_la])</f>
        <v>Epocha Ignota</v>
      </c>
    </row>
    <row r="1348" spans="1:15">
      <c r="A1348">
        <v>1347</v>
      </c>
      <c r="B1348" t="s">
        <v>3721</v>
      </c>
      <c r="C1348" t="s">
        <v>3722</v>
      </c>
      <c r="D1348" s="1" t="s">
        <v>3723</v>
      </c>
      <c r="E1348" t="s">
        <v>33</v>
      </c>
      <c r="F1348" t="str">
        <f>_xlfn.XLOOKUP(frasest[[#This Row],[autor_es]],autorest[autor_es],autorest[autor_la])</f>
        <v>Proverbium Sinense</v>
      </c>
      <c r="G1348" s="6" t="str">
        <f>_xlfn.XLOOKUP(frasest[[#This Row],[autor_es]],autorest[autor_es],autorest[bio_es])</f>
        <v>Conjunto de proverbios tradicionales de la cultura china que transmiten sabiduría popular, valores morales y enseñanzas prácticas transmitidas oralmente durante siglos.</v>
      </c>
      <c r="H1348" s="6" t="str">
        <f>_xlfn.XLOOKUP(frasest[[#This Row],[autor_es]],autorest[autor_es],autorest[bio_la])</f>
        <v>Collectio sententiarum Sinensium, magnopere in cultura tradita.</v>
      </c>
      <c r="I1348" t="str">
        <f>_xlfn.XLOOKUP(frasest[[#This Row],[autor_es]],autorest[autor_es],autorest[codigo])</f>
        <v>zh</v>
      </c>
      <c r="J1348" t="str">
        <f>_xlfn.XLOOKUP(frasest[[#This Row],[autor_es]],autorest[autor_es],autorest[idioma_es])</f>
        <v>Chino</v>
      </c>
      <c r="K1348" s="6" t="str">
        <f>_xlfn.XLOOKUP(frasest[[#This Row],[autor_es]],autorest[autor_es],autorest[idioma_la])</f>
        <v>Lingua Sinica</v>
      </c>
      <c r="L1348" s="6" t="str">
        <f>_xlfn.XLOOKUP(frasest[[#This Row],[autor_es]],autorest[autor_es],autorest[nacion_es])</f>
        <v>China</v>
      </c>
      <c r="M1348" t="str">
        <f>_xlfn.XLOOKUP(frasest[[#This Row],[autor_es]],autorest[autor_es],autorest[nacion_la])</f>
        <v>Sinae</v>
      </c>
      <c r="N1348" t="str">
        <f>_xlfn.XLOOKUP(frasest[[#This Row],[autor_es]],autorest[autor_es],autorest[epoca_es])</f>
        <v>Epoca Desconocida</v>
      </c>
      <c r="O1348" t="str">
        <f>_xlfn.XLOOKUP(frasest[[#This Row],[autor_es]],autorest[autor_es],autorest[epoca_la])</f>
        <v>Epocha Ignota</v>
      </c>
    </row>
    <row r="1349" spans="1:15">
      <c r="A1349">
        <v>1348</v>
      </c>
      <c r="B1349" t="s">
        <v>3724</v>
      </c>
      <c r="C1349" t="s">
        <v>3725</v>
      </c>
      <c r="D1349" s="1" t="s">
        <v>3726</v>
      </c>
      <c r="E1349" t="s">
        <v>33</v>
      </c>
      <c r="F1349" t="str">
        <f>_xlfn.XLOOKUP(frasest[[#This Row],[autor_es]],autorest[autor_es],autorest[autor_la])</f>
        <v>Proverbium Sinense</v>
      </c>
      <c r="G1349" s="6" t="str">
        <f>_xlfn.XLOOKUP(frasest[[#This Row],[autor_es]],autorest[autor_es],autorest[bio_es])</f>
        <v>Conjunto de proverbios tradicionales de la cultura china que transmiten sabiduría popular, valores morales y enseñanzas prácticas transmitidas oralmente durante siglos.</v>
      </c>
      <c r="H1349" s="6" t="str">
        <f>_xlfn.XLOOKUP(frasest[[#This Row],[autor_es]],autorest[autor_es],autorest[bio_la])</f>
        <v>Collectio sententiarum Sinensium, magnopere in cultura tradita.</v>
      </c>
      <c r="I1349" t="str">
        <f>_xlfn.XLOOKUP(frasest[[#This Row],[autor_es]],autorest[autor_es],autorest[codigo])</f>
        <v>zh</v>
      </c>
      <c r="J1349" t="str">
        <f>_xlfn.XLOOKUP(frasest[[#This Row],[autor_es]],autorest[autor_es],autorest[idioma_es])</f>
        <v>Chino</v>
      </c>
      <c r="K1349" s="6" t="str">
        <f>_xlfn.XLOOKUP(frasest[[#This Row],[autor_es]],autorest[autor_es],autorest[idioma_la])</f>
        <v>Lingua Sinica</v>
      </c>
      <c r="L1349" s="6" t="str">
        <f>_xlfn.XLOOKUP(frasest[[#This Row],[autor_es]],autorest[autor_es],autorest[nacion_es])</f>
        <v>China</v>
      </c>
      <c r="M1349" t="str">
        <f>_xlfn.XLOOKUP(frasest[[#This Row],[autor_es]],autorest[autor_es],autorest[nacion_la])</f>
        <v>Sinae</v>
      </c>
      <c r="N1349" t="str">
        <f>_xlfn.XLOOKUP(frasest[[#This Row],[autor_es]],autorest[autor_es],autorest[epoca_es])</f>
        <v>Epoca Desconocida</v>
      </c>
      <c r="O1349" t="str">
        <f>_xlfn.XLOOKUP(frasest[[#This Row],[autor_es]],autorest[autor_es],autorest[epoca_la])</f>
        <v>Epocha Ignota</v>
      </c>
    </row>
    <row r="1350" spans="1:15">
      <c r="A1350">
        <v>1349</v>
      </c>
      <c r="B1350" t="s">
        <v>3727</v>
      </c>
      <c r="C1350" t="s">
        <v>3728</v>
      </c>
      <c r="D1350" s="1" t="s">
        <v>3729</v>
      </c>
      <c r="E1350" t="s">
        <v>33</v>
      </c>
      <c r="F1350" t="str">
        <f>_xlfn.XLOOKUP(frasest[[#This Row],[autor_es]],autorest[autor_es],autorest[autor_la])</f>
        <v>Proverbium Sinense</v>
      </c>
      <c r="G1350" s="6" t="str">
        <f>_xlfn.XLOOKUP(frasest[[#This Row],[autor_es]],autorest[autor_es],autorest[bio_es])</f>
        <v>Conjunto de proverbios tradicionales de la cultura china que transmiten sabiduría popular, valores morales y enseñanzas prácticas transmitidas oralmente durante siglos.</v>
      </c>
      <c r="H1350" s="6" t="str">
        <f>_xlfn.XLOOKUP(frasest[[#This Row],[autor_es]],autorest[autor_es],autorest[bio_la])</f>
        <v>Collectio sententiarum Sinensium, magnopere in cultura tradita.</v>
      </c>
      <c r="I1350" t="str">
        <f>_xlfn.XLOOKUP(frasest[[#This Row],[autor_es]],autorest[autor_es],autorest[codigo])</f>
        <v>zh</v>
      </c>
      <c r="J1350" t="str">
        <f>_xlfn.XLOOKUP(frasest[[#This Row],[autor_es]],autorest[autor_es],autorest[idioma_es])</f>
        <v>Chino</v>
      </c>
      <c r="K1350" s="6" t="str">
        <f>_xlfn.XLOOKUP(frasest[[#This Row],[autor_es]],autorest[autor_es],autorest[idioma_la])</f>
        <v>Lingua Sinica</v>
      </c>
      <c r="L1350" s="6" t="str">
        <f>_xlfn.XLOOKUP(frasest[[#This Row],[autor_es]],autorest[autor_es],autorest[nacion_es])</f>
        <v>China</v>
      </c>
      <c r="M1350" t="str">
        <f>_xlfn.XLOOKUP(frasest[[#This Row],[autor_es]],autorest[autor_es],autorest[nacion_la])</f>
        <v>Sinae</v>
      </c>
      <c r="N1350" t="str">
        <f>_xlfn.XLOOKUP(frasest[[#This Row],[autor_es]],autorest[autor_es],autorest[epoca_es])</f>
        <v>Epoca Desconocida</v>
      </c>
      <c r="O1350" t="str">
        <f>_xlfn.XLOOKUP(frasest[[#This Row],[autor_es]],autorest[autor_es],autorest[epoca_la])</f>
        <v>Epocha Ignota</v>
      </c>
    </row>
    <row r="1351" spans="1:15">
      <c r="A1351">
        <v>1350</v>
      </c>
      <c r="B1351" t="s">
        <v>3730</v>
      </c>
      <c r="C1351" t="s">
        <v>3731</v>
      </c>
      <c r="D1351" s="1" t="s">
        <v>3732</v>
      </c>
      <c r="E1351" t="s">
        <v>33</v>
      </c>
      <c r="F1351" t="str">
        <f>_xlfn.XLOOKUP(frasest[[#This Row],[autor_es]],autorest[autor_es],autorest[autor_la])</f>
        <v>Proverbium Sinense</v>
      </c>
      <c r="G1351" s="6" t="str">
        <f>_xlfn.XLOOKUP(frasest[[#This Row],[autor_es]],autorest[autor_es],autorest[bio_es])</f>
        <v>Conjunto de proverbios tradicionales de la cultura china que transmiten sabiduría popular, valores morales y enseñanzas prácticas transmitidas oralmente durante siglos.</v>
      </c>
      <c r="H1351" s="6" t="str">
        <f>_xlfn.XLOOKUP(frasest[[#This Row],[autor_es]],autorest[autor_es],autorest[bio_la])</f>
        <v>Collectio sententiarum Sinensium, magnopere in cultura tradita.</v>
      </c>
      <c r="I1351" t="str">
        <f>_xlfn.XLOOKUP(frasest[[#This Row],[autor_es]],autorest[autor_es],autorest[codigo])</f>
        <v>zh</v>
      </c>
      <c r="J1351" t="str">
        <f>_xlfn.XLOOKUP(frasest[[#This Row],[autor_es]],autorest[autor_es],autorest[idioma_es])</f>
        <v>Chino</v>
      </c>
      <c r="K1351" s="6" t="str">
        <f>_xlfn.XLOOKUP(frasest[[#This Row],[autor_es]],autorest[autor_es],autorest[idioma_la])</f>
        <v>Lingua Sinica</v>
      </c>
      <c r="L1351" s="6" t="str">
        <f>_xlfn.XLOOKUP(frasest[[#This Row],[autor_es]],autorest[autor_es],autorest[nacion_es])</f>
        <v>China</v>
      </c>
      <c r="M1351" t="str">
        <f>_xlfn.XLOOKUP(frasest[[#This Row],[autor_es]],autorest[autor_es],autorest[nacion_la])</f>
        <v>Sinae</v>
      </c>
      <c r="N1351" t="str">
        <f>_xlfn.XLOOKUP(frasest[[#This Row],[autor_es]],autorest[autor_es],autorest[epoca_es])</f>
        <v>Epoca Desconocida</v>
      </c>
      <c r="O1351" t="str">
        <f>_xlfn.XLOOKUP(frasest[[#This Row],[autor_es]],autorest[autor_es],autorest[epoca_la])</f>
        <v>Epocha Ignota</v>
      </c>
    </row>
    <row r="1352" spans="1:15">
      <c r="A1352">
        <v>1351</v>
      </c>
      <c r="B1352" t="s">
        <v>3733</v>
      </c>
      <c r="C1352" t="s">
        <v>3734</v>
      </c>
      <c r="D1352" s="1" t="s">
        <v>3735</v>
      </c>
      <c r="E1352" t="s">
        <v>33</v>
      </c>
      <c r="F1352" t="str">
        <f>_xlfn.XLOOKUP(frasest[[#This Row],[autor_es]],autorest[autor_es],autorest[autor_la])</f>
        <v>Proverbium Sinense</v>
      </c>
      <c r="G1352" s="6" t="str">
        <f>_xlfn.XLOOKUP(frasest[[#This Row],[autor_es]],autorest[autor_es],autorest[bio_es])</f>
        <v>Conjunto de proverbios tradicionales de la cultura china que transmiten sabiduría popular, valores morales y enseñanzas prácticas transmitidas oralmente durante siglos.</v>
      </c>
      <c r="H1352" s="6" t="str">
        <f>_xlfn.XLOOKUP(frasest[[#This Row],[autor_es]],autorest[autor_es],autorest[bio_la])</f>
        <v>Collectio sententiarum Sinensium, magnopere in cultura tradita.</v>
      </c>
      <c r="I1352" t="str">
        <f>_xlfn.XLOOKUP(frasest[[#This Row],[autor_es]],autorest[autor_es],autorest[codigo])</f>
        <v>zh</v>
      </c>
      <c r="J1352" t="str">
        <f>_xlfn.XLOOKUP(frasest[[#This Row],[autor_es]],autorest[autor_es],autorest[idioma_es])</f>
        <v>Chino</v>
      </c>
      <c r="K1352" s="6" t="str">
        <f>_xlfn.XLOOKUP(frasest[[#This Row],[autor_es]],autorest[autor_es],autorest[idioma_la])</f>
        <v>Lingua Sinica</v>
      </c>
      <c r="L1352" s="6" t="str">
        <f>_xlfn.XLOOKUP(frasest[[#This Row],[autor_es]],autorest[autor_es],autorest[nacion_es])</f>
        <v>China</v>
      </c>
      <c r="M1352" t="str">
        <f>_xlfn.XLOOKUP(frasest[[#This Row],[autor_es]],autorest[autor_es],autorest[nacion_la])</f>
        <v>Sinae</v>
      </c>
      <c r="N1352" t="str">
        <f>_xlfn.XLOOKUP(frasest[[#This Row],[autor_es]],autorest[autor_es],autorest[epoca_es])</f>
        <v>Epoca Desconocida</v>
      </c>
      <c r="O1352" t="str">
        <f>_xlfn.XLOOKUP(frasest[[#This Row],[autor_es]],autorest[autor_es],autorest[epoca_la])</f>
        <v>Epocha Ignota</v>
      </c>
    </row>
    <row r="1353" spans="1:15">
      <c r="A1353">
        <v>1352</v>
      </c>
      <c r="B1353" t="s">
        <v>3736</v>
      </c>
      <c r="C1353" t="s">
        <v>3737</v>
      </c>
      <c r="D1353" s="1" t="s">
        <v>3738</v>
      </c>
      <c r="E1353" t="s">
        <v>33</v>
      </c>
      <c r="F1353" t="str">
        <f>_xlfn.XLOOKUP(frasest[[#This Row],[autor_es]],autorest[autor_es],autorest[autor_la])</f>
        <v>Proverbium Sinense</v>
      </c>
      <c r="G1353" s="6" t="str">
        <f>_xlfn.XLOOKUP(frasest[[#This Row],[autor_es]],autorest[autor_es],autorest[bio_es])</f>
        <v>Conjunto de proverbios tradicionales de la cultura china que transmiten sabiduría popular, valores morales y enseñanzas prácticas transmitidas oralmente durante siglos.</v>
      </c>
      <c r="H1353" s="6" t="str">
        <f>_xlfn.XLOOKUP(frasest[[#This Row],[autor_es]],autorest[autor_es],autorest[bio_la])</f>
        <v>Collectio sententiarum Sinensium, magnopere in cultura tradita.</v>
      </c>
      <c r="I1353" t="str">
        <f>_xlfn.XLOOKUP(frasest[[#This Row],[autor_es]],autorest[autor_es],autorest[codigo])</f>
        <v>zh</v>
      </c>
      <c r="J1353" t="str">
        <f>_xlfn.XLOOKUP(frasest[[#This Row],[autor_es]],autorest[autor_es],autorest[idioma_es])</f>
        <v>Chino</v>
      </c>
      <c r="K1353" s="6" t="str">
        <f>_xlfn.XLOOKUP(frasest[[#This Row],[autor_es]],autorest[autor_es],autorest[idioma_la])</f>
        <v>Lingua Sinica</v>
      </c>
      <c r="L1353" s="6" t="str">
        <f>_xlfn.XLOOKUP(frasest[[#This Row],[autor_es]],autorest[autor_es],autorest[nacion_es])</f>
        <v>China</v>
      </c>
      <c r="M1353" t="str">
        <f>_xlfn.XLOOKUP(frasest[[#This Row],[autor_es]],autorest[autor_es],autorest[nacion_la])</f>
        <v>Sinae</v>
      </c>
      <c r="N1353" t="str">
        <f>_xlfn.XLOOKUP(frasest[[#This Row],[autor_es]],autorest[autor_es],autorest[epoca_es])</f>
        <v>Epoca Desconocida</v>
      </c>
      <c r="O1353" t="str">
        <f>_xlfn.XLOOKUP(frasest[[#This Row],[autor_es]],autorest[autor_es],autorest[epoca_la])</f>
        <v>Epocha Ignota</v>
      </c>
    </row>
    <row r="1354" spans="1:15">
      <c r="A1354">
        <v>1353</v>
      </c>
      <c r="B1354" t="s">
        <v>3739</v>
      </c>
      <c r="C1354" t="s">
        <v>3740</v>
      </c>
      <c r="D1354" s="1" t="s">
        <v>3741</v>
      </c>
      <c r="E1354" t="s">
        <v>33</v>
      </c>
      <c r="F1354" t="str">
        <f>_xlfn.XLOOKUP(frasest[[#This Row],[autor_es]],autorest[autor_es],autorest[autor_la])</f>
        <v>Proverbium Sinense</v>
      </c>
      <c r="G1354" s="6" t="str">
        <f>_xlfn.XLOOKUP(frasest[[#This Row],[autor_es]],autorest[autor_es],autorest[bio_es])</f>
        <v>Conjunto de proverbios tradicionales de la cultura china que transmiten sabiduría popular, valores morales y enseñanzas prácticas transmitidas oralmente durante siglos.</v>
      </c>
      <c r="H1354" s="6" t="str">
        <f>_xlfn.XLOOKUP(frasest[[#This Row],[autor_es]],autorest[autor_es],autorest[bio_la])</f>
        <v>Collectio sententiarum Sinensium, magnopere in cultura tradita.</v>
      </c>
      <c r="I1354" t="str">
        <f>_xlfn.XLOOKUP(frasest[[#This Row],[autor_es]],autorest[autor_es],autorest[codigo])</f>
        <v>zh</v>
      </c>
      <c r="J1354" t="str">
        <f>_xlfn.XLOOKUP(frasest[[#This Row],[autor_es]],autorest[autor_es],autorest[idioma_es])</f>
        <v>Chino</v>
      </c>
      <c r="K1354" s="6" t="str">
        <f>_xlfn.XLOOKUP(frasest[[#This Row],[autor_es]],autorest[autor_es],autorest[idioma_la])</f>
        <v>Lingua Sinica</v>
      </c>
      <c r="L1354" s="6" t="str">
        <f>_xlfn.XLOOKUP(frasest[[#This Row],[autor_es]],autorest[autor_es],autorest[nacion_es])</f>
        <v>China</v>
      </c>
      <c r="M1354" t="str">
        <f>_xlfn.XLOOKUP(frasest[[#This Row],[autor_es]],autorest[autor_es],autorest[nacion_la])</f>
        <v>Sinae</v>
      </c>
      <c r="N1354" t="str">
        <f>_xlfn.XLOOKUP(frasest[[#This Row],[autor_es]],autorest[autor_es],autorest[epoca_es])</f>
        <v>Epoca Desconocida</v>
      </c>
      <c r="O1354" t="str">
        <f>_xlfn.XLOOKUP(frasest[[#This Row],[autor_es]],autorest[autor_es],autorest[epoca_la])</f>
        <v>Epocha Ignota</v>
      </c>
    </row>
    <row r="1355" spans="1:15">
      <c r="A1355">
        <v>1354</v>
      </c>
      <c r="B1355" t="s">
        <v>3742</v>
      </c>
      <c r="C1355" t="s">
        <v>3743</v>
      </c>
      <c r="D1355" s="1" t="s">
        <v>3744</v>
      </c>
      <c r="E1355" t="s">
        <v>33</v>
      </c>
      <c r="F1355" t="str">
        <f>_xlfn.XLOOKUP(frasest[[#This Row],[autor_es]],autorest[autor_es],autorest[autor_la])</f>
        <v>Proverbium Sinense</v>
      </c>
      <c r="G1355" s="6" t="str">
        <f>_xlfn.XLOOKUP(frasest[[#This Row],[autor_es]],autorest[autor_es],autorest[bio_es])</f>
        <v>Conjunto de proverbios tradicionales de la cultura china que transmiten sabiduría popular, valores morales y enseñanzas prácticas transmitidas oralmente durante siglos.</v>
      </c>
      <c r="H1355" s="6" t="str">
        <f>_xlfn.XLOOKUP(frasest[[#This Row],[autor_es]],autorest[autor_es],autorest[bio_la])</f>
        <v>Collectio sententiarum Sinensium, magnopere in cultura tradita.</v>
      </c>
      <c r="I1355" t="str">
        <f>_xlfn.XLOOKUP(frasest[[#This Row],[autor_es]],autorest[autor_es],autorest[codigo])</f>
        <v>zh</v>
      </c>
      <c r="J1355" t="str">
        <f>_xlfn.XLOOKUP(frasest[[#This Row],[autor_es]],autorest[autor_es],autorest[idioma_es])</f>
        <v>Chino</v>
      </c>
      <c r="K1355" s="6" t="str">
        <f>_xlfn.XLOOKUP(frasest[[#This Row],[autor_es]],autorest[autor_es],autorest[idioma_la])</f>
        <v>Lingua Sinica</v>
      </c>
      <c r="L1355" s="6" t="str">
        <f>_xlfn.XLOOKUP(frasest[[#This Row],[autor_es]],autorest[autor_es],autorest[nacion_es])</f>
        <v>China</v>
      </c>
      <c r="M1355" t="str">
        <f>_xlfn.XLOOKUP(frasest[[#This Row],[autor_es]],autorest[autor_es],autorest[nacion_la])</f>
        <v>Sinae</v>
      </c>
      <c r="N1355" t="str">
        <f>_xlfn.XLOOKUP(frasest[[#This Row],[autor_es]],autorest[autor_es],autorest[epoca_es])</f>
        <v>Epoca Desconocida</v>
      </c>
      <c r="O1355" t="str">
        <f>_xlfn.XLOOKUP(frasest[[#This Row],[autor_es]],autorest[autor_es],autorest[epoca_la])</f>
        <v>Epocha Ignota</v>
      </c>
    </row>
    <row r="1356" spans="1:15">
      <c r="A1356">
        <v>1355</v>
      </c>
      <c r="B1356" t="s">
        <v>3745</v>
      </c>
      <c r="C1356" t="s">
        <v>3746</v>
      </c>
      <c r="D1356" s="1" t="s">
        <v>3747</v>
      </c>
      <c r="E1356" t="s">
        <v>33</v>
      </c>
      <c r="F1356" t="str">
        <f>_xlfn.XLOOKUP(frasest[[#This Row],[autor_es]],autorest[autor_es],autorest[autor_la])</f>
        <v>Proverbium Sinense</v>
      </c>
      <c r="G1356" s="6" t="str">
        <f>_xlfn.XLOOKUP(frasest[[#This Row],[autor_es]],autorest[autor_es],autorest[bio_es])</f>
        <v>Conjunto de proverbios tradicionales de la cultura china que transmiten sabiduría popular, valores morales y enseñanzas prácticas transmitidas oralmente durante siglos.</v>
      </c>
      <c r="H1356" s="6" t="str">
        <f>_xlfn.XLOOKUP(frasest[[#This Row],[autor_es]],autorest[autor_es],autorest[bio_la])</f>
        <v>Collectio sententiarum Sinensium, magnopere in cultura tradita.</v>
      </c>
      <c r="I1356" t="str">
        <f>_xlfn.XLOOKUP(frasest[[#This Row],[autor_es]],autorest[autor_es],autorest[codigo])</f>
        <v>zh</v>
      </c>
      <c r="J1356" t="str">
        <f>_xlfn.XLOOKUP(frasest[[#This Row],[autor_es]],autorest[autor_es],autorest[idioma_es])</f>
        <v>Chino</v>
      </c>
      <c r="K1356" s="6" t="str">
        <f>_xlfn.XLOOKUP(frasest[[#This Row],[autor_es]],autorest[autor_es],autorest[idioma_la])</f>
        <v>Lingua Sinica</v>
      </c>
      <c r="L1356" s="6" t="str">
        <f>_xlfn.XLOOKUP(frasest[[#This Row],[autor_es]],autorest[autor_es],autorest[nacion_es])</f>
        <v>China</v>
      </c>
      <c r="M1356" t="str">
        <f>_xlfn.XLOOKUP(frasest[[#This Row],[autor_es]],autorest[autor_es],autorest[nacion_la])</f>
        <v>Sinae</v>
      </c>
      <c r="N1356" t="str">
        <f>_xlfn.XLOOKUP(frasest[[#This Row],[autor_es]],autorest[autor_es],autorest[epoca_es])</f>
        <v>Epoca Desconocida</v>
      </c>
      <c r="O1356" t="str">
        <f>_xlfn.XLOOKUP(frasest[[#This Row],[autor_es]],autorest[autor_es],autorest[epoca_la])</f>
        <v>Epocha Ignota</v>
      </c>
    </row>
    <row r="1357" spans="1:15">
      <c r="A1357">
        <v>1356</v>
      </c>
      <c r="B1357" t="s">
        <v>3748</v>
      </c>
      <c r="C1357" t="s">
        <v>3749</v>
      </c>
      <c r="D1357" s="1" t="s">
        <v>3750</v>
      </c>
      <c r="E1357" t="s">
        <v>33</v>
      </c>
      <c r="F1357" t="str">
        <f>_xlfn.XLOOKUP(frasest[[#This Row],[autor_es]],autorest[autor_es],autorest[autor_la])</f>
        <v>Proverbium Sinense</v>
      </c>
      <c r="G1357" s="6" t="str">
        <f>_xlfn.XLOOKUP(frasest[[#This Row],[autor_es]],autorest[autor_es],autorest[bio_es])</f>
        <v>Conjunto de proverbios tradicionales de la cultura china que transmiten sabiduría popular, valores morales y enseñanzas prácticas transmitidas oralmente durante siglos.</v>
      </c>
      <c r="H1357" s="6" t="str">
        <f>_xlfn.XLOOKUP(frasest[[#This Row],[autor_es]],autorest[autor_es],autorest[bio_la])</f>
        <v>Collectio sententiarum Sinensium, magnopere in cultura tradita.</v>
      </c>
      <c r="I1357" t="str">
        <f>_xlfn.XLOOKUP(frasest[[#This Row],[autor_es]],autorest[autor_es],autorest[codigo])</f>
        <v>zh</v>
      </c>
      <c r="J1357" t="str">
        <f>_xlfn.XLOOKUP(frasest[[#This Row],[autor_es]],autorest[autor_es],autorest[idioma_es])</f>
        <v>Chino</v>
      </c>
      <c r="K1357" s="6" t="str">
        <f>_xlfn.XLOOKUP(frasest[[#This Row],[autor_es]],autorest[autor_es],autorest[idioma_la])</f>
        <v>Lingua Sinica</v>
      </c>
      <c r="L1357" s="6" t="str">
        <f>_xlfn.XLOOKUP(frasest[[#This Row],[autor_es]],autorest[autor_es],autorest[nacion_es])</f>
        <v>China</v>
      </c>
      <c r="M1357" t="str">
        <f>_xlfn.XLOOKUP(frasest[[#This Row],[autor_es]],autorest[autor_es],autorest[nacion_la])</f>
        <v>Sinae</v>
      </c>
      <c r="N1357" t="str">
        <f>_xlfn.XLOOKUP(frasest[[#This Row],[autor_es]],autorest[autor_es],autorest[epoca_es])</f>
        <v>Epoca Desconocida</v>
      </c>
      <c r="O1357" t="str">
        <f>_xlfn.XLOOKUP(frasest[[#This Row],[autor_es]],autorest[autor_es],autorest[epoca_la])</f>
        <v>Epocha Ignota</v>
      </c>
    </row>
    <row r="1358" spans="1:15">
      <c r="A1358">
        <v>1357</v>
      </c>
      <c r="B1358" t="s">
        <v>3751</v>
      </c>
      <c r="C1358" t="s">
        <v>3752</v>
      </c>
      <c r="D1358" s="1" t="s">
        <v>3753</v>
      </c>
      <c r="E1358" t="s">
        <v>33</v>
      </c>
      <c r="F1358" t="str">
        <f>_xlfn.XLOOKUP(frasest[[#This Row],[autor_es]],autorest[autor_es],autorest[autor_la])</f>
        <v>Proverbium Sinense</v>
      </c>
      <c r="G1358" s="6" t="str">
        <f>_xlfn.XLOOKUP(frasest[[#This Row],[autor_es]],autorest[autor_es],autorest[bio_es])</f>
        <v>Conjunto de proverbios tradicionales de la cultura china que transmiten sabiduría popular, valores morales y enseñanzas prácticas transmitidas oralmente durante siglos.</v>
      </c>
      <c r="H1358" s="6" t="str">
        <f>_xlfn.XLOOKUP(frasest[[#This Row],[autor_es]],autorest[autor_es],autorest[bio_la])</f>
        <v>Collectio sententiarum Sinensium, magnopere in cultura tradita.</v>
      </c>
      <c r="I1358" t="str">
        <f>_xlfn.XLOOKUP(frasest[[#This Row],[autor_es]],autorest[autor_es],autorest[codigo])</f>
        <v>zh</v>
      </c>
      <c r="J1358" t="str">
        <f>_xlfn.XLOOKUP(frasest[[#This Row],[autor_es]],autorest[autor_es],autorest[idioma_es])</f>
        <v>Chino</v>
      </c>
      <c r="K1358" s="6" t="str">
        <f>_xlfn.XLOOKUP(frasest[[#This Row],[autor_es]],autorest[autor_es],autorest[idioma_la])</f>
        <v>Lingua Sinica</v>
      </c>
      <c r="L1358" s="6" t="str">
        <f>_xlfn.XLOOKUP(frasest[[#This Row],[autor_es]],autorest[autor_es],autorest[nacion_es])</f>
        <v>China</v>
      </c>
      <c r="M1358" t="str">
        <f>_xlfn.XLOOKUP(frasest[[#This Row],[autor_es]],autorest[autor_es],autorest[nacion_la])</f>
        <v>Sinae</v>
      </c>
      <c r="N1358" t="str">
        <f>_xlfn.XLOOKUP(frasest[[#This Row],[autor_es]],autorest[autor_es],autorest[epoca_es])</f>
        <v>Epoca Desconocida</v>
      </c>
      <c r="O1358" t="str">
        <f>_xlfn.XLOOKUP(frasest[[#This Row],[autor_es]],autorest[autor_es],autorest[epoca_la])</f>
        <v>Epocha Ignota</v>
      </c>
    </row>
    <row r="1359" spans="1:15">
      <c r="A1359">
        <v>1358</v>
      </c>
      <c r="B1359" t="s">
        <v>3754</v>
      </c>
      <c r="C1359" t="s">
        <v>3562</v>
      </c>
      <c r="D1359" s="1" t="s">
        <v>3755</v>
      </c>
      <c r="E1359" t="s">
        <v>33</v>
      </c>
      <c r="F1359" t="str">
        <f>_xlfn.XLOOKUP(frasest[[#This Row],[autor_es]],autorest[autor_es],autorest[autor_la])</f>
        <v>Proverbium Sinense</v>
      </c>
      <c r="G1359" s="6" t="str">
        <f>_xlfn.XLOOKUP(frasest[[#This Row],[autor_es]],autorest[autor_es],autorest[bio_es])</f>
        <v>Conjunto de proverbios tradicionales de la cultura china que transmiten sabiduría popular, valores morales y enseñanzas prácticas transmitidas oralmente durante siglos.</v>
      </c>
      <c r="H1359" s="6" t="str">
        <f>_xlfn.XLOOKUP(frasest[[#This Row],[autor_es]],autorest[autor_es],autorest[bio_la])</f>
        <v>Collectio sententiarum Sinensium, magnopere in cultura tradita.</v>
      </c>
      <c r="I1359" t="str">
        <f>_xlfn.XLOOKUP(frasest[[#This Row],[autor_es]],autorest[autor_es],autorest[codigo])</f>
        <v>zh</v>
      </c>
      <c r="J1359" t="str">
        <f>_xlfn.XLOOKUP(frasest[[#This Row],[autor_es]],autorest[autor_es],autorest[idioma_es])</f>
        <v>Chino</v>
      </c>
      <c r="K1359" s="6" t="str">
        <f>_xlfn.XLOOKUP(frasest[[#This Row],[autor_es]],autorest[autor_es],autorest[idioma_la])</f>
        <v>Lingua Sinica</v>
      </c>
      <c r="L1359" s="6" t="str">
        <f>_xlfn.XLOOKUP(frasest[[#This Row],[autor_es]],autorest[autor_es],autorest[nacion_es])</f>
        <v>China</v>
      </c>
      <c r="M1359" t="str">
        <f>_xlfn.XLOOKUP(frasest[[#This Row],[autor_es]],autorest[autor_es],autorest[nacion_la])</f>
        <v>Sinae</v>
      </c>
      <c r="N1359" t="str">
        <f>_xlfn.XLOOKUP(frasest[[#This Row],[autor_es]],autorest[autor_es],autorest[epoca_es])</f>
        <v>Epoca Desconocida</v>
      </c>
      <c r="O1359" t="str">
        <f>_xlfn.XLOOKUP(frasest[[#This Row],[autor_es]],autorest[autor_es],autorest[epoca_la])</f>
        <v>Epocha Ignota</v>
      </c>
    </row>
    <row r="1360" spans="1:15">
      <c r="A1360">
        <v>1359</v>
      </c>
      <c r="B1360" t="s">
        <v>3756</v>
      </c>
      <c r="C1360" t="s">
        <v>3757</v>
      </c>
      <c r="D1360" s="1" t="s">
        <v>3758</v>
      </c>
      <c r="E1360" t="s">
        <v>33</v>
      </c>
      <c r="F1360" t="str">
        <f>_xlfn.XLOOKUP(frasest[[#This Row],[autor_es]],autorest[autor_es],autorest[autor_la])</f>
        <v>Proverbium Sinense</v>
      </c>
      <c r="G1360" s="6" t="str">
        <f>_xlfn.XLOOKUP(frasest[[#This Row],[autor_es]],autorest[autor_es],autorest[bio_es])</f>
        <v>Conjunto de proverbios tradicionales de la cultura china que transmiten sabiduría popular, valores morales y enseñanzas prácticas transmitidas oralmente durante siglos.</v>
      </c>
      <c r="H1360" s="6" t="str">
        <f>_xlfn.XLOOKUP(frasest[[#This Row],[autor_es]],autorest[autor_es],autorest[bio_la])</f>
        <v>Collectio sententiarum Sinensium, magnopere in cultura tradita.</v>
      </c>
      <c r="I1360" t="str">
        <f>_xlfn.XLOOKUP(frasest[[#This Row],[autor_es]],autorest[autor_es],autorest[codigo])</f>
        <v>zh</v>
      </c>
      <c r="J1360" t="str">
        <f>_xlfn.XLOOKUP(frasest[[#This Row],[autor_es]],autorest[autor_es],autorest[idioma_es])</f>
        <v>Chino</v>
      </c>
      <c r="K1360" s="6" t="str">
        <f>_xlfn.XLOOKUP(frasest[[#This Row],[autor_es]],autorest[autor_es],autorest[idioma_la])</f>
        <v>Lingua Sinica</v>
      </c>
      <c r="L1360" s="6" t="str">
        <f>_xlfn.XLOOKUP(frasest[[#This Row],[autor_es]],autorest[autor_es],autorest[nacion_es])</f>
        <v>China</v>
      </c>
      <c r="M1360" t="str">
        <f>_xlfn.XLOOKUP(frasest[[#This Row],[autor_es]],autorest[autor_es],autorest[nacion_la])</f>
        <v>Sinae</v>
      </c>
      <c r="N1360" t="str">
        <f>_xlfn.XLOOKUP(frasest[[#This Row],[autor_es]],autorest[autor_es],autorest[epoca_es])</f>
        <v>Epoca Desconocida</v>
      </c>
      <c r="O1360" t="str">
        <f>_xlfn.XLOOKUP(frasest[[#This Row],[autor_es]],autorest[autor_es],autorest[epoca_la])</f>
        <v>Epocha Ignota</v>
      </c>
    </row>
    <row r="1361" spans="1:15">
      <c r="A1361">
        <v>1360</v>
      </c>
      <c r="B1361" t="s">
        <v>3759</v>
      </c>
      <c r="C1361" t="s">
        <v>3760</v>
      </c>
      <c r="D1361" t="s">
        <v>3761</v>
      </c>
      <c r="E1361" t="s">
        <v>3762</v>
      </c>
      <c r="F1361" t="str">
        <f>_xlfn.XLOOKUP(frasest[[#This Row],[autor_es]],autorest[autor_es],autorest[autor_la])</f>
        <v>Xenophon</v>
      </c>
      <c r="G1361" s="6" t="str">
        <f>_xlfn.XLOOKUP(frasest[[#This Row],[autor_es]],autorest[autor_es],autorest[bio_es])</f>
        <v>Historiador militar y filósofo griego discípulo de Sócrates que narró la vida del maestro desde una perspectiva práctica y ética centrada en el ciudadano virtuoso y el liderazgo</v>
      </c>
      <c r="H1361" s="6" t="str">
        <f>_xlfn.XLOOKUP(frasest[[#This Row],[autor_es]],autorest[autor_es],autorest[bio_la])</f>
        <v>Historicus miles et philosophus Graecus discipulus Socratis qui vitam magistri ex perspectiva practica et ethica de cive virtuoso et ducatu narravit</v>
      </c>
      <c r="I1361" t="str">
        <f>_xlfn.XLOOKUP(frasest[[#This Row],[autor_es]],autorest[autor_es],autorest[codigo])</f>
        <v>el</v>
      </c>
      <c r="J1361" t="str">
        <f>_xlfn.XLOOKUP(frasest[[#This Row],[autor_es]],autorest[autor_es],autorest[idioma_es])</f>
        <v>Griego</v>
      </c>
      <c r="K1361" s="6" t="str">
        <f>_xlfn.XLOOKUP(frasest[[#This Row],[autor_es]],autorest[autor_es],autorest[idioma_la])</f>
        <v>Lingua Graeca</v>
      </c>
      <c r="L1361" s="6" t="str">
        <f>_xlfn.XLOOKUP(frasest[[#This Row],[autor_es]],autorest[autor_es],autorest[nacion_es])</f>
        <v>Grecia</v>
      </c>
      <c r="M1361" t="str">
        <f>_xlfn.XLOOKUP(frasest[[#This Row],[autor_es]],autorest[autor_es],autorest[nacion_la])</f>
        <v>Graecia</v>
      </c>
      <c r="N1361" t="str">
        <f>_xlfn.XLOOKUP(frasest[[#This Row],[autor_es]],autorest[autor_es],autorest[epoca_es])</f>
        <v>Edad Antigua</v>
      </c>
      <c r="O1361" t="str">
        <f>_xlfn.XLOOKUP(frasest[[#This Row],[autor_es]],autorest[autor_es],autorest[epoca_la])</f>
        <v>Antiquitas</v>
      </c>
    </row>
    <row r="1362" spans="1:15">
      <c r="A1362">
        <v>1361</v>
      </c>
      <c r="B1362" t="s">
        <v>3763</v>
      </c>
      <c r="C1362" t="s">
        <v>3764</v>
      </c>
      <c r="D1362" t="s">
        <v>3765</v>
      </c>
      <c r="E1362" t="s">
        <v>3762</v>
      </c>
      <c r="F1362" t="str">
        <f>_xlfn.XLOOKUP(frasest[[#This Row],[autor_es]],autorest[autor_es],autorest[autor_la])</f>
        <v>Xenophon</v>
      </c>
      <c r="G1362" s="6" t="str">
        <f>_xlfn.XLOOKUP(frasest[[#This Row],[autor_es]],autorest[autor_es],autorest[bio_es])</f>
        <v>Historiador militar y filósofo griego discípulo de Sócrates que narró la vida del maestro desde una perspectiva práctica y ética centrada en el ciudadano virtuoso y el liderazgo</v>
      </c>
      <c r="H1362" s="6" t="str">
        <f>_xlfn.XLOOKUP(frasest[[#This Row],[autor_es]],autorest[autor_es],autorest[bio_la])</f>
        <v>Historicus miles et philosophus Graecus discipulus Socratis qui vitam magistri ex perspectiva practica et ethica de cive virtuoso et ducatu narravit</v>
      </c>
      <c r="I1362" t="str">
        <f>_xlfn.XLOOKUP(frasest[[#This Row],[autor_es]],autorest[autor_es],autorest[codigo])</f>
        <v>el</v>
      </c>
      <c r="J1362" t="str">
        <f>_xlfn.XLOOKUP(frasest[[#This Row],[autor_es]],autorest[autor_es],autorest[idioma_es])</f>
        <v>Griego</v>
      </c>
      <c r="K1362" s="6" t="str">
        <f>_xlfn.XLOOKUP(frasest[[#This Row],[autor_es]],autorest[autor_es],autorest[idioma_la])</f>
        <v>Lingua Graeca</v>
      </c>
      <c r="L1362" s="6" t="str">
        <f>_xlfn.XLOOKUP(frasest[[#This Row],[autor_es]],autorest[autor_es],autorest[nacion_es])</f>
        <v>Grecia</v>
      </c>
      <c r="M1362" t="str">
        <f>_xlfn.XLOOKUP(frasest[[#This Row],[autor_es]],autorest[autor_es],autorest[nacion_la])</f>
        <v>Graecia</v>
      </c>
      <c r="N1362" t="str">
        <f>_xlfn.XLOOKUP(frasest[[#This Row],[autor_es]],autorest[autor_es],autorest[epoca_es])</f>
        <v>Edad Antigua</v>
      </c>
      <c r="O1362" t="str">
        <f>_xlfn.XLOOKUP(frasest[[#This Row],[autor_es]],autorest[autor_es],autorest[epoca_la])</f>
        <v>Antiquitas</v>
      </c>
    </row>
    <row r="1363" spans="1:15">
      <c r="A1363">
        <v>1362</v>
      </c>
      <c r="B1363" t="s">
        <v>3766</v>
      </c>
      <c r="C1363" t="s">
        <v>3767</v>
      </c>
      <c r="D1363" t="s">
        <v>3768</v>
      </c>
      <c r="E1363" t="s">
        <v>3762</v>
      </c>
      <c r="F1363" t="str">
        <f>_xlfn.XLOOKUP(frasest[[#This Row],[autor_es]],autorest[autor_es],autorest[autor_la])</f>
        <v>Xenophon</v>
      </c>
      <c r="G1363" s="6" t="str">
        <f>_xlfn.XLOOKUP(frasest[[#This Row],[autor_es]],autorest[autor_es],autorest[bio_es])</f>
        <v>Historiador militar y filósofo griego discípulo de Sócrates que narró la vida del maestro desde una perspectiva práctica y ética centrada en el ciudadano virtuoso y el liderazgo</v>
      </c>
      <c r="H1363" s="6" t="str">
        <f>_xlfn.XLOOKUP(frasest[[#This Row],[autor_es]],autorest[autor_es],autorest[bio_la])</f>
        <v>Historicus miles et philosophus Graecus discipulus Socratis qui vitam magistri ex perspectiva practica et ethica de cive virtuoso et ducatu narravit</v>
      </c>
      <c r="I1363" t="str">
        <f>_xlfn.XLOOKUP(frasest[[#This Row],[autor_es]],autorest[autor_es],autorest[codigo])</f>
        <v>el</v>
      </c>
      <c r="J1363" t="str">
        <f>_xlfn.XLOOKUP(frasest[[#This Row],[autor_es]],autorest[autor_es],autorest[idioma_es])</f>
        <v>Griego</v>
      </c>
      <c r="K1363" s="6" t="str">
        <f>_xlfn.XLOOKUP(frasest[[#This Row],[autor_es]],autorest[autor_es],autorest[idioma_la])</f>
        <v>Lingua Graeca</v>
      </c>
      <c r="L1363" s="6" t="str">
        <f>_xlfn.XLOOKUP(frasest[[#This Row],[autor_es]],autorest[autor_es],autorest[nacion_es])</f>
        <v>Grecia</v>
      </c>
      <c r="M1363" t="str">
        <f>_xlfn.XLOOKUP(frasest[[#This Row],[autor_es]],autorest[autor_es],autorest[nacion_la])</f>
        <v>Graecia</v>
      </c>
      <c r="N1363" t="str">
        <f>_xlfn.XLOOKUP(frasest[[#This Row],[autor_es]],autorest[autor_es],autorest[epoca_es])</f>
        <v>Edad Antigua</v>
      </c>
      <c r="O1363" t="str">
        <f>_xlfn.XLOOKUP(frasest[[#This Row],[autor_es]],autorest[autor_es],autorest[epoca_la])</f>
        <v>Antiquitas</v>
      </c>
    </row>
    <row r="1364" spans="1:15">
      <c r="A1364">
        <v>1363</v>
      </c>
      <c r="B1364" t="s">
        <v>3769</v>
      </c>
      <c r="C1364" t="s">
        <v>3770</v>
      </c>
      <c r="D1364" t="s">
        <v>3771</v>
      </c>
      <c r="E1364" t="s">
        <v>3762</v>
      </c>
      <c r="F1364" t="str">
        <f>_xlfn.XLOOKUP(frasest[[#This Row],[autor_es]],autorest[autor_es],autorest[autor_la])</f>
        <v>Xenophon</v>
      </c>
      <c r="G1364" s="6" t="str">
        <f>_xlfn.XLOOKUP(frasest[[#This Row],[autor_es]],autorest[autor_es],autorest[bio_es])</f>
        <v>Historiador militar y filósofo griego discípulo de Sócrates que narró la vida del maestro desde una perspectiva práctica y ética centrada en el ciudadano virtuoso y el liderazgo</v>
      </c>
      <c r="H1364" s="6" t="str">
        <f>_xlfn.XLOOKUP(frasest[[#This Row],[autor_es]],autorest[autor_es],autorest[bio_la])</f>
        <v>Historicus miles et philosophus Graecus discipulus Socratis qui vitam magistri ex perspectiva practica et ethica de cive virtuoso et ducatu narravit</v>
      </c>
      <c r="I1364" t="str">
        <f>_xlfn.XLOOKUP(frasest[[#This Row],[autor_es]],autorest[autor_es],autorest[codigo])</f>
        <v>el</v>
      </c>
      <c r="J1364" t="str">
        <f>_xlfn.XLOOKUP(frasest[[#This Row],[autor_es]],autorest[autor_es],autorest[idioma_es])</f>
        <v>Griego</v>
      </c>
      <c r="K1364" s="6" t="str">
        <f>_xlfn.XLOOKUP(frasest[[#This Row],[autor_es]],autorest[autor_es],autorest[idioma_la])</f>
        <v>Lingua Graeca</v>
      </c>
      <c r="L1364" s="6" t="str">
        <f>_xlfn.XLOOKUP(frasest[[#This Row],[autor_es]],autorest[autor_es],autorest[nacion_es])</f>
        <v>Grecia</v>
      </c>
      <c r="M1364" t="str">
        <f>_xlfn.XLOOKUP(frasest[[#This Row],[autor_es]],autorest[autor_es],autorest[nacion_la])</f>
        <v>Graecia</v>
      </c>
      <c r="N1364" t="str">
        <f>_xlfn.XLOOKUP(frasest[[#This Row],[autor_es]],autorest[autor_es],autorest[epoca_es])</f>
        <v>Edad Antigua</v>
      </c>
      <c r="O1364" t="str">
        <f>_xlfn.XLOOKUP(frasest[[#This Row],[autor_es]],autorest[autor_es],autorest[epoca_la])</f>
        <v>Antiquitas</v>
      </c>
    </row>
    <row r="1365" spans="1:15">
      <c r="A1365">
        <v>1364</v>
      </c>
      <c r="B1365" t="s">
        <v>3772</v>
      </c>
      <c r="C1365" t="s">
        <v>3773</v>
      </c>
      <c r="D1365" t="s">
        <v>3774</v>
      </c>
      <c r="E1365" t="s">
        <v>3762</v>
      </c>
      <c r="F1365" t="str">
        <f>_xlfn.XLOOKUP(frasest[[#This Row],[autor_es]],autorest[autor_es],autorest[autor_la])</f>
        <v>Xenophon</v>
      </c>
      <c r="G1365" s="6" t="str">
        <f>_xlfn.XLOOKUP(frasest[[#This Row],[autor_es]],autorest[autor_es],autorest[bio_es])</f>
        <v>Historiador militar y filósofo griego discípulo de Sócrates que narró la vida del maestro desde una perspectiva práctica y ética centrada en el ciudadano virtuoso y el liderazgo</v>
      </c>
      <c r="H1365" s="6" t="str">
        <f>_xlfn.XLOOKUP(frasest[[#This Row],[autor_es]],autorest[autor_es],autorest[bio_la])</f>
        <v>Historicus miles et philosophus Graecus discipulus Socratis qui vitam magistri ex perspectiva practica et ethica de cive virtuoso et ducatu narravit</v>
      </c>
      <c r="I1365" t="str">
        <f>_xlfn.XLOOKUP(frasest[[#This Row],[autor_es]],autorest[autor_es],autorest[codigo])</f>
        <v>el</v>
      </c>
      <c r="J1365" t="str">
        <f>_xlfn.XLOOKUP(frasest[[#This Row],[autor_es]],autorest[autor_es],autorest[idioma_es])</f>
        <v>Griego</v>
      </c>
      <c r="K1365" s="6" t="str">
        <f>_xlfn.XLOOKUP(frasest[[#This Row],[autor_es]],autorest[autor_es],autorest[idioma_la])</f>
        <v>Lingua Graeca</v>
      </c>
      <c r="L1365" s="6" t="str">
        <f>_xlfn.XLOOKUP(frasest[[#This Row],[autor_es]],autorest[autor_es],autorest[nacion_es])</f>
        <v>Grecia</v>
      </c>
      <c r="M1365" t="str">
        <f>_xlfn.XLOOKUP(frasest[[#This Row],[autor_es]],autorest[autor_es],autorest[nacion_la])</f>
        <v>Graecia</v>
      </c>
      <c r="N1365" t="str">
        <f>_xlfn.XLOOKUP(frasest[[#This Row],[autor_es]],autorest[autor_es],autorest[epoca_es])</f>
        <v>Edad Antigua</v>
      </c>
      <c r="O1365" t="str">
        <f>_xlfn.XLOOKUP(frasest[[#This Row],[autor_es]],autorest[autor_es],autorest[epoca_la])</f>
        <v>Antiquitas</v>
      </c>
    </row>
    <row r="1366" spans="1:15">
      <c r="A1366">
        <v>1365</v>
      </c>
      <c r="B1366" t="s">
        <v>3775</v>
      </c>
      <c r="C1366" t="s">
        <v>3776</v>
      </c>
      <c r="D1366" t="s">
        <v>3777</v>
      </c>
      <c r="E1366" t="s">
        <v>3762</v>
      </c>
      <c r="F1366" t="str">
        <f>_xlfn.XLOOKUP(frasest[[#This Row],[autor_es]],autorest[autor_es],autorest[autor_la])</f>
        <v>Xenophon</v>
      </c>
      <c r="G1366" s="6" t="str">
        <f>_xlfn.XLOOKUP(frasest[[#This Row],[autor_es]],autorest[autor_es],autorest[bio_es])</f>
        <v>Historiador militar y filósofo griego discípulo de Sócrates que narró la vida del maestro desde una perspectiva práctica y ética centrada en el ciudadano virtuoso y el liderazgo</v>
      </c>
      <c r="H1366" s="6" t="str">
        <f>_xlfn.XLOOKUP(frasest[[#This Row],[autor_es]],autorest[autor_es],autorest[bio_la])</f>
        <v>Historicus miles et philosophus Graecus discipulus Socratis qui vitam magistri ex perspectiva practica et ethica de cive virtuoso et ducatu narravit</v>
      </c>
      <c r="I1366" t="str">
        <f>_xlfn.XLOOKUP(frasest[[#This Row],[autor_es]],autorest[autor_es],autorest[codigo])</f>
        <v>el</v>
      </c>
      <c r="J1366" t="str">
        <f>_xlfn.XLOOKUP(frasest[[#This Row],[autor_es]],autorest[autor_es],autorest[idioma_es])</f>
        <v>Griego</v>
      </c>
      <c r="K1366" s="6" t="str">
        <f>_xlfn.XLOOKUP(frasest[[#This Row],[autor_es]],autorest[autor_es],autorest[idioma_la])</f>
        <v>Lingua Graeca</v>
      </c>
      <c r="L1366" s="6" t="str">
        <f>_xlfn.XLOOKUP(frasest[[#This Row],[autor_es]],autorest[autor_es],autorest[nacion_es])</f>
        <v>Grecia</v>
      </c>
      <c r="M1366" t="str">
        <f>_xlfn.XLOOKUP(frasest[[#This Row],[autor_es]],autorest[autor_es],autorest[nacion_la])</f>
        <v>Graecia</v>
      </c>
      <c r="N1366" t="str">
        <f>_xlfn.XLOOKUP(frasest[[#This Row],[autor_es]],autorest[autor_es],autorest[epoca_es])</f>
        <v>Edad Antigua</v>
      </c>
      <c r="O1366" t="str">
        <f>_xlfn.XLOOKUP(frasest[[#This Row],[autor_es]],autorest[autor_es],autorest[epoca_la])</f>
        <v>Antiquitas</v>
      </c>
    </row>
    <row r="1367" spans="1:15">
      <c r="A1367">
        <v>1366</v>
      </c>
      <c r="B1367" t="s">
        <v>3778</v>
      </c>
      <c r="C1367" t="s">
        <v>3779</v>
      </c>
      <c r="D1367" t="s">
        <v>3780</v>
      </c>
      <c r="E1367" t="s">
        <v>3762</v>
      </c>
      <c r="F1367" t="str">
        <f>_xlfn.XLOOKUP(frasest[[#This Row],[autor_es]],autorest[autor_es],autorest[autor_la])</f>
        <v>Xenophon</v>
      </c>
      <c r="G1367" s="6" t="str">
        <f>_xlfn.XLOOKUP(frasest[[#This Row],[autor_es]],autorest[autor_es],autorest[bio_es])</f>
        <v>Historiador militar y filósofo griego discípulo de Sócrates que narró la vida del maestro desde una perspectiva práctica y ética centrada en el ciudadano virtuoso y el liderazgo</v>
      </c>
      <c r="H1367" s="6" t="str">
        <f>_xlfn.XLOOKUP(frasest[[#This Row],[autor_es]],autorest[autor_es],autorest[bio_la])</f>
        <v>Historicus miles et philosophus Graecus discipulus Socratis qui vitam magistri ex perspectiva practica et ethica de cive virtuoso et ducatu narravit</v>
      </c>
      <c r="I1367" t="str">
        <f>_xlfn.XLOOKUP(frasest[[#This Row],[autor_es]],autorest[autor_es],autorest[codigo])</f>
        <v>el</v>
      </c>
      <c r="J1367" t="str">
        <f>_xlfn.XLOOKUP(frasest[[#This Row],[autor_es]],autorest[autor_es],autorest[idioma_es])</f>
        <v>Griego</v>
      </c>
      <c r="K1367" s="6" t="str">
        <f>_xlfn.XLOOKUP(frasest[[#This Row],[autor_es]],autorest[autor_es],autorest[idioma_la])</f>
        <v>Lingua Graeca</v>
      </c>
      <c r="L1367" s="6" t="str">
        <f>_xlfn.XLOOKUP(frasest[[#This Row],[autor_es]],autorest[autor_es],autorest[nacion_es])</f>
        <v>Grecia</v>
      </c>
      <c r="M1367" t="str">
        <f>_xlfn.XLOOKUP(frasest[[#This Row],[autor_es]],autorest[autor_es],autorest[nacion_la])</f>
        <v>Graecia</v>
      </c>
      <c r="N1367" t="str">
        <f>_xlfn.XLOOKUP(frasest[[#This Row],[autor_es]],autorest[autor_es],autorest[epoca_es])</f>
        <v>Edad Antigua</v>
      </c>
      <c r="O1367" t="str">
        <f>_xlfn.XLOOKUP(frasest[[#This Row],[autor_es]],autorest[autor_es],autorest[epoca_la])</f>
        <v>Antiquitas</v>
      </c>
    </row>
    <row r="1368" spans="1:15">
      <c r="A1368">
        <v>1367</v>
      </c>
      <c r="B1368" t="s">
        <v>3781</v>
      </c>
      <c r="C1368" t="s">
        <v>3782</v>
      </c>
      <c r="D1368" t="s">
        <v>3783</v>
      </c>
      <c r="E1368" t="s">
        <v>3762</v>
      </c>
      <c r="F1368" t="str">
        <f>_xlfn.XLOOKUP(frasest[[#This Row],[autor_es]],autorest[autor_es],autorest[autor_la])</f>
        <v>Xenophon</v>
      </c>
      <c r="G1368" s="6" t="str">
        <f>_xlfn.XLOOKUP(frasest[[#This Row],[autor_es]],autorest[autor_es],autorest[bio_es])</f>
        <v>Historiador militar y filósofo griego discípulo de Sócrates que narró la vida del maestro desde una perspectiva práctica y ética centrada en el ciudadano virtuoso y el liderazgo</v>
      </c>
      <c r="H1368" s="6" t="str">
        <f>_xlfn.XLOOKUP(frasest[[#This Row],[autor_es]],autorest[autor_es],autorest[bio_la])</f>
        <v>Historicus miles et philosophus Graecus discipulus Socratis qui vitam magistri ex perspectiva practica et ethica de cive virtuoso et ducatu narravit</v>
      </c>
      <c r="I1368" t="str">
        <f>_xlfn.XLOOKUP(frasest[[#This Row],[autor_es]],autorest[autor_es],autorest[codigo])</f>
        <v>el</v>
      </c>
      <c r="J1368" t="str">
        <f>_xlfn.XLOOKUP(frasest[[#This Row],[autor_es]],autorest[autor_es],autorest[idioma_es])</f>
        <v>Griego</v>
      </c>
      <c r="K1368" s="6" t="str">
        <f>_xlfn.XLOOKUP(frasest[[#This Row],[autor_es]],autorest[autor_es],autorest[idioma_la])</f>
        <v>Lingua Graeca</v>
      </c>
      <c r="L1368" s="6" t="str">
        <f>_xlfn.XLOOKUP(frasest[[#This Row],[autor_es]],autorest[autor_es],autorest[nacion_es])</f>
        <v>Grecia</v>
      </c>
      <c r="M1368" t="str">
        <f>_xlfn.XLOOKUP(frasest[[#This Row],[autor_es]],autorest[autor_es],autorest[nacion_la])</f>
        <v>Graecia</v>
      </c>
      <c r="N1368" t="str">
        <f>_xlfn.XLOOKUP(frasest[[#This Row],[autor_es]],autorest[autor_es],autorest[epoca_es])</f>
        <v>Edad Antigua</v>
      </c>
      <c r="O1368" t="str">
        <f>_xlfn.XLOOKUP(frasest[[#This Row],[autor_es]],autorest[autor_es],autorest[epoca_la])</f>
        <v>Antiquitas</v>
      </c>
    </row>
    <row r="1369" spans="1:15">
      <c r="A1369">
        <v>1368</v>
      </c>
      <c r="B1369" t="s">
        <v>3784</v>
      </c>
      <c r="C1369" t="s">
        <v>3785</v>
      </c>
      <c r="D1369" t="s">
        <v>3786</v>
      </c>
      <c r="E1369" t="s">
        <v>3762</v>
      </c>
      <c r="F1369" t="str">
        <f>_xlfn.XLOOKUP(frasest[[#This Row],[autor_es]],autorest[autor_es],autorest[autor_la])</f>
        <v>Xenophon</v>
      </c>
      <c r="G1369" s="6" t="str">
        <f>_xlfn.XLOOKUP(frasest[[#This Row],[autor_es]],autorest[autor_es],autorest[bio_es])</f>
        <v>Historiador militar y filósofo griego discípulo de Sócrates que narró la vida del maestro desde una perspectiva práctica y ética centrada en el ciudadano virtuoso y el liderazgo</v>
      </c>
      <c r="H1369" s="6" t="str">
        <f>_xlfn.XLOOKUP(frasest[[#This Row],[autor_es]],autorest[autor_es],autorest[bio_la])</f>
        <v>Historicus miles et philosophus Graecus discipulus Socratis qui vitam magistri ex perspectiva practica et ethica de cive virtuoso et ducatu narravit</v>
      </c>
      <c r="I1369" t="str">
        <f>_xlfn.XLOOKUP(frasest[[#This Row],[autor_es]],autorest[autor_es],autorest[codigo])</f>
        <v>el</v>
      </c>
      <c r="J1369" t="str">
        <f>_xlfn.XLOOKUP(frasest[[#This Row],[autor_es]],autorest[autor_es],autorest[idioma_es])</f>
        <v>Griego</v>
      </c>
      <c r="K1369" s="6" t="str">
        <f>_xlfn.XLOOKUP(frasest[[#This Row],[autor_es]],autorest[autor_es],autorest[idioma_la])</f>
        <v>Lingua Graeca</v>
      </c>
      <c r="L1369" s="6" t="str">
        <f>_xlfn.XLOOKUP(frasest[[#This Row],[autor_es]],autorest[autor_es],autorest[nacion_es])</f>
        <v>Grecia</v>
      </c>
      <c r="M1369" t="str">
        <f>_xlfn.XLOOKUP(frasest[[#This Row],[autor_es]],autorest[autor_es],autorest[nacion_la])</f>
        <v>Graecia</v>
      </c>
      <c r="N1369" t="str">
        <f>_xlfn.XLOOKUP(frasest[[#This Row],[autor_es]],autorest[autor_es],autorest[epoca_es])</f>
        <v>Edad Antigua</v>
      </c>
      <c r="O1369" t="str">
        <f>_xlfn.XLOOKUP(frasest[[#This Row],[autor_es]],autorest[autor_es],autorest[epoca_la])</f>
        <v>Antiquitas</v>
      </c>
    </row>
    <row r="1370" spans="1:15">
      <c r="A1370">
        <v>1369</v>
      </c>
      <c r="B1370" t="s">
        <v>3787</v>
      </c>
      <c r="C1370" t="s">
        <v>3788</v>
      </c>
      <c r="D1370" t="s">
        <v>3789</v>
      </c>
      <c r="E1370" t="s">
        <v>3762</v>
      </c>
      <c r="F1370" t="str">
        <f>_xlfn.XLOOKUP(frasest[[#This Row],[autor_es]],autorest[autor_es],autorest[autor_la])</f>
        <v>Xenophon</v>
      </c>
      <c r="G1370" s="6" t="str">
        <f>_xlfn.XLOOKUP(frasest[[#This Row],[autor_es]],autorest[autor_es],autorest[bio_es])</f>
        <v>Historiador militar y filósofo griego discípulo de Sócrates que narró la vida del maestro desde una perspectiva práctica y ética centrada en el ciudadano virtuoso y el liderazgo</v>
      </c>
      <c r="H1370" s="6" t="str">
        <f>_xlfn.XLOOKUP(frasest[[#This Row],[autor_es]],autorest[autor_es],autorest[bio_la])</f>
        <v>Historicus miles et philosophus Graecus discipulus Socratis qui vitam magistri ex perspectiva practica et ethica de cive virtuoso et ducatu narravit</v>
      </c>
      <c r="I1370" t="str">
        <f>_xlfn.XLOOKUP(frasest[[#This Row],[autor_es]],autorest[autor_es],autorest[codigo])</f>
        <v>el</v>
      </c>
      <c r="J1370" t="str">
        <f>_xlfn.XLOOKUP(frasest[[#This Row],[autor_es]],autorest[autor_es],autorest[idioma_es])</f>
        <v>Griego</v>
      </c>
      <c r="K1370" s="6" t="str">
        <f>_xlfn.XLOOKUP(frasest[[#This Row],[autor_es]],autorest[autor_es],autorest[idioma_la])</f>
        <v>Lingua Graeca</v>
      </c>
      <c r="L1370" s="6" t="str">
        <f>_xlfn.XLOOKUP(frasest[[#This Row],[autor_es]],autorest[autor_es],autorest[nacion_es])</f>
        <v>Grecia</v>
      </c>
      <c r="M1370" t="str">
        <f>_xlfn.XLOOKUP(frasest[[#This Row],[autor_es]],autorest[autor_es],autorest[nacion_la])</f>
        <v>Graecia</v>
      </c>
      <c r="N1370" t="str">
        <f>_xlfn.XLOOKUP(frasest[[#This Row],[autor_es]],autorest[autor_es],autorest[epoca_es])</f>
        <v>Edad Antigua</v>
      </c>
      <c r="O1370" t="str">
        <f>_xlfn.XLOOKUP(frasest[[#This Row],[autor_es]],autorest[autor_es],autorest[epoca_la])</f>
        <v>Antiquitas</v>
      </c>
    </row>
    <row r="1371" spans="1:15">
      <c r="A1371">
        <v>1370</v>
      </c>
      <c r="B1371" t="s">
        <v>3790</v>
      </c>
      <c r="C1371" t="s">
        <v>3791</v>
      </c>
      <c r="D1371" t="s">
        <v>3792</v>
      </c>
      <c r="E1371" t="s">
        <v>3793</v>
      </c>
      <c r="F1371" t="str">
        <f>_xlfn.XLOOKUP(frasest[[#This Row],[autor_es]],autorest[autor_es],autorest[autor_la])</f>
        <v>Antisthenes</v>
      </c>
      <c r="G1371" s="6" t="str">
        <f>_xlfn.XLOOKUP(frasest[[#This Row],[autor_es]],autorest[autor_es],autorest[bio_es])</f>
        <v>Filósofo griego discípulo directo de Sócrates y fundador de la escuela cínica que defendía la virtud la autosuficiencia y el desprecio por las riquezas materiales</v>
      </c>
      <c r="H1371" s="6" t="str">
        <f>_xlfn.XLOOKUP(frasest[[#This Row],[autor_es]],autorest[autor_es],autorest[bio_la])</f>
        <v>Philosophus Graecus discipulus directus Socratis et fundator scholae Cynicae qui virtutem autosufficientia et contemptum divitiarum materialium defendebat</v>
      </c>
      <c r="I1371" t="str">
        <f>_xlfn.XLOOKUP(frasest[[#This Row],[autor_es]],autorest[autor_es],autorest[codigo])</f>
        <v>el</v>
      </c>
      <c r="J1371" t="str">
        <f>_xlfn.XLOOKUP(frasest[[#This Row],[autor_es]],autorest[autor_es],autorest[idioma_es])</f>
        <v>Griego</v>
      </c>
      <c r="K1371" s="6" t="str">
        <f>_xlfn.XLOOKUP(frasest[[#This Row],[autor_es]],autorest[autor_es],autorest[idioma_la])</f>
        <v>Lingua Graeca</v>
      </c>
      <c r="L1371" s="6" t="str">
        <f>_xlfn.XLOOKUP(frasest[[#This Row],[autor_es]],autorest[autor_es],autorest[nacion_es])</f>
        <v>Grecia</v>
      </c>
      <c r="M1371" t="str">
        <f>_xlfn.XLOOKUP(frasest[[#This Row],[autor_es]],autorest[autor_es],autorest[nacion_la])</f>
        <v>Graecia</v>
      </c>
      <c r="N1371" t="str">
        <f>_xlfn.XLOOKUP(frasest[[#This Row],[autor_es]],autorest[autor_es],autorest[epoca_es])</f>
        <v>Edad Antigua</v>
      </c>
      <c r="O1371" t="str">
        <f>_xlfn.XLOOKUP(frasest[[#This Row],[autor_es]],autorest[autor_es],autorest[epoca_la])</f>
        <v>Antiquitas</v>
      </c>
    </row>
    <row r="1372" spans="1:15">
      <c r="A1372">
        <v>1371</v>
      </c>
      <c r="B1372" t="s">
        <v>3794</v>
      </c>
      <c r="C1372" t="s">
        <v>3795</v>
      </c>
      <c r="D1372" t="s">
        <v>3796</v>
      </c>
      <c r="E1372" t="s">
        <v>3793</v>
      </c>
      <c r="F1372" t="str">
        <f>_xlfn.XLOOKUP(frasest[[#This Row],[autor_es]],autorest[autor_es],autorest[autor_la])</f>
        <v>Antisthenes</v>
      </c>
      <c r="G1372" s="6" t="str">
        <f>_xlfn.XLOOKUP(frasest[[#This Row],[autor_es]],autorest[autor_es],autorest[bio_es])</f>
        <v>Filósofo griego discípulo directo de Sócrates y fundador de la escuela cínica que defendía la virtud la autosuficiencia y el desprecio por las riquezas materiales</v>
      </c>
      <c r="H1372" s="6" t="str">
        <f>_xlfn.XLOOKUP(frasest[[#This Row],[autor_es]],autorest[autor_es],autorest[bio_la])</f>
        <v>Philosophus Graecus discipulus directus Socratis et fundator scholae Cynicae qui virtutem autosufficientia et contemptum divitiarum materialium defendebat</v>
      </c>
      <c r="I1372" t="str">
        <f>_xlfn.XLOOKUP(frasest[[#This Row],[autor_es]],autorest[autor_es],autorest[codigo])</f>
        <v>el</v>
      </c>
      <c r="J1372" t="str">
        <f>_xlfn.XLOOKUP(frasest[[#This Row],[autor_es]],autorest[autor_es],autorest[idioma_es])</f>
        <v>Griego</v>
      </c>
      <c r="K1372" s="6" t="str">
        <f>_xlfn.XLOOKUP(frasest[[#This Row],[autor_es]],autorest[autor_es],autorest[idioma_la])</f>
        <v>Lingua Graeca</v>
      </c>
      <c r="L1372" s="6" t="str">
        <f>_xlfn.XLOOKUP(frasest[[#This Row],[autor_es]],autorest[autor_es],autorest[nacion_es])</f>
        <v>Grecia</v>
      </c>
      <c r="M1372" t="str">
        <f>_xlfn.XLOOKUP(frasest[[#This Row],[autor_es]],autorest[autor_es],autorest[nacion_la])</f>
        <v>Graecia</v>
      </c>
      <c r="N1372" t="str">
        <f>_xlfn.XLOOKUP(frasest[[#This Row],[autor_es]],autorest[autor_es],autorest[epoca_es])</f>
        <v>Edad Antigua</v>
      </c>
      <c r="O1372" t="str">
        <f>_xlfn.XLOOKUP(frasest[[#This Row],[autor_es]],autorest[autor_es],autorest[epoca_la])</f>
        <v>Antiquitas</v>
      </c>
    </row>
    <row r="1373" spans="1:15">
      <c r="A1373">
        <v>1372</v>
      </c>
      <c r="B1373" t="s">
        <v>3797</v>
      </c>
      <c r="C1373" t="s">
        <v>3798</v>
      </c>
      <c r="D1373" t="s">
        <v>3799</v>
      </c>
      <c r="E1373" t="s">
        <v>3793</v>
      </c>
      <c r="F1373" t="str">
        <f>_xlfn.XLOOKUP(frasest[[#This Row],[autor_es]],autorest[autor_es],autorest[autor_la])</f>
        <v>Antisthenes</v>
      </c>
      <c r="G1373" s="6" t="str">
        <f>_xlfn.XLOOKUP(frasest[[#This Row],[autor_es]],autorest[autor_es],autorest[bio_es])</f>
        <v>Filósofo griego discípulo directo de Sócrates y fundador de la escuela cínica que defendía la virtud la autosuficiencia y el desprecio por las riquezas materiales</v>
      </c>
      <c r="H1373" s="6" t="str">
        <f>_xlfn.XLOOKUP(frasest[[#This Row],[autor_es]],autorest[autor_es],autorest[bio_la])</f>
        <v>Philosophus Graecus discipulus directus Socratis et fundator scholae Cynicae qui virtutem autosufficientia et contemptum divitiarum materialium defendebat</v>
      </c>
      <c r="I1373" t="str">
        <f>_xlfn.XLOOKUP(frasest[[#This Row],[autor_es]],autorest[autor_es],autorest[codigo])</f>
        <v>el</v>
      </c>
      <c r="J1373" t="str">
        <f>_xlfn.XLOOKUP(frasest[[#This Row],[autor_es]],autorest[autor_es],autorest[idioma_es])</f>
        <v>Griego</v>
      </c>
      <c r="K1373" s="6" t="str">
        <f>_xlfn.XLOOKUP(frasest[[#This Row],[autor_es]],autorest[autor_es],autorest[idioma_la])</f>
        <v>Lingua Graeca</v>
      </c>
      <c r="L1373" s="6" t="str">
        <f>_xlfn.XLOOKUP(frasest[[#This Row],[autor_es]],autorest[autor_es],autorest[nacion_es])</f>
        <v>Grecia</v>
      </c>
      <c r="M1373" t="str">
        <f>_xlfn.XLOOKUP(frasest[[#This Row],[autor_es]],autorest[autor_es],autorest[nacion_la])</f>
        <v>Graecia</v>
      </c>
      <c r="N1373" t="str">
        <f>_xlfn.XLOOKUP(frasest[[#This Row],[autor_es]],autorest[autor_es],autorest[epoca_es])</f>
        <v>Edad Antigua</v>
      </c>
      <c r="O1373" t="str">
        <f>_xlfn.XLOOKUP(frasest[[#This Row],[autor_es]],autorest[autor_es],autorest[epoca_la])</f>
        <v>Antiquitas</v>
      </c>
    </row>
    <row r="1374" spans="1:15">
      <c r="A1374">
        <v>1373</v>
      </c>
      <c r="B1374" t="s">
        <v>3800</v>
      </c>
      <c r="C1374" t="s">
        <v>3801</v>
      </c>
      <c r="D1374" t="s">
        <v>3802</v>
      </c>
      <c r="E1374" t="s">
        <v>3793</v>
      </c>
      <c r="F1374" t="str">
        <f>_xlfn.XLOOKUP(frasest[[#This Row],[autor_es]],autorest[autor_es],autorest[autor_la])</f>
        <v>Antisthenes</v>
      </c>
      <c r="G1374" s="6" t="str">
        <f>_xlfn.XLOOKUP(frasest[[#This Row],[autor_es]],autorest[autor_es],autorest[bio_es])</f>
        <v>Filósofo griego discípulo directo de Sócrates y fundador de la escuela cínica que defendía la virtud la autosuficiencia y el desprecio por las riquezas materiales</v>
      </c>
      <c r="H1374" s="6" t="str">
        <f>_xlfn.XLOOKUP(frasest[[#This Row],[autor_es]],autorest[autor_es],autorest[bio_la])</f>
        <v>Philosophus Graecus discipulus directus Socratis et fundator scholae Cynicae qui virtutem autosufficientia et contemptum divitiarum materialium defendebat</v>
      </c>
      <c r="I1374" t="str">
        <f>_xlfn.XLOOKUP(frasest[[#This Row],[autor_es]],autorest[autor_es],autorest[codigo])</f>
        <v>el</v>
      </c>
      <c r="J1374" t="str">
        <f>_xlfn.XLOOKUP(frasest[[#This Row],[autor_es]],autorest[autor_es],autorest[idioma_es])</f>
        <v>Griego</v>
      </c>
      <c r="K1374" s="6" t="str">
        <f>_xlfn.XLOOKUP(frasest[[#This Row],[autor_es]],autorest[autor_es],autorest[idioma_la])</f>
        <v>Lingua Graeca</v>
      </c>
      <c r="L1374" s="6" t="str">
        <f>_xlfn.XLOOKUP(frasest[[#This Row],[autor_es]],autorest[autor_es],autorest[nacion_es])</f>
        <v>Grecia</v>
      </c>
      <c r="M1374" t="str">
        <f>_xlfn.XLOOKUP(frasest[[#This Row],[autor_es]],autorest[autor_es],autorest[nacion_la])</f>
        <v>Graecia</v>
      </c>
      <c r="N1374" t="str">
        <f>_xlfn.XLOOKUP(frasest[[#This Row],[autor_es]],autorest[autor_es],autorest[epoca_es])</f>
        <v>Edad Antigua</v>
      </c>
      <c r="O1374" t="str">
        <f>_xlfn.XLOOKUP(frasest[[#This Row],[autor_es]],autorest[autor_es],autorest[epoca_la])</f>
        <v>Antiquitas</v>
      </c>
    </row>
    <row r="1375" spans="1:15">
      <c r="A1375">
        <v>1374</v>
      </c>
      <c r="B1375" t="s">
        <v>3803</v>
      </c>
      <c r="C1375" t="s">
        <v>3804</v>
      </c>
      <c r="D1375" t="s">
        <v>3805</v>
      </c>
      <c r="E1375" t="s">
        <v>3793</v>
      </c>
      <c r="F1375" t="str">
        <f>_xlfn.XLOOKUP(frasest[[#This Row],[autor_es]],autorest[autor_es],autorest[autor_la])</f>
        <v>Antisthenes</v>
      </c>
      <c r="G1375" s="6" t="str">
        <f>_xlfn.XLOOKUP(frasest[[#This Row],[autor_es]],autorest[autor_es],autorest[bio_es])</f>
        <v>Filósofo griego discípulo directo de Sócrates y fundador de la escuela cínica que defendía la virtud la autosuficiencia y el desprecio por las riquezas materiales</v>
      </c>
      <c r="H1375" s="6" t="str">
        <f>_xlfn.XLOOKUP(frasest[[#This Row],[autor_es]],autorest[autor_es],autorest[bio_la])</f>
        <v>Philosophus Graecus discipulus directus Socratis et fundator scholae Cynicae qui virtutem autosufficientia et contemptum divitiarum materialium defendebat</v>
      </c>
      <c r="I1375" t="str">
        <f>_xlfn.XLOOKUP(frasest[[#This Row],[autor_es]],autorest[autor_es],autorest[codigo])</f>
        <v>el</v>
      </c>
      <c r="J1375" t="str">
        <f>_xlfn.XLOOKUP(frasest[[#This Row],[autor_es]],autorest[autor_es],autorest[idioma_es])</f>
        <v>Griego</v>
      </c>
      <c r="K1375" s="6" t="str">
        <f>_xlfn.XLOOKUP(frasest[[#This Row],[autor_es]],autorest[autor_es],autorest[idioma_la])</f>
        <v>Lingua Graeca</v>
      </c>
      <c r="L1375" s="6" t="str">
        <f>_xlfn.XLOOKUP(frasest[[#This Row],[autor_es]],autorest[autor_es],autorest[nacion_es])</f>
        <v>Grecia</v>
      </c>
      <c r="M1375" t="str">
        <f>_xlfn.XLOOKUP(frasest[[#This Row],[autor_es]],autorest[autor_es],autorest[nacion_la])</f>
        <v>Graecia</v>
      </c>
      <c r="N1375" t="str">
        <f>_xlfn.XLOOKUP(frasest[[#This Row],[autor_es]],autorest[autor_es],autorest[epoca_es])</f>
        <v>Edad Antigua</v>
      </c>
      <c r="O1375" t="str">
        <f>_xlfn.XLOOKUP(frasest[[#This Row],[autor_es]],autorest[autor_es],autorest[epoca_la])</f>
        <v>Antiquitas</v>
      </c>
    </row>
    <row r="1376" spans="1:15">
      <c r="A1376">
        <v>1375</v>
      </c>
      <c r="B1376" t="s">
        <v>3806</v>
      </c>
      <c r="C1376" t="s">
        <v>3807</v>
      </c>
      <c r="D1376" t="s">
        <v>3808</v>
      </c>
      <c r="E1376" t="s">
        <v>3793</v>
      </c>
      <c r="F1376" t="str">
        <f>_xlfn.XLOOKUP(frasest[[#This Row],[autor_es]],autorest[autor_es],autorest[autor_la])</f>
        <v>Antisthenes</v>
      </c>
      <c r="G1376" s="6" t="str">
        <f>_xlfn.XLOOKUP(frasest[[#This Row],[autor_es]],autorest[autor_es],autorest[bio_es])</f>
        <v>Filósofo griego discípulo directo de Sócrates y fundador de la escuela cínica que defendía la virtud la autosuficiencia y el desprecio por las riquezas materiales</v>
      </c>
      <c r="H1376" s="6" t="str">
        <f>_xlfn.XLOOKUP(frasest[[#This Row],[autor_es]],autorest[autor_es],autorest[bio_la])</f>
        <v>Philosophus Graecus discipulus directus Socratis et fundator scholae Cynicae qui virtutem autosufficientia et contemptum divitiarum materialium defendebat</v>
      </c>
      <c r="I1376" t="str">
        <f>_xlfn.XLOOKUP(frasest[[#This Row],[autor_es]],autorest[autor_es],autorest[codigo])</f>
        <v>el</v>
      </c>
      <c r="J1376" t="str">
        <f>_xlfn.XLOOKUP(frasest[[#This Row],[autor_es]],autorest[autor_es],autorest[idioma_es])</f>
        <v>Griego</v>
      </c>
      <c r="K1376" s="6" t="str">
        <f>_xlfn.XLOOKUP(frasest[[#This Row],[autor_es]],autorest[autor_es],autorest[idioma_la])</f>
        <v>Lingua Graeca</v>
      </c>
      <c r="L1376" s="6" t="str">
        <f>_xlfn.XLOOKUP(frasest[[#This Row],[autor_es]],autorest[autor_es],autorest[nacion_es])</f>
        <v>Grecia</v>
      </c>
      <c r="M1376" t="str">
        <f>_xlfn.XLOOKUP(frasest[[#This Row],[autor_es]],autorest[autor_es],autorest[nacion_la])</f>
        <v>Graecia</v>
      </c>
      <c r="N1376" t="str">
        <f>_xlfn.XLOOKUP(frasest[[#This Row],[autor_es]],autorest[autor_es],autorest[epoca_es])</f>
        <v>Edad Antigua</v>
      </c>
      <c r="O1376" t="str">
        <f>_xlfn.XLOOKUP(frasest[[#This Row],[autor_es]],autorest[autor_es],autorest[epoca_la])</f>
        <v>Antiquitas</v>
      </c>
    </row>
    <row r="1377" spans="1:15">
      <c r="A1377">
        <v>1376</v>
      </c>
      <c r="B1377" t="s">
        <v>3809</v>
      </c>
      <c r="C1377" t="s">
        <v>3810</v>
      </c>
      <c r="D1377" t="s">
        <v>3811</v>
      </c>
      <c r="E1377" t="s">
        <v>3793</v>
      </c>
      <c r="F1377" t="str">
        <f>_xlfn.XLOOKUP(frasest[[#This Row],[autor_es]],autorest[autor_es],autorest[autor_la])</f>
        <v>Antisthenes</v>
      </c>
      <c r="G1377" s="6" t="str">
        <f>_xlfn.XLOOKUP(frasest[[#This Row],[autor_es]],autorest[autor_es],autorest[bio_es])</f>
        <v>Filósofo griego discípulo directo de Sócrates y fundador de la escuela cínica que defendía la virtud la autosuficiencia y el desprecio por las riquezas materiales</v>
      </c>
      <c r="H1377" s="6" t="str">
        <f>_xlfn.XLOOKUP(frasest[[#This Row],[autor_es]],autorest[autor_es],autorest[bio_la])</f>
        <v>Philosophus Graecus discipulus directus Socratis et fundator scholae Cynicae qui virtutem autosufficientia et contemptum divitiarum materialium defendebat</v>
      </c>
      <c r="I1377" t="str">
        <f>_xlfn.XLOOKUP(frasest[[#This Row],[autor_es]],autorest[autor_es],autorest[codigo])</f>
        <v>el</v>
      </c>
      <c r="J1377" t="str">
        <f>_xlfn.XLOOKUP(frasest[[#This Row],[autor_es]],autorest[autor_es],autorest[idioma_es])</f>
        <v>Griego</v>
      </c>
      <c r="K1377" s="6" t="str">
        <f>_xlfn.XLOOKUP(frasest[[#This Row],[autor_es]],autorest[autor_es],autorest[idioma_la])</f>
        <v>Lingua Graeca</v>
      </c>
      <c r="L1377" s="6" t="str">
        <f>_xlfn.XLOOKUP(frasest[[#This Row],[autor_es]],autorest[autor_es],autorest[nacion_es])</f>
        <v>Grecia</v>
      </c>
      <c r="M1377" t="str">
        <f>_xlfn.XLOOKUP(frasest[[#This Row],[autor_es]],autorest[autor_es],autorest[nacion_la])</f>
        <v>Graecia</v>
      </c>
      <c r="N1377" t="str">
        <f>_xlfn.XLOOKUP(frasest[[#This Row],[autor_es]],autorest[autor_es],autorest[epoca_es])</f>
        <v>Edad Antigua</v>
      </c>
      <c r="O1377" t="str">
        <f>_xlfn.XLOOKUP(frasest[[#This Row],[autor_es]],autorest[autor_es],autorest[epoca_la])</f>
        <v>Antiquitas</v>
      </c>
    </row>
    <row r="1378" spans="1:15">
      <c r="A1378">
        <v>1377</v>
      </c>
      <c r="B1378" t="s">
        <v>3812</v>
      </c>
      <c r="C1378" t="s">
        <v>3813</v>
      </c>
      <c r="D1378" t="s">
        <v>3814</v>
      </c>
      <c r="E1378" t="s">
        <v>3793</v>
      </c>
      <c r="F1378" t="str">
        <f>_xlfn.XLOOKUP(frasest[[#This Row],[autor_es]],autorest[autor_es],autorest[autor_la])</f>
        <v>Antisthenes</v>
      </c>
      <c r="G1378" s="6" t="str">
        <f>_xlfn.XLOOKUP(frasest[[#This Row],[autor_es]],autorest[autor_es],autorest[bio_es])</f>
        <v>Filósofo griego discípulo directo de Sócrates y fundador de la escuela cínica que defendía la virtud la autosuficiencia y el desprecio por las riquezas materiales</v>
      </c>
      <c r="H1378" s="6" t="str">
        <f>_xlfn.XLOOKUP(frasest[[#This Row],[autor_es]],autorest[autor_es],autorest[bio_la])</f>
        <v>Philosophus Graecus discipulus directus Socratis et fundator scholae Cynicae qui virtutem autosufficientia et contemptum divitiarum materialium defendebat</v>
      </c>
      <c r="I1378" t="str">
        <f>_xlfn.XLOOKUP(frasest[[#This Row],[autor_es]],autorest[autor_es],autorest[codigo])</f>
        <v>el</v>
      </c>
      <c r="J1378" t="str">
        <f>_xlfn.XLOOKUP(frasest[[#This Row],[autor_es]],autorest[autor_es],autorest[idioma_es])</f>
        <v>Griego</v>
      </c>
      <c r="K1378" s="6" t="str">
        <f>_xlfn.XLOOKUP(frasest[[#This Row],[autor_es]],autorest[autor_es],autorest[idioma_la])</f>
        <v>Lingua Graeca</v>
      </c>
      <c r="L1378" s="6" t="str">
        <f>_xlfn.XLOOKUP(frasest[[#This Row],[autor_es]],autorest[autor_es],autorest[nacion_es])</f>
        <v>Grecia</v>
      </c>
      <c r="M1378" t="str">
        <f>_xlfn.XLOOKUP(frasest[[#This Row],[autor_es]],autorest[autor_es],autorest[nacion_la])</f>
        <v>Graecia</v>
      </c>
      <c r="N1378" t="str">
        <f>_xlfn.XLOOKUP(frasest[[#This Row],[autor_es]],autorest[autor_es],autorest[epoca_es])</f>
        <v>Edad Antigua</v>
      </c>
      <c r="O1378" t="str">
        <f>_xlfn.XLOOKUP(frasest[[#This Row],[autor_es]],autorest[autor_es],autorest[epoca_la])</f>
        <v>Antiquitas</v>
      </c>
    </row>
    <row r="1379" spans="1:15">
      <c r="A1379">
        <v>1378</v>
      </c>
      <c r="B1379" t="s">
        <v>3815</v>
      </c>
      <c r="C1379" t="s">
        <v>3816</v>
      </c>
      <c r="D1379" t="s">
        <v>3817</v>
      </c>
      <c r="E1379" t="s">
        <v>3793</v>
      </c>
      <c r="F1379" t="str">
        <f>_xlfn.XLOOKUP(frasest[[#This Row],[autor_es]],autorest[autor_es],autorest[autor_la])</f>
        <v>Antisthenes</v>
      </c>
      <c r="G1379" s="6" t="str">
        <f>_xlfn.XLOOKUP(frasest[[#This Row],[autor_es]],autorest[autor_es],autorest[bio_es])</f>
        <v>Filósofo griego discípulo directo de Sócrates y fundador de la escuela cínica que defendía la virtud la autosuficiencia y el desprecio por las riquezas materiales</v>
      </c>
      <c r="H1379" s="6" t="str">
        <f>_xlfn.XLOOKUP(frasest[[#This Row],[autor_es]],autorest[autor_es],autorest[bio_la])</f>
        <v>Philosophus Graecus discipulus directus Socratis et fundator scholae Cynicae qui virtutem autosufficientia et contemptum divitiarum materialium defendebat</v>
      </c>
      <c r="I1379" t="str">
        <f>_xlfn.XLOOKUP(frasest[[#This Row],[autor_es]],autorest[autor_es],autorest[codigo])</f>
        <v>el</v>
      </c>
      <c r="J1379" t="str">
        <f>_xlfn.XLOOKUP(frasest[[#This Row],[autor_es]],autorest[autor_es],autorest[idioma_es])</f>
        <v>Griego</v>
      </c>
      <c r="K1379" s="6" t="str">
        <f>_xlfn.XLOOKUP(frasest[[#This Row],[autor_es]],autorest[autor_es],autorest[idioma_la])</f>
        <v>Lingua Graeca</v>
      </c>
      <c r="L1379" s="6" t="str">
        <f>_xlfn.XLOOKUP(frasest[[#This Row],[autor_es]],autorest[autor_es],autorest[nacion_es])</f>
        <v>Grecia</v>
      </c>
      <c r="M1379" t="str">
        <f>_xlfn.XLOOKUP(frasest[[#This Row],[autor_es]],autorest[autor_es],autorest[nacion_la])</f>
        <v>Graecia</v>
      </c>
      <c r="N1379" t="str">
        <f>_xlfn.XLOOKUP(frasest[[#This Row],[autor_es]],autorest[autor_es],autorest[epoca_es])</f>
        <v>Edad Antigua</v>
      </c>
      <c r="O1379" t="str">
        <f>_xlfn.XLOOKUP(frasest[[#This Row],[autor_es]],autorest[autor_es],autorest[epoca_la])</f>
        <v>Antiquitas</v>
      </c>
    </row>
    <row r="1380" spans="1:15">
      <c r="A1380">
        <v>1379</v>
      </c>
      <c r="B1380" t="s">
        <v>3818</v>
      </c>
      <c r="C1380" t="s">
        <v>3819</v>
      </c>
      <c r="D1380" t="s">
        <v>3820</v>
      </c>
      <c r="E1380" t="s">
        <v>3793</v>
      </c>
      <c r="F1380" t="str">
        <f>_xlfn.XLOOKUP(frasest[[#This Row],[autor_es]],autorest[autor_es],autorest[autor_la])</f>
        <v>Antisthenes</v>
      </c>
      <c r="G1380" s="6" t="str">
        <f>_xlfn.XLOOKUP(frasest[[#This Row],[autor_es]],autorest[autor_es],autorest[bio_es])</f>
        <v>Filósofo griego discípulo directo de Sócrates y fundador de la escuela cínica que defendía la virtud la autosuficiencia y el desprecio por las riquezas materiales</v>
      </c>
      <c r="H1380" s="6" t="str">
        <f>_xlfn.XLOOKUP(frasest[[#This Row],[autor_es]],autorest[autor_es],autorest[bio_la])</f>
        <v>Philosophus Graecus discipulus directus Socratis et fundator scholae Cynicae qui virtutem autosufficientia et contemptum divitiarum materialium defendebat</v>
      </c>
      <c r="I1380" t="str">
        <f>_xlfn.XLOOKUP(frasest[[#This Row],[autor_es]],autorest[autor_es],autorest[codigo])</f>
        <v>el</v>
      </c>
      <c r="J1380" t="str">
        <f>_xlfn.XLOOKUP(frasest[[#This Row],[autor_es]],autorest[autor_es],autorest[idioma_es])</f>
        <v>Griego</v>
      </c>
      <c r="K1380" s="6" t="str">
        <f>_xlfn.XLOOKUP(frasest[[#This Row],[autor_es]],autorest[autor_es],autorest[idioma_la])</f>
        <v>Lingua Graeca</v>
      </c>
      <c r="L1380" s="6" t="str">
        <f>_xlfn.XLOOKUP(frasest[[#This Row],[autor_es]],autorest[autor_es],autorest[nacion_es])</f>
        <v>Grecia</v>
      </c>
      <c r="M1380" t="str">
        <f>_xlfn.XLOOKUP(frasest[[#This Row],[autor_es]],autorest[autor_es],autorest[nacion_la])</f>
        <v>Graecia</v>
      </c>
      <c r="N1380" t="str">
        <f>_xlfn.XLOOKUP(frasest[[#This Row],[autor_es]],autorest[autor_es],autorest[epoca_es])</f>
        <v>Edad Antigua</v>
      </c>
      <c r="O1380" t="str">
        <f>_xlfn.XLOOKUP(frasest[[#This Row],[autor_es]],autorest[autor_es],autorest[epoca_la])</f>
        <v>Antiquitas</v>
      </c>
    </row>
    <row r="1381" spans="1:15">
      <c r="A1381">
        <v>1380</v>
      </c>
      <c r="B1381" t="s">
        <v>3821</v>
      </c>
      <c r="C1381" t="s">
        <v>3822</v>
      </c>
      <c r="D1381" t="s">
        <v>3823</v>
      </c>
      <c r="E1381" t="s">
        <v>3824</v>
      </c>
      <c r="F1381" t="str">
        <f>_xlfn.XLOOKUP(frasest[[#This Row],[autor_es]],autorest[autor_es],autorest[autor_la])</f>
        <v>Plotinus</v>
      </c>
      <c r="G1381"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1"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1" t="str">
        <f>_xlfn.XLOOKUP(frasest[[#This Row],[autor_es]],autorest[autor_es],autorest[codigo])</f>
        <v>el</v>
      </c>
      <c r="J1381" t="str">
        <f>_xlfn.XLOOKUP(frasest[[#This Row],[autor_es]],autorest[autor_es],autorest[idioma_es])</f>
        <v>Griego</v>
      </c>
      <c r="K1381" s="6" t="str">
        <f>_xlfn.XLOOKUP(frasest[[#This Row],[autor_es]],autorest[autor_es],autorest[idioma_la])</f>
        <v>Lingua Graeca</v>
      </c>
      <c r="L1381" s="6" t="str">
        <f>_xlfn.XLOOKUP(frasest[[#This Row],[autor_es]],autorest[autor_es],autorest[nacion_es])</f>
        <v>Roma</v>
      </c>
      <c r="M1381" t="str">
        <f>_xlfn.XLOOKUP(frasest[[#This Row],[autor_es]],autorest[autor_es],autorest[nacion_la])</f>
        <v>Roma</v>
      </c>
      <c r="N1381" t="str">
        <f>_xlfn.XLOOKUP(frasest[[#This Row],[autor_es]],autorest[autor_es],autorest[epoca_es])</f>
        <v>Edad Antigua</v>
      </c>
      <c r="O1381" t="str">
        <f>_xlfn.XLOOKUP(frasest[[#This Row],[autor_es]],autorest[autor_es],autorest[epoca_la])</f>
        <v>Antiquitas</v>
      </c>
    </row>
    <row r="1382" spans="1:15">
      <c r="A1382">
        <v>1381</v>
      </c>
      <c r="B1382" t="s">
        <v>3825</v>
      </c>
      <c r="C1382" t="s">
        <v>3826</v>
      </c>
      <c r="D1382" t="s">
        <v>3827</v>
      </c>
      <c r="E1382" t="s">
        <v>3824</v>
      </c>
      <c r="F1382" t="str">
        <f>_xlfn.XLOOKUP(frasest[[#This Row],[autor_es]],autorest[autor_es],autorest[autor_la])</f>
        <v>Plotinus</v>
      </c>
      <c r="G1382"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2"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2" t="str">
        <f>_xlfn.XLOOKUP(frasest[[#This Row],[autor_es]],autorest[autor_es],autorest[codigo])</f>
        <v>el</v>
      </c>
      <c r="J1382" t="str">
        <f>_xlfn.XLOOKUP(frasest[[#This Row],[autor_es]],autorest[autor_es],autorest[idioma_es])</f>
        <v>Griego</v>
      </c>
      <c r="K1382" s="6" t="str">
        <f>_xlfn.XLOOKUP(frasest[[#This Row],[autor_es]],autorest[autor_es],autorest[idioma_la])</f>
        <v>Lingua Graeca</v>
      </c>
      <c r="L1382" s="6" t="str">
        <f>_xlfn.XLOOKUP(frasest[[#This Row],[autor_es]],autorest[autor_es],autorest[nacion_es])</f>
        <v>Roma</v>
      </c>
      <c r="M1382" t="str">
        <f>_xlfn.XLOOKUP(frasest[[#This Row],[autor_es]],autorest[autor_es],autorest[nacion_la])</f>
        <v>Roma</v>
      </c>
      <c r="N1382" t="str">
        <f>_xlfn.XLOOKUP(frasest[[#This Row],[autor_es]],autorest[autor_es],autorest[epoca_es])</f>
        <v>Edad Antigua</v>
      </c>
      <c r="O1382" t="str">
        <f>_xlfn.XLOOKUP(frasest[[#This Row],[autor_es]],autorest[autor_es],autorest[epoca_la])</f>
        <v>Antiquitas</v>
      </c>
    </row>
    <row r="1383" spans="1:15">
      <c r="A1383">
        <v>1382</v>
      </c>
      <c r="B1383" t="s">
        <v>3828</v>
      </c>
      <c r="C1383" t="s">
        <v>3829</v>
      </c>
      <c r="D1383" t="s">
        <v>3830</v>
      </c>
      <c r="E1383" t="s">
        <v>3824</v>
      </c>
      <c r="F1383" t="str">
        <f>_xlfn.XLOOKUP(frasest[[#This Row],[autor_es]],autorest[autor_es],autorest[autor_la])</f>
        <v>Plotinus</v>
      </c>
      <c r="G1383"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3"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3" t="str">
        <f>_xlfn.XLOOKUP(frasest[[#This Row],[autor_es]],autorest[autor_es],autorest[codigo])</f>
        <v>el</v>
      </c>
      <c r="J1383" t="str">
        <f>_xlfn.XLOOKUP(frasest[[#This Row],[autor_es]],autorest[autor_es],autorest[idioma_es])</f>
        <v>Griego</v>
      </c>
      <c r="K1383" s="6" t="str">
        <f>_xlfn.XLOOKUP(frasest[[#This Row],[autor_es]],autorest[autor_es],autorest[idioma_la])</f>
        <v>Lingua Graeca</v>
      </c>
      <c r="L1383" s="6" t="str">
        <f>_xlfn.XLOOKUP(frasest[[#This Row],[autor_es]],autorest[autor_es],autorest[nacion_es])</f>
        <v>Roma</v>
      </c>
      <c r="M1383" t="str">
        <f>_xlfn.XLOOKUP(frasest[[#This Row],[autor_es]],autorest[autor_es],autorest[nacion_la])</f>
        <v>Roma</v>
      </c>
      <c r="N1383" t="str">
        <f>_xlfn.XLOOKUP(frasest[[#This Row],[autor_es]],autorest[autor_es],autorest[epoca_es])</f>
        <v>Edad Antigua</v>
      </c>
      <c r="O1383" t="str">
        <f>_xlfn.XLOOKUP(frasest[[#This Row],[autor_es]],autorest[autor_es],autorest[epoca_la])</f>
        <v>Antiquitas</v>
      </c>
    </row>
    <row r="1384" spans="1:15">
      <c r="A1384">
        <v>1383</v>
      </c>
      <c r="B1384" t="s">
        <v>3831</v>
      </c>
      <c r="C1384" t="s">
        <v>3832</v>
      </c>
      <c r="D1384" t="s">
        <v>3833</v>
      </c>
      <c r="E1384" t="s">
        <v>3824</v>
      </c>
      <c r="F1384" t="str">
        <f>_xlfn.XLOOKUP(frasest[[#This Row],[autor_es]],autorest[autor_es],autorest[autor_la])</f>
        <v>Plotinus</v>
      </c>
      <c r="G1384"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4"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4" t="str">
        <f>_xlfn.XLOOKUP(frasest[[#This Row],[autor_es]],autorest[autor_es],autorest[codigo])</f>
        <v>el</v>
      </c>
      <c r="J1384" t="str">
        <f>_xlfn.XLOOKUP(frasest[[#This Row],[autor_es]],autorest[autor_es],autorest[idioma_es])</f>
        <v>Griego</v>
      </c>
      <c r="K1384" s="6" t="str">
        <f>_xlfn.XLOOKUP(frasest[[#This Row],[autor_es]],autorest[autor_es],autorest[idioma_la])</f>
        <v>Lingua Graeca</v>
      </c>
      <c r="L1384" s="6" t="str">
        <f>_xlfn.XLOOKUP(frasest[[#This Row],[autor_es]],autorest[autor_es],autorest[nacion_es])</f>
        <v>Roma</v>
      </c>
      <c r="M1384" t="str">
        <f>_xlfn.XLOOKUP(frasest[[#This Row],[autor_es]],autorest[autor_es],autorest[nacion_la])</f>
        <v>Roma</v>
      </c>
      <c r="N1384" t="str">
        <f>_xlfn.XLOOKUP(frasest[[#This Row],[autor_es]],autorest[autor_es],autorest[epoca_es])</f>
        <v>Edad Antigua</v>
      </c>
      <c r="O1384" t="str">
        <f>_xlfn.XLOOKUP(frasest[[#This Row],[autor_es]],autorest[autor_es],autorest[epoca_la])</f>
        <v>Antiquitas</v>
      </c>
    </row>
    <row r="1385" spans="1:15">
      <c r="A1385">
        <v>1384</v>
      </c>
      <c r="B1385" t="s">
        <v>3834</v>
      </c>
      <c r="C1385" t="s">
        <v>3835</v>
      </c>
      <c r="D1385" t="s">
        <v>3836</v>
      </c>
      <c r="E1385" t="s">
        <v>3824</v>
      </c>
      <c r="F1385" t="str">
        <f>_xlfn.XLOOKUP(frasest[[#This Row],[autor_es]],autorest[autor_es],autorest[autor_la])</f>
        <v>Plotinus</v>
      </c>
      <c r="G1385"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5"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5" t="str">
        <f>_xlfn.XLOOKUP(frasest[[#This Row],[autor_es]],autorest[autor_es],autorest[codigo])</f>
        <v>el</v>
      </c>
      <c r="J1385" t="str">
        <f>_xlfn.XLOOKUP(frasest[[#This Row],[autor_es]],autorest[autor_es],autorest[idioma_es])</f>
        <v>Griego</v>
      </c>
      <c r="K1385" s="6" t="str">
        <f>_xlfn.XLOOKUP(frasest[[#This Row],[autor_es]],autorest[autor_es],autorest[idioma_la])</f>
        <v>Lingua Graeca</v>
      </c>
      <c r="L1385" s="6" t="str">
        <f>_xlfn.XLOOKUP(frasest[[#This Row],[autor_es]],autorest[autor_es],autorest[nacion_es])</f>
        <v>Roma</v>
      </c>
      <c r="M1385" t="str">
        <f>_xlfn.XLOOKUP(frasest[[#This Row],[autor_es]],autorest[autor_es],autorest[nacion_la])</f>
        <v>Roma</v>
      </c>
      <c r="N1385" t="str">
        <f>_xlfn.XLOOKUP(frasest[[#This Row],[autor_es]],autorest[autor_es],autorest[epoca_es])</f>
        <v>Edad Antigua</v>
      </c>
      <c r="O1385" t="str">
        <f>_xlfn.XLOOKUP(frasest[[#This Row],[autor_es]],autorest[autor_es],autorest[epoca_la])</f>
        <v>Antiquitas</v>
      </c>
    </row>
    <row r="1386" spans="1:15">
      <c r="A1386">
        <v>1385</v>
      </c>
      <c r="B1386" t="s">
        <v>3837</v>
      </c>
      <c r="C1386" t="s">
        <v>3838</v>
      </c>
      <c r="D1386" t="s">
        <v>3839</v>
      </c>
      <c r="E1386" t="s">
        <v>3824</v>
      </c>
      <c r="F1386" t="str">
        <f>_xlfn.XLOOKUP(frasest[[#This Row],[autor_es]],autorest[autor_es],autorest[autor_la])</f>
        <v>Plotinus</v>
      </c>
      <c r="G1386"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6"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6" t="str">
        <f>_xlfn.XLOOKUP(frasest[[#This Row],[autor_es]],autorest[autor_es],autorest[codigo])</f>
        <v>el</v>
      </c>
      <c r="J1386" t="str">
        <f>_xlfn.XLOOKUP(frasest[[#This Row],[autor_es]],autorest[autor_es],autorest[idioma_es])</f>
        <v>Griego</v>
      </c>
      <c r="K1386" s="6" t="str">
        <f>_xlfn.XLOOKUP(frasest[[#This Row],[autor_es]],autorest[autor_es],autorest[idioma_la])</f>
        <v>Lingua Graeca</v>
      </c>
      <c r="L1386" s="6" t="str">
        <f>_xlfn.XLOOKUP(frasest[[#This Row],[autor_es]],autorest[autor_es],autorest[nacion_es])</f>
        <v>Roma</v>
      </c>
      <c r="M1386" t="str">
        <f>_xlfn.XLOOKUP(frasest[[#This Row],[autor_es]],autorest[autor_es],autorest[nacion_la])</f>
        <v>Roma</v>
      </c>
      <c r="N1386" t="str">
        <f>_xlfn.XLOOKUP(frasest[[#This Row],[autor_es]],autorest[autor_es],autorest[epoca_es])</f>
        <v>Edad Antigua</v>
      </c>
      <c r="O1386" t="str">
        <f>_xlfn.XLOOKUP(frasest[[#This Row],[autor_es]],autorest[autor_es],autorest[epoca_la])</f>
        <v>Antiquitas</v>
      </c>
    </row>
    <row r="1387" spans="1:15">
      <c r="A1387">
        <v>1386</v>
      </c>
      <c r="B1387" t="s">
        <v>3840</v>
      </c>
      <c r="C1387" t="s">
        <v>3841</v>
      </c>
      <c r="D1387" t="s">
        <v>3842</v>
      </c>
      <c r="E1387" t="s">
        <v>3824</v>
      </c>
      <c r="F1387" t="str">
        <f>_xlfn.XLOOKUP(frasest[[#This Row],[autor_es]],autorest[autor_es],autorest[autor_la])</f>
        <v>Plotinus</v>
      </c>
      <c r="G1387"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7"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7" t="str">
        <f>_xlfn.XLOOKUP(frasest[[#This Row],[autor_es]],autorest[autor_es],autorest[codigo])</f>
        <v>el</v>
      </c>
      <c r="J1387" t="str">
        <f>_xlfn.XLOOKUP(frasest[[#This Row],[autor_es]],autorest[autor_es],autorest[idioma_es])</f>
        <v>Griego</v>
      </c>
      <c r="K1387" s="6" t="str">
        <f>_xlfn.XLOOKUP(frasest[[#This Row],[autor_es]],autorest[autor_es],autorest[idioma_la])</f>
        <v>Lingua Graeca</v>
      </c>
      <c r="L1387" s="6" t="str">
        <f>_xlfn.XLOOKUP(frasest[[#This Row],[autor_es]],autorest[autor_es],autorest[nacion_es])</f>
        <v>Roma</v>
      </c>
      <c r="M1387" t="str">
        <f>_xlfn.XLOOKUP(frasest[[#This Row],[autor_es]],autorest[autor_es],autorest[nacion_la])</f>
        <v>Roma</v>
      </c>
      <c r="N1387" t="str">
        <f>_xlfn.XLOOKUP(frasest[[#This Row],[autor_es]],autorest[autor_es],autorest[epoca_es])</f>
        <v>Edad Antigua</v>
      </c>
      <c r="O1387" t="str">
        <f>_xlfn.XLOOKUP(frasest[[#This Row],[autor_es]],autorest[autor_es],autorest[epoca_la])</f>
        <v>Antiquitas</v>
      </c>
    </row>
    <row r="1388" spans="1:15">
      <c r="A1388">
        <v>1387</v>
      </c>
      <c r="B1388" t="s">
        <v>3843</v>
      </c>
      <c r="C1388" t="s">
        <v>3844</v>
      </c>
      <c r="D1388" t="s">
        <v>3845</v>
      </c>
      <c r="E1388" t="s">
        <v>3824</v>
      </c>
      <c r="F1388" t="str">
        <f>_xlfn.XLOOKUP(frasest[[#This Row],[autor_es]],autorest[autor_es],autorest[autor_la])</f>
        <v>Plotinus</v>
      </c>
      <c r="G1388"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8"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8" t="str">
        <f>_xlfn.XLOOKUP(frasest[[#This Row],[autor_es]],autorest[autor_es],autorest[codigo])</f>
        <v>el</v>
      </c>
      <c r="J1388" t="str">
        <f>_xlfn.XLOOKUP(frasest[[#This Row],[autor_es]],autorest[autor_es],autorest[idioma_es])</f>
        <v>Griego</v>
      </c>
      <c r="K1388" s="6" t="str">
        <f>_xlfn.XLOOKUP(frasest[[#This Row],[autor_es]],autorest[autor_es],autorest[idioma_la])</f>
        <v>Lingua Graeca</v>
      </c>
      <c r="L1388" s="6" t="str">
        <f>_xlfn.XLOOKUP(frasest[[#This Row],[autor_es]],autorest[autor_es],autorest[nacion_es])</f>
        <v>Roma</v>
      </c>
      <c r="M1388" t="str">
        <f>_xlfn.XLOOKUP(frasest[[#This Row],[autor_es]],autorest[autor_es],autorest[nacion_la])</f>
        <v>Roma</v>
      </c>
      <c r="N1388" t="str">
        <f>_xlfn.XLOOKUP(frasest[[#This Row],[autor_es]],autorest[autor_es],autorest[epoca_es])</f>
        <v>Edad Antigua</v>
      </c>
      <c r="O1388" t="str">
        <f>_xlfn.XLOOKUP(frasest[[#This Row],[autor_es]],autorest[autor_es],autorest[epoca_la])</f>
        <v>Antiquitas</v>
      </c>
    </row>
    <row r="1389" spans="1:15">
      <c r="A1389">
        <v>1388</v>
      </c>
      <c r="B1389" t="s">
        <v>3846</v>
      </c>
      <c r="C1389" t="s">
        <v>3847</v>
      </c>
      <c r="D1389" t="s">
        <v>3848</v>
      </c>
      <c r="E1389" t="s">
        <v>3824</v>
      </c>
      <c r="F1389" t="str">
        <f>_xlfn.XLOOKUP(frasest[[#This Row],[autor_es]],autorest[autor_es],autorest[autor_la])</f>
        <v>Plotinus</v>
      </c>
      <c r="G1389"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9"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9" t="str">
        <f>_xlfn.XLOOKUP(frasest[[#This Row],[autor_es]],autorest[autor_es],autorest[codigo])</f>
        <v>el</v>
      </c>
      <c r="J1389" t="str">
        <f>_xlfn.XLOOKUP(frasest[[#This Row],[autor_es]],autorest[autor_es],autorest[idioma_es])</f>
        <v>Griego</v>
      </c>
      <c r="K1389" s="6" t="str">
        <f>_xlfn.XLOOKUP(frasest[[#This Row],[autor_es]],autorest[autor_es],autorest[idioma_la])</f>
        <v>Lingua Graeca</v>
      </c>
      <c r="L1389" s="6" t="str">
        <f>_xlfn.XLOOKUP(frasest[[#This Row],[autor_es]],autorest[autor_es],autorest[nacion_es])</f>
        <v>Roma</v>
      </c>
      <c r="M1389" t="str">
        <f>_xlfn.XLOOKUP(frasest[[#This Row],[autor_es]],autorest[autor_es],autorest[nacion_la])</f>
        <v>Roma</v>
      </c>
      <c r="N1389" t="str">
        <f>_xlfn.XLOOKUP(frasest[[#This Row],[autor_es]],autorest[autor_es],autorest[epoca_es])</f>
        <v>Edad Antigua</v>
      </c>
      <c r="O1389" t="str">
        <f>_xlfn.XLOOKUP(frasest[[#This Row],[autor_es]],autorest[autor_es],autorest[epoca_la])</f>
        <v>Antiquitas</v>
      </c>
    </row>
    <row r="1390" spans="1:15">
      <c r="A1390">
        <v>1389</v>
      </c>
      <c r="B1390" t="s">
        <v>3849</v>
      </c>
      <c r="C1390" t="s">
        <v>3850</v>
      </c>
      <c r="D1390" t="s">
        <v>3851</v>
      </c>
      <c r="E1390" t="s">
        <v>3824</v>
      </c>
      <c r="F1390" t="str">
        <f>_xlfn.XLOOKUP(frasest[[#This Row],[autor_es]],autorest[autor_es],autorest[autor_la])</f>
        <v>Plotinus</v>
      </c>
      <c r="G1390"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0"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0" t="str">
        <f>_xlfn.XLOOKUP(frasest[[#This Row],[autor_es]],autorest[autor_es],autorest[codigo])</f>
        <v>el</v>
      </c>
      <c r="J1390" t="str">
        <f>_xlfn.XLOOKUP(frasest[[#This Row],[autor_es]],autorest[autor_es],autorest[idioma_es])</f>
        <v>Griego</v>
      </c>
      <c r="K1390" s="6" t="str">
        <f>_xlfn.XLOOKUP(frasest[[#This Row],[autor_es]],autorest[autor_es],autorest[idioma_la])</f>
        <v>Lingua Graeca</v>
      </c>
      <c r="L1390" s="6" t="str">
        <f>_xlfn.XLOOKUP(frasest[[#This Row],[autor_es]],autorest[autor_es],autorest[nacion_es])</f>
        <v>Roma</v>
      </c>
      <c r="M1390" t="str">
        <f>_xlfn.XLOOKUP(frasest[[#This Row],[autor_es]],autorest[autor_es],autorest[nacion_la])</f>
        <v>Roma</v>
      </c>
      <c r="N1390" t="str">
        <f>_xlfn.XLOOKUP(frasest[[#This Row],[autor_es]],autorest[autor_es],autorest[epoca_es])</f>
        <v>Edad Antigua</v>
      </c>
      <c r="O1390" t="str">
        <f>_xlfn.XLOOKUP(frasest[[#This Row],[autor_es]],autorest[autor_es],autorest[epoca_la])</f>
        <v>Antiquitas</v>
      </c>
    </row>
    <row r="1391" spans="1:15">
      <c r="A1391">
        <v>1390</v>
      </c>
      <c r="B1391" t="s">
        <v>3852</v>
      </c>
      <c r="C1391" t="s">
        <v>3853</v>
      </c>
      <c r="D1391" t="s">
        <v>3854</v>
      </c>
      <c r="E1391" t="s">
        <v>3824</v>
      </c>
      <c r="F1391" t="str">
        <f>_xlfn.XLOOKUP(frasest[[#This Row],[autor_es]],autorest[autor_es],autorest[autor_la])</f>
        <v>Plotinus</v>
      </c>
      <c r="G1391"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1"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1" t="str">
        <f>_xlfn.XLOOKUP(frasest[[#This Row],[autor_es]],autorest[autor_es],autorest[codigo])</f>
        <v>el</v>
      </c>
      <c r="J1391" t="str">
        <f>_xlfn.XLOOKUP(frasest[[#This Row],[autor_es]],autorest[autor_es],autorest[idioma_es])</f>
        <v>Griego</v>
      </c>
      <c r="K1391" s="6" t="str">
        <f>_xlfn.XLOOKUP(frasest[[#This Row],[autor_es]],autorest[autor_es],autorest[idioma_la])</f>
        <v>Lingua Graeca</v>
      </c>
      <c r="L1391" s="6" t="str">
        <f>_xlfn.XLOOKUP(frasest[[#This Row],[autor_es]],autorest[autor_es],autorest[nacion_es])</f>
        <v>Roma</v>
      </c>
      <c r="M1391" t="str">
        <f>_xlfn.XLOOKUP(frasest[[#This Row],[autor_es]],autorest[autor_es],autorest[nacion_la])</f>
        <v>Roma</v>
      </c>
      <c r="N1391" t="str">
        <f>_xlfn.XLOOKUP(frasest[[#This Row],[autor_es]],autorest[autor_es],autorest[epoca_es])</f>
        <v>Edad Antigua</v>
      </c>
      <c r="O1391" t="str">
        <f>_xlfn.XLOOKUP(frasest[[#This Row],[autor_es]],autorest[autor_es],autorest[epoca_la])</f>
        <v>Antiquitas</v>
      </c>
    </row>
    <row r="1392" spans="1:15">
      <c r="A1392">
        <v>1391</v>
      </c>
      <c r="B1392" t="s">
        <v>3855</v>
      </c>
      <c r="C1392" t="s">
        <v>3856</v>
      </c>
      <c r="D1392" t="s">
        <v>3857</v>
      </c>
      <c r="E1392" t="s">
        <v>3824</v>
      </c>
      <c r="F1392" t="str">
        <f>_xlfn.XLOOKUP(frasest[[#This Row],[autor_es]],autorest[autor_es],autorest[autor_la])</f>
        <v>Plotinus</v>
      </c>
      <c r="G1392"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2"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2" t="str">
        <f>_xlfn.XLOOKUP(frasest[[#This Row],[autor_es]],autorest[autor_es],autorest[codigo])</f>
        <v>el</v>
      </c>
      <c r="J1392" t="str">
        <f>_xlfn.XLOOKUP(frasest[[#This Row],[autor_es]],autorest[autor_es],autorest[idioma_es])</f>
        <v>Griego</v>
      </c>
      <c r="K1392" s="6" t="str">
        <f>_xlfn.XLOOKUP(frasest[[#This Row],[autor_es]],autorest[autor_es],autorest[idioma_la])</f>
        <v>Lingua Graeca</v>
      </c>
      <c r="L1392" s="6" t="str">
        <f>_xlfn.XLOOKUP(frasest[[#This Row],[autor_es]],autorest[autor_es],autorest[nacion_es])</f>
        <v>Roma</v>
      </c>
      <c r="M1392" t="str">
        <f>_xlfn.XLOOKUP(frasest[[#This Row],[autor_es]],autorest[autor_es],autorest[nacion_la])</f>
        <v>Roma</v>
      </c>
      <c r="N1392" t="str">
        <f>_xlfn.XLOOKUP(frasest[[#This Row],[autor_es]],autorest[autor_es],autorest[epoca_es])</f>
        <v>Edad Antigua</v>
      </c>
      <c r="O1392" t="str">
        <f>_xlfn.XLOOKUP(frasest[[#This Row],[autor_es]],autorest[autor_es],autorest[epoca_la])</f>
        <v>Antiquitas</v>
      </c>
    </row>
    <row r="1393" spans="1:15">
      <c r="A1393">
        <v>1392</v>
      </c>
      <c r="B1393" t="s">
        <v>3858</v>
      </c>
      <c r="C1393" t="s">
        <v>3859</v>
      </c>
      <c r="D1393" t="s">
        <v>3860</v>
      </c>
      <c r="E1393" t="s">
        <v>3824</v>
      </c>
      <c r="F1393" t="str">
        <f>_xlfn.XLOOKUP(frasest[[#This Row],[autor_es]],autorest[autor_es],autorest[autor_la])</f>
        <v>Plotinus</v>
      </c>
      <c r="G1393"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3"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3" t="str">
        <f>_xlfn.XLOOKUP(frasest[[#This Row],[autor_es]],autorest[autor_es],autorest[codigo])</f>
        <v>el</v>
      </c>
      <c r="J1393" t="str">
        <f>_xlfn.XLOOKUP(frasest[[#This Row],[autor_es]],autorest[autor_es],autorest[idioma_es])</f>
        <v>Griego</v>
      </c>
      <c r="K1393" s="6" t="str">
        <f>_xlfn.XLOOKUP(frasest[[#This Row],[autor_es]],autorest[autor_es],autorest[idioma_la])</f>
        <v>Lingua Graeca</v>
      </c>
      <c r="L1393" s="6" t="str">
        <f>_xlfn.XLOOKUP(frasest[[#This Row],[autor_es]],autorest[autor_es],autorest[nacion_es])</f>
        <v>Roma</v>
      </c>
      <c r="M1393" t="str">
        <f>_xlfn.XLOOKUP(frasest[[#This Row],[autor_es]],autorest[autor_es],autorest[nacion_la])</f>
        <v>Roma</v>
      </c>
      <c r="N1393" t="str">
        <f>_xlfn.XLOOKUP(frasest[[#This Row],[autor_es]],autorest[autor_es],autorest[epoca_es])</f>
        <v>Edad Antigua</v>
      </c>
      <c r="O1393" t="str">
        <f>_xlfn.XLOOKUP(frasest[[#This Row],[autor_es]],autorest[autor_es],autorest[epoca_la])</f>
        <v>Antiquitas</v>
      </c>
    </row>
    <row r="1394" spans="1:15">
      <c r="A1394">
        <v>1393</v>
      </c>
      <c r="B1394" t="s">
        <v>3861</v>
      </c>
      <c r="C1394" t="s">
        <v>3862</v>
      </c>
      <c r="D1394" t="s">
        <v>3863</v>
      </c>
      <c r="E1394" t="s">
        <v>3824</v>
      </c>
      <c r="F1394" t="str">
        <f>_xlfn.XLOOKUP(frasest[[#This Row],[autor_es]],autorest[autor_es],autorest[autor_la])</f>
        <v>Plotinus</v>
      </c>
      <c r="G1394"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4"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4" t="str">
        <f>_xlfn.XLOOKUP(frasest[[#This Row],[autor_es]],autorest[autor_es],autorest[codigo])</f>
        <v>el</v>
      </c>
      <c r="J1394" t="str">
        <f>_xlfn.XLOOKUP(frasest[[#This Row],[autor_es]],autorest[autor_es],autorest[idioma_es])</f>
        <v>Griego</v>
      </c>
      <c r="K1394" s="6" t="str">
        <f>_xlfn.XLOOKUP(frasest[[#This Row],[autor_es]],autorest[autor_es],autorest[idioma_la])</f>
        <v>Lingua Graeca</v>
      </c>
      <c r="L1394" s="6" t="str">
        <f>_xlfn.XLOOKUP(frasest[[#This Row],[autor_es]],autorest[autor_es],autorest[nacion_es])</f>
        <v>Roma</v>
      </c>
      <c r="M1394" t="str">
        <f>_xlfn.XLOOKUP(frasest[[#This Row],[autor_es]],autorest[autor_es],autorest[nacion_la])</f>
        <v>Roma</v>
      </c>
      <c r="N1394" t="str">
        <f>_xlfn.XLOOKUP(frasest[[#This Row],[autor_es]],autorest[autor_es],autorest[epoca_es])</f>
        <v>Edad Antigua</v>
      </c>
      <c r="O1394" t="str">
        <f>_xlfn.XLOOKUP(frasest[[#This Row],[autor_es]],autorest[autor_es],autorest[epoca_la])</f>
        <v>Antiquitas</v>
      </c>
    </row>
    <row r="1395" spans="1:15">
      <c r="A1395">
        <v>1394</v>
      </c>
      <c r="B1395" t="s">
        <v>3864</v>
      </c>
      <c r="C1395" t="s">
        <v>3865</v>
      </c>
      <c r="D1395" t="s">
        <v>3866</v>
      </c>
      <c r="E1395" t="s">
        <v>3824</v>
      </c>
      <c r="F1395" t="str">
        <f>_xlfn.XLOOKUP(frasest[[#This Row],[autor_es]],autorest[autor_es],autorest[autor_la])</f>
        <v>Plotinus</v>
      </c>
      <c r="G1395"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5"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5" t="str">
        <f>_xlfn.XLOOKUP(frasest[[#This Row],[autor_es]],autorest[autor_es],autorest[codigo])</f>
        <v>el</v>
      </c>
      <c r="J1395" t="str">
        <f>_xlfn.XLOOKUP(frasest[[#This Row],[autor_es]],autorest[autor_es],autorest[idioma_es])</f>
        <v>Griego</v>
      </c>
      <c r="K1395" s="6" t="str">
        <f>_xlfn.XLOOKUP(frasest[[#This Row],[autor_es]],autorest[autor_es],autorest[idioma_la])</f>
        <v>Lingua Graeca</v>
      </c>
      <c r="L1395" s="6" t="str">
        <f>_xlfn.XLOOKUP(frasest[[#This Row],[autor_es]],autorest[autor_es],autorest[nacion_es])</f>
        <v>Roma</v>
      </c>
      <c r="M1395" t="str">
        <f>_xlfn.XLOOKUP(frasest[[#This Row],[autor_es]],autorest[autor_es],autorest[nacion_la])</f>
        <v>Roma</v>
      </c>
      <c r="N1395" t="str">
        <f>_xlfn.XLOOKUP(frasest[[#This Row],[autor_es]],autorest[autor_es],autorest[epoca_es])</f>
        <v>Edad Antigua</v>
      </c>
      <c r="O1395" t="str">
        <f>_xlfn.XLOOKUP(frasest[[#This Row],[autor_es]],autorest[autor_es],autorest[epoca_la])</f>
        <v>Antiquitas</v>
      </c>
    </row>
    <row r="1396" spans="1:15">
      <c r="A1396">
        <v>1395</v>
      </c>
      <c r="B1396" t="s">
        <v>3867</v>
      </c>
      <c r="C1396" t="s">
        <v>3868</v>
      </c>
      <c r="D1396" t="s">
        <v>3869</v>
      </c>
      <c r="E1396" t="s">
        <v>3824</v>
      </c>
      <c r="F1396" t="str">
        <f>_xlfn.XLOOKUP(frasest[[#This Row],[autor_es]],autorest[autor_es],autorest[autor_la])</f>
        <v>Plotinus</v>
      </c>
      <c r="G1396"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6"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6" t="str">
        <f>_xlfn.XLOOKUP(frasest[[#This Row],[autor_es]],autorest[autor_es],autorest[codigo])</f>
        <v>el</v>
      </c>
      <c r="J1396" t="str">
        <f>_xlfn.XLOOKUP(frasest[[#This Row],[autor_es]],autorest[autor_es],autorest[idioma_es])</f>
        <v>Griego</v>
      </c>
      <c r="K1396" s="6" t="str">
        <f>_xlfn.XLOOKUP(frasest[[#This Row],[autor_es]],autorest[autor_es],autorest[idioma_la])</f>
        <v>Lingua Graeca</v>
      </c>
      <c r="L1396" s="6" t="str">
        <f>_xlfn.XLOOKUP(frasest[[#This Row],[autor_es]],autorest[autor_es],autorest[nacion_es])</f>
        <v>Roma</v>
      </c>
      <c r="M1396" t="str">
        <f>_xlfn.XLOOKUP(frasest[[#This Row],[autor_es]],autorest[autor_es],autorest[nacion_la])</f>
        <v>Roma</v>
      </c>
      <c r="N1396" t="str">
        <f>_xlfn.XLOOKUP(frasest[[#This Row],[autor_es]],autorest[autor_es],autorest[epoca_es])</f>
        <v>Edad Antigua</v>
      </c>
      <c r="O1396" t="str">
        <f>_xlfn.XLOOKUP(frasest[[#This Row],[autor_es]],autorest[autor_es],autorest[epoca_la])</f>
        <v>Antiquitas</v>
      </c>
    </row>
    <row r="1397" spans="1:15">
      <c r="A1397">
        <v>1396</v>
      </c>
      <c r="B1397" t="s">
        <v>3870</v>
      </c>
      <c r="C1397" t="s">
        <v>3871</v>
      </c>
      <c r="D1397" t="s">
        <v>3872</v>
      </c>
      <c r="E1397" t="s">
        <v>3824</v>
      </c>
      <c r="F1397" t="str">
        <f>_xlfn.XLOOKUP(frasest[[#This Row],[autor_es]],autorest[autor_es],autorest[autor_la])</f>
        <v>Plotinus</v>
      </c>
      <c r="G1397"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7"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7" t="str">
        <f>_xlfn.XLOOKUP(frasest[[#This Row],[autor_es]],autorest[autor_es],autorest[codigo])</f>
        <v>el</v>
      </c>
      <c r="J1397" t="str">
        <f>_xlfn.XLOOKUP(frasest[[#This Row],[autor_es]],autorest[autor_es],autorest[idioma_es])</f>
        <v>Griego</v>
      </c>
      <c r="K1397" s="6" t="str">
        <f>_xlfn.XLOOKUP(frasest[[#This Row],[autor_es]],autorest[autor_es],autorest[idioma_la])</f>
        <v>Lingua Graeca</v>
      </c>
      <c r="L1397" s="6" t="str">
        <f>_xlfn.XLOOKUP(frasest[[#This Row],[autor_es]],autorest[autor_es],autorest[nacion_es])</f>
        <v>Roma</v>
      </c>
      <c r="M1397" t="str">
        <f>_xlfn.XLOOKUP(frasest[[#This Row],[autor_es]],autorest[autor_es],autorest[nacion_la])</f>
        <v>Roma</v>
      </c>
      <c r="N1397" t="str">
        <f>_xlfn.XLOOKUP(frasest[[#This Row],[autor_es]],autorest[autor_es],autorest[epoca_es])</f>
        <v>Edad Antigua</v>
      </c>
      <c r="O1397" t="str">
        <f>_xlfn.XLOOKUP(frasest[[#This Row],[autor_es]],autorest[autor_es],autorest[epoca_la])</f>
        <v>Antiquitas</v>
      </c>
    </row>
    <row r="1398" spans="1:15">
      <c r="A1398">
        <v>1397</v>
      </c>
      <c r="B1398" t="s">
        <v>3873</v>
      </c>
      <c r="C1398" t="s">
        <v>3874</v>
      </c>
      <c r="D1398" t="s">
        <v>3875</v>
      </c>
      <c r="E1398" t="s">
        <v>3824</v>
      </c>
      <c r="F1398" t="str">
        <f>_xlfn.XLOOKUP(frasest[[#This Row],[autor_es]],autorest[autor_es],autorest[autor_la])</f>
        <v>Plotinus</v>
      </c>
      <c r="G1398"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8"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8" t="str">
        <f>_xlfn.XLOOKUP(frasest[[#This Row],[autor_es]],autorest[autor_es],autorest[codigo])</f>
        <v>el</v>
      </c>
      <c r="J1398" t="str">
        <f>_xlfn.XLOOKUP(frasest[[#This Row],[autor_es]],autorest[autor_es],autorest[idioma_es])</f>
        <v>Griego</v>
      </c>
      <c r="K1398" s="6" t="str">
        <f>_xlfn.XLOOKUP(frasest[[#This Row],[autor_es]],autorest[autor_es],autorest[idioma_la])</f>
        <v>Lingua Graeca</v>
      </c>
      <c r="L1398" s="6" t="str">
        <f>_xlfn.XLOOKUP(frasest[[#This Row],[autor_es]],autorest[autor_es],autorest[nacion_es])</f>
        <v>Roma</v>
      </c>
      <c r="M1398" t="str">
        <f>_xlfn.XLOOKUP(frasest[[#This Row],[autor_es]],autorest[autor_es],autorest[nacion_la])</f>
        <v>Roma</v>
      </c>
      <c r="N1398" t="str">
        <f>_xlfn.XLOOKUP(frasest[[#This Row],[autor_es]],autorest[autor_es],autorest[epoca_es])</f>
        <v>Edad Antigua</v>
      </c>
      <c r="O1398" t="str">
        <f>_xlfn.XLOOKUP(frasest[[#This Row],[autor_es]],autorest[autor_es],autorest[epoca_la])</f>
        <v>Antiquitas</v>
      </c>
    </row>
    <row r="1399" spans="1:15">
      <c r="A1399">
        <v>1398</v>
      </c>
      <c r="B1399" t="s">
        <v>3876</v>
      </c>
      <c r="C1399" t="s">
        <v>3877</v>
      </c>
      <c r="D1399" t="s">
        <v>3878</v>
      </c>
      <c r="E1399" t="s">
        <v>3824</v>
      </c>
      <c r="F1399" t="str">
        <f>_xlfn.XLOOKUP(frasest[[#This Row],[autor_es]],autorest[autor_es],autorest[autor_la])</f>
        <v>Plotinus</v>
      </c>
      <c r="G1399"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9"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9" t="str">
        <f>_xlfn.XLOOKUP(frasest[[#This Row],[autor_es]],autorest[autor_es],autorest[codigo])</f>
        <v>el</v>
      </c>
      <c r="J1399" t="str">
        <f>_xlfn.XLOOKUP(frasest[[#This Row],[autor_es]],autorest[autor_es],autorest[idioma_es])</f>
        <v>Griego</v>
      </c>
      <c r="K1399" s="6" t="str">
        <f>_xlfn.XLOOKUP(frasest[[#This Row],[autor_es]],autorest[autor_es],autorest[idioma_la])</f>
        <v>Lingua Graeca</v>
      </c>
      <c r="L1399" s="6" t="str">
        <f>_xlfn.XLOOKUP(frasest[[#This Row],[autor_es]],autorest[autor_es],autorest[nacion_es])</f>
        <v>Roma</v>
      </c>
      <c r="M1399" t="str">
        <f>_xlfn.XLOOKUP(frasest[[#This Row],[autor_es]],autorest[autor_es],autorest[nacion_la])</f>
        <v>Roma</v>
      </c>
      <c r="N1399" t="str">
        <f>_xlfn.XLOOKUP(frasest[[#This Row],[autor_es]],autorest[autor_es],autorest[epoca_es])</f>
        <v>Edad Antigua</v>
      </c>
      <c r="O1399" t="str">
        <f>_xlfn.XLOOKUP(frasest[[#This Row],[autor_es]],autorest[autor_es],autorest[epoca_la])</f>
        <v>Antiquitas</v>
      </c>
    </row>
    <row r="1400" spans="1:15">
      <c r="A1400">
        <v>1399</v>
      </c>
      <c r="B1400" t="s">
        <v>3879</v>
      </c>
      <c r="C1400" t="s">
        <v>3880</v>
      </c>
      <c r="D1400" t="s">
        <v>3881</v>
      </c>
      <c r="E1400" t="s">
        <v>3882</v>
      </c>
      <c r="F1400" t="str">
        <f>_xlfn.XLOOKUP(frasest[[#This Row],[autor_es]],autorest[autor_es],autorest[autor_la])</f>
        <v>Sanctus Bonaventura</v>
      </c>
      <c r="G1400"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0"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0" t="str">
        <f>_xlfn.XLOOKUP(frasest[[#This Row],[autor_es]],autorest[autor_es],autorest[codigo])</f>
        <v>la</v>
      </c>
      <c r="J1400" t="str">
        <f>_xlfn.XLOOKUP(frasest[[#This Row],[autor_es]],autorest[autor_es],autorest[idioma_es])</f>
        <v>Latín</v>
      </c>
      <c r="K1400" s="6" t="str">
        <f>_xlfn.XLOOKUP(frasest[[#This Row],[autor_es]],autorest[autor_es],autorest[idioma_la])</f>
        <v>Lingua Latina</v>
      </c>
      <c r="L1400" s="6" t="str">
        <f>_xlfn.XLOOKUP(frasest[[#This Row],[autor_es]],autorest[autor_es],autorest[nacion_es])</f>
        <v>Italia</v>
      </c>
      <c r="M1400" t="str">
        <f>_xlfn.XLOOKUP(frasest[[#This Row],[autor_es]],autorest[autor_es],autorest[nacion_la])</f>
        <v>Italia</v>
      </c>
      <c r="N1400" t="str">
        <f>_xlfn.XLOOKUP(frasest[[#This Row],[autor_es]],autorest[autor_es],autorest[epoca_es])</f>
        <v>Edad Media</v>
      </c>
      <c r="O1400" t="str">
        <f>_xlfn.XLOOKUP(frasest[[#This Row],[autor_es]],autorest[autor_es],autorest[epoca_la])</f>
        <v>Medium Aevum</v>
      </c>
    </row>
    <row r="1401" spans="1:15">
      <c r="A1401">
        <v>1400</v>
      </c>
      <c r="B1401" t="s">
        <v>3883</v>
      </c>
      <c r="C1401" t="s">
        <v>3884</v>
      </c>
      <c r="D1401" t="s">
        <v>3885</v>
      </c>
      <c r="E1401" t="s">
        <v>3882</v>
      </c>
      <c r="F1401" t="str">
        <f>_xlfn.XLOOKUP(frasest[[#This Row],[autor_es]],autorest[autor_es],autorest[autor_la])</f>
        <v>Sanctus Bonaventura</v>
      </c>
      <c r="G1401"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1"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1" t="str">
        <f>_xlfn.XLOOKUP(frasest[[#This Row],[autor_es]],autorest[autor_es],autorest[codigo])</f>
        <v>la</v>
      </c>
      <c r="J1401" t="str">
        <f>_xlfn.XLOOKUP(frasest[[#This Row],[autor_es]],autorest[autor_es],autorest[idioma_es])</f>
        <v>Latín</v>
      </c>
      <c r="K1401" s="6" t="str">
        <f>_xlfn.XLOOKUP(frasest[[#This Row],[autor_es]],autorest[autor_es],autorest[idioma_la])</f>
        <v>Lingua Latina</v>
      </c>
      <c r="L1401" s="6" t="str">
        <f>_xlfn.XLOOKUP(frasest[[#This Row],[autor_es]],autorest[autor_es],autorest[nacion_es])</f>
        <v>Italia</v>
      </c>
      <c r="M1401" t="str">
        <f>_xlfn.XLOOKUP(frasest[[#This Row],[autor_es]],autorest[autor_es],autorest[nacion_la])</f>
        <v>Italia</v>
      </c>
      <c r="N1401" t="str">
        <f>_xlfn.XLOOKUP(frasest[[#This Row],[autor_es]],autorest[autor_es],autorest[epoca_es])</f>
        <v>Edad Media</v>
      </c>
      <c r="O1401" t="str">
        <f>_xlfn.XLOOKUP(frasest[[#This Row],[autor_es]],autorest[autor_es],autorest[epoca_la])</f>
        <v>Medium Aevum</v>
      </c>
    </row>
    <row r="1402" spans="1:15">
      <c r="A1402">
        <v>1401</v>
      </c>
      <c r="B1402" t="s">
        <v>3886</v>
      </c>
      <c r="C1402" t="s">
        <v>3887</v>
      </c>
      <c r="D1402" t="s">
        <v>3888</v>
      </c>
      <c r="E1402" t="s">
        <v>3882</v>
      </c>
      <c r="F1402" t="str">
        <f>_xlfn.XLOOKUP(frasest[[#This Row],[autor_es]],autorest[autor_es],autorest[autor_la])</f>
        <v>Sanctus Bonaventura</v>
      </c>
      <c r="G1402"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2"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2" t="str">
        <f>_xlfn.XLOOKUP(frasest[[#This Row],[autor_es]],autorest[autor_es],autorest[codigo])</f>
        <v>la</v>
      </c>
      <c r="J1402" t="str">
        <f>_xlfn.XLOOKUP(frasest[[#This Row],[autor_es]],autorest[autor_es],autorest[idioma_es])</f>
        <v>Latín</v>
      </c>
      <c r="K1402" s="6" t="str">
        <f>_xlfn.XLOOKUP(frasest[[#This Row],[autor_es]],autorest[autor_es],autorest[idioma_la])</f>
        <v>Lingua Latina</v>
      </c>
      <c r="L1402" s="6" t="str">
        <f>_xlfn.XLOOKUP(frasest[[#This Row],[autor_es]],autorest[autor_es],autorest[nacion_es])</f>
        <v>Italia</v>
      </c>
      <c r="M1402" t="str">
        <f>_xlfn.XLOOKUP(frasest[[#This Row],[autor_es]],autorest[autor_es],autorest[nacion_la])</f>
        <v>Italia</v>
      </c>
      <c r="N1402" t="str">
        <f>_xlfn.XLOOKUP(frasest[[#This Row],[autor_es]],autorest[autor_es],autorest[epoca_es])</f>
        <v>Edad Media</v>
      </c>
      <c r="O1402" t="str">
        <f>_xlfn.XLOOKUP(frasest[[#This Row],[autor_es]],autorest[autor_es],autorest[epoca_la])</f>
        <v>Medium Aevum</v>
      </c>
    </row>
    <row r="1403" spans="1:15">
      <c r="A1403">
        <v>1402</v>
      </c>
      <c r="B1403" t="s">
        <v>3889</v>
      </c>
      <c r="C1403" t="s">
        <v>3890</v>
      </c>
      <c r="D1403" t="s">
        <v>3891</v>
      </c>
      <c r="E1403" t="s">
        <v>3882</v>
      </c>
      <c r="F1403" t="str">
        <f>_xlfn.XLOOKUP(frasest[[#This Row],[autor_es]],autorest[autor_es],autorest[autor_la])</f>
        <v>Sanctus Bonaventura</v>
      </c>
      <c r="G1403"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3"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3" t="str">
        <f>_xlfn.XLOOKUP(frasest[[#This Row],[autor_es]],autorest[autor_es],autorest[codigo])</f>
        <v>la</v>
      </c>
      <c r="J1403" t="str">
        <f>_xlfn.XLOOKUP(frasest[[#This Row],[autor_es]],autorest[autor_es],autorest[idioma_es])</f>
        <v>Latín</v>
      </c>
      <c r="K1403" s="6" t="str">
        <f>_xlfn.XLOOKUP(frasest[[#This Row],[autor_es]],autorest[autor_es],autorest[idioma_la])</f>
        <v>Lingua Latina</v>
      </c>
      <c r="L1403" s="6" t="str">
        <f>_xlfn.XLOOKUP(frasest[[#This Row],[autor_es]],autorest[autor_es],autorest[nacion_es])</f>
        <v>Italia</v>
      </c>
      <c r="M1403" t="str">
        <f>_xlfn.XLOOKUP(frasest[[#This Row],[autor_es]],autorest[autor_es],autorest[nacion_la])</f>
        <v>Italia</v>
      </c>
      <c r="N1403" t="str">
        <f>_xlfn.XLOOKUP(frasest[[#This Row],[autor_es]],autorest[autor_es],autorest[epoca_es])</f>
        <v>Edad Media</v>
      </c>
      <c r="O1403" t="str">
        <f>_xlfn.XLOOKUP(frasest[[#This Row],[autor_es]],autorest[autor_es],autorest[epoca_la])</f>
        <v>Medium Aevum</v>
      </c>
    </row>
    <row r="1404" spans="1:15">
      <c r="A1404">
        <v>1403</v>
      </c>
      <c r="B1404" t="s">
        <v>3892</v>
      </c>
      <c r="C1404" t="s">
        <v>3893</v>
      </c>
      <c r="D1404" t="s">
        <v>3894</v>
      </c>
      <c r="E1404" t="s">
        <v>3882</v>
      </c>
      <c r="F1404" t="str">
        <f>_xlfn.XLOOKUP(frasest[[#This Row],[autor_es]],autorest[autor_es],autorest[autor_la])</f>
        <v>Sanctus Bonaventura</v>
      </c>
      <c r="G1404"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4"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4" t="str">
        <f>_xlfn.XLOOKUP(frasest[[#This Row],[autor_es]],autorest[autor_es],autorest[codigo])</f>
        <v>la</v>
      </c>
      <c r="J1404" t="str">
        <f>_xlfn.XLOOKUP(frasest[[#This Row],[autor_es]],autorest[autor_es],autorest[idioma_es])</f>
        <v>Latín</v>
      </c>
      <c r="K1404" s="6" t="str">
        <f>_xlfn.XLOOKUP(frasest[[#This Row],[autor_es]],autorest[autor_es],autorest[idioma_la])</f>
        <v>Lingua Latina</v>
      </c>
      <c r="L1404" s="6" t="str">
        <f>_xlfn.XLOOKUP(frasest[[#This Row],[autor_es]],autorest[autor_es],autorest[nacion_es])</f>
        <v>Italia</v>
      </c>
      <c r="M1404" t="str">
        <f>_xlfn.XLOOKUP(frasest[[#This Row],[autor_es]],autorest[autor_es],autorest[nacion_la])</f>
        <v>Italia</v>
      </c>
      <c r="N1404" t="str">
        <f>_xlfn.XLOOKUP(frasest[[#This Row],[autor_es]],autorest[autor_es],autorest[epoca_es])</f>
        <v>Edad Media</v>
      </c>
      <c r="O1404" t="str">
        <f>_xlfn.XLOOKUP(frasest[[#This Row],[autor_es]],autorest[autor_es],autorest[epoca_la])</f>
        <v>Medium Aevum</v>
      </c>
    </row>
    <row r="1405" spans="1:15">
      <c r="A1405">
        <v>1404</v>
      </c>
      <c r="B1405" t="s">
        <v>3895</v>
      </c>
      <c r="C1405" t="s">
        <v>3896</v>
      </c>
      <c r="D1405" t="s">
        <v>3897</v>
      </c>
      <c r="E1405" t="s">
        <v>3882</v>
      </c>
      <c r="F1405" t="str">
        <f>_xlfn.XLOOKUP(frasest[[#This Row],[autor_es]],autorest[autor_es],autorest[autor_la])</f>
        <v>Sanctus Bonaventura</v>
      </c>
      <c r="G1405"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5"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5" t="str">
        <f>_xlfn.XLOOKUP(frasest[[#This Row],[autor_es]],autorest[autor_es],autorest[codigo])</f>
        <v>la</v>
      </c>
      <c r="J1405" t="str">
        <f>_xlfn.XLOOKUP(frasest[[#This Row],[autor_es]],autorest[autor_es],autorest[idioma_es])</f>
        <v>Latín</v>
      </c>
      <c r="K1405" s="6" t="str">
        <f>_xlfn.XLOOKUP(frasest[[#This Row],[autor_es]],autorest[autor_es],autorest[idioma_la])</f>
        <v>Lingua Latina</v>
      </c>
      <c r="L1405" s="6" t="str">
        <f>_xlfn.XLOOKUP(frasest[[#This Row],[autor_es]],autorest[autor_es],autorest[nacion_es])</f>
        <v>Italia</v>
      </c>
      <c r="M1405" t="str">
        <f>_xlfn.XLOOKUP(frasest[[#This Row],[autor_es]],autorest[autor_es],autorest[nacion_la])</f>
        <v>Italia</v>
      </c>
      <c r="N1405" t="str">
        <f>_xlfn.XLOOKUP(frasest[[#This Row],[autor_es]],autorest[autor_es],autorest[epoca_es])</f>
        <v>Edad Media</v>
      </c>
      <c r="O1405" t="str">
        <f>_xlfn.XLOOKUP(frasest[[#This Row],[autor_es]],autorest[autor_es],autorest[epoca_la])</f>
        <v>Medium Aevum</v>
      </c>
    </row>
    <row r="1406" spans="1:15">
      <c r="A1406">
        <v>1405</v>
      </c>
      <c r="B1406" t="s">
        <v>3898</v>
      </c>
      <c r="C1406" t="s">
        <v>3899</v>
      </c>
      <c r="D1406" t="s">
        <v>3900</v>
      </c>
      <c r="E1406" t="s">
        <v>3882</v>
      </c>
      <c r="F1406" t="str">
        <f>_xlfn.XLOOKUP(frasest[[#This Row],[autor_es]],autorest[autor_es],autorest[autor_la])</f>
        <v>Sanctus Bonaventura</v>
      </c>
      <c r="G1406"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6"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6" t="str">
        <f>_xlfn.XLOOKUP(frasest[[#This Row],[autor_es]],autorest[autor_es],autorest[codigo])</f>
        <v>la</v>
      </c>
      <c r="J1406" t="str">
        <f>_xlfn.XLOOKUP(frasest[[#This Row],[autor_es]],autorest[autor_es],autorest[idioma_es])</f>
        <v>Latín</v>
      </c>
      <c r="K1406" s="6" t="str">
        <f>_xlfn.XLOOKUP(frasest[[#This Row],[autor_es]],autorest[autor_es],autorest[idioma_la])</f>
        <v>Lingua Latina</v>
      </c>
      <c r="L1406" s="6" t="str">
        <f>_xlfn.XLOOKUP(frasest[[#This Row],[autor_es]],autorest[autor_es],autorest[nacion_es])</f>
        <v>Italia</v>
      </c>
      <c r="M1406" t="str">
        <f>_xlfn.XLOOKUP(frasest[[#This Row],[autor_es]],autorest[autor_es],autorest[nacion_la])</f>
        <v>Italia</v>
      </c>
      <c r="N1406" t="str">
        <f>_xlfn.XLOOKUP(frasest[[#This Row],[autor_es]],autorest[autor_es],autorest[epoca_es])</f>
        <v>Edad Media</v>
      </c>
      <c r="O1406" t="str">
        <f>_xlfn.XLOOKUP(frasest[[#This Row],[autor_es]],autorest[autor_es],autorest[epoca_la])</f>
        <v>Medium Aevum</v>
      </c>
    </row>
    <row r="1407" spans="1:15">
      <c r="A1407">
        <v>1406</v>
      </c>
      <c r="B1407" t="s">
        <v>3901</v>
      </c>
      <c r="C1407" t="s">
        <v>3902</v>
      </c>
      <c r="D1407" t="s">
        <v>3903</v>
      </c>
      <c r="E1407" t="s">
        <v>3882</v>
      </c>
      <c r="F1407" t="str">
        <f>_xlfn.XLOOKUP(frasest[[#This Row],[autor_es]],autorest[autor_es],autorest[autor_la])</f>
        <v>Sanctus Bonaventura</v>
      </c>
      <c r="G1407"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7"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7" t="str">
        <f>_xlfn.XLOOKUP(frasest[[#This Row],[autor_es]],autorest[autor_es],autorest[codigo])</f>
        <v>la</v>
      </c>
      <c r="J1407" t="str">
        <f>_xlfn.XLOOKUP(frasest[[#This Row],[autor_es]],autorest[autor_es],autorest[idioma_es])</f>
        <v>Latín</v>
      </c>
      <c r="K1407" s="6" t="str">
        <f>_xlfn.XLOOKUP(frasest[[#This Row],[autor_es]],autorest[autor_es],autorest[idioma_la])</f>
        <v>Lingua Latina</v>
      </c>
      <c r="L1407" s="6" t="str">
        <f>_xlfn.XLOOKUP(frasest[[#This Row],[autor_es]],autorest[autor_es],autorest[nacion_es])</f>
        <v>Italia</v>
      </c>
      <c r="M1407" t="str">
        <f>_xlfn.XLOOKUP(frasest[[#This Row],[autor_es]],autorest[autor_es],autorest[nacion_la])</f>
        <v>Italia</v>
      </c>
      <c r="N1407" t="str">
        <f>_xlfn.XLOOKUP(frasest[[#This Row],[autor_es]],autorest[autor_es],autorest[epoca_es])</f>
        <v>Edad Media</v>
      </c>
      <c r="O1407" t="str">
        <f>_xlfn.XLOOKUP(frasest[[#This Row],[autor_es]],autorest[autor_es],autorest[epoca_la])</f>
        <v>Medium Aevum</v>
      </c>
    </row>
    <row r="1408" spans="1:15">
      <c r="A1408">
        <v>1407</v>
      </c>
      <c r="B1408" t="s">
        <v>3904</v>
      </c>
      <c r="C1408" t="s">
        <v>3905</v>
      </c>
      <c r="D1408" t="s">
        <v>3906</v>
      </c>
      <c r="E1408" t="s">
        <v>3882</v>
      </c>
      <c r="F1408" t="str">
        <f>_xlfn.XLOOKUP(frasest[[#This Row],[autor_es]],autorest[autor_es],autorest[autor_la])</f>
        <v>Sanctus Bonaventura</v>
      </c>
      <c r="G1408"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8"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8" t="str">
        <f>_xlfn.XLOOKUP(frasest[[#This Row],[autor_es]],autorest[autor_es],autorest[codigo])</f>
        <v>la</v>
      </c>
      <c r="J1408" t="str">
        <f>_xlfn.XLOOKUP(frasest[[#This Row],[autor_es]],autorest[autor_es],autorest[idioma_es])</f>
        <v>Latín</v>
      </c>
      <c r="K1408" s="6" t="str">
        <f>_xlfn.XLOOKUP(frasest[[#This Row],[autor_es]],autorest[autor_es],autorest[idioma_la])</f>
        <v>Lingua Latina</v>
      </c>
      <c r="L1408" s="6" t="str">
        <f>_xlfn.XLOOKUP(frasest[[#This Row],[autor_es]],autorest[autor_es],autorest[nacion_es])</f>
        <v>Italia</v>
      </c>
      <c r="M1408" t="str">
        <f>_xlfn.XLOOKUP(frasest[[#This Row],[autor_es]],autorest[autor_es],autorest[nacion_la])</f>
        <v>Italia</v>
      </c>
      <c r="N1408" t="str">
        <f>_xlfn.XLOOKUP(frasest[[#This Row],[autor_es]],autorest[autor_es],autorest[epoca_es])</f>
        <v>Edad Media</v>
      </c>
      <c r="O1408" t="str">
        <f>_xlfn.XLOOKUP(frasest[[#This Row],[autor_es]],autorest[autor_es],autorest[epoca_la])</f>
        <v>Medium Aevum</v>
      </c>
    </row>
    <row r="1409" spans="1:15">
      <c r="A1409">
        <v>1408</v>
      </c>
      <c r="B1409" t="s">
        <v>3907</v>
      </c>
      <c r="C1409" t="s">
        <v>3908</v>
      </c>
      <c r="D1409" t="s">
        <v>3909</v>
      </c>
      <c r="E1409" t="s">
        <v>3882</v>
      </c>
      <c r="F1409" t="str">
        <f>_xlfn.XLOOKUP(frasest[[#This Row],[autor_es]],autorest[autor_es],autorest[autor_la])</f>
        <v>Sanctus Bonaventura</v>
      </c>
      <c r="G1409"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9"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9" t="str">
        <f>_xlfn.XLOOKUP(frasest[[#This Row],[autor_es]],autorest[autor_es],autorest[codigo])</f>
        <v>la</v>
      </c>
      <c r="J1409" t="str">
        <f>_xlfn.XLOOKUP(frasest[[#This Row],[autor_es]],autorest[autor_es],autorest[idioma_es])</f>
        <v>Latín</v>
      </c>
      <c r="K1409" s="6" t="str">
        <f>_xlfn.XLOOKUP(frasest[[#This Row],[autor_es]],autorest[autor_es],autorest[idioma_la])</f>
        <v>Lingua Latina</v>
      </c>
      <c r="L1409" s="6" t="str">
        <f>_xlfn.XLOOKUP(frasest[[#This Row],[autor_es]],autorest[autor_es],autorest[nacion_es])</f>
        <v>Italia</v>
      </c>
      <c r="M1409" t="str">
        <f>_xlfn.XLOOKUP(frasest[[#This Row],[autor_es]],autorest[autor_es],autorest[nacion_la])</f>
        <v>Italia</v>
      </c>
      <c r="N1409" t="str">
        <f>_xlfn.XLOOKUP(frasest[[#This Row],[autor_es]],autorest[autor_es],autorest[epoca_es])</f>
        <v>Edad Media</v>
      </c>
      <c r="O1409" t="str">
        <f>_xlfn.XLOOKUP(frasest[[#This Row],[autor_es]],autorest[autor_es],autorest[epoca_la])</f>
        <v>Medium Aevum</v>
      </c>
    </row>
    <row r="1410" spans="1:15">
      <c r="A1410">
        <v>1409</v>
      </c>
      <c r="B1410" t="s">
        <v>3910</v>
      </c>
      <c r="C1410" t="s">
        <v>3911</v>
      </c>
      <c r="D1410" t="s">
        <v>3912</v>
      </c>
      <c r="E1410" t="s">
        <v>3913</v>
      </c>
      <c r="F1410" t="str">
        <f>_xlfn.XLOOKUP(frasest[[#This Row],[autor_es]],autorest[autor_es],autorest[autor_la])</f>
        <v>Petrus Abaelardus</v>
      </c>
      <c r="G1410"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0" s="6" t="str">
        <f>_xlfn.XLOOKUP(frasest[[#This Row],[autor_es]],autorest[autor_es],autorest[bio_la])</f>
        <v>Philosophus et theologus Francicus initiator logicae medievalis celebris pro methodo dubitationis ut via ad veritatem et pro amore tragico cum Heloisa propter ideas heterodoxas persecutus</v>
      </c>
      <c r="I1410" t="str">
        <f>_xlfn.XLOOKUP(frasest[[#This Row],[autor_es]],autorest[autor_es],autorest[codigo])</f>
        <v>la</v>
      </c>
      <c r="J1410" t="str">
        <f>_xlfn.XLOOKUP(frasest[[#This Row],[autor_es]],autorest[autor_es],autorest[idioma_es])</f>
        <v>Latín</v>
      </c>
      <c r="K1410" s="6" t="str">
        <f>_xlfn.XLOOKUP(frasest[[#This Row],[autor_es]],autorest[autor_es],autorest[idioma_la])</f>
        <v>Lingua Latina</v>
      </c>
      <c r="L1410" s="6" t="str">
        <f>_xlfn.XLOOKUP(frasest[[#This Row],[autor_es]],autorest[autor_es],autorest[nacion_es])</f>
        <v>Francia</v>
      </c>
      <c r="M1410" t="str">
        <f>_xlfn.XLOOKUP(frasest[[#This Row],[autor_es]],autorest[autor_es],autorest[nacion_la])</f>
        <v>Francia</v>
      </c>
      <c r="N1410" t="str">
        <f>_xlfn.XLOOKUP(frasest[[#This Row],[autor_es]],autorest[autor_es],autorest[epoca_es])</f>
        <v>Edad Media</v>
      </c>
      <c r="O1410" t="str">
        <f>_xlfn.XLOOKUP(frasest[[#This Row],[autor_es]],autorest[autor_es],autorest[epoca_la])</f>
        <v>Medium Aevum</v>
      </c>
    </row>
    <row r="1411" spans="1:15">
      <c r="A1411">
        <v>1410</v>
      </c>
      <c r="B1411" t="s">
        <v>3914</v>
      </c>
      <c r="C1411" t="s">
        <v>3915</v>
      </c>
      <c r="D1411" t="s">
        <v>3916</v>
      </c>
      <c r="E1411" t="s">
        <v>3913</v>
      </c>
      <c r="F1411" t="str">
        <f>_xlfn.XLOOKUP(frasest[[#This Row],[autor_es]],autorest[autor_es],autorest[autor_la])</f>
        <v>Petrus Abaelardus</v>
      </c>
      <c r="G1411"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1" s="6" t="str">
        <f>_xlfn.XLOOKUP(frasest[[#This Row],[autor_es]],autorest[autor_es],autorest[bio_la])</f>
        <v>Philosophus et theologus Francicus initiator logicae medievalis celebris pro methodo dubitationis ut via ad veritatem et pro amore tragico cum Heloisa propter ideas heterodoxas persecutus</v>
      </c>
      <c r="I1411" t="str">
        <f>_xlfn.XLOOKUP(frasest[[#This Row],[autor_es]],autorest[autor_es],autorest[codigo])</f>
        <v>la</v>
      </c>
      <c r="J1411" t="str">
        <f>_xlfn.XLOOKUP(frasest[[#This Row],[autor_es]],autorest[autor_es],autorest[idioma_es])</f>
        <v>Latín</v>
      </c>
      <c r="K1411" s="6" t="str">
        <f>_xlfn.XLOOKUP(frasest[[#This Row],[autor_es]],autorest[autor_es],autorest[idioma_la])</f>
        <v>Lingua Latina</v>
      </c>
      <c r="L1411" s="6" t="str">
        <f>_xlfn.XLOOKUP(frasest[[#This Row],[autor_es]],autorest[autor_es],autorest[nacion_es])</f>
        <v>Francia</v>
      </c>
      <c r="M1411" t="str">
        <f>_xlfn.XLOOKUP(frasest[[#This Row],[autor_es]],autorest[autor_es],autorest[nacion_la])</f>
        <v>Francia</v>
      </c>
      <c r="N1411" t="str">
        <f>_xlfn.XLOOKUP(frasest[[#This Row],[autor_es]],autorest[autor_es],autorest[epoca_es])</f>
        <v>Edad Media</v>
      </c>
      <c r="O1411" t="str">
        <f>_xlfn.XLOOKUP(frasest[[#This Row],[autor_es]],autorest[autor_es],autorest[epoca_la])</f>
        <v>Medium Aevum</v>
      </c>
    </row>
    <row r="1412" spans="1:15">
      <c r="A1412">
        <v>1411</v>
      </c>
      <c r="B1412" t="s">
        <v>3917</v>
      </c>
      <c r="C1412" t="s">
        <v>3918</v>
      </c>
      <c r="D1412" t="s">
        <v>3919</v>
      </c>
      <c r="E1412" t="s">
        <v>3913</v>
      </c>
      <c r="F1412" t="str">
        <f>_xlfn.XLOOKUP(frasest[[#This Row],[autor_es]],autorest[autor_es],autorest[autor_la])</f>
        <v>Petrus Abaelardus</v>
      </c>
      <c r="G1412"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2" s="6" t="str">
        <f>_xlfn.XLOOKUP(frasest[[#This Row],[autor_es]],autorest[autor_es],autorest[bio_la])</f>
        <v>Philosophus et theologus Francicus initiator logicae medievalis celebris pro methodo dubitationis ut via ad veritatem et pro amore tragico cum Heloisa propter ideas heterodoxas persecutus</v>
      </c>
      <c r="I1412" t="str">
        <f>_xlfn.XLOOKUP(frasest[[#This Row],[autor_es]],autorest[autor_es],autorest[codigo])</f>
        <v>la</v>
      </c>
      <c r="J1412" t="str">
        <f>_xlfn.XLOOKUP(frasest[[#This Row],[autor_es]],autorest[autor_es],autorest[idioma_es])</f>
        <v>Latín</v>
      </c>
      <c r="K1412" s="6" t="str">
        <f>_xlfn.XLOOKUP(frasest[[#This Row],[autor_es]],autorest[autor_es],autorest[idioma_la])</f>
        <v>Lingua Latina</v>
      </c>
      <c r="L1412" s="6" t="str">
        <f>_xlfn.XLOOKUP(frasest[[#This Row],[autor_es]],autorest[autor_es],autorest[nacion_es])</f>
        <v>Francia</v>
      </c>
      <c r="M1412" t="str">
        <f>_xlfn.XLOOKUP(frasest[[#This Row],[autor_es]],autorest[autor_es],autorest[nacion_la])</f>
        <v>Francia</v>
      </c>
      <c r="N1412" t="str">
        <f>_xlfn.XLOOKUP(frasest[[#This Row],[autor_es]],autorest[autor_es],autorest[epoca_es])</f>
        <v>Edad Media</v>
      </c>
      <c r="O1412" t="str">
        <f>_xlfn.XLOOKUP(frasest[[#This Row],[autor_es]],autorest[autor_es],autorest[epoca_la])</f>
        <v>Medium Aevum</v>
      </c>
    </row>
    <row r="1413" spans="1:15">
      <c r="A1413">
        <v>1412</v>
      </c>
      <c r="B1413" t="s">
        <v>3920</v>
      </c>
      <c r="C1413" t="s">
        <v>3921</v>
      </c>
      <c r="D1413" t="s">
        <v>3922</v>
      </c>
      <c r="E1413" t="s">
        <v>3913</v>
      </c>
      <c r="F1413" t="str">
        <f>_xlfn.XLOOKUP(frasest[[#This Row],[autor_es]],autorest[autor_es],autorest[autor_la])</f>
        <v>Petrus Abaelardus</v>
      </c>
      <c r="G1413"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3" s="6" t="str">
        <f>_xlfn.XLOOKUP(frasest[[#This Row],[autor_es]],autorest[autor_es],autorest[bio_la])</f>
        <v>Philosophus et theologus Francicus initiator logicae medievalis celebris pro methodo dubitationis ut via ad veritatem et pro amore tragico cum Heloisa propter ideas heterodoxas persecutus</v>
      </c>
      <c r="I1413" t="str">
        <f>_xlfn.XLOOKUP(frasest[[#This Row],[autor_es]],autorest[autor_es],autorest[codigo])</f>
        <v>la</v>
      </c>
      <c r="J1413" t="str">
        <f>_xlfn.XLOOKUP(frasest[[#This Row],[autor_es]],autorest[autor_es],autorest[idioma_es])</f>
        <v>Latín</v>
      </c>
      <c r="K1413" s="6" t="str">
        <f>_xlfn.XLOOKUP(frasest[[#This Row],[autor_es]],autorest[autor_es],autorest[idioma_la])</f>
        <v>Lingua Latina</v>
      </c>
      <c r="L1413" s="6" t="str">
        <f>_xlfn.XLOOKUP(frasest[[#This Row],[autor_es]],autorest[autor_es],autorest[nacion_es])</f>
        <v>Francia</v>
      </c>
      <c r="M1413" t="str">
        <f>_xlfn.XLOOKUP(frasest[[#This Row],[autor_es]],autorest[autor_es],autorest[nacion_la])</f>
        <v>Francia</v>
      </c>
      <c r="N1413" t="str">
        <f>_xlfn.XLOOKUP(frasest[[#This Row],[autor_es]],autorest[autor_es],autorest[epoca_es])</f>
        <v>Edad Media</v>
      </c>
      <c r="O1413" t="str">
        <f>_xlfn.XLOOKUP(frasest[[#This Row],[autor_es]],autorest[autor_es],autorest[epoca_la])</f>
        <v>Medium Aevum</v>
      </c>
    </row>
    <row r="1414" spans="1:15">
      <c r="A1414">
        <v>1413</v>
      </c>
      <c r="B1414" t="s">
        <v>3923</v>
      </c>
      <c r="C1414" t="s">
        <v>3924</v>
      </c>
      <c r="D1414" t="s">
        <v>3925</v>
      </c>
      <c r="E1414" t="s">
        <v>3913</v>
      </c>
      <c r="F1414" t="str">
        <f>_xlfn.XLOOKUP(frasest[[#This Row],[autor_es]],autorest[autor_es],autorest[autor_la])</f>
        <v>Petrus Abaelardus</v>
      </c>
      <c r="G1414"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4" s="6" t="str">
        <f>_xlfn.XLOOKUP(frasest[[#This Row],[autor_es]],autorest[autor_es],autorest[bio_la])</f>
        <v>Philosophus et theologus Francicus initiator logicae medievalis celebris pro methodo dubitationis ut via ad veritatem et pro amore tragico cum Heloisa propter ideas heterodoxas persecutus</v>
      </c>
      <c r="I1414" t="str">
        <f>_xlfn.XLOOKUP(frasest[[#This Row],[autor_es]],autorest[autor_es],autorest[codigo])</f>
        <v>la</v>
      </c>
      <c r="J1414" t="str">
        <f>_xlfn.XLOOKUP(frasest[[#This Row],[autor_es]],autorest[autor_es],autorest[idioma_es])</f>
        <v>Latín</v>
      </c>
      <c r="K1414" s="6" t="str">
        <f>_xlfn.XLOOKUP(frasest[[#This Row],[autor_es]],autorest[autor_es],autorest[idioma_la])</f>
        <v>Lingua Latina</v>
      </c>
      <c r="L1414" s="6" t="str">
        <f>_xlfn.XLOOKUP(frasest[[#This Row],[autor_es]],autorest[autor_es],autorest[nacion_es])</f>
        <v>Francia</v>
      </c>
      <c r="M1414" t="str">
        <f>_xlfn.XLOOKUP(frasest[[#This Row],[autor_es]],autorest[autor_es],autorest[nacion_la])</f>
        <v>Francia</v>
      </c>
      <c r="N1414" t="str">
        <f>_xlfn.XLOOKUP(frasest[[#This Row],[autor_es]],autorest[autor_es],autorest[epoca_es])</f>
        <v>Edad Media</v>
      </c>
      <c r="O1414" t="str">
        <f>_xlfn.XLOOKUP(frasest[[#This Row],[autor_es]],autorest[autor_es],autorest[epoca_la])</f>
        <v>Medium Aevum</v>
      </c>
    </row>
    <row r="1415" spans="1:15">
      <c r="A1415">
        <v>1414</v>
      </c>
      <c r="B1415" t="s">
        <v>3926</v>
      </c>
      <c r="C1415" t="s">
        <v>3927</v>
      </c>
      <c r="D1415" t="s">
        <v>3928</v>
      </c>
      <c r="E1415" t="s">
        <v>3913</v>
      </c>
      <c r="F1415" t="str">
        <f>_xlfn.XLOOKUP(frasest[[#This Row],[autor_es]],autorest[autor_es],autorest[autor_la])</f>
        <v>Petrus Abaelardus</v>
      </c>
      <c r="G1415"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5" s="6" t="str">
        <f>_xlfn.XLOOKUP(frasest[[#This Row],[autor_es]],autorest[autor_es],autorest[bio_la])</f>
        <v>Philosophus et theologus Francicus initiator logicae medievalis celebris pro methodo dubitationis ut via ad veritatem et pro amore tragico cum Heloisa propter ideas heterodoxas persecutus</v>
      </c>
      <c r="I1415" t="str">
        <f>_xlfn.XLOOKUP(frasest[[#This Row],[autor_es]],autorest[autor_es],autorest[codigo])</f>
        <v>la</v>
      </c>
      <c r="J1415" t="str">
        <f>_xlfn.XLOOKUP(frasest[[#This Row],[autor_es]],autorest[autor_es],autorest[idioma_es])</f>
        <v>Latín</v>
      </c>
      <c r="K1415" s="6" t="str">
        <f>_xlfn.XLOOKUP(frasest[[#This Row],[autor_es]],autorest[autor_es],autorest[idioma_la])</f>
        <v>Lingua Latina</v>
      </c>
      <c r="L1415" s="6" t="str">
        <f>_xlfn.XLOOKUP(frasest[[#This Row],[autor_es]],autorest[autor_es],autorest[nacion_es])</f>
        <v>Francia</v>
      </c>
      <c r="M1415" t="str">
        <f>_xlfn.XLOOKUP(frasest[[#This Row],[autor_es]],autorest[autor_es],autorest[nacion_la])</f>
        <v>Francia</v>
      </c>
      <c r="N1415" t="str">
        <f>_xlfn.XLOOKUP(frasest[[#This Row],[autor_es]],autorest[autor_es],autorest[epoca_es])</f>
        <v>Edad Media</v>
      </c>
      <c r="O1415" t="str">
        <f>_xlfn.XLOOKUP(frasest[[#This Row],[autor_es]],autorest[autor_es],autorest[epoca_la])</f>
        <v>Medium Aevum</v>
      </c>
    </row>
    <row r="1416" spans="1:15">
      <c r="A1416">
        <v>1415</v>
      </c>
      <c r="B1416" t="s">
        <v>3929</v>
      </c>
      <c r="C1416" t="s">
        <v>3930</v>
      </c>
      <c r="D1416" t="s">
        <v>3931</v>
      </c>
      <c r="E1416" t="s">
        <v>3913</v>
      </c>
      <c r="F1416" t="str">
        <f>_xlfn.XLOOKUP(frasest[[#This Row],[autor_es]],autorest[autor_es],autorest[autor_la])</f>
        <v>Petrus Abaelardus</v>
      </c>
      <c r="G1416"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6" s="6" t="str">
        <f>_xlfn.XLOOKUP(frasest[[#This Row],[autor_es]],autorest[autor_es],autorest[bio_la])</f>
        <v>Philosophus et theologus Francicus initiator logicae medievalis celebris pro methodo dubitationis ut via ad veritatem et pro amore tragico cum Heloisa propter ideas heterodoxas persecutus</v>
      </c>
      <c r="I1416" t="str">
        <f>_xlfn.XLOOKUP(frasest[[#This Row],[autor_es]],autorest[autor_es],autorest[codigo])</f>
        <v>la</v>
      </c>
      <c r="J1416" t="str">
        <f>_xlfn.XLOOKUP(frasest[[#This Row],[autor_es]],autorest[autor_es],autorest[idioma_es])</f>
        <v>Latín</v>
      </c>
      <c r="K1416" s="6" t="str">
        <f>_xlfn.XLOOKUP(frasest[[#This Row],[autor_es]],autorest[autor_es],autorest[idioma_la])</f>
        <v>Lingua Latina</v>
      </c>
      <c r="L1416" s="6" t="str">
        <f>_xlfn.XLOOKUP(frasest[[#This Row],[autor_es]],autorest[autor_es],autorest[nacion_es])</f>
        <v>Francia</v>
      </c>
      <c r="M1416" t="str">
        <f>_xlfn.XLOOKUP(frasest[[#This Row],[autor_es]],autorest[autor_es],autorest[nacion_la])</f>
        <v>Francia</v>
      </c>
      <c r="N1416" t="str">
        <f>_xlfn.XLOOKUP(frasest[[#This Row],[autor_es]],autorest[autor_es],autorest[epoca_es])</f>
        <v>Edad Media</v>
      </c>
      <c r="O1416" t="str">
        <f>_xlfn.XLOOKUP(frasest[[#This Row],[autor_es]],autorest[autor_es],autorest[epoca_la])</f>
        <v>Medium Aevum</v>
      </c>
    </row>
    <row r="1417" spans="1:15">
      <c r="A1417">
        <v>1416</v>
      </c>
      <c r="B1417" t="s">
        <v>3932</v>
      </c>
      <c r="C1417" t="s">
        <v>3933</v>
      </c>
      <c r="D1417" t="s">
        <v>3934</v>
      </c>
      <c r="E1417" t="s">
        <v>3913</v>
      </c>
      <c r="F1417" t="str">
        <f>_xlfn.XLOOKUP(frasest[[#This Row],[autor_es]],autorest[autor_es],autorest[autor_la])</f>
        <v>Petrus Abaelardus</v>
      </c>
      <c r="G1417"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7" s="6" t="str">
        <f>_xlfn.XLOOKUP(frasest[[#This Row],[autor_es]],autorest[autor_es],autorest[bio_la])</f>
        <v>Philosophus et theologus Francicus initiator logicae medievalis celebris pro methodo dubitationis ut via ad veritatem et pro amore tragico cum Heloisa propter ideas heterodoxas persecutus</v>
      </c>
      <c r="I1417" t="str">
        <f>_xlfn.XLOOKUP(frasest[[#This Row],[autor_es]],autorest[autor_es],autorest[codigo])</f>
        <v>la</v>
      </c>
      <c r="J1417" t="str">
        <f>_xlfn.XLOOKUP(frasest[[#This Row],[autor_es]],autorest[autor_es],autorest[idioma_es])</f>
        <v>Latín</v>
      </c>
      <c r="K1417" s="6" t="str">
        <f>_xlfn.XLOOKUP(frasest[[#This Row],[autor_es]],autorest[autor_es],autorest[idioma_la])</f>
        <v>Lingua Latina</v>
      </c>
      <c r="L1417" s="6" t="str">
        <f>_xlfn.XLOOKUP(frasest[[#This Row],[autor_es]],autorest[autor_es],autorest[nacion_es])</f>
        <v>Francia</v>
      </c>
      <c r="M1417" t="str">
        <f>_xlfn.XLOOKUP(frasest[[#This Row],[autor_es]],autorest[autor_es],autorest[nacion_la])</f>
        <v>Francia</v>
      </c>
      <c r="N1417" t="str">
        <f>_xlfn.XLOOKUP(frasest[[#This Row],[autor_es]],autorest[autor_es],autorest[epoca_es])</f>
        <v>Edad Media</v>
      </c>
      <c r="O1417" t="str">
        <f>_xlfn.XLOOKUP(frasest[[#This Row],[autor_es]],autorest[autor_es],autorest[epoca_la])</f>
        <v>Medium Aevum</v>
      </c>
    </row>
    <row r="1418" spans="1:15">
      <c r="A1418">
        <v>1417</v>
      </c>
      <c r="B1418" t="s">
        <v>3935</v>
      </c>
      <c r="C1418" t="s">
        <v>3936</v>
      </c>
      <c r="D1418" t="s">
        <v>3937</v>
      </c>
      <c r="E1418" t="s">
        <v>3913</v>
      </c>
      <c r="F1418" t="str">
        <f>_xlfn.XLOOKUP(frasest[[#This Row],[autor_es]],autorest[autor_es],autorest[autor_la])</f>
        <v>Petrus Abaelardus</v>
      </c>
      <c r="G1418"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8" s="6" t="str">
        <f>_xlfn.XLOOKUP(frasest[[#This Row],[autor_es]],autorest[autor_es],autorest[bio_la])</f>
        <v>Philosophus et theologus Francicus initiator logicae medievalis celebris pro methodo dubitationis ut via ad veritatem et pro amore tragico cum Heloisa propter ideas heterodoxas persecutus</v>
      </c>
      <c r="I1418" t="str">
        <f>_xlfn.XLOOKUP(frasest[[#This Row],[autor_es]],autorest[autor_es],autorest[codigo])</f>
        <v>la</v>
      </c>
      <c r="J1418" t="str">
        <f>_xlfn.XLOOKUP(frasest[[#This Row],[autor_es]],autorest[autor_es],autorest[idioma_es])</f>
        <v>Latín</v>
      </c>
      <c r="K1418" s="6" t="str">
        <f>_xlfn.XLOOKUP(frasest[[#This Row],[autor_es]],autorest[autor_es],autorest[idioma_la])</f>
        <v>Lingua Latina</v>
      </c>
      <c r="L1418" s="6" t="str">
        <f>_xlfn.XLOOKUP(frasest[[#This Row],[autor_es]],autorest[autor_es],autorest[nacion_es])</f>
        <v>Francia</v>
      </c>
      <c r="M1418" t="str">
        <f>_xlfn.XLOOKUP(frasest[[#This Row],[autor_es]],autorest[autor_es],autorest[nacion_la])</f>
        <v>Francia</v>
      </c>
      <c r="N1418" t="str">
        <f>_xlfn.XLOOKUP(frasest[[#This Row],[autor_es]],autorest[autor_es],autorest[epoca_es])</f>
        <v>Edad Media</v>
      </c>
      <c r="O1418" t="str">
        <f>_xlfn.XLOOKUP(frasest[[#This Row],[autor_es]],autorest[autor_es],autorest[epoca_la])</f>
        <v>Medium Aevum</v>
      </c>
    </row>
    <row r="1419" spans="1:15">
      <c r="A1419">
        <v>1418</v>
      </c>
      <c r="B1419" t="s">
        <v>3938</v>
      </c>
      <c r="C1419" t="s">
        <v>3939</v>
      </c>
      <c r="D1419" t="s">
        <v>3940</v>
      </c>
      <c r="E1419" t="s">
        <v>3913</v>
      </c>
      <c r="F1419" t="str">
        <f>_xlfn.XLOOKUP(frasest[[#This Row],[autor_es]],autorest[autor_es],autorest[autor_la])</f>
        <v>Petrus Abaelardus</v>
      </c>
      <c r="G1419"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9" s="6" t="str">
        <f>_xlfn.XLOOKUP(frasest[[#This Row],[autor_es]],autorest[autor_es],autorest[bio_la])</f>
        <v>Philosophus et theologus Francicus initiator logicae medievalis celebris pro methodo dubitationis ut via ad veritatem et pro amore tragico cum Heloisa propter ideas heterodoxas persecutus</v>
      </c>
      <c r="I1419" t="str">
        <f>_xlfn.XLOOKUP(frasest[[#This Row],[autor_es]],autorest[autor_es],autorest[codigo])</f>
        <v>la</v>
      </c>
      <c r="J1419" t="str">
        <f>_xlfn.XLOOKUP(frasest[[#This Row],[autor_es]],autorest[autor_es],autorest[idioma_es])</f>
        <v>Latín</v>
      </c>
      <c r="K1419" s="6" t="str">
        <f>_xlfn.XLOOKUP(frasest[[#This Row],[autor_es]],autorest[autor_es],autorest[idioma_la])</f>
        <v>Lingua Latina</v>
      </c>
      <c r="L1419" s="6" t="str">
        <f>_xlfn.XLOOKUP(frasest[[#This Row],[autor_es]],autorest[autor_es],autorest[nacion_es])</f>
        <v>Francia</v>
      </c>
      <c r="M1419" t="str">
        <f>_xlfn.XLOOKUP(frasest[[#This Row],[autor_es]],autorest[autor_es],autorest[nacion_la])</f>
        <v>Francia</v>
      </c>
      <c r="N1419" t="str">
        <f>_xlfn.XLOOKUP(frasest[[#This Row],[autor_es]],autorest[autor_es],autorest[epoca_es])</f>
        <v>Edad Media</v>
      </c>
      <c r="O1419" t="str">
        <f>_xlfn.XLOOKUP(frasest[[#This Row],[autor_es]],autorest[autor_es],autorest[epoca_la])</f>
        <v>Medium Aevum</v>
      </c>
    </row>
    <row r="1420" spans="1:15">
      <c r="A1420">
        <v>1419</v>
      </c>
      <c r="B1420" t="s">
        <v>3941</v>
      </c>
      <c r="C1420" t="s">
        <v>3942</v>
      </c>
      <c r="D1420" t="s">
        <v>3943</v>
      </c>
      <c r="E1420" t="s">
        <v>3944</v>
      </c>
      <c r="F1420" t="str">
        <f>_xlfn.XLOOKUP(frasest[[#This Row],[autor_es]],autorest[autor_es],autorest[autor_la])</f>
        <v>Boethius</v>
      </c>
      <c r="G1420"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0" s="6" t="str">
        <f>_xlfn.XLOOKUP(frasest[[#This Row],[autor_es]],autorest[autor_es],autorest[bio_la])</f>
        <v>Philosophus poeta et politicus Romanus ultimus philosophiae classicae et primus medievalis auctor De consolatione philosophiae qui pons inter mundum antiquum et Christianum medievalem fuit</v>
      </c>
      <c r="I1420" t="str">
        <f>_xlfn.XLOOKUP(frasest[[#This Row],[autor_es]],autorest[autor_es],autorest[codigo])</f>
        <v>la</v>
      </c>
      <c r="J1420" t="str">
        <f>_xlfn.XLOOKUP(frasest[[#This Row],[autor_es]],autorest[autor_es],autorest[idioma_es])</f>
        <v>Latín</v>
      </c>
      <c r="K1420" s="6" t="str">
        <f>_xlfn.XLOOKUP(frasest[[#This Row],[autor_es]],autorest[autor_es],autorest[idioma_la])</f>
        <v>Lingua Latina</v>
      </c>
      <c r="L1420" s="6" t="str">
        <f>_xlfn.XLOOKUP(frasest[[#This Row],[autor_es]],autorest[autor_es],autorest[nacion_es])</f>
        <v>Roma</v>
      </c>
      <c r="M1420" t="str">
        <f>_xlfn.XLOOKUP(frasest[[#This Row],[autor_es]],autorest[autor_es],autorest[nacion_la])</f>
        <v>Roma</v>
      </c>
      <c r="N1420" t="str">
        <f>_xlfn.XLOOKUP(frasest[[#This Row],[autor_es]],autorest[autor_es],autorest[epoca_es])</f>
        <v>Edad Media</v>
      </c>
      <c r="O1420" t="str">
        <f>_xlfn.XLOOKUP(frasest[[#This Row],[autor_es]],autorest[autor_es],autorest[epoca_la])</f>
        <v>Medium Aevum</v>
      </c>
    </row>
    <row r="1421" spans="1:15">
      <c r="A1421">
        <v>1420</v>
      </c>
      <c r="B1421" t="s">
        <v>3945</v>
      </c>
      <c r="C1421" t="s">
        <v>3946</v>
      </c>
      <c r="D1421" t="s">
        <v>3947</v>
      </c>
      <c r="E1421" t="s">
        <v>3944</v>
      </c>
      <c r="F1421" t="str">
        <f>_xlfn.XLOOKUP(frasest[[#This Row],[autor_es]],autorest[autor_es],autorest[autor_la])</f>
        <v>Boethius</v>
      </c>
      <c r="G1421"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1" s="6" t="str">
        <f>_xlfn.XLOOKUP(frasest[[#This Row],[autor_es]],autorest[autor_es],autorest[bio_la])</f>
        <v>Philosophus poeta et politicus Romanus ultimus philosophiae classicae et primus medievalis auctor De consolatione philosophiae qui pons inter mundum antiquum et Christianum medievalem fuit</v>
      </c>
      <c r="I1421" t="str">
        <f>_xlfn.XLOOKUP(frasest[[#This Row],[autor_es]],autorest[autor_es],autorest[codigo])</f>
        <v>la</v>
      </c>
      <c r="J1421" t="str">
        <f>_xlfn.XLOOKUP(frasest[[#This Row],[autor_es]],autorest[autor_es],autorest[idioma_es])</f>
        <v>Latín</v>
      </c>
      <c r="K1421" s="6" t="str">
        <f>_xlfn.XLOOKUP(frasest[[#This Row],[autor_es]],autorest[autor_es],autorest[idioma_la])</f>
        <v>Lingua Latina</v>
      </c>
      <c r="L1421" s="6" t="str">
        <f>_xlfn.XLOOKUP(frasest[[#This Row],[autor_es]],autorest[autor_es],autorest[nacion_es])</f>
        <v>Roma</v>
      </c>
      <c r="M1421" t="str">
        <f>_xlfn.XLOOKUP(frasest[[#This Row],[autor_es]],autorest[autor_es],autorest[nacion_la])</f>
        <v>Roma</v>
      </c>
      <c r="N1421" t="str">
        <f>_xlfn.XLOOKUP(frasest[[#This Row],[autor_es]],autorest[autor_es],autorest[epoca_es])</f>
        <v>Edad Media</v>
      </c>
      <c r="O1421" t="str">
        <f>_xlfn.XLOOKUP(frasest[[#This Row],[autor_es]],autorest[autor_es],autorest[epoca_la])</f>
        <v>Medium Aevum</v>
      </c>
    </row>
    <row r="1422" spans="1:15">
      <c r="A1422">
        <v>1421</v>
      </c>
      <c r="B1422" t="s">
        <v>3948</v>
      </c>
      <c r="C1422" t="s">
        <v>3949</v>
      </c>
      <c r="D1422" t="s">
        <v>3950</v>
      </c>
      <c r="E1422" t="s">
        <v>3944</v>
      </c>
      <c r="F1422" t="str">
        <f>_xlfn.XLOOKUP(frasest[[#This Row],[autor_es]],autorest[autor_es],autorest[autor_la])</f>
        <v>Boethius</v>
      </c>
      <c r="G1422"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2" s="6" t="str">
        <f>_xlfn.XLOOKUP(frasest[[#This Row],[autor_es]],autorest[autor_es],autorest[bio_la])</f>
        <v>Philosophus poeta et politicus Romanus ultimus philosophiae classicae et primus medievalis auctor De consolatione philosophiae qui pons inter mundum antiquum et Christianum medievalem fuit</v>
      </c>
      <c r="I1422" t="str">
        <f>_xlfn.XLOOKUP(frasest[[#This Row],[autor_es]],autorest[autor_es],autorest[codigo])</f>
        <v>la</v>
      </c>
      <c r="J1422" t="str">
        <f>_xlfn.XLOOKUP(frasest[[#This Row],[autor_es]],autorest[autor_es],autorest[idioma_es])</f>
        <v>Latín</v>
      </c>
      <c r="K1422" s="6" t="str">
        <f>_xlfn.XLOOKUP(frasest[[#This Row],[autor_es]],autorest[autor_es],autorest[idioma_la])</f>
        <v>Lingua Latina</v>
      </c>
      <c r="L1422" s="6" t="str">
        <f>_xlfn.XLOOKUP(frasest[[#This Row],[autor_es]],autorest[autor_es],autorest[nacion_es])</f>
        <v>Roma</v>
      </c>
      <c r="M1422" t="str">
        <f>_xlfn.XLOOKUP(frasest[[#This Row],[autor_es]],autorest[autor_es],autorest[nacion_la])</f>
        <v>Roma</v>
      </c>
      <c r="N1422" t="str">
        <f>_xlfn.XLOOKUP(frasest[[#This Row],[autor_es]],autorest[autor_es],autorest[epoca_es])</f>
        <v>Edad Media</v>
      </c>
      <c r="O1422" t="str">
        <f>_xlfn.XLOOKUP(frasest[[#This Row],[autor_es]],autorest[autor_es],autorest[epoca_la])</f>
        <v>Medium Aevum</v>
      </c>
    </row>
    <row r="1423" spans="1:15">
      <c r="A1423">
        <v>1422</v>
      </c>
      <c r="B1423" t="s">
        <v>3951</v>
      </c>
      <c r="C1423" t="s">
        <v>3952</v>
      </c>
      <c r="D1423" t="s">
        <v>3953</v>
      </c>
      <c r="E1423" t="s">
        <v>3944</v>
      </c>
      <c r="F1423" t="str">
        <f>_xlfn.XLOOKUP(frasest[[#This Row],[autor_es]],autorest[autor_es],autorest[autor_la])</f>
        <v>Boethius</v>
      </c>
      <c r="G1423"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3" s="6" t="str">
        <f>_xlfn.XLOOKUP(frasest[[#This Row],[autor_es]],autorest[autor_es],autorest[bio_la])</f>
        <v>Philosophus poeta et politicus Romanus ultimus philosophiae classicae et primus medievalis auctor De consolatione philosophiae qui pons inter mundum antiquum et Christianum medievalem fuit</v>
      </c>
      <c r="I1423" t="str">
        <f>_xlfn.XLOOKUP(frasest[[#This Row],[autor_es]],autorest[autor_es],autorest[codigo])</f>
        <v>la</v>
      </c>
      <c r="J1423" t="str">
        <f>_xlfn.XLOOKUP(frasest[[#This Row],[autor_es]],autorest[autor_es],autorest[idioma_es])</f>
        <v>Latín</v>
      </c>
      <c r="K1423" s="6" t="str">
        <f>_xlfn.XLOOKUP(frasest[[#This Row],[autor_es]],autorest[autor_es],autorest[idioma_la])</f>
        <v>Lingua Latina</v>
      </c>
      <c r="L1423" s="6" t="str">
        <f>_xlfn.XLOOKUP(frasest[[#This Row],[autor_es]],autorest[autor_es],autorest[nacion_es])</f>
        <v>Roma</v>
      </c>
      <c r="M1423" t="str">
        <f>_xlfn.XLOOKUP(frasest[[#This Row],[autor_es]],autorest[autor_es],autorest[nacion_la])</f>
        <v>Roma</v>
      </c>
      <c r="N1423" t="str">
        <f>_xlfn.XLOOKUP(frasest[[#This Row],[autor_es]],autorest[autor_es],autorest[epoca_es])</f>
        <v>Edad Media</v>
      </c>
      <c r="O1423" t="str">
        <f>_xlfn.XLOOKUP(frasest[[#This Row],[autor_es]],autorest[autor_es],autorest[epoca_la])</f>
        <v>Medium Aevum</v>
      </c>
    </row>
    <row r="1424" spans="1:15">
      <c r="A1424">
        <v>1423</v>
      </c>
      <c r="B1424" t="s">
        <v>3954</v>
      </c>
      <c r="C1424" t="s">
        <v>3955</v>
      </c>
      <c r="D1424" t="s">
        <v>3956</v>
      </c>
      <c r="E1424" t="s">
        <v>3944</v>
      </c>
      <c r="F1424" t="str">
        <f>_xlfn.XLOOKUP(frasest[[#This Row],[autor_es]],autorest[autor_es],autorest[autor_la])</f>
        <v>Boethius</v>
      </c>
      <c r="G1424"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4" s="6" t="str">
        <f>_xlfn.XLOOKUP(frasest[[#This Row],[autor_es]],autorest[autor_es],autorest[bio_la])</f>
        <v>Philosophus poeta et politicus Romanus ultimus philosophiae classicae et primus medievalis auctor De consolatione philosophiae qui pons inter mundum antiquum et Christianum medievalem fuit</v>
      </c>
      <c r="I1424" t="str">
        <f>_xlfn.XLOOKUP(frasest[[#This Row],[autor_es]],autorest[autor_es],autorest[codigo])</f>
        <v>la</v>
      </c>
      <c r="J1424" t="str">
        <f>_xlfn.XLOOKUP(frasest[[#This Row],[autor_es]],autorest[autor_es],autorest[idioma_es])</f>
        <v>Latín</v>
      </c>
      <c r="K1424" s="6" t="str">
        <f>_xlfn.XLOOKUP(frasest[[#This Row],[autor_es]],autorest[autor_es],autorest[idioma_la])</f>
        <v>Lingua Latina</v>
      </c>
      <c r="L1424" s="6" t="str">
        <f>_xlfn.XLOOKUP(frasest[[#This Row],[autor_es]],autorest[autor_es],autorest[nacion_es])</f>
        <v>Roma</v>
      </c>
      <c r="M1424" t="str">
        <f>_xlfn.XLOOKUP(frasest[[#This Row],[autor_es]],autorest[autor_es],autorest[nacion_la])</f>
        <v>Roma</v>
      </c>
      <c r="N1424" t="str">
        <f>_xlfn.XLOOKUP(frasest[[#This Row],[autor_es]],autorest[autor_es],autorest[epoca_es])</f>
        <v>Edad Media</v>
      </c>
      <c r="O1424" t="str">
        <f>_xlfn.XLOOKUP(frasest[[#This Row],[autor_es]],autorest[autor_es],autorest[epoca_la])</f>
        <v>Medium Aevum</v>
      </c>
    </row>
    <row r="1425" spans="1:15">
      <c r="A1425">
        <v>1424</v>
      </c>
      <c r="B1425" t="s">
        <v>3957</v>
      </c>
      <c r="C1425" t="s">
        <v>3958</v>
      </c>
      <c r="D1425" t="s">
        <v>3959</v>
      </c>
      <c r="E1425" t="s">
        <v>3944</v>
      </c>
      <c r="F1425" t="str">
        <f>_xlfn.XLOOKUP(frasest[[#This Row],[autor_es]],autorest[autor_es],autorest[autor_la])</f>
        <v>Boethius</v>
      </c>
      <c r="G1425"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5" s="6" t="str">
        <f>_xlfn.XLOOKUP(frasest[[#This Row],[autor_es]],autorest[autor_es],autorest[bio_la])</f>
        <v>Philosophus poeta et politicus Romanus ultimus philosophiae classicae et primus medievalis auctor De consolatione philosophiae qui pons inter mundum antiquum et Christianum medievalem fuit</v>
      </c>
      <c r="I1425" t="str">
        <f>_xlfn.XLOOKUP(frasest[[#This Row],[autor_es]],autorest[autor_es],autorest[codigo])</f>
        <v>la</v>
      </c>
      <c r="J1425" t="str">
        <f>_xlfn.XLOOKUP(frasest[[#This Row],[autor_es]],autorest[autor_es],autorest[idioma_es])</f>
        <v>Latín</v>
      </c>
      <c r="K1425" s="6" t="str">
        <f>_xlfn.XLOOKUP(frasest[[#This Row],[autor_es]],autorest[autor_es],autorest[idioma_la])</f>
        <v>Lingua Latina</v>
      </c>
      <c r="L1425" s="6" t="str">
        <f>_xlfn.XLOOKUP(frasest[[#This Row],[autor_es]],autorest[autor_es],autorest[nacion_es])</f>
        <v>Roma</v>
      </c>
      <c r="M1425" t="str">
        <f>_xlfn.XLOOKUP(frasest[[#This Row],[autor_es]],autorest[autor_es],autorest[nacion_la])</f>
        <v>Roma</v>
      </c>
      <c r="N1425" t="str">
        <f>_xlfn.XLOOKUP(frasest[[#This Row],[autor_es]],autorest[autor_es],autorest[epoca_es])</f>
        <v>Edad Media</v>
      </c>
      <c r="O1425" t="str">
        <f>_xlfn.XLOOKUP(frasest[[#This Row],[autor_es]],autorest[autor_es],autorest[epoca_la])</f>
        <v>Medium Aevum</v>
      </c>
    </row>
    <row r="1426" spans="1:15">
      <c r="A1426">
        <v>1425</v>
      </c>
      <c r="B1426" t="s">
        <v>3960</v>
      </c>
      <c r="C1426" t="s">
        <v>3961</v>
      </c>
      <c r="D1426" t="s">
        <v>3962</v>
      </c>
      <c r="E1426" t="s">
        <v>3944</v>
      </c>
      <c r="F1426" t="str">
        <f>_xlfn.XLOOKUP(frasest[[#This Row],[autor_es]],autorest[autor_es],autorest[autor_la])</f>
        <v>Boethius</v>
      </c>
      <c r="G1426"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6" s="6" t="str">
        <f>_xlfn.XLOOKUP(frasest[[#This Row],[autor_es]],autorest[autor_es],autorest[bio_la])</f>
        <v>Philosophus poeta et politicus Romanus ultimus philosophiae classicae et primus medievalis auctor De consolatione philosophiae qui pons inter mundum antiquum et Christianum medievalem fuit</v>
      </c>
      <c r="I1426" t="str">
        <f>_xlfn.XLOOKUP(frasest[[#This Row],[autor_es]],autorest[autor_es],autorest[codigo])</f>
        <v>la</v>
      </c>
      <c r="J1426" t="str">
        <f>_xlfn.XLOOKUP(frasest[[#This Row],[autor_es]],autorest[autor_es],autorest[idioma_es])</f>
        <v>Latín</v>
      </c>
      <c r="K1426" s="6" t="str">
        <f>_xlfn.XLOOKUP(frasest[[#This Row],[autor_es]],autorest[autor_es],autorest[idioma_la])</f>
        <v>Lingua Latina</v>
      </c>
      <c r="L1426" s="6" t="str">
        <f>_xlfn.XLOOKUP(frasest[[#This Row],[autor_es]],autorest[autor_es],autorest[nacion_es])</f>
        <v>Roma</v>
      </c>
      <c r="M1426" t="str">
        <f>_xlfn.XLOOKUP(frasest[[#This Row],[autor_es]],autorest[autor_es],autorest[nacion_la])</f>
        <v>Roma</v>
      </c>
      <c r="N1426" t="str">
        <f>_xlfn.XLOOKUP(frasest[[#This Row],[autor_es]],autorest[autor_es],autorest[epoca_es])</f>
        <v>Edad Media</v>
      </c>
      <c r="O1426" t="str">
        <f>_xlfn.XLOOKUP(frasest[[#This Row],[autor_es]],autorest[autor_es],autorest[epoca_la])</f>
        <v>Medium Aevum</v>
      </c>
    </row>
    <row r="1427" spans="1:15">
      <c r="A1427">
        <v>1426</v>
      </c>
      <c r="B1427" t="s">
        <v>3963</v>
      </c>
      <c r="C1427" t="s">
        <v>3964</v>
      </c>
      <c r="D1427" t="s">
        <v>3965</v>
      </c>
      <c r="E1427" t="s">
        <v>3944</v>
      </c>
      <c r="F1427" t="str">
        <f>_xlfn.XLOOKUP(frasest[[#This Row],[autor_es]],autorest[autor_es],autorest[autor_la])</f>
        <v>Boethius</v>
      </c>
      <c r="G1427"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7" s="6" t="str">
        <f>_xlfn.XLOOKUP(frasest[[#This Row],[autor_es]],autorest[autor_es],autorest[bio_la])</f>
        <v>Philosophus poeta et politicus Romanus ultimus philosophiae classicae et primus medievalis auctor De consolatione philosophiae qui pons inter mundum antiquum et Christianum medievalem fuit</v>
      </c>
      <c r="I1427" t="str">
        <f>_xlfn.XLOOKUP(frasest[[#This Row],[autor_es]],autorest[autor_es],autorest[codigo])</f>
        <v>la</v>
      </c>
      <c r="J1427" t="str">
        <f>_xlfn.XLOOKUP(frasest[[#This Row],[autor_es]],autorest[autor_es],autorest[idioma_es])</f>
        <v>Latín</v>
      </c>
      <c r="K1427" s="6" t="str">
        <f>_xlfn.XLOOKUP(frasest[[#This Row],[autor_es]],autorest[autor_es],autorest[idioma_la])</f>
        <v>Lingua Latina</v>
      </c>
      <c r="L1427" s="6" t="str">
        <f>_xlfn.XLOOKUP(frasest[[#This Row],[autor_es]],autorest[autor_es],autorest[nacion_es])</f>
        <v>Roma</v>
      </c>
      <c r="M1427" t="str">
        <f>_xlfn.XLOOKUP(frasest[[#This Row],[autor_es]],autorest[autor_es],autorest[nacion_la])</f>
        <v>Roma</v>
      </c>
      <c r="N1427" t="str">
        <f>_xlfn.XLOOKUP(frasest[[#This Row],[autor_es]],autorest[autor_es],autorest[epoca_es])</f>
        <v>Edad Media</v>
      </c>
      <c r="O1427" t="str">
        <f>_xlfn.XLOOKUP(frasest[[#This Row],[autor_es]],autorest[autor_es],autorest[epoca_la])</f>
        <v>Medium Aevum</v>
      </c>
    </row>
    <row r="1428" spans="1:15">
      <c r="A1428">
        <v>1427</v>
      </c>
      <c r="B1428" t="s">
        <v>3966</v>
      </c>
      <c r="C1428" t="s">
        <v>3967</v>
      </c>
      <c r="D1428" t="s">
        <v>3968</v>
      </c>
      <c r="E1428" t="s">
        <v>3944</v>
      </c>
      <c r="F1428" t="str">
        <f>_xlfn.XLOOKUP(frasest[[#This Row],[autor_es]],autorest[autor_es],autorest[autor_la])</f>
        <v>Boethius</v>
      </c>
      <c r="G1428"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8" s="6" t="str">
        <f>_xlfn.XLOOKUP(frasest[[#This Row],[autor_es]],autorest[autor_es],autorest[bio_la])</f>
        <v>Philosophus poeta et politicus Romanus ultimus philosophiae classicae et primus medievalis auctor De consolatione philosophiae qui pons inter mundum antiquum et Christianum medievalem fuit</v>
      </c>
      <c r="I1428" t="str">
        <f>_xlfn.XLOOKUP(frasest[[#This Row],[autor_es]],autorest[autor_es],autorest[codigo])</f>
        <v>la</v>
      </c>
      <c r="J1428" t="str">
        <f>_xlfn.XLOOKUP(frasest[[#This Row],[autor_es]],autorest[autor_es],autorest[idioma_es])</f>
        <v>Latín</v>
      </c>
      <c r="K1428" s="6" t="str">
        <f>_xlfn.XLOOKUP(frasest[[#This Row],[autor_es]],autorest[autor_es],autorest[idioma_la])</f>
        <v>Lingua Latina</v>
      </c>
      <c r="L1428" s="6" t="str">
        <f>_xlfn.XLOOKUP(frasest[[#This Row],[autor_es]],autorest[autor_es],autorest[nacion_es])</f>
        <v>Roma</v>
      </c>
      <c r="M1428" t="str">
        <f>_xlfn.XLOOKUP(frasest[[#This Row],[autor_es]],autorest[autor_es],autorest[nacion_la])</f>
        <v>Roma</v>
      </c>
      <c r="N1428" t="str">
        <f>_xlfn.XLOOKUP(frasest[[#This Row],[autor_es]],autorest[autor_es],autorest[epoca_es])</f>
        <v>Edad Media</v>
      </c>
      <c r="O1428" t="str">
        <f>_xlfn.XLOOKUP(frasest[[#This Row],[autor_es]],autorest[autor_es],autorest[epoca_la])</f>
        <v>Medium Aevum</v>
      </c>
    </row>
    <row r="1429" spans="1:15">
      <c r="A1429">
        <v>1428</v>
      </c>
      <c r="B1429" t="s">
        <v>3969</v>
      </c>
      <c r="C1429" t="s">
        <v>3970</v>
      </c>
      <c r="D1429" t="s">
        <v>3971</v>
      </c>
      <c r="E1429" t="s">
        <v>3944</v>
      </c>
      <c r="F1429" t="str">
        <f>_xlfn.XLOOKUP(frasest[[#This Row],[autor_es]],autorest[autor_es],autorest[autor_la])</f>
        <v>Boethius</v>
      </c>
      <c r="G1429"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9" s="6" t="str">
        <f>_xlfn.XLOOKUP(frasest[[#This Row],[autor_es]],autorest[autor_es],autorest[bio_la])</f>
        <v>Philosophus poeta et politicus Romanus ultimus philosophiae classicae et primus medievalis auctor De consolatione philosophiae qui pons inter mundum antiquum et Christianum medievalem fuit</v>
      </c>
      <c r="I1429" t="str">
        <f>_xlfn.XLOOKUP(frasest[[#This Row],[autor_es]],autorest[autor_es],autorest[codigo])</f>
        <v>la</v>
      </c>
      <c r="J1429" t="str">
        <f>_xlfn.XLOOKUP(frasest[[#This Row],[autor_es]],autorest[autor_es],autorest[idioma_es])</f>
        <v>Latín</v>
      </c>
      <c r="K1429" s="6" t="str">
        <f>_xlfn.XLOOKUP(frasest[[#This Row],[autor_es]],autorest[autor_es],autorest[idioma_la])</f>
        <v>Lingua Latina</v>
      </c>
      <c r="L1429" s="6" t="str">
        <f>_xlfn.XLOOKUP(frasest[[#This Row],[autor_es]],autorest[autor_es],autorest[nacion_es])</f>
        <v>Roma</v>
      </c>
      <c r="M1429" t="str">
        <f>_xlfn.XLOOKUP(frasest[[#This Row],[autor_es]],autorest[autor_es],autorest[nacion_la])</f>
        <v>Roma</v>
      </c>
      <c r="N1429" t="str">
        <f>_xlfn.XLOOKUP(frasest[[#This Row],[autor_es]],autorest[autor_es],autorest[epoca_es])</f>
        <v>Edad Media</v>
      </c>
      <c r="O1429" t="str">
        <f>_xlfn.XLOOKUP(frasest[[#This Row],[autor_es]],autorest[autor_es],autorest[epoca_la])</f>
        <v>Medium Aevum</v>
      </c>
    </row>
    <row r="1430" spans="1:15">
      <c r="A1430">
        <v>1429</v>
      </c>
      <c r="B1430" t="s">
        <v>3972</v>
      </c>
      <c r="C1430" t="s">
        <v>3973</v>
      </c>
      <c r="D1430" t="s">
        <v>3974</v>
      </c>
      <c r="E1430" t="s">
        <v>3944</v>
      </c>
      <c r="F1430" t="str">
        <f>_xlfn.XLOOKUP(frasest[[#This Row],[autor_es]],autorest[autor_es],autorest[autor_la])</f>
        <v>Boethius</v>
      </c>
      <c r="G1430"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0" s="6" t="str">
        <f>_xlfn.XLOOKUP(frasest[[#This Row],[autor_es]],autorest[autor_es],autorest[bio_la])</f>
        <v>Philosophus poeta et politicus Romanus ultimus philosophiae classicae et primus medievalis auctor De consolatione philosophiae qui pons inter mundum antiquum et Christianum medievalem fuit</v>
      </c>
      <c r="I1430" t="str">
        <f>_xlfn.XLOOKUP(frasest[[#This Row],[autor_es]],autorest[autor_es],autorest[codigo])</f>
        <v>la</v>
      </c>
      <c r="J1430" t="str">
        <f>_xlfn.XLOOKUP(frasest[[#This Row],[autor_es]],autorest[autor_es],autorest[idioma_es])</f>
        <v>Latín</v>
      </c>
      <c r="K1430" s="6" t="str">
        <f>_xlfn.XLOOKUP(frasest[[#This Row],[autor_es]],autorest[autor_es],autorest[idioma_la])</f>
        <v>Lingua Latina</v>
      </c>
      <c r="L1430" s="6" t="str">
        <f>_xlfn.XLOOKUP(frasest[[#This Row],[autor_es]],autorest[autor_es],autorest[nacion_es])</f>
        <v>Roma</v>
      </c>
      <c r="M1430" t="str">
        <f>_xlfn.XLOOKUP(frasest[[#This Row],[autor_es]],autorest[autor_es],autorest[nacion_la])</f>
        <v>Roma</v>
      </c>
      <c r="N1430" t="str">
        <f>_xlfn.XLOOKUP(frasest[[#This Row],[autor_es]],autorest[autor_es],autorest[epoca_es])</f>
        <v>Edad Media</v>
      </c>
      <c r="O1430" t="str">
        <f>_xlfn.XLOOKUP(frasest[[#This Row],[autor_es]],autorest[autor_es],autorest[epoca_la])</f>
        <v>Medium Aevum</v>
      </c>
    </row>
    <row r="1431" spans="1:15">
      <c r="A1431">
        <v>1430</v>
      </c>
      <c r="B1431" t="s">
        <v>3975</v>
      </c>
      <c r="C1431" t="s">
        <v>3976</v>
      </c>
      <c r="D1431" t="s">
        <v>3977</v>
      </c>
      <c r="E1431" t="s">
        <v>3944</v>
      </c>
      <c r="F1431" t="str">
        <f>_xlfn.XLOOKUP(frasest[[#This Row],[autor_es]],autorest[autor_es],autorest[autor_la])</f>
        <v>Boethius</v>
      </c>
      <c r="G1431"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1" s="6" t="str">
        <f>_xlfn.XLOOKUP(frasest[[#This Row],[autor_es]],autorest[autor_es],autorest[bio_la])</f>
        <v>Philosophus poeta et politicus Romanus ultimus philosophiae classicae et primus medievalis auctor De consolatione philosophiae qui pons inter mundum antiquum et Christianum medievalem fuit</v>
      </c>
      <c r="I1431" t="str">
        <f>_xlfn.XLOOKUP(frasest[[#This Row],[autor_es]],autorest[autor_es],autorest[codigo])</f>
        <v>la</v>
      </c>
      <c r="J1431" t="str">
        <f>_xlfn.XLOOKUP(frasest[[#This Row],[autor_es]],autorest[autor_es],autorest[idioma_es])</f>
        <v>Latín</v>
      </c>
      <c r="K1431" s="6" t="str">
        <f>_xlfn.XLOOKUP(frasest[[#This Row],[autor_es]],autorest[autor_es],autorest[idioma_la])</f>
        <v>Lingua Latina</v>
      </c>
      <c r="L1431" s="6" t="str">
        <f>_xlfn.XLOOKUP(frasest[[#This Row],[autor_es]],autorest[autor_es],autorest[nacion_es])</f>
        <v>Roma</v>
      </c>
      <c r="M1431" t="str">
        <f>_xlfn.XLOOKUP(frasest[[#This Row],[autor_es]],autorest[autor_es],autorest[nacion_la])</f>
        <v>Roma</v>
      </c>
      <c r="N1431" t="str">
        <f>_xlfn.XLOOKUP(frasest[[#This Row],[autor_es]],autorest[autor_es],autorest[epoca_es])</f>
        <v>Edad Media</v>
      </c>
      <c r="O1431" t="str">
        <f>_xlfn.XLOOKUP(frasest[[#This Row],[autor_es]],autorest[autor_es],autorest[epoca_la])</f>
        <v>Medium Aevum</v>
      </c>
    </row>
    <row r="1432" spans="1:15">
      <c r="A1432">
        <v>1431</v>
      </c>
      <c r="B1432" t="s">
        <v>3978</v>
      </c>
      <c r="C1432" t="s">
        <v>3979</v>
      </c>
      <c r="D1432" t="s">
        <v>3980</v>
      </c>
      <c r="E1432" t="s">
        <v>3944</v>
      </c>
      <c r="F1432" t="str">
        <f>_xlfn.XLOOKUP(frasest[[#This Row],[autor_es]],autorest[autor_es],autorest[autor_la])</f>
        <v>Boethius</v>
      </c>
      <c r="G1432"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2" s="6" t="str">
        <f>_xlfn.XLOOKUP(frasest[[#This Row],[autor_es]],autorest[autor_es],autorest[bio_la])</f>
        <v>Philosophus poeta et politicus Romanus ultimus philosophiae classicae et primus medievalis auctor De consolatione philosophiae qui pons inter mundum antiquum et Christianum medievalem fuit</v>
      </c>
      <c r="I1432" t="str">
        <f>_xlfn.XLOOKUP(frasest[[#This Row],[autor_es]],autorest[autor_es],autorest[codigo])</f>
        <v>la</v>
      </c>
      <c r="J1432" t="str">
        <f>_xlfn.XLOOKUP(frasest[[#This Row],[autor_es]],autorest[autor_es],autorest[idioma_es])</f>
        <v>Latín</v>
      </c>
      <c r="K1432" s="6" t="str">
        <f>_xlfn.XLOOKUP(frasest[[#This Row],[autor_es]],autorest[autor_es],autorest[idioma_la])</f>
        <v>Lingua Latina</v>
      </c>
      <c r="L1432" s="6" t="str">
        <f>_xlfn.XLOOKUP(frasest[[#This Row],[autor_es]],autorest[autor_es],autorest[nacion_es])</f>
        <v>Roma</v>
      </c>
      <c r="M1432" t="str">
        <f>_xlfn.XLOOKUP(frasest[[#This Row],[autor_es]],autorest[autor_es],autorest[nacion_la])</f>
        <v>Roma</v>
      </c>
      <c r="N1432" t="str">
        <f>_xlfn.XLOOKUP(frasest[[#This Row],[autor_es]],autorest[autor_es],autorest[epoca_es])</f>
        <v>Edad Media</v>
      </c>
      <c r="O1432" t="str">
        <f>_xlfn.XLOOKUP(frasest[[#This Row],[autor_es]],autorest[autor_es],autorest[epoca_la])</f>
        <v>Medium Aevum</v>
      </c>
    </row>
    <row r="1433" spans="1:15">
      <c r="A1433">
        <v>1432</v>
      </c>
      <c r="B1433" t="s">
        <v>3981</v>
      </c>
      <c r="C1433" t="s">
        <v>3982</v>
      </c>
      <c r="D1433" t="s">
        <v>3983</v>
      </c>
      <c r="E1433" t="s">
        <v>3944</v>
      </c>
      <c r="F1433" t="str">
        <f>_xlfn.XLOOKUP(frasest[[#This Row],[autor_es]],autorest[autor_es],autorest[autor_la])</f>
        <v>Boethius</v>
      </c>
      <c r="G1433"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3" s="6" t="str">
        <f>_xlfn.XLOOKUP(frasest[[#This Row],[autor_es]],autorest[autor_es],autorest[bio_la])</f>
        <v>Philosophus poeta et politicus Romanus ultimus philosophiae classicae et primus medievalis auctor De consolatione philosophiae qui pons inter mundum antiquum et Christianum medievalem fuit</v>
      </c>
      <c r="I1433" t="str">
        <f>_xlfn.XLOOKUP(frasest[[#This Row],[autor_es]],autorest[autor_es],autorest[codigo])</f>
        <v>la</v>
      </c>
      <c r="J1433" t="str">
        <f>_xlfn.XLOOKUP(frasest[[#This Row],[autor_es]],autorest[autor_es],autorest[idioma_es])</f>
        <v>Latín</v>
      </c>
      <c r="K1433" s="6" t="str">
        <f>_xlfn.XLOOKUP(frasest[[#This Row],[autor_es]],autorest[autor_es],autorest[idioma_la])</f>
        <v>Lingua Latina</v>
      </c>
      <c r="L1433" s="6" t="str">
        <f>_xlfn.XLOOKUP(frasest[[#This Row],[autor_es]],autorest[autor_es],autorest[nacion_es])</f>
        <v>Roma</v>
      </c>
      <c r="M1433" t="str">
        <f>_xlfn.XLOOKUP(frasest[[#This Row],[autor_es]],autorest[autor_es],autorest[nacion_la])</f>
        <v>Roma</v>
      </c>
      <c r="N1433" t="str">
        <f>_xlfn.XLOOKUP(frasest[[#This Row],[autor_es]],autorest[autor_es],autorest[epoca_es])</f>
        <v>Edad Media</v>
      </c>
      <c r="O1433" t="str">
        <f>_xlfn.XLOOKUP(frasest[[#This Row],[autor_es]],autorest[autor_es],autorest[epoca_la])</f>
        <v>Medium Aevum</v>
      </c>
    </row>
    <row r="1434" spans="1:15">
      <c r="A1434">
        <v>1433</v>
      </c>
      <c r="B1434" t="s">
        <v>3984</v>
      </c>
      <c r="C1434" t="s">
        <v>3985</v>
      </c>
      <c r="D1434" t="s">
        <v>3986</v>
      </c>
      <c r="E1434" t="s">
        <v>3944</v>
      </c>
      <c r="F1434" t="str">
        <f>_xlfn.XLOOKUP(frasest[[#This Row],[autor_es]],autorest[autor_es],autorest[autor_la])</f>
        <v>Boethius</v>
      </c>
      <c r="G1434"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4" s="6" t="str">
        <f>_xlfn.XLOOKUP(frasest[[#This Row],[autor_es]],autorest[autor_es],autorest[bio_la])</f>
        <v>Philosophus poeta et politicus Romanus ultimus philosophiae classicae et primus medievalis auctor De consolatione philosophiae qui pons inter mundum antiquum et Christianum medievalem fuit</v>
      </c>
      <c r="I1434" t="str">
        <f>_xlfn.XLOOKUP(frasest[[#This Row],[autor_es]],autorest[autor_es],autorest[codigo])</f>
        <v>la</v>
      </c>
      <c r="J1434" t="str">
        <f>_xlfn.XLOOKUP(frasest[[#This Row],[autor_es]],autorest[autor_es],autorest[idioma_es])</f>
        <v>Latín</v>
      </c>
      <c r="K1434" s="6" t="str">
        <f>_xlfn.XLOOKUP(frasest[[#This Row],[autor_es]],autorest[autor_es],autorest[idioma_la])</f>
        <v>Lingua Latina</v>
      </c>
      <c r="L1434" s="6" t="str">
        <f>_xlfn.XLOOKUP(frasest[[#This Row],[autor_es]],autorest[autor_es],autorest[nacion_es])</f>
        <v>Roma</v>
      </c>
      <c r="M1434" t="str">
        <f>_xlfn.XLOOKUP(frasest[[#This Row],[autor_es]],autorest[autor_es],autorest[nacion_la])</f>
        <v>Roma</v>
      </c>
      <c r="N1434" t="str">
        <f>_xlfn.XLOOKUP(frasest[[#This Row],[autor_es]],autorest[autor_es],autorest[epoca_es])</f>
        <v>Edad Media</v>
      </c>
      <c r="O1434" t="str">
        <f>_xlfn.XLOOKUP(frasest[[#This Row],[autor_es]],autorest[autor_es],autorest[epoca_la])</f>
        <v>Medium Aevum</v>
      </c>
    </row>
    <row r="1435" spans="1:15">
      <c r="A1435">
        <v>1434</v>
      </c>
      <c r="B1435" t="s">
        <v>3987</v>
      </c>
      <c r="C1435" t="s">
        <v>3988</v>
      </c>
      <c r="D1435" t="s">
        <v>3989</v>
      </c>
      <c r="E1435" t="s">
        <v>3944</v>
      </c>
      <c r="F1435" t="str">
        <f>_xlfn.XLOOKUP(frasest[[#This Row],[autor_es]],autorest[autor_es],autorest[autor_la])</f>
        <v>Boethius</v>
      </c>
      <c r="G1435"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5" s="6" t="str">
        <f>_xlfn.XLOOKUP(frasest[[#This Row],[autor_es]],autorest[autor_es],autorest[bio_la])</f>
        <v>Philosophus poeta et politicus Romanus ultimus philosophiae classicae et primus medievalis auctor De consolatione philosophiae qui pons inter mundum antiquum et Christianum medievalem fuit</v>
      </c>
      <c r="I1435" t="str">
        <f>_xlfn.XLOOKUP(frasest[[#This Row],[autor_es]],autorest[autor_es],autorest[codigo])</f>
        <v>la</v>
      </c>
      <c r="J1435" t="str">
        <f>_xlfn.XLOOKUP(frasest[[#This Row],[autor_es]],autorest[autor_es],autorest[idioma_es])</f>
        <v>Latín</v>
      </c>
      <c r="K1435" s="6" t="str">
        <f>_xlfn.XLOOKUP(frasest[[#This Row],[autor_es]],autorest[autor_es],autorest[idioma_la])</f>
        <v>Lingua Latina</v>
      </c>
      <c r="L1435" s="6" t="str">
        <f>_xlfn.XLOOKUP(frasest[[#This Row],[autor_es]],autorest[autor_es],autorest[nacion_es])</f>
        <v>Roma</v>
      </c>
      <c r="M1435" t="str">
        <f>_xlfn.XLOOKUP(frasest[[#This Row],[autor_es]],autorest[autor_es],autorest[nacion_la])</f>
        <v>Roma</v>
      </c>
      <c r="N1435" t="str">
        <f>_xlfn.XLOOKUP(frasest[[#This Row],[autor_es]],autorest[autor_es],autorest[epoca_es])</f>
        <v>Edad Media</v>
      </c>
      <c r="O1435" t="str">
        <f>_xlfn.XLOOKUP(frasest[[#This Row],[autor_es]],autorest[autor_es],autorest[epoca_la])</f>
        <v>Medium Aevum</v>
      </c>
    </row>
    <row r="1436" spans="1:15">
      <c r="A1436">
        <v>1435</v>
      </c>
      <c r="B1436" t="s">
        <v>3990</v>
      </c>
      <c r="C1436" t="s">
        <v>3991</v>
      </c>
      <c r="D1436" t="s">
        <v>3992</v>
      </c>
      <c r="E1436" t="s">
        <v>3944</v>
      </c>
      <c r="F1436" t="str">
        <f>_xlfn.XLOOKUP(frasest[[#This Row],[autor_es]],autorest[autor_es],autorest[autor_la])</f>
        <v>Boethius</v>
      </c>
      <c r="G1436"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6" s="6" t="str">
        <f>_xlfn.XLOOKUP(frasest[[#This Row],[autor_es]],autorest[autor_es],autorest[bio_la])</f>
        <v>Philosophus poeta et politicus Romanus ultimus philosophiae classicae et primus medievalis auctor De consolatione philosophiae qui pons inter mundum antiquum et Christianum medievalem fuit</v>
      </c>
      <c r="I1436" t="str">
        <f>_xlfn.XLOOKUP(frasest[[#This Row],[autor_es]],autorest[autor_es],autorest[codigo])</f>
        <v>la</v>
      </c>
      <c r="J1436" t="str">
        <f>_xlfn.XLOOKUP(frasest[[#This Row],[autor_es]],autorest[autor_es],autorest[idioma_es])</f>
        <v>Latín</v>
      </c>
      <c r="K1436" s="6" t="str">
        <f>_xlfn.XLOOKUP(frasest[[#This Row],[autor_es]],autorest[autor_es],autorest[idioma_la])</f>
        <v>Lingua Latina</v>
      </c>
      <c r="L1436" s="6" t="str">
        <f>_xlfn.XLOOKUP(frasest[[#This Row],[autor_es]],autorest[autor_es],autorest[nacion_es])</f>
        <v>Roma</v>
      </c>
      <c r="M1436" t="str">
        <f>_xlfn.XLOOKUP(frasest[[#This Row],[autor_es]],autorest[autor_es],autorest[nacion_la])</f>
        <v>Roma</v>
      </c>
      <c r="N1436" t="str">
        <f>_xlfn.XLOOKUP(frasest[[#This Row],[autor_es]],autorest[autor_es],autorest[epoca_es])</f>
        <v>Edad Media</v>
      </c>
      <c r="O1436" t="str">
        <f>_xlfn.XLOOKUP(frasest[[#This Row],[autor_es]],autorest[autor_es],autorest[epoca_la])</f>
        <v>Medium Aevum</v>
      </c>
    </row>
    <row r="1437" spans="1:15">
      <c r="A1437">
        <v>1436</v>
      </c>
      <c r="B1437" t="s">
        <v>3993</v>
      </c>
      <c r="C1437" t="s">
        <v>3994</v>
      </c>
      <c r="D1437" t="s">
        <v>3995</v>
      </c>
      <c r="E1437" t="s">
        <v>3944</v>
      </c>
      <c r="F1437" t="str">
        <f>_xlfn.XLOOKUP(frasest[[#This Row],[autor_es]],autorest[autor_es],autorest[autor_la])</f>
        <v>Boethius</v>
      </c>
      <c r="G1437"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7" s="6" t="str">
        <f>_xlfn.XLOOKUP(frasest[[#This Row],[autor_es]],autorest[autor_es],autorest[bio_la])</f>
        <v>Philosophus poeta et politicus Romanus ultimus philosophiae classicae et primus medievalis auctor De consolatione philosophiae qui pons inter mundum antiquum et Christianum medievalem fuit</v>
      </c>
      <c r="I1437" t="str">
        <f>_xlfn.XLOOKUP(frasest[[#This Row],[autor_es]],autorest[autor_es],autorest[codigo])</f>
        <v>la</v>
      </c>
      <c r="J1437" t="str">
        <f>_xlfn.XLOOKUP(frasest[[#This Row],[autor_es]],autorest[autor_es],autorest[idioma_es])</f>
        <v>Latín</v>
      </c>
      <c r="K1437" s="6" t="str">
        <f>_xlfn.XLOOKUP(frasest[[#This Row],[autor_es]],autorest[autor_es],autorest[idioma_la])</f>
        <v>Lingua Latina</v>
      </c>
      <c r="L1437" s="6" t="str">
        <f>_xlfn.XLOOKUP(frasest[[#This Row],[autor_es]],autorest[autor_es],autorest[nacion_es])</f>
        <v>Roma</v>
      </c>
      <c r="M1437" t="str">
        <f>_xlfn.XLOOKUP(frasest[[#This Row],[autor_es]],autorest[autor_es],autorest[nacion_la])</f>
        <v>Roma</v>
      </c>
      <c r="N1437" t="str">
        <f>_xlfn.XLOOKUP(frasest[[#This Row],[autor_es]],autorest[autor_es],autorest[epoca_es])</f>
        <v>Edad Media</v>
      </c>
      <c r="O1437" t="str">
        <f>_xlfn.XLOOKUP(frasest[[#This Row],[autor_es]],autorest[autor_es],autorest[epoca_la])</f>
        <v>Medium Aevum</v>
      </c>
    </row>
    <row r="1438" spans="1:15">
      <c r="A1438">
        <v>1437</v>
      </c>
      <c r="B1438" t="s">
        <v>3996</v>
      </c>
      <c r="C1438" t="s">
        <v>3997</v>
      </c>
      <c r="D1438" t="s">
        <v>3998</v>
      </c>
      <c r="E1438" t="s">
        <v>3944</v>
      </c>
      <c r="F1438" t="str">
        <f>_xlfn.XLOOKUP(frasest[[#This Row],[autor_es]],autorest[autor_es],autorest[autor_la])</f>
        <v>Boethius</v>
      </c>
      <c r="G1438"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8" s="6" t="str">
        <f>_xlfn.XLOOKUP(frasest[[#This Row],[autor_es]],autorest[autor_es],autorest[bio_la])</f>
        <v>Philosophus poeta et politicus Romanus ultimus philosophiae classicae et primus medievalis auctor De consolatione philosophiae qui pons inter mundum antiquum et Christianum medievalem fuit</v>
      </c>
      <c r="I1438" t="str">
        <f>_xlfn.XLOOKUP(frasest[[#This Row],[autor_es]],autorest[autor_es],autorest[codigo])</f>
        <v>la</v>
      </c>
      <c r="J1438" t="str">
        <f>_xlfn.XLOOKUP(frasest[[#This Row],[autor_es]],autorest[autor_es],autorest[idioma_es])</f>
        <v>Latín</v>
      </c>
      <c r="K1438" s="6" t="str">
        <f>_xlfn.XLOOKUP(frasest[[#This Row],[autor_es]],autorest[autor_es],autorest[idioma_la])</f>
        <v>Lingua Latina</v>
      </c>
      <c r="L1438" s="6" t="str">
        <f>_xlfn.XLOOKUP(frasest[[#This Row],[autor_es]],autorest[autor_es],autorest[nacion_es])</f>
        <v>Roma</v>
      </c>
      <c r="M1438" t="str">
        <f>_xlfn.XLOOKUP(frasest[[#This Row],[autor_es]],autorest[autor_es],autorest[nacion_la])</f>
        <v>Roma</v>
      </c>
      <c r="N1438" t="str">
        <f>_xlfn.XLOOKUP(frasest[[#This Row],[autor_es]],autorest[autor_es],autorest[epoca_es])</f>
        <v>Edad Media</v>
      </c>
      <c r="O1438" t="str">
        <f>_xlfn.XLOOKUP(frasest[[#This Row],[autor_es]],autorest[autor_es],autorest[epoca_la])</f>
        <v>Medium Aevum</v>
      </c>
    </row>
    <row r="1439" spans="1:15">
      <c r="A1439">
        <v>1438</v>
      </c>
      <c r="B1439" t="s">
        <v>3999</v>
      </c>
      <c r="C1439" t="s">
        <v>4000</v>
      </c>
      <c r="D1439" t="s">
        <v>4001</v>
      </c>
      <c r="E1439" t="s">
        <v>3944</v>
      </c>
      <c r="F1439" t="str">
        <f>_xlfn.XLOOKUP(frasest[[#This Row],[autor_es]],autorest[autor_es],autorest[autor_la])</f>
        <v>Boethius</v>
      </c>
      <c r="G1439"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9" s="6" t="str">
        <f>_xlfn.XLOOKUP(frasest[[#This Row],[autor_es]],autorest[autor_es],autorest[bio_la])</f>
        <v>Philosophus poeta et politicus Romanus ultimus philosophiae classicae et primus medievalis auctor De consolatione philosophiae qui pons inter mundum antiquum et Christianum medievalem fuit</v>
      </c>
      <c r="I1439" t="str">
        <f>_xlfn.XLOOKUP(frasest[[#This Row],[autor_es]],autorest[autor_es],autorest[codigo])</f>
        <v>la</v>
      </c>
      <c r="J1439" t="str">
        <f>_xlfn.XLOOKUP(frasest[[#This Row],[autor_es]],autorest[autor_es],autorest[idioma_es])</f>
        <v>Latín</v>
      </c>
      <c r="K1439" s="6" t="str">
        <f>_xlfn.XLOOKUP(frasest[[#This Row],[autor_es]],autorest[autor_es],autorest[idioma_la])</f>
        <v>Lingua Latina</v>
      </c>
      <c r="L1439" s="6" t="str">
        <f>_xlfn.XLOOKUP(frasest[[#This Row],[autor_es]],autorest[autor_es],autorest[nacion_es])</f>
        <v>Roma</v>
      </c>
      <c r="M1439" t="str">
        <f>_xlfn.XLOOKUP(frasest[[#This Row],[autor_es]],autorest[autor_es],autorest[nacion_la])</f>
        <v>Roma</v>
      </c>
      <c r="N1439" t="str">
        <f>_xlfn.XLOOKUP(frasest[[#This Row],[autor_es]],autorest[autor_es],autorest[epoca_es])</f>
        <v>Edad Media</v>
      </c>
      <c r="O1439" t="str">
        <f>_xlfn.XLOOKUP(frasest[[#This Row],[autor_es]],autorest[autor_es],autorest[epoca_la])</f>
        <v>Medium Aevum</v>
      </c>
    </row>
    <row r="1440" spans="1:15">
      <c r="A1440">
        <v>1439</v>
      </c>
      <c r="B1440" t="s">
        <v>4002</v>
      </c>
      <c r="C1440" t="s">
        <v>4003</v>
      </c>
      <c r="D1440" t="s">
        <v>4004</v>
      </c>
      <c r="E1440" t="s">
        <v>4005</v>
      </c>
      <c r="F1440" t="str">
        <f>_xlfn.XLOOKUP(frasest[[#This Row],[autor_es]],autorest[autor_es],autorest[autor_la])</f>
        <v>Ioannes Duns Scotus</v>
      </c>
      <c r="G1440"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0"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0" t="str">
        <f>_xlfn.XLOOKUP(frasest[[#This Row],[autor_es]],autorest[autor_es],autorest[codigo])</f>
        <v>la</v>
      </c>
      <c r="J1440" t="str">
        <f>_xlfn.XLOOKUP(frasest[[#This Row],[autor_es]],autorest[autor_es],autorest[idioma_es])</f>
        <v>Latín</v>
      </c>
      <c r="K1440" s="6" t="str">
        <f>_xlfn.XLOOKUP(frasest[[#This Row],[autor_es]],autorest[autor_es],autorest[idioma_la])</f>
        <v>Lingua Latina</v>
      </c>
      <c r="L1440" s="6" t="str">
        <f>_xlfn.XLOOKUP(frasest[[#This Row],[autor_es]],autorest[autor_es],autorest[nacion_es])</f>
        <v>Reino Unido</v>
      </c>
      <c r="M1440" t="str">
        <f>_xlfn.XLOOKUP(frasest[[#This Row],[autor_es]],autorest[autor_es],autorest[nacion_la])</f>
        <v>Regnum Unitum</v>
      </c>
      <c r="N1440" t="str">
        <f>_xlfn.XLOOKUP(frasest[[#This Row],[autor_es]],autorest[autor_es],autorest[epoca_es])</f>
        <v>Edad Media</v>
      </c>
      <c r="O1440" t="str">
        <f>_xlfn.XLOOKUP(frasest[[#This Row],[autor_es]],autorest[autor_es],autorest[epoca_la])</f>
        <v>Medium Aevum</v>
      </c>
    </row>
    <row r="1441" spans="1:15">
      <c r="A1441">
        <v>1440</v>
      </c>
      <c r="B1441" t="s">
        <v>4006</v>
      </c>
      <c r="C1441" t="s">
        <v>4007</v>
      </c>
      <c r="D1441" t="s">
        <v>4008</v>
      </c>
      <c r="E1441" t="s">
        <v>4005</v>
      </c>
      <c r="F1441" t="str">
        <f>_xlfn.XLOOKUP(frasest[[#This Row],[autor_es]],autorest[autor_es],autorest[autor_la])</f>
        <v>Ioannes Duns Scotus</v>
      </c>
      <c r="G1441"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1"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1" t="str">
        <f>_xlfn.XLOOKUP(frasest[[#This Row],[autor_es]],autorest[autor_es],autorest[codigo])</f>
        <v>la</v>
      </c>
      <c r="J1441" t="str">
        <f>_xlfn.XLOOKUP(frasest[[#This Row],[autor_es]],autorest[autor_es],autorest[idioma_es])</f>
        <v>Latín</v>
      </c>
      <c r="K1441" s="6" t="str">
        <f>_xlfn.XLOOKUP(frasest[[#This Row],[autor_es]],autorest[autor_es],autorest[idioma_la])</f>
        <v>Lingua Latina</v>
      </c>
      <c r="L1441" s="6" t="str">
        <f>_xlfn.XLOOKUP(frasest[[#This Row],[autor_es]],autorest[autor_es],autorest[nacion_es])</f>
        <v>Reino Unido</v>
      </c>
      <c r="M1441" t="str">
        <f>_xlfn.XLOOKUP(frasest[[#This Row],[autor_es]],autorest[autor_es],autorest[nacion_la])</f>
        <v>Regnum Unitum</v>
      </c>
      <c r="N1441" t="str">
        <f>_xlfn.XLOOKUP(frasest[[#This Row],[autor_es]],autorest[autor_es],autorest[epoca_es])</f>
        <v>Edad Media</v>
      </c>
      <c r="O1441" t="str">
        <f>_xlfn.XLOOKUP(frasest[[#This Row],[autor_es]],autorest[autor_es],autorest[epoca_la])</f>
        <v>Medium Aevum</v>
      </c>
    </row>
    <row r="1442" spans="1:15">
      <c r="A1442">
        <v>1441</v>
      </c>
      <c r="B1442" t="s">
        <v>4009</v>
      </c>
      <c r="C1442" t="s">
        <v>4010</v>
      </c>
      <c r="D1442" t="s">
        <v>4011</v>
      </c>
      <c r="E1442" t="s">
        <v>4005</v>
      </c>
      <c r="F1442" t="str">
        <f>_xlfn.XLOOKUP(frasest[[#This Row],[autor_es]],autorest[autor_es],autorest[autor_la])</f>
        <v>Ioannes Duns Scotus</v>
      </c>
      <c r="G1442"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2"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2" t="str">
        <f>_xlfn.XLOOKUP(frasest[[#This Row],[autor_es]],autorest[autor_es],autorest[codigo])</f>
        <v>la</v>
      </c>
      <c r="J1442" t="str">
        <f>_xlfn.XLOOKUP(frasest[[#This Row],[autor_es]],autorest[autor_es],autorest[idioma_es])</f>
        <v>Latín</v>
      </c>
      <c r="K1442" s="6" t="str">
        <f>_xlfn.XLOOKUP(frasest[[#This Row],[autor_es]],autorest[autor_es],autorest[idioma_la])</f>
        <v>Lingua Latina</v>
      </c>
      <c r="L1442" s="6" t="str">
        <f>_xlfn.XLOOKUP(frasest[[#This Row],[autor_es]],autorest[autor_es],autorest[nacion_es])</f>
        <v>Reino Unido</v>
      </c>
      <c r="M1442" t="str">
        <f>_xlfn.XLOOKUP(frasest[[#This Row],[autor_es]],autorest[autor_es],autorest[nacion_la])</f>
        <v>Regnum Unitum</v>
      </c>
      <c r="N1442" t="str">
        <f>_xlfn.XLOOKUP(frasest[[#This Row],[autor_es]],autorest[autor_es],autorest[epoca_es])</f>
        <v>Edad Media</v>
      </c>
      <c r="O1442" t="str">
        <f>_xlfn.XLOOKUP(frasest[[#This Row],[autor_es]],autorest[autor_es],autorest[epoca_la])</f>
        <v>Medium Aevum</v>
      </c>
    </row>
    <row r="1443" spans="1:15">
      <c r="A1443">
        <v>1442</v>
      </c>
      <c r="B1443" t="s">
        <v>4012</v>
      </c>
      <c r="C1443" t="s">
        <v>4013</v>
      </c>
      <c r="D1443" t="s">
        <v>4014</v>
      </c>
      <c r="E1443" t="s">
        <v>4005</v>
      </c>
      <c r="F1443" t="str">
        <f>_xlfn.XLOOKUP(frasest[[#This Row],[autor_es]],autorest[autor_es],autorest[autor_la])</f>
        <v>Ioannes Duns Scotus</v>
      </c>
      <c r="G1443"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3"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3" t="str">
        <f>_xlfn.XLOOKUP(frasest[[#This Row],[autor_es]],autorest[autor_es],autorest[codigo])</f>
        <v>la</v>
      </c>
      <c r="J1443" t="str">
        <f>_xlfn.XLOOKUP(frasest[[#This Row],[autor_es]],autorest[autor_es],autorest[idioma_es])</f>
        <v>Latín</v>
      </c>
      <c r="K1443" s="6" t="str">
        <f>_xlfn.XLOOKUP(frasest[[#This Row],[autor_es]],autorest[autor_es],autorest[idioma_la])</f>
        <v>Lingua Latina</v>
      </c>
      <c r="L1443" s="6" t="str">
        <f>_xlfn.XLOOKUP(frasest[[#This Row],[autor_es]],autorest[autor_es],autorest[nacion_es])</f>
        <v>Reino Unido</v>
      </c>
      <c r="M1443" t="str">
        <f>_xlfn.XLOOKUP(frasest[[#This Row],[autor_es]],autorest[autor_es],autorest[nacion_la])</f>
        <v>Regnum Unitum</v>
      </c>
      <c r="N1443" t="str">
        <f>_xlfn.XLOOKUP(frasest[[#This Row],[autor_es]],autorest[autor_es],autorest[epoca_es])</f>
        <v>Edad Media</v>
      </c>
      <c r="O1443" t="str">
        <f>_xlfn.XLOOKUP(frasest[[#This Row],[autor_es]],autorest[autor_es],autorest[epoca_la])</f>
        <v>Medium Aevum</v>
      </c>
    </row>
    <row r="1444" spans="1:15">
      <c r="A1444">
        <v>1443</v>
      </c>
      <c r="B1444" t="s">
        <v>4015</v>
      </c>
      <c r="C1444" t="s">
        <v>4016</v>
      </c>
      <c r="D1444" t="s">
        <v>4017</v>
      </c>
      <c r="E1444" t="s">
        <v>4005</v>
      </c>
      <c r="F1444" t="str">
        <f>_xlfn.XLOOKUP(frasest[[#This Row],[autor_es]],autorest[autor_es],autorest[autor_la])</f>
        <v>Ioannes Duns Scotus</v>
      </c>
      <c r="G1444"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4"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4" t="str">
        <f>_xlfn.XLOOKUP(frasest[[#This Row],[autor_es]],autorest[autor_es],autorest[codigo])</f>
        <v>la</v>
      </c>
      <c r="J1444" t="str">
        <f>_xlfn.XLOOKUP(frasest[[#This Row],[autor_es]],autorest[autor_es],autorest[idioma_es])</f>
        <v>Latín</v>
      </c>
      <c r="K1444" s="6" t="str">
        <f>_xlfn.XLOOKUP(frasest[[#This Row],[autor_es]],autorest[autor_es],autorest[idioma_la])</f>
        <v>Lingua Latina</v>
      </c>
      <c r="L1444" s="6" t="str">
        <f>_xlfn.XLOOKUP(frasest[[#This Row],[autor_es]],autorest[autor_es],autorest[nacion_es])</f>
        <v>Reino Unido</v>
      </c>
      <c r="M1444" t="str">
        <f>_xlfn.XLOOKUP(frasest[[#This Row],[autor_es]],autorest[autor_es],autorest[nacion_la])</f>
        <v>Regnum Unitum</v>
      </c>
      <c r="N1444" t="str">
        <f>_xlfn.XLOOKUP(frasest[[#This Row],[autor_es]],autorest[autor_es],autorest[epoca_es])</f>
        <v>Edad Media</v>
      </c>
      <c r="O1444" t="str">
        <f>_xlfn.XLOOKUP(frasest[[#This Row],[autor_es]],autorest[autor_es],autorest[epoca_la])</f>
        <v>Medium Aevum</v>
      </c>
    </row>
    <row r="1445" spans="1:15">
      <c r="A1445">
        <v>1444</v>
      </c>
      <c r="B1445" t="s">
        <v>4018</v>
      </c>
      <c r="C1445" t="s">
        <v>4019</v>
      </c>
      <c r="D1445" t="s">
        <v>4020</v>
      </c>
      <c r="E1445" t="s">
        <v>4005</v>
      </c>
      <c r="F1445" t="str">
        <f>_xlfn.XLOOKUP(frasest[[#This Row],[autor_es]],autorest[autor_es],autorest[autor_la])</f>
        <v>Ioannes Duns Scotus</v>
      </c>
      <c r="G1445"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5"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5" t="str">
        <f>_xlfn.XLOOKUP(frasest[[#This Row],[autor_es]],autorest[autor_es],autorest[codigo])</f>
        <v>la</v>
      </c>
      <c r="J1445" t="str">
        <f>_xlfn.XLOOKUP(frasest[[#This Row],[autor_es]],autorest[autor_es],autorest[idioma_es])</f>
        <v>Latín</v>
      </c>
      <c r="K1445" s="6" t="str">
        <f>_xlfn.XLOOKUP(frasest[[#This Row],[autor_es]],autorest[autor_es],autorest[idioma_la])</f>
        <v>Lingua Latina</v>
      </c>
      <c r="L1445" s="6" t="str">
        <f>_xlfn.XLOOKUP(frasest[[#This Row],[autor_es]],autorest[autor_es],autorest[nacion_es])</f>
        <v>Reino Unido</v>
      </c>
      <c r="M1445" t="str">
        <f>_xlfn.XLOOKUP(frasest[[#This Row],[autor_es]],autorest[autor_es],autorest[nacion_la])</f>
        <v>Regnum Unitum</v>
      </c>
      <c r="N1445" t="str">
        <f>_xlfn.XLOOKUP(frasest[[#This Row],[autor_es]],autorest[autor_es],autorest[epoca_es])</f>
        <v>Edad Media</v>
      </c>
      <c r="O1445" t="str">
        <f>_xlfn.XLOOKUP(frasest[[#This Row],[autor_es]],autorest[autor_es],autorest[epoca_la])</f>
        <v>Medium Aevum</v>
      </c>
    </row>
    <row r="1446" spans="1:15">
      <c r="A1446">
        <v>1445</v>
      </c>
      <c r="B1446" t="s">
        <v>4021</v>
      </c>
      <c r="C1446" t="s">
        <v>4022</v>
      </c>
      <c r="D1446" t="s">
        <v>4023</v>
      </c>
      <c r="E1446" t="s">
        <v>4005</v>
      </c>
      <c r="F1446" t="str">
        <f>_xlfn.XLOOKUP(frasest[[#This Row],[autor_es]],autorest[autor_es],autorest[autor_la])</f>
        <v>Ioannes Duns Scotus</v>
      </c>
      <c r="G1446"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6"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6" t="str">
        <f>_xlfn.XLOOKUP(frasest[[#This Row],[autor_es]],autorest[autor_es],autorest[codigo])</f>
        <v>la</v>
      </c>
      <c r="J1446" t="str">
        <f>_xlfn.XLOOKUP(frasest[[#This Row],[autor_es]],autorest[autor_es],autorest[idioma_es])</f>
        <v>Latín</v>
      </c>
      <c r="K1446" s="6" t="str">
        <f>_xlfn.XLOOKUP(frasest[[#This Row],[autor_es]],autorest[autor_es],autorest[idioma_la])</f>
        <v>Lingua Latina</v>
      </c>
      <c r="L1446" s="6" t="str">
        <f>_xlfn.XLOOKUP(frasest[[#This Row],[autor_es]],autorest[autor_es],autorest[nacion_es])</f>
        <v>Reino Unido</v>
      </c>
      <c r="M1446" t="str">
        <f>_xlfn.XLOOKUP(frasest[[#This Row],[autor_es]],autorest[autor_es],autorest[nacion_la])</f>
        <v>Regnum Unitum</v>
      </c>
      <c r="N1446" t="str">
        <f>_xlfn.XLOOKUP(frasest[[#This Row],[autor_es]],autorest[autor_es],autorest[epoca_es])</f>
        <v>Edad Media</v>
      </c>
      <c r="O1446" t="str">
        <f>_xlfn.XLOOKUP(frasest[[#This Row],[autor_es]],autorest[autor_es],autorest[epoca_la])</f>
        <v>Medium Aevum</v>
      </c>
    </row>
    <row r="1447" spans="1:15">
      <c r="A1447">
        <v>1446</v>
      </c>
      <c r="B1447" t="s">
        <v>4024</v>
      </c>
      <c r="C1447" t="s">
        <v>4025</v>
      </c>
      <c r="D1447" t="s">
        <v>4026</v>
      </c>
      <c r="E1447" t="s">
        <v>4005</v>
      </c>
      <c r="F1447" t="str">
        <f>_xlfn.XLOOKUP(frasest[[#This Row],[autor_es]],autorest[autor_es],autorest[autor_la])</f>
        <v>Ioannes Duns Scotus</v>
      </c>
      <c r="G1447"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7"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7" t="str">
        <f>_xlfn.XLOOKUP(frasest[[#This Row],[autor_es]],autorest[autor_es],autorest[codigo])</f>
        <v>la</v>
      </c>
      <c r="J1447" t="str">
        <f>_xlfn.XLOOKUP(frasest[[#This Row],[autor_es]],autorest[autor_es],autorest[idioma_es])</f>
        <v>Latín</v>
      </c>
      <c r="K1447" s="6" t="str">
        <f>_xlfn.XLOOKUP(frasest[[#This Row],[autor_es]],autorest[autor_es],autorest[idioma_la])</f>
        <v>Lingua Latina</v>
      </c>
      <c r="L1447" s="6" t="str">
        <f>_xlfn.XLOOKUP(frasest[[#This Row],[autor_es]],autorest[autor_es],autorest[nacion_es])</f>
        <v>Reino Unido</v>
      </c>
      <c r="M1447" t="str">
        <f>_xlfn.XLOOKUP(frasest[[#This Row],[autor_es]],autorest[autor_es],autorest[nacion_la])</f>
        <v>Regnum Unitum</v>
      </c>
      <c r="N1447" t="str">
        <f>_xlfn.XLOOKUP(frasest[[#This Row],[autor_es]],autorest[autor_es],autorest[epoca_es])</f>
        <v>Edad Media</v>
      </c>
      <c r="O1447" t="str">
        <f>_xlfn.XLOOKUP(frasest[[#This Row],[autor_es]],autorest[autor_es],autorest[epoca_la])</f>
        <v>Medium Aevum</v>
      </c>
    </row>
    <row r="1448" spans="1:15">
      <c r="A1448">
        <v>1447</v>
      </c>
      <c r="B1448" t="s">
        <v>4027</v>
      </c>
      <c r="C1448" t="s">
        <v>4028</v>
      </c>
      <c r="D1448" t="s">
        <v>4029</v>
      </c>
      <c r="E1448" t="s">
        <v>4005</v>
      </c>
      <c r="F1448" t="str">
        <f>_xlfn.XLOOKUP(frasest[[#This Row],[autor_es]],autorest[autor_es],autorest[autor_la])</f>
        <v>Ioannes Duns Scotus</v>
      </c>
      <c r="G1448"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8"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8" t="str">
        <f>_xlfn.XLOOKUP(frasest[[#This Row],[autor_es]],autorest[autor_es],autorest[codigo])</f>
        <v>la</v>
      </c>
      <c r="J1448" t="str">
        <f>_xlfn.XLOOKUP(frasest[[#This Row],[autor_es]],autorest[autor_es],autorest[idioma_es])</f>
        <v>Latín</v>
      </c>
      <c r="K1448" s="6" t="str">
        <f>_xlfn.XLOOKUP(frasest[[#This Row],[autor_es]],autorest[autor_es],autorest[idioma_la])</f>
        <v>Lingua Latina</v>
      </c>
      <c r="L1448" s="6" t="str">
        <f>_xlfn.XLOOKUP(frasest[[#This Row],[autor_es]],autorest[autor_es],autorest[nacion_es])</f>
        <v>Reino Unido</v>
      </c>
      <c r="M1448" t="str">
        <f>_xlfn.XLOOKUP(frasest[[#This Row],[autor_es]],autorest[autor_es],autorest[nacion_la])</f>
        <v>Regnum Unitum</v>
      </c>
      <c r="N1448" t="str">
        <f>_xlfn.XLOOKUP(frasest[[#This Row],[autor_es]],autorest[autor_es],autorest[epoca_es])</f>
        <v>Edad Media</v>
      </c>
      <c r="O1448" t="str">
        <f>_xlfn.XLOOKUP(frasest[[#This Row],[autor_es]],autorest[autor_es],autorest[epoca_la])</f>
        <v>Medium Aevum</v>
      </c>
    </row>
    <row r="1449" spans="1:15">
      <c r="A1449">
        <v>1448</v>
      </c>
      <c r="B1449" t="s">
        <v>4030</v>
      </c>
      <c r="C1449" t="s">
        <v>4031</v>
      </c>
      <c r="D1449" t="s">
        <v>4032</v>
      </c>
      <c r="E1449" t="s">
        <v>4005</v>
      </c>
      <c r="F1449" t="str">
        <f>_xlfn.XLOOKUP(frasest[[#This Row],[autor_es]],autorest[autor_es],autorest[autor_la])</f>
        <v>Ioannes Duns Scotus</v>
      </c>
      <c r="G1449"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9"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9" t="str">
        <f>_xlfn.XLOOKUP(frasest[[#This Row],[autor_es]],autorest[autor_es],autorest[codigo])</f>
        <v>la</v>
      </c>
      <c r="J1449" t="str">
        <f>_xlfn.XLOOKUP(frasest[[#This Row],[autor_es]],autorest[autor_es],autorest[idioma_es])</f>
        <v>Latín</v>
      </c>
      <c r="K1449" s="6" t="str">
        <f>_xlfn.XLOOKUP(frasest[[#This Row],[autor_es]],autorest[autor_es],autorest[idioma_la])</f>
        <v>Lingua Latina</v>
      </c>
      <c r="L1449" s="6" t="str">
        <f>_xlfn.XLOOKUP(frasest[[#This Row],[autor_es]],autorest[autor_es],autorest[nacion_es])</f>
        <v>Reino Unido</v>
      </c>
      <c r="M1449" t="str">
        <f>_xlfn.XLOOKUP(frasest[[#This Row],[autor_es]],autorest[autor_es],autorest[nacion_la])</f>
        <v>Regnum Unitum</v>
      </c>
      <c r="N1449" t="str">
        <f>_xlfn.XLOOKUP(frasest[[#This Row],[autor_es]],autorest[autor_es],autorest[epoca_es])</f>
        <v>Edad Media</v>
      </c>
      <c r="O1449" t="str">
        <f>_xlfn.XLOOKUP(frasest[[#This Row],[autor_es]],autorest[autor_es],autorest[epoca_la])</f>
        <v>Medium Aevum</v>
      </c>
    </row>
    <row r="1450" spans="1:15">
      <c r="A1450">
        <v>1449</v>
      </c>
      <c r="B1450" t="s">
        <v>4033</v>
      </c>
      <c r="C1450" t="s">
        <v>4034</v>
      </c>
      <c r="D1450" t="s">
        <v>4035</v>
      </c>
      <c r="E1450" t="s">
        <v>4005</v>
      </c>
      <c r="F1450" t="str">
        <f>_xlfn.XLOOKUP(frasest[[#This Row],[autor_es]],autorest[autor_es],autorest[autor_la])</f>
        <v>Ioannes Duns Scotus</v>
      </c>
      <c r="G1450"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0"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0" t="str">
        <f>_xlfn.XLOOKUP(frasest[[#This Row],[autor_es]],autorest[autor_es],autorest[codigo])</f>
        <v>la</v>
      </c>
      <c r="J1450" t="str">
        <f>_xlfn.XLOOKUP(frasest[[#This Row],[autor_es]],autorest[autor_es],autorest[idioma_es])</f>
        <v>Latín</v>
      </c>
      <c r="K1450" s="6" t="str">
        <f>_xlfn.XLOOKUP(frasest[[#This Row],[autor_es]],autorest[autor_es],autorest[idioma_la])</f>
        <v>Lingua Latina</v>
      </c>
      <c r="L1450" s="6" t="str">
        <f>_xlfn.XLOOKUP(frasest[[#This Row],[autor_es]],autorest[autor_es],autorest[nacion_es])</f>
        <v>Reino Unido</v>
      </c>
      <c r="M1450" t="str">
        <f>_xlfn.XLOOKUP(frasest[[#This Row],[autor_es]],autorest[autor_es],autorest[nacion_la])</f>
        <v>Regnum Unitum</v>
      </c>
      <c r="N1450" t="str">
        <f>_xlfn.XLOOKUP(frasest[[#This Row],[autor_es]],autorest[autor_es],autorest[epoca_es])</f>
        <v>Edad Media</v>
      </c>
      <c r="O1450" t="str">
        <f>_xlfn.XLOOKUP(frasest[[#This Row],[autor_es]],autorest[autor_es],autorest[epoca_la])</f>
        <v>Medium Aevum</v>
      </c>
    </row>
    <row r="1451" spans="1:15">
      <c r="A1451">
        <v>1450</v>
      </c>
      <c r="B1451" t="s">
        <v>4036</v>
      </c>
      <c r="C1451" t="s">
        <v>4037</v>
      </c>
      <c r="D1451" t="s">
        <v>4038</v>
      </c>
      <c r="E1451" t="s">
        <v>4005</v>
      </c>
      <c r="F1451" t="str">
        <f>_xlfn.XLOOKUP(frasest[[#This Row],[autor_es]],autorest[autor_es],autorest[autor_la])</f>
        <v>Ioannes Duns Scotus</v>
      </c>
      <c r="G1451"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1"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1" t="str">
        <f>_xlfn.XLOOKUP(frasest[[#This Row],[autor_es]],autorest[autor_es],autorest[codigo])</f>
        <v>la</v>
      </c>
      <c r="J1451" t="str">
        <f>_xlfn.XLOOKUP(frasest[[#This Row],[autor_es]],autorest[autor_es],autorest[idioma_es])</f>
        <v>Latín</v>
      </c>
      <c r="K1451" s="6" t="str">
        <f>_xlfn.XLOOKUP(frasest[[#This Row],[autor_es]],autorest[autor_es],autorest[idioma_la])</f>
        <v>Lingua Latina</v>
      </c>
      <c r="L1451" s="6" t="str">
        <f>_xlfn.XLOOKUP(frasest[[#This Row],[autor_es]],autorest[autor_es],autorest[nacion_es])</f>
        <v>Reino Unido</v>
      </c>
      <c r="M1451" t="str">
        <f>_xlfn.XLOOKUP(frasest[[#This Row],[autor_es]],autorest[autor_es],autorest[nacion_la])</f>
        <v>Regnum Unitum</v>
      </c>
      <c r="N1451" t="str">
        <f>_xlfn.XLOOKUP(frasest[[#This Row],[autor_es]],autorest[autor_es],autorest[epoca_es])</f>
        <v>Edad Media</v>
      </c>
      <c r="O1451" t="str">
        <f>_xlfn.XLOOKUP(frasest[[#This Row],[autor_es]],autorest[autor_es],autorest[epoca_la])</f>
        <v>Medium Aevum</v>
      </c>
    </row>
    <row r="1452" spans="1:15">
      <c r="A1452">
        <v>1451</v>
      </c>
      <c r="B1452" t="s">
        <v>4039</v>
      </c>
      <c r="C1452" t="s">
        <v>4040</v>
      </c>
      <c r="D1452" t="s">
        <v>4041</v>
      </c>
      <c r="E1452" t="s">
        <v>4005</v>
      </c>
      <c r="F1452" t="str">
        <f>_xlfn.XLOOKUP(frasest[[#This Row],[autor_es]],autorest[autor_es],autorest[autor_la])</f>
        <v>Ioannes Duns Scotus</v>
      </c>
      <c r="G1452"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2"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2" t="str">
        <f>_xlfn.XLOOKUP(frasest[[#This Row],[autor_es]],autorest[autor_es],autorest[codigo])</f>
        <v>la</v>
      </c>
      <c r="J1452" t="str">
        <f>_xlfn.XLOOKUP(frasest[[#This Row],[autor_es]],autorest[autor_es],autorest[idioma_es])</f>
        <v>Latín</v>
      </c>
      <c r="K1452" s="6" t="str">
        <f>_xlfn.XLOOKUP(frasest[[#This Row],[autor_es]],autorest[autor_es],autorest[idioma_la])</f>
        <v>Lingua Latina</v>
      </c>
      <c r="L1452" s="6" t="str">
        <f>_xlfn.XLOOKUP(frasest[[#This Row],[autor_es]],autorest[autor_es],autorest[nacion_es])</f>
        <v>Reino Unido</v>
      </c>
      <c r="M1452" t="str">
        <f>_xlfn.XLOOKUP(frasest[[#This Row],[autor_es]],autorest[autor_es],autorest[nacion_la])</f>
        <v>Regnum Unitum</v>
      </c>
      <c r="N1452" t="str">
        <f>_xlfn.XLOOKUP(frasest[[#This Row],[autor_es]],autorest[autor_es],autorest[epoca_es])</f>
        <v>Edad Media</v>
      </c>
      <c r="O1452" t="str">
        <f>_xlfn.XLOOKUP(frasest[[#This Row],[autor_es]],autorest[autor_es],autorest[epoca_la])</f>
        <v>Medium Aevum</v>
      </c>
    </row>
    <row r="1453" spans="1:15">
      <c r="A1453">
        <v>1452</v>
      </c>
      <c r="B1453" t="s">
        <v>4042</v>
      </c>
      <c r="C1453" t="s">
        <v>4043</v>
      </c>
      <c r="D1453" t="s">
        <v>4044</v>
      </c>
      <c r="E1453" t="s">
        <v>4045</v>
      </c>
      <c r="F1453" t="str">
        <f>_xlfn.XLOOKUP(frasest[[#This Row],[autor_es]],autorest[autor_es],autorest[autor_la])</f>
        <v>Hildegardis Bingensis</v>
      </c>
      <c r="G1453"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3"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3" t="str">
        <f>_xlfn.XLOOKUP(frasest[[#This Row],[autor_es]],autorest[autor_es],autorest[codigo])</f>
        <v>la</v>
      </c>
      <c r="J1453" t="str">
        <f>_xlfn.XLOOKUP(frasest[[#This Row],[autor_es]],autorest[autor_es],autorest[idioma_es])</f>
        <v>Latín</v>
      </c>
      <c r="K1453" s="6" t="str">
        <f>_xlfn.XLOOKUP(frasest[[#This Row],[autor_es]],autorest[autor_es],autorest[idioma_la])</f>
        <v>Lingua Latina</v>
      </c>
      <c r="L1453" s="6" t="str">
        <f>_xlfn.XLOOKUP(frasest[[#This Row],[autor_es]],autorest[autor_es],autorest[nacion_es])</f>
        <v>Alemania</v>
      </c>
      <c r="M1453" t="str">
        <f>_xlfn.XLOOKUP(frasest[[#This Row],[autor_es]],autorest[autor_es],autorest[nacion_la])</f>
        <v>Germania</v>
      </c>
      <c r="N1453" t="str">
        <f>_xlfn.XLOOKUP(frasest[[#This Row],[autor_es]],autorest[autor_es],autorest[epoca_es])</f>
        <v>Edad Media</v>
      </c>
      <c r="O1453" t="str">
        <f>_xlfn.XLOOKUP(frasest[[#This Row],[autor_es]],autorest[autor_es],autorest[epoca_la])</f>
        <v>Medium Aevum</v>
      </c>
    </row>
    <row r="1454" spans="1:15">
      <c r="A1454">
        <v>1453</v>
      </c>
      <c r="B1454" t="s">
        <v>4046</v>
      </c>
      <c r="C1454" t="s">
        <v>4047</v>
      </c>
      <c r="D1454" t="s">
        <v>4048</v>
      </c>
      <c r="E1454" t="s">
        <v>4045</v>
      </c>
      <c r="F1454" t="str">
        <f>_xlfn.XLOOKUP(frasest[[#This Row],[autor_es]],autorest[autor_es],autorest[autor_la])</f>
        <v>Hildegardis Bingensis</v>
      </c>
      <c r="G1454"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4"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4" t="str">
        <f>_xlfn.XLOOKUP(frasest[[#This Row],[autor_es]],autorest[autor_es],autorest[codigo])</f>
        <v>la</v>
      </c>
      <c r="J1454" t="str">
        <f>_xlfn.XLOOKUP(frasest[[#This Row],[autor_es]],autorest[autor_es],autorest[idioma_es])</f>
        <v>Latín</v>
      </c>
      <c r="K1454" s="6" t="str">
        <f>_xlfn.XLOOKUP(frasest[[#This Row],[autor_es]],autorest[autor_es],autorest[idioma_la])</f>
        <v>Lingua Latina</v>
      </c>
      <c r="L1454" s="6" t="str">
        <f>_xlfn.XLOOKUP(frasest[[#This Row],[autor_es]],autorest[autor_es],autorest[nacion_es])</f>
        <v>Alemania</v>
      </c>
      <c r="M1454" t="str">
        <f>_xlfn.XLOOKUP(frasest[[#This Row],[autor_es]],autorest[autor_es],autorest[nacion_la])</f>
        <v>Germania</v>
      </c>
      <c r="N1454" t="str">
        <f>_xlfn.XLOOKUP(frasest[[#This Row],[autor_es]],autorest[autor_es],autorest[epoca_es])</f>
        <v>Edad Media</v>
      </c>
      <c r="O1454" t="str">
        <f>_xlfn.XLOOKUP(frasest[[#This Row],[autor_es]],autorest[autor_es],autorest[epoca_la])</f>
        <v>Medium Aevum</v>
      </c>
    </row>
    <row r="1455" spans="1:15">
      <c r="A1455">
        <v>1454</v>
      </c>
      <c r="B1455" t="s">
        <v>4049</v>
      </c>
      <c r="C1455" t="s">
        <v>4050</v>
      </c>
      <c r="D1455" t="s">
        <v>4051</v>
      </c>
      <c r="E1455" t="s">
        <v>4045</v>
      </c>
      <c r="F1455" t="str">
        <f>_xlfn.XLOOKUP(frasest[[#This Row],[autor_es]],autorest[autor_es],autorest[autor_la])</f>
        <v>Hildegardis Bingensis</v>
      </c>
      <c r="G1455"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5"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5" t="str">
        <f>_xlfn.XLOOKUP(frasest[[#This Row],[autor_es]],autorest[autor_es],autorest[codigo])</f>
        <v>la</v>
      </c>
      <c r="J1455" t="str">
        <f>_xlfn.XLOOKUP(frasest[[#This Row],[autor_es]],autorest[autor_es],autorest[idioma_es])</f>
        <v>Latín</v>
      </c>
      <c r="K1455" s="6" t="str">
        <f>_xlfn.XLOOKUP(frasest[[#This Row],[autor_es]],autorest[autor_es],autorest[idioma_la])</f>
        <v>Lingua Latina</v>
      </c>
      <c r="L1455" s="6" t="str">
        <f>_xlfn.XLOOKUP(frasest[[#This Row],[autor_es]],autorest[autor_es],autorest[nacion_es])</f>
        <v>Alemania</v>
      </c>
      <c r="M1455" t="str">
        <f>_xlfn.XLOOKUP(frasest[[#This Row],[autor_es]],autorest[autor_es],autorest[nacion_la])</f>
        <v>Germania</v>
      </c>
      <c r="N1455" t="str">
        <f>_xlfn.XLOOKUP(frasest[[#This Row],[autor_es]],autorest[autor_es],autorest[epoca_es])</f>
        <v>Edad Media</v>
      </c>
      <c r="O1455" t="str">
        <f>_xlfn.XLOOKUP(frasest[[#This Row],[autor_es]],autorest[autor_es],autorest[epoca_la])</f>
        <v>Medium Aevum</v>
      </c>
    </row>
    <row r="1456" spans="1:15">
      <c r="A1456">
        <v>1455</v>
      </c>
      <c r="B1456" t="s">
        <v>4052</v>
      </c>
      <c r="C1456" t="s">
        <v>4053</v>
      </c>
      <c r="D1456" t="s">
        <v>4054</v>
      </c>
      <c r="E1456" t="s">
        <v>4045</v>
      </c>
      <c r="F1456" t="str">
        <f>_xlfn.XLOOKUP(frasest[[#This Row],[autor_es]],autorest[autor_es],autorest[autor_la])</f>
        <v>Hildegardis Bingensis</v>
      </c>
      <c r="G1456"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6"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6" t="str">
        <f>_xlfn.XLOOKUP(frasest[[#This Row],[autor_es]],autorest[autor_es],autorest[codigo])</f>
        <v>la</v>
      </c>
      <c r="J1456" t="str">
        <f>_xlfn.XLOOKUP(frasest[[#This Row],[autor_es]],autorest[autor_es],autorest[idioma_es])</f>
        <v>Latín</v>
      </c>
      <c r="K1456" s="6" t="str">
        <f>_xlfn.XLOOKUP(frasest[[#This Row],[autor_es]],autorest[autor_es],autorest[idioma_la])</f>
        <v>Lingua Latina</v>
      </c>
      <c r="L1456" s="6" t="str">
        <f>_xlfn.XLOOKUP(frasest[[#This Row],[autor_es]],autorest[autor_es],autorest[nacion_es])</f>
        <v>Alemania</v>
      </c>
      <c r="M1456" t="str">
        <f>_xlfn.XLOOKUP(frasest[[#This Row],[autor_es]],autorest[autor_es],autorest[nacion_la])</f>
        <v>Germania</v>
      </c>
      <c r="N1456" t="str">
        <f>_xlfn.XLOOKUP(frasest[[#This Row],[autor_es]],autorest[autor_es],autorest[epoca_es])</f>
        <v>Edad Media</v>
      </c>
      <c r="O1456" t="str">
        <f>_xlfn.XLOOKUP(frasest[[#This Row],[autor_es]],autorest[autor_es],autorest[epoca_la])</f>
        <v>Medium Aevum</v>
      </c>
    </row>
    <row r="1457" spans="1:15">
      <c r="A1457">
        <v>1456</v>
      </c>
      <c r="B1457" t="s">
        <v>4055</v>
      </c>
      <c r="C1457" t="s">
        <v>4056</v>
      </c>
      <c r="D1457" t="s">
        <v>4057</v>
      </c>
      <c r="E1457" t="s">
        <v>4045</v>
      </c>
      <c r="F1457" t="str">
        <f>_xlfn.XLOOKUP(frasest[[#This Row],[autor_es]],autorest[autor_es],autorest[autor_la])</f>
        <v>Hildegardis Bingensis</v>
      </c>
      <c r="G1457"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7"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7" t="str">
        <f>_xlfn.XLOOKUP(frasest[[#This Row],[autor_es]],autorest[autor_es],autorest[codigo])</f>
        <v>la</v>
      </c>
      <c r="J1457" t="str">
        <f>_xlfn.XLOOKUP(frasest[[#This Row],[autor_es]],autorest[autor_es],autorest[idioma_es])</f>
        <v>Latín</v>
      </c>
      <c r="K1457" s="6" t="str">
        <f>_xlfn.XLOOKUP(frasest[[#This Row],[autor_es]],autorest[autor_es],autorest[idioma_la])</f>
        <v>Lingua Latina</v>
      </c>
      <c r="L1457" s="6" t="str">
        <f>_xlfn.XLOOKUP(frasest[[#This Row],[autor_es]],autorest[autor_es],autorest[nacion_es])</f>
        <v>Alemania</v>
      </c>
      <c r="M1457" t="str">
        <f>_xlfn.XLOOKUP(frasest[[#This Row],[autor_es]],autorest[autor_es],autorest[nacion_la])</f>
        <v>Germania</v>
      </c>
      <c r="N1457" t="str">
        <f>_xlfn.XLOOKUP(frasest[[#This Row],[autor_es]],autorest[autor_es],autorest[epoca_es])</f>
        <v>Edad Media</v>
      </c>
      <c r="O1457" t="str">
        <f>_xlfn.XLOOKUP(frasest[[#This Row],[autor_es]],autorest[autor_es],autorest[epoca_la])</f>
        <v>Medium Aevum</v>
      </c>
    </row>
    <row r="1458" spans="1:15">
      <c r="A1458">
        <v>1457</v>
      </c>
      <c r="B1458" t="s">
        <v>4058</v>
      </c>
      <c r="C1458" t="s">
        <v>4059</v>
      </c>
      <c r="D1458" t="s">
        <v>4060</v>
      </c>
      <c r="E1458" t="s">
        <v>4045</v>
      </c>
      <c r="F1458" t="str">
        <f>_xlfn.XLOOKUP(frasest[[#This Row],[autor_es]],autorest[autor_es],autorest[autor_la])</f>
        <v>Hildegardis Bingensis</v>
      </c>
      <c r="G1458"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8"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8" t="str">
        <f>_xlfn.XLOOKUP(frasest[[#This Row],[autor_es]],autorest[autor_es],autorest[codigo])</f>
        <v>la</v>
      </c>
      <c r="J1458" t="str">
        <f>_xlfn.XLOOKUP(frasest[[#This Row],[autor_es]],autorest[autor_es],autorest[idioma_es])</f>
        <v>Latín</v>
      </c>
      <c r="K1458" s="6" t="str">
        <f>_xlfn.XLOOKUP(frasest[[#This Row],[autor_es]],autorest[autor_es],autorest[idioma_la])</f>
        <v>Lingua Latina</v>
      </c>
      <c r="L1458" s="6" t="str">
        <f>_xlfn.XLOOKUP(frasest[[#This Row],[autor_es]],autorest[autor_es],autorest[nacion_es])</f>
        <v>Alemania</v>
      </c>
      <c r="M1458" t="str">
        <f>_xlfn.XLOOKUP(frasest[[#This Row],[autor_es]],autorest[autor_es],autorest[nacion_la])</f>
        <v>Germania</v>
      </c>
      <c r="N1458" t="str">
        <f>_xlfn.XLOOKUP(frasest[[#This Row],[autor_es]],autorest[autor_es],autorest[epoca_es])</f>
        <v>Edad Media</v>
      </c>
      <c r="O1458" t="str">
        <f>_xlfn.XLOOKUP(frasest[[#This Row],[autor_es]],autorest[autor_es],autorest[epoca_la])</f>
        <v>Medium Aevum</v>
      </c>
    </row>
    <row r="1459" spans="1:15">
      <c r="A1459">
        <v>1458</v>
      </c>
      <c r="B1459" t="s">
        <v>4061</v>
      </c>
      <c r="C1459" t="s">
        <v>4062</v>
      </c>
      <c r="D1459" t="s">
        <v>4063</v>
      </c>
      <c r="E1459" t="s">
        <v>4045</v>
      </c>
      <c r="F1459" t="str">
        <f>_xlfn.XLOOKUP(frasest[[#This Row],[autor_es]],autorest[autor_es],autorest[autor_la])</f>
        <v>Hildegardis Bingensis</v>
      </c>
      <c r="G1459"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9"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9" t="str">
        <f>_xlfn.XLOOKUP(frasest[[#This Row],[autor_es]],autorest[autor_es],autorest[codigo])</f>
        <v>la</v>
      </c>
      <c r="J1459" t="str">
        <f>_xlfn.XLOOKUP(frasest[[#This Row],[autor_es]],autorest[autor_es],autorest[idioma_es])</f>
        <v>Latín</v>
      </c>
      <c r="K1459" s="6" t="str">
        <f>_xlfn.XLOOKUP(frasest[[#This Row],[autor_es]],autorest[autor_es],autorest[idioma_la])</f>
        <v>Lingua Latina</v>
      </c>
      <c r="L1459" s="6" t="str">
        <f>_xlfn.XLOOKUP(frasest[[#This Row],[autor_es]],autorest[autor_es],autorest[nacion_es])</f>
        <v>Alemania</v>
      </c>
      <c r="M1459" t="str">
        <f>_xlfn.XLOOKUP(frasest[[#This Row],[autor_es]],autorest[autor_es],autorest[nacion_la])</f>
        <v>Germania</v>
      </c>
      <c r="N1459" t="str">
        <f>_xlfn.XLOOKUP(frasest[[#This Row],[autor_es]],autorest[autor_es],autorest[epoca_es])</f>
        <v>Edad Media</v>
      </c>
      <c r="O1459" t="str">
        <f>_xlfn.XLOOKUP(frasest[[#This Row],[autor_es]],autorest[autor_es],autorest[epoca_la])</f>
        <v>Medium Aevum</v>
      </c>
    </row>
    <row r="1460" spans="1:15">
      <c r="A1460">
        <v>1459</v>
      </c>
      <c r="B1460" t="s">
        <v>4064</v>
      </c>
      <c r="C1460" t="s">
        <v>4065</v>
      </c>
      <c r="D1460" t="s">
        <v>4066</v>
      </c>
      <c r="E1460" t="s">
        <v>4045</v>
      </c>
      <c r="F1460" t="str">
        <f>_xlfn.XLOOKUP(frasest[[#This Row],[autor_es]],autorest[autor_es],autorest[autor_la])</f>
        <v>Hildegardis Bingensis</v>
      </c>
      <c r="G1460"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0"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0" t="str">
        <f>_xlfn.XLOOKUP(frasest[[#This Row],[autor_es]],autorest[autor_es],autorest[codigo])</f>
        <v>la</v>
      </c>
      <c r="J1460" t="str">
        <f>_xlfn.XLOOKUP(frasest[[#This Row],[autor_es]],autorest[autor_es],autorest[idioma_es])</f>
        <v>Latín</v>
      </c>
      <c r="K1460" s="6" t="str">
        <f>_xlfn.XLOOKUP(frasest[[#This Row],[autor_es]],autorest[autor_es],autorest[idioma_la])</f>
        <v>Lingua Latina</v>
      </c>
      <c r="L1460" s="6" t="str">
        <f>_xlfn.XLOOKUP(frasest[[#This Row],[autor_es]],autorest[autor_es],autorest[nacion_es])</f>
        <v>Alemania</v>
      </c>
      <c r="M1460" t="str">
        <f>_xlfn.XLOOKUP(frasest[[#This Row],[autor_es]],autorest[autor_es],autorest[nacion_la])</f>
        <v>Germania</v>
      </c>
      <c r="N1460" t="str">
        <f>_xlfn.XLOOKUP(frasest[[#This Row],[autor_es]],autorest[autor_es],autorest[epoca_es])</f>
        <v>Edad Media</v>
      </c>
      <c r="O1460" t="str">
        <f>_xlfn.XLOOKUP(frasest[[#This Row],[autor_es]],autorest[autor_es],autorest[epoca_la])</f>
        <v>Medium Aevum</v>
      </c>
    </row>
    <row r="1461" spans="1:15">
      <c r="A1461">
        <v>1460</v>
      </c>
      <c r="B1461" t="s">
        <v>4067</v>
      </c>
      <c r="C1461" t="s">
        <v>4068</v>
      </c>
      <c r="D1461" t="s">
        <v>4069</v>
      </c>
      <c r="E1461" t="s">
        <v>4045</v>
      </c>
      <c r="F1461" t="str">
        <f>_xlfn.XLOOKUP(frasest[[#This Row],[autor_es]],autorest[autor_es],autorest[autor_la])</f>
        <v>Hildegardis Bingensis</v>
      </c>
      <c r="G1461"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1"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1" t="str">
        <f>_xlfn.XLOOKUP(frasest[[#This Row],[autor_es]],autorest[autor_es],autorest[codigo])</f>
        <v>la</v>
      </c>
      <c r="J1461" t="str">
        <f>_xlfn.XLOOKUP(frasest[[#This Row],[autor_es]],autorest[autor_es],autorest[idioma_es])</f>
        <v>Latín</v>
      </c>
      <c r="K1461" s="6" t="str">
        <f>_xlfn.XLOOKUP(frasest[[#This Row],[autor_es]],autorest[autor_es],autorest[idioma_la])</f>
        <v>Lingua Latina</v>
      </c>
      <c r="L1461" s="6" t="str">
        <f>_xlfn.XLOOKUP(frasest[[#This Row],[autor_es]],autorest[autor_es],autorest[nacion_es])</f>
        <v>Alemania</v>
      </c>
      <c r="M1461" t="str">
        <f>_xlfn.XLOOKUP(frasest[[#This Row],[autor_es]],autorest[autor_es],autorest[nacion_la])</f>
        <v>Germania</v>
      </c>
      <c r="N1461" t="str">
        <f>_xlfn.XLOOKUP(frasest[[#This Row],[autor_es]],autorest[autor_es],autorest[epoca_es])</f>
        <v>Edad Media</v>
      </c>
      <c r="O1461" t="str">
        <f>_xlfn.XLOOKUP(frasest[[#This Row],[autor_es]],autorest[autor_es],autorest[epoca_la])</f>
        <v>Medium Aevum</v>
      </c>
    </row>
    <row r="1462" spans="1:15">
      <c r="A1462">
        <v>1461</v>
      </c>
      <c r="B1462" t="s">
        <v>4070</v>
      </c>
      <c r="C1462" t="s">
        <v>4071</v>
      </c>
      <c r="D1462" t="s">
        <v>4072</v>
      </c>
      <c r="E1462" t="s">
        <v>4045</v>
      </c>
      <c r="F1462" t="str">
        <f>_xlfn.XLOOKUP(frasest[[#This Row],[autor_es]],autorest[autor_es],autorest[autor_la])</f>
        <v>Hildegardis Bingensis</v>
      </c>
      <c r="G1462"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2"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2" t="str">
        <f>_xlfn.XLOOKUP(frasest[[#This Row],[autor_es]],autorest[autor_es],autorest[codigo])</f>
        <v>la</v>
      </c>
      <c r="J1462" t="str">
        <f>_xlfn.XLOOKUP(frasest[[#This Row],[autor_es]],autorest[autor_es],autorest[idioma_es])</f>
        <v>Latín</v>
      </c>
      <c r="K1462" s="6" t="str">
        <f>_xlfn.XLOOKUP(frasest[[#This Row],[autor_es]],autorest[autor_es],autorest[idioma_la])</f>
        <v>Lingua Latina</v>
      </c>
      <c r="L1462" s="6" t="str">
        <f>_xlfn.XLOOKUP(frasest[[#This Row],[autor_es]],autorest[autor_es],autorest[nacion_es])</f>
        <v>Alemania</v>
      </c>
      <c r="M1462" t="str">
        <f>_xlfn.XLOOKUP(frasest[[#This Row],[autor_es]],autorest[autor_es],autorest[nacion_la])</f>
        <v>Germania</v>
      </c>
      <c r="N1462" t="str">
        <f>_xlfn.XLOOKUP(frasest[[#This Row],[autor_es]],autorest[autor_es],autorest[epoca_es])</f>
        <v>Edad Media</v>
      </c>
      <c r="O1462" t="str">
        <f>_xlfn.XLOOKUP(frasest[[#This Row],[autor_es]],autorest[autor_es],autorest[epoca_la])</f>
        <v>Medium Aevum</v>
      </c>
    </row>
    <row r="1463" spans="1:15">
      <c r="A1463">
        <v>1462</v>
      </c>
      <c r="B1463" t="s">
        <v>4073</v>
      </c>
      <c r="C1463" t="s">
        <v>4074</v>
      </c>
      <c r="D1463" t="s">
        <v>4075</v>
      </c>
      <c r="E1463" t="s">
        <v>4045</v>
      </c>
      <c r="F1463" t="str">
        <f>_xlfn.XLOOKUP(frasest[[#This Row],[autor_es]],autorest[autor_es],autorest[autor_la])</f>
        <v>Hildegardis Bingensis</v>
      </c>
      <c r="G1463"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3"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3" t="str">
        <f>_xlfn.XLOOKUP(frasest[[#This Row],[autor_es]],autorest[autor_es],autorest[codigo])</f>
        <v>la</v>
      </c>
      <c r="J1463" t="str">
        <f>_xlfn.XLOOKUP(frasest[[#This Row],[autor_es]],autorest[autor_es],autorest[idioma_es])</f>
        <v>Latín</v>
      </c>
      <c r="K1463" s="6" t="str">
        <f>_xlfn.XLOOKUP(frasest[[#This Row],[autor_es]],autorest[autor_es],autorest[idioma_la])</f>
        <v>Lingua Latina</v>
      </c>
      <c r="L1463" s="6" t="str">
        <f>_xlfn.XLOOKUP(frasest[[#This Row],[autor_es]],autorest[autor_es],autorest[nacion_es])</f>
        <v>Alemania</v>
      </c>
      <c r="M1463" t="str">
        <f>_xlfn.XLOOKUP(frasest[[#This Row],[autor_es]],autorest[autor_es],autorest[nacion_la])</f>
        <v>Germania</v>
      </c>
      <c r="N1463" t="str">
        <f>_xlfn.XLOOKUP(frasest[[#This Row],[autor_es]],autorest[autor_es],autorest[epoca_es])</f>
        <v>Edad Media</v>
      </c>
      <c r="O1463" t="str">
        <f>_xlfn.XLOOKUP(frasest[[#This Row],[autor_es]],autorest[autor_es],autorest[epoca_la])</f>
        <v>Medium Aevum</v>
      </c>
    </row>
    <row r="1464" spans="1:15">
      <c r="A1464">
        <v>1463</v>
      </c>
      <c r="B1464" t="s">
        <v>4076</v>
      </c>
      <c r="C1464" t="s">
        <v>4077</v>
      </c>
      <c r="D1464" t="s">
        <v>4078</v>
      </c>
      <c r="E1464" t="s">
        <v>4045</v>
      </c>
      <c r="F1464" t="str">
        <f>_xlfn.XLOOKUP(frasest[[#This Row],[autor_es]],autorest[autor_es],autorest[autor_la])</f>
        <v>Hildegardis Bingensis</v>
      </c>
      <c r="G1464"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4"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4" t="str">
        <f>_xlfn.XLOOKUP(frasest[[#This Row],[autor_es]],autorest[autor_es],autorest[codigo])</f>
        <v>la</v>
      </c>
      <c r="J1464" t="str">
        <f>_xlfn.XLOOKUP(frasest[[#This Row],[autor_es]],autorest[autor_es],autorest[idioma_es])</f>
        <v>Latín</v>
      </c>
      <c r="K1464" s="6" t="str">
        <f>_xlfn.XLOOKUP(frasest[[#This Row],[autor_es]],autorest[autor_es],autorest[idioma_la])</f>
        <v>Lingua Latina</v>
      </c>
      <c r="L1464" s="6" t="str">
        <f>_xlfn.XLOOKUP(frasest[[#This Row],[autor_es]],autorest[autor_es],autorest[nacion_es])</f>
        <v>Alemania</v>
      </c>
      <c r="M1464" t="str">
        <f>_xlfn.XLOOKUP(frasest[[#This Row],[autor_es]],autorest[autor_es],autorest[nacion_la])</f>
        <v>Germania</v>
      </c>
      <c r="N1464" t="str">
        <f>_xlfn.XLOOKUP(frasest[[#This Row],[autor_es]],autorest[autor_es],autorest[epoca_es])</f>
        <v>Edad Media</v>
      </c>
      <c r="O1464" t="str">
        <f>_xlfn.XLOOKUP(frasest[[#This Row],[autor_es]],autorest[autor_es],autorest[epoca_la])</f>
        <v>Medium Aevum</v>
      </c>
    </row>
    <row r="1465" spans="1:15">
      <c r="A1465">
        <v>1464</v>
      </c>
      <c r="B1465" t="s">
        <v>4079</v>
      </c>
      <c r="C1465" t="s">
        <v>4080</v>
      </c>
      <c r="D1465" t="s">
        <v>4081</v>
      </c>
      <c r="E1465" t="s">
        <v>4082</v>
      </c>
      <c r="F1465" t="str">
        <f>_xlfn.XLOOKUP(frasest[[#This Row],[autor_es]],autorest[autor_es],autorest[autor_la])</f>
        <v>Magister Eckhart</v>
      </c>
      <c r="G1465"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5"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5" t="str">
        <f>_xlfn.XLOOKUP(frasest[[#This Row],[autor_es]],autorest[autor_es],autorest[codigo])</f>
        <v>la</v>
      </c>
      <c r="J1465" t="str">
        <f>_xlfn.XLOOKUP(frasest[[#This Row],[autor_es]],autorest[autor_es],autorest[idioma_es])</f>
        <v>Latín</v>
      </c>
      <c r="K1465" s="6" t="str">
        <f>_xlfn.XLOOKUP(frasest[[#This Row],[autor_es]],autorest[autor_es],autorest[idioma_la])</f>
        <v>Lingua Latina</v>
      </c>
      <c r="L1465" s="6" t="str">
        <f>_xlfn.XLOOKUP(frasest[[#This Row],[autor_es]],autorest[autor_es],autorest[nacion_es])</f>
        <v>Alemania</v>
      </c>
      <c r="M1465" t="str">
        <f>_xlfn.XLOOKUP(frasest[[#This Row],[autor_es]],autorest[autor_es],autorest[nacion_la])</f>
        <v>Germania</v>
      </c>
      <c r="N1465" t="str">
        <f>_xlfn.XLOOKUP(frasest[[#This Row],[autor_es]],autorest[autor_es],autorest[epoca_es])</f>
        <v>Edad Media</v>
      </c>
      <c r="O1465" t="str">
        <f>_xlfn.XLOOKUP(frasest[[#This Row],[autor_es]],autorest[autor_es],autorest[epoca_la])</f>
        <v>Medium Aevum</v>
      </c>
    </row>
    <row r="1466" spans="1:15">
      <c r="A1466">
        <v>1465</v>
      </c>
      <c r="B1466" t="s">
        <v>4083</v>
      </c>
      <c r="C1466" t="s">
        <v>4084</v>
      </c>
      <c r="D1466" t="s">
        <v>4085</v>
      </c>
      <c r="E1466" t="s">
        <v>4082</v>
      </c>
      <c r="F1466" t="str">
        <f>_xlfn.XLOOKUP(frasest[[#This Row],[autor_es]],autorest[autor_es],autorest[autor_la])</f>
        <v>Magister Eckhart</v>
      </c>
      <c r="G1466"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6"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6" t="str">
        <f>_xlfn.XLOOKUP(frasest[[#This Row],[autor_es]],autorest[autor_es],autorest[codigo])</f>
        <v>la</v>
      </c>
      <c r="J1466" t="str">
        <f>_xlfn.XLOOKUP(frasest[[#This Row],[autor_es]],autorest[autor_es],autorest[idioma_es])</f>
        <v>Latín</v>
      </c>
      <c r="K1466" s="6" t="str">
        <f>_xlfn.XLOOKUP(frasest[[#This Row],[autor_es]],autorest[autor_es],autorest[idioma_la])</f>
        <v>Lingua Latina</v>
      </c>
      <c r="L1466" s="6" t="str">
        <f>_xlfn.XLOOKUP(frasest[[#This Row],[autor_es]],autorest[autor_es],autorest[nacion_es])</f>
        <v>Alemania</v>
      </c>
      <c r="M1466" t="str">
        <f>_xlfn.XLOOKUP(frasest[[#This Row],[autor_es]],autorest[autor_es],autorest[nacion_la])</f>
        <v>Germania</v>
      </c>
      <c r="N1466" t="str">
        <f>_xlfn.XLOOKUP(frasest[[#This Row],[autor_es]],autorest[autor_es],autorest[epoca_es])</f>
        <v>Edad Media</v>
      </c>
      <c r="O1466" t="str">
        <f>_xlfn.XLOOKUP(frasest[[#This Row],[autor_es]],autorest[autor_es],autorest[epoca_la])</f>
        <v>Medium Aevum</v>
      </c>
    </row>
    <row r="1467" spans="1:15">
      <c r="A1467">
        <v>1466</v>
      </c>
      <c r="B1467" t="s">
        <v>4086</v>
      </c>
      <c r="C1467" t="s">
        <v>4087</v>
      </c>
      <c r="D1467" t="s">
        <v>4088</v>
      </c>
      <c r="E1467" t="s">
        <v>4082</v>
      </c>
      <c r="F1467" t="str">
        <f>_xlfn.XLOOKUP(frasest[[#This Row],[autor_es]],autorest[autor_es],autorest[autor_la])</f>
        <v>Magister Eckhart</v>
      </c>
      <c r="G1467"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7"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7" t="str">
        <f>_xlfn.XLOOKUP(frasest[[#This Row],[autor_es]],autorest[autor_es],autorest[codigo])</f>
        <v>la</v>
      </c>
      <c r="J1467" t="str">
        <f>_xlfn.XLOOKUP(frasest[[#This Row],[autor_es]],autorest[autor_es],autorest[idioma_es])</f>
        <v>Latín</v>
      </c>
      <c r="K1467" s="6" t="str">
        <f>_xlfn.XLOOKUP(frasest[[#This Row],[autor_es]],autorest[autor_es],autorest[idioma_la])</f>
        <v>Lingua Latina</v>
      </c>
      <c r="L1467" s="6" t="str">
        <f>_xlfn.XLOOKUP(frasest[[#This Row],[autor_es]],autorest[autor_es],autorest[nacion_es])</f>
        <v>Alemania</v>
      </c>
      <c r="M1467" t="str">
        <f>_xlfn.XLOOKUP(frasest[[#This Row],[autor_es]],autorest[autor_es],autorest[nacion_la])</f>
        <v>Germania</v>
      </c>
      <c r="N1467" t="str">
        <f>_xlfn.XLOOKUP(frasest[[#This Row],[autor_es]],autorest[autor_es],autorest[epoca_es])</f>
        <v>Edad Media</v>
      </c>
      <c r="O1467" t="str">
        <f>_xlfn.XLOOKUP(frasest[[#This Row],[autor_es]],autorest[autor_es],autorest[epoca_la])</f>
        <v>Medium Aevum</v>
      </c>
    </row>
    <row r="1468" spans="1:15">
      <c r="A1468">
        <v>1467</v>
      </c>
      <c r="B1468" t="s">
        <v>4089</v>
      </c>
      <c r="C1468" t="s">
        <v>4090</v>
      </c>
      <c r="D1468" t="s">
        <v>4091</v>
      </c>
      <c r="E1468" t="s">
        <v>4082</v>
      </c>
      <c r="F1468" t="str">
        <f>_xlfn.XLOOKUP(frasest[[#This Row],[autor_es]],autorest[autor_es],autorest[autor_la])</f>
        <v>Magister Eckhart</v>
      </c>
      <c r="G1468"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8"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8" t="str">
        <f>_xlfn.XLOOKUP(frasest[[#This Row],[autor_es]],autorest[autor_es],autorest[codigo])</f>
        <v>la</v>
      </c>
      <c r="J1468" t="str">
        <f>_xlfn.XLOOKUP(frasest[[#This Row],[autor_es]],autorest[autor_es],autorest[idioma_es])</f>
        <v>Latín</v>
      </c>
      <c r="K1468" s="6" t="str">
        <f>_xlfn.XLOOKUP(frasest[[#This Row],[autor_es]],autorest[autor_es],autorest[idioma_la])</f>
        <v>Lingua Latina</v>
      </c>
      <c r="L1468" s="6" t="str">
        <f>_xlfn.XLOOKUP(frasest[[#This Row],[autor_es]],autorest[autor_es],autorest[nacion_es])</f>
        <v>Alemania</v>
      </c>
      <c r="M1468" t="str">
        <f>_xlfn.XLOOKUP(frasest[[#This Row],[autor_es]],autorest[autor_es],autorest[nacion_la])</f>
        <v>Germania</v>
      </c>
      <c r="N1468" t="str">
        <f>_xlfn.XLOOKUP(frasest[[#This Row],[autor_es]],autorest[autor_es],autorest[epoca_es])</f>
        <v>Edad Media</v>
      </c>
      <c r="O1468" t="str">
        <f>_xlfn.XLOOKUP(frasest[[#This Row],[autor_es]],autorest[autor_es],autorest[epoca_la])</f>
        <v>Medium Aevum</v>
      </c>
    </row>
    <row r="1469" spans="1:15">
      <c r="A1469">
        <v>1468</v>
      </c>
      <c r="B1469" t="s">
        <v>4092</v>
      </c>
      <c r="C1469" t="s">
        <v>4093</v>
      </c>
      <c r="D1469" t="s">
        <v>4094</v>
      </c>
      <c r="E1469" t="s">
        <v>4082</v>
      </c>
      <c r="F1469" t="str">
        <f>_xlfn.XLOOKUP(frasest[[#This Row],[autor_es]],autorest[autor_es],autorest[autor_la])</f>
        <v>Magister Eckhart</v>
      </c>
      <c r="G1469"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9"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9" t="str">
        <f>_xlfn.XLOOKUP(frasest[[#This Row],[autor_es]],autorest[autor_es],autorest[codigo])</f>
        <v>la</v>
      </c>
      <c r="J1469" t="str">
        <f>_xlfn.XLOOKUP(frasest[[#This Row],[autor_es]],autorest[autor_es],autorest[idioma_es])</f>
        <v>Latín</v>
      </c>
      <c r="K1469" s="6" t="str">
        <f>_xlfn.XLOOKUP(frasest[[#This Row],[autor_es]],autorest[autor_es],autorest[idioma_la])</f>
        <v>Lingua Latina</v>
      </c>
      <c r="L1469" s="6" t="str">
        <f>_xlfn.XLOOKUP(frasest[[#This Row],[autor_es]],autorest[autor_es],autorest[nacion_es])</f>
        <v>Alemania</v>
      </c>
      <c r="M1469" t="str">
        <f>_xlfn.XLOOKUP(frasest[[#This Row],[autor_es]],autorest[autor_es],autorest[nacion_la])</f>
        <v>Germania</v>
      </c>
      <c r="N1469" t="str">
        <f>_xlfn.XLOOKUP(frasest[[#This Row],[autor_es]],autorest[autor_es],autorest[epoca_es])</f>
        <v>Edad Media</v>
      </c>
      <c r="O1469" t="str">
        <f>_xlfn.XLOOKUP(frasest[[#This Row],[autor_es]],autorest[autor_es],autorest[epoca_la])</f>
        <v>Medium Aevum</v>
      </c>
    </row>
    <row r="1470" spans="1:15">
      <c r="A1470">
        <v>1469</v>
      </c>
      <c r="B1470" t="s">
        <v>4095</v>
      </c>
      <c r="C1470" t="s">
        <v>4096</v>
      </c>
      <c r="D1470" t="s">
        <v>4097</v>
      </c>
      <c r="E1470" t="s">
        <v>4082</v>
      </c>
      <c r="F1470" t="str">
        <f>_xlfn.XLOOKUP(frasest[[#This Row],[autor_es]],autorest[autor_es],autorest[autor_la])</f>
        <v>Magister Eckhart</v>
      </c>
      <c r="G1470"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0"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0" t="str">
        <f>_xlfn.XLOOKUP(frasest[[#This Row],[autor_es]],autorest[autor_es],autorest[codigo])</f>
        <v>la</v>
      </c>
      <c r="J1470" t="str">
        <f>_xlfn.XLOOKUP(frasest[[#This Row],[autor_es]],autorest[autor_es],autorest[idioma_es])</f>
        <v>Latín</v>
      </c>
      <c r="K1470" s="6" t="str">
        <f>_xlfn.XLOOKUP(frasest[[#This Row],[autor_es]],autorest[autor_es],autorest[idioma_la])</f>
        <v>Lingua Latina</v>
      </c>
      <c r="L1470" s="6" t="str">
        <f>_xlfn.XLOOKUP(frasest[[#This Row],[autor_es]],autorest[autor_es],autorest[nacion_es])</f>
        <v>Alemania</v>
      </c>
      <c r="M1470" t="str">
        <f>_xlfn.XLOOKUP(frasest[[#This Row],[autor_es]],autorest[autor_es],autorest[nacion_la])</f>
        <v>Germania</v>
      </c>
      <c r="N1470" t="str">
        <f>_xlfn.XLOOKUP(frasest[[#This Row],[autor_es]],autorest[autor_es],autorest[epoca_es])</f>
        <v>Edad Media</v>
      </c>
      <c r="O1470" t="str">
        <f>_xlfn.XLOOKUP(frasest[[#This Row],[autor_es]],autorest[autor_es],autorest[epoca_la])</f>
        <v>Medium Aevum</v>
      </c>
    </row>
    <row r="1471" spans="1:15">
      <c r="A1471">
        <v>1470</v>
      </c>
      <c r="B1471" t="s">
        <v>4098</v>
      </c>
      <c r="C1471" t="s">
        <v>4099</v>
      </c>
      <c r="D1471" t="s">
        <v>4100</v>
      </c>
      <c r="E1471" t="s">
        <v>4082</v>
      </c>
      <c r="F1471" t="str">
        <f>_xlfn.XLOOKUP(frasest[[#This Row],[autor_es]],autorest[autor_es],autorest[autor_la])</f>
        <v>Magister Eckhart</v>
      </c>
      <c r="G1471"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1"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1" t="str">
        <f>_xlfn.XLOOKUP(frasest[[#This Row],[autor_es]],autorest[autor_es],autorest[codigo])</f>
        <v>la</v>
      </c>
      <c r="J1471" t="str">
        <f>_xlfn.XLOOKUP(frasest[[#This Row],[autor_es]],autorest[autor_es],autorest[idioma_es])</f>
        <v>Latín</v>
      </c>
      <c r="K1471" s="6" t="str">
        <f>_xlfn.XLOOKUP(frasest[[#This Row],[autor_es]],autorest[autor_es],autorest[idioma_la])</f>
        <v>Lingua Latina</v>
      </c>
      <c r="L1471" s="6" t="str">
        <f>_xlfn.XLOOKUP(frasest[[#This Row],[autor_es]],autorest[autor_es],autorest[nacion_es])</f>
        <v>Alemania</v>
      </c>
      <c r="M1471" t="str">
        <f>_xlfn.XLOOKUP(frasest[[#This Row],[autor_es]],autorest[autor_es],autorest[nacion_la])</f>
        <v>Germania</v>
      </c>
      <c r="N1471" t="str">
        <f>_xlfn.XLOOKUP(frasest[[#This Row],[autor_es]],autorest[autor_es],autorest[epoca_es])</f>
        <v>Edad Media</v>
      </c>
      <c r="O1471" t="str">
        <f>_xlfn.XLOOKUP(frasest[[#This Row],[autor_es]],autorest[autor_es],autorest[epoca_la])</f>
        <v>Medium Aevum</v>
      </c>
    </row>
    <row r="1472" spans="1:15">
      <c r="A1472">
        <v>1471</v>
      </c>
      <c r="B1472" t="s">
        <v>4101</v>
      </c>
      <c r="C1472" t="s">
        <v>4102</v>
      </c>
      <c r="D1472" t="s">
        <v>4103</v>
      </c>
      <c r="E1472" t="s">
        <v>4082</v>
      </c>
      <c r="F1472" t="str">
        <f>_xlfn.XLOOKUP(frasest[[#This Row],[autor_es]],autorest[autor_es],autorest[autor_la])</f>
        <v>Magister Eckhart</v>
      </c>
      <c r="G1472"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2"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2" t="str">
        <f>_xlfn.XLOOKUP(frasest[[#This Row],[autor_es]],autorest[autor_es],autorest[codigo])</f>
        <v>la</v>
      </c>
      <c r="J1472" t="str">
        <f>_xlfn.XLOOKUP(frasest[[#This Row],[autor_es]],autorest[autor_es],autorest[idioma_es])</f>
        <v>Latín</v>
      </c>
      <c r="K1472" s="6" t="str">
        <f>_xlfn.XLOOKUP(frasest[[#This Row],[autor_es]],autorest[autor_es],autorest[idioma_la])</f>
        <v>Lingua Latina</v>
      </c>
      <c r="L1472" s="6" t="str">
        <f>_xlfn.XLOOKUP(frasest[[#This Row],[autor_es]],autorest[autor_es],autorest[nacion_es])</f>
        <v>Alemania</v>
      </c>
      <c r="M1472" t="str">
        <f>_xlfn.XLOOKUP(frasest[[#This Row],[autor_es]],autorest[autor_es],autorest[nacion_la])</f>
        <v>Germania</v>
      </c>
      <c r="N1472" t="str">
        <f>_xlfn.XLOOKUP(frasest[[#This Row],[autor_es]],autorest[autor_es],autorest[epoca_es])</f>
        <v>Edad Media</v>
      </c>
      <c r="O1472" t="str">
        <f>_xlfn.XLOOKUP(frasest[[#This Row],[autor_es]],autorest[autor_es],autorest[epoca_la])</f>
        <v>Medium Aevum</v>
      </c>
    </row>
    <row r="1473" spans="1:15">
      <c r="A1473">
        <v>1472</v>
      </c>
      <c r="B1473" t="s">
        <v>4104</v>
      </c>
      <c r="C1473" t="s">
        <v>4105</v>
      </c>
      <c r="D1473" t="s">
        <v>4106</v>
      </c>
      <c r="E1473" t="s">
        <v>4082</v>
      </c>
      <c r="F1473" t="str">
        <f>_xlfn.XLOOKUP(frasest[[#This Row],[autor_es]],autorest[autor_es],autorest[autor_la])</f>
        <v>Magister Eckhart</v>
      </c>
      <c r="G1473"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3"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3" t="str">
        <f>_xlfn.XLOOKUP(frasest[[#This Row],[autor_es]],autorest[autor_es],autorest[codigo])</f>
        <v>la</v>
      </c>
      <c r="J1473" t="str">
        <f>_xlfn.XLOOKUP(frasest[[#This Row],[autor_es]],autorest[autor_es],autorest[idioma_es])</f>
        <v>Latín</v>
      </c>
      <c r="K1473" s="6" t="str">
        <f>_xlfn.XLOOKUP(frasest[[#This Row],[autor_es]],autorest[autor_es],autorest[idioma_la])</f>
        <v>Lingua Latina</v>
      </c>
      <c r="L1473" s="6" t="str">
        <f>_xlfn.XLOOKUP(frasest[[#This Row],[autor_es]],autorest[autor_es],autorest[nacion_es])</f>
        <v>Alemania</v>
      </c>
      <c r="M1473" t="str">
        <f>_xlfn.XLOOKUP(frasest[[#This Row],[autor_es]],autorest[autor_es],autorest[nacion_la])</f>
        <v>Germania</v>
      </c>
      <c r="N1473" t="str">
        <f>_xlfn.XLOOKUP(frasest[[#This Row],[autor_es]],autorest[autor_es],autorest[epoca_es])</f>
        <v>Edad Media</v>
      </c>
      <c r="O1473" t="str">
        <f>_xlfn.XLOOKUP(frasest[[#This Row],[autor_es]],autorest[autor_es],autorest[epoca_la])</f>
        <v>Medium Aevum</v>
      </c>
    </row>
    <row r="1474" spans="1:15">
      <c r="A1474">
        <v>1473</v>
      </c>
      <c r="B1474" t="s">
        <v>4107</v>
      </c>
      <c r="C1474" t="s">
        <v>4108</v>
      </c>
      <c r="D1474" t="s">
        <v>4109</v>
      </c>
      <c r="E1474" t="s">
        <v>4082</v>
      </c>
      <c r="F1474" t="str">
        <f>_xlfn.XLOOKUP(frasest[[#This Row],[autor_es]],autorest[autor_es],autorest[autor_la])</f>
        <v>Magister Eckhart</v>
      </c>
      <c r="G1474"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4"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4" t="str">
        <f>_xlfn.XLOOKUP(frasest[[#This Row],[autor_es]],autorest[autor_es],autorest[codigo])</f>
        <v>la</v>
      </c>
      <c r="J1474" t="str">
        <f>_xlfn.XLOOKUP(frasest[[#This Row],[autor_es]],autorest[autor_es],autorest[idioma_es])</f>
        <v>Latín</v>
      </c>
      <c r="K1474" s="6" t="str">
        <f>_xlfn.XLOOKUP(frasest[[#This Row],[autor_es]],autorest[autor_es],autorest[idioma_la])</f>
        <v>Lingua Latina</v>
      </c>
      <c r="L1474" s="6" t="str">
        <f>_xlfn.XLOOKUP(frasest[[#This Row],[autor_es]],autorest[autor_es],autorest[nacion_es])</f>
        <v>Alemania</v>
      </c>
      <c r="M1474" t="str">
        <f>_xlfn.XLOOKUP(frasest[[#This Row],[autor_es]],autorest[autor_es],autorest[nacion_la])</f>
        <v>Germania</v>
      </c>
      <c r="N1474" t="str">
        <f>_xlfn.XLOOKUP(frasest[[#This Row],[autor_es]],autorest[autor_es],autorest[epoca_es])</f>
        <v>Edad Media</v>
      </c>
      <c r="O1474" t="str">
        <f>_xlfn.XLOOKUP(frasest[[#This Row],[autor_es]],autorest[autor_es],autorest[epoca_la])</f>
        <v>Medium Aevum</v>
      </c>
    </row>
    <row r="1475" spans="1:15">
      <c r="A1475">
        <v>1474</v>
      </c>
      <c r="B1475" t="s">
        <v>4110</v>
      </c>
      <c r="C1475" t="s">
        <v>4111</v>
      </c>
      <c r="D1475" t="s">
        <v>4112</v>
      </c>
      <c r="E1475" t="s">
        <v>4082</v>
      </c>
      <c r="F1475" t="str">
        <f>_xlfn.XLOOKUP(frasest[[#This Row],[autor_es]],autorest[autor_es],autorest[autor_la])</f>
        <v>Magister Eckhart</v>
      </c>
      <c r="G1475"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5"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5" t="str">
        <f>_xlfn.XLOOKUP(frasest[[#This Row],[autor_es]],autorest[autor_es],autorest[codigo])</f>
        <v>la</v>
      </c>
      <c r="J1475" t="str">
        <f>_xlfn.XLOOKUP(frasest[[#This Row],[autor_es]],autorest[autor_es],autorest[idioma_es])</f>
        <v>Latín</v>
      </c>
      <c r="K1475" s="6" t="str">
        <f>_xlfn.XLOOKUP(frasest[[#This Row],[autor_es]],autorest[autor_es],autorest[idioma_la])</f>
        <v>Lingua Latina</v>
      </c>
      <c r="L1475" s="6" t="str">
        <f>_xlfn.XLOOKUP(frasest[[#This Row],[autor_es]],autorest[autor_es],autorest[nacion_es])</f>
        <v>Alemania</v>
      </c>
      <c r="M1475" t="str">
        <f>_xlfn.XLOOKUP(frasest[[#This Row],[autor_es]],autorest[autor_es],autorest[nacion_la])</f>
        <v>Germania</v>
      </c>
      <c r="N1475" t="str">
        <f>_xlfn.XLOOKUP(frasest[[#This Row],[autor_es]],autorest[autor_es],autorest[epoca_es])</f>
        <v>Edad Media</v>
      </c>
      <c r="O1475" t="str">
        <f>_xlfn.XLOOKUP(frasest[[#This Row],[autor_es]],autorest[autor_es],autorest[epoca_la])</f>
        <v>Medium Aevum</v>
      </c>
    </row>
    <row r="1476" spans="1:15">
      <c r="A1476">
        <v>1475</v>
      </c>
      <c r="B1476" t="s">
        <v>4113</v>
      </c>
      <c r="C1476" t="s">
        <v>4114</v>
      </c>
      <c r="D1476" t="s">
        <v>4115</v>
      </c>
      <c r="E1476" t="s">
        <v>4082</v>
      </c>
      <c r="F1476" t="str">
        <f>_xlfn.XLOOKUP(frasest[[#This Row],[autor_es]],autorest[autor_es],autorest[autor_la])</f>
        <v>Magister Eckhart</v>
      </c>
      <c r="G1476"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6"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6" t="str">
        <f>_xlfn.XLOOKUP(frasest[[#This Row],[autor_es]],autorest[autor_es],autorest[codigo])</f>
        <v>la</v>
      </c>
      <c r="J1476" t="str">
        <f>_xlfn.XLOOKUP(frasest[[#This Row],[autor_es]],autorest[autor_es],autorest[idioma_es])</f>
        <v>Latín</v>
      </c>
      <c r="K1476" s="6" t="str">
        <f>_xlfn.XLOOKUP(frasest[[#This Row],[autor_es]],autorest[autor_es],autorest[idioma_la])</f>
        <v>Lingua Latina</v>
      </c>
      <c r="L1476" s="6" t="str">
        <f>_xlfn.XLOOKUP(frasest[[#This Row],[autor_es]],autorest[autor_es],autorest[nacion_es])</f>
        <v>Alemania</v>
      </c>
      <c r="M1476" t="str">
        <f>_xlfn.XLOOKUP(frasest[[#This Row],[autor_es]],autorest[autor_es],autorest[nacion_la])</f>
        <v>Germania</v>
      </c>
      <c r="N1476" t="str">
        <f>_xlfn.XLOOKUP(frasest[[#This Row],[autor_es]],autorest[autor_es],autorest[epoca_es])</f>
        <v>Edad Media</v>
      </c>
      <c r="O1476" t="str">
        <f>_xlfn.XLOOKUP(frasest[[#This Row],[autor_es]],autorest[autor_es],autorest[epoca_la])</f>
        <v>Medium Aevum</v>
      </c>
    </row>
    <row r="1477" spans="1:15">
      <c r="A1477">
        <v>1476</v>
      </c>
      <c r="B1477" t="s">
        <v>4116</v>
      </c>
      <c r="C1477" t="s">
        <v>4117</v>
      </c>
      <c r="D1477" t="s">
        <v>4118</v>
      </c>
      <c r="E1477" t="s">
        <v>4082</v>
      </c>
      <c r="F1477" t="str">
        <f>_xlfn.XLOOKUP(frasest[[#This Row],[autor_es]],autorest[autor_es],autorest[autor_la])</f>
        <v>Magister Eckhart</v>
      </c>
      <c r="G1477"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7"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7" t="str">
        <f>_xlfn.XLOOKUP(frasest[[#This Row],[autor_es]],autorest[autor_es],autorest[codigo])</f>
        <v>la</v>
      </c>
      <c r="J1477" t="str">
        <f>_xlfn.XLOOKUP(frasest[[#This Row],[autor_es]],autorest[autor_es],autorest[idioma_es])</f>
        <v>Latín</v>
      </c>
      <c r="K1477" s="6" t="str">
        <f>_xlfn.XLOOKUP(frasest[[#This Row],[autor_es]],autorest[autor_es],autorest[idioma_la])</f>
        <v>Lingua Latina</v>
      </c>
      <c r="L1477" s="6" t="str">
        <f>_xlfn.XLOOKUP(frasest[[#This Row],[autor_es]],autorest[autor_es],autorest[nacion_es])</f>
        <v>Alemania</v>
      </c>
      <c r="M1477" t="str">
        <f>_xlfn.XLOOKUP(frasest[[#This Row],[autor_es]],autorest[autor_es],autorest[nacion_la])</f>
        <v>Germania</v>
      </c>
      <c r="N1477" t="str">
        <f>_xlfn.XLOOKUP(frasest[[#This Row],[autor_es]],autorest[autor_es],autorest[epoca_es])</f>
        <v>Edad Media</v>
      </c>
      <c r="O1477" t="str">
        <f>_xlfn.XLOOKUP(frasest[[#This Row],[autor_es]],autorest[autor_es],autorest[epoca_la])</f>
        <v>Medium Aevum</v>
      </c>
    </row>
    <row r="1478" spans="1:15">
      <c r="A1478">
        <v>1477</v>
      </c>
      <c r="B1478" t="s">
        <v>4119</v>
      </c>
      <c r="C1478" t="s">
        <v>4120</v>
      </c>
      <c r="D1478" t="s">
        <v>4121</v>
      </c>
      <c r="E1478" t="s">
        <v>4082</v>
      </c>
      <c r="F1478" t="str">
        <f>_xlfn.XLOOKUP(frasest[[#This Row],[autor_es]],autorest[autor_es],autorest[autor_la])</f>
        <v>Magister Eckhart</v>
      </c>
      <c r="G1478"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8"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8" t="str">
        <f>_xlfn.XLOOKUP(frasest[[#This Row],[autor_es]],autorest[autor_es],autorest[codigo])</f>
        <v>la</v>
      </c>
      <c r="J1478" t="str">
        <f>_xlfn.XLOOKUP(frasest[[#This Row],[autor_es]],autorest[autor_es],autorest[idioma_es])</f>
        <v>Latín</v>
      </c>
      <c r="K1478" s="6" t="str">
        <f>_xlfn.XLOOKUP(frasest[[#This Row],[autor_es]],autorest[autor_es],autorest[idioma_la])</f>
        <v>Lingua Latina</v>
      </c>
      <c r="L1478" s="6" t="str">
        <f>_xlfn.XLOOKUP(frasest[[#This Row],[autor_es]],autorest[autor_es],autorest[nacion_es])</f>
        <v>Alemania</v>
      </c>
      <c r="M1478" t="str">
        <f>_xlfn.XLOOKUP(frasest[[#This Row],[autor_es]],autorest[autor_es],autorest[nacion_la])</f>
        <v>Germania</v>
      </c>
      <c r="N1478" t="str">
        <f>_xlfn.XLOOKUP(frasest[[#This Row],[autor_es]],autorest[autor_es],autorest[epoca_es])</f>
        <v>Edad Media</v>
      </c>
      <c r="O1478" t="str">
        <f>_xlfn.XLOOKUP(frasest[[#This Row],[autor_es]],autorest[autor_es],autorest[epoca_la])</f>
        <v>Medium Aevum</v>
      </c>
    </row>
    <row r="1479" spans="1:15">
      <c r="A1479">
        <v>1478</v>
      </c>
      <c r="B1479" t="s">
        <v>4122</v>
      </c>
      <c r="C1479" t="s">
        <v>4123</v>
      </c>
      <c r="D1479" t="s">
        <v>4124</v>
      </c>
      <c r="E1479" t="s">
        <v>4082</v>
      </c>
      <c r="F1479" t="str">
        <f>_xlfn.XLOOKUP(frasest[[#This Row],[autor_es]],autorest[autor_es],autorest[autor_la])</f>
        <v>Magister Eckhart</v>
      </c>
      <c r="G1479"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9"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9" t="str">
        <f>_xlfn.XLOOKUP(frasest[[#This Row],[autor_es]],autorest[autor_es],autorest[codigo])</f>
        <v>la</v>
      </c>
      <c r="J1479" t="str">
        <f>_xlfn.XLOOKUP(frasest[[#This Row],[autor_es]],autorest[autor_es],autorest[idioma_es])</f>
        <v>Latín</v>
      </c>
      <c r="K1479" s="6" t="str">
        <f>_xlfn.XLOOKUP(frasest[[#This Row],[autor_es]],autorest[autor_es],autorest[idioma_la])</f>
        <v>Lingua Latina</v>
      </c>
      <c r="L1479" s="6" t="str">
        <f>_xlfn.XLOOKUP(frasest[[#This Row],[autor_es]],autorest[autor_es],autorest[nacion_es])</f>
        <v>Alemania</v>
      </c>
      <c r="M1479" t="str">
        <f>_xlfn.XLOOKUP(frasest[[#This Row],[autor_es]],autorest[autor_es],autorest[nacion_la])</f>
        <v>Germania</v>
      </c>
      <c r="N1479" t="str">
        <f>_xlfn.XLOOKUP(frasest[[#This Row],[autor_es]],autorest[autor_es],autorest[epoca_es])</f>
        <v>Edad Media</v>
      </c>
      <c r="O1479" t="str">
        <f>_xlfn.XLOOKUP(frasest[[#This Row],[autor_es]],autorest[autor_es],autorest[epoca_la])</f>
        <v>Medium Aevum</v>
      </c>
    </row>
    <row r="1480" spans="1:15">
      <c r="A1480">
        <v>1479</v>
      </c>
      <c r="B1480" t="s">
        <v>4125</v>
      </c>
      <c r="C1480" t="s">
        <v>4126</v>
      </c>
      <c r="D1480" t="s">
        <v>4127</v>
      </c>
      <c r="E1480" t="s">
        <v>4082</v>
      </c>
      <c r="F1480" t="str">
        <f>_xlfn.XLOOKUP(frasest[[#This Row],[autor_es]],autorest[autor_es],autorest[autor_la])</f>
        <v>Magister Eckhart</v>
      </c>
      <c r="G1480"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80" s="6" t="str">
        <f>_xlfn.XLOOKUP(frasest[[#This Row],[autor_es]],autorest[autor_es],autorest[bio_la])</f>
        <v>Theologus et mysticus Dominicanus Germanicus fundator mysticae Rhenanae notus pro sermonibus paradoxis de detractione unione cum Deo et praesentia divina in anima magister theologiae Parisiis</v>
      </c>
      <c r="I1480" t="str">
        <f>_xlfn.XLOOKUP(frasest[[#This Row],[autor_es]],autorest[autor_es],autorest[codigo])</f>
        <v>la</v>
      </c>
      <c r="J1480" t="str">
        <f>_xlfn.XLOOKUP(frasest[[#This Row],[autor_es]],autorest[autor_es],autorest[idioma_es])</f>
        <v>Latín</v>
      </c>
      <c r="K1480" s="6" t="str">
        <f>_xlfn.XLOOKUP(frasest[[#This Row],[autor_es]],autorest[autor_es],autorest[idioma_la])</f>
        <v>Lingua Latina</v>
      </c>
      <c r="L1480" s="6" t="str">
        <f>_xlfn.XLOOKUP(frasest[[#This Row],[autor_es]],autorest[autor_es],autorest[nacion_es])</f>
        <v>Alemania</v>
      </c>
      <c r="M1480" t="str">
        <f>_xlfn.XLOOKUP(frasest[[#This Row],[autor_es]],autorest[autor_es],autorest[nacion_la])</f>
        <v>Germania</v>
      </c>
      <c r="N1480" t="str">
        <f>_xlfn.XLOOKUP(frasest[[#This Row],[autor_es]],autorest[autor_es],autorest[epoca_es])</f>
        <v>Edad Media</v>
      </c>
      <c r="O1480" t="str">
        <f>_xlfn.XLOOKUP(frasest[[#This Row],[autor_es]],autorest[autor_es],autorest[epoca_la])</f>
        <v>Medium Aevum</v>
      </c>
    </row>
    <row r="1481" spans="1:15">
      <c r="A1481">
        <v>1480</v>
      </c>
      <c r="B1481" t="s">
        <v>4128</v>
      </c>
      <c r="C1481" t="s">
        <v>4129</v>
      </c>
      <c r="D1481" t="s">
        <v>4128</v>
      </c>
      <c r="E1481" t="s">
        <v>4130</v>
      </c>
      <c r="F1481" t="str">
        <f>_xlfn.XLOOKUP(frasest[[#This Row],[autor_es]],autorest[autor_es],autorest[autor_la])</f>
        <v>Sanctus Ignatius de Loyola</v>
      </c>
      <c r="G1481"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1"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1" t="str">
        <f>_xlfn.XLOOKUP(frasest[[#This Row],[autor_es]],autorest[autor_es],autorest[codigo])</f>
        <v>es</v>
      </c>
      <c r="J1481" t="str">
        <f>_xlfn.XLOOKUP(frasest[[#This Row],[autor_es]],autorest[autor_es],autorest[idioma_es])</f>
        <v>Español</v>
      </c>
      <c r="K1481" s="6" t="str">
        <f>_xlfn.XLOOKUP(frasest[[#This Row],[autor_es]],autorest[autor_es],autorest[idioma_la])</f>
        <v>Lingua Hispanica</v>
      </c>
      <c r="L1481" s="6" t="str">
        <f>_xlfn.XLOOKUP(frasest[[#This Row],[autor_es]],autorest[autor_es],autorest[nacion_es])</f>
        <v>España</v>
      </c>
      <c r="M1481" t="str">
        <f>_xlfn.XLOOKUP(frasest[[#This Row],[autor_es]],autorest[autor_es],autorest[nacion_la])</f>
        <v>Hispania</v>
      </c>
      <c r="N1481" t="str">
        <f>_xlfn.XLOOKUP(frasest[[#This Row],[autor_es]],autorest[autor_es],autorest[epoca_es])</f>
        <v>Edad Media</v>
      </c>
      <c r="O1481" t="str">
        <f>_xlfn.XLOOKUP(frasest[[#This Row],[autor_es]],autorest[autor_es],autorest[epoca_la])</f>
        <v>Medium Aevum</v>
      </c>
    </row>
    <row r="1482" spans="1:15">
      <c r="A1482">
        <v>1481</v>
      </c>
      <c r="B1482" t="s">
        <v>4131</v>
      </c>
      <c r="C1482" t="s">
        <v>4132</v>
      </c>
      <c r="D1482" t="s">
        <v>4131</v>
      </c>
      <c r="E1482" t="s">
        <v>4130</v>
      </c>
      <c r="F1482" t="str">
        <f>_xlfn.XLOOKUP(frasest[[#This Row],[autor_es]],autorest[autor_es],autorest[autor_la])</f>
        <v>Sanctus Ignatius de Loyola</v>
      </c>
      <c r="G1482"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2"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2" t="str">
        <f>_xlfn.XLOOKUP(frasest[[#This Row],[autor_es]],autorest[autor_es],autorest[codigo])</f>
        <v>es</v>
      </c>
      <c r="J1482" t="str">
        <f>_xlfn.XLOOKUP(frasest[[#This Row],[autor_es]],autorest[autor_es],autorest[idioma_es])</f>
        <v>Español</v>
      </c>
      <c r="K1482" s="6" t="str">
        <f>_xlfn.XLOOKUP(frasest[[#This Row],[autor_es]],autorest[autor_es],autorest[idioma_la])</f>
        <v>Lingua Hispanica</v>
      </c>
      <c r="L1482" s="6" t="str">
        <f>_xlfn.XLOOKUP(frasest[[#This Row],[autor_es]],autorest[autor_es],autorest[nacion_es])</f>
        <v>España</v>
      </c>
      <c r="M1482" t="str">
        <f>_xlfn.XLOOKUP(frasest[[#This Row],[autor_es]],autorest[autor_es],autorest[nacion_la])</f>
        <v>Hispania</v>
      </c>
      <c r="N1482" t="str">
        <f>_xlfn.XLOOKUP(frasest[[#This Row],[autor_es]],autorest[autor_es],autorest[epoca_es])</f>
        <v>Edad Media</v>
      </c>
      <c r="O1482" t="str">
        <f>_xlfn.XLOOKUP(frasest[[#This Row],[autor_es]],autorest[autor_es],autorest[epoca_la])</f>
        <v>Medium Aevum</v>
      </c>
    </row>
    <row r="1483" spans="1:15">
      <c r="A1483">
        <v>1482</v>
      </c>
      <c r="B1483" t="s">
        <v>4133</v>
      </c>
      <c r="C1483" t="s">
        <v>4134</v>
      </c>
      <c r="D1483" t="s">
        <v>4133</v>
      </c>
      <c r="E1483" t="s">
        <v>4130</v>
      </c>
      <c r="F1483" t="str">
        <f>_xlfn.XLOOKUP(frasest[[#This Row],[autor_es]],autorest[autor_es],autorest[autor_la])</f>
        <v>Sanctus Ignatius de Loyola</v>
      </c>
      <c r="G1483"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3"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3" t="str">
        <f>_xlfn.XLOOKUP(frasest[[#This Row],[autor_es]],autorest[autor_es],autorest[codigo])</f>
        <v>es</v>
      </c>
      <c r="J1483" t="str">
        <f>_xlfn.XLOOKUP(frasest[[#This Row],[autor_es]],autorest[autor_es],autorest[idioma_es])</f>
        <v>Español</v>
      </c>
      <c r="K1483" s="6" t="str">
        <f>_xlfn.XLOOKUP(frasest[[#This Row],[autor_es]],autorest[autor_es],autorest[idioma_la])</f>
        <v>Lingua Hispanica</v>
      </c>
      <c r="L1483" s="6" t="str">
        <f>_xlfn.XLOOKUP(frasest[[#This Row],[autor_es]],autorest[autor_es],autorest[nacion_es])</f>
        <v>España</v>
      </c>
      <c r="M1483" t="str">
        <f>_xlfn.XLOOKUP(frasest[[#This Row],[autor_es]],autorest[autor_es],autorest[nacion_la])</f>
        <v>Hispania</v>
      </c>
      <c r="N1483" t="str">
        <f>_xlfn.XLOOKUP(frasest[[#This Row],[autor_es]],autorest[autor_es],autorest[epoca_es])</f>
        <v>Edad Media</v>
      </c>
      <c r="O1483" t="str">
        <f>_xlfn.XLOOKUP(frasest[[#This Row],[autor_es]],autorest[autor_es],autorest[epoca_la])</f>
        <v>Medium Aevum</v>
      </c>
    </row>
    <row r="1484" spans="1:15">
      <c r="A1484">
        <v>1483</v>
      </c>
      <c r="B1484" t="s">
        <v>4135</v>
      </c>
      <c r="C1484" t="s">
        <v>4136</v>
      </c>
      <c r="D1484" t="s">
        <v>4135</v>
      </c>
      <c r="E1484" t="s">
        <v>4130</v>
      </c>
      <c r="F1484" t="str">
        <f>_xlfn.XLOOKUP(frasest[[#This Row],[autor_es]],autorest[autor_es],autorest[autor_la])</f>
        <v>Sanctus Ignatius de Loyola</v>
      </c>
      <c r="G1484"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4"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4" t="str">
        <f>_xlfn.XLOOKUP(frasest[[#This Row],[autor_es]],autorest[autor_es],autorest[codigo])</f>
        <v>es</v>
      </c>
      <c r="J1484" t="str">
        <f>_xlfn.XLOOKUP(frasest[[#This Row],[autor_es]],autorest[autor_es],autorest[idioma_es])</f>
        <v>Español</v>
      </c>
      <c r="K1484" s="6" t="str">
        <f>_xlfn.XLOOKUP(frasest[[#This Row],[autor_es]],autorest[autor_es],autorest[idioma_la])</f>
        <v>Lingua Hispanica</v>
      </c>
      <c r="L1484" s="6" t="str">
        <f>_xlfn.XLOOKUP(frasest[[#This Row],[autor_es]],autorest[autor_es],autorest[nacion_es])</f>
        <v>España</v>
      </c>
      <c r="M1484" t="str">
        <f>_xlfn.XLOOKUP(frasest[[#This Row],[autor_es]],autorest[autor_es],autorest[nacion_la])</f>
        <v>Hispania</v>
      </c>
      <c r="N1484" t="str">
        <f>_xlfn.XLOOKUP(frasest[[#This Row],[autor_es]],autorest[autor_es],autorest[epoca_es])</f>
        <v>Edad Media</v>
      </c>
      <c r="O1484" t="str">
        <f>_xlfn.XLOOKUP(frasest[[#This Row],[autor_es]],autorest[autor_es],autorest[epoca_la])</f>
        <v>Medium Aevum</v>
      </c>
    </row>
    <row r="1485" spans="1:15">
      <c r="A1485">
        <v>1484</v>
      </c>
      <c r="B1485" t="s">
        <v>4137</v>
      </c>
      <c r="C1485" t="s">
        <v>4138</v>
      </c>
      <c r="D1485" t="s">
        <v>4137</v>
      </c>
      <c r="E1485" t="s">
        <v>4130</v>
      </c>
      <c r="F1485" t="str">
        <f>_xlfn.XLOOKUP(frasest[[#This Row],[autor_es]],autorest[autor_es],autorest[autor_la])</f>
        <v>Sanctus Ignatius de Loyola</v>
      </c>
      <c r="G1485"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5"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5" t="str">
        <f>_xlfn.XLOOKUP(frasest[[#This Row],[autor_es]],autorest[autor_es],autorest[codigo])</f>
        <v>es</v>
      </c>
      <c r="J1485" t="str">
        <f>_xlfn.XLOOKUP(frasest[[#This Row],[autor_es]],autorest[autor_es],autorest[idioma_es])</f>
        <v>Español</v>
      </c>
      <c r="K1485" s="6" t="str">
        <f>_xlfn.XLOOKUP(frasest[[#This Row],[autor_es]],autorest[autor_es],autorest[idioma_la])</f>
        <v>Lingua Hispanica</v>
      </c>
      <c r="L1485" s="6" t="str">
        <f>_xlfn.XLOOKUP(frasest[[#This Row],[autor_es]],autorest[autor_es],autorest[nacion_es])</f>
        <v>España</v>
      </c>
      <c r="M1485" t="str">
        <f>_xlfn.XLOOKUP(frasest[[#This Row],[autor_es]],autorest[autor_es],autorest[nacion_la])</f>
        <v>Hispania</v>
      </c>
      <c r="N1485" t="str">
        <f>_xlfn.XLOOKUP(frasest[[#This Row],[autor_es]],autorest[autor_es],autorest[epoca_es])</f>
        <v>Edad Media</v>
      </c>
      <c r="O1485" t="str">
        <f>_xlfn.XLOOKUP(frasest[[#This Row],[autor_es]],autorest[autor_es],autorest[epoca_la])</f>
        <v>Medium Aevum</v>
      </c>
    </row>
    <row r="1486" spans="1:15">
      <c r="A1486">
        <v>1485</v>
      </c>
      <c r="B1486" t="s">
        <v>4139</v>
      </c>
      <c r="C1486" t="s">
        <v>4140</v>
      </c>
      <c r="D1486" t="s">
        <v>4139</v>
      </c>
      <c r="E1486" t="s">
        <v>4130</v>
      </c>
      <c r="F1486" t="str">
        <f>_xlfn.XLOOKUP(frasest[[#This Row],[autor_es]],autorest[autor_es],autorest[autor_la])</f>
        <v>Sanctus Ignatius de Loyola</v>
      </c>
      <c r="G1486"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6"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6" t="str">
        <f>_xlfn.XLOOKUP(frasest[[#This Row],[autor_es]],autorest[autor_es],autorest[codigo])</f>
        <v>es</v>
      </c>
      <c r="J1486" t="str">
        <f>_xlfn.XLOOKUP(frasest[[#This Row],[autor_es]],autorest[autor_es],autorest[idioma_es])</f>
        <v>Español</v>
      </c>
      <c r="K1486" s="6" t="str">
        <f>_xlfn.XLOOKUP(frasest[[#This Row],[autor_es]],autorest[autor_es],autorest[idioma_la])</f>
        <v>Lingua Hispanica</v>
      </c>
      <c r="L1486" s="6" t="str">
        <f>_xlfn.XLOOKUP(frasest[[#This Row],[autor_es]],autorest[autor_es],autorest[nacion_es])</f>
        <v>España</v>
      </c>
      <c r="M1486" t="str">
        <f>_xlfn.XLOOKUP(frasest[[#This Row],[autor_es]],autorest[autor_es],autorest[nacion_la])</f>
        <v>Hispania</v>
      </c>
      <c r="N1486" t="str">
        <f>_xlfn.XLOOKUP(frasest[[#This Row],[autor_es]],autorest[autor_es],autorest[epoca_es])</f>
        <v>Edad Media</v>
      </c>
      <c r="O1486" t="str">
        <f>_xlfn.XLOOKUP(frasest[[#This Row],[autor_es]],autorest[autor_es],autorest[epoca_la])</f>
        <v>Medium Aevum</v>
      </c>
    </row>
    <row r="1487" spans="1:15">
      <c r="A1487">
        <v>1486</v>
      </c>
      <c r="B1487" t="s">
        <v>4141</v>
      </c>
      <c r="C1487" t="s">
        <v>4142</v>
      </c>
      <c r="D1487" t="s">
        <v>4141</v>
      </c>
      <c r="E1487" t="s">
        <v>4130</v>
      </c>
      <c r="F1487" t="str">
        <f>_xlfn.XLOOKUP(frasest[[#This Row],[autor_es]],autorest[autor_es],autorest[autor_la])</f>
        <v>Sanctus Ignatius de Loyola</v>
      </c>
      <c r="G1487"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7"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7" t="str">
        <f>_xlfn.XLOOKUP(frasest[[#This Row],[autor_es]],autorest[autor_es],autorest[codigo])</f>
        <v>es</v>
      </c>
      <c r="J1487" t="str">
        <f>_xlfn.XLOOKUP(frasest[[#This Row],[autor_es]],autorest[autor_es],autorest[idioma_es])</f>
        <v>Español</v>
      </c>
      <c r="K1487" s="6" t="str">
        <f>_xlfn.XLOOKUP(frasest[[#This Row],[autor_es]],autorest[autor_es],autorest[idioma_la])</f>
        <v>Lingua Hispanica</v>
      </c>
      <c r="L1487" s="6" t="str">
        <f>_xlfn.XLOOKUP(frasest[[#This Row],[autor_es]],autorest[autor_es],autorest[nacion_es])</f>
        <v>España</v>
      </c>
      <c r="M1487" t="str">
        <f>_xlfn.XLOOKUP(frasest[[#This Row],[autor_es]],autorest[autor_es],autorest[nacion_la])</f>
        <v>Hispania</v>
      </c>
      <c r="N1487" t="str">
        <f>_xlfn.XLOOKUP(frasest[[#This Row],[autor_es]],autorest[autor_es],autorest[epoca_es])</f>
        <v>Edad Media</v>
      </c>
      <c r="O1487" t="str">
        <f>_xlfn.XLOOKUP(frasest[[#This Row],[autor_es]],autorest[autor_es],autorest[epoca_la])</f>
        <v>Medium Aevum</v>
      </c>
    </row>
    <row r="1488" spans="1:15">
      <c r="A1488">
        <v>1487</v>
      </c>
      <c r="B1488" t="s">
        <v>4143</v>
      </c>
      <c r="C1488" t="s">
        <v>4144</v>
      </c>
      <c r="D1488" t="s">
        <v>4143</v>
      </c>
      <c r="E1488" t="s">
        <v>4130</v>
      </c>
      <c r="F1488" t="str">
        <f>_xlfn.XLOOKUP(frasest[[#This Row],[autor_es]],autorest[autor_es],autorest[autor_la])</f>
        <v>Sanctus Ignatius de Loyola</v>
      </c>
      <c r="G1488"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8"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8" t="str">
        <f>_xlfn.XLOOKUP(frasest[[#This Row],[autor_es]],autorest[autor_es],autorest[codigo])</f>
        <v>es</v>
      </c>
      <c r="J1488" t="str">
        <f>_xlfn.XLOOKUP(frasest[[#This Row],[autor_es]],autorest[autor_es],autorest[idioma_es])</f>
        <v>Español</v>
      </c>
      <c r="K1488" s="6" t="str">
        <f>_xlfn.XLOOKUP(frasest[[#This Row],[autor_es]],autorest[autor_es],autorest[idioma_la])</f>
        <v>Lingua Hispanica</v>
      </c>
      <c r="L1488" s="6" t="str">
        <f>_xlfn.XLOOKUP(frasest[[#This Row],[autor_es]],autorest[autor_es],autorest[nacion_es])</f>
        <v>España</v>
      </c>
      <c r="M1488" t="str">
        <f>_xlfn.XLOOKUP(frasest[[#This Row],[autor_es]],autorest[autor_es],autorest[nacion_la])</f>
        <v>Hispania</v>
      </c>
      <c r="N1488" t="str">
        <f>_xlfn.XLOOKUP(frasest[[#This Row],[autor_es]],autorest[autor_es],autorest[epoca_es])</f>
        <v>Edad Media</v>
      </c>
      <c r="O1488" t="str">
        <f>_xlfn.XLOOKUP(frasest[[#This Row],[autor_es]],autorest[autor_es],autorest[epoca_la])</f>
        <v>Medium Aevum</v>
      </c>
    </row>
    <row r="1489" spans="1:15">
      <c r="A1489">
        <v>1488</v>
      </c>
      <c r="B1489" t="s">
        <v>4145</v>
      </c>
      <c r="C1489" t="s">
        <v>4146</v>
      </c>
      <c r="D1489" t="s">
        <v>4145</v>
      </c>
      <c r="E1489" t="s">
        <v>4130</v>
      </c>
      <c r="F1489" t="str">
        <f>_xlfn.XLOOKUP(frasest[[#This Row],[autor_es]],autorest[autor_es],autorest[autor_la])</f>
        <v>Sanctus Ignatius de Loyola</v>
      </c>
      <c r="G1489"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9"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9" t="str">
        <f>_xlfn.XLOOKUP(frasest[[#This Row],[autor_es]],autorest[autor_es],autorest[codigo])</f>
        <v>es</v>
      </c>
      <c r="J1489" t="str">
        <f>_xlfn.XLOOKUP(frasest[[#This Row],[autor_es]],autorest[autor_es],autorest[idioma_es])</f>
        <v>Español</v>
      </c>
      <c r="K1489" s="6" t="str">
        <f>_xlfn.XLOOKUP(frasest[[#This Row],[autor_es]],autorest[autor_es],autorest[idioma_la])</f>
        <v>Lingua Hispanica</v>
      </c>
      <c r="L1489" s="6" t="str">
        <f>_xlfn.XLOOKUP(frasest[[#This Row],[autor_es]],autorest[autor_es],autorest[nacion_es])</f>
        <v>España</v>
      </c>
      <c r="M1489" t="str">
        <f>_xlfn.XLOOKUP(frasest[[#This Row],[autor_es]],autorest[autor_es],autorest[nacion_la])</f>
        <v>Hispania</v>
      </c>
      <c r="N1489" t="str">
        <f>_xlfn.XLOOKUP(frasest[[#This Row],[autor_es]],autorest[autor_es],autorest[epoca_es])</f>
        <v>Edad Media</v>
      </c>
      <c r="O1489" t="str">
        <f>_xlfn.XLOOKUP(frasest[[#This Row],[autor_es]],autorest[autor_es],autorest[epoca_la])</f>
        <v>Medium Aevum</v>
      </c>
    </row>
    <row r="1490" spans="1:15">
      <c r="A1490">
        <v>1489</v>
      </c>
      <c r="B1490" t="s">
        <v>4147</v>
      </c>
      <c r="C1490" t="s">
        <v>4148</v>
      </c>
      <c r="D1490" t="s">
        <v>4147</v>
      </c>
      <c r="E1490" t="s">
        <v>4130</v>
      </c>
      <c r="F1490" t="str">
        <f>_xlfn.XLOOKUP(frasest[[#This Row],[autor_es]],autorest[autor_es],autorest[autor_la])</f>
        <v>Sanctus Ignatius de Loyola</v>
      </c>
      <c r="G1490"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0"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0" t="str">
        <f>_xlfn.XLOOKUP(frasest[[#This Row],[autor_es]],autorest[autor_es],autorest[codigo])</f>
        <v>es</v>
      </c>
      <c r="J1490" t="str">
        <f>_xlfn.XLOOKUP(frasest[[#This Row],[autor_es]],autorest[autor_es],autorest[idioma_es])</f>
        <v>Español</v>
      </c>
      <c r="K1490" s="6" t="str">
        <f>_xlfn.XLOOKUP(frasest[[#This Row],[autor_es]],autorest[autor_es],autorest[idioma_la])</f>
        <v>Lingua Hispanica</v>
      </c>
      <c r="L1490" s="6" t="str">
        <f>_xlfn.XLOOKUP(frasest[[#This Row],[autor_es]],autorest[autor_es],autorest[nacion_es])</f>
        <v>España</v>
      </c>
      <c r="M1490" t="str">
        <f>_xlfn.XLOOKUP(frasest[[#This Row],[autor_es]],autorest[autor_es],autorest[nacion_la])</f>
        <v>Hispania</v>
      </c>
      <c r="N1490" t="str">
        <f>_xlfn.XLOOKUP(frasest[[#This Row],[autor_es]],autorest[autor_es],autorest[epoca_es])</f>
        <v>Edad Media</v>
      </c>
      <c r="O1490" t="str">
        <f>_xlfn.XLOOKUP(frasest[[#This Row],[autor_es]],autorest[autor_es],autorest[epoca_la])</f>
        <v>Medium Aevum</v>
      </c>
    </row>
    <row r="1491" spans="1:15">
      <c r="A1491">
        <v>1490</v>
      </c>
      <c r="B1491" t="s">
        <v>4149</v>
      </c>
      <c r="C1491" t="s">
        <v>4150</v>
      </c>
      <c r="D1491" t="s">
        <v>4149</v>
      </c>
      <c r="E1491" t="s">
        <v>4130</v>
      </c>
      <c r="F1491" t="str">
        <f>_xlfn.XLOOKUP(frasest[[#This Row],[autor_es]],autorest[autor_es],autorest[autor_la])</f>
        <v>Sanctus Ignatius de Loyola</v>
      </c>
      <c r="G1491"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1"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1" t="str">
        <f>_xlfn.XLOOKUP(frasest[[#This Row],[autor_es]],autorest[autor_es],autorest[codigo])</f>
        <v>es</v>
      </c>
      <c r="J1491" t="str">
        <f>_xlfn.XLOOKUP(frasest[[#This Row],[autor_es]],autorest[autor_es],autorest[idioma_es])</f>
        <v>Español</v>
      </c>
      <c r="K1491" s="6" t="str">
        <f>_xlfn.XLOOKUP(frasest[[#This Row],[autor_es]],autorest[autor_es],autorest[idioma_la])</f>
        <v>Lingua Hispanica</v>
      </c>
      <c r="L1491" s="6" t="str">
        <f>_xlfn.XLOOKUP(frasest[[#This Row],[autor_es]],autorest[autor_es],autorest[nacion_es])</f>
        <v>España</v>
      </c>
      <c r="M1491" t="str">
        <f>_xlfn.XLOOKUP(frasest[[#This Row],[autor_es]],autorest[autor_es],autorest[nacion_la])</f>
        <v>Hispania</v>
      </c>
      <c r="N1491" t="str">
        <f>_xlfn.XLOOKUP(frasest[[#This Row],[autor_es]],autorest[autor_es],autorest[epoca_es])</f>
        <v>Edad Media</v>
      </c>
      <c r="O1491" t="str">
        <f>_xlfn.XLOOKUP(frasest[[#This Row],[autor_es]],autorest[autor_es],autorest[epoca_la])</f>
        <v>Medium Aevum</v>
      </c>
    </row>
    <row r="1492" spans="1:15">
      <c r="A1492">
        <v>1491</v>
      </c>
      <c r="B1492" t="s">
        <v>4151</v>
      </c>
      <c r="C1492" t="s">
        <v>4152</v>
      </c>
      <c r="D1492" t="s">
        <v>4151</v>
      </c>
      <c r="E1492" t="s">
        <v>4130</v>
      </c>
      <c r="F1492" t="str">
        <f>_xlfn.XLOOKUP(frasest[[#This Row],[autor_es]],autorest[autor_es],autorest[autor_la])</f>
        <v>Sanctus Ignatius de Loyola</v>
      </c>
      <c r="G1492"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2"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2" t="str">
        <f>_xlfn.XLOOKUP(frasest[[#This Row],[autor_es]],autorest[autor_es],autorest[codigo])</f>
        <v>es</v>
      </c>
      <c r="J1492" t="str">
        <f>_xlfn.XLOOKUP(frasest[[#This Row],[autor_es]],autorest[autor_es],autorest[idioma_es])</f>
        <v>Español</v>
      </c>
      <c r="K1492" s="6" t="str">
        <f>_xlfn.XLOOKUP(frasest[[#This Row],[autor_es]],autorest[autor_es],autorest[idioma_la])</f>
        <v>Lingua Hispanica</v>
      </c>
      <c r="L1492" s="6" t="str">
        <f>_xlfn.XLOOKUP(frasest[[#This Row],[autor_es]],autorest[autor_es],autorest[nacion_es])</f>
        <v>España</v>
      </c>
      <c r="M1492" t="str">
        <f>_xlfn.XLOOKUP(frasest[[#This Row],[autor_es]],autorest[autor_es],autorest[nacion_la])</f>
        <v>Hispania</v>
      </c>
      <c r="N1492" t="str">
        <f>_xlfn.XLOOKUP(frasest[[#This Row],[autor_es]],autorest[autor_es],autorest[epoca_es])</f>
        <v>Edad Media</v>
      </c>
      <c r="O1492" t="str">
        <f>_xlfn.XLOOKUP(frasest[[#This Row],[autor_es]],autorest[autor_es],autorest[epoca_la])</f>
        <v>Medium Aevum</v>
      </c>
    </row>
    <row r="1493" spans="1:15">
      <c r="A1493">
        <v>1492</v>
      </c>
      <c r="B1493" t="s">
        <v>4153</v>
      </c>
      <c r="C1493" t="s">
        <v>4154</v>
      </c>
      <c r="D1493" t="s">
        <v>4153</v>
      </c>
      <c r="E1493" t="s">
        <v>4130</v>
      </c>
      <c r="F1493" t="str">
        <f>_xlfn.XLOOKUP(frasest[[#This Row],[autor_es]],autorest[autor_es],autorest[autor_la])</f>
        <v>Sanctus Ignatius de Loyola</v>
      </c>
      <c r="G1493"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3"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3" t="str">
        <f>_xlfn.XLOOKUP(frasest[[#This Row],[autor_es]],autorest[autor_es],autorest[codigo])</f>
        <v>es</v>
      </c>
      <c r="J1493" t="str">
        <f>_xlfn.XLOOKUP(frasest[[#This Row],[autor_es]],autorest[autor_es],autorest[idioma_es])</f>
        <v>Español</v>
      </c>
      <c r="K1493" s="6" t="str">
        <f>_xlfn.XLOOKUP(frasest[[#This Row],[autor_es]],autorest[autor_es],autorest[idioma_la])</f>
        <v>Lingua Hispanica</v>
      </c>
      <c r="L1493" s="6" t="str">
        <f>_xlfn.XLOOKUP(frasest[[#This Row],[autor_es]],autorest[autor_es],autorest[nacion_es])</f>
        <v>España</v>
      </c>
      <c r="M1493" t="str">
        <f>_xlfn.XLOOKUP(frasest[[#This Row],[autor_es]],autorest[autor_es],autorest[nacion_la])</f>
        <v>Hispania</v>
      </c>
      <c r="N1493" t="str">
        <f>_xlfn.XLOOKUP(frasest[[#This Row],[autor_es]],autorest[autor_es],autorest[epoca_es])</f>
        <v>Edad Media</v>
      </c>
      <c r="O1493" t="str">
        <f>_xlfn.XLOOKUP(frasest[[#This Row],[autor_es]],autorest[autor_es],autorest[epoca_la])</f>
        <v>Medium Aevum</v>
      </c>
    </row>
    <row r="1494" spans="1:15">
      <c r="A1494">
        <v>1493</v>
      </c>
      <c r="B1494" t="s">
        <v>4155</v>
      </c>
      <c r="C1494" t="s">
        <v>4156</v>
      </c>
      <c r="D1494" t="s">
        <v>4155</v>
      </c>
      <c r="E1494" t="s">
        <v>4130</v>
      </c>
      <c r="F1494" t="str">
        <f>_xlfn.XLOOKUP(frasest[[#This Row],[autor_es]],autorest[autor_es],autorest[autor_la])</f>
        <v>Sanctus Ignatius de Loyola</v>
      </c>
      <c r="G1494"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4"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4" t="str">
        <f>_xlfn.XLOOKUP(frasest[[#This Row],[autor_es]],autorest[autor_es],autorest[codigo])</f>
        <v>es</v>
      </c>
      <c r="J1494" t="str">
        <f>_xlfn.XLOOKUP(frasest[[#This Row],[autor_es]],autorest[autor_es],autorest[idioma_es])</f>
        <v>Español</v>
      </c>
      <c r="K1494" s="6" t="str">
        <f>_xlfn.XLOOKUP(frasest[[#This Row],[autor_es]],autorest[autor_es],autorest[idioma_la])</f>
        <v>Lingua Hispanica</v>
      </c>
      <c r="L1494" s="6" t="str">
        <f>_xlfn.XLOOKUP(frasest[[#This Row],[autor_es]],autorest[autor_es],autorest[nacion_es])</f>
        <v>España</v>
      </c>
      <c r="M1494" t="str">
        <f>_xlfn.XLOOKUP(frasest[[#This Row],[autor_es]],autorest[autor_es],autorest[nacion_la])</f>
        <v>Hispania</v>
      </c>
      <c r="N1494" t="str">
        <f>_xlfn.XLOOKUP(frasest[[#This Row],[autor_es]],autorest[autor_es],autorest[epoca_es])</f>
        <v>Edad Media</v>
      </c>
      <c r="O1494" t="str">
        <f>_xlfn.XLOOKUP(frasest[[#This Row],[autor_es]],autorest[autor_es],autorest[epoca_la])</f>
        <v>Medium Aevum</v>
      </c>
    </row>
    <row r="1495" spans="1:15">
      <c r="A1495">
        <v>1494</v>
      </c>
      <c r="B1495" t="s">
        <v>4157</v>
      </c>
      <c r="C1495" t="s">
        <v>4158</v>
      </c>
      <c r="D1495" t="s">
        <v>4157</v>
      </c>
      <c r="E1495" t="s">
        <v>4130</v>
      </c>
      <c r="F1495" t="str">
        <f>_xlfn.XLOOKUP(frasest[[#This Row],[autor_es]],autorest[autor_es],autorest[autor_la])</f>
        <v>Sanctus Ignatius de Loyola</v>
      </c>
      <c r="G1495"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5"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5" t="str">
        <f>_xlfn.XLOOKUP(frasest[[#This Row],[autor_es]],autorest[autor_es],autorest[codigo])</f>
        <v>es</v>
      </c>
      <c r="J1495" t="str">
        <f>_xlfn.XLOOKUP(frasest[[#This Row],[autor_es]],autorest[autor_es],autorest[idioma_es])</f>
        <v>Español</v>
      </c>
      <c r="K1495" s="6" t="str">
        <f>_xlfn.XLOOKUP(frasest[[#This Row],[autor_es]],autorest[autor_es],autorest[idioma_la])</f>
        <v>Lingua Hispanica</v>
      </c>
      <c r="L1495" s="6" t="str">
        <f>_xlfn.XLOOKUP(frasest[[#This Row],[autor_es]],autorest[autor_es],autorest[nacion_es])</f>
        <v>España</v>
      </c>
      <c r="M1495" t="str">
        <f>_xlfn.XLOOKUP(frasest[[#This Row],[autor_es]],autorest[autor_es],autorest[nacion_la])</f>
        <v>Hispania</v>
      </c>
      <c r="N1495" t="str">
        <f>_xlfn.XLOOKUP(frasest[[#This Row],[autor_es]],autorest[autor_es],autorest[epoca_es])</f>
        <v>Edad Media</v>
      </c>
      <c r="O1495" t="str">
        <f>_xlfn.XLOOKUP(frasest[[#This Row],[autor_es]],autorest[autor_es],autorest[epoca_la])</f>
        <v>Medium Aevum</v>
      </c>
    </row>
    <row r="1496" spans="1:15">
      <c r="A1496">
        <v>1495</v>
      </c>
      <c r="B1496" t="s">
        <v>4159</v>
      </c>
      <c r="C1496" t="s">
        <v>4160</v>
      </c>
      <c r="D1496" t="s">
        <v>4159</v>
      </c>
      <c r="E1496" t="s">
        <v>4130</v>
      </c>
      <c r="F1496" t="str">
        <f>_xlfn.XLOOKUP(frasest[[#This Row],[autor_es]],autorest[autor_es],autorest[autor_la])</f>
        <v>Sanctus Ignatius de Loyola</v>
      </c>
      <c r="G1496"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6"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6" t="str">
        <f>_xlfn.XLOOKUP(frasest[[#This Row],[autor_es]],autorest[autor_es],autorest[codigo])</f>
        <v>es</v>
      </c>
      <c r="J1496" t="str">
        <f>_xlfn.XLOOKUP(frasest[[#This Row],[autor_es]],autorest[autor_es],autorest[idioma_es])</f>
        <v>Español</v>
      </c>
      <c r="K1496" s="6" t="str">
        <f>_xlfn.XLOOKUP(frasest[[#This Row],[autor_es]],autorest[autor_es],autorest[idioma_la])</f>
        <v>Lingua Hispanica</v>
      </c>
      <c r="L1496" s="6" t="str">
        <f>_xlfn.XLOOKUP(frasest[[#This Row],[autor_es]],autorest[autor_es],autorest[nacion_es])</f>
        <v>España</v>
      </c>
      <c r="M1496" t="str">
        <f>_xlfn.XLOOKUP(frasest[[#This Row],[autor_es]],autorest[autor_es],autorest[nacion_la])</f>
        <v>Hispania</v>
      </c>
      <c r="N1496" t="str">
        <f>_xlfn.XLOOKUP(frasest[[#This Row],[autor_es]],autorest[autor_es],autorest[epoca_es])</f>
        <v>Edad Media</v>
      </c>
      <c r="O1496" t="str">
        <f>_xlfn.XLOOKUP(frasest[[#This Row],[autor_es]],autorest[autor_es],autorest[epoca_la])</f>
        <v>Medium Aevum</v>
      </c>
    </row>
    <row r="1497" spans="1:15">
      <c r="A1497">
        <v>1496</v>
      </c>
      <c r="B1497" t="s">
        <v>4161</v>
      </c>
      <c r="C1497" t="s">
        <v>4162</v>
      </c>
      <c r="D1497" t="s">
        <v>4161</v>
      </c>
      <c r="E1497" t="s">
        <v>4130</v>
      </c>
      <c r="F1497" t="str">
        <f>_xlfn.XLOOKUP(frasest[[#This Row],[autor_es]],autorest[autor_es],autorest[autor_la])</f>
        <v>Sanctus Ignatius de Loyola</v>
      </c>
      <c r="G1497"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7"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7" t="str">
        <f>_xlfn.XLOOKUP(frasest[[#This Row],[autor_es]],autorest[autor_es],autorest[codigo])</f>
        <v>es</v>
      </c>
      <c r="J1497" t="str">
        <f>_xlfn.XLOOKUP(frasest[[#This Row],[autor_es]],autorest[autor_es],autorest[idioma_es])</f>
        <v>Español</v>
      </c>
      <c r="K1497" s="6" t="str">
        <f>_xlfn.XLOOKUP(frasest[[#This Row],[autor_es]],autorest[autor_es],autorest[idioma_la])</f>
        <v>Lingua Hispanica</v>
      </c>
      <c r="L1497" s="6" t="str">
        <f>_xlfn.XLOOKUP(frasest[[#This Row],[autor_es]],autorest[autor_es],autorest[nacion_es])</f>
        <v>España</v>
      </c>
      <c r="M1497" t="str">
        <f>_xlfn.XLOOKUP(frasest[[#This Row],[autor_es]],autorest[autor_es],autorest[nacion_la])</f>
        <v>Hispania</v>
      </c>
      <c r="N1497" t="str">
        <f>_xlfn.XLOOKUP(frasest[[#This Row],[autor_es]],autorest[autor_es],autorest[epoca_es])</f>
        <v>Edad Media</v>
      </c>
      <c r="O1497" t="str">
        <f>_xlfn.XLOOKUP(frasest[[#This Row],[autor_es]],autorest[autor_es],autorest[epoca_la])</f>
        <v>Medium Aevum</v>
      </c>
    </row>
    <row r="1498" spans="1:15">
      <c r="A1498">
        <v>1497</v>
      </c>
      <c r="B1498" t="s">
        <v>4163</v>
      </c>
      <c r="C1498" t="s">
        <v>4164</v>
      </c>
      <c r="D1498" t="s">
        <v>4163</v>
      </c>
      <c r="E1498" t="s">
        <v>4130</v>
      </c>
      <c r="F1498" t="str">
        <f>_xlfn.XLOOKUP(frasest[[#This Row],[autor_es]],autorest[autor_es],autorest[autor_la])</f>
        <v>Sanctus Ignatius de Loyola</v>
      </c>
      <c r="G1498"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8"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8" t="str">
        <f>_xlfn.XLOOKUP(frasest[[#This Row],[autor_es]],autorest[autor_es],autorest[codigo])</f>
        <v>es</v>
      </c>
      <c r="J1498" t="str">
        <f>_xlfn.XLOOKUP(frasest[[#This Row],[autor_es]],autorest[autor_es],autorest[idioma_es])</f>
        <v>Español</v>
      </c>
      <c r="K1498" s="6" t="str">
        <f>_xlfn.XLOOKUP(frasest[[#This Row],[autor_es]],autorest[autor_es],autorest[idioma_la])</f>
        <v>Lingua Hispanica</v>
      </c>
      <c r="L1498" s="6" t="str">
        <f>_xlfn.XLOOKUP(frasest[[#This Row],[autor_es]],autorest[autor_es],autorest[nacion_es])</f>
        <v>España</v>
      </c>
      <c r="M1498" t="str">
        <f>_xlfn.XLOOKUP(frasest[[#This Row],[autor_es]],autorest[autor_es],autorest[nacion_la])</f>
        <v>Hispania</v>
      </c>
      <c r="N1498" t="str">
        <f>_xlfn.XLOOKUP(frasest[[#This Row],[autor_es]],autorest[autor_es],autorest[epoca_es])</f>
        <v>Edad Media</v>
      </c>
      <c r="O1498" t="str">
        <f>_xlfn.XLOOKUP(frasest[[#This Row],[autor_es]],autorest[autor_es],autorest[epoca_la])</f>
        <v>Medium Aevum</v>
      </c>
    </row>
    <row r="1499" spans="1:15">
      <c r="A1499">
        <v>1498</v>
      </c>
      <c r="B1499" t="s">
        <v>4165</v>
      </c>
      <c r="C1499" t="s">
        <v>4166</v>
      </c>
      <c r="D1499" t="s">
        <v>4165</v>
      </c>
      <c r="E1499" t="s">
        <v>4130</v>
      </c>
      <c r="F1499" t="str">
        <f>_xlfn.XLOOKUP(frasest[[#This Row],[autor_es]],autorest[autor_es],autorest[autor_la])</f>
        <v>Sanctus Ignatius de Loyola</v>
      </c>
      <c r="G1499"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9"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9" t="str">
        <f>_xlfn.XLOOKUP(frasest[[#This Row],[autor_es]],autorest[autor_es],autorest[codigo])</f>
        <v>es</v>
      </c>
      <c r="J1499" t="str">
        <f>_xlfn.XLOOKUP(frasest[[#This Row],[autor_es]],autorest[autor_es],autorest[idioma_es])</f>
        <v>Español</v>
      </c>
      <c r="K1499" s="6" t="str">
        <f>_xlfn.XLOOKUP(frasest[[#This Row],[autor_es]],autorest[autor_es],autorest[idioma_la])</f>
        <v>Lingua Hispanica</v>
      </c>
      <c r="L1499" s="6" t="str">
        <f>_xlfn.XLOOKUP(frasest[[#This Row],[autor_es]],autorest[autor_es],autorest[nacion_es])</f>
        <v>España</v>
      </c>
      <c r="M1499" t="str">
        <f>_xlfn.XLOOKUP(frasest[[#This Row],[autor_es]],autorest[autor_es],autorest[nacion_la])</f>
        <v>Hispania</v>
      </c>
      <c r="N1499" t="str">
        <f>_xlfn.XLOOKUP(frasest[[#This Row],[autor_es]],autorest[autor_es],autorest[epoca_es])</f>
        <v>Edad Media</v>
      </c>
      <c r="O1499" t="str">
        <f>_xlfn.XLOOKUP(frasest[[#This Row],[autor_es]],autorest[autor_es],autorest[epoca_la])</f>
        <v>Medium Aevum</v>
      </c>
    </row>
    <row r="1500" spans="1:15">
      <c r="A1500">
        <v>1499</v>
      </c>
      <c r="B1500" t="s">
        <v>4167</v>
      </c>
      <c r="C1500" t="s">
        <v>4168</v>
      </c>
      <c r="D1500" t="s">
        <v>4167</v>
      </c>
      <c r="E1500" t="s">
        <v>4130</v>
      </c>
      <c r="F1500" t="str">
        <f>_xlfn.XLOOKUP(frasest[[#This Row],[autor_es]],autorest[autor_es],autorest[autor_la])</f>
        <v>Sanctus Ignatius de Loyola</v>
      </c>
      <c r="G1500"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00"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00" t="str">
        <f>_xlfn.XLOOKUP(frasest[[#This Row],[autor_es]],autorest[autor_es],autorest[codigo])</f>
        <v>es</v>
      </c>
      <c r="J1500" t="str">
        <f>_xlfn.XLOOKUP(frasest[[#This Row],[autor_es]],autorest[autor_es],autorest[idioma_es])</f>
        <v>Español</v>
      </c>
      <c r="K1500" s="6" t="str">
        <f>_xlfn.XLOOKUP(frasest[[#This Row],[autor_es]],autorest[autor_es],autorest[idioma_la])</f>
        <v>Lingua Hispanica</v>
      </c>
      <c r="L1500" s="6" t="str">
        <f>_xlfn.XLOOKUP(frasest[[#This Row],[autor_es]],autorest[autor_es],autorest[nacion_es])</f>
        <v>España</v>
      </c>
      <c r="M1500" t="str">
        <f>_xlfn.XLOOKUP(frasest[[#This Row],[autor_es]],autorest[autor_es],autorest[nacion_la])</f>
        <v>Hispania</v>
      </c>
      <c r="N1500" t="str">
        <f>_xlfn.XLOOKUP(frasest[[#This Row],[autor_es]],autorest[autor_es],autorest[epoca_es])</f>
        <v>Edad Media</v>
      </c>
      <c r="O1500" t="str">
        <f>_xlfn.XLOOKUP(frasest[[#This Row],[autor_es]],autorest[autor_es],autorest[epoca_la])</f>
        <v>Medium Aevum</v>
      </c>
    </row>
    <row r="1501" spans="1:15">
      <c r="A1501">
        <v>1500</v>
      </c>
      <c r="B1501" t="s">
        <v>4169</v>
      </c>
      <c r="C1501" t="s">
        <v>4170</v>
      </c>
      <c r="D1501" t="s">
        <v>4169</v>
      </c>
      <c r="E1501" t="s">
        <v>4171</v>
      </c>
      <c r="F1501" t="str">
        <f>_xlfn.XLOOKUP(frasest[[#This Row],[autor_es]],autorest[autor_es],autorest[autor_la])</f>
        <v>Sanctus Franciscus Xaverius</v>
      </c>
      <c r="G1501"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1"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1" t="str">
        <f>_xlfn.XLOOKUP(frasest[[#This Row],[autor_es]],autorest[autor_es],autorest[codigo])</f>
        <v>es</v>
      </c>
      <c r="J1501" t="str">
        <f>_xlfn.XLOOKUP(frasest[[#This Row],[autor_es]],autorest[autor_es],autorest[idioma_es])</f>
        <v>Español</v>
      </c>
      <c r="K1501" s="6" t="str">
        <f>_xlfn.XLOOKUP(frasest[[#This Row],[autor_es]],autorest[autor_es],autorest[idioma_la])</f>
        <v>Lingua Hispanica</v>
      </c>
      <c r="L1501" s="6" t="str">
        <f>_xlfn.XLOOKUP(frasest[[#This Row],[autor_es]],autorest[autor_es],autorest[nacion_es])</f>
        <v>España</v>
      </c>
      <c r="M1501" t="str">
        <f>_xlfn.XLOOKUP(frasest[[#This Row],[autor_es]],autorest[autor_es],autorest[nacion_la])</f>
        <v>Hispania</v>
      </c>
      <c r="N1501" t="str">
        <f>_xlfn.XLOOKUP(frasest[[#This Row],[autor_es]],autorest[autor_es],autorest[epoca_es])</f>
        <v>Edad Moderna</v>
      </c>
      <c r="O1501" t="str">
        <f>_xlfn.XLOOKUP(frasest[[#This Row],[autor_es]],autorest[autor_es],autorest[epoca_la])</f>
        <v>Nova Aetas</v>
      </c>
    </row>
    <row r="1502" spans="1:15">
      <c r="A1502">
        <v>1501</v>
      </c>
      <c r="B1502" t="s">
        <v>4172</v>
      </c>
      <c r="C1502" t="s">
        <v>4173</v>
      </c>
      <c r="D1502" t="s">
        <v>4172</v>
      </c>
      <c r="E1502" t="s">
        <v>4171</v>
      </c>
      <c r="F1502" t="str">
        <f>_xlfn.XLOOKUP(frasest[[#This Row],[autor_es]],autorest[autor_es],autorest[autor_la])</f>
        <v>Sanctus Franciscus Xaverius</v>
      </c>
      <c r="G1502"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2"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2" t="str">
        <f>_xlfn.XLOOKUP(frasest[[#This Row],[autor_es]],autorest[autor_es],autorest[codigo])</f>
        <v>es</v>
      </c>
      <c r="J1502" t="str">
        <f>_xlfn.XLOOKUP(frasest[[#This Row],[autor_es]],autorest[autor_es],autorest[idioma_es])</f>
        <v>Español</v>
      </c>
      <c r="K1502" s="6" t="str">
        <f>_xlfn.XLOOKUP(frasest[[#This Row],[autor_es]],autorest[autor_es],autorest[idioma_la])</f>
        <v>Lingua Hispanica</v>
      </c>
      <c r="L1502" s="6" t="str">
        <f>_xlfn.XLOOKUP(frasest[[#This Row],[autor_es]],autorest[autor_es],autorest[nacion_es])</f>
        <v>España</v>
      </c>
      <c r="M1502" t="str">
        <f>_xlfn.XLOOKUP(frasest[[#This Row],[autor_es]],autorest[autor_es],autorest[nacion_la])</f>
        <v>Hispania</v>
      </c>
      <c r="N1502" t="str">
        <f>_xlfn.XLOOKUP(frasest[[#This Row],[autor_es]],autorest[autor_es],autorest[epoca_es])</f>
        <v>Edad Moderna</v>
      </c>
      <c r="O1502" t="str">
        <f>_xlfn.XLOOKUP(frasest[[#This Row],[autor_es]],autorest[autor_es],autorest[epoca_la])</f>
        <v>Nova Aetas</v>
      </c>
    </row>
    <row r="1503" spans="1:15">
      <c r="A1503">
        <v>1502</v>
      </c>
      <c r="B1503" t="s">
        <v>4174</v>
      </c>
      <c r="C1503" t="s">
        <v>4175</v>
      </c>
      <c r="D1503" t="s">
        <v>4174</v>
      </c>
      <c r="E1503" t="s">
        <v>4171</v>
      </c>
      <c r="F1503" t="str">
        <f>_xlfn.XLOOKUP(frasest[[#This Row],[autor_es]],autorest[autor_es],autorest[autor_la])</f>
        <v>Sanctus Franciscus Xaverius</v>
      </c>
      <c r="G1503"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3"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3" t="str">
        <f>_xlfn.XLOOKUP(frasest[[#This Row],[autor_es]],autorest[autor_es],autorest[codigo])</f>
        <v>es</v>
      </c>
      <c r="J1503" t="str">
        <f>_xlfn.XLOOKUP(frasest[[#This Row],[autor_es]],autorest[autor_es],autorest[idioma_es])</f>
        <v>Español</v>
      </c>
      <c r="K1503" s="6" t="str">
        <f>_xlfn.XLOOKUP(frasest[[#This Row],[autor_es]],autorest[autor_es],autorest[idioma_la])</f>
        <v>Lingua Hispanica</v>
      </c>
      <c r="L1503" s="6" t="str">
        <f>_xlfn.XLOOKUP(frasest[[#This Row],[autor_es]],autorest[autor_es],autorest[nacion_es])</f>
        <v>España</v>
      </c>
      <c r="M1503" t="str">
        <f>_xlfn.XLOOKUP(frasest[[#This Row],[autor_es]],autorest[autor_es],autorest[nacion_la])</f>
        <v>Hispania</v>
      </c>
      <c r="N1503" t="str">
        <f>_xlfn.XLOOKUP(frasest[[#This Row],[autor_es]],autorest[autor_es],autorest[epoca_es])</f>
        <v>Edad Moderna</v>
      </c>
      <c r="O1503" t="str">
        <f>_xlfn.XLOOKUP(frasest[[#This Row],[autor_es]],autorest[autor_es],autorest[epoca_la])</f>
        <v>Nova Aetas</v>
      </c>
    </row>
    <row r="1504" spans="1:15">
      <c r="A1504">
        <v>1503</v>
      </c>
      <c r="B1504" t="s">
        <v>4176</v>
      </c>
      <c r="C1504" t="s">
        <v>4177</v>
      </c>
      <c r="D1504" t="s">
        <v>4176</v>
      </c>
      <c r="E1504" t="s">
        <v>4171</v>
      </c>
      <c r="F1504" t="str">
        <f>_xlfn.XLOOKUP(frasest[[#This Row],[autor_es]],autorest[autor_es],autorest[autor_la])</f>
        <v>Sanctus Franciscus Xaverius</v>
      </c>
      <c r="G1504"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4"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4" t="str">
        <f>_xlfn.XLOOKUP(frasest[[#This Row],[autor_es]],autorest[autor_es],autorest[codigo])</f>
        <v>es</v>
      </c>
      <c r="J1504" t="str">
        <f>_xlfn.XLOOKUP(frasest[[#This Row],[autor_es]],autorest[autor_es],autorest[idioma_es])</f>
        <v>Español</v>
      </c>
      <c r="K1504" s="6" t="str">
        <f>_xlfn.XLOOKUP(frasest[[#This Row],[autor_es]],autorest[autor_es],autorest[idioma_la])</f>
        <v>Lingua Hispanica</v>
      </c>
      <c r="L1504" s="6" t="str">
        <f>_xlfn.XLOOKUP(frasest[[#This Row],[autor_es]],autorest[autor_es],autorest[nacion_es])</f>
        <v>España</v>
      </c>
      <c r="M1504" t="str">
        <f>_xlfn.XLOOKUP(frasest[[#This Row],[autor_es]],autorest[autor_es],autorest[nacion_la])</f>
        <v>Hispania</v>
      </c>
      <c r="N1504" t="str">
        <f>_xlfn.XLOOKUP(frasest[[#This Row],[autor_es]],autorest[autor_es],autorest[epoca_es])</f>
        <v>Edad Moderna</v>
      </c>
      <c r="O1504" t="str">
        <f>_xlfn.XLOOKUP(frasest[[#This Row],[autor_es]],autorest[autor_es],autorest[epoca_la])</f>
        <v>Nova Aetas</v>
      </c>
    </row>
    <row r="1505" spans="1:15">
      <c r="A1505">
        <v>1504</v>
      </c>
      <c r="B1505" t="s">
        <v>4178</v>
      </c>
      <c r="C1505" t="s">
        <v>4179</v>
      </c>
      <c r="D1505" t="s">
        <v>4178</v>
      </c>
      <c r="E1505" t="s">
        <v>4171</v>
      </c>
      <c r="F1505" t="str">
        <f>_xlfn.XLOOKUP(frasest[[#This Row],[autor_es]],autorest[autor_es],autorest[autor_la])</f>
        <v>Sanctus Franciscus Xaverius</v>
      </c>
      <c r="G1505"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5"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5" t="str">
        <f>_xlfn.XLOOKUP(frasest[[#This Row],[autor_es]],autorest[autor_es],autorest[codigo])</f>
        <v>es</v>
      </c>
      <c r="J1505" t="str">
        <f>_xlfn.XLOOKUP(frasest[[#This Row],[autor_es]],autorest[autor_es],autorest[idioma_es])</f>
        <v>Español</v>
      </c>
      <c r="K1505" s="6" t="str">
        <f>_xlfn.XLOOKUP(frasest[[#This Row],[autor_es]],autorest[autor_es],autorest[idioma_la])</f>
        <v>Lingua Hispanica</v>
      </c>
      <c r="L1505" s="6" t="str">
        <f>_xlfn.XLOOKUP(frasest[[#This Row],[autor_es]],autorest[autor_es],autorest[nacion_es])</f>
        <v>España</v>
      </c>
      <c r="M1505" t="str">
        <f>_xlfn.XLOOKUP(frasest[[#This Row],[autor_es]],autorest[autor_es],autorest[nacion_la])</f>
        <v>Hispania</v>
      </c>
      <c r="N1505" t="str">
        <f>_xlfn.XLOOKUP(frasest[[#This Row],[autor_es]],autorest[autor_es],autorest[epoca_es])</f>
        <v>Edad Moderna</v>
      </c>
      <c r="O1505" t="str">
        <f>_xlfn.XLOOKUP(frasest[[#This Row],[autor_es]],autorest[autor_es],autorest[epoca_la])</f>
        <v>Nova Aetas</v>
      </c>
    </row>
    <row r="1506" spans="1:15">
      <c r="A1506">
        <v>1505</v>
      </c>
      <c r="B1506" t="s">
        <v>4180</v>
      </c>
      <c r="C1506" t="s">
        <v>4181</v>
      </c>
      <c r="D1506" t="s">
        <v>4180</v>
      </c>
      <c r="E1506" t="s">
        <v>4171</v>
      </c>
      <c r="F1506" t="str">
        <f>_xlfn.XLOOKUP(frasest[[#This Row],[autor_es]],autorest[autor_es],autorest[autor_la])</f>
        <v>Sanctus Franciscus Xaverius</v>
      </c>
      <c r="G1506"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6"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6" t="str">
        <f>_xlfn.XLOOKUP(frasest[[#This Row],[autor_es]],autorest[autor_es],autorest[codigo])</f>
        <v>es</v>
      </c>
      <c r="J1506" t="str">
        <f>_xlfn.XLOOKUP(frasest[[#This Row],[autor_es]],autorest[autor_es],autorest[idioma_es])</f>
        <v>Español</v>
      </c>
      <c r="K1506" s="6" t="str">
        <f>_xlfn.XLOOKUP(frasest[[#This Row],[autor_es]],autorest[autor_es],autorest[idioma_la])</f>
        <v>Lingua Hispanica</v>
      </c>
      <c r="L1506" s="6" t="str">
        <f>_xlfn.XLOOKUP(frasest[[#This Row],[autor_es]],autorest[autor_es],autorest[nacion_es])</f>
        <v>España</v>
      </c>
      <c r="M1506" t="str">
        <f>_xlfn.XLOOKUP(frasest[[#This Row],[autor_es]],autorest[autor_es],autorest[nacion_la])</f>
        <v>Hispania</v>
      </c>
      <c r="N1506" t="str">
        <f>_xlfn.XLOOKUP(frasest[[#This Row],[autor_es]],autorest[autor_es],autorest[epoca_es])</f>
        <v>Edad Moderna</v>
      </c>
      <c r="O1506" t="str">
        <f>_xlfn.XLOOKUP(frasest[[#This Row],[autor_es]],autorest[autor_es],autorest[epoca_la])</f>
        <v>Nova Aetas</v>
      </c>
    </row>
    <row r="1507" spans="1:15">
      <c r="A1507">
        <v>1506</v>
      </c>
      <c r="B1507" t="s">
        <v>4182</v>
      </c>
      <c r="C1507" t="s">
        <v>4183</v>
      </c>
      <c r="D1507" t="s">
        <v>4182</v>
      </c>
      <c r="E1507" t="s">
        <v>4171</v>
      </c>
      <c r="F1507" t="str">
        <f>_xlfn.XLOOKUP(frasest[[#This Row],[autor_es]],autorest[autor_es],autorest[autor_la])</f>
        <v>Sanctus Franciscus Xaverius</v>
      </c>
      <c r="G1507"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7"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7" t="str">
        <f>_xlfn.XLOOKUP(frasest[[#This Row],[autor_es]],autorest[autor_es],autorest[codigo])</f>
        <v>es</v>
      </c>
      <c r="J1507" t="str">
        <f>_xlfn.XLOOKUP(frasest[[#This Row],[autor_es]],autorest[autor_es],autorest[idioma_es])</f>
        <v>Español</v>
      </c>
      <c r="K1507" s="6" t="str">
        <f>_xlfn.XLOOKUP(frasest[[#This Row],[autor_es]],autorest[autor_es],autorest[idioma_la])</f>
        <v>Lingua Hispanica</v>
      </c>
      <c r="L1507" s="6" t="str">
        <f>_xlfn.XLOOKUP(frasest[[#This Row],[autor_es]],autorest[autor_es],autorest[nacion_es])</f>
        <v>España</v>
      </c>
      <c r="M1507" t="str">
        <f>_xlfn.XLOOKUP(frasest[[#This Row],[autor_es]],autorest[autor_es],autorest[nacion_la])</f>
        <v>Hispania</v>
      </c>
      <c r="N1507" t="str">
        <f>_xlfn.XLOOKUP(frasest[[#This Row],[autor_es]],autorest[autor_es],autorest[epoca_es])</f>
        <v>Edad Moderna</v>
      </c>
      <c r="O1507" t="str">
        <f>_xlfn.XLOOKUP(frasest[[#This Row],[autor_es]],autorest[autor_es],autorest[epoca_la])</f>
        <v>Nova Aetas</v>
      </c>
    </row>
    <row r="1508" spans="1:15">
      <c r="A1508">
        <v>1507</v>
      </c>
      <c r="B1508" t="s">
        <v>4184</v>
      </c>
      <c r="C1508" t="s">
        <v>4185</v>
      </c>
      <c r="D1508" t="s">
        <v>4184</v>
      </c>
      <c r="E1508" t="s">
        <v>4171</v>
      </c>
      <c r="F1508" t="str">
        <f>_xlfn.XLOOKUP(frasest[[#This Row],[autor_es]],autorest[autor_es],autorest[autor_la])</f>
        <v>Sanctus Franciscus Xaverius</v>
      </c>
      <c r="G1508"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8"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8" t="str">
        <f>_xlfn.XLOOKUP(frasest[[#This Row],[autor_es]],autorest[autor_es],autorest[codigo])</f>
        <v>es</v>
      </c>
      <c r="J1508" t="str">
        <f>_xlfn.XLOOKUP(frasest[[#This Row],[autor_es]],autorest[autor_es],autorest[idioma_es])</f>
        <v>Español</v>
      </c>
      <c r="K1508" s="6" t="str">
        <f>_xlfn.XLOOKUP(frasest[[#This Row],[autor_es]],autorest[autor_es],autorest[idioma_la])</f>
        <v>Lingua Hispanica</v>
      </c>
      <c r="L1508" s="6" t="str">
        <f>_xlfn.XLOOKUP(frasest[[#This Row],[autor_es]],autorest[autor_es],autorest[nacion_es])</f>
        <v>España</v>
      </c>
      <c r="M1508" t="str">
        <f>_xlfn.XLOOKUP(frasest[[#This Row],[autor_es]],autorest[autor_es],autorest[nacion_la])</f>
        <v>Hispania</v>
      </c>
      <c r="N1508" t="str">
        <f>_xlfn.XLOOKUP(frasest[[#This Row],[autor_es]],autorest[autor_es],autorest[epoca_es])</f>
        <v>Edad Moderna</v>
      </c>
      <c r="O1508" t="str">
        <f>_xlfn.XLOOKUP(frasest[[#This Row],[autor_es]],autorest[autor_es],autorest[epoca_la])</f>
        <v>Nova Aetas</v>
      </c>
    </row>
    <row r="1509" spans="1:15">
      <c r="A1509">
        <v>1508</v>
      </c>
      <c r="B1509" t="s">
        <v>4186</v>
      </c>
      <c r="C1509" t="s">
        <v>4187</v>
      </c>
      <c r="D1509" t="s">
        <v>4186</v>
      </c>
      <c r="E1509" t="s">
        <v>4171</v>
      </c>
      <c r="F1509" t="str">
        <f>_xlfn.XLOOKUP(frasest[[#This Row],[autor_es]],autorest[autor_es],autorest[autor_la])</f>
        <v>Sanctus Franciscus Xaverius</v>
      </c>
      <c r="G1509"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9"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9" t="str">
        <f>_xlfn.XLOOKUP(frasest[[#This Row],[autor_es]],autorest[autor_es],autorest[codigo])</f>
        <v>es</v>
      </c>
      <c r="J1509" t="str">
        <f>_xlfn.XLOOKUP(frasest[[#This Row],[autor_es]],autorest[autor_es],autorest[idioma_es])</f>
        <v>Español</v>
      </c>
      <c r="K1509" s="6" t="str">
        <f>_xlfn.XLOOKUP(frasest[[#This Row],[autor_es]],autorest[autor_es],autorest[idioma_la])</f>
        <v>Lingua Hispanica</v>
      </c>
      <c r="L1509" s="6" t="str">
        <f>_xlfn.XLOOKUP(frasest[[#This Row],[autor_es]],autorest[autor_es],autorest[nacion_es])</f>
        <v>España</v>
      </c>
      <c r="M1509" t="str">
        <f>_xlfn.XLOOKUP(frasest[[#This Row],[autor_es]],autorest[autor_es],autorest[nacion_la])</f>
        <v>Hispania</v>
      </c>
      <c r="N1509" t="str">
        <f>_xlfn.XLOOKUP(frasest[[#This Row],[autor_es]],autorest[autor_es],autorest[epoca_es])</f>
        <v>Edad Moderna</v>
      </c>
      <c r="O1509" t="str">
        <f>_xlfn.XLOOKUP(frasest[[#This Row],[autor_es]],autorest[autor_es],autorest[epoca_la])</f>
        <v>Nova Aetas</v>
      </c>
    </row>
    <row r="1510" spans="1:15">
      <c r="A1510">
        <v>1509</v>
      </c>
      <c r="B1510" t="s">
        <v>4188</v>
      </c>
      <c r="C1510" t="s">
        <v>4189</v>
      </c>
      <c r="D1510" t="s">
        <v>4188</v>
      </c>
      <c r="E1510" t="s">
        <v>4171</v>
      </c>
      <c r="F1510" t="str">
        <f>_xlfn.XLOOKUP(frasest[[#This Row],[autor_es]],autorest[autor_es],autorest[autor_la])</f>
        <v>Sanctus Franciscus Xaverius</v>
      </c>
      <c r="G1510"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0"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0" t="str">
        <f>_xlfn.XLOOKUP(frasest[[#This Row],[autor_es]],autorest[autor_es],autorest[codigo])</f>
        <v>es</v>
      </c>
      <c r="J1510" t="str">
        <f>_xlfn.XLOOKUP(frasest[[#This Row],[autor_es]],autorest[autor_es],autorest[idioma_es])</f>
        <v>Español</v>
      </c>
      <c r="K1510" s="6" t="str">
        <f>_xlfn.XLOOKUP(frasest[[#This Row],[autor_es]],autorest[autor_es],autorest[idioma_la])</f>
        <v>Lingua Hispanica</v>
      </c>
      <c r="L1510" s="6" t="str">
        <f>_xlfn.XLOOKUP(frasest[[#This Row],[autor_es]],autorest[autor_es],autorest[nacion_es])</f>
        <v>España</v>
      </c>
      <c r="M1510" t="str">
        <f>_xlfn.XLOOKUP(frasest[[#This Row],[autor_es]],autorest[autor_es],autorest[nacion_la])</f>
        <v>Hispania</v>
      </c>
      <c r="N1510" t="str">
        <f>_xlfn.XLOOKUP(frasest[[#This Row],[autor_es]],autorest[autor_es],autorest[epoca_es])</f>
        <v>Edad Moderna</v>
      </c>
      <c r="O1510" t="str">
        <f>_xlfn.XLOOKUP(frasest[[#This Row],[autor_es]],autorest[autor_es],autorest[epoca_la])</f>
        <v>Nova Aetas</v>
      </c>
    </row>
    <row r="1511" spans="1:15">
      <c r="A1511">
        <v>1510</v>
      </c>
      <c r="B1511" t="s">
        <v>4190</v>
      </c>
      <c r="C1511" t="s">
        <v>4191</v>
      </c>
      <c r="D1511" t="s">
        <v>4190</v>
      </c>
      <c r="E1511" t="s">
        <v>4171</v>
      </c>
      <c r="F1511" t="str">
        <f>_xlfn.XLOOKUP(frasest[[#This Row],[autor_es]],autorest[autor_es],autorest[autor_la])</f>
        <v>Sanctus Franciscus Xaverius</v>
      </c>
      <c r="G1511"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1"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1" t="str">
        <f>_xlfn.XLOOKUP(frasest[[#This Row],[autor_es]],autorest[autor_es],autorest[codigo])</f>
        <v>es</v>
      </c>
      <c r="J1511" t="str">
        <f>_xlfn.XLOOKUP(frasest[[#This Row],[autor_es]],autorest[autor_es],autorest[idioma_es])</f>
        <v>Español</v>
      </c>
      <c r="K1511" s="6" t="str">
        <f>_xlfn.XLOOKUP(frasest[[#This Row],[autor_es]],autorest[autor_es],autorest[idioma_la])</f>
        <v>Lingua Hispanica</v>
      </c>
      <c r="L1511" s="6" t="str">
        <f>_xlfn.XLOOKUP(frasest[[#This Row],[autor_es]],autorest[autor_es],autorest[nacion_es])</f>
        <v>España</v>
      </c>
      <c r="M1511" t="str">
        <f>_xlfn.XLOOKUP(frasest[[#This Row],[autor_es]],autorest[autor_es],autorest[nacion_la])</f>
        <v>Hispania</v>
      </c>
      <c r="N1511" t="str">
        <f>_xlfn.XLOOKUP(frasest[[#This Row],[autor_es]],autorest[autor_es],autorest[epoca_es])</f>
        <v>Edad Moderna</v>
      </c>
      <c r="O1511" t="str">
        <f>_xlfn.XLOOKUP(frasest[[#This Row],[autor_es]],autorest[autor_es],autorest[epoca_la])</f>
        <v>Nova Aetas</v>
      </c>
    </row>
    <row r="1512" spans="1:15">
      <c r="A1512">
        <v>1511</v>
      </c>
      <c r="B1512" t="s">
        <v>4192</v>
      </c>
      <c r="C1512" t="s">
        <v>4193</v>
      </c>
      <c r="D1512" t="s">
        <v>4192</v>
      </c>
      <c r="E1512" t="s">
        <v>4171</v>
      </c>
      <c r="F1512" t="str">
        <f>_xlfn.XLOOKUP(frasest[[#This Row],[autor_es]],autorest[autor_es],autorest[autor_la])</f>
        <v>Sanctus Franciscus Xaverius</v>
      </c>
      <c r="G1512"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2"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2" t="str">
        <f>_xlfn.XLOOKUP(frasest[[#This Row],[autor_es]],autorest[autor_es],autorest[codigo])</f>
        <v>es</v>
      </c>
      <c r="J1512" t="str">
        <f>_xlfn.XLOOKUP(frasest[[#This Row],[autor_es]],autorest[autor_es],autorest[idioma_es])</f>
        <v>Español</v>
      </c>
      <c r="K1512" s="6" t="str">
        <f>_xlfn.XLOOKUP(frasest[[#This Row],[autor_es]],autorest[autor_es],autorest[idioma_la])</f>
        <v>Lingua Hispanica</v>
      </c>
      <c r="L1512" s="6" t="str">
        <f>_xlfn.XLOOKUP(frasest[[#This Row],[autor_es]],autorest[autor_es],autorest[nacion_es])</f>
        <v>España</v>
      </c>
      <c r="M1512" t="str">
        <f>_xlfn.XLOOKUP(frasest[[#This Row],[autor_es]],autorest[autor_es],autorest[nacion_la])</f>
        <v>Hispania</v>
      </c>
      <c r="N1512" t="str">
        <f>_xlfn.XLOOKUP(frasest[[#This Row],[autor_es]],autorest[autor_es],autorest[epoca_es])</f>
        <v>Edad Moderna</v>
      </c>
      <c r="O1512" t="str">
        <f>_xlfn.XLOOKUP(frasest[[#This Row],[autor_es]],autorest[autor_es],autorest[epoca_la])</f>
        <v>Nova Aetas</v>
      </c>
    </row>
    <row r="1513" spans="1:15">
      <c r="A1513">
        <v>1512</v>
      </c>
      <c r="B1513" t="s">
        <v>4194</v>
      </c>
      <c r="C1513" t="s">
        <v>4195</v>
      </c>
      <c r="D1513" t="s">
        <v>4194</v>
      </c>
      <c r="E1513" t="s">
        <v>4171</v>
      </c>
      <c r="F1513" t="str">
        <f>_xlfn.XLOOKUP(frasest[[#This Row],[autor_es]],autorest[autor_es],autorest[autor_la])</f>
        <v>Sanctus Franciscus Xaverius</v>
      </c>
      <c r="G1513"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3"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3" t="str">
        <f>_xlfn.XLOOKUP(frasest[[#This Row],[autor_es]],autorest[autor_es],autorest[codigo])</f>
        <v>es</v>
      </c>
      <c r="J1513" t="str">
        <f>_xlfn.XLOOKUP(frasest[[#This Row],[autor_es]],autorest[autor_es],autorest[idioma_es])</f>
        <v>Español</v>
      </c>
      <c r="K1513" s="6" t="str">
        <f>_xlfn.XLOOKUP(frasest[[#This Row],[autor_es]],autorest[autor_es],autorest[idioma_la])</f>
        <v>Lingua Hispanica</v>
      </c>
      <c r="L1513" s="6" t="str">
        <f>_xlfn.XLOOKUP(frasest[[#This Row],[autor_es]],autorest[autor_es],autorest[nacion_es])</f>
        <v>España</v>
      </c>
      <c r="M1513" t="str">
        <f>_xlfn.XLOOKUP(frasest[[#This Row],[autor_es]],autorest[autor_es],autorest[nacion_la])</f>
        <v>Hispania</v>
      </c>
      <c r="N1513" t="str">
        <f>_xlfn.XLOOKUP(frasest[[#This Row],[autor_es]],autorest[autor_es],autorest[epoca_es])</f>
        <v>Edad Moderna</v>
      </c>
      <c r="O1513" t="str">
        <f>_xlfn.XLOOKUP(frasest[[#This Row],[autor_es]],autorest[autor_es],autorest[epoca_la])</f>
        <v>Nova Aetas</v>
      </c>
    </row>
    <row r="1514" spans="1:15">
      <c r="A1514">
        <v>1513</v>
      </c>
      <c r="B1514" t="s">
        <v>4196</v>
      </c>
      <c r="C1514" t="s">
        <v>4197</v>
      </c>
      <c r="D1514" t="s">
        <v>4196</v>
      </c>
      <c r="E1514" t="s">
        <v>4171</v>
      </c>
      <c r="F1514" t="str">
        <f>_xlfn.XLOOKUP(frasest[[#This Row],[autor_es]],autorest[autor_es],autorest[autor_la])</f>
        <v>Sanctus Franciscus Xaverius</v>
      </c>
      <c r="G1514"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4"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4" t="str">
        <f>_xlfn.XLOOKUP(frasest[[#This Row],[autor_es]],autorest[autor_es],autorest[codigo])</f>
        <v>es</v>
      </c>
      <c r="J1514" t="str">
        <f>_xlfn.XLOOKUP(frasest[[#This Row],[autor_es]],autorest[autor_es],autorest[idioma_es])</f>
        <v>Español</v>
      </c>
      <c r="K1514" s="6" t="str">
        <f>_xlfn.XLOOKUP(frasest[[#This Row],[autor_es]],autorest[autor_es],autorest[idioma_la])</f>
        <v>Lingua Hispanica</v>
      </c>
      <c r="L1514" s="6" t="str">
        <f>_xlfn.XLOOKUP(frasest[[#This Row],[autor_es]],autorest[autor_es],autorest[nacion_es])</f>
        <v>España</v>
      </c>
      <c r="M1514" t="str">
        <f>_xlfn.XLOOKUP(frasest[[#This Row],[autor_es]],autorest[autor_es],autorest[nacion_la])</f>
        <v>Hispania</v>
      </c>
      <c r="N1514" t="str">
        <f>_xlfn.XLOOKUP(frasest[[#This Row],[autor_es]],autorest[autor_es],autorest[epoca_es])</f>
        <v>Edad Moderna</v>
      </c>
      <c r="O1514" t="str">
        <f>_xlfn.XLOOKUP(frasest[[#This Row],[autor_es]],autorest[autor_es],autorest[epoca_la])</f>
        <v>Nova Aetas</v>
      </c>
    </row>
    <row r="1515" spans="1:15">
      <c r="A1515">
        <v>1514</v>
      </c>
      <c r="B1515" t="s">
        <v>4198</v>
      </c>
      <c r="C1515" t="s">
        <v>4199</v>
      </c>
      <c r="D1515" t="s">
        <v>4198</v>
      </c>
      <c r="E1515" t="s">
        <v>4171</v>
      </c>
      <c r="F1515" t="str">
        <f>_xlfn.XLOOKUP(frasest[[#This Row],[autor_es]],autorest[autor_es],autorest[autor_la])</f>
        <v>Sanctus Franciscus Xaverius</v>
      </c>
      <c r="G1515"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5"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5" t="str">
        <f>_xlfn.XLOOKUP(frasest[[#This Row],[autor_es]],autorest[autor_es],autorest[codigo])</f>
        <v>es</v>
      </c>
      <c r="J1515" t="str">
        <f>_xlfn.XLOOKUP(frasest[[#This Row],[autor_es]],autorest[autor_es],autorest[idioma_es])</f>
        <v>Español</v>
      </c>
      <c r="K1515" s="6" t="str">
        <f>_xlfn.XLOOKUP(frasest[[#This Row],[autor_es]],autorest[autor_es],autorest[idioma_la])</f>
        <v>Lingua Hispanica</v>
      </c>
      <c r="L1515" s="6" t="str">
        <f>_xlfn.XLOOKUP(frasest[[#This Row],[autor_es]],autorest[autor_es],autorest[nacion_es])</f>
        <v>España</v>
      </c>
      <c r="M1515" t="str">
        <f>_xlfn.XLOOKUP(frasest[[#This Row],[autor_es]],autorest[autor_es],autorest[nacion_la])</f>
        <v>Hispania</v>
      </c>
      <c r="N1515" t="str">
        <f>_xlfn.XLOOKUP(frasest[[#This Row],[autor_es]],autorest[autor_es],autorest[epoca_es])</f>
        <v>Edad Moderna</v>
      </c>
      <c r="O1515" t="str">
        <f>_xlfn.XLOOKUP(frasest[[#This Row],[autor_es]],autorest[autor_es],autorest[epoca_la])</f>
        <v>Nova Aetas</v>
      </c>
    </row>
    <row r="1516" spans="1:15">
      <c r="A1516">
        <v>1515</v>
      </c>
      <c r="B1516" t="s">
        <v>4200</v>
      </c>
      <c r="C1516" t="s">
        <v>4201</v>
      </c>
      <c r="D1516" t="s">
        <v>4200</v>
      </c>
      <c r="E1516" t="s">
        <v>4171</v>
      </c>
      <c r="F1516" t="str">
        <f>_xlfn.XLOOKUP(frasest[[#This Row],[autor_es]],autorest[autor_es],autorest[autor_la])</f>
        <v>Sanctus Franciscus Xaverius</v>
      </c>
      <c r="G1516"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6"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6" t="str">
        <f>_xlfn.XLOOKUP(frasest[[#This Row],[autor_es]],autorest[autor_es],autorest[codigo])</f>
        <v>es</v>
      </c>
      <c r="J1516" t="str">
        <f>_xlfn.XLOOKUP(frasest[[#This Row],[autor_es]],autorest[autor_es],autorest[idioma_es])</f>
        <v>Español</v>
      </c>
      <c r="K1516" s="6" t="str">
        <f>_xlfn.XLOOKUP(frasest[[#This Row],[autor_es]],autorest[autor_es],autorest[idioma_la])</f>
        <v>Lingua Hispanica</v>
      </c>
      <c r="L1516" s="6" t="str">
        <f>_xlfn.XLOOKUP(frasest[[#This Row],[autor_es]],autorest[autor_es],autorest[nacion_es])</f>
        <v>España</v>
      </c>
      <c r="M1516" t="str">
        <f>_xlfn.XLOOKUP(frasest[[#This Row],[autor_es]],autorest[autor_es],autorest[nacion_la])</f>
        <v>Hispania</v>
      </c>
      <c r="N1516" t="str">
        <f>_xlfn.XLOOKUP(frasest[[#This Row],[autor_es]],autorest[autor_es],autorest[epoca_es])</f>
        <v>Edad Moderna</v>
      </c>
      <c r="O1516" t="str">
        <f>_xlfn.XLOOKUP(frasest[[#This Row],[autor_es]],autorest[autor_es],autorest[epoca_la])</f>
        <v>Nova Aetas</v>
      </c>
    </row>
    <row r="1517" spans="1:15">
      <c r="A1517">
        <v>1516</v>
      </c>
      <c r="B1517" t="s">
        <v>4202</v>
      </c>
      <c r="C1517" t="s">
        <v>4203</v>
      </c>
      <c r="D1517" t="s">
        <v>4202</v>
      </c>
      <c r="E1517" t="s">
        <v>4171</v>
      </c>
      <c r="F1517" t="str">
        <f>_xlfn.XLOOKUP(frasest[[#This Row],[autor_es]],autorest[autor_es],autorest[autor_la])</f>
        <v>Sanctus Franciscus Xaverius</v>
      </c>
      <c r="G1517"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7"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7" t="str">
        <f>_xlfn.XLOOKUP(frasest[[#This Row],[autor_es]],autorest[autor_es],autorest[codigo])</f>
        <v>es</v>
      </c>
      <c r="J1517" t="str">
        <f>_xlfn.XLOOKUP(frasest[[#This Row],[autor_es]],autorest[autor_es],autorest[idioma_es])</f>
        <v>Español</v>
      </c>
      <c r="K1517" s="6" t="str">
        <f>_xlfn.XLOOKUP(frasest[[#This Row],[autor_es]],autorest[autor_es],autorest[idioma_la])</f>
        <v>Lingua Hispanica</v>
      </c>
      <c r="L1517" s="6" t="str">
        <f>_xlfn.XLOOKUP(frasest[[#This Row],[autor_es]],autorest[autor_es],autorest[nacion_es])</f>
        <v>España</v>
      </c>
      <c r="M1517" t="str">
        <f>_xlfn.XLOOKUP(frasest[[#This Row],[autor_es]],autorest[autor_es],autorest[nacion_la])</f>
        <v>Hispania</v>
      </c>
      <c r="N1517" t="str">
        <f>_xlfn.XLOOKUP(frasest[[#This Row],[autor_es]],autorest[autor_es],autorest[epoca_es])</f>
        <v>Edad Moderna</v>
      </c>
      <c r="O1517" t="str">
        <f>_xlfn.XLOOKUP(frasest[[#This Row],[autor_es]],autorest[autor_es],autorest[epoca_la])</f>
        <v>Nova Aetas</v>
      </c>
    </row>
    <row r="1518" spans="1:15">
      <c r="A1518">
        <v>1517</v>
      </c>
      <c r="B1518" t="s">
        <v>4204</v>
      </c>
      <c r="C1518" t="s">
        <v>4205</v>
      </c>
      <c r="D1518" t="s">
        <v>4204</v>
      </c>
      <c r="E1518" t="s">
        <v>4171</v>
      </c>
      <c r="F1518" t="str">
        <f>_xlfn.XLOOKUP(frasest[[#This Row],[autor_es]],autorest[autor_es],autorest[autor_la])</f>
        <v>Sanctus Franciscus Xaverius</v>
      </c>
      <c r="G1518"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8"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8" t="str">
        <f>_xlfn.XLOOKUP(frasest[[#This Row],[autor_es]],autorest[autor_es],autorest[codigo])</f>
        <v>es</v>
      </c>
      <c r="J1518" t="str">
        <f>_xlfn.XLOOKUP(frasest[[#This Row],[autor_es]],autorest[autor_es],autorest[idioma_es])</f>
        <v>Español</v>
      </c>
      <c r="K1518" s="6" t="str">
        <f>_xlfn.XLOOKUP(frasest[[#This Row],[autor_es]],autorest[autor_es],autorest[idioma_la])</f>
        <v>Lingua Hispanica</v>
      </c>
      <c r="L1518" s="6" t="str">
        <f>_xlfn.XLOOKUP(frasest[[#This Row],[autor_es]],autorest[autor_es],autorest[nacion_es])</f>
        <v>España</v>
      </c>
      <c r="M1518" t="str">
        <f>_xlfn.XLOOKUP(frasest[[#This Row],[autor_es]],autorest[autor_es],autorest[nacion_la])</f>
        <v>Hispania</v>
      </c>
      <c r="N1518" t="str">
        <f>_xlfn.XLOOKUP(frasest[[#This Row],[autor_es]],autorest[autor_es],autorest[epoca_es])</f>
        <v>Edad Moderna</v>
      </c>
      <c r="O1518" t="str">
        <f>_xlfn.XLOOKUP(frasest[[#This Row],[autor_es]],autorest[autor_es],autorest[epoca_la])</f>
        <v>Nova Aetas</v>
      </c>
    </row>
    <row r="1519" spans="1:15">
      <c r="A1519">
        <v>1518</v>
      </c>
      <c r="B1519" t="s">
        <v>4206</v>
      </c>
      <c r="C1519" t="s">
        <v>4207</v>
      </c>
      <c r="D1519" t="s">
        <v>4208</v>
      </c>
      <c r="E1519" t="s">
        <v>4171</v>
      </c>
      <c r="F1519" t="str">
        <f>_xlfn.XLOOKUP(frasest[[#This Row],[autor_es]],autorest[autor_es],autorest[autor_la])</f>
        <v>Sanctus Franciscus Xaverius</v>
      </c>
      <c r="G1519"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9"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9" t="str">
        <f>_xlfn.XLOOKUP(frasest[[#This Row],[autor_es]],autorest[autor_es],autorest[codigo])</f>
        <v>es</v>
      </c>
      <c r="J1519" t="str">
        <f>_xlfn.XLOOKUP(frasest[[#This Row],[autor_es]],autorest[autor_es],autorest[idioma_es])</f>
        <v>Español</v>
      </c>
      <c r="K1519" s="6" t="str">
        <f>_xlfn.XLOOKUP(frasest[[#This Row],[autor_es]],autorest[autor_es],autorest[idioma_la])</f>
        <v>Lingua Hispanica</v>
      </c>
      <c r="L1519" s="6" t="str">
        <f>_xlfn.XLOOKUP(frasest[[#This Row],[autor_es]],autorest[autor_es],autorest[nacion_es])</f>
        <v>España</v>
      </c>
      <c r="M1519" t="str">
        <f>_xlfn.XLOOKUP(frasest[[#This Row],[autor_es]],autorest[autor_es],autorest[nacion_la])</f>
        <v>Hispania</v>
      </c>
      <c r="N1519" t="str">
        <f>_xlfn.XLOOKUP(frasest[[#This Row],[autor_es]],autorest[autor_es],autorest[epoca_es])</f>
        <v>Edad Moderna</v>
      </c>
      <c r="O1519" t="str">
        <f>_xlfn.XLOOKUP(frasest[[#This Row],[autor_es]],autorest[autor_es],autorest[epoca_la])</f>
        <v>Nova Aetas</v>
      </c>
    </row>
    <row r="1520" spans="1:15">
      <c r="A1520">
        <v>1519</v>
      </c>
      <c r="B1520" t="s">
        <v>4209</v>
      </c>
      <c r="C1520" t="s">
        <v>4210</v>
      </c>
      <c r="D1520" t="s">
        <v>4209</v>
      </c>
      <c r="E1520" t="s">
        <v>4130</v>
      </c>
      <c r="F1520" t="str">
        <f>_xlfn.XLOOKUP(frasest[[#This Row],[autor_es]],autorest[autor_es],autorest[autor_la])</f>
        <v>Sanctus Ignatius de Loyola</v>
      </c>
      <c r="G1520"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20"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20" t="str">
        <f>_xlfn.XLOOKUP(frasest[[#This Row],[autor_es]],autorest[autor_es],autorest[codigo])</f>
        <v>es</v>
      </c>
      <c r="J1520" t="str">
        <f>_xlfn.XLOOKUP(frasest[[#This Row],[autor_es]],autorest[autor_es],autorest[idioma_es])</f>
        <v>Español</v>
      </c>
      <c r="K1520" s="6" t="str">
        <f>_xlfn.XLOOKUP(frasest[[#This Row],[autor_es]],autorest[autor_es],autorest[idioma_la])</f>
        <v>Lingua Hispanica</v>
      </c>
      <c r="L1520" s="6" t="str">
        <f>_xlfn.XLOOKUP(frasest[[#This Row],[autor_es]],autorest[autor_es],autorest[nacion_es])</f>
        <v>España</v>
      </c>
      <c r="M1520" t="str">
        <f>_xlfn.XLOOKUP(frasest[[#This Row],[autor_es]],autorest[autor_es],autorest[nacion_la])</f>
        <v>Hispania</v>
      </c>
      <c r="N1520" t="str">
        <f>_xlfn.XLOOKUP(frasest[[#This Row],[autor_es]],autorest[autor_es],autorest[epoca_es])</f>
        <v>Edad Media</v>
      </c>
      <c r="O1520" t="str">
        <f>_xlfn.XLOOKUP(frasest[[#This Row],[autor_es]],autorest[autor_es],autorest[epoca_la])</f>
        <v>Medium Aevum</v>
      </c>
    </row>
  </sheetData>
  <dataValidations count="1">
    <dataValidation type="list" allowBlank="1" showInputMessage="1" showErrorMessage="1" sqref="E2:E1520"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N117"/>
  <sheetViews>
    <sheetView topLeftCell="E53" workbookViewId="0">
      <selection activeCell="H63" sqref="H63"/>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12.140625" customWidth="1"/>
    <col min="12" max="12" width="18.5703125" bestFit="1" customWidth="1"/>
    <col min="13" max="13" width="23.28515625" customWidth="1"/>
    <col min="14" max="14" width="20" bestFit="1" customWidth="1"/>
  </cols>
  <sheetData>
    <row r="1" spans="1:14">
      <c r="A1" t="s">
        <v>4211</v>
      </c>
      <c r="B1" t="s">
        <v>4</v>
      </c>
      <c r="C1" t="s">
        <v>5</v>
      </c>
      <c r="D1" t="s">
        <v>4212</v>
      </c>
      <c r="E1" t="s">
        <v>4213</v>
      </c>
      <c r="F1" t="s">
        <v>6</v>
      </c>
      <c r="G1" t="s">
        <v>7</v>
      </c>
      <c r="H1" t="s">
        <v>9</v>
      </c>
      <c r="I1" t="s">
        <v>11</v>
      </c>
      <c r="J1" t="s">
        <v>10</v>
      </c>
      <c r="K1" t="s">
        <v>8</v>
      </c>
      <c r="L1" t="s">
        <v>12</v>
      </c>
      <c r="M1" t="s">
        <v>13</v>
      </c>
      <c r="N1" t="s">
        <v>14</v>
      </c>
    </row>
    <row r="2" spans="1:14">
      <c r="A2">
        <v>1</v>
      </c>
      <c r="B2" t="s">
        <v>59</v>
      </c>
      <c r="C2" t="s">
        <v>4214</v>
      </c>
      <c r="D2">
        <v>-65</v>
      </c>
      <c r="E2">
        <v>-8</v>
      </c>
      <c r="F2" t="s">
        <v>4215</v>
      </c>
      <c r="G2" t="s">
        <v>4216</v>
      </c>
      <c r="H2" t="s">
        <v>4217</v>
      </c>
      <c r="I2" t="s">
        <v>4218</v>
      </c>
      <c r="J2" t="str">
        <f>_xlfn.XLOOKUP(autorest[[#This Row],[idioma_es]],idiomast[idioma_es],idiomast[idioma_la])</f>
        <v>Lingua Latina</v>
      </c>
      <c r="K2" t="str">
        <f>_xlfn.XLOOKUP(autorest[[#This Row],[idioma_es]],idiomast[idioma_es],idiomast[codigo])</f>
        <v>la</v>
      </c>
      <c r="L2" t="str">
        <f>_xlfn.XLOOKUP(autorest[[#This Row],[nacion_es]],nacionest[nacion_es],nacionest[nacion_la])</f>
        <v>Roma</v>
      </c>
      <c r="M2" s="4" t="str" cm="1">
        <f t="array" ref="M2">IF(ISBLANK(autorest[[#This Row],[fecha_nacimiento]]),"Epoca Desconocida",IFERROR(INDEX(epocast[epoca_es],MATCH(1,(autorest[[#This Row],[fecha_nacimiento]]&gt;=epocast[inicio_ano])*(autorest[[#This Row],[fecha_nacimiento]]&lt;=epocast[fin_ano]),0)),"Epoca Desconocida"))</f>
        <v>Edad Antigua</v>
      </c>
      <c r="N2" t="str">
        <f>_xlfn.XLOOKUP(autorest[[#This Row],[epoca_es]],epocast[epoca_es],epocast[epoca_la])</f>
        <v>Antiquitas</v>
      </c>
    </row>
    <row r="3" spans="1:14">
      <c r="A3">
        <v>2</v>
      </c>
      <c r="B3" t="s">
        <v>43</v>
      </c>
      <c r="C3" t="s">
        <v>4219</v>
      </c>
      <c r="D3">
        <v>1596</v>
      </c>
      <c r="E3">
        <v>1650</v>
      </c>
      <c r="F3" t="s">
        <v>4220</v>
      </c>
      <c r="G3" t="s">
        <v>4221</v>
      </c>
      <c r="H3" t="s">
        <v>4217</v>
      </c>
      <c r="I3" t="s">
        <v>4222</v>
      </c>
      <c r="J3" t="str">
        <f>_xlfn.XLOOKUP(autorest[[#This Row],[idioma_es]],idiomast[idioma_es],idiomast[idioma_la])</f>
        <v>Lingua Latina</v>
      </c>
      <c r="K3" t="str">
        <f>_xlfn.XLOOKUP(autorest[[#This Row],[idioma_es]],idiomast[idioma_es],idiomast[codigo])</f>
        <v>la</v>
      </c>
      <c r="L3" t="str">
        <f>_xlfn.XLOOKUP(autorest[[#This Row],[nacion_es]],nacionest[nacion_es],nacionest[nacion_la])</f>
        <v>Francia</v>
      </c>
      <c r="M3" s="4" t="str" cm="1">
        <f t="array" ref="M3">IF(ISBLANK(autorest[[#This Row],[fecha_nacimiento]]),"Epoca Desconocida",IFERROR(INDEX(epocast[epoca_es],MATCH(1,(autorest[[#This Row],[fecha_nacimiento]]&gt;=epocast[inicio_ano])*(autorest[[#This Row],[fecha_nacimiento]]&lt;=epocast[fin_ano]),0)),"Epoca Desconocida"))</f>
        <v>Edad Moderna</v>
      </c>
      <c r="N3" t="str">
        <f>_xlfn.XLOOKUP(autorest[[#This Row],[epoca_es]],epocast[epoca_es],epocast[epoca_la])</f>
        <v>Nova Aetas</v>
      </c>
    </row>
    <row r="4" spans="1:14">
      <c r="A4">
        <v>3</v>
      </c>
      <c r="B4" t="s">
        <v>47</v>
      </c>
      <c r="C4" t="s">
        <v>4223</v>
      </c>
      <c r="D4">
        <v>1561</v>
      </c>
      <c r="E4">
        <v>1626</v>
      </c>
      <c r="F4" t="s">
        <v>4224</v>
      </c>
      <c r="G4" t="s">
        <v>4225</v>
      </c>
      <c r="H4" t="s">
        <v>4226</v>
      </c>
      <c r="I4" t="s">
        <v>4227</v>
      </c>
      <c r="J4" t="str">
        <f>_xlfn.XLOOKUP(autorest[[#This Row],[idioma_es]],idiomast[idioma_es],idiomast[idioma_la])</f>
        <v>Lingua Anglica</v>
      </c>
      <c r="K4" t="str">
        <f>_xlfn.XLOOKUP(autorest[[#This Row],[idioma_es]],idiomast[idioma_es],idiomast[codigo])</f>
        <v>en</v>
      </c>
      <c r="L4" t="str">
        <f>_xlfn.XLOOKUP(autorest[[#This Row],[nacion_es]],nacionest[nacion_es],nacionest[nacion_la])</f>
        <v>Regnum Unitum</v>
      </c>
      <c r="M4" s="4" t="str" cm="1">
        <f t="array" ref="M4">IF(ISBLANK(autorest[[#This Row],[fecha_nacimiento]]),"Epoca Desconocida",IFERROR(INDEX(epocast[epoca_es],MATCH(1,(autorest[[#This Row],[fecha_nacimiento]]&gt;=epocast[inicio_ano])*(autorest[[#This Row],[fecha_nacimiento]]&lt;=epocast[fin_ano]),0)),"Epoca Desconocida"))</f>
        <v>Edad Moderna</v>
      </c>
      <c r="N4" t="str">
        <f>_xlfn.XLOOKUP(autorest[[#This Row],[epoca_es]],epocast[epoca_es],epocast[epoca_la])</f>
        <v>Nova Aetas</v>
      </c>
    </row>
    <row r="5" spans="1:14">
      <c r="A5">
        <v>4</v>
      </c>
      <c r="B5" t="s">
        <v>51</v>
      </c>
      <c r="C5" t="s">
        <v>4228</v>
      </c>
      <c r="D5">
        <v>354</v>
      </c>
      <c r="E5">
        <v>430</v>
      </c>
      <c r="F5" t="s">
        <v>4229</v>
      </c>
      <c r="G5" t="s">
        <v>4230</v>
      </c>
      <c r="H5" t="s">
        <v>4217</v>
      </c>
      <c r="I5" t="s">
        <v>4218</v>
      </c>
      <c r="J5" t="str">
        <f>_xlfn.XLOOKUP(autorest[[#This Row],[idioma_es]],idiomast[idioma_es],idiomast[idioma_la])</f>
        <v>Lingua Latina</v>
      </c>
      <c r="K5" t="str">
        <f>_xlfn.XLOOKUP(autorest[[#This Row],[idioma_es]],idiomast[idioma_es],idiomast[codigo])</f>
        <v>la</v>
      </c>
      <c r="L5" t="str">
        <f>_xlfn.XLOOKUP(autorest[[#This Row],[nacion_es]],nacionest[nacion_es],nacionest[nacion_la])</f>
        <v>Roma</v>
      </c>
      <c r="M5" s="4" t="str" cm="1">
        <f t="array" ref="M5">IF(ISBLANK(autorest[[#This Row],[fecha_nacimiento]]),"Epoca Desconocida",IFERROR(INDEX(epocast[epoca_es],MATCH(1,(autorest[[#This Row],[fecha_nacimiento]]&gt;=epocast[inicio_ano])*(autorest[[#This Row],[fecha_nacimiento]]&lt;=epocast[fin_ano]),0)),"Epoca Desconocida"))</f>
        <v>Edad Antigua</v>
      </c>
      <c r="N5" t="str">
        <f>_xlfn.XLOOKUP(autorest[[#This Row],[epoca_es]],epocast[epoca_es],epocast[epoca_la])</f>
        <v>Antiquitas</v>
      </c>
    </row>
    <row r="6" spans="1:14">
      <c r="A6">
        <v>5</v>
      </c>
      <c r="B6" t="s">
        <v>63</v>
      </c>
      <c r="C6" t="s">
        <v>4231</v>
      </c>
      <c r="D6">
        <v>1564</v>
      </c>
      <c r="E6">
        <v>1616</v>
      </c>
      <c r="F6" t="s">
        <v>4232</v>
      </c>
      <c r="G6" t="s">
        <v>4233</v>
      </c>
      <c r="H6" t="s">
        <v>4226</v>
      </c>
      <c r="I6" t="s">
        <v>4227</v>
      </c>
      <c r="J6" t="str">
        <f>_xlfn.XLOOKUP(autorest[[#This Row],[idioma_es]],idiomast[idioma_es],idiomast[idioma_la])</f>
        <v>Lingua Anglica</v>
      </c>
      <c r="K6" t="str">
        <f>_xlfn.XLOOKUP(autorest[[#This Row],[idioma_es]],idiomast[idioma_es],idiomast[codigo])</f>
        <v>en</v>
      </c>
      <c r="L6" t="str">
        <f>_xlfn.XLOOKUP(autorest[[#This Row],[nacion_es]],nacionest[nacion_es],nacionest[nacion_la])</f>
        <v>Regnum Unitum</v>
      </c>
      <c r="M6" s="4" t="str" cm="1">
        <f t="array" ref="M6">IF(ISBLANK(autorest[[#This Row],[fecha_nacimiento]]),"Epoca Desconocida",IFERROR(INDEX(epocast[epoca_es],MATCH(1,(autorest[[#This Row],[fecha_nacimiento]]&gt;=epocast[inicio_ano])*(autorest[[#This Row],[fecha_nacimiento]]&lt;=epocast[fin_ano]),0)),"Epoca Desconocida"))</f>
        <v>Edad Moderna</v>
      </c>
      <c r="N6" t="str">
        <f>_xlfn.XLOOKUP(autorest[[#This Row],[epoca_es]],epocast[epoca_es],epocast[epoca_la])</f>
        <v>Nova Aetas</v>
      </c>
    </row>
    <row r="7" spans="1:14">
      <c r="A7">
        <v>6</v>
      </c>
      <c r="B7" t="s">
        <v>37</v>
      </c>
      <c r="C7" t="s">
        <v>4234</v>
      </c>
      <c r="D7">
        <v>-990</v>
      </c>
      <c r="E7">
        <v>-931</v>
      </c>
      <c r="F7" t="s">
        <v>4235</v>
      </c>
      <c r="G7" t="s">
        <v>4236</v>
      </c>
      <c r="H7" t="s">
        <v>4237</v>
      </c>
      <c r="I7" t="s">
        <v>4238</v>
      </c>
      <c r="J7" t="str">
        <f>_xlfn.XLOOKUP(autorest[[#This Row],[idioma_es]],idiomast[idioma_es],idiomast[idioma_la])</f>
        <v>Lingua Hebraica</v>
      </c>
      <c r="K7" t="str">
        <f>_xlfn.XLOOKUP(autorest[[#This Row],[idioma_es]],idiomast[idioma_es],idiomast[codigo])</f>
        <v>he</v>
      </c>
      <c r="L7" t="str">
        <f>_xlfn.XLOOKUP(autorest[[#This Row],[nacion_es]],nacionest[nacion_es],nacionest[nacion_la])</f>
        <v>Israel</v>
      </c>
      <c r="M7" s="4" t="str" cm="1">
        <f t="array" ref="M7">IF(ISBLANK(autorest[[#This Row],[fecha_nacimiento]]),"Epoca Desconocida",IFERROR(INDEX(epocast[epoca_es],MATCH(1,(autorest[[#This Row],[fecha_nacimiento]]&gt;=epocast[inicio_ano])*(autorest[[#This Row],[fecha_nacimiento]]&lt;=epocast[fin_ano]),0)),"Epoca Desconocida"))</f>
        <v>Edad Antigua</v>
      </c>
      <c r="N7" t="str">
        <f>_xlfn.XLOOKUP(autorest[[#This Row],[epoca_es]],epocast[epoca_es],epocast[epoca_la])</f>
        <v>Antiquitas</v>
      </c>
    </row>
    <row r="8" spans="1:14">
      <c r="A8">
        <v>7</v>
      </c>
      <c r="B8" t="s">
        <v>54</v>
      </c>
      <c r="C8" t="s">
        <v>4239</v>
      </c>
      <c r="D8">
        <v>1888</v>
      </c>
      <c r="E8">
        <v>1955</v>
      </c>
      <c r="F8" t="s">
        <v>4240</v>
      </c>
      <c r="G8" t="s">
        <v>4241</v>
      </c>
      <c r="H8" t="s">
        <v>4226</v>
      </c>
      <c r="I8" t="s">
        <v>4242</v>
      </c>
      <c r="J8" t="str">
        <f>_xlfn.XLOOKUP(autorest[[#This Row],[idioma_es]],idiomast[idioma_es],idiomast[idioma_la])</f>
        <v>Lingua Anglica</v>
      </c>
      <c r="K8" t="str">
        <f>_xlfn.XLOOKUP(autorest[[#This Row],[idioma_es]],idiomast[idioma_es],idiomast[codigo])</f>
        <v>en</v>
      </c>
      <c r="L8" t="str">
        <f>_xlfn.XLOOKUP(autorest[[#This Row],[nacion_es]],nacionest[nacion_es],nacionest[nacion_la])</f>
        <v>Civitates Foederatae Americae</v>
      </c>
      <c r="M8" s="4" t="str" cm="1">
        <f t="array" ref="M8">IF(ISBLANK(autorest[[#This Row],[fecha_nacimiento]]),"Epoca Desconocida",IFERROR(INDEX(epocast[epoca_es],MATCH(1,(autorest[[#This Row],[fecha_nacimiento]]&gt;=epocast[inicio_ano])*(autorest[[#This Row],[fecha_nacimiento]]&lt;=epocast[fin_ano]),0)),"Epoca Desconocida"))</f>
        <v>Edad Contemporánea</v>
      </c>
      <c r="N8" t="str">
        <f>_xlfn.XLOOKUP(autorest[[#This Row],[epoca_es]],epocast[epoca_es],epocast[epoca_la])</f>
        <v>Aetas Contemporanea</v>
      </c>
    </row>
    <row r="9" spans="1:14">
      <c r="A9">
        <v>8</v>
      </c>
      <c r="B9" t="s">
        <v>33</v>
      </c>
      <c r="C9" t="s">
        <v>4243</v>
      </c>
      <c r="F9" t="s">
        <v>4244</v>
      </c>
      <c r="G9" t="s">
        <v>4245</v>
      </c>
      <c r="H9" t="s">
        <v>4246</v>
      </c>
      <c r="I9" t="s">
        <v>4247</v>
      </c>
      <c r="J9" t="str">
        <f>_xlfn.XLOOKUP(autorest[[#This Row],[idioma_es]],idiomast[idioma_es],idiomast[idioma_la])</f>
        <v>Lingua Sinica</v>
      </c>
      <c r="K9" t="str">
        <f>_xlfn.XLOOKUP(autorest[[#This Row],[idioma_es]],idiomast[idioma_es],idiomast[codigo])</f>
        <v>zh</v>
      </c>
      <c r="L9" t="str">
        <f>_xlfn.XLOOKUP(autorest[[#This Row],[nacion_es]],nacionest[nacion_es],nacionest[nacion_la])</f>
        <v>Sinae</v>
      </c>
      <c r="M9" s="4" t="str" cm="1">
        <f t="array" ref="M9">IF(ISBLANK(autorest[[#This Row],[fecha_nacimiento]]),"Epoca Desconocida",IFERROR(INDEX(epocast[epoca_es],MATCH(1,(autorest[[#This Row],[fecha_nacimiento]]&gt;=epocast[inicio_ano])*(autorest[[#This Row],[fecha_nacimiento]]&lt;=epocast[fin_ano]),0)),"Epoca Desconocida"))</f>
        <v>Epoca Desconocida</v>
      </c>
      <c r="N9" t="str">
        <f>_xlfn.XLOOKUP(autorest[[#This Row],[epoca_es]],epocast[epoca_es],epocast[epoca_la])</f>
        <v>Epocha Ignota</v>
      </c>
    </row>
    <row r="10" spans="1:14">
      <c r="A10">
        <v>9</v>
      </c>
      <c r="B10" t="s">
        <v>25</v>
      </c>
      <c r="C10" t="s">
        <v>4248</v>
      </c>
      <c r="F10" t="s">
        <v>4249</v>
      </c>
      <c r="G10" t="s">
        <v>4250</v>
      </c>
      <c r="H10" t="s">
        <v>4251</v>
      </c>
      <c r="I10" t="s">
        <v>4252</v>
      </c>
      <c r="J10" t="str">
        <f>_xlfn.XLOOKUP(autorest[[#This Row],[idioma_es]],idiomast[idioma_es],idiomast[idioma_la])</f>
        <v>Lingua Iaponica</v>
      </c>
      <c r="K10" t="str">
        <f>_xlfn.XLOOKUP(autorest[[#This Row],[idioma_es]],idiomast[idioma_es],idiomast[codigo])</f>
        <v>ja</v>
      </c>
      <c r="L10" t="str">
        <f>_xlfn.XLOOKUP(autorest[[#This Row],[nacion_es]],nacionest[nacion_es],nacionest[nacion_la])</f>
        <v>Iaponia</v>
      </c>
      <c r="M10" s="4" t="str" cm="1">
        <f t="array" ref="M10">IF(ISBLANK(autorest[[#This Row],[fecha_nacimiento]]),"Epoca Desconocida",IFERROR(INDEX(epocast[epoca_es],MATCH(1,(autorest[[#This Row],[fecha_nacimiento]]&gt;=epocast[inicio_ano])*(autorest[[#This Row],[fecha_nacimiento]]&lt;=epocast[fin_ano]),0)),"Epoca Desconocida"))</f>
        <v>Epoca Desconocida</v>
      </c>
      <c r="N10" t="str">
        <f>_xlfn.XLOOKUP(autorest[[#This Row],[epoca_es]],epocast[epoca_es],epocast[epoca_la])</f>
        <v>Epocha Ignota</v>
      </c>
    </row>
    <row r="11" spans="1:14">
      <c r="A11">
        <v>10</v>
      </c>
      <c r="B11" t="s">
        <v>18</v>
      </c>
      <c r="C11" t="s">
        <v>4253</v>
      </c>
      <c r="F11" t="s">
        <v>4254</v>
      </c>
      <c r="G11" t="s">
        <v>4255</v>
      </c>
      <c r="H11" t="s">
        <v>4256</v>
      </c>
      <c r="I11" t="s">
        <v>4222</v>
      </c>
      <c r="J11" t="str">
        <f>_xlfn.XLOOKUP(autorest[[#This Row],[idioma_es]],idiomast[idioma_es],idiomast[idioma_la])</f>
        <v>Lingua Gallica</v>
      </c>
      <c r="K11" t="str">
        <f>_xlfn.XLOOKUP(autorest[[#This Row],[idioma_es]],idiomast[idioma_es],idiomast[codigo])</f>
        <v>fr</v>
      </c>
      <c r="L11" t="str">
        <f>_xlfn.XLOOKUP(autorest[[#This Row],[nacion_es]],nacionest[nacion_es],nacionest[nacion_la])</f>
        <v>Francia</v>
      </c>
      <c r="M11" s="4" t="str" cm="1">
        <f t="array" ref="M11">IF(ISBLANK(autorest[[#This Row],[fecha_nacimiento]]),"Epoca Desconocida",IFERROR(INDEX(epocast[epoca_es],MATCH(1,(autorest[[#This Row],[fecha_nacimiento]]&gt;=epocast[inicio_ano])*(autorest[[#This Row],[fecha_nacimiento]]&lt;=epocast[fin_ano]),0)),"Epoca Desconocida"))</f>
        <v>Epoca Desconocida</v>
      </c>
      <c r="N11" t="str">
        <f>_xlfn.XLOOKUP(autorest[[#This Row],[epoca_es]],epocast[epoca_es],epocast[epoca_la])</f>
        <v>Epocha Ignota</v>
      </c>
    </row>
    <row r="12" spans="1:14">
      <c r="A12">
        <v>11</v>
      </c>
      <c r="B12" t="s">
        <v>29</v>
      </c>
      <c r="C12" t="s">
        <v>4257</v>
      </c>
      <c r="F12" t="s">
        <v>4258</v>
      </c>
      <c r="G12" t="s">
        <v>4259</v>
      </c>
      <c r="H12" t="s">
        <v>4260</v>
      </c>
      <c r="I12" t="s">
        <v>4261</v>
      </c>
      <c r="J12" t="str">
        <f>_xlfn.XLOOKUP(autorest[[#This Row],[idioma_es]],idiomast[idioma_es],idiomast[idioma_la])</f>
        <v>Lingua Russica</v>
      </c>
      <c r="K12" t="str">
        <f>_xlfn.XLOOKUP(autorest[[#This Row],[idioma_es]],idiomast[idioma_es],idiomast[codigo])</f>
        <v>ru</v>
      </c>
      <c r="L12" t="str">
        <f>_xlfn.XLOOKUP(autorest[[#This Row],[nacion_es]],nacionest[nacion_es],nacionest[nacion_la])</f>
        <v>Russia</v>
      </c>
      <c r="M12" s="4" t="str" cm="1">
        <f t="array" ref="M12">IF(ISBLANK(autorest[[#This Row],[fecha_nacimiento]]),"Epoca Desconocida",IFERROR(INDEX(epocast[epoca_es],MATCH(1,(autorest[[#This Row],[fecha_nacimiento]]&gt;=epocast[inicio_ano])*(autorest[[#This Row],[fecha_nacimiento]]&lt;=epocast[fin_ano]),0)),"Epoca Desconocida"))</f>
        <v>Epoca Desconocida</v>
      </c>
      <c r="N12" t="str">
        <f>_xlfn.XLOOKUP(autorest[[#This Row],[epoca_es]],epocast[epoca_es],epocast[epoca_la])</f>
        <v>Epocha Ignota</v>
      </c>
    </row>
    <row r="13" spans="1:14">
      <c r="A13">
        <v>12</v>
      </c>
      <c r="B13" t="s">
        <v>21</v>
      </c>
      <c r="C13" t="s">
        <v>4262</v>
      </c>
      <c r="F13" t="s">
        <v>4263</v>
      </c>
      <c r="G13" t="s">
        <v>4264</v>
      </c>
      <c r="H13" t="s">
        <v>4265</v>
      </c>
      <c r="I13" t="s">
        <v>4266</v>
      </c>
      <c r="J13" t="str">
        <f>_xlfn.XLOOKUP(autorest[[#This Row],[idioma_es]],idiomast[idioma_es],idiomast[idioma_la])</f>
        <v>Lingua Hispanica</v>
      </c>
      <c r="K13" t="str">
        <f>_xlfn.XLOOKUP(autorest[[#This Row],[idioma_es]],idiomast[idioma_es],idiomast[codigo])</f>
        <v>es</v>
      </c>
      <c r="L13" t="str">
        <f>_xlfn.XLOOKUP(autorest[[#This Row],[nacion_es]],nacionest[nacion_es],nacionest[nacion_la])</f>
        <v>Hispania</v>
      </c>
      <c r="M13" s="4" t="str" cm="1">
        <f t="array" ref="M13">IF(ISBLANK(autorest[[#This Row],[fecha_nacimiento]]),"Epoca Desconocida",IFERROR(INDEX(epocast[epoca_es],MATCH(1,(autorest[[#This Row],[fecha_nacimiento]]&gt;=epocast[inicio_ano])*(autorest[[#This Row],[fecha_nacimiento]]&lt;=epocast[fin_ano]),0)),"Epoca Desconocida"))</f>
        <v>Epoca Desconocida</v>
      </c>
      <c r="N13" t="str">
        <f>_xlfn.XLOOKUP(autorest[[#This Row],[epoca_es]],epocast[epoca_es],epocast[epoca_la])</f>
        <v>Epocha Ignota</v>
      </c>
    </row>
    <row r="14" spans="1:14">
      <c r="A14">
        <v>13</v>
      </c>
      <c r="B14" t="s">
        <v>995</v>
      </c>
      <c r="C14" t="s">
        <v>4267</v>
      </c>
      <c r="F14" t="s">
        <v>4268</v>
      </c>
      <c r="G14" t="s">
        <v>4269</v>
      </c>
      <c r="H14" t="s">
        <v>4270</v>
      </c>
      <c r="I14" t="s">
        <v>4266</v>
      </c>
      <c r="J14" t="str">
        <f>_xlfn.XLOOKUP(autorest[[#This Row],[idioma_es]],idiomast[idioma_es],idiomast[idioma_la])</f>
        <v>Lingua Vasconica</v>
      </c>
      <c r="K14" t="str">
        <f>_xlfn.XLOOKUP(autorest[[#This Row],[idioma_es]],idiomast[idioma_es],idiomast[codigo])</f>
        <v>eu</v>
      </c>
      <c r="L14" t="str">
        <f>_xlfn.XLOOKUP(autorest[[#This Row],[nacion_es]],nacionest[nacion_es],nacionest[nacion_la])</f>
        <v>Hispania</v>
      </c>
      <c r="M14" s="4" t="str" cm="1">
        <f t="array" ref="M14">IF(ISBLANK(autorest[[#This Row],[fecha_nacimiento]]),"Epoca Desconocida",IFERROR(INDEX(epocast[epoca_es],MATCH(1,(autorest[[#This Row],[fecha_nacimiento]]&gt;=epocast[inicio_ano])*(autorest[[#This Row],[fecha_nacimiento]]&lt;=epocast[fin_ano]),0)),"Epoca Desconocida"))</f>
        <v>Epoca Desconocida</v>
      </c>
      <c r="N14" t="str">
        <f>_xlfn.XLOOKUP(autorest[[#This Row],[epoca_es]],epocast[epoca_es],epocast[epoca_la])</f>
        <v>Epocha Ignota</v>
      </c>
    </row>
    <row r="15" spans="1:14">
      <c r="A15">
        <v>14</v>
      </c>
      <c r="B15" t="s">
        <v>71</v>
      </c>
      <c r="C15" t="s">
        <v>4271</v>
      </c>
      <c r="D15">
        <v>-100</v>
      </c>
      <c r="E15">
        <v>-44</v>
      </c>
      <c r="F15" t="s">
        <v>4272</v>
      </c>
      <c r="G15" t="s">
        <v>4273</v>
      </c>
      <c r="H15" t="s">
        <v>4217</v>
      </c>
      <c r="I15" t="s">
        <v>4218</v>
      </c>
      <c r="J15" t="str">
        <f>_xlfn.XLOOKUP(autorest[[#This Row],[idioma_es]],idiomast[idioma_es],idiomast[idioma_la])</f>
        <v>Lingua Latina</v>
      </c>
      <c r="K15" t="str">
        <f>_xlfn.XLOOKUP(autorest[[#This Row],[idioma_es]],idiomast[idioma_es],idiomast[codigo])</f>
        <v>la</v>
      </c>
      <c r="L15" t="str">
        <f>_xlfn.XLOOKUP(autorest[[#This Row],[nacion_es]],nacionest[nacion_es],nacionest[nacion_la])</f>
        <v>Roma</v>
      </c>
      <c r="M15" s="4" t="str" cm="1">
        <f t="array" ref="M15">IF(ISBLANK(autorest[[#This Row],[fecha_nacimiento]]),"Epoca Desconocida",IFERROR(INDEX(epocast[epoca_es],MATCH(1,(autorest[[#This Row],[fecha_nacimiento]]&gt;=epocast[inicio_ano])*(autorest[[#This Row],[fecha_nacimiento]]&lt;=epocast[fin_ano]),0)),"Epoca Desconocida"))</f>
        <v>Edad Antigua</v>
      </c>
      <c r="N15" t="str">
        <f>_xlfn.XLOOKUP(autorest[[#This Row],[epoca_es]],epocast[epoca_es],epocast[epoca_la])</f>
        <v>Antiquitas</v>
      </c>
    </row>
    <row r="16" spans="1:14">
      <c r="A16">
        <v>15</v>
      </c>
      <c r="B16" t="s">
        <v>74</v>
      </c>
      <c r="C16" t="s">
        <v>4274</v>
      </c>
      <c r="D16">
        <v>-515</v>
      </c>
      <c r="E16">
        <v>-450</v>
      </c>
      <c r="F16" t="s">
        <v>4275</v>
      </c>
      <c r="G16" t="s">
        <v>4276</v>
      </c>
      <c r="H16" t="s">
        <v>4217</v>
      </c>
      <c r="I16" t="s">
        <v>4277</v>
      </c>
      <c r="J16" t="str">
        <f>_xlfn.XLOOKUP(autorest[[#This Row],[idioma_es]],idiomast[idioma_es],idiomast[idioma_la])</f>
        <v>Lingua Latina</v>
      </c>
      <c r="K16" t="str">
        <f>_xlfn.XLOOKUP(autorest[[#This Row],[idioma_es]],idiomast[idioma_es],idiomast[codigo])</f>
        <v>la</v>
      </c>
      <c r="L16" t="str">
        <f>_xlfn.XLOOKUP(autorest[[#This Row],[nacion_es]],nacionest[nacion_es],nacionest[nacion_la])</f>
        <v>Graecia</v>
      </c>
      <c r="M16" s="4" t="str" cm="1">
        <f t="array" ref="M16">IF(ISBLANK(autorest[[#This Row],[fecha_nacimiento]]),"Epoca Desconocida",IFERROR(INDEX(epocast[epoca_es],MATCH(1,(autorest[[#This Row],[fecha_nacimiento]]&gt;=epocast[inicio_ano])*(autorest[[#This Row],[fecha_nacimiento]]&lt;=epocast[fin_ano]),0)),"Epoca Desconocida"))</f>
        <v>Edad Antigua</v>
      </c>
      <c r="N16" t="str">
        <f>_xlfn.XLOOKUP(autorest[[#This Row],[epoca_es]],epocast[epoca_es],epocast[epoca_la])</f>
        <v>Antiquitas</v>
      </c>
    </row>
    <row r="17" spans="1:14">
      <c r="A17">
        <v>16</v>
      </c>
      <c r="B17" t="s">
        <v>81</v>
      </c>
      <c r="C17" t="s">
        <v>4278</v>
      </c>
      <c r="D17">
        <v>-551</v>
      </c>
      <c r="E17">
        <v>-479</v>
      </c>
      <c r="F17" t="s">
        <v>4279</v>
      </c>
      <c r="G17" t="s">
        <v>4280</v>
      </c>
      <c r="H17" t="s">
        <v>4246</v>
      </c>
      <c r="I17" t="s">
        <v>4247</v>
      </c>
      <c r="J17" t="str">
        <f>_xlfn.XLOOKUP(autorest[[#This Row],[idioma_es]],idiomast[idioma_es],idiomast[idioma_la])</f>
        <v>Lingua Sinica</v>
      </c>
      <c r="K17" t="str">
        <f>_xlfn.XLOOKUP(autorest[[#This Row],[idioma_es]],idiomast[idioma_es],idiomast[codigo])</f>
        <v>zh</v>
      </c>
      <c r="L17" t="str">
        <f>_xlfn.XLOOKUP(autorest[[#This Row],[nacion_es]],nacionest[nacion_es],nacionest[nacion_la])</f>
        <v>Sinae</v>
      </c>
      <c r="M17" s="4" t="str" cm="1">
        <f t="array" ref="M17">IF(ISBLANK(autorest[[#This Row],[fecha_nacimiento]]),"Epoca Desconocida",IFERROR(INDEX(epocast[epoca_es],MATCH(1,(autorest[[#This Row],[fecha_nacimiento]]&gt;=epocast[inicio_ano])*(autorest[[#This Row],[fecha_nacimiento]]&lt;=epocast[fin_ano]),0)),"Epoca Desconocida"))</f>
        <v>Edad Antigua</v>
      </c>
      <c r="N17" t="str">
        <f>_xlfn.XLOOKUP(autorest[[#This Row],[epoca_es]],epocast[epoca_es],epocast[epoca_la])</f>
        <v>Antiquitas</v>
      </c>
    </row>
    <row r="18" spans="1:14">
      <c r="A18">
        <v>17</v>
      </c>
      <c r="B18" t="s">
        <v>96</v>
      </c>
      <c r="C18" t="s">
        <v>4281</v>
      </c>
      <c r="D18">
        <v>560</v>
      </c>
      <c r="E18">
        <v>636</v>
      </c>
      <c r="F18" t="s">
        <v>4282</v>
      </c>
      <c r="G18" t="s">
        <v>4283</v>
      </c>
      <c r="H18" t="s">
        <v>4217</v>
      </c>
      <c r="I18" t="s">
        <v>4266</v>
      </c>
      <c r="J18" t="str">
        <f>_xlfn.XLOOKUP(autorest[[#This Row],[idioma_es]],idiomast[idioma_es],idiomast[idioma_la])</f>
        <v>Lingua Latina</v>
      </c>
      <c r="K18" t="str">
        <f>_xlfn.XLOOKUP(autorest[[#This Row],[idioma_es]],idiomast[idioma_es],idiomast[codigo])</f>
        <v>la</v>
      </c>
      <c r="L18" t="str">
        <f>_xlfn.XLOOKUP(autorest[[#This Row],[nacion_es]],nacionest[nacion_es],nacionest[nacion_la])</f>
        <v>Hispania</v>
      </c>
      <c r="M18" s="4" t="str" cm="1">
        <f t="array" ref="M18">IF(ISBLANK(autorest[[#This Row],[fecha_nacimiento]]),"Epoca Desconocida",IFERROR(INDEX(epocast[epoca_es],MATCH(1,(autorest[[#This Row],[fecha_nacimiento]]&gt;=epocast[inicio_ano])*(autorest[[#This Row],[fecha_nacimiento]]&lt;=epocast[fin_ano]),0)),"Epoca Desconocida"))</f>
        <v>Edad Media</v>
      </c>
      <c r="N18" t="str">
        <f>_xlfn.XLOOKUP(autorest[[#This Row],[epoca_es]],epocast[epoca_es],epocast[epoca_la])</f>
        <v>Medium Aevum</v>
      </c>
    </row>
    <row r="19" spans="1:14">
      <c r="A19">
        <v>18</v>
      </c>
      <c r="B19" t="s">
        <v>144</v>
      </c>
      <c r="C19" t="s">
        <v>4284</v>
      </c>
      <c r="D19">
        <v>-4</v>
      </c>
      <c r="E19">
        <v>65</v>
      </c>
      <c r="F19" t="s">
        <v>4285</v>
      </c>
      <c r="G19" t="s">
        <v>4286</v>
      </c>
      <c r="H19" t="s">
        <v>4217</v>
      </c>
      <c r="I19" t="s">
        <v>4218</v>
      </c>
      <c r="J19" t="str">
        <f>_xlfn.XLOOKUP(autorest[[#This Row],[idioma_es]],idiomast[idioma_es],idiomast[idioma_la])</f>
        <v>Lingua Latina</v>
      </c>
      <c r="K19" t="str">
        <f>_xlfn.XLOOKUP(autorest[[#This Row],[idioma_es]],idiomast[idioma_es],idiomast[codigo])</f>
        <v>la</v>
      </c>
      <c r="L19" t="str">
        <f>_xlfn.XLOOKUP(autorest[[#This Row],[nacion_es]],nacionest[nacion_es],nacionest[nacion_la])</f>
        <v>Roma</v>
      </c>
      <c r="M19" s="4" t="str" cm="1">
        <f t="array" ref="M19">IF(ISBLANK(autorest[[#This Row],[fecha_nacimiento]]),"Epoca Desconocida",IFERROR(INDEX(epocast[epoca_es],MATCH(1,(autorest[[#This Row],[fecha_nacimiento]]&gt;=epocast[inicio_ano])*(autorest[[#This Row],[fecha_nacimiento]]&lt;=epocast[fin_ano]),0)),"Epoca Desconocida"))</f>
        <v>Edad Antigua</v>
      </c>
      <c r="N19" t="str">
        <f>_xlfn.XLOOKUP(autorest[[#This Row],[epoca_es]],epocast[epoca_es],epocast[epoca_la])</f>
        <v>Antiquitas</v>
      </c>
    </row>
    <row r="20" spans="1:14">
      <c r="A20">
        <v>19</v>
      </c>
      <c r="B20" t="s">
        <v>157</v>
      </c>
      <c r="C20" t="s">
        <v>4287</v>
      </c>
      <c r="D20">
        <v>1225</v>
      </c>
      <c r="E20">
        <v>1274</v>
      </c>
      <c r="F20" t="s">
        <v>4288</v>
      </c>
      <c r="G20" t="s">
        <v>4289</v>
      </c>
      <c r="H20" t="s">
        <v>4217</v>
      </c>
      <c r="I20" t="s">
        <v>4290</v>
      </c>
      <c r="J20" t="str">
        <f>_xlfn.XLOOKUP(autorest[[#This Row],[idioma_es]],idiomast[idioma_es],idiomast[idioma_la])</f>
        <v>Lingua Latina</v>
      </c>
      <c r="K20" t="str">
        <f>_xlfn.XLOOKUP(autorest[[#This Row],[idioma_es]],idiomast[idioma_es],idiomast[codigo])</f>
        <v>la</v>
      </c>
      <c r="L20" t="str">
        <f>_xlfn.XLOOKUP(autorest[[#This Row],[nacion_es]],nacionest[nacion_es],nacionest[nacion_la])</f>
        <v>Italia</v>
      </c>
      <c r="M20" s="4" t="str" cm="1">
        <f t="array" ref="M20">IF(ISBLANK(autorest[[#This Row],[fecha_nacimiento]]),"Epoca Desconocida",IFERROR(INDEX(epocast[epoca_es],MATCH(1,(autorest[[#This Row],[fecha_nacimiento]]&gt;=epocast[inicio_ano])*(autorest[[#This Row],[fecha_nacimiento]]&lt;=epocast[fin_ano]),0)),"Epoca Desconocida"))</f>
        <v>Edad Media</v>
      </c>
      <c r="N20" t="str">
        <f>_xlfn.XLOOKUP(autorest[[#This Row],[epoca_es]],epocast[epoca_es],epocast[epoca_la])</f>
        <v>Medium Aevum</v>
      </c>
    </row>
    <row r="21" spans="1:14">
      <c r="A21">
        <v>20</v>
      </c>
      <c r="B21" t="s">
        <v>172</v>
      </c>
      <c r="C21" t="s">
        <v>172</v>
      </c>
      <c r="D21">
        <v>1844</v>
      </c>
      <c r="E21">
        <v>1900</v>
      </c>
      <c r="F21" t="s">
        <v>4291</v>
      </c>
      <c r="G21" t="s">
        <v>4292</v>
      </c>
      <c r="H21" t="s">
        <v>4293</v>
      </c>
      <c r="I21" t="s">
        <v>4294</v>
      </c>
      <c r="J21" t="str">
        <f>_xlfn.XLOOKUP(autorest[[#This Row],[idioma_es]],idiomast[idioma_es],idiomast[idioma_la])</f>
        <v>Lingua Germanica</v>
      </c>
      <c r="K21" t="str">
        <f>_xlfn.XLOOKUP(autorest[[#This Row],[idioma_es]],idiomast[idioma_es],idiomast[codigo])</f>
        <v>de</v>
      </c>
      <c r="L21" t="str">
        <f>_xlfn.XLOOKUP(autorest[[#This Row],[nacion_es]],nacionest[nacion_es],nacionest[nacion_la])</f>
        <v>Germania</v>
      </c>
      <c r="M21" s="4" t="str" cm="1">
        <f t="array" ref="M21">IF(ISBLANK(autorest[[#This Row],[fecha_nacimiento]]),"Epoca Desconocida",IFERROR(INDEX(epocast[epoca_es],MATCH(1,(autorest[[#This Row],[fecha_nacimiento]]&gt;=epocast[inicio_ano])*(autorest[[#This Row],[fecha_nacimiento]]&lt;=epocast[fin_ano]),0)),"Epoca Desconocida"))</f>
        <v>Edad Contemporánea</v>
      </c>
      <c r="N21" t="str">
        <f>_xlfn.XLOOKUP(autorest[[#This Row],[epoca_es]],epocast[epoca_es],epocast[epoca_la])</f>
        <v>Aetas Contemporanea</v>
      </c>
    </row>
    <row r="22" spans="1:14">
      <c r="A22">
        <v>21</v>
      </c>
      <c r="B22" t="s">
        <v>188</v>
      </c>
      <c r="C22" t="s">
        <v>188</v>
      </c>
      <c r="D22">
        <v>1874</v>
      </c>
      <c r="E22">
        <v>1936</v>
      </c>
      <c r="F22" t="s">
        <v>4295</v>
      </c>
      <c r="G22" t="s">
        <v>4296</v>
      </c>
      <c r="H22" t="s">
        <v>4226</v>
      </c>
      <c r="I22" t="s">
        <v>4227</v>
      </c>
      <c r="J22" t="str">
        <f>_xlfn.XLOOKUP(autorest[[#This Row],[idioma_es]],idiomast[idioma_es],idiomast[idioma_la])</f>
        <v>Lingua Anglica</v>
      </c>
      <c r="K22" t="str">
        <f>_xlfn.XLOOKUP(autorest[[#This Row],[idioma_es]],idiomast[idioma_es],idiomast[codigo])</f>
        <v>en</v>
      </c>
      <c r="L22" t="str">
        <f>_xlfn.XLOOKUP(autorest[[#This Row],[nacion_es]],nacionest[nacion_es],nacionest[nacion_la])</f>
        <v>Regnum Unitum</v>
      </c>
      <c r="M22" s="4" t="str" cm="1">
        <f t="array" ref="M22">IF(ISBLANK(autorest[[#This Row],[fecha_nacimiento]]),"Epoca Desconocida",IFERROR(INDEX(epocast[epoca_es],MATCH(1,(autorest[[#This Row],[fecha_nacimiento]]&gt;=epocast[inicio_ano])*(autorest[[#This Row],[fecha_nacimiento]]&lt;=epocast[fin_ano]),0)),"Epoca Desconocida"))</f>
        <v>Edad Contemporánea</v>
      </c>
      <c r="N22" t="str">
        <f>_xlfn.XLOOKUP(autorest[[#This Row],[epoca_es]],epocast[epoca_es],epocast[epoca_la])</f>
        <v>Aetas Contemporanea</v>
      </c>
    </row>
    <row r="23" spans="1:14">
      <c r="A23">
        <v>22</v>
      </c>
      <c r="B23" t="s">
        <v>204</v>
      </c>
      <c r="C23" t="s">
        <v>4297</v>
      </c>
      <c r="D23">
        <v>1920</v>
      </c>
      <c r="E23">
        <v>2005</v>
      </c>
      <c r="F23" t="s">
        <v>4298</v>
      </c>
      <c r="G23" t="s">
        <v>4299</v>
      </c>
      <c r="H23" t="s">
        <v>4217</v>
      </c>
      <c r="I23" t="s">
        <v>4300</v>
      </c>
      <c r="J23" t="str">
        <f>_xlfn.XLOOKUP(autorest[[#This Row],[idioma_es]],idiomast[idioma_es],idiomast[idioma_la])</f>
        <v>Lingua Latina</v>
      </c>
      <c r="K23" t="str">
        <f>_xlfn.XLOOKUP(autorest[[#This Row],[idioma_es]],idiomast[idioma_es],idiomast[codigo])</f>
        <v>la</v>
      </c>
      <c r="L23" t="str">
        <f>_xlfn.XLOOKUP(autorest[[#This Row],[nacion_es]],nacionest[nacion_es],nacionest[nacion_la])</f>
        <v>Polonia</v>
      </c>
      <c r="M23" s="4" t="str" cm="1">
        <f t="array" ref="M23">IF(ISBLANK(autorest[[#This Row],[fecha_nacimiento]]),"Epoca Desconocida",IFERROR(INDEX(epocast[epoca_es],MATCH(1,(autorest[[#This Row],[fecha_nacimiento]]&gt;=epocast[inicio_ano])*(autorest[[#This Row],[fecha_nacimiento]]&lt;=epocast[fin_ano]),0)),"Epoca Desconocida"))</f>
        <v>Edad Contemporánea</v>
      </c>
      <c r="N23" t="str">
        <f>_xlfn.XLOOKUP(autorest[[#This Row],[epoca_es]],epocast[epoca_es],epocast[epoca_la])</f>
        <v>Aetas Contemporanea</v>
      </c>
    </row>
    <row r="24" spans="1:14">
      <c r="A24">
        <v>23</v>
      </c>
      <c r="B24" t="s">
        <v>228</v>
      </c>
      <c r="C24" t="s">
        <v>4301</v>
      </c>
      <c r="D24">
        <v>1651</v>
      </c>
      <c r="E24">
        <v>1719</v>
      </c>
      <c r="F24" t="s">
        <v>4302</v>
      </c>
      <c r="G24" t="s">
        <v>4303</v>
      </c>
      <c r="H24" t="s">
        <v>4217</v>
      </c>
      <c r="I24" t="s">
        <v>4222</v>
      </c>
      <c r="J24" t="str">
        <f>_xlfn.XLOOKUP(autorest[[#This Row],[idioma_es]],idiomast[idioma_es],idiomast[idioma_la])</f>
        <v>Lingua Latina</v>
      </c>
      <c r="K24" t="str">
        <f>_xlfn.XLOOKUP(autorest[[#This Row],[idioma_es]],idiomast[idioma_es],idiomast[codigo])</f>
        <v>la</v>
      </c>
      <c r="L24" t="str">
        <f>_xlfn.XLOOKUP(autorest[[#This Row],[nacion_es]],nacionest[nacion_es],nacionest[nacion_la])</f>
        <v>Francia</v>
      </c>
      <c r="M24" s="4" t="str" cm="1">
        <f t="array" ref="M24">IF(ISBLANK(autorest[[#This Row],[fecha_nacimiento]]),"Epoca Desconocida",IFERROR(INDEX(epocast[epoca_es],MATCH(1,(autorest[[#This Row],[fecha_nacimiento]]&gt;=epocast[inicio_ano])*(autorest[[#This Row],[fecha_nacimiento]]&lt;=epocast[fin_ano]),0)),"Epoca Desconocida"))</f>
        <v>Edad Moderna</v>
      </c>
      <c r="N24" t="str">
        <f>_xlfn.XLOOKUP(autorest[[#This Row],[epoca_es]],epocast[epoca_es],epocast[epoca_la])</f>
        <v>Nova Aetas</v>
      </c>
    </row>
    <row r="25" spans="1:14">
      <c r="A25">
        <v>24</v>
      </c>
      <c r="B25" t="s">
        <v>232</v>
      </c>
      <c r="C25" t="s">
        <v>4304</v>
      </c>
      <c r="F25" t="s">
        <v>4305</v>
      </c>
      <c r="G25" t="s">
        <v>4306</v>
      </c>
      <c r="H25" t="s">
        <v>4307</v>
      </c>
      <c r="I25" t="s">
        <v>4308</v>
      </c>
      <c r="J25" t="str">
        <f>_xlfn.XLOOKUP(autorest[[#This Row],[idioma_es]],idiomast[idioma_es],idiomast[idioma_la])</f>
        <v>Lingua Arabica</v>
      </c>
      <c r="K25" t="str">
        <f>_xlfn.XLOOKUP(autorest[[#This Row],[idioma_es]],idiomast[idioma_es],idiomast[codigo])</f>
        <v>ar</v>
      </c>
      <c r="L25" t="str">
        <f>_xlfn.XLOOKUP(autorest[[#This Row],[nacion_es]],nacionest[nacion_es],nacionest[nacion_la])</f>
        <v>Arabia Saudita</v>
      </c>
      <c r="M25" s="4" t="str" cm="1">
        <f t="array" ref="M25">IF(ISBLANK(autorest[[#This Row],[fecha_nacimiento]]),"Epoca Desconocida",IFERROR(INDEX(epocast[epoca_es],MATCH(1,(autorest[[#This Row],[fecha_nacimiento]]&gt;=epocast[inicio_ano])*(autorest[[#This Row],[fecha_nacimiento]]&lt;=epocast[fin_ano]),0)),"Epoca Desconocida"))</f>
        <v>Epoca Desconocida</v>
      </c>
      <c r="N25" t="str">
        <f>_xlfn.XLOOKUP(autorest[[#This Row],[epoca_es]],epocast[epoca_es],epocast[epoca_la])</f>
        <v>Epocha Ignota</v>
      </c>
    </row>
    <row r="26" spans="1:14">
      <c r="A26">
        <v>25</v>
      </c>
      <c r="B26" t="s">
        <v>263</v>
      </c>
      <c r="C26" t="s">
        <v>4309</v>
      </c>
      <c r="F26" t="s">
        <v>4310</v>
      </c>
      <c r="G26" t="s">
        <v>4311</v>
      </c>
      <c r="H26" t="s">
        <v>4312</v>
      </c>
      <c r="I26" t="s">
        <v>4313</v>
      </c>
      <c r="J26" t="str">
        <f>_xlfn.XLOOKUP(autorest[[#This Row],[idioma_es]],idiomast[idioma_es],idiomast[idioma_la])</f>
        <v>Lingua Indica</v>
      </c>
      <c r="K26" t="str">
        <f>_xlfn.XLOOKUP(autorest[[#This Row],[idioma_es]],idiomast[idioma_es],idiomast[codigo])</f>
        <v>hi</v>
      </c>
      <c r="L26" t="str">
        <f>_xlfn.XLOOKUP(autorest[[#This Row],[nacion_es]],nacionest[nacion_es],nacionest[nacion_la])</f>
        <v>India</v>
      </c>
      <c r="M26" s="4" t="str" cm="1">
        <f t="array" ref="M26">IF(ISBLANK(autorest[[#This Row],[fecha_nacimiento]]),"Epoca Desconocida",IFERROR(INDEX(epocast[epoca_es],MATCH(1,(autorest[[#This Row],[fecha_nacimiento]]&gt;=epocast[inicio_ano])*(autorest[[#This Row],[fecha_nacimiento]]&lt;=epocast[fin_ano]),0)),"Epoca Desconocida"))</f>
        <v>Epoca Desconocida</v>
      </c>
      <c r="N26" t="str">
        <f>_xlfn.XLOOKUP(autorest[[#This Row],[epoca_es]],epocast[epoca_es],epocast[epoca_la])</f>
        <v>Epocha Ignota</v>
      </c>
    </row>
    <row r="27" spans="1:14">
      <c r="A27">
        <v>26</v>
      </c>
      <c r="B27" t="s">
        <v>294</v>
      </c>
      <c r="C27" t="s">
        <v>4314</v>
      </c>
      <c r="D27">
        <v>1880</v>
      </c>
      <c r="E27">
        <v>1936</v>
      </c>
      <c r="F27" t="s">
        <v>4315</v>
      </c>
      <c r="G27" t="s">
        <v>4316</v>
      </c>
      <c r="H27" t="s">
        <v>4293</v>
      </c>
      <c r="I27" t="s">
        <v>4294</v>
      </c>
      <c r="J27" t="str">
        <f>_xlfn.XLOOKUP(autorest[[#This Row],[idioma_es]],idiomast[idioma_es],idiomast[idioma_la])</f>
        <v>Lingua Germanica</v>
      </c>
      <c r="K27" t="str">
        <f>_xlfn.XLOOKUP(autorest[[#This Row],[idioma_es]],idiomast[idioma_es],idiomast[codigo])</f>
        <v>de</v>
      </c>
      <c r="L27" t="str">
        <f>_xlfn.XLOOKUP(autorest[[#This Row],[nacion_es]],nacionest[nacion_es],nacionest[nacion_la])</f>
        <v>Germania</v>
      </c>
      <c r="M27" s="4" t="str" cm="1">
        <f t="array" ref="M27">IF(ISBLANK(autorest[[#This Row],[fecha_nacimiento]]),"Epoca Desconocida",IFERROR(INDEX(epocast[epoca_es],MATCH(1,(autorest[[#This Row],[fecha_nacimiento]]&gt;=epocast[inicio_ano])*(autorest[[#This Row],[fecha_nacimiento]]&lt;=epocast[fin_ano]),0)),"Epoca Desconocida"))</f>
        <v>Edad Contemporánea</v>
      </c>
      <c r="N27" t="str">
        <f>_xlfn.XLOOKUP(autorest[[#This Row],[epoca_es]],epocast[epoca_es],epocast[epoca_la])</f>
        <v>Aetas Contemporanea</v>
      </c>
    </row>
    <row r="28" spans="1:14">
      <c r="A28">
        <v>27</v>
      </c>
      <c r="B28" t="s">
        <v>309</v>
      </c>
      <c r="C28" t="s">
        <v>4317</v>
      </c>
      <c r="D28">
        <v>1547</v>
      </c>
      <c r="E28">
        <v>1616</v>
      </c>
      <c r="F28" t="s">
        <v>4318</v>
      </c>
      <c r="G28" t="s">
        <v>4319</v>
      </c>
      <c r="H28" t="s">
        <v>4265</v>
      </c>
      <c r="I28" t="s">
        <v>4266</v>
      </c>
      <c r="J28" t="str">
        <f>_xlfn.XLOOKUP(autorest[[#This Row],[idioma_es]],idiomast[idioma_es],idiomast[idioma_la])</f>
        <v>Lingua Hispanica</v>
      </c>
      <c r="K28" t="str">
        <f>_xlfn.XLOOKUP(autorest[[#This Row],[idioma_es]],idiomast[idioma_es],idiomast[codigo])</f>
        <v>es</v>
      </c>
      <c r="L28" t="str">
        <f>_xlfn.XLOOKUP(autorest[[#This Row],[nacion_es]],nacionest[nacion_es],nacionest[nacion_la])</f>
        <v>Hispania</v>
      </c>
      <c r="M28" s="4" t="str" cm="1">
        <f t="array" ref="M28">IF(ISBLANK(autorest[[#This Row],[fecha_nacimiento]]),"Epoca Desconocida",IFERROR(INDEX(epocast[epoca_es],MATCH(1,(autorest[[#This Row],[fecha_nacimiento]]&gt;=epocast[inicio_ano])*(autorest[[#This Row],[fecha_nacimiento]]&lt;=epocast[fin_ano]),0)),"Epoca Desconocida"))</f>
        <v>Edad Moderna</v>
      </c>
      <c r="N28" t="str">
        <f>_xlfn.XLOOKUP(autorest[[#This Row],[epoca_es]],epocast[epoca_es],epocast[epoca_la])</f>
        <v>Nova Aetas</v>
      </c>
    </row>
    <row r="29" spans="1:14">
      <c r="A29">
        <v>28</v>
      </c>
      <c r="B29" t="s">
        <v>331</v>
      </c>
      <c r="C29" t="s">
        <v>4320</v>
      </c>
      <c r="D29">
        <v>1918</v>
      </c>
      <c r="E29">
        <v>2013</v>
      </c>
      <c r="F29" t="s">
        <v>4321</v>
      </c>
      <c r="G29" t="s">
        <v>4322</v>
      </c>
      <c r="H29" t="s">
        <v>4226</v>
      </c>
      <c r="I29" t="s">
        <v>4323</v>
      </c>
      <c r="J29" t="str">
        <f>_xlfn.XLOOKUP(autorest[[#This Row],[idioma_es]],idiomast[idioma_es],idiomast[idioma_la])</f>
        <v>Lingua Anglica</v>
      </c>
      <c r="K29" t="str">
        <f>_xlfn.XLOOKUP(autorest[[#This Row],[idioma_es]],idiomast[idioma_es],idiomast[codigo])</f>
        <v>en</v>
      </c>
      <c r="L29" t="str">
        <f>_xlfn.XLOOKUP(autorest[[#This Row],[nacion_es]],nacionest[nacion_es],nacionest[nacion_la])</f>
        <v>Africa Australis</v>
      </c>
      <c r="M29" s="4" t="str" cm="1">
        <f t="array" ref="M29">IF(ISBLANK(autorest[[#This Row],[fecha_nacimiento]]),"Epoca Desconocida",IFERROR(INDEX(epocast[epoca_es],MATCH(1,(autorest[[#This Row],[fecha_nacimiento]]&gt;=epocast[inicio_ano])*(autorest[[#This Row],[fecha_nacimiento]]&lt;=epocast[fin_ano]),0)),"Epoca Desconocida"))</f>
        <v>Edad Contemporánea</v>
      </c>
      <c r="N29" t="str">
        <f>_xlfn.XLOOKUP(autorest[[#This Row],[epoca_es]],epocast[epoca_es],epocast[epoca_la])</f>
        <v>Aetas Contemporanea</v>
      </c>
    </row>
    <row r="30" spans="1:14">
      <c r="A30">
        <v>29</v>
      </c>
      <c r="B30" t="s">
        <v>335</v>
      </c>
      <c r="C30" t="s">
        <v>4324</v>
      </c>
      <c r="D30">
        <v>1869</v>
      </c>
      <c r="E30">
        <v>1948</v>
      </c>
      <c r="F30" t="s">
        <v>4325</v>
      </c>
      <c r="G30" t="s">
        <v>4326</v>
      </c>
      <c r="H30" t="s">
        <v>4226</v>
      </c>
      <c r="I30" t="s">
        <v>4313</v>
      </c>
      <c r="J30" t="str">
        <f>_xlfn.XLOOKUP(autorest[[#This Row],[idioma_es]],idiomast[idioma_es],idiomast[idioma_la])</f>
        <v>Lingua Anglica</v>
      </c>
      <c r="K30" t="str">
        <f>_xlfn.XLOOKUP(autorest[[#This Row],[idioma_es]],idiomast[idioma_es],idiomast[codigo])</f>
        <v>en</v>
      </c>
      <c r="L30" t="str">
        <f>_xlfn.XLOOKUP(autorest[[#This Row],[nacion_es]],nacionest[nacion_es],nacionest[nacion_la])</f>
        <v>India</v>
      </c>
      <c r="M30" s="4" t="str" cm="1">
        <f t="array" ref="M30">IF(ISBLANK(autorest[[#This Row],[fecha_nacimiento]]),"Epoca Desconocida",IFERROR(INDEX(epocast[epoca_es],MATCH(1,(autorest[[#This Row],[fecha_nacimiento]]&gt;=epocast[inicio_ano])*(autorest[[#This Row],[fecha_nacimiento]]&lt;=epocast[fin_ano]),0)),"Epoca Desconocida"))</f>
        <v>Edad Contemporánea</v>
      </c>
      <c r="N30" t="str">
        <f>_xlfn.XLOOKUP(autorest[[#This Row],[epoca_es]],epocast[epoca_es],epocast[epoca_la])</f>
        <v>Aetas Contemporanea</v>
      </c>
    </row>
    <row r="31" spans="1:14">
      <c r="A31">
        <v>30</v>
      </c>
      <c r="B31" t="s">
        <v>339</v>
      </c>
      <c r="C31" t="s">
        <v>4327</v>
      </c>
      <c r="D31">
        <v>1879</v>
      </c>
      <c r="E31">
        <v>1955</v>
      </c>
      <c r="F31" t="s">
        <v>4328</v>
      </c>
      <c r="G31" t="s">
        <v>4329</v>
      </c>
      <c r="H31" t="s">
        <v>4226</v>
      </c>
      <c r="I31" t="s">
        <v>4294</v>
      </c>
      <c r="J31" t="str">
        <f>_xlfn.XLOOKUP(autorest[[#This Row],[idioma_es]],idiomast[idioma_es],idiomast[idioma_la])</f>
        <v>Lingua Anglica</v>
      </c>
      <c r="K31" t="str">
        <f>_xlfn.XLOOKUP(autorest[[#This Row],[idioma_es]],idiomast[idioma_es],idiomast[codigo])</f>
        <v>en</v>
      </c>
      <c r="L31" t="str">
        <f>_xlfn.XLOOKUP(autorest[[#This Row],[nacion_es]],nacionest[nacion_es],nacionest[nacion_la])</f>
        <v>Germania</v>
      </c>
      <c r="M31" s="4" t="str" cm="1">
        <f t="array" ref="M31">IF(ISBLANK(autorest[[#This Row],[fecha_nacimiento]]),"Epoca Desconocida",IFERROR(INDEX(epocast[epoca_es],MATCH(1,(autorest[[#This Row],[fecha_nacimiento]]&gt;=epocast[inicio_ano])*(autorest[[#This Row],[fecha_nacimiento]]&lt;=epocast[fin_ano]),0)),"Epoca Desconocida"))</f>
        <v>Edad Contemporánea</v>
      </c>
      <c r="N31" t="str">
        <f>_xlfn.XLOOKUP(autorest[[#This Row],[epoca_es]],epocast[epoca_es],epocast[epoca_la])</f>
        <v>Aetas Contemporanea</v>
      </c>
    </row>
    <row r="32" spans="1:14">
      <c r="A32">
        <v>31</v>
      </c>
      <c r="B32" t="s">
        <v>343</v>
      </c>
      <c r="C32" t="s">
        <v>4330</v>
      </c>
      <c r="D32">
        <v>1929</v>
      </c>
      <c r="E32">
        <v>1968</v>
      </c>
      <c r="F32" t="s">
        <v>4331</v>
      </c>
      <c r="G32" t="s">
        <v>4332</v>
      </c>
      <c r="H32" t="s">
        <v>4226</v>
      </c>
      <c r="I32" t="s">
        <v>4242</v>
      </c>
      <c r="J32" t="str">
        <f>_xlfn.XLOOKUP(autorest[[#This Row],[idioma_es]],idiomast[idioma_es],idiomast[idioma_la])</f>
        <v>Lingua Anglica</v>
      </c>
      <c r="K32" t="str">
        <f>_xlfn.XLOOKUP(autorest[[#This Row],[idioma_es]],idiomast[idioma_es],idiomast[codigo])</f>
        <v>en</v>
      </c>
      <c r="L32" t="str">
        <f>_xlfn.XLOOKUP(autorest[[#This Row],[nacion_es]],nacionest[nacion_es],nacionest[nacion_la])</f>
        <v>Civitates Foederatae Americae</v>
      </c>
      <c r="M32" s="4" t="str" cm="1">
        <f t="array" ref="M32">IF(ISBLANK(autorest[[#This Row],[fecha_nacimiento]]),"Epoca Desconocida",IFERROR(INDEX(epocast[epoca_es],MATCH(1,(autorest[[#This Row],[fecha_nacimiento]]&gt;=epocast[inicio_ano])*(autorest[[#This Row],[fecha_nacimiento]]&lt;=epocast[fin_ano]),0)),"Epoca Desconocida"))</f>
        <v>Edad Contemporánea</v>
      </c>
      <c r="N32" t="str">
        <f>_xlfn.XLOOKUP(autorest[[#This Row],[epoca_es]],epocast[epoca_es],epocast[epoca_la])</f>
        <v>Aetas Contemporanea</v>
      </c>
    </row>
    <row r="33" spans="1:14">
      <c r="A33">
        <v>32</v>
      </c>
      <c r="B33" t="s">
        <v>347</v>
      </c>
      <c r="C33" t="s">
        <v>4333</v>
      </c>
      <c r="D33">
        <v>1859</v>
      </c>
      <c r="E33">
        <v>1952</v>
      </c>
      <c r="F33" t="s">
        <v>4334</v>
      </c>
      <c r="G33" t="s">
        <v>4335</v>
      </c>
      <c r="H33" t="s">
        <v>4226</v>
      </c>
      <c r="I33" t="s">
        <v>4242</v>
      </c>
      <c r="J33" t="str">
        <f>_xlfn.XLOOKUP(autorest[[#This Row],[idioma_es]],idiomast[idioma_es],idiomast[idioma_la])</f>
        <v>Lingua Anglica</v>
      </c>
      <c r="K33" t="str">
        <f>_xlfn.XLOOKUP(autorest[[#This Row],[idioma_es]],idiomast[idioma_es],idiomast[codigo])</f>
        <v>en</v>
      </c>
      <c r="L33" t="str">
        <f>_xlfn.XLOOKUP(autorest[[#This Row],[nacion_es]],nacionest[nacion_es],nacionest[nacion_la])</f>
        <v>Civitates Foederatae Americae</v>
      </c>
      <c r="M33" s="4" t="str" cm="1">
        <f t="array" ref="M33">IF(ISBLANK(autorest[[#This Row],[fecha_nacimiento]]),"Epoca Desconocida",IFERROR(INDEX(epocast[epoca_es],MATCH(1,(autorest[[#This Row],[fecha_nacimiento]]&gt;=epocast[inicio_ano])*(autorest[[#This Row],[fecha_nacimiento]]&lt;=epocast[fin_ano]),0)),"Epoca Desconocida"))</f>
        <v>Edad Contemporánea</v>
      </c>
      <c r="N33" t="str">
        <f>_xlfn.XLOOKUP(autorest[[#This Row],[epoca_es]],epocast[epoca_es],epocast[epoca_la])</f>
        <v>Aetas Contemporanea</v>
      </c>
    </row>
    <row r="34" spans="1:14">
      <c r="A34">
        <v>33</v>
      </c>
      <c r="B34" t="s">
        <v>351</v>
      </c>
      <c r="C34" t="s">
        <v>4336</v>
      </c>
      <c r="D34">
        <v>1706</v>
      </c>
      <c r="E34">
        <v>1790</v>
      </c>
      <c r="F34" t="s">
        <v>4337</v>
      </c>
      <c r="G34" t="s">
        <v>4338</v>
      </c>
      <c r="H34" t="s">
        <v>4226</v>
      </c>
      <c r="I34" t="s">
        <v>4242</v>
      </c>
      <c r="J34" t="str">
        <f>_xlfn.XLOOKUP(autorest[[#This Row],[idioma_es]],idiomast[idioma_es],idiomast[idioma_la])</f>
        <v>Lingua Anglica</v>
      </c>
      <c r="K34" t="str">
        <f>_xlfn.XLOOKUP(autorest[[#This Row],[idioma_es]],idiomast[idioma_es],idiomast[codigo])</f>
        <v>en</v>
      </c>
      <c r="L34" t="str">
        <f>_xlfn.XLOOKUP(autorest[[#This Row],[nacion_es]],nacionest[nacion_es],nacionest[nacion_la])</f>
        <v>Civitates Foederatae Americae</v>
      </c>
      <c r="M34" s="4" t="str" cm="1">
        <f t="array" ref="M34">IF(ISBLANK(autorest[[#This Row],[fecha_nacimiento]]),"Epoca Desconocida",IFERROR(INDEX(epocast[epoca_es],MATCH(1,(autorest[[#This Row],[fecha_nacimiento]]&gt;=epocast[inicio_ano])*(autorest[[#This Row],[fecha_nacimiento]]&lt;=epocast[fin_ano]),0)),"Epoca Desconocida"))</f>
        <v>Edad Moderna</v>
      </c>
      <c r="N34" t="str">
        <f>_xlfn.XLOOKUP(autorest[[#This Row],[epoca_es]],epocast[epoca_es],epocast[epoca_la])</f>
        <v>Nova Aetas</v>
      </c>
    </row>
    <row r="35" spans="1:14">
      <c r="A35">
        <v>34</v>
      </c>
      <c r="B35" t="s">
        <v>354</v>
      </c>
      <c r="C35" t="s">
        <v>4339</v>
      </c>
      <c r="D35">
        <v>1452</v>
      </c>
      <c r="E35">
        <v>1519</v>
      </c>
      <c r="F35" t="s">
        <v>4340</v>
      </c>
      <c r="G35" t="s">
        <v>4341</v>
      </c>
      <c r="H35" t="s">
        <v>4217</v>
      </c>
      <c r="I35" t="s">
        <v>4290</v>
      </c>
      <c r="J35" t="str">
        <f>_xlfn.XLOOKUP(autorest[[#This Row],[idioma_es]],idiomast[idioma_es],idiomast[idioma_la])</f>
        <v>Lingua Latina</v>
      </c>
      <c r="K35" t="str">
        <f>_xlfn.XLOOKUP(autorest[[#This Row],[idioma_es]],idiomast[idioma_es],idiomast[codigo])</f>
        <v>la</v>
      </c>
      <c r="L35" t="str">
        <f>_xlfn.XLOOKUP(autorest[[#This Row],[nacion_es]],nacionest[nacion_es],nacionest[nacion_la])</f>
        <v>Italia</v>
      </c>
      <c r="M35" s="4" t="str" cm="1">
        <f t="array" ref="M35">IF(ISBLANK(autorest[[#This Row],[fecha_nacimiento]]),"Epoca Desconocida",IFERROR(INDEX(epocast[epoca_es],MATCH(1,(autorest[[#This Row],[fecha_nacimiento]]&gt;=epocast[inicio_ano])*(autorest[[#This Row],[fecha_nacimiento]]&lt;=epocast[fin_ano]),0)),"Epoca Desconocida"))</f>
        <v>Edad Media</v>
      </c>
      <c r="N35" t="str">
        <f>_xlfn.XLOOKUP(autorest[[#This Row],[epoca_es]],epocast[epoca_es],epocast[epoca_la])</f>
        <v>Medium Aevum</v>
      </c>
    </row>
    <row r="36" spans="1:14">
      <c r="A36">
        <v>35</v>
      </c>
      <c r="B36" t="s">
        <v>361</v>
      </c>
      <c r="C36" t="s">
        <v>4342</v>
      </c>
      <c r="F36" t="s">
        <v>4343</v>
      </c>
      <c r="G36" t="s">
        <v>4344</v>
      </c>
      <c r="H36" t="s">
        <v>4265</v>
      </c>
      <c r="I36" t="s">
        <v>4345</v>
      </c>
      <c r="J36" t="str">
        <f>_xlfn.XLOOKUP(autorest[[#This Row],[idioma_es]],idiomast[idioma_es],idiomast[idioma_la])</f>
        <v>Lingua Hispanica</v>
      </c>
      <c r="K36" t="str">
        <f>_xlfn.XLOOKUP(autorest[[#This Row],[idioma_es]],idiomast[idioma_es],idiomast[codigo])</f>
        <v>es</v>
      </c>
      <c r="L36" t="str">
        <f>_xlfn.XLOOKUP(autorest[[#This Row],[nacion_es]],nacionest[nacion_es],nacionest[nacion_la])</f>
        <v>Thibetum</v>
      </c>
      <c r="M36" s="4" t="str" cm="1">
        <f t="array" ref="M36">IF(ISBLANK(autorest[[#This Row],[fecha_nacimiento]]),"Epoca Desconocida",IFERROR(INDEX(epocast[epoca_es],MATCH(1,(autorest[[#This Row],[fecha_nacimiento]]&gt;=epocast[inicio_ano])*(autorest[[#This Row],[fecha_nacimiento]]&lt;=epocast[fin_ano]),0)),"Epoca Desconocida"))</f>
        <v>Epoca Desconocida</v>
      </c>
      <c r="N36" t="str">
        <f>_xlfn.XLOOKUP(autorest[[#This Row],[epoca_es]],epocast[epoca_es],epocast[epoca_la])</f>
        <v>Epocha Ignota</v>
      </c>
    </row>
    <row r="37" spans="1:14">
      <c r="A37">
        <v>36</v>
      </c>
      <c r="B37" t="s">
        <v>999</v>
      </c>
      <c r="C37" t="s">
        <v>4346</v>
      </c>
      <c r="D37">
        <v>1913</v>
      </c>
      <c r="E37">
        <v>1960</v>
      </c>
      <c r="F37" t="s">
        <v>4347</v>
      </c>
      <c r="G37" t="s">
        <v>4348</v>
      </c>
      <c r="H37" t="s">
        <v>4256</v>
      </c>
      <c r="I37" t="s">
        <v>4222</v>
      </c>
      <c r="J37" t="str">
        <f>_xlfn.XLOOKUP(autorest[[#This Row],[idioma_es]],idiomast[idioma_es],idiomast[idioma_la])</f>
        <v>Lingua Gallica</v>
      </c>
      <c r="K37" t="str">
        <f>_xlfn.XLOOKUP(autorest[[#This Row],[idioma_es]],idiomast[idioma_es],idiomast[codigo])</f>
        <v>fr</v>
      </c>
      <c r="L37" t="str">
        <f>_xlfn.XLOOKUP(autorest[[#This Row],[nacion_es]],nacionest[nacion_es],nacionest[nacion_la])</f>
        <v>Francia</v>
      </c>
      <c r="M37" s="4" t="str" cm="1">
        <f t="array" ref="M37">IF(ISBLANK(autorest[[#This Row],[fecha_nacimiento]]),"Epoca Desconocida",IFERROR(INDEX(epocast[epoca_es],MATCH(1,(autorest[[#This Row],[fecha_nacimiento]]&gt;=epocast[inicio_ano])*(autorest[[#This Row],[fecha_nacimiento]]&lt;=epocast[fin_ano]),0)),"Epoca Desconocida"))</f>
        <v>Edad Contemporánea</v>
      </c>
      <c r="N37" t="str">
        <f>_xlfn.XLOOKUP(autorest[[#This Row],[epoca_es]],epocast[epoca_es],epocast[epoca_la])</f>
        <v>Aetas Contemporanea</v>
      </c>
    </row>
    <row r="38" spans="1:14">
      <c r="A38">
        <v>37</v>
      </c>
      <c r="B38" t="s">
        <v>1003</v>
      </c>
      <c r="C38" t="s">
        <v>4349</v>
      </c>
      <c r="D38">
        <v>1910</v>
      </c>
      <c r="E38">
        <v>1997</v>
      </c>
      <c r="F38" t="s">
        <v>4350</v>
      </c>
      <c r="G38" t="s">
        <v>4351</v>
      </c>
      <c r="H38" t="s">
        <v>4352</v>
      </c>
      <c r="I38" t="s">
        <v>4353</v>
      </c>
      <c r="J38" t="str">
        <f>_xlfn.XLOOKUP(autorest[[#This Row],[idioma_es]],idiomast[idioma_es],idiomast[idioma_la])</f>
        <v>Lingua Albanica</v>
      </c>
      <c r="K38" t="str">
        <f>_xlfn.XLOOKUP(autorest[[#This Row],[idioma_es]],idiomast[idioma_es],idiomast[codigo])</f>
        <v>sq</v>
      </c>
      <c r="L38" t="str">
        <f>_xlfn.XLOOKUP(autorest[[#This Row],[nacion_es]],nacionest[nacion_es],nacionest[nacion_la])</f>
        <v>Albania</v>
      </c>
      <c r="M38" s="4" t="str" cm="1">
        <f t="array" ref="M38">IF(ISBLANK(autorest[[#This Row],[fecha_nacimiento]]),"Epoca Desconocida",IFERROR(INDEX(epocast[epoca_es],MATCH(1,(autorest[[#This Row],[fecha_nacimiento]]&gt;=epocast[inicio_ano])*(autorest[[#This Row],[fecha_nacimiento]]&lt;=epocast[fin_ano]),0)),"Epoca Desconocida"))</f>
        <v>Edad Contemporánea</v>
      </c>
      <c r="N38" t="str">
        <f>_xlfn.XLOOKUP(autorest[[#This Row],[epoca_es]],epocast[epoca_es],epocast[epoca_la])</f>
        <v>Aetas Contemporanea</v>
      </c>
    </row>
    <row r="39" spans="1:14">
      <c r="A39">
        <v>38</v>
      </c>
      <c r="B39" t="s">
        <v>1007</v>
      </c>
      <c r="C39" t="s">
        <v>4354</v>
      </c>
      <c r="D39">
        <v>1182</v>
      </c>
      <c r="E39">
        <v>1226</v>
      </c>
      <c r="F39" t="s">
        <v>4355</v>
      </c>
      <c r="G39" t="s">
        <v>4356</v>
      </c>
      <c r="H39" t="s">
        <v>4357</v>
      </c>
      <c r="I39" t="s">
        <v>4290</v>
      </c>
      <c r="J39" t="str">
        <f>_xlfn.XLOOKUP(autorest[[#This Row],[idioma_es]],idiomast[idioma_es],idiomast[idioma_la])</f>
        <v>Lingua Italica</v>
      </c>
      <c r="K39" t="str">
        <f>_xlfn.XLOOKUP(autorest[[#This Row],[idioma_es]],idiomast[idioma_es],idiomast[codigo])</f>
        <v>it</v>
      </c>
      <c r="L39" t="str">
        <f>_xlfn.XLOOKUP(autorest[[#This Row],[nacion_es]],nacionest[nacion_es],nacionest[nacion_la])</f>
        <v>Italia</v>
      </c>
      <c r="M39" s="4" t="str" cm="1">
        <f t="array" ref="M39">IF(ISBLANK(autorest[[#This Row],[fecha_nacimiento]]),"Epoca Desconocida",IFERROR(INDEX(epocast[epoca_es],MATCH(1,(autorest[[#This Row],[fecha_nacimiento]]&gt;=epocast[inicio_ano])*(autorest[[#This Row],[fecha_nacimiento]]&lt;=epocast[fin_ano]),0)),"Epoca Desconocida"))</f>
        <v>Edad Media</v>
      </c>
      <c r="N39" t="str">
        <f>_xlfn.XLOOKUP(autorest[[#This Row],[epoca_es]],epocast[epoca_es],epocast[epoca_la])</f>
        <v>Medium Aevum</v>
      </c>
    </row>
    <row r="40" spans="1:14">
      <c r="A40">
        <v>39</v>
      </c>
      <c r="B40" t="s">
        <v>396</v>
      </c>
      <c r="C40" t="s">
        <v>4358</v>
      </c>
      <c r="D40">
        <v>-341</v>
      </c>
      <c r="E40">
        <v>-270</v>
      </c>
      <c r="F40" t="s">
        <v>4359</v>
      </c>
      <c r="G40" t="s">
        <v>4360</v>
      </c>
      <c r="H40" t="s">
        <v>4361</v>
      </c>
      <c r="I40" t="s">
        <v>4277</v>
      </c>
      <c r="J40" t="str">
        <f>_xlfn.XLOOKUP(autorest[[#This Row],[idioma_es]],idiomast[idioma_es],idiomast[idioma_la])</f>
        <v>Lingua Graeca</v>
      </c>
      <c r="K40" t="str">
        <f>_xlfn.XLOOKUP(autorest[[#This Row],[idioma_es]],idiomast[idioma_es],idiomast[codigo])</f>
        <v>el</v>
      </c>
      <c r="L40" t="str">
        <f>_xlfn.XLOOKUP(autorest[[#This Row],[nacion_es]],nacionest[nacion_es],nacionest[nacion_la])</f>
        <v>Graecia</v>
      </c>
      <c r="M40" s="4" t="str" cm="1">
        <f t="array" ref="M40">IF(ISBLANK(autorest[[#This Row],[fecha_nacimiento]]),"Epoca Desconocida",IFERROR(INDEX(epocast[epoca_es],MATCH(1,(autorest[[#This Row],[fecha_nacimiento]]&gt;=epocast[inicio_ano])*(autorest[[#This Row],[fecha_nacimiento]]&lt;=epocast[fin_ano]),0)),"Epoca Desconocida"))</f>
        <v>Edad Antigua</v>
      </c>
      <c r="N40" t="str">
        <f>_xlfn.XLOOKUP(autorest[[#This Row],[epoca_es]],epocast[epoca_es],epocast[epoca_la])</f>
        <v>Antiquitas</v>
      </c>
    </row>
    <row r="41" spans="1:14">
      <c r="A41">
        <v>40</v>
      </c>
      <c r="B41" t="s">
        <v>427</v>
      </c>
      <c r="C41" t="s">
        <v>4362</v>
      </c>
      <c r="D41">
        <v>121</v>
      </c>
      <c r="E41">
        <v>180</v>
      </c>
      <c r="F41" t="s">
        <v>4363</v>
      </c>
      <c r="G41" t="s">
        <v>4364</v>
      </c>
      <c r="H41" t="s">
        <v>4361</v>
      </c>
      <c r="I41" t="s">
        <v>4218</v>
      </c>
      <c r="J41" t="str">
        <f>_xlfn.XLOOKUP(autorest[[#This Row],[idioma_es]],idiomast[idioma_es],idiomast[idioma_la])</f>
        <v>Lingua Graeca</v>
      </c>
      <c r="K41" t="str">
        <f>_xlfn.XLOOKUP(autorest[[#This Row],[idioma_es]],idiomast[idioma_es],idiomast[codigo])</f>
        <v>el</v>
      </c>
      <c r="L41" t="str">
        <f>_xlfn.XLOOKUP(autorest[[#This Row],[nacion_es]],nacionest[nacion_es],nacionest[nacion_la])</f>
        <v>Roma</v>
      </c>
      <c r="M41" s="4" t="str" cm="1">
        <f t="array" ref="M41">IF(ISBLANK(autorest[[#This Row],[fecha_nacimiento]]),"Epoca Desconocida",IFERROR(INDEX(epocast[epoca_es],MATCH(1,(autorest[[#This Row],[fecha_nacimiento]]&gt;=epocast[inicio_ano])*(autorest[[#This Row],[fecha_nacimiento]]&lt;=epocast[fin_ano]),0)),"Epoca Desconocida"))</f>
        <v>Edad Antigua</v>
      </c>
      <c r="N41" t="str">
        <f>_xlfn.XLOOKUP(autorest[[#This Row],[epoca_es]],epocast[epoca_es],epocast[epoca_la])</f>
        <v>Antiquitas</v>
      </c>
    </row>
    <row r="42" spans="1:14">
      <c r="A42">
        <v>41</v>
      </c>
      <c r="B42" t="s">
        <v>458</v>
      </c>
      <c r="C42" t="s">
        <v>4365</v>
      </c>
      <c r="D42">
        <v>-427</v>
      </c>
      <c r="E42">
        <v>-347</v>
      </c>
      <c r="F42" t="s">
        <v>4366</v>
      </c>
      <c r="G42" t="s">
        <v>4367</v>
      </c>
      <c r="H42" t="s">
        <v>4361</v>
      </c>
      <c r="I42" t="s">
        <v>4277</v>
      </c>
      <c r="J42" t="str">
        <f>_xlfn.XLOOKUP(autorest[[#This Row],[idioma_es]],idiomast[idioma_es],idiomast[idioma_la])</f>
        <v>Lingua Graeca</v>
      </c>
      <c r="K42" t="str">
        <f>_xlfn.XLOOKUP(autorest[[#This Row],[idioma_es]],idiomast[idioma_es],idiomast[codigo])</f>
        <v>el</v>
      </c>
      <c r="L42" t="str">
        <f>_xlfn.XLOOKUP(autorest[[#This Row],[nacion_es]],nacionest[nacion_es],nacionest[nacion_la])</f>
        <v>Graecia</v>
      </c>
      <c r="M42" s="4" t="str" cm="1">
        <f t="array" ref="M42">IF(ISBLANK(autorest[[#This Row],[fecha_nacimiento]]),"Epoca Desconocida",IFERROR(INDEX(epocast[epoca_es],MATCH(1,(autorest[[#This Row],[fecha_nacimiento]]&gt;=epocast[inicio_ano])*(autorest[[#This Row],[fecha_nacimiento]]&lt;=epocast[fin_ano]),0)),"Epoca Desconocida"))</f>
        <v>Edad Antigua</v>
      </c>
      <c r="N42" t="str">
        <f>_xlfn.XLOOKUP(autorest[[#This Row],[epoca_es]],epocast[epoca_es],epocast[epoca_la])</f>
        <v>Antiquitas</v>
      </c>
    </row>
    <row r="43" spans="1:14">
      <c r="A43">
        <v>42</v>
      </c>
      <c r="B43" t="s">
        <v>489</v>
      </c>
      <c r="C43" t="s">
        <v>4368</v>
      </c>
      <c r="D43">
        <v>-384</v>
      </c>
      <c r="E43">
        <v>-322</v>
      </c>
      <c r="F43" t="s">
        <v>4369</v>
      </c>
      <c r="G43" t="s">
        <v>4370</v>
      </c>
      <c r="H43" t="s">
        <v>4361</v>
      </c>
      <c r="I43" t="s">
        <v>4277</v>
      </c>
      <c r="J43" t="str">
        <f>_xlfn.XLOOKUP(autorest[[#This Row],[idioma_es]],idiomast[idioma_es],idiomast[idioma_la])</f>
        <v>Lingua Graeca</v>
      </c>
      <c r="K43" t="str">
        <f>_xlfn.XLOOKUP(autorest[[#This Row],[idioma_es]],idiomast[idioma_es],idiomast[codigo])</f>
        <v>el</v>
      </c>
      <c r="L43" t="str">
        <f>_xlfn.XLOOKUP(autorest[[#This Row],[nacion_es]],nacionest[nacion_es],nacionest[nacion_la])</f>
        <v>Graecia</v>
      </c>
      <c r="M43" s="4" t="str" cm="1">
        <f t="array" ref="M43">IF(ISBLANK(autorest[[#This Row],[fecha_nacimiento]]),"Epoca Desconocida",IFERROR(INDEX(epocast[epoca_es],MATCH(1,(autorest[[#This Row],[fecha_nacimiento]]&gt;=epocast[inicio_ano])*(autorest[[#This Row],[fecha_nacimiento]]&lt;=epocast[fin_ano]),0)),"Epoca Desconocida"))</f>
        <v>Edad Antigua</v>
      </c>
      <c r="N43" t="str">
        <f>_xlfn.XLOOKUP(autorest[[#This Row],[epoca_es]],epocast[epoca_es],epocast[epoca_la])</f>
        <v>Antiquitas</v>
      </c>
    </row>
    <row r="44" spans="1:14">
      <c r="A44">
        <v>43</v>
      </c>
      <c r="B44" t="s">
        <v>365</v>
      </c>
      <c r="C44" t="s">
        <v>4371</v>
      </c>
      <c r="D44">
        <v>-624</v>
      </c>
      <c r="E44">
        <v>-546</v>
      </c>
      <c r="F44" t="s">
        <v>4372</v>
      </c>
      <c r="G44" t="s">
        <v>4373</v>
      </c>
      <c r="H44" t="s">
        <v>4361</v>
      </c>
      <c r="I44" t="s">
        <v>4277</v>
      </c>
      <c r="J44" t="str">
        <f>_xlfn.XLOOKUP(autorest[[#This Row],[idioma_es]],idiomast[idioma_es],idiomast[idioma_la])</f>
        <v>Lingua Graeca</v>
      </c>
      <c r="K44" t="str">
        <f>_xlfn.XLOOKUP(autorest[[#This Row],[idioma_es]],idiomast[idioma_es],idiomast[codigo])</f>
        <v>el</v>
      </c>
      <c r="L44" t="str">
        <f>_xlfn.XLOOKUP(autorest[[#This Row],[nacion_es]],nacionest[nacion_es],nacionest[nacion_la])</f>
        <v>Graecia</v>
      </c>
      <c r="M44" s="4" t="str" cm="1">
        <f t="array" ref="M44">IF(ISBLANK(autorest[[#This Row],[fecha_nacimiento]]),"Epoca Desconocida",IFERROR(INDEX(epocast[epoca_es],MATCH(1,(autorest[[#This Row],[fecha_nacimiento]]&gt;=epocast[inicio_ano])*(autorest[[#This Row],[fecha_nacimiento]]&lt;=epocast[fin_ano]),0)),"Epoca Desconocida"))</f>
        <v>Edad Antigua</v>
      </c>
      <c r="N44" t="str">
        <f>_xlfn.XLOOKUP(autorest[[#This Row],[epoca_es]],epocast[epoca_es],epocast[epoca_la])</f>
        <v>Antiquitas</v>
      </c>
    </row>
    <row r="45" spans="1:14">
      <c r="A45">
        <v>44</v>
      </c>
      <c r="B45" t="s">
        <v>520</v>
      </c>
      <c r="C45" t="s">
        <v>4374</v>
      </c>
      <c r="D45">
        <v>-570</v>
      </c>
      <c r="E45">
        <v>-490</v>
      </c>
      <c r="F45" t="s">
        <v>4375</v>
      </c>
      <c r="G45" t="s">
        <v>4376</v>
      </c>
      <c r="H45" t="s">
        <v>4361</v>
      </c>
      <c r="I45" t="s">
        <v>4277</v>
      </c>
      <c r="J45" t="str">
        <f>_xlfn.XLOOKUP(autorest[[#This Row],[idioma_es]],idiomast[idioma_es],idiomast[idioma_la])</f>
        <v>Lingua Graeca</v>
      </c>
      <c r="K45" t="str">
        <f>_xlfn.XLOOKUP(autorest[[#This Row],[idioma_es]],idiomast[idioma_es],idiomast[codigo])</f>
        <v>el</v>
      </c>
      <c r="L45" t="str">
        <f>_xlfn.XLOOKUP(autorest[[#This Row],[nacion_es]],nacionest[nacion_es],nacionest[nacion_la])</f>
        <v>Graecia</v>
      </c>
      <c r="M45" s="4" t="str" cm="1">
        <f t="array" ref="M45">IF(ISBLANK(autorest[[#This Row],[fecha_nacimiento]]),"Epoca Desconocida",IFERROR(INDEX(epocast[epoca_es],MATCH(1,(autorest[[#This Row],[fecha_nacimiento]]&gt;=epocast[inicio_ano])*(autorest[[#This Row],[fecha_nacimiento]]&lt;=epocast[fin_ano]),0)),"Epoca Desconocida"))</f>
        <v>Edad Antigua</v>
      </c>
      <c r="N45" t="str">
        <f>_xlfn.XLOOKUP(autorest[[#This Row],[epoca_es]],epocast[epoca_es],epocast[epoca_la])</f>
        <v>Antiquitas</v>
      </c>
    </row>
    <row r="46" spans="1:14">
      <c r="A46">
        <v>45</v>
      </c>
      <c r="B46" t="s">
        <v>551</v>
      </c>
      <c r="C46" t="s">
        <v>4377</v>
      </c>
      <c r="D46">
        <v>-535</v>
      </c>
      <c r="E46">
        <v>-480</v>
      </c>
      <c r="F46" t="s">
        <v>4378</v>
      </c>
      <c r="G46" t="s">
        <v>4379</v>
      </c>
      <c r="H46" t="s">
        <v>4361</v>
      </c>
      <c r="I46" t="s">
        <v>4277</v>
      </c>
      <c r="J46" t="str">
        <f>_xlfn.XLOOKUP(autorest[[#This Row],[idioma_es]],idiomast[idioma_es],idiomast[idioma_la])</f>
        <v>Lingua Graeca</v>
      </c>
      <c r="K46" t="str">
        <f>_xlfn.XLOOKUP(autorest[[#This Row],[idioma_es]],idiomast[idioma_es],idiomast[codigo])</f>
        <v>el</v>
      </c>
      <c r="L46" t="str">
        <f>_xlfn.XLOOKUP(autorest[[#This Row],[nacion_es]],nacionest[nacion_es],nacionest[nacion_la])</f>
        <v>Graecia</v>
      </c>
      <c r="M46" s="4" t="str" cm="1">
        <f t="array" ref="M46">IF(ISBLANK(autorest[[#This Row],[fecha_nacimiento]]),"Epoca Desconocida",IFERROR(INDEX(epocast[epoca_es],MATCH(1,(autorest[[#This Row],[fecha_nacimiento]]&gt;=epocast[inicio_ano])*(autorest[[#This Row],[fecha_nacimiento]]&lt;=epocast[fin_ano]),0)),"Epoca Desconocida"))</f>
        <v>Edad Antigua</v>
      </c>
      <c r="N46" t="str">
        <f>_xlfn.XLOOKUP(autorest[[#This Row],[epoca_es]],epocast[epoca_es],epocast[epoca_la])</f>
        <v>Antiquitas</v>
      </c>
    </row>
    <row r="47" spans="1:14">
      <c r="A47">
        <v>46</v>
      </c>
      <c r="B47" t="s">
        <v>582</v>
      </c>
      <c r="C47" t="s">
        <v>4380</v>
      </c>
      <c r="D47">
        <v>-470</v>
      </c>
      <c r="E47">
        <v>-399</v>
      </c>
      <c r="F47" t="s">
        <v>4381</v>
      </c>
      <c r="G47" t="s">
        <v>4382</v>
      </c>
      <c r="H47" t="s">
        <v>4361</v>
      </c>
      <c r="I47" t="s">
        <v>4277</v>
      </c>
      <c r="J47" t="str">
        <f>_xlfn.XLOOKUP(autorest[[#This Row],[idioma_es]],idiomast[idioma_es],idiomast[idioma_la])</f>
        <v>Lingua Graeca</v>
      </c>
      <c r="K47" t="str">
        <f>_xlfn.XLOOKUP(autorest[[#This Row],[idioma_es]],idiomast[idioma_es],idiomast[codigo])</f>
        <v>el</v>
      </c>
      <c r="L47" t="str">
        <f>_xlfn.XLOOKUP(autorest[[#This Row],[nacion_es]],nacionest[nacion_es],nacionest[nacion_la])</f>
        <v>Graecia</v>
      </c>
      <c r="M47" s="4" t="str" cm="1">
        <f t="array" ref="M47">IF(ISBLANK(autorest[[#This Row],[fecha_nacimiento]]),"Epoca Desconocida",IFERROR(INDEX(epocast[epoca_es],MATCH(1,(autorest[[#This Row],[fecha_nacimiento]]&gt;=epocast[inicio_ano])*(autorest[[#This Row],[fecha_nacimiento]]&lt;=epocast[fin_ano]),0)),"Epoca Desconocida"))</f>
        <v>Edad Antigua</v>
      </c>
      <c r="N47" t="str">
        <f>_xlfn.XLOOKUP(autorest[[#This Row],[epoca_es]],epocast[epoca_es],epocast[epoca_la])</f>
        <v>Antiquitas</v>
      </c>
    </row>
    <row r="48" spans="1:14">
      <c r="A48">
        <v>47</v>
      </c>
      <c r="B48" t="s">
        <v>611</v>
      </c>
      <c r="C48" t="s">
        <v>4383</v>
      </c>
      <c r="D48">
        <v>-460</v>
      </c>
      <c r="E48">
        <v>-370</v>
      </c>
      <c r="F48" t="s">
        <v>4384</v>
      </c>
      <c r="G48" t="s">
        <v>4385</v>
      </c>
      <c r="H48" t="s">
        <v>4361</v>
      </c>
      <c r="I48" t="s">
        <v>4277</v>
      </c>
      <c r="J48" t="str">
        <f>_xlfn.XLOOKUP(autorest[[#This Row],[idioma_es]],idiomast[idioma_es],idiomast[idioma_la])</f>
        <v>Lingua Graeca</v>
      </c>
      <c r="K48" t="str">
        <f>_xlfn.XLOOKUP(autorest[[#This Row],[idioma_es]],idiomast[idioma_es],idiomast[codigo])</f>
        <v>el</v>
      </c>
      <c r="L48" t="str">
        <f>_xlfn.XLOOKUP(autorest[[#This Row],[nacion_es]],nacionest[nacion_es],nacionest[nacion_la])</f>
        <v>Graecia</v>
      </c>
      <c r="M48" s="4" t="str" cm="1">
        <f t="array" ref="M48">IF(ISBLANK(autorest[[#This Row],[fecha_nacimiento]]),"Epoca Desconocida",IFERROR(INDEX(epocast[epoca_es],MATCH(1,(autorest[[#This Row],[fecha_nacimiento]]&gt;=epocast[inicio_ano])*(autorest[[#This Row],[fecha_nacimiento]]&lt;=epocast[fin_ano]),0)),"Epoca Desconocida"))</f>
        <v>Edad Antigua</v>
      </c>
      <c r="N48" t="str">
        <f>_xlfn.XLOOKUP(autorest[[#This Row],[epoca_es]],epocast[epoca_es],epocast[epoca_la])</f>
        <v>Antiquitas</v>
      </c>
    </row>
    <row r="49" spans="1:14">
      <c r="A49">
        <v>48</v>
      </c>
      <c r="B49" t="s">
        <v>642</v>
      </c>
      <c r="C49" t="s">
        <v>4386</v>
      </c>
      <c r="D49">
        <v>-490</v>
      </c>
      <c r="E49">
        <v>-420</v>
      </c>
      <c r="F49" t="s">
        <v>4387</v>
      </c>
      <c r="G49" t="s">
        <v>4388</v>
      </c>
      <c r="H49" t="s">
        <v>4361</v>
      </c>
      <c r="I49" t="s">
        <v>4277</v>
      </c>
      <c r="J49" t="str">
        <f>_xlfn.XLOOKUP(autorest[[#This Row],[idioma_es]],idiomast[idioma_es],idiomast[idioma_la])</f>
        <v>Lingua Graeca</v>
      </c>
      <c r="K49" t="str">
        <f>_xlfn.XLOOKUP(autorest[[#This Row],[idioma_es]],idiomast[idioma_es],idiomast[codigo])</f>
        <v>el</v>
      </c>
      <c r="L49" t="str">
        <f>_xlfn.XLOOKUP(autorest[[#This Row],[nacion_es]],nacionest[nacion_es],nacionest[nacion_la])</f>
        <v>Graecia</v>
      </c>
      <c r="M49" s="4" t="str" cm="1">
        <f t="array" ref="M49">IF(ISBLANK(autorest[[#This Row],[fecha_nacimiento]]),"Epoca Desconocida",IFERROR(INDEX(epocast[epoca_es],MATCH(1,(autorest[[#This Row],[fecha_nacimiento]]&gt;=epocast[inicio_ano])*(autorest[[#This Row],[fecha_nacimiento]]&lt;=epocast[fin_ano]),0)),"Epoca Desconocida"))</f>
        <v>Edad Antigua</v>
      </c>
      <c r="N49" t="str">
        <f>_xlfn.XLOOKUP(autorest[[#This Row],[epoca_es]],epocast[epoca_es],epocast[epoca_la])</f>
        <v>Antiquitas</v>
      </c>
    </row>
    <row r="50" spans="1:14">
      <c r="A50">
        <v>49</v>
      </c>
      <c r="B50" t="s">
        <v>673</v>
      </c>
      <c r="C50" t="s">
        <v>4389</v>
      </c>
      <c r="D50">
        <v>35</v>
      </c>
      <c r="E50">
        <v>99</v>
      </c>
      <c r="F50" t="s">
        <v>4390</v>
      </c>
      <c r="G50" t="s">
        <v>4391</v>
      </c>
      <c r="H50" t="s">
        <v>4217</v>
      </c>
      <c r="I50" t="s">
        <v>4218</v>
      </c>
      <c r="J50" t="str">
        <f>_xlfn.XLOOKUP(autorest[[#This Row],[idioma_es]],idiomast[idioma_es],idiomast[idioma_la])</f>
        <v>Lingua Latina</v>
      </c>
      <c r="K50" t="str">
        <f>_xlfn.XLOOKUP(autorest[[#This Row],[idioma_es]],idiomast[idioma_es],idiomast[codigo])</f>
        <v>la</v>
      </c>
      <c r="L50" t="str">
        <f>_xlfn.XLOOKUP(autorest[[#This Row],[nacion_es]],nacionest[nacion_es],nacionest[nacion_la])</f>
        <v>Roma</v>
      </c>
      <c r="M50" s="4" t="str" cm="1">
        <f t="array" ref="M50">IF(ISBLANK(autorest[[#This Row],[fecha_nacimiento]]),"Epoca Desconocida",IFERROR(INDEX(epocast[epoca_es],MATCH(1,(autorest[[#This Row],[fecha_nacimiento]]&gt;=epocast[inicio_ano])*(autorest[[#This Row],[fecha_nacimiento]]&lt;=epocast[fin_ano]),0)),"Epoca Desconocida"))</f>
        <v>Edad Antigua</v>
      </c>
      <c r="N50" t="str">
        <f>_xlfn.XLOOKUP(autorest[[#This Row],[epoca_es]],epocast[epoca_es],epocast[epoca_la])</f>
        <v>Antiquitas</v>
      </c>
    </row>
    <row r="51" spans="1:14">
      <c r="A51">
        <v>50</v>
      </c>
      <c r="B51" t="s">
        <v>695</v>
      </c>
      <c r="C51" t="s">
        <v>4392</v>
      </c>
      <c r="D51">
        <v>35</v>
      </c>
      <c r="E51">
        <v>107</v>
      </c>
      <c r="F51" t="s">
        <v>4393</v>
      </c>
      <c r="G51" t="s">
        <v>4394</v>
      </c>
      <c r="H51" t="s">
        <v>4217</v>
      </c>
      <c r="I51" t="s">
        <v>4218</v>
      </c>
      <c r="J51" t="str">
        <f>_xlfn.XLOOKUP(autorest[[#This Row],[idioma_es]],idiomast[idioma_es],idiomast[idioma_la])</f>
        <v>Lingua Latina</v>
      </c>
      <c r="K51" t="str">
        <f>_xlfn.XLOOKUP(autorest[[#This Row],[idioma_es]],idiomast[idioma_es],idiomast[codigo])</f>
        <v>la</v>
      </c>
      <c r="L51" t="str">
        <f>_xlfn.XLOOKUP(autorest[[#This Row],[nacion_es]],nacionest[nacion_es],nacionest[nacion_la])</f>
        <v>Roma</v>
      </c>
      <c r="M51" s="4" t="str" cm="1">
        <f t="array" ref="M51">IF(ISBLANK(autorest[[#This Row],[fecha_nacimiento]]),"Epoca Desconocida",IFERROR(INDEX(epocast[epoca_es],MATCH(1,(autorest[[#This Row],[fecha_nacimiento]]&gt;=epocast[inicio_ano])*(autorest[[#This Row],[fecha_nacimiento]]&lt;=epocast[fin_ano]),0)),"Epoca Desconocida"))</f>
        <v>Edad Antigua</v>
      </c>
      <c r="N51" t="str">
        <f>_xlfn.XLOOKUP(autorest[[#This Row],[epoca_es]],epocast[epoca_es],epocast[epoca_la])</f>
        <v>Antiquitas</v>
      </c>
    </row>
    <row r="52" spans="1:14">
      <c r="A52">
        <v>51</v>
      </c>
      <c r="B52" t="s">
        <v>716</v>
      </c>
      <c r="C52" t="s">
        <v>4395</v>
      </c>
      <c r="D52">
        <v>70</v>
      </c>
      <c r="E52">
        <v>155</v>
      </c>
      <c r="F52" t="s">
        <v>4396</v>
      </c>
      <c r="G52" t="s">
        <v>4397</v>
      </c>
      <c r="H52" t="s">
        <v>4217</v>
      </c>
      <c r="I52" t="s">
        <v>4218</v>
      </c>
      <c r="J52" t="str">
        <f>_xlfn.XLOOKUP(autorest[[#This Row],[idioma_es]],idiomast[idioma_es],idiomast[idioma_la])</f>
        <v>Lingua Latina</v>
      </c>
      <c r="K52" t="str">
        <f>_xlfn.XLOOKUP(autorest[[#This Row],[idioma_es]],idiomast[idioma_es],idiomast[codigo])</f>
        <v>la</v>
      </c>
      <c r="L52" t="str">
        <f>_xlfn.XLOOKUP(autorest[[#This Row],[nacion_es]],nacionest[nacion_es],nacionest[nacion_la])</f>
        <v>Roma</v>
      </c>
      <c r="M52" s="4" t="str" cm="1">
        <f t="array" ref="M52">IF(ISBLANK(autorest[[#This Row],[fecha_nacimiento]]),"Epoca Desconocida",IFERROR(INDEX(epocast[epoca_es],MATCH(1,(autorest[[#This Row],[fecha_nacimiento]]&gt;=epocast[inicio_ano])*(autorest[[#This Row],[fecha_nacimiento]]&lt;=epocast[fin_ano]),0)),"Epoca Desconocida"))</f>
        <v>Edad Antigua</v>
      </c>
      <c r="N52" t="str">
        <f>_xlfn.XLOOKUP(autorest[[#This Row],[epoca_es]],epocast[epoca_es],epocast[epoca_la])</f>
        <v>Antiquitas</v>
      </c>
    </row>
    <row r="53" spans="1:14">
      <c r="A53">
        <v>52</v>
      </c>
      <c r="B53" t="s">
        <v>737</v>
      </c>
      <c r="C53" t="s">
        <v>4398</v>
      </c>
      <c r="D53">
        <v>130</v>
      </c>
      <c r="E53">
        <v>202</v>
      </c>
      <c r="F53" t="s">
        <v>4399</v>
      </c>
      <c r="G53" t="s">
        <v>4400</v>
      </c>
      <c r="H53" t="s">
        <v>4217</v>
      </c>
      <c r="I53" t="s">
        <v>4218</v>
      </c>
      <c r="J53" t="str">
        <f>_xlfn.XLOOKUP(autorest[[#This Row],[idioma_es]],idiomast[idioma_es],idiomast[idioma_la])</f>
        <v>Lingua Latina</v>
      </c>
      <c r="K53" t="str">
        <f>_xlfn.XLOOKUP(autorest[[#This Row],[idioma_es]],idiomast[idioma_es],idiomast[codigo])</f>
        <v>la</v>
      </c>
      <c r="L53" t="str">
        <f>_xlfn.XLOOKUP(autorest[[#This Row],[nacion_es]],nacionest[nacion_es],nacionest[nacion_la])</f>
        <v>Roma</v>
      </c>
      <c r="M53" s="4" t="str" cm="1">
        <f t="array" ref="M53">IF(ISBLANK(autorest[[#This Row],[fecha_nacimiento]]),"Epoca Desconocida",IFERROR(INDEX(epocast[epoca_es],MATCH(1,(autorest[[#This Row],[fecha_nacimiento]]&gt;=epocast[inicio_ano])*(autorest[[#This Row],[fecha_nacimiento]]&lt;=epocast[fin_ano]),0)),"Epoca Desconocida"))</f>
        <v>Edad Antigua</v>
      </c>
      <c r="N53" t="str">
        <f>_xlfn.XLOOKUP(autorest[[#This Row],[epoca_es]],epocast[epoca_es],epocast[epoca_la])</f>
        <v>Antiquitas</v>
      </c>
    </row>
    <row r="54" spans="1:14">
      <c r="A54">
        <v>53</v>
      </c>
      <c r="B54" t="s">
        <v>758</v>
      </c>
      <c r="C54" t="s">
        <v>4401</v>
      </c>
      <c r="D54">
        <v>296</v>
      </c>
      <c r="E54">
        <v>373</v>
      </c>
      <c r="F54" t="s">
        <v>4402</v>
      </c>
      <c r="G54" t="s">
        <v>4403</v>
      </c>
      <c r="H54" t="s">
        <v>4217</v>
      </c>
      <c r="I54" t="s">
        <v>4218</v>
      </c>
      <c r="J54" t="str">
        <f>_xlfn.XLOOKUP(autorest[[#This Row],[idioma_es]],idiomast[idioma_es],idiomast[idioma_la])</f>
        <v>Lingua Latina</v>
      </c>
      <c r="K54" t="str">
        <f>_xlfn.XLOOKUP(autorest[[#This Row],[idioma_es]],idiomast[idioma_es],idiomast[codigo])</f>
        <v>la</v>
      </c>
      <c r="L54" t="str">
        <f>_xlfn.XLOOKUP(autorest[[#This Row],[nacion_es]],nacionest[nacion_es],nacionest[nacion_la])</f>
        <v>Roma</v>
      </c>
      <c r="M54" s="4" t="str" cm="1">
        <f t="array" ref="M54">IF(ISBLANK(autorest[[#This Row],[fecha_nacimiento]]),"Epoca Desconocida",IFERROR(INDEX(epocast[epoca_es],MATCH(1,(autorest[[#This Row],[fecha_nacimiento]]&gt;=epocast[inicio_ano])*(autorest[[#This Row],[fecha_nacimiento]]&lt;=epocast[fin_ano]),0)),"Epoca Desconocida"))</f>
        <v>Edad Antigua</v>
      </c>
      <c r="N54" t="str">
        <f>_xlfn.XLOOKUP(autorest[[#This Row],[epoca_es]],epocast[epoca_es],epocast[epoca_la])</f>
        <v>Antiquitas</v>
      </c>
    </row>
    <row r="55" spans="1:14">
      <c r="A55">
        <v>54</v>
      </c>
      <c r="B55" t="s">
        <v>780</v>
      </c>
      <c r="C55" t="s">
        <v>4404</v>
      </c>
      <c r="D55">
        <v>330</v>
      </c>
      <c r="E55">
        <v>379</v>
      </c>
      <c r="F55" t="s">
        <v>4405</v>
      </c>
      <c r="G55" t="s">
        <v>4406</v>
      </c>
      <c r="H55" t="s">
        <v>4217</v>
      </c>
      <c r="I55" t="s">
        <v>4218</v>
      </c>
      <c r="J55" t="str">
        <f>_xlfn.XLOOKUP(autorest[[#This Row],[idioma_es]],idiomast[idioma_es],idiomast[idioma_la])</f>
        <v>Lingua Latina</v>
      </c>
      <c r="K55" t="str">
        <f>_xlfn.XLOOKUP(autorest[[#This Row],[idioma_es]],idiomast[idioma_es],idiomast[codigo])</f>
        <v>la</v>
      </c>
      <c r="L55" t="str">
        <f>_xlfn.XLOOKUP(autorest[[#This Row],[nacion_es]],nacionest[nacion_es],nacionest[nacion_la])</f>
        <v>Roma</v>
      </c>
      <c r="M55" s="4" t="str" cm="1">
        <f t="array" ref="M55">IF(ISBLANK(autorest[[#This Row],[fecha_nacimiento]]),"Epoca Desconocida",IFERROR(INDEX(epocast[epoca_es],MATCH(1,(autorest[[#This Row],[fecha_nacimiento]]&gt;=epocast[inicio_ano])*(autorest[[#This Row],[fecha_nacimiento]]&lt;=epocast[fin_ano]),0)),"Epoca Desconocida"))</f>
        <v>Edad Antigua</v>
      </c>
      <c r="N55" t="str">
        <f>_xlfn.XLOOKUP(autorest[[#This Row],[epoca_es]],epocast[epoca_es],epocast[epoca_la])</f>
        <v>Antiquitas</v>
      </c>
    </row>
    <row r="56" spans="1:14">
      <c r="A56">
        <v>55</v>
      </c>
      <c r="B56" t="s">
        <v>802</v>
      </c>
      <c r="C56" t="s">
        <v>4407</v>
      </c>
      <c r="D56">
        <v>329</v>
      </c>
      <c r="E56">
        <v>390</v>
      </c>
      <c r="F56" t="s">
        <v>4408</v>
      </c>
      <c r="G56" t="s">
        <v>4409</v>
      </c>
      <c r="H56" t="s">
        <v>4217</v>
      </c>
      <c r="I56" t="s">
        <v>4218</v>
      </c>
      <c r="J56" t="str">
        <f>_xlfn.XLOOKUP(autorest[[#This Row],[idioma_es]],idiomast[idioma_es],idiomast[idioma_la])</f>
        <v>Lingua Latina</v>
      </c>
      <c r="K56" t="str">
        <f>_xlfn.XLOOKUP(autorest[[#This Row],[idioma_es]],idiomast[idioma_es],idiomast[codigo])</f>
        <v>la</v>
      </c>
      <c r="L56" t="str">
        <f>_xlfn.XLOOKUP(autorest[[#This Row],[nacion_es]],nacionest[nacion_es],nacionest[nacion_la])</f>
        <v>Roma</v>
      </c>
      <c r="M56" s="4" t="str" cm="1">
        <f t="array" ref="M56">IF(ISBLANK(autorest[[#This Row],[fecha_nacimiento]]),"Epoca Desconocida",IFERROR(INDEX(epocast[epoca_es],MATCH(1,(autorest[[#This Row],[fecha_nacimiento]]&gt;=epocast[inicio_ano])*(autorest[[#This Row],[fecha_nacimiento]]&lt;=epocast[fin_ano]),0)),"Epoca Desconocida"))</f>
        <v>Edad Antigua</v>
      </c>
      <c r="N56" t="str">
        <f>_xlfn.XLOOKUP(autorest[[#This Row],[epoca_es]],epocast[epoca_es],epocast[epoca_la])</f>
        <v>Antiquitas</v>
      </c>
    </row>
    <row r="57" spans="1:14">
      <c r="A57">
        <v>56</v>
      </c>
      <c r="B57" t="s">
        <v>823</v>
      </c>
      <c r="C57" t="s">
        <v>4410</v>
      </c>
      <c r="D57">
        <v>335</v>
      </c>
      <c r="E57">
        <v>394</v>
      </c>
      <c r="F57" t="s">
        <v>4411</v>
      </c>
      <c r="G57" t="s">
        <v>4412</v>
      </c>
      <c r="H57" t="s">
        <v>4217</v>
      </c>
      <c r="I57" t="s">
        <v>4218</v>
      </c>
      <c r="J57" t="str">
        <f>_xlfn.XLOOKUP(autorest[[#This Row],[idioma_es]],idiomast[idioma_es],idiomast[idioma_la])</f>
        <v>Lingua Latina</v>
      </c>
      <c r="K57" t="str">
        <f>_xlfn.XLOOKUP(autorest[[#This Row],[idioma_es]],idiomast[idioma_es],idiomast[codigo])</f>
        <v>la</v>
      </c>
      <c r="L57" t="str">
        <f>_xlfn.XLOOKUP(autorest[[#This Row],[nacion_es]],nacionest[nacion_es],nacionest[nacion_la])</f>
        <v>Roma</v>
      </c>
      <c r="M57" s="4" t="str" cm="1">
        <f t="array" ref="M57">IF(ISBLANK(autorest[[#This Row],[fecha_nacimiento]]),"Epoca Desconocida",IFERROR(INDEX(epocast[epoca_es],MATCH(1,(autorest[[#This Row],[fecha_nacimiento]]&gt;=epocast[inicio_ano])*(autorest[[#This Row],[fecha_nacimiento]]&lt;=epocast[fin_ano]),0)),"Epoca Desconocida"))</f>
        <v>Edad Antigua</v>
      </c>
      <c r="N57" t="str">
        <f>_xlfn.XLOOKUP(autorest[[#This Row],[epoca_es]],epocast[epoca_es],epocast[epoca_la])</f>
        <v>Antiquitas</v>
      </c>
    </row>
    <row r="58" spans="1:14">
      <c r="A58">
        <v>57</v>
      </c>
      <c r="B58" t="s">
        <v>845</v>
      </c>
      <c r="C58" t="s">
        <v>4413</v>
      </c>
      <c r="D58">
        <v>340</v>
      </c>
      <c r="E58">
        <v>397</v>
      </c>
      <c r="F58" t="s">
        <v>4414</v>
      </c>
      <c r="G58" t="s">
        <v>4415</v>
      </c>
      <c r="H58" t="s">
        <v>4217</v>
      </c>
      <c r="I58" t="s">
        <v>4218</v>
      </c>
      <c r="J58" t="str">
        <f>_xlfn.XLOOKUP(autorest[[#This Row],[idioma_es]],idiomast[idioma_es],idiomast[idioma_la])</f>
        <v>Lingua Latina</v>
      </c>
      <c r="K58" t="str">
        <f>_xlfn.XLOOKUP(autorest[[#This Row],[idioma_es]],idiomast[idioma_es],idiomast[codigo])</f>
        <v>la</v>
      </c>
      <c r="L58" t="str">
        <f>_xlfn.XLOOKUP(autorest[[#This Row],[nacion_es]],nacionest[nacion_es],nacionest[nacion_la])</f>
        <v>Roma</v>
      </c>
      <c r="M58" s="4" t="str" cm="1">
        <f t="array" ref="M58">IF(ISBLANK(autorest[[#This Row],[fecha_nacimiento]]),"Epoca Desconocida",IFERROR(INDEX(epocast[epoca_es],MATCH(1,(autorest[[#This Row],[fecha_nacimiento]]&gt;=epocast[inicio_ano])*(autorest[[#This Row],[fecha_nacimiento]]&lt;=epocast[fin_ano]),0)),"Epoca Desconocida"))</f>
        <v>Edad Antigua</v>
      </c>
      <c r="N58" t="str">
        <f>_xlfn.XLOOKUP(autorest[[#This Row],[epoca_es]],epocast[epoca_es],epocast[epoca_la])</f>
        <v>Antiquitas</v>
      </c>
    </row>
    <row r="59" spans="1:14">
      <c r="A59">
        <v>58</v>
      </c>
      <c r="B59" t="s">
        <v>866</v>
      </c>
      <c r="C59" t="s">
        <v>4416</v>
      </c>
      <c r="D59">
        <v>347</v>
      </c>
      <c r="E59">
        <v>420</v>
      </c>
      <c r="F59" t="s">
        <v>4417</v>
      </c>
      <c r="G59" t="s">
        <v>4418</v>
      </c>
      <c r="H59" t="s">
        <v>4217</v>
      </c>
      <c r="I59" t="s">
        <v>4218</v>
      </c>
      <c r="J59" t="str">
        <f>_xlfn.XLOOKUP(autorest[[#This Row],[idioma_es]],idiomast[idioma_es],idiomast[idioma_la])</f>
        <v>Lingua Latina</v>
      </c>
      <c r="K59" t="str">
        <f>_xlfn.XLOOKUP(autorest[[#This Row],[idioma_es]],idiomast[idioma_es],idiomast[codigo])</f>
        <v>la</v>
      </c>
      <c r="L59" t="str">
        <f>_xlfn.XLOOKUP(autorest[[#This Row],[nacion_es]],nacionest[nacion_es],nacionest[nacion_la])</f>
        <v>Roma</v>
      </c>
      <c r="M59" s="4" t="str" cm="1">
        <f t="array" ref="M59">IF(ISBLANK(autorest[[#This Row],[fecha_nacimiento]]),"Epoca Desconocida",IFERROR(INDEX(epocast[epoca_es],MATCH(1,(autorest[[#This Row],[fecha_nacimiento]]&gt;=epocast[inicio_ano])*(autorest[[#This Row],[fecha_nacimiento]]&lt;=epocast[fin_ano]),0)),"Epoca Desconocida"))</f>
        <v>Edad Antigua</v>
      </c>
      <c r="N59" t="str">
        <f>_xlfn.XLOOKUP(autorest[[#This Row],[epoca_es]],epocast[epoca_es],epocast[epoca_la])</f>
        <v>Antiquitas</v>
      </c>
    </row>
    <row r="60" spans="1:14">
      <c r="A60">
        <v>59</v>
      </c>
      <c r="B60" t="s">
        <v>887</v>
      </c>
      <c r="C60" t="s">
        <v>4419</v>
      </c>
      <c r="D60">
        <v>400</v>
      </c>
      <c r="E60">
        <v>461</v>
      </c>
      <c r="F60" t="s">
        <v>4420</v>
      </c>
      <c r="G60" t="s">
        <v>4421</v>
      </c>
      <c r="H60" t="s">
        <v>4217</v>
      </c>
      <c r="I60" t="s">
        <v>4218</v>
      </c>
      <c r="J60" t="str">
        <f>_xlfn.XLOOKUP(autorest[[#This Row],[idioma_es]],idiomast[idioma_es],idiomast[idioma_la])</f>
        <v>Lingua Latina</v>
      </c>
      <c r="K60" t="str">
        <f>_xlfn.XLOOKUP(autorest[[#This Row],[idioma_es]],idiomast[idioma_es],idiomast[codigo])</f>
        <v>la</v>
      </c>
      <c r="L60" t="str">
        <f>_xlfn.XLOOKUP(autorest[[#This Row],[nacion_es]],nacionest[nacion_es],nacionest[nacion_la])</f>
        <v>Roma</v>
      </c>
      <c r="M60" s="4" t="str" cm="1">
        <f t="array" ref="M60">IF(ISBLANK(autorest[[#This Row],[fecha_nacimiento]]),"Epoca Desconocida",IFERROR(INDEX(epocast[epoca_es],MATCH(1,(autorest[[#This Row],[fecha_nacimiento]]&gt;=epocast[inicio_ano])*(autorest[[#This Row],[fecha_nacimiento]]&lt;=epocast[fin_ano]),0)),"Epoca Desconocida"))</f>
        <v>Edad Antigua</v>
      </c>
      <c r="N60" t="str">
        <f>_xlfn.XLOOKUP(autorest[[#This Row],[epoca_es]],epocast[epoca_es],epocast[epoca_la])</f>
        <v>Antiquitas</v>
      </c>
    </row>
    <row r="61" spans="1:14">
      <c r="A61">
        <v>60</v>
      </c>
      <c r="B61" t="s">
        <v>908</v>
      </c>
      <c r="C61" t="s">
        <v>4422</v>
      </c>
      <c r="D61">
        <v>210</v>
      </c>
      <c r="E61">
        <v>258</v>
      </c>
      <c r="F61" t="s">
        <v>4423</v>
      </c>
      <c r="G61" t="s">
        <v>4424</v>
      </c>
      <c r="H61" t="s">
        <v>4217</v>
      </c>
      <c r="I61" t="s">
        <v>4218</v>
      </c>
      <c r="J61" t="str">
        <f>_xlfn.XLOOKUP(autorest[[#This Row],[idioma_es]],idiomast[idioma_es],idiomast[idioma_la])</f>
        <v>Lingua Latina</v>
      </c>
      <c r="K61" t="str">
        <f>_xlfn.XLOOKUP(autorest[[#This Row],[idioma_es]],idiomast[idioma_es],idiomast[codigo])</f>
        <v>la</v>
      </c>
      <c r="L61" t="str">
        <f>_xlfn.XLOOKUP(autorest[[#This Row],[nacion_es]],nacionest[nacion_es],nacionest[nacion_la])</f>
        <v>Roma</v>
      </c>
      <c r="M61" s="4" t="str" cm="1">
        <f t="array" ref="M61">IF(ISBLANK(autorest[[#This Row],[fecha_nacimiento]]),"Epoca Desconocida",IFERROR(INDEX(epocast[epoca_es],MATCH(1,(autorest[[#This Row],[fecha_nacimiento]]&gt;=epocast[inicio_ano])*(autorest[[#This Row],[fecha_nacimiento]]&lt;=epocast[fin_ano]),0)),"Epoca Desconocida"))</f>
        <v>Edad Antigua</v>
      </c>
      <c r="N61" t="str">
        <f>_xlfn.XLOOKUP(autorest[[#This Row],[epoca_es]],epocast[epoca_es],epocast[epoca_la])</f>
        <v>Antiquitas</v>
      </c>
    </row>
    <row r="62" spans="1:14">
      <c r="A62">
        <v>61</v>
      </c>
      <c r="B62" t="s">
        <v>929</v>
      </c>
      <c r="C62" t="s">
        <v>4425</v>
      </c>
      <c r="D62">
        <v>1033</v>
      </c>
      <c r="E62">
        <v>1109</v>
      </c>
      <c r="F62" t="s">
        <v>4426</v>
      </c>
      <c r="G62" t="s">
        <v>4427</v>
      </c>
      <c r="H62" t="s">
        <v>4217</v>
      </c>
      <c r="I62" t="s">
        <v>4290</v>
      </c>
      <c r="J62" t="str">
        <f>_xlfn.XLOOKUP(autorest[[#This Row],[idioma_es]],idiomast[idioma_es],idiomast[idioma_la])</f>
        <v>Lingua Latina</v>
      </c>
      <c r="K62" t="str">
        <f>_xlfn.XLOOKUP(autorest[[#This Row],[idioma_es]],idiomast[idioma_es],idiomast[codigo])</f>
        <v>la</v>
      </c>
      <c r="L62" t="str">
        <f>_xlfn.XLOOKUP(autorest[[#This Row],[nacion_es]],nacionest[nacion_es],nacionest[nacion_la])</f>
        <v>Italia</v>
      </c>
      <c r="M62" s="4" t="str" cm="1">
        <f t="array" ref="M62">IF(ISBLANK(autorest[[#This Row],[fecha_nacimiento]]),"Epoca Desconocida",IFERROR(INDEX(epocast[epoca_es],MATCH(1,(autorest[[#This Row],[fecha_nacimiento]]&gt;=epocast[inicio_ano])*(autorest[[#This Row],[fecha_nacimiento]]&lt;=epocast[fin_ano]),0)),"Epoca Desconocida"))</f>
        <v>Edad Media</v>
      </c>
      <c r="N62" t="str">
        <f>_xlfn.XLOOKUP(autorest[[#This Row],[epoca_es]],epocast[epoca_es],epocast[epoca_la])</f>
        <v>Medium Aevum</v>
      </c>
    </row>
    <row r="63" spans="1:14">
      <c r="A63">
        <v>62</v>
      </c>
      <c r="B63" t="s">
        <v>951</v>
      </c>
      <c r="C63" t="s">
        <v>4428</v>
      </c>
      <c r="D63">
        <v>1287</v>
      </c>
      <c r="E63">
        <v>1347</v>
      </c>
      <c r="F63" t="s">
        <v>4429</v>
      </c>
      <c r="G63" t="s">
        <v>4430</v>
      </c>
      <c r="H63" t="s">
        <v>4226</v>
      </c>
      <c r="I63" t="s">
        <v>4227</v>
      </c>
      <c r="J63" t="str">
        <f>_xlfn.XLOOKUP(autorest[[#This Row],[idioma_es]],idiomast[idioma_es],idiomast[idioma_la])</f>
        <v>Lingua Anglica</v>
      </c>
      <c r="K63" t="str">
        <f>_xlfn.XLOOKUP(autorest[[#This Row],[idioma_es]],idiomast[idioma_es],idiomast[codigo])</f>
        <v>en</v>
      </c>
      <c r="L63" t="str">
        <f>_xlfn.XLOOKUP(autorest[[#This Row],[nacion_es]],nacionest[nacion_es],nacionest[nacion_la])</f>
        <v>Regnum Unitum</v>
      </c>
      <c r="M63" s="4" t="str" cm="1">
        <f t="array" ref="M63">IF(ISBLANK(autorest[[#This Row],[fecha_nacimiento]]),"Epoca Desconocida",IFERROR(INDEX(epocast[epoca_es],MATCH(1,(autorest[[#This Row],[fecha_nacimiento]]&gt;=epocast[inicio_ano])*(autorest[[#This Row],[fecha_nacimiento]]&lt;=epocast[fin_ano]),0)),"Epoca Desconocida"))</f>
        <v>Edad Media</v>
      </c>
      <c r="N63" t="str">
        <f>_xlfn.XLOOKUP(autorest[[#This Row],[epoca_es]],epocast[epoca_es],epocast[epoca_la])</f>
        <v>Medium Aevum</v>
      </c>
    </row>
    <row r="64" spans="1:14">
      <c r="A64">
        <v>63</v>
      </c>
      <c r="B64" t="s">
        <v>1011</v>
      </c>
      <c r="C64" t="s">
        <v>4339</v>
      </c>
      <c r="D64">
        <v>1452</v>
      </c>
      <c r="E64">
        <v>1519</v>
      </c>
      <c r="F64" t="s">
        <v>4431</v>
      </c>
      <c r="G64" t="s">
        <v>4432</v>
      </c>
      <c r="H64" s="6" t="s">
        <v>4357</v>
      </c>
      <c r="I64" t="s">
        <v>4290</v>
      </c>
      <c r="J64" s="6" t="str">
        <f>_xlfn.XLOOKUP(autorest[[#This Row],[idioma_es]],idiomast[idioma_es],idiomast[idioma_la])</f>
        <v>Lingua Italica</v>
      </c>
      <c r="K64" t="str">
        <f>_xlfn.XLOOKUP(autorest[[#This Row],[idioma_es]],idiomast[idioma_es],idiomast[codigo])</f>
        <v>it</v>
      </c>
      <c r="L64" t="str">
        <f>_xlfn.XLOOKUP(autorest[[#This Row],[nacion_es]],nacionest[nacion_es],nacionest[nacion_la])</f>
        <v>Italia</v>
      </c>
      <c r="M64" s="6" t="str" cm="1">
        <f t="array" ref="M64">IF(ISBLANK(autorest[[#This Row],[fecha_nacimiento]]),"Epoca Desconocida",IFERROR(INDEX(epocast[epoca_es],MATCH(1,(autorest[[#This Row],[fecha_nacimiento]]&gt;=epocast[inicio_ano])*(autorest[[#This Row],[fecha_nacimiento]]&lt;=epocast[fin_ano]),0)),"Epoca Desconocida"))</f>
        <v>Edad Media</v>
      </c>
      <c r="N64" s="6" t="str">
        <f>_xlfn.XLOOKUP(autorest[[#This Row],[epoca_es]],epocast[epoca_es],epocast[epoca_la])</f>
        <v>Medium Aevum</v>
      </c>
    </row>
    <row r="65" spans="1:14">
      <c r="A65">
        <v>64</v>
      </c>
      <c r="B65" t="s">
        <v>1052</v>
      </c>
      <c r="C65" t="s">
        <v>4433</v>
      </c>
      <c r="D65">
        <v>1542</v>
      </c>
      <c r="E65">
        <v>1591</v>
      </c>
      <c r="F65" t="s">
        <v>4434</v>
      </c>
      <c r="G65" t="s">
        <v>4435</v>
      </c>
      <c r="H65" s="6" t="s">
        <v>4265</v>
      </c>
      <c r="I65" t="s">
        <v>4266</v>
      </c>
      <c r="J65" s="6" t="str">
        <f>_xlfn.XLOOKUP(autorest[[#This Row],[idioma_es]],idiomast[idioma_es],idiomast[idioma_la])</f>
        <v>Lingua Hispanica</v>
      </c>
      <c r="K65" t="str">
        <f>_xlfn.XLOOKUP(autorest[[#This Row],[idioma_es]],idiomast[idioma_es],idiomast[codigo])</f>
        <v>es</v>
      </c>
      <c r="L65" s="6" t="str">
        <f>_xlfn.XLOOKUP(autorest[[#This Row],[nacion_es]],nacionest[nacion_es],nacionest[nacion_la])</f>
        <v>Hispania</v>
      </c>
      <c r="M65" s="6" t="str" cm="1">
        <f t="array" ref="M65">IF(ISBLANK(autorest[[#This Row],[fecha_nacimiento]]),"Epoca Desconocida",IFERROR(INDEX(epocast[epoca_es],MATCH(1,(autorest[[#This Row],[fecha_nacimiento]]&gt;=epocast[inicio_ano])*(autorest[[#This Row],[fecha_nacimiento]]&lt;=epocast[fin_ano]),0)),"Epoca Desconocida"))</f>
        <v>Edad Moderna</v>
      </c>
      <c r="N65" s="6" t="str">
        <f>_xlfn.XLOOKUP(autorest[[#This Row],[epoca_es]],epocast[epoca_es],epocast[epoca_la])</f>
        <v>Nova Aetas</v>
      </c>
    </row>
    <row r="66" spans="1:14">
      <c r="A66">
        <v>65</v>
      </c>
      <c r="B66" t="s">
        <v>1065</v>
      </c>
      <c r="C66" t="s">
        <v>4436</v>
      </c>
      <c r="D66">
        <v>1515</v>
      </c>
      <c r="E66">
        <v>1582</v>
      </c>
      <c r="F66" t="s">
        <v>4437</v>
      </c>
      <c r="G66" t="s">
        <v>4438</v>
      </c>
      <c r="H66" s="6" t="s">
        <v>4265</v>
      </c>
      <c r="I66" t="s">
        <v>4266</v>
      </c>
      <c r="J66" s="6" t="str">
        <f>_xlfn.XLOOKUP(autorest[[#This Row],[idioma_es]],idiomast[idioma_es],idiomast[idioma_la])</f>
        <v>Lingua Hispanica</v>
      </c>
      <c r="K66" t="str">
        <f>_xlfn.XLOOKUP(autorest[[#This Row],[idioma_es]],idiomast[idioma_es],idiomast[codigo])</f>
        <v>es</v>
      </c>
      <c r="L66" s="6" t="str">
        <f>_xlfn.XLOOKUP(autorest[[#This Row],[nacion_es]],nacionest[nacion_es],nacionest[nacion_la])</f>
        <v>Hispania</v>
      </c>
      <c r="M66" s="6" t="str" cm="1">
        <f t="array" ref="M66">IF(ISBLANK(autorest[[#This Row],[fecha_nacimiento]]),"Epoca Desconocida",IFERROR(INDEX(epocast[epoca_es],MATCH(1,(autorest[[#This Row],[fecha_nacimiento]]&gt;=epocast[inicio_ano])*(autorest[[#This Row],[fecha_nacimiento]]&lt;=epocast[fin_ano]),0)),"Epoca Desconocida"))</f>
        <v>Edad Moderna</v>
      </c>
      <c r="N66" s="6" t="str">
        <f>_xlfn.XLOOKUP(autorest[[#This Row],[epoca_es]],epocast[epoca_es],epocast[epoca_la])</f>
        <v>Nova Aetas</v>
      </c>
    </row>
    <row r="67" spans="1:14">
      <c r="A67">
        <v>66</v>
      </c>
      <c r="B67" t="s">
        <v>1078</v>
      </c>
      <c r="C67" t="s">
        <v>4439</v>
      </c>
      <c r="D67">
        <v>1815</v>
      </c>
      <c r="E67">
        <v>1888</v>
      </c>
      <c r="F67" t="s">
        <v>4440</v>
      </c>
      <c r="G67" t="s">
        <v>4441</v>
      </c>
      <c r="H67" s="6" t="s">
        <v>4357</v>
      </c>
      <c r="I67" t="s">
        <v>4290</v>
      </c>
      <c r="J67" s="6" t="str">
        <f>_xlfn.XLOOKUP(autorest[[#This Row],[idioma_es]],idiomast[idioma_es],idiomast[idioma_la])</f>
        <v>Lingua Italica</v>
      </c>
      <c r="K67" t="str">
        <f>_xlfn.XLOOKUP(autorest[[#This Row],[idioma_es]],idiomast[idioma_es],idiomast[codigo])</f>
        <v>it</v>
      </c>
      <c r="L67" s="6" t="str">
        <f>_xlfn.XLOOKUP(autorest[[#This Row],[nacion_es]],nacionest[nacion_es],nacionest[nacion_la])</f>
        <v>Italia</v>
      </c>
      <c r="M67" s="6" t="str" cm="1">
        <f t="array" ref="M67">IF(ISBLANK(autorest[[#This Row],[fecha_nacimiento]]),"Epoca Desconocida",IFERROR(INDEX(epocast[epoca_es],MATCH(1,(autorest[[#This Row],[fecha_nacimiento]]&gt;=epocast[inicio_ano])*(autorest[[#This Row],[fecha_nacimiento]]&lt;=epocast[fin_ano]),0)),"Epoca Desconocida"))</f>
        <v>Edad Contemporánea</v>
      </c>
      <c r="N67" s="6" t="str">
        <f>_xlfn.XLOOKUP(autorest[[#This Row],[epoca_es]],epocast[epoca_es],epocast[epoca_la])</f>
        <v>Aetas Contemporanea</v>
      </c>
    </row>
    <row r="68" spans="1:14">
      <c r="A68">
        <v>67</v>
      </c>
      <c r="B68" t="s">
        <v>1091</v>
      </c>
      <c r="C68" t="s">
        <v>4442</v>
      </c>
      <c r="D68">
        <v>1927</v>
      </c>
      <c r="E68">
        <v>2022</v>
      </c>
      <c r="F68" t="s">
        <v>4443</v>
      </c>
      <c r="G68" t="s">
        <v>4444</v>
      </c>
      <c r="H68" s="6" t="s">
        <v>4293</v>
      </c>
      <c r="I68" t="s">
        <v>4294</v>
      </c>
      <c r="J68" s="6" t="str">
        <f>_xlfn.XLOOKUP(autorest[[#This Row],[idioma_es]],idiomast[idioma_es],idiomast[idioma_la])</f>
        <v>Lingua Germanica</v>
      </c>
      <c r="K68" t="str">
        <f>_xlfn.XLOOKUP(autorest[[#This Row],[idioma_es]],idiomast[idioma_es],idiomast[codigo])</f>
        <v>de</v>
      </c>
      <c r="L68" s="6" t="str">
        <f>_xlfn.XLOOKUP(autorest[[#This Row],[nacion_es]],nacionest[nacion_es],nacionest[nacion_la])</f>
        <v>Germania</v>
      </c>
      <c r="M68" s="6" t="str" cm="1">
        <f t="array" ref="M68">IF(ISBLANK(autorest[[#This Row],[fecha_nacimiento]]),"Epoca Desconocida",IFERROR(INDEX(epocast[epoca_es],MATCH(1,(autorest[[#This Row],[fecha_nacimiento]]&gt;=epocast[inicio_ano])*(autorest[[#This Row],[fecha_nacimiento]]&lt;=epocast[fin_ano]),0)),"Epoca Desconocida"))</f>
        <v>Edad Contemporánea</v>
      </c>
      <c r="N68" s="6" t="str">
        <f>_xlfn.XLOOKUP(autorest[[#This Row],[epoca_es]],epocast[epoca_es],epocast[epoca_la])</f>
        <v>Aetas Contemporanea</v>
      </c>
    </row>
    <row r="69" spans="1:14">
      <c r="A69">
        <v>68</v>
      </c>
      <c r="B69" t="s">
        <v>1105</v>
      </c>
      <c r="C69" t="s">
        <v>4445</v>
      </c>
      <c r="D69">
        <v>1873</v>
      </c>
      <c r="E69">
        <v>1897</v>
      </c>
      <c r="F69" t="s">
        <v>4446</v>
      </c>
      <c r="G69" t="s">
        <v>4447</v>
      </c>
      <c r="H69" s="6" t="s">
        <v>4256</v>
      </c>
      <c r="I69" t="s">
        <v>4222</v>
      </c>
      <c r="J69" s="6" t="str">
        <f>_xlfn.XLOOKUP(autorest[[#This Row],[idioma_es]],idiomast[idioma_es],idiomast[idioma_la])</f>
        <v>Lingua Gallica</v>
      </c>
      <c r="K69" t="str">
        <f>_xlfn.XLOOKUP(autorest[[#This Row],[idioma_es]],idiomast[idioma_es],idiomast[codigo])</f>
        <v>fr</v>
      </c>
      <c r="L69" s="6" t="str">
        <f>_xlfn.XLOOKUP(autorest[[#This Row],[nacion_es]],nacionest[nacion_es],nacionest[nacion_la])</f>
        <v>Francia</v>
      </c>
      <c r="M69" s="6" t="str" cm="1">
        <f t="array" ref="M69">IF(ISBLANK(autorest[[#This Row],[fecha_nacimiento]]),"Epoca Desconocida",IFERROR(INDEX(epocast[epoca_es],MATCH(1,(autorest[[#This Row],[fecha_nacimiento]]&gt;=epocast[inicio_ano])*(autorest[[#This Row],[fecha_nacimiento]]&lt;=epocast[fin_ano]),0)),"Epoca Desconocida"))</f>
        <v>Edad Contemporánea</v>
      </c>
      <c r="N69" s="6" t="str">
        <f>_xlfn.XLOOKUP(autorest[[#This Row],[epoca_es]],epocast[epoca_es],epocast[epoca_la])</f>
        <v>Aetas Contemporanea</v>
      </c>
    </row>
    <row r="70" spans="1:14">
      <c r="A70">
        <v>69</v>
      </c>
      <c r="B70" t="s">
        <v>1124</v>
      </c>
      <c r="C70" t="s">
        <v>4448</v>
      </c>
      <c r="D70">
        <v>1870</v>
      </c>
      <c r="E70">
        <v>1952</v>
      </c>
      <c r="F70" t="s">
        <v>4449</v>
      </c>
      <c r="G70" t="s">
        <v>4450</v>
      </c>
      <c r="H70" s="6" t="s">
        <v>4357</v>
      </c>
      <c r="I70" t="s">
        <v>4290</v>
      </c>
      <c r="J70" s="6" t="str">
        <f>_xlfn.XLOOKUP(autorest[[#This Row],[idioma_es]],idiomast[idioma_es],idiomast[idioma_la])</f>
        <v>Lingua Italica</v>
      </c>
      <c r="K70" t="str">
        <f>_xlfn.XLOOKUP(autorest[[#This Row],[idioma_es]],idiomast[idioma_es],idiomast[codigo])</f>
        <v>it</v>
      </c>
      <c r="L70" s="6" t="str">
        <f>_xlfn.XLOOKUP(autorest[[#This Row],[nacion_es]],nacionest[nacion_es],nacionest[nacion_la])</f>
        <v>Italia</v>
      </c>
      <c r="M70" s="6" t="str" cm="1">
        <f t="array" ref="M70">IF(ISBLANK(autorest[[#This Row],[fecha_nacimiento]]),"Epoca Desconocida",IFERROR(INDEX(epocast[epoca_es],MATCH(1,(autorest[[#This Row],[fecha_nacimiento]]&gt;=epocast[inicio_ano])*(autorest[[#This Row],[fecha_nacimiento]]&lt;=epocast[fin_ano]),0)),"Epoca Desconocida"))</f>
        <v>Edad Contemporánea</v>
      </c>
      <c r="N70" s="6" t="str">
        <f>_xlfn.XLOOKUP(autorest[[#This Row],[epoca_es]],epocast[epoca_es],epocast[epoca_la])</f>
        <v>Aetas Contemporanea</v>
      </c>
    </row>
    <row r="71" spans="1:14">
      <c r="A71">
        <v>70</v>
      </c>
      <c r="B71" t="s">
        <v>1143</v>
      </c>
      <c r="C71" t="s">
        <v>4451</v>
      </c>
      <c r="D71">
        <v>1921</v>
      </c>
      <c r="E71">
        <v>1997</v>
      </c>
      <c r="F71" t="s">
        <v>4452</v>
      </c>
      <c r="G71" t="s">
        <v>4453</v>
      </c>
      <c r="H71" s="6" t="s">
        <v>4454</v>
      </c>
      <c r="I71" t="s">
        <v>4455</v>
      </c>
      <c r="J71" s="6" t="str">
        <f>_xlfn.XLOOKUP(autorest[[#This Row],[idioma_es]],idiomast[idioma_es],idiomast[idioma_la])</f>
        <v>Lingua Lusitanica</v>
      </c>
      <c r="K71" t="str">
        <f>_xlfn.XLOOKUP(autorest[[#This Row],[idioma_es]],idiomast[idioma_es],idiomast[codigo])</f>
        <v>pt</v>
      </c>
      <c r="L71" s="6" t="str">
        <f>_xlfn.XLOOKUP(autorest[[#This Row],[nacion_es]],nacionest[nacion_es],nacionest[nacion_la])</f>
        <v>Brasilia</v>
      </c>
      <c r="M71" s="6" t="str" cm="1">
        <f t="array" ref="M71">IF(ISBLANK(autorest[[#This Row],[fecha_nacimiento]]),"Epoca Desconocida",IFERROR(INDEX(epocast[epoca_es],MATCH(1,(autorest[[#This Row],[fecha_nacimiento]]&gt;=epocast[inicio_ano])*(autorest[[#This Row],[fecha_nacimiento]]&lt;=epocast[fin_ano]),0)),"Epoca Desconocida"))</f>
        <v>Edad Contemporánea</v>
      </c>
      <c r="N71" s="6" t="str">
        <f>_xlfn.XLOOKUP(autorest[[#This Row],[epoca_es]],epocast[epoca_es],epocast[epoca_la])</f>
        <v>Aetas Contemporanea</v>
      </c>
    </row>
    <row r="72" spans="1:14">
      <c r="A72">
        <v>71</v>
      </c>
      <c r="B72" t="s">
        <v>1162</v>
      </c>
      <c r="C72" t="s">
        <v>4456</v>
      </c>
      <c r="D72">
        <v>1557</v>
      </c>
      <c r="E72">
        <v>1648</v>
      </c>
      <c r="F72" t="s">
        <v>4457</v>
      </c>
      <c r="G72" t="s">
        <v>4458</v>
      </c>
      <c r="H72" s="6" t="s">
        <v>4265</v>
      </c>
      <c r="I72" t="s">
        <v>4266</v>
      </c>
      <c r="J72" s="6" t="str">
        <f>_xlfn.XLOOKUP(autorest[[#This Row],[idioma_es]],idiomast[idioma_es],idiomast[idioma_la])</f>
        <v>Lingua Hispanica</v>
      </c>
      <c r="K72" t="str">
        <f>_xlfn.XLOOKUP(autorest[[#This Row],[idioma_es]],idiomast[idioma_es],idiomast[codigo])</f>
        <v>es</v>
      </c>
      <c r="L72" s="6" t="str">
        <f>_xlfn.XLOOKUP(autorest[[#This Row],[nacion_es]],nacionest[nacion_es],nacionest[nacion_la])</f>
        <v>Hispania</v>
      </c>
      <c r="M72" s="6" t="str" cm="1">
        <f t="array" ref="M72">IF(ISBLANK(autorest[[#This Row],[fecha_nacimiento]]),"Epoca Desconocida",IFERROR(INDEX(epocast[epoca_es],MATCH(1,(autorest[[#This Row],[fecha_nacimiento]]&gt;=epocast[inicio_ano])*(autorest[[#This Row],[fecha_nacimiento]]&lt;=epocast[fin_ano]),0)),"Epoca Desconocida"))</f>
        <v>Edad Moderna</v>
      </c>
      <c r="N72" s="6" t="str">
        <f>_xlfn.XLOOKUP(autorest[[#This Row],[epoca_es]],epocast[epoca_es],epocast[epoca_la])</f>
        <v>Nova Aetas</v>
      </c>
    </row>
    <row r="73" spans="1:14">
      <c r="A73">
        <v>72</v>
      </c>
      <c r="B73" t="s">
        <v>1181</v>
      </c>
      <c r="C73" t="s">
        <v>4459</v>
      </c>
      <c r="D73">
        <v>1469</v>
      </c>
      <c r="E73">
        <v>1536</v>
      </c>
      <c r="F73" t="s">
        <v>4460</v>
      </c>
      <c r="G73" t="s">
        <v>4461</v>
      </c>
      <c r="H73" s="6" t="s">
        <v>4217</v>
      </c>
      <c r="I73" t="s">
        <v>4462</v>
      </c>
      <c r="J73" s="6" t="str">
        <f>_xlfn.XLOOKUP(autorest[[#This Row],[idioma_es]],idiomast[idioma_es],idiomast[idioma_la])</f>
        <v>Lingua Latina</v>
      </c>
      <c r="K73" t="str">
        <f>_xlfn.XLOOKUP(autorest[[#This Row],[idioma_es]],idiomast[idioma_es],idiomast[codigo])</f>
        <v>la</v>
      </c>
      <c r="L73" s="6" t="str">
        <f>_xlfn.XLOOKUP(autorest[[#This Row],[nacion_es]],nacionest[nacion_es],nacionest[nacion_la])</f>
        <v>Nederlandia</v>
      </c>
      <c r="M73" s="6" t="str" cm="1">
        <f t="array" ref="M73">IF(ISBLANK(autorest[[#This Row],[fecha_nacimiento]]),"Epoca Desconocida",IFERROR(INDEX(epocast[epoca_es],MATCH(1,(autorest[[#This Row],[fecha_nacimiento]]&gt;=epocast[inicio_ano])*(autorest[[#This Row],[fecha_nacimiento]]&lt;=epocast[fin_ano]),0)),"Epoca Desconocida"))</f>
        <v>Edad Media</v>
      </c>
      <c r="N73" s="6" t="str">
        <f>_xlfn.XLOOKUP(autorest[[#This Row],[epoca_es]],epocast[epoca_es],epocast[epoca_la])</f>
        <v>Medium Aevum</v>
      </c>
    </row>
    <row r="74" spans="1:14">
      <c r="A74">
        <v>73</v>
      </c>
      <c r="B74" t="s">
        <v>1200</v>
      </c>
      <c r="C74" t="s">
        <v>4463</v>
      </c>
      <c r="D74">
        <v>1788</v>
      </c>
      <c r="E74">
        <v>1860</v>
      </c>
      <c r="F74" t="s">
        <v>4464</v>
      </c>
      <c r="G74" t="s">
        <v>4465</v>
      </c>
      <c r="H74" s="6" t="s">
        <v>4293</v>
      </c>
      <c r="I74" t="s">
        <v>4294</v>
      </c>
      <c r="J74" s="6" t="str">
        <f>_xlfn.XLOOKUP(autorest[[#This Row],[idioma_es]],idiomast[idioma_es],idiomast[idioma_la])</f>
        <v>Lingua Germanica</v>
      </c>
      <c r="K74" t="str">
        <f>_xlfn.XLOOKUP(autorest[[#This Row],[idioma_es]],idiomast[idioma_es],idiomast[codigo])</f>
        <v>de</v>
      </c>
      <c r="L74" s="6" t="str">
        <f>_xlfn.XLOOKUP(autorest[[#This Row],[nacion_es]],nacionest[nacion_es],nacionest[nacion_la])</f>
        <v>Germania</v>
      </c>
      <c r="M74" s="6" t="str" cm="1">
        <f t="array" ref="M74">IF(ISBLANK(autorest[[#This Row],[fecha_nacimiento]]),"Epoca Desconocida",IFERROR(INDEX(epocast[epoca_es],MATCH(1,(autorest[[#This Row],[fecha_nacimiento]]&gt;=epocast[inicio_ano])*(autorest[[#This Row],[fecha_nacimiento]]&lt;=epocast[fin_ano]),0)),"Epoca Desconocida"))</f>
        <v>Edad Moderna</v>
      </c>
      <c r="N74" s="6" t="str">
        <f>_xlfn.XLOOKUP(autorest[[#This Row],[epoca_es]],epocast[epoca_es],epocast[epoca_la])</f>
        <v>Nova Aetas</v>
      </c>
    </row>
    <row r="75" spans="1:14">
      <c r="A75">
        <v>74</v>
      </c>
      <c r="B75" t="s">
        <v>1219</v>
      </c>
      <c r="C75" t="s">
        <v>1219</v>
      </c>
      <c r="D75">
        <v>1906</v>
      </c>
      <c r="E75">
        <v>1975</v>
      </c>
      <c r="F75" t="s">
        <v>4466</v>
      </c>
      <c r="G75" t="s">
        <v>4467</v>
      </c>
      <c r="H75" s="6" t="s">
        <v>4293</v>
      </c>
      <c r="I75" t="s">
        <v>4294</v>
      </c>
      <c r="J75" s="6" t="str">
        <f>_xlfn.XLOOKUP(autorest[[#This Row],[idioma_es]],idiomast[idioma_es],idiomast[idioma_la])</f>
        <v>Lingua Germanica</v>
      </c>
      <c r="K75" t="str">
        <f>_xlfn.XLOOKUP(autorest[[#This Row],[idioma_es]],idiomast[idioma_es],idiomast[codigo])</f>
        <v>de</v>
      </c>
      <c r="L75" s="6" t="str">
        <f>_xlfn.XLOOKUP(autorest[[#This Row],[nacion_es]],nacionest[nacion_es],nacionest[nacion_la])</f>
        <v>Germania</v>
      </c>
      <c r="M75" s="6" t="str" cm="1">
        <f t="array" ref="M75">IF(ISBLANK(autorest[[#This Row],[fecha_nacimiento]]),"Epoca Desconocida",IFERROR(INDEX(epocast[epoca_es],MATCH(1,(autorest[[#This Row],[fecha_nacimiento]]&gt;=epocast[inicio_ano])*(autorest[[#This Row],[fecha_nacimiento]]&lt;=epocast[fin_ano]),0)),"Epoca Desconocida"))</f>
        <v>Edad Contemporánea</v>
      </c>
      <c r="N75" s="6" t="str">
        <f>_xlfn.XLOOKUP(autorest[[#This Row],[epoca_es]],epocast[epoca_es],epocast[epoca_la])</f>
        <v>Aetas Contemporanea</v>
      </c>
    </row>
    <row r="76" spans="1:14">
      <c r="A76">
        <v>75</v>
      </c>
      <c r="B76" t="s">
        <v>1238</v>
      </c>
      <c r="C76" t="s">
        <v>1238</v>
      </c>
      <c r="D76">
        <v>1724</v>
      </c>
      <c r="E76">
        <v>1804</v>
      </c>
      <c r="F76" t="s">
        <v>4468</v>
      </c>
      <c r="G76" t="s">
        <v>4469</v>
      </c>
      <c r="H76" s="6" t="s">
        <v>4293</v>
      </c>
      <c r="I76" t="s">
        <v>4294</v>
      </c>
      <c r="J76" s="6" t="str">
        <f>_xlfn.XLOOKUP(autorest[[#This Row],[idioma_es]],idiomast[idioma_es],idiomast[idioma_la])</f>
        <v>Lingua Germanica</v>
      </c>
      <c r="K76" t="str">
        <f>_xlfn.XLOOKUP(autorest[[#This Row],[idioma_es]],idiomast[idioma_es],idiomast[codigo])</f>
        <v>de</v>
      </c>
      <c r="L76" s="6" t="str">
        <f>_xlfn.XLOOKUP(autorest[[#This Row],[nacion_es]],nacionest[nacion_es],nacionest[nacion_la])</f>
        <v>Germania</v>
      </c>
      <c r="M76" s="6" t="str" cm="1">
        <f t="array" ref="M76">IF(ISBLANK(autorest[[#This Row],[fecha_nacimiento]]),"Epoca Desconocida",IFERROR(INDEX(epocast[epoca_es],MATCH(1,(autorest[[#This Row],[fecha_nacimiento]]&gt;=epocast[inicio_ano])*(autorest[[#This Row],[fecha_nacimiento]]&lt;=epocast[fin_ano]),0)),"Epoca Desconocida"))</f>
        <v>Edad Moderna</v>
      </c>
      <c r="N76" s="6" t="str">
        <f>_xlfn.XLOOKUP(autorest[[#This Row],[epoca_es]],epocast[epoca_es],epocast[epoca_la])</f>
        <v>Nova Aetas</v>
      </c>
    </row>
    <row r="77" spans="1:14">
      <c r="A77">
        <v>76</v>
      </c>
      <c r="B77" t="s">
        <v>1256</v>
      </c>
      <c r="C77" t="s">
        <v>4470</v>
      </c>
      <c r="D77">
        <v>1883</v>
      </c>
      <c r="E77">
        <v>1955</v>
      </c>
      <c r="F77" t="s">
        <v>4471</v>
      </c>
      <c r="G77" t="s">
        <v>4472</v>
      </c>
      <c r="H77" s="6" t="s">
        <v>4265</v>
      </c>
      <c r="I77" t="s">
        <v>4266</v>
      </c>
      <c r="J77" s="6" t="str">
        <f>_xlfn.XLOOKUP(autorest[[#This Row],[idioma_es]],idiomast[idioma_es],idiomast[idioma_la])</f>
        <v>Lingua Hispanica</v>
      </c>
      <c r="K77" t="str">
        <f>_xlfn.XLOOKUP(autorest[[#This Row],[idioma_es]],idiomast[idioma_es],idiomast[codigo])</f>
        <v>es</v>
      </c>
      <c r="L77" s="6" t="str">
        <f>_xlfn.XLOOKUP(autorest[[#This Row],[nacion_es]],nacionest[nacion_es],nacionest[nacion_la])</f>
        <v>Hispania</v>
      </c>
      <c r="M77" s="6" t="str" cm="1">
        <f t="array" ref="M77">IF(ISBLANK(autorest[[#This Row],[fecha_nacimiento]]),"Epoca Desconocida",IFERROR(INDEX(epocast[epoca_es],MATCH(1,(autorest[[#This Row],[fecha_nacimiento]]&gt;=epocast[inicio_ano])*(autorest[[#This Row],[fecha_nacimiento]]&lt;=epocast[fin_ano]),0)),"Epoca Desconocida"))</f>
        <v>Edad Contemporánea</v>
      </c>
      <c r="N77" s="6" t="str">
        <f>_xlfn.XLOOKUP(autorest[[#This Row],[epoca_es]],epocast[epoca_es],epocast[epoca_la])</f>
        <v>Aetas Contemporanea</v>
      </c>
    </row>
    <row r="78" spans="1:14">
      <c r="A78">
        <v>77</v>
      </c>
      <c r="B78" t="s">
        <v>1270</v>
      </c>
      <c r="C78" t="s">
        <v>4473</v>
      </c>
      <c r="D78">
        <v>1813</v>
      </c>
      <c r="E78">
        <v>1855</v>
      </c>
      <c r="F78" t="s">
        <v>4474</v>
      </c>
      <c r="G78" t="s">
        <v>4475</v>
      </c>
      <c r="H78" s="6" t="s">
        <v>4476</v>
      </c>
      <c r="I78" t="s">
        <v>4477</v>
      </c>
      <c r="J78" s="6" t="str">
        <f>_xlfn.XLOOKUP(autorest[[#This Row],[idioma_es]],idiomast[idioma_es],idiomast[idioma_la])</f>
        <v>Lingua Danica</v>
      </c>
      <c r="K78" t="str">
        <f>_xlfn.XLOOKUP(autorest[[#This Row],[idioma_es]],idiomast[idioma_es],idiomast[codigo])</f>
        <v>da</v>
      </c>
      <c r="L78" s="6" t="str">
        <f>_xlfn.XLOOKUP(autorest[[#This Row],[nacion_es]],nacionest[nacion_es],nacionest[nacion_la])</f>
        <v>Dania</v>
      </c>
      <c r="M78" s="6" t="str" cm="1">
        <f t="array" ref="M78">IF(ISBLANK(autorest[[#This Row],[fecha_nacimiento]]),"Epoca Desconocida",IFERROR(INDEX(epocast[epoca_es],MATCH(1,(autorest[[#This Row],[fecha_nacimiento]]&gt;=epocast[inicio_ano])*(autorest[[#This Row],[fecha_nacimiento]]&lt;=epocast[fin_ano]),0)),"Epoca Desconocida"))</f>
        <v>Edad Contemporánea</v>
      </c>
      <c r="N78" s="6" t="str">
        <f>_xlfn.XLOOKUP(autorest[[#This Row],[epoca_es]],epocast[epoca_es],epocast[epoca_la])</f>
        <v>Aetas Contemporanea</v>
      </c>
    </row>
    <row r="79" spans="1:14">
      <c r="A79">
        <v>9999</v>
      </c>
      <c r="B79" t="s">
        <v>991</v>
      </c>
      <c r="C79" t="s">
        <v>4478</v>
      </c>
      <c r="F79" t="s">
        <v>4479</v>
      </c>
      <c r="G79" t="s">
        <v>4480</v>
      </c>
      <c r="H79" s="6" t="s">
        <v>4481</v>
      </c>
      <c r="I79" t="s">
        <v>4481</v>
      </c>
      <c r="J79" s="6" t="e">
        <f>_xlfn.XLOOKUP(autorest[[#This Row],[idioma_es]],idiomast[idioma_es],idiomast[idioma_la])</f>
        <v>#N/A</v>
      </c>
      <c r="K79" t="e">
        <f>_xlfn.XLOOKUP(autorest[[#This Row],[idioma_es]],idiomast[idioma_es],idiomast[codigo])</f>
        <v>#N/A</v>
      </c>
      <c r="L79" s="6" t="e">
        <f>_xlfn.XLOOKUP(autorest[[#This Row],[nacion_es]],nacionest[nacion_es],nacionest[nacion_la])</f>
        <v>#N/A</v>
      </c>
      <c r="M79" s="7" t="str" cm="1">
        <f t="array" ref="M79">IF(ISBLANK(autorest[[#This Row],[fecha_nacimiento]]),"Epoca Desconocida",IFERROR(INDEX(epocast[epoca_es],MATCH(1,(autorest[[#This Row],[fecha_nacimiento]]&gt;=epocast[inicio_ano])*(autorest[[#This Row],[fecha_nacimiento]]&lt;=epocast[fin_ano]),0)),"Epoca Desconocida"))</f>
        <v>Epoca Desconocida</v>
      </c>
      <c r="N79" s="6" t="str">
        <f>_xlfn.XLOOKUP(autorest[[#This Row],[epoca_es]],epocast[epoca_es],epocast[epoca_la])</f>
        <v>Epocha Ignota</v>
      </c>
    </row>
    <row r="80" spans="1:14">
      <c r="A80">
        <v>78</v>
      </c>
      <c r="B80" t="s">
        <v>1288</v>
      </c>
      <c r="C80" t="s">
        <v>4482</v>
      </c>
      <c r="D80">
        <v>1592</v>
      </c>
      <c r="E80">
        <v>1670</v>
      </c>
      <c r="F80" t="s">
        <v>4483</v>
      </c>
      <c r="G80" t="s">
        <v>4484</v>
      </c>
      <c r="H80" s="6" t="s">
        <v>4217</v>
      </c>
      <c r="I80" t="s">
        <v>4485</v>
      </c>
      <c r="J80" s="6" t="str">
        <f>_xlfn.XLOOKUP(autorest[[#This Row],[idioma_es]],idiomast[idioma_es],idiomast[idioma_la])</f>
        <v>Lingua Latina</v>
      </c>
      <c r="K80" t="str">
        <f>_xlfn.XLOOKUP(autorest[[#This Row],[idioma_es]],idiomast[idioma_es],idiomast[codigo])</f>
        <v>la</v>
      </c>
      <c r="L80" s="6" t="str">
        <f>_xlfn.XLOOKUP(autorest[[#This Row],[nacion_es]],nacionest[nacion_es],nacionest[nacion_la])</f>
        <v>Cechia</v>
      </c>
      <c r="M80" s="6" t="str" cm="1">
        <f t="array" ref="M80">IF(ISBLANK(autorest[[#This Row],[fecha_nacimiento]]),"Epoca Desconocida",IFERROR(INDEX(epocast[epoca_es],MATCH(1,(autorest[[#This Row],[fecha_nacimiento]]&gt;=epocast[inicio_ano])*(autorest[[#This Row],[fecha_nacimiento]]&lt;=epocast[fin_ano]),0)),"Epoca Desconocida"))</f>
        <v>Edad Moderna</v>
      </c>
      <c r="N80" s="6" t="str">
        <f>_xlfn.XLOOKUP(autorest[[#This Row],[epoca_es]],epocast[epoca_es],epocast[epoca_la])</f>
        <v>Nova Aetas</v>
      </c>
    </row>
    <row r="81" spans="1:14">
      <c r="A81">
        <v>79</v>
      </c>
      <c r="B81" t="s">
        <v>1307</v>
      </c>
      <c r="C81" t="s">
        <v>4486</v>
      </c>
      <c r="D81">
        <v>1712</v>
      </c>
      <c r="E81">
        <v>1778</v>
      </c>
      <c r="F81" t="s">
        <v>4487</v>
      </c>
      <c r="G81" t="s">
        <v>4488</v>
      </c>
      <c r="H81" s="6" t="s">
        <v>4256</v>
      </c>
      <c r="I81" t="s">
        <v>4489</v>
      </c>
      <c r="J81" s="6" t="str">
        <f>_xlfn.XLOOKUP(autorest[[#This Row],[idioma_es]],idiomast[idioma_es],idiomast[idioma_la])</f>
        <v>Lingua Gallica</v>
      </c>
      <c r="K81" t="str">
        <f>_xlfn.XLOOKUP(autorest[[#This Row],[idioma_es]],idiomast[idioma_es],idiomast[codigo])</f>
        <v>fr</v>
      </c>
      <c r="L81" s="6" t="str">
        <f>_xlfn.XLOOKUP(autorest[[#This Row],[nacion_es]],nacionest[nacion_es],nacionest[nacion_la])</f>
        <v>Helvetia</v>
      </c>
      <c r="M81" s="6" t="str" cm="1">
        <f t="array" ref="M81">IF(ISBLANK(autorest[[#This Row],[fecha_nacimiento]]),"Epoca Desconocida",IFERROR(INDEX(epocast[epoca_es],MATCH(1,(autorest[[#This Row],[fecha_nacimiento]]&gt;=epocast[inicio_ano])*(autorest[[#This Row],[fecha_nacimiento]]&lt;=epocast[fin_ano]),0)),"Epoca Desconocida"))</f>
        <v>Edad Moderna</v>
      </c>
      <c r="N81" s="6" t="str">
        <f>_xlfn.XLOOKUP(autorest[[#This Row],[epoca_es]],epocast[epoca_es],epocast[epoca_la])</f>
        <v>Nova Aetas</v>
      </c>
    </row>
    <row r="82" spans="1:14">
      <c r="A82">
        <v>80</v>
      </c>
      <c r="B82" t="s">
        <v>1326</v>
      </c>
      <c r="C82" t="s">
        <v>4490</v>
      </c>
      <c r="D82">
        <v>1746</v>
      </c>
      <c r="E82">
        <v>1827</v>
      </c>
      <c r="F82" t="s">
        <v>4491</v>
      </c>
      <c r="G82" t="s">
        <v>4492</v>
      </c>
      <c r="H82" s="6" t="s">
        <v>4293</v>
      </c>
      <c r="I82" t="s">
        <v>4489</v>
      </c>
      <c r="J82" s="6" t="str">
        <f>_xlfn.XLOOKUP(autorest[[#This Row],[idioma_es]],idiomast[idioma_es],idiomast[idioma_la])</f>
        <v>Lingua Germanica</v>
      </c>
      <c r="K82" t="str">
        <f>_xlfn.XLOOKUP(autorest[[#This Row],[idioma_es]],idiomast[idioma_es],idiomast[codigo])</f>
        <v>de</v>
      </c>
      <c r="L82" s="6" t="str">
        <f>_xlfn.XLOOKUP(autorest[[#This Row],[nacion_es]],nacionest[nacion_es],nacionest[nacion_la])</f>
        <v>Helvetia</v>
      </c>
      <c r="M82" s="6" t="str" cm="1">
        <f t="array" ref="M82">IF(ISBLANK(autorest[[#This Row],[fecha_nacimiento]]),"Epoca Desconocida",IFERROR(INDEX(epocast[epoca_es],MATCH(1,(autorest[[#This Row],[fecha_nacimiento]]&gt;=epocast[inicio_ano])*(autorest[[#This Row],[fecha_nacimiento]]&lt;=epocast[fin_ano]),0)),"Epoca Desconocida"))</f>
        <v>Edad Moderna</v>
      </c>
      <c r="N82" s="6" t="str">
        <f>_xlfn.XLOOKUP(autorest[[#This Row],[epoca_es]],epocast[epoca_es],epocast[epoca_la])</f>
        <v>Nova Aetas</v>
      </c>
    </row>
    <row r="83" spans="1:14">
      <c r="A83">
        <v>81</v>
      </c>
      <c r="B83" t="s">
        <v>1345</v>
      </c>
      <c r="C83" t="s">
        <v>4493</v>
      </c>
      <c r="D83">
        <v>1896</v>
      </c>
      <c r="E83">
        <v>1980</v>
      </c>
      <c r="F83" t="s">
        <v>4494</v>
      </c>
      <c r="G83" t="s">
        <v>4495</v>
      </c>
      <c r="H83" s="6" t="s">
        <v>4256</v>
      </c>
      <c r="I83" t="s">
        <v>4489</v>
      </c>
      <c r="J83" s="6" t="str">
        <f>_xlfn.XLOOKUP(autorest[[#This Row],[idioma_es]],idiomast[idioma_es],idiomast[idioma_la])</f>
        <v>Lingua Gallica</v>
      </c>
      <c r="K83" t="str">
        <f>_xlfn.XLOOKUP(autorest[[#This Row],[idioma_es]],idiomast[idioma_es],idiomast[codigo])</f>
        <v>fr</v>
      </c>
      <c r="L83" s="6" t="str">
        <f>_xlfn.XLOOKUP(autorest[[#This Row],[nacion_es]],nacionest[nacion_es],nacionest[nacion_la])</f>
        <v>Helvetia</v>
      </c>
      <c r="M83" s="6" t="str" cm="1">
        <f t="array" ref="M83">IF(ISBLANK(autorest[[#This Row],[fecha_nacimiento]]),"Epoca Desconocida",IFERROR(INDEX(epocast[epoca_es],MATCH(1,(autorest[[#This Row],[fecha_nacimiento]]&gt;=epocast[inicio_ano])*(autorest[[#This Row],[fecha_nacimiento]]&lt;=epocast[fin_ano]),0)),"Epoca Desconocida"))</f>
        <v>Edad Contemporánea</v>
      </c>
      <c r="N83" s="6" t="str">
        <f>_xlfn.XLOOKUP(autorest[[#This Row],[epoca_es]],epocast[epoca_es],epocast[epoca_la])</f>
        <v>Aetas Contemporanea</v>
      </c>
    </row>
    <row r="84" spans="1:14">
      <c r="A84">
        <v>82</v>
      </c>
      <c r="B84" t="s">
        <v>1364</v>
      </c>
      <c r="C84" t="s">
        <v>1364</v>
      </c>
      <c r="D84">
        <v>1896</v>
      </c>
      <c r="E84">
        <v>1934</v>
      </c>
      <c r="F84" t="s">
        <v>4496</v>
      </c>
      <c r="G84" t="s">
        <v>4497</v>
      </c>
      <c r="H84" s="6" t="s">
        <v>4260</v>
      </c>
      <c r="I84" t="s">
        <v>4261</v>
      </c>
      <c r="J84" s="6" t="str">
        <f>_xlfn.XLOOKUP(autorest[[#This Row],[idioma_es]],idiomast[idioma_es],idiomast[idioma_la])</f>
        <v>Lingua Russica</v>
      </c>
      <c r="K84" t="str">
        <f>_xlfn.XLOOKUP(autorest[[#This Row],[idioma_es]],idiomast[idioma_es],idiomast[codigo])</f>
        <v>ru</v>
      </c>
      <c r="L84" s="6" t="str">
        <f>_xlfn.XLOOKUP(autorest[[#This Row],[nacion_es]],nacionest[nacion_es],nacionest[nacion_la])</f>
        <v>Russia</v>
      </c>
      <c r="M84" s="6" t="str" cm="1">
        <f t="array" ref="M84">IF(ISBLANK(autorest[[#This Row],[fecha_nacimiento]]),"Epoca Desconocida",IFERROR(INDEX(epocast[epoca_es],MATCH(1,(autorest[[#This Row],[fecha_nacimiento]]&gt;=epocast[inicio_ano])*(autorest[[#This Row],[fecha_nacimiento]]&lt;=epocast[fin_ano]),0)),"Epoca Desconocida"))</f>
        <v>Edad Contemporánea</v>
      </c>
      <c r="N84" s="6" t="str">
        <f>_xlfn.XLOOKUP(autorest[[#This Row],[epoca_es]],epocast[epoca_es],epocast[epoca_la])</f>
        <v>Aetas Contemporanea</v>
      </c>
    </row>
    <row r="85" spans="1:14">
      <c r="A85">
        <v>83</v>
      </c>
      <c r="B85" t="s">
        <v>1383</v>
      </c>
      <c r="C85" t="s">
        <v>4498</v>
      </c>
      <c r="D85">
        <v>1782</v>
      </c>
      <c r="E85">
        <v>1852</v>
      </c>
      <c r="F85" t="s">
        <v>4499</v>
      </c>
      <c r="G85" t="s">
        <v>4500</v>
      </c>
      <c r="H85" s="6" t="s">
        <v>4293</v>
      </c>
      <c r="I85" t="s">
        <v>4294</v>
      </c>
      <c r="J85" s="6" t="str">
        <f>_xlfn.XLOOKUP(autorest[[#This Row],[idioma_es]],idiomast[idioma_es],idiomast[idioma_la])</f>
        <v>Lingua Germanica</v>
      </c>
      <c r="K85" t="str">
        <f>_xlfn.XLOOKUP(autorest[[#This Row],[idioma_es]],idiomast[idioma_es],idiomast[codigo])</f>
        <v>de</v>
      </c>
      <c r="L85" s="6" t="str">
        <f>_xlfn.XLOOKUP(autorest[[#This Row],[nacion_es]],nacionest[nacion_es],nacionest[nacion_la])</f>
        <v>Germania</v>
      </c>
      <c r="M85" s="6" t="str" cm="1">
        <f t="array" ref="M85">IF(ISBLANK(autorest[[#This Row],[fecha_nacimiento]]),"Epoca Desconocida",IFERROR(INDEX(epocast[epoca_es],MATCH(1,(autorest[[#This Row],[fecha_nacimiento]]&gt;=epocast[inicio_ano])*(autorest[[#This Row],[fecha_nacimiento]]&lt;=epocast[fin_ano]),0)),"Epoca Desconocida"))</f>
        <v>Edad Moderna</v>
      </c>
      <c r="N85" s="6" t="str">
        <f>_xlfn.XLOOKUP(autorest[[#This Row],[epoca_es]],epocast[epoca_es],epocast[epoca_la])</f>
        <v>Nova Aetas</v>
      </c>
    </row>
    <row r="86" spans="1:14">
      <c r="A86">
        <v>84</v>
      </c>
      <c r="B86" t="s">
        <v>1402</v>
      </c>
      <c r="C86" t="s">
        <v>4501</v>
      </c>
      <c r="D86">
        <v>1871</v>
      </c>
      <c r="E86">
        <v>1932</v>
      </c>
      <c r="F86" t="s">
        <v>4502</v>
      </c>
      <c r="G86" t="s">
        <v>4503</v>
      </c>
      <c r="H86" s="6" t="s">
        <v>4256</v>
      </c>
      <c r="I86" t="s">
        <v>4504</v>
      </c>
      <c r="J86" s="6" t="str">
        <f>_xlfn.XLOOKUP(autorest[[#This Row],[idioma_es]],idiomast[idioma_es],idiomast[idioma_la])</f>
        <v>Lingua Gallica</v>
      </c>
      <c r="K86" t="str">
        <f>_xlfn.XLOOKUP(autorest[[#This Row],[idioma_es]],idiomast[idioma_es],idiomast[codigo])</f>
        <v>fr</v>
      </c>
      <c r="L86" s="6" t="str">
        <f>_xlfn.XLOOKUP(autorest[[#This Row],[nacion_es]],nacionest[nacion_es],nacionest[nacion_la])</f>
        <v>Belgica</v>
      </c>
      <c r="M86" s="6" t="str" cm="1">
        <f t="array" ref="M86">IF(ISBLANK(autorest[[#This Row],[fecha_nacimiento]]),"Epoca Desconocida",IFERROR(INDEX(epocast[epoca_es],MATCH(1,(autorest[[#This Row],[fecha_nacimiento]]&gt;=epocast[inicio_ano])*(autorest[[#This Row],[fecha_nacimiento]]&lt;=epocast[fin_ano]),0)),"Epoca Desconocida"))</f>
        <v>Edad Contemporánea</v>
      </c>
      <c r="N86" s="6" t="str">
        <f>_xlfn.XLOOKUP(autorest[[#This Row],[epoca_es]],epocast[epoca_es],epocast[epoca_la])</f>
        <v>Aetas Contemporanea</v>
      </c>
    </row>
    <row r="87" spans="1:14">
      <c r="A87">
        <v>85</v>
      </c>
      <c r="B87" t="s">
        <v>1421</v>
      </c>
      <c r="C87" t="s">
        <v>4505</v>
      </c>
      <c r="D87">
        <v>1515</v>
      </c>
      <c r="E87">
        <v>1595</v>
      </c>
      <c r="F87" t="s">
        <v>4506</v>
      </c>
      <c r="G87" t="s">
        <v>4507</v>
      </c>
      <c r="H87" s="6" t="s">
        <v>4357</v>
      </c>
      <c r="I87" t="s">
        <v>4290</v>
      </c>
      <c r="J87" s="6" t="str">
        <f>_xlfn.XLOOKUP(autorest[[#This Row],[idioma_es]],idiomast[idioma_es],idiomast[idioma_la])</f>
        <v>Lingua Italica</v>
      </c>
      <c r="K87" t="str">
        <f>_xlfn.XLOOKUP(autorest[[#This Row],[idioma_es]],idiomast[idioma_es],idiomast[codigo])</f>
        <v>it</v>
      </c>
      <c r="L87" s="6" t="str">
        <f>_xlfn.XLOOKUP(autorest[[#This Row],[nacion_es]],nacionest[nacion_es],nacionest[nacion_la])</f>
        <v>Italia</v>
      </c>
      <c r="M87" s="6" t="str" cm="1">
        <f t="array" ref="M87">IF(ISBLANK(autorest[[#This Row],[fecha_nacimiento]]),"Epoca Desconocida",IFERROR(INDEX(epocast[epoca_es],MATCH(1,(autorest[[#This Row],[fecha_nacimiento]]&gt;=epocast[inicio_ano])*(autorest[[#This Row],[fecha_nacimiento]]&lt;=epocast[fin_ano]),0)),"Epoca Desconocida"))</f>
        <v>Edad Moderna</v>
      </c>
      <c r="N87" s="6" t="str">
        <f>_xlfn.XLOOKUP(autorest[[#This Row],[epoca_es]],epocast[epoca_es],epocast[epoca_la])</f>
        <v>Nova Aetas</v>
      </c>
    </row>
    <row r="88" spans="1:14">
      <c r="A88">
        <v>86</v>
      </c>
      <c r="B88" t="s">
        <v>1446</v>
      </c>
      <c r="C88" t="s">
        <v>4508</v>
      </c>
      <c r="D88">
        <v>1891</v>
      </c>
      <c r="E88">
        <v>1942</v>
      </c>
      <c r="F88" t="s">
        <v>4509</v>
      </c>
      <c r="G88" t="s">
        <v>4510</v>
      </c>
      <c r="H88" s="6" t="s">
        <v>4293</v>
      </c>
      <c r="I88" t="s">
        <v>4294</v>
      </c>
      <c r="J88" s="6" t="str">
        <f>_xlfn.XLOOKUP(autorest[[#This Row],[idioma_es]],idiomast[idioma_es],idiomast[idioma_la])</f>
        <v>Lingua Germanica</v>
      </c>
      <c r="K88" t="str">
        <f>_xlfn.XLOOKUP(autorest[[#This Row],[idioma_es]],idiomast[idioma_es],idiomast[codigo])</f>
        <v>de</v>
      </c>
      <c r="L88" s="6" t="str">
        <f>_xlfn.XLOOKUP(autorest[[#This Row],[nacion_es]],nacionest[nacion_es],nacionest[nacion_la])</f>
        <v>Germania</v>
      </c>
      <c r="M88" s="6" t="str" cm="1">
        <f t="array" ref="M88">IF(ISBLANK(autorest[[#This Row],[fecha_nacimiento]]),"Epoca Desconocida",IFERROR(INDEX(epocast[epoca_es],MATCH(1,(autorest[[#This Row],[fecha_nacimiento]]&gt;=epocast[inicio_ano])*(autorest[[#This Row],[fecha_nacimiento]]&lt;=epocast[fin_ano]),0)),"Epoca Desconocida"))</f>
        <v>Edad Contemporánea</v>
      </c>
      <c r="N88" s="6" t="str">
        <f>_xlfn.XLOOKUP(autorest[[#This Row],[epoca_es]],epocast[epoca_es],epocast[epoca_la])</f>
        <v>Aetas Contemporanea</v>
      </c>
    </row>
    <row r="89" spans="1:14">
      <c r="A89">
        <v>87</v>
      </c>
      <c r="B89" t="s">
        <v>1474</v>
      </c>
      <c r="C89" t="s">
        <v>4511</v>
      </c>
      <c r="D89">
        <v>1991</v>
      </c>
      <c r="E89">
        <v>2006</v>
      </c>
      <c r="F89" t="s">
        <v>4512</v>
      </c>
      <c r="G89" t="s">
        <v>4513</v>
      </c>
      <c r="H89" s="6" t="s">
        <v>4357</v>
      </c>
      <c r="I89" t="s">
        <v>4290</v>
      </c>
      <c r="J89" s="6" t="str">
        <f>_xlfn.XLOOKUP(autorest[[#This Row],[idioma_es]],idiomast[idioma_es],idiomast[idioma_la])</f>
        <v>Lingua Italica</v>
      </c>
      <c r="K89" t="str">
        <f>_xlfn.XLOOKUP(autorest[[#This Row],[idioma_es]],idiomast[idioma_es],idiomast[codigo])</f>
        <v>it</v>
      </c>
      <c r="L89" s="6" t="str">
        <f>_xlfn.XLOOKUP(autorest[[#This Row],[nacion_es]],nacionest[nacion_es],nacionest[nacion_la])</f>
        <v>Italia</v>
      </c>
      <c r="M89" s="6" t="str" cm="1">
        <f t="array" ref="M89">IF(ISBLANK(autorest[[#This Row],[fecha_nacimiento]]),"Epoca Desconocida",IFERROR(INDEX(epocast[epoca_es],MATCH(1,(autorest[[#This Row],[fecha_nacimiento]]&gt;=epocast[inicio_ano])*(autorest[[#This Row],[fecha_nacimiento]]&lt;=epocast[fin_ano]),0)),"Epoca Desconocida"))</f>
        <v>Edad Contemporánea</v>
      </c>
      <c r="N89" s="6" t="str">
        <f>_xlfn.XLOOKUP(autorest[[#This Row],[epoca_es]],epocast[epoca_es],epocast[epoca_la])</f>
        <v>Aetas Contemporanea</v>
      </c>
    </row>
    <row r="90" spans="1:14">
      <c r="A90">
        <v>88</v>
      </c>
      <c r="B90" t="s">
        <v>1383</v>
      </c>
      <c r="C90" t="s">
        <v>4498</v>
      </c>
      <c r="D90">
        <v>1782</v>
      </c>
      <c r="E90">
        <v>1852</v>
      </c>
      <c r="F90" t="s">
        <v>4499</v>
      </c>
      <c r="G90" t="s">
        <v>4500</v>
      </c>
      <c r="H90" s="6" t="s">
        <v>4293</v>
      </c>
      <c r="I90" t="s">
        <v>4294</v>
      </c>
      <c r="J90" s="6" t="str">
        <f>_xlfn.XLOOKUP(autorest[[#This Row],[idioma_es]],idiomast[idioma_es],idiomast[idioma_la])</f>
        <v>Lingua Germanica</v>
      </c>
      <c r="K90" t="str">
        <f>_xlfn.XLOOKUP(autorest[[#This Row],[idioma_es]],idiomast[idioma_es],idiomast[codigo])</f>
        <v>de</v>
      </c>
      <c r="L90" s="6" t="str">
        <f>_xlfn.XLOOKUP(autorest[[#This Row],[nacion_es]],nacionest[nacion_es],nacionest[nacion_la])</f>
        <v>Germania</v>
      </c>
      <c r="M90" s="6" t="str" cm="1">
        <f t="array" ref="M90">IF(ISBLANK(autorest[[#This Row],[fecha_nacimiento]]),"Epoca Desconocida",IFERROR(INDEX(epocast[epoca_es],MATCH(1,(autorest[[#This Row],[fecha_nacimiento]]&gt;=epocast[inicio_ano])*(autorest[[#This Row],[fecha_nacimiento]]&lt;=epocast[fin_ano]),0)),"Epoca Desconocida"))</f>
        <v>Edad Moderna</v>
      </c>
      <c r="N90" s="6" t="str">
        <f>_xlfn.XLOOKUP(autorest[[#This Row],[epoca_es]],epocast[epoca_es],epocast[epoca_la])</f>
        <v>Nova Aetas</v>
      </c>
    </row>
    <row r="91" spans="1:14">
      <c r="A91">
        <v>89</v>
      </c>
      <c r="B91" t="s">
        <v>1496</v>
      </c>
      <c r="C91" t="s">
        <v>4514</v>
      </c>
      <c r="D91">
        <v>1861</v>
      </c>
      <c r="E91">
        <v>1925</v>
      </c>
      <c r="F91" t="s">
        <v>4515</v>
      </c>
      <c r="G91" t="s">
        <v>4516</v>
      </c>
      <c r="H91" s="6" t="s">
        <v>4293</v>
      </c>
      <c r="I91" t="s">
        <v>4517</v>
      </c>
      <c r="J91" s="6" t="str">
        <f>_xlfn.XLOOKUP(autorest[[#This Row],[idioma_es]],idiomast[idioma_es],idiomast[idioma_la])</f>
        <v>Lingua Germanica</v>
      </c>
      <c r="K91" t="str">
        <f>_xlfn.XLOOKUP(autorest[[#This Row],[idioma_es]],idiomast[idioma_es],idiomast[codigo])</f>
        <v>de</v>
      </c>
      <c r="L91" s="6" t="str">
        <f>_xlfn.XLOOKUP(autorest[[#This Row],[nacion_es]],nacionest[nacion_es],nacionest[nacion_la])</f>
        <v>Austria</v>
      </c>
      <c r="M91" s="6" t="str" cm="1">
        <f t="array" ref="M91">IF(ISBLANK(autorest[[#This Row],[fecha_nacimiento]]),"Epoca Desconocida",IFERROR(INDEX(epocast[epoca_es],MATCH(1,(autorest[[#This Row],[fecha_nacimiento]]&gt;=epocast[inicio_ano])*(autorest[[#This Row],[fecha_nacimiento]]&lt;=epocast[fin_ano]),0)),"Epoca Desconocida"))</f>
        <v>Edad Contemporánea</v>
      </c>
      <c r="N91" s="6" t="str">
        <f>_xlfn.XLOOKUP(autorest[[#This Row],[epoca_es]],epocast[epoca_es],epocast[epoca_la])</f>
        <v>Aetas Contemporanea</v>
      </c>
    </row>
    <row r="92" spans="1:14">
      <c r="A92">
        <v>90</v>
      </c>
      <c r="B92" t="s">
        <v>1520</v>
      </c>
      <c r="C92" t="s">
        <v>1520</v>
      </c>
      <c r="D92">
        <v>1889</v>
      </c>
      <c r="E92">
        <v>1957</v>
      </c>
      <c r="F92" t="s">
        <v>4518</v>
      </c>
      <c r="G92" t="s">
        <v>4519</v>
      </c>
      <c r="H92" s="6" t="s">
        <v>4265</v>
      </c>
      <c r="I92" t="s">
        <v>4520</v>
      </c>
      <c r="J92" s="6" t="str">
        <f>_xlfn.XLOOKUP(autorest[[#This Row],[idioma_es]],idiomast[idioma_es],idiomast[idioma_la])</f>
        <v>Lingua Hispanica</v>
      </c>
      <c r="K92" t="str">
        <f>_xlfn.XLOOKUP(autorest[[#This Row],[idioma_es]],idiomast[idioma_es],idiomast[codigo])</f>
        <v>es</v>
      </c>
      <c r="L92" s="6" t="str">
        <f>_xlfn.XLOOKUP(autorest[[#This Row],[nacion_es]],nacionest[nacion_es],nacionest[nacion_la])</f>
        <v>Chili</v>
      </c>
      <c r="M92" s="6" t="str" cm="1">
        <f t="array" ref="M92">IF(ISBLANK(autorest[[#This Row],[fecha_nacimiento]]),"Epoca Desconocida",IFERROR(INDEX(epocast[epoca_es],MATCH(1,(autorest[[#This Row],[fecha_nacimiento]]&gt;=epocast[inicio_ano])*(autorest[[#This Row],[fecha_nacimiento]]&lt;=epocast[fin_ano]),0)),"Epoca Desconocida"))</f>
        <v>Edad Contemporánea</v>
      </c>
      <c r="N92" s="6" t="str">
        <f>_xlfn.XLOOKUP(autorest[[#This Row],[epoca_es]],epocast[epoca_es],epocast[epoca_la])</f>
        <v>Aetas Contemporanea</v>
      </c>
    </row>
    <row r="93" spans="1:14">
      <c r="A93">
        <v>91</v>
      </c>
      <c r="B93" t="s">
        <v>1542</v>
      </c>
      <c r="C93" t="s">
        <v>4521</v>
      </c>
      <c r="D93">
        <v>1943</v>
      </c>
      <c r="F93" t="s">
        <v>4522</v>
      </c>
      <c r="G93" t="s">
        <v>4523</v>
      </c>
      <c r="H93" s="6" t="s">
        <v>4226</v>
      </c>
      <c r="I93" t="s">
        <v>4242</v>
      </c>
      <c r="J93" s="6" t="str">
        <f>_xlfn.XLOOKUP(autorest[[#This Row],[idioma_es]],idiomast[idioma_es],idiomast[idioma_la])</f>
        <v>Lingua Anglica</v>
      </c>
      <c r="K93" t="str">
        <f>_xlfn.XLOOKUP(autorest[[#This Row],[idioma_es]],idiomast[idioma_es],idiomast[codigo])</f>
        <v>en</v>
      </c>
      <c r="L93" s="6" t="str">
        <f>_xlfn.XLOOKUP(autorest[[#This Row],[nacion_es]],nacionest[nacion_es],nacionest[nacion_la])</f>
        <v>Civitates Foederatae Americae</v>
      </c>
      <c r="M93" s="6" t="str" cm="1">
        <f t="array" ref="M93">IF(ISBLANK(autorest[[#This Row],[fecha_nacimiento]]),"Epoca Desconocida",IFERROR(INDEX(epocast[epoca_es],MATCH(1,(autorest[[#This Row],[fecha_nacimiento]]&gt;=epocast[inicio_ano])*(autorest[[#This Row],[fecha_nacimiento]]&lt;=epocast[fin_ano]),0)),"Epoca Desconocida"))</f>
        <v>Edad Contemporánea</v>
      </c>
      <c r="N93" s="6" t="str">
        <f>_xlfn.XLOOKUP(autorest[[#This Row],[epoca_es]],epocast[epoca_es],epocast[epoca_la])</f>
        <v>Aetas Contemporanea</v>
      </c>
    </row>
    <row r="94" spans="1:14">
      <c r="A94">
        <v>92</v>
      </c>
      <c r="B94" t="s">
        <v>1561</v>
      </c>
      <c r="C94" t="s">
        <v>1561</v>
      </c>
      <c r="D94">
        <v>1950</v>
      </c>
      <c r="E94">
        <v>2020</v>
      </c>
      <c r="F94" t="s">
        <v>4524</v>
      </c>
      <c r="G94" t="s">
        <v>4525</v>
      </c>
      <c r="H94" s="6" t="s">
        <v>4226</v>
      </c>
      <c r="I94" t="s">
        <v>4227</v>
      </c>
      <c r="J94" s="6" t="str">
        <f>_xlfn.XLOOKUP(autorest[[#This Row],[idioma_es]],idiomast[idioma_es],idiomast[idioma_la])</f>
        <v>Lingua Anglica</v>
      </c>
      <c r="K94" t="str">
        <f>_xlfn.XLOOKUP(autorest[[#This Row],[idioma_es]],idiomast[idioma_es],idiomast[codigo])</f>
        <v>en</v>
      </c>
      <c r="L94" s="6" t="str">
        <f>_xlfn.XLOOKUP(autorest[[#This Row],[nacion_es]],nacionest[nacion_es],nacionest[nacion_la])</f>
        <v>Regnum Unitum</v>
      </c>
      <c r="M94" s="6" t="str" cm="1">
        <f t="array" ref="M94">IF(ISBLANK(autorest[[#This Row],[fecha_nacimiento]]),"Epoca Desconocida",IFERROR(INDEX(epocast[epoca_es],MATCH(1,(autorest[[#This Row],[fecha_nacimiento]]&gt;=epocast[inicio_ano])*(autorest[[#This Row],[fecha_nacimiento]]&lt;=epocast[fin_ano]),0)),"Epoca Desconocida"))</f>
        <v>Edad Contemporánea</v>
      </c>
      <c r="N94" s="6" t="str">
        <f>_xlfn.XLOOKUP(autorest[[#This Row],[epoca_es]],epocast[epoca_es],epocast[epoca_la])</f>
        <v>Aetas Contemporanea</v>
      </c>
    </row>
    <row r="95" spans="1:14">
      <c r="A95">
        <v>93</v>
      </c>
      <c r="B95" t="s">
        <v>1586</v>
      </c>
      <c r="C95" t="s">
        <v>4526</v>
      </c>
      <c r="D95">
        <v>1925</v>
      </c>
      <c r="E95">
        <v>2021</v>
      </c>
      <c r="F95" t="s">
        <v>4527</v>
      </c>
      <c r="G95" t="s">
        <v>4528</v>
      </c>
      <c r="H95" s="6" t="s">
        <v>4226</v>
      </c>
      <c r="I95" t="s">
        <v>4529</v>
      </c>
      <c r="J95" s="6" t="str">
        <f>_xlfn.XLOOKUP(autorest[[#This Row],[idioma_es]],idiomast[idioma_es],idiomast[idioma_la])</f>
        <v>Lingua Anglica</v>
      </c>
      <c r="K95" t="str">
        <f>_xlfn.XLOOKUP(autorest[[#This Row],[idioma_es]],idiomast[idioma_es],idiomast[codigo])</f>
        <v>en</v>
      </c>
      <c r="L95" s="6" t="str">
        <f>_xlfn.XLOOKUP(autorest[[#This Row],[nacion_es]],nacionest[nacion_es],nacionest[nacion_la])</f>
        <v>Canada</v>
      </c>
      <c r="M95" s="6" t="str" cm="1">
        <f t="array" ref="M95">IF(ISBLANK(autorest[[#This Row],[fecha_nacimiento]]),"Epoca Desconocida",IFERROR(INDEX(epocast[epoca_es],MATCH(1,(autorest[[#This Row],[fecha_nacimiento]]&gt;=epocast[inicio_ano])*(autorest[[#This Row],[fecha_nacimiento]]&lt;=epocast[fin_ano]),0)),"Epoca Desconocida"))</f>
        <v>Edad Contemporánea</v>
      </c>
      <c r="N95" s="6" t="str">
        <f>_xlfn.XLOOKUP(autorest[[#This Row],[epoca_es]],epocast[epoca_es],epocast[epoca_la])</f>
        <v>Aetas Contemporanea</v>
      </c>
    </row>
    <row r="96" spans="1:14">
      <c r="A96">
        <v>94</v>
      </c>
      <c r="B96" t="s">
        <v>1605</v>
      </c>
      <c r="C96" t="s">
        <v>4530</v>
      </c>
      <c r="D96">
        <v>1904</v>
      </c>
      <c r="E96">
        <v>1990</v>
      </c>
      <c r="F96" t="s">
        <v>4531</v>
      </c>
      <c r="G96" t="s">
        <v>4532</v>
      </c>
      <c r="H96" s="6" t="s">
        <v>4226</v>
      </c>
      <c r="I96" t="s">
        <v>4242</v>
      </c>
      <c r="J96" s="6" t="str">
        <f>_xlfn.XLOOKUP(autorest[[#This Row],[idioma_es]],idiomast[idioma_es],idiomast[idioma_la])</f>
        <v>Lingua Anglica</v>
      </c>
      <c r="K96" t="str">
        <f>_xlfn.XLOOKUP(autorest[[#This Row],[idioma_es]],idiomast[idioma_es],idiomast[codigo])</f>
        <v>en</v>
      </c>
      <c r="L96" s="6" t="str">
        <f>_xlfn.XLOOKUP(autorest[[#This Row],[nacion_es]],nacionest[nacion_es],nacionest[nacion_la])</f>
        <v>Civitates Foederatae Americae</v>
      </c>
      <c r="M96" s="6" t="str" cm="1">
        <f t="array" ref="M96">IF(ISBLANK(autorest[[#This Row],[fecha_nacimiento]]),"Epoca Desconocida",IFERROR(INDEX(epocast[epoca_es],MATCH(1,(autorest[[#This Row],[fecha_nacimiento]]&gt;=epocast[inicio_ano])*(autorest[[#This Row],[fecha_nacimiento]]&lt;=epocast[fin_ano]),0)),"Epoca Desconocida"))</f>
        <v>Edad Contemporánea</v>
      </c>
      <c r="N96" s="6" t="str">
        <f>_xlfn.XLOOKUP(autorest[[#This Row],[epoca_es]],epocast[epoca_es],epocast[epoca_la])</f>
        <v>Aetas Contemporanea</v>
      </c>
    </row>
    <row r="97" spans="1:14">
      <c r="A97">
        <v>95</v>
      </c>
      <c r="B97" t="s">
        <v>1624</v>
      </c>
      <c r="C97" t="s">
        <v>4533</v>
      </c>
      <c r="D97">
        <v>1882</v>
      </c>
      <c r="E97">
        <v>1973</v>
      </c>
      <c r="F97" t="s">
        <v>4534</v>
      </c>
      <c r="G97" t="s">
        <v>4535</v>
      </c>
      <c r="H97" s="6" t="s">
        <v>4256</v>
      </c>
      <c r="I97" t="s">
        <v>4222</v>
      </c>
      <c r="J97" s="6" t="str">
        <f>_xlfn.XLOOKUP(autorest[[#This Row],[idioma_es]],idiomast[idioma_es],idiomast[idioma_la])</f>
        <v>Lingua Gallica</v>
      </c>
      <c r="K97" t="str">
        <f>_xlfn.XLOOKUP(autorest[[#This Row],[idioma_es]],idiomast[idioma_es],idiomast[codigo])</f>
        <v>fr</v>
      </c>
      <c r="L97" s="6" t="str">
        <f>_xlfn.XLOOKUP(autorest[[#This Row],[nacion_es]],nacionest[nacion_es],nacionest[nacion_la])</f>
        <v>Francia</v>
      </c>
      <c r="M97" s="6" t="str" cm="1">
        <f t="array" ref="M97">IF(ISBLANK(autorest[[#This Row],[fecha_nacimiento]]),"Epoca Desconocida",IFERROR(INDEX(epocast[epoca_es],MATCH(1,(autorest[[#This Row],[fecha_nacimiento]]&gt;=epocast[inicio_ano])*(autorest[[#This Row],[fecha_nacimiento]]&lt;=epocast[fin_ano]),0)),"Epoca Desconocida"))</f>
        <v>Edad Contemporánea</v>
      </c>
      <c r="N97" s="6" t="str">
        <f>_xlfn.XLOOKUP(autorest[[#This Row],[epoca_es]],epocast[epoca_es],epocast[epoca_la])</f>
        <v>Aetas Contemporanea</v>
      </c>
    </row>
    <row r="98" spans="1:14">
      <c r="A98">
        <v>96</v>
      </c>
      <c r="B98" t="s">
        <v>1643</v>
      </c>
      <c r="C98" t="s">
        <v>4536</v>
      </c>
      <c r="D98">
        <v>1898</v>
      </c>
      <c r="E98">
        <v>1963</v>
      </c>
      <c r="F98" t="s">
        <v>4537</v>
      </c>
      <c r="G98" t="s">
        <v>4538</v>
      </c>
      <c r="H98" s="6" t="s">
        <v>4226</v>
      </c>
      <c r="I98" t="s">
        <v>4227</v>
      </c>
      <c r="J98" s="6" t="str">
        <f>_xlfn.XLOOKUP(autorest[[#This Row],[idioma_es]],idiomast[idioma_es],idiomast[idioma_la])</f>
        <v>Lingua Anglica</v>
      </c>
      <c r="K98" t="str">
        <f>_xlfn.XLOOKUP(autorest[[#This Row],[idioma_es]],idiomast[idioma_es],idiomast[codigo])</f>
        <v>en</v>
      </c>
      <c r="L98" s="6" t="str">
        <f>_xlfn.XLOOKUP(autorest[[#This Row],[nacion_es]],nacionest[nacion_es],nacionest[nacion_la])</f>
        <v>Regnum Unitum</v>
      </c>
      <c r="M98" s="6" t="str" cm="1">
        <f t="array" ref="M98">IF(ISBLANK(autorest[[#This Row],[fecha_nacimiento]]),"Epoca Desconocida",IFERROR(INDEX(epocast[epoca_es],MATCH(1,(autorest[[#This Row],[fecha_nacimiento]]&gt;=epocast[inicio_ano])*(autorest[[#This Row],[fecha_nacimiento]]&lt;=epocast[fin_ano]),0)),"Epoca Desconocida"))</f>
        <v>Edad Contemporánea</v>
      </c>
      <c r="N98" s="6" t="str">
        <f>_xlfn.XLOOKUP(autorest[[#This Row],[epoca_es]],epocast[epoca_es],epocast[epoca_la])</f>
        <v>Aetas Contemporanea</v>
      </c>
    </row>
    <row r="99" spans="1:14">
      <c r="A99">
        <v>97</v>
      </c>
      <c r="B99" t="s">
        <v>1661</v>
      </c>
      <c r="C99" t="s">
        <v>4539</v>
      </c>
      <c r="D99">
        <v>1955</v>
      </c>
      <c r="F99" t="s">
        <v>4540</v>
      </c>
      <c r="G99" t="s">
        <v>4541</v>
      </c>
      <c r="H99" s="6" t="s">
        <v>4265</v>
      </c>
      <c r="I99" t="s">
        <v>4266</v>
      </c>
      <c r="J99" s="6" t="str">
        <f>_xlfn.XLOOKUP(autorest[[#This Row],[idioma_es]],idiomast[idioma_es],idiomast[idioma_la])</f>
        <v>Lingua Hispanica</v>
      </c>
      <c r="K99" t="str">
        <f>_xlfn.XLOOKUP(autorest[[#This Row],[idioma_es]],idiomast[idioma_es],idiomast[codigo])</f>
        <v>es</v>
      </c>
      <c r="L99" s="6" t="str">
        <f>_xlfn.XLOOKUP(autorest[[#This Row],[nacion_es]],nacionest[nacion_es],nacionest[nacion_la])</f>
        <v>Hispania</v>
      </c>
      <c r="M99" s="6" t="str" cm="1">
        <f t="array" ref="M99">IF(ISBLANK(autorest[[#This Row],[fecha_nacimiento]]),"Epoca Desconocida",IFERROR(INDEX(epocast[epoca_es],MATCH(1,(autorest[[#This Row],[fecha_nacimiento]]&gt;=epocast[inicio_ano])*(autorest[[#This Row],[fecha_nacimiento]]&lt;=epocast[fin_ano]),0)),"Epoca Desconocida"))</f>
        <v>Edad Contemporánea</v>
      </c>
      <c r="N99" s="6" t="str">
        <f>_xlfn.XLOOKUP(autorest[[#This Row],[epoca_es]],epocast[epoca_es],epocast[epoca_la])</f>
        <v>Aetas Contemporanea</v>
      </c>
    </row>
    <row r="100" spans="1:14">
      <c r="A100">
        <v>98</v>
      </c>
      <c r="B100" t="s">
        <v>1677</v>
      </c>
      <c r="C100" t="s">
        <v>4542</v>
      </c>
      <c r="D100">
        <v>1950</v>
      </c>
      <c r="F100" t="s">
        <v>4543</v>
      </c>
      <c r="G100" t="s">
        <v>4544</v>
      </c>
      <c r="H100" s="6" t="s">
        <v>4226</v>
      </c>
      <c r="I100" t="s">
        <v>4545</v>
      </c>
      <c r="J100" s="6" t="str">
        <f>_xlfn.XLOOKUP(autorest[[#This Row],[idioma_es]],idiomast[idioma_es],idiomast[idioma_la])</f>
        <v>Lingua Anglica</v>
      </c>
      <c r="K100" t="str">
        <f>_xlfn.XLOOKUP(autorest[[#This Row],[idioma_es]],idiomast[idioma_es],idiomast[codigo])</f>
        <v>en</v>
      </c>
      <c r="L100" s="6" t="str">
        <f>_xlfn.XLOOKUP(autorest[[#This Row],[nacion_es]],nacionest[nacion_es],nacionest[nacion_la])</f>
        <v>Nova Zelandia</v>
      </c>
      <c r="M100" s="6" t="str" cm="1">
        <f t="array" ref="M100">IF(ISBLANK(autorest[[#This Row],[fecha_nacimiento]]),"Epoca Desconocida",IFERROR(INDEX(epocast[epoca_es],MATCH(1,(autorest[[#This Row],[fecha_nacimiento]]&gt;=epocast[inicio_ano])*(autorest[[#This Row],[fecha_nacimiento]]&lt;=epocast[fin_ano]),0)),"Epoca Desconocida"))</f>
        <v>Edad Contemporánea</v>
      </c>
      <c r="N100" s="6" t="str">
        <f>_xlfn.XLOOKUP(autorest[[#This Row],[epoca_es]],epocast[epoca_es],epocast[epoca_la])</f>
        <v>Aetas Contemporanea</v>
      </c>
    </row>
    <row r="101" spans="1:14">
      <c r="A101">
        <v>99</v>
      </c>
      <c r="B101" t="s">
        <v>1696</v>
      </c>
      <c r="C101" t="s">
        <v>4546</v>
      </c>
      <c r="D101">
        <v>1632</v>
      </c>
      <c r="E101">
        <v>1704</v>
      </c>
      <c r="F101" t="s">
        <v>4547</v>
      </c>
      <c r="G101" t="s">
        <v>4548</v>
      </c>
      <c r="H101" s="6" t="s">
        <v>4226</v>
      </c>
      <c r="I101" t="s">
        <v>4227</v>
      </c>
      <c r="J101" s="6" t="str">
        <f>_xlfn.XLOOKUP(autorest[[#This Row],[idioma_es]],idiomast[idioma_es],idiomast[idioma_la])</f>
        <v>Lingua Anglica</v>
      </c>
      <c r="K101" t="str">
        <f>_xlfn.XLOOKUP(autorest[[#This Row],[idioma_es]],idiomast[idioma_es],idiomast[codigo])</f>
        <v>en</v>
      </c>
      <c r="L101" s="6" t="str">
        <f>_xlfn.XLOOKUP(autorest[[#This Row],[nacion_es]],nacionest[nacion_es],nacionest[nacion_la])</f>
        <v>Regnum Unitum</v>
      </c>
      <c r="M101" s="6" t="str" cm="1">
        <f t="array" ref="M101">IF(ISBLANK(autorest[[#This Row],[fecha_nacimiento]]),"Epoca Desconocida",IFERROR(INDEX(epocast[epoca_es],MATCH(1,(autorest[[#This Row],[fecha_nacimiento]]&gt;=epocast[inicio_ano])*(autorest[[#This Row],[fecha_nacimiento]]&lt;=epocast[fin_ano]),0)),"Epoca Desconocida"))</f>
        <v>Edad Moderna</v>
      </c>
      <c r="N101" s="6" t="str">
        <f>_xlfn.XLOOKUP(autorest[[#This Row],[epoca_es]],epocast[epoca_es],epocast[epoca_la])</f>
        <v>Nova Aetas</v>
      </c>
    </row>
    <row r="102" spans="1:14">
      <c r="A102">
        <v>100</v>
      </c>
      <c r="B102" t="s">
        <v>1715</v>
      </c>
      <c r="C102" t="s">
        <v>1715</v>
      </c>
      <c r="D102">
        <v>1861</v>
      </c>
      <c r="E102">
        <v>1941</v>
      </c>
      <c r="F102" t="s">
        <v>4549</v>
      </c>
      <c r="G102" t="s">
        <v>4550</v>
      </c>
      <c r="H102" s="6" t="s">
        <v>4551</v>
      </c>
      <c r="I102" t="s">
        <v>4313</v>
      </c>
      <c r="J102" s="6" t="str">
        <f>_xlfn.XLOOKUP(autorest[[#This Row],[idioma_es]],idiomast[idioma_es],idiomast[idioma_la])</f>
        <v>Lingua Bengalice</v>
      </c>
      <c r="K102" t="str">
        <f>_xlfn.XLOOKUP(autorest[[#This Row],[idioma_es]],idiomast[idioma_es],idiomast[codigo])</f>
        <v>bn</v>
      </c>
      <c r="L102" s="6" t="str">
        <f>_xlfn.XLOOKUP(autorest[[#This Row],[nacion_es]],nacionest[nacion_es],nacionest[nacion_la])</f>
        <v>India</v>
      </c>
      <c r="M102" s="6" t="str" cm="1">
        <f t="array" ref="M102">IF(ISBLANK(autorest[[#This Row],[fecha_nacimiento]]),"Epoca Desconocida",IFERROR(INDEX(epocast[epoca_es],MATCH(1,(autorest[[#This Row],[fecha_nacimiento]]&gt;=epocast[inicio_ano])*(autorest[[#This Row],[fecha_nacimiento]]&lt;=epocast[fin_ano]),0)),"Epoca Desconocida"))</f>
        <v>Edad Contemporánea</v>
      </c>
      <c r="N102" s="6" t="str">
        <f>_xlfn.XLOOKUP(autorest[[#This Row],[epoca_es]],epocast[epoca_es],epocast[epoca_la])</f>
        <v>Aetas Contemporanea</v>
      </c>
    </row>
    <row r="103" spans="1:14">
      <c r="A103">
        <v>101</v>
      </c>
      <c r="B103" t="s">
        <v>1733</v>
      </c>
      <c r="C103" t="s">
        <v>4552</v>
      </c>
      <c r="D103">
        <v>1932</v>
      </c>
      <c r="F103" t="s">
        <v>4553</v>
      </c>
      <c r="G103" t="s">
        <v>4554</v>
      </c>
      <c r="H103" s="6" t="s">
        <v>4226</v>
      </c>
      <c r="I103" t="s">
        <v>4242</v>
      </c>
      <c r="J103" s="6" t="str">
        <f>_xlfn.XLOOKUP(autorest[[#This Row],[idioma_es]],idiomast[idioma_es],idiomast[idioma_la])</f>
        <v>Lingua Anglica</v>
      </c>
      <c r="K103" t="str">
        <f>_xlfn.XLOOKUP(autorest[[#This Row],[idioma_es]],idiomast[idioma_es],idiomast[codigo])</f>
        <v>en</v>
      </c>
      <c r="L103" s="6" t="str">
        <f>_xlfn.XLOOKUP(autorest[[#This Row],[nacion_es]],nacionest[nacion_es],nacionest[nacion_la])</f>
        <v>Civitates Foederatae Americae</v>
      </c>
      <c r="M103" s="6" t="str" cm="1">
        <f t="array" ref="M103">IF(ISBLANK(autorest[[#This Row],[fecha_nacimiento]]),"Epoca Desconocida",IFERROR(INDEX(epocast[epoca_es],MATCH(1,(autorest[[#This Row],[fecha_nacimiento]]&gt;=epocast[inicio_ano])*(autorest[[#This Row],[fecha_nacimiento]]&lt;=epocast[fin_ano]),0)),"Epoca Desconocida"))</f>
        <v>Edad Contemporánea</v>
      </c>
      <c r="N103" s="6" t="str">
        <f>_xlfn.XLOOKUP(autorest[[#This Row],[epoca_es]],epocast[epoca_es],epocast[epoca_la])</f>
        <v>Aetas Contemporanea</v>
      </c>
    </row>
    <row r="104" spans="1:14">
      <c r="A104">
        <v>102</v>
      </c>
      <c r="B104" t="s">
        <v>1752</v>
      </c>
      <c r="C104" t="s">
        <v>4555</v>
      </c>
      <c r="D104">
        <v>1918</v>
      </c>
      <c r="E104">
        <v>2008</v>
      </c>
      <c r="F104" t="s">
        <v>4556</v>
      </c>
      <c r="G104" t="s">
        <v>4557</v>
      </c>
      <c r="H104" s="6" t="s">
        <v>4226</v>
      </c>
      <c r="I104" t="s">
        <v>4242</v>
      </c>
      <c r="J104" s="6" t="str">
        <f>_xlfn.XLOOKUP(autorest[[#This Row],[idioma_es]],idiomast[idioma_es],idiomast[idioma_la])</f>
        <v>Lingua Anglica</v>
      </c>
      <c r="K104" t="str">
        <f>_xlfn.XLOOKUP(autorest[[#This Row],[idioma_es]],idiomast[idioma_es],idiomast[codigo])</f>
        <v>en</v>
      </c>
      <c r="L104" s="6" t="str">
        <f>_xlfn.XLOOKUP(autorest[[#This Row],[nacion_es]],nacionest[nacion_es],nacionest[nacion_la])</f>
        <v>Civitates Foederatae Americae</v>
      </c>
      <c r="M104" s="6" t="str" cm="1">
        <f t="array" ref="M104">IF(ISBLANK(autorest[[#This Row],[fecha_nacimiento]]),"Epoca Desconocida",IFERROR(INDEX(epocast[epoca_es],MATCH(1,(autorest[[#This Row],[fecha_nacimiento]]&gt;=epocast[inicio_ano])*(autorest[[#This Row],[fecha_nacimiento]]&lt;=epocast[fin_ano]),0)),"Epoca Desconocida"))</f>
        <v>Edad Contemporánea</v>
      </c>
      <c r="N104" s="6" t="str">
        <f>_xlfn.XLOOKUP(autorest[[#This Row],[epoca_es]],epocast[epoca_es],epocast[epoca_la])</f>
        <v>Aetas Contemporanea</v>
      </c>
    </row>
    <row r="105" spans="1:14">
      <c r="A105">
        <v>103</v>
      </c>
      <c r="B105" t="s">
        <v>1773</v>
      </c>
      <c r="C105" t="s">
        <v>4558</v>
      </c>
      <c r="F105" t="s">
        <v>4559</v>
      </c>
      <c r="G105" t="s">
        <v>4560</v>
      </c>
      <c r="H105" s="6"/>
      <c r="J105" s="6" t="e">
        <f>_xlfn.XLOOKUP(autorest[[#This Row],[idioma_es]],idiomast[idioma_es],idiomast[idioma_la])</f>
        <v>#N/A</v>
      </c>
      <c r="K105" t="e">
        <f>_xlfn.XLOOKUP(autorest[[#This Row],[idioma_es]],idiomast[idioma_es],idiomast[codigo])</f>
        <v>#N/A</v>
      </c>
      <c r="L105" s="6" t="e">
        <f>_xlfn.XLOOKUP(autorest[[#This Row],[nacion_es]],nacionest[nacion_es],nacionest[nacion_la])</f>
        <v>#N/A</v>
      </c>
      <c r="M105" s="6" t="str" cm="1">
        <f t="array" ref="M105">IF(ISBLANK(autorest[[#This Row],[fecha_nacimiento]]),"Epoca Desconocida",IFERROR(INDEX(epocast[epoca_es],MATCH(1,(autorest[[#This Row],[fecha_nacimiento]]&gt;=epocast[inicio_ano])*(autorest[[#This Row],[fecha_nacimiento]]&lt;=epocast[fin_ano]),0)),"Epoca Desconocida"))</f>
        <v>Epoca Desconocida</v>
      </c>
      <c r="N105" s="6" t="str">
        <f>_xlfn.XLOOKUP(autorest[[#This Row],[epoca_es]],epocast[epoca_es],epocast[epoca_la])</f>
        <v>Epocha Ignota</v>
      </c>
    </row>
    <row r="106" spans="1:14">
      <c r="A106">
        <v>104</v>
      </c>
      <c r="B106" t="s">
        <v>1777</v>
      </c>
      <c r="C106" t="s">
        <v>4561</v>
      </c>
      <c r="F106" t="s">
        <v>4562</v>
      </c>
      <c r="G106" t="s">
        <v>4563</v>
      </c>
      <c r="H106" s="6" t="s">
        <v>4237</v>
      </c>
      <c r="I106" t="s">
        <v>4238</v>
      </c>
      <c r="J106" s="6" t="str">
        <f>_xlfn.XLOOKUP(autorest[[#This Row],[idioma_es]],idiomast[idioma_es],idiomast[idioma_la])</f>
        <v>Lingua Hebraica</v>
      </c>
      <c r="K106" t="str">
        <f>_xlfn.XLOOKUP(autorest[[#This Row],[idioma_es]],idiomast[idioma_es],idiomast[codigo])</f>
        <v>he</v>
      </c>
      <c r="L106" s="6" t="str">
        <f>_xlfn.XLOOKUP(autorest[[#This Row],[nacion_es]],nacionest[nacion_es],nacionest[nacion_la])</f>
        <v>Israel</v>
      </c>
      <c r="M106" s="6" t="str" cm="1">
        <f t="array" ref="M106">IF(ISBLANK(autorest[[#This Row],[fecha_nacimiento]]),"Epoca Desconocida",IFERROR(INDEX(epocast[epoca_es],MATCH(1,(autorest[[#This Row],[fecha_nacimiento]]&gt;=epocast[inicio_ano])*(autorest[[#This Row],[fecha_nacimiento]]&lt;=epocast[fin_ano]),0)),"Epoca Desconocida"))</f>
        <v>Epoca Desconocida</v>
      </c>
      <c r="N106" s="6" t="str">
        <f>_xlfn.XLOOKUP(autorest[[#This Row],[epoca_es]],epocast[epoca_es],epocast[epoca_la])</f>
        <v>Epocha Ignota</v>
      </c>
    </row>
    <row r="107" spans="1:14">
      <c r="A107">
        <v>105</v>
      </c>
      <c r="B107" t="s">
        <v>3762</v>
      </c>
      <c r="C107" t="s">
        <v>4564</v>
      </c>
      <c r="D107">
        <v>430</v>
      </c>
      <c r="E107">
        <v>354</v>
      </c>
      <c r="F107" t="s">
        <v>4565</v>
      </c>
      <c r="G107" t="s">
        <v>4566</v>
      </c>
      <c r="H107" s="6" t="s">
        <v>4361</v>
      </c>
      <c r="I107" t="s">
        <v>4277</v>
      </c>
      <c r="J107" s="6" t="str">
        <f>_xlfn.XLOOKUP(autorest[[#This Row],[idioma_es]],idiomast[idioma_es],idiomast[idioma_la])</f>
        <v>Lingua Graeca</v>
      </c>
      <c r="K107" t="str">
        <f>_xlfn.XLOOKUP(autorest[[#This Row],[idioma_es]],idiomast[idioma_es],idiomast[codigo])</f>
        <v>el</v>
      </c>
      <c r="L107" s="6" t="str">
        <f>_xlfn.XLOOKUP(autorest[[#This Row],[nacion_es]],nacionest[nacion_es],nacionest[nacion_la])</f>
        <v>Graecia</v>
      </c>
      <c r="M107" s="6" t="str" cm="1">
        <f t="array" ref="M107">IF(ISBLANK(autorest[[#This Row],[fecha_nacimiento]]),"Epoca Desconocida",IFERROR(INDEX(epocast[epoca_es],MATCH(1,(autorest[[#This Row],[fecha_nacimiento]]&gt;=epocast[inicio_ano])*(autorest[[#This Row],[fecha_nacimiento]]&lt;=epocast[fin_ano]),0)),"Epoca Desconocida"))</f>
        <v>Edad Antigua</v>
      </c>
      <c r="N107" s="6" t="str">
        <f>_xlfn.XLOOKUP(autorest[[#This Row],[epoca_es]],epocast[epoca_es],epocast[epoca_la])</f>
        <v>Antiquitas</v>
      </c>
    </row>
    <row r="108" spans="1:14">
      <c r="A108">
        <v>106</v>
      </c>
      <c r="B108" t="s">
        <v>3793</v>
      </c>
      <c r="C108" t="s">
        <v>4567</v>
      </c>
      <c r="D108">
        <v>445</v>
      </c>
      <c r="E108">
        <v>365</v>
      </c>
      <c r="F108" t="s">
        <v>4568</v>
      </c>
      <c r="G108" t="s">
        <v>4569</v>
      </c>
      <c r="H108" s="6" t="s">
        <v>4361</v>
      </c>
      <c r="I108" t="s">
        <v>4277</v>
      </c>
      <c r="J108" s="6" t="str">
        <f>_xlfn.XLOOKUP(autorest[[#This Row],[idioma_es]],idiomast[idioma_es],idiomast[idioma_la])</f>
        <v>Lingua Graeca</v>
      </c>
      <c r="K108" t="str">
        <f>_xlfn.XLOOKUP(autorest[[#This Row],[idioma_es]],idiomast[idioma_es],idiomast[codigo])</f>
        <v>el</v>
      </c>
      <c r="L108" s="6" t="str">
        <f>_xlfn.XLOOKUP(autorest[[#This Row],[nacion_es]],nacionest[nacion_es],nacionest[nacion_la])</f>
        <v>Graecia</v>
      </c>
      <c r="M108" s="6" t="str" cm="1">
        <f t="array" ref="M108">IF(ISBLANK(autorest[[#This Row],[fecha_nacimiento]]),"Epoca Desconocida",IFERROR(INDEX(epocast[epoca_es],MATCH(1,(autorest[[#This Row],[fecha_nacimiento]]&gt;=epocast[inicio_ano])*(autorest[[#This Row],[fecha_nacimiento]]&lt;=epocast[fin_ano]),0)),"Epoca Desconocida"))</f>
        <v>Edad Antigua</v>
      </c>
      <c r="N108" s="6" t="str">
        <f>_xlfn.XLOOKUP(autorest[[#This Row],[epoca_es]],epocast[epoca_es],epocast[epoca_la])</f>
        <v>Antiquitas</v>
      </c>
    </row>
    <row r="109" spans="1:14">
      <c r="A109">
        <v>107</v>
      </c>
      <c r="B109" t="s">
        <v>3824</v>
      </c>
      <c r="C109" t="s">
        <v>4570</v>
      </c>
      <c r="D109">
        <v>204</v>
      </c>
      <c r="E109">
        <v>270</v>
      </c>
      <c r="F109" t="s">
        <v>4571</v>
      </c>
      <c r="G109" t="s">
        <v>4572</v>
      </c>
      <c r="H109" s="6" t="s">
        <v>4361</v>
      </c>
      <c r="I109" t="s">
        <v>4218</v>
      </c>
      <c r="J109" s="6" t="str">
        <f>_xlfn.XLOOKUP(autorest[[#This Row],[idioma_es]],idiomast[idioma_es],idiomast[idioma_la])</f>
        <v>Lingua Graeca</v>
      </c>
      <c r="K109" t="str">
        <f>_xlfn.XLOOKUP(autorest[[#This Row],[idioma_es]],idiomast[idioma_es],idiomast[codigo])</f>
        <v>el</v>
      </c>
      <c r="L109" s="6" t="str">
        <f>_xlfn.XLOOKUP(autorest[[#This Row],[nacion_es]],nacionest[nacion_es],nacionest[nacion_la])</f>
        <v>Roma</v>
      </c>
      <c r="M109" s="6" t="str" cm="1">
        <f t="array" ref="M109">IF(ISBLANK(autorest[[#This Row],[fecha_nacimiento]]),"Epoca Desconocida",IFERROR(INDEX(epocast[epoca_es],MATCH(1,(autorest[[#This Row],[fecha_nacimiento]]&gt;=epocast[inicio_ano])*(autorest[[#This Row],[fecha_nacimiento]]&lt;=epocast[fin_ano]),0)),"Epoca Desconocida"))</f>
        <v>Edad Antigua</v>
      </c>
      <c r="N109" s="6" t="str">
        <f>_xlfn.XLOOKUP(autorest[[#This Row],[epoca_es]],epocast[epoca_es],epocast[epoca_la])</f>
        <v>Antiquitas</v>
      </c>
    </row>
    <row r="110" spans="1:14">
      <c r="A110">
        <v>108</v>
      </c>
      <c r="B110" t="s">
        <v>3882</v>
      </c>
      <c r="C110" t="s">
        <v>4573</v>
      </c>
      <c r="D110">
        <v>1221</v>
      </c>
      <c r="E110">
        <v>1274</v>
      </c>
      <c r="F110" t="s">
        <v>4574</v>
      </c>
      <c r="G110" t="s">
        <v>4575</v>
      </c>
      <c r="H110" s="6" t="s">
        <v>4217</v>
      </c>
      <c r="I110" t="s">
        <v>4290</v>
      </c>
      <c r="J110" s="6" t="str">
        <f>_xlfn.XLOOKUP(autorest[[#This Row],[idioma_es]],idiomast[idioma_es],idiomast[idioma_la])</f>
        <v>Lingua Latina</v>
      </c>
      <c r="K110" t="str">
        <f>_xlfn.XLOOKUP(autorest[[#This Row],[idioma_es]],idiomast[idioma_es],idiomast[codigo])</f>
        <v>la</v>
      </c>
      <c r="L110" s="6" t="str">
        <f>_xlfn.XLOOKUP(autorest[[#This Row],[nacion_es]],nacionest[nacion_es],nacionest[nacion_la])</f>
        <v>Italia</v>
      </c>
      <c r="M110" s="6" t="str" cm="1">
        <f t="array" ref="M110">IF(ISBLANK(autorest[[#This Row],[fecha_nacimiento]]),"Epoca Desconocida",IFERROR(INDEX(epocast[epoca_es],MATCH(1,(autorest[[#This Row],[fecha_nacimiento]]&gt;=epocast[inicio_ano])*(autorest[[#This Row],[fecha_nacimiento]]&lt;=epocast[fin_ano]),0)),"Epoca Desconocida"))</f>
        <v>Edad Media</v>
      </c>
      <c r="N110" s="6" t="str">
        <f>_xlfn.XLOOKUP(autorest[[#This Row],[epoca_es]],epocast[epoca_es],epocast[epoca_la])</f>
        <v>Medium Aevum</v>
      </c>
    </row>
    <row r="111" spans="1:14">
      <c r="A111">
        <v>109</v>
      </c>
      <c r="B111" t="s">
        <v>3913</v>
      </c>
      <c r="C111" t="s">
        <v>4576</v>
      </c>
      <c r="D111">
        <v>1079</v>
      </c>
      <c r="E111">
        <v>1142</v>
      </c>
      <c r="F111" t="s">
        <v>4577</v>
      </c>
      <c r="G111" t="s">
        <v>4578</v>
      </c>
      <c r="H111" s="6" t="s">
        <v>4217</v>
      </c>
      <c r="I111" t="s">
        <v>4222</v>
      </c>
      <c r="J111" s="6" t="str">
        <f>_xlfn.XLOOKUP(autorest[[#This Row],[idioma_es]],idiomast[idioma_es],idiomast[idioma_la])</f>
        <v>Lingua Latina</v>
      </c>
      <c r="K111" t="str">
        <f>_xlfn.XLOOKUP(autorest[[#This Row],[idioma_es]],idiomast[idioma_es],idiomast[codigo])</f>
        <v>la</v>
      </c>
      <c r="L111" s="6" t="str">
        <f>_xlfn.XLOOKUP(autorest[[#This Row],[nacion_es]],nacionest[nacion_es],nacionest[nacion_la])</f>
        <v>Francia</v>
      </c>
      <c r="M111" s="6" t="str" cm="1">
        <f t="array" ref="M111">IF(ISBLANK(autorest[[#This Row],[fecha_nacimiento]]),"Epoca Desconocida",IFERROR(INDEX(epocast[epoca_es],MATCH(1,(autorest[[#This Row],[fecha_nacimiento]]&gt;=epocast[inicio_ano])*(autorest[[#This Row],[fecha_nacimiento]]&lt;=epocast[fin_ano]),0)),"Epoca Desconocida"))</f>
        <v>Edad Media</v>
      </c>
      <c r="N111" s="6" t="str">
        <f>_xlfn.XLOOKUP(autorest[[#This Row],[epoca_es]],epocast[epoca_es],epocast[epoca_la])</f>
        <v>Medium Aevum</v>
      </c>
    </row>
    <row r="112" spans="1:14">
      <c r="A112">
        <v>110</v>
      </c>
      <c r="B112" t="s">
        <v>3944</v>
      </c>
      <c r="C112" t="s">
        <v>4579</v>
      </c>
      <c r="D112">
        <v>480</v>
      </c>
      <c r="E112">
        <v>524</v>
      </c>
      <c r="F112" t="s">
        <v>4580</v>
      </c>
      <c r="G112" t="s">
        <v>4581</v>
      </c>
      <c r="H112" s="6" t="s">
        <v>4217</v>
      </c>
      <c r="I112" t="s">
        <v>4218</v>
      </c>
      <c r="J112" s="6" t="str">
        <f>_xlfn.XLOOKUP(autorest[[#This Row],[idioma_es]],idiomast[idioma_es],idiomast[idioma_la])</f>
        <v>Lingua Latina</v>
      </c>
      <c r="K112" t="str">
        <f>_xlfn.XLOOKUP(autorest[[#This Row],[idioma_es]],idiomast[idioma_es],idiomast[codigo])</f>
        <v>la</v>
      </c>
      <c r="L112" s="6" t="str">
        <f>_xlfn.XLOOKUP(autorest[[#This Row],[nacion_es]],nacionest[nacion_es],nacionest[nacion_la])</f>
        <v>Roma</v>
      </c>
      <c r="M112" s="6" t="str" cm="1">
        <f t="array" ref="M112">IF(ISBLANK(autorest[[#This Row],[fecha_nacimiento]]),"Epoca Desconocida",IFERROR(INDEX(epocast[epoca_es],MATCH(1,(autorest[[#This Row],[fecha_nacimiento]]&gt;=epocast[inicio_ano])*(autorest[[#This Row],[fecha_nacimiento]]&lt;=epocast[fin_ano]),0)),"Epoca Desconocida"))</f>
        <v>Edad Media</v>
      </c>
      <c r="N112" s="6" t="str">
        <f>_xlfn.XLOOKUP(autorest[[#This Row],[epoca_es]],epocast[epoca_es],epocast[epoca_la])</f>
        <v>Medium Aevum</v>
      </c>
    </row>
    <row r="113" spans="1:14">
      <c r="A113">
        <v>111</v>
      </c>
      <c r="B113" t="s">
        <v>4005</v>
      </c>
      <c r="C113" t="s">
        <v>4582</v>
      </c>
      <c r="D113">
        <v>1266</v>
      </c>
      <c r="E113">
        <v>1308</v>
      </c>
      <c r="F113" t="s">
        <v>4583</v>
      </c>
      <c r="G113" t="s">
        <v>4584</v>
      </c>
      <c r="H113" s="6" t="s">
        <v>4217</v>
      </c>
      <c r="I113" t="s">
        <v>4227</v>
      </c>
      <c r="J113" s="6" t="str">
        <f>_xlfn.XLOOKUP(autorest[[#This Row],[idioma_es]],idiomast[idioma_es],idiomast[idioma_la])</f>
        <v>Lingua Latina</v>
      </c>
      <c r="K113" t="str">
        <f>_xlfn.XLOOKUP(autorest[[#This Row],[idioma_es]],idiomast[idioma_es],idiomast[codigo])</f>
        <v>la</v>
      </c>
      <c r="L113" s="6" t="str">
        <f>_xlfn.XLOOKUP(autorest[[#This Row],[nacion_es]],nacionest[nacion_es],nacionest[nacion_la])</f>
        <v>Regnum Unitum</v>
      </c>
      <c r="M113" s="6" t="str" cm="1">
        <f t="array" ref="M113">IF(ISBLANK(autorest[[#This Row],[fecha_nacimiento]]),"Epoca Desconocida",IFERROR(INDEX(epocast[epoca_es],MATCH(1,(autorest[[#This Row],[fecha_nacimiento]]&gt;=epocast[inicio_ano])*(autorest[[#This Row],[fecha_nacimiento]]&lt;=epocast[fin_ano]),0)),"Epoca Desconocida"))</f>
        <v>Edad Media</v>
      </c>
      <c r="N113" s="6" t="str">
        <f>_xlfn.XLOOKUP(autorest[[#This Row],[epoca_es]],epocast[epoca_es],epocast[epoca_la])</f>
        <v>Medium Aevum</v>
      </c>
    </row>
    <row r="114" spans="1:14">
      <c r="A114">
        <v>112</v>
      </c>
      <c r="B114" t="s">
        <v>4045</v>
      </c>
      <c r="C114" t="s">
        <v>4585</v>
      </c>
      <c r="D114">
        <v>1098</v>
      </c>
      <c r="E114">
        <v>1179</v>
      </c>
      <c r="F114" t="s">
        <v>4586</v>
      </c>
      <c r="G114" t="s">
        <v>4587</v>
      </c>
      <c r="H114" s="6" t="s">
        <v>4217</v>
      </c>
      <c r="I114" t="s">
        <v>4294</v>
      </c>
      <c r="J114" s="6" t="str">
        <f>_xlfn.XLOOKUP(autorest[[#This Row],[idioma_es]],idiomast[idioma_es],idiomast[idioma_la])</f>
        <v>Lingua Latina</v>
      </c>
      <c r="K114" t="str">
        <f>_xlfn.XLOOKUP(autorest[[#This Row],[idioma_es]],idiomast[idioma_es],idiomast[codigo])</f>
        <v>la</v>
      </c>
      <c r="L114" s="6" t="str">
        <f>_xlfn.XLOOKUP(autorest[[#This Row],[nacion_es]],nacionest[nacion_es],nacionest[nacion_la])</f>
        <v>Germania</v>
      </c>
      <c r="M114" s="6" t="str" cm="1">
        <f t="array" ref="M114">IF(ISBLANK(autorest[[#This Row],[fecha_nacimiento]]),"Epoca Desconocida",IFERROR(INDEX(epocast[epoca_es],MATCH(1,(autorest[[#This Row],[fecha_nacimiento]]&gt;=epocast[inicio_ano])*(autorest[[#This Row],[fecha_nacimiento]]&lt;=epocast[fin_ano]),0)),"Epoca Desconocida"))</f>
        <v>Edad Media</v>
      </c>
      <c r="N114" s="6" t="str">
        <f>_xlfn.XLOOKUP(autorest[[#This Row],[epoca_es]],epocast[epoca_es],epocast[epoca_la])</f>
        <v>Medium Aevum</v>
      </c>
    </row>
    <row r="115" spans="1:14">
      <c r="A115">
        <v>113</v>
      </c>
      <c r="B115" t="s">
        <v>4082</v>
      </c>
      <c r="C115" t="s">
        <v>4588</v>
      </c>
      <c r="D115">
        <v>1260</v>
      </c>
      <c r="E115">
        <v>1328</v>
      </c>
      <c r="F115" t="s">
        <v>4589</v>
      </c>
      <c r="G115" t="s">
        <v>4590</v>
      </c>
      <c r="H115" s="6" t="s">
        <v>4217</v>
      </c>
      <c r="I115" t="s">
        <v>4294</v>
      </c>
      <c r="J115" s="6" t="str">
        <f>_xlfn.XLOOKUP(autorest[[#This Row],[idioma_es]],idiomast[idioma_es],idiomast[idioma_la])</f>
        <v>Lingua Latina</v>
      </c>
      <c r="K115" t="str">
        <f>_xlfn.XLOOKUP(autorest[[#This Row],[idioma_es]],idiomast[idioma_es],idiomast[codigo])</f>
        <v>la</v>
      </c>
      <c r="L115" s="6" t="str">
        <f>_xlfn.XLOOKUP(autorest[[#This Row],[nacion_es]],nacionest[nacion_es],nacionest[nacion_la])</f>
        <v>Germania</v>
      </c>
      <c r="M115" s="6" t="str" cm="1">
        <f t="array" ref="M115">IF(ISBLANK(autorest[[#This Row],[fecha_nacimiento]]),"Epoca Desconocida",IFERROR(INDEX(epocast[epoca_es],MATCH(1,(autorest[[#This Row],[fecha_nacimiento]]&gt;=epocast[inicio_ano])*(autorest[[#This Row],[fecha_nacimiento]]&lt;=epocast[fin_ano]),0)),"Epoca Desconocida"))</f>
        <v>Edad Media</v>
      </c>
      <c r="N115" s="6" t="str">
        <f>_xlfn.XLOOKUP(autorest[[#This Row],[epoca_es]],epocast[epoca_es],epocast[epoca_la])</f>
        <v>Medium Aevum</v>
      </c>
    </row>
    <row r="116" spans="1:14">
      <c r="A116">
        <v>114</v>
      </c>
      <c r="B116" t="s">
        <v>4130</v>
      </c>
      <c r="C116" t="s">
        <v>4591</v>
      </c>
      <c r="D116">
        <v>1491</v>
      </c>
      <c r="E116">
        <v>1556</v>
      </c>
      <c r="F116" t="s">
        <v>4592</v>
      </c>
      <c r="G116" t="s">
        <v>4593</v>
      </c>
      <c r="H116" s="6" t="s">
        <v>4265</v>
      </c>
      <c r="I116" t="s">
        <v>4266</v>
      </c>
      <c r="J116" s="6" t="str">
        <f>_xlfn.XLOOKUP(autorest[[#This Row],[idioma_es]],idiomast[idioma_es],idiomast[idioma_la])</f>
        <v>Lingua Hispanica</v>
      </c>
      <c r="K116" t="str">
        <f>_xlfn.XLOOKUP(autorest[[#This Row],[idioma_es]],idiomast[idioma_es],idiomast[codigo])</f>
        <v>es</v>
      </c>
      <c r="L116" s="6" t="str">
        <f>_xlfn.XLOOKUP(autorest[[#This Row],[nacion_es]],nacionest[nacion_es],nacionest[nacion_la])</f>
        <v>Hispania</v>
      </c>
      <c r="M116" s="6" t="str" cm="1">
        <f t="array" ref="M116">IF(ISBLANK(autorest[[#This Row],[fecha_nacimiento]]),"Epoca Desconocida",IFERROR(INDEX(epocast[epoca_es],MATCH(1,(autorest[[#This Row],[fecha_nacimiento]]&gt;=epocast[inicio_ano])*(autorest[[#This Row],[fecha_nacimiento]]&lt;=epocast[fin_ano]),0)),"Epoca Desconocida"))</f>
        <v>Edad Media</v>
      </c>
      <c r="N116" s="6" t="str">
        <f>_xlfn.XLOOKUP(autorest[[#This Row],[epoca_es]],epocast[epoca_es],epocast[epoca_la])</f>
        <v>Medium Aevum</v>
      </c>
    </row>
    <row r="117" spans="1:14">
      <c r="A117">
        <v>115</v>
      </c>
      <c r="B117" t="s">
        <v>4171</v>
      </c>
      <c r="C117" t="s">
        <v>4594</v>
      </c>
      <c r="D117">
        <v>1506</v>
      </c>
      <c r="E117">
        <v>1552</v>
      </c>
      <c r="F117" t="s">
        <v>4595</v>
      </c>
      <c r="G117" t="s">
        <v>4596</v>
      </c>
      <c r="H117" s="6" t="s">
        <v>4265</v>
      </c>
      <c r="I117" t="s">
        <v>4266</v>
      </c>
      <c r="J117" s="6" t="str">
        <f>_xlfn.XLOOKUP(autorest[[#This Row],[idioma_es]],idiomast[idioma_es],idiomast[idioma_la])</f>
        <v>Lingua Hispanica</v>
      </c>
      <c r="K117" t="str">
        <f>_xlfn.XLOOKUP(autorest[[#This Row],[idioma_es]],idiomast[idioma_es],idiomast[codigo])</f>
        <v>es</v>
      </c>
      <c r="L117" s="6" t="str">
        <f>_xlfn.XLOOKUP(autorest[[#This Row],[nacion_es]],nacionest[nacion_es],nacionest[nacion_la])</f>
        <v>Hispania</v>
      </c>
      <c r="M117" s="6" t="str" cm="1">
        <f t="array" ref="M117">IF(ISBLANK(autorest[[#This Row],[fecha_nacimiento]]),"Epoca Desconocida",IFERROR(INDEX(epocast[epoca_es],MATCH(1,(autorest[[#This Row],[fecha_nacimiento]]&gt;=epocast[inicio_ano])*(autorest[[#This Row],[fecha_nacimiento]]&lt;=epocast[fin_ano]),0)),"Epoca Desconocida"))</f>
        <v>Edad Moderna</v>
      </c>
      <c r="N117" s="6" t="str">
        <f>_xlfn.XLOOKUP(autorest[[#This Row],[epoca_es]],epocast[epoca_es],epocast[epoca_la])</f>
        <v>Nova Aetas</v>
      </c>
    </row>
  </sheetData>
  <dataValidations count="2">
    <dataValidation type="list" allowBlank="1" showInputMessage="1" showErrorMessage="1" sqref="H2:H117" xr:uid="{8B9B1E42-9AD2-46F0-A28F-4F204E517427}">
      <formula1>INDIRECT("'idiomas'!idiomast[idioma_es]")</formula1>
    </dataValidation>
    <dataValidation type="list" allowBlank="1" showInputMessage="1" showErrorMessage="1" sqref="I2:I117" xr:uid="{7AB2C14B-1D1F-4612-8249-4FAAB45E9883}">
      <formula1>INDIRECT("'naciones'!nacionest[nacion_es]")</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3"/>
  <sheetViews>
    <sheetView topLeftCell="A36" workbookViewId="0">
      <selection activeCell="B53" sqref="B53"/>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4597</v>
      </c>
      <c r="B1" t="s">
        <v>8</v>
      </c>
      <c r="C1" t="s">
        <v>9</v>
      </c>
      <c r="D1" t="s">
        <v>10</v>
      </c>
    </row>
    <row r="2" spans="1:4">
      <c r="A2">
        <v>1</v>
      </c>
      <c r="B2" t="s">
        <v>4598</v>
      </c>
      <c r="C2" t="s">
        <v>4265</v>
      </c>
      <c r="D2" t="s">
        <v>4599</v>
      </c>
    </row>
    <row r="3" spans="1:4">
      <c r="A3">
        <v>2</v>
      </c>
      <c r="B3" t="s">
        <v>4600</v>
      </c>
      <c r="C3" t="s">
        <v>4226</v>
      </c>
      <c r="D3" t="s">
        <v>4601</v>
      </c>
    </row>
    <row r="4" spans="1:4">
      <c r="A4">
        <v>3</v>
      </c>
      <c r="B4" t="s">
        <v>4602</v>
      </c>
      <c r="C4" t="s">
        <v>4256</v>
      </c>
      <c r="D4" t="s">
        <v>4603</v>
      </c>
    </row>
    <row r="5" spans="1:4">
      <c r="A5">
        <v>4</v>
      </c>
      <c r="B5" t="s">
        <v>4604</v>
      </c>
      <c r="C5" t="s">
        <v>4246</v>
      </c>
      <c r="D5" t="s">
        <v>4605</v>
      </c>
    </row>
    <row r="6" spans="1:4">
      <c r="A6">
        <v>5</v>
      </c>
      <c r="B6" t="s">
        <v>4606</v>
      </c>
      <c r="C6" t="s">
        <v>4217</v>
      </c>
      <c r="D6" t="s">
        <v>4607</v>
      </c>
    </row>
    <row r="7" spans="1:4">
      <c r="A7">
        <v>6</v>
      </c>
      <c r="B7" t="s">
        <v>4608</v>
      </c>
      <c r="C7" t="s">
        <v>4270</v>
      </c>
      <c r="D7" t="s">
        <v>4609</v>
      </c>
    </row>
    <row r="8" spans="1:4">
      <c r="A8">
        <v>7</v>
      </c>
      <c r="B8" t="s">
        <v>4610</v>
      </c>
      <c r="C8" t="s">
        <v>4251</v>
      </c>
      <c r="D8" t="s">
        <v>4611</v>
      </c>
    </row>
    <row r="9" spans="1:4">
      <c r="A9">
        <v>8</v>
      </c>
      <c r="B9" t="s">
        <v>4612</v>
      </c>
      <c r="C9" t="s">
        <v>4260</v>
      </c>
      <c r="D9" t="s">
        <v>4613</v>
      </c>
    </row>
    <row r="10" spans="1:4">
      <c r="A10">
        <v>9</v>
      </c>
      <c r="B10" t="s">
        <v>4614</v>
      </c>
      <c r="C10" t="s">
        <v>4293</v>
      </c>
      <c r="D10" t="s">
        <v>4615</v>
      </c>
    </row>
    <row r="11" spans="1:4">
      <c r="A11">
        <v>10</v>
      </c>
      <c r="B11" t="s">
        <v>4616</v>
      </c>
      <c r="C11" t="s">
        <v>4357</v>
      </c>
      <c r="D11" t="s">
        <v>4617</v>
      </c>
    </row>
    <row r="12" spans="1:4">
      <c r="A12">
        <v>11</v>
      </c>
      <c r="B12" t="s">
        <v>4618</v>
      </c>
      <c r="C12" t="s">
        <v>4454</v>
      </c>
      <c r="D12" t="s">
        <v>4619</v>
      </c>
    </row>
    <row r="13" spans="1:4">
      <c r="A13">
        <v>12</v>
      </c>
      <c r="B13" t="s">
        <v>4620</v>
      </c>
      <c r="C13" t="s">
        <v>4307</v>
      </c>
      <c r="D13" t="s">
        <v>4621</v>
      </c>
    </row>
    <row r="14" spans="1:4">
      <c r="A14">
        <v>13</v>
      </c>
      <c r="B14" t="s">
        <v>4622</v>
      </c>
      <c r="C14" t="s">
        <v>4312</v>
      </c>
      <c r="D14" t="s">
        <v>4623</v>
      </c>
    </row>
    <row r="15" spans="1:4">
      <c r="A15">
        <v>14</v>
      </c>
      <c r="B15" t="s">
        <v>4624</v>
      </c>
      <c r="C15" t="s">
        <v>4237</v>
      </c>
      <c r="D15" t="s">
        <v>4625</v>
      </c>
    </row>
    <row r="16" spans="1:4">
      <c r="A16">
        <v>15</v>
      </c>
      <c r="B16" t="s">
        <v>4626</v>
      </c>
      <c r="C16" t="s">
        <v>4352</v>
      </c>
      <c r="D16" t="s">
        <v>4627</v>
      </c>
    </row>
    <row r="17" spans="1:4">
      <c r="A17">
        <v>16</v>
      </c>
      <c r="B17" t="s">
        <v>4628</v>
      </c>
      <c r="C17" t="s">
        <v>4361</v>
      </c>
      <c r="D17" t="s">
        <v>4629</v>
      </c>
    </row>
    <row r="18" spans="1:4">
      <c r="A18">
        <v>17</v>
      </c>
      <c r="B18" t="s">
        <v>4630</v>
      </c>
      <c r="C18" t="s">
        <v>4631</v>
      </c>
      <c r="D18" t="s">
        <v>4632</v>
      </c>
    </row>
    <row r="19" spans="1:4">
      <c r="A19">
        <v>18</v>
      </c>
      <c r="B19" t="s">
        <v>4633</v>
      </c>
      <c r="C19" t="s">
        <v>4634</v>
      </c>
      <c r="D19" t="s">
        <v>4635</v>
      </c>
    </row>
    <row r="20" spans="1:4">
      <c r="A20">
        <v>19</v>
      </c>
      <c r="B20" t="s">
        <v>4636</v>
      </c>
      <c r="C20" t="s">
        <v>4637</v>
      </c>
      <c r="D20" t="s">
        <v>4638</v>
      </c>
    </row>
    <row r="21" spans="1:4">
      <c r="A21">
        <v>20</v>
      </c>
      <c r="B21" t="s">
        <v>4639</v>
      </c>
      <c r="C21" t="s">
        <v>4640</v>
      </c>
      <c r="D21" t="s">
        <v>4641</v>
      </c>
    </row>
    <row r="22" spans="1:4">
      <c r="A22">
        <v>21</v>
      </c>
      <c r="B22" t="s">
        <v>4642</v>
      </c>
      <c r="C22" t="s">
        <v>4643</v>
      </c>
      <c r="D22" t="s">
        <v>4644</v>
      </c>
    </row>
    <row r="23" spans="1:4">
      <c r="A23">
        <v>22</v>
      </c>
      <c r="B23" t="s">
        <v>4645</v>
      </c>
      <c r="C23" t="s">
        <v>4646</v>
      </c>
      <c r="D23" t="s">
        <v>4647</v>
      </c>
    </row>
    <row r="24" spans="1:4">
      <c r="A24">
        <v>23</v>
      </c>
      <c r="B24" t="s">
        <v>4648</v>
      </c>
      <c r="C24" t="s">
        <v>4649</v>
      </c>
      <c r="D24" t="s">
        <v>4650</v>
      </c>
    </row>
    <row r="25" spans="1:4">
      <c r="A25">
        <v>24</v>
      </c>
      <c r="B25" t="s">
        <v>4651</v>
      </c>
      <c r="C25" t="s">
        <v>4652</v>
      </c>
      <c r="D25" t="s">
        <v>4653</v>
      </c>
    </row>
    <row r="26" spans="1:4">
      <c r="A26">
        <v>25</v>
      </c>
      <c r="B26" t="s">
        <v>4654</v>
      </c>
      <c r="C26" t="s">
        <v>4655</v>
      </c>
      <c r="D26" t="s">
        <v>4656</v>
      </c>
    </row>
    <row r="27" spans="1:4">
      <c r="A27">
        <v>26</v>
      </c>
      <c r="B27" t="s">
        <v>4657</v>
      </c>
      <c r="C27" t="s">
        <v>4658</v>
      </c>
      <c r="D27" t="s">
        <v>4659</v>
      </c>
    </row>
    <row r="28" spans="1:4">
      <c r="A28">
        <v>27</v>
      </c>
      <c r="B28" t="s">
        <v>4660</v>
      </c>
      <c r="C28" t="s">
        <v>4661</v>
      </c>
      <c r="D28" t="s">
        <v>4662</v>
      </c>
    </row>
    <row r="29" spans="1:4">
      <c r="A29">
        <v>28</v>
      </c>
      <c r="B29" t="s">
        <v>4663</v>
      </c>
      <c r="C29" t="s">
        <v>4664</v>
      </c>
      <c r="D29" t="s">
        <v>4665</v>
      </c>
    </row>
    <row r="30" spans="1:4">
      <c r="A30">
        <v>29</v>
      </c>
      <c r="B30" t="s">
        <v>4666</v>
      </c>
      <c r="C30" t="s">
        <v>4667</v>
      </c>
      <c r="D30" t="s">
        <v>4668</v>
      </c>
    </row>
    <row r="31" spans="1:4">
      <c r="A31">
        <v>30</v>
      </c>
      <c r="B31" t="s">
        <v>4669</v>
      </c>
      <c r="C31" t="s">
        <v>4670</v>
      </c>
      <c r="D31" t="s">
        <v>4671</v>
      </c>
    </row>
    <row r="32" spans="1:4">
      <c r="A32">
        <v>31</v>
      </c>
      <c r="B32" t="s">
        <v>4672</v>
      </c>
      <c r="C32" t="s">
        <v>4476</v>
      </c>
      <c r="D32" t="s">
        <v>4673</v>
      </c>
    </row>
    <row r="33" spans="1:4">
      <c r="A33">
        <v>32</v>
      </c>
      <c r="B33" t="s">
        <v>4674</v>
      </c>
      <c r="C33" t="s">
        <v>4675</v>
      </c>
      <c r="D33" t="s">
        <v>4676</v>
      </c>
    </row>
    <row r="34" spans="1:4">
      <c r="A34">
        <v>33</v>
      </c>
      <c r="B34" t="s">
        <v>4677</v>
      </c>
      <c r="C34" t="s">
        <v>4678</v>
      </c>
      <c r="D34" t="s">
        <v>4679</v>
      </c>
    </row>
    <row r="35" spans="1:4">
      <c r="A35">
        <v>34</v>
      </c>
      <c r="B35" t="s">
        <v>4680</v>
      </c>
      <c r="C35" t="s">
        <v>4681</v>
      </c>
      <c r="D35" t="s">
        <v>4682</v>
      </c>
    </row>
    <row r="36" spans="1:4">
      <c r="A36">
        <v>35</v>
      </c>
      <c r="B36" t="s">
        <v>4683</v>
      </c>
      <c r="C36" t="s">
        <v>4684</v>
      </c>
      <c r="D36" t="s">
        <v>4685</v>
      </c>
    </row>
    <row r="37" spans="1:4">
      <c r="A37">
        <v>36</v>
      </c>
      <c r="B37" t="s">
        <v>4686</v>
      </c>
      <c r="C37" t="s">
        <v>4687</v>
      </c>
      <c r="D37" t="s">
        <v>4688</v>
      </c>
    </row>
    <row r="38" spans="1:4">
      <c r="A38">
        <v>37</v>
      </c>
      <c r="B38" t="s">
        <v>4689</v>
      </c>
      <c r="C38" t="s">
        <v>4690</v>
      </c>
      <c r="D38" t="s">
        <v>4691</v>
      </c>
    </row>
    <row r="39" spans="1:4">
      <c r="A39">
        <v>38</v>
      </c>
      <c r="B39" t="s">
        <v>4692</v>
      </c>
      <c r="C39" t="s">
        <v>4693</v>
      </c>
      <c r="D39" t="s">
        <v>4694</v>
      </c>
    </row>
    <row r="40" spans="1:4">
      <c r="A40">
        <v>39</v>
      </c>
      <c r="B40" t="s">
        <v>4695</v>
      </c>
      <c r="C40" t="s">
        <v>4696</v>
      </c>
      <c r="D40" t="s">
        <v>4697</v>
      </c>
    </row>
    <row r="41" spans="1:4">
      <c r="A41">
        <v>40</v>
      </c>
      <c r="B41" t="s">
        <v>4698</v>
      </c>
      <c r="C41" t="s">
        <v>4699</v>
      </c>
      <c r="D41" t="s">
        <v>4700</v>
      </c>
    </row>
    <row r="42" spans="1:4">
      <c r="A42">
        <v>41</v>
      </c>
      <c r="B42" t="s">
        <v>4701</v>
      </c>
      <c r="C42" t="s">
        <v>4702</v>
      </c>
      <c r="D42" t="s">
        <v>4703</v>
      </c>
    </row>
    <row r="43" spans="1:4">
      <c r="A43">
        <v>42</v>
      </c>
      <c r="B43" t="s">
        <v>4704</v>
      </c>
      <c r="C43" t="s">
        <v>4705</v>
      </c>
      <c r="D43" t="s">
        <v>4706</v>
      </c>
    </row>
    <row r="44" spans="1:4">
      <c r="A44">
        <v>43</v>
      </c>
      <c r="B44" t="s">
        <v>4707</v>
      </c>
      <c r="C44" t="s">
        <v>4708</v>
      </c>
      <c r="D44" t="s">
        <v>4709</v>
      </c>
    </row>
    <row r="45" spans="1:4">
      <c r="A45">
        <v>44</v>
      </c>
      <c r="B45" t="s">
        <v>4710</v>
      </c>
      <c r="C45" t="s">
        <v>4711</v>
      </c>
      <c r="D45" t="s">
        <v>4712</v>
      </c>
    </row>
    <row r="46" spans="1:4">
      <c r="A46">
        <v>45</v>
      </c>
      <c r="B46" t="s">
        <v>4713</v>
      </c>
      <c r="C46" t="s">
        <v>4714</v>
      </c>
      <c r="D46" t="s">
        <v>4715</v>
      </c>
    </row>
    <row r="47" spans="1:4">
      <c r="A47">
        <v>46</v>
      </c>
      <c r="B47" t="s">
        <v>4716</v>
      </c>
      <c r="C47" t="s">
        <v>4717</v>
      </c>
      <c r="D47" t="s">
        <v>4718</v>
      </c>
    </row>
    <row r="48" spans="1:4">
      <c r="A48">
        <v>47</v>
      </c>
      <c r="B48" t="s">
        <v>4719</v>
      </c>
      <c r="C48" t="s">
        <v>4720</v>
      </c>
      <c r="D48" t="s">
        <v>4721</v>
      </c>
    </row>
    <row r="49" spans="1:4">
      <c r="A49">
        <v>48</v>
      </c>
      <c r="B49" t="s">
        <v>4722</v>
      </c>
      <c r="C49" t="s">
        <v>4723</v>
      </c>
      <c r="D49" t="s">
        <v>4724</v>
      </c>
    </row>
    <row r="50" spans="1:4">
      <c r="A50">
        <v>49</v>
      </c>
      <c r="B50" t="s">
        <v>4725</v>
      </c>
      <c r="C50" t="s">
        <v>4726</v>
      </c>
      <c r="D50" t="s">
        <v>4727</v>
      </c>
    </row>
    <row r="51" spans="1:4">
      <c r="A51">
        <v>50</v>
      </c>
      <c r="B51" t="s">
        <v>4728</v>
      </c>
      <c r="C51" t="s">
        <v>4729</v>
      </c>
      <c r="D51" t="s">
        <v>4730</v>
      </c>
    </row>
    <row r="52" spans="1:4">
      <c r="A52">
        <v>51</v>
      </c>
      <c r="B52" t="s">
        <v>4731</v>
      </c>
      <c r="C52" t="s">
        <v>4551</v>
      </c>
      <c r="D52" t="s">
        <v>4732</v>
      </c>
    </row>
    <row r="53" spans="1:4">
      <c r="A53">
        <v>999</v>
      </c>
      <c r="B53" t="s">
        <v>4481</v>
      </c>
      <c r="C53" t="s">
        <v>4733</v>
      </c>
      <c r="D53" t="s">
        <v>4734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4735</v>
      </c>
      <c r="B1" t="s">
        <v>11</v>
      </c>
      <c r="C1" t="s">
        <v>12</v>
      </c>
    </row>
    <row r="2" spans="1:3">
      <c r="A2">
        <v>1</v>
      </c>
      <c r="B2" t="s">
        <v>4218</v>
      </c>
      <c r="C2" t="s">
        <v>4218</v>
      </c>
    </row>
    <row r="3" spans="1:3">
      <c r="A3">
        <v>2</v>
      </c>
      <c r="B3" t="s">
        <v>4277</v>
      </c>
      <c r="C3" t="s">
        <v>4736</v>
      </c>
    </row>
    <row r="4" spans="1:3">
      <c r="A4">
        <v>3</v>
      </c>
      <c r="B4" t="s">
        <v>4222</v>
      </c>
      <c r="C4" t="s">
        <v>4222</v>
      </c>
    </row>
    <row r="5" spans="1:3">
      <c r="A5">
        <v>4</v>
      </c>
      <c r="B5" t="s">
        <v>4227</v>
      </c>
      <c r="C5" t="s">
        <v>4737</v>
      </c>
    </row>
    <row r="6" spans="1:3">
      <c r="A6">
        <v>5</v>
      </c>
      <c r="B6" t="s">
        <v>4266</v>
      </c>
      <c r="C6" t="s">
        <v>4738</v>
      </c>
    </row>
    <row r="7" spans="1:3">
      <c r="A7">
        <v>6</v>
      </c>
      <c r="B7" t="s">
        <v>4247</v>
      </c>
      <c r="C7" t="s">
        <v>4739</v>
      </c>
    </row>
    <row r="8" spans="1:3">
      <c r="A8">
        <v>7</v>
      </c>
      <c r="B8" t="s">
        <v>4252</v>
      </c>
      <c r="C8" t="s">
        <v>4740</v>
      </c>
    </row>
    <row r="9" spans="1:3">
      <c r="A9">
        <v>8</v>
      </c>
      <c r="B9" t="s">
        <v>4261</v>
      </c>
      <c r="C9" t="s">
        <v>4741</v>
      </c>
    </row>
    <row r="10" spans="1:3">
      <c r="A10">
        <v>9</v>
      </c>
      <c r="B10" t="s">
        <v>4294</v>
      </c>
      <c r="C10" t="s">
        <v>4742</v>
      </c>
    </row>
    <row r="11" spans="1:3">
      <c r="A11">
        <v>10</v>
      </c>
      <c r="B11" t="s">
        <v>4290</v>
      </c>
      <c r="C11" t="s">
        <v>4290</v>
      </c>
    </row>
    <row r="12" spans="1:3">
      <c r="A12">
        <v>11</v>
      </c>
      <c r="B12" t="s">
        <v>4238</v>
      </c>
      <c r="C12" t="s">
        <v>4238</v>
      </c>
    </row>
    <row r="13" spans="1:3">
      <c r="A13">
        <v>12</v>
      </c>
      <c r="B13" t="s">
        <v>4242</v>
      </c>
      <c r="C13" t="s">
        <v>4743</v>
      </c>
    </row>
    <row r="14" spans="1:3">
      <c r="A14">
        <v>13</v>
      </c>
      <c r="B14" t="s">
        <v>4308</v>
      </c>
      <c r="C14" t="s">
        <v>4308</v>
      </c>
    </row>
    <row r="15" spans="1:3">
      <c r="A15">
        <v>14</v>
      </c>
      <c r="B15" t="s">
        <v>4313</v>
      </c>
      <c r="C15" t="s">
        <v>4313</v>
      </c>
    </row>
    <row r="16" spans="1:3">
      <c r="A16">
        <v>15</v>
      </c>
      <c r="B16" t="s">
        <v>4345</v>
      </c>
      <c r="C16" t="s">
        <v>4744</v>
      </c>
    </row>
    <row r="17" spans="1:3">
      <c r="A17">
        <v>16</v>
      </c>
      <c r="B17" t="s">
        <v>4323</v>
      </c>
      <c r="C17" t="s">
        <v>4745</v>
      </c>
    </row>
    <row r="18" spans="1:3">
      <c r="A18">
        <v>17</v>
      </c>
      <c r="B18" t="s">
        <v>4353</v>
      </c>
      <c r="C18" t="s">
        <v>4353</v>
      </c>
    </row>
    <row r="19" spans="1:3">
      <c r="A19">
        <v>18</v>
      </c>
      <c r="B19" t="s">
        <v>4300</v>
      </c>
      <c r="C19" t="s">
        <v>4300</v>
      </c>
    </row>
    <row r="20" spans="1:3">
      <c r="A20">
        <v>19</v>
      </c>
      <c r="B20" t="s">
        <v>4455</v>
      </c>
      <c r="C20" t="s">
        <v>4746</v>
      </c>
    </row>
    <row r="21" spans="1:3">
      <c r="A21">
        <v>20</v>
      </c>
      <c r="B21" t="s">
        <v>4462</v>
      </c>
      <c r="C21" t="s">
        <v>4747</v>
      </c>
    </row>
    <row r="22" spans="1:3">
      <c r="A22">
        <v>21</v>
      </c>
      <c r="B22" t="s">
        <v>4477</v>
      </c>
      <c r="C22" t="s">
        <v>4748</v>
      </c>
    </row>
    <row r="23" spans="1:3">
      <c r="A23">
        <v>22</v>
      </c>
      <c r="B23" t="s">
        <v>4529</v>
      </c>
      <c r="C23" t="s">
        <v>4749</v>
      </c>
    </row>
    <row r="24" spans="1:3">
      <c r="A24">
        <v>23</v>
      </c>
      <c r="B24" t="s">
        <v>4750</v>
      </c>
      <c r="C24" t="s">
        <v>4750</v>
      </c>
    </row>
    <row r="25" spans="1:3">
      <c r="A25">
        <v>24</v>
      </c>
      <c r="B25" t="s">
        <v>4751</v>
      </c>
      <c r="C25" t="s">
        <v>4752</v>
      </c>
    </row>
    <row r="26" spans="1:3">
      <c r="A26">
        <v>25</v>
      </c>
      <c r="B26" t="s">
        <v>4753</v>
      </c>
      <c r="C26" t="s">
        <v>4753</v>
      </c>
    </row>
    <row r="27" spans="1:3">
      <c r="A27">
        <v>26</v>
      </c>
      <c r="B27" t="s">
        <v>4754</v>
      </c>
      <c r="C27" t="s">
        <v>4755</v>
      </c>
    </row>
    <row r="28" spans="1:3">
      <c r="A28">
        <v>27</v>
      </c>
      <c r="B28" t="s">
        <v>4756</v>
      </c>
      <c r="C28" t="s">
        <v>4757</v>
      </c>
    </row>
    <row r="29" spans="1:3">
      <c r="A29">
        <v>28</v>
      </c>
      <c r="B29" t="s">
        <v>4758</v>
      </c>
      <c r="C29" t="s">
        <v>4759</v>
      </c>
    </row>
    <row r="30" spans="1:3">
      <c r="A30">
        <v>29</v>
      </c>
      <c r="B30" t="s">
        <v>4760</v>
      </c>
      <c r="C30" t="s">
        <v>4761</v>
      </c>
    </row>
    <row r="31" spans="1:3">
      <c r="A31">
        <v>30</v>
      </c>
      <c r="B31" t="s">
        <v>4762</v>
      </c>
      <c r="C31" t="s">
        <v>4763</v>
      </c>
    </row>
    <row r="32" spans="1:3">
      <c r="A32">
        <v>31</v>
      </c>
      <c r="B32" t="s">
        <v>4489</v>
      </c>
      <c r="C32" t="s">
        <v>4764</v>
      </c>
    </row>
    <row r="33" spans="1:3">
      <c r="A33">
        <v>32</v>
      </c>
      <c r="B33" t="s">
        <v>4765</v>
      </c>
      <c r="C33" t="s">
        <v>4765</v>
      </c>
    </row>
    <row r="34" spans="1:3">
      <c r="A34">
        <v>33</v>
      </c>
      <c r="B34" t="s">
        <v>4766</v>
      </c>
      <c r="C34" t="s">
        <v>4767</v>
      </c>
    </row>
    <row r="35" spans="1:3">
      <c r="A35">
        <v>34</v>
      </c>
      <c r="B35" t="s">
        <v>4768</v>
      </c>
      <c r="C35" t="s">
        <v>4769</v>
      </c>
    </row>
    <row r="36" spans="1:3">
      <c r="A36">
        <v>35</v>
      </c>
      <c r="B36" t="s">
        <v>4517</v>
      </c>
      <c r="C36" t="s">
        <v>4517</v>
      </c>
    </row>
    <row r="37" spans="1:3">
      <c r="A37">
        <v>36</v>
      </c>
      <c r="B37" t="s">
        <v>4504</v>
      </c>
      <c r="C37" t="s">
        <v>4770</v>
      </c>
    </row>
    <row r="38" spans="1:3">
      <c r="A38">
        <v>37</v>
      </c>
      <c r="B38" t="s">
        <v>4520</v>
      </c>
      <c r="C38" t="s">
        <v>4771</v>
      </c>
    </row>
    <row r="39" spans="1:3">
      <c r="A39">
        <v>38</v>
      </c>
      <c r="B39" t="s">
        <v>4772</v>
      </c>
      <c r="C39" t="s">
        <v>4773</v>
      </c>
    </row>
    <row r="40" spans="1:3">
      <c r="A40">
        <v>39</v>
      </c>
      <c r="B40" t="s">
        <v>4774</v>
      </c>
      <c r="C40" t="s">
        <v>4774</v>
      </c>
    </row>
    <row r="41" spans="1:3">
      <c r="A41">
        <v>40</v>
      </c>
      <c r="B41" t="s">
        <v>4775</v>
      </c>
      <c r="C41" t="s">
        <v>4776</v>
      </c>
    </row>
    <row r="42" spans="1:3">
      <c r="A42">
        <v>41</v>
      </c>
      <c r="B42" t="s">
        <v>4777</v>
      </c>
      <c r="C42" t="s">
        <v>4777</v>
      </c>
    </row>
    <row r="43" spans="1:3">
      <c r="A43">
        <v>42</v>
      </c>
      <c r="B43" t="s">
        <v>4778</v>
      </c>
      <c r="C43" t="s">
        <v>4779</v>
      </c>
    </row>
    <row r="44" spans="1:3">
      <c r="A44">
        <v>43</v>
      </c>
      <c r="B44" t="s">
        <v>4780</v>
      </c>
      <c r="C44" t="s">
        <v>4781</v>
      </c>
    </row>
    <row r="45" spans="1:3">
      <c r="A45">
        <v>44</v>
      </c>
      <c r="B45" t="s">
        <v>4782</v>
      </c>
      <c r="C45" t="s">
        <v>4783</v>
      </c>
    </row>
    <row r="46" spans="1:3">
      <c r="A46">
        <v>45</v>
      </c>
      <c r="B46" t="s">
        <v>4784</v>
      </c>
      <c r="C46" t="s">
        <v>4785</v>
      </c>
    </row>
    <row r="47" spans="1:3">
      <c r="A47">
        <v>46</v>
      </c>
      <c r="B47" t="s">
        <v>4485</v>
      </c>
      <c r="C47" t="s">
        <v>4786</v>
      </c>
    </row>
    <row r="48" spans="1:3">
      <c r="A48">
        <v>47</v>
      </c>
      <c r="B48" t="s">
        <v>4545</v>
      </c>
      <c r="C48" t="s">
        <v>4787</v>
      </c>
    </row>
    <row r="49" spans="1:3">
      <c r="A49">
        <v>999</v>
      </c>
      <c r="B49" t="s">
        <v>4733</v>
      </c>
      <c r="C49" t="s">
        <v>4788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4789</v>
      </c>
      <c r="B1" t="s">
        <v>13</v>
      </c>
      <c r="C1" t="s">
        <v>14</v>
      </c>
      <c r="D1" t="s">
        <v>4790</v>
      </c>
      <c r="E1" t="s">
        <v>4791</v>
      </c>
    </row>
    <row r="2" spans="1:5">
      <c r="A2">
        <v>1</v>
      </c>
      <c r="B2" t="s">
        <v>4792</v>
      </c>
      <c r="C2" t="s">
        <v>4793</v>
      </c>
      <c r="D2" s="5">
        <v>-2500000</v>
      </c>
      <c r="E2" s="5">
        <v>-3500</v>
      </c>
    </row>
    <row r="3" spans="1:5">
      <c r="A3">
        <v>2</v>
      </c>
      <c r="B3" t="s">
        <v>4794</v>
      </c>
      <c r="C3" t="s">
        <v>4795</v>
      </c>
      <c r="D3" s="5">
        <v>-3500</v>
      </c>
      <c r="E3" s="5">
        <v>476</v>
      </c>
    </row>
    <row r="4" spans="1:5">
      <c r="A4">
        <v>3</v>
      </c>
      <c r="B4" t="s">
        <v>4796</v>
      </c>
      <c r="C4" t="s">
        <v>4797</v>
      </c>
      <c r="D4" s="5">
        <v>476</v>
      </c>
      <c r="E4" s="5">
        <v>1492</v>
      </c>
    </row>
    <row r="5" spans="1:5">
      <c r="A5">
        <v>4</v>
      </c>
      <c r="B5" t="s">
        <v>4798</v>
      </c>
      <c r="C5" t="s">
        <v>4799</v>
      </c>
      <c r="D5" s="5">
        <v>1492</v>
      </c>
      <c r="E5" s="5">
        <v>1789</v>
      </c>
    </row>
    <row r="6" spans="1:5">
      <c r="A6">
        <v>5</v>
      </c>
      <c r="B6" t="s">
        <v>4800</v>
      </c>
      <c r="C6" t="s">
        <v>4801</v>
      </c>
      <c r="D6" s="5">
        <v>1789</v>
      </c>
      <c r="E6" s="5">
        <v>2100</v>
      </c>
    </row>
    <row r="7" spans="1:5">
      <c r="A7">
        <v>999</v>
      </c>
      <c r="B7" t="s">
        <v>4802</v>
      </c>
      <c r="C7" t="s">
        <v>4803</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4804</v>
      </c>
      <c r="B1">
        <f>COUNTA(frasest[id_cita])</f>
        <v>1519</v>
      </c>
    </row>
    <row r="2" spans="1:2">
      <c r="A2" t="s">
        <v>4805</v>
      </c>
      <c r="B2">
        <f>COUNTA(autorest[id_autor])</f>
        <v>116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2026-01-04T00:13:10Z</dcterms:modified>
  <cp:category/>
  <cp:contentStatus/>
</cp:coreProperties>
</file>