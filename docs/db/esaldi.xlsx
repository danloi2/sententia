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04"/>
  <workbookPr/>
  <xr:revisionPtr revIDLastSave="0" documentId="8_{6EE23FA7-9866-45C3-843D-249DC252755E}" xr6:coauthVersionLast="47" xr6:coauthVersionMax="47" xr10:uidLastSave="{00000000-0000-0000-0000-000000000000}"/>
  <bookViews>
    <workbookView xWindow="0" yWindow="0" windowWidth="16384" windowHeight="8192" tabRatio="500" xr2:uid="{00000000-000D-0000-FFFF-FFFF00000000}"/>
  </bookViews>
  <sheets>
    <sheet name="frases" sheetId="1" r:id="rId1"/>
    <sheet name="autores" sheetId="2" r:id="rId2"/>
    <sheet name="idiomas" sheetId="4" r:id="rId3"/>
    <sheet name="naciones" sheetId="5" r:id="rId4"/>
    <sheet name="epocas" sheetId="3" r:id="rId5"/>
    <sheet name="info"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
    </ext>
  </extLst>
</workbook>
</file>

<file path=xl/calcChain.xml><?xml version="1.0" encoding="utf-8"?>
<calcChain xmlns="http://schemas.openxmlformats.org/spreadsheetml/2006/main">
  <c r="R1479" i="1" l="1"/>
  <c r="R1478" i="1"/>
  <c r="Q1479" i="1"/>
  <c r="Q1478" i="1"/>
  <c r="M1479" i="1"/>
  <c r="M1478" i="1"/>
  <c r="K1479" i="1"/>
  <c r="K1478" i="1"/>
  <c r="I1479" i="1"/>
  <c r="I1478" i="1"/>
  <c r="H1479" i="1"/>
  <c r="H1478" i="1"/>
  <c r="G1479" i="1"/>
  <c r="G1478" i="1"/>
  <c r="R1477" i="1"/>
  <c r="R1476" i="1"/>
  <c r="R1475" i="1"/>
  <c r="R1474" i="1"/>
  <c r="Q1477" i="1"/>
  <c r="Q1476" i="1"/>
  <c r="Q1475" i="1"/>
  <c r="Q1474" i="1"/>
  <c r="M1477" i="1"/>
  <c r="M1476" i="1"/>
  <c r="M1475" i="1"/>
  <c r="M1474" i="1"/>
  <c r="K1477" i="1"/>
  <c r="K1476" i="1"/>
  <c r="K1475" i="1"/>
  <c r="K1474" i="1"/>
  <c r="I1477" i="1"/>
  <c r="I1476" i="1"/>
  <c r="I1475" i="1"/>
  <c r="I1474" i="1"/>
  <c r="H1477" i="1"/>
  <c r="H1476" i="1"/>
  <c r="H1475" i="1"/>
  <c r="H1474" i="1"/>
  <c r="G1477" i="1"/>
  <c r="G1476" i="1"/>
  <c r="G1475" i="1"/>
  <c r="G1474" i="1"/>
  <c r="G531" i="1"/>
  <c r="H531" i="1"/>
  <c r="I531" i="1"/>
  <c r="G532" i="1"/>
  <c r="H532" i="1"/>
  <c r="I532" i="1"/>
  <c r="G533" i="1"/>
  <c r="H533" i="1"/>
  <c r="I533" i="1"/>
  <c r="G534" i="1"/>
  <c r="H534" i="1"/>
  <c r="I534" i="1"/>
  <c r="G535" i="1"/>
  <c r="H535" i="1"/>
  <c r="I535" i="1"/>
  <c r="G536" i="1"/>
  <c r="H536" i="1"/>
  <c r="I536" i="1"/>
  <c r="G537" i="1"/>
  <c r="H537" i="1"/>
  <c r="I537" i="1"/>
  <c r="G538" i="1"/>
  <c r="H538" i="1"/>
  <c r="I538" i="1"/>
  <c r="G515" i="1"/>
  <c r="H515" i="1"/>
  <c r="I515" i="1"/>
  <c r="G516" i="1"/>
  <c r="H516" i="1"/>
  <c r="I516" i="1"/>
  <c r="G517" i="1"/>
  <c r="H517" i="1"/>
  <c r="I517" i="1"/>
  <c r="G518" i="1"/>
  <c r="H518" i="1"/>
  <c r="I518" i="1"/>
  <c r="G519" i="1"/>
  <c r="H519" i="1"/>
  <c r="I519" i="1"/>
  <c r="G520" i="1"/>
  <c r="H520" i="1"/>
  <c r="I520" i="1"/>
  <c r="G521" i="1"/>
  <c r="H521" i="1"/>
  <c r="I521" i="1"/>
  <c r="G522" i="1"/>
  <c r="H522" i="1"/>
  <c r="I522" i="1"/>
  <c r="O121" i="2" a="1"/>
  <c r="O121" i="2"/>
  <c r="P121" i="2" s="1"/>
  <c r="N121" i="2"/>
  <c r="M121" i="2"/>
  <c r="J121" i="2"/>
  <c r="O120" i="2" a="1"/>
  <c r="O120" i="2"/>
  <c r="P120" i="2" s="1"/>
  <c r="O119" i="2" a="1"/>
  <c r="O119" i="2"/>
  <c r="P119" i="2" s="1"/>
  <c r="N119" i="2"/>
  <c r="N120" i="2"/>
  <c r="M119" i="2"/>
  <c r="M120" i="2"/>
  <c r="J119" i="2"/>
  <c r="J120" i="2"/>
  <c r="G9" i="1"/>
  <c r="H9" i="1"/>
  <c r="G10" i="1"/>
  <c r="H10" i="1"/>
  <c r="G11" i="1"/>
  <c r="H11" i="1"/>
  <c r="G12" i="1"/>
  <c r="H12" i="1"/>
  <c r="O118" i="2" a="1"/>
  <c r="O118" i="2" s="1"/>
  <c r="P118" i="2" s="1"/>
  <c r="N118" i="2"/>
  <c r="M118" i="2"/>
  <c r="J118" i="2"/>
  <c r="O117" i="2" a="1"/>
  <c r="O117" i="2" s="1"/>
  <c r="P117" i="2" s="1"/>
  <c r="N117" i="2"/>
  <c r="M117" i="2"/>
  <c r="J117" i="2"/>
  <c r="R1473" i="1"/>
  <c r="R1472" i="1"/>
  <c r="R1471" i="1"/>
  <c r="R1470" i="1"/>
  <c r="R1469" i="1"/>
  <c r="R1468" i="1"/>
  <c r="R1467" i="1"/>
  <c r="R1466" i="1"/>
  <c r="R1465" i="1"/>
  <c r="R1464" i="1"/>
  <c r="Q1473" i="1"/>
  <c r="Q1472" i="1"/>
  <c r="Q1471" i="1"/>
  <c r="Q1470" i="1"/>
  <c r="Q1469" i="1"/>
  <c r="Q1468" i="1"/>
  <c r="Q1467" i="1"/>
  <c r="Q1466" i="1"/>
  <c r="Q1465" i="1"/>
  <c r="Q1464" i="1"/>
  <c r="P1473" i="1"/>
  <c r="P1472" i="1"/>
  <c r="P1471" i="1"/>
  <c r="P1470" i="1"/>
  <c r="P1469" i="1"/>
  <c r="P1468" i="1"/>
  <c r="O1473" i="1"/>
  <c r="O1472" i="1"/>
  <c r="O1471" i="1"/>
  <c r="O1470" i="1"/>
  <c r="O1469" i="1"/>
  <c r="O1468" i="1"/>
  <c r="N1473" i="1"/>
  <c r="N1472" i="1"/>
  <c r="N1471" i="1"/>
  <c r="N1470" i="1"/>
  <c r="N1469" i="1"/>
  <c r="N1468" i="1"/>
  <c r="M1473" i="1"/>
  <c r="M1472" i="1"/>
  <c r="M1471" i="1"/>
  <c r="M1470" i="1"/>
  <c r="M1469" i="1"/>
  <c r="M1468" i="1"/>
  <c r="M1467" i="1"/>
  <c r="M1466" i="1"/>
  <c r="M1465" i="1"/>
  <c r="M1464" i="1"/>
  <c r="L1473" i="1"/>
  <c r="L1472" i="1"/>
  <c r="L1471" i="1"/>
  <c r="L1470" i="1"/>
  <c r="L1469" i="1"/>
  <c r="L1468" i="1"/>
  <c r="K1473" i="1"/>
  <c r="K1472" i="1"/>
  <c r="K1471" i="1"/>
  <c r="K1470" i="1"/>
  <c r="K1469" i="1"/>
  <c r="K1468" i="1"/>
  <c r="K1467" i="1"/>
  <c r="K1466" i="1"/>
  <c r="K1465" i="1"/>
  <c r="K1464" i="1"/>
  <c r="J1473" i="1"/>
  <c r="J1472" i="1"/>
  <c r="J1471" i="1"/>
  <c r="J1470" i="1"/>
  <c r="J1469" i="1"/>
  <c r="J1468" i="1"/>
  <c r="I1473" i="1"/>
  <c r="I1472" i="1"/>
  <c r="I1471" i="1"/>
  <c r="I1470" i="1"/>
  <c r="I1469" i="1"/>
  <c r="I1468" i="1"/>
  <c r="I1467" i="1"/>
  <c r="I1466" i="1"/>
  <c r="I1465" i="1"/>
  <c r="I1464" i="1"/>
  <c r="H1473" i="1"/>
  <c r="H1472" i="1"/>
  <c r="H1471" i="1"/>
  <c r="H1470" i="1"/>
  <c r="H1469" i="1"/>
  <c r="H1468" i="1"/>
  <c r="H1467" i="1"/>
  <c r="H1466" i="1"/>
  <c r="H1465" i="1"/>
  <c r="H1464" i="1"/>
  <c r="G1473" i="1"/>
  <c r="G1472" i="1"/>
  <c r="G1471" i="1"/>
  <c r="G1470" i="1"/>
  <c r="G1469" i="1"/>
  <c r="G1468" i="1"/>
  <c r="G1467" i="1"/>
  <c r="G1466" i="1"/>
  <c r="G1465" i="1"/>
  <c r="G1464" i="1"/>
  <c r="R1463" i="1"/>
  <c r="R1462" i="1"/>
  <c r="R1461" i="1"/>
  <c r="R1460" i="1"/>
  <c r="R1459" i="1"/>
  <c r="R1458" i="1"/>
  <c r="R1457" i="1"/>
  <c r="R1456" i="1"/>
  <c r="R1455" i="1"/>
  <c r="Q1463" i="1"/>
  <c r="Q1462" i="1"/>
  <c r="Q1461" i="1"/>
  <c r="Q1460" i="1"/>
  <c r="Q1459" i="1"/>
  <c r="Q1458" i="1"/>
  <c r="Q1457" i="1"/>
  <c r="Q1456" i="1"/>
  <c r="Q1455" i="1"/>
  <c r="M1463" i="1"/>
  <c r="M1462" i="1"/>
  <c r="M1461" i="1"/>
  <c r="M1460" i="1"/>
  <c r="M1459" i="1"/>
  <c r="M1458" i="1"/>
  <c r="M1457" i="1"/>
  <c r="M1456" i="1"/>
  <c r="M1455" i="1"/>
  <c r="K1463" i="1"/>
  <c r="K1462" i="1"/>
  <c r="K1461" i="1"/>
  <c r="K1460" i="1"/>
  <c r="K1459" i="1"/>
  <c r="K1458" i="1"/>
  <c r="K1457" i="1"/>
  <c r="K1456" i="1"/>
  <c r="K1455" i="1"/>
  <c r="I1463" i="1"/>
  <c r="I1462" i="1"/>
  <c r="I1461" i="1"/>
  <c r="I1460" i="1"/>
  <c r="I1459" i="1"/>
  <c r="I1458" i="1"/>
  <c r="I1457" i="1"/>
  <c r="I1456" i="1"/>
  <c r="I1455" i="1"/>
  <c r="H1463" i="1"/>
  <c r="H1462" i="1"/>
  <c r="H1461" i="1"/>
  <c r="H1460" i="1"/>
  <c r="H1459" i="1"/>
  <c r="H1458" i="1"/>
  <c r="H1457" i="1"/>
  <c r="H1456" i="1"/>
  <c r="H1455" i="1"/>
  <c r="G1463" i="1"/>
  <c r="G1462" i="1"/>
  <c r="G1461" i="1"/>
  <c r="G1460" i="1"/>
  <c r="G1459" i="1"/>
  <c r="G1458" i="1"/>
  <c r="G1457" i="1"/>
  <c r="G1456" i="1"/>
  <c r="G1455" i="1"/>
  <c r="R2" i="1"/>
  <c r="R3" i="1"/>
  <c r="R4" i="1"/>
  <c r="R5" i="1"/>
  <c r="R6" i="1"/>
  <c r="Q2" i="1"/>
  <c r="Q3" i="1"/>
  <c r="Q4" i="1"/>
  <c r="Q5" i="1"/>
  <c r="Q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M1454" i="1"/>
  <c r="K1454" i="1"/>
  <c r="I1454" i="1"/>
  <c r="H1454" i="1"/>
  <c r="G1454" i="1"/>
  <c r="M1453" i="1"/>
  <c r="M1452" i="1"/>
  <c r="M1451" i="1"/>
  <c r="M1450" i="1"/>
  <c r="K1453" i="1"/>
  <c r="K1452" i="1"/>
  <c r="K1451" i="1"/>
  <c r="K1450" i="1"/>
  <c r="I1453" i="1"/>
  <c r="I1452" i="1"/>
  <c r="I1451" i="1"/>
  <c r="I1450" i="1"/>
  <c r="H1453" i="1"/>
  <c r="H1452" i="1"/>
  <c r="H1451" i="1"/>
  <c r="H1450" i="1"/>
  <c r="G1453" i="1"/>
  <c r="G1452" i="1"/>
  <c r="G1451" i="1"/>
  <c r="G1450" i="1"/>
  <c r="O116" i="2" a="1"/>
  <c r="O116" i="2" s="1"/>
  <c r="O115" i="2" a="1"/>
  <c r="O115" i="2" s="1"/>
  <c r="N116" i="2"/>
  <c r="N115" i="2"/>
  <c r="M116" i="2"/>
  <c r="M115" i="2"/>
  <c r="J116" i="2"/>
  <c r="J115" i="2"/>
  <c r="M1449" i="1"/>
  <c r="M1448" i="1"/>
  <c r="M1447" i="1"/>
  <c r="M1446" i="1"/>
  <c r="M1445" i="1"/>
  <c r="M1444" i="1"/>
  <c r="M1443" i="1"/>
  <c r="M1442" i="1"/>
  <c r="M1441" i="1"/>
  <c r="M1440" i="1"/>
  <c r="M1439" i="1"/>
  <c r="M1438" i="1"/>
  <c r="M1437" i="1"/>
  <c r="M1436" i="1"/>
  <c r="M1435" i="1"/>
  <c r="M1434" i="1"/>
  <c r="M1433" i="1"/>
  <c r="M1432" i="1"/>
  <c r="M1431" i="1"/>
  <c r="M1430" i="1"/>
  <c r="M1429" i="1"/>
  <c r="M1428" i="1"/>
  <c r="M1427" i="1"/>
  <c r="M1426" i="1"/>
  <c r="M1425" i="1"/>
  <c r="M1424" i="1"/>
  <c r="M1423" i="1"/>
  <c r="M1422" i="1"/>
  <c r="M1421" i="1"/>
  <c r="M1420" i="1"/>
  <c r="M1419" i="1"/>
  <c r="M1418" i="1"/>
  <c r="M1417" i="1"/>
  <c r="M1416" i="1"/>
  <c r="M1415" i="1"/>
  <c r="M1414" i="1"/>
  <c r="M1413" i="1"/>
  <c r="M1412" i="1"/>
  <c r="M1411" i="1"/>
  <c r="M1410" i="1"/>
  <c r="M1409" i="1"/>
  <c r="K1449" i="1"/>
  <c r="K1448" i="1"/>
  <c r="K1447" i="1"/>
  <c r="K1446" i="1"/>
  <c r="K1445" i="1"/>
  <c r="K1444" i="1"/>
  <c r="K1443" i="1"/>
  <c r="K1442" i="1"/>
  <c r="K1441" i="1"/>
  <c r="K1440" i="1"/>
  <c r="K1439" i="1"/>
  <c r="K1438" i="1"/>
  <c r="K1437" i="1"/>
  <c r="K1436" i="1"/>
  <c r="K1435" i="1"/>
  <c r="K1434" i="1"/>
  <c r="K1433" i="1"/>
  <c r="K1432" i="1"/>
  <c r="K1431" i="1"/>
  <c r="K1430" i="1"/>
  <c r="K1429" i="1"/>
  <c r="K1428" i="1"/>
  <c r="K1427" i="1"/>
  <c r="K1426" i="1"/>
  <c r="K1425" i="1"/>
  <c r="K1424" i="1"/>
  <c r="K1423" i="1"/>
  <c r="K1422" i="1"/>
  <c r="K1421" i="1"/>
  <c r="K1420" i="1"/>
  <c r="K1419" i="1"/>
  <c r="K1418" i="1"/>
  <c r="K1417" i="1"/>
  <c r="K1416" i="1"/>
  <c r="K1415" i="1"/>
  <c r="K1414" i="1"/>
  <c r="K1413" i="1"/>
  <c r="K1412" i="1"/>
  <c r="K1411" i="1"/>
  <c r="K1410" i="1"/>
  <c r="K1409" i="1"/>
  <c r="I1449" i="1"/>
  <c r="I1448" i="1"/>
  <c r="I1447" i="1"/>
  <c r="I1446" i="1"/>
  <c r="I1445" i="1"/>
  <c r="I1444" i="1"/>
  <c r="I1443" i="1"/>
  <c r="I1442" i="1"/>
  <c r="I1441" i="1"/>
  <c r="I1440" i="1"/>
  <c r="I1439" i="1"/>
  <c r="I1438" i="1"/>
  <c r="I1437" i="1"/>
  <c r="I1436" i="1"/>
  <c r="I1435" i="1"/>
  <c r="I1434" i="1"/>
  <c r="I1433" i="1"/>
  <c r="I1432" i="1"/>
  <c r="I1431" i="1"/>
  <c r="I1430" i="1"/>
  <c r="I1429" i="1"/>
  <c r="I1428" i="1"/>
  <c r="I1427" i="1"/>
  <c r="I1426" i="1"/>
  <c r="I1425" i="1"/>
  <c r="I1424" i="1"/>
  <c r="I1423" i="1"/>
  <c r="I1422" i="1"/>
  <c r="I1421" i="1"/>
  <c r="I1420" i="1"/>
  <c r="I1419" i="1"/>
  <c r="I1418" i="1"/>
  <c r="I1417" i="1"/>
  <c r="I1416" i="1"/>
  <c r="I1415" i="1"/>
  <c r="I1414" i="1"/>
  <c r="I1413" i="1"/>
  <c r="I1412" i="1"/>
  <c r="I1411" i="1"/>
  <c r="I1410" i="1"/>
  <c r="I1409" i="1"/>
  <c r="H1449" i="1"/>
  <c r="H1448" i="1"/>
  <c r="H1447" i="1"/>
  <c r="H1446" i="1"/>
  <c r="H1445" i="1"/>
  <c r="H1444" i="1"/>
  <c r="H1443" i="1"/>
  <c r="H1442" i="1"/>
  <c r="H1441" i="1"/>
  <c r="H1440" i="1"/>
  <c r="H1439" i="1"/>
  <c r="H1438" i="1"/>
  <c r="H1437" i="1"/>
  <c r="H1436" i="1"/>
  <c r="H1435" i="1"/>
  <c r="H1434" i="1"/>
  <c r="H1433" i="1"/>
  <c r="H1432" i="1"/>
  <c r="H1431" i="1"/>
  <c r="H1430" i="1"/>
  <c r="H1429" i="1"/>
  <c r="H1428" i="1"/>
  <c r="H1427" i="1"/>
  <c r="H1426" i="1"/>
  <c r="H1425" i="1"/>
  <c r="H1424" i="1"/>
  <c r="H1423" i="1"/>
  <c r="H1422" i="1"/>
  <c r="H1421" i="1"/>
  <c r="H1420" i="1"/>
  <c r="H1419" i="1"/>
  <c r="H1418" i="1"/>
  <c r="H1417" i="1"/>
  <c r="H1416" i="1"/>
  <c r="H1415" i="1"/>
  <c r="H1414" i="1"/>
  <c r="H1413" i="1"/>
  <c r="H1412" i="1"/>
  <c r="H1411" i="1"/>
  <c r="H1410" i="1"/>
  <c r="H1409" i="1"/>
  <c r="G1449" i="1"/>
  <c r="G1448" i="1"/>
  <c r="G1447" i="1"/>
  <c r="G1446" i="1"/>
  <c r="G1445" i="1"/>
  <c r="G1444" i="1"/>
  <c r="G1443" i="1"/>
  <c r="G1442" i="1"/>
  <c r="G1441" i="1"/>
  <c r="G1440" i="1"/>
  <c r="G1439" i="1"/>
  <c r="G1438" i="1"/>
  <c r="G1437" i="1"/>
  <c r="G1436" i="1"/>
  <c r="G1435" i="1"/>
  <c r="G1434" i="1"/>
  <c r="G1433" i="1"/>
  <c r="G1432" i="1"/>
  <c r="G1431" i="1"/>
  <c r="G1430" i="1"/>
  <c r="G1429" i="1"/>
  <c r="G1428" i="1"/>
  <c r="G1427" i="1"/>
  <c r="G1426" i="1"/>
  <c r="G1425" i="1"/>
  <c r="G1424" i="1"/>
  <c r="G1423" i="1"/>
  <c r="G1422" i="1"/>
  <c r="G1421" i="1"/>
  <c r="G1420" i="1"/>
  <c r="G1419" i="1"/>
  <c r="G1418" i="1"/>
  <c r="G1417" i="1"/>
  <c r="G1416" i="1"/>
  <c r="G1415" i="1"/>
  <c r="G1414" i="1"/>
  <c r="G1413" i="1"/>
  <c r="G1412" i="1"/>
  <c r="G1411" i="1"/>
  <c r="G1410" i="1"/>
  <c r="G1409" i="1"/>
  <c r="M1386" i="1"/>
  <c r="M1389" i="1"/>
  <c r="M1408" i="1"/>
  <c r="M1407" i="1"/>
  <c r="M1406" i="1"/>
  <c r="M1405" i="1"/>
  <c r="M1404" i="1"/>
  <c r="M1403" i="1"/>
  <c r="M1402" i="1"/>
  <c r="M1401" i="1"/>
  <c r="M1400" i="1"/>
  <c r="M1399" i="1"/>
  <c r="M1398" i="1"/>
  <c r="M1397" i="1"/>
  <c r="M1396" i="1"/>
  <c r="M1395" i="1"/>
  <c r="M1394" i="1"/>
  <c r="M1393" i="1"/>
  <c r="M1392" i="1"/>
  <c r="M1391" i="1"/>
  <c r="M1390" i="1"/>
  <c r="K1408" i="1"/>
  <c r="K1407" i="1"/>
  <c r="K1406" i="1"/>
  <c r="K1405" i="1"/>
  <c r="K1404" i="1"/>
  <c r="K1403" i="1"/>
  <c r="K1402" i="1"/>
  <c r="K1401" i="1"/>
  <c r="K1400" i="1"/>
  <c r="K1399" i="1"/>
  <c r="K1398" i="1"/>
  <c r="K1397" i="1"/>
  <c r="K1396" i="1"/>
  <c r="K1395" i="1"/>
  <c r="K1394" i="1"/>
  <c r="K1393" i="1"/>
  <c r="K1392" i="1"/>
  <c r="K1391" i="1"/>
  <c r="K1390" i="1"/>
  <c r="K1389" i="1"/>
  <c r="I1408" i="1"/>
  <c r="I1407" i="1"/>
  <c r="I1406" i="1"/>
  <c r="I1405" i="1"/>
  <c r="I1404" i="1"/>
  <c r="I1403" i="1"/>
  <c r="I1402" i="1"/>
  <c r="I1401" i="1"/>
  <c r="I1400" i="1"/>
  <c r="I1399" i="1"/>
  <c r="I1398" i="1"/>
  <c r="I1397" i="1"/>
  <c r="I1396" i="1"/>
  <c r="I1395" i="1"/>
  <c r="I1394" i="1"/>
  <c r="I1393" i="1"/>
  <c r="I1392" i="1"/>
  <c r="I1391" i="1"/>
  <c r="I1390" i="1"/>
  <c r="I1389" i="1"/>
  <c r="H1408" i="1"/>
  <c r="H1407" i="1"/>
  <c r="H1406" i="1"/>
  <c r="H1405" i="1"/>
  <c r="H1404" i="1"/>
  <c r="H1403" i="1"/>
  <c r="H1402" i="1"/>
  <c r="H1401" i="1"/>
  <c r="H1400" i="1"/>
  <c r="H1399" i="1"/>
  <c r="H1398" i="1"/>
  <c r="H1397" i="1"/>
  <c r="H1396" i="1"/>
  <c r="H1395" i="1"/>
  <c r="H1394" i="1"/>
  <c r="H1393" i="1"/>
  <c r="H1392" i="1"/>
  <c r="H1391" i="1"/>
  <c r="H1390" i="1"/>
  <c r="H1389" i="1"/>
  <c r="G1408" i="1"/>
  <c r="G1407" i="1"/>
  <c r="G1406" i="1"/>
  <c r="G1405" i="1"/>
  <c r="G1404" i="1"/>
  <c r="G1403" i="1"/>
  <c r="G1402" i="1"/>
  <c r="G1401" i="1"/>
  <c r="G1400" i="1"/>
  <c r="G1399" i="1"/>
  <c r="G1398" i="1"/>
  <c r="G1397" i="1"/>
  <c r="G1396" i="1"/>
  <c r="G1395" i="1"/>
  <c r="G1394" i="1"/>
  <c r="G1393" i="1"/>
  <c r="G1392" i="1"/>
  <c r="G1391" i="1"/>
  <c r="G1390" i="1"/>
  <c r="G1389" i="1"/>
  <c r="M1388" i="1"/>
  <c r="M1387" i="1"/>
  <c r="M1385" i="1"/>
  <c r="M1384" i="1"/>
  <c r="M1383" i="1"/>
  <c r="M1382" i="1"/>
  <c r="M1381" i="1"/>
  <c r="M1380" i="1"/>
  <c r="M1379" i="1"/>
  <c r="M1378" i="1"/>
  <c r="M1377" i="1"/>
  <c r="M1376" i="1"/>
  <c r="M1375" i="1"/>
  <c r="M1374" i="1"/>
  <c r="M1373" i="1"/>
  <c r="M1372" i="1"/>
  <c r="M1371" i="1"/>
  <c r="M1370" i="1"/>
  <c r="M1369" i="1"/>
  <c r="M1368" i="1"/>
  <c r="M1367" i="1"/>
  <c r="M1366" i="1"/>
  <c r="M1365" i="1"/>
  <c r="M1364" i="1"/>
  <c r="M1363" i="1"/>
  <c r="M1362" i="1"/>
  <c r="M1361" i="1"/>
  <c r="M1360" i="1"/>
  <c r="M1359" i="1"/>
  <c r="M1358" i="1"/>
  <c r="M1357" i="1"/>
  <c r="M1356" i="1"/>
  <c r="M1355" i="1"/>
  <c r="M1354" i="1"/>
  <c r="M1353" i="1"/>
  <c r="M1352" i="1"/>
  <c r="M1351" i="1"/>
  <c r="M1350" i="1"/>
  <c r="K1388" i="1"/>
  <c r="K1387" i="1"/>
  <c r="K1386" i="1"/>
  <c r="K1385" i="1"/>
  <c r="K1384" i="1"/>
  <c r="K1383" i="1"/>
  <c r="K1382" i="1"/>
  <c r="K1381" i="1"/>
  <c r="K1380" i="1"/>
  <c r="K1379" i="1"/>
  <c r="K1378" i="1"/>
  <c r="K1377" i="1"/>
  <c r="K1376" i="1"/>
  <c r="K1375" i="1"/>
  <c r="K1374" i="1"/>
  <c r="K1373" i="1"/>
  <c r="K1372" i="1"/>
  <c r="K1371" i="1"/>
  <c r="K1370" i="1"/>
  <c r="K1369" i="1"/>
  <c r="K1368" i="1"/>
  <c r="K1367" i="1"/>
  <c r="K1366" i="1"/>
  <c r="K1365" i="1"/>
  <c r="K1364" i="1"/>
  <c r="K1363" i="1"/>
  <c r="K1362" i="1"/>
  <c r="K1361" i="1"/>
  <c r="K1360" i="1"/>
  <c r="K1359" i="1"/>
  <c r="K1358" i="1"/>
  <c r="K1357" i="1"/>
  <c r="K1356" i="1"/>
  <c r="K1355" i="1"/>
  <c r="K1354" i="1"/>
  <c r="K1353" i="1"/>
  <c r="K1352" i="1"/>
  <c r="K1351" i="1"/>
  <c r="K1350" i="1"/>
  <c r="I1388" i="1"/>
  <c r="I1387" i="1"/>
  <c r="I1386" i="1"/>
  <c r="I1385" i="1"/>
  <c r="I1384" i="1"/>
  <c r="I1383" i="1"/>
  <c r="I1382" i="1"/>
  <c r="I1381" i="1"/>
  <c r="I1380" i="1"/>
  <c r="I1379" i="1"/>
  <c r="I1378" i="1"/>
  <c r="I1377" i="1"/>
  <c r="I1376" i="1"/>
  <c r="I1375" i="1"/>
  <c r="I1374" i="1"/>
  <c r="I1373" i="1"/>
  <c r="I1372" i="1"/>
  <c r="I1371" i="1"/>
  <c r="I1370" i="1"/>
  <c r="I1369" i="1"/>
  <c r="I1368" i="1"/>
  <c r="I1367" i="1"/>
  <c r="I1366" i="1"/>
  <c r="I1365" i="1"/>
  <c r="I1364" i="1"/>
  <c r="I1363" i="1"/>
  <c r="I1362" i="1"/>
  <c r="I1361" i="1"/>
  <c r="I1360" i="1"/>
  <c r="I1359" i="1"/>
  <c r="I1358" i="1"/>
  <c r="I1357" i="1"/>
  <c r="I1356" i="1"/>
  <c r="I1355" i="1"/>
  <c r="I1354" i="1"/>
  <c r="I1353" i="1"/>
  <c r="I1352" i="1"/>
  <c r="I1351" i="1"/>
  <c r="I1350" i="1"/>
  <c r="H1388" i="1"/>
  <c r="H1387" i="1"/>
  <c r="H1386" i="1"/>
  <c r="H1385" i="1"/>
  <c r="H1384" i="1"/>
  <c r="H1383" i="1"/>
  <c r="H1382" i="1"/>
  <c r="H1381" i="1"/>
  <c r="H1380" i="1"/>
  <c r="H1379" i="1"/>
  <c r="H1378" i="1"/>
  <c r="H1377" i="1"/>
  <c r="H1376" i="1"/>
  <c r="H1375" i="1"/>
  <c r="H1374" i="1"/>
  <c r="H1373" i="1"/>
  <c r="H1372" i="1"/>
  <c r="H1371" i="1"/>
  <c r="H1370" i="1"/>
  <c r="H1369" i="1"/>
  <c r="H1368" i="1"/>
  <c r="H1367" i="1"/>
  <c r="H1366" i="1"/>
  <c r="H1365" i="1"/>
  <c r="H1364" i="1"/>
  <c r="H1363" i="1"/>
  <c r="H1362" i="1"/>
  <c r="H1361" i="1"/>
  <c r="H1360" i="1"/>
  <c r="H1359" i="1"/>
  <c r="H1358" i="1"/>
  <c r="H1357" i="1"/>
  <c r="H1356" i="1"/>
  <c r="H1355" i="1"/>
  <c r="H1354" i="1"/>
  <c r="H1353" i="1"/>
  <c r="H1352" i="1"/>
  <c r="H1351" i="1"/>
  <c r="H1350" i="1"/>
  <c r="G1388" i="1"/>
  <c r="G1387" i="1"/>
  <c r="G1386" i="1"/>
  <c r="G1385" i="1"/>
  <c r="G1384" i="1"/>
  <c r="G1383" i="1"/>
  <c r="G1382" i="1"/>
  <c r="G1381" i="1"/>
  <c r="G1380" i="1"/>
  <c r="G1379" i="1"/>
  <c r="G1378" i="1"/>
  <c r="G1377" i="1"/>
  <c r="G1376" i="1"/>
  <c r="G1375" i="1"/>
  <c r="G1374" i="1"/>
  <c r="G1373" i="1"/>
  <c r="G1372" i="1"/>
  <c r="G1371" i="1"/>
  <c r="G1370" i="1"/>
  <c r="G1369" i="1"/>
  <c r="G1368" i="1"/>
  <c r="G1367" i="1"/>
  <c r="G1366" i="1"/>
  <c r="G1365" i="1"/>
  <c r="G1364" i="1"/>
  <c r="G1363" i="1"/>
  <c r="G1362" i="1"/>
  <c r="G1361" i="1"/>
  <c r="G1360" i="1"/>
  <c r="G1359" i="1"/>
  <c r="G1358" i="1"/>
  <c r="G1357" i="1"/>
  <c r="G1356" i="1"/>
  <c r="G1355" i="1"/>
  <c r="G1354" i="1"/>
  <c r="G1353" i="1"/>
  <c r="G1352" i="1"/>
  <c r="G1351" i="1"/>
  <c r="G1350" i="1"/>
  <c r="O114" i="2" a="1"/>
  <c r="O114" i="2" s="1"/>
  <c r="O113" i="2" a="1"/>
  <c r="O113" i="2" s="1"/>
  <c r="O112" i="2" a="1"/>
  <c r="O112" i="2" s="1"/>
  <c r="O111" i="2" a="1"/>
  <c r="O111" i="2" s="1"/>
  <c r="O110" i="2" a="1"/>
  <c r="O110" i="2" s="1"/>
  <c r="O109" i="2" a="1"/>
  <c r="O109" i="2" s="1"/>
  <c r="N114" i="2"/>
  <c r="N113" i="2"/>
  <c r="N112" i="2"/>
  <c r="N111" i="2"/>
  <c r="N110" i="2"/>
  <c r="N109" i="2"/>
  <c r="M114" i="2"/>
  <c r="M113" i="2"/>
  <c r="M112" i="2"/>
  <c r="M111" i="2"/>
  <c r="M110" i="2"/>
  <c r="M109" i="2"/>
  <c r="J114" i="2"/>
  <c r="J113" i="2"/>
  <c r="J112" i="2"/>
  <c r="J111" i="2"/>
  <c r="J110" i="2"/>
  <c r="J109" i="2"/>
  <c r="O108" i="2" a="1"/>
  <c r="O108" i="2" s="1"/>
  <c r="O107" i="2" a="1"/>
  <c r="O107" i="2" s="1"/>
  <c r="O106" i="2" a="1"/>
  <c r="O106" i="2" s="1"/>
  <c r="N108" i="2"/>
  <c r="N107" i="2"/>
  <c r="N106" i="2"/>
  <c r="M108" i="2"/>
  <c r="M107" i="2"/>
  <c r="M106" i="2"/>
  <c r="J108" i="2"/>
  <c r="J107" i="2"/>
  <c r="J106" i="2"/>
  <c r="M1349" i="1"/>
  <c r="M1348" i="1"/>
  <c r="M1347" i="1"/>
  <c r="M1346" i="1"/>
  <c r="M1345" i="1"/>
  <c r="M1344" i="1"/>
  <c r="M1343" i="1"/>
  <c r="M1342" i="1"/>
  <c r="M1341" i="1"/>
  <c r="M1340" i="1"/>
  <c r="M1339" i="1"/>
  <c r="M1338" i="1"/>
  <c r="M1337" i="1"/>
  <c r="M1336" i="1"/>
  <c r="M1335" i="1"/>
  <c r="M1334" i="1"/>
  <c r="M1333" i="1"/>
  <c r="M1332" i="1"/>
  <c r="M1331" i="1"/>
  <c r="M1330" i="1"/>
  <c r="M1329" i="1"/>
  <c r="M1328" i="1"/>
  <c r="M1327" i="1"/>
  <c r="M1326" i="1"/>
  <c r="M1325" i="1"/>
  <c r="M1324" i="1"/>
  <c r="M1323" i="1"/>
  <c r="M1322" i="1"/>
  <c r="M1321" i="1"/>
  <c r="M1320" i="1"/>
  <c r="M1319" i="1"/>
  <c r="M1318" i="1"/>
  <c r="M1317" i="1"/>
  <c r="M1316" i="1"/>
  <c r="M1315" i="1"/>
  <c r="M1314" i="1"/>
  <c r="M1313" i="1"/>
  <c r="M1312" i="1"/>
  <c r="M1311" i="1"/>
  <c r="M1310" i="1"/>
  <c r="M1309" i="1"/>
  <c r="M1308" i="1"/>
  <c r="M1307" i="1"/>
  <c r="M1306" i="1"/>
  <c r="M1305" i="1"/>
  <c r="M1304" i="1"/>
  <c r="M1303" i="1"/>
  <c r="M1302" i="1"/>
  <c r="M1301" i="1"/>
  <c r="M1300" i="1"/>
  <c r="K1349" i="1"/>
  <c r="K1348" i="1"/>
  <c r="K1347" i="1"/>
  <c r="K1346" i="1"/>
  <c r="K1345" i="1"/>
  <c r="K1344" i="1"/>
  <c r="K1343" i="1"/>
  <c r="K1342" i="1"/>
  <c r="K1341" i="1"/>
  <c r="K1340" i="1"/>
  <c r="K1339" i="1"/>
  <c r="K1338" i="1"/>
  <c r="K1337" i="1"/>
  <c r="K1336" i="1"/>
  <c r="K1335" i="1"/>
  <c r="K1334" i="1"/>
  <c r="K1333" i="1"/>
  <c r="K1332" i="1"/>
  <c r="K1331" i="1"/>
  <c r="K1330" i="1"/>
  <c r="K1329" i="1"/>
  <c r="K1328" i="1"/>
  <c r="K1327" i="1"/>
  <c r="K1326" i="1"/>
  <c r="K1325" i="1"/>
  <c r="K1324" i="1"/>
  <c r="K1323" i="1"/>
  <c r="K1322" i="1"/>
  <c r="K1321" i="1"/>
  <c r="K1320" i="1"/>
  <c r="K1319" i="1"/>
  <c r="K1318" i="1"/>
  <c r="K1317" i="1"/>
  <c r="K1316" i="1"/>
  <c r="K1315" i="1"/>
  <c r="K1314" i="1"/>
  <c r="K1313" i="1"/>
  <c r="K1312" i="1"/>
  <c r="K1311" i="1"/>
  <c r="K1310" i="1"/>
  <c r="K1309" i="1"/>
  <c r="K1308" i="1"/>
  <c r="K1307" i="1"/>
  <c r="K1306" i="1"/>
  <c r="K1305" i="1"/>
  <c r="K1304" i="1"/>
  <c r="K1303" i="1"/>
  <c r="K1302" i="1"/>
  <c r="K1301" i="1"/>
  <c r="K1300" i="1"/>
  <c r="I1349" i="1"/>
  <c r="I1348" i="1"/>
  <c r="I1347" i="1"/>
  <c r="I1346" i="1"/>
  <c r="I1345" i="1"/>
  <c r="I1344" i="1"/>
  <c r="I1343" i="1"/>
  <c r="I1342" i="1"/>
  <c r="I1341" i="1"/>
  <c r="I1340" i="1"/>
  <c r="I1339" i="1"/>
  <c r="I1338" i="1"/>
  <c r="I1337" i="1"/>
  <c r="I1336" i="1"/>
  <c r="I1335" i="1"/>
  <c r="I1334" i="1"/>
  <c r="I1333" i="1"/>
  <c r="I1332" i="1"/>
  <c r="I1331" i="1"/>
  <c r="I1330" i="1"/>
  <c r="I1329" i="1"/>
  <c r="I1328" i="1"/>
  <c r="I1327" i="1"/>
  <c r="I1326" i="1"/>
  <c r="I1325" i="1"/>
  <c r="I1324" i="1"/>
  <c r="I1323" i="1"/>
  <c r="I1322" i="1"/>
  <c r="I1321" i="1"/>
  <c r="I1320" i="1"/>
  <c r="I1319" i="1"/>
  <c r="I1318" i="1"/>
  <c r="I1317" i="1"/>
  <c r="I1316" i="1"/>
  <c r="I1315" i="1"/>
  <c r="I1314" i="1"/>
  <c r="I1313" i="1"/>
  <c r="I1312" i="1"/>
  <c r="I1311" i="1"/>
  <c r="I1310" i="1"/>
  <c r="I1309" i="1"/>
  <c r="I1308" i="1"/>
  <c r="I1307" i="1"/>
  <c r="I1306" i="1"/>
  <c r="I1305" i="1"/>
  <c r="I1304" i="1"/>
  <c r="I1303" i="1"/>
  <c r="I1302" i="1"/>
  <c r="I1301" i="1"/>
  <c r="I1300" i="1"/>
  <c r="H1349" i="1"/>
  <c r="H1348" i="1"/>
  <c r="H1347" i="1"/>
  <c r="H1346" i="1"/>
  <c r="H1345" i="1"/>
  <c r="H1344" i="1"/>
  <c r="H1343" i="1"/>
  <c r="H1342" i="1"/>
  <c r="H1341" i="1"/>
  <c r="H1340" i="1"/>
  <c r="H1339" i="1"/>
  <c r="H1338" i="1"/>
  <c r="H1337" i="1"/>
  <c r="H1336" i="1"/>
  <c r="H1335" i="1"/>
  <c r="H1334" i="1"/>
  <c r="H1333" i="1"/>
  <c r="H1332" i="1"/>
  <c r="H1331" i="1"/>
  <c r="H1330" i="1"/>
  <c r="H1329" i="1"/>
  <c r="H1328" i="1"/>
  <c r="H1327" i="1"/>
  <c r="H1326" i="1"/>
  <c r="H1325" i="1"/>
  <c r="H1324" i="1"/>
  <c r="H1323" i="1"/>
  <c r="H1322" i="1"/>
  <c r="H1321" i="1"/>
  <c r="H1320" i="1"/>
  <c r="H1319" i="1"/>
  <c r="H1318" i="1"/>
  <c r="H1317" i="1"/>
  <c r="H1316" i="1"/>
  <c r="H1315" i="1"/>
  <c r="H1314" i="1"/>
  <c r="H1313" i="1"/>
  <c r="H1312" i="1"/>
  <c r="H1311" i="1"/>
  <c r="H1310" i="1"/>
  <c r="H1309" i="1"/>
  <c r="H1308" i="1"/>
  <c r="H1307" i="1"/>
  <c r="H1306" i="1"/>
  <c r="H1305" i="1"/>
  <c r="H1304" i="1"/>
  <c r="H1303" i="1"/>
  <c r="H1302" i="1"/>
  <c r="H1301" i="1"/>
  <c r="H1300" i="1"/>
  <c r="G1349" i="1"/>
  <c r="G1348" i="1"/>
  <c r="G1347" i="1"/>
  <c r="G1346" i="1"/>
  <c r="G1345" i="1"/>
  <c r="G1344" i="1"/>
  <c r="G1343" i="1"/>
  <c r="G1342" i="1"/>
  <c r="G1341" i="1"/>
  <c r="G1340" i="1"/>
  <c r="G1339" i="1"/>
  <c r="G1338" i="1"/>
  <c r="G1337" i="1"/>
  <c r="G1336" i="1"/>
  <c r="G1335" i="1"/>
  <c r="G1334" i="1"/>
  <c r="G1333" i="1"/>
  <c r="G1332" i="1"/>
  <c r="G1331" i="1"/>
  <c r="G1330" i="1"/>
  <c r="G1329" i="1"/>
  <c r="G1328" i="1"/>
  <c r="G1327" i="1"/>
  <c r="G1326" i="1"/>
  <c r="G1325" i="1"/>
  <c r="G1324" i="1"/>
  <c r="G1323" i="1"/>
  <c r="G1322" i="1"/>
  <c r="G1321" i="1"/>
  <c r="G1320" i="1"/>
  <c r="G1319" i="1"/>
  <c r="G1318" i="1"/>
  <c r="G1317" i="1"/>
  <c r="G1316" i="1"/>
  <c r="G1315" i="1"/>
  <c r="G1314" i="1"/>
  <c r="G1313" i="1"/>
  <c r="G1312" i="1"/>
  <c r="G1311" i="1"/>
  <c r="G1310" i="1"/>
  <c r="G1309" i="1"/>
  <c r="G1308" i="1"/>
  <c r="G1307" i="1"/>
  <c r="G1306" i="1"/>
  <c r="G1305" i="1"/>
  <c r="G1304" i="1"/>
  <c r="G1303" i="1"/>
  <c r="G1302" i="1"/>
  <c r="G1301" i="1"/>
  <c r="G1300" i="1"/>
  <c r="M1299" i="1"/>
  <c r="M1298" i="1"/>
  <c r="M1297" i="1"/>
  <c r="M1296" i="1"/>
  <c r="M1295" i="1"/>
  <c r="M1294" i="1"/>
  <c r="M1293" i="1"/>
  <c r="M1292" i="1"/>
  <c r="M1291" i="1"/>
  <c r="M1290" i="1"/>
  <c r="M1289" i="1"/>
  <c r="M1288" i="1"/>
  <c r="M1287" i="1"/>
  <c r="M1286" i="1"/>
  <c r="M1285" i="1"/>
  <c r="M1284" i="1"/>
  <c r="M1283" i="1"/>
  <c r="M1282" i="1"/>
  <c r="M1281" i="1"/>
  <c r="M1280" i="1"/>
  <c r="M1279" i="1"/>
  <c r="M1278" i="1"/>
  <c r="M1277" i="1"/>
  <c r="M1276" i="1"/>
  <c r="M1275" i="1"/>
  <c r="M1274" i="1"/>
  <c r="M1273" i="1"/>
  <c r="M1272" i="1"/>
  <c r="M1271" i="1"/>
  <c r="M1270" i="1"/>
  <c r="M1269" i="1"/>
  <c r="M1268" i="1"/>
  <c r="M1267" i="1"/>
  <c r="M1266" i="1"/>
  <c r="M1265" i="1"/>
  <c r="M1264" i="1"/>
  <c r="M1263" i="1"/>
  <c r="M1262" i="1"/>
  <c r="M1261" i="1"/>
  <c r="M1260" i="1"/>
  <c r="M1259" i="1"/>
  <c r="M1258" i="1"/>
  <c r="M1257" i="1"/>
  <c r="M1256" i="1"/>
  <c r="M1255" i="1"/>
  <c r="M1254" i="1"/>
  <c r="M1253" i="1"/>
  <c r="M1252" i="1"/>
  <c r="M1251" i="1"/>
  <c r="M1250" i="1"/>
  <c r="K1299" i="1"/>
  <c r="K1298" i="1"/>
  <c r="K1297" i="1"/>
  <c r="K1296" i="1"/>
  <c r="K1295" i="1"/>
  <c r="K1294" i="1"/>
  <c r="K1293" i="1"/>
  <c r="K1292" i="1"/>
  <c r="K1291" i="1"/>
  <c r="K1290" i="1"/>
  <c r="K1289" i="1"/>
  <c r="K1288" i="1"/>
  <c r="K1287" i="1"/>
  <c r="K1286" i="1"/>
  <c r="K1285" i="1"/>
  <c r="K1284" i="1"/>
  <c r="K1283" i="1"/>
  <c r="K1282" i="1"/>
  <c r="K1281" i="1"/>
  <c r="K1280" i="1"/>
  <c r="K1279" i="1"/>
  <c r="K1278" i="1"/>
  <c r="K1277" i="1"/>
  <c r="K1276" i="1"/>
  <c r="K1275" i="1"/>
  <c r="K1274" i="1"/>
  <c r="K1273" i="1"/>
  <c r="K1272" i="1"/>
  <c r="K1271" i="1"/>
  <c r="K1270" i="1"/>
  <c r="K1269" i="1"/>
  <c r="K1268" i="1"/>
  <c r="K1267" i="1"/>
  <c r="K1266" i="1"/>
  <c r="K1265" i="1"/>
  <c r="K1264" i="1"/>
  <c r="K1263" i="1"/>
  <c r="K1262" i="1"/>
  <c r="K1261" i="1"/>
  <c r="K1260" i="1"/>
  <c r="K1259" i="1"/>
  <c r="K1258" i="1"/>
  <c r="K1257" i="1"/>
  <c r="K1256" i="1"/>
  <c r="K1255" i="1"/>
  <c r="K1254" i="1"/>
  <c r="K1253" i="1"/>
  <c r="K1252" i="1"/>
  <c r="K1251" i="1"/>
  <c r="K1250" i="1"/>
  <c r="I1299" i="1"/>
  <c r="I1298" i="1"/>
  <c r="I1297" i="1"/>
  <c r="I1296" i="1"/>
  <c r="I1295" i="1"/>
  <c r="I1294" i="1"/>
  <c r="I1293" i="1"/>
  <c r="I1292" i="1"/>
  <c r="I1291" i="1"/>
  <c r="I1290" i="1"/>
  <c r="I1289" i="1"/>
  <c r="I1288" i="1"/>
  <c r="I1287" i="1"/>
  <c r="I1286" i="1"/>
  <c r="I1285" i="1"/>
  <c r="I1284" i="1"/>
  <c r="I1283" i="1"/>
  <c r="I1282" i="1"/>
  <c r="I1281" i="1"/>
  <c r="I1280" i="1"/>
  <c r="I1279" i="1"/>
  <c r="I1278" i="1"/>
  <c r="I1277" i="1"/>
  <c r="I1276" i="1"/>
  <c r="I1275" i="1"/>
  <c r="I1274" i="1"/>
  <c r="I1273" i="1"/>
  <c r="I1272" i="1"/>
  <c r="I1271" i="1"/>
  <c r="I1270" i="1"/>
  <c r="I1269" i="1"/>
  <c r="I1268" i="1"/>
  <c r="I1267" i="1"/>
  <c r="I1266" i="1"/>
  <c r="I1265" i="1"/>
  <c r="I1264" i="1"/>
  <c r="I1263" i="1"/>
  <c r="I1262" i="1"/>
  <c r="I1261" i="1"/>
  <c r="I1260" i="1"/>
  <c r="I1259" i="1"/>
  <c r="I1258" i="1"/>
  <c r="I1257" i="1"/>
  <c r="I1256" i="1"/>
  <c r="I1255" i="1"/>
  <c r="I1254" i="1"/>
  <c r="I1253" i="1"/>
  <c r="I1252" i="1"/>
  <c r="I1251" i="1"/>
  <c r="I1250" i="1"/>
  <c r="H1299" i="1"/>
  <c r="H1298" i="1"/>
  <c r="H1297" i="1"/>
  <c r="H1296" i="1"/>
  <c r="H1295" i="1"/>
  <c r="H1294" i="1"/>
  <c r="H1293" i="1"/>
  <c r="H1292" i="1"/>
  <c r="H1291" i="1"/>
  <c r="H1290" i="1"/>
  <c r="H1289" i="1"/>
  <c r="H1288" i="1"/>
  <c r="H1287" i="1"/>
  <c r="H1286" i="1"/>
  <c r="H1285" i="1"/>
  <c r="H1284" i="1"/>
  <c r="H1283" i="1"/>
  <c r="H1282" i="1"/>
  <c r="H1281" i="1"/>
  <c r="H1280" i="1"/>
  <c r="H1279" i="1"/>
  <c r="H1278" i="1"/>
  <c r="H1277" i="1"/>
  <c r="H1276" i="1"/>
  <c r="H1275" i="1"/>
  <c r="H1274" i="1"/>
  <c r="H1273" i="1"/>
  <c r="H1272" i="1"/>
  <c r="H1271" i="1"/>
  <c r="H1270" i="1"/>
  <c r="H1269" i="1"/>
  <c r="H1268" i="1"/>
  <c r="H1267" i="1"/>
  <c r="H1266" i="1"/>
  <c r="H1265" i="1"/>
  <c r="H1264" i="1"/>
  <c r="H1263" i="1"/>
  <c r="H1262" i="1"/>
  <c r="H1261" i="1"/>
  <c r="H1260" i="1"/>
  <c r="H1259" i="1"/>
  <c r="H1258" i="1"/>
  <c r="H1257" i="1"/>
  <c r="H1256" i="1"/>
  <c r="H1255" i="1"/>
  <c r="H1254" i="1"/>
  <c r="H1253" i="1"/>
  <c r="H1252" i="1"/>
  <c r="H1251" i="1"/>
  <c r="H1250" i="1"/>
  <c r="G1299" i="1"/>
  <c r="G1298" i="1"/>
  <c r="G1297" i="1"/>
  <c r="G1296" i="1"/>
  <c r="G1295" i="1"/>
  <c r="G1294" i="1"/>
  <c r="G1293" i="1"/>
  <c r="G1292" i="1"/>
  <c r="G1291" i="1"/>
  <c r="G1290" i="1"/>
  <c r="G1289" i="1"/>
  <c r="G1288" i="1"/>
  <c r="G1287" i="1"/>
  <c r="G1286" i="1"/>
  <c r="G1285" i="1"/>
  <c r="G1284" i="1"/>
  <c r="G1283" i="1"/>
  <c r="G1282" i="1"/>
  <c r="G1281" i="1"/>
  <c r="G1280" i="1"/>
  <c r="G1279" i="1"/>
  <c r="G1278" i="1"/>
  <c r="G1277" i="1"/>
  <c r="G1276" i="1"/>
  <c r="G1275" i="1"/>
  <c r="G1274" i="1"/>
  <c r="G1273" i="1"/>
  <c r="G1272" i="1"/>
  <c r="G1271" i="1"/>
  <c r="G1270" i="1"/>
  <c r="G1269" i="1"/>
  <c r="G1268" i="1"/>
  <c r="G1267" i="1"/>
  <c r="G1266" i="1"/>
  <c r="G1265" i="1"/>
  <c r="G1264" i="1"/>
  <c r="G1263" i="1"/>
  <c r="G1262" i="1"/>
  <c r="G1261" i="1"/>
  <c r="G1260" i="1"/>
  <c r="G1259" i="1"/>
  <c r="G1258" i="1"/>
  <c r="G1257" i="1"/>
  <c r="G1256" i="1"/>
  <c r="G1255" i="1"/>
  <c r="G1254" i="1"/>
  <c r="G1253" i="1"/>
  <c r="G1252" i="1"/>
  <c r="G1251" i="1"/>
  <c r="G1250" i="1"/>
  <c r="M1249" i="1"/>
  <c r="M1248" i="1"/>
  <c r="M1247" i="1"/>
  <c r="M1246" i="1"/>
  <c r="M1245" i="1"/>
  <c r="M1244" i="1"/>
  <c r="M1243" i="1"/>
  <c r="M1242" i="1"/>
  <c r="M1241" i="1"/>
  <c r="M1240" i="1"/>
  <c r="M1239" i="1"/>
  <c r="M1238" i="1"/>
  <c r="M1237" i="1"/>
  <c r="M1236" i="1"/>
  <c r="M1235" i="1"/>
  <c r="M1234" i="1"/>
  <c r="M1233" i="1"/>
  <c r="M1232" i="1"/>
  <c r="M1231" i="1"/>
  <c r="M1230" i="1"/>
  <c r="M1229" i="1"/>
  <c r="M1228" i="1"/>
  <c r="M1227" i="1"/>
  <c r="M1226" i="1"/>
  <c r="M1225" i="1"/>
  <c r="M1224" i="1"/>
  <c r="M1223" i="1"/>
  <c r="M1222" i="1"/>
  <c r="M1221" i="1"/>
  <c r="M1220" i="1"/>
  <c r="M1219" i="1"/>
  <c r="M1218" i="1"/>
  <c r="M1217" i="1"/>
  <c r="M1216" i="1"/>
  <c r="M1215" i="1"/>
  <c r="M1214" i="1"/>
  <c r="M1213" i="1"/>
  <c r="M1212" i="1"/>
  <c r="M1211" i="1"/>
  <c r="M1210" i="1"/>
  <c r="M1209" i="1"/>
  <c r="M1208" i="1"/>
  <c r="M1207" i="1"/>
  <c r="M1206" i="1"/>
  <c r="M1205" i="1"/>
  <c r="M1204" i="1"/>
  <c r="M1203" i="1"/>
  <c r="M1202" i="1"/>
  <c r="M1201" i="1"/>
  <c r="M1200" i="1"/>
  <c r="K1249" i="1"/>
  <c r="K1248" i="1"/>
  <c r="K1247" i="1"/>
  <c r="K1246" i="1"/>
  <c r="K1245" i="1"/>
  <c r="K1244" i="1"/>
  <c r="K1243" i="1"/>
  <c r="K1242" i="1"/>
  <c r="K1241" i="1"/>
  <c r="K1240" i="1"/>
  <c r="K1239" i="1"/>
  <c r="K1238" i="1"/>
  <c r="K1237" i="1"/>
  <c r="K1236" i="1"/>
  <c r="K1235" i="1"/>
  <c r="K1234" i="1"/>
  <c r="K1233" i="1"/>
  <c r="K1232" i="1"/>
  <c r="K1231" i="1"/>
  <c r="K1230" i="1"/>
  <c r="K1229" i="1"/>
  <c r="K1228" i="1"/>
  <c r="K1227" i="1"/>
  <c r="K1226" i="1"/>
  <c r="K1225" i="1"/>
  <c r="K1224" i="1"/>
  <c r="K1223" i="1"/>
  <c r="K1222" i="1"/>
  <c r="K1221" i="1"/>
  <c r="K1220" i="1"/>
  <c r="K1219" i="1"/>
  <c r="K1218" i="1"/>
  <c r="K1217" i="1"/>
  <c r="K1216" i="1"/>
  <c r="K1215" i="1"/>
  <c r="K1214" i="1"/>
  <c r="K1213" i="1"/>
  <c r="K1212" i="1"/>
  <c r="K1211" i="1"/>
  <c r="K1210" i="1"/>
  <c r="K1209" i="1"/>
  <c r="K1208" i="1"/>
  <c r="K1207" i="1"/>
  <c r="K1206" i="1"/>
  <c r="K1205" i="1"/>
  <c r="K1204" i="1"/>
  <c r="K1203" i="1"/>
  <c r="K1202" i="1"/>
  <c r="K1201" i="1"/>
  <c r="K1200" i="1"/>
  <c r="I1249" i="1"/>
  <c r="I1248" i="1"/>
  <c r="I1247" i="1"/>
  <c r="I1246" i="1"/>
  <c r="I1245" i="1"/>
  <c r="I1244" i="1"/>
  <c r="I1243" i="1"/>
  <c r="I1242" i="1"/>
  <c r="I1241" i="1"/>
  <c r="I1240" i="1"/>
  <c r="I1239" i="1"/>
  <c r="I1238" i="1"/>
  <c r="I1237" i="1"/>
  <c r="I1236" i="1"/>
  <c r="I1235" i="1"/>
  <c r="I1234" i="1"/>
  <c r="I1233" i="1"/>
  <c r="I1232" i="1"/>
  <c r="I1231" i="1"/>
  <c r="I1230" i="1"/>
  <c r="I1229" i="1"/>
  <c r="I1228" i="1"/>
  <c r="I1227" i="1"/>
  <c r="I1226" i="1"/>
  <c r="I1225" i="1"/>
  <c r="I1224" i="1"/>
  <c r="I1223" i="1"/>
  <c r="I1222" i="1"/>
  <c r="I1221" i="1"/>
  <c r="I1220" i="1"/>
  <c r="I1219" i="1"/>
  <c r="I1218" i="1"/>
  <c r="I1217" i="1"/>
  <c r="I1216" i="1"/>
  <c r="I1215" i="1"/>
  <c r="I1214" i="1"/>
  <c r="I1213" i="1"/>
  <c r="I1212" i="1"/>
  <c r="I1211" i="1"/>
  <c r="I1210" i="1"/>
  <c r="I1209" i="1"/>
  <c r="I1208" i="1"/>
  <c r="I1207" i="1"/>
  <c r="I1206" i="1"/>
  <c r="I1205" i="1"/>
  <c r="I1204" i="1"/>
  <c r="I1203" i="1"/>
  <c r="I1202" i="1"/>
  <c r="I1201" i="1"/>
  <c r="I1200" i="1"/>
  <c r="H1249" i="1"/>
  <c r="H1248" i="1"/>
  <c r="H1247" i="1"/>
  <c r="H1246" i="1"/>
  <c r="H1245" i="1"/>
  <c r="H1244" i="1"/>
  <c r="H1243" i="1"/>
  <c r="H1242" i="1"/>
  <c r="H1241" i="1"/>
  <c r="H1240" i="1"/>
  <c r="H1239" i="1"/>
  <c r="H1238" i="1"/>
  <c r="H1237" i="1"/>
  <c r="H1236" i="1"/>
  <c r="H1235" i="1"/>
  <c r="H1234" i="1"/>
  <c r="H1233" i="1"/>
  <c r="H1232" i="1"/>
  <c r="H1231" i="1"/>
  <c r="H1230" i="1"/>
  <c r="H1229" i="1"/>
  <c r="H1228" i="1"/>
  <c r="H1227" i="1"/>
  <c r="H1226" i="1"/>
  <c r="H1225" i="1"/>
  <c r="H1224" i="1"/>
  <c r="H1223" i="1"/>
  <c r="H1222" i="1"/>
  <c r="H1221" i="1"/>
  <c r="H1220" i="1"/>
  <c r="H1219" i="1"/>
  <c r="H1218" i="1"/>
  <c r="H1217" i="1"/>
  <c r="H1216" i="1"/>
  <c r="H1215" i="1"/>
  <c r="H1214" i="1"/>
  <c r="H1213" i="1"/>
  <c r="H1212" i="1"/>
  <c r="H1211" i="1"/>
  <c r="H1210" i="1"/>
  <c r="H1209" i="1"/>
  <c r="H1208" i="1"/>
  <c r="H1207" i="1"/>
  <c r="H1206" i="1"/>
  <c r="H1205" i="1"/>
  <c r="H1204" i="1"/>
  <c r="H1203" i="1"/>
  <c r="H1202" i="1"/>
  <c r="H1201" i="1"/>
  <c r="H1200" i="1"/>
  <c r="G1249" i="1"/>
  <c r="G1248" i="1"/>
  <c r="G1247" i="1"/>
  <c r="G1246" i="1"/>
  <c r="G1245" i="1"/>
  <c r="G1244" i="1"/>
  <c r="G1243" i="1"/>
  <c r="G1242" i="1"/>
  <c r="G1241" i="1"/>
  <c r="G1240" i="1"/>
  <c r="G1239" i="1"/>
  <c r="G1238" i="1"/>
  <c r="G1237" i="1"/>
  <c r="G1236" i="1"/>
  <c r="G1235" i="1"/>
  <c r="G1234" i="1"/>
  <c r="G1233" i="1"/>
  <c r="G1232" i="1"/>
  <c r="G1231" i="1"/>
  <c r="G1230" i="1"/>
  <c r="G1229" i="1"/>
  <c r="G1228" i="1"/>
  <c r="G1227" i="1"/>
  <c r="G1226" i="1"/>
  <c r="G1225" i="1"/>
  <c r="G1224" i="1"/>
  <c r="G1223" i="1"/>
  <c r="G1222" i="1"/>
  <c r="G1221" i="1"/>
  <c r="G1220" i="1"/>
  <c r="G1219" i="1"/>
  <c r="G1218" i="1"/>
  <c r="G1217" i="1"/>
  <c r="G1216" i="1"/>
  <c r="G1215" i="1"/>
  <c r="G1214" i="1"/>
  <c r="G1213" i="1"/>
  <c r="G1212" i="1"/>
  <c r="G1211" i="1"/>
  <c r="G1210" i="1"/>
  <c r="G1209" i="1"/>
  <c r="G1208" i="1"/>
  <c r="G1207" i="1"/>
  <c r="G1206" i="1"/>
  <c r="G1205" i="1"/>
  <c r="G1204" i="1"/>
  <c r="G1203" i="1"/>
  <c r="G1202" i="1"/>
  <c r="G1201" i="1"/>
  <c r="G1200" i="1"/>
  <c r="M1199" i="1"/>
  <c r="M1198" i="1"/>
  <c r="M1197" i="1"/>
  <c r="M1196" i="1"/>
  <c r="M1195" i="1"/>
  <c r="M1194" i="1"/>
  <c r="M1193" i="1"/>
  <c r="M1192" i="1"/>
  <c r="M1191" i="1"/>
  <c r="M1190" i="1"/>
  <c r="M1189" i="1"/>
  <c r="M1188" i="1"/>
  <c r="M1187" i="1"/>
  <c r="M1186" i="1"/>
  <c r="M1185" i="1"/>
  <c r="M1184" i="1"/>
  <c r="M1183" i="1"/>
  <c r="M1182" i="1"/>
  <c r="M1181" i="1"/>
  <c r="M1180" i="1"/>
  <c r="M1179" i="1"/>
  <c r="M1178" i="1"/>
  <c r="M1177" i="1"/>
  <c r="M1176" i="1"/>
  <c r="M1175" i="1"/>
  <c r="M1174" i="1"/>
  <c r="M1173" i="1"/>
  <c r="M1172" i="1"/>
  <c r="M1171" i="1"/>
  <c r="M1170" i="1"/>
  <c r="M1169" i="1"/>
  <c r="M1168" i="1"/>
  <c r="M1167" i="1"/>
  <c r="M1166" i="1"/>
  <c r="M1165" i="1"/>
  <c r="M1164" i="1"/>
  <c r="M1163" i="1"/>
  <c r="M1162" i="1"/>
  <c r="M1161" i="1"/>
  <c r="M1160" i="1"/>
  <c r="M1159" i="1"/>
  <c r="M1158" i="1"/>
  <c r="M1157" i="1"/>
  <c r="M1156" i="1"/>
  <c r="M1155" i="1"/>
  <c r="M1154" i="1"/>
  <c r="M1153" i="1"/>
  <c r="M1152" i="1"/>
  <c r="M1151" i="1"/>
  <c r="M1150" i="1"/>
  <c r="M1149" i="1"/>
  <c r="M1148" i="1"/>
  <c r="M1147" i="1"/>
  <c r="M1146" i="1"/>
  <c r="M1145" i="1"/>
  <c r="M1144" i="1"/>
  <c r="M1143" i="1"/>
  <c r="M1142" i="1"/>
  <c r="K1199" i="1"/>
  <c r="K1198" i="1"/>
  <c r="K1197" i="1"/>
  <c r="K1196" i="1"/>
  <c r="K1195" i="1"/>
  <c r="K1194" i="1"/>
  <c r="K1193" i="1"/>
  <c r="K1192" i="1"/>
  <c r="K1191" i="1"/>
  <c r="K1190" i="1"/>
  <c r="K1189" i="1"/>
  <c r="K1188" i="1"/>
  <c r="K1187" i="1"/>
  <c r="K1186" i="1"/>
  <c r="K1185" i="1"/>
  <c r="K1184" i="1"/>
  <c r="K1183" i="1"/>
  <c r="K1182" i="1"/>
  <c r="K1181" i="1"/>
  <c r="K1180" i="1"/>
  <c r="K1179" i="1"/>
  <c r="K1178" i="1"/>
  <c r="K1177" i="1"/>
  <c r="K1176" i="1"/>
  <c r="K1175" i="1"/>
  <c r="K1174" i="1"/>
  <c r="K1173" i="1"/>
  <c r="K1172" i="1"/>
  <c r="K1171" i="1"/>
  <c r="K1170" i="1"/>
  <c r="K1169" i="1"/>
  <c r="K1168" i="1"/>
  <c r="K1167" i="1"/>
  <c r="K1166" i="1"/>
  <c r="K1165" i="1"/>
  <c r="K1164" i="1"/>
  <c r="K1163" i="1"/>
  <c r="K1162" i="1"/>
  <c r="K1161" i="1"/>
  <c r="K1160" i="1"/>
  <c r="K1159" i="1"/>
  <c r="K1158" i="1"/>
  <c r="K1157" i="1"/>
  <c r="K1156" i="1"/>
  <c r="K1155" i="1"/>
  <c r="K1154" i="1"/>
  <c r="K1153" i="1"/>
  <c r="K1152" i="1"/>
  <c r="K1151" i="1"/>
  <c r="K1150" i="1"/>
  <c r="K1149" i="1"/>
  <c r="K1148" i="1"/>
  <c r="K1147" i="1"/>
  <c r="K1146" i="1"/>
  <c r="K1145" i="1"/>
  <c r="K1144" i="1"/>
  <c r="K1143" i="1"/>
  <c r="K1142" i="1"/>
  <c r="I1199" i="1"/>
  <c r="I1198" i="1"/>
  <c r="I1197" i="1"/>
  <c r="I1196" i="1"/>
  <c r="I1195" i="1"/>
  <c r="I1194" i="1"/>
  <c r="I1193" i="1"/>
  <c r="I1192" i="1"/>
  <c r="I1191" i="1"/>
  <c r="I1190" i="1"/>
  <c r="I1189" i="1"/>
  <c r="I1188" i="1"/>
  <c r="I1187" i="1"/>
  <c r="I1186" i="1"/>
  <c r="I1185" i="1"/>
  <c r="I1184" i="1"/>
  <c r="I1183" i="1"/>
  <c r="I1182" i="1"/>
  <c r="I1181" i="1"/>
  <c r="I1180" i="1"/>
  <c r="I1179" i="1"/>
  <c r="I1178" i="1"/>
  <c r="I1177" i="1"/>
  <c r="I1176" i="1"/>
  <c r="I1175" i="1"/>
  <c r="I1174" i="1"/>
  <c r="I1173" i="1"/>
  <c r="I1172" i="1"/>
  <c r="I1171" i="1"/>
  <c r="I1170" i="1"/>
  <c r="I1169" i="1"/>
  <c r="I1168" i="1"/>
  <c r="I1167" i="1"/>
  <c r="I1166" i="1"/>
  <c r="I1165" i="1"/>
  <c r="I1164" i="1"/>
  <c r="I1163" i="1"/>
  <c r="I1162" i="1"/>
  <c r="I1161" i="1"/>
  <c r="I1160" i="1"/>
  <c r="I1159" i="1"/>
  <c r="I1158" i="1"/>
  <c r="I1157" i="1"/>
  <c r="I1156" i="1"/>
  <c r="I1155" i="1"/>
  <c r="I1154" i="1"/>
  <c r="I1153" i="1"/>
  <c r="I1152" i="1"/>
  <c r="I1151" i="1"/>
  <c r="I1150" i="1"/>
  <c r="I1149" i="1"/>
  <c r="I1148" i="1"/>
  <c r="I1147" i="1"/>
  <c r="I1146" i="1"/>
  <c r="I1145" i="1"/>
  <c r="I1144" i="1"/>
  <c r="I1143" i="1"/>
  <c r="I1142" i="1"/>
  <c r="H1199" i="1"/>
  <c r="H1198" i="1"/>
  <c r="H1197" i="1"/>
  <c r="H1196" i="1"/>
  <c r="H1195" i="1"/>
  <c r="H1194" i="1"/>
  <c r="H1193" i="1"/>
  <c r="H1192" i="1"/>
  <c r="H1191" i="1"/>
  <c r="H1190" i="1"/>
  <c r="H1189" i="1"/>
  <c r="H1188" i="1"/>
  <c r="H1187" i="1"/>
  <c r="H1186" i="1"/>
  <c r="H1185" i="1"/>
  <c r="H1184" i="1"/>
  <c r="H1183" i="1"/>
  <c r="H1182" i="1"/>
  <c r="H1181" i="1"/>
  <c r="H1180" i="1"/>
  <c r="H1179" i="1"/>
  <c r="H1178" i="1"/>
  <c r="H1177" i="1"/>
  <c r="H1176" i="1"/>
  <c r="H1175" i="1"/>
  <c r="H1174" i="1"/>
  <c r="H1173" i="1"/>
  <c r="H1172" i="1"/>
  <c r="H1171" i="1"/>
  <c r="H1170" i="1"/>
  <c r="H1169" i="1"/>
  <c r="H1168" i="1"/>
  <c r="H1167" i="1"/>
  <c r="H1166" i="1"/>
  <c r="H1165" i="1"/>
  <c r="H1164" i="1"/>
  <c r="H1163" i="1"/>
  <c r="H1162" i="1"/>
  <c r="H1161" i="1"/>
  <c r="H1160" i="1"/>
  <c r="H1159" i="1"/>
  <c r="H1158" i="1"/>
  <c r="H1157" i="1"/>
  <c r="H1156" i="1"/>
  <c r="H1155" i="1"/>
  <c r="H1154" i="1"/>
  <c r="H1153" i="1"/>
  <c r="H1152" i="1"/>
  <c r="H1151" i="1"/>
  <c r="H1150" i="1"/>
  <c r="H1149" i="1"/>
  <c r="H1148" i="1"/>
  <c r="H1147" i="1"/>
  <c r="H1146" i="1"/>
  <c r="H1145" i="1"/>
  <c r="H1144" i="1"/>
  <c r="H1143" i="1"/>
  <c r="H1142" i="1"/>
  <c r="G1199" i="1"/>
  <c r="G1198" i="1"/>
  <c r="G1197" i="1"/>
  <c r="G1196" i="1"/>
  <c r="G1195" i="1"/>
  <c r="G1194" i="1"/>
  <c r="G1193" i="1"/>
  <c r="G1192" i="1"/>
  <c r="G1191" i="1"/>
  <c r="G1190" i="1"/>
  <c r="G1189" i="1"/>
  <c r="G1188" i="1"/>
  <c r="G1187" i="1"/>
  <c r="G1186" i="1"/>
  <c r="G1185" i="1"/>
  <c r="G1184" i="1"/>
  <c r="G1183" i="1"/>
  <c r="G1182" i="1"/>
  <c r="G1181" i="1"/>
  <c r="G1180" i="1"/>
  <c r="G1179" i="1"/>
  <c r="G1178" i="1"/>
  <c r="G1177" i="1"/>
  <c r="G1176" i="1"/>
  <c r="G1175" i="1"/>
  <c r="G1174" i="1"/>
  <c r="G1173" i="1"/>
  <c r="G1172" i="1"/>
  <c r="G1171" i="1"/>
  <c r="G1170" i="1"/>
  <c r="G1169" i="1"/>
  <c r="G1168" i="1"/>
  <c r="G1167" i="1"/>
  <c r="G1166" i="1"/>
  <c r="G1165" i="1"/>
  <c r="G1164" i="1"/>
  <c r="G1163" i="1"/>
  <c r="G1162" i="1"/>
  <c r="G1161" i="1"/>
  <c r="G1160" i="1"/>
  <c r="G1159" i="1"/>
  <c r="G1158" i="1"/>
  <c r="G1157" i="1"/>
  <c r="G1156" i="1"/>
  <c r="G1155" i="1"/>
  <c r="G1154" i="1"/>
  <c r="G1153" i="1"/>
  <c r="G1152" i="1"/>
  <c r="G1151" i="1"/>
  <c r="G1150" i="1"/>
  <c r="G1149" i="1"/>
  <c r="G1148" i="1"/>
  <c r="G1147" i="1"/>
  <c r="G1146" i="1"/>
  <c r="G1145" i="1"/>
  <c r="G1144" i="1"/>
  <c r="G1143" i="1"/>
  <c r="G1142" i="1"/>
  <c r="M1141" i="1"/>
  <c r="M1140" i="1"/>
  <c r="M1139" i="1"/>
  <c r="M1138" i="1"/>
  <c r="M1137" i="1"/>
  <c r="M1136" i="1"/>
  <c r="M1135" i="1"/>
  <c r="M1134" i="1"/>
  <c r="M1133" i="1"/>
  <c r="M1132" i="1"/>
  <c r="M1131" i="1"/>
  <c r="M1130" i="1"/>
  <c r="M1129" i="1"/>
  <c r="M1128" i="1"/>
  <c r="M1127" i="1"/>
  <c r="M1126" i="1"/>
  <c r="M1125" i="1"/>
  <c r="M1124" i="1"/>
  <c r="M1123" i="1"/>
  <c r="M1122" i="1"/>
  <c r="M1121" i="1"/>
  <c r="M1120" i="1"/>
  <c r="M1119" i="1"/>
  <c r="M1118" i="1"/>
  <c r="M1117" i="1"/>
  <c r="M1116" i="1"/>
  <c r="M1115" i="1"/>
  <c r="M1114" i="1"/>
  <c r="M1113" i="1"/>
  <c r="M1112" i="1"/>
  <c r="M1111" i="1"/>
  <c r="M1110" i="1"/>
  <c r="M1109" i="1"/>
  <c r="M1108" i="1"/>
  <c r="M1107" i="1"/>
  <c r="M1106" i="1"/>
  <c r="M1105" i="1"/>
  <c r="M1104" i="1"/>
  <c r="M1103" i="1"/>
  <c r="M1102" i="1"/>
  <c r="K1141" i="1"/>
  <c r="K1140" i="1"/>
  <c r="K1139" i="1"/>
  <c r="K1138" i="1"/>
  <c r="K1137" i="1"/>
  <c r="K1136" i="1"/>
  <c r="K1135" i="1"/>
  <c r="K1134" i="1"/>
  <c r="K1133" i="1"/>
  <c r="K1132" i="1"/>
  <c r="K1131" i="1"/>
  <c r="K1130" i="1"/>
  <c r="K1129" i="1"/>
  <c r="K1128" i="1"/>
  <c r="K1127" i="1"/>
  <c r="K1126" i="1"/>
  <c r="K1125" i="1"/>
  <c r="K1124" i="1"/>
  <c r="K1123" i="1"/>
  <c r="K1122" i="1"/>
  <c r="K1121" i="1"/>
  <c r="K1120" i="1"/>
  <c r="K1119" i="1"/>
  <c r="K1118" i="1"/>
  <c r="K1117" i="1"/>
  <c r="K1116" i="1"/>
  <c r="K1115" i="1"/>
  <c r="K1114" i="1"/>
  <c r="K1113" i="1"/>
  <c r="K1112" i="1"/>
  <c r="K1111" i="1"/>
  <c r="K1110" i="1"/>
  <c r="K1109" i="1"/>
  <c r="K1108" i="1"/>
  <c r="K1107" i="1"/>
  <c r="K1106" i="1"/>
  <c r="K1105" i="1"/>
  <c r="K1104" i="1"/>
  <c r="K1103" i="1"/>
  <c r="K1102" i="1"/>
  <c r="I1141" i="1"/>
  <c r="I1140" i="1"/>
  <c r="I1139" i="1"/>
  <c r="I1138" i="1"/>
  <c r="I1137" i="1"/>
  <c r="I1136" i="1"/>
  <c r="I1135" i="1"/>
  <c r="I1134" i="1"/>
  <c r="I1133" i="1"/>
  <c r="I1132" i="1"/>
  <c r="I1131" i="1"/>
  <c r="I1130" i="1"/>
  <c r="I1129" i="1"/>
  <c r="I1128" i="1"/>
  <c r="I1127" i="1"/>
  <c r="I1126" i="1"/>
  <c r="I1125" i="1"/>
  <c r="I1124" i="1"/>
  <c r="I1123" i="1"/>
  <c r="I1122" i="1"/>
  <c r="I1121" i="1"/>
  <c r="I1120" i="1"/>
  <c r="I1119" i="1"/>
  <c r="I1118" i="1"/>
  <c r="I1117" i="1"/>
  <c r="I1116" i="1"/>
  <c r="I1115" i="1"/>
  <c r="I1114" i="1"/>
  <c r="I1113" i="1"/>
  <c r="I1112" i="1"/>
  <c r="I1111" i="1"/>
  <c r="I1110" i="1"/>
  <c r="I1109" i="1"/>
  <c r="I1108" i="1"/>
  <c r="I1107" i="1"/>
  <c r="I1106" i="1"/>
  <c r="I1105" i="1"/>
  <c r="I1104" i="1"/>
  <c r="I1103" i="1"/>
  <c r="I1102" i="1"/>
  <c r="H1141" i="1"/>
  <c r="H1140" i="1"/>
  <c r="H1139" i="1"/>
  <c r="H1138" i="1"/>
  <c r="H1137" i="1"/>
  <c r="H1136" i="1"/>
  <c r="H1135" i="1"/>
  <c r="H1134" i="1"/>
  <c r="H1133" i="1"/>
  <c r="H1132" i="1"/>
  <c r="H1131" i="1"/>
  <c r="H1130" i="1"/>
  <c r="H1129" i="1"/>
  <c r="H1128" i="1"/>
  <c r="H1127" i="1"/>
  <c r="H1126" i="1"/>
  <c r="H1125" i="1"/>
  <c r="H1124" i="1"/>
  <c r="H1123" i="1"/>
  <c r="H1122" i="1"/>
  <c r="H1121" i="1"/>
  <c r="H1120" i="1"/>
  <c r="H1119" i="1"/>
  <c r="H1118" i="1"/>
  <c r="H1117" i="1"/>
  <c r="H1116" i="1"/>
  <c r="H1115" i="1"/>
  <c r="H1114" i="1"/>
  <c r="H1113" i="1"/>
  <c r="H1112" i="1"/>
  <c r="H1111" i="1"/>
  <c r="H1110" i="1"/>
  <c r="H1109" i="1"/>
  <c r="H1108" i="1"/>
  <c r="H1107" i="1"/>
  <c r="H1106" i="1"/>
  <c r="H1105" i="1"/>
  <c r="H1104" i="1"/>
  <c r="H1103" i="1"/>
  <c r="H1102" i="1"/>
  <c r="G1141" i="1"/>
  <c r="G1140" i="1"/>
  <c r="G1139" i="1"/>
  <c r="G1138" i="1"/>
  <c r="G1137" i="1"/>
  <c r="G1136" i="1"/>
  <c r="G1135" i="1"/>
  <c r="G1134" i="1"/>
  <c r="G1133" i="1"/>
  <c r="G1132" i="1"/>
  <c r="G1131" i="1"/>
  <c r="G1130" i="1"/>
  <c r="G1129" i="1"/>
  <c r="G1128" i="1"/>
  <c r="G1127" i="1"/>
  <c r="G1126" i="1"/>
  <c r="G1125" i="1"/>
  <c r="G1124" i="1"/>
  <c r="G1123" i="1"/>
  <c r="G1122" i="1"/>
  <c r="G1121" i="1"/>
  <c r="G1120" i="1"/>
  <c r="G1119" i="1"/>
  <c r="G1118" i="1"/>
  <c r="G1117" i="1"/>
  <c r="G1116" i="1"/>
  <c r="G1115" i="1"/>
  <c r="G1114" i="1"/>
  <c r="G1113" i="1"/>
  <c r="G1112" i="1"/>
  <c r="G1111" i="1"/>
  <c r="G1110" i="1"/>
  <c r="G1109" i="1"/>
  <c r="G1108" i="1"/>
  <c r="G1107" i="1"/>
  <c r="G1106" i="1"/>
  <c r="G1105" i="1"/>
  <c r="G1104" i="1"/>
  <c r="G1103" i="1"/>
  <c r="G1102" i="1"/>
  <c r="M1101" i="1"/>
  <c r="M1100" i="1"/>
  <c r="M1099" i="1"/>
  <c r="M1098" i="1"/>
  <c r="M1097" i="1"/>
  <c r="M1096" i="1"/>
  <c r="M1095" i="1"/>
  <c r="M1094" i="1"/>
  <c r="M1093" i="1"/>
  <c r="M1092" i="1"/>
  <c r="M1091" i="1"/>
  <c r="M1090" i="1"/>
  <c r="M1089" i="1"/>
  <c r="M1088" i="1"/>
  <c r="M1087" i="1"/>
  <c r="M1086" i="1"/>
  <c r="M1085" i="1"/>
  <c r="M1084" i="1"/>
  <c r="M1083" i="1"/>
  <c r="M1082" i="1"/>
  <c r="M1081" i="1"/>
  <c r="M1080" i="1"/>
  <c r="M1079" i="1"/>
  <c r="M1078" i="1"/>
  <c r="M1077" i="1"/>
  <c r="M1076" i="1"/>
  <c r="M1075" i="1"/>
  <c r="M1074" i="1"/>
  <c r="M1073" i="1"/>
  <c r="M1072" i="1"/>
  <c r="M1071" i="1"/>
  <c r="M1070" i="1"/>
  <c r="M1069" i="1"/>
  <c r="M1068" i="1"/>
  <c r="M1067" i="1"/>
  <c r="M1066" i="1"/>
  <c r="M1065" i="1"/>
  <c r="M1064" i="1"/>
  <c r="M1063" i="1"/>
  <c r="M1062" i="1"/>
  <c r="K1101" i="1"/>
  <c r="K1100" i="1"/>
  <c r="K1099" i="1"/>
  <c r="K1098" i="1"/>
  <c r="K1097" i="1"/>
  <c r="K1096" i="1"/>
  <c r="K1095" i="1"/>
  <c r="K1094" i="1"/>
  <c r="K1093" i="1"/>
  <c r="K1092" i="1"/>
  <c r="K1091" i="1"/>
  <c r="K1090" i="1"/>
  <c r="K1089" i="1"/>
  <c r="K1088" i="1"/>
  <c r="K1087" i="1"/>
  <c r="K1086" i="1"/>
  <c r="K1085" i="1"/>
  <c r="K1084" i="1"/>
  <c r="K1083" i="1"/>
  <c r="K1082" i="1"/>
  <c r="K1081" i="1"/>
  <c r="K1080" i="1"/>
  <c r="K1079" i="1"/>
  <c r="K1078" i="1"/>
  <c r="K1077" i="1"/>
  <c r="K1076" i="1"/>
  <c r="K1075" i="1"/>
  <c r="K1074" i="1"/>
  <c r="K1073" i="1"/>
  <c r="K1072" i="1"/>
  <c r="K1071" i="1"/>
  <c r="K1070" i="1"/>
  <c r="K1069" i="1"/>
  <c r="K1068" i="1"/>
  <c r="K1067" i="1"/>
  <c r="K1066" i="1"/>
  <c r="K1065" i="1"/>
  <c r="K1064" i="1"/>
  <c r="K1063" i="1"/>
  <c r="K1062" i="1"/>
  <c r="I1101" i="1"/>
  <c r="I1100" i="1"/>
  <c r="I1099" i="1"/>
  <c r="I1098" i="1"/>
  <c r="I1097" i="1"/>
  <c r="I1096" i="1"/>
  <c r="I1095" i="1"/>
  <c r="I1094" i="1"/>
  <c r="I1093" i="1"/>
  <c r="I1092" i="1"/>
  <c r="I1091" i="1"/>
  <c r="I1090" i="1"/>
  <c r="I1089" i="1"/>
  <c r="I1088" i="1"/>
  <c r="I1087" i="1"/>
  <c r="I1086" i="1"/>
  <c r="I1085" i="1"/>
  <c r="I1084" i="1"/>
  <c r="I1083" i="1"/>
  <c r="I1082" i="1"/>
  <c r="I1081" i="1"/>
  <c r="I1080" i="1"/>
  <c r="I1079" i="1"/>
  <c r="I1078" i="1"/>
  <c r="I1077" i="1"/>
  <c r="I1076" i="1"/>
  <c r="I1075" i="1"/>
  <c r="I1074" i="1"/>
  <c r="I1073" i="1"/>
  <c r="I1072" i="1"/>
  <c r="I1071" i="1"/>
  <c r="I1070" i="1"/>
  <c r="I1069" i="1"/>
  <c r="I1068" i="1"/>
  <c r="I1067" i="1"/>
  <c r="I1066" i="1"/>
  <c r="I1065" i="1"/>
  <c r="I1064" i="1"/>
  <c r="I1063" i="1"/>
  <c r="I1062" i="1"/>
  <c r="H1101" i="1"/>
  <c r="H1100" i="1"/>
  <c r="H1099" i="1"/>
  <c r="H1098" i="1"/>
  <c r="H1097" i="1"/>
  <c r="H1096" i="1"/>
  <c r="H1095" i="1"/>
  <c r="H1094" i="1"/>
  <c r="H1093" i="1"/>
  <c r="H1092" i="1"/>
  <c r="H1091" i="1"/>
  <c r="H1090" i="1"/>
  <c r="H1089" i="1"/>
  <c r="H1088" i="1"/>
  <c r="H1087" i="1"/>
  <c r="H1086" i="1"/>
  <c r="H1085" i="1"/>
  <c r="H1084" i="1"/>
  <c r="H1083" i="1"/>
  <c r="H1082" i="1"/>
  <c r="H1081" i="1"/>
  <c r="H1080" i="1"/>
  <c r="H1079" i="1"/>
  <c r="H1078" i="1"/>
  <c r="H1077" i="1"/>
  <c r="H1076" i="1"/>
  <c r="H1075" i="1"/>
  <c r="H1074" i="1"/>
  <c r="H1073" i="1"/>
  <c r="H1072" i="1"/>
  <c r="H1071" i="1"/>
  <c r="H1070" i="1"/>
  <c r="H1069" i="1"/>
  <c r="H1068" i="1"/>
  <c r="H1067" i="1"/>
  <c r="H1066" i="1"/>
  <c r="H1065" i="1"/>
  <c r="H1064" i="1"/>
  <c r="H1063" i="1"/>
  <c r="H1062" i="1"/>
  <c r="G1101" i="1"/>
  <c r="G1100" i="1"/>
  <c r="G1099" i="1"/>
  <c r="G1098" i="1"/>
  <c r="G1097" i="1"/>
  <c r="G1096" i="1"/>
  <c r="G1095" i="1"/>
  <c r="G1094" i="1"/>
  <c r="G1093" i="1"/>
  <c r="G1092" i="1"/>
  <c r="G1091" i="1"/>
  <c r="G1090" i="1"/>
  <c r="G1089" i="1"/>
  <c r="G1088" i="1"/>
  <c r="G1087" i="1"/>
  <c r="G1086" i="1"/>
  <c r="G1085" i="1"/>
  <c r="G1084" i="1"/>
  <c r="G1083" i="1"/>
  <c r="G1082" i="1"/>
  <c r="G1081" i="1"/>
  <c r="G1080" i="1"/>
  <c r="G1079" i="1"/>
  <c r="G1078" i="1"/>
  <c r="G1077" i="1"/>
  <c r="G1076" i="1"/>
  <c r="G1075" i="1"/>
  <c r="G1074" i="1"/>
  <c r="G1073" i="1"/>
  <c r="G1072" i="1"/>
  <c r="G1071" i="1"/>
  <c r="G1070" i="1"/>
  <c r="G1069" i="1"/>
  <c r="G1068" i="1"/>
  <c r="G1067" i="1"/>
  <c r="G1066" i="1"/>
  <c r="G1065" i="1"/>
  <c r="G1064" i="1"/>
  <c r="G1063" i="1"/>
  <c r="G1062" i="1"/>
  <c r="M1061" i="1"/>
  <c r="M1060" i="1"/>
  <c r="M1059" i="1"/>
  <c r="M1058" i="1"/>
  <c r="M1057" i="1"/>
  <c r="M1056" i="1"/>
  <c r="M1055" i="1"/>
  <c r="M1054" i="1"/>
  <c r="M1053" i="1"/>
  <c r="M1052" i="1"/>
  <c r="M1051" i="1"/>
  <c r="M1050" i="1"/>
  <c r="M1049" i="1"/>
  <c r="M1048" i="1"/>
  <c r="M1047" i="1"/>
  <c r="M1046" i="1"/>
  <c r="M1045" i="1"/>
  <c r="M1044" i="1"/>
  <c r="M1043" i="1"/>
  <c r="M1042" i="1"/>
  <c r="M1041" i="1"/>
  <c r="M1040" i="1"/>
  <c r="M1039" i="1"/>
  <c r="M1038" i="1"/>
  <c r="M1037" i="1"/>
  <c r="M1036" i="1"/>
  <c r="M1035" i="1"/>
  <c r="M1034" i="1"/>
  <c r="M1033" i="1"/>
  <c r="M1032" i="1"/>
  <c r="M1031" i="1"/>
  <c r="M1030" i="1"/>
  <c r="M1029" i="1"/>
  <c r="M1028" i="1"/>
  <c r="M1027" i="1"/>
  <c r="M1026" i="1"/>
  <c r="M1025" i="1"/>
  <c r="M1024" i="1"/>
  <c r="M1023" i="1"/>
  <c r="M1022" i="1"/>
  <c r="K1061" i="1"/>
  <c r="K1060" i="1"/>
  <c r="K1059" i="1"/>
  <c r="K1058" i="1"/>
  <c r="K1057" i="1"/>
  <c r="K1056" i="1"/>
  <c r="K1055" i="1"/>
  <c r="K1054" i="1"/>
  <c r="K1053" i="1"/>
  <c r="K1052" i="1"/>
  <c r="K1051" i="1"/>
  <c r="K1050" i="1"/>
  <c r="K1049" i="1"/>
  <c r="K1048" i="1"/>
  <c r="K1047" i="1"/>
  <c r="K1046" i="1"/>
  <c r="K1045" i="1"/>
  <c r="K1044" i="1"/>
  <c r="K1043" i="1"/>
  <c r="K1042" i="1"/>
  <c r="K1041" i="1"/>
  <c r="K1040" i="1"/>
  <c r="K1039" i="1"/>
  <c r="K1038" i="1"/>
  <c r="K1037" i="1"/>
  <c r="K1036" i="1"/>
  <c r="K1035" i="1"/>
  <c r="K1034" i="1"/>
  <c r="K1033" i="1"/>
  <c r="K1032" i="1"/>
  <c r="K1031" i="1"/>
  <c r="K1030" i="1"/>
  <c r="K1029" i="1"/>
  <c r="K1028" i="1"/>
  <c r="K1027" i="1"/>
  <c r="K1026" i="1"/>
  <c r="K1025" i="1"/>
  <c r="K1024" i="1"/>
  <c r="K1023" i="1"/>
  <c r="K1022" i="1"/>
  <c r="I1061" i="1"/>
  <c r="I1060" i="1"/>
  <c r="I1059" i="1"/>
  <c r="I1058" i="1"/>
  <c r="I1057" i="1"/>
  <c r="I1056" i="1"/>
  <c r="I1055" i="1"/>
  <c r="I1054" i="1"/>
  <c r="I1053" i="1"/>
  <c r="I1052" i="1"/>
  <c r="I1051" i="1"/>
  <c r="I1050" i="1"/>
  <c r="I1049" i="1"/>
  <c r="I1048" i="1"/>
  <c r="I1047" i="1"/>
  <c r="I1046" i="1"/>
  <c r="I1045" i="1"/>
  <c r="I1044" i="1"/>
  <c r="I1043" i="1"/>
  <c r="I1042" i="1"/>
  <c r="I1041" i="1"/>
  <c r="I1040" i="1"/>
  <c r="I1039" i="1"/>
  <c r="I1038" i="1"/>
  <c r="I1037" i="1"/>
  <c r="I1036" i="1"/>
  <c r="I1035" i="1"/>
  <c r="I1034" i="1"/>
  <c r="I1033" i="1"/>
  <c r="I1032" i="1"/>
  <c r="I1031" i="1"/>
  <c r="I1030" i="1"/>
  <c r="I1029" i="1"/>
  <c r="I1028" i="1"/>
  <c r="I1027" i="1"/>
  <c r="I1026" i="1"/>
  <c r="I1025" i="1"/>
  <c r="I1024" i="1"/>
  <c r="I1023" i="1"/>
  <c r="I1022" i="1"/>
  <c r="H1061" i="1"/>
  <c r="H1060" i="1"/>
  <c r="H1059" i="1"/>
  <c r="H1058" i="1"/>
  <c r="H1057" i="1"/>
  <c r="H1056" i="1"/>
  <c r="H1055" i="1"/>
  <c r="H1054" i="1"/>
  <c r="H1053" i="1"/>
  <c r="H1052" i="1"/>
  <c r="H1051" i="1"/>
  <c r="H1050" i="1"/>
  <c r="H1049" i="1"/>
  <c r="H1048" i="1"/>
  <c r="H1047" i="1"/>
  <c r="H1046" i="1"/>
  <c r="H1045" i="1"/>
  <c r="H1044" i="1"/>
  <c r="H1043" i="1"/>
  <c r="H1042" i="1"/>
  <c r="H1041" i="1"/>
  <c r="H1040" i="1"/>
  <c r="H1039" i="1"/>
  <c r="H1038" i="1"/>
  <c r="H1037" i="1"/>
  <c r="H1036" i="1"/>
  <c r="H1035" i="1"/>
  <c r="H1034" i="1"/>
  <c r="H1033" i="1"/>
  <c r="H1032" i="1"/>
  <c r="H1031" i="1"/>
  <c r="H1030" i="1"/>
  <c r="H1029" i="1"/>
  <c r="H1028" i="1"/>
  <c r="H1027" i="1"/>
  <c r="H1026" i="1"/>
  <c r="H1025" i="1"/>
  <c r="H1024" i="1"/>
  <c r="H1023" i="1"/>
  <c r="H1022" i="1"/>
  <c r="G1061" i="1"/>
  <c r="G1060" i="1"/>
  <c r="G1059" i="1"/>
  <c r="G1058" i="1"/>
  <c r="G1057" i="1"/>
  <c r="G1056" i="1"/>
  <c r="G1055" i="1"/>
  <c r="G1054" i="1"/>
  <c r="G1053" i="1"/>
  <c r="G1052" i="1"/>
  <c r="G1051" i="1"/>
  <c r="G1050" i="1"/>
  <c r="G1049" i="1"/>
  <c r="G1048" i="1"/>
  <c r="G1047" i="1"/>
  <c r="G1046" i="1"/>
  <c r="G1045" i="1"/>
  <c r="G1044" i="1"/>
  <c r="G1043" i="1"/>
  <c r="G1042" i="1"/>
  <c r="G1041" i="1"/>
  <c r="G1040" i="1"/>
  <c r="G1039" i="1"/>
  <c r="G1038" i="1"/>
  <c r="G1037" i="1"/>
  <c r="G1036" i="1"/>
  <c r="G1035" i="1"/>
  <c r="G1034" i="1"/>
  <c r="G1033" i="1"/>
  <c r="G1032" i="1"/>
  <c r="G1031" i="1"/>
  <c r="G1030" i="1"/>
  <c r="G1029" i="1"/>
  <c r="G1028" i="1"/>
  <c r="G1027" i="1"/>
  <c r="G1026" i="1"/>
  <c r="G1025" i="1"/>
  <c r="G1024" i="1"/>
  <c r="G1023" i="1"/>
  <c r="G1022" i="1"/>
  <c r="M1021" i="1"/>
  <c r="M1020" i="1"/>
  <c r="M1019" i="1"/>
  <c r="M1018" i="1"/>
  <c r="M1017" i="1"/>
  <c r="M1016" i="1"/>
  <c r="M1015" i="1"/>
  <c r="M1014" i="1"/>
  <c r="M1013" i="1"/>
  <c r="M1012" i="1"/>
  <c r="M1011" i="1"/>
  <c r="M1010" i="1"/>
  <c r="M1009" i="1"/>
  <c r="M1008" i="1"/>
  <c r="M1007" i="1"/>
  <c r="M1006" i="1"/>
  <c r="M1005" i="1"/>
  <c r="M1004" i="1"/>
  <c r="M1003" i="1"/>
  <c r="M1002" i="1"/>
  <c r="M1001" i="1"/>
  <c r="M1000" i="1"/>
  <c r="M999" i="1"/>
  <c r="M998" i="1"/>
  <c r="M997" i="1"/>
  <c r="M996" i="1"/>
  <c r="K1021" i="1"/>
  <c r="K1020" i="1"/>
  <c r="K1019" i="1"/>
  <c r="K1018" i="1"/>
  <c r="K1017" i="1"/>
  <c r="K1016" i="1"/>
  <c r="K1015" i="1"/>
  <c r="K1014" i="1"/>
  <c r="K1013" i="1"/>
  <c r="K1012" i="1"/>
  <c r="K1011" i="1"/>
  <c r="K1010" i="1"/>
  <c r="K1009" i="1"/>
  <c r="K1008" i="1"/>
  <c r="K1007" i="1"/>
  <c r="K1006" i="1"/>
  <c r="K1005" i="1"/>
  <c r="K1004" i="1"/>
  <c r="K1003" i="1"/>
  <c r="K1002" i="1"/>
  <c r="K1001" i="1"/>
  <c r="K1000" i="1"/>
  <c r="K999" i="1"/>
  <c r="K998" i="1"/>
  <c r="K997" i="1"/>
  <c r="K996" i="1"/>
  <c r="I1021" i="1"/>
  <c r="I1020" i="1"/>
  <c r="I1019" i="1"/>
  <c r="I1018" i="1"/>
  <c r="I1017" i="1"/>
  <c r="I1016" i="1"/>
  <c r="I1015" i="1"/>
  <c r="I1014" i="1"/>
  <c r="I1013" i="1"/>
  <c r="I1012" i="1"/>
  <c r="I1011" i="1"/>
  <c r="I1010" i="1"/>
  <c r="I1009" i="1"/>
  <c r="I1008" i="1"/>
  <c r="I1007" i="1"/>
  <c r="I1006" i="1"/>
  <c r="I1005" i="1"/>
  <c r="I1004" i="1"/>
  <c r="I1003" i="1"/>
  <c r="I1002" i="1"/>
  <c r="I1001" i="1"/>
  <c r="I1000" i="1"/>
  <c r="I999" i="1"/>
  <c r="I998" i="1"/>
  <c r="I997" i="1"/>
  <c r="I996" i="1"/>
  <c r="H1021" i="1"/>
  <c r="H1020" i="1"/>
  <c r="H1019" i="1"/>
  <c r="H1018" i="1"/>
  <c r="H1017" i="1"/>
  <c r="H1016" i="1"/>
  <c r="H1015" i="1"/>
  <c r="H1014" i="1"/>
  <c r="H1013" i="1"/>
  <c r="H1012" i="1"/>
  <c r="H1011" i="1"/>
  <c r="H1010" i="1"/>
  <c r="H1009" i="1"/>
  <c r="H1008" i="1"/>
  <c r="H1007" i="1"/>
  <c r="H1006" i="1"/>
  <c r="H1005" i="1"/>
  <c r="H1004" i="1"/>
  <c r="H1003" i="1"/>
  <c r="H1002" i="1"/>
  <c r="H1001" i="1"/>
  <c r="H1000" i="1"/>
  <c r="H999" i="1"/>
  <c r="H998" i="1"/>
  <c r="H997" i="1"/>
  <c r="H996" i="1"/>
  <c r="G1021" i="1"/>
  <c r="G1020" i="1"/>
  <c r="G1019" i="1"/>
  <c r="G1018" i="1"/>
  <c r="G1017" i="1"/>
  <c r="G1016" i="1"/>
  <c r="G1015" i="1"/>
  <c r="G1014" i="1"/>
  <c r="G1013" i="1"/>
  <c r="G1012" i="1"/>
  <c r="G1011" i="1"/>
  <c r="G1010" i="1"/>
  <c r="G1009" i="1"/>
  <c r="G1008" i="1"/>
  <c r="G1007" i="1"/>
  <c r="G1006" i="1"/>
  <c r="G1005" i="1"/>
  <c r="G1004" i="1"/>
  <c r="G1003" i="1"/>
  <c r="G1002" i="1"/>
  <c r="G1001" i="1"/>
  <c r="G1000" i="1"/>
  <c r="G999" i="1"/>
  <c r="G998" i="1"/>
  <c r="G997" i="1"/>
  <c r="G996" i="1"/>
  <c r="M995" i="1"/>
  <c r="M994" i="1"/>
  <c r="M993" i="1"/>
  <c r="M992" i="1"/>
  <c r="M991" i="1"/>
  <c r="M990" i="1"/>
  <c r="M989" i="1"/>
  <c r="M988" i="1"/>
  <c r="M987" i="1"/>
  <c r="M986" i="1"/>
  <c r="M985" i="1"/>
  <c r="M984" i="1"/>
  <c r="M983" i="1"/>
  <c r="M982" i="1"/>
  <c r="M981" i="1"/>
  <c r="M980" i="1"/>
  <c r="M979" i="1"/>
  <c r="M978" i="1"/>
  <c r="M977" i="1"/>
  <c r="M976" i="1"/>
  <c r="M975" i="1"/>
  <c r="M974" i="1"/>
  <c r="M973" i="1"/>
  <c r="M972" i="1"/>
  <c r="M971" i="1"/>
  <c r="M970" i="1"/>
  <c r="M969" i="1"/>
  <c r="M968" i="1"/>
  <c r="M967" i="1"/>
  <c r="M966" i="1"/>
  <c r="M965" i="1"/>
  <c r="M964" i="1"/>
  <c r="M963" i="1"/>
  <c r="M962" i="1"/>
  <c r="M961" i="1"/>
  <c r="M960" i="1"/>
  <c r="M959" i="1"/>
  <c r="M958" i="1"/>
  <c r="M957" i="1"/>
  <c r="M956" i="1"/>
  <c r="M955" i="1"/>
  <c r="M954" i="1"/>
  <c r="M953" i="1"/>
  <c r="M952" i="1"/>
  <c r="M951" i="1"/>
  <c r="M950" i="1"/>
  <c r="M949" i="1"/>
  <c r="M948" i="1"/>
  <c r="M947" i="1"/>
  <c r="M946" i="1"/>
  <c r="K995" i="1"/>
  <c r="K994" i="1"/>
  <c r="K993" i="1"/>
  <c r="K992" i="1"/>
  <c r="K991" i="1"/>
  <c r="K990" i="1"/>
  <c r="K989" i="1"/>
  <c r="K988" i="1"/>
  <c r="K987" i="1"/>
  <c r="K986" i="1"/>
  <c r="K985" i="1"/>
  <c r="K984" i="1"/>
  <c r="K983" i="1"/>
  <c r="K982" i="1"/>
  <c r="K981" i="1"/>
  <c r="K980" i="1"/>
  <c r="K979" i="1"/>
  <c r="K978" i="1"/>
  <c r="K977" i="1"/>
  <c r="K976" i="1"/>
  <c r="K975" i="1"/>
  <c r="K974" i="1"/>
  <c r="K973" i="1"/>
  <c r="K972" i="1"/>
  <c r="K971" i="1"/>
  <c r="K970" i="1"/>
  <c r="K969" i="1"/>
  <c r="K968" i="1"/>
  <c r="K967" i="1"/>
  <c r="K966" i="1"/>
  <c r="K965" i="1"/>
  <c r="K964" i="1"/>
  <c r="K963" i="1"/>
  <c r="K962" i="1"/>
  <c r="K961" i="1"/>
  <c r="K960" i="1"/>
  <c r="K959" i="1"/>
  <c r="K958" i="1"/>
  <c r="K957" i="1"/>
  <c r="K956" i="1"/>
  <c r="K955" i="1"/>
  <c r="K954" i="1"/>
  <c r="K953" i="1"/>
  <c r="K952" i="1"/>
  <c r="K951" i="1"/>
  <c r="K950" i="1"/>
  <c r="K949" i="1"/>
  <c r="K948" i="1"/>
  <c r="K947" i="1"/>
  <c r="K946" i="1"/>
  <c r="I995" i="1"/>
  <c r="I994" i="1"/>
  <c r="I993" i="1"/>
  <c r="I992" i="1"/>
  <c r="I991" i="1"/>
  <c r="I990" i="1"/>
  <c r="I989" i="1"/>
  <c r="I988" i="1"/>
  <c r="I987" i="1"/>
  <c r="I986" i="1"/>
  <c r="I985" i="1"/>
  <c r="I984" i="1"/>
  <c r="I983" i="1"/>
  <c r="I982" i="1"/>
  <c r="I981" i="1"/>
  <c r="I980" i="1"/>
  <c r="I979" i="1"/>
  <c r="I978" i="1"/>
  <c r="I977" i="1"/>
  <c r="I976" i="1"/>
  <c r="I975" i="1"/>
  <c r="I974" i="1"/>
  <c r="I973" i="1"/>
  <c r="I972" i="1"/>
  <c r="I971" i="1"/>
  <c r="I970" i="1"/>
  <c r="I969" i="1"/>
  <c r="I968" i="1"/>
  <c r="I967" i="1"/>
  <c r="I966" i="1"/>
  <c r="I965" i="1"/>
  <c r="I964" i="1"/>
  <c r="I963" i="1"/>
  <c r="I962" i="1"/>
  <c r="I961" i="1"/>
  <c r="I960" i="1"/>
  <c r="I959" i="1"/>
  <c r="I958" i="1"/>
  <c r="I957" i="1"/>
  <c r="I956" i="1"/>
  <c r="I955" i="1"/>
  <c r="I954" i="1"/>
  <c r="I953" i="1"/>
  <c r="I952" i="1"/>
  <c r="I951" i="1"/>
  <c r="I950" i="1"/>
  <c r="I949" i="1"/>
  <c r="I948" i="1"/>
  <c r="I947" i="1"/>
  <c r="I946" i="1"/>
  <c r="H995" i="1"/>
  <c r="H994" i="1"/>
  <c r="H993" i="1"/>
  <c r="H992" i="1"/>
  <c r="H991" i="1"/>
  <c r="H990" i="1"/>
  <c r="H989" i="1"/>
  <c r="H988" i="1"/>
  <c r="H987" i="1"/>
  <c r="H986" i="1"/>
  <c r="H985" i="1"/>
  <c r="H984" i="1"/>
  <c r="H983" i="1"/>
  <c r="H982" i="1"/>
  <c r="H981" i="1"/>
  <c r="H980" i="1"/>
  <c r="H979" i="1"/>
  <c r="H978" i="1"/>
  <c r="H977" i="1"/>
  <c r="H976" i="1"/>
  <c r="H975" i="1"/>
  <c r="H974" i="1"/>
  <c r="H973" i="1"/>
  <c r="H972" i="1"/>
  <c r="H971" i="1"/>
  <c r="H970" i="1"/>
  <c r="H969" i="1"/>
  <c r="H968" i="1"/>
  <c r="H967" i="1"/>
  <c r="H966" i="1"/>
  <c r="H965" i="1"/>
  <c r="H964" i="1"/>
  <c r="H963" i="1"/>
  <c r="H962" i="1"/>
  <c r="H961" i="1"/>
  <c r="H960" i="1"/>
  <c r="H959" i="1"/>
  <c r="H958" i="1"/>
  <c r="H957" i="1"/>
  <c r="H956" i="1"/>
  <c r="H955" i="1"/>
  <c r="H954" i="1"/>
  <c r="H953" i="1"/>
  <c r="H952" i="1"/>
  <c r="H951" i="1"/>
  <c r="H950" i="1"/>
  <c r="H949" i="1"/>
  <c r="H948" i="1"/>
  <c r="H947" i="1"/>
  <c r="H946" i="1"/>
  <c r="G995" i="1"/>
  <c r="G994" i="1"/>
  <c r="G993" i="1"/>
  <c r="G992" i="1"/>
  <c r="G991" i="1"/>
  <c r="G990" i="1"/>
  <c r="G989" i="1"/>
  <c r="G988" i="1"/>
  <c r="G987" i="1"/>
  <c r="G986" i="1"/>
  <c r="G985" i="1"/>
  <c r="G984" i="1"/>
  <c r="G983" i="1"/>
  <c r="G982" i="1"/>
  <c r="G981" i="1"/>
  <c r="G980" i="1"/>
  <c r="G979" i="1"/>
  <c r="G978" i="1"/>
  <c r="G977" i="1"/>
  <c r="G976" i="1"/>
  <c r="G975" i="1"/>
  <c r="G974" i="1"/>
  <c r="G973" i="1"/>
  <c r="G972" i="1"/>
  <c r="G971" i="1"/>
  <c r="G970" i="1"/>
  <c r="G969" i="1"/>
  <c r="G968" i="1"/>
  <c r="G967" i="1"/>
  <c r="G966" i="1"/>
  <c r="G965" i="1"/>
  <c r="G964" i="1"/>
  <c r="G963" i="1"/>
  <c r="G962" i="1"/>
  <c r="G961" i="1"/>
  <c r="G960" i="1"/>
  <c r="G959" i="1"/>
  <c r="G958" i="1"/>
  <c r="G957" i="1"/>
  <c r="G956" i="1"/>
  <c r="G955" i="1"/>
  <c r="G954" i="1"/>
  <c r="G953" i="1"/>
  <c r="G952" i="1"/>
  <c r="G951" i="1"/>
  <c r="G950" i="1"/>
  <c r="G949" i="1"/>
  <c r="G948" i="1"/>
  <c r="G947" i="1"/>
  <c r="G946" i="1"/>
  <c r="M945" i="1"/>
  <c r="M944" i="1"/>
  <c r="M943" i="1"/>
  <c r="M942" i="1"/>
  <c r="M941" i="1"/>
  <c r="M940" i="1"/>
  <c r="M939" i="1"/>
  <c r="M938" i="1"/>
  <c r="M937" i="1"/>
  <c r="M936" i="1"/>
  <c r="M935" i="1"/>
  <c r="M934" i="1"/>
  <c r="M933" i="1"/>
  <c r="M932" i="1"/>
  <c r="M931" i="1"/>
  <c r="M930" i="1"/>
  <c r="M929" i="1"/>
  <c r="M928" i="1"/>
  <c r="M927" i="1"/>
  <c r="M926" i="1"/>
  <c r="M925" i="1"/>
  <c r="M924" i="1"/>
  <c r="M923" i="1"/>
  <c r="M922" i="1"/>
  <c r="M921" i="1"/>
  <c r="M920" i="1"/>
  <c r="M919" i="1"/>
  <c r="M918" i="1"/>
  <c r="M917" i="1"/>
  <c r="M916" i="1"/>
  <c r="M915" i="1"/>
  <c r="M914" i="1"/>
  <c r="M913" i="1"/>
  <c r="M912" i="1"/>
  <c r="M911" i="1"/>
  <c r="M910" i="1"/>
  <c r="M909" i="1"/>
  <c r="M908" i="1"/>
  <c r="M907" i="1"/>
  <c r="M906" i="1"/>
  <c r="M905" i="1"/>
  <c r="M904" i="1"/>
  <c r="M903" i="1"/>
  <c r="M902" i="1"/>
  <c r="M901" i="1"/>
  <c r="M900" i="1"/>
  <c r="M899" i="1"/>
  <c r="M898" i="1"/>
  <c r="M897" i="1"/>
  <c r="K945" i="1"/>
  <c r="K944" i="1"/>
  <c r="K943" i="1"/>
  <c r="K942" i="1"/>
  <c r="K941" i="1"/>
  <c r="K940" i="1"/>
  <c r="K939" i="1"/>
  <c r="K938" i="1"/>
  <c r="K937" i="1"/>
  <c r="K936" i="1"/>
  <c r="K935" i="1"/>
  <c r="K934" i="1"/>
  <c r="K933" i="1"/>
  <c r="K932" i="1"/>
  <c r="K931" i="1"/>
  <c r="K930" i="1"/>
  <c r="K929" i="1"/>
  <c r="K928" i="1"/>
  <c r="K927" i="1"/>
  <c r="K926" i="1"/>
  <c r="K925" i="1"/>
  <c r="K924" i="1"/>
  <c r="K923" i="1"/>
  <c r="K922" i="1"/>
  <c r="K921" i="1"/>
  <c r="K920" i="1"/>
  <c r="K919" i="1"/>
  <c r="K918" i="1"/>
  <c r="K917" i="1"/>
  <c r="K916" i="1"/>
  <c r="K915" i="1"/>
  <c r="K914" i="1"/>
  <c r="K913" i="1"/>
  <c r="K912" i="1"/>
  <c r="K911" i="1"/>
  <c r="K910" i="1"/>
  <c r="K909" i="1"/>
  <c r="K908" i="1"/>
  <c r="K907" i="1"/>
  <c r="K906" i="1"/>
  <c r="K905" i="1"/>
  <c r="K904" i="1"/>
  <c r="K903" i="1"/>
  <c r="K902" i="1"/>
  <c r="K901" i="1"/>
  <c r="K900" i="1"/>
  <c r="K899" i="1"/>
  <c r="K898" i="1"/>
  <c r="K897" i="1"/>
  <c r="I945" i="1"/>
  <c r="I944" i="1"/>
  <c r="I943" i="1"/>
  <c r="I942" i="1"/>
  <c r="I941" i="1"/>
  <c r="I940" i="1"/>
  <c r="I939" i="1"/>
  <c r="I938" i="1"/>
  <c r="I937" i="1"/>
  <c r="I936" i="1"/>
  <c r="I935" i="1"/>
  <c r="I934" i="1"/>
  <c r="I933" i="1"/>
  <c r="I932" i="1"/>
  <c r="I931" i="1"/>
  <c r="I930" i="1"/>
  <c r="I929" i="1"/>
  <c r="I928" i="1"/>
  <c r="I927" i="1"/>
  <c r="I926" i="1"/>
  <c r="I925" i="1"/>
  <c r="I924" i="1"/>
  <c r="I923" i="1"/>
  <c r="I922" i="1"/>
  <c r="I921" i="1"/>
  <c r="I920" i="1"/>
  <c r="I919" i="1"/>
  <c r="I918" i="1"/>
  <c r="I917" i="1"/>
  <c r="I916" i="1"/>
  <c r="I915" i="1"/>
  <c r="I914" i="1"/>
  <c r="I913" i="1"/>
  <c r="I912" i="1"/>
  <c r="I911" i="1"/>
  <c r="I910" i="1"/>
  <c r="I909" i="1"/>
  <c r="I908" i="1"/>
  <c r="I907" i="1"/>
  <c r="I906" i="1"/>
  <c r="I905" i="1"/>
  <c r="I904" i="1"/>
  <c r="I903" i="1"/>
  <c r="I902" i="1"/>
  <c r="I901" i="1"/>
  <c r="I900" i="1"/>
  <c r="I899" i="1"/>
  <c r="I898" i="1"/>
  <c r="I897" i="1"/>
  <c r="H945" i="1"/>
  <c r="H944" i="1"/>
  <c r="H943" i="1"/>
  <c r="H942" i="1"/>
  <c r="H941" i="1"/>
  <c r="H940" i="1"/>
  <c r="H939" i="1"/>
  <c r="H938" i="1"/>
  <c r="H937" i="1"/>
  <c r="H936" i="1"/>
  <c r="H935" i="1"/>
  <c r="H934" i="1"/>
  <c r="H933" i="1"/>
  <c r="H932" i="1"/>
  <c r="H931" i="1"/>
  <c r="H930" i="1"/>
  <c r="H929" i="1"/>
  <c r="H928" i="1"/>
  <c r="H927" i="1"/>
  <c r="H926" i="1"/>
  <c r="H925" i="1"/>
  <c r="H924" i="1"/>
  <c r="H923" i="1"/>
  <c r="H922" i="1"/>
  <c r="H921" i="1"/>
  <c r="H920" i="1"/>
  <c r="H919" i="1"/>
  <c r="H918" i="1"/>
  <c r="H917" i="1"/>
  <c r="H916" i="1"/>
  <c r="H915" i="1"/>
  <c r="H914" i="1"/>
  <c r="H913" i="1"/>
  <c r="H912" i="1"/>
  <c r="H911" i="1"/>
  <c r="H910" i="1"/>
  <c r="H909" i="1"/>
  <c r="H908" i="1"/>
  <c r="H907" i="1"/>
  <c r="H906" i="1"/>
  <c r="H905" i="1"/>
  <c r="H904" i="1"/>
  <c r="H903" i="1"/>
  <c r="H902" i="1"/>
  <c r="H901" i="1"/>
  <c r="H900" i="1"/>
  <c r="H899" i="1"/>
  <c r="H898" i="1"/>
  <c r="H897" i="1"/>
  <c r="G945" i="1"/>
  <c r="G944" i="1"/>
  <c r="G943" i="1"/>
  <c r="G942" i="1"/>
  <c r="G941" i="1"/>
  <c r="G940" i="1"/>
  <c r="G939" i="1"/>
  <c r="G938" i="1"/>
  <c r="G937" i="1"/>
  <c r="G936" i="1"/>
  <c r="G935" i="1"/>
  <c r="G934" i="1"/>
  <c r="G933" i="1"/>
  <c r="G932" i="1"/>
  <c r="G931" i="1"/>
  <c r="G930" i="1"/>
  <c r="G929" i="1"/>
  <c r="G928" i="1"/>
  <c r="G927" i="1"/>
  <c r="G926" i="1"/>
  <c r="G925" i="1"/>
  <c r="G924" i="1"/>
  <c r="G923" i="1"/>
  <c r="G922" i="1"/>
  <c r="G921" i="1"/>
  <c r="G920" i="1"/>
  <c r="G919" i="1"/>
  <c r="G918" i="1"/>
  <c r="G917" i="1"/>
  <c r="G916" i="1"/>
  <c r="G915" i="1"/>
  <c r="G914" i="1"/>
  <c r="G913" i="1"/>
  <c r="G912" i="1"/>
  <c r="G911" i="1"/>
  <c r="G910" i="1"/>
  <c r="G909" i="1"/>
  <c r="G908" i="1"/>
  <c r="G907" i="1"/>
  <c r="G906" i="1"/>
  <c r="G905" i="1"/>
  <c r="G904" i="1"/>
  <c r="G903" i="1"/>
  <c r="G902" i="1"/>
  <c r="G901" i="1"/>
  <c r="G900" i="1"/>
  <c r="G899" i="1"/>
  <c r="G898" i="1"/>
  <c r="G897" i="1"/>
  <c r="M896" i="1"/>
  <c r="M895" i="1"/>
  <c r="M894" i="1"/>
  <c r="M893" i="1"/>
  <c r="M892" i="1"/>
  <c r="M891" i="1"/>
  <c r="M890" i="1"/>
  <c r="M889" i="1"/>
  <c r="M888" i="1"/>
  <c r="M887" i="1"/>
  <c r="M886" i="1"/>
  <c r="M885" i="1"/>
  <c r="M884" i="1"/>
  <c r="M883" i="1"/>
  <c r="M882" i="1"/>
  <c r="M881" i="1"/>
  <c r="M880" i="1"/>
  <c r="M879" i="1"/>
  <c r="M878" i="1"/>
  <c r="M877" i="1"/>
  <c r="M876" i="1"/>
  <c r="M875" i="1"/>
  <c r="M874" i="1"/>
  <c r="M873" i="1"/>
  <c r="M872" i="1"/>
  <c r="M871" i="1"/>
  <c r="M870" i="1"/>
  <c r="M869" i="1"/>
  <c r="M868" i="1"/>
  <c r="M867" i="1"/>
  <c r="M866" i="1"/>
  <c r="M865" i="1"/>
  <c r="M864" i="1"/>
  <c r="M863" i="1"/>
  <c r="M862" i="1"/>
  <c r="M861" i="1"/>
  <c r="M860" i="1"/>
  <c r="M859" i="1"/>
  <c r="M858" i="1"/>
  <c r="M857" i="1"/>
  <c r="M856" i="1"/>
  <c r="M855" i="1"/>
  <c r="M854" i="1"/>
  <c r="M853" i="1"/>
  <c r="M852" i="1"/>
  <c r="M851" i="1"/>
  <c r="M850" i="1"/>
  <c r="M849" i="1"/>
  <c r="M848" i="1"/>
  <c r="M847" i="1"/>
  <c r="M846" i="1"/>
  <c r="M845" i="1"/>
  <c r="M844" i="1"/>
  <c r="M843" i="1"/>
  <c r="M842" i="1"/>
  <c r="M841" i="1"/>
  <c r="M840" i="1"/>
  <c r="M839" i="1"/>
  <c r="M838" i="1"/>
  <c r="M837" i="1"/>
  <c r="M836" i="1"/>
  <c r="M835" i="1"/>
  <c r="M834" i="1"/>
  <c r="M833" i="1"/>
  <c r="M832" i="1"/>
  <c r="M831" i="1"/>
  <c r="M830" i="1"/>
  <c r="M829" i="1"/>
  <c r="M828" i="1"/>
  <c r="M827" i="1"/>
  <c r="M826" i="1"/>
  <c r="M825" i="1"/>
  <c r="M824" i="1"/>
  <c r="M823" i="1"/>
  <c r="M822" i="1"/>
  <c r="M821" i="1"/>
  <c r="M820" i="1"/>
  <c r="M819" i="1"/>
  <c r="M818" i="1"/>
  <c r="M817" i="1"/>
  <c r="M816" i="1"/>
  <c r="M815" i="1"/>
  <c r="M814" i="1"/>
  <c r="M813" i="1"/>
  <c r="M812" i="1"/>
  <c r="M811" i="1"/>
  <c r="M810" i="1"/>
  <c r="M809" i="1"/>
  <c r="M808" i="1"/>
  <c r="M807" i="1"/>
  <c r="M806" i="1"/>
  <c r="K896" i="1"/>
  <c r="K895" i="1"/>
  <c r="K894" i="1"/>
  <c r="K893" i="1"/>
  <c r="K892" i="1"/>
  <c r="K891" i="1"/>
  <c r="K890" i="1"/>
  <c r="K889" i="1"/>
  <c r="K888" i="1"/>
  <c r="K887" i="1"/>
  <c r="K886" i="1"/>
  <c r="K885" i="1"/>
  <c r="K884" i="1"/>
  <c r="K883" i="1"/>
  <c r="K882" i="1"/>
  <c r="K881" i="1"/>
  <c r="K880" i="1"/>
  <c r="K879" i="1"/>
  <c r="K878" i="1"/>
  <c r="K877" i="1"/>
  <c r="K876" i="1"/>
  <c r="K875" i="1"/>
  <c r="K874" i="1"/>
  <c r="K873" i="1"/>
  <c r="K872" i="1"/>
  <c r="K871" i="1"/>
  <c r="K870" i="1"/>
  <c r="K869" i="1"/>
  <c r="K868" i="1"/>
  <c r="K867" i="1"/>
  <c r="K866" i="1"/>
  <c r="K865" i="1"/>
  <c r="K864" i="1"/>
  <c r="K863" i="1"/>
  <c r="K862" i="1"/>
  <c r="K861" i="1"/>
  <c r="K860" i="1"/>
  <c r="K859" i="1"/>
  <c r="K858" i="1"/>
  <c r="K857" i="1"/>
  <c r="K856" i="1"/>
  <c r="K855" i="1"/>
  <c r="K854" i="1"/>
  <c r="K853" i="1"/>
  <c r="K852" i="1"/>
  <c r="K851" i="1"/>
  <c r="K850" i="1"/>
  <c r="K849" i="1"/>
  <c r="K848" i="1"/>
  <c r="K847" i="1"/>
  <c r="K846" i="1"/>
  <c r="K845" i="1"/>
  <c r="K844" i="1"/>
  <c r="K843" i="1"/>
  <c r="K842" i="1"/>
  <c r="K841" i="1"/>
  <c r="K840" i="1"/>
  <c r="K839" i="1"/>
  <c r="K838" i="1"/>
  <c r="K837" i="1"/>
  <c r="K836" i="1"/>
  <c r="K835" i="1"/>
  <c r="K834" i="1"/>
  <c r="K833" i="1"/>
  <c r="K832" i="1"/>
  <c r="K831" i="1"/>
  <c r="K830" i="1"/>
  <c r="K829" i="1"/>
  <c r="K828" i="1"/>
  <c r="K827" i="1"/>
  <c r="K826" i="1"/>
  <c r="K825" i="1"/>
  <c r="K824" i="1"/>
  <c r="K823" i="1"/>
  <c r="K822" i="1"/>
  <c r="K821" i="1"/>
  <c r="K820" i="1"/>
  <c r="K819" i="1"/>
  <c r="K818" i="1"/>
  <c r="K817" i="1"/>
  <c r="K816" i="1"/>
  <c r="K815" i="1"/>
  <c r="K814" i="1"/>
  <c r="K813" i="1"/>
  <c r="K812" i="1"/>
  <c r="K811" i="1"/>
  <c r="K810" i="1"/>
  <c r="K809" i="1"/>
  <c r="K808" i="1"/>
  <c r="K807" i="1"/>
  <c r="K806" i="1"/>
  <c r="I896" i="1"/>
  <c r="I895" i="1"/>
  <c r="I894" i="1"/>
  <c r="I893" i="1"/>
  <c r="I892" i="1"/>
  <c r="I891" i="1"/>
  <c r="I890" i="1"/>
  <c r="I889" i="1"/>
  <c r="I888" i="1"/>
  <c r="I887" i="1"/>
  <c r="I886" i="1"/>
  <c r="I885" i="1"/>
  <c r="I884" i="1"/>
  <c r="I883" i="1"/>
  <c r="I882" i="1"/>
  <c r="I881" i="1"/>
  <c r="I880" i="1"/>
  <c r="I879" i="1"/>
  <c r="I878" i="1"/>
  <c r="I877" i="1"/>
  <c r="I876" i="1"/>
  <c r="I875" i="1"/>
  <c r="I874" i="1"/>
  <c r="I873" i="1"/>
  <c r="I872" i="1"/>
  <c r="I871" i="1"/>
  <c r="I870" i="1"/>
  <c r="I869" i="1"/>
  <c r="I868" i="1"/>
  <c r="I867" i="1"/>
  <c r="I866" i="1"/>
  <c r="I865" i="1"/>
  <c r="I864" i="1"/>
  <c r="I863" i="1"/>
  <c r="I862" i="1"/>
  <c r="I861" i="1"/>
  <c r="I860" i="1"/>
  <c r="I859" i="1"/>
  <c r="I858" i="1"/>
  <c r="I857" i="1"/>
  <c r="I856" i="1"/>
  <c r="I855" i="1"/>
  <c r="I854" i="1"/>
  <c r="I853" i="1"/>
  <c r="I852" i="1"/>
  <c r="I851" i="1"/>
  <c r="I850" i="1"/>
  <c r="I849" i="1"/>
  <c r="I848" i="1"/>
  <c r="I847" i="1"/>
  <c r="I846" i="1"/>
  <c r="I845" i="1"/>
  <c r="I844" i="1"/>
  <c r="I843" i="1"/>
  <c r="I842" i="1"/>
  <c r="I841" i="1"/>
  <c r="I840" i="1"/>
  <c r="I839" i="1"/>
  <c r="I838" i="1"/>
  <c r="I837" i="1"/>
  <c r="I836" i="1"/>
  <c r="I835" i="1"/>
  <c r="I834" i="1"/>
  <c r="I833" i="1"/>
  <c r="I832" i="1"/>
  <c r="I831" i="1"/>
  <c r="I830" i="1"/>
  <c r="I829" i="1"/>
  <c r="I828" i="1"/>
  <c r="I827" i="1"/>
  <c r="I826" i="1"/>
  <c r="I825" i="1"/>
  <c r="I824" i="1"/>
  <c r="I823" i="1"/>
  <c r="I822" i="1"/>
  <c r="I821" i="1"/>
  <c r="I820" i="1"/>
  <c r="I819" i="1"/>
  <c r="I818" i="1"/>
  <c r="I817" i="1"/>
  <c r="I816" i="1"/>
  <c r="I815" i="1"/>
  <c r="I814" i="1"/>
  <c r="I813" i="1"/>
  <c r="I812" i="1"/>
  <c r="I811" i="1"/>
  <c r="I810" i="1"/>
  <c r="I809" i="1"/>
  <c r="I808" i="1"/>
  <c r="I807" i="1"/>
  <c r="I806" i="1"/>
  <c r="H896" i="1"/>
  <c r="H895" i="1"/>
  <c r="H894" i="1"/>
  <c r="H893" i="1"/>
  <c r="H892" i="1"/>
  <c r="H891" i="1"/>
  <c r="H890" i="1"/>
  <c r="H889" i="1"/>
  <c r="H888" i="1"/>
  <c r="H887" i="1"/>
  <c r="H886" i="1"/>
  <c r="H885" i="1"/>
  <c r="H884" i="1"/>
  <c r="H883" i="1"/>
  <c r="H882" i="1"/>
  <c r="H881" i="1"/>
  <c r="H880" i="1"/>
  <c r="H879" i="1"/>
  <c r="H878" i="1"/>
  <c r="H877" i="1"/>
  <c r="H876" i="1"/>
  <c r="H875" i="1"/>
  <c r="H874" i="1"/>
  <c r="H873" i="1"/>
  <c r="H872" i="1"/>
  <c r="H871" i="1"/>
  <c r="H870" i="1"/>
  <c r="H869" i="1"/>
  <c r="H868" i="1"/>
  <c r="H867" i="1"/>
  <c r="H866" i="1"/>
  <c r="H865" i="1"/>
  <c r="H864" i="1"/>
  <c r="H863" i="1"/>
  <c r="H862" i="1"/>
  <c r="H861" i="1"/>
  <c r="H860" i="1"/>
  <c r="H859" i="1"/>
  <c r="H858" i="1"/>
  <c r="H857" i="1"/>
  <c r="H856" i="1"/>
  <c r="H855" i="1"/>
  <c r="H854" i="1"/>
  <c r="H853" i="1"/>
  <c r="H852" i="1"/>
  <c r="H851" i="1"/>
  <c r="H850" i="1"/>
  <c r="H849" i="1"/>
  <c r="H848" i="1"/>
  <c r="H847" i="1"/>
  <c r="H846" i="1"/>
  <c r="H845" i="1"/>
  <c r="H844" i="1"/>
  <c r="H843" i="1"/>
  <c r="H842" i="1"/>
  <c r="H841" i="1"/>
  <c r="H840" i="1"/>
  <c r="H839" i="1"/>
  <c r="H838" i="1"/>
  <c r="H837" i="1"/>
  <c r="H836" i="1"/>
  <c r="H835" i="1"/>
  <c r="H834" i="1"/>
  <c r="H833" i="1"/>
  <c r="H832" i="1"/>
  <c r="H831" i="1"/>
  <c r="H830" i="1"/>
  <c r="H829" i="1"/>
  <c r="H828" i="1"/>
  <c r="H827" i="1"/>
  <c r="H826" i="1"/>
  <c r="H825" i="1"/>
  <c r="H824" i="1"/>
  <c r="H823" i="1"/>
  <c r="H822" i="1"/>
  <c r="H821" i="1"/>
  <c r="H820" i="1"/>
  <c r="H819" i="1"/>
  <c r="H818" i="1"/>
  <c r="H817" i="1"/>
  <c r="H816" i="1"/>
  <c r="H815" i="1"/>
  <c r="H814" i="1"/>
  <c r="H813" i="1"/>
  <c r="H812" i="1"/>
  <c r="H811" i="1"/>
  <c r="H810" i="1"/>
  <c r="H809" i="1"/>
  <c r="H808" i="1"/>
  <c r="H807" i="1"/>
  <c r="H806" i="1"/>
  <c r="G896" i="1"/>
  <c r="G895" i="1"/>
  <c r="G894" i="1"/>
  <c r="G893" i="1"/>
  <c r="G892" i="1"/>
  <c r="G891" i="1"/>
  <c r="G890" i="1"/>
  <c r="G889" i="1"/>
  <c r="G888" i="1"/>
  <c r="G887" i="1"/>
  <c r="G886" i="1"/>
  <c r="G885" i="1"/>
  <c r="G884" i="1"/>
  <c r="G883" i="1"/>
  <c r="G882" i="1"/>
  <c r="G881" i="1"/>
  <c r="G880" i="1"/>
  <c r="G879" i="1"/>
  <c r="G878" i="1"/>
  <c r="G877" i="1"/>
  <c r="G876" i="1"/>
  <c r="G875" i="1"/>
  <c r="G874" i="1"/>
  <c r="G873" i="1"/>
  <c r="G872" i="1"/>
  <c r="G871" i="1"/>
  <c r="G870" i="1"/>
  <c r="G869" i="1"/>
  <c r="G868" i="1"/>
  <c r="G867" i="1"/>
  <c r="G866" i="1"/>
  <c r="G865" i="1"/>
  <c r="G864" i="1"/>
  <c r="G863" i="1"/>
  <c r="G862" i="1"/>
  <c r="G861" i="1"/>
  <c r="G860" i="1"/>
  <c r="G859" i="1"/>
  <c r="G858" i="1"/>
  <c r="G857" i="1"/>
  <c r="G856" i="1"/>
  <c r="G855" i="1"/>
  <c r="G854" i="1"/>
  <c r="G853" i="1"/>
  <c r="G852" i="1"/>
  <c r="G851" i="1"/>
  <c r="G850" i="1"/>
  <c r="G849" i="1"/>
  <c r="G848" i="1"/>
  <c r="G847" i="1"/>
  <c r="G846" i="1"/>
  <c r="G845" i="1"/>
  <c r="G844" i="1"/>
  <c r="G843" i="1"/>
  <c r="G842" i="1"/>
  <c r="G841" i="1"/>
  <c r="G840" i="1"/>
  <c r="G839" i="1"/>
  <c r="G838" i="1"/>
  <c r="G837" i="1"/>
  <c r="G836" i="1"/>
  <c r="G835" i="1"/>
  <c r="G834" i="1"/>
  <c r="G833" i="1"/>
  <c r="G832" i="1"/>
  <c r="G831" i="1"/>
  <c r="G830" i="1"/>
  <c r="G829" i="1"/>
  <c r="G828" i="1"/>
  <c r="G827" i="1"/>
  <c r="G826" i="1"/>
  <c r="G825" i="1"/>
  <c r="G824" i="1"/>
  <c r="G823" i="1"/>
  <c r="G822" i="1"/>
  <c r="G821" i="1"/>
  <c r="G820" i="1"/>
  <c r="G819" i="1"/>
  <c r="G818" i="1"/>
  <c r="G817" i="1"/>
  <c r="G816" i="1"/>
  <c r="G815" i="1"/>
  <c r="G814" i="1"/>
  <c r="G813" i="1"/>
  <c r="G812" i="1"/>
  <c r="G811" i="1"/>
  <c r="G810" i="1"/>
  <c r="G809" i="1"/>
  <c r="G808" i="1"/>
  <c r="G807" i="1"/>
  <c r="G806" i="1"/>
  <c r="M805" i="1"/>
  <c r="M804" i="1"/>
  <c r="M803" i="1"/>
  <c r="M802" i="1"/>
  <c r="M801" i="1"/>
  <c r="M800" i="1"/>
  <c r="M799" i="1"/>
  <c r="M798" i="1"/>
  <c r="M797" i="1"/>
  <c r="M796" i="1"/>
  <c r="M795" i="1"/>
  <c r="M794" i="1"/>
  <c r="M793" i="1"/>
  <c r="M792" i="1"/>
  <c r="M791" i="1"/>
  <c r="M790" i="1"/>
  <c r="M789" i="1"/>
  <c r="M788" i="1"/>
  <c r="M787" i="1"/>
  <c r="M786" i="1"/>
  <c r="M785" i="1"/>
  <c r="M784" i="1"/>
  <c r="M783" i="1"/>
  <c r="M782" i="1"/>
  <c r="M781" i="1"/>
  <c r="M780" i="1"/>
  <c r="M779" i="1"/>
  <c r="M778" i="1"/>
  <c r="M777" i="1"/>
  <c r="M776" i="1"/>
  <c r="M775" i="1"/>
  <c r="M774" i="1"/>
  <c r="M773" i="1"/>
  <c r="M772" i="1"/>
  <c r="M771" i="1"/>
  <c r="M770" i="1"/>
  <c r="M769" i="1"/>
  <c r="M768" i="1"/>
  <c r="M767" i="1"/>
  <c r="M766" i="1"/>
  <c r="M765" i="1"/>
  <c r="M764" i="1"/>
  <c r="M763" i="1"/>
  <c r="M762" i="1"/>
  <c r="M761" i="1"/>
  <c r="M760" i="1"/>
  <c r="M759" i="1"/>
  <c r="M758" i="1"/>
  <c r="M757" i="1"/>
  <c r="M756" i="1"/>
  <c r="M755" i="1"/>
  <c r="M754" i="1"/>
  <c r="M753" i="1"/>
  <c r="M752" i="1"/>
  <c r="M751" i="1"/>
  <c r="M750" i="1"/>
  <c r="M749" i="1"/>
  <c r="M748" i="1"/>
  <c r="M747" i="1"/>
  <c r="M746" i="1"/>
  <c r="M745" i="1"/>
  <c r="M744" i="1"/>
  <c r="M743" i="1"/>
  <c r="M742" i="1"/>
  <c r="M741" i="1"/>
  <c r="M740" i="1"/>
  <c r="M739" i="1"/>
  <c r="M738" i="1"/>
  <c r="M737" i="1"/>
  <c r="M736" i="1"/>
  <c r="M735" i="1"/>
  <c r="M734" i="1"/>
  <c r="M733" i="1"/>
  <c r="M732" i="1"/>
  <c r="M731" i="1"/>
  <c r="M730" i="1"/>
  <c r="M729" i="1"/>
  <c r="M728" i="1"/>
  <c r="M727" i="1"/>
  <c r="M726" i="1"/>
  <c r="M725" i="1"/>
  <c r="M724" i="1"/>
  <c r="M723" i="1"/>
  <c r="M722" i="1"/>
  <c r="M721" i="1"/>
  <c r="M720" i="1"/>
  <c r="M719" i="1"/>
  <c r="M718" i="1"/>
  <c r="M717" i="1"/>
  <c r="M716" i="1"/>
  <c r="M715" i="1"/>
  <c r="M714" i="1"/>
  <c r="M713" i="1"/>
  <c r="M712" i="1"/>
  <c r="M711" i="1"/>
  <c r="M710" i="1"/>
  <c r="M709" i="1"/>
  <c r="M708" i="1"/>
  <c r="M707" i="1"/>
  <c r="K805" i="1"/>
  <c r="K804" i="1"/>
  <c r="K803" i="1"/>
  <c r="K802" i="1"/>
  <c r="K801" i="1"/>
  <c r="K800" i="1"/>
  <c r="K799" i="1"/>
  <c r="K798" i="1"/>
  <c r="K797" i="1"/>
  <c r="K796" i="1"/>
  <c r="K795" i="1"/>
  <c r="K794" i="1"/>
  <c r="K793" i="1"/>
  <c r="K792" i="1"/>
  <c r="K791" i="1"/>
  <c r="K790" i="1"/>
  <c r="K789" i="1"/>
  <c r="K788" i="1"/>
  <c r="K787" i="1"/>
  <c r="K786" i="1"/>
  <c r="K785" i="1"/>
  <c r="K784" i="1"/>
  <c r="K783" i="1"/>
  <c r="K782" i="1"/>
  <c r="K781" i="1"/>
  <c r="K780" i="1"/>
  <c r="K779" i="1"/>
  <c r="K778" i="1"/>
  <c r="K777" i="1"/>
  <c r="K776" i="1"/>
  <c r="K775" i="1"/>
  <c r="K774" i="1"/>
  <c r="K773" i="1"/>
  <c r="K772" i="1"/>
  <c r="K771" i="1"/>
  <c r="K770" i="1"/>
  <c r="K769" i="1"/>
  <c r="K768" i="1"/>
  <c r="K767" i="1"/>
  <c r="K766" i="1"/>
  <c r="K765" i="1"/>
  <c r="K764" i="1"/>
  <c r="K763" i="1"/>
  <c r="K762" i="1"/>
  <c r="K761" i="1"/>
  <c r="K760" i="1"/>
  <c r="K759" i="1"/>
  <c r="K758" i="1"/>
  <c r="K757" i="1"/>
  <c r="K756" i="1"/>
  <c r="K755" i="1"/>
  <c r="K754" i="1"/>
  <c r="K753" i="1"/>
  <c r="K752" i="1"/>
  <c r="K751" i="1"/>
  <c r="K750" i="1"/>
  <c r="K749" i="1"/>
  <c r="K748" i="1"/>
  <c r="K747" i="1"/>
  <c r="K746" i="1"/>
  <c r="K745" i="1"/>
  <c r="K744" i="1"/>
  <c r="K743" i="1"/>
  <c r="K742" i="1"/>
  <c r="K741" i="1"/>
  <c r="K740" i="1"/>
  <c r="K739" i="1"/>
  <c r="K738" i="1"/>
  <c r="K737" i="1"/>
  <c r="K736" i="1"/>
  <c r="K735" i="1"/>
  <c r="K734" i="1"/>
  <c r="K733" i="1"/>
  <c r="K732" i="1"/>
  <c r="K731" i="1"/>
  <c r="K730" i="1"/>
  <c r="K729" i="1"/>
  <c r="K728" i="1"/>
  <c r="K727" i="1"/>
  <c r="K726" i="1"/>
  <c r="K725" i="1"/>
  <c r="K724" i="1"/>
  <c r="K723" i="1"/>
  <c r="K722" i="1"/>
  <c r="K721" i="1"/>
  <c r="K720" i="1"/>
  <c r="K719" i="1"/>
  <c r="K718" i="1"/>
  <c r="K717" i="1"/>
  <c r="K716" i="1"/>
  <c r="K715" i="1"/>
  <c r="K714" i="1"/>
  <c r="K713" i="1"/>
  <c r="K712" i="1"/>
  <c r="K711" i="1"/>
  <c r="K710" i="1"/>
  <c r="K709" i="1"/>
  <c r="K708" i="1"/>
  <c r="K707" i="1"/>
  <c r="I805" i="1"/>
  <c r="I804" i="1"/>
  <c r="I803" i="1"/>
  <c r="I802" i="1"/>
  <c r="I801" i="1"/>
  <c r="I800" i="1"/>
  <c r="I799" i="1"/>
  <c r="I798" i="1"/>
  <c r="I797" i="1"/>
  <c r="I796" i="1"/>
  <c r="I795" i="1"/>
  <c r="I794" i="1"/>
  <c r="I793" i="1"/>
  <c r="I792" i="1"/>
  <c r="I791" i="1"/>
  <c r="I790" i="1"/>
  <c r="I789" i="1"/>
  <c r="I788" i="1"/>
  <c r="I787" i="1"/>
  <c r="I786" i="1"/>
  <c r="I785" i="1"/>
  <c r="I784" i="1"/>
  <c r="I783" i="1"/>
  <c r="I782" i="1"/>
  <c r="I781" i="1"/>
  <c r="I780" i="1"/>
  <c r="I779" i="1"/>
  <c r="I778" i="1"/>
  <c r="I777" i="1"/>
  <c r="I776" i="1"/>
  <c r="I775" i="1"/>
  <c r="I774" i="1"/>
  <c r="I773" i="1"/>
  <c r="I772" i="1"/>
  <c r="I771" i="1"/>
  <c r="I770" i="1"/>
  <c r="I769" i="1"/>
  <c r="I768" i="1"/>
  <c r="I767" i="1"/>
  <c r="I766" i="1"/>
  <c r="I765" i="1"/>
  <c r="I764" i="1"/>
  <c r="I763" i="1"/>
  <c r="I762" i="1"/>
  <c r="I761" i="1"/>
  <c r="I760" i="1"/>
  <c r="I759" i="1"/>
  <c r="I758" i="1"/>
  <c r="I757" i="1"/>
  <c r="I756" i="1"/>
  <c r="I755" i="1"/>
  <c r="I754" i="1"/>
  <c r="I753" i="1"/>
  <c r="I752" i="1"/>
  <c r="I751" i="1"/>
  <c r="I750" i="1"/>
  <c r="I749" i="1"/>
  <c r="I748" i="1"/>
  <c r="I747" i="1"/>
  <c r="I746" i="1"/>
  <c r="I745" i="1"/>
  <c r="I744" i="1"/>
  <c r="I743" i="1"/>
  <c r="I742" i="1"/>
  <c r="I741" i="1"/>
  <c r="I740" i="1"/>
  <c r="I739" i="1"/>
  <c r="I738" i="1"/>
  <c r="I737" i="1"/>
  <c r="I736" i="1"/>
  <c r="I735" i="1"/>
  <c r="I734" i="1"/>
  <c r="I733" i="1"/>
  <c r="I732" i="1"/>
  <c r="I731" i="1"/>
  <c r="I730" i="1"/>
  <c r="I729" i="1"/>
  <c r="I728" i="1"/>
  <c r="I727" i="1"/>
  <c r="I726" i="1"/>
  <c r="I725" i="1"/>
  <c r="I724" i="1"/>
  <c r="I723" i="1"/>
  <c r="I722" i="1"/>
  <c r="I721" i="1"/>
  <c r="I720" i="1"/>
  <c r="I719" i="1"/>
  <c r="I718" i="1"/>
  <c r="I717" i="1"/>
  <c r="I716" i="1"/>
  <c r="I715" i="1"/>
  <c r="I714" i="1"/>
  <c r="I713" i="1"/>
  <c r="I712" i="1"/>
  <c r="I711" i="1"/>
  <c r="I710" i="1"/>
  <c r="I709" i="1"/>
  <c r="I708" i="1"/>
  <c r="I707" i="1"/>
  <c r="H805" i="1"/>
  <c r="H804" i="1"/>
  <c r="H803" i="1"/>
  <c r="H802" i="1"/>
  <c r="H801" i="1"/>
  <c r="H800" i="1"/>
  <c r="H799" i="1"/>
  <c r="H798" i="1"/>
  <c r="H797" i="1"/>
  <c r="H796" i="1"/>
  <c r="H795" i="1"/>
  <c r="H794" i="1"/>
  <c r="H793" i="1"/>
  <c r="H792" i="1"/>
  <c r="H791" i="1"/>
  <c r="H790" i="1"/>
  <c r="H789" i="1"/>
  <c r="H788" i="1"/>
  <c r="H787" i="1"/>
  <c r="H786" i="1"/>
  <c r="H785" i="1"/>
  <c r="H784" i="1"/>
  <c r="H783" i="1"/>
  <c r="H782" i="1"/>
  <c r="H781" i="1"/>
  <c r="H780" i="1"/>
  <c r="H779" i="1"/>
  <c r="H778" i="1"/>
  <c r="H777" i="1"/>
  <c r="H776" i="1"/>
  <c r="H775" i="1"/>
  <c r="H774" i="1"/>
  <c r="H773" i="1"/>
  <c r="H772" i="1"/>
  <c r="H771" i="1"/>
  <c r="H770" i="1"/>
  <c r="H769" i="1"/>
  <c r="H768" i="1"/>
  <c r="H767" i="1"/>
  <c r="H766" i="1"/>
  <c r="H765" i="1"/>
  <c r="H764" i="1"/>
  <c r="H763" i="1"/>
  <c r="H762" i="1"/>
  <c r="H761" i="1"/>
  <c r="H760" i="1"/>
  <c r="H759" i="1"/>
  <c r="H758" i="1"/>
  <c r="H757" i="1"/>
  <c r="H756" i="1"/>
  <c r="H755" i="1"/>
  <c r="H754" i="1"/>
  <c r="H753" i="1"/>
  <c r="H752" i="1"/>
  <c r="H751" i="1"/>
  <c r="H750" i="1"/>
  <c r="H749" i="1"/>
  <c r="H748" i="1"/>
  <c r="H747" i="1"/>
  <c r="H746" i="1"/>
  <c r="H745" i="1"/>
  <c r="H744" i="1"/>
  <c r="H743" i="1"/>
  <c r="H742" i="1"/>
  <c r="H741" i="1"/>
  <c r="H740" i="1"/>
  <c r="H739" i="1"/>
  <c r="H738" i="1"/>
  <c r="H737" i="1"/>
  <c r="H736" i="1"/>
  <c r="H735" i="1"/>
  <c r="H734" i="1"/>
  <c r="H733" i="1"/>
  <c r="H732" i="1"/>
  <c r="H731" i="1"/>
  <c r="H730" i="1"/>
  <c r="H729" i="1"/>
  <c r="H728" i="1"/>
  <c r="H727" i="1"/>
  <c r="H726" i="1"/>
  <c r="H725" i="1"/>
  <c r="H724" i="1"/>
  <c r="H723" i="1"/>
  <c r="H722" i="1"/>
  <c r="H721" i="1"/>
  <c r="H720" i="1"/>
  <c r="H719" i="1"/>
  <c r="H718" i="1"/>
  <c r="H717" i="1"/>
  <c r="H716" i="1"/>
  <c r="H715" i="1"/>
  <c r="H714" i="1"/>
  <c r="H713" i="1"/>
  <c r="H712" i="1"/>
  <c r="H711" i="1"/>
  <c r="H710" i="1"/>
  <c r="H709" i="1"/>
  <c r="H708" i="1"/>
  <c r="H707" i="1"/>
  <c r="G805" i="1"/>
  <c r="G804" i="1"/>
  <c r="G803" i="1"/>
  <c r="G802" i="1"/>
  <c r="G801" i="1"/>
  <c r="G800" i="1"/>
  <c r="G799" i="1"/>
  <c r="G798" i="1"/>
  <c r="G797" i="1"/>
  <c r="G796" i="1"/>
  <c r="G795" i="1"/>
  <c r="G794" i="1"/>
  <c r="G793" i="1"/>
  <c r="G792" i="1"/>
  <c r="G791" i="1"/>
  <c r="G790" i="1"/>
  <c r="G789" i="1"/>
  <c r="G788" i="1"/>
  <c r="G787" i="1"/>
  <c r="G786" i="1"/>
  <c r="G785" i="1"/>
  <c r="G784" i="1"/>
  <c r="G783" i="1"/>
  <c r="G782" i="1"/>
  <c r="G781" i="1"/>
  <c r="G780" i="1"/>
  <c r="G779" i="1"/>
  <c r="G778" i="1"/>
  <c r="G777" i="1"/>
  <c r="G776" i="1"/>
  <c r="G775" i="1"/>
  <c r="G774" i="1"/>
  <c r="G773" i="1"/>
  <c r="G772" i="1"/>
  <c r="G771" i="1"/>
  <c r="G770" i="1"/>
  <c r="G769" i="1"/>
  <c r="G768" i="1"/>
  <c r="G767" i="1"/>
  <c r="G766" i="1"/>
  <c r="G765" i="1"/>
  <c r="G764" i="1"/>
  <c r="G763" i="1"/>
  <c r="G762" i="1"/>
  <c r="G761" i="1"/>
  <c r="G760" i="1"/>
  <c r="G759" i="1"/>
  <c r="G758" i="1"/>
  <c r="G757" i="1"/>
  <c r="G756" i="1"/>
  <c r="G755" i="1"/>
  <c r="G754" i="1"/>
  <c r="G753" i="1"/>
  <c r="G752" i="1"/>
  <c r="G751" i="1"/>
  <c r="G750" i="1"/>
  <c r="G749" i="1"/>
  <c r="G748" i="1"/>
  <c r="G747" i="1"/>
  <c r="G746" i="1"/>
  <c r="G745" i="1"/>
  <c r="G744" i="1"/>
  <c r="G743" i="1"/>
  <c r="G742" i="1"/>
  <c r="G741" i="1"/>
  <c r="G740" i="1"/>
  <c r="G739" i="1"/>
  <c r="G738" i="1"/>
  <c r="G737" i="1"/>
  <c r="G736" i="1"/>
  <c r="G735" i="1"/>
  <c r="G734" i="1"/>
  <c r="G733" i="1"/>
  <c r="G732" i="1"/>
  <c r="G731" i="1"/>
  <c r="G730" i="1"/>
  <c r="G729" i="1"/>
  <c r="G728" i="1"/>
  <c r="G727" i="1"/>
  <c r="G726" i="1"/>
  <c r="G725" i="1"/>
  <c r="G724" i="1"/>
  <c r="G723" i="1"/>
  <c r="G722" i="1"/>
  <c r="G721" i="1"/>
  <c r="G720" i="1"/>
  <c r="G719" i="1"/>
  <c r="G718" i="1"/>
  <c r="G717" i="1"/>
  <c r="G716" i="1"/>
  <c r="G715" i="1"/>
  <c r="G714" i="1"/>
  <c r="G713" i="1"/>
  <c r="G712" i="1"/>
  <c r="G711" i="1"/>
  <c r="G710" i="1"/>
  <c r="G709" i="1"/>
  <c r="G708" i="1"/>
  <c r="G707" i="1"/>
  <c r="M706" i="1"/>
  <c r="M705" i="1"/>
  <c r="M704" i="1"/>
  <c r="M703" i="1"/>
  <c r="M702" i="1"/>
  <c r="M701" i="1"/>
  <c r="M700" i="1"/>
  <c r="M699" i="1"/>
  <c r="M698" i="1"/>
  <c r="M697" i="1"/>
  <c r="M696" i="1"/>
  <c r="M695" i="1"/>
  <c r="M694" i="1"/>
  <c r="M693" i="1"/>
  <c r="M692" i="1"/>
  <c r="M691" i="1"/>
  <c r="M690" i="1"/>
  <c r="M689" i="1"/>
  <c r="M688" i="1"/>
  <c r="M687" i="1"/>
  <c r="M686" i="1"/>
  <c r="M685" i="1"/>
  <c r="M684" i="1"/>
  <c r="M683" i="1"/>
  <c r="M682" i="1"/>
  <c r="M681" i="1"/>
  <c r="M680" i="1"/>
  <c r="M679" i="1"/>
  <c r="M678" i="1"/>
  <c r="M677" i="1"/>
  <c r="M676" i="1"/>
  <c r="M675" i="1"/>
  <c r="M674" i="1"/>
  <c r="M673" i="1"/>
  <c r="M672" i="1"/>
  <c r="M671" i="1"/>
  <c r="M670" i="1"/>
  <c r="M669" i="1"/>
  <c r="M668" i="1"/>
  <c r="M667" i="1"/>
  <c r="M666" i="1"/>
  <c r="M665" i="1"/>
  <c r="M664" i="1"/>
  <c r="M663" i="1"/>
  <c r="M662" i="1"/>
  <c r="M661" i="1"/>
  <c r="M660" i="1"/>
  <c r="M659" i="1"/>
  <c r="M658" i="1"/>
  <c r="M657" i="1"/>
  <c r="K706" i="1"/>
  <c r="K705" i="1"/>
  <c r="K704" i="1"/>
  <c r="K703" i="1"/>
  <c r="K702" i="1"/>
  <c r="K701" i="1"/>
  <c r="K700" i="1"/>
  <c r="K699" i="1"/>
  <c r="K698" i="1"/>
  <c r="K697" i="1"/>
  <c r="K696" i="1"/>
  <c r="K695" i="1"/>
  <c r="K694" i="1"/>
  <c r="K693" i="1"/>
  <c r="K692" i="1"/>
  <c r="K691" i="1"/>
  <c r="K690" i="1"/>
  <c r="K689" i="1"/>
  <c r="K688" i="1"/>
  <c r="K687"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K660" i="1"/>
  <c r="K659" i="1"/>
  <c r="K658" i="1"/>
  <c r="K657" i="1"/>
  <c r="I706" i="1"/>
  <c r="I705" i="1"/>
  <c r="I704" i="1"/>
  <c r="I703" i="1"/>
  <c r="I702" i="1"/>
  <c r="I701" i="1"/>
  <c r="I700" i="1"/>
  <c r="I699" i="1"/>
  <c r="I698" i="1"/>
  <c r="I697" i="1"/>
  <c r="I696" i="1"/>
  <c r="I695" i="1"/>
  <c r="I694" i="1"/>
  <c r="I693" i="1"/>
  <c r="I692" i="1"/>
  <c r="I691" i="1"/>
  <c r="I690" i="1"/>
  <c r="I689" i="1"/>
  <c r="I688" i="1"/>
  <c r="I687" i="1"/>
  <c r="I686" i="1"/>
  <c r="I685" i="1"/>
  <c r="I684" i="1"/>
  <c r="I683" i="1"/>
  <c r="I682" i="1"/>
  <c r="I681" i="1"/>
  <c r="I680" i="1"/>
  <c r="I679" i="1"/>
  <c r="I678" i="1"/>
  <c r="I677" i="1"/>
  <c r="I676" i="1"/>
  <c r="I675" i="1"/>
  <c r="I674" i="1"/>
  <c r="I673" i="1"/>
  <c r="I672" i="1"/>
  <c r="I671" i="1"/>
  <c r="I670" i="1"/>
  <c r="I669" i="1"/>
  <c r="I668" i="1"/>
  <c r="I667" i="1"/>
  <c r="I666" i="1"/>
  <c r="I665" i="1"/>
  <c r="I664" i="1"/>
  <c r="I663" i="1"/>
  <c r="I662" i="1"/>
  <c r="I661" i="1"/>
  <c r="I660" i="1"/>
  <c r="I659" i="1"/>
  <c r="I658" i="1"/>
  <c r="I657" i="1"/>
  <c r="H706" i="1"/>
  <c r="H705" i="1"/>
  <c r="H704" i="1"/>
  <c r="H703" i="1"/>
  <c r="H702" i="1"/>
  <c r="H701" i="1"/>
  <c r="H700" i="1"/>
  <c r="H699" i="1"/>
  <c r="H698" i="1"/>
  <c r="H697" i="1"/>
  <c r="H696" i="1"/>
  <c r="H695" i="1"/>
  <c r="H694" i="1"/>
  <c r="H693" i="1"/>
  <c r="H692" i="1"/>
  <c r="H691" i="1"/>
  <c r="H690" i="1"/>
  <c r="H689" i="1"/>
  <c r="H688" i="1"/>
  <c r="H687" i="1"/>
  <c r="H686" i="1"/>
  <c r="H685" i="1"/>
  <c r="H684" i="1"/>
  <c r="H683" i="1"/>
  <c r="H682" i="1"/>
  <c r="H681" i="1"/>
  <c r="H680" i="1"/>
  <c r="H679" i="1"/>
  <c r="H678" i="1"/>
  <c r="H677" i="1"/>
  <c r="H676" i="1"/>
  <c r="H675" i="1"/>
  <c r="H674" i="1"/>
  <c r="H673" i="1"/>
  <c r="H672" i="1"/>
  <c r="H671" i="1"/>
  <c r="H670" i="1"/>
  <c r="H669" i="1"/>
  <c r="H668" i="1"/>
  <c r="H667" i="1"/>
  <c r="H666" i="1"/>
  <c r="H665" i="1"/>
  <c r="H664" i="1"/>
  <c r="H663" i="1"/>
  <c r="H662" i="1"/>
  <c r="H661" i="1"/>
  <c r="H660" i="1"/>
  <c r="H659" i="1"/>
  <c r="H658" i="1"/>
  <c r="H657" i="1"/>
  <c r="G706" i="1"/>
  <c r="G705" i="1"/>
  <c r="G704" i="1"/>
  <c r="G703" i="1"/>
  <c r="G702" i="1"/>
  <c r="G701" i="1"/>
  <c r="G700" i="1"/>
  <c r="G699" i="1"/>
  <c r="G698" i="1"/>
  <c r="G697" i="1"/>
  <c r="G696" i="1"/>
  <c r="G695" i="1"/>
  <c r="G694" i="1"/>
  <c r="G693" i="1"/>
  <c r="G692" i="1"/>
  <c r="G691" i="1"/>
  <c r="G690" i="1"/>
  <c r="G689" i="1"/>
  <c r="G688" i="1"/>
  <c r="G687" i="1"/>
  <c r="G686" i="1"/>
  <c r="G685" i="1"/>
  <c r="G684" i="1"/>
  <c r="G683" i="1"/>
  <c r="G682" i="1"/>
  <c r="G681" i="1"/>
  <c r="G680" i="1"/>
  <c r="G679" i="1"/>
  <c r="G678" i="1"/>
  <c r="G677" i="1"/>
  <c r="G676" i="1"/>
  <c r="G675" i="1"/>
  <c r="G674" i="1"/>
  <c r="G673" i="1"/>
  <c r="G672" i="1"/>
  <c r="G671" i="1"/>
  <c r="G670" i="1"/>
  <c r="G669" i="1"/>
  <c r="G668" i="1"/>
  <c r="G667" i="1"/>
  <c r="G666" i="1"/>
  <c r="G665" i="1"/>
  <c r="G664" i="1"/>
  <c r="G663" i="1"/>
  <c r="G662" i="1"/>
  <c r="G661" i="1"/>
  <c r="G660" i="1"/>
  <c r="G659" i="1"/>
  <c r="G658" i="1"/>
  <c r="G657" i="1"/>
  <c r="M656" i="1"/>
  <c r="M655" i="1"/>
  <c r="M654" i="1"/>
  <c r="M653" i="1"/>
  <c r="M652" i="1"/>
  <c r="M651" i="1"/>
  <c r="M650" i="1"/>
  <c r="M649" i="1"/>
  <c r="M648" i="1"/>
  <c r="M647" i="1"/>
  <c r="M646" i="1"/>
  <c r="K656" i="1"/>
  <c r="K655" i="1"/>
  <c r="K654" i="1"/>
  <c r="K653" i="1"/>
  <c r="K652" i="1"/>
  <c r="K651" i="1"/>
  <c r="K650" i="1"/>
  <c r="K649" i="1"/>
  <c r="K648" i="1"/>
  <c r="K647" i="1"/>
  <c r="K646" i="1"/>
  <c r="I656" i="1"/>
  <c r="I655" i="1"/>
  <c r="I654" i="1"/>
  <c r="I653" i="1"/>
  <c r="I652" i="1"/>
  <c r="I651" i="1"/>
  <c r="I650" i="1"/>
  <c r="I649" i="1"/>
  <c r="I648" i="1"/>
  <c r="I647" i="1"/>
  <c r="I646" i="1"/>
  <c r="H656" i="1"/>
  <c r="H655" i="1"/>
  <c r="H654" i="1"/>
  <c r="H653" i="1"/>
  <c r="H652" i="1"/>
  <c r="H651" i="1"/>
  <c r="H650" i="1"/>
  <c r="H649" i="1"/>
  <c r="H648" i="1"/>
  <c r="H647" i="1"/>
  <c r="H646" i="1"/>
  <c r="G656" i="1"/>
  <c r="G655" i="1"/>
  <c r="G654" i="1"/>
  <c r="G653" i="1"/>
  <c r="G652" i="1"/>
  <c r="G651" i="1"/>
  <c r="G650" i="1"/>
  <c r="G649" i="1"/>
  <c r="G648" i="1"/>
  <c r="G647" i="1"/>
  <c r="G646" i="1"/>
  <c r="M645" i="1"/>
  <c r="M644" i="1"/>
  <c r="M643" i="1"/>
  <c r="M642" i="1"/>
  <c r="M641" i="1"/>
  <c r="M640" i="1"/>
  <c r="M639" i="1"/>
  <c r="M638" i="1"/>
  <c r="K645" i="1"/>
  <c r="K644" i="1"/>
  <c r="K643" i="1"/>
  <c r="K642" i="1"/>
  <c r="K641" i="1"/>
  <c r="K640" i="1"/>
  <c r="K639" i="1"/>
  <c r="K638" i="1"/>
  <c r="I645" i="1"/>
  <c r="I644" i="1"/>
  <c r="I643" i="1"/>
  <c r="I642" i="1"/>
  <c r="I641" i="1"/>
  <c r="I640" i="1"/>
  <c r="I639" i="1"/>
  <c r="I638" i="1"/>
  <c r="H645" i="1"/>
  <c r="H644" i="1"/>
  <c r="H643" i="1"/>
  <c r="H642" i="1"/>
  <c r="H641" i="1"/>
  <c r="H640" i="1"/>
  <c r="H639" i="1"/>
  <c r="H638" i="1"/>
  <c r="G645" i="1"/>
  <c r="G644" i="1"/>
  <c r="G643" i="1"/>
  <c r="G642" i="1"/>
  <c r="G641" i="1"/>
  <c r="G640" i="1"/>
  <c r="G639" i="1"/>
  <c r="G638" i="1"/>
  <c r="M637" i="1"/>
  <c r="M636" i="1"/>
  <c r="M635" i="1"/>
  <c r="M634" i="1"/>
  <c r="M633" i="1"/>
  <c r="M632" i="1"/>
  <c r="M631" i="1"/>
  <c r="M630" i="1"/>
  <c r="K637" i="1"/>
  <c r="K636" i="1"/>
  <c r="K635" i="1"/>
  <c r="K634" i="1"/>
  <c r="K633" i="1"/>
  <c r="K632" i="1"/>
  <c r="K631" i="1"/>
  <c r="K630" i="1"/>
  <c r="I637" i="1"/>
  <c r="I636" i="1"/>
  <c r="I635" i="1"/>
  <c r="I634" i="1"/>
  <c r="I633" i="1"/>
  <c r="I632" i="1"/>
  <c r="I631" i="1"/>
  <c r="I630" i="1"/>
  <c r="H637" i="1"/>
  <c r="H636" i="1"/>
  <c r="H635" i="1"/>
  <c r="H634" i="1"/>
  <c r="H633" i="1"/>
  <c r="H632" i="1"/>
  <c r="H631" i="1"/>
  <c r="H630" i="1"/>
  <c r="G637" i="1"/>
  <c r="G636" i="1"/>
  <c r="G635" i="1"/>
  <c r="G634" i="1"/>
  <c r="G633" i="1"/>
  <c r="G632" i="1"/>
  <c r="G631" i="1"/>
  <c r="G630" i="1"/>
  <c r="M629" i="1"/>
  <c r="M628" i="1"/>
  <c r="M627" i="1"/>
  <c r="K629" i="1"/>
  <c r="K628" i="1"/>
  <c r="K627" i="1"/>
  <c r="I629" i="1"/>
  <c r="I628" i="1"/>
  <c r="I627" i="1"/>
  <c r="H629" i="1"/>
  <c r="H628" i="1"/>
  <c r="H627" i="1"/>
  <c r="G629" i="1"/>
  <c r="G628" i="1"/>
  <c r="G627" i="1"/>
  <c r="J104" i="2"/>
  <c r="O105" i="2" a="1"/>
  <c r="O105" i="2" s="1"/>
  <c r="O104" i="2" a="1"/>
  <c r="O104" i="2" s="1"/>
  <c r="N105" i="2"/>
  <c r="N104" i="2"/>
  <c r="M105" i="2"/>
  <c r="M104" i="2"/>
  <c r="J105" i="2"/>
  <c r="M626" i="1"/>
  <c r="M625" i="1"/>
  <c r="M624" i="1"/>
  <c r="M623" i="1"/>
  <c r="M622" i="1"/>
  <c r="M621" i="1"/>
  <c r="M620" i="1"/>
  <c r="K626" i="1"/>
  <c r="K625" i="1"/>
  <c r="K624" i="1"/>
  <c r="K623" i="1"/>
  <c r="K622" i="1"/>
  <c r="K621" i="1"/>
  <c r="K620" i="1"/>
  <c r="I626" i="1"/>
  <c r="I625" i="1"/>
  <c r="I624" i="1"/>
  <c r="I623" i="1"/>
  <c r="I622" i="1"/>
  <c r="I621" i="1"/>
  <c r="I620" i="1"/>
  <c r="H626" i="1"/>
  <c r="H625" i="1"/>
  <c r="H624" i="1"/>
  <c r="H623" i="1"/>
  <c r="H622" i="1"/>
  <c r="H621" i="1"/>
  <c r="H620" i="1"/>
  <c r="G626" i="1"/>
  <c r="G625" i="1"/>
  <c r="G624" i="1"/>
  <c r="G623" i="1"/>
  <c r="G622" i="1"/>
  <c r="G621" i="1"/>
  <c r="G620" i="1"/>
  <c r="O103" i="2" a="1"/>
  <c r="O103" i="2" s="1"/>
  <c r="N103" i="2"/>
  <c r="M103" i="2"/>
  <c r="J103" i="2"/>
  <c r="M619" i="1"/>
  <c r="M618" i="1"/>
  <c r="M617" i="1"/>
  <c r="M616" i="1"/>
  <c r="M615" i="1"/>
  <c r="K619" i="1"/>
  <c r="K618" i="1"/>
  <c r="K617" i="1"/>
  <c r="K616" i="1"/>
  <c r="K615" i="1"/>
  <c r="I619" i="1"/>
  <c r="I618" i="1"/>
  <c r="I617" i="1"/>
  <c r="I616" i="1"/>
  <c r="I615" i="1"/>
  <c r="H619" i="1"/>
  <c r="H618" i="1"/>
  <c r="H617" i="1"/>
  <c r="H616" i="1"/>
  <c r="H615" i="1"/>
  <c r="G619" i="1"/>
  <c r="G618" i="1"/>
  <c r="G617" i="1"/>
  <c r="G616" i="1"/>
  <c r="G615" i="1"/>
  <c r="M614" i="1"/>
  <c r="M613" i="1"/>
  <c r="M612" i="1"/>
  <c r="M611" i="1"/>
  <c r="M610" i="1"/>
  <c r="K614" i="1"/>
  <c r="K613" i="1"/>
  <c r="K612" i="1"/>
  <c r="K611" i="1"/>
  <c r="K610" i="1"/>
  <c r="I614" i="1"/>
  <c r="I613" i="1"/>
  <c r="I612" i="1"/>
  <c r="I611" i="1"/>
  <c r="I610" i="1"/>
  <c r="H614" i="1"/>
  <c r="H613" i="1"/>
  <c r="H612" i="1"/>
  <c r="H611" i="1"/>
  <c r="H610" i="1"/>
  <c r="G614" i="1"/>
  <c r="G613" i="1"/>
  <c r="G612" i="1"/>
  <c r="G611" i="1"/>
  <c r="G610" i="1"/>
  <c r="M609" i="1"/>
  <c r="M608" i="1"/>
  <c r="M607" i="1"/>
  <c r="M606" i="1"/>
  <c r="M605" i="1"/>
  <c r="M604" i="1"/>
  <c r="K609" i="1"/>
  <c r="K608" i="1"/>
  <c r="K607" i="1"/>
  <c r="K606" i="1"/>
  <c r="K605" i="1"/>
  <c r="K604" i="1"/>
  <c r="I609" i="1"/>
  <c r="I608" i="1"/>
  <c r="I607" i="1"/>
  <c r="I606" i="1"/>
  <c r="I605" i="1"/>
  <c r="I604" i="1"/>
  <c r="H609" i="1"/>
  <c r="H608" i="1"/>
  <c r="H607" i="1"/>
  <c r="H606" i="1"/>
  <c r="H605" i="1"/>
  <c r="H604" i="1"/>
  <c r="G609" i="1"/>
  <c r="G608" i="1"/>
  <c r="G607" i="1"/>
  <c r="G606" i="1"/>
  <c r="G605" i="1"/>
  <c r="G604" i="1"/>
  <c r="M603" i="1"/>
  <c r="M602" i="1"/>
  <c r="M601" i="1"/>
  <c r="M600" i="1"/>
  <c r="M599" i="1"/>
  <c r="M598" i="1"/>
  <c r="K603" i="1"/>
  <c r="K602" i="1"/>
  <c r="K601" i="1"/>
  <c r="K600" i="1"/>
  <c r="K599" i="1"/>
  <c r="K598" i="1"/>
  <c r="I603" i="1"/>
  <c r="I602" i="1"/>
  <c r="I601" i="1"/>
  <c r="I600" i="1"/>
  <c r="I599" i="1"/>
  <c r="I598" i="1"/>
  <c r="H603" i="1"/>
  <c r="H602" i="1"/>
  <c r="H601" i="1"/>
  <c r="H600" i="1"/>
  <c r="H599" i="1"/>
  <c r="H598" i="1"/>
  <c r="G603" i="1"/>
  <c r="G602" i="1"/>
  <c r="G601" i="1"/>
  <c r="G600" i="1"/>
  <c r="G599" i="1"/>
  <c r="G598" i="1"/>
  <c r="O102" i="2" a="1"/>
  <c r="O102" i="2" s="1"/>
  <c r="O101" i="2" a="1"/>
  <c r="O101" i="2" s="1"/>
  <c r="O100" i="2" a="1"/>
  <c r="O100" i="2" s="1"/>
  <c r="O99" i="2" a="1"/>
  <c r="O99" i="2" s="1"/>
  <c r="N102" i="2"/>
  <c r="N101" i="2"/>
  <c r="N100" i="2"/>
  <c r="N99" i="2"/>
  <c r="M102" i="2"/>
  <c r="M101" i="2"/>
  <c r="M100" i="2"/>
  <c r="M99" i="2"/>
  <c r="J102" i="2"/>
  <c r="J101" i="2"/>
  <c r="J100" i="2"/>
  <c r="J99" i="2"/>
  <c r="M597" i="1"/>
  <c r="M596" i="1"/>
  <c r="M595" i="1"/>
  <c r="M594" i="1"/>
  <c r="M593" i="1"/>
  <c r="M592" i="1"/>
  <c r="K597" i="1"/>
  <c r="K596" i="1"/>
  <c r="K595" i="1"/>
  <c r="K594" i="1"/>
  <c r="K593" i="1"/>
  <c r="K592" i="1"/>
  <c r="I597" i="1"/>
  <c r="I596" i="1"/>
  <c r="I595" i="1"/>
  <c r="I594" i="1"/>
  <c r="I593" i="1"/>
  <c r="I592" i="1"/>
  <c r="H597" i="1"/>
  <c r="H596" i="1"/>
  <c r="H595" i="1"/>
  <c r="H594" i="1"/>
  <c r="H593" i="1"/>
  <c r="H592" i="1"/>
  <c r="G597" i="1"/>
  <c r="G596" i="1"/>
  <c r="G595" i="1"/>
  <c r="G594" i="1"/>
  <c r="G593" i="1"/>
  <c r="G592" i="1"/>
  <c r="M591" i="1"/>
  <c r="M590" i="1"/>
  <c r="M589" i="1"/>
  <c r="M588" i="1"/>
  <c r="M587" i="1"/>
  <c r="M586" i="1"/>
  <c r="K591" i="1"/>
  <c r="K590" i="1"/>
  <c r="K589" i="1"/>
  <c r="K588" i="1"/>
  <c r="K587" i="1"/>
  <c r="K586" i="1"/>
  <c r="I591" i="1"/>
  <c r="I590" i="1"/>
  <c r="I589" i="1"/>
  <c r="I588" i="1"/>
  <c r="I587" i="1"/>
  <c r="I586" i="1"/>
  <c r="H591" i="1"/>
  <c r="H590" i="1"/>
  <c r="H589" i="1"/>
  <c r="H588" i="1"/>
  <c r="H587" i="1"/>
  <c r="H586" i="1"/>
  <c r="G591" i="1"/>
  <c r="G590" i="1"/>
  <c r="G589" i="1"/>
  <c r="G588" i="1"/>
  <c r="G587" i="1"/>
  <c r="G586" i="1"/>
  <c r="M585" i="1"/>
  <c r="M584" i="1"/>
  <c r="M583" i="1"/>
  <c r="M582" i="1"/>
  <c r="M581" i="1"/>
  <c r="M580" i="1"/>
  <c r="K585" i="1"/>
  <c r="K584" i="1"/>
  <c r="K583" i="1"/>
  <c r="K582" i="1"/>
  <c r="K581" i="1"/>
  <c r="K580" i="1"/>
  <c r="I585" i="1"/>
  <c r="I584" i="1"/>
  <c r="I583" i="1"/>
  <c r="I582" i="1"/>
  <c r="I581" i="1"/>
  <c r="I580" i="1"/>
  <c r="H585" i="1"/>
  <c r="H584" i="1"/>
  <c r="H583" i="1"/>
  <c r="H582" i="1"/>
  <c r="H581" i="1"/>
  <c r="H580" i="1"/>
  <c r="G585" i="1"/>
  <c r="G584" i="1"/>
  <c r="G583" i="1"/>
  <c r="G582" i="1"/>
  <c r="G581" i="1"/>
  <c r="G580" i="1"/>
  <c r="O98" i="2" a="1"/>
  <c r="O98" i="2" s="1"/>
  <c r="O97" i="2" a="1"/>
  <c r="O97" i="2" s="1"/>
  <c r="O96" i="2" a="1"/>
  <c r="O96" i="2" s="1"/>
  <c r="N98" i="2"/>
  <c r="N97" i="2"/>
  <c r="N96" i="2"/>
  <c r="M98" i="2"/>
  <c r="M97" i="2"/>
  <c r="M96" i="2"/>
  <c r="J98" i="2"/>
  <c r="J97" i="2"/>
  <c r="J96" i="2"/>
  <c r="M579" i="1"/>
  <c r="M578" i="1"/>
  <c r="M577" i="1"/>
  <c r="M576" i="1"/>
  <c r="M575" i="1"/>
  <c r="M574" i="1"/>
  <c r="K579" i="1"/>
  <c r="K578" i="1"/>
  <c r="K577" i="1"/>
  <c r="K576" i="1"/>
  <c r="K575" i="1"/>
  <c r="K574" i="1"/>
  <c r="I579" i="1"/>
  <c r="I578" i="1"/>
  <c r="I577" i="1"/>
  <c r="I576" i="1"/>
  <c r="I575" i="1"/>
  <c r="I574" i="1"/>
  <c r="H579" i="1"/>
  <c r="H578" i="1"/>
  <c r="H577" i="1"/>
  <c r="H576" i="1"/>
  <c r="H575" i="1"/>
  <c r="H574" i="1"/>
  <c r="G579" i="1"/>
  <c r="G578" i="1"/>
  <c r="G577" i="1"/>
  <c r="G576" i="1"/>
  <c r="G575" i="1"/>
  <c r="G574" i="1"/>
  <c r="M573" i="1"/>
  <c r="M572" i="1"/>
  <c r="M571" i="1"/>
  <c r="M570" i="1"/>
  <c r="M569" i="1"/>
  <c r="M568" i="1"/>
  <c r="K573" i="1"/>
  <c r="K572" i="1"/>
  <c r="K571" i="1"/>
  <c r="K570" i="1"/>
  <c r="K569" i="1"/>
  <c r="K568" i="1"/>
  <c r="I573" i="1"/>
  <c r="I572" i="1"/>
  <c r="I571" i="1"/>
  <c r="I570" i="1"/>
  <c r="I569" i="1"/>
  <c r="I568" i="1"/>
  <c r="H573" i="1"/>
  <c r="H572" i="1"/>
  <c r="H571" i="1"/>
  <c r="H570" i="1"/>
  <c r="H569" i="1"/>
  <c r="H568" i="1"/>
  <c r="G573" i="1"/>
  <c r="G572" i="1"/>
  <c r="G571" i="1"/>
  <c r="G570" i="1"/>
  <c r="G569" i="1"/>
  <c r="G568" i="1"/>
  <c r="M567" i="1"/>
  <c r="M566" i="1"/>
  <c r="M565" i="1"/>
  <c r="M564" i="1"/>
  <c r="M563" i="1"/>
  <c r="M562" i="1"/>
  <c r="M561" i="1"/>
  <c r="M560" i="1"/>
  <c r="K567" i="1"/>
  <c r="K566" i="1"/>
  <c r="K565" i="1"/>
  <c r="K564" i="1"/>
  <c r="K563" i="1"/>
  <c r="K562" i="1"/>
  <c r="K561" i="1"/>
  <c r="K560" i="1"/>
  <c r="I567" i="1"/>
  <c r="I566" i="1"/>
  <c r="I565" i="1"/>
  <c r="I564" i="1"/>
  <c r="I563" i="1"/>
  <c r="I562" i="1"/>
  <c r="I561" i="1"/>
  <c r="I560" i="1"/>
  <c r="H567" i="1"/>
  <c r="H566" i="1"/>
  <c r="H565" i="1"/>
  <c r="H564" i="1"/>
  <c r="H563" i="1"/>
  <c r="H562" i="1"/>
  <c r="H561" i="1"/>
  <c r="H560" i="1"/>
  <c r="G567" i="1"/>
  <c r="G566" i="1"/>
  <c r="G565" i="1"/>
  <c r="G564" i="1"/>
  <c r="G563" i="1"/>
  <c r="G562" i="1"/>
  <c r="G561" i="1"/>
  <c r="G560" i="1"/>
  <c r="M559" i="1"/>
  <c r="M558" i="1"/>
  <c r="M557" i="1"/>
  <c r="M556" i="1"/>
  <c r="M555" i="1"/>
  <c r="M554" i="1"/>
  <c r="K559" i="1"/>
  <c r="K558" i="1"/>
  <c r="K557" i="1"/>
  <c r="K556" i="1"/>
  <c r="K555" i="1"/>
  <c r="K554" i="1"/>
  <c r="I559" i="1"/>
  <c r="I558" i="1"/>
  <c r="I557" i="1"/>
  <c r="I556" i="1"/>
  <c r="I555" i="1"/>
  <c r="I554" i="1"/>
  <c r="H559" i="1"/>
  <c r="H558" i="1"/>
  <c r="H557" i="1"/>
  <c r="H556" i="1"/>
  <c r="H555" i="1"/>
  <c r="H554" i="1"/>
  <c r="G559" i="1"/>
  <c r="G558" i="1"/>
  <c r="G557" i="1"/>
  <c r="G556" i="1"/>
  <c r="G555" i="1"/>
  <c r="G554" i="1"/>
  <c r="O95" i="2" a="1"/>
  <c r="O95" i="2" s="1"/>
  <c r="O94" i="2" a="1"/>
  <c r="O94" i="2" s="1"/>
  <c r="O93" i="2" a="1"/>
  <c r="O93" i="2" s="1"/>
  <c r="O92" i="2" a="1"/>
  <c r="O92" i="2" s="1"/>
  <c r="N95" i="2"/>
  <c r="N94" i="2"/>
  <c r="N93" i="2"/>
  <c r="N92" i="2"/>
  <c r="M95" i="2"/>
  <c r="M94" i="2"/>
  <c r="M93" i="2"/>
  <c r="M92" i="2"/>
  <c r="J95" i="2"/>
  <c r="J94" i="2"/>
  <c r="J93" i="2"/>
  <c r="J92" i="2"/>
  <c r="M553" i="1"/>
  <c r="M552" i="1"/>
  <c r="M551" i="1"/>
  <c r="M550" i="1"/>
  <c r="M549" i="1"/>
  <c r="M548" i="1"/>
  <c r="M547" i="1"/>
  <c r="M546" i="1"/>
  <c r="M545" i="1"/>
  <c r="M544" i="1"/>
  <c r="K553" i="1"/>
  <c r="K552" i="1"/>
  <c r="K551" i="1"/>
  <c r="K550" i="1"/>
  <c r="K549" i="1"/>
  <c r="K548" i="1"/>
  <c r="K547" i="1"/>
  <c r="K546" i="1"/>
  <c r="K545" i="1"/>
  <c r="K544" i="1"/>
  <c r="I553" i="1"/>
  <c r="I552" i="1"/>
  <c r="I551" i="1"/>
  <c r="I550" i="1"/>
  <c r="I549" i="1"/>
  <c r="I548" i="1"/>
  <c r="I547" i="1"/>
  <c r="I546" i="1"/>
  <c r="I545" i="1"/>
  <c r="I544" i="1"/>
  <c r="H553" i="1"/>
  <c r="H552" i="1"/>
  <c r="H551" i="1"/>
  <c r="H550" i="1"/>
  <c r="H549" i="1"/>
  <c r="H548" i="1"/>
  <c r="H547" i="1"/>
  <c r="H546" i="1"/>
  <c r="H545" i="1"/>
  <c r="H544" i="1"/>
  <c r="G553" i="1"/>
  <c r="G552" i="1"/>
  <c r="G551" i="1"/>
  <c r="G550" i="1"/>
  <c r="G549" i="1"/>
  <c r="G548" i="1"/>
  <c r="G547" i="1"/>
  <c r="G546" i="1"/>
  <c r="G545" i="1"/>
  <c r="G544" i="1"/>
  <c r="O91" i="2" a="1"/>
  <c r="O91" i="2" s="1"/>
  <c r="N91" i="2"/>
  <c r="M91" i="2"/>
  <c r="J91" i="2"/>
  <c r="M543" i="1"/>
  <c r="M542" i="1"/>
  <c r="M541" i="1"/>
  <c r="M540" i="1"/>
  <c r="M539" i="1"/>
  <c r="M538" i="1"/>
  <c r="M537" i="1"/>
  <c r="M536" i="1"/>
  <c r="K543" i="1"/>
  <c r="K542" i="1"/>
  <c r="K541" i="1"/>
  <c r="K540" i="1"/>
  <c r="K539" i="1"/>
  <c r="K538" i="1"/>
  <c r="K537" i="1"/>
  <c r="K536" i="1"/>
  <c r="I543" i="1"/>
  <c r="I542" i="1"/>
  <c r="I541" i="1"/>
  <c r="I540" i="1"/>
  <c r="I539" i="1"/>
  <c r="H543" i="1"/>
  <c r="H542" i="1"/>
  <c r="H541" i="1"/>
  <c r="H540" i="1"/>
  <c r="H539" i="1"/>
  <c r="G543" i="1"/>
  <c r="G542" i="1"/>
  <c r="G541" i="1"/>
  <c r="G540" i="1"/>
  <c r="G539" i="1"/>
  <c r="O90" i="2" a="1"/>
  <c r="O90" i="2" s="1"/>
  <c r="N90" i="2"/>
  <c r="M90" i="2"/>
  <c r="J90" i="2"/>
  <c r="M535" i="1"/>
  <c r="M534" i="1"/>
  <c r="M533" i="1"/>
  <c r="M532" i="1"/>
  <c r="M531" i="1"/>
  <c r="M530" i="1"/>
  <c r="K535" i="1"/>
  <c r="K534" i="1"/>
  <c r="K533" i="1"/>
  <c r="K532" i="1"/>
  <c r="K531" i="1"/>
  <c r="K530" i="1"/>
  <c r="I530" i="1"/>
  <c r="H530" i="1"/>
  <c r="G530" i="1"/>
  <c r="M529" i="1"/>
  <c r="M528" i="1"/>
  <c r="M527" i="1"/>
  <c r="M526" i="1"/>
  <c r="M525" i="1"/>
  <c r="M524" i="1"/>
  <c r="M523" i="1"/>
  <c r="M522" i="1"/>
  <c r="K529" i="1"/>
  <c r="K528" i="1"/>
  <c r="K527" i="1"/>
  <c r="K526" i="1"/>
  <c r="K525" i="1"/>
  <c r="K524" i="1"/>
  <c r="K523" i="1"/>
  <c r="K522" i="1"/>
  <c r="I529" i="1"/>
  <c r="I528" i="1"/>
  <c r="I527" i="1"/>
  <c r="I526" i="1"/>
  <c r="I525" i="1"/>
  <c r="I524" i="1"/>
  <c r="I523" i="1"/>
  <c r="H529" i="1"/>
  <c r="H528" i="1"/>
  <c r="H527" i="1"/>
  <c r="H526" i="1"/>
  <c r="H525" i="1"/>
  <c r="H524" i="1"/>
  <c r="H523" i="1"/>
  <c r="G529" i="1"/>
  <c r="G528" i="1"/>
  <c r="G527" i="1"/>
  <c r="G526" i="1"/>
  <c r="G525" i="1"/>
  <c r="G524" i="1"/>
  <c r="G523" i="1"/>
  <c r="M521" i="1"/>
  <c r="M520" i="1"/>
  <c r="M519" i="1"/>
  <c r="M518" i="1"/>
  <c r="M517" i="1"/>
  <c r="M516" i="1"/>
  <c r="M515" i="1"/>
  <c r="M514" i="1"/>
  <c r="K521" i="1"/>
  <c r="K520" i="1"/>
  <c r="K519" i="1"/>
  <c r="K518" i="1"/>
  <c r="K517" i="1"/>
  <c r="K516" i="1"/>
  <c r="K515" i="1"/>
  <c r="K514" i="1"/>
  <c r="I514" i="1"/>
  <c r="H514" i="1"/>
  <c r="G514" i="1"/>
  <c r="M513" i="1"/>
  <c r="M512" i="1"/>
  <c r="M511" i="1"/>
  <c r="M510" i="1"/>
  <c r="M509" i="1"/>
  <c r="M508" i="1"/>
  <c r="M507" i="1"/>
  <c r="M506" i="1"/>
  <c r="K513" i="1"/>
  <c r="K512" i="1"/>
  <c r="K511" i="1"/>
  <c r="K510" i="1"/>
  <c r="K509" i="1"/>
  <c r="K508" i="1"/>
  <c r="K507" i="1"/>
  <c r="K506" i="1"/>
  <c r="I513" i="1"/>
  <c r="I512" i="1"/>
  <c r="I511" i="1"/>
  <c r="I510" i="1"/>
  <c r="I509" i="1"/>
  <c r="I508" i="1"/>
  <c r="I507" i="1"/>
  <c r="I506" i="1"/>
  <c r="H513" i="1"/>
  <c r="H512" i="1"/>
  <c r="H511" i="1"/>
  <c r="H510" i="1"/>
  <c r="H509" i="1"/>
  <c r="H508" i="1"/>
  <c r="H507" i="1"/>
  <c r="H506" i="1"/>
  <c r="G513" i="1"/>
  <c r="G512" i="1"/>
  <c r="G511" i="1"/>
  <c r="G510" i="1"/>
  <c r="G509" i="1"/>
  <c r="G508" i="1"/>
  <c r="G507" i="1"/>
  <c r="G506" i="1"/>
  <c r="O89" i="2" a="1"/>
  <c r="O89" i="2" s="1"/>
  <c r="O88" i="2" a="1"/>
  <c r="O88" i="2" s="1"/>
  <c r="O87" i="2" a="1"/>
  <c r="O87" i="2" s="1"/>
  <c r="N89" i="2"/>
  <c r="N88" i="2"/>
  <c r="N87" i="2"/>
  <c r="M89" i="2"/>
  <c r="M88" i="2"/>
  <c r="M87" i="2"/>
  <c r="J89" i="2"/>
  <c r="J88" i="2"/>
  <c r="J87" i="2"/>
  <c r="M505" i="1"/>
  <c r="M504" i="1"/>
  <c r="M503" i="1"/>
  <c r="M502" i="1"/>
  <c r="M501" i="1"/>
  <c r="M500" i="1"/>
  <c r="K505" i="1"/>
  <c r="K504" i="1"/>
  <c r="K503" i="1"/>
  <c r="K502" i="1"/>
  <c r="K501" i="1"/>
  <c r="K500" i="1"/>
  <c r="I505" i="1"/>
  <c r="I504" i="1"/>
  <c r="I503" i="1"/>
  <c r="I502" i="1"/>
  <c r="I501" i="1"/>
  <c r="I500" i="1"/>
  <c r="H505" i="1"/>
  <c r="H504" i="1"/>
  <c r="H503" i="1"/>
  <c r="H502" i="1"/>
  <c r="H501" i="1"/>
  <c r="H500" i="1"/>
  <c r="G505" i="1"/>
  <c r="G504" i="1"/>
  <c r="G503" i="1"/>
  <c r="G502" i="1"/>
  <c r="G501" i="1"/>
  <c r="G500" i="1"/>
  <c r="M499" i="1"/>
  <c r="M498" i="1"/>
  <c r="M497" i="1"/>
  <c r="M496" i="1"/>
  <c r="M495" i="1"/>
  <c r="M494" i="1"/>
  <c r="K499" i="1"/>
  <c r="K498" i="1"/>
  <c r="K497" i="1"/>
  <c r="K496" i="1"/>
  <c r="K495" i="1"/>
  <c r="K494" i="1"/>
  <c r="I499" i="1"/>
  <c r="I498" i="1"/>
  <c r="I497" i="1"/>
  <c r="I496" i="1"/>
  <c r="I495" i="1"/>
  <c r="I494" i="1"/>
  <c r="H499" i="1"/>
  <c r="H498" i="1"/>
  <c r="H497" i="1"/>
  <c r="H496" i="1"/>
  <c r="H495" i="1"/>
  <c r="H494" i="1"/>
  <c r="G499" i="1"/>
  <c r="G498" i="1"/>
  <c r="G497" i="1"/>
  <c r="G496" i="1"/>
  <c r="G495" i="1"/>
  <c r="G494" i="1"/>
  <c r="M493" i="1"/>
  <c r="M492" i="1"/>
  <c r="M491" i="1"/>
  <c r="M490" i="1"/>
  <c r="M489" i="1"/>
  <c r="M488" i="1"/>
  <c r="K493" i="1"/>
  <c r="K492" i="1"/>
  <c r="K491" i="1"/>
  <c r="K490" i="1"/>
  <c r="K489" i="1"/>
  <c r="K488" i="1"/>
  <c r="I493" i="1"/>
  <c r="I492" i="1"/>
  <c r="I491" i="1"/>
  <c r="I490" i="1"/>
  <c r="I489" i="1"/>
  <c r="I488" i="1"/>
  <c r="H493" i="1"/>
  <c r="H492" i="1"/>
  <c r="H491" i="1"/>
  <c r="H490" i="1"/>
  <c r="H489" i="1"/>
  <c r="H488" i="1"/>
  <c r="G493" i="1"/>
  <c r="G492" i="1"/>
  <c r="G491" i="1"/>
  <c r="G490" i="1"/>
  <c r="G489" i="1"/>
  <c r="G488" i="1"/>
  <c r="M487" i="1"/>
  <c r="M486" i="1"/>
  <c r="M485" i="1"/>
  <c r="M484" i="1"/>
  <c r="M483" i="1"/>
  <c r="M482" i="1"/>
  <c r="K487" i="1"/>
  <c r="K486" i="1"/>
  <c r="K485" i="1"/>
  <c r="K484" i="1"/>
  <c r="K483" i="1"/>
  <c r="K482" i="1"/>
  <c r="I487" i="1"/>
  <c r="I486" i="1"/>
  <c r="I485" i="1"/>
  <c r="I484" i="1"/>
  <c r="I483" i="1"/>
  <c r="I482" i="1"/>
  <c r="H487" i="1"/>
  <c r="H486" i="1"/>
  <c r="H485" i="1"/>
  <c r="H484" i="1"/>
  <c r="H483" i="1"/>
  <c r="H482" i="1"/>
  <c r="G487" i="1"/>
  <c r="G486" i="1"/>
  <c r="G485" i="1"/>
  <c r="G484" i="1"/>
  <c r="G483" i="1"/>
  <c r="G482" i="1"/>
  <c r="M481" i="1"/>
  <c r="M480" i="1"/>
  <c r="M479" i="1"/>
  <c r="M478" i="1"/>
  <c r="M477" i="1"/>
  <c r="M476" i="1"/>
  <c r="K481" i="1"/>
  <c r="K480" i="1"/>
  <c r="K479" i="1"/>
  <c r="K478" i="1"/>
  <c r="K477" i="1"/>
  <c r="K476" i="1"/>
  <c r="I481" i="1"/>
  <c r="I480" i="1"/>
  <c r="I479" i="1"/>
  <c r="I478" i="1"/>
  <c r="I477" i="1"/>
  <c r="I476" i="1"/>
  <c r="H481" i="1"/>
  <c r="H480" i="1"/>
  <c r="H479" i="1"/>
  <c r="H478" i="1"/>
  <c r="H477" i="1"/>
  <c r="H476" i="1"/>
  <c r="G481" i="1"/>
  <c r="G480" i="1"/>
  <c r="G479" i="1"/>
  <c r="G478" i="1"/>
  <c r="G477" i="1"/>
  <c r="G476" i="1"/>
  <c r="M475" i="1"/>
  <c r="M474" i="1"/>
  <c r="M473" i="1"/>
  <c r="M472" i="1"/>
  <c r="M471" i="1"/>
  <c r="M470" i="1"/>
  <c r="K475" i="1"/>
  <c r="K474" i="1"/>
  <c r="K473" i="1"/>
  <c r="K472" i="1"/>
  <c r="K471" i="1"/>
  <c r="K470" i="1"/>
  <c r="I475" i="1"/>
  <c r="I474" i="1"/>
  <c r="I473" i="1"/>
  <c r="I472" i="1"/>
  <c r="I471" i="1"/>
  <c r="I470" i="1"/>
  <c r="H475" i="1"/>
  <c r="H474" i="1"/>
  <c r="H473" i="1"/>
  <c r="H472" i="1"/>
  <c r="H471" i="1"/>
  <c r="H470" i="1"/>
  <c r="G475" i="1"/>
  <c r="G474" i="1"/>
  <c r="G473" i="1"/>
  <c r="G472" i="1"/>
  <c r="G471" i="1"/>
  <c r="G470" i="1"/>
  <c r="M469" i="1"/>
  <c r="M468" i="1"/>
  <c r="M467" i="1"/>
  <c r="M466" i="1"/>
  <c r="M465" i="1"/>
  <c r="M464" i="1"/>
  <c r="K469" i="1"/>
  <c r="K468" i="1"/>
  <c r="K467" i="1"/>
  <c r="K466" i="1"/>
  <c r="K465" i="1"/>
  <c r="K464" i="1"/>
  <c r="I469" i="1"/>
  <c r="I468" i="1"/>
  <c r="I467" i="1"/>
  <c r="I466" i="1"/>
  <c r="I465" i="1"/>
  <c r="I464" i="1"/>
  <c r="H469" i="1"/>
  <c r="H468" i="1"/>
  <c r="H467" i="1"/>
  <c r="H466" i="1"/>
  <c r="H465" i="1"/>
  <c r="H464" i="1"/>
  <c r="G469" i="1"/>
  <c r="G468" i="1"/>
  <c r="G467" i="1"/>
  <c r="G466" i="1"/>
  <c r="G465" i="1"/>
  <c r="G464" i="1"/>
  <c r="O86" i="2" a="1"/>
  <c r="O86" i="2" s="1"/>
  <c r="O85" i="2" a="1"/>
  <c r="O85" i="2" s="1"/>
  <c r="O84" i="2" a="1"/>
  <c r="O84" i="2" s="1"/>
  <c r="O83" i="2" a="1"/>
  <c r="O83" i="2" s="1"/>
  <c r="O82" i="2" a="1"/>
  <c r="O82" i="2" s="1"/>
  <c r="O81" i="2" a="1"/>
  <c r="O81" i="2" s="1"/>
  <c r="O80" i="2" a="1"/>
  <c r="O80" i="2" s="1"/>
  <c r="N86" i="2"/>
  <c r="N85" i="2"/>
  <c r="N84" i="2"/>
  <c r="N83" i="2"/>
  <c r="N82" i="2"/>
  <c r="N81" i="2"/>
  <c r="N80" i="2"/>
  <c r="M86" i="2"/>
  <c r="M85" i="2"/>
  <c r="M84" i="2"/>
  <c r="M83" i="2"/>
  <c r="M82" i="2"/>
  <c r="M81" i="2"/>
  <c r="M80" i="2"/>
  <c r="J86" i="2"/>
  <c r="J85" i="2"/>
  <c r="J84" i="2"/>
  <c r="J83" i="2"/>
  <c r="J82" i="2"/>
  <c r="J81" i="2"/>
  <c r="J80" i="2"/>
  <c r="M463" i="1"/>
  <c r="M462" i="1"/>
  <c r="M461" i="1"/>
  <c r="M460" i="1"/>
  <c r="M459" i="1"/>
  <c r="M458" i="1"/>
  <c r="K463" i="1"/>
  <c r="K462" i="1"/>
  <c r="K461" i="1"/>
  <c r="K460" i="1"/>
  <c r="K459" i="1"/>
  <c r="K458" i="1"/>
  <c r="I463" i="1"/>
  <c r="I462" i="1"/>
  <c r="I461" i="1"/>
  <c r="I460" i="1"/>
  <c r="I459" i="1"/>
  <c r="I458" i="1"/>
  <c r="H463" i="1"/>
  <c r="H462" i="1"/>
  <c r="H461" i="1"/>
  <c r="H460" i="1"/>
  <c r="H459" i="1"/>
  <c r="H458" i="1"/>
  <c r="G463" i="1"/>
  <c r="G462" i="1"/>
  <c r="G461" i="1"/>
  <c r="G460" i="1"/>
  <c r="G459" i="1"/>
  <c r="G458" i="1"/>
  <c r="M457" i="1"/>
  <c r="M456" i="1"/>
  <c r="M455" i="1"/>
  <c r="M454" i="1"/>
  <c r="M453" i="1"/>
  <c r="M452" i="1"/>
  <c r="K457" i="1"/>
  <c r="K456" i="1"/>
  <c r="K455" i="1"/>
  <c r="K454" i="1"/>
  <c r="K453" i="1"/>
  <c r="K452" i="1"/>
  <c r="I457" i="1"/>
  <c r="I456" i="1"/>
  <c r="I455" i="1"/>
  <c r="I454" i="1"/>
  <c r="I453" i="1"/>
  <c r="I452" i="1"/>
  <c r="H457" i="1"/>
  <c r="H456" i="1"/>
  <c r="H455" i="1"/>
  <c r="H454" i="1"/>
  <c r="H453" i="1"/>
  <c r="H452" i="1"/>
  <c r="G457" i="1"/>
  <c r="G456" i="1"/>
  <c r="G455" i="1"/>
  <c r="G454" i="1"/>
  <c r="G453" i="1"/>
  <c r="G452" i="1"/>
  <c r="M451" i="1"/>
  <c r="M450" i="1"/>
  <c r="M449" i="1"/>
  <c r="M448" i="1"/>
  <c r="M447" i="1"/>
  <c r="M446" i="1"/>
  <c r="K451" i="1"/>
  <c r="K450" i="1"/>
  <c r="K449" i="1"/>
  <c r="K448" i="1"/>
  <c r="K447" i="1"/>
  <c r="K446" i="1"/>
  <c r="I451" i="1"/>
  <c r="I450" i="1"/>
  <c r="I449" i="1"/>
  <c r="I448" i="1"/>
  <c r="I447" i="1"/>
  <c r="I446" i="1"/>
  <c r="H451" i="1"/>
  <c r="H450" i="1"/>
  <c r="H449" i="1"/>
  <c r="H448" i="1"/>
  <c r="H447" i="1"/>
  <c r="H446" i="1"/>
  <c r="G451" i="1"/>
  <c r="G450" i="1"/>
  <c r="G449" i="1"/>
  <c r="G448" i="1"/>
  <c r="G447" i="1"/>
  <c r="G446" i="1"/>
  <c r="M445" i="1"/>
  <c r="M444" i="1"/>
  <c r="M443" i="1"/>
  <c r="M442" i="1"/>
  <c r="M441" i="1"/>
  <c r="M440" i="1"/>
  <c r="K445" i="1"/>
  <c r="K444" i="1"/>
  <c r="K443" i="1"/>
  <c r="K442" i="1"/>
  <c r="K441" i="1"/>
  <c r="K440" i="1"/>
  <c r="I445" i="1"/>
  <c r="I444" i="1"/>
  <c r="I443" i="1"/>
  <c r="I442" i="1"/>
  <c r="I441" i="1"/>
  <c r="I440" i="1"/>
  <c r="H445" i="1"/>
  <c r="H444" i="1"/>
  <c r="H443" i="1"/>
  <c r="H442" i="1"/>
  <c r="H441" i="1"/>
  <c r="H440" i="1"/>
  <c r="G445" i="1"/>
  <c r="G444" i="1"/>
  <c r="G443" i="1"/>
  <c r="G442" i="1"/>
  <c r="G441" i="1"/>
  <c r="G440" i="1"/>
  <c r="M439" i="1"/>
  <c r="M438" i="1"/>
  <c r="K439" i="1"/>
  <c r="K438" i="1"/>
  <c r="I439" i="1"/>
  <c r="I438" i="1"/>
  <c r="H439" i="1"/>
  <c r="H438" i="1"/>
  <c r="G439" i="1"/>
  <c r="G438" i="1"/>
  <c r="G434" i="1"/>
  <c r="G435" i="1"/>
  <c r="G436" i="1"/>
  <c r="G437" i="1"/>
  <c r="H434" i="1"/>
  <c r="H435" i="1"/>
  <c r="H436" i="1"/>
  <c r="H437" i="1"/>
  <c r="I434" i="1"/>
  <c r="I435" i="1"/>
  <c r="I436" i="1"/>
  <c r="I437" i="1"/>
  <c r="K434" i="1"/>
  <c r="K435" i="1"/>
  <c r="K436" i="1"/>
  <c r="K437" i="1"/>
  <c r="M434" i="1"/>
  <c r="M435" i="1"/>
  <c r="M436" i="1"/>
  <c r="M437" i="1"/>
  <c r="O79" i="2" a="1"/>
  <c r="O79" i="2" s="1"/>
  <c r="P79" i="2" s="1"/>
  <c r="N79" i="2"/>
  <c r="M79" i="2"/>
  <c r="J79" i="2"/>
  <c r="O78" i="2" a="1"/>
  <c r="O78" i="2" s="1"/>
  <c r="O77" i="2" a="1"/>
  <c r="O77" i="2" s="1"/>
  <c r="O76" i="2" a="1"/>
  <c r="O76" i="2" s="1"/>
  <c r="O75" i="2" a="1"/>
  <c r="O75" i="2" s="1"/>
  <c r="N78" i="2"/>
  <c r="N77" i="2"/>
  <c r="N76" i="2"/>
  <c r="N75" i="2"/>
  <c r="M78" i="2"/>
  <c r="M77" i="2"/>
  <c r="M76" i="2"/>
  <c r="M75" i="2"/>
  <c r="J78" i="2"/>
  <c r="J77" i="2"/>
  <c r="J76" i="2"/>
  <c r="J75" i="2"/>
  <c r="M433" i="1"/>
  <c r="M432" i="1"/>
  <c r="M431" i="1"/>
  <c r="M430" i="1"/>
  <c r="M429" i="1"/>
  <c r="M428" i="1"/>
  <c r="K433" i="1"/>
  <c r="K432" i="1"/>
  <c r="K431" i="1"/>
  <c r="K430" i="1"/>
  <c r="K429" i="1"/>
  <c r="K428" i="1"/>
  <c r="I433" i="1"/>
  <c r="I432" i="1"/>
  <c r="I431" i="1"/>
  <c r="I430" i="1"/>
  <c r="I429" i="1"/>
  <c r="I428" i="1"/>
  <c r="H433" i="1"/>
  <c r="H432" i="1"/>
  <c r="H431" i="1"/>
  <c r="H430" i="1"/>
  <c r="H429" i="1"/>
  <c r="H428" i="1"/>
  <c r="G433" i="1"/>
  <c r="G432" i="1"/>
  <c r="G431" i="1"/>
  <c r="G430" i="1"/>
  <c r="G429" i="1"/>
  <c r="G428" i="1"/>
  <c r="M427" i="1"/>
  <c r="M426" i="1"/>
  <c r="M425" i="1"/>
  <c r="M424" i="1"/>
  <c r="M423" i="1"/>
  <c r="M422" i="1"/>
  <c r="K427" i="1"/>
  <c r="K426" i="1"/>
  <c r="K425" i="1"/>
  <c r="K424" i="1"/>
  <c r="K423" i="1"/>
  <c r="K422" i="1"/>
  <c r="I427" i="1"/>
  <c r="I426" i="1"/>
  <c r="I425" i="1"/>
  <c r="I424" i="1"/>
  <c r="I423" i="1"/>
  <c r="I422" i="1"/>
  <c r="H427" i="1"/>
  <c r="H426" i="1"/>
  <c r="H425" i="1"/>
  <c r="H424" i="1"/>
  <c r="H423" i="1"/>
  <c r="H422" i="1"/>
  <c r="G427" i="1"/>
  <c r="G426" i="1"/>
  <c r="G425" i="1"/>
  <c r="G424" i="1"/>
  <c r="G423" i="1"/>
  <c r="G422" i="1"/>
  <c r="M421" i="1"/>
  <c r="M420" i="1"/>
  <c r="M419" i="1"/>
  <c r="M418" i="1"/>
  <c r="M417" i="1"/>
  <c r="M416" i="1"/>
  <c r="K421" i="1"/>
  <c r="K420" i="1"/>
  <c r="K419" i="1"/>
  <c r="K418" i="1"/>
  <c r="K417" i="1"/>
  <c r="K416" i="1"/>
  <c r="I421" i="1"/>
  <c r="I420" i="1"/>
  <c r="I419" i="1"/>
  <c r="I418" i="1"/>
  <c r="I417" i="1"/>
  <c r="I416" i="1"/>
  <c r="H421" i="1"/>
  <c r="H420" i="1"/>
  <c r="H419" i="1"/>
  <c r="H418" i="1"/>
  <c r="H417" i="1"/>
  <c r="H416" i="1"/>
  <c r="G421" i="1"/>
  <c r="G420" i="1"/>
  <c r="G419" i="1"/>
  <c r="G418" i="1"/>
  <c r="G417" i="1"/>
  <c r="G416" i="1"/>
  <c r="M415" i="1"/>
  <c r="M414" i="1"/>
  <c r="M413" i="1"/>
  <c r="M412" i="1"/>
  <c r="M411" i="1"/>
  <c r="M410" i="1"/>
  <c r="K415" i="1"/>
  <c r="K414" i="1"/>
  <c r="K413" i="1"/>
  <c r="K412" i="1"/>
  <c r="K411" i="1"/>
  <c r="K410" i="1"/>
  <c r="I415" i="1"/>
  <c r="I414" i="1"/>
  <c r="I413" i="1"/>
  <c r="I412" i="1"/>
  <c r="I411" i="1"/>
  <c r="I410" i="1"/>
  <c r="H415" i="1"/>
  <c r="H414" i="1"/>
  <c r="H413" i="1"/>
  <c r="H412" i="1"/>
  <c r="H411" i="1"/>
  <c r="H410" i="1"/>
  <c r="G415" i="1"/>
  <c r="G414" i="1"/>
  <c r="G413" i="1"/>
  <c r="G412" i="1"/>
  <c r="G411" i="1"/>
  <c r="G410" i="1"/>
  <c r="J74" i="2"/>
  <c r="M74" i="2"/>
  <c r="N74" i="2"/>
  <c r="O74" i="2" a="1"/>
  <c r="O74" i="2"/>
  <c r="P74" i="2"/>
  <c r="O73" i="2" a="1"/>
  <c r="O73" i="2" s="1"/>
  <c r="O72" i="2" a="1"/>
  <c r="O72" i="2" s="1"/>
  <c r="O71" i="2" a="1"/>
  <c r="O71" i="2" s="1"/>
  <c r="O70" i="2" a="1"/>
  <c r="O70" i="2" s="1"/>
  <c r="N73" i="2"/>
  <c r="N72" i="2"/>
  <c r="N71" i="2"/>
  <c r="N70" i="2"/>
  <c r="M73" i="2"/>
  <c r="M72" i="2"/>
  <c r="M71" i="2"/>
  <c r="M70" i="2"/>
  <c r="J73" i="2"/>
  <c r="J72" i="2"/>
  <c r="J71" i="2"/>
  <c r="J70" i="2"/>
  <c r="M409" i="1"/>
  <c r="M408" i="1"/>
  <c r="M407" i="1"/>
  <c r="M406" i="1"/>
  <c r="M405" i="1"/>
  <c r="M404" i="1"/>
  <c r="K409" i="1"/>
  <c r="K408" i="1"/>
  <c r="K407" i="1"/>
  <c r="K406" i="1"/>
  <c r="K405" i="1"/>
  <c r="K404" i="1"/>
  <c r="I409" i="1"/>
  <c r="I408" i="1"/>
  <c r="I407" i="1"/>
  <c r="I406" i="1"/>
  <c r="I405" i="1"/>
  <c r="I404" i="1"/>
  <c r="H409" i="1"/>
  <c r="H408" i="1"/>
  <c r="H407" i="1"/>
  <c r="H406" i="1"/>
  <c r="H405" i="1"/>
  <c r="H404" i="1"/>
  <c r="G409" i="1"/>
  <c r="G408" i="1"/>
  <c r="G407" i="1"/>
  <c r="G406" i="1"/>
  <c r="G405" i="1"/>
  <c r="G404" i="1"/>
  <c r="M403" i="1"/>
  <c r="M402" i="1"/>
  <c r="M401" i="1"/>
  <c r="M400" i="1"/>
  <c r="M399" i="1"/>
  <c r="M398" i="1"/>
  <c r="K403" i="1"/>
  <c r="K402" i="1"/>
  <c r="K401" i="1"/>
  <c r="K400" i="1"/>
  <c r="K399" i="1"/>
  <c r="K398" i="1"/>
  <c r="I403" i="1"/>
  <c r="I402" i="1"/>
  <c r="I401" i="1"/>
  <c r="I400" i="1"/>
  <c r="I399" i="1"/>
  <c r="I398" i="1"/>
  <c r="H403" i="1"/>
  <c r="H402" i="1"/>
  <c r="H401" i="1"/>
  <c r="H400" i="1"/>
  <c r="H399" i="1"/>
  <c r="H398" i="1"/>
  <c r="G403" i="1"/>
  <c r="G402" i="1"/>
  <c r="G401" i="1"/>
  <c r="G400" i="1"/>
  <c r="G399" i="1"/>
  <c r="G398" i="1"/>
  <c r="M397" i="1"/>
  <c r="M396" i="1"/>
  <c r="M395" i="1"/>
  <c r="M394" i="1"/>
  <c r="M393" i="1"/>
  <c r="M392" i="1"/>
  <c r="K397" i="1"/>
  <c r="K396" i="1"/>
  <c r="K395" i="1"/>
  <c r="K394" i="1"/>
  <c r="K393" i="1"/>
  <c r="K392" i="1"/>
  <c r="I397" i="1"/>
  <c r="I396" i="1"/>
  <c r="I395" i="1"/>
  <c r="I394" i="1"/>
  <c r="I393" i="1"/>
  <c r="I392" i="1"/>
  <c r="H397" i="1"/>
  <c r="H396" i="1"/>
  <c r="H395" i="1"/>
  <c r="H394" i="1"/>
  <c r="H393" i="1"/>
  <c r="H392" i="1"/>
  <c r="G397" i="1"/>
  <c r="G396" i="1"/>
  <c r="G395" i="1"/>
  <c r="G394" i="1"/>
  <c r="G393" i="1"/>
  <c r="G392" i="1"/>
  <c r="M391" i="1"/>
  <c r="M390" i="1"/>
  <c r="M389" i="1"/>
  <c r="M388" i="1"/>
  <c r="M387" i="1"/>
  <c r="M386" i="1"/>
  <c r="K391" i="1"/>
  <c r="K390" i="1"/>
  <c r="K389" i="1"/>
  <c r="K388" i="1"/>
  <c r="K387" i="1"/>
  <c r="K386" i="1"/>
  <c r="I391" i="1"/>
  <c r="I390" i="1"/>
  <c r="I389" i="1"/>
  <c r="I388" i="1"/>
  <c r="I387" i="1"/>
  <c r="I386" i="1"/>
  <c r="H391" i="1"/>
  <c r="H390" i="1"/>
  <c r="H389" i="1"/>
  <c r="H388" i="1"/>
  <c r="H387" i="1"/>
  <c r="H386" i="1"/>
  <c r="G391" i="1"/>
  <c r="G390" i="1"/>
  <c r="G389" i="1"/>
  <c r="G388" i="1"/>
  <c r="G387" i="1"/>
  <c r="G386" i="1"/>
  <c r="M385" i="1"/>
  <c r="M384" i="1"/>
  <c r="M383" i="1"/>
  <c r="M382" i="1"/>
  <c r="K385" i="1"/>
  <c r="K384" i="1"/>
  <c r="K383" i="1"/>
  <c r="K382" i="1"/>
  <c r="I385" i="1"/>
  <c r="I384" i="1"/>
  <c r="I383" i="1"/>
  <c r="I382" i="1"/>
  <c r="H385" i="1"/>
  <c r="H384" i="1"/>
  <c r="H383" i="1"/>
  <c r="H382" i="1"/>
  <c r="G385" i="1"/>
  <c r="G384" i="1"/>
  <c r="G383" i="1"/>
  <c r="G382" i="1"/>
  <c r="O69" i="2" a="1"/>
  <c r="O69" i="2" s="1"/>
  <c r="O68" i="2" a="1"/>
  <c r="O68" i="2" s="1"/>
  <c r="O67" i="2" a="1"/>
  <c r="O67" i="2" s="1"/>
  <c r="O66" i="2" a="1"/>
  <c r="O66" i="2" s="1"/>
  <c r="O65" i="2" a="1"/>
  <c r="O65" i="2" s="1"/>
  <c r="N69" i="2"/>
  <c r="N68" i="2"/>
  <c r="N67" i="2"/>
  <c r="N66" i="2"/>
  <c r="N65" i="2"/>
  <c r="M69" i="2"/>
  <c r="M68" i="2"/>
  <c r="M67" i="2"/>
  <c r="M66" i="2"/>
  <c r="M65" i="2"/>
  <c r="J69" i="2"/>
  <c r="J68" i="2"/>
  <c r="J67" i="2"/>
  <c r="J66" i="2"/>
  <c r="J65" i="2"/>
  <c r="G381" i="1"/>
  <c r="H381" i="1"/>
  <c r="I381" i="1"/>
  <c r="J381" i="1"/>
  <c r="K381" i="1"/>
  <c r="L381" i="1"/>
  <c r="M381" i="1"/>
  <c r="N381" i="1"/>
  <c r="O381" i="1"/>
  <c r="G31" i="1"/>
  <c r="H31" i="1"/>
  <c r="I31" i="1"/>
  <c r="G32" i="1"/>
  <c r="H32" i="1"/>
  <c r="I32" i="1"/>
  <c r="G33" i="1"/>
  <c r="H33" i="1"/>
  <c r="I33" i="1"/>
  <c r="G34" i="1"/>
  <c r="H34" i="1"/>
  <c r="I34" i="1"/>
  <c r="G35" i="1"/>
  <c r="H35" i="1"/>
  <c r="I35" i="1"/>
  <c r="G36" i="1"/>
  <c r="H36" i="1"/>
  <c r="I36" i="1"/>
  <c r="G37" i="1"/>
  <c r="H37" i="1"/>
  <c r="I37" i="1"/>
  <c r="G38" i="1"/>
  <c r="H38" i="1"/>
  <c r="I38" i="1"/>
  <c r="G39" i="1"/>
  <c r="H39" i="1"/>
  <c r="I39" i="1"/>
  <c r="G40" i="1"/>
  <c r="H40" i="1"/>
  <c r="I40" i="1"/>
  <c r="M380" i="1"/>
  <c r="M379" i="1"/>
  <c r="M378" i="1"/>
  <c r="M377" i="1"/>
  <c r="M376" i="1"/>
  <c r="M375" i="1"/>
  <c r="M374" i="1"/>
  <c r="M373" i="1"/>
  <c r="K380" i="1"/>
  <c r="K379" i="1"/>
  <c r="K378" i="1"/>
  <c r="K377" i="1"/>
  <c r="K376" i="1"/>
  <c r="K375" i="1"/>
  <c r="K374" i="1"/>
  <c r="K373" i="1"/>
  <c r="I380" i="1"/>
  <c r="I379" i="1"/>
  <c r="I378" i="1"/>
  <c r="I377" i="1"/>
  <c r="I376" i="1"/>
  <c r="I375" i="1"/>
  <c r="I374" i="1"/>
  <c r="I373" i="1"/>
  <c r="H380" i="1"/>
  <c r="H379" i="1"/>
  <c r="H378" i="1"/>
  <c r="H377" i="1"/>
  <c r="H376" i="1"/>
  <c r="H375" i="1"/>
  <c r="H374" i="1"/>
  <c r="H373" i="1"/>
  <c r="G380" i="1"/>
  <c r="G379" i="1"/>
  <c r="G378" i="1"/>
  <c r="G377" i="1"/>
  <c r="G376" i="1"/>
  <c r="G375" i="1"/>
  <c r="G374" i="1"/>
  <c r="G373"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K372" i="1"/>
  <c r="K371" i="1"/>
  <c r="K370" i="1"/>
  <c r="K369" i="1"/>
  <c r="K368" i="1"/>
  <c r="I372" i="1"/>
  <c r="I371" i="1"/>
  <c r="I370" i="1"/>
  <c r="I369" i="1"/>
  <c r="I368" i="1"/>
  <c r="H372" i="1"/>
  <c r="H371" i="1"/>
  <c r="H370" i="1"/>
  <c r="H369" i="1"/>
  <c r="H368" i="1"/>
  <c r="G372" i="1"/>
  <c r="G371" i="1"/>
  <c r="G370" i="1"/>
  <c r="G369" i="1"/>
  <c r="G368" i="1"/>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O64" i="2" a="1"/>
  <c r="O64" i="2" s="1"/>
  <c r="P64" i="2" s="1"/>
  <c r="M64" i="2"/>
  <c r="J64" i="2"/>
  <c r="N367" i="1"/>
  <c r="N366" i="1"/>
  <c r="N365" i="1"/>
  <c r="N364" i="1"/>
  <c r="N363" i="1"/>
  <c r="K367" i="1"/>
  <c r="K366" i="1"/>
  <c r="K365" i="1"/>
  <c r="K364" i="1"/>
  <c r="K363" i="1"/>
  <c r="I367" i="1"/>
  <c r="I366" i="1"/>
  <c r="I365" i="1"/>
  <c r="I364" i="1"/>
  <c r="I363" i="1"/>
  <c r="H367" i="1"/>
  <c r="H366" i="1"/>
  <c r="H365" i="1"/>
  <c r="H364" i="1"/>
  <c r="H363" i="1"/>
  <c r="G367" i="1"/>
  <c r="G366" i="1"/>
  <c r="G365" i="1"/>
  <c r="G364" i="1"/>
  <c r="G363" i="1"/>
  <c r="B2" i="6"/>
  <c r="B1" i="6"/>
  <c r="O2" i="2" a="1"/>
  <c r="O2" i="2"/>
  <c r="O3" i="2" a="1"/>
  <c r="O3" i="2"/>
  <c r="O9" i="1" s="1"/>
  <c r="O4" i="2" a="1"/>
  <c r="O4" i="2"/>
  <c r="O10" i="1" s="1"/>
  <c r="O5" i="2" a="1"/>
  <c r="O5" i="2"/>
  <c r="O6" i="2" a="1"/>
  <c r="O6" i="2"/>
  <c r="O15" i="1" s="1"/>
  <c r="O7" i="2" a="1"/>
  <c r="O7" i="2"/>
  <c r="O8" i="2" a="1"/>
  <c r="O8" i="2"/>
  <c r="O12" i="1" s="1"/>
  <c r="O9" i="2" a="1"/>
  <c r="O9" i="2"/>
  <c r="O10" i="2" a="1"/>
  <c r="O10" i="2"/>
  <c r="O11" i="2" a="1"/>
  <c r="O11" i="2"/>
  <c r="O2" i="1" s="1"/>
  <c r="O12" i="2" a="1"/>
  <c r="O12" i="2"/>
  <c r="O5" i="1" s="1"/>
  <c r="O13" i="2" a="1"/>
  <c r="O13" i="2"/>
  <c r="O363" i="1" s="1"/>
  <c r="O14" i="2" a="1"/>
  <c r="O14" i="2"/>
  <c r="O15" i="2" a="1"/>
  <c r="O15" i="2"/>
  <c r="O18" i="1" s="1"/>
  <c r="O16" i="2" a="1"/>
  <c r="O16" i="2"/>
  <c r="O19" i="1" s="1"/>
  <c r="O17" i="2" a="1"/>
  <c r="O17" i="2"/>
  <c r="O18" i="2" a="1"/>
  <c r="O18" i="2"/>
  <c r="O19" i="2" a="1"/>
  <c r="O19" i="2"/>
  <c r="O20" i="2" a="1"/>
  <c r="O20" i="2"/>
  <c r="O21" i="2" a="1"/>
  <c r="O21" i="2"/>
  <c r="O22" i="2" a="1"/>
  <c r="O22" i="2"/>
  <c r="O23" i="2" a="1"/>
  <c r="O23" i="2"/>
  <c r="O24" i="2" a="1"/>
  <c r="O24" i="2"/>
  <c r="O73" i="1" s="1"/>
  <c r="O25" i="2" a="1"/>
  <c r="O25" i="2"/>
  <c r="O26" i="2" a="1"/>
  <c r="O26" i="2"/>
  <c r="O27" i="2" a="1"/>
  <c r="O27" i="2"/>
  <c r="O28" i="2" a="1"/>
  <c r="O28" i="2"/>
  <c r="O29" i="2" a="1"/>
  <c r="O29" i="2"/>
  <c r="O109" i="1" s="1"/>
  <c r="O30" i="2" a="1"/>
  <c r="O30" i="2"/>
  <c r="O110" i="1" s="1"/>
  <c r="O31" i="2" a="1"/>
  <c r="O31" i="2"/>
  <c r="O111" i="1" s="1"/>
  <c r="O32" i="2" a="1"/>
  <c r="O32" i="2"/>
  <c r="O112" i="1" s="1"/>
  <c r="O33" i="2" a="1"/>
  <c r="O33" i="2"/>
  <c r="O113" i="1" s="1"/>
  <c r="O34" i="2" a="1"/>
  <c r="O34" i="2"/>
  <c r="O114" i="1" s="1"/>
  <c r="O35" i="2" a="1"/>
  <c r="O35" i="2"/>
  <c r="O36" i="2" a="1"/>
  <c r="O36" i="2"/>
  <c r="O117" i="1" s="1"/>
  <c r="O37" i="2" a="1"/>
  <c r="O37" i="2"/>
  <c r="O365" i="1" s="1"/>
  <c r="O38" i="2" a="1"/>
  <c r="O38" i="2"/>
  <c r="O366" i="1" s="1"/>
  <c r="O39" i="2" a="1"/>
  <c r="O39" i="2"/>
  <c r="O367" i="1" s="1"/>
  <c r="O40" i="2" a="1"/>
  <c r="O40" i="2"/>
  <c r="O41" i="2" a="1"/>
  <c r="O41" i="2"/>
  <c r="O42" i="2" a="1"/>
  <c r="O42" i="2"/>
  <c r="O43" i="2" a="1"/>
  <c r="O43" i="2"/>
  <c r="O44" i="2" a="1"/>
  <c r="O44" i="2"/>
  <c r="O45" i="2" a="1"/>
  <c r="O45" i="2"/>
  <c r="O46" i="2" a="1"/>
  <c r="O46" i="2"/>
  <c r="O47" i="2" a="1"/>
  <c r="O47" i="2"/>
  <c r="O48" i="2" a="1"/>
  <c r="O48" i="2"/>
  <c r="O49" i="2" a="1"/>
  <c r="O49" i="2"/>
  <c r="O50" i="2" a="1"/>
  <c r="O50" i="2"/>
  <c r="O51" i="2" a="1"/>
  <c r="O51" i="2"/>
  <c r="O52" i="2" a="1"/>
  <c r="O52" i="2"/>
  <c r="O53" i="2" a="1"/>
  <c r="O53" i="2"/>
  <c r="O54" i="2" a="1"/>
  <c r="O54" i="2"/>
  <c r="O55" i="2" a="1"/>
  <c r="O55" i="2"/>
  <c r="O56" i="2" a="1"/>
  <c r="O56" i="2"/>
  <c r="O57" i="2" a="1"/>
  <c r="O57" i="2"/>
  <c r="O58" i="2" a="1"/>
  <c r="O58" i="2"/>
  <c r="O59" i="2" a="1"/>
  <c r="O59" i="2"/>
  <c r="O60" i="2" a="1"/>
  <c r="O60" i="2"/>
  <c r="O61" i="2" a="1"/>
  <c r="O61" i="2"/>
  <c r="O62" i="2" a="1"/>
  <c r="O62" i="2"/>
  <c r="O63" i="2" a="1"/>
  <c r="O63" i="2"/>
  <c r="P3" i="2"/>
  <c r="P9" i="1" s="1"/>
  <c r="P4" i="2"/>
  <c r="P10" i="1" s="1"/>
  <c r="P5" i="2"/>
  <c r="P6" i="2"/>
  <c r="P15" i="1" s="1"/>
  <c r="P7" i="2"/>
  <c r="P8" i="2"/>
  <c r="P12" i="1" s="1"/>
  <c r="P9" i="2"/>
  <c r="P10" i="2"/>
  <c r="P11" i="2"/>
  <c r="P2" i="1" s="1"/>
  <c r="P12" i="2"/>
  <c r="P5" i="1" s="1"/>
  <c r="P13" i="2"/>
  <c r="P363" i="1" s="1"/>
  <c r="P14" i="2"/>
  <c r="P15" i="2"/>
  <c r="P18" i="1" s="1"/>
  <c r="P16" i="2"/>
  <c r="P19" i="1" s="1"/>
  <c r="P17" i="2"/>
  <c r="P18" i="2"/>
  <c r="P19" i="2"/>
  <c r="P20" i="2"/>
  <c r="P21" i="2"/>
  <c r="P22" i="2"/>
  <c r="P23" i="2"/>
  <c r="P24" i="2"/>
  <c r="P73" i="1" s="1"/>
  <c r="P25" i="2"/>
  <c r="P26" i="2"/>
  <c r="P27" i="2"/>
  <c r="P28" i="2"/>
  <c r="P29" i="2"/>
  <c r="P109" i="1" s="1"/>
  <c r="P30" i="2"/>
  <c r="P110" i="1" s="1"/>
  <c r="P31" i="2"/>
  <c r="P111" i="1" s="1"/>
  <c r="P32" i="2"/>
  <c r="P112" i="1" s="1"/>
  <c r="P33" i="2"/>
  <c r="P113" i="1" s="1"/>
  <c r="P34" i="2"/>
  <c r="P114" i="1" s="1"/>
  <c r="P35" i="2"/>
  <c r="P36" i="2"/>
  <c r="P117" i="1" s="1"/>
  <c r="P37" i="2"/>
  <c r="P365" i="1" s="1"/>
  <c r="P38" i="2"/>
  <c r="P366" i="1" s="1"/>
  <c r="P39" i="2"/>
  <c r="P367" i="1" s="1"/>
  <c r="P40" i="2"/>
  <c r="P41" i="2"/>
  <c r="P42" i="2"/>
  <c r="P43" i="2"/>
  <c r="P44" i="2"/>
  <c r="P45" i="2"/>
  <c r="P46" i="2"/>
  <c r="P47" i="2"/>
  <c r="P48" i="2"/>
  <c r="P49" i="2"/>
  <c r="P50" i="2"/>
  <c r="P51" i="2"/>
  <c r="P52" i="2"/>
  <c r="P53" i="2"/>
  <c r="P54" i="2"/>
  <c r="P55" i="2"/>
  <c r="P56" i="2"/>
  <c r="P57" i="2"/>
  <c r="P58" i="2"/>
  <c r="P59" i="2"/>
  <c r="P60" i="2"/>
  <c r="P61" i="2"/>
  <c r="P62" i="2"/>
  <c r="P63" i="2"/>
  <c r="P2" i="2"/>
  <c r="N3" i="1"/>
  <c r="N4" i="1"/>
  <c r="N5" i="1"/>
  <c r="N6" i="1"/>
  <c r="N7" i="1"/>
  <c r="N8" i="1"/>
  <c r="N9" i="1"/>
  <c r="N10" i="1"/>
  <c r="N11" i="1"/>
  <c r="N12" i="1"/>
  <c r="N13"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2" i="1"/>
  <c r="N14"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2" i="1"/>
  <c r="M3" i="2"/>
  <c r="J9" i="1" s="1"/>
  <c r="M4" i="2"/>
  <c r="J10" i="1" s="1"/>
  <c r="M5" i="2"/>
  <c r="M6" i="2"/>
  <c r="J15" i="1" s="1"/>
  <c r="M7" i="2"/>
  <c r="M8" i="2"/>
  <c r="J12" i="1" s="1"/>
  <c r="M9" i="2"/>
  <c r="M10" i="2"/>
  <c r="M11" i="2"/>
  <c r="J2" i="1" s="1"/>
  <c r="M12" i="2"/>
  <c r="J5" i="1" s="1"/>
  <c r="M13" i="2"/>
  <c r="J363" i="1" s="1"/>
  <c r="M14" i="2"/>
  <c r="M15" i="2"/>
  <c r="J18" i="1" s="1"/>
  <c r="M16" i="2"/>
  <c r="J19" i="1" s="1"/>
  <c r="M17" i="2"/>
  <c r="M18" i="2"/>
  <c r="M19" i="2"/>
  <c r="M20" i="2"/>
  <c r="M21" i="2"/>
  <c r="M22" i="2"/>
  <c r="M23" i="2"/>
  <c r="M24" i="2"/>
  <c r="J73" i="1" s="1"/>
  <c r="M25" i="2"/>
  <c r="M26" i="2"/>
  <c r="M27" i="2"/>
  <c r="M28" i="2"/>
  <c r="M29" i="2"/>
  <c r="J109" i="1" s="1"/>
  <c r="M30" i="2"/>
  <c r="J110" i="1" s="1"/>
  <c r="M31" i="2"/>
  <c r="J111" i="1" s="1"/>
  <c r="M32" i="2"/>
  <c r="J112" i="1" s="1"/>
  <c r="M33" i="2"/>
  <c r="J113" i="1" s="1"/>
  <c r="M34" i="2"/>
  <c r="J114" i="1" s="1"/>
  <c r="M35" i="2"/>
  <c r="M36" i="2"/>
  <c r="J117" i="1" s="1"/>
  <c r="M37" i="2"/>
  <c r="J365" i="1" s="1"/>
  <c r="M38" i="2"/>
  <c r="J366" i="1" s="1"/>
  <c r="M39" i="2"/>
  <c r="J367" i="1" s="1"/>
  <c r="M40" i="2"/>
  <c r="M41" i="2"/>
  <c r="M42" i="2"/>
  <c r="M43" i="2"/>
  <c r="M44" i="2"/>
  <c r="M45" i="2"/>
  <c r="M46" i="2"/>
  <c r="M47" i="2"/>
  <c r="M48" i="2"/>
  <c r="M49" i="2"/>
  <c r="M50" i="2"/>
  <c r="M51" i="2"/>
  <c r="M52" i="2"/>
  <c r="M53" i="2"/>
  <c r="M54" i="2"/>
  <c r="M55" i="2"/>
  <c r="M56" i="2"/>
  <c r="M57" i="2"/>
  <c r="M58" i="2"/>
  <c r="M59" i="2"/>
  <c r="M60" i="2"/>
  <c r="M61" i="2"/>
  <c r="M62" i="2"/>
  <c r="M63" i="2"/>
  <c r="M2" i="2"/>
  <c r="J3" i="2"/>
  <c r="L9" i="1" s="1"/>
  <c r="J4" i="2"/>
  <c r="L10" i="1" s="1"/>
  <c r="J5" i="2"/>
  <c r="J6" i="2"/>
  <c r="L15" i="1" s="1"/>
  <c r="J7" i="2"/>
  <c r="J8" i="2"/>
  <c r="L12" i="1" s="1"/>
  <c r="J9" i="2"/>
  <c r="J10" i="2"/>
  <c r="J11" i="2"/>
  <c r="L2" i="1" s="1"/>
  <c r="J12" i="2"/>
  <c r="L5" i="1" s="1"/>
  <c r="J13" i="2"/>
  <c r="L363" i="1" s="1"/>
  <c r="J14" i="2"/>
  <c r="J15" i="2"/>
  <c r="L18" i="1" s="1"/>
  <c r="J16" i="2"/>
  <c r="L19" i="1" s="1"/>
  <c r="J17" i="2"/>
  <c r="J18" i="2"/>
  <c r="J19" i="2"/>
  <c r="J20" i="2"/>
  <c r="J21" i="2"/>
  <c r="J22" i="2"/>
  <c r="J23" i="2"/>
  <c r="J24" i="2"/>
  <c r="L73" i="1" s="1"/>
  <c r="J25" i="2"/>
  <c r="J26" i="2"/>
  <c r="J27" i="2"/>
  <c r="J28" i="2"/>
  <c r="J29" i="2"/>
  <c r="L109" i="1" s="1"/>
  <c r="J30" i="2"/>
  <c r="L110" i="1" s="1"/>
  <c r="J31" i="2"/>
  <c r="L111" i="1" s="1"/>
  <c r="J32" i="2"/>
  <c r="L112" i="1" s="1"/>
  <c r="J33" i="2"/>
  <c r="L113" i="1" s="1"/>
  <c r="J34" i="2"/>
  <c r="L114" i="1" s="1"/>
  <c r="J35" i="2"/>
  <c r="J36" i="2"/>
  <c r="L117" i="1" s="1"/>
  <c r="J37" i="2"/>
  <c r="L365" i="1" s="1"/>
  <c r="J38" i="2"/>
  <c r="L366" i="1" s="1"/>
  <c r="J39" i="2"/>
  <c r="L367" i="1" s="1"/>
  <c r="J40" i="2"/>
  <c r="J41" i="2"/>
  <c r="J42" i="2"/>
  <c r="J43" i="2"/>
  <c r="J44" i="2"/>
  <c r="J45" i="2"/>
  <c r="J46" i="2"/>
  <c r="J47" i="2"/>
  <c r="J48" i="2"/>
  <c r="J49" i="2"/>
  <c r="J50" i="2"/>
  <c r="J51" i="2"/>
  <c r="J52" i="2"/>
  <c r="J53" i="2"/>
  <c r="J54" i="2"/>
  <c r="J55" i="2"/>
  <c r="J56" i="2"/>
  <c r="J57" i="2"/>
  <c r="J58" i="2"/>
  <c r="J59" i="2"/>
  <c r="J60" i="2"/>
  <c r="J61" i="2"/>
  <c r="J62" i="2"/>
  <c r="J63" i="2"/>
  <c r="J2" i="2"/>
  <c r="G2"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H2" i="1"/>
  <c r="H3" i="1"/>
  <c r="H4" i="1"/>
  <c r="H5" i="1"/>
  <c r="H6" i="1"/>
  <c r="H7" i="1"/>
  <c r="H8" i="1"/>
  <c r="H13" i="1"/>
  <c r="H14" i="1"/>
  <c r="H15" i="1"/>
  <c r="H16" i="1"/>
  <c r="H17" i="1"/>
  <c r="H18" i="1"/>
  <c r="H19" i="1"/>
  <c r="H20" i="1"/>
  <c r="H21" i="1"/>
  <c r="H22" i="1"/>
  <c r="H23" i="1"/>
  <c r="H24" i="1"/>
  <c r="H25" i="1"/>
  <c r="H26" i="1"/>
  <c r="H27" i="1"/>
  <c r="H28" i="1"/>
  <c r="H29" i="1"/>
  <c r="H3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G13" i="1"/>
  <c r="G14" i="1"/>
  <c r="G15" i="1"/>
  <c r="G16" i="1"/>
  <c r="G17" i="1"/>
  <c r="G18" i="1"/>
  <c r="G19" i="1"/>
  <c r="G20" i="1"/>
  <c r="G21" i="1"/>
  <c r="G22" i="1"/>
  <c r="G23" i="1"/>
  <c r="G24" i="1"/>
  <c r="G25" i="1"/>
  <c r="G26" i="1"/>
  <c r="G27" i="1"/>
  <c r="G28" i="1"/>
  <c r="G29" i="1"/>
  <c r="G3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4" i="1"/>
  <c r="G5" i="1"/>
  <c r="G6" i="1"/>
  <c r="G7" i="1"/>
  <c r="G8" i="1"/>
  <c r="G3" i="1"/>
  <c r="L1477" i="1" l="1"/>
  <c r="L1476" i="1"/>
  <c r="L1475" i="1"/>
  <c r="L1474" i="1"/>
  <c r="L1479" i="1"/>
  <c r="L1478" i="1"/>
  <c r="J1477" i="1"/>
  <c r="J1476" i="1"/>
  <c r="J1475" i="1"/>
  <c r="J1474" i="1"/>
  <c r="J1479" i="1"/>
  <c r="J1478" i="1"/>
  <c r="N1477" i="1"/>
  <c r="N1476" i="1"/>
  <c r="N1475" i="1"/>
  <c r="N1474" i="1"/>
  <c r="N1479" i="1"/>
  <c r="N1478" i="1"/>
  <c r="O1477" i="1"/>
  <c r="O1476" i="1"/>
  <c r="O1475" i="1"/>
  <c r="O1474" i="1"/>
  <c r="O1479" i="1"/>
  <c r="O1478" i="1"/>
  <c r="L1467" i="1"/>
  <c r="L1466" i="1"/>
  <c r="L1465" i="1"/>
  <c r="L1464" i="1"/>
  <c r="J1467" i="1"/>
  <c r="J1466" i="1"/>
  <c r="J1465" i="1"/>
  <c r="J1464" i="1"/>
  <c r="N1467" i="1"/>
  <c r="N1466" i="1"/>
  <c r="N1465" i="1"/>
  <c r="N1464" i="1"/>
  <c r="O1467" i="1"/>
  <c r="O1466" i="1"/>
  <c r="O1465" i="1"/>
  <c r="O1464" i="1"/>
  <c r="L14" i="1"/>
  <c r="L1463" i="1"/>
  <c r="L1462" i="1"/>
  <c r="L1461" i="1"/>
  <c r="L1460" i="1"/>
  <c r="L1459" i="1"/>
  <c r="L1458" i="1"/>
  <c r="L1457" i="1"/>
  <c r="L1456" i="1"/>
  <c r="L1455" i="1"/>
  <c r="J14" i="1"/>
  <c r="J1463" i="1"/>
  <c r="J1462" i="1"/>
  <c r="J1461" i="1"/>
  <c r="J1460" i="1"/>
  <c r="J1459" i="1"/>
  <c r="J1458" i="1"/>
  <c r="J1457" i="1"/>
  <c r="J1456" i="1"/>
  <c r="J1455" i="1"/>
  <c r="P14" i="1"/>
  <c r="O14" i="1"/>
  <c r="O1463" i="1"/>
  <c r="O1462" i="1"/>
  <c r="O1461" i="1"/>
  <c r="O1460" i="1"/>
  <c r="O1459" i="1"/>
  <c r="O1458" i="1"/>
  <c r="O1457" i="1"/>
  <c r="O1456" i="1"/>
  <c r="O1455" i="1"/>
  <c r="N1463" i="1"/>
  <c r="N1462" i="1"/>
  <c r="N1461" i="1"/>
  <c r="N1460" i="1"/>
  <c r="N1459" i="1"/>
  <c r="N1458" i="1"/>
  <c r="N1457" i="1"/>
  <c r="N1456" i="1"/>
  <c r="N1455" i="1"/>
  <c r="L1454" i="1"/>
  <c r="L1453" i="1"/>
  <c r="L1452" i="1"/>
  <c r="L1451" i="1"/>
  <c r="L1450" i="1"/>
  <c r="J1454" i="1"/>
  <c r="J1453" i="1"/>
  <c r="J1452" i="1"/>
  <c r="J1451" i="1"/>
  <c r="J1450" i="1"/>
  <c r="N1454" i="1"/>
  <c r="N1453" i="1"/>
  <c r="N1452" i="1"/>
  <c r="N1451" i="1"/>
  <c r="N1450" i="1"/>
  <c r="P115" i="2"/>
  <c r="O1454" i="1"/>
  <c r="P116" i="2"/>
  <c r="O1453" i="1"/>
  <c r="O1452" i="1"/>
  <c r="O1451" i="1"/>
  <c r="O1450" i="1"/>
  <c r="L1421" i="1"/>
  <c r="L1420" i="1"/>
  <c r="L1419" i="1"/>
  <c r="L1418" i="1"/>
  <c r="L1417" i="1"/>
  <c r="L1416" i="1"/>
  <c r="L1415" i="1"/>
  <c r="L1414" i="1"/>
  <c r="L1413" i="1"/>
  <c r="L1412" i="1"/>
  <c r="L1411" i="1"/>
  <c r="L1410" i="1"/>
  <c r="L1409" i="1"/>
  <c r="L1433" i="1"/>
  <c r="L1432" i="1"/>
  <c r="L1431" i="1"/>
  <c r="L1430" i="1"/>
  <c r="L1429" i="1"/>
  <c r="L1428" i="1"/>
  <c r="L1427" i="1"/>
  <c r="L1426" i="1"/>
  <c r="L1425" i="1"/>
  <c r="L1424" i="1"/>
  <c r="L1423" i="1"/>
  <c r="L1422" i="1"/>
  <c r="L1449" i="1"/>
  <c r="L1448" i="1"/>
  <c r="L1447" i="1"/>
  <c r="L1446" i="1"/>
  <c r="L1445" i="1"/>
  <c r="L1444" i="1"/>
  <c r="L1443" i="1"/>
  <c r="L1442" i="1"/>
  <c r="L1441" i="1"/>
  <c r="L1440" i="1"/>
  <c r="L1439" i="1"/>
  <c r="L1438" i="1"/>
  <c r="L1437" i="1"/>
  <c r="L1436" i="1"/>
  <c r="L1435" i="1"/>
  <c r="L1434" i="1"/>
  <c r="J1421" i="1"/>
  <c r="J1420" i="1"/>
  <c r="J1419" i="1"/>
  <c r="J1418" i="1"/>
  <c r="J1417" i="1"/>
  <c r="J1416" i="1"/>
  <c r="J1415" i="1"/>
  <c r="J1414" i="1"/>
  <c r="J1413" i="1"/>
  <c r="J1412" i="1"/>
  <c r="J1411" i="1"/>
  <c r="J1410" i="1"/>
  <c r="J1409" i="1"/>
  <c r="J1433" i="1"/>
  <c r="J1432" i="1"/>
  <c r="J1431" i="1"/>
  <c r="J1430" i="1"/>
  <c r="J1429" i="1"/>
  <c r="J1428" i="1"/>
  <c r="J1427" i="1"/>
  <c r="J1426" i="1"/>
  <c r="J1425" i="1"/>
  <c r="J1424" i="1"/>
  <c r="J1423" i="1"/>
  <c r="J1422" i="1"/>
  <c r="J1449" i="1"/>
  <c r="J1448" i="1"/>
  <c r="J1447" i="1"/>
  <c r="J1446" i="1"/>
  <c r="J1445" i="1"/>
  <c r="J1444" i="1"/>
  <c r="J1443" i="1"/>
  <c r="J1442" i="1"/>
  <c r="J1441" i="1"/>
  <c r="J1440" i="1"/>
  <c r="J1439" i="1"/>
  <c r="J1438" i="1"/>
  <c r="J1437" i="1"/>
  <c r="J1436" i="1"/>
  <c r="J1435" i="1"/>
  <c r="J1434" i="1"/>
  <c r="N1421" i="1"/>
  <c r="N1420" i="1"/>
  <c r="N1419" i="1"/>
  <c r="N1418" i="1"/>
  <c r="N1417" i="1"/>
  <c r="N1416" i="1"/>
  <c r="N1415" i="1"/>
  <c r="N1414" i="1"/>
  <c r="N1413" i="1"/>
  <c r="N1412" i="1"/>
  <c r="N1411" i="1"/>
  <c r="N1410" i="1"/>
  <c r="N1409" i="1"/>
  <c r="N1433" i="1"/>
  <c r="N1432" i="1"/>
  <c r="N1431" i="1"/>
  <c r="N1430" i="1"/>
  <c r="N1429" i="1"/>
  <c r="N1428" i="1"/>
  <c r="N1427" i="1"/>
  <c r="N1426" i="1"/>
  <c r="N1425" i="1"/>
  <c r="N1424" i="1"/>
  <c r="N1423" i="1"/>
  <c r="N1422" i="1"/>
  <c r="N1449" i="1"/>
  <c r="N1448" i="1"/>
  <c r="N1447" i="1"/>
  <c r="N1446" i="1"/>
  <c r="N1445" i="1"/>
  <c r="N1444" i="1"/>
  <c r="N1443" i="1"/>
  <c r="N1442" i="1"/>
  <c r="N1441" i="1"/>
  <c r="N1440" i="1"/>
  <c r="N1439" i="1"/>
  <c r="N1438" i="1"/>
  <c r="N1437" i="1"/>
  <c r="N1436" i="1"/>
  <c r="N1435" i="1"/>
  <c r="N1434" i="1"/>
  <c r="P112" i="2"/>
  <c r="O1421" i="1"/>
  <c r="O1420" i="1"/>
  <c r="O1419" i="1"/>
  <c r="O1418" i="1"/>
  <c r="O1417" i="1"/>
  <c r="O1416" i="1"/>
  <c r="O1415" i="1"/>
  <c r="O1414" i="1"/>
  <c r="O1413" i="1"/>
  <c r="O1412" i="1"/>
  <c r="O1411" i="1"/>
  <c r="O1410" i="1"/>
  <c r="O1409" i="1"/>
  <c r="P113" i="2"/>
  <c r="O1433" i="1"/>
  <c r="O1432" i="1"/>
  <c r="O1431" i="1"/>
  <c r="O1430" i="1"/>
  <c r="O1429" i="1"/>
  <c r="O1428" i="1"/>
  <c r="O1427" i="1"/>
  <c r="O1426" i="1"/>
  <c r="O1425" i="1"/>
  <c r="O1424" i="1"/>
  <c r="O1423" i="1"/>
  <c r="O1422" i="1"/>
  <c r="P114" i="2"/>
  <c r="O1449" i="1"/>
  <c r="O1448" i="1"/>
  <c r="O1447" i="1"/>
  <c r="O1446" i="1"/>
  <c r="O1445" i="1"/>
  <c r="O1444" i="1"/>
  <c r="O1443" i="1"/>
  <c r="O1442" i="1"/>
  <c r="O1441" i="1"/>
  <c r="O1440" i="1"/>
  <c r="O1439" i="1"/>
  <c r="O1438" i="1"/>
  <c r="O1437" i="1"/>
  <c r="O1436" i="1"/>
  <c r="O1435" i="1"/>
  <c r="O1434" i="1"/>
  <c r="L1359" i="1"/>
  <c r="L1358" i="1"/>
  <c r="L1357" i="1"/>
  <c r="L1356" i="1"/>
  <c r="L1355" i="1"/>
  <c r="L1354" i="1"/>
  <c r="L1353" i="1"/>
  <c r="L1352" i="1"/>
  <c r="L1351" i="1"/>
  <c r="L1350" i="1"/>
  <c r="L1369" i="1"/>
  <c r="L1368" i="1"/>
  <c r="L1367" i="1"/>
  <c r="L1366" i="1"/>
  <c r="L1365" i="1"/>
  <c r="L1364" i="1"/>
  <c r="L1363" i="1"/>
  <c r="L1362" i="1"/>
  <c r="L1361" i="1"/>
  <c r="L1360" i="1"/>
  <c r="L1388" i="1"/>
  <c r="L1387" i="1"/>
  <c r="L1386" i="1"/>
  <c r="L1385" i="1"/>
  <c r="L1384" i="1"/>
  <c r="L1383" i="1"/>
  <c r="L1382" i="1"/>
  <c r="L1381" i="1"/>
  <c r="L1380" i="1"/>
  <c r="L1379" i="1"/>
  <c r="L1378" i="1"/>
  <c r="L1377" i="1"/>
  <c r="L1376" i="1"/>
  <c r="L1375" i="1"/>
  <c r="L1374" i="1"/>
  <c r="L1373" i="1"/>
  <c r="L1372" i="1"/>
  <c r="L1371" i="1"/>
  <c r="L1370" i="1"/>
  <c r="J1359" i="1"/>
  <c r="J1358" i="1"/>
  <c r="J1357" i="1"/>
  <c r="J1356" i="1"/>
  <c r="J1355" i="1"/>
  <c r="J1354" i="1"/>
  <c r="J1353" i="1"/>
  <c r="J1352" i="1"/>
  <c r="J1351" i="1"/>
  <c r="J1350" i="1"/>
  <c r="J1369" i="1"/>
  <c r="J1368" i="1"/>
  <c r="J1367" i="1"/>
  <c r="J1366" i="1"/>
  <c r="J1365" i="1"/>
  <c r="J1364" i="1"/>
  <c r="J1363" i="1"/>
  <c r="J1362" i="1"/>
  <c r="J1361" i="1"/>
  <c r="J1360" i="1"/>
  <c r="J1388" i="1"/>
  <c r="J1387" i="1"/>
  <c r="J1386" i="1"/>
  <c r="J1385" i="1"/>
  <c r="J1384" i="1"/>
  <c r="J1383" i="1"/>
  <c r="J1382" i="1"/>
  <c r="J1381" i="1"/>
  <c r="J1380" i="1"/>
  <c r="J1379" i="1"/>
  <c r="J1378" i="1"/>
  <c r="J1377" i="1"/>
  <c r="J1376" i="1"/>
  <c r="J1375" i="1"/>
  <c r="J1374" i="1"/>
  <c r="J1373" i="1"/>
  <c r="J1372" i="1"/>
  <c r="J1371" i="1"/>
  <c r="J1370" i="1"/>
  <c r="N1359" i="1"/>
  <c r="N1358" i="1"/>
  <c r="N1357" i="1"/>
  <c r="N1356" i="1"/>
  <c r="N1355" i="1"/>
  <c r="N1354" i="1"/>
  <c r="N1353" i="1"/>
  <c r="N1352" i="1"/>
  <c r="N1351" i="1"/>
  <c r="N1350" i="1"/>
  <c r="N1369" i="1"/>
  <c r="N1368" i="1"/>
  <c r="N1367" i="1"/>
  <c r="N1366" i="1"/>
  <c r="N1365" i="1"/>
  <c r="N1364" i="1"/>
  <c r="N1363" i="1"/>
  <c r="N1362" i="1"/>
  <c r="N1361" i="1"/>
  <c r="N1360" i="1"/>
  <c r="N1388" i="1"/>
  <c r="N1387" i="1"/>
  <c r="N1386" i="1"/>
  <c r="N1385" i="1"/>
  <c r="N1384" i="1"/>
  <c r="N1383" i="1"/>
  <c r="N1382" i="1"/>
  <c r="N1381" i="1"/>
  <c r="N1380" i="1"/>
  <c r="N1379" i="1"/>
  <c r="N1378" i="1"/>
  <c r="N1377" i="1"/>
  <c r="N1376" i="1"/>
  <c r="N1375" i="1"/>
  <c r="N1374" i="1"/>
  <c r="N1373" i="1"/>
  <c r="N1372" i="1"/>
  <c r="N1371" i="1"/>
  <c r="N1370" i="1"/>
  <c r="P106" i="2"/>
  <c r="O1359" i="1"/>
  <c r="O1358" i="1"/>
  <c r="O1357" i="1"/>
  <c r="O1356" i="1"/>
  <c r="O1355" i="1"/>
  <c r="O1354" i="1"/>
  <c r="O1353" i="1"/>
  <c r="O1352" i="1"/>
  <c r="O1351" i="1"/>
  <c r="O1350" i="1"/>
  <c r="P107" i="2"/>
  <c r="O1369" i="1"/>
  <c r="O1368" i="1"/>
  <c r="O1367" i="1"/>
  <c r="O1366" i="1"/>
  <c r="O1365" i="1"/>
  <c r="O1364" i="1"/>
  <c r="O1363" i="1"/>
  <c r="O1362" i="1"/>
  <c r="O1361" i="1"/>
  <c r="O1360" i="1"/>
  <c r="P108" i="2"/>
  <c r="O1388" i="1"/>
  <c r="O1387" i="1"/>
  <c r="O1386" i="1"/>
  <c r="O1385" i="1"/>
  <c r="O1384" i="1"/>
  <c r="O1383" i="1"/>
  <c r="O1382" i="1"/>
  <c r="O1381" i="1"/>
  <c r="O1380" i="1"/>
  <c r="O1379" i="1"/>
  <c r="O1378" i="1"/>
  <c r="O1377" i="1"/>
  <c r="O1376" i="1"/>
  <c r="O1375" i="1"/>
  <c r="O1374" i="1"/>
  <c r="O1373" i="1"/>
  <c r="O1372" i="1"/>
  <c r="O1371" i="1"/>
  <c r="O1370" i="1"/>
  <c r="L1408" i="1"/>
  <c r="L1407" i="1"/>
  <c r="L1406" i="1"/>
  <c r="L1405" i="1"/>
  <c r="L1404" i="1"/>
  <c r="L1403" i="1"/>
  <c r="L1402" i="1"/>
  <c r="L1401" i="1"/>
  <c r="L1400" i="1"/>
  <c r="L1399" i="1"/>
  <c r="L1398" i="1"/>
  <c r="L1397" i="1"/>
  <c r="L1396" i="1"/>
  <c r="L1395" i="1"/>
  <c r="L1394" i="1"/>
  <c r="L1393" i="1"/>
  <c r="L1392" i="1"/>
  <c r="L1391" i="1"/>
  <c r="L1390" i="1"/>
  <c r="L1389" i="1"/>
  <c r="J1408" i="1"/>
  <c r="J1407" i="1"/>
  <c r="J1406" i="1"/>
  <c r="J1405" i="1"/>
  <c r="J1404" i="1"/>
  <c r="J1403" i="1"/>
  <c r="J1402" i="1"/>
  <c r="J1401" i="1"/>
  <c r="J1400" i="1"/>
  <c r="J1399" i="1"/>
  <c r="J1398" i="1"/>
  <c r="J1397" i="1"/>
  <c r="J1396" i="1"/>
  <c r="J1395" i="1"/>
  <c r="J1394" i="1"/>
  <c r="J1393" i="1"/>
  <c r="J1392" i="1"/>
  <c r="J1391" i="1"/>
  <c r="J1390" i="1"/>
  <c r="J1389" i="1"/>
  <c r="N1408" i="1"/>
  <c r="N1407" i="1"/>
  <c r="N1406" i="1"/>
  <c r="N1405" i="1"/>
  <c r="N1404" i="1"/>
  <c r="N1403" i="1"/>
  <c r="N1402" i="1"/>
  <c r="N1401" i="1"/>
  <c r="N1400" i="1"/>
  <c r="N1399" i="1"/>
  <c r="N1398" i="1"/>
  <c r="N1397" i="1"/>
  <c r="N1396" i="1"/>
  <c r="N1395" i="1"/>
  <c r="N1394" i="1"/>
  <c r="N1393" i="1"/>
  <c r="N1392" i="1"/>
  <c r="N1391" i="1"/>
  <c r="N1390" i="1"/>
  <c r="N1389" i="1"/>
  <c r="P109" i="2"/>
  <c r="P110" i="2"/>
  <c r="P111" i="2"/>
  <c r="O1408" i="1"/>
  <c r="O1407" i="1"/>
  <c r="O1406" i="1"/>
  <c r="O1405" i="1"/>
  <c r="O1404" i="1"/>
  <c r="O1403" i="1"/>
  <c r="O1402" i="1"/>
  <c r="O1401" i="1"/>
  <c r="O1400" i="1"/>
  <c r="O1399" i="1"/>
  <c r="O1398" i="1"/>
  <c r="O1397" i="1"/>
  <c r="O1396" i="1"/>
  <c r="O1395" i="1"/>
  <c r="O1394" i="1"/>
  <c r="O1393" i="1"/>
  <c r="O1392" i="1"/>
  <c r="O1391" i="1"/>
  <c r="O1390" i="1"/>
  <c r="O1389" i="1"/>
  <c r="L364" i="1"/>
  <c r="L896" i="1"/>
  <c r="L895" i="1"/>
  <c r="L894" i="1"/>
  <c r="L893" i="1"/>
  <c r="L892" i="1"/>
  <c r="L891" i="1"/>
  <c r="L890" i="1"/>
  <c r="L889" i="1"/>
  <c r="L888" i="1"/>
  <c r="L887" i="1"/>
  <c r="L886" i="1"/>
  <c r="L885" i="1"/>
  <c r="L884" i="1"/>
  <c r="L883" i="1"/>
  <c r="L882" i="1"/>
  <c r="L881" i="1"/>
  <c r="L880" i="1"/>
  <c r="L879" i="1"/>
  <c r="L878" i="1"/>
  <c r="L877" i="1"/>
  <c r="L876" i="1"/>
  <c r="L875" i="1"/>
  <c r="L874" i="1"/>
  <c r="L873" i="1"/>
  <c r="L872" i="1"/>
  <c r="L871" i="1"/>
  <c r="L870" i="1"/>
  <c r="L869" i="1"/>
  <c r="L868" i="1"/>
  <c r="L867" i="1"/>
  <c r="L866" i="1"/>
  <c r="L865" i="1"/>
  <c r="L864" i="1"/>
  <c r="L863" i="1"/>
  <c r="L862" i="1"/>
  <c r="L861" i="1"/>
  <c r="L860" i="1"/>
  <c r="L859" i="1"/>
  <c r="L858" i="1"/>
  <c r="L857" i="1"/>
  <c r="L856" i="1"/>
  <c r="L855" i="1"/>
  <c r="L854" i="1"/>
  <c r="L853" i="1"/>
  <c r="L852" i="1"/>
  <c r="L851" i="1"/>
  <c r="L850" i="1"/>
  <c r="L849" i="1"/>
  <c r="L848" i="1"/>
  <c r="L847" i="1"/>
  <c r="L846" i="1"/>
  <c r="L845" i="1"/>
  <c r="L844" i="1"/>
  <c r="L843" i="1"/>
  <c r="L842" i="1"/>
  <c r="L841" i="1"/>
  <c r="L840" i="1"/>
  <c r="L839" i="1"/>
  <c r="L838" i="1"/>
  <c r="L837" i="1"/>
  <c r="L836" i="1"/>
  <c r="L835" i="1"/>
  <c r="L834" i="1"/>
  <c r="L833" i="1"/>
  <c r="L832" i="1"/>
  <c r="L831" i="1"/>
  <c r="L830" i="1"/>
  <c r="L829" i="1"/>
  <c r="L828" i="1"/>
  <c r="L827" i="1"/>
  <c r="L826" i="1"/>
  <c r="L825" i="1"/>
  <c r="L824" i="1"/>
  <c r="L823" i="1"/>
  <c r="L822" i="1"/>
  <c r="L821" i="1"/>
  <c r="L820" i="1"/>
  <c r="L819" i="1"/>
  <c r="L818" i="1"/>
  <c r="L817" i="1"/>
  <c r="L816" i="1"/>
  <c r="L815" i="1"/>
  <c r="L814" i="1"/>
  <c r="L813" i="1"/>
  <c r="L812" i="1"/>
  <c r="L811" i="1"/>
  <c r="L810" i="1"/>
  <c r="L809" i="1"/>
  <c r="L808" i="1"/>
  <c r="L807" i="1"/>
  <c r="L806" i="1"/>
  <c r="L805" i="1"/>
  <c r="L804" i="1"/>
  <c r="L803" i="1"/>
  <c r="L802" i="1"/>
  <c r="L801" i="1"/>
  <c r="L800" i="1"/>
  <c r="L799" i="1"/>
  <c r="L798" i="1"/>
  <c r="L797" i="1"/>
  <c r="L796" i="1"/>
  <c r="L795" i="1"/>
  <c r="L794" i="1"/>
  <c r="L793" i="1"/>
  <c r="L792" i="1"/>
  <c r="L791" i="1"/>
  <c r="L790" i="1"/>
  <c r="L789" i="1"/>
  <c r="L788" i="1"/>
  <c r="L787" i="1"/>
  <c r="L786" i="1"/>
  <c r="L785" i="1"/>
  <c r="L784" i="1"/>
  <c r="L783" i="1"/>
  <c r="L782" i="1"/>
  <c r="L781" i="1"/>
  <c r="L780" i="1"/>
  <c r="L779" i="1"/>
  <c r="L778" i="1"/>
  <c r="L777" i="1"/>
  <c r="L776" i="1"/>
  <c r="L775" i="1"/>
  <c r="L774" i="1"/>
  <c r="L773" i="1"/>
  <c r="L772" i="1"/>
  <c r="L771" i="1"/>
  <c r="L770" i="1"/>
  <c r="L769" i="1"/>
  <c r="L768" i="1"/>
  <c r="L767" i="1"/>
  <c r="L766" i="1"/>
  <c r="L765" i="1"/>
  <c r="L764" i="1"/>
  <c r="L763" i="1"/>
  <c r="L762" i="1"/>
  <c r="L761" i="1"/>
  <c r="L760" i="1"/>
  <c r="L759" i="1"/>
  <c r="L758" i="1"/>
  <c r="L757" i="1"/>
  <c r="L756" i="1"/>
  <c r="L755" i="1"/>
  <c r="L754" i="1"/>
  <c r="L753" i="1"/>
  <c r="L752" i="1"/>
  <c r="L751" i="1"/>
  <c r="L750" i="1"/>
  <c r="L749" i="1"/>
  <c r="L748" i="1"/>
  <c r="L747" i="1"/>
  <c r="L746" i="1"/>
  <c r="L745" i="1"/>
  <c r="L744" i="1"/>
  <c r="L743" i="1"/>
  <c r="L742" i="1"/>
  <c r="L741" i="1"/>
  <c r="L740" i="1"/>
  <c r="L739" i="1"/>
  <c r="L738" i="1"/>
  <c r="L737" i="1"/>
  <c r="L736" i="1"/>
  <c r="L735" i="1"/>
  <c r="L734" i="1"/>
  <c r="L733" i="1"/>
  <c r="L732" i="1"/>
  <c r="L731" i="1"/>
  <c r="L730" i="1"/>
  <c r="L729" i="1"/>
  <c r="L728" i="1"/>
  <c r="L727" i="1"/>
  <c r="L726" i="1"/>
  <c r="L725" i="1"/>
  <c r="L724" i="1"/>
  <c r="L723" i="1"/>
  <c r="L722" i="1"/>
  <c r="L721" i="1"/>
  <c r="L720" i="1"/>
  <c r="L719" i="1"/>
  <c r="L718" i="1"/>
  <c r="L717" i="1"/>
  <c r="L716" i="1"/>
  <c r="L715" i="1"/>
  <c r="L714" i="1"/>
  <c r="L713" i="1"/>
  <c r="L712" i="1"/>
  <c r="L711" i="1"/>
  <c r="L710" i="1"/>
  <c r="L709" i="1"/>
  <c r="L708" i="1"/>
  <c r="L707" i="1"/>
  <c r="L706" i="1"/>
  <c r="L705" i="1"/>
  <c r="L704" i="1"/>
  <c r="L703" i="1"/>
  <c r="L702" i="1"/>
  <c r="L701" i="1"/>
  <c r="L700" i="1"/>
  <c r="L699" i="1"/>
  <c r="L698" i="1"/>
  <c r="L697" i="1"/>
  <c r="L696" i="1"/>
  <c r="L695" i="1"/>
  <c r="L694" i="1"/>
  <c r="L693" i="1"/>
  <c r="L692" i="1"/>
  <c r="L691" i="1"/>
  <c r="L690" i="1"/>
  <c r="L689" i="1"/>
  <c r="L688" i="1"/>
  <c r="L687" i="1"/>
  <c r="L686" i="1"/>
  <c r="L685" i="1"/>
  <c r="L684" i="1"/>
  <c r="L683" i="1"/>
  <c r="L682" i="1"/>
  <c r="L681" i="1"/>
  <c r="L680" i="1"/>
  <c r="L679" i="1"/>
  <c r="L678" i="1"/>
  <c r="L677" i="1"/>
  <c r="L676" i="1"/>
  <c r="L675" i="1"/>
  <c r="L674" i="1"/>
  <c r="L673" i="1"/>
  <c r="L672" i="1"/>
  <c r="L671" i="1"/>
  <c r="L670" i="1"/>
  <c r="L669" i="1"/>
  <c r="L668" i="1"/>
  <c r="L667" i="1"/>
  <c r="L666" i="1"/>
  <c r="L665" i="1"/>
  <c r="L664" i="1"/>
  <c r="L663" i="1"/>
  <c r="L662" i="1"/>
  <c r="L661" i="1"/>
  <c r="L660" i="1"/>
  <c r="L659" i="1"/>
  <c r="L658" i="1"/>
  <c r="L657" i="1"/>
  <c r="L656" i="1"/>
  <c r="L655" i="1"/>
  <c r="L654" i="1"/>
  <c r="L653" i="1"/>
  <c r="L652" i="1"/>
  <c r="L651" i="1"/>
  <c r="L650" i="1"/>
  <c r="L649" i="1"/>
  <c r="L648" i="1"/>
  <c r="L647" i="1"/>
  <c r="L646" i="1"/>
  <c r="L1021" i="1"/>
  <c r="L1020" i="1"/>
  <c r="L1019" i="1"/>
  <c r="L1018" i="1"/>
  <c r="L1017" i="1"/>
  <c r="L1016" i="1"/>
  <c r="L1015" i="1"/>
  <c r="L1014" i="1"/>
  <c r="L1013" i="1"/>
  <c r="L1012" i="1"/>
  <c r="L1011" i="1"/>
  <c r="L1010" i="1"/>
  <c r="L1009" i="1"/>
  <c r="L1008" i="1"/>
  <c r="L1007" i="1"/>
  <c r="L1006" i="1"/>
  <c r="L1005" i="1"/>
  <c r="L1004" i="1"/>
  <c r="L1003" i="1"/>
  <c r="L1002" i="1"/>
  <c r="L1001" i="1"/>
  <c r="L1000" i="1"/>
  <c r="L999" i="1"/>
  <c r="L998" i="1"/>
  <c r="L997" i="1"/>
  <c r="L996" i="1"/>
  <c r="L995" i="1"/>
  <c r="L994" i="1"/>
  <c r="L993" i="1"/>
  <c r="L992" i="1"/>
  <c r="L991" i="1"/>
  <c r="L990" i="1"/>
  <c r="L989" i="1"/>
  <c r="L988" i="1"/>
  <c r="L987" i="1"/>
  <c r="L986" i="1"/>
  <c r="L985" i="1"/>
  <c r="L984" i="1"/>
  <c r="L983" i="1"/>
  <c r="L982" i="1"/>
  <c r="L981" i="1"/>
  <c r="L980" i="1"/>
  <c r="L979" i="1"/>
  <c r="L978" i="1"/>
  <c r="L977" i="1"/>
  <c r="L976" i="1"/>
  <c r="L975" i="1"/>
  <c r="L974" i="1"/>
  <c r="L973" i="1"/>
  <c r="L972" i="1"/>
  <c r="L971" i="1"/>
  <c r="L970" i="1"/>
  <c r="L969" i="1"/>
  <c r="L968" i="1"/>
  <c r="L967" i="1"/>
  <c r="L966" i="1"/>
  <c r="L965" i="1"/>
  <c r="L964" i="1"/>
  <c r="L963" i="1"/>
  <c r="L962" i="1"/>
  <c r="L961" i="1"/>
  <c r="L960" i="1"/>
  <c r="L959" i="1"/>
  <c r="L958" i="1"/>
  <c r="L957" i="1"/>
  <c r="L956" i="1"/>
  <c r="L955" i="1"/>
  <c r="L954" i="1"/>
  <c r="L953" i="1"/>
  <c r="L952" i="1"/>
  <c r="L951" i="1"/>
  <c r="L950" i="1"/>
  <c r="L949" i="1"/>
  <c r="L948" i="1"/>
  <c r="L947" i="1"/>
  <c r="L946" i="1"/>
  <c r="L945" i="1"/>
  <c r="L944" i="1"/>
  <c r="L943" i="1"/>
  <c r="L942" i="1"/>
  <c r="L941" i="1"/>
  <c r="L940" i="1"/>
  <c r="L939" i="1"/>
  <c r="L938" i="1"/>
  <c r="L937" i="1"/>
  <c r="L936" i="1"/>
  <c r="L935" i="1"/>
  <c r="L934" i="1"/>
  <c r="L933" i="1"/>
  <c r="L932" i="1"/>
  <c r="L931" i="1"/>
  <c r="L930" i="1"/>
  <c r="L929" i="1"/>
  <c r="L928" i="1"/>
  <c r="L927" i="1"/>
  <c r="L926" i="1"/>
  <c r="L925" i="1"/>
  <c r="L924" i="1"/>
  <c r="L923" i="1"/>
  <c r="L922" i="1"/>
  <c r="L921" i="1"/>
  <c r="L920" i="1"/>
  <c r="L919" i="1"/>
  <c r="L918" i="1"/>
  <c r="L917" i="1"/>
  <c r="L916" i="1"/>
  <c r="L915" i="1"/>
  <c r="L914" i="1"/>
  <c r="L913" i="1"/>
  <c r="L912" i="1"/>
  <c r="L911" i="1"/>
  <c r="L910" i="1"/>
  <c r="L909" i="1"/>
  <c r="L908" i="1"/>
  <c r="L907" i="1"/>
  <c r="L906" i="1"/>
  <c r="L905" i="1"/>
  <c r="L904" i="1"/>
  <c r="L903" i="1"/>
  <c r="L902" i="1"/>
  <c r="L901" i="1"/>
  <c r="L900" i="1"/>
  <c r="L899" i="1"/>
  <c r="L898" i="1"/>
  <c r="L897" i="1"/>
  <c r="L1349" i="1"/>
  <c r="L1348" i="1"/>
  <c r="L1347" i="1"/>
  <c r="L1346" i="1"/>
  <c r="L1345" i="1"/>
  <c r="L1344" i="1"/>
  <c r="L1343" i="1"/>
  <c r="L1342" i="1"/>
  <c r="L1341" i="1"/>
  <c r="L1340" i="1"/>
  <c r="L1339" i="1"/>
  <c r="L1338" i="1"/>
  <c r="L1337" i="1"/>
  <c r="L1336" i="1"/>
  <c r="L1335" i="1"/>
  <c r="L1334" i="1"/>
  <c r="L1333" i="1"/>
  <c r="L1332" i="1"/>
  <c r="L1331" i="1"/>
  <c r="L1330" i="1"/>
  <c r="L1329" i="1"/>
  <c r="L1328" i="1"/>
  <c r="L1327" i="1"/>
  <c r="L1326" i="1"/>
  <c r="L1325" i="1"/>
  <c r="L1324" i="1"/>
  <c r="L1323" i="1"/>
  <c r="L1322" i="1"/>
  <c r="L1321" i="1"/>
  <c r="L1320" i="1"/>
  <c r="L1319" i="1"/>
  <c r="L1318" i="1"/>
  <c r="L1317" i="1"/>
  <c r="L1316" i="1"/>
  <c r="L1315" i="1"/>
  <c r="L1314" i="1"/>
  <c r="L1313" i="1"/>
  <c r="L1312" i="1"/>
  <c r="L1311" i="1"/>
  <c r="L1310" i="1"/>
  <c r="L1309" i="1"/>
  <c r="L1308" i="1"/>
  <c r="L1307" i="1"/>
  <c r="L1306" i="1"/>
  <c r="L1305" i="1"/>
  <c r="L1304" i="1"/>
  <c r="L1303" i="1"/>
  <c r="L1302" i="1"/>
  <c r="L1301" i="1"/>
  <c r="L1300" i="1"/>
  <c r="L1299" i="1"/>
  <c r="L1298" i="1"/>
  <c r="L1297" i="1"/>
  <c r="L1296" i="1"/>
  <c r="L1295" i="1"/>
  <c r="L1294" i="1"/>
  <c r="L1293" i="1"/>
  <c r="L1292" i="1"/>
  <c r="L1291" i="1"/>
  <c r="L1290" i="1"/>
  <c r="L1289" i="1"/>
  <c r="L1288" i="1"/>
  <c r="L1287" i="1"/>
  <c r="L1286" i="1"/>
  <c r="L1285" i="1"/>
  <c r="L1284" i="1"/>
  <c r="L1283" i="1"/>
  <c r="L1282" i="1"/>
  <c r="L1281" i="1"/>
  <c r="L1280" i="1"/>
  <c r="L1279" i="1"/>
  <c r="L1278" i="1"/>
  <c r="L1277" i="1"/>
  <c r="L1276" i="1"/>
  <c r="L1275" i="1"/>
  <c r="L1274" i="1"/>
  <c r="L1273" i="1"/>
  <c r="L1272" i="1"/>
  <c r="L1271" i="1"/>
  <c r="L1270" i="1"/>
  <c r="L1269" i="1"/>
  <c r="L1268" i="1"/>
  <c r="L1267" i="1"/>
  <c r="L1266" i="1"/>
  <c r="L1265" i="1"/>
  <c r="L1264" i="1"/>
  <c r="L1263" i="1"/>
  <c r="L1262" i="1"/>
  <c r="L1261" i="1"/>
  <c r="L1260" i="1"/>
  <c r="L1259" i="1"/>
  <c r="L1258" i="1"/>
  <c r="L1257" i="1"/>
  <c r="L1256" i="1"/>
  <c r="L1255" i="1"/>
  <c r="L1254" i="1"/>
  <c r="L1253" i="1"/>
  <c r="L1252" i="1"/>
  <c r="L1251" i="1"/>
  <c r="L1250" i="1"/>
  <c r="L1249" i="1"/>
  <c r="L1248" i="1"/>
  <c r="L1247" i="1"/>
  <c r="L1246" i="1"/>
  <c r="L1245" i="1"/>
  <c r="L1244" i="1"/>
  <c r="L1243" i="1"/>
  <c r="L1242" i="1"/>
  <c r="L1241" i="1"/>
  <c r="L1240" i="1"/>
  <c r="L1239" i="1"/>
  <c r="L1238" i="1"/>
  <c r="L1237" i="1"/>
  <c r="L1236" i="1"/>
  <c r="L1235" i="1"/>
  <c r="L1234" i="1"/>
  <c r="L1233" i="1"/>
  <c r="L1232" i="1"/>
  <c r="L1231" i="1"/>
  <c r="L1230" i="1"/>
  <c r="L1229" i="1"/>
  <c r="L1228" i="1"/>
  <c r="L1227" i="1"/>
  <c r="L1226" i="1"/>
  <c r="L1225" i="1"/>
  <c r="L1224" i="1"/>
  <c r="L1223" i="1"/>
  <c r="L1222" i="1"/>
  <c r="L1221" i="1"/>
  <c r="L1220" i="1"/>
  <c r="L1219" i="1"/>
  <c r="L1218" i="1"/>
  <c r="L1217" i="1"/>
  <c r="L1216" i="1"/>
  <c r="L1215" i="1"/>
  <c r="L1214" i="1"/>
  <c r="L1213" i="1"/>
  <c r="L1212" i="1"/>
  <c r="L1211" i="1"/>
  <c r="L1210" i="1"/>
  <c r="L1209" i="1"/>
  <c r="L1208" i="1"/>
  <c r="L1207" i="1"/>
  <c r="L1206" i="1"/>
  <c r="L1205" i="1"/>
  <c r="L1204" i="1"/>
  <c r="L1203" i="1"/>
  <c r="L1202" i="1"/>
  <c r="L1201" i="1"/>
  <c r="L1200" i="1"/>
  <c r="L1199" i="1"/>
  <c r="L1198" i="1"/>
  <c r="L1197" i="1"/>
  <c r="L1196" i="1"/>
  <c r="L1195" i="1"/>
  <c r="L1194" i="1"/>
  <c r="L1193" i="1"/>
  <c r="L1192" i="1"/>
  <c r="L1191" i="1"/>
  <c r="L1190" i="1"/>
  <c r="L1189" i="1"/>
  <c r="L1188" i="1"/>
  <c r="L1187" i="1"/>
  <c r="L1186" i="1"/>
  <c r="L1185" i="1"/>
  <c r="L1184" i="1"/>
  <c r="L1183" i="1"/>
  <c r="L1182" i="1"/>
  <c r="L1181" i="1"/>
  <c r="L1180" i="1"/>
  <c r="L1179" i="1"/>
  <c r="L1178" i="1"/>
  <c r="L1177" i="1"/>
  <c r="L1176" i="1"/>
  <c r="L1175" i="1"/>
  <c r="L1174" i="1"/>
  <c r="L1173" i="1"/>
  <c r="L1172" i="1"/>
  <c r="L1171" i="1"/>
  <c r="L1170" i="1"/>
  <c r="L1169" i="1"/>
  <c r="L1168" i="1"/>
  <c r="L1167" i="1"/>
  <c r="L1166" i="1"/>
  <c r="L1165" i="1"/>
  <c r="L1164" i="1"/>
  <c r="L1163" i="1"/>
  <c r="L1162" i="1"/>
  <c r="L1161" i="1"/>
  <c r="L1160" i="1"/>
  <c r="L1159" i="1"/>
  <c r="L1158" i="1"/>
  <c r="L1157" i="1"/>
  <c r="L1156" i="1"/>
  <c r="L1155" i="1"/>
  <c r="L1154" i="1"/>
  <c r="L1153" i="1"/>
  <c r="L1152" i="1"/>
  <c r="L1151" i="1"/>
  <c r="L1150" i="1"/>
  <c r="L1149" i="1"/>
  <c r="L1148" i="1"/>
  <c r="L1147" i="1"/>
  <c r="L1146" i="1"/>
  <c r="L1145" i="1"/>
  <c r="L1144" i="1"/>
  <c r="L1143" i="1"/>
  <c r="L1142" i="1"/>
  <c r="L1141" i="1"/>
  <c r="L1140" i="1"/>
  <c r="L1139" i="1"/>
  <c r="L1138" i="1"/>
  <c r="L1137" i="1"/>
  <c r="L1136" i="1"/>
  <c r="L1135" i="1"/>
  <c r="L1134" i="1"/>
  <c r="L1133" i="1"/>
  <c r="L1132" i="1"/>
  <c r="L1131" i="1"/>
  <c r="L1130" i="1"/>
  <c r="L1129" i="1"/>
  <c r="L1128" i="1"/>
  <c r="L1127" i="1"/>
  <c r="L1126" i="1"/>
  <c r="L1125" i="1"/>
  <c r="L1124" i="1"/>
  <c r="L1123" i="1"/>
  <c r="L1122" i="1"/>
  <c r="L1121" i="1"/>
  <c r="L1120" i="1"/>
  <c r="L1119" i="1"/>
  <c r="L1118" i="1"/>
  <c r="L1117" i="1"/>
  <c r="L1116" i="1"/>
  <c r="L1115" i="1"/>
  <c r="L1114" i="1"/>
  <c r="L1113" i="1"/>
  <c r="L1112" i="1"/>
  <c r="L1111" i="1"/>
  <c r="L1110" i="1"/>
  <c r="L1109" i="1"/>
  <c r="L1108" i="1"/>
  <c r="L1107" i="1"/>
  <c r="L1106" i="1"/>
  <c r="L1105" i="1"/>
  <c r="L1104" i="1"/>
  <c r="L1103" i="1"/>
  <c r="L1102" i="1"/>
  <c r="L1101" i="1"/>
  <c r="L1100" i="1"/>
  <c r="L1099" i="1"/>
  <c r="L1098" i="1"/>
  <c r="L1097" i="1"/>
  <c r="L1096" i="1"/>
  <c r="L1095" i="1"/>
  <c r="L1094" i="1"/>
  <c r="L1093" i="1"/>
  <c r="L1092" i="1"/>
  <c r="L1091" i="1"/>
  <c r="L1090" i="1"/>
  <c r="L1089" i="1"/>
  <c r="L1088" i="1"/>
  <c r="L1087" i="1"/>
  <c r="L1086" i="1"/>
  <c r="L1085" i="1"/>
  <c r="L1084" i="1"/>
  <c r="L1083" i="1"/>
  <c r="L1082" i="1"/>
  <c r="L1081" i="1"/>
  <c r="L1080" i="1"/>
  <c r="L1079" i="1"/>
  <c r="L1078" i="1"/>
  <c r="L1077" i="1"/>
  <c r="L1076" i="1"/>
  <c r="L1075" i="1"/>
  <c r="L1074" i="1"/>
  <c r="L1073" i="1"/>
  <c r="L1072" i="1"/>
  <c r="L1071" i="1"/>
  <c r="L1070" i="1"/>
  <c r="L1069" i="1"/>
  <c r="L1068" i="1"/>
  <c r="L1067" i="1"/>
  <c r="L1066" i="1"/>
  <c r="L1065" i="1"/>
  <c r="L1064" i="1"/>
  <c r="L1063" i="1"/>
  <c r="L1062" i="1"/>
  <c r="L1061" i="1"/>
  <c r="L1060" i="1"/>
  <c r="L1059" i="1"/>
  <c r="L1058" i="1"/>
  <c r="L1057" i="1"/>
  <c r="L1056" i="1"/>
  <c r="L1055" i="1"/>
  <c r="L1054" i="1"/>
  <c r="L1053" i="1"/>
  <c r="L1052" i="1"/>
  <c r="L1051" i="1"/>
  <c r="L1050" i="1"/>
  <c r="L1049" i="1"/>
  <c r="L1048" i="1"/>
  <c r="L1047" i="1"/>
  <c r="L1046" i="1"/>
  <c r="L1045" i="1"/>
  <c r="L1044" i="1"/>
  <c r="L1043" i="1"/>
  <c r="L1042" i="1"/>
  <c r="L1041" i="1"/>
  <c r="L1040" i="1"/>
  <c r="L1039" i="1"/>
  <c r="L1038" i="1"/>
  <c r="L1037" i="1"/>
  <c r="L1036" i="1"/>
  <c r="L1035" i="1"/>
  <c r="L1034" i="1"/>
  <c r="L1033" i="1"/>
  <c r="L1032" i="1"/>
  <c r="L1031" i="1"/>
  <c r="L1030" i="1"/>
  <c r="L1029" i="1"/>
  <c r="L1028" i="1"/>
  <c r="L1027" i="1"/>
  <c r="L1026" i="1"/>
  <c r="L1025" i="1"/>
  <c r="L1024" i="1"/>
  <c r="L1023" i="1"/>
  <c r="L1022" i="1"/>
  <c r="J364" i="1"/>
  <c r="J896" i="1"/>
  <c r="J895" i="1"/>
  <c r="J894" i="1"/>
  <c r="J893" i="1"/>
  <c r="J892" i="1"/>
  <c r="J891" i="1"/>
  <c r="J890" i="1"/>
  <c r="J889" i="1"/>
  <c r="J888" i="1"/>
  <c r="J887" i="1"/>
  <c r="J886" i="1"/>
  <c r="J885" i="1"/>
  <c r="J884" i="1"/>
  <c r="J883" i="1"/>
  <c r="J882" i="1"/>
  <c r="J881" i="1"/>
  <c r="J880" i="1"/>
  <c r="J879" i="1"/>
  <c r="J878" i="1"/>
  <c r="J877" i="1"/>
  <c r="J876" i="1"/>
  <c r="J875" i="1"/>
  <c r="J874" i="1"/>
  <c r="J873" i="1"/>
  <c r="J872" i="1"/>
  <c r="J871" i="1"/>
  <c r="J870" i="1"/>
  <c r="J869" i="1"/>
  <c r="J868" i="1"/>
  <c r="J867" i="1"/>
  <c r="J866" i="1"/>
  <c r="J865" i="1"/>
  <c r="J864" i="1"/>
  <c r="J863" i="1"/>
  <c r="J862" i="1"/>
  <c r="J861" i="1"/>
  <c r="J860" i="1"/>
  <c r="J859" i="1"/>
  <c r="J858" i="1"/>
  <c r="J857" i="1"/>
  <c r="J856" i="1"/>
  <c r="J855" i="1"/>
  <c r="J854" i="1"/>
  <c r="J853" i="1"/>
  <c r="J852" i="1"/>
  <c r="J851" i="1"/>
  <c r="J850" i="1"/>
  <c r="J849" i="1"/>
  <c r="J848" i="1"/>
  <c r="J847" i="1"/>
  <c r="J846" i="1"/>
  <c r="J845" i="1"/>
  <c r="J844" i="1"/>
  <c r="J843" i="1"/>
  <c r="J842" i="1"/>
  <c r="J841" i="1"/>
  <c r="J840" i="1"/>
  <c r="J839" i="1"/>
  <c r="J838" i="1"/>
  <c r="J837" i="1"/>
  <c r="J836" i="1"/>
  <c r="J835" i="1"/>
  <c r="J834" i="1"/>
  <c r="J833" i="1"/>
  <c r="J832" i="1"/>
  <c r="J831" i="1"/>
  <c r="J830" i="1"/>
  <c r="J829" i="1"/>
  <c r="J828" i="1"/>
  <c r="J827" i="1"/>
  <c r="J826" i="1"/>
  <c r="J825" i="1"/>
  <c r="J824" i="1"/>
  <c r="J823" i="1"/>
  <c r="J822" i="1"/>
  <c r="J821" i="1"/>
  <c r="J820" i="1"/>
  <c r="J819" i="1"/>
  <c r="J818" i="1"/>
  <c r="J817" i="1"/>
  <c r="J816" i="1"/>
  <c r="J815" i="1"/>
  <c r="J814" i="1"/>
  <c r="J813" i="1"/>
  <c r="J812" i="1"/>
  <c r="J811" i="1"/>
  <c r="J810" i="1"/>
  <c r="J809" i="1"/>
  <c r="J808" i="1"/>
  <c r="J807" i="1"/>
  <c r="J806" i="1"/>
  <c r="J805" i="1"/>
  <c r="J804" i="1"/>
  <c r="J803" i="1"/>
  <c r="J802" i="1"/>
  <c r="J801" i="1"/>
  <c r="J800" i="1"/>
  <c r="J799" i="1"/>
  <c r="J798" i="1"/>
  <c r="J797" i="1"/>
  <c r="J796" i="1"/>
  <c r="J795" i="1"/>
  <c r="J794" i="1"/>
  <c r="J793" i="1"/>
  <c r="J792" i="1"/>
  <c r="J791" i="1"/>
  <c r="J790" i="1"/>
  <c r="J789" i="1"/>
  <c r="J788" i="1"/>
  <c r="J787" i="1"/>
  <c r="J786" i="1"/>
  <c r="J785" i="1"/>
  <c r="J784" i="1"/>
  <c r="J783" i="1"/>
  <c r="J782" i="1"/>
  <c r="J781" i="1"/>
  <c r="J780" i="1"/>
  <c r="J779" i="1"/>
  <c r="J778" i="1"/>
  <c r="J777" i="1"/>
  <c r="J776" i="1"/>
  <c r="J775" i="1"/>
  <c r="J774" i="1"/>
  <c r="J773" i="1"/>
  <c r="J772" i="1"/>
  <c r="J771" i="1"/>
  <c r="J770" i="1"/>
  <c r="J769" i="1"/>
  <c r="J768" i="1"/>
  <c r="J767" i="1"/>
  <c r="J766" i="1"/>
  <c r="J765" i="1"/>
  <c r="J764" i="1"/>
  <c r="J763" i="1"/>
  <c r="J762" i="1"/>
  <c r="J761" i="1"/>
  <c r="J760" i="1"/>
  <c r="J759" i="1"/>
  <c r="J758" i="1"/>
  <c r="J757" i="1"/>
  <c r="J756" i="1"/>
  <c r="J755" i="1"/>
  <c r="J754" i="1"/>
  <c r="J753" i="1"/>
  <c r="J752" i="1"/>
  <c r="J751" i="1"/>
  <c r="J750" i="1"/>
  <c r="J749" i="1"/>
  <c r="J748" i="1"/>
  <c r="J747" i="1"/>
  <c r="J746" i="1"/>
  <c r="J745" i="1"/>
  <c r="J744" i="1"/>
  <c r="J743" i="1"/>
  <c r="J742" i="1"/>
  <c r="J741" i="1"/>
  <c r="J740" i="1"/>
  <c r="J739" i="1"/>
  <c r="J738" i="1"/>
  <c r="J737" i="1"/>
  <c r="J736" i="1"/>
  <c r="J735" i="1"/>
  <c r="J734" i="1"/>
  <c r="J733" i="1"/>
  <c r="J732" i="1"/>
  <c r="J731" i="1"/>
  <c r="J730" i="1"/>
  <c r="J729" i="1"/>
  <c r="J728" i="1"/>
  <c r="J727" i="1"/>
  <c r="J726" i="1"/>
  <c r="J725" i="1"/>
  <c r="J724" i="1"/>
  <c r="J723" i="1"/>
  <c r="J722" i="1"/>
  <c r="J721" i="1"/>
  <c r="J720" i="1"/>
  <c r="J719" i="1"/>
  <c r="J718" i="1"/>
  <c r="J717" i="1"/>
  <c r="J716" i="1"/>
  <c r="J715" i="1"/>
  <c r="J714" i="1"/>
  <c r="J713" i="1"/>
  <c r="J712" i="1"/>
  <c r="J711" i="1"/>
  <c r="J710" i="1"/>
  <c r="J709" i="1"/>
  <c r="J708" i="1"/>
  <c r="J707" i="1"/>
  <c r="J706" i="1"/>
  <c r="J705" i="1"/>
  <c r="J704" i="1"/>
  <c r="J703" i="1"/>
  <c r="J702" i="1"/>
  <c r="J701" i="1"/>
  <c r="J700" i="1"/>
  <c r="J699" i="1"/>
  <c r="J698" i="1"/>
  <c r="J697" i="1"/>
  <c r="J696" i="1"/>
  <c r="J695" i="1"/>
  <c r="J694" i="1"/>
  <c r="J693" i="1"/>
  <c r="J692" i="1"/>
  <c r="J691" i="1"/>
  <c r="J690" i="1"/>
  <c r="J689" i="1"/>
  <c r="J688" i="1"/>
  <c r="J687" i="1"/>
  <c r="J686" i="1"/>
  <c r="J685" i="1"/>
  <c r="J684" i="1"/>
  <c r="J683" i="1"/>
  <c r="J682" i="1"/>
  <c r="J681" i="1"/>
  <c r="J680" i="1"/>
  <c r="J679" i="1"/>
  <c r="J678" i="1"/>
  <c r="J677" i="1"/>
  <c r="J676" i="1"/>
  <c r="J675" i="1"/>
  <c r="J674" i="1"/>
  <c r="J673" i="1"/>
  <c r="J672" i="1"/>
  <c r="J671" i="1"/>
  <c r="J670" i="1"/>
  <c r="J669" i="1"/>
  <c r="J668" i="1"/>
  <c r="J667" i="1"/>
  <c r="J666" i="1"/>
  <c r="J665" i="1"/>
  <c r="J664" i="1"/>
  <c r="J663" i="1"/>
  <c r="J662" i="1"/>
  <c r="J661" i="1"/>
  <c r="J660" i="1"/>
  <c r="J659" i="1"/>
  <c r="J658" i="1"/>
  <c r="J657" i="1"/>
  <c r="J656" i="1"/>
  <c r="J655" i="1"/>
  <c r="J654" i="1"/>
  <c r="J653" i="1"/>
  <c r="J652" i="1"/>
  <c r="J651" i="1"/>
  <c r="J650" i="1"/>
  <c r="J649" i="1"/>
  <c r="J648" i="1"/>
  <c r="J647" i="1"/>
  <c r="J646" i="1"/>
  <c r="J1021" i="1"/>
  <c r="J1020" i="1"/>
  <c r="J1019" i="1"/>
  <c r="J1018" i="1"/>
  <c r="J1017" i="1"/>
  <c r="J1016" i="1"/>
  <c r="J1015" i="1"/>
  <c r="J1014" i="1"/>
  <c r="J1013" i="1"/>
  <c r="J1012" i="1"/>
  <c r="J1011" i="1"/>
  <c r="J1010" i="1"/>
  <c r="J1009" i="1"/>
  <c r="J1008" i="1"/>
  <c r="J1007" i="1"/>
  <c r="J1006" i="1"/>
  <c r="J1005" i="1"/>
  <c r="J1004" i="1"/>
  <c r="J1003" i="1"/>
  <c r="J1002" i="1"/>
  <c r="J1001" i="1"/>
  <c r="J1000" i="1"/>
  <c r="J999" i="1"/>
  <c r="J998" i="1"/>
  <c r="J997" i="1"/>
  <c r="J996" i="1"/>
  <c r="J995" i="1"/>
  <c r="J994" i="1"/>
  <c r="J993" i="1"/>
  <c r="J992" i="1"/>
  <c r="J991" i="1"/>
  <c r="J990" i="1"/>
  <c r="J989" i="1"/>
  <c r="J988" i="1"/>
  <c r="J987" i="1"/>
  <c r="J986" i="1"/>
  <c r="J985" i="1"/>
  <c r="J984" i="1"/>
  <c r="J983" i="1"/>
  <c r="J982" i="1"/>
  <c r="J981" i="1"/>
  <c r="J980" i="1"/>
  <c r="J979" i="1"/>
  <c r="J978" i="1"/>
  <c r="J977" i="1"/>
  <c r="J976" i="1"/>
  <c r="J975" i="1"/>
  <c r="J974" i="1"/>
  <c r="J973" i="1"/>
  <c r="J972" i="1"/>
  <c r="J971" i="1"/>
  <c r="J970" i="1"/>
  <c r="J969" i="1"/>
  <c r="J968" i="1"/>
  <c r="J967" i="1"/>
  <c r="J966" i="1"/>
  <c r="J965" i="1"/>
  <c r="J964" i="1"/>
  <c r="J963" i="1"/>
  <c r="J962" i="1"/>
  <c r="J961" i="1"/>
  <c r="J960" i="1"/>
  <c r="J959" i="1"/>
  <c r="J958" i="1"/>
  <c r="J957" i="1"/>
  <c r="J956" i="1"/>
  <c r="J955" i="1"/>
  <c r="J954" i="1"/>
  <c r="J953" i="1"/>
  <c r="J952" i="1"/>
  <c r="J951" i="1"/>
  <c r="J950" i="1"/>
  <c r="J949" i="1"/>
  <c r="J948" i="1"/>
  <c r="J947" i="1"/>
  <c r="J946" i="1"/>
  <c r="J945" i="1"/>
  <c r="J944" i="1"/>
  <c r="J943" i="1"/>
  <c r="J942" i="1"/>
  <c r="J941" i="1"/>
  <c r="J940" i="1"/>
  <c r="J939" i="1"/>
  <c r="J938" i="1"/>
  <c r="J937" i="1"/>
  <c r="J936" i="1"/>
  <c r="J935" i="1"/>
  <c r="J934" i="1"/>
  <c r="J933" i="1"/>
  <c r="J932" i="1"/>
  <c r="J931" i="1"/>
  <c r="J930" i="1"/>
  <c r="J929" i="1"/>
  <c r="J928" i="1"/>
  <c r="J927" i="1"/>
  <c r="J926" i="1"/>
  <c r="J925" i="1"/>
  <c r="J924" i="1"/>
  <c r="J923" i="1"/>
  <c r="J922" i="1"/>
  <c r="J921" i="1"/>
  <c r="J920" i="1"/>
  <c r="J919" i="1"/>
  <c r="J918" i="1"/>
  <c r="J917" i="1"/>
  <c r="J916" i="1"/>
  <c r="J915" i="1"/>
  <c r="J914" i="1"/>
  <c r="J913" i="1"/>
  <c r="J912" i="1"/>
  <c r="J911" i="1"/>
  <c r="J910" i="1"/>
  <c r="J909" i="1"/>
  <c r="J908" i="1"/>
  <c r="J907" i="1"/>
  <c r="J906" i="1"/>
  <c r="J905" i="1"/>
  <c r="J904" i="1"/>
  <c r="J903" i="1"/>
  <c r="J902" i="1"/>
  <c r="J901" i="1"/>
  <c r="J900" i="1"/>
  <c r="J899" i="1"/>
  <c r="J898" i="1"/>
  <c r="J897" i="1"/>
  <c r="J1349" i="1"/>
  <c r="J1348" i="1"/>
  <c r="J1347" i="1"/>
  <c r="J1346" i="1"/>
  <c r="J1345" i="1"/>
  <c r="J1344" i="1"/>
  <c r="J1343" i="1"/>
  <c r="J1342" i="1"/>
  <c r="J1341" i="1"/>
  <c r="J1340" i="1"/>
  <c r="J1339" i="1"/>
  <c r="J1338" i="1"/>
  <c r="J1337" i="1"/>
  <c r="J1336" i="1"/>
  <c r="J1335" i="1"/>
  <c r="J1334" i="1"/>
  <c r="J1333" i="1"/>
  <c r="J1332" i="1"/>
  <c r="J1331" i="1"/>
  <c r="J1330" i="1"/>
  <c r="J1329" i="1"/>
  <c r="J1328" i="1"/>
  <c r="J1327" i="1"/>
  <c r="J1326" i="1"/>
  <c r="J1325" i="1"/>
  <c r="J1324" i="1"/>
  <c r="J1323" i="1"/>
  <c r="J1322" i="1"/>
  <c r="J1321" i="1"/>
  <c r="J1320" i="1"/>
  <c r="J1319" i="1"/>
  <c r="J1318" i="1"/>
  <c r="J1317" i="1"/>
  <c r="J1316" i="1"/>
  <c r="J1315" i="1"/>
  <c r="J1314" i="1"/>
  <c r="J1313" i="1"/>
  <c r="J1312" i="1"/>
  <c r="J1311" i="1"/>
  <c r="J1310" i="1"/>
  <c r="J1309" i="1"/>
  <c r="J1308" i="1"/>
  <c r="J1307" i="1"/>
  <c r="J1306" i="1"/>
  <c r="J1305" i="1"/>
  <c r="J1304" i="1"/>
  <c r="J1303" i="1"/>
  <c r="J1302" i="1"/>
  <c r="J1301" i="1"/>
  <c r="J1300" i="1"/>
  <c r="J1299" i="1"/>
  <c r="J1298" i="1"/>
  <c r="J1297" i="1"/>
  <c r="J1296" i="1"/>
  <c r="J1295" i="1"/>
  <c r="J1294" i="1"/>
  <c r="J1293" i="1"/>
  <c r="J1292" i="1"/>
  <c r="J1291" i="1"/>
  <c r="J1290" i="1"/>
  <c r="J1289" i="1"/>
  <c r="J1288" i="1"/>
  <c r="J1287" i="1"/>
  <c r="J1286" i="1"/>
  <c r="J1285" i="1"/>
  <c r="J1284" i="1"/>
  <c r="J1283" i="1"/>
  <c r="J1282" i="1"/>
  <c r="J1281" i="1"/>
  <c r="J1280" i="1"/>
  <c r="J1279" i="1"/>
  <c r="J1278" i="1"/>
  <c r="J1277" i="1"/>
  <c r="J1276" i="1"/>
  <c r="J1275" i="1"/>
  <c r="J1274" i="1"/>
  <c r="J1273" i="1"/>
  <c r="J1272" i="1"/>
  <c r="J1271" i="1"/>
  <c r="J1270" i="1"/>
  <c r="J1269" i="1"/>
  <c r="J1268" i="1"/>
  <c r="J1267" i="1"/>
  <c r="J1266" i="1"/>
  <c r="J1265" i="1"/>
  <c r="J1264" i="1"/>
  <c r="J1263" i="1"/>
  <c r="J1262" i="1"/>
  <c r="J1261" i="1"/>
  <c r="J1260" i="1"/>
  <c r="J1259" i="1"/>
  <c r="J1258" i="1"/>
  <c r="J1257" i="1"/>
  <c r="J1256" i="1"/>
  <c r="J1255" i="1"/>
  <c r="J1254" i="1"/>
  <c r="J1253" i="1"/>
  <c r="J1252" i="1"/>
  <c r="J1251" i="1"/>
  <c r="J1250" i="1"/>
  <c r="J1249" i="1"/>
  <c r="J1248" i="1"/>
  <c r="J1247" i="1"/>
  <c r="J1246" i="1"/>
  <c r="J1245" i="1"/>
  <c r="J1244" i="1"/>
  <c r="J1243" i="1"/>
  <c r="J1242" i="1"/>
  <c r="J1241" i="1"/>
  <c r="J1240" i="1"/>
  <c r="J1239" i="1"/>
  <c r="J1238" i="1"/>
  <c r="J1237" i="1"/>
  <c r="J1236" i="1"/>
  <c r="J1235" i="1"/>
  <c r="J1234" i="1"/>
  <c r="J1233" i="1"/>
  <c r="J1232" i="1"/>
  <c r="J1231" i="1"/>
  <c r="J1230" i="1"/>
  <c r="J1229" i="1"/>
  <c r="J1228" i="1"/>
  <c r="J1227" i="1"/>
  <c r="J1226" i="1"/>
  <c r="J1225" i="1"/>
  <c r="J1224" i="1"/>
  <c r="J1223" i="1"/>
  <c r="J1222" i="1"/>
  <c r="J1221" i="1"/>
  <c r="J1220" i="1"/>
  <c r="J1219" i="1"/>
  <c r="J1218" i="1"/>
  <c r="J1217" i="1"/>
  <c r="J1216" i="1"/>
  <c r="J1215" i="1"/>
  <c r="J1214" i="1"/>
  <c r="J1213" i="1"/>
  <c r="J1212" i="1"/>
  <c r="J1211" i="1"/>
  <c r="J1210" i="1"/>
  <c r="J1209" i="1"/>
  <c r="J1208" i="1"/>
  <c r="J1207" i="1"/>
  <c r="J1206" i="1"/>
  <c r="J1205" i="1"/>
  <c r="J1204" i="1"/>
  <c r="J1203" i="1"/>
  <c r="J1202" i="1"/>
  <c r="J1201" i="1"/>
  <c r="J1200" i="1"/>
  <c r="J1199" i="1"/>
  <c r="J1198" i="1"/>
  <c r="J1197" i="1"/>
  <c r="J1196" i="1"/>
  <c r="J1195" i="1"/>
  <c r="J1194" i="1"/>
  <c r="J1193" i="1"/>
  <c r="J1192" i="1"/>
  <c r="J1191" i="1"/>
  <c r="J1190" i="1"/>
  <c r="J1189" i="1"/>
  <c r="J1188" i="1"/>
  <c r="J1187" i="1"/>
  <c r="J1186" i="1"/>
  <c r="J1185" i="1"/>
  <c r="J1184" i="1"/>
  <c r="J1183" i="1"/>
  <c r="J1182" i="1"/>
  <c r="J1181" i="1"/>
  <c r="J1180" i="1"/>
  <c r="J1179" i="1"/>
  <c r="J1178" i="1"/>
  <c r="J1177" i="1"/>
  <c r="J1176" i="1"/>
  <c r="J1175" i="1"/>
  <c r="J1174" i="1"/>
  <c r="J1173" i="1"/>
  <c r="J1172" i="1"/>
  <c r="J1171" i="1"/>
  <c r="J1170" i="1"/>
  <c r="J1169" i="1"/>
  <c r="J1168" i="1"/>
  <c r="J1167" i="1"/>
  <c r="J1166" i="1"/>
  <c r="J1165" i="1"/>
  <c r="J1164" i="1"/>
  <c r="J1163" i="1"/>
  <c r="J1162" i="1"/>
  <c r="J1161" i="1"/>
  <c r="J1160" i="1"/>
  <c r="J1159" i="1"/>
  <c r="J1158" i="1"/>
  <c r="J1157" i="1"/>
  <c r="J1156" i="1"/>
  <c r="J1155" i="1"/>
  <c r="J1154" i="1"/>
  <c r="J1153" i="1"/>
  <c r="J1152" i="1"/>
  <c r="J1151" i="1"/>
  <c r="J1150" i="1"/>
  <c r="J1149" i="1"/>
  <c r="J1148" i="1"/>
  <c r="J1147" i="1"/>
  <c r="J1146" i="1"/>
  <c r="J1145" i="1"/>
  <c r="J1144" i="1"/>
  <c r="J1143" i="1"/>
  <c r="J1142" i="1"/>
  <c r="J1141" i="1"/>
  <c r="J1140" i="1"/>
  <c r="J1139" i="1"/>
  <c r="J1138" i="1"/>
  <c r="J1137" i="1"/>
  <c r="J1136" i="1"/>
  <c r="J1135" i="1"/>
  <c r="J1134" i="1"/>
  <c r="J1133" i="1"/>
  <c r="J1132" i="1"/>
  <c r="J1131" i="1"/>
  <c r="J1130" i="1"/>
  <c r="J1129" i="1"/>
  <c r="J1128" i="1"/>
  <c r="J1127" i="1"/>
  <c r="J1126" i="1"/>
  <c r="J1125" i="1"/>
  <c r="J1124" i="1"/>
  <c r="J1123" i="1"/>
  <c r="J1122" i="1"/>
  <c r="J1121" i="1"/>
  <c r="J1120" i="1"/>
  <c r="J1119" i="1"/>
  <c r="J1118" i="1"/>
  <c r="J1117" i="1"/>
  <c r="J1116" i="1"/>
  <c r="J1115" i="1"/>
  <c r="J1114" i="1"/>
  <c r="J1113" i="1"/>
  <c r="J1112" i="1"/>
  <c r="J1111" i="1"/>
  <c r="J1110" i="1"/>
  <c r="J1109" i="1"/>
  <c r="J1108" i="1"/>
  <c r="J1107" i="1"/>
  <c r="J1106" i="1"/>
  <c r="J1105" i="1"/>
  <c r="J1104" i="1"/>
  <c r="J1103" i="1"/>
  <c r="J1102" i="1"/>
  <c r="J1101" i="1"/>
  <c r="J1100" i="1"/>
  <c r="J1099" i="1"/>
  <c r="J1098" i="1"/>
  <c r="J1097" i="1"/>
  <c r="J1096" i="1"/>
  <c r="J1095" i="1"/>
  <c r="J1094" i="1"/>
  <c r="J1093" i="1"/>
  <c r="J1092" i="1"/>
  <c r="J1091" i="1"/>
  <c r="J1090" i="1"/>
  <c r="J1089" i="1"/>
  <c r="J1088" i="1"/>
  <c r="J1087" i="1"/>
  <c r="J1086" i="1"/>
  <c r="J1085" i="1"/>
  <c r="J1084" i="1"/>
  <c r="J1083" i="1"/>
  <c r="J1082" i="1"/>
  <c r="J1081" i="1"/>
  <c r="J1080" i="1"/>
  <c r="J1079" i="1"/>
  <c r="J1078" i="1"/>
  <c r="J1077" i="1"/>
  <c r="J1076" i="1"/>
  <c r="J1075" i="1"/>
  <c r="J1074" i="1"/>
  <c r="J1073" i="1"/>
  <c r="J1072" i="1"/>
  <c r="J1071" i="1"/>
  <c r="J1070" i="1"/>
  <c r="J1069" i="1"/>
  <c r="J1068" i="1"/>
  <c r="J1067" i="1"/>
  <c r="J1066" i="1"/>
  <c r="J1065" i="1"/>
  <c r="J1064" i="1"/>
  <c r="J1063" i="1"/>
  <c r="J1062" i="1"/>
  <c r="J1061" i="1"/>
  <c r="J1060" i="1"/>
  <c r="J1059" i="1"/>
  <c r="J1058" i="1"/>
  <c r="J1057" i="1"/>
  <c r="J1056" i="1"/>
  <c r="J1055" i="1"/>
  <c r="J1054" i="1"/>
  <c r="J1053" i="1"/>
  <c r="J1052" i="1"/>
  <c r="J1051" i="1"/>
  <c r="J1050" i="1"/>
  <c r="J1049" i="1"/>
  <c r="J1048" i="1"/>
  <c r="J1047" i="1"/>
  <c r="J1046" i="1"/>
  <c r="J1045" i="1"/>
  <c r="J1044" i="1"/>
  <c r="J1043" i="1"/>
  <c r="J1042" i="1"/>
  <c r="J1041" i="1"/>
  <c r="J1040" i="1"/>
  <c r="J1039" i="1"/>
  <c r="J1038" i="1"/>
  <c r="J1037" i="1"/>
  <c r="J1036" i="1"/>
  <c r="J1035" i="1"/>
  <c r="J1034" i="1"/>
  <c r="J1033" i="1"/>
  <c r="J1032" i="1"/>
  <c r="J1031" i="1"/>
  <c r="J1030" i="1"/>
  <c r="J1029" i="1"/>
  <c r="J1028" i="1"/>
  <c r="J1027" i="1"/>
  <c r="J1026" i="1"/>
  <c r="J1025" i="1"/>
  <c r="J1024" i="1"/>
  <c r="J1023" i="1"/>
  <c r="J1022" i="1"/>
  <c r="P364" i="1"/>
  <c r="P896" i="1"/>
  <c r="P895" i="1"/>
  <c r="P894" i="1"/>
  <c r="P893" i="1"/>
  <c r="P892" i="1"/>
  <c r="P891" i="1"/>
  <c r="P890" i="1"/>
  <c r="P889" i="1"/>
  <c r="P888" i="1"/>
  <c r="P887" i="1"/>
  <c r="P886" i="1"/>
  <c r="P885" i="1"/>
  <c r="P884" i="1"/>
  <c r="P883" i="1"/>
  <c r="P882" i="1"/>
  <c r="P881" i="1"/>
  <c r="P880" i="1"/>
  <c r="P879" i="1"/>
  <c r="P878" i="1"/>
  <c r="P877" i="1"/>
  <c r="P876" i="1"/>
  <c r="P875" i="1"/>
  <c r="P874" i="1"/>
  <c r="P873" i="1"/>
  <c r="P872" i="1"/>
  <c r="P871" i="1"/>
  <c r="P870" i="1"/>
  <c r="P869" i="1"/>
  <c r="P868" i="1"/>
  <c r="P867" i="1"/>
  <c r="P866" i="1"/>
  <c r="P865" i="1"/>
  <c r="P864" i="1"/>
  <c r="P863" i="1"/>
  <c r="P862" i="1"/>
  <c r="P861" i="1"/>
  <c r="P860" i="1"/>
  <c r="P859" i="1"/>
  <c r="P858" i="1"/>
  <c r="P857" i="1"/>
  <c r="P856" i="1"/>
  <c r="P855" i="1"/>
  <c r="P854" i="1"/>
  <c r="P853" i="1"/>
  <c r="P852" i="1"/>
  <c r="P851" i="1"/>
  <c r="P850" i="1"/>
  <c r="P849" i="1"/>
  <c r="P848" i="1"/>
  <c r="P847" i="1"/>
  <c r="P846" i="1"/>
  <c r="P845" i="1"/>
  <c r="P844" i="1"/>
  <c r="P843" i="1"/>
  <c r="P842" i="1"/>
  <c r="P841" i="1"/>
  <c r="P840" i="1"/>
  <c r="P839" i="1"/>
  <c r="P838" i="1"/>
  <c r="P837" i="1"/>
  <c r="P836" i="1"/>
  <c r="P835" i="1"/>
  <c r="P834" i="1"/>
  <c r="P833" i="1"/>
  <c r="P832" i="1"/>
  <c r="P831" i="1"/>
  <c r="P830" i="1"/>
  <c r="P829" i="1"/>
  <c r="P828" i="1"/>
  <c r="P827" i="1"/>
  <c r="P826" i="1"/>
  <c r="P825" i="1"/>
  <c r="P824" i="1"/>
  <c r="P823" i="1"/>
  <c r="P822" i="1"/>
  <c r="P821" i="1"/>
  <c r="P820" i="1"/>
  <c r="P819" i="1"/>
  <c r="P818" i="1"/>
  <c r="P817" i="1"/>
  <c r="P816" i="1"/>
  <c r="P815" i="1"/>
  <c r="P814" i="1"/>
  <c r="P813" i="1"/>
  <c r="P812" i="1"/>
  <c r="P811" i="1"/>
  <c r="P810" i="1"/>
  <c r="P809" i="1"/>
  <c r="P808" i="1"/>
  <c r="P807" i="1"/>
  <c r="P806" i="1"/>
  <c r="P805" i="1"/>
  <c r="P804" i="1"/>
  <c r="P803" i="1"/>
  <c r="P802" i="1"/>
  <c r="P801" i="1"/>
  <c r="P800" i="1"/>
  <c r="P799" i="1"/>
  <c r="P798" i="1"/>
  <c r="P797" i="1"/>
  <c r="P796" i="1"/>
  <c r="P795" i="1"/>
  <c r="P794" i="1"/>
  <c r="P793" i="1"/>
  <c r="P792" i="1"/>
  <c r="P791" i="1"/>
  <c r="P790" i="1"/>
  <c r="P789" i="1"/>
  <c r="P788" i="1"/>
  <c r="P787" i="1"/>
  <c r="P786" i="1"/>
  <c r="P785" i="1"/>
  <c r="P784" i="1"/>
  <c r="P783" i="1"/>
  <c r="P782" i="1"/>
  <c r="P781" i="1"/>
  <c r="P780" i="1"/>
  <c r="P779" i="1"/>
  <c r="P778" i="1"/>
  <c r="P777" i="1"/>
  <c r="P776" i="1"/>
  <c r="P775" i="1"/>
  <c r="P774" i="1"/>
  <c r="P773" i="1"/>
  <c r="P772" i="1"/>
  <c r="P771" i="1"/>
  <c r="P770" i="1"/>
  <c r="P769" i="1"/>
  <c r="P768" i="1"/>
  <c r="P767" i="1"/>
  <c r="P766" i="1"/>
  <c r="P765" i="1"/>
  <c r="P764" i="1"/>
  <c r="P763" i="1"/>
  <c r="P762" i="1"/>
  <c r="P761" i="1"/>
  <c r="P760" i="1"/>
  <c r="P759" i="1"/>
  <c r="P758" i="1"/>
  <c r="P757" i="1"/>
  <c r="P756" i="1"/>
  <c r="P755" i="1"/>
  <c r="P754" i="1"/>
  <c r="P753" i="1"/>
  <c r="P752" i="1"/>
  <c r="P751" i="1"/>
  <c r="P750" i="1"/>
  <c r="P749" i="1"/>
  <c r="P748" i="1"/>
  <c r="P747" i="1"/>
  <c r="P746" i="1"/>
  <c r="P745" i="1"/>
  <c r="P744" i="1"/>
  <c r="P743" i="1"/>
  <c r="P742" i="1"/>
  <c r="P741" i="1"/>
  <c r="P740" i="1"/>
  <c r="P739" i="1"/>
  <c r="P738" i="1"/>
  <c r="P737" i="1"/>
  <c r="P736" i="1"/>
  <c r="P735" i="1"/>
  <c r="P734" i="1"/>
  <c r="P733" i="1"/>
  <c r="P732" i="1"/>
  <c r="P731" i="1"/>
  <c r="P730" i="1"/>
  <c r="P729" i="1"/>
  <c r="P728" i="1"/>
  <c r="P727" i="1"/>
  <c r="P726" i="1"/>
  <c r="P725" i="1"/>
  <c r="P724" i="1"/>
  <c r="P723" i="1"/>
  <c r="P722" i="1"/>
  <c r="P721" i="1"/>
  <c r="P720" i="1"/>
  <c r="P719" i="1"/>
  <c r="P718" i="1"/>
  <c r="P717" i="1"/>
  <c r="P716" i="1"/>
  <c r="P715" i="1"/>
  <c r="P714" i="1"/>
  <c r="P713" i="1"/>
  <c r="P712" i="1"/>
  <c r="P711" i="1"/>
  <c r="P710" i="1"/>
  <c r="P709" i="1"/>
  <c r="P708" i="1"/>
  <c r="P707" i="1"/>
  <c r="P706" i="1"/>
  <c r="P705" i="1"/>
  <c r="P704" i="1"/>
  <c r="P703" i="1"/>
  <c r="P702" i="1"/>
  <c r="P701" i="1"/>
  <c r="P700" i="1"/>
  <c r="P699" i="1"/>
  <c r="P698" i="1"/>
  <c r="P697" i="1"/>
  <c r="P696" i="1"/>
  <c r="P695" i="1"/>
  <c r="P694" i="1"/>
  <c r="P693" i="1"/>
  <c r="P692" i="1"/>
  <c r="P691" i="1"/>
  <c r="P690" i="1"/>
  <c r="P689" i="1"/>
  <c r="P688" i="1"/>
  <c r="P687" i="1"/>
  <c r="P686" i="1"/>
  <c r="P685" i="1"/>
  <c r="P684" i="1"/>
  <c r="P683" i="1"/>
  <c r="P682" i="1"/>
  <c r="P681" i="1"/>
  <c r="P680" i="1"/>
  <c r="P679" i="1"/>
  <c r="P678" i="1"/>
  <c r="P677" i="1"/>
  <c r="P676" i="1"/>
  <c r="P675" i="1"/>
  <c r="P674" i="1"/>
  <c r="P673" i="1"/>
  <c r="P672" i="1"/>
  <c r="P671" i="1"/>
  <c r="P670" i="1"/>
  <c r="P669" i="1"/>
  <c r="P668" i="1"/>
  <c r="P667" i="1"/>
  <c r="P666" i="1"/>
  <c r="P665" i="1"/>
  <c r="P664" i="1"/>
  <c r="P663" i="1"/>
  <c r="P662" i="1"/>
  <c r="P661" i="1"/>
  <c r="P660" i="1"/>
  <c r="P659" i="1"/>
  <c r="P658" i="1"/>
  <c r="P657" i="1"/>
  <c r="P656" i="1"/>
  <c r="P655" i="1"/>
  <c r="P654" i="1"/>
  <c r="P653" i="1"/>
  <c r="P652" i="1"/>
  <c r="P651" i="1"/>
  <c r="P650" i="1"/>
  <c r="P649" i="1"/>
  <c r="P648" i="1"/>
  <c r="P647" i="1"/>
  <c r="P646" i="1"/>
  <c r="P1021" i="1"/>
  <c r="P1020" i="1"/>
  <c r="P1019" i="1"/>
  <c r="P1018" i="1"/>
  <c r="P1017" i="1"/>
  <c r="P1016" i="1"/>
  <c r="P1015" i="1"/>
  <c r="P1014" i="1"/>
  <c r="P1013" i="1"/>
  <c r="P1012" i="1"/>
  <c r="P1011" i="1"/>
  <c r="P1010" i="1"/>
  <c r="P1009" i="1"/>
  <c r="P1008" i="1"/>
  <c r="P1007" i="1"/>
  <c r="P1006" i="1"/>
  <c r="P1005" i="1"/>
  <c r="P1004" i="1"/>
  <c r="P1003" i="1"/>
  <c r="P1002" i="1"/>
  <c r="P1001" i="1"/>
  <c r="P1000" i="1"/>
  <c r="P999" i="1"/>
  <c r="P998" i="1"/>
  <c r="P997" i="1"/>
  <c r="P996" i="1"/>
  <c r="P995" i="1"/>
  <c r="P994" i="1"/>
  <c r="P993" i="1"/>
  <c r="P992" i="1"/>
  <c r="P991" i="1"/>
  <c r="P990" i="1"/>
  <c r="P989" i="1"/>
  <c r="P988" i="1"/>
  <c r="P987" i="1"/>
  <c r="P986" i="1"/>
  <c r="P985" i="1"/>
  <c r="P984" i="1"/>
  <c r="P983" i="1"/>
  <c r="P982" i="1"/>
  <c r="P981" i="1"/>
  <c r="P980" i="1"/>
  <c r="P979" i="1"/>
  <c r="P978" i="1"/>
  <c r="P977" i="1"/>
  <c r="P976" i="1"/>
  <c r="P975" i="1"/>
  <c r="P974" i="1"/>
  <c r="P973" i="1"/>
  <c r="P972" i="1"/>
  <c r="P971" i="1"/>
  <c r="P970" i="1"/>
  <c r="P969" i="1"/>
  <c r="P968" i="1"/>
  <c r="P967" i="1"/>
  <c r="P966" i="1"/>
  <c r="P965" i="1"/>
  <c r="P964" i="1"/>
  <c r="P963" i="1"/>
  <c r="P962" i="1"/>
  <c r="P961" i="1"/>
  <c r="P960" i="1"/>
  <c r="P959" i="1"/>
  <c r="P958" i="1"/>
  <c r="P957" i="1"/>
  <c r="P956" i="1"/>
  <c r="P955" i="1"/>
  <c r="P954" i="1"/>
  <c r="P953" i="1"/>
  <c r="P952" i="1"/>
  <c r="P951" i="1"/>
  <c r="P950" i="1"/>
  <c r="P949" i="1"/>
  <c r="P948" i="1"/>
  <c r="P947" i="1"/>
  <c r="P946" i="1"/>
  <c r="P945" i="1"/>
  <c r="P944" i="1"/>
  <c r="P943" i="1"/>
  <c r="P942" i="1"/>
  <c r="P941" i="1"/>
  <c r="P940" i="1"/>
  <c r="P939" i="1"/>
  <c r="P938" i="1"/>
  <c r="P937" i="1"/>
  <c r="P936" i="1"/>
  <c r="P935" i="1"/>
  <c r="P934" i="1"/>
  <c r="P933" i="1"/>
  <c r="P932" i="1"/>
  <c r="P931" i="1"/>
  <c r="P930" i="1"/>
  <c r="P929" i="1"/>
  <c r="P928" i="1"/>
  <c r="P927" i="1"/>
  <c r="P926" i="1"/>
  <c r="P925" i="1"/>
  <c r="P924" i="1"/>
  <c r="P923" i="1"/>
  <c r="P922" i="1"/>
  <c r="P921" i="1"/>
  <c r="P920" i="1"/>
  <c r="P919" i="1"/>
  <c r="P918" i="1"/>
  <c r="P917" i="1"/>
  <c r="P916" i="1"/>
  <c r="P915" i="1"/>
  <c r="P914" i="1"/>
  <c r="P913" i="1"/>
  <c r="P912" i="1"/>
  <c r="P911" i="1"/>
  <c r="P910" i="1"/>
  <c r="P909" i="1"/>
  <c r="P908" i="1"/>
  <c r="P907" i="1"/>
  <c r="P906" i="1"/>
  <c r="P905" i="1"/>
  <c r="P904" i="1"/>
  <c r="P903" i="1"/>
  <c r="P902" i="1"/>
  <c r="P901" i="1"/>
  <c r="P900" i="1"/>
  <c r="P899" i="1"/>
  <c r="P898" i="1"/>
  <c r="P897" i="1"/>
  <c r="P1349" i="1"/>
  <c r="P1348" i="1"/>
  <c r="P1347" i="1"/>
  <c r="P1346" i="1"/>
  <c r="P1345" i="1"/>
  <c r="P1344" i="1"/>
  <c r="P1343" i="1"/>
  <c r="P1342" i="1"/>
  <c r="P1341" i="1"/>
  <c r="P1340" i="1"/>
  <c r="P1339" i="1"/>
  <c r="P1338" i="1"/>
  <c r="P1337" i="1"/>
  <c r="P1336" i="1"/>
  <c r="P1335" i="1"/>
  <c r="P1334" i="1"/>
  <c r="P1333" i="1"/>
  <c r="P1332" i="1"/>
  <c r="P1331" i="1"/>
  <c r="P1330" i="1"/>
  <c r="P1329" i="1"/>
  <c r="P1328" i="1"/>
  <c r="P1327" i="1"/>
  <c r="P1326" i="1"/>
  <c r="P1325" i="1"/>
  <c r="P1324" i="1"/>
  <c r="P1323" i="1"/>
  <c r="P1322" i="1"/>
  <c r="P1321" i="1"/>
  <c r="P1320" i="1"/>
  <c r="P1319" i="1"/>
  <c r="P1318" i="1"/>
  <c r="P1317" i="1"/>
  <c r="P1316" i="1"/>
  <c r="P1315" i="1"/>
  <c r="P1314" i="1"/>
  <c r="P1313" i="1"/>
  <c r="P1312" i="1"/>
  <c r="P1311" i="1"/>
  <c r="P1310" i="1"/>
  <c r="P1309" i="1"/>
  <c r="P1308" i="1"/>
  <c r="P1307" i="1"/>
  <c r="P1306" i="1"/>
  <c r="P1305" i="1"/>
  <c r="P1304" i="1"/>
  <c r="P1303" i="1"/>
  <c r="P1302" i="1"/>
  <c r="P1301" i="1"/>
  <c r="P1300" i="1"/>
  <c r="P1299" i="1"/>
  <c r="P1298" i="1"/>
  <c r="P1297" i="1"/>
  <c r="P1296" i="1"/>
  <c r="P1295" i="1"/>
  <c r="P1294" i="1"/>
  <c r="P1293" i="1"/>
  <c r="P1292" i="1"/>
  <c r="P1291" i="1"/>
  <c r="P1290" i="1"/>
  <c r="P1289" i="1"/>
  <c r="P1288" i="1"/>
  <c r="P1287" i="1"/>
  <c r="P1286" i="1"/>
  <c r="P1285" i="1"/>
  <c r="P1284" i="1"/>
  <c r="P1283" i="1"/>
  <c r="P1282" i="1"/>
  <c r="P1281" i="1"/>
  <c r="P1280" i="1"/>
  <c r="P1279" i="1"/>
  <c r="P1278" i="1"/>
  <c r="P1277" i="1"/>
  <c r="P1276" i="1"/>
  <c r="P1275" i="1"/>
  <c r="P1274" i="1"/>
  <c r="P1273" i="1"/>
  <c r="P1272" i="1"/>
  <c r="P1271" i="1"/>
  <c r="P1270" i="1"/>
  <c r="P1269" i="1"/>
  <c r="P1268" i="1"/>
  <c r="P1267" i="1"/>
  <c r="P1266" i="1"/>
  <c r="P1265" i="1"/>
  <c r="P1264" i="1"/>
  <c r="P1263" i="1"/>
  <c r="P1262" i="1"/>
  <c r="P1261" i="1"/>
  <c r="P1260" i="1"/>
  <c r="P1259" i="1"/>
  <c r="P1258" i="1"/>
  <c r="P1257" i="1"/>
  <c r="P1256" i="1"/>
  <c r="P1255" i="1"/>
  <c r="P1254" i="1"/>
  <c r="P1253" i="1"/>
  <c r="P1252" i="1"/>
  <c r="P1251" i="1"/>
  <c r="P1250" i="1"/>
  <c r="P1249" i="1"/>
  <c r="P1248" i="1"/>
  <c r="P1247" i="1"/>
  <c r="P1246" i="1"/>
  <c r="P1245" i="1"/>
  <c r="P1244" i="1"/>
  <c r="P1243" i="1"/>
  <c r="P1242" i="1"/>
  <c r="P1241" i="1"/>
  <c r="P1240" i="1"/>
  <c r="P1239" i="1"/>
  <c r="P1238" i="1"/>
  <c r="P1237" i="1"/>
  <c r="P1236" i="1"/>
  <c r="P1235" i="1"/>
  <c r="P1234" i="1"/>
  <c r="P1233" i="1"/>
  <c r="P1232" i="1"/>
  <c r="P1231" i="1"/>
  <c r="P1230" i="1"/>
  <c r="P1229" i="1"/>
  <c r="P1228" i="1"/>
  <c r="P1227" i="1"/>
  <c r="P1226" i="1"/>
  <c r="P1225" i="1"/>
  <c r="P1224" i="1"/>
  <c r="P1223" i="1"/>
  <c r="P1222" i="1"/>
  <c r="P1221" i="1"/>
  <c r="P1220" i="1"/>
  <c r="P1219" i="1"/>
  <c r="P1218" i="1"/>
  <c r="P1217" i="1"/>
  <c r="P1216" i="1"/>
  <c r="P1215" i="1"/>
  <c r="P1214" i="1"/>
  <c r="P1213" i="1"/>
  <c r="P1212" i="1"/>
  <c r="P1211" i="1"/>
  <c r="P1210" i="1"/>
  <c r="P1209" i="1"/>
  <c r="P1208" i="1"/>
  <c r="P1207" i="1"/>
  <c r="P1206" i="1"/>
  <c r="P1205" i="1"/>
  <c r="P1204" i="1"/>
  <c r="P1203" i="1"/>
  <c r="P1202" i="1"/>
  <c r="P1201" i="1"/>
  <c r="P1200" i="1"/>
  <c r="P1199" i="1"/>
  <c r="P1198" i="1"/>
  <c r="P1197" i="1"/>
  <c r="P1196" i="1"/>
  <c r="P1195" i="1"/>
  <c r="P1194" i="1"/>
  <c r="P1193" i="1"/>
  <c r="P1192" i="1"/>
  <c r="P1191" i="1"/>
  <c r="P1190" i="1"/>
  <c r="P1189" i="1"/>
  <c r="P1188" i="1"/>
  <c r="P1187" i="1"/>
  <c r="P1186" i="1"/>
  <c r="P1185" i="1"/>
  <c r="P1184" i="1"/>
  <c r="P1183" i="1"/>
  <c r="P1182" i="1"/>
  <c r="P1181" i="1"/>
  <c r="P1180" i="1"/>
  <c r="P1179" i="1"/>
  <c r="P1178" i="1"/>
  <c r="P1177" i="1"/>
  <c r="P1176" i="1"/>
  <c r="P1175" i="1"/>
  <c r="P1174" i="1"/>
  <c r="P1173" i="1"/>
  <c r="P1172" i="1"/>
  <c r="P1171" i="1"/>
  <c r="P1170" i="1"/>
  <c r="P1169" i="1"/>
  <c r="P1168" i="1"/>
  <c r="P1167" i="1"/>
  <c r="P1166" i="1"/>
  <c r="P1165" i="1"/>
  <c r="P1164" i="1"/>
  <c r="P1163" i="1"/>
  <c r="P1162" i="1"/>
  <c r="P1161" i="1"/>
  <c r="P1160" i="1"/>
  <c r="P1159" i="1"/>
  <c r="P1158" i="1"/>
  <c r="P1157" i="1"/>
  <c r="P1156" i="1"/>
  <c r="P1155" i="1"/>
  <c r="P1154" i="1"/>
  <c r="P1153" i="1"/>
  <c r="P1152" i="1"/>
  <c r="P1151" i="1"/>
  <c r="P1150" i="1"/>
  <c r="P1149" i="1"/>
  <c r="P1148" i="1"/>
  <c r="P1147" i="1"/>
  <c r="P1146" i="1"/>
  <c r="P1145" i="1"/>
  <c r="P1144" i="1"/>
  <c r="P1143" i="1"/>
  <c r="P1142" i="1"/>
  <c r="P1141" i="1"/>
  <c r="P1140" i="1"/>
  <c r="P1139" i="1"/>
  <c r="P1138" i="1"/>
  <c r="P1137" i="1"/>
  <c r="P1136" i="1"/>
  <c r="P1135" i="1"/>
  <c r="P1134" i="1"/>
  <c r="P1133" i="1"/>
  <c r="P1132" i="1"/>
  <c r="P1131" i="1"/>
  <c r="P1130" i="1"/>
  <c r="P1129" i="1"/>
  <c r="P1128" i="1"/>
  <c r="P1127" i="1"/>
  <c r="P1126" i="1"/>
  <c r="P1125" i="1"/>
  <c r="P1124" i="1"/>
  <c r="P1123" i="1"/>
  <c r="P1122" i="1"/>
  <c r="P1121" i="1"/>
  <c r="P1120" i="1"/>
  <c r="P1119" i="1"/>
  <c r="P1118" i="1"/>
  <c r="P1117" i="1"/>
  <c r="P1116" i="1"/>
  <c r="P1115" i="1"/>
  <c r="P1114" i="1"/>
  <c r="P1113" i="1"/>
  <c r="P1112" i="1"/>
  <c r="P1111" i="1"/>
  <c r="P1110" i="1"/>
  <c r="P1109" i="1"/>
  <c r="P1108" i="1"/>
  <c r="P1107" i="1"/>
  <c r="P1106" i="1"/>
  <c r="P1105" i="1"/>
  <c r="P1104" i="1"/>
  <c r="P1103" i="1"/>
  <c r="P1102" i="1"/>
  <c r="P1101" i="1"/>
  <c r="P1100" i="1"/>
  <c r="P1099" i="1"/>
  <c r="P1098" i="1"/>
  <c r="P1097" i="1"/>
  <c r="P1096" i="1"/>
  <c r="P1095" i="1"/>
  <c r="P1094" i="1"/>
  <c r="P1093" i="1"/>
  <c r="P1092" i="1"/>
  <c r="P1091" i="1"/>
  <c r="P1090" i="1"/>
  <c r="P1089" i="1"/>
  <c r="P1088" i="1"/>
  <c r="P1087" i="1"/>
  <c r="P1086" i="1"/>
  <c r="P1085" i="1"/>
  <c r="P1084" i="1"/>
  <c r="P1083" i="1"/>
  <c r="P1082" i="1"/>
  <c r="P1081" i="1"/>
  <c r="P1080" i="1"/>
  <c r="P1079" i="1"/>
  <c r="P1078" i="1"/>
  <c r="P1077" i="1"/>
  <c r="P1076" i="1"/>
  <c r="P1075" i="1"/>
  <c r="P1074" i="1"/>
  <c r="P1073" i="1"/>
  <c r="P1072" i="1"/>
  <c r="P1071" i="1"/>
  <c r="P1070" i="1"/>
  <c r="P1069" i="1"/>
  <c r="P1068" i="1"/>
  <c r="P1067" i="1"/>
  <c r="P1066" i="1"/>
  <c r="P1065" i="1"/>
  <c r="P1064" i="1"/>
  <c r="P1063" i="1"/>
  <c r="P1062" i="1"/>
  <c r="P1061" i="1"/>
  <c r="P1060" i="1"/>
  <c r="P1059" i="1"/>
  <c r="P1058" i="1"/>
  <c r="P1057" i="1"/>
  <c r="P1056" i="1"/>
  <c r="P1055" i="1"/>
  <c r="P1054" i="1"/>
  <c r="P1053" i="1"/>
  <c r="P1052" i="1"/>
  <c r="P1051" i="1"/>
  <c r="P1050" i="1"/>
  <c r="P1049" i="1"/>
  <c r="P1048" i="1"/>
  <c r="P1047" i="1"/>
  <c r="P1046" i="1"/>
  <c r="P1045" i="1"/>
  <c r="P1044" i="1"/>
  <c r="P1043" i="1"/>
  <c r="P1042" i="1"/>
  <c r="P1041" i="1"/>
  <c r="P1040" i="1"/>
  <c r="P1039" i="1"/>
  <c r="P1038" i="1"/>
  <c r="P1037" i="1"/>
  <c r="P1036" i="1"/>
  <c r="P1035" i="1"/>
  <c r="P1034" i="1"/>
  <c r="P1033" i="1"/>
  <c r="P1032" i="1"/>
  <c r="P1031" i="1"/>
  <c r="P1030" i="1"/>
  <c r="P1029" i="1"/>
  <c r="P1028" i="1"/>
  <c r="P1027" i="1"/>
  <c r="P1026" i="1"/>
  <c r="P1025" i="1"/>
  <c r="P1024" i="1"/>
  <c r="P1023" i="1"/>
  <c r="P1022" i="1"/>
  <c r="O364" i="1"/>
  <c r="O896" i="1"/>
  <c r="O895" i="1"/>
  <c r="O894" i="1"/>
  <c r="O893" i="1"/>
  <c r="O892" i="1"/>
  <c r="O891" i="1"/>
  <c r="O890" i="1"/>
  <c r="O889" i="1"/>
  <c r="O888" i="1"/>
  <c r="O887" i="1"/>
  <c r="O886" i="1"/>
  <c r="O885" i="1"/>
  <c r="O884" i="1"/>
  <c r="O883" i="1"/>
  <c r="O882" i="1"/>
  <c r="O881" i="1"/>
  <c r="O880" i="1"/>
  <c r="O879" i="1"/>
  <c r="O878" i="1"/>
  <c r="O877" i="1"/>
  <c r="O876" i="1"/>
  <c r="O875" i="1"/>
  <c r="O874" i="1"/>
  <c r="O873" i="1"/>
  <c r="O872" i="1"/>
  <c r="O871" i="1"/>
  <c r="O870" i="1"/>
  <c r="O869" i="1"/>
  <c r="O868" i="1"/>
  <c r="O867" i="1"/>
  <c r="O866" i="1"/>
  <c r="O865" i="1"/>
  <c r="O864" i="1"/>
  <c r="O863" i="1"/>
  <c r="O862" i="1"/>
  <c r="O861" i="1"/>
  <c r="O860" i="1"/>
  <c r="O859" i="1"/>
  <c r="O858" i="1"/>
  <c r="O857" i="1"/>
  <c r="O856" i="1"/>
  <c r="O855" i="1"/>
  <c r="O854" i="1"/>
  <c r="O853" i="1"/>
  <c r="O852" i="1"/>
  <c r="O851" i="1"/>
  <c r="O850" i="1"/>
  <c r="O849" i="1"/>
  <c r="O848" i="1"/>
  <c r="O847" i="1"/>
  <c r="O846" i="1"/>
  <c r="O845" i="1"/>
  <c r="O844" i="1"/>
  <c r="O843" i="1"/>
  <c r="O842" i="1"/>
  <c r="O841" i="1"/>
  <c r="O840" i="1"/>
  <c r="O839" i="1"/>
  <c r="O838" i="1"/>
  <c r="O837" i="1"/>
  <c r="O836" i="1"/>
  <c r="O835" i="1"/>
  <c r="O834" i="1"/>
  <c r="O833" i="1"/>
  <c r="O832" i="1"/>
  <c r="O831" i="1"/>
  <c r="O830" i="1"/>
  <c r="O829" i="1"/>
  <c r="O828" i="1"/>
  <c r="O827" i="1"/>
  <c r="O826" i="1"/>
  <c r="O825" i="1"/>
  <c r="O824" i="1"/>
  <c r="O823" i="1"/>
  <c r="O822" i="1"/>
  <c r="O821" i="1"/>
  <c r="O820" i="1"/>
  <c r="O819" i="1"/>
  <c r="O818" i="1"/>
  <c r="O817" i="1"/>
  <c r="O816" i="1"/>
  <c r="O815" i="1"/>
  <c r="O814" i="1"/>
  <c r="O813" i="1"/>
  <c r="O812" i="1"/>
  <c r="O811" i="1"/>
  <c r="O810" i="1"/>
  <c r="O809" i="1"/>
  <c r="O808" i="1"/>
  <c r="O807" i="1"/>
  <c r="O806" i="1"/>
  <c r="O805" i="1"/>
  <c r="O804" i="1"/>
  <c r="O803" i="1"/>
  <c r="O802" i="1"/>
  <c r="O801" i="1"/>
  <c r="O800" i="1"/>
  <c r="O799" i="1"/>
  <c r="O798" i="1"/>
  <c r="O797" i="1"/>
  <c r="O796" i="1"/>
  <c r="O795" i="1"/>
  <c r="O794" i="1"/>
  <c r="O793" i="1"/>
  <c r="O792" i="1"/>
  <c r="O791" i="1"/>
  <c r="O790" i="1"/>
  <c r="O789" i="1"/>
  <c r="O788" i="1"/>
  <c r="O787" i="1"/>
  <c r="O786" i="1"/>
  <c r="O785" i="1"/>
  <c r="O784" i="1"/>
  <c r="O783" i="1"/>
  <c r="O782" i="1"/>
  <c r="O781" i="1"/>
  <c r="O780" i="1"/>
  <c r="O779" i="1"/>
  <c r="O778" i="1"/>
  <c r="O777" i="1"/>
  <c r="O776" i="1"/>
  <c r="O775" i="1"/>
  <c r="O774" i="1"/>
  <c r="O773" i="1"/>
  <c r="O772" i="1"/>
  <c r="O771" i="1"/>
  <c r="O770" i="1"/>
  <c r="O769" i="1"/>
  <c r="O768" i="1"/>
  <c r="O767" i="1"/>
  <c r="O766" i="1"/>
  <c r="O765" i="1"/>
  <c r="O764" i="1"/>
  <c r="O763" i="1"/>
  <c r="O762" i="1"/>
  <c r="O761" i="1"/>
  <c r="O760" i="1"/>
  <c r="O759" i="1"/>
  <c r="O758" i="1"/>
  <c r="O757" i="1"/>
  <c r="O756" i="1"/>
  <c r="O755" i="1"/>
  <c r="O754" i="1"/>
  <c r="O753" i="1"/>
  <c r="O752" i="1"/>
  <c r="O751" i="1"/>
  <c r="O750" i="1"/>
  <c r="O749" i="1"/>
  <c r="O748" i="1"/>
  <c r="O747" i="1"/>
  <c r="O746" i="1"/>
  <c r="O745" i="1"/>
  <c r="O744" i="1"/>
  <c r="O743" i="1"/>
  <c r="O742" i="1"/>
  <c r="O741" i="1"/>
  <c r="O740" i="1"/>
  <c r="O739" i="1"/>
  <c r="O738" i="1"/>
  <c r="O737" i="1"/>
  <c r="O736" i="1"/>
  <c r="O735" i="1"/>
  <c r="O734" i="1"/>
  <c r="O733" i="1"/>
  <c r="O732" i="1"/>
  <c r="O731" i="1"/>
  <c r="O730" i="1"/>
  <c r="O729" i="1"/>
  <c r="O728" i="1"/>
  <c r="O727" i="1"/>
  <c r="O726" i="1"/>
  <c r="O725" i="1"/>
  <c r="O724" i="1"/>
  <c r="O723" i="1"/>
  <c r="O722" i="1"/>
  <c r="O721" i="1"/>
  <c r="O720" i="1"/>
  <c r="O719" i="1"/>
  <c r="O718" i="1"/>
  <c r="O717" i="1"/>
  <c r="O716" i="1"/>
  <c r="O715" i="1"/>
  <c r="O714" i="1"/>
  <c r="O713" i="1"/>
  <c r="O712" i="1"/>
  <c r="O711" i="1"/>
  <c r="O710" i="1"/>
  <c r="O709" i="1"/>
  <c r="O708" i="1"/>
  <c r="O707" i="1"/>
  <c r="O706" i="1"/>
  <c r="O705" i="1"/>
  <c r="O704" i="1"/>
  <c r="O703" i="1"/>
  <c r="O702" i="1"/>
  <c r="O701" i="1"/>
  <c r="O700" i="1"/>
  <c r="O699" i="1"/>
  <c r="O698" i="1"/>
  <c r="O697" i="1"/>
  <c r="O696" i="1"/>
  <c r="O695" i="1"/>
  <c r="O694" i="1"/>
  <c r="O693" i="1"/>
  <c r="O692" i="1"/>
  <c r="O691" i="1"/>
  <c r="O690" i="1"/>
  <c r="O689" i="1"/>
  <c r="O688" i="1"/>
  <c r="O687" i="1"/>
  <c r="O686" i="1"/>
  <c r="O685" i="1"/>
  <c r="O684" i="1"/>
  <c r="O683" i="1"/>
  <c r="O682" i="1"/>
  <c r="O681" i="1"/>
  <c r="O680" i="1"/>
  <c r="O679" i="1"/>
  <c r="O678" i="1"/>
  <c r="O677" i="1"/>
  <c r="O676" i="1"/>
  <c r="O675" i="1"/>
  <c r="O674" i="1"/>
  <c r="O673" i="1"/>
  <c r="O672" i="1"/>
  <c r="O671" i="1"/>
  <c r="O670" i="1"/>
  <c r="O669" i="1"/>
  <c r="O668" i="1"/>
  <c r="O667" i="1"/>
  <c r="O666" i="1"/>
  <c r="O665" i="1"/>
  <c r="O664" i="1"/>
  <c r="O663" i="1"/>
  <c r="O662" i="1"/>
  <c r="O661" i="1"/>
  <c r="O660" i="1"/>
  <c r="O659" i="1"/>
  <c r="O658" i="1"/>
  <c r="O657" i="1"/>
  <c r="O656" i="1"/>
  <c r="O655" i="1"/>
  <c r="O654" i="1"/>
  <c r="O653" i="1"/>
  <c r="O652" i="1"/>
  <c r="O651" i="1"/>
  <c r="O650" i="1"/>
  <c r="O649" i="1"/>
  <c r="O648" i="1"/>
  <c r="O647" i="1"/>
  <c r="O646" i="1"/>
  <c r="O1021" i="1"/>
  <c r="O1020" i="1"/>
  <c r="O1019" i="1"/>
  <c r="O1018" i="1"/>
  <c r="O1017" i="1"/>
  <c r="O1016" i="1"/>
  <c r="O1015" i="1"/>
  <c r="O1014" i="1"/>
  <c r="O1013" i="1"/>
  <c r="O1012" i="1"/>
  <c r="O1011" i="1"/>
  <c r="O1010" i="1"/>
  <c r="O1009" i="1"/>
  <c r="O1008" i="1"/>
  <c r="O1007" i="1"/>
  <c r="O1006" i="1"/>
  <c r="O1005" i="1"/>
  <c r="O1004" i="1"/>
  <c r="O1003" i="1"/>
  <c r="O1002" i="1"/>
  <c r="O1001" i="1"/>
  <c r="O1000" i="1"/>
  <c r="O999" i="1"/>
  <c r="O998" i="1"/>
  <c r="O997" i="1"/>
  <c r="O996" i="1"/>
  <c r="O995" i="1"/>
  <c r="O994" i="1"/>
  <c r="O993" i="1"/>
  <c r="O992" i="1"/>
  <c r="O991" i="1"/>
  <c r="O990" i="1"/>
  <c r="O989" i="1"/>
  <c r="O988" i="1"/>
  <c r="O987" i="1"/>
  <c r="O986" i="1"/>
  <c r="O985" i="1"/>
  <c r="O984" i="1"/>
  <c r="O983" i="1"/>
  <c r="O982" i="1"/>
  <c r="O981" i="1"/>
  <c r="O980" i="1"/>
  <c r="O979" i="1"/>
  <c r="O978" i="1"/>
  <c r="O977" i="1"/>
  <c r="O976" i="1"/>
  <c r="O975" i="1"/>
  <c r="O974" i="1"/>
  <c r="O973" i="1"/>
  <c r="O972" i="1"/>
  <c r="O971" i="1"/>
  <c r="O970" i="1"/>
  <c r="O969" i="1"/>
  <c r="O968" i="1"/>
  <c r="O967" i="1"/>
  <c r="O966" i="1"/>
  <c r="O965" i="1"/>
  <c r="O964" i="1"/>
  <c r="O963" i="1"/>
  <c r="O962" i="1"/>
  <c r="O961" i="1"/>
  <c r="O960" i="1"/>
  <c r="O959" i="1"/>
  <c r="O958" i="1"/>
  <c r="O957" i="1"/>
  <c r="O956" i="1"/>
  <c r="O955" i="1"/>
  <c r="O954" i="1"/>
  <c r="O953" i="1"/>
  <c r="O952" i="1"/>
  <c r="O951" i="1"/>
  <c r="O950" i="1"/>
  <c r="O949" i="1"/>
  <c r="O948" i="1"/>
  <c r="O947" i="1"/>
  <c r="O946" i="1"/>
  <c r="O945" i="1"/>
  <c r="O944" i="1"/>
  <c r="O943" i="1"/>
  <c r="O942" i="1"/>
  <c r="O941" i="1"/>
  <c r="O940" i="1"/>
  <c r="O939" i="1"/>
  <c r="O938" i="1"/>
  <c r="O937" i="1"/>
  <c r="O936" i="1"/>
  <c r="O935" i="1"/>
  <c r="O934" i="1"/>
  <c r="O933" i="1"/>
  <c r="O932" i="1"/>
  <c r="O931" i="1"/>
  <c r="O930" i="1"/>
  <c r="O929" i="1"/>
  <c r="O928" i="1"/>
  <c r="O927" i="1"/>
  <c r="O926" i="1"/>
  <c r="O925" i="1"/>
  <c r="O924" i="1"/>
  <c r="O923" i="1"/>
  <c r="O922" i="1"/>
  <c r="O921" i="1"/>
  <c r="O920" i="1"/>
  <c r="O919" i="1"/>
  <c r="O918" i="1"/>
  <c r="O917" i="1"/>
  <c r="O916" i="1"/>
  <c r="O915" i="1"/>
  <c r="O914" i="1"/>
  <c r="O913" i="1"/>
  <c r="O912" i="1"/>
  <c r="O911" i="1"/>
  <c r="O910" i="1"/>
  <c r="O909" i="1"/>
  <c r="O908" i="1"/>
  <c r="O907" i="1"/>
  <c r="O906" i="1"/>
  <c r="O905" i="1"/>
  <c r="O904" i="1"/>
  <c r="O903" i="1"/>
  <c r="O902" i="1"/>
  <c r="O901" i="1"/>
  <c r="O900" i="1"/>
  <c r="O899" i="1"/>
  <c r="O898" i="1"/>
  <c r="O897" i="1"/>
  <c r="O1349" i="1"/>
  <c r="O1348" i="1"/>
  <c r="O1347" i="1"/>
  <c r="O1346" i="1"/>
  <c r="O1345" i="1"/>
  <c r="O1344" i="1"/>
  <c r="O1343" i="1"/>
  <c r="O1342" i="1"/>
  <c r="O1341" i="1"/>
  <c r="O1340" i="1"/>
  <c r="O1339" i="1"/>
  <c r="O1338" i="1"/>
  <c r="O1337" i="1"/>
  <c r="O1336" i="1"/>
  <c r="O1335" i="1"/>
  <c r="O1334" i="1"/>
  <c r="O1333" i="1"/>
  <c r="O1332" i="1"/>
  <c r="O1331" i="1"/>
  <c r="O1330" i="1"/>
  <c r="O1329" i="1"/>
  <c r="O1328" i="1"/>
  <c r="O1327" i="1"/>
  <c r="O1326" i="1"/>
  <c r="O1325" i="1"/>
  <c r="O1324" i="1"/>
  <c r="O1323" i="1"/>
  <c r="O1322" i="1"/>
  <c r="O1321" i="1"/>
  <c r="O1320" i="1"/>
  <c r="O1319" i="1"/>
  <c r="O1318" i="1"/>
  <c r="O1317" i="1"/>
  <c r="O1316" i="1"/>
  <c r="O1315" i="1"/>
  <c r="O1314" i="1"/>
  <c r="O1313" i="1"/>
  <c r="O1312" i="1"/>
  <c r="O1311" i="1"/>
  <c r="O1310" i="1"/>
  <c r="O1309" i="1"/>
  <c r="O1308" i="1"/>
  <c r="O1307" i="1"/>
  <c r="O1306" i="1"/>
  <c r="O1305" i="1"/>
  <c r="O1304" i="1"/>
  <c r="O1303" i="1"/>
  <c r="O1302" i="1"/>
  <c r="O1301" i="1"/>
  <c r="O1300" i="1"/>
  <c r="O1299" i="1"/>
  <c r="O1298" i="1"/>
  <c r="O1297" i="1"/>
  <c r="O1296" i="1"/>
  <c r="O1295" i="1"/>
  <c r="O1294" i="1"/>
  <c r="O1293" i="1"/>
  <c r="O1292" i="1"/>
  <c r="O1291" i="1"/>
  <c r="O1290" i="1"/>
  <c r="O1289" i="1"/>
  <c r="O1288" i="1"/>
  <c r="O1287" i="1"/>
  <c r="O1286" i="1"/>
  <c r="O1285" i="1"/>
  <c r="O1284" i="1"/>
  <c r="O1283" i="1"/>
  <c r="O1282" i="1"/>
  <c r="O1281" i="1"/>
  <c r="O1280" i="1"/>
  <c r="O1279" i="1"/>
  <c r="O1278" i="1"/>
  <c r="O1277" i="1"/>
  <c r="O1276" i="1"/>
  <c r="O1275" i="1"/>
  <c r="O1274" i="1"/>
  <c r="O1273" i="1"/>
  <c r="O1272" i="1"/>
  <c r="O1271" i="1"/>
  <c r="O1270" i="1"/>
  <c r="O1269" i="1"/>
  <c r="O1268" i="1"/>
  <c r="O1267" i="1"/>
  <c r="O1266" i="1"/>
  <c r="O1265" i="1"/>
  <c r="O1264" i="1"/>
  <c r="O1263" i="1"/>
  <c r="O1262" i="1"/>
  <c r="O1261" i="1"/>
  <c r="O1260" i="1"/>
  <c r="O1259" i="1"/>
  <c r="O1258" i="1"/>
  <c r="O1257" i="1"/>
  <c r="O1256" i="1"/>
  <c r="O1255" i="1"/>
  <c r="O1254" i="1"/>
  <c r="O1253" i="1"/>
  <c r="O1252" i="1"/>
  <c r="O1251" i="1"/>
  <c r="O1250" i="1"/>
  <c r="O1249" i="1"/>
  <c r="O1248" i="1"/>
  <c r="O1247" i="1"/>
  <c r="O1246" i="1"/>
  <c r="O1245" i="1"/>
  <c r="O1244" i="1"/>
  <c r="O1243" i="1"/>
  <c r="O1242" i="1"/>
  <c r="O1241" i="1"/>
  <c r="O1240" i="1"/>
  <c r="O1239" i="1"/>
  <c r="O1238" i="1"/>
  <c r="O1237" i="1"/>
  <c r="O1236" i="1"/>
  <c r="O1235" i="1"/>
  <c r="O1234" i="1"/>
  <c r="O1233" i="1"/>
  <c r="O1232" i="1"/>
  <c r="O1231" i="1"/>
  <c r="O1230" i="1"/>
  <c r="O1229" i="1"/>
  <c r="O1228" i="1"/>
  <c r="O1227" i="1"/>
  <c r="O1226" i="1"/>
  <c r="O1225" i="1"/>
  <c r="O1224" i="1"/>
  <c r="O1223" i="1"/>
  <c r="O1222" i="1"/>
  <c r="O1221" i="1"/>
  <c r="O1220" i="1"/>
  <c r="O1219" i="1"/>
  <c r="O1218" i="1"/>
  <c r="O1217" i="1"/>
  <c r="O1216" i="1"/>
  <c r="O1215" i="1"/>
  <c r="O1214" i="1"/>
  <c r="O1213" i="1"/>
  <c r="O1212" i="1"/>
  <c r="O1211" i="1"/>
  <c r="O1210" i="1"/>
  <c r="O1209" i="1"/>
  <c r="O1208" i="1"/>
  <c r="O1207" i="1"/>
  <c r="O1206" i="1"/>
  <c r="O1205" i="1"/>
  <c r="O1204" i="1"/>
  <c r="O1203" i="1"/>
  <c r="O1202" i="1"/>
  <c r="O1201" i="1"/>
  <c r="O1200" i="1"/>
  <c r="O1199" i="1"/>
  <c r="O1198" i="1"/>
  <c r="O1197" i="1"/>
  <c r="O1196" i="1"/>
  <c r="O1195" i="1"/>
  <c r="O1194" i="1"/>
  <c r="O1193" i="1"/>
  <c r="O1192" i="1"/>
  <c r="O1191" i="1"/>
  <c r="O1190" i="1"/>
  <c r="O1189" i="1"/>
  <c r="O1188" i="1"/>
  <c r="O1187" i="1"/>
  <c r="O1186" i="1"/>
  <c r="O1185" i="1"/>
  <c r="O1184" i="1"/>
  <c r="O1183" i="1"/>
  <c r="O1182" i="1"/>
  <c r="O1181" i="1"/>
  <c r="O1180" i="1"/>
  <c r="O1179" i="1"/>
  <c r="O1178" i="1"/>
  <c r="O1177" i="1"/>
  <c r="O1176" i="1"/>
  <c r="O1175" i="1"/>
  <c r="O1174" i="1"/>
  <c r="O1173" i="1"/>
  <c r="O1172" i="1"/>
  <c r="O1171" i="1"/>
  <c r="O1170" i="1"/>
  <c r="O1169" i="1"/>
  <c r="O1168" i="1"/>
  <c r="O1167" i="1"/>
  <c r="O1166" i="1"/>
  <c r="O1165" i="1"/>
  <c r="O1164" i="1"/>
  <c r="O1163" i="1"/>
  <c r="O1162" i="1"/>
  <c r="O1161" i="1"/>
  <c r="O1160" i="1"/>
  <c r="O1159" i="1"/>
  <c r="O1158" i="1"/>
  <c r="O1157" i="1"/>
  <c r="O1156" i="1"/>
  <c r="O1155" i="1"/>
  <c r="O1154" i="1"/>
  <c r="O1153" i="1"/>
  <c r="O1152" i="1"/>
  <c r="O1151" i="1"/>
  <c r="O1150" i="1"/>
  <c r="O1149" i="1"/>
  <c r="O1148" i="1"/>
  <c r="O1147" i="1"/>
  <c r="O1146" i="1"/>
  <c r="O1145" i="1"/>
  <c r="O1144" i="1"/>
  <c r="O1143" i="1"/>
  <c r="O1142" i="1"/>
  <c r="O1141" i="1"/>
  <c r="O1140" i="1"/>
  <c r="O1139" i="1"/>
  <c r="O1138" i="1"/>
  <c r="O1137" i="1"/>
  <c r="O1136" i="1"/>
  <c r="O1135" i="1"/>
  <c r="O1134" i="1"/>
  <c r="O1133" i="1"/>
  <c r="O1132" i="1"/>
  <c r="O1131" i="1"/>
  <c r="O1130" i="1"/>
  <c r="O1129" i="1"/>
  <c r="O1128" i="1"/>
  <c r="O1127" i="1"/>
  <c r="O1126" i="1"/>
  <c r="O1125" i="1"/>
  <c r="O1124" i="1"/>
  <c r="O1123" i="1"/>
  <c r="O1122" i="1"/>
  <c r="O1121" i="1"/>
  <c r="O1120" i="1"/>
  <c r="O1119" i="1"/>
  <c r="O1118" i="1"/>
  <c r="O1117" i="1"/>
  <c r="O1116" i="1"/>
  <c r="O1115" i="1"/>
  <c r="O1114" i="1"/>
  <c r="O1113" i="1"/>
  <c r="O1112" i="1"/>
  <c r="O1111" i="1"/>
  <c r="O1110" i="1"/>
  <c r="O1109" i="1"/>
  <c r="O1108" i="1"/>
  <c r="O1107" i="1"/>
  <c r="O1106" i="1"/>
  <c r="O1105" i="1"/>
  <c r="O1104" i="1"/>
  <c r="O1103" i="1"/>
  <c r="O1102" i="1"/>
  <c r="O1101" i="1"/>
  <c r="O1100" i="1"/>
  <c r="O1099" i="1"/>
  <c r="O1098" i="1"/>
  <c r="O1097" i="1"/>
  <c r="O1096" i="1"/>
  <c r="O1095" i="1"/>
  <c r="O1094" i="1"/>
  <c r="O1093" i="1"/>
  <c r="O1092" i="1"/>
  <c r="O1091" i="1"/>
  <c r="O1090" i="1"/>
  <c r="O1089" i="1"/>
  <c r="O1088" i="1"/>
  <c r="O1087" i="1"/>
  <c r="O1086" i="1"/>
  <c r="O1085" i="1"/>
  <c r="O1084" i="1"/>
  <c r="O1083" i="1"/>
  <c r="O1082" i="1"/>
  <c r="O1081" i="1"/>
  <c r="O1080" i="1"/>
  <c r="O1079" i="1"/>
  <c r="O1078" i="1"/>
  <c r="O1077" i="1"/>
  <c r="O1076" i="1"/>
  <c r="O1075" i="1"/>
  <c r="O1074" i="1"/>
  <c r="O1073" i="1"/>
  <c r="O1072" i="1"/>
  <c r="O1071" i="1"/>
  <c r="O1070" i="1"/>
  <c r="O1069" i="1"/>
  <c r="O1068" i="1"/>
  <c r="O1067" i="1"/>
  <c r="O1066" i="1"/>
  <c r="O1065" i="1"/>
  <c r="O1064" i="1"/>
  <c r="O1063" i="1"/>
  <c r="O1062" i="1"/>
  <c r="O1061" i="1"/>
  <c r="O1060" i="1"/>
  <c r="O1059" i="1"/>
  <c r="O1058" i="1"/>
  <c r="O1057" i="1"/>
  <c r="O1056" i="1"/>
  <c r="O1055" i="1"/>
  <c r="O1054" i="1"/>
  <c r="O1053" i="1"/>
  <c r="O1052" i="1"/>
  <c r="O1051" i="1"/>
  <c r="O1050" i="1"/>
  <c r="O1049" i="1"/>
  <c r="O1048" i="1"/>
  <c r="O1047" i="1"/>
  <c r="O1046" i="1"/>
  <c r="O1045" i="1"/>
  <c r="O1044" i="1"/>
  <c r="O1043" i="1"/>
  <c r="O1042" i="1"/>
  <c r="O1041" i="1"/>
  <c r="O1040" i="1"/>
  <c r="O1039" i="1"/>
  <c r="O1038" i="1"/>
  <c r="O1037" i="1"/>
  <c r="O1036" i="1"/>
  <c r="O1035" i="1"/>
  <c r="O1034" i="1"/>
  <c r="O1033" i="1"/>
  <c r="O1032" i="1"/>
  <c r="O1031" i="1"/>
  <c r="O1030" i="1"/>
  <c r="O1029" i="1"/>
  <c r="O1028" i="1"/>
  <c r="O1027" i="1"/>
  <c r="O1026" i="1"/>
  <c r="O1025" i="1"/>
  <c r="O1024" i="1"/>
  <c r="O1023" i="1"/>
  <c r="O1022" i="1"/>
  <c r="N896" i="1"/>
  <c r="N895" i="1"/>
  <c r="N894" i="1"/>
  <c r="N893" i="1"/>
  <c r="N892" i="1"/>
  <c r="N891" i="1"/>
  <c r="N890" i="1"/>
  <c r="N889" i="1"/>
  <c r="N888" i="1"/>
  <c r="N887" i="1"/>
  <c r="N886" i="1"/>
  <c r="N885" i="1"/>
  <c r="N884" i="1"/>
  <c r="N883" i="1"/>
  <c r="N882" i="1"/>
  <c r="N881" i="1"/>
  <c r="N880" i="1"/>
  <c r="N879" i="1"/>
  <c r="N878" i="1"/>
  <c r="N877" i="1"/>
  <c r="N876" i="1"/>
  <c r="N875" i="1"/>
  <c r="N874" i="1"/>
  <c r="N873" i="1"/>
  <c r="N872" i="1"/>
  <c r="N871" i="1"/>
  <c r="N870" i="1"/>
  <c r="N869" i="1"/>
  <c r="N868" i="1"/>
  <c r="N867" i="1"/>
  <c r="N866" i="1"/>
  <c r="N865" i="1"/>
  <c r="N864" i="1"/>
  <c r="N863" i="1"/>
  <c r="N862" i="1"/>
  <c r="N861" i="1"/>
  <c r="N860" i="1"/>
  <c r="N859" i="1"/>
  <c r="N858" i="1"/>
  <c r="N857" i="1"/>
  <c r="N856" i="1"/>
  <c r="N855" i="1"/>
  <c r="N854" i="1"/>
  <c r="N853" i="1"/>
  <c r="N852" i="1"/>
  <c r="N851" i="1"/>
  <c r="N850" i="1"/>
  <c r="N849" i="1"/>
  <c r="N848" i="1"/>
  <c r="N847" i="1"/>
  <c r="N846" i="1"/>
  <c r="N845" i="1"/>
  <c r="N844" i="1"/>
  <c r="N843" i="1"/>
  <c r="N842" i="1"/>
  <c r="N841" i="1"/>
  <c r="N840" i="1"/>
  <c r="N839" i="1"/>
  <c r="N838" i="1"/>
  <c r="N837" i="1"/>
  <c r="N836" i="1"/>
  <c r="N835" i="1"/>
  <c r="N834" i="1"/>
  <c r="N833" i="1"/>
  <c r="N832" i="1"/>
  <c r="N831" i="1"/>
  <c r="N830" i="1"/>
  <c r="N829" i="1"/>
  <c r="N828" i="1"/>
  <c r="N827" i="1"/>
  <c r="N826" i="1"/>
  <c r="N825" i="1"/>
  <c r="N824" i="1"/>
  <c r="N823" i="1"/>
  <c r="N822" i="1"/>
  <c r="N821" i="1"/>
  <c r="N820" i="1"/>
  <c r="N819" i="1"/>
  <c r="N818" i="1"/>
  <c r="N817" i="1"/>
  <c r="N816" i="1"/>
  <c r="N815" i="1"/>
  <c r="N814" i="1"/>
  <c r="N813" i="1"/>
  <c r="N812" i="1"/>
  <c r="N811" i="1"/>
  <c r="N810" i="1"/>
  <c r="N809" i="1"/>
  <c r="N808" i="1"/>
  <c r="N807" i="1"/>
  <c r="N806" i="1"/>
  <c r="N805" i="1"/>
  <c r="N804" i="1"/>
  <c r="N803" i="1"/>
  <c r="N802" i="1"/>
  <c r="N801" i="1"/>
  <c r="N800" i="1"/>
  <c r="N799" i="1"/>
  <c r="N798" i="1"/>
  <c r="N797" i="1"/>
  <c r="N796" i="1"/>
  <c r="N795" i="1"/>
  <c r="N794" i="1"/>
  <c r="N793" i="1"/>
  <c r="N792" i="1"/>
  <c r="N791" i="1"/>
  <c r="N790" i="1"/>
  <c r="N789" i="1"/>
  <c r="N788" i="1"/>
  <c r="N787" i="1"/>
  <c r="N786" i="1"/>
  <c r="N785" i="1"/>
  <c r="N784" i="1"/>
  <c r="N783" i="1"/>
  <c r="N782" i="1"/>
  <c r="N781" i="1"/>
  <c r="N780" i="1"/>
  <c r="N779" i="1"/>
  <c r="N778" i="1"/>
  <c r="N777" i="1"/>
  <c r="N776" i="1"/>
  <c r="N775" i="1"/>
  <c r="N774" i="1"/>
  <c r="N773" i="1"/>
  <c r="N772" i="1"/>
  <c r="N771" i="1"/>
  <c r="N770" i="1"/>
  <c r="N769" i="1"/>
  <c r="N768" i="1"/>
  <c r="N767" i="1"/>
  <c r="N766" i="1"/>
  <c r="N765" i="1"/>
  <c r="N764" i="1"/>
  <c r="N763" i="1"/>
  <c r="N762" i="1"/>
  <c r="N761" i="1"/>
  <c r="N760" i="1"/>
  <c r="N759" i="1"/>
  <c r="N758" i="1"/>
  <c r="N757" i="1"/>
  <c r="N756" i="1"/>
  <c r="N755" i="1"/>
  <c r="N754" i="1"/>
  <c r="N753" i="1"/>
  <c r="N752" i="1"/>
  <c r="N751" i="1"/>
  <c r="N750" i="1"/>
  <c r="N749" i="1"/>
  <c r="N748" i="1"/>
  <c r="N747" i="1"/>
  <c r="N746" i="1"/>
  <c r="N745" i="1"/>
  <c r="N744" i="1"/>
  <c r="N743" i="1"/>
  <c r="N742" i="1"/>
  <c r="N741" i="1"/>
  <c r="N740" i="1"/>
  <c r="N739" i="1"/>
  <c r="N738" i="1"/>
  <c r="N737" i="1"/>
  <c r="N736" i="1"/>
  <c r="N735" i="1"/>
  <c r="N734" i="1"/>
  <c r="N733" i="1"/>
  <c r="N732" i="1"/>
  <c r="N731" i="1"/>
  <c r="N730" i="1"/>
  <c r="N729" i="1"/>
  <c r="N728" i="1"/>
  <c r="N727" i="1"/>
  <c r="N726" i="1"/>
  <c r="N725" i="1"/>
  <c r="N724" i="1"/>
  <c r="N723" i="1"/>
  <c r="N722" i="1"/>
  <c r="N721" i="1"/>
  <c r="N720" i="1"/>
  <c r="N719" i="1"/>
  <c r="N718" i="1"/>
  <c r="N717" i="1"/>
  <c r="N716" i="1"/>
  <c r="N715" i="1"/>
  <c r="N714" i="1"/>
  <c r="N713" i="1"/>
  <c r="N712" i="1"/>
  <c r="N711" i="1"/>
  <c r="N710" i="1"/>
  <c r="N709" i="1"/>
  <c r="N708" i="1"/>
  <c r="N707" i="1"/>
  <c r="N706" i="1"/>
  <c r="N705" i="1"/>
  <c r="N704" i="1"/>
  <c r="N703" i="1"/>
  <c r="N702" i="1"/>
  <c r="N701" i="1"/>
  <c r="N700" i="1"/>
  <c r="N699" i="1"/>
  <c r="N698" i="1"/>
  <c r="N697" i="1"/>
  <c r="N696" i="1"/>
  <c r="N695" i="1"/>
  <c r="N694" i="1"/>
  <c r="N693" i="1"/>
  <c r="N692" i="1"/>
  <c r="N691" i="1"/>
  <c r="N690" i="1"/>
  <c r="N689" i="1"/>
  <c r="N688" i="1"/>
  <c r="N687" i="1"/>
  <c r="N686" i="1"/>
  <c r="N685" i="1"/>
  <c r="N684" i="1"/>
  <c r="N683" i="1"/>
  <c r="N682" i="1"/>
  <c r="N681" i="1"/>
  <c r="N680" i="1"/>
  <c r="N679" i="1"/>
  <c r="N678" i="1"/>
  <c r="N677" i="1"/>
  <c r="N676" i="1"/>
  <c r="N675" i="1"/>
  <c r="N674" i="1"/>
  <c r="N673" i="1"/>
  <c r="N672" i="1"/>
  <c r="N671" i="1"/>
  <c r="N670" i="1"/>
  <c r="N669" i="1"/>
  <c r="N668" i="1"/>
  <c r="N667" i="1"/>
  <c r="N666" i="1"/>
  <c r="N665" i="1"/>
  <c r="N664" i="1"/>
  <c r="N663" i="1"/>
  <c r="N662" i="1"/>
  <c r="N661" i="1"/>
  <c r="N660" i="1"/>
  <c r="N659" i="1"/>
  <c r="N658" i="1"/>
  <c r="N657" i="1"/>
  <c r="N656" i="1"/>
  <c r="N655" i="1"/>
  <c r="N654" i="1"/>
  <c r="N653" i="1"/>
  <c r="N652" i="1"/>
  <c r="N651" i="1"/>
  <c r="N650" i="1"/>
  <c r="N649" i="1"/>
  <c r="N648" i="1"/>
  <c r="N647" i="1"/>
  <c r="N646" i="1"/>
  <c r="N1021" i="1"/>
  <c r="N1020" i="1"/>
  <c r="N1019" i="1"/>
  <c r="N1018" i="1"/>
  <c r="N1017" i="1"/>
  <c r="N1016" i="1"/>
  <c r="N1015" i="1"/>
  <c r="N1014" i="1"/>
  <c r="N1013" i="1"/>
  <c r="N1012" i="1"/>
  <c r="N1011" i="1"/>
  <c r="N1010" i="1"/>
  <c r="N1009" i="1"/>
  <c r="N1008" i="1"/>
  <c r="N1007" i="1"/>
  <c r="N1006" i="1"/>
  <c r="N1005" i="1"/>
  <c r="N1004" i="1"/>
  <c r="N1003" i="1"/>
  <c r="N1002" i="1"/>
  <c r="N1001" i="1"/>
  <c r="N1000" i="1"/>
  <c r="N999" i="1"/>
  <c r="N998" i="1"/>
  <c r="N997" i="1"/>
  <c r="N996" i="1"/>
  <c r="N995" i="1"/>
  <c r="N994" i="1"/>
  <c r="N993" i="1"/>
  <c r="N992" i="1"/>
  <c r="N991" i="1"/>
  <c r="N990" i="1"/>
  <c r="N989" i="1"/>
  <c r="N988" i="1"/>
  <c r="N987" i="1"/>
  <c r="N986" i="1"/>
  <c r="N985" i="1"/>
  <c r="N984" i="1"/>
  <c r="N983" i="1"/>
  <c r="N982" i="1"/>
  <c r="N981" i="1"/>
  <c r="N980" i="1"/>
  <c r="N979" i="1"/>
  <c r="N978" i="1"/>
  <c r="N977" i="1"/>
  <c r="N976" i="1"/>
  <c r="N975" i="1"/>
  <c r="N974" i="1"/>
  <c r="N973" i="1"/>
  <c r="N972" i="1"/>
  <c r="N971" i="1"/>
  <c r="N970" i="1"/>
  <c r="N969" i="1"/>
  <c r="N968" i="1"/>
  <c r="N967" i="1"/>
  <c r="N966" i="1"/>
  <c r="N965" i="1"/>
  <c r="N964" i="1"/>
  <c r="N963" i="1"/>
  <c r="N962" i="1"/>
  <c r="N961" i="1"/>
  <c r="N960" i="1"/>
  <c r="N959" i="1"/>
  <c r="N958" i="1"/>
  <c r="N957" i="1"/>
  <c r="N956" i="1"/>
  <c r="N955" i="1"/>
  <c r="N954" i="1"/>
  <c r="N953" i="1"/>
  <c r="N952" i="1"/>
  <c r="N951" i="1"/>
  <c r="N950" i="1"/>
  <c r="N949" i="1"/>
  <c r="N948" i="1"/>
  <c r="N947" i="1"/>
  <c r="N946" i="1"/>
  <c r="N945" i="1"/>
  <c r="N944" i="1"/>
  <c r="N943" i="1"/>
  <c r="N942" i="1"/>
  <c r="N941" i="1"/>
  <c r="N940" i="1"/>
  <c r="N939" i="1"/>
  <c r="N938" i="1"/>
  <c r="N937" i="1"/>
  <c r="N936" i="1"/>
  <c r="N935" i="1"/>
  <c r="N934" i="1"/>
  <c r="N933" i="1"/>
  <c r="N932" i="1"/>
  <c r="N931" i="1"/>
  <c r="N930" i="1"/>
  <c r="N929" i="1"/>
  <c r="N928" i="1"/>
  <c r="N927" i="1"/>
  <c r="N926" i="1"/>
  <c r="N925" i="1"/>
  <c r="N924" i="1"/>
  <c r="N923" i="1"/>
  <c r="N922" i="1"/>
  <c r="N921" i="1"/>
  <c r="N920" i="1"/>
  <c r="N919" i="1"/>
  <c r="N918" i="1"/>
  <c r="N917" i="1"/>
  <c r="N916" i="1"/>
  <c r="N915" i="1"/>
  <c r="N914" i="1"/>
  <c r="N913" i="1"/>
  <c r="N912" i="1"/>
  <c r="N911" i="1"/>
  <c r="N910" i="1"/>
  <c r="N909" i="1"/>
  <c r="N908" i="1"/>
  <c r="N907" i="1"/>
  <c r="N906" i="1"/>
  <c r="N905" i="1"/>
  <c r="N904" i="1"/>
  <c r="N903" i="1"/>
  <c r="N902" i="1"/>
  <c r="N901" i="1"/>
  <c r="N900" i="1"/>
  <c r="N899" i="1"/>
  <c r="N898" i="1"/>
  <c r="N897" i="1"/>
  <c r="N1349" i="1"/>
  <c r="N1348" i="1"/>
  <c r="N1347" i="1"/>
  <c r="N1346" i="1"/>
  <c r="N1345" i="1"/>
  <c r="N1344" i="1"/>
  <c r="N1343" i="1"/>
  <c r="N1342" i="1"/>
  <c r="N1341" i="1"/>
  <c r="N1340" i="1"/>
  <c r="N1339" i="1"/>
  <c r="N1338" i="1"/>
  <c r="N1337" i="1"/>
  <c r="N1336" i="1"/>
  <c r="N1335" i="1"/>
  <c r="N1334" i="1"/>
  <c r="N1333" i="1"/>
  <c r="N1332" i="1"/>
  <c r="N1331" i="1"/>
  <c r="N1330" i="1"/>
  <c r="N1329" i="1"/>
  <c r="N1328" i="1"/>
  <c r="N1327" i="1"/>
  <c r="N1326" i="1"/>
  <c r="N1325" i="1"/>
  <c r="N1324" i="1"/>
  <c r="N1323" i="1"/>
  <c r="N1322" i="1"/>
  <c r="N1321" i="1"/>
  <c r="N1320" i="1"/>
  <c r="N1319" i="1"/>
  <c r="N1318" i="1"/>
  <c r="N1317" i="1"/>
  <c r="N1316" i="1"/>
  <c r="N1315" i="1"/>
  <c r="N1314" i="1"/>
  <c r="N1313" i="1"/>
  <c r="N1312" i="1"/>
  <c r="N1311" i="1"/>
  <c r="N1310" i="1"/>
  <c r="N1309" i="1"/>
  <c r="N1308" i="1"/>
  <c r="N1307" i="1"/>
  <c r="N1306" i="1"/>
  <c r="N1305" i="1"/>
  <c r="N1304" i="1"/>
  <c r="N1303" i="1"/>
  <c r="N1302" i="1"/>
  <c r="N1301" i="1"/>
  <c r="N1300" i="1"/>
  <c r="N1299" i="1"/>
  <c r="N1298" i="1"/>
  <c r="N1297" i="1"/>
  <c r="N1296" i="1"/>
  <c r="N1295" i="1"/>
  <c r="N1294" i="1"/>
  <c r="N1293" i="1"/>
  <c r="N1292" i="1"/>
  <c r="N1291" i="1"/>
  <c r="N1290" i="1"/>
  <c r="N1289" i="1"/>
  <c r="N1288" i="1"/>
  <c r="N1287" i="1"/>
  <c r="N1286" i="1"/>
  <c r="N1285" i="1"/>
  <c r="N1284" i="1"/>
  <c r="N1283" i="1"/>
  <c r="N1282" i="1"/>
  <c r="N1281" i="1"/>
  <c r="N1280" i="1"/>
  <c r="N1279" i="1"/>
  <c r="N1278" i="1"/>
  <c r="N1277" i="1"/>
  <c r="N1276" i="1"/>
  <c r="N1275" i="1"/>
  <c r="N1274" i="1"/>
  <c r="N1273" i="1"/>
  <c r="N1272" i="1"/>
  <c r="N1271" i="1"/>
  <c r="N1270" i="1"/>
  <c r="N1269" i="1"/>
  <c r="N1268" i="1"/>
  <c r="N1267" i="1"/>
  <c r="N1266" i="1"/>
  <c r="N1265" i="1"/>
  <c r="N1264" i="1"/>
  <c r="N1263" i="1"/>
  <c r="N1262" i="1"/>
  <c r="N1261" i="1"/>
  <c r="N1260" i="1"/>
  <c r="N1259" i="1"/>
  <c r="N1258" i="1"/>
  <c r="N1257" i="1"/>
  <c r="N1256" i="1"/>
  <c r="N1255" i="1"/>
  <c r="N1254" i="1"/>
  <c r="N1253" i="1"/>
  <c r="N1252" i="1"/>
  <c r="N1251" i="1"/>
  <c r="N1250" i="1"/>
  <c r="N1249" i="1"/>
  <c r="N1248" i="1"/>
  <c r="N1247" i="1"/>
  <c r="N1246" i="1"/>
  <c r="N1245" i="1"/>
  <c r="N1244" i="1"/>
  <c r="N1243" i="1"/>
  <c r="N1242" i="1"/>
  <c r="N1241" i="1"/>
  <c r="N1240" i="1"/>
  <c r="N1239" i="1"/>
  <c r="N1238" i="1"/>
  <c r="N1237" i="1"/>
  <c r="N1236" i="1"/>
  <c r="N1235" i="1"/>
  <c r="N1234" i="1"/>
  <c r="N1233" i="1"/>
  <c r="N1232" i="1"/>
  <c r="N1231" i="1"/>
  <c r="N1230" i="1"/>
  <c r="N1229" i="1"/>
  <c r="N1228" i="1"/>
  <c r="N1227" i="1"/>
  <c r="N1226" i="1"/>
  <c r="N1225" i="1"/>
  <c r="N1224" i="1"/>
  <c r="N1223" i="1"/>
  <c r="N1222" i="1"/>
  <c r="N1221" i="1"/>
  <c r="N1220" i="1"/>
  <c r="N1219" i="1"/>
  <c r="N1218" i="1"/>
  <c r="N1217" i="1"/>
  <c r="N1216" i="1"/>
  <c r="N1215" i="1"/>
  <c r="N1214" i="1"/>
  <c r="N1213" i="1"/>
  <c r="N1212" i="1"/>
  <c r="N1211" i="1"/>
  <c r="N1210" i="1"/>
  <c r="N1209" i="1"/>
  <c r="N1208" i="1"/>
  <c r="N1207" i="1"/>
  <c r="N1206" i="1"/>
  <c r="N1205" i="1"/>
  <c r="N1204" i="1"/>
  <c r="N1203" i="1"/>
  <c r="N1202" i="1"/>
  <c r="N1201" i="1"/>
  <c r="N1200" i="1"/>
  <c r="N1199" i="1"/>
  <c r="N1198" i="1"/>
  <c r="N1197" i="1"/>
  <c r="N1196" i="1"/>
  <c r="N1195" i="1"/>
  <c r="N1194" i="1"/>
  <c r="N1193" i="1"/>
  <c r="N1192" i="1"/>
  <c r="N1191" i="1"/>
  <c r="N1190" i="1"/>
  <c r="N1189" i="1"/>
  <c r="N1188" i="1"/>
  <c r="N1187" i="1"/>
  <c r="N1186" i="1"/>
  <c r="N1185" i="1"/>
  <c r="N1184" i="1"/>
  <c r="N1183" i="1"/>
  <c r="N1182" i="1"/>
  <c r="N1181" i="1"/>
  <c r="N1180" i="1"/>
  <c r="N1179" i="1"/>
  <c r="N1178" i="1"/>
  <c r="N1177" i="1"/>
  <c r="N1176" i="1"/>
  <c r="N1175" i="1"/>
  <c r="N1174" i="1"/>
  <c r="N1173" i="1"/>
  <c r="N1172" i="1"/>
  <c r="N1171" i="1"/>
  <c r="N1170" i="1"/>
  <c r="N1169" i="1"/>
  <c r="N1168" i="1"/>
  <c r="N1167" i="1"/>
  <c r="N1166" i="1"/>
  <c r="N1165" i="1"/>
  <c r="N1164" i="1"/>
  <c r="N1163" i="1"/>
  <c r="N1162" i="1"/>
  <c r="N1161" i="1"/>
  <c r="N1160" i="1"/>
  <c r="N1159" i="1"/>
  <c r="N1158" i="1"/>
  <c r="N1157" i="1"/>
  <c r="N1156" i="1"/>
  <c r="N1155" i="1"/>
  <c r="N1154" i="1"/>
  <c r="N1153" i="1"/>
  <c r="N1152" i="1"/>
  <c r="N1151" i="1"/>
  <c r="N1150" i="1"/>
  <c r="N1149" i="1"/>
  <c r="N1148" i="1"/>
  <c r="N1147" i="1"/>
  <c r="N1146" i="1"/>
  <c r="N1145" i="1"/>
  <c r="N1144" i="1"/>
  <c r="N1143" i="1"/>
  <c r="N1142" i="1"/>
  <c r="N1141" i="1"/>
  <c r="N1140" i="1"/>
  <c r="N1139" i="1"/>
  <c r="N1138" i="1"/>
  <c r="N1137" i="1"/>
  <c r="N1136" i="1"/>
  <c r="N1135" i="1"/>
  <c r="N1134" i="1"/>
  <c r="N1133" i="1"/>
  <c r="N1132" i="1"/>
  <c r="N1131" i="1"/>
  <c r="N1130" i="1"/>
  <c r="N1129" i="1"/>
  <c r="N1128" i="1"/>
  <c r="N1127" i="1"/>
  <c r="N1126" i="1"/>
  <c r="N1125" i="1"/>
  <c r="N1124" i="1"/>
  <c r="N1123" i="1"/>
  <c r="N1122" i="1"/>
  <c r="N1121" i="1"/>
  <c r="N1120" i="1"/>
  <c r="N1119" i="1"/>
  <c r="N1118" i="1"/>
  <c r="N1117" i="1"/>
  <c r="N1116" i="1"/>
  <c r="N1115" i="1"/>
  <c r="N1114" i="1"/>
  <c r="N1113" i="1"/>
  <c r="N1112" i="1"/>
  <c r="N1111" i="1"/>
  <c r="N1110" i="1"/>
  <c r="N1109" i="1"/>
  <c r="N1108" i="1"/>
  <c r="N1107" i="1"/>
  <c r="N1106" i="1"/>
  <c r="N1105" i="1"/>
  <c r="N1104" i="1"/>
  <c r="N1103" i="1"/>
  <c r="N1102" i="1"/>
  <c r="N1101" i="1"/>
  <c r="N1100" i="1"/>
  <c r="N1099" i="1"/>
  <c r="N1098" i="1"/>
  <c r="N1097" i="1"/>
  <c r="N1096" i="1"/>
  <c r="N1095" i="1"/>
  <c r="N1094" i="1"/>
  <c r="N1093" i="1"/>
  <c r="N1092" i="1"/>
  <c r="N1091" i="1"/>
  <c r="N1090" i="1"/>
  <c r="N1089" i="1"/>
  <c r="N1088" i="1"/>
  <c r="N1087" i="1"/>
  <c r="N1086" i="1"/>
  <c r="N1085" i="1"/>
  <c r="N1084" i="1"/>
  <c r="N1083" i="1"/>
  <c r="N1082" i="1"/>
  <c r="N1081" i="1"/>
  <c r="N1080" i="1"/>
  <c r="N1079" i="1"/>
  <c r="N1078" i="1"/>
  <c r="N1077" i="1"/>
  <c r="N1076" i="1"/>
  <c r="N1075" i="1"/>
  <c r="N1074" i="1"/>
  <c r="N1073" i="1"/>
  <c r="N1072" i="1"/>
  <c r="N1071" i="1"/>
  <c r="N1070" i="1"/>
  <c r="N1069" i="1"/>
  <c r="N1068" i="1"/>
  <c r="N1067" i="1"/>
  <c r="N1066" i="1"/>
  <c r="N1065" i="1"/>
  <c r="N1064" i="1"/>
  <c r="N1063" i="1"/>
  <c r="N1062" i="1"/>
  <c r="N1061" i="1"/>
  <c r="N1060" i="1"/>
  <c r="N1059" i="1"/>
  <c r="N1058" i="1"/>
  <c r="N1057" i="1"/>
  <c r="N1056" i="1"/>
  <c r="N1055" i="1"/>
  <c r="N1054" i="1"/>
  <c r="N1053" i="1"/>
  <c r="N1052" i="1"/>
  <c r="N1051" i="1"/>
  <c r="N1050" i="1"/>
  <c r="N1049" i="1"/>
  <c r="N1048" i="1"/>
  <c r="N1047" i="1"/>
  <c r="N1046" i="1"/>
  <c r="N1045" i="1"/>
  <c r="N1044" i="1"/>
  <c r="N1043" i="1"/>
  <c r="N1042" i="1"/>
  <c r="N1041" i="1"/>
  <c r="N1040" i="1"/>
  <c r="N1039" i="1"/>
  <c r="N1038" i="1"/>
  <c r="N1037" i="1"/>
  <c r="N1036" i="1"/>
  <c r="N1035" i="1"/>
  <c r="N1034" i="1"/>
  <c r="N1033" i="1"/>
  <c r="N1032" i="1"/>
  <c r="N1031" i="1"/>
  <c r="N1030" i="1"/>
  <c r="N1029" i="1"/>
  <c r="N1028" i="1"/>
  <c r="N1027" i="1"/>
  <c r="N1026" i="1"/>
  <c r="N1025" i="1"/>
  <c r="N1024" i="1"/>
  <c r="N1023" i="1"/>
  <c r="N1022" i="1"/>
  <c r="L645" i="1"/>
  <c r="L644" i="1"/>
  <c r="L643" i="1"/>
  <c r="L642" i="1"/>
  <c r="L641" i="1"/>
  <c r="L640" i="1"/>
  <c r="L639" i="1"/>
  <c r="L638" i="1"/>
  <c r="L629" i="1"/>
  <c r="L628" i="1"/>
  <c r="J637" i="1"/>
  <c r="J636" i="1"/>
  <c r="J635" i="1"/>
  <c r="J634" i="1"/>
  <c r="J633" i="1"/>
  <c r="J632" i="1"/>
  <c r="J631" i="1"/>
  <c r="J630" i="1"/>
  <c r="J627" i="1"/>
  <c r="J645" i="1"/>
  <c r="J644" i="1"/>
  <c r="J643" i="1"/>
  <c r="J642" i="1"/>
  <c r="J641" i="1"/>
  <c r="J640" i="1"/>
  <c r="J639" i="1"/>
  <c r="J638" i="1"/>
  <c r="J629" i="1"/>
  <c r="J628" i="1"/>
  <c r="N637" i="1"/>
  <c r="N636" i="1"/>
  <c r="N635" i="1"/>
  <c r="N634" i="1"/>
  <c r="N633" i="1"/>
  <c r="N632" i="1"/>
  <c r="N631" i="1"/>
  <c r="N630" i="1"/>
  <c r="N627" i="1"/>
  <c r="N645" i="1"/>
  <c r="N644" i="1"/>
  <c r="N643" i="1"/>
  <c r="N642" i="1"/>
  <c r="N641" i="1"/>
  <c r="N640" i="1"/>
  <c r="N639" i="1"/>
  <c r="N638" i="1"/>
  <c r="N629" i="1"/>
  <c r="N628" i="1"/>
  <c r="P104" i="2"/>
  <c r="O637" i="1"/>
  <c r="O636" i="1"/>
  <c r="O635" i="1"/>
  <c r="O634" i="1"/>
  <c r="O633" i="1"/>
  <c r="O632" i="1"/>
  <c r="O631" i="1"/>
  <c r="O630" i="1"/>
  <c r="O627" i="1"/>
  <c r="P105" i="2"/>
  <c r="O645" i="1"/>
  <c r="O644" i="1"/>
  <c r="O643" i="1"/>
  <c r="O642" i="1"/>
  <c r="O641" i="1"/>
  <c r="O640" i="1"/>
  <c r="O639" i="1"/>
  <c r="O638" i="1"/>
  <c r="O629" i="1"/>
  <c r="O628" i="1"/>
  <c r="L637" i="1"/>
  <c r="L636" i="1"/>
  <c r="L635" i="1"/>
  <c r="L634" i="1"/>
  <c r="L633" i="1"/>
  <c r="L632" i="1"/>
  <c r="L631" i="1"/>
  <c r="L630" i="1"/>
  <c r="L627" i="1"/>
  <c r="L626" i="1"/>
  <c r="L625" i="1"/>
  <c r="L624" i="1"/>
  <c r="L623" i="1"/>
  <c r="L622" i="1"/>
  <c r="L621" i="1"/>
  <c r="L620" i="1"/>
  <c r="J626" i="1"/>
  <c r="J625" i="1"/>
  <c r="J624" i="1"/>
  <c r="J623" i="1"/>
  <c r="J622" i="1"/>
  <c r="J621" i="1"/>
  <c r="J620" i="1"/>
  <c r="N626" i="1"/>
  <c r="N625" i="1"/>
  <c r="N624" i="1"/>
  <c r="N623" i="1"/>
  <c r="N622" i="1"/>
  <c r="N621" i="1"/>
  <c r="N620" i="1"/>
  <c r="P103" i="2"/>
  <c r="O626" i="1"/>
  <c r="O625" i="1"/>
  <c r="O624" i="1"/>
  <c r="O623" i="1"/>
  <c r="O622" i="1"/>
  <c r="O621" i="1"/>
  <c r="O620" i="1"/>
  <c r="L603" i="1"/>
  <c r="L602" i="1"/>
  <c r="L601" i="1"/>
  <c r="L600" i="1"/>
  <c r="L599" i="1"/>
  <c r="L598" i="1"/>
  <c r="L609" i="1"/>
  <c r="L608" i="1"/>
  <c r="L607" i="1"/>
  <c r="L606" i="1"/>
  <c r="L605" i="1"/>
  <c r="L604" i="1"/>
  <c r="L614" i="1"/>
  <c r="L613" i="1"/>
  <c r="L612" i="1"/>
  <c r="L611" i="1"/>
  <c r="L610" i="1"/>
  <c r="L619" i="1"/>
  <c r="L618" i="1"/>
  <c r="L617" i="1"/>
  <c r="L616" i="1"/>
  <c r="L615" i="1"/>
  <c r="J603" i="1"/>
  <c r="J602" i="1"/>
  <c r="J601" i="1"/>
  <c r="J600" i="1"/>
  <c r="J599" i="1"/>
  <c r="J598" i="1"/>
  <c r="J609" i="1"/>
  <c r="J608" i="1"/>
  <c r="J607" i="1"/>
  <c r="J606" i="1"/>
  <c r="J605" i="1"/>
  <c r="J604" i="1"/>
  <c r="J614" i="1"/>
  <c r="J613" i="1"/>
  <c r="J612" i="1"/>
  <c r="J611" i="1"/>
  <c r="J610" i="1"/>
  <c r="J619" i="1"/>
  <c r="J618" i="1"/>
  <c r="J617" i="1"/>
  <c r="J616" i="1"/>
  <c r="J615" i="1"/>
  <c r="N603" i="1"/>
  <c r="N602" i="1"/>
  <c r="N601" i="1"/>
  <c r="N600" i="1"/>
  <c r="N599" i="1"/>
  <c r="N598" i="1"/>
  <c r="N609" i="1"/>
  <c r="N608" i="1"/>
  <c r="N607" i="1"/>
  <c r="N606" i="1"/>
  <c r="N605" i="1"/>
  <c r="N604" i="1"/>
  <c r="N614" i="1"/>
  <c r="N613" i="1"/>
  <c r="N612" i="1"/>
  <c r="N611" i="1"/>
  <c r="N610" i="1"/>
  <c r="N619" i="1"/>
  <c r="N618" i="1"/>
  <c r="N617" i="1"/>
  <c r="N616" i="1"/>
  <c r="N615" i="1"/>
  <c r="P99" i="2"/>
  <c r="O603" i="1"/>
  <c r="O602" i="1"/>
  <c r="O601" i="1"/>
  <c r="O600" i="1"/>
  <c r="O599" i="1"/>
  <c r="O598" i="1"/>
  <c r="P100" i="2"/>
  <c r="O609" i="1"/>
  <c r="O608" i="1"/>
  <c r="O607" i="1"/>
  <c r="O606" i="1"/>
  <c r="O605" i="1"/>
  <c r="O604" i="1"/>
  <c r="P101" i="2"/>
  <c r="O614" i="1"/>
  <c r="O613" i="1"/>
  <c r="O612" i="1"/>
  <c r="O611" i="1"/>
  <c r="O610" i="1"/>
  <c r="P102" i="2"/>
  <c r="O619" i="1"/>
  <c r="O618" i="1"/>
  <c r="O617" i="1"/>
  <c r="O616" i="1"/>
  <c r="O615" i="1"/>
  <c r="L585" i="1"/>
  <c r="L584" i="1"/>
  <c r="L583" i="1"/>
  <c r="L582" i="1"/>
  <c r="L581" i="1"/>
  <c r="L580" i="1"/>
  <c r="L591" i="1"/>
  <c r="L590" i="1"/>
  <c r="L589" i="1"/>
  <c r="L588" i="1"/>
  <c r="L587" i="1"/>
  <c r="L586" i="1"/>
  <c r="L597" i="1"/>
  <c r="L596" i="1"/>
  <c r="L595" i="1"/>
  <c r="L594" i="1"/>
  <c r="L593" i="1"/>
  <c r="L592" i="1"/>
  <c r="J585" i="1"/>
  <c r="J584" i="1"/>
  <c r="J583" i="1"/>
  <c r="J582" i="1"/>
  <c r="J581" i="1"/>
  <c r="J580" i="1"/>
  <c r="J591" i="1"/>
  <c r="J590" i="1"/>
  <c r="J589" i="1"/>
  <c r="J588" i="1"/>
  <c r="J587" i="1"/>
  <c r="J586" i="1"/>
  <c r="J597" i="1"/>
  <c r="J596" i="1"/>
  <c r="J595" i="1"/>
  <c r="J594" i="1"/>
  <c r="J593" i="1"/>
  <c r="J592" i="1"/>
  <c r="N585" i="1"/>
  <c r="N584" i="1"/>
  <c r="N583" i="1"/>
  <c r="N582" i="1"/>
  <c r="N581" i="1"/>
  <c r="N580" i="1"/>
  <c r="N591" i="1"/>
  <c r="N590" i="1"/>
  <c r="N589" i="1"/>
  <c r="N588" i="1"/>
  <c r="N587" i="1"/>
  <c r="N586" i="1"/>
  <c r="N597" i="1"/>
  <c r="N596" i="1"/>
  <c r="N595" i="1"/>
  <c r="N594" i="1"/>
  <c r="N593" i="1"/>
  <c r="N592" i="1"/>
  <c r="P96" i="2"/>
  <c r="O585" i="1"/>
  <c r="O584" i="1"/>
  <c r="O583" i="1"/>
  <c r="O582" i="1"/>
  <c r="O581" i="1"/>
  <c r="O580" i="1"/>
  <c r="P97" i="2"/>
  <c r="O591" i="1"/>
  <c r="O590" i="1"/>
  <c r="O589" i="1"/>
  <c r="O588" i="1"/>
  <c r="O587" i="1"/>
  <c r="O586" i="1"/>
  <c r="P98" i="2"/>
  <c r="O597" i="1"/>
  <c r="O596" i="1"/>
  <c r="O595" i="1"/>
  <c r="O594" i="1"/>
  <c r="O593" i="1"/>
  <c r="O592" i="1"/>
  <c r="L559" i="1"/>
  <c r="L558" i="1"/>
  <c r="L557" i="1"/>
  <c r="L556" i="1"/>
  <c r="L555" i="1"/>
  <c r="L554" i="1"/>
  <c r="L567" i="1"/>
  <c r="L566" i="1"/>
  <c r="L565" i="1"/>
  <c r="L564" i="1"/>
  <c r="L563" i="1"/>
  <c r="L562" i="1"/>
  <c r="L561" i="1"/>
  <c r="L560" i="1"/>
  <c r="L573" i="1"/>
  <c r="L572" i="1"/>
  <c r="L571" i="1"/>
  <c r="L570" i="1"/>
  <c r="L569" i="1"/>
  <c r="L568" i="1"/>
  <c r="L579" i="1"/>
  <c r="L578" i="1"/>
  <c r="L577" i="1"/>
  <c r="L576" i="1"/>
  <c r="L575" i="1"/>
  <c r="L574" i="1"/>
  <c r="J559" i="1"/>
  <c r="J558" i="1"/>
  <c r="J557" i="1"/>
  <c r="J556" i="1"/>
  <c r="J555" i="1"/>
  <c r="J554" i="1"/>
  <c r="J567" i="1"/>
  <c r="J566" i="1"/>
  <c r="J565" i="1"/>
  <c r="J564" i="1"/>
  <c r="J563" i="1"/>
  <c r="J562" i="1"/>
  <c r="J561" i="1"/>
  <c r="J560" i="1"/>
  <c r="J573" i="1"/>
  <c r="J572" i="1"/>
  <c r="J571" i="1"/>
  <c r="J570" i="1"/>
  <c r="J569" i="1"/>
  <c r="J568" i="1"/>
  <c r="J579" i="1"/>
  <c r="J578" i="1"/>
  <c r="J577" i="1"/>
  <c r="J576" i="1"/>
  <c r="J575" i="1"/>
  <c r="J574" i="1"/>
  <c r="N559" i="1"/>
  <c r="N558" i="1"/>
  <c r="N557" i="1"/>
  <c r="N556" i="1"/>
  <c r="N555" i="1"/>
  <c r="N554" i="1"/>
  <c r="N567" i="1"/>
  <c r="N566" i="1"/>
  <c r="N565" i="1"/>
  <c r="N564" i="1"/>
  <c r="N563" i="1"/>
  <c r="N562" i="1"/>
  <c r="N561" i="1"/>
  <c r="N560" i="1"/>
  <c r="N573" i="1"/>
  <c r="N572" i="1"/>
  <c r="N571" i="1"/>
  <c r="N570" i="1"/>
  <c r="N569" i="1"/>
  <c r="N568" i="1"/>
  <c r="N579" i="1"/>
  <c r="N578" i="1"/>
  <c r="N577" i="1"/>
  <c r="N576" i="1"/>
  <c r="N575" i="1"/>
  <c r="N574" i="1"/>
  <c r="P92" i="2"/>
  <c r="O559" i="1"/>
  <c r="O558" i="1"/>
  <c r="O557" i="1"/>
  <c r="O556" i="1"/>
  <c r="O555" i="1"/>
  <c r="O554" i="1"/>
  <c r="P93" i="2"/>
  <c r="O567" i="1"/>
  <c r="O566" i="1"/>
  <c r="O565" i="1"/>
  <c r="O564" i="1"/>
  <c r="O563" i="1"/>
  <c r="O562" i="1"/>
  <c r="O561" i="1"/>
  <c r="O560" i="1"/>
  <c r="P94" i="2"/>
  <c r="O573" i="1"/>
  <c r="O572" i="1"/>
  <c r="O571" i="1"/>
  <c r="O570" i="1"/>
  <c r="O569" i="1"/>
  <c r="O568" i="1"/>
  <c r="P95" i="2"/>
  <c r="O579" i="1"/>
  <c r="O578" i="1"/>
  <c r="O577" i="1"/>
  <c r="O576" i="1"/>
  <c r="O575" i="1"/>
  <c r="O574" i="1"/>
  <c r="L553" i="1"/>
  <c r="L552" i="1"/>
  <c r="L551" i="1"/>
  <c r="L550" i="1"/>
  <c r="L549" i="1"/>
  <c r="L548" i="1"/>
  <c r="L547" i="1"/>
  <c r="L546" i="1"/>
  <c r="L545" i="1"/>
  <c r="L544" i="1"/>
  <c r="J553" i="1"/>
  <c r="J552" i="1"/>
  <c r="J551" i="1"/>
  <c r="J550" i="1"/>
  <c r="J549" i="1"/>
  <c r="J548" i="1"/>
  <c r="J547" i="1"/>
  <c r="J546" i="1"/>
  <c r="J545" i="1"/>
  <c r="J544" i="1"/>
  <c r="N553" i="1"/>
  <c r="N552" i="1"/>
  <c r="N551" i="1"/>
  <c r="N550" i="1"/>
  <c r="N549" i="1"/>
  <c r="N548" i="1"/>
  <c r="N547" i="1"/>
  <c r="N546" i="1"/>
  <c r="N545" i="1"/>
  <c r="N544" i="1"/>
  <c r="P91" i="2"/>
  <c r="O553" i="1"/>
  <c r="O552" i="1"/>
  <c r="O551" i="1"/>
  <c r="O550" i="1"/>
  <c r="O549" i="1"/>
  <c r="O548" i="1"/>
  <c r="O547" i="1"/>
  <c r="O546" i="1"/>
  <c r="O545" i="1"/>
  <c r="O544" i="1"/>
  <c r="L543" i="1"/>
  <c r="L542" i="1"/>
  <c r="L541" i="1"/>
  <c r="L540" i="1"/>
  <c r="L539" i="1"/>
  <c r="L538" i="1"/>
  <c r="L537" i="1"/>
  <c r="L536" i="1"/>
  <c r="J543" i="1"/>
  <c r="J542" i="1"/>
  <c r="J541" i="1"/>
  <c r="J540" i="1"/>
  <c r="J539" i="1"/>
  <c r="J538" i="1"/>
  <c r="J537" i="1"/>
  <c r="J536" i="1"/>
  <c r="N543" i="1"/>
  <c r="N542" i="1"/>
  <c r="N541" i="1"/>
  <c r="N540" i="1"/>
  <c r="N539" i="1"/>
  <c r="N538" i="1"/>
  <c r="N537" i="1"/>
  <c r="N536" i="1"/>
  <c r="P90" i="2"/>
  <c r="O543" i="1"/>
  <c r="O542" i="1"/>
  <c r="O541" i="1"/>
  <c r="O540" i="1"/>
  <c r="O539" i="1"/>
  <c r="O538" i="1"/>
  <c r="O537" i="1"/>
  <c r="O536" i="1"/>
  <c r="L535" i="1"/>
  <c r="L534" i="1"/>
  <c r="L533" i="1"/>
  <c r="L532" i="1"/>
  <c r="L531" i="1"/>
  <c r="L530" i="1"/>
  <c r="J535" i="1"/>
  <c r="J534" i="1"/>
  <c r="J533" i="1"/>
  <c r="J532" i="1"/>
  <c r="J531" i="1"/>
  <c r="J530" i="1"/>
  <c r="N535" i="1"/>
  <c r="N534" i="1"/>
  <c r="N533" i="1"/>
  <c r="N532" i="1"/>
  <c r="N531" i="1"/>
  <c r="N530" i="1"/>
  <c r="O535" i="1"/>
  <c r="O534" i="1"/>
  <c r="O533" i="1"/>
  <c r="O532" i="1"/>
  <c r="O531" i="1"/>
  <c r="O530" i="1"/>
  <c r="L513" i="1"/>
  <c r="L512" i="1"/>
  <c r="L511" i="1"/>
  <c r="L510" i="1"/>
  <c r="L509" i="1"/>
  <c r="L508" i="1"/>
  <c r="L507" i="1"/>
  <c r="L506" i="1"/>
  <c r="L521" i="1"/>
  <c r="L520" i="1"/>
  <c r="L519" i="1"/>
  <c r="L518" i="1"/>
  <c r="L517" i="1"/>
  <c r="L516" i="1"/>
  <c r="L515" i="1"/>
  <c r="L514" i="1"/>
  <c r="L529" i="1"/>
  <c r="L528" i="1"/>
  <c r="L527" i="1"/>
  <c r="L526" i="1"/>
  <c r="L525" i="1"/>
  <c r="L524" i="1"/>
  <c r="L523" i="1"/>
  <c r="L522" i="1"/>
  <c r="J513" i="1"/>
  <c r="J512" i="1"/>
  <c r="J511" i="1"/>
  <c r="J510" i="1"/>
  <c r="J509" i="1"/>
  <c r="J508" i="1"/>
  <c r="J507" i="1"/>
  <c r="J506" i="1"/>
  <c r="J521" i="1"/>
  <c r="J520" i="1"/>
  <c r="J519" i="1"/>
  <c r="J518" i="1"/>
  <c r="J517" i="1"/>
  <c r="J516" i="1"/>
  <c r="J515" i="1"/>
  <c r="J514" i="1"/>
  <c r="J529" i="1"/>
  <c r="J528" i="1"/>
  <c r="J527" i="1"/>
  <c r="J526" i="1"/>
  <c r="J525" i="1"/>
  <c r="J524" i="1"/>
  <c r="J523" i="1"/>
  <c r="J522" i="1"/>
  <c r="N513" i="1"/>
  <c r="N512" i="1"/>
  <c r="N511" i="1"/>
  <c r="N510" i="1"/>
  <c r="N509" i="1"/>
  <c r="N508" i="1"/>
  <c r="N507" i="1"/>
  <c r="N506" i="1"/>
  <c r="N521" i="1"/>
  <c r="N520" i="1"/>
  <c r="N519" i="1"/>
  <c r="N518" i="1"/>
  <c r="N517" i="1"/>
  <c r="N516" i="1"/>
  <c r="N515" i="1"/>
  <c r="N514" i="1"/>
  <c r="N529" i="1"/>
  <c r="N528" i="1"/>
  <c r="N527" i="1"/>
  <c r="N526" i="1"/>
  <c r="N525" i="1"/>
  <c r="N524" i="1"/>
  <c r="N523" i="1"/>
  <c r="N522" i="1"/>
  <c r="P87" i="2"/>
  <c r="O513" i="1"/>
  <c r="O512" i="1"/>
  <c r="O511" i="1"/>
  <c r="O510" i="1"/>
  <c r="O509" i="1"/>
  <c r="O508" i="1"/>
  <c r="O507" i="1"/>
  <c r="O506" i="1"/>
  <c r="P88" i="2"/>
  <c r="O521" i="1"/>
  <c r="O520" i="1"/>
  <c r="O519" i="1"/>
  <c r="O518" i="1"/>
  <c r="O517" i="1"/>
  <c r="O516" i="1"/>
  <c r="O515" i="1"/>
  <c r="O514" i="1"/>
  <c r="P89" i="2"/>
  <c r="O529" i="1"/>
  <c r="O528" i="1"/>
  <c r="O527" i="1"/>
  <c r="O526" i="1"/>
  <c r="O525" i="1"/>
  <c r="O524" i="1"/>
  <c r="O523" i="1"/>
  <c r="O522" i="1"/>
  <c r="L469" i="1"/>
  <c r="L468" i="1"/>
  <c r="L467" i="1"/>
  <c r="L466" i="1"/>
  <c r="L465" i="1"/>
  <c r="L464" i="1"/>
  <c r="L475" i="1"/>
  <c r="L474" i="1"/>
  <c r="L473" i="1"/>
  <c r="L472" i="1"/>
  <c r="L471" i="1"/>
  <c r="L470" i="1"/>
  <c r="L481" i="1"/>
  <c r="L480" i="1"/>
  <c r="L479" i="1"/>
  <c r="L478" i="1"/>
  <c r="L477" i="1"/>
  <c r="L476" i="1"/>
  <c r="L487" i="1"/>
  <c r="L486" i="1"/>
  <c r="L485" i="1"/>
  <c r="L484" i="1"/>
  <c r="L483" i="1"/>
  <c r="L482" i="1"/>
  <c r="L493" i="1"/>
  <c r="L492" i="1"/>
  <c r="L491" i="1"/>
  <c r="L490" i="1"/>
  <c r="L489" i="1"/>
  <c r="L488" i="1"/>
  <c r="L499" i="1"/>
  <c r="L498" i="1"/>
  <c r="L497" i="1"/>
  <c r="L496" i="1"/>
  <c r="L495" i="1"/>
  <c r="L494" i="1"/>
  <c r="L505" i="1"/>
  <c r="L504" i="1"/>
  <c r="L503" i="1"/>
  <c r="L502" i="1"/>
  <c r="L501" i="1"/>
  <c r="L500" i="1"/>
  <c r="J469" i="1"/>
  <c r="J468" i="1"/>
  <c r="J467" i="1"/>
  <c r="J466" i="1"/>
  <c r="J465" i="1"/>
  <c r="J464" i="1"/>
  <c r="J475" i="1"/>
  <c r="J474" i="1"/>
  <c r="J473" i="1"/>
  <c r="J472" i="1"/>
  <c r="J471" i="1"/>
  <c r="J470" i="1"/>
  <c r="J481" i="1"/>
  <c r="J480" i="1"/>
  <c r="J479" i="1"/>
  <c r="J478" i="1"/>
  <c r="J477" i="1"/>
  <c r="J476" i="1"/>
  <c r="J487" i="1"/>
  <c r="J486" i="1"/>
  <c r="J485" i="1"/>
  <c r="J484" i="1"/>
  <c r="J483" i="1"/>
  <c r="J482" i="1"/>
  <c r="J493" i="1"/>
  <c r="J492" i="1"/>
  <c r="J491" i="1"/>
  <c r="J490" i="1"/>
  <c r="J489" i="1"/>
  <c r="J488" i="1"/>
  <c r="J499" i="1"/>
  <c r="J498" i="1"/>
  <c r="J497" i="1"/>
  <c r="J496" i="1"/>
  <c r="J495" i="1"/>
  <c r="J494" i="1"/>
  <c r="J505" i="1"/>
  <c r="J504" i="1"/>
  <c r="J503" i="1"/>
  <c r="J502" i="1"/>
  <c r="J501" i="1"/>
  <c r="J500" i="1"/>
  <c r="N469" i="1"/>
  <c r="N468" i="1"/>
  <c r="N467" i="1"/>
  <c r="N466" i="1"/>
  <c r="N465" i="1"/>
  <c r="N464" i="1"/>
  <c r="N475" i="1"/>
  <c r="N474" i="1"/>
  <c r="N473" i="1"/>
  <c r="N472" i="1"/>
  <c r="N471" i="1"/>
  <c r="N470" i="1"/>
  <c r="N481" i="1"/>
  <c r="N480" i="1"/>
  <c r="N479" i="1"/>
  <c r="N478" i="1"/>
  <c r="N477" i="1"/>
  <c r="N476" i="1"/>
  <c r="N487" i="1"/>
  <c r="N486" i="1"/>
  <c r="N485" i="1"/>
  <c r="N484" i="1"/>
  <c r="N483" i="1"/>
  <c r="N482" i="1"/>
  <c r="N493" i="1"/>
  <c r="N492" i="1"/>
  <c r="N491" i="1"/>
  <c r="N490" i="1"/>
  <c r="N489" i="1"/>
  <c r="N488" i="1"/>
  <c r="N499" i="1"/>
  <c r="N498" i="1"/>
  <c r="N497" i="1"/>
  <c r="N496" i="1"/>
  <c r="N495" i="1"/>
  <c r="N494" i="1"/>
  <c r="N505" i="1"/>
  <c r="N504" i="1"/>
  <c r="N503" i="1"/>
  <c r="N502" i="1"/>
  <c r="N501" i="1"/>
  <c r="N500" i="1"/>
  <c r="P80" i="2"/>
  <c r="O469" i="1"/>
  <c r="O468" i="1"/>
  <c r="O467" i="1"/>
  <c r="O466" i="1"/>
  <c r="O465" i="1"/>
  <c r="O464" i="1"/>
  <c r="P81" i="2"/>
  <c r="O475" i="1"/>
  <c r="O474" i="1"/>
  <c r="O473" i="1"/>
  <c r="O472" i="1"/>
  <c r="O471" i="1"/>
  <c r="O470" i="1"/>
  <c r="P82" i="2"/>
  <c r="O481" i="1"/>
  <c r="O480" i="1"/>
  <c r="O479" i="1"/>
  <c r="O478" i="1"/>
  <c r="O477" i="1"/>
  <c r="O476" i="1"/>
  <c r="P83" i="2"/>
  <c r="O487" i="1"/>
  <c r="O486" i="1"/>
  <c r="O485" i="1"/>
  <c r="O484" i="1"/>
  <c r="O483" i="1"/>
  <c r="O482" i="1"/>
  <c r="P84" i="2"/>
  <c r="O493" i="1"/>
  <c r="O492" i="1"/>
  <c r="O491" i="1"/>
  <c r="O490" i="1"/>
  <c r="O489" i="1"/>
  <c r="O488" i="1"/>
  <c r="P85" i="2"/>
  <c r="O499" i="1"/>
  <c r="O498" i="1"/>
  <c r="O497" i="1"/>
  <c r="O496" i="1"/>
  <c r="O495" i="1"/>
  <c r="O494" i="1"/>
  <c r="P86" i="2"/>
  <c r="O505" i="1"/>
  <c r="O504" i="1"/>
  <c r="O503" i="1"/>
  <c r="O502" i="1"/>
  <c r="O501" i="1"/>
  <c r="O500" i="1"/>
  <c r="P439" i="1"/>
  <c r="P438" i="1"/>
  <c r="P434" i="1"/>
  <c r="P435" i="1"/>
  <c r="P436" i="1"/>
  <c r="P437" i="1"/>
  <c r="O439" i="1"/>
  <c r="O438" i="1"/>
  <c r="O434" i="1"/>
  <c r="O435" i="1"/>
  <c r="O436" i="1"/>
  <c r="O437" i="1"/>
  <c r="N439" i="1"/>
  <c r="N438" i="1"/>
  <c r="N434" i="1"/>
  <c r="N435" i="1"/>
  <c r="N436" i="1"/>
  <c r="N437" i="1"/>
  <c r="J439" i="1"/>
  <c r="J438" i="1"/>
  <c r="J434" i="1"/>
  <c r="J435" i="1"/>
  <c r="J436" i="1"/>
  <c r="J437" i="1"/>
  <c r="L439" i="1"/>
  <c r="L438" i="1"/>
  <c r="L434" i="1"/>
  <c r="L435" i="1"/>
  <c r="L436" i="1"/>
  <c r="L437" i="1"/>
  <c r="L445" i="1"/>
  <c r="L444" i="1"/>
  <c r="L443" i="1"/>
  <c r="L442" i="1"/>
  <c r="L441" i="1"/>
  <c r="L440" i="1"/>
  <c r="L451" i="1"/>
  <c r="L450" i="1"/>
  <c r="L449" i="1"/>
  <c r="L448" i="1"/>
  <c r="L447" i="1"/>
  <c r="L446" i="1"/>
  <c r="L457" i="1"/>
  <c r="L456" i="1"/>
  <c r="L455" i="1"/>
  <c r="L454" i="1"/>
  <c r="L453" i="1"/>
  <c r="L452" i="1"/>
  <c r="L463" i="1"/>
  <c r="L462" i="1"/>
  <c r="L461" i="1"/>
  <c r="L460" i="1"/>
  <c r="L459" i="1"/>
  <c r="L458" i="1"/>
  <c r="J445" i="1"/>
  <c r="J444" i="1"/>
  <c r="J443" i="1"/>
  <c r="J442" i="1"/>
  <c r="J441" i="1"/>
  <c r="J440" i="1"/>
  <c r="J451" i="1"/>
  <c r="J450" i="1"/>
  <c r="J449" i="1"/>
  <c r="J448" i="1"/>
  <c r="J447" i="1"/>
  <c r="J446" i="1"/>
  <c r="J457" i="1"/>
  <c r="J456" i="1"/>
  <c r="J455" i="1"/>
  <c r="J454" i="1"/>
  <c r="J453" i="1"/>
  <c r="J452" i="1"/>
  <c r="J463" i="1"/>
  <c r="J462" i="1"/>
  <c r="J461" i="1"/>
  <c r="J460" i="1"/>
  <c r="J459" i="1"/>
  <c r="J458" i="1"/>
  <c r="N445" i="1"/>
  <c r="N444" i="1"/>
  <c r="N443" i="1"/>
  <c r="N442" i="1"/>
  <c r="N441" i="1"/>
  <c r="N440" i="1"/>
  <c r="N451" i="1"/>
  <c r="N450" i="1"/>
  <c r="N449" i="1"/>
  <c r="N448" i="1"/>
  <c r="N447" i="1"/>
  <c r="N446" i="1"/>
  <c r="N457" i="1"/>
  <c r="N456" i="1"/>
  <c r="N455" i="1"/>
  <c r="N454" i="1"/>
  <c r="N453" i="1"/>
  <c r="N452" i="1"/>
  <c r="N463" i="1"/>
  <c r="N462" i="1"/>
  <c r="N461" i="1"/>
  <c r="N460" i="1"/>
  <c r="N459" i="1"/>
  <c r="N458" i="1"/>
  <c r="P75" i="2"/>
  <c r="O445" i="1"/>
  <c r="O444" i="1"/>
  <c r="O443" i="1"/>
  <c r="O442" i="1"/>
  <c r="O441" i="1"/>
  <c r="O440" i="1"/>
  <c r="P76" i="2"/>
  <c r="O451" i="1"/>
  <c r="O450" i="1"/>
  <c r="O449" i="1"/>
  <c r="O448" i="1"/>
  <c r="O447" i="1"/>
  <c r="O446" i="1"/>
  <c r="P77" i="2"/>
  <c r="O457" i="1"/>
  <c r="O456" i="1"/>
  <c r="O455" i="1"/>
  <c r="O454" i="1"/>
  <c r="O453" i="1"/>
  <c r="O452" i="1"/>
  <c r="P78" i="2"/>
  <c r="O463" i="1"/>
  <c r="O462" i="1"/>
  <c r="O461" i="1"/>
  <c r="O460" i="1"/>
  <c r="O459" i="1"/>
  <c r="O458" i="1"/>
  <c r="L427" i="1"/>
  <c r="L426" i="1"/>
  <c r="L425" i="1"/>
  <c r="L424" i="1"/>
  <c r="L423" i="1"/>
  <c r="L422" i="1"/>
  <c r="L433" i="1"/>
  <c r="L432" i="1"/>
  <c r="L431" i="1"/>
  <c r="L430" i="1"/>
  <c r="L429" i="1"/>
  <c r="L428" i="1"/>
  <c r="J427" i="1"/>
  <c r="J426" i="1"/>
  <c r="J425" i="1"/>
  <c r="J424" i="1"/>
  <c r="J423" i="1"/>
  <c r="J422" i="1"/>
  <c r="J433" i="1"/>
  <c r="J432" i="1"/>
  <c r="J431" i="1"/>
  <c r="J430" i="1"/>
  <c r="J429" i="1"/>
  <c r="J428" i="1"/>
  <c r="N427" i="1"/>
  <c r="N426" i="1"/>
  <c r="N425" i="1"/>
  <c r="N424" i="1"/>
  <c r="N423" i="1"/>
  <c r="N422" i="1"/>
  <c r="N433" i="1"/>
  <c r="N432" i="1"/>
  <c r="N431" i="1"/>
  <c r="N430" i="1"/>
  <c r="N429" i="1"/>
  <c r="N428" i="1"/>
  <c r="P72" i="2"/>
  <c r="O427" i="1"/>
  <c r="O426" i="1"/>
  <c r="O425" i="1"/>
  <c r="O424" i="1"/>
  <c r="O423" i="1"/>
  <c r="O422" i="1"/>
  <c r="P73" i="2"/>
  <c r="O433" i="1"/>
  <c r="O432" i="1"/>
  <c r="O431" i="1"/>
  <c r="O430" i="1"/>
  <c r="O429" i="1"/>
  <c r="O428" i="1"/>
  <c r="L415" i="1"/>
  <c r="L414" i="1"/>
  <c r="L413" i="1"/>
  <c r="L412" i="1"/>
  <c r="L411" i="1"/>
  <c r="L410" i="1"/>
  <c r="L421" i="1"/>
  <c r="L420" i="1"/>
  <c r="L419" i="1"/>
  <c r="L418" i="1"/>
  <c r="L417" i="1"/>
  <c r="L416" i="1"/>
  <c r="J415" i="1"/>
  <c r="J414" i="1"/>
  <c r="J413" i="1"/>
  <c r="J412" i="1"/>
  <c r="J411" i="1"/>
  <c r="J410" i="1"/>
  <c r="J421" i="1"/>
  <c r="J420" i="1"/>
  <c r="J419" i="1"/>
  <c r="J418" i="1"/>
  <c r="J417" i="1"/>
  <c r="J416" i="1"/>
  <c r="N415" i="1"/>
  <c r="N414" i="1"/>
  <c r="N413" i="1"/>
  <c r="N412" i="1"/>
  <c r="N411" i="1"/>
  <c r="N410" i="1"/>
  <c r="N421" i="1"/>
  <c r="N420" i="1"/>
  <c r="N419" i="1"/>
  <c r="N418" i="1"/>
  <c r="N417" i="1"/>
  <c r="N416" i="1"/>
  <c r="P70" i="2"/>
  <c r="O415" i="1"/>
  <c r="O414" i="1"/>
  <c r="O413" i="1"/>
  <c r="O412" i="1"/>
  <c r="O411" i="1"/>
  <c r="O410" i="1"/>
  <c r="P71" i="2"/>
  <c r="O421" i="1"/>
  <c r="O420" i="1"/>
  <c r="O419" i="1"/>
  <c r="O418" i="1"/>
  <c r="O417" i="1"/>
  <c r="O416" i="1"/>
  <c r="L385" i="1"/>
  <c r="L384" i="1"/>
  <c r="L383" i="1"/>
  <c r="L382" i="1"/>
  <c r="L391" i="1"/>
  <c r="L390" i="1"/>
  <c r="L389" i="1"/>
  <c r="L388" i="1"/>
  <c r="L387" i="1"/>
  <c r="L386" i="1"/>
  <c r="L397" i="1"/>
  <c r="L396" i="1"/>
  <c r="L395" i="1"/>
  <c r="L394" i="1"/>
  <c r="L393" i="1"/>
  <c r="L392" i="1"/>
  <c r="L403" i="1"/>
  <c r="L402" i="1"/>
  <c r="L401" i="1"/>
  <c r="L400" i="1"/>
  <c r="L399" i="1"/>
  <c r="L398" i="1"/>
  <c r="L409" i="1"/>
  <c r="L408" i="1"/>
  <c r="L407" i="1"/>
  <c r="L406" i="1"/>
  <c r="L405" i="1"/>
  <c r="L404" i="1"/>
  <c r="J385" i="1"/>
  <c r="J384" i="1"/>
  <c r="J383" i="1"/>
  <c r="J382" i="1"/>
  <c r="J391" i="1"/>
  <c r="J390" i="1"/>
  <c r="J389" i="1"/>
  <c r="J388" i="1"/>
  <c r="J387" i="1"/>
  <c r="J386" i="1"/>
  <c r="J397" i="1"/>
  <c r="J396" i="1"/>
  <c r="J395" i="1"/>
  <c r="J394" i="1"/>
  <c r="J393" i="1"/>
  <c r="J392" i="1"/>
  <c r="J403" i="1"/>
  <c r="J402" i="1"/>
  <c r="J401" i="1"/>
  <c r="J400" i="1"/>
  <c r="J399" i="1"/>
  <c r="J398" i="1"/>
  <c r="J409" i="1"/>
  <c r="J408" i="1"/>
  <c r="J407" i="1"/>
  <c r="J406" i="1"/>
  <c r="J405" i="1"/>
  <c r="J404" i="1"/>
  <c r="N385" i="1"/>
  <c r="N384" i="1"/>
  <c r="N383" i="1"/>
  <c r="N382" i="1"/>
  <c r="N391" i="1"/>
  <c r="N390" i="1"/>
  <c r="N389" i="1"/>
  <c r="N388" i="1"/>
  <c r="N387" i="1"/>
  <c r="N386" i="1"/>
  <c r="N397" i="1"/>
  <c r="N396" i="1"/>
  <c r="N395" i="1"/>
  <c r="N394" i="1"/>
  <c r="N393" i="1"/>
  <c r="N392" i="1"/>
  <c r="N403" i="1"/>
  <c r="N402" i="1"/>
  <c r="N401" i="1"/>
  <c r="N400" i="1"/>
  <c r="N399" i="1"/>
  <c r="N398" i="1"/>
  <c r="N409" i="1"/>
  <c r="N408" i="1"/>
  <c r="N407" i="1"/>
  <c r="N406" i="1"/>
  <c r="N405" i="1"/>
  <c r="N404" i="1"/>
  <c r="P65" i="2"/>
  <c r="O385" i="1"/>
  <c r="O384" i="1"/>
  <c r="O383" i="1"/>
  <c r="O382" i="1"/>
  <c r="P66" i="2"/>
  <c r="O391" i="1"/>
  <c r="O390" i="1"/>
  <c r="O389" i="1"/>
  <c r="O388" i="1"/>
  <c r="O387" i="1"/>
  <c r="O386" i="1"/>
  <c r="P67" i="2"/>
  <c r="O397" i="1"/>
  <c r="O396" i="1"/>
  <c r="O395" i="1"/>
  <c r="O394" i="1"/>
  <c r="O393" i="1"/>
  <c r="O392" i="1"/>
  <c r="P68" i="2"/>
  <c r="O403" i="1"/>
  <c r="O402" i="1"/>
  <c r="O401" i="1"/>
  <c r="O400" i="1"/>
  <c r="O399" i="1"/>
  <c r="O398" i="1"/>
  <c r="P69" i="2"/>
  <c r="O409" i="1"/>
  <c r="O408" i="1"/>
  <c r="O407" i="1"/>
  <c r="O406" i="1"/>
  <c r="O405" i="1"/>
  <c r="O404" i="1"/>
  <c r="L380" i="1"/>
  <c r="L379" i="1"/>
  <c r="L378" i="1"/>
  <c r="L377" i="1"/>
  <c r="L376" i="1"/>
  <c r="L375" i="1"/>
  <c r="L374" i="1"/>
  <c r="L373" i="1"/>
  <c r="J380" i="1"/>
  <c r="J379" i="1"/>
  <c r="J378" i="1"/>
  <c r="J377" i="1"/>
  <c r="J376" i="1"/>
  <c r="J375" i="1"/>
  <c r="J374" i="1"/>
  <c r="J373" i="1"/>
  <c r="P380" i="1"/>
  <c r="P379" i="1"/>
  <c r="P378" i="1"/>
  <c r="P377" i="1"/>
  <c r="P376" i="1"/>
  <c r="P375" i="1"/>
  <c r="P374" i="1"/>
  <c r="P373" i="1"/>
  <c r="O380" i="1"/>
  <c r="O379" i="1"/>
  <c r="O378" i="1"/>
  <c r="O377" i="1"/>
  <c r="O376" i="1"/>
  <c r="O375" i="1"/>
  <c r="O374" i="1"/>
  <c r="O373" i="1"/>
  <c r="N380" i="1"/>
  <c r="N379" i="1"/>
  <c r="N378" i="1"/>
  <c r="N377" i="1"/>
  <c r="N376" i="1"/>
  <c r="N375" i="1"/>
  <c r="N374" i="1"/>
  <c r="N373" i="1"/>
  <c r="L115" i="1"/>
  <c r="L372" i="1"/>
  <c r="L371" i="1"/>
  <c r="L370" i="1"/>
  <c r="L369" i="1"/>
  <c r="L368" i="1"/>
  <c r="J115" i="1"/>
  <c r="J372" i="1"/>
  <c r="J371" i="1"/>
  <c r="J370" i="1"/>
  <c r="J369" i="1"/>
  <c r="J368" i="1"/>
  <c r="P115" i="1"/>
  <c r="P372" i="1"/>
  <c r="P371" i="1"/>
  <c r="P370" i="1"/>
  <c r="P369" i="1"/>
  <c r="P368" i="1"/>
  <c r="O115" i="1"/>
  <c r="O372" i="1"/>
  <c r="O371" i="1"/>
  <c r="O370" i="1"/>
  <c r="O369" i="1"/>
  <c r="O368" i="1"/>
  <c r="N372" i="1"/>
  <c r="N371" i="1"/>
  <c r="N370" i="1"/>
  <c r="N369" i="1"/>
  <c r="N368" i="1"/>
  <c r="P348" i="1"/>
  <c r="P349" i="1"/>
  <c r="P350" i="1"/>
  <c r="P351" i="1"/>
  <c r="P352" i="1"/>
  <c r="P353" i="1"/>
  <c r="P354" i="1"/>
  <c r="P355" i="1"/>
  <c r="P356" i="1"/>
  <c r="P357" i="1"/>
  <c r="P338" i="1"/>
  <c r="P339" i="1"/>
  <c r="P340" i="1"/>
  <c r="P341" i="1"/>
  <c r="P342" i="1"/>
  <c r="P343" i="1"/>
  <c r="P344" i="1"/>
  <c r="P345" i="1"/>
  <c r="P346" i="1"/>
  <c r="P347" i="1"/>
  <c r="P328" i="1"/>
  <c r="P329" i="1"/>
  <c r="P330" i="1"/>
  <c r="P331" i="1"/>
  <c r="P332" i="1"/>
  <c r="P333" i="1"/>
  <c r="P334" i="1"/>
  <c r="P335" i="1"/>
  <c r="P336" i="1"/>
  <c r="P337" i="1"/>
  <c r="P318" i="1"/>
  <c r="P319" i="1"/>
  <c r="P320" i="1"/>
  <c r="P321" i="1"/>
  <c r="P322" i="1"/>
  <c r="P323" i="1"/>
  <c r="P324" i="1"/>
  <c r="P325" i="1"/>
  <c r="P326" i="1"/>
  <c r="P327" i="1"/>
  <c r="P308" i="1"/>
  <c r="P309" i="1"/>
  <c r="P310" i="1"/>
  <c r="P311" i="1"/>
  <c r="P312" i="1"/>
  <c r="P313" i="1"/>
  <c r="P314" i="1"/>
  <c r="P315" i="1"/>
  <c r="P316" i="1"/>
  <c r="P317" i="1"/>
  <c r="P298" i="1"/>
  <c r="P299" i="1"/>
  <c r="P300" i="1"/>
  <c r="P301" i="1"/>
  <c r="P302" i="1"/>
  <c r="P303" i="1"/>
  <c r="P304" i="1"/>
  <c r="P305" i="1"/>
  <c r="P306" i="1"/>
  <c r="P307" i="1"/>
  <c r="P288" i="1"/>
  <c r="P289" i="1"/>
  <c r="P290" i="1"/>
  <c r="P291" i="1"/>
  <c r="P292" i="1"/>
  <c r="P293" i="1"/>
  <c r="P294" i="1"/>
  <c r="P295" i="1"/>
  <c r="P296" i="1"/>
  <c r="P297" i="1"/>
  <c r="P278" i="1"/>
  <c r="P279" i="1"/>
  <c r="P280" i="1"/>
  <c r="P281" i="1"/>
  <c r="P282" i="1"/>
  <c r="P283" i="1"/>
  <c r="P284" i="1"/>
  <c r="P285" i="1"/>
  <c r="P286" i="1"/>
  <c r="P287" i="1"/>
  <c r="P268" i="1"/>
  <c r="P269" i="1"/>
  <c r="P270" i="1"/>
  <c r="P271" i="1"/>
  <c r="P272" i="1"/>
  <c r="P273" i="1"/>
  <c r="P274" i="1"/>
  <c r="P275" i="1"/>
  <c r="P276" i="1"/>
  <c r="P277" i="1"/>
  <c r="P258" i="1"/>
  <c r="P259" i="1"/>
  <c r="P260" i="1"/>
  <c r="P261" i="1"/>
  <c r="P262" i="1"/>
  <c r="P263" i="1"/>
  <c r="P264" i="1"/>
  <c r="P265" i="1"/>
  <c r="P266" i="1"/>
  <c r="P267" i="1"/>
  <c r="P360" i="1"/>
  <c r="P248" i="1"/>
  <c r="P249" i="1"/>
  <c r="P250" i="1"/>
  <c r="P251" i="1"/>
  <c r="P252" i="1"/>
  <c r="P253" i="1"/>
  <c r="P254" i="1"/>
  <c r="P255" i="1"/>
  <c r="P256" i="1"/>
  <c r="P257" i="1"/>
  <c r="P238" i="1"/>
  <c r="P239" i="1"/>
  <c r="P240" i="1"/>
  <c r="P241" i="1"/>
  <c r="P242" i="1"/>
  <c r="P243" i="1"/>
  <c r="P244" i="1"/>
  <c r="P245" i="1"/>
  <c r="P246" i="1"/>
  <c r="P247" i="1"/>
  <c r="P228" i="1"/>
  <c r="P229" i="1"/>
  <c r="P230" i="1"/>
  <c r="P231" i="1"/>
  <c r="P232" i="1"/>
  <c r="P233" i="1"/>
  <c r="P234" i="1"/>
  <c r="P235" i="1"/>
  <c r="P236" i="1"/>
  <c r="P237" i="1"/>
  <c r="P218" i="1"/>
  <c r="P219" i="1"/>
  <c r="P220" i="1"/>
  <c r="P221" i="1"/>
  <c r="P222" i="1"/>
  <c r="P223" i="1"/>
  <c r="P224" i="1"/>
  <c r="P225" i="1"/>
  <c r="P226" i="1"/>
  <c r="P227" i="1"/>
  <c r="P208" i="1"/>
  <c r="P209" i="1"/>
  <c r="P210" i="1"/>
  <c r="P211" i="1"/>
  <c r="P212" i="1"/>
  <c r="P213" i="1"/>
  <c r="P214" i="1"/>
  <c r="P215" i="1"/>
  <c r="P216" i="1"/>
  <c r="P217" i="1"/>
  <c r="P198" i="1"/>
  <c r="P199" i="1"/>
  <c r="P200" i="1"/>
  <c r="P201" i="1"/>
  <c r="P202" i="1"/>
  <c r="P203" i="1"/>
  <c r="P204" i="1"/>
  <c r="P205" i="1"/>
  <c r="P206" i="1"/>
  <c r="P207" i="1"/>
  <c r="P188" i="1"/>
  <c r="P189" i="1"/>
  <c r="P190" i="1"/>
  <c r="P191" i="1"/>
  <c r="P192" i="1"/>
  <c r="P193" i="1"/>
  <c r="P194" i="1"/>
  <c r="P195" i="1"/>
  <c r="P196" i="1"/>
  <c r="P197" i="1"/>
  <c r="P178" i="1"/>
  <c r="P179" i="1"/>
  <c r="P180" i="1"/>
  <c r="P181" i="1"/>
  <c r="P182" i="1"/>
  <c r="P183" i="1"/>
  <c r="P184" i="1"/>
  <c r="P185" i="1"/>
  <c r="P186" i="1"/>
  <c r="P187" i="1"/>
  <c r="P168" i="1"/>
  <c r="P169" i="1"/>
  <c r="P170" i="1"/>
  <c r="P171" i="1"/>
  <c r="P172" i="1"/>
  <c r="P173" i="1"/>
  <c r="P174" i="1"/>
  <c r="P175" i="1"/>
  <c r="P176" i="1"/>
  <c r="P177" i="1"/>
  <c r="P118" i="1"/>
  <c r="P119" i="1"/>
  <c r="P120" i="1"/>
  <c r="P121" i="1"/>
  <c r="P122" i="1"/>
  <c r="P123" i="1"/>
  <c r="P124" i="1"/>
  <c r="P125" i="1"/>
  <c r="P126" i="1"/>
  <c r="P127" i="1"/>
  <c r="P158" i="1"/>
  <c r="P159" i="1"/>
  <c r="P160" i="1"/>
  <c r="P161" i="1"/>
  <c r="P162" i="1"/>
  <c r="P163" i="1"/>
  <c r="P164" i="1"/>
  <c r="P165" i="1"/>
  <c r="P166" i="1"/>
  <c r="P167" i="1"/>
  <c r="P148" i="1"/>
  <c r="P149" i="1"/>
  <c r="P150" i="1"/>
  <c r="P151" i="1"/>
  <c r="P152" i="1"/>
  <c r="P153" i="1"/>
  <c r="P154" i="1"/>
  <c r="P155" i="1"/>
  <c r="P156" i="1"/>
  <c r="P157" i="1"/>
  <c r="P138" i="1"/>
  <c r="P139" i="1"/>
  <c r="P140" i="1"/>
  <c r="P141" i="1"/>
  <c r="P142" i="1"/>
  <c r="P143" i="1"/>
  <c r="P144" i="1"/>
  <c r="P145" i="1"/>
  <c r="P146" i="1"/>
  <c r="P147" i="1"/>
  <c r="P128" i="1"/>
  <c r="P129" i="1"/>
  <c r="P130" i="1"/>
  <c r="P131" i="1"/>
  <c r="P132" i="1"/>
  <c r="P133" i="1"/>
  <c r="P134" i="1"/>
  <c r="P135" i="1"/>
  <c r="P136" i="1"/>
  <c r="P137" i="1"/>
  <c r="P99" i="1"/>
  <c r="P100" i="1"/>
  <c r="P101" i="1"/>
  <c r="P102" i="1"/>
  <c r="P103" i="1"/>
  <c r="P104" i="1"/>
  <c r="P105" i="1"/>
  <c r="P106" i="1"/>
  <c r="P107" i="1"/>
  <c r="P94" i="1"/>
  <c r="P95" i="1"/>
  <c r="P96" i="1"/>
  <c r="P97" i="1"/>
  <c r="P98" i="1"/>
  <c r="P84" i="1"/>
  <c r="P85" i="1"/>
  <c r="P86" i="1"/>
  <c r="P87" i="1"/>
  <c r="P88" i="1"/>
  <c r="P89" i="1"/>
  <c r="P90" i="1"/>
  <c r="P91" i="1"/>
  <c r="P92" i="1"/>
  <c r="P93" i="1"/>
  <c r="P74" i="1"/>
  <c r="P75" i="1"/>
  <c r="P76" i="1"/>
  <c r="P77" i="1"/>
  <c r="P78" i="1"/>
  <c r="P79" i="1"/>
  <c r="P80" i="1"/>
  <c r="P81" i="1"/>
  <c r="P82" i="1"/>
  <c r="P83" i="1"/>
  <c r="P63" i="1"/>
  <c r="P64" i="1"/>
  <c r="P65" i="1"/>
  <c r="P66" i="1"/>
  <c r="P67" i="1"/>
  <c r="P68" i="1"/>
  <c r="P69" i="1"/>
  <c r="P70" i="1"/>
  <c r="P71" i="1"/>
  <c r="P72" i="1"/>
  <c r="P58" i="1"/>
  <c r="P59" i="1"/>
  <c r="P60" i="1"/>
  <c r="P61" i="1"/>
  <c r="P62" i="1"/>
  <c r="P53" i="1"/>
  <c r="P54" i="1"/>
  <c r="P55" i="1"/>
  <c r="P56" i="1"/>
  <c r="P57" i="1"/>
  <c r="P48" i="1"/>
  <c r="P49" i="1"/>
  <c r="P50" i="1"/>
  <c r="P51" i="1"/>
  <c r="P52" i="1"/>
  <c r="P361" i="1"/>
  <c r="P44" i="1"/>
  <c r="P45" i="1"/>
  <c r="P46" i="1"/>
  <c r="P47" i="1"/>
  <c r="P26" i="1"/>
  <c r="P27" i="1"/>
  <c r="P28" i="1"/>
  <c r="P29" i="1"/>
  <c r="P21" i="1"/>
  <c r="P22" i="1"/>
  <c r="P23" i="1"/>
  <c r="P116" i="1"/>
  <c r="P3" i="1"/>
  <c r="P13" i="1"/>
  <c r="P16" i="1"/>
  <c r="P4" i="1"/>
  <c r="P37" i="1"/>
  <c r="P38" i="1"/>
  <c r="P39" i="1"/>
  <c r="P40" i="1"/>
  <c r="P41" i="1"/>
  <c r="P42" i="1"/>
  <c r="P43" i="1"/>
  <c r="P6" i="1"/>
  <c r="P17" i="1"/>
  <c r="P20" i="1"/>
  <c r="P30" i="1"/>
  <c r="P31" i="1"/>
  <c r="P32" i="1"/>
  <c r="P33" i="1"/>
  <c r="P34" i="1"/>
  <c r="P35" i="1"/>
  <c r="P36" i="1"/>
  <c r="P7" i="1"/>
  <c r="P8" i="1"/>
  <c r="P11" i="1"/>
  <c r="P24" i="1"/>
  <c r="P25" i="1"/>
  <c r="P108" i="1"/>
  <c r="P358" i="1"/>
  <c r="P359" i="1"/>
  <c r="P362" i="1"/>
  <c r="O348" i="1"/>
  <c r="O349" i="1"/>
  <c r="O350" i="1"/>
  <c r="O351" i="1"/>
  <c r="O352" i="1"/>
  <c r="O353" i="1"/>
  <c r="O354" i="1"/>
  <c r="O355" i="1"/>
  <c r="O356" i="1"/>
  <c r="O357" i="1"/>
  <c r="O338" i="1"/>
  <c r="O339" i="1"/>
  <c r="O340" i="1"/>
  <c r="O341" i="1"/>
  <c r="O342" i="1"/>
  <c r="O343" i="1"/>
  <c r="O344" i="1"/>
  <c r="O345" i="1"/>
  <c r="O346" i="1"/>
  <c r="O347" i="1"/>
  <c r="O328" i="1"/>
  <c r="O329" i="1"/>
  <c r="O330" i="1"/>
  <c r="O331" i="1"/>
  <c r="O332" i="1"/>
  <c r="O333" i="1"/>
  <c r="O334" i="1"/>
  <c r="O335" i="1"/>
  <c r="O336" i="1"/>
  <c r="O337" i="1"/>
  <c r="O318" i="1"/>
  <c r="O319" i="1"/>
  <c r="O320" i="1"/>
  <c r="O321" i="1"/>
  <c r="O322" i="1"/>
  <c r="O323" i="1"/>
  <c r="O324" i="1"/>
  <c r="O325" i="1"/>
  <c r="O326" i="1"/>
  <c r="O327" i="1"/>
  <c r="O308" i="1"/>
  <c r="O309" i="1"/>
  <c r="O310" i="1"/>
  <c r="O311" i="1"/>
  <c r="O312" i="1"/>
  <c r="O313" i="1"/>
  <c r="O314" i="1"/>
  <c r="O315" i="1"/>
  <c r="O316" i="1"/>
  <c r="O317" i="1"/>
  <c r="O298" i="1"/>
  <c r="O299" i="1"/>
  <c r="O300" i="1"/>
  <c r="O301" i="1"/>
  <c r="O302" i="1"/>
  <c r="O303" i="1"/>
  <c r="O304" i="1"/>
  <c r="O305" i="1"/>
  <c r="O306" i="1"/>
  <c r="O307" i="1"/>
  <c r="O288" i="1"/>
  <c r="O289" i="1"/>
  <c r="O290" i="1"/>
  <c r="O291" i="1"/>
  <c r="O292" i="1"/>
  <c r="O293" i="1"/>
  <c r="O294" i="1"/>
  <c r="O295" i="1"/>
  <c r="O296" i="1"/>
  <c r="O297" i="1"/>
  <c r="O278" i="1"/>
  <c r="O279" i="1"/>
  <c r="O280" i="1"/>
  <c r="O281" i="1"/>
  <c r="O282" i="1"/>
  <c r="O283" i="1"/>
  <c r="O284" i="1"/>
  <c r="O285" i="1"/>
  <c r="O286" i="1"/>
  <c r="O287" i="1"/>
  <c r="O268" i="1"/>
  <c r="O269" i="1"/>
  <c r="O270" i="1"/>
  <c r="O271" i="1"/>
  <c r="O272" i="1"/>
  <c r="O273" i="1"/>
  <c r="O274" i="1"/>
  <c r="O275" i="1"/>
  <c r="O276" i="1"/>
  <c r="O277" i="1"/>
  <c r="O258" i="1"/>
  <c r="O259" i="1"/>
  <c r="O260" i="1"/>
  <c r="O261" i="1"/>
  <c r="O262" i="1"/>
  <c r="O263" i="1"/>
  <c r="O264" i="1"/>
  <c r="O265" i="1"/>
  <c r="O266" i="1"/>
  <c r="O267" i="1"/>
  <c r="O360" i="1"/>
  <c r="O248" i="1"/>
  <c r="O249" i="1"/>
  <c r="O250" i="1"/>
  <c r="O251" i="1"/>
  <c r="O252" i="1"/>
  <c r="O253" i="1"/>
  <c r="O254" i="1"/>
  <c r="O255" i="1"/>
  <c r="O256" i="1"/>
  <c r="O257" i="1"/>
  <c r="O238" i="1"/>
  <c r="O239" i="1"/>
  <c r="O240" i="1"/>
  <c r="O241" i="1"/>
  <c r="O242" i="1"/>
  <c r="O243" i="1"/>
  <c r="O244" i="1"/>
  <c r="O245" i="1"/>
  <c r="O246" i="1"/>
  <c r="O247" i="1"/>
  <c r="O228" i="1"/>
  <c r="O229" i="1"/>
  <c r="O230" i="1"/>
  <c r="O231" i="1"/>
  <c r="O232" i="1"/>
  <c r="O233" i="1"/>
  <c r="O234" i="1"/>
  <c r="O235" i="1"/>
  <c r="O236" i="1"/>
  <c r="O237" i="1"/>
  <c r="O218" i="1"/>
  <c r="O219" i="1"/>
  <c r="O220" i="1"/>
  <c r="O221" i="1"/>
  <c r="O222" i="1"/>
  <c r="O223" i="1"/>
  <c r="O224" i="1"/>
  <c r="O225" i="1"/>
  <c r="O226" i="1"/>
  <c r="O227" i="1"/>
  <c r="O208" i="1"/>
  <c r="O209" i="1"/>
  <c r="O210" i="1"/>
  <c r="O211" i="1"/>
  <c r="O212" i="1"/>
  <c r="O213" i="1"/>
  <c r="O214" i="1"/>
  <c r="O215" i="1"/>
  <c r="O216" i="1"/>
  <c r="O217" i="1"/>
  <c r="O198" i="1"/>
  <c r="O199" i="1"/>
  <c r="O200" i="1"/>
  <c r="O201" i="1"/>
  <c r="O202" i="1"/>
  <c r="O203" i="1"/>
  <c r="O204" i="1"/>
  <c r="O205" i="1"/>
  <c r="O206" i="1"/>
  <c r="O207" i="1"/>
  <c r="O188" i="1"/>
  <c r="O189" i="1"/>
  <c r="O190" i="1"/>
  <c r="O191" i="1"/>
  <c r="O192" i="1"/>
  <c r="O193" i="1"/>
  <c r="O194" i="1"/>
  <c r="O195" i="1"/>
  <c r="O196" i="1"/>
  <c r="O197" i="1"/>
  <c r="O178" i="1"/>
  <c r="O179" i="1"/>
  <c r="O180" i="1"/>
  <c r="O181" i="1"/>
  <c r="O182" i="1"/>
  <c r="O183" i="1"/>
  <c r="O184" i="1"/>
  <c r="O185" i="1"/>
  <c r="O186" i="1"/>
  <c r="O187" i="1"/>
  <c r="O168" i="1"/>
  <c r="O169" i="1"/>
  <c r="O170" i="1"/>
  <c r="O171" i="1"/>
  <c r="O172" i="1"/>
  <c r="O173" i="1"/>
  <c r="O174" i="1"/>
  <c r="O175" i="1"/>
  <c r="O176" i="1"/>
  <c r="O177" i="1"/>
  <c r="O118" i="1"/>
  <c r="O119" i="1"/>
  <c r="O120" i="1"/>
  <c r="O121" i="1"/>
  <c r="O122" i="1"/>
  <c r="O123" i="1"/>
  <c r="O124" i="1"/>
  <c r="O125" i="1"/>
  <c r="O126" i="1"/>
  <c r="O127" i="1"/>
  <c r="O158" i="1"/>
  <c r="O159" i="1"/>
  <c r="O160" i="1"/>
  <c r="O161" i="1"/>
  <c r="O162" i="1"/>
  <c r="O163" i="1"/>
  <c r="O164" i="1"/>
  <c r="O165" i="1"/>
  <c r="O166" i="1"/>
  <c r="O167" i="1"/>
  <c r="O148" i="1"/>
  <c r="O149" i="1"/>
  <c r="O150" i="1"/>
  <c r="O151" i="1"/>
  <c r="O152" i="1"/>
  <c r="O153" i="1"/>
  <c r="O154" i="1"/>
  <c r="O155" i="1"/>
  <c r="O156" i="1"/>
  <c r="O157" i="1"/>
  <c r="O138" i="1"/>
  <c r="O139" i="1"/>
  <c r="O140" i="1"/>
  <c r="O141" i="1"/>
  <c r="O142" i="1"/>
  <c r="O143" i="1"/>
  <c r="O144" i="1"/>
  <c r="O145" i="1"/>
  <c r="O146" i="1"/>
  <c r="O147" i="1"/>
  <c r="O128" i="1"/>
  <c r="O129" i="1"/>
  <c r="O130" i="1"/>
  <c r="O131" i="1"/>
  <c r="O132" i="1"/>
  <c r="O133" i="1"/>
  <c r="O134" i="1"/>
  <c r="O135" i="1"/>
  <c r="O136" i="1"/>
  <c r="O137" i="1"/>
  <c r="O99" i="1"/>
  <c r="O100" i="1"/>
  <c r="O101" i="1"/>
  <c r="O102" i="1"/>
  <c r="O103" i="1"/>
  <c r="O104" i="1"/>
  <c r="O105" i="1"/>
  <c r="O106" i="1"/>
  <c r="O107" i="1"/>
  <c r="O94" i="1"/>
  <c r="O95" i="1"/>
  <c r="O96" i="1"/>
  <c r="O97" i="1"/>
  <c r="O98" i="1"/>
  <c r="O84" i="1"/>
  <c r="O85" i="1"/>
  <c r="O86" i="1"/>
  <c r="O87" i="1"/>
  <c r="O88" i="1"/>
  <c r="O89" i="1"/>
  <c r="O90" i="1"/>
  <c r="O91" i="1"/>
  <c r="O92" i="1"/>
  <c r="O93" i="1"/>
  <c r="O74" i="1"/>
  <c r="O75" i="1"/>
  <c r="O76" i="1"/>
  <c r="O77" i="1"/>
  <c r="O78" i="1"/>
  <c r="O79" i="1"/>
  <c r="O80" i="1"/>
  <c r="O81" i="1"/>
  <c r="O82" i="1"/>
  <c r="O83" i="1"/>
  <c r="O63" i="1"/>
  <c r="O64" i="1"/>
  <c r="O65" i="1"/>
  <c r="O66" i="1"/>
  <c r="O67" i="1"/>
  <c r="O68" i="1"/>
  <c r="O69" i="1"/>
  <c r="O70" i="1"/>
  <c r="O71" i="1"/>
  <c r="O72" i="1"/>
  <c r="O58" i="1"/>
  <c r="O59" i="1"/>
  <c r="O60" i="1"/>
  <c r="O61" i="1"/>
  <c r="O62" i="1"/>
  <c r="O53" i="1"/>
  <c r="O54" i="1"/>
  <c r="O55" i="1"/>
  <c r="O56" i="1"/>
  <c r="O57" i="1"/>
  <c r="O48" i="1"/>
  <c r="O49" i="1"/>
  <c r="O50" i="1"/>
  <c r="O51" i="1"/>
  <c r="O52" i="1"/>
  <c r="O361" i="1"/>
  <c r="O44" i="1"/>
  <c r="O45" i="1"/>
  <c r="O46" i="1"/>
  <c r="O47" i="1"/>
  <c r="O26" i="1"/>
  <c r="O27" i="1"/>
  <c r="O28" i="1"/>
  <c r="O29" i="1"/>
  <c r="O21" i="1"/>
  <c r="O22" i="1"/>
  <c r="O23" i="1"/>
  <c r="O116" i="1"/>
  <c r="O3" i="1"/>
  <c r="O13" i="1"/>
  <c r="O16" i="1"/>
  <c r="O4" i="1"/>
  <c r="O37" i="1"/>
  <c r="O38" i="1"/>
  <c r="O39" i="1"/>
  <c r="O40" i="1"/>
  <c r="O41" i="1"/>
  <c r="O42" i="1"/>
  <c r="O43" i="1"/>
  <c r="O6" i="1"/>
  <c r="O17" i="1"/>
  <c r="O20" i="1"/>
  <c r="O30" i="1"/>
  <c r="O31" i="1"/>
  <c r="O32" i="1"/>
  <c r="O33" i="1"/>
  <c r="O34" i="1"/>
  <c r="O35" i="1"/>
  <c r="O36" i="1"/>
  <c r="O7" i="1"/>
  <c r="O8" i="1"/>
  <c r="O11" i="1"/>
  <c r="O24" i="1"/>
  <c r="O25" i="1"/>
  <c r="O108" i="1"/>
  <c r="O358" i="1"/>
  <c r="O359" i="1"/>
  <c r="O362" i="1"/>
  <c r="L348" i="1"/>
  <c r="L349" i="1"/>
  <c r="L350" i="1"/>
  <c r="L351" i="1"/>
  <c r="L352" i="1"/>
  <c r="L353" i="1"/>
  <c r="L354" i="1"/>
  <c r="L355" i="1"/>
  <c r="L356" i="1"/>
  <c r="L357" i="1"/>
  <c r="L338" i="1"/>
  <c r="L339" i="1"/>
  <c r="L340" i="1"/>
  <c r="L341" i="1"/>
  <c r="L342" i="1"/>
  <c r="L343" i="1"/>
  <c r="L344" i="1"/>
  <c r="L345" i="1"/>
  <c r="L346" i="1"/>
  <c r="L347" i="1"/>
  <c r="L328" i="1"/>
  <c r="L329" i="1"/>
  <c r="L330" i="1"/>
  <c r="L331" i="1"/>
  <c r="L332" i="1"/>
  <c r="L333" i="1"/>
  <c r="L334" i="1"/>
  <c r="L335" i="1"/>
  <c r="L336" i="1"/>
  <c r="L337" i="1"/>
  <c r="L318" i="1"/>
  <c r="L319" i="1"/>
  <c r="L320" i="1"/>
  <c r="L321" i="1"/>
  <c r="L322" i="1"/>
  <c r="L323" i="1"/>
  <c r="L324" i="1"/>
  <c r="L325" i="1"/>
  <c r="L326" i="1"/>
  <c r="L327" i="1"/>
  <c r="L308" i="1"/>
  <c r="L309" i="1"/>
  <c r="L310" i="1"/>
  <c r="L311" i="1"/>
  <c r="L312" i="1"/>
  <c r="L313" i="1"/>
  <c r="L314" i="1"/>
  <c r="L315" i="1"/>
  <c r="L316" i="1"/>
  <c r="L317" i="1"/>
  <c r="L298" i="1"/>
  <c r="L299" i="1"/>
  <c r="L300" i="1"/>
  <c r="L301" i="1"/>
  <c r="L302" i="1"/>
  <c r="L303" i="1"/>
  <c r="L304" i="1"/>
  <c r="L305" i="1"/>
  <c r="L306" i="1"/>
  <c r="L307" i="1"/>
  <c r="L288" i="1"/>
  <c r="L289" i="1"/>
  <c r="L290" i="1"/>
  <c r="L291" i="1"/>
  <c r="L292" i="1"/>
  <c r="L293" i="1"/>
  <c r="L294" i="1"/>
  <c r="L295" i="1"/>
  <c r="L296" i="1"/>
  <c r="L297" i="1"/>
  <c r="L278" i="1"/>
  <c r="L279" i="1"/>
  <c r="L280" i="1"/>
  <c r="L281" i="1"/>
  <c r="L282" i="1"/>
  <c r="L283" i="1"/>
  <c r="L284" i="1"/>
  <c r="L285" i="1"/>
  <c r="L286" i="1"/>
  <c r="L287" i="1"/>
  <c r="L268" i="1"/>
  <c r="L269" i="1"/>
  <c r="L270" i="1"/>
  <c r="L271" i="1"/>
  <c r="L272" i="1"/>
  <c r="L273" i="1"/>
  <c r="L274" i="1"/>
  <c r="L275" i="1"/>
  <c r="L276" i="1"/>
  <c r="L277" i="1"/>
  <c r="L258" i="1"/>
  <c r="L259" i="1"/>
  <c r="L260" i="1"/>
  <c r="L261" i="1"/>
  <c r="L262" i="1"/>
  <c r="L263" i="1"/>
  <c r="L264" i="1"/>
  <c r="L265" i="1"/>
  <c r="L266" i="1"/>
  <c r="L267" i="1"/>
  <c r="L360" i="1"/>
  <c r="L248" i="1"/>
  <c r="L249" i="1"/>
  <c r="L250" i="1"/>
  <c r="L251" i="1"/>
  <c r="L252" i="1"/>
  <c r="L253" i="1"/>
  <c r="L254" i="1"/>
  <c r="L255" i="1"/>
  <c r="L256" i="1"/>
  <c r="L257" i="1"/>
  <c r="L238" i="1"/>
  <c r="L239" i="1"/>
  <c r="L240" i="1"/>
  <c r="L241" i="1"/>
  <c r="L242" i="1"/>
  <c r="L243" i="1"/>
  <c r="L244" i="1"/>
  <c r="L245" i="1"/>
  <c r="L246" i="1"/>
  <c r="L247" i="1"/>
  <c r="L228" i="1"/>
  <c r="L229" i="1"/>
  <c r="L230" i="1"/>
  <c r="L231" i="1"/>
  <c r="L232" i="1"/>
  <c r="L233" i="1"/>
  <c r="L234" i="1"/>
  <c r="L235" i="1"/>
  <c r="L236" i="1"/>
  <c r="L237" i="1"/>
  <c r="L218" i="1"/>
  <c r="L219" i="1"/>
  <c r="L220" i="1"/>
  <c r="L221" i="1"/>
  <c r="L222" i="1"/>
  <c r="L223" i="1"/>
  <c r="L224" i="1"/>
  <c r="L225" i="1"/>
  <c r="L226" i="1"/>
  <c r="L227" i="1"/>
  <c r="L208" i="1"/>
  <c r="L209" i="1"/>
  <c r="L210" i="1"/>
  <c r="L211" i="1"/>
  <c r="L212" i="1"/>
  <c r="L213" i="1"/>
  <c r="L214" i="1"/>
  <c r="L215" i="1"/>
  <c r="L216" i="1"/>
  <c r="L217" i="1"/>
  <c r="L198" i="1"/>
  <c r="L199" i="1"/>
  <c r="L200" i="1"/>
  <c r="L201" i="1"/>
  <c r="L202" i="1"/>
  <c r="L203" i="1"/>
  <c r="L204" i="1"/>
  <c r="L205" i="1"/>
  <c r="L206" i="1"/>
  <c r="L207" i="1"/>
  <c r="L188" i="1"/>
  <c r="L189" i="1"/>
  <c r="L190" i="1"/>
  <c r="L191" i="1"/>
  <c r="L192" i="1"/>
  <c r="L193" i="1"/>
  <c r="L194" i="1"/>
  <c r="L195" i="1"/>
  <c r="L196" i="1"/>
  <c r="L197" i="1"/>
  <c r="L178" i="1"/>
  <c r="L179" i="1"/>
  <c r="L180" i="1"/>
  <c r="L181" i="1"/>
  <c r="L182" i="1"/>
  <c r="L183" i="1"/>
  <c r="L184" i="1"/>
  <c r="L185" i="1"/>
  <c r="L186" i="1"/>
  <c r="L187" i="1"/>
  <c r="L168" i="1"/>
  <c r="L169" i="1"/>
  <c r="L170" i="1"/>
  <c r="L171" i="1"/>
  <c r="L172" i="1"/>
  <c r="L173" i="1"/>
  <c r="L174" i="1"/>
  <c r="L175" i="1"/>
  <c r="L176" i="1"/>
  <c r="L177" i="1"/>
  <c r="L118" i="1"/>
  <c r="L119" i="1"/>
  <c r="L120" i="1"/>
  <c r="L121" i="1"/>
  <c r="L122" i="1"/>
  <c r="L123" i="1"/>
  <c r="L124" i="1"/>
  <c r="L125" i="1"/>
  <c r="L126" i="1"/>
  <c r="L127" i="1"/>
  <c r="L158" i="1"/>
  <c r="L159" i="1"/>
  <c r="L160" i="1"/>
  <c r="L161" i="1"/>
  <c r="L162" i="1"/>
  <c r="L163" i="1"/>
  <c r="L164" i="1"/>
  <c r="L165" i="1"/>
  <c r="L166" i="1"/>
  <c r="L167" i="1"/>
  <c r="L148" i="1"/>
  <c r="L149" i="1"/>
  <c r="L150" i="1"/>
  <c r="L151" i="1"/>
  <c r="L152" i="1"/>
  <c r="L153" i="1"/>
  <c r="L154" i="1"/>
  <c r="L155" i="1"/>
  <c r="L156" i="1"/>
  <c r="L157" i="1"/>
  <c r="L138" i="1"/>
  <c r="L139" i="1"/>
  <c r="L140" i="1"/>
  <c r="L141" i="1"/>
  <c r="L142" i="1"/>
  <c r="L143" i="1"/>
  <c r="L144" i="1"/>
  <c r="L145" i="1"/>
  <c r="L146" i="1"/>
  <c r="L147" i="1"/>
  <c r="L128" i="1"/>
  <c r="L129" i="1"/>
  <c r="L130" i="1"/>
  <c r="L131" i="1"/>
  <c r="L132" i="1"/>
  <c r="L133" i="1"/>
  <c r="L134" i="1"/>
  <c r="L135" i="1"/>
  <c r="L136" i="1"/>
  <c r="L137" i="1"/>
  <c r="L99" i="1"/>
  <c r="L100" i="1"/>
  <c r="L101" i="1"/>
  <c r="L102" i="1"/>
  <c r="L103" i="1"/>
  <c r="L104" i="1"/>
  <c r="L105" i="1"/>
  <c r="L106" i="1"/>
  <c r="L107" i="1"/>
  <c r="L94" i="1"/>
  <c r="L95" i="1"/>
  <c r="L96" i="1"/>
  <c r="L97" i="1"/>
  <c r="L98" i="1"/>
  <c r="L84" i="1"/>
  <c r="L85" i="1"/>
  <c r="L86" i="1"/>
  <c r="L87" i="1"/>
  <c r="L88" i="1"/>
  <c r="L89" i="1"/>
  <c r="L90" i="1"/>
  <c r="L91" i="1"/>
  <c r="L92" i="1"/>
  <c r="L93" i="1"/>
  <c r="L74" i="1"/>
  <c r="L75" i="1"/>
  <c r="L76" i="1"/>
  <c r="L77" i="1"/>
  <c r="L78" i="1"/>
  <c r="L79" i="1"/>
  <c r="L80" i="1"/>
  <c r="L81" i="1"/>
  <c r="L82" i="1"/>
  <c r="L83" i="1"/>
  <c r="L63" i="1"/>
  <c r="L64" i="1"/>
  <c r="L65" i="1"/>
  <c r="L66" i="1"/>
  <c r="L67" i="1"/>
  <c r="L68" i="1"/>
  <c r="L69" i="1"/>
  <c r="L70" i="1"/>
  <c r="L71" i="1"/>
  <c r="L72" i="1"/>
  <c r="L58" i="1"/>
  <c r="L59" i="1"/>
  <c r="L60" i="1"/>
  <c r="L61" i="1"/>
  <c r="L62" i="1"/>
  <c r="L53" i="1"/>
  <c r="L54" i="1"/>
  <c r="L55" i="1"/>
  <c r="L56" i="1"/>
  <c r="L57" i="1"/>
  <c r="L48" i="1"/>
  <c r="L49" i="1"/>
  <c r="L50" i="1"/>
  <c r="L51" i="1"/>
  <c r="L52" i="1"/>
  <c r="L361" i="1"/>
  <c r="L44" i="1"/>
  <c r="L45" i="1"/>
  <c r="L46" i="1"/>
  <c r="L47" i="1"/>
  <c r="L26" i="1"/>
  <c r="L27" i="1"/>
  <c r="L28" i="1"/>
  <c r="L29" i="1"/>
  <c r="L21" i="1"/>
  <c r="L22" i="1"/>
  <c r="L23" i="1"/>
  <c r="L116" i="1"/>
  <c r="L3" i="1"/>
  <c r="L13" i="1"/>
  <c r="L16" i="1"/>
  <c r="L4" i="1"/>
  <c r="L37" i="1"/>
  <c r="L38" i="1"/>
  <c r="L39" i="1"/>
  <c r="L40" i="1"/>
  <c r="L41" i="1"/>
  <c r="L42" i="1"/>
  <c r="L43" i="1"/>
  <c r="L6" i="1"/>
  <c r="L17" i="1"/>
  <c r="L20" i="1"/>
  <c r="L30" i="1"/>
  <c r="L31" i="1"/>
  <c r="L32" i="1"/>
  <c r="L33" i="1"/>
  <c r="L34" i="1"/>
  <c r="L35" i="1"/>
  <c r="L36" i="1"/>
  <c r="L7" i="1"/>
  <c r="L8" i="1"/>
  <c r="L11" i="1"/>
  <c r="L24" i="1"/>
  <c r="L25" i="1"/>
  <c r="L108" i="1"/>
  <c r="L358" i="1"/>
  <c r="L359" i="1"/>
  <c r="L362" i="1"/>
  <c r="J348" i="1"/>
  <c r="J349" i="1"/>
  <c r="J350" i="1"/>
  <c r="J351" i="1"/>
  <c r="J352" i="1"/>
  <c r="J353" i="1"/>
  <c r="J354" i="1"/>
  <c r="J355" i="1"/>
  <c r="J356" i="1"/>
  <c r="J357" i="1"/>
  <c r="J338" i="1"/>
  <c r="J339" i="1"/>
  <c r="J340" i="1"/>
  <c r="J341" i="1"/>
  <c r="J342" i="1"/>
  <c r="J343" i="1"/>
  <c r="J344" i="1"/>
  <c r="J345" i="1"/>
  <c r="J346" i="1"/>
  <c r="J347" i="1"/>
  <c r="J328" i="1"/>
  <c r="J329" i="1"/>
  <c r="J330" i="1"/>
  <c r="J331" i="1"/>
  <c r="J332" i="1"/>
  <c r="J333" i="1"/>
  <c r="J334" i="1"/>
  <c r="J335" i="1"/>
  <c r="J336" i="1"/>
  <c r="J337" i="1"/>
  <c r="J318" i="1"/>
  <c r="J319" i="1"/>
  <c r="J320" i="1"/>
  <c r="J321" i="1"/>
  <c r="J322" i="1"/>
  <c r="J323" i="1"/>
  <c r="J324" i="1"/>
  <c r="J325" i="1"/>
  <c r="J326" i="1"/>
  <c r="J327" i="1"/>
  <c r="J308" i="1"/>
  <c r="J309" i="1"/>
  <c r="J310" i="1"/>
  <c r="J311" i="1"/>
  <c r="J312" i="1"/>
  <c r="J313" i="1"/>
  <c r="J314" i="1"/>
  <c r="J315" i="1"/>
  <c r="J316" i="1"/>
  <c r="J317" i="1"/>
  <c r="J298" i="1"/>
  <c r="J299" i="1"/>
  <c r="J300" i="1"/>
  <c r="J301" i="1"/>
  <c r="J302" i="1"/>
  <c r="J303" i="1"/>
  <c r="J304" i="1"/>
  <c r="J305" i="1"/>
  <c r="J306" i="1"/>
  <c r="J307" i="1"/>
  <c r="J288" i="1"/>
  <c r="J289" i="1"/>
  <c r="J290" i="1"/>
  <c r="J291" i="1"/>
  <c r="J292" i="1"/>
  <c r="J293" i="1"/>
  <c r="J294" i="1"/>
  <c r="J295" i="1"/>
  <c r="J296" i="1"/>
  <c r="J297" i="1"/>
  <c r="J278" i="1"/>
  <c r="J279" i="1"/>
  <c r="J280" i="1"/>
  <c r="J281" i="1"/>
  <c r="J282" i="1"/>
  <c r="J283" i="1"/>
  <c r="J284" i="1"/>
  <c r="J285" i="1"/>
  <c r="J286" i="1"/>
  <c r="J287" i="1"/>
  <c r="J268" i="1"/>
  <c r="J269" i="1"/>
  <c r="J270" i="1"/>
  <c r="J271" i="1"/>
  <c r="J272" i="1"/>
  <c r="J273" i="1"/>
  <c r="J274" i="1"/>
  <c r="J275" i="1"/>
  <c r="J276" i="1"/>
  <c r="J277" i="1"/>
  <c r="J258" i="1"/>
  <c r="J259" i="1"/>
  <c r="J260" i="1"/>
  <c r="J261" i="1"/>
  <c r="J262" i="1"/>
  <c r="J263" i="1"/>
  <c r="J264" i="1"/>
  <c r="J265" i="1"/>
  <c r="J266" i="1"/>
  <c r="J267" i="1"/>
  <c r="J360" i="1"/>
  <c r="J248" i="1"/>
  <c r="J249" i="1"/>
  <c r="J250" i="1"/>
  <c r="J251" i="1"/>
  <c r="J252" i="1"/>
  <c r="J253" i="1"/>
  <c r="J254" i="1"/>
  <c r="J255" i="1"/>
  <c r="J256" i="1"/>
  <c r="J257" i="1"/>
  <c r="J238" i="1"/>
  <c r="J239" i="1"/>
  <c r="J240" i="1"/>
  <c r="J241" i="1"/>
  <c r="J242" i="1"/>
  <c r="J243" i="1"/>
  <c r="J244" i="1"/>
  <c r="J245" i="1"/>
  <c r="J246" i="1"/>
  <c r="J247" i="1"/>
  <c r="J228" i="1"/>
  <c r="J229" i="1"/>
  <c r="J230" i="1"/>
  <c r="J231" i="1"/>
  <c r="J232" i="1"/>
  <c r="J233" i="1"/>
  <c r="J234" i="1"/>
  <c r="J235" i="1"/>
  <c r="J236" i="1"/>
  <c r="J237" i="1"/>
  <c r="J218" i="1"/>
  <c r="J219" i="1"/>
  <c r="J220" i="1"/>
  <c r="J221" i="1"/>
  <c r="J222" i="1"/>
  <c r="J223" i="1"/>
  <c r="J224" i="1"/>
  <c r="J225" i="1"/>
  <c r="J226" i="1"/>
  <c r="J227" i="1"/>
  <c r="J208" i="1"/>
  <c r="J209" i="1"/>
  <c r="J210" i="1"/>
  <c r="J211" i="1"/>
  <c r="J212" i="1"/>
  <c r="J213" i="1"/>
  <c r="J214" i="1"/>
  <c r="J215" i="1"/>
  <c r="J216" i="1"/>
  <c r="J217" i="1"/>
  <c r="J198" i="1"/>
  <c r="J199" i="1"/>
  <c r="J200" i="1"/>
  <c r="J201" i="1"/>
  <c r="J202" i="1"/>
  <c r="J203" i="1"/>
  <c r="J204" i="1"/>
  <c r="J205" i="1"/>
  <c r="J206" i="1"/>
  <c r="J207" i="1"/>
  <c r="J188" i="1"/>
  <c r="J189" i="1"/>
  <c r="J190" i="1"/>
  <c r="J191" i="1"/>
  <c r="J192" i="1"/>
  <c r="J193" i="1"/>
  <c r="J194" i="1"/>
  <c r="J195" i="1"/>
  <c r="J196" i="1"/>
  <c r="J197" i="1"/>
  <c r="J178" i="1"/>
  <c r="J179" i="1"/>
  <c r="J180" i="1"/>
  <c r="J181" i="1"/>
  <c r="J182" i="1"/>
  <c r="J183" i="1"/>
  <c r="J184" i="1"/>
  <c r="J185" i="1"/>
  <c r="J186" i="1"/>
  <c r="J187" i="1"/>
  <c r="J168" i="1"/>
  <c r="J169" i="1"/>
  <c r="J170" i="1"/>
  <c r="J171" i="1"/>
  <c r="J172" i="1"/>
  <c r="J173" i="1"/>
  <c r="J174" i="1"/>
  <c r="J175" i="1"/>
  <c r="J176" i="1"/>
  <c r="J177" i="1"/>
  <c r="J118" i="1"/>
  <c r="J119" i="1"/>
  <c r="J120" i="1"/>
  <c r="J121" i="1"/>
  <c r="J122" i="1"/>
  <c r="J123" i="1"/>
  <c r="J124" i="1"/>
  <c r="J125" i="1"/>
  <c r="J126" i="1"/>
  <c r="J127" i="1"/>
  <c r="J158" i="1"/>
  <c r="J159" i="1"/>
  <c r="J160" i="1"/>
  <c r="J161" i="1"/>
  <c r="J162" i="1"/>
  <c r="J163" i="1"/>
  <c r="J164" i="1"/>
  <c r="J165" i="1"/>
  <c r="J166" i="1"/>
  <c r="J167" i="1"/>
  <c r="J148" i="1"/>
  <c r="J149" i="1"/>
  <c r="J150" i="1"/>
  <c r="J151" i="1"/>
  <c r="J152" i="1"/>
  <c r="J153" i="1"/>
  <c r="J154" i="1"/>
  <c r="J155" i="1"/>
  <c r="J156" i="1"/>
  <c r="J157" i="1"/>
  <c r="J138" i="1"/>
  <c r="J139" i="1"/>
  <c r="J140" i="1"/>
  <c r="J141" i="1"/>
  <c r="J142" i="1"/>
  <c r="J143" i="1"/>
  <c r="J144" i="1"/>
  <c r="J145" i="1"/>
  <c r="J146" i="1"/>
  <c r="J147" i="1"/>
  <c r="J128" i="1"/>
  <c r="J129" i="1"/>
  <c r="J130" i="1"/>
  <c r="J131" i="1"/>
  <c r="J132" i="1"/>
  <c r="J133" i="1"/>
  <c r="J134" i="1"/>
  <c r="J135" i="1"/>
  <c r="J136" i="1"/>
  <c r="J137" i="1"/>
  <c r="J99" i="1"/>
  <c r="J100" i="1"/>
  <c r="J101" i="1"/>
  <c r="J102" i="1"/>
  <c r="J103" i="1"/>
  <c r="J104" i="1"/>
  <c r="J105" i="1"/>
  <c r="J106" i="1"/>
  <c r="J107" i="1"/>
  <c r="J94" i="1"/>
  <c r="J95" i="1"/>
  <c r="J96" i="1"/>
  <c r="J97" i="1"/>
  <c r="J98" i="1"/>
  <c r="J84" i="1"/>
  <c r="J85" i="1"/>
  <c r="J86" i="1"/>
  <c r="J87" i="1"/>
  <c r="J88" i="1"/>
  <c r="J89" i="1"/>
  <c r="J90" i="1"/>
  <c r="J91" i="1"/>
  <c r="J92" i="1"/>
  <c r="J93" i="1"/>
  <c r="J74" i="1"/>
  <c r="J75" i="1"/>
  <c r="J76" i="1"/>
  <c r="J77" i="1"/>
  <c r="J78" i="1"/>
  <c r="J79" i="1"/>
  <c r="J80" i="1"/>
  <c r="J81" i="1"/>
  <c r="J82" i="1"/>
  <c r="J83" i="1"/>
  <c r="J63" i="1"/>
  <c r="J64" i="1"/>
  <c r="J65" i="1"/>
  <c r="J66" i="1"/>
  <c r="J67" i="1"/>
  <c r="J68" i="1"/>
  <c r="J69" i="1"/>
  <c r="J70" i="1"/>
  <c r="J71" i="1"/>
  <c r="J72" i="1"/>
  <c r="J58" i="1"/>
  <c r="J59" i="1"/>
  <c r="J60" i="1"/>
  <c r="J61" i="1"/>
  <c r="J62" i="1"/>
  <c r="J53" i="1"/>
  <c r="J54" i="1"/>
  <c r="J55" i="1"/>
  <c r="J56" i="1"/>
  <c r="J57" i="1"/>
  <c r="J48" i="1"/>
  <c r="J49" i="1"/>
  <c r="J50" i="1"/>
  <c r="J51" i="1"/>
  <c r="J52" i="1"/>
  <c r="J361" i="1"/>
  <c r="J44" i="1"/>
  <c r="J45" i="1"/>
  <c r="J46" i="1"/>
  <c r="J47" i="1"/>
  <c r="J26" i="1"/>
  <c r="J27" i="1"/>
  <c r="J28" i="1"/>
  <c r="J29" i="1"/>
  <c r="J21" i="1"/>
  <c r="J22" i="1"/>
  <c r="J23" i="1"/>
  <c r="J116" i="1"/>
  <c r="J3" i="1"/>
  <c r="J13" i="1"/>
  <c r="J16" i="1"/>
  <c r="J4" i="1"/>
  <c r="J37" i="1"/>
  <c r="J38" i="1"/>
  <c r="J39" i="1"/>
  <c r="J40" i="1"/>
  <c r="J41" i="1"/>
  <c r="J42" i="1"/>
  <c r="J43" i="1"/>
  <c r="J6" i="1"/>
  <c r="J17" i="1"/>
  <c r="J20" i="1"/>
  <c r="J30" i="1"/>
  <c r="J31" i="1"/>
  <c r="J32" i="1"/>
  <c r="J33" i="1"/>
  <c r="J34" i="1"/>
  <c r="J35" i="1"/>
  <c r="J36" i="1"/>
  <c r="J7" i="1"/>
  <c r="J8" i="1"/>
  <c r="J11" i="1"/>
  <c r="J24" i="1"/>
  <c r="J25" i="1"/>
  <c r="J108" i="1"/>
  <c r="J358" i="1"/>
  <c r="J359" i="1"/>
  <c r="J362" i="1"/>
  <c r="P1479" i="1" l="1"/>
  <c r="P1478" i="1"/>
  <c r="P1477" i="1"/>
  <c r="P1476" i="1"/>
  <c r="P1475" i="1"/>
  <c r="P1474" i="1"/>
  <c r="P1467" i="1"/>
  <c r="P1466" i="1"/>
  <c r="P1465" i="1"/>
  <c r="P1464" i="1"/>
  <c r="P1463" i="1"/>
  <c r="P1462" i="1"/>
  <c r="P1461" i="1"/>
  <c r="P1460" i="1"/>
  <c r="P1459" i="1"/>
  <c r="P1458" i="1"/>
  <c r="P1457" i="1"/>
  <c r="P1456" i="1"/>
  <c r="P1455" i="1"/>
  <c r="P1453" i="1"/>
  <c r="P1452" i="1"/>
  <c r="P1451" i="1"/>
  <c r="P1450" i="1"/>
  <c r="P1454" i="1"/>
  <c r="P1449" i="1"/>
  <c r="P1448" i="1"/>
  <c r="P1447" i="1"/>
  <c r="P1446" i="1"/>
  <c r="P1445" i="1"/>
  <c r="P1444" i="1"/>
  <c r="P1443" i="1"/>
  <c r="P1442" i="1"/>
  <c r="P1441" i="1"/>
  <c r="P1440" i="1"/>
  <c r="P1439" i="1"/>
  <c r="P1438" i="1"/>
  <c r="P1437" i="1"/>
  <c r="P1436" i="1"/>
  <c r="P1435" i="1"/>
  <c r="P1434" i="1"/>
  <c r="P1433" i="1"/>
  <c r="P1432" i="1"/>
  <c r="P1431" i="1"/>
  <c r="P1430" i="1"/>
  <c r="P1429" i="1"/>
  <c r="P1428" i="1"/>
  <c r="P1427" i="1"/>
  <c r="P1426" i="1"/>
  <c r="P1425" i="1"/>
  <c r="P1424" i="1"/>
  <c r="P1423" i="1"/>
  <c r="P1422" i="1"/>
  <c r="P1421" i="1"/>
  <c r="P1420" i="1"/>
  <c r="P1419" i="1"/>
  <c r="P1418" i="1"/>
  <c r="P1417" i="1"/>
  <c r="P1416" i="1"/>
  <c r="P1415" i="1"/>
  <c r="P1414" i="1"/>
  <c r="P1413" i="1"/>
  <c r="P1412" i="1"/>
  <c r="P1411" i="1"/>
  <c r="P1410" i="1"/>
  <c r="P1409" i="1"/>
  <c r="P1408" i="1"/>
  <c r="P1407" i="1"/>
  <c r="P1406" i="1"/>
  <c r="P1405" i="1"/>
  <c r="P1404" i="1"/>
  <c r="P1403" i="1"/>
  <c r="P1402" i="1"/>
  <c r="P1401" i="1"/>
  <c r="P1400" i="1"/>
  <c r="P1399" i="1"/>
  <c r="P1398" i="1"/>
  <c r="P1397" i="1"/>
  <c r="P1396" i="1"/>
  <c r="P1395" i="1"/>
  <c r="P1394" i="1"/>
  <c r="P1393" i="1"/>
  <c r="P1392" i="1"/>
  <c r="P1391" i="1"/>
  <c r="P1390" i="1"/>
  <c r="P1389" i="1"/>
  <c r="P1388" i="1"/>
  <c r="P1387" i="1"/>
  <c r="P1386" i="1"/>
  <c r="P1385" i="1"/>
  <c r="P1384" i="1"/>
  <c r="P1383" i="1"/>
  <c r="P1382" i="1"/>
  <c r="P1381" i="1"/>
  <c r="P1380" i="1"/>
  <c r="P1379" i="1"/>
  <c r="P1378" i="1"/>
  <c r="P1377" i="1"/>
  <c r="P1376" i="1"/>
  <c r="P1375" i="1"/>
  <c r="P1374" i="1"/>
  <c r="P1373" i="1"/>
  <c r="P1372" i="1"/>
  <c r="P1371" i="1"/>
  <c r="P1370" i="1"/>
  <c r="P1369" i="1"/>
  <c r="P1368" i="1"/>
  <c r="P1367" i="1"/>
  <c r="P1366" i="1"/>
  <c r="P1365" i="1"/>
  <c r="P1364" i="1"/>
  <c r="P1363" i="1"/>
  <c r="P1362" i="1"/>
  <c r="P1361" i="1"/>
  <c r="P1360" i="1"/>
  <c r="P1359" i="1"/>
  <c r="P1358" i="1"/>
  <c r="P1357" i="1"/>
  <c r="P1356" i="1"/>
  <c r="P1355" i="1"/>
  <c r="P1354" i="1"/>
  <c r="P1353" i="1"/>
  <c r="P1352" i="1"/>
  <c r="P1351" i="1"/>
  <c r="P1350" i="1"/>
  <c r="P645" i="1"/>
  <c r="P644" i="1"/>
  <c r="P643" i="1"/>
  <c r="P642" i="1"/>
  <c r="P641" i="1"/>
  <c r="P640" i="1"/>
  <c r="P639" i="1"/>
  <c r="P638" i="1"/>
  <c r="P629" i="1"/>
  <c r="P628" i="1"/>
  <c r="P637" i="1"/>
  <c r="P636" i="1"/>
  <c r="P635" i="1"/>
  <c r="P634" i="1"/>
  <c r="P633" i="1"/>
  <c r="P632" i="1"/>
  <c r="P631" i="1"/>
  <c r="P630" i="1"/>
  <c r="P627" i="1"/>
  <c r="P626" i="1"/>
  <c r="P625" i="1"/>
  <c r="P624" i="1"/>
  <c r="P623" i="1"/>
  <c r="P622" i="1"/>
  <c r="P621" i="1"/>
  <c r="P620" i="1"/>
  <c r="P619" i="1"/>
  <c r="P618" i="1"/>
  <c r="P617" i="1"/>
  <c r="P616" i="1"/>
  <c r="P615" i="1"/>
  <c r="P614" i="1"/>
  <c r="P613" i="1"/>
  <c r="P612" i="1"/>
  <c r="P611" i="1"/>
  <c r="P610" i="1"/>
  <c r="P609" i="1"/>
  <c r="P608" i="1"/>
  <c r="P607" i="1"/>
  <c r="P606" i="1"/>
  <c r="P605" i="1"/>
  <c r="P604" i="1"/>
  <c r="P603" i="1"/>
  <c r="P602" i="1"/>
  <c r="P601" i="1"/>
  <c r="P600" i="1"/>
  <c r="P599" i="1"/>
  <c r="P598" i="1"/>
  <c r="P597" i="1"/>
  <c r="P596" i="1"/>
  <c r="P595" i="1"/>
  <c r="P594" i="1"/>
  <c r="P593" i="1"/>
  <c r="P592" i="1"/>
  <c r="P591" i="1"/>
  <c r="P590" i="1"/>
  <c r="P589" i="1"/>
  <c r="P588" i="1"/>
  <c r="P587" i="1"/>
  <c r="P586" i="1"/>
  <c r="P585" i="1"/>
  <c r="P584" i="1"/>
  <c r="P583" i="1"/>
  <c r="P582" i="1"/>
  <c r="P581" i="1"/>
  <c r="P580" i="1"/>
  <c r="P579" i="1"/>
  <c r="P578" i="1"/>
  <c r="P577" i="1"/>
  <c r="P576" i="1"/>
  <c r="P575" i="1"/>
  <c r="P574" i="1"/>
  <c r="P573" i="1"/>
  <c r="P572" i="1"/>
  <c r="P571" i="1"/>
  <c r="P570" i="1"/>
  <c r="P569" i="1"/>
  <c r="P568" i="1"/>
  <c r="P567" i="1"/>
  <c r="P566" i="1"/>
  <c r="P565" i="1"/>
  <c r="P564" i="1"/>
  <c r="P563" i="1"/>
  <c r="P562" i="1"/>
  <c r="P561" i="1"/>
  <c r="P560" i="1"/>
  <c r="P559" i="1"/>
  <c r="P558" i="1"/>
  <c r="P557" i="1"/>
  <c r="P556" i="1"/>
  <c r="P555" i="1"/>
  <c r="P554" i="1"/>
  <c r="P553" i="1"/>
  <c r="P552" i="1"/>
  <c r="P551" i="1"/>
  <c r="P550" i="1"/>
  <c r="P549" i="1"/>
  <c r="P548" i="1"/>
  <c r="P547" i="1"/>
  <c r="P546" i="1"/>
  <c r="P545" i="1"/>
  <c r="P544" i="1"/>
  <c r="P543" i="1"/>
  <c r="P542" i="1"/>
  <c r="P541" i="1"/>
  <c r="P540" i="1"/>
  <c r="P539" i="1"/>
  <c r="P538" i="1"/>
  <c r="P537" i="1"/>
  <c r="P536" i="1"/>
  <c r="P535" i="1"/>
  <c r="P534" i="1"/>
  <c r="P533" i="1"/>
  <c r="P532" i="1"/>
  <c r="P531" i="1"/>
  <c r="P530" i="1"/>
  <c r="P529" i="1"/>
  <c r="P528" i="1"/>
  <c r="P527" i="1"/>
  <c r="P526" i="1"/>
  <c r="P525" i="1"/>
  <c r="P524" i="1"/>
  <c r="P523" i="1"/>
  <c r="P522" i="1"/>
  <c r="P521" i="1"/>
  <c r="P520" i="1"/>
  <c r="P519" i="1"/>
  <c r="P518" i="1"/>
  <c r="P517" i="1"/>
  <c r="P516" i="1"/>
  <c r="P515" i="1"/>
  <c r="P514" i="1"/>
  <c r="P513" i="1"/>
  <c r="P512" i="1"/>
  <c r="P511" i="1"/>
  <c r="P510" i="1"/>
  <c r="P509" i="1"/>
  <c r="P508" i="1"/>
  <c r="P507" i="1"/>
  <c r="P506" i="1"/>
  <c r="P505" i="1"/>
  <c r="P504" i="1"/>
  <c r="P503" i="1"/>
  <c r="P502" i="1"/>
  <c r="P501" i="1"/>
  <c r="P500" i="1"/>
  <c r="P499" i="1"/>
  <c r="P498" i="1"/>
  <c r="P497" i="1"/>
  <c r="P496" i="1"/>
  <c r="P495" i="1"/>
  <c r="P494" i="1"/>
  <c r="P493" i="1"/>
  <c r="P492" i="1"/>
  <c r="P491" i="1"/>
  <c r="P490" i="1"/>
  <c r="P489" i="1"/>
  <c r="P488" i="1"/>
  <c r="P487" i="1"/>
  <c r="P486" i="1"/>
  <c r="P485" i="1"/>
  <c r="P484" i="1"/>
  <c r="P483" i="1"/>
  <c r="P482" i="1"/>
  <c r="P481" i="1"/>
  <c r="P480" i="1"/>
  <c r="P479" i="1"/>
  <c r="P478" i="1"/>
  <c r="P477" i="1"/>
  <c r="P476" i="1"/>
  <c r="P475" i="1"/>
  <c r="P474" i="1"/>
  <c r="P473" i="1"/>
  <c r="P472" i="1"/>
  <c r="P471" i="1"/>
  <c r="P470" i="1"/>
  <c r="P469" i="1"/>
  <c r="P468" i="1"/>
  <c r="P467" i="1"/>
  <c r="P466" i="1"/>
  <c r="P465" i="1"/>
  <c r="P464" i="1"/>
  <c r="P463" i="1"/>
  <c r="P462" i="1"/>
  <c r="P461" i="1"/>
  <c r="P460" i="1"/>
  <c r="P459" i="1"/>
  <c r="P458" i="1"/>
  <c r="P457" i="1"/>
  <c r="P456" i="1"/>
  <c r="P455" i="1"/>
  <c r="P454" i="1"/>
  <c r="P453" i="1"/>
  <c r="P452" i="1"/>
  <c r="P451" i="1"/>
  <c r="P450" i="1"/>
  <c r="P449" i="1"/>
  <c r="P448" i="1"/>
  <c r="P447" i="1"/>
  <c r="P446" i="1"/>
  <c r="P445" i="1"/>
  <c r="P444" i="1"/>
  <c r="P443" i="1"/>
  <c r="P442" i="1"/>
  <c r="P441" i="1"/>
  <c r="P440" i="1"/>
  <c r="P433" i="1"/>
  <c r="P432" i="1"/>
  <c r="P431" i="1"/>
  <c r="P430" i="1"/>
  <c r="P429" i="1"/>
  <c r="P428" i="1"/>
  <c r="P427" i="1"/>
  <c r="P426" i="1"/>
  <c r="P425" i="1"/>
  <c r="P424" i="1"/>
  <c r="P423" i="1"/>
  <c r="P422" i="1"/>
  <c r="P421" i="1"/>
  <c r="P420" i="1"/>
  <c r="P419" i="1"/>
  <c r="P418" i="1"/>
  <c r="P417" i="1"/>
  <c r="P416" i="1"/>
  <c r="P415" i="1"/>
  <c r="P414" i="1"/>
  <c r="P413" i="1"/>
  <c r="P412" i="1"/>
  <c r="P411" i="1"/>
  <c r="P410" i="1"/>
  <c r="P409" i="1"/>
  <c r="P408" i="1"/>
  <c r="P407" i="1"/>
  <c r="P406" i="1"/>
  <c r="P405" i="1"/>
  <c r="P404" i="1"/>
  <c r="P403" i="1"/>
  <c r="P402" i="1"/>
  <c r="P401" i="1"/>
  <c r="P400" i="1"/>
  <c r="P399" i="1"/>
  <c r="P398" i="1"/>
  <c r="P397" i="1"/>
  <c r="P396" i="1"/>
  <c r="P395" i="1"/>
  <c r="P394" i="1"/>
  <c r="P393" i="1"/>
  <c r="P392" i="1"/>
  <c r="P391" i="1"/>
  <c r="P390" i="1"/>
  <c r="P389" i="1"/>
  <c r="P388" i="1"/>
  <c r="P387" i="1"/>
  <c r="P386" i="1"/>
  <c r="P385" i="1"/>
  <c r="P384" i="1"/>
  <c r="P383" i="1"/>
  <c r="P382" i="1"/>
  <c r="P381"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<sst xmlns="http://schemas.openxmlformats.org/spreadsheetml/2006/main" count="7765" uniqueCount="5296">
  <si>
    <t>id_cita</t>
  </si>
  <si>
    <t>cita_es</t>
  </si>
  <si>
    <t>cita_la</t>
  </si>
  <si>
    <t>cita_original</t>
  </si>
  <si>
    <t>autor_es</t>
  </si>
  <si>
    <t>referencia</t>
  </si>
  <si>
    <t>autor_la</t>
  </si>
  <si>
    <t>bio_es</t>
  </si>
  <si>
    <t>bio_la</t>
  </si>
  <si>
    <t>codigo</t>
  </si>
  <si>
    <t>idioma_es</t>
  </si>
  <si>
    <t>idioma_la</t>
  </si>
  <si>
    <t>nacion_es</t>
  </si>
  <si>
    <t>nacion_la</t>
  </si>
  <si>
    <t>epoca_es</t>
  </si>
  <si>
    <t>epoca_la</t>
  </si>
  <si>
    <t>imagen</t>
  </si>
  <si>
    <t>imagen_atr</t>
  </si>
  <si>
    <t>La vida es bella</t>
  </si>
  <si>
    <t>Vita pulchra est</t>
  </si>
  <si>
    <t>La vie est belle</t>
  </si>
  <si>
    <t>Refrán Francés</t>
  </si>
  <si>
    <t>A caballo regalado, no le mires el diente</t>
  </si>
  <si>
    <t>Equi dati dentes non inspiciuntur</t>
  </si>
  <si>
    <t>Refrán Español</t>
  </si>
  <si>
    <t>Cada persona es diferente</t>
  </si>
  <si>
    <t>Quot homines, tot sententiae</t>
  </si>
  <si>
    <t>十人十色</t>
  </si>
  <si>
    <t>Proverbio Japonés</t>
  </si>
  <si>
    <t>Sin esfuerzo no se consigue nada</t>
  </si>
  <si>
    <t>Sine labore nihil obtinetur</t>
  </si>
  <si>
    <t>Без труда не выловишь и рыбку из пруда</t>
  </si>
  <si>
    <t>Refrán Ruso</t>
  </si>
  <si>
    <t>La vida está en el movimiento</t>
  </si>
  <si>
    <t>Vita in motu est</t>
  </si>
  <si>
    <t>生命在于运动</t>
  </si>
  <si>
    <t>Proverbio Chino</t>
  </si>
  <si>
    <t>Ojo por ojo, diente por diente</t>
  </si>
  <si>
    <t>Oculum pro oculo, dentem pro dente</t>
  </si>
  <si>
    <t>עַיִן תַּחַת עַיִן שֵׁן תַּחַת שֵׁן</t>
  </si>
  <si>
    <t>Biblia</t>
  </si>
  <si>
    <t>Exodus 21:24</t>
  </si>
  <si>
    <t>El amor es fuerte como la muerte; los celos son crueles como la tumba</t>
  </si>
  <si>
    <t>Fortis est ut mors dilectio, dura sicut infernus aemulatio</t>
  </si>
  <si>
    <t>כִּי־עַזָּה כַמָּוֶת אַהֲבָה קָשָׁה כִשְׁאוֹל קִנְאָה</t>
  </si>
  <si>
    <t>Canticum Canticorum 8:6</t>
  </si>
  <si>
    <t>Pienso, luego existo</t>
  </si>
  <si>
    <t>Cogito, ergo sum</t>
  </si>
  <si>
    <t>Je pense, donc je suis</t>
  </si>
  <si>
    <t>René Descartes</t>
  </si>
  <si>
    <t>Principia Philosophiae, Pars I, §7 (1644)</t>
  </si>
  <si>
    <t>Porque el conocimiento mismo es poder</t>
  </si>
  <si>
    <t>Nam et ipsa scientia potestas est</t>
  </si>
  <si>
    <t>Francis Bacon</t>
  </si>
  <si>
    <t>Meditationes Sacrae, De Haeresibus (1597)</t>
  </si>
  <si>
    <t>La vida feliz es el gozo de la verdad</t>
  </si>
  <si>
    <t>Beata vita est gaudium de veritate</t>
  </si>
  <si>
    <t>San Agustín</t>
  </si>
  <si>
    <t>Confessiones, Liber X, Caput XXIII, 33</t>
  </si>
  <si>
    <t>La felicidad no depende de quién eres o de lo que tienes, sino de lo que piensas</t>
  </si>
  <si>
    <t>Felicitas non pendet ex eo quis sis aut quid habeas, sed ex eo quod cogites</t>
  </si>
  <si>
    <t>Happiness doesn't depend on who you are or what you have; it depends on what you think</t>
  </si>
  <si>
    <t>Dale Carnegie</t>
  </si>
  <si>
    <t>How to Win Friends and Influence People (1936)</t>
  </si>
  <si>
    <t>No dejes para mañana lo que puedas hacer hoy</t>
  </si>
  <si>
    <t>Noli in crastinum differre quod hodie facere potes</t>
  </si>
  <si>
    <t>Aprovecha el día, confiando lo menos posible en el mañana.</t>
  </si>
  <si>
    <t>Carpe diem, quam minimum credula postero</t>
  </si>
  <si>
    <t>Horacio</t>
  </si>
  <si>
    <t>Odas I, 11</t>
  </si>
  <si>
    <t>Ser o no ser, esa es la cuestión</t>
  </si>
  <si>
    <t>Esse aut non esse, haec est quaestio</t>
  </si>
  <si>
    <t>To be, or not to be, that is the question</t>
  </si>
  <si>
    <t>Shakespeare</t>
  </si>
  <si>
    <t>Hamlet, Actus III, Scaena I (c. 1600)</t>
  </si>
  <si>
    <t>No es lo mismo fracasar que estrellarse</t>
  </si>
  <si>
    <t>Non idem est cadere ac collidi</t>
  </si>
  <si>
    <t>Los años que una mujer borra en silencio no son devorados por el tiempo; se posan, suavemente, en los rasgos de sus amigas más íntimas</t>
  </si>
  <si>
    <t>Anni quos femina silentio delet non a tempore devorantur, sed in vultibus amicorum quiescunt</t>
  </si>
  <si>
    <t>女人悄然抹去的岁月，并未真被时光吞没 而是悄悄落在了她闺中好友的眉眼之间</t>
  </si>
  <si>
    <t>La suerte está echada</t>
  </si>
  <si>
    <t>Alea iacta est</t>
  </si>
  <si>
    <t>Gayo Julio César</t>
  </si>
  <si>
    <t>Suetonius, De vita Caesarum, Divus Iulius 32</t>
  </si>
  <si>
    <t>Nada surge de la nada</t>
  </si>
  <si>
    <t>Ex nihilo nihil fit</t>
  </si>
  <si>
    <t>οὐδὲν ἐκ τοῦ μὴ ὄντος γίγνεται</t>
  </si>
  <si>
    <t>Parménides</t>
  </si>
  <si>
    <t>Simplicius, In Aristotelis Physica (fr. DK 28 B8)</t>
  </si>
  <si>
    <t>Todos los hombres son sabios; unos antes, los otros después</t>
  </si>
  <si>
    <t>Omnes homines sapientes sunt, alii citius, alii postea</t>
  </si>
  <si>
    <t>人皆有智慧 只是早晚而已</t>
  </si>
  <si>
    <t>El que sabe de ello no se compara con el que lo ama; el que lo ama no se compara con el que se deleita en ello</t>
  </si>
  <si>
    <t>Qui scit non aequatur ei qui amat; qui amat non aequatur ei qui delectatur</t>
  </si>
  <si>
    <t>知之者不如好之者；好之者不如乐之者</t>
  </si>
  <si>
    <t>Confucio</t>
  </si>
  <si>
    <t>Analecta Confucii, Liber VI, Caput XX</t>
  </si>
  <si>
    <t>Aprender sin reflexionar es inútil; reflexionar sin aprender es peligroso</t>
  </si>
  <si>
    <t>Discere sine cogitatione inutile est; cogitare sine doctrina periculosum est</t>
  </si>
  <si>
    <t>学而不思则罔，思而不学则殆</t>
  </si>
  <si>
    <t>Analecta Confucii, Liber II, Caput XV</t>
  </si>
  <si>
    <t>No hagas a otros lo que no deseas para ti mismo</t>
  </si>
  <si>
    <t>Quod tibi non vis, alteri ne feceris</t>
  </si>
  <si>
    <t>己所不欲，勿施于人</t>
  </si>
  <si>
    <t>Analecta Confucii, Liber XII, Caput II</t>
  </si>
  <si>
    <t>La vida sin letras es muerte</t>
  </si>
  <si>
    <t>Vita sine litteris mors est</t>
  </si>
  <si>
    <t>Séneca</t>
  </si>
  <si>
    <t>Epistulae Morales ad Lucilium, Epistula 82, 3</t>
  </si>
  <si>
    <t>No hay un camino fácil de la tierra a las estrellas</t>
  </si>
  <si>
    <t>Non est ad astra mollis e terris via</t>
  </si>
  <si>
    <t>Hercules Furens, v. 437</t>
  </si>
  <si>
    <t>Mientras estemos entre los hombres, cultivemos la humanidad</t>
  </si>
  <si>
    <t>Dum inter homines sumus, colamus humanitatem</t>
  </si>
  <si>
    <t>Dum inter homines sumus, humanitatem colamus</t>
  </si>
  <si>
    <t>Epistulae Morales ad Lucilium, Epistula 95, 52</t>
  </si>
  <si>
    <t>Cada uno es artífice de su propia fortuna</t>
  </si>
  <si>
    <t>Quisque est faber fortunae suae</t>
  </si>
  <si>
    <t>Faber est suae quisque fortunae</t>
  </si>
  <si>
    <t>Epistulae Morales ad Lucilium, Epistula 98, 2</t>
  </si>
  <si>
    <t>Sin ira ni parcialidad</t>
  </si>
  <si>
    <t>Sine ira et studio</t>
  </si>
  <si>
    <t>Tácito</t>
  </si>
  <si>
    <t>Annales, I, 1</t>
  </si>
  <si>
    <t>El conocimiento es poder</t>
  </si>
  <si>
    <t>Scientia potentia est</t>
  </si>
  <si>
    <t>Knowledge is power</t>
  </si>
  <si>
    <t>Aquel que pregunta es un tonto por cinco minutos, pero el que no pregunta permanece tonto por siempre</t>
  </si>
  <si>
    <t>Qui rogat stultus est ad horam; qui non rogat stultus manet in aeternum</t>
  </si>
  <si>
    <t>不耻下问</t>
  </si>
  <si>
    <t>Un viaje de mil millas comienza con un solo paso</t>
  </si>
  <si>
    <t>Iter mille milium uno passu incipit</t>
  </si>
  <si>
    <t>千里之行，始于足下。</t>
  </si>
  <si>
    <t>Dar un pez a alguien no es tan bueno como enseñarle a pescar</t>
  </si>
  <si>
    <t>Potius est docere piscari quam piscem dare</t>
  </si>
  <si>
    <t>授人以鱼不如授人以渔。</t>
  </si>
  <si>
    <t>Quien se conforma, siempre es feliz</t>
  </si>
  <si>
    <t>Qui contentus est, semper beatus est</t>
  </si>
  <si>
    <t>知足常乐。</t>
  </si>
  <si>
    <t>El mar acepta todos los ríos; así se hace grande</t>
  </si>
  <si>
    <t>Mare omnes fluvios recipit et ideo magnum est</t>
  </si>
  <si>
    <t>海纳百川，有容乃大。</t>
  </si>
  <si>
    <t>学而不思则罔，思而不学则殆。</t>
  </si>
  <si>
    <t>Si tres caminan juntos, siempre hay algo que puedo aprender de ellos</t>
  </si>
  <si>
    <t>Inter tres ambulantes, semper magister est</t>
  </si>
  <si>
    <t>三人行，必有我师焉。</t>
  </si>
  <si>
    <t>Cae siete veces, levántate ocho</t>
  </si>
  <si>
    <t>Septies cade, octies surge</t>
  </si>
  <si>
    <t>七転び八起き</t>
  </si>
  <si>
    <t>Hasta los monos se caen de los árboles</t>
  </si>
  <si>
    <t>Etiam simiae ex arboribus cadunt</t>
  </si>
  <si>
    <t>猿も木から落ちる</t>
  </si>
  <si>
    <t>Más vale dar un rodeo que precipitarse</t>
  </si>
  <si>
    <t>Qui festinat circuit</t>
  </si>
  <si>
    <t>急がば回れ</t>
  </si>
  <si>
    <t>Incluso sobre una piedra, tres años</t>
  </si>
  <si>
    <t>Etiam super lapidem, triennium</t>
  </si>
  <si>
    <t>石の上にも三年</t>
  </si>
  <si>
    <t>Después de la lluvia, la tierra se endurece</t>
  </si>
  <si>
    <t>Post pluviam terra confirmatur</t>
  </si>
  <si>
    <t>雨降って地固まる</t>
  </si>
  <si>
    <t>Incluso rozarse las mangas es el resultado de muchas vidas de destino</t>
  </si>
  <si>
    <t>Etiam leviter contingere manicas est fatum multarum vitarum</t>
  </si>
  <si>
    <t>袖振り合うも多生の縁</t>
  </si>
  <si>
    <t>La boca es la fuente del desastre</t>
  </si>
  <si>
    <t>Os est fons calamitatis</t>
  </si>
  <si>
    <t>口は災いの元</t>
  </si>
  <si>
    <t>La vida sin estudio es una muerte</t>
  </si>
  <si>
    <t>No hay camino fácil de la tierra a las estrellas</t>
  </si>
  <si>
    <t>Mientras estemos entre hombres, cultivemos la humanidad</t>
  </si>
  <si>
    <t>La verdad es la adecuación del intelecto con la realidad</t>
  </si>
  <si>
    <t>Veritas est adaequatio rei et intellectus</t>
  </si>
  <si>
    <t>Santo Tomás de Aquino</t>
  </si>
  <si>
    <t>Summa Theologiae, I, q.16, art.1</t>
  </si>
  <si>
    <t>Amor a Dios y al prójimo</t>
  </si>
  <si>
    <t>Amor Dei et proximi</t>
  </si>
  <si>
    <t>Summa Theologiae, II-II, q.25, art.1</t>
  </si>
  <si>
    <t>La fe y la razón están en armonía</t>
  </si>
  <si>
    <t>Fides et ratio concordant</t>
  </si>
  <si>
    <t>Summa Theologiae (principio general)</t>
  </si>
  <si>
    <t>El bien común debe prevalecer sobre el bien individual</t>
  </si>
  <si>
    <t>Bonum commune praeferendum est bono singulari</t>
  </si>
  <si>
    <t>Summa Theologiae, II-II, q.57, art.1</t>
  </si>
  <si>
    <t>El hombre busca el bien supremo</t>
  </si>
  <si>
    <t>Homo summum bonum quaerit</t>
  </si>
  <si>
    <t>Summa Theologiae, I-II, q.1, art.5</t>
  </si>
  <si>
    <t>Dios ha muerto</t>
  </si>
  <si>
    <t>Deus mortuus est</t>
  </si>
  <si>
    <t>Gott ist tot</t>
  </si>
  <si>
    <t>Friedrich Nietzsche</t>
  </si>
  <si>
    <t>Die fröhliche Wissenschaft (1882), Liber III, aphorismus 125</t>
  </si>
  <si>
    <t>Lo que no me mata, me hace más fuerte</t>
  </si>
  <si>
    <t>Quod me non necat, fortiorem me facit</t>
  </si>
  <si>
    <t>Was mich nicht umbringt, macht mich stärker</t>
  </si>
  <si>
    <t>Ecce Homo (1888), Praefatio, §1</t>
  </si>
  <si>
    <t>Sin música, la vida sería un error</t>
  </si>
  <si>
    <t>Sine musica vita error esset</t>
  </si>
  <si>
    <t>Ohne Musik wäre das Leben ein Irrtum</t>
  </si>
  <si>
    <t>Götzen-Dämmerung (1889), Prologus</t>
  </si>
  <si>
    <t>El hombre es algo que debe ser superado</t>
  </si>
  <si>
    <t>Homo est aliquid quod superandum est</t>
  </si>
  <si>
    <t>Der Mensch ist etwas, das überwunden werden soll</t>
  </si>
  <si>
    <t>Also sprach Zarathustra (1883-1885), Pars Prima, §3</t>
  </si>
  <si>
    <t>Siempre hay algo de locura en el amor. Pero también hay algo de razón en la locura</t>
  </si>
  <si>
    <t>Semper aliquid insaniae in amore est, sed etiam aliquid rationis in insania</t>
  </si>
  <si>
    <t>Es gibt immer etwas Wahnsinn in der Liebe. Aber auch etwas Vernunft im Wahnsinn</t>
  </si>
  <si>
    <t>Also sprach Zarathustra (1883-1885), Pars Secunda, §21</t>
  </si>
  <si>
    <t>El verdadero soldado lucha no porque odie lo que tiene delante, sino porque ama lo que tiene detrás</t>
  </si>
  <si>
    <t>Verus miles pugnat non quia odit quod ante se est, sed quia amat quod post se est</t>
  </si>
  <si>
    <t>The true soldier fights not because he hates what is in front of him, but because he loves what is behind him</t>
  </si>
  <si>
    <t>Gilbert Keith Chesterton</t>
  </si>
  <si>
    <t>Heretics (1905)</t>
  </si>
  <si>
    <t>Una aventura es solo un inconveniente correctamente considerado. Un inconveniente es solo una aventura mal considerada</t>
  </si>
  <si>
    <t>Aventura est incommodum recte consideratum; incommodum est aventura male considerata</t>
  </si>
  <si>
    <t>An adventure is only an inconvenience rightly considered. An inconvenience is only an adventure wrongly considered</t>
  </si>
  <si>
    <t>The Man Who Was Thursday (1908)</t>
  </si>
  <si>
    <t>No hay reglas de arquitectura para un castillo en las nubes</t>
  </si>
  <si>
    <t>Nullae sunt regulae architecturae pro castello in nubibus</t>
  </si>
  <si>
    <t>There are no rules of architecture for a castle in the clouds</t>
  </si>
  <si>
    <t>La manera de amar algo es darse cuenta de que puede perderse</t>
  </si>
  <si>
    <t>Via ad amandum est intellegere posse amitti</t>
  </si>
  <si>
    <t>The way to love anything is to realize that it may be lost</t>
  </si>
  <si>
    <t>The Thing (1909)</t>
  </si>
  <si>
    <t>Las falacias no dejan de ser falacias porque se conviertan en modas</t>
  </si>
  <si>
    <t>Fallaciae non desinunt fallaciae esse quia fiunt consuetudines</t>
  </si>
  <si>
    <t>Fallacies do not cease to be fallacies because they become fashions</t>
  </si>
  <si>
    <t>Orthodoxy (1908)</t>
  </si>
  <si>
    <t>Tenemos que defender la verdad a toda costa, aunque volvamos a ser solamente doce</t>
  </si>
  <si>
    <t>Veritatem defendere oportet omni pretio, etiam si solum duodecim restemus</t>
  </si>
  <si>
    <t>Veritatem defendere oportet omni pretio, etiam si soli duodecim maneamus</t>
  </si>
  <si>
    <t>Juan Pablo II</t>
  </si>
  <si>
    <t>Audientia generalis, 6 januarii 2002</t>
  </si>
  <si>
    <t>La fe es la luz que ilumina las tinieblas</t>
  </si>
  <si>
    <t>Fides est lux quae tenebras illuminat</t>
  </si>
  <si>
    <t>Redemptor Hominis, 1979</t>
  </si>
  <si>
    <t>El amor todo lo vence</t>
  </si>
  <si>
    <t>Caritas omnia vincit</t>
  </si>
  <si>
    <t>Dives in Misericordia, 1980</t>
  </si>
  <si>
    <t>Buscamos la paz en la tierra</t>
  </si>
  <si>
    <t>Pacem in terris quaerimus</t>
  </si>
  <si>
    <t>Encyclica, 1986</t>
  </si>
  <si>
    <t>El Espíritu Santo nos guía hacia la verdad</t>
  </si>
  <si>
    <t>Spiritus Sanctus nos ducit ad veritatem</t>
  </si>
  <si>
    <t>Spiritus Sanctus nos ad veritatem ducit</t>
  </si>
  <si>
    <t>Catechesis Generalis, 15 aprilis 1980</t>
  </si>
  <si>
    <t>La verdad os hará libres</t>
  </si>
  <si>
    <t>Veritas vos liberabit</t>
  </si>
  <si>
    <t>Audientia generalis, 22 aprilis 1980</t>
  </si>
  <si>
    <t>Todas nuestras obras pongamos en Dios</t>
  </si>
  <si>
    <t>Omnia opera nostra in Deo ponamus</t>
  </si>
  <si>
    <t>Catechesis Generalis, 10 november 1976</t>
  </si>
  <si>
    <t>La fuerza de la fe siempre vence al miedo</t>
  </si>
  <si>
    <t>Fidei virtus semper vincit timorem</t>
  </si>
  <si>
    <t>Virtus fidei timorem semper vincit</t>
  </si>
  <si>
    <t>Los hombres deben preservar su dignidad</t>
  </si>
  <si>
    <t>Homines dignitatem suam servare debent</t>
  </si>
  <si>
    <t>Audientia generalis, 16 aprilis 1983</t>
  </si>
  <si>
    <t>El amor a Dios y al prójimo es el fundamento de la vida</t>
  </si>
  <si>
    <t>Amor Dei et proximi est fundamentum vitae</t>
  </si>
  <si>
    <t>Catechesis Generalis, 15 september 1980</t>
  </si>
  <si>
    <t>El hombre sin educación es como un cadáver</t>
  </si>
  <si>
    <t>Homo sine litteris mors est</t>
  </si>
  <si>
    <t>San Juan Bautista de La Salle</t>
  </si>
  <si>
    <t xml:space="preserve">Scripta Educativa, saeculum XVIII </t>
  </si>
  <si>
    <t>La paciencia es la llave para la solución</t>
  </si>
  <si>
    <t>Patientia clavis liberationis est</t>
  </si>
  <si>
    <t>الصبر مفتاح الفرج</t>
  </si>
  <si>
    <t>Proverbio Árabe</t>
  </si>
  <si>
    <t>Quien se esfuerza, encuentra</t>
  </si>
  <si>
    <t>Qui laborat invenit</t>
  </si>
  <si>
    <t>من جد وجد</t>
  </si>
  <si>
    <t>La mente es un adorno</t>
  </si>
  <si>
    <t>Mens ornamentum est</t>
  </si>
  <si>
    <t>العقل زينة</t>
  </si>
  <si>
    <t>El amigo se conoce en la adversidad</t>
  </si>
  <si>
    <t>Amicus in angustiis cognoscitur</t>
  </si>
  <si>
    <t>الصديق وقت الضيق</t>
  </si>
  <si>
    <t>El conocimiento es luz</t>
  </si>
  <si>
    <t>Scientia lux est</t>
  </si>
  <si>
    <t>العلم نور</t>
  </si>
  <si>
    <t>Quien cava un hoyo para su hermano, caerá en él</t>
  </si>
  <si>
    <t>Qui foveam fratri fodit in eam cadit</t>
  </si>
  <si>
    <t>من حفر حفرة لأخيه وقع فيها</t>
  </si>
  <si>
    <t>Una sola mano no aplaude</t>
  </si>
  <si>
    <t>Una manus non plausum facit</t>
  </si>
  <si>
    <t>يد واحدة لا تصفق</t>
  </si>
  <si>
    <t>La experiencia es el mejor maestro</t>
  </si>
  <si>
    <t>Experientia optimus magister est</t>
  </si>
  <si>
    <t>التجربة خير معلم</t>
  </si>
  <si>
    <t>El tiempo es como una espada; si no lo cortas, te corta</t>
  </si>
  <si>
    <t>Tempus sicut gladius est: si non id caedis, te caedit</t>
  </si>
  <si>
    <t>الوقت كالسيف إن لم تقطعه قطعك</t>
  </si>
  <si>
    <t>El libro es el mejor compañero</t>
  </si>
  <si>
    <t>Liber optimus comes est</t>
  </si>
  <si>
    <t>الكتاب خير جليس</t>
  </si>
  <si>
    <t>Tu derecho es actuar, no los frutos de la acción</t>
  </si>
  <si>
    <t>Tuum ius est agere, non fructus actionis</t>
  </si>
  <si>
    <t>कर्मण्येवाधिकारस्ते मा फलेषु कदाचन</t>
  </si>
  <si>
    <t>Proverbio Hindú</t>
  </si>
  <si>
    <t>Yoga es perfección en la acción</t>
  </si>
  <si>
    <t>Yoga est perfectio in operatione</t>
  </si>
  <si>
    <t>योगः कर्मसु कौशलम्</t>
  </si>
  <si>
    <t>La no violencia es la máxima virtud</t>
  </si>
  <si>
    <t>Non violentia summa virtus est</t>
  </si>
  <si>
    <t>अहिंसा परमोधर्मः</t>
  </si>
  <si>
    <t>Di la verdad</t>
  </si>
  <si>
    <t>Veritatem dic</t>
  </si>
  <si>
    <t>सत्यं वद</t>
  </si>
  <si>
    <t>La disciplina conduce a la victoria</t>
  </si>
  <si>
    <t>Disciplina ad victoriam ducit</t>
  </si>
  <si>
    <t>तपो न हि विजितम्</t>
  </si>
  <si>
    <t>La educación da humildad</t>
  </si>
  <si>
    <t>Doctrina humilitatem dat</t>
  </si>
  <si>
    <t>विद्या ददाति विनयम्</t>
  </si>
  <si>
    <t>La vida tiene placer y dolor</t>
  </si>
  <si>
    <t>Vita gaudium et dolorem habet</t>
  </si>
  <si>
    <t>सुखं वा दुःखं वा जीवनम्</t>
  </si>
  <si>
    <t>La separación de un amigo duele</t>
  </si>
  <si>
    <t>Amici separatio dolet</t>
  </si>
  <si>
    <t>न मित्रस्य वियोगः दुःखः</t>
  </si>
  <si>
    <t>La paz viene del cuidado de uno mismo</t>
  </si>
  <si>
    <t>Pax ex cura sui venit</t>
  </si>
  <si>
    <t>आत्मनः प्रतिपालने शान्ति</t>
  </si>
  <si>
    <t>Actúa con mente pura</t>
  </si>
  <si>
    <t>Mente pura age</t>
  </si>
  <si>
    <t>शुद्धमनसा कर्म करोति</t>
  </si>
  <si>
    <t>La cultura es el alma de una civilización</t>
  </si>
  <si>
    <t>Cultura anima est civilisationis</t>
  </si>
  <si>
    <t>Die Kultur ist die Seele einer Zivilisation</t>
  </si>
  <si>
    <t>Oswald Spengler</t>
  </si>
  <si>
    <t>Der Untergang des Abendlandes, Band I, 1918</t>
  </si>
  <si>
    <t>Cada civilización tiene su ciclo de nacimiento, crecimiento y decadencia</t>
  </si>
  <si>
    <t>Unaquaeque civilizatio habet cyclus natalis, crescentiae et ruinae</t>
  </si>
  <si>
    <t>Jede Zivilisation hat ihren Zyklus von Geburt, Wachstum und Verfall</t>
  </si>
  <si>
    <t>La historia no progresa, sino que las culturas nacen, florecen y mueren</t>
  </si>
  <si>
    <t>Historia non progreditur, sed culturae nascuntur, florent et moriuntur</t>
  </si>
  <si>
    <t>Die Geschichte schreitet nicht voran, Kulturen entstehen, blühen und sterben</t>
  </si>
  <si>
    <t>La civilización occidental ha entrado en su fase final de declive</t>
  </si>
  <si>
    <t>Civilizatio occidentalis in ultimam declinationis phasein intravit</t>
  </si>
  <si>
    <t>Die westliche Zivilisation ist in ihre Endphase des Niedergangs eingetreten</t>
  </si>
  <si>
    <t>Der Untergang des Abendlandes, Band II, 1922</t>
  </si>
  <si>
    <t>La política y la economía son manifestaciones de la cultura, no la determinan</t>
  </si>
  <si>
    <t>Politica et oeconomia sunt manifestationes culturae, non eius factores</t>
  </si>
  <si>
    <t>Politik und Wirtschaft sind Manifestationen der Kultur, nicht ihr Bestimmungsfaktor</t>
  </si>
  <si>
    <t>En un lugar de la Mancha, de cuyo nombre no quiero acordarme…</t>
  </si>
  <si>
    <t>In loco Manche, cuius nomen nolo meminisse…</t>
  </si>
  <si>
    <t>Miguel de Cervantes</t>
  </si>
  <si>
    <t>Don Quijote de la Mancha, Primera Parte, 1605</t>
  </si>
  <si>
    <t>El que lee mucho y anda mucho, ve mucho y sabe mucho</t>
  </si>
  <si>
    <t>Qui multum legit et multum ambulat, multum videt et multum scit</t>
  </si>
  <si>
    <t>Don Quijote de la Mancha, Primera Parte, Capítulo X</t>
  </si>
  <si>
    <t>La pluma es la lengua del alma</t>
  </si>
  <si>
    <t>Calamus lingua animae est</t>
  </si>
  <si>
    <t>Novelas ejemplares, 1613</t>
  </si>
  <si>
    <t>Nunca pares de procurar ser mejor</t>
  </si>
  <si>
    <t>Numquam desine melius esse quaerere</t>
  </si>
  <si>
    <t>Cada uno es como Dios le hizo, y aun peor muchas veces</t>
  </si>
  <si>
    <t>Unusquisque est sicut Deus fecit, et saepe peior</t>
  </si>
  <si>
    <t>Don Quijote de la Mancha, Primera Parte, Capítulo XIX</t>
  </si>
  <si>
    <t>No es más que un sueño lo que se sueña en la vida</t>
  </si>
  <si>
    <t>Somnium solum est quod in vita somniatur</t>
  </si>
  <si>
    <t>Don Quijote de la Mancha, Primera Parte, Capítulo XXVIII</t>
  </si>
  <si>
    <t>La libertad, Sancho, es uno de los más preciosos dones que a los hombres dieron los cielos</t>
  </si>
  <si>
    <t>Libertas, Sancho, donum pretiosissimum est quod caelum hominibus dedit</t>
  </si>
  <si>
    <t>Don Quijote de la Mancha, Primera Parte, Capítulo XX</t>
  </si>
  <si>
    <t>Dulcinea del Toboso, señora de mi pensamiento</t>
  </si>
  <si>
    <t>Dulcinea Tobosi, domina cogitationum mearum</t>
  </si>
  <si>
    <t>Don Quijote de la Mancha, Primera Parte, Capítulo XIII</t>
  </si>
  <si>
    <t>Cambiar la tristeza en contento es la más sabrosa medicina del alma</t>
  </si>
  <si>
    <t>Tristitiam in laetitiam mutare est medicamentum animae sapidissimum</t>
  </si>
  <si>
    <t>Conócete, acéptate, supérate</t>
  </si>
  <si>
    <t>Nosce te, accipe te, supera te</t>
  </si>
  <si>
    <r>
      <t>San Agustín</t>
    </r>
    <r>
      <rPr>
        <sz val="10"/>
        <rFont val="Arial"/>
        <family val="2"/>
        <charset val="1"/>
      </rPr>
      <t xml:space="preserve">, </t>
    </r>
    <r>
      <rPr>
        <i/>
        <sz val="10"/>
        <rFont val="Arial"/>
        <family val="2"/>
        <charset val="1"/>
      </rPr>
      <t>Confessiones</t>
    </r>
    <r>
      <rPr>
        <sz val="10"/>
        <rFont val="Arial"/>
        <family val="2"/>
        <charset val="1"/>
      </rPr>
      <t>, Lib. X, cap. 8</t>
    </r>
  </si>
  <si>
    <t>La educación es el arma más poderosa que puedes usar para cambiar el mundo</t>
  </si>
  <si>
    <t>Educatio potentissimum telum est ad mundum mutandum.</t>
  </si>
  <si>
    <t>Education is the most powerful weapon which you can use to change the world</t>
  </si>
  <si>
    <t>Nelson Mandela</t>
  </si>
  <si>
    <t>Nelson Mandela, Discurso en la Universidad de Pretoria, 2003</t>
  </si>
  <si>
    <t>La verdadera educación consiste en obtener lo mejor de uno mismo</t>
  </si>
  <si>
    <t>Vera educatio consistit in optimo ex se ipsis obtinendo</t>
  </si>
  <si>
    <t>The true education consists in getting the best out of oneself</t>
  </si>
  <si>
    <t>Mahatma Gandhi</t>
  </si>
  <si>
    <t>Young India, 1921</t>
  </si>
  <si>
    <t>La educación es lo que queda después de olvidar lo que se ha aprendido en la escuela</t>
  </si>
  <si>
    <t>Educatio remanet postquam obliviscimur quod in schola didicimus</t>
  </si>
  <si>
    <t>Education is what remains after one has forgotten what one has learned in school</t>
  </si>
  <si>
    <t>Albert Einstein</t>
  </si>
  <si>
    <t>Autobiographical Notes, 1949</t>
  </si>
  <si>
    <t>La función de la educación es enseñar a pensar intensamente y críticamente. Inteligencia más carácter: ese es el objetivo de la verdadera educación</t>
  </si>
  <si>
    <t>Munus educationis est docere cogitare intense et critice. Ingenium cum moribus – hoc est finis verae educationis</t>
  </si>
  <si>
    <t>The function of education is to teach one to think intensively and to think critically. Intelligence plus character – that is the goal of true education</t>
  </si>
  <si>
    <t>Martin Luther King Jr.</t>
  </si>
  <si>
    <t>The Purpose of Education, 1947</t>
  </si>
  <si>
    <t>La educación no es preparación para la vida; la educación es la vida en sí misma</t>
  </si>
  <si>
    <t>Educatio non est praeparatio ad vitam; educatio ipsa vita est</t>
  </si>
  <si>
    <t>Education is not preparation for life; education is life itself</t>
  </si>
  <si>
    <t>John Dewey</t>
  </si>
  <si>
    <t>Democracy and Education, 1916</t>
  </si>
  <si>
    <t>Una inversión en conocimiento paga el mejor interés</t>
  </si>
  <si>
    <t>Investitio in scientia optimum redditum praestat</t>
  </si>
  <si>
    <t>An investment in knowledge pays the best interest</t>
  </si>
  <si>
    <t>Benjamin Franklin</t>
  </si>
  <si>
    <t>Poor Richard's Almanack, 1758</t>
  </si>
  <si>
    <t>El aprendizaje nunca cansa a la mente</t>
  </si>
  <si>
    <t>Disciplina animi numquam defatigat</t>
  </si>
  <si>
    <t>Apprendimento non stanca mai la mente</t>
  </si>
  <si>
    <t>Leonardo Da Vinci</t>
  </si>
  <si>
    <t>Codex Atlanticus, f. 80r</t>
  </si>
  <si>
    <t>Aprender sin pensar es esfuerzo perdido; pensar sin aprender, peligroso</t>
  </si>
  <si>
    <t>Discere sine cogitatione inutile est; cogitare sine discendo periculosum est</t>
  </si>
  <si>
    <t>學而不思則罔，思而不學則殆</t>
  </si>
  <si>
    <t>Analecta (論語), Liber II, Cap. XV</t>
  </si>
  <si>
    <t>Un niño sin educación es como un pájaro sin alas</t>
  </si>
  <si>
    <t>Infans sine educatione quasi avis sine alis est</t>
  </si>
  <si>
    <t>ཕྱི་ལོག་མི་སློབ་དང་མི་བྱེད་པ་ནི་སྤྱོད་པ་མ་འགྱོ་བའི་བྱེད་སྒོ་འདུག</t>
  </si>
  <si>
    <t>Proverbio Tibetano</t>
  </si>
  <si>
    <t>El principio de todas las cosas es el agua</t>
  </si>
  <si>
    <t>Principium omnium rerum aqua est</t>
  </si>
  <si>
    <t>ἀρχὴ τῶν ὄντων τὸ ὕδωρ</t>
  </si>
  <si>
    <t>Tales de Mileto</t>
  </si>
  <si>
    <t>Fragmentum 1 (DK 11 A1)</t>
  </si>
  <si>
    <t>Todo está lleno de dioses</t>
  </si>
  <si>
    <t>Omnia diis plena sunt</t>
  </si>
  <si>
    <t>πάντα πλήρη θεῶν</t>
  </si>
  <si>
    <t>Fragmentum 2 (DK 11 A2)</t>
  </si>
  <si>
    <t>El cosmos está animado</t>
  </si>
  <si>
    <t>Mundus animatus est</t>
  </si>
  <si>
    <t>ὁ κόσμος ἔμψυχός ἐστι</t>
  </si>
  <si>
    <t>Fragmentum 3 (DK 11 A3)</t>
  </si>
  <si>
    <t>El alma mueve los cuerpos</t>
  </si>
  <si>
    <t>Anima corpora movet</t>
  </si>
  <si>
    <t>ψυχὴ κινεῖ τὰ σώματα</t>
  </si>
  <si>
    <t>Fragmentum 4 (DK 11 A4)</t>
  </si>
  <si>
    <t>Todo procede de lo uno</t>
  </si>
  <si>
    <t>Omnia ex uno procedunt</t>
  </si>
  <si>
    <t>τὸ πᾶν ἐκ τοῦ ἑνός</t>
  </si>
  <si>
    <t>Fragmentum 5 (DK 11 A5)</t>
  </si>
  <si>
    <t>Lo divino no tiene principio ni fin</t>
  </si>
  <si>
    <t>Divinum nec principium nec finem habet</t>
  </si>
  <si>
    <t>τὸ θεῖον οὔτε ἀρχὴν οὔτε τέλος ἔχει</t>
  </si>
  <si>
    <t>Fragmentum 6 (DK 11 A6)</t>
  </si>
  <si>
    <t>Lo más poderoso es la necesidad</t>
  </si>
  <si>
    <t>Necessitas potentissima est</t>
  </si>
  <si>
    <t>ἰσχυρότατον ἀνάγκη</t>
  </si>
  <si>
    <t>Fragmentum 7 (DK 11 A7)</t>
  </si>
  <si>
    <t>El tiempo es lo más sabio</t>
  </si>
  <si>
    <t>Tempus sapientissimum est</t>
  </si>
  <si>
    <t>χρόνος σοφώτατος</t>
  </si>
  <si>
    <t>Fragmentum 8 (DK 11 A8)</t>
  </si>
  <si>
    <t>Conócete a ti mismo</t>
  </si>
  <si>
    <t>Te ipsum nosce</t>
  </si>
  <si>
    <t>γνῶθι σαυτόν</t>
  </si>
  <si>
    <t>Fragmentum 9 (DK 11 A9)</t>
  </si>
  <si>
    <t>No te enriquezcas injustamente</t>
  </si>
  <si>
    <t>Ne iniuste locupleteris</t>
  </si>
  <si>
    <t>μὴ πλούτει κακῶς</t>
  </si>
  <si>
    <t>Fragmentum 10 (DK 11 A10)</t>
  </si>
  <si>
    <t>La muerte no es nada para nosotros</t>
  </si>
  <si>
    <t>Mors nihil ad nos pertinet</t>
  </si>
  <si>
    <t>Μηδὲν πρὸς ἡμᾶς ὁ θάνατος</t>
  </si>
  <si>
    <t>Epicuro</t>
  </si>
  <si>
    <t>Lettera a Meneceo, DK 31 B 1</t>
  </si>
  <si>
    <t>Poco basta al sabio</t>
  </si>
  <si>
    <t>Sapienti parvum satis est</t>
  </si>
  <si>
    <t>Ἀρκέσει μικρὸν τῷ σοφῷ</t>
  </si>
  <si>
    <t>Lettera a Meneceo, DK 31 B 2</t>
  </si>
  <si>
    <t>El placer es principio y fin de la vida feliz</t>
  </si>
  <si>
    <t>Voluptas principium et finis vitae beatae est</t>
  </si>
  <si>
    <t>ἡδονὴ ἀρχὴ καὶ τέλος τοῦ μακαρίου βίου</t>
  </si>
  <si>
    <t>Lettera a Meneceo, DK 31 B 3</t>
  </si>
  <si>
    <t>No la mayor riqueza, sino la que basta</t>
  </si>
  <si>
    <t>Non maxima divitia, sed sufficiens</t>
  </si>
  <si>
    <t>οὐχ ὁ πλεῖστος πλοῦτος, ἀλλ᾽ ὁ ὀλίγος ἀρκῶν</t>
  </si>
  <si>
    <t>Lettera a Meneceo, DK 31 B 4</t>
  </si>
  <si>
    <t>La prudencia es el mayor bien</t>
  </si>
  <si>
    <t>Prudentia summum bonum est</t>
  </si>
  <si>
    <t>ἡ φρόνησις μέγιστον ἀγαθόν</t>
  </si>
  <si>
    <t>Lettera a Meneceo, DK 31 B 5</t>
  </si>
  <si>
    <t>No hay que temer a los dioses</t>
  </si>
  <si>
    <t>Diis timendum non est</t>
  </si>
  <si>
    <t>οὐ δεῖ φοβεῖσθαι τοὺς θεούς</t>
  </si>
  <si>
    <t>Lettera a Meneceo, DK 31 B 6</t>
  </si>
  <si>
    <t>El dolor es breve o soportable</t>
  </si>
  <si>
    <t>Dolor brevis aut levis est</t>
  </si>
  <si>
    <t>ὁ πόνος βραχύς ἢ ἐλαφρός</t>
  </si>
  <si>
    <t>Lettera a Meneceo, DK 31 B 7</t>
  </si>
  <si>
    <t>La amistad es el mayor bien de la vida</t>
  </si>
  <si>
    <t>Amicitia summum vitae bonum est</t>
  </si>
  <si>
    <t>φιλία μέγιστον τῆς ζωῆς ἀγαθόν</t>
  </si>
  <si>
    <t>Lettera a Meneceo, DK 31 B 8</t>
  </si>
  <si>
    <t>La felicidad no está en el lujo</t>
  </si>
  <si>
    <t>Felicitas non in luxu est</t>
  </si>
  <si>
    <t>οὐκ ἐν πολυτελείᾳ ἡ εὐδαιμονία</t>
  </si>
  <si>
    <t>Lettera a Meneceo, DK 31 B 9</t>
  </si>
  <si>
    <t>La riqueza natural es limitada</t>
  </si>
  <si>
    <t>Naturalis divitia finita est</t>
  </si>
  <si>
    <t>ὁ πλοῦτος τῆς φύσεως ὁριστός</t>
  </si>
  <si>
    <t>Lettera a Meneceo, DK 31 B 10</t>
  </si>
  <si>
    <t>Tu vida la hacen tus pensamientos</t>
  </si>
  <si>
    <t>Vitam tuam opiniones tuae faciunt</t>
  </si>
  <si>
    <t>Τὸν βίον σου ποιοῦνται αἱ ὑπολήψεις σου</t>
  </si>
  <si>
    <t>Marco Aurelio</t>
  </si>
  <si>
    <t>Meditationes, Liber IV, §3</t>
  </si>
  <si>
    <t>No te perturben las cosas externas</t>
  </si>
  <si>
    <t>Res externae te non perturbent</t>
  </si>
  <si>
    <t>Μὴ ταράττεσθαι τὰ ἔξωθεν</t>
  </si>
  <si>
    <t>Meditationes, Liber XII, §30</t>
  </si>
  <si>
    <t>Vivir conforme a la naturaleza</t>
  </si>
  <si>
    <t>Secundum naturam vivere</t>
  </si>
  <si>
    <t>Ζῆν κατὰ φύσιν</t>
  </si>
  <si>
    <t>Meditationes, Liber VI, §16</t>
  </si>
  <si>
    <t>Todo sucede justamente</t>
  </si>
  <si>
    <t>Omnia iuste fiunt</t>
  </si>
  <si>
    <t>Ὅ,τι συμβαίνει, δικαίως συμβαίνει</t>
  </si>
  <si>
    <t>Meditationes, Liber VIII, §36</t>
  </si>
  <si>
    <t>El ser humano es pariente del ser humano</t>
  </si>
  <si>
    <t>Homo homini cognatus est</t>
  </si>
  <si>
    <t>ἄνθρωπος ἀνθρώπῳ συγγενής</t>
  </si>
  <si>
    <t>Meditationes, Liber II, §1</t>
  </si>
  <si>
    <t>Vivir poco, pero bien</t>
  </si>
  <si>
    <t>Parum vivere, sed bene</t>
  </si>
  <si>
    <t>ὀλίγον ζῆν, ἀλλὰ καλῶς</t>
  </si>
  <si>
    <t>Meditationes, Liber VII, §11</t>
  </si>
  <si>
    <t>La felicidad está dentro</t>
  </si>
  <si>
    <t>Felicitas intus est</t>
  </si>
  <si>
    <t>ἔνδον ἡ εὐδαιμονία</t>
  </si>
  <si>
    <t>Meditationes, Liber VI, §48</t>
  </si>
  <si>
    <t>Todo es transitorio</t>
  </si>
  <si>
    <t>Omnia transitoria sunt</t>
  </si>
  <si>
    <t>πᾶν παροδικόν</t>
  </si>
  <si>
    <t>Recuerdo de la muerte</t>
  </si>
  <si>
    <t>Memoria mortis</t>
  </si>
  <si>
    <t>μνήμη θανάτου</t>
  </si>
  <si>
    <t>Meditationes, Liber VII, §56</t>
  </si>
  <si>
    <t>La virtud se basta a sí misma</t>
  </si>
  <si>
    <t>Virtus sibi sufficit</t>
  </si>
  <si>
    <t>ἡ ἀρετὴ αὐτάρκης</t>
  </si>
  <si>
    <t>Meditationes, Liber VI, §30</t>
  </si>
  <si>
    <t>La vida no examinada no merece ser vivida</t>
  </si>
  <si>
    <t>Vita non examinata non est digna</t>
  </si>
  <si>
    <t>Ἀνεξέταστος βίος οὐ βιωτὸς</t>
  </si>
  <si>
    <t>Platón</t>
  </si>
  <si>
    <t>Apologia Socratis, 38a</t>
  </si>
  <si>
    <t>Nadie es malo voluntariamente</t>
  </si>
  <si>
    <t>Nemo sponte malus est</t>
  </si>
  <si>
    <t>Οὐδεὶς ἑκὼν κακός</t>
  </si>
  <si>
    <t>Protagoras, 360 a.C.</t>
  </si>
  <si>
    <t>La justicia es armonía del alma</t>
  </si>
  <si>
    <t>Iustitia harmonia animae est</t>
  </si>
  <si>
    <t>ἡ δικαιοσύνη ἁρμονία ψυχῆς</t>
  </si>
  <si>
    <t>Respublica, Liber IV, 427a</t>
  </si>
  <si>
    <t>La educación es un segundo sol</t>
  </si>
  <si>
    <t>Educatio alter sol est</t>
  </si>
  <si>
    <t>ἡ παιδεία δεύτερος ἥλιος</t>
  </si>
  <si>
    <t>Respublica, Liber VII, 518b</t>
  </si>
  <si>
    <t>La filosofía es preparación para la muerte</t>
  </si>
  <si>
    <t>Philosophia mortis meditatio est</t>
  </si>
  <si>
    <t>ἡ φιλοσοφία μελέτη θανάτου</t>
  </si>
  <si>
    <t>Phaedo, 64a</t>
  </si>
  <si>
    <t>El alma es inmortal</t>
  </si>
  <si>
    <t>Anima immortalis est</t>
  </si>
  <si>
    <t>ἡ ψυχὴ ἀθάνατος</t>
  </si>
  <si>
    <t>Phaedo, 70d</t>
  </si>
  <si>
    <t>El Bien es el mayor conocimiento</t>
  </si>
  <si>
    <t>Bonum maximum studium est</t>
  </si>
  <si>
    <t>τὸ ἀγαθὸν μέγιστον μάθημα</t>
  </si>
  <si>
    <t>Respublica, Liber VI, 509b</t>
  </si>
  <si>
    <t>Amor de lo bello</t>
  </si>
  <si>
    <t>Amor pulchri</t>
  </si>
  <si>
    <t>ἔρως τοῦ καλοῦ</t>
  </si>
  <si>
    <t>Symposium, 206a</t>
  </si>
  <si>
    <t>La ciudad es imagen del alma</t>
  </si>
  <si>
    <t>Civitas animae imago est</t>
  </si>
  <si>
    <t>πόλις ψυχῆς εἰκών</t>
  </si>
  <si>
    <t>Respublica, Liber IV, 435a</t>
  </si>
  <si>
    <t>La sabiduría es virtud</t>
  </si>
  <si>
    <t>Sapientia virtus est</t>
  </si>
  <si>
    <t>σοφία ἀρετή</t>
  </si>
  <si>
    <t>Respublica, Liber VI, 505a</t>
  </si>
  <si>
    <t>El hombre es un animal político</t>
  </si>
  <si>
    <t>Homo natura animal politicum est</t>
  </si>
  <si>
    <t>Ὁ ἄνθρωπος φύσει πολιτικὸν ζῷον</t>
  </si>
  <si>
    <t>Aristóteles</t>
  </si>
  <si>
    <t>Politica, Liber I, 1253a</t>
  </si>
  <si>
    <t>La felicidad es el fin de la vida</t>
  </si>
  <si>
    <t>Felicitas finis vitae est</t>
  </si>
  <si>
    <t>ἡ εὐδαιμονία τέλος τῆς ζωῆς</t>
  </si>
  <si>
    <t>Ethica Nicomachea, Liber I, 1097a</t>
  </si>
  <si>
    <t>La virtud es un hábito electivo</t>
  </si>
  <si>
    <t>Virtus habitus electivus est</t>
  </si>
  <si>
    <t>ἡ ἀρετὴ ἕξις προαιρετική</t>
  </si>
  <si>
    <t>Ethica Nicomachea, Liber II, 1103a</t>
  </si>
  <si>
    <t>El justo medio es lo mejor</t>
  </si>
  <si>
    <t>Medium optimum est</t>
  </si>
  <si>
    <t>τὸ μέσον ἄριστον</t>
  </si>
  <si>
    <t>Ethica Nicomachea, Liber II, 1107a</t>
  </si>
  <si>
    <t>Nada hay en el intelecto que no haya estado antes en los sentidos</t>
  </si>
  <si>
    <t>Nihil est in intellectu quod non prius fuerit in sensu</t>
  </si>
  <si>
    <t>οὐθὲν ἐν τῷ νοῒ ὃ μὴ πρότερον ἐν ταῖς αἰσθήσεσιν</t>
  </si>
  <si>
    <t>De Anima, Liber III, 430a</t>
  </si>
  <si>
    <t>La naturaleza no hace nada en vano</t>
  </si>
  <si>
    <t>Natura nihil frustra facit</t>
  </si>
  <si>
    <t>ἡ φύσις οὐδὲν ποιεῖ μάτην</t>
  </si>
  <si>
    <t>Physica, Liber II, 198b</t>
  </si>
  <si>
    <t>La ciudad existe por naturaleza</t>
  </si>
  <si>
    <t>Civitas natura est</t>
  </si>
  <si>
    <t>ἡ πόλις φύσει ἐστίν</t>
  </si>
  <si>
    <t>Politica, Liber I, 1252a</t>
  </si>
  <si>
    <t>El alma es la forma del cuerpo</t>
  </si>
  <si>
    <t>Anima forma corporis est</t>
  </si>
  <si>
    <t>ἡ ψυχὴ εἶδος σώματος</t>
  </si>
  <si>
    <t>De Anima, Liber II, 412a</t>
  </si>
  <si>
    <t>La prudencia es una virtud intelectual</t>
  </si>
  <si>
    <t>Prudentia virtus intellectualis est</t>
  </si>
  <si>
    <t>ἡ φρόνησις ἀρετὴ διανοητική</t>
  </si>
  <si>
    <t>Ethica Nicomachea, Liber VI, 1144a</t>
  </si>
  <si>
    <t>El amigo es otro yo</t>
  </si>
  <si>
    <t>Amicus alter ego est</t>
  </si>
  <si>
    <t>ὁ φίλος ἕτερος αὐτός</t>
  </si>
  <si>
    <t>Ethica Nicomachea, Liber IX, 1169b</t>
  </si>
  <si>
    <t>El número es el principio de todas las cosas</t>
  </si>
  <si>
    <t>Numerus principium omnium rerum est</t>
  </si>
  <si>
    <t>ἀριθμὸς ἀρχὴ πάντων</t>
  </si>
  <si>
    <t>Pitágoras</t>
  </si>
  <si>
    <t>Fragmentum DK 8 A 1</t>
  </si>
  <si>
    <t>El alma es armonía</t>
  </si>
  <si>
    <t>Anima harmonia est</t>
  </si>
  <si>
    <t>ἁρμονία ἐστὶν ἡ ψυχή</t>
  </si>
  <si>
    <t>Fragmentum DK 8 A 2</t>
  </si>
  <si>
    <t>Educad a los niños</t>
  </si>
  <si>
    <t>Educate pueros</t>
  </si>
  <si>
    <t>παίδευε τοὺς παῖδας</t>
  </si>
  <si>
    <t>Fragmentum DK 8 A 3</t>
  </si>
  <si>
    <t>El principio es la mitad de todo</t>
  </si>
  <si>
    <t>Principium dimidium totius est</t>
  </si>
  <si>
    <t>ἡ ἀρχὴ ἥμισυ παντός</t>
  </si>
  <si>
    <t>Fragmentum DK 8 A 4</t>
  </si>
  <si>
    <t>Mide tus deseos</t>
  </si>
  <si>
    <t>Metire cupiditates tuas</t>
  </si>
  <si>
    <t>μέτρει τὰς ἐπιθυμίες σου</t>
  </si>
  <si>
    <t>Fragmentum DK 8 A 5</t>
  </si>
  <si>
    <t>El silencio es principio de sabiduría</t>
  </si>
  <si>
    <t>Silentium sapientiae principium est</t>
  </si>
  <si>
    <t>σιωπὴ ἀρχὴ σοφίας</t>
  </si>
  <si>
    <t>Fragmentum DK 8 A 6</t>
  </si>
  <si>
    <t>La vida es breve, el arte largo</t>
  </si>
  <si>
    <t>Vita brevis, ars longa</t>
  </si>
  <si>
    <t>ὁ βίος βραχύς, ἡ δὲ τέχνη μακρά</t>
  </si>
  <si>
    <t>Fragmentum DK 8 A 7</t>
  </si>
  <si>
    <t>La amistad es igualdad</t>
  </si>
  <si>
    <t>Amicitia aequalitas est</t>
  </si>
  <si>
    <t>φιλία ἰσότης</t>
  </si>
  <si>
    <t>Fragmentum DK 8 A 8</t>
  </si>
  <si>
    <t>No hagas del cuerpo tumba del alma</t>
  </si>
  <si>
    <t>Ne corpus sepulchrum animae facias</t>
  </si>
  <si>
    <t>μὴ κατασκευάζειν σώματος τάφον ψυχῆς</t>
  </si>
  <si>
    <t>Fragmentum DK 8 A 9</t>
  </si>
  <si>
    <t>La virtud es armonía</t>
  </si>
  <si>
    <t>Virtus harmonia est</t>
  </si>
  <si>
    <t>ἀρετὴ ἁρμονία ἐστίν</t>
  </si>
  <si>
    <t>Fragmentum DK 8 A 10</t>
  </si>
  <si>
    <t>Todo fluye</t>
  </si>
  <si>
    <t>Omnia fluunt</t>
  </si>
  <si>
    <t>πάντα ῥεῖ</t>
  </si>
  <si>
    <t>Heráclito</t>
  </si>
  <si>
    <t>Fragmentum DK 22 B 12</t>
  </si>
  <si>
    <t>No es posible entrar dos veces en el mismo río</t>
  </si>
  <si>
    <t>Non licet bis in eundem fluvium descendere</t>
  </si>
  <si>
    <t>ποταμῷ οὐκ ἔστιν ἐμβῆναι δὶς τῷ αὐτῷ</t>
  </si>
  <si>
    <t>La guerra es padre de todas las cosas</t>
  </si>
  <si>
    <t>Bellum omnium pater est</t>
  </si>
  <si>
    <t>πόλεμος πάντων μὲν πατήρ ἐστι</t>
  </si>
  <si>
    <t>Fragmentum DK 22 B 1</t>
  </si>
  <si>
    <t>El carácter es destino del hombre</t>
  </si>
  <si>
    <t>Character homini fatum est</t>
  </si>
  <si>
    <t>ἦθος ἀνθρώπῳ δαίμων</t>
  </si>
  <si>
    <t>Fragmentum DK 22 B 5</t>
  </si>
  <si>
    <t>El logos es común, pero muchos viven como si tuvieran pensamiento propio</t>
  </si>
  <si>
    <t>Logos communis est, sed multi tamquam propriam habentes mentem vivunt</t>
  </si>
  <si>
    <t>ὁ λόγος κοινός, ἀλλ᾽ οἱ πολλοὶ ὡς ἰδίαν ἔχοντες φρόνησιν</t>
  </si>
  <si>
    <t>Fragmentum DK 22 B 1a</t>
  </si>
  <si>
    <t>Lo sabio es uno</t>
  </si>
  <si>
    <t>Sapiens unum est</t>
  </si>
  <si>
    <t>τὸ σοφόν ἐστιν ἕν</t>
  </si>
  <si>
    <t>Fragmentum DK 22 B 32</t>
  </si>
  <si>
    <t>La armonía oculta es superior a la manifiesta</t>
  </si>
  <si>
    <t>Harmonia occulta manifesta potior</t>
  </si>
  <si>
    <t>κρυπτομένη ἁρμονίη φανερῆς κρείττων</t>
  </si>
  <si>
    <t>Fragmentum DK 22 B 51</t>
  </si>
  <si>
    <t>No es mejor para los hombres que se cumpla todo cuanto desean</t>
  </si>
  <si>
    <t>Non melius hominibus omnia quae cupiunt evenire</t>
  </si>
  <si>
    <t>ἀνθρώποις γίνεσθαι ὁκόσα θέλουσιν οὐκ ἄμεινον</t>
  </si>
  <si>
    <t>Fragmentum DK 22 B 7</t>
  </si>
  <si>
    <t>Fuego siemprevivo</t>
  </si>
  <si>
    <t>Ignis semper vivens</t>
  </si>
  <si>
    <t>πῦρ ἀείζωον</t>
  </si>
  <si>
    <t>Fragmentum DK 22 B 30</t>
  </si>
  <si>
    <t>El camino hacia arriba y hacia abajo es uno y el mismo</t>
  </si>
  <si>
    <t>Via sursum deorsum una eademque est</t>
  </si>
  <si>
    <t>ὁδὸς ἄνω κάτω μία καὶ ὡυτή</t>
  </si>
  <si>
    <t>Fragmentum DK 22 B 60</t>
  </si>
  <si>
    <t>Solo sé que no sé nada</t>
  </si>
  <si>
    <t>Scio me nihil scire</t>
  </si>
  <si>
    <t>ἓν οἶδα ὅτι οὐδὲν οἶδα</t>
  </si>
  <si>
    <t>Sócrates</t>
  </si>
  <si>
    <t>Plato, Apologia Socratis, 21d</t>
  </si>
  <si>
    <t>Nosce te ipsum</t>
  </si>
  <si>
    <t>γνῶθι σεαυτόν</t>
  </si>
  <si>
    <t>Inscriptio Templi Apollinis Delphis</t>
  </si>
  <si>
    <t>Una vida sin examen no merece ser vivida</t>
  </si>
  <si>
    <t>Vita inexaminata non est vivenda homini</t>
  </si>
  <si>
    <t>ὁ ἀνεξέταστος βίος οὐ βιωτὸς ἀνθρώπῳ</t>
  </si>
  <si>
    <t>Plato, Apologia Socratis, 38a</t>
  </si>
  <si>
    <t>Nadie yerra voluntariamente</t>
  </si>
  <si>
    <t>Nemo sponte peccat</t>
  </si>
  <si>
    <t>οὐδεὶς ἑκὼν ἁμαρτάνει</t>
  </si>
  <si>
    <t>Plato, Meno, 87a</t>
  </si>
  <si>
    <t>La virtud es conocimiento</t>
  </si>
  <si>
    <t>Virtus scientia est</t>
  </si>
  <si>
    <t>ἀρετὴ ἐπιστήμη</t>
  </si>
  <si>
    <t>Plato, Meno, 87e</t>
  </si>
  <si>
    <t>Mejor es sufrir injusticia que cometerla</t>
  </si>
  <si>
    <t>Melius est iniuriam pati quam facere</t>
  </si>
  <si>
    <t>κρεῖττον ἀδικεῖσθαι ἢ ἀδικεῖν</t>
  </si>
  <si>
    <t>Plato, Apologia Socratis, 29d</t>
  </si>
  <si>
    <t>Mors nihil ad nos</t>
  </si>
  <si>
    <t>θάνατος οὐδὲν πρὸς ἡμᾶς</t>
  </si>
  <si>
    <t>Plato, Apologia Socratis, 29a</t>
  </si>
  <si>
    <t>La sabiduría está en conocerse a sí mismo</t>
  </si>
  <si>
    <t>Sapientia in se ipsum cognoscendo est</t>
  </si>
  <si>
    <t>σοφία ἐν τῷ αὑτὸν γιγνώσκειν</t>
  </si>
  <si>
    <t>Cuidar del alma</t>
  </si>
  <si>
    <t>Animae curare</t>
  </si>
  <si>
    <t>ψυχῆς ἐπιμελεῖσθαι</t>
  </si>
  <si>
    <t>La vida sin reflexión no vale la pena</t>
  </si>
  <si>
    <t>Vita sine meditatione non valet</t>
  </si>
  <si>
    <t>ὁ δὲ ἀνεξέταστος βίος οὐ βιωτὸς</t>
  </si>
  <si>
    <t>Átomos y vacío</t>
  </si>
  <si>
    <t>Atomi et inane</t>
  </si>
  <si>
    <t>ἄτομοι καὶ κενόν</t>
  </si>
  <si>
    <t>Demócrito</t>
  </si>
  <si>
    <t>Fragmentum DK 68 A 10</t>
  </si>
  <si>
    <t>Nada sucede en vano, todo por razón y necesidad</t>
  </si>
  <si>
    <t>Nihil frustra fit, sed omnia ratione et necessitate</t>
  </si>
  <si>
    <t>οὐδὲν χρῆμα μάτην γίνεται, ἀλλὰ πάντα ἐκ λόγου τε καὶ ὑπ᾽ ἀνάγκης</t>
  </si>
  <si>
    <t>Fragmentum DK 68 B 1</t>
  </si>
  <si>
    <t>La alegría es el fin</t>
  </si>
  <si>
    <t>Laetitia finis est</t>
  </si>
  <si>
    <t>εὐθυμίη τέλος</t>
  </si>
  <si>
    <t>Fragmentum DK 68 B 8</t>
  </si>
  <si>
    <t>Por convención dulce y amargo, por convención caliente y frío, por convención color; en realidad átomos y vacío</t>
  </si>
  <si>
    <t>Lege dulce et amarum, lege calidum et frigidum, lege color; re vera atomi et inane</t>
  </si>
  <si>
    <t>νόμῳ γλυκὺ καὶ νόμῳ πικρόν, νόμῳ θερμόν, νόμῳ ψυχρόν, νόμῳ χροιή, ἐτεῇ δὲ ἄτομα καὶ κενόν</t>
  </si>
  <si>
    <t>Fragmentum DK 68 B 44</t>
  </si>
  <si>
    <t>La palabra es sombra de la acción</t>
  </si>
  <si>
    <t>Verbum umbra operis est</t>
  </si>
  <si>
    <t>λόγος ἔργου σκιή</t>
  </si>
  <si>
    <t>Fragmentum DK 68 B 49</t>
  </si>
  <si>
    <t>La felicidad está en el alma</t>
  </si>
  <si>
    <t>Felicitas in anima est</t>
  </si>
  <si>
    <t>εὐδαιμονίη ψυχῆς</t>
  </si>
  <si>
    <t>Fragmentum DK 68 B 75</t>
  </si>
  <si>
    <t>Muchos eruditos carecen de inteligencia</t>
  </si>
  <si>
    <t>Multi eruditi intelligentia carent</t>
  </si>
  <si>
    <t>πολλοὶ πολυμαθέες νοῦν οὐκ ἔχουσιν</t>
  </si>
  <si>
    <t>Fragmentum DK 68 B 90</t>
  </si>
  <si>
    <t>Necesidad de la naturaleza</t>
  </si>
  <si>
    <t>Necessitas naturae</t>
  </si>
  <si>
    <t>ἀνάγκη φύσεως</t>
  </si>
  <si>
    <t>El hombre es un pequeño cosmos</t>
  </si>
  <si>
    <t>Homo parvus mundus est</t>
  </si>
  <si>
    <t>μικρὸς κόσμος ἄνθρωπος</t>
  </si>
  <si>
    <t>Fragmentum DK 68 B 120</t>
  </si>
  <si>
    <t>La filosofía es medicina del alma</t>
  </si>
  <si>
    <t>Philosophia medicina animae est</t>
  </si>
  <si>
    <t>ἰατρὸς ψυχῆς φιλοσοφία</t>
  </si>
  <si>
    <t>Fragmentum DK 68 B 39</t>
  </si>
  <si>
    <t>El hombre es la medida de todas las cosas</t>
  </si>
  <si>
    <t>Homo omnium rerum mensura est</t>
  </si>
  <si>
    <t>πάντων χρημάτων μέτρον ἐστὶν ἄνθρωπος</t>
  </si>
  <si>
    <t>Protágoras</t>
  </si>
  <si>
    <t>Fragmentum DK 80 B 1</t>
  </si>
  <si>
    <t>Sobre los dioses no puedo saber</t>
  </si>
  <si>
    <t>De diis non possum scire</t>
  </si>
  <si>
    <t>περὶ θεῶν οὐκ ἔχω εἰδέναι</t>
  </si>
  <si>
    <t>Fragmentum DK 80 B 3</t>
  </si>
  <si>
    <t>Dos razones hay sobre cada cosa</t>
  </si>
  <si>
    <t>Duo rationes de quaque re sunt</t>
  </si>
  <si>
    <t>δύο λόγοι εἰσὶ περὶ παντός</t>
  </si>
  <si>
    <t>Fragmentum DK 80 B 7</t>
  </si>
  <si>
    <t>La educación tiene raíz amarga, pero fruto dulce</t>
  </si>
  <si>
    <t>Educatio radicem amaram, fructum dulcem habet</t>
  </si>
  <si>
    <t>παιδεία ῥίζα πικρά, καρπὸς δὲ γλυκύς</t>
  </si>
  <si>
    <t>Fragmentum DK 80 B 2</t>
  </si>
  <si>
    <t>El arte sin naturaleza es nada</t>
  </si>
  <si>
    <t>Ars sine natura nihil est</t>
  </si>
  <si>
    <t>τέχνη δίχα φύσεως οὐδέν</t>
  </si>
  <si>
    <t>Fragmentum DK 80 B 4</t>
  </si>
  <si>
    <t>El que ejercita es superior al dotado por naturaleza</t>
  </si>
  <si>
    <t>Qui exercet praestantior naturaliter apto</t>
  </si>
  <si>
    <t>ὁ ἀσκῶν κρείττων τοῦ εὐφυοῦς</t>
  </si>
  <si>
    <t>Fragmentum DK 80 B 15</t>
  </si>
  <si>
    <t>La virtud es enseñable</t>
  </si>
  <si>
    <t>Virtus docibilis est</t>
  </si>
  <si>
    <t>ἀρετὴ διδακτόν</t>
  </si>
  <si>
    <t>Fragmentum DK 80 B 6</t>
  </si>
  <si>
    <t>La ley es tirana</t>
  </si>
  <si>
    <t>Lex tyrannus est</t>
  </si>
  <si>
    <t>νόμος τύραννος</t>
  </si>
  <si>
    <t>Fragmentum DK 80 B 8</t>
  </si>
  <si>
    <t>Al hombre, naturaleza humana</t>
  </si>
  <si>
    <t>Homini natura humana</t>
  </si>
  <si>
    <t>ἀνθρώπῳ ἀνθρωπίνη φύσις</t>
  </si>
  <si>
    <t>Fragmentum DK 80 B 5</t>
  </si>
  <si>
    <t>Sobre cada cosa hay razones opuestas</t>
  </si>
  <si>
    <t>De quaque re rationes oppositae sunt</t>
  </si>
  <si>
    <t>περὶ παντὸς ἀντικείμενοι λόγοι</t>
  </si>
  <si>
    <t>Fragmentum DK 80 B 11</t>
  </si>
  <si>
    <t>Humillémonos bajo la mano poderosa de Dios</t>
  </si>
  <si>
    <t>Humiliamur sub manu Dei omnipotentem</t>
  </si>
  <si>
    <t>Humiliamur sub manu Dei omnipotente</t>
  </si>
  <si>
    <t>San Clemente Romano</t>
  </si>
  <si>
    <t>Epistola ad Corinthios, I, 28</t>
  </si>
  <si>
    <t>Paz y concordia entre vosotros</t>
  </si>
  <si>
    <t>Pax et concordia inter vos</t>
  </si>
  <si>
    <t>Epistola ad Corinthios, I, 1</t>
  </si>
  <si>
    <t>La caridad no tiene división</t>
  </si>
  <si>
    <t>Caritas non habet schisma</t>
  </si>
  <si>
    <t>Epistola ad Corinthios, I, 6</t>
  </si>
  <si>
    <t>La fe y la humildad reciben la corona</t>
  </si>
  <si>
    <t>Fides et humilitas coronam accipiunt</t>
  </si>
  <si>
    <t>Epistola ad Corinthios, I, 10</t>
  </si>
  <si>
    <t>La obediencia a Dios es mejor que el sacrificio</t>
  </si>
  <si>
    <t>Oboedientia Deo melior est sacrificio</t>
  </si>
  <si>
    <t>Epistola ad Corinthios, I, 41</t>
  </si>
  <si>
    <t>Permaneced en la unidad del espíritu</t>
  </si>
  <si>
    <t>In unitate spiritus manete</t>
  </si>
  <si>
    <t>Dios mira a los humildes, conoce de lejos a los soberbios</t>
  </si>
  <si>
    <t>Deus humiles videt, superbos a longe cognoscit</t>
  </si>
  <si>
    <t>Epistola ad Corinthios, I, 4</t>
  </si>
  <si>
    <t>Sin fe es imposible agradar a Dios</t>
  </si>
  <si>
    <t>Sine fide impossibile est placere Deo</t>
  </si>
  <si>
    <t>La misericordia de Dios sobre todos</t>
  </si>
  <si>
    <t>Misericordia Dei super omnes</t>
  </si>
  <si>
    <t>Epistola ad Corinthios, I, 7</t>
  </si>
  <si>
    <t>El celo y la envidia trajeron la muerte</t>
  </si>
  <si>
    <t>Zelus et invidia mortem attulerunt</t>
  </si>
  <si>
    <t>Epistola ad Corinthios, I, 36</t>
  </si>
  <si>
    <t>Soy portador de Dios</t>
  </si>
  <si>
    <t>Theophorus sum</t>
  </si>
  <si>
    <t>San Ignacio de Antioquía</t>
  </si>
  <si>
    <t>Epistola ad Ephesios, 7,1</t>
  </si>
  <si>
    <t>Soy trigo de Cristo</t>
  </si>
  <si>
    <t>Frumentum Christi sum</t>
  </si>
  <si>
    <t>Epistola ad Ephesios, 18,2</t>
  </si>
  <si>
    <t>Donde está el obispo, allí está la Iglesia</t>
  </si>
  <si>
    <t>Ubi episcopus, ibi Ecclesia</t>
  </si>
  <si>
    <t>Epistola ad Smyrnaeos, 8,1</t>
  </si>
  <si>
    <t>La Eucaristía es la carne de nuestro Salvador</t>
  </si>
  <si>
    <t>Eucharistia caro Salvatoris nostri</t>
  </si>
  <si>
    <t>Epistola ad Smyrnaeos, 7,1</t>
  </si>
  <si>
    <t>El cristiano no vive para sí, sino para Cristo</t>
  </si>
  <si>
    <t>Christianus vivit, non sibi, sed Christo</t>
  </si>
  <si>
    <t>Epistola ad Ephesios, 20,2</t>
  </si>
  <si>
    <t>Dejadme ser pasto de las fieras</t>
  </si>
  <si>
    <t>Sinite me bestiarum esse cibum</t>
  </si>
  <si>
    <t>Epistola ad Smyrnaeos, 4,1</t>
  </si>
  <si>
    <t>Mi amor ha sido crucificado</t>
  </si>
  <si>
    <t>Meus amor crucifixus est</t>
  </si>
  <si>
    <t>Epistola ad Ephesios, 17,1</t>
  </si>
  <si>
    <t>Una fe, una esperanza, una caridad</t>
  </si>
  <si>
    <t>Una fides, una spes, una caritas</t>
  </si>
  <si>
    <t>Permaneced en la unidad de Dios</t>
  </si>
  <si>
    <t>In unitate Dei permanete</t>
  </si>
  <si>
    <t>Epistola ad Ephesios, 8,1</t>
  </si>
  <si>
    <t>Entonces seré verdaderamente discípulo</t>
  </si>
  <si>
    <t>Tunc vere discipulus ero</t>
  </si>
  <si>
    <t>Epistola ad Smyrnaeos, 9,1</t>
  </si>
  <si>
    <t>Ochenta y seis años sirvo al Señor</t>
  </si>
  <si>
    <t>Octoginta sex annos Domino servio</t>
  </si>
  <si>
    <t>San Policarpo de Esmirna</t>
  </si>
  <si>
    <t>Epistola ad Philippenses, 1,1</t>
  </si>
  <si>
    <t>Soy cristiano</t>
  </si>
  <si>
    <t>Christianus sum</t>
  </si>
  <si>
    <t>Martyrium Polycarpi, 1,1</t>
  </si>
  <si>
    <t>Quien no confiesa la cruz, es del diablo</t>
  </si>
  <si>
    <t>Qui non confitetur crucem, ex diabolo est</t>
  </si>
  <si>
    <t>Martyrium Polycarpi, 9,1</t>
  </si>
  <si>
    <t>Orad por los reyes y las autoridades</t>
  </si>
  <si>
    <t>Orate pro regibus et potestatibus</t>
  </si>
  <si>
    <t>Epistola ad Philippenses, 6,2</t>
  </si>
  <si>
    <t>La fe es madre de todos nosotros</t>
  </si>
  <si>
    <t>Fides mater omnium nostrum</t>
  </si>
  <si>
    <t>Epistola ad Philippenses, 7,1</t>
  </si>
  <si>
    <t>La misericordia y la paciencia vencen todo</t>
  </si>
  <si>
    <t>Misericordia et patientia vincunt omnia</t>
  </si>
  <si>
    <t>Epistola ad Philippenses, 9,1</t>
  </si>
  <si>
    <t>Permaneced en la verdad</t>
  </si>
  <si>
    <t>In veritate permanete</t>
  </si>
  <si>
    <t>Epistola ad Philippenses, 8,1</t>
  </si>
  <si>
    <t>La resurrección de Cristo es el fundamento de nuestra fe</t>
  </si>
  <si>
    <t>Resurrectio Christi fundamentum fidei nostrae</t>
  </si>
  <si>
    <t>Epistola ad Philippenses, 7,2</t>
  </si>
  <si>
    <t>Absteneos de la avaricia</t>
  </si>
  <si>
    <t>Abstinete ab avaritia</t>
  </si>
  <si>
    <t>Epistola ad Philippenses, 9,3</t>
  </si>
  <si>
    <t>El amor al prójimo es perfección</t>
  </si>
  <si>
    <t>Dilectio proximi perfectio est</t>
  </si>
  <si>
    <t>Epistola ad Philippenses, 6,3</t>
  </si>
  <si>
    <t>La gloria de Dios es el hombre que vive</t>
  </si>
  <si>
    <t>Gloria Dei vivens homo</t>
  </si>
  <si>
    <t>San Ireneo de Lyon</t>
  </si>
  <si>
    <t>Adversus Haereses, 4,20,7</t>
  </si>
  <si>
    <t>La vida del hombre es la visión de Dios</t>
  </si>
  <si>
    <t>Vita hominis visio Dei</t>
  </si>
  <si>
    <t>El Verbo de Dios se hizo carne</t>
  </si>
  <si>
    <t>Verbum Dei caro factum est</t>
  </si>
  <si>
    <t>Adversus Haereses, 3,18,1</t>
  </si>
  <si>
    <t>Donde está la Iglesia, allí está el Espíritu</t>
  </si>
  <si>
    <t>Ubi Ecclesia, ibi Spiritus</t>
  </si>
  <si>
    <t>Adversus Haereses, 3,3,2</t>
  </si>
  <si>
    <t>Recapitulación de todo en Cristo</t>
  </si>
  <si>
    <t>Recapitulatio omnium in Christo</t>
  </si>
  <si>
    <t>Adversus Haereses, 3,21,1</t>
  </si>
  <si>
    <t>La tradición apostólica es luz de verdad</t>
  </si>
  <si>
    <t>Traditio apostolica lumen veritatis</t>
  </si>
  <si>
    <t>Adversus Haereses, 3,4,1</t>
  </si>
  <si>
    <t>Cristo se hizo lo que nosotros somos</t>
  </si>
  <si>
    <t>Christus factus est quod sumus</t>
  </si>
  <si>
    <t>Una sola fe en todo el mundo</t>
  </si>
  <si>
    <t>Fides una in toto mundo</t>
  </si>
  <si>
    <t>Adversus Haereses, 1,10,2</t>
  </si>
  <si>
    <t>La herejía es división del alma</t>
  </si>
  <si>
    <t>Haeresis divisio animae</t>
  </si>
  <si>
    <t>Adversus Haereses, 2,29,4</t>
  </si>
  <si>
    <t>En la unidad de la Iglesia está la salvación</t>
  </si>
  <si>
    <t>In unitate Ecclesiae salus</t>
  </si>
  <si>
    <t>Adversus Haereses, 3,23,2</t>
  </si>
  <si>
    <t>Dios se hizo hombre para que nosotros fuéramos dioses</t>
  </si>
  <si>
    <t>Deus homo factus est ut nos dii fieremus</t>
  </si>
  <si>
    <t>San Atanasio</t>
  </si>
  <si>
    <t>De incarnatione Verbi, 54</t>
  </si>
  <si>
    <t>Atanasio contra el mundo</t>
  </si>
  <si>
    <t>Athanasius contra mundum</t>
  </si>
  <si>
    <t>Epistula ad Antiochenos, 1,1</t>
  </si>
  <si>
    <t>El Hijo de Dios es el Verbo del Padre</t>
  </si>
  <si>
    <t>Filius Dei Verbum Patris</t>
  </si>
  <si>
    <t>De Synodis, 3,2</t>
  </si>
  <si>
    <t>Consustancial con el Padre</t>
  </si>
  <si>
    <t>Consubstantialis Patri</t>
  </si>
  <si>
    <t>Symbolum Nicaenum, 325</t>
  </si>
  <si>
    <t>La encarnación es misterio de salvación</t>
  </si>
  <si>
    <t>Incarnatio mysterium salutis</t>
  </si>
  <si>
    <t>De incarnatione Verbi, 7</t>
  </si>
  <si>
    <t>La Escritura se entiende por el Espíritu</t>
  </si>
  <si>
    <t>Scriptura per Spiritum intelligitur</t>
  </si>
  <si>
    <t>Epistula ad Serapionem, 2,3</t>
  </si>
  <si>
    <t>La verdad de Dios es inmutable</t>
  </si>
  <si>
    <t>Veritas Dei immutabilis est</t>
  </si>
  <si>
    <t>De Synodis, 1,1</t>
  </si>
  <si>
    <t>La vida monástica es vida de ángeles</t>
  </si>
  <si>
    <t>Vita monastica angelorum vita</t>
  </si>
  <si>
    <t>Vita Antonii, 12</t>
  </si>
  <si>
    <t>La fe de Nicea es la fe católica</t>
  </si>
  <si>
    <t>Fides Nicaena fides catholica</t>
  </si>
  <si>
    <t>En la cruz está nuestra victoria</t>
  </si>
  <si>
    <t>In cruce victoria nostra</t>
  </si>
  <si>
    <t>De incarnatione Verbi, 58</t>
  </si>
  <si>
    <t>El Espíritu Santo es Dios</t>
  </si>
  <si>
    <t>Spiritus Sanctus Deus est</t>
  </si>
  <si>
    <t>San Basilio Magno</t>
  </si>
  <si>
    <t>De Spiritu Sancto, 1</t>
  </si>
  <si>
    <t>La vida monástica es la verdadera filosofía</t>
  </si>
  <si>
    <t>Monastica vita philosophia vera</t>
  </si>
  <si>
    <t>Regulae Fusius Dispositae, 1</t>
  </si>
  <si>
    <t>La caridad es vínculo de perfección</t>
  </si>
  <si>
    <t>Caritas vinculum perfectionis</t>
  </si>
  <si>
    <t>Epistulae, 188</t>
  </si>
  <si>
    <t>La pobreza evangélica es tesoro</t>
  </si>
  <si>
    <t>Paupertas evangelica thesaurus</t>
  </si>
  <si>
    <t>Regulae Fusius Dispositae, 3</t>
  </si>
  <si>
    <t>La oración es ascenso de la mente a Dios</t>
  </si>
  <si>
    <t>Oratio ascensus mentis ad Deum</t>
  </si>
  <si>
    <t>De Spiritu Sancto, 2</t>
  </si>
  <si>
    <t>La humildad es fundamento de la virtud</t>
  </si>
  <si>
    <t>Humilitas fundamentum virtutis</t>
  </si>
  <si>
    <t>Regulae Fusius Dispositae, 5</t>
  </si>
  <si>
    <t>La Escritura es camino al conocimiento de Dios</t>
  </si>
  <si>
    <t>Scriptura via ad cognitionem Dei</t>
  </si>
  <si>
    <t>De Spiritu Sancto, 3</t>
  </si>
  <si>
    <t>Trinidad una naturaleza, tres personas</t>
  </si>
  <si>
    <t>Trinitas una natura, tres personae</t>
  </si>
  <si>
    <t>De Spiritu Sancto, 6</t>
  </si>
  <si>
    <t>Las buenas obras son fruto de la fe</t>
  </si>
  <si>
    <t>Bona opera fructus fidei</t>
  </si>
  <si>
    <t>De Spiritu Sancto, 4</t>
  </si>
  <si>
    <t>La vida contemplativa es el sumo bien</t>
  </si>
  <si>
    <t>Vita contemplativa summum bonum</t>
  </si>
  <si>
    <t>Regulae Fusius Dispositae, 10</t>
  </si>
  <si>
    <t>Teólogo es el que ora</t>
  </si>
  <si>
    <t>Theologus est qui orat</t>
  </si>
  <si>
    <t>Θεολόγος ὁ προσευχόμενος</t>
  </si>
  <si>
    <t>San Gregorio Nacianceno</t>
  </si>
  <si>
    <t>Orationes, 1,1</t>
  </si>
  <si>
    <t>La Trinidad es una luz</t>
  </si>
  <si>
    <t>Trinitas lumen unum</t>
  </si>
  <si>
    <t>Orationes, 2,4</t>
  </si>
  <si>
    <t>El silencio es alabanza de Dios</t>
  </si>
  <si>
    <t>Silentium Dei laus est</t>
  </si>
  <si>
    <t>Orationes, 3,5</t>
  </si>
  <si>
    <t>Cristo es pan vivo del cielo</t>
  </si>
  <si>
    <t>Christus panis vivus de caelo</t>
  </si>
  <si>
    <t>Orationes, 4,6</t>
  </si>
  <si>
    <t>El Espíritu Santo es Dios perfecto</t>
  </si>
  <si>
    <t>Spiritus Sanctus Deus perfectus</t>
  </si>
  <si>
    <t>Orationes, 5,2</t>
  </si>
  <si>
    <t>El bautismo es iluminación del alma</t>
  </si>
  <si>
    <t>Baptismus illuminatio animae</t>
  </si>
  <si>
    <t>Orationes, 6,3</t>
  </si>
  <si>
    <t>El Verbo es elocuencia divina</t>
  </si>
  <si>
    <t>Verbum eloquentia divina</t>
  </si>
  <si>
    <t>Orationes, 7,1</t>
  </si>
  <si>
    <t>La pureza del corazón es visión de Dios</t>
  </si>
  <si>
    <t>Puritas cordis visio Dei</t>
  </si>
  <si>
    <t>Orationes, 8,4</t>
  </si>
  <si>
    <t>La filosofía es meditación de la muerte</t>
  </si>
  <si>
    <t>Philosophia meditatio mortis</t>
  </si>
  <si>
    <t>Orationes, 9,2</t>
  </si>
  <si>
    <t>La amistad es imagen de la Trinidad</t>
  </si>
  <si>
    <t>Amicitia imago Trinitatis</t>
  </si>
  <si>
    <t>Orationes, 10,3</t>
  </si>
  <si>
    <t>El hombre es imagen de Dios</t>
  </si>
  <si>
    <t>Homo imago Dei</t>
  </si>
  <si>
    <t>San Gregorio de Nisa</t>
  </si>
  <si>
    <t>De hominis opificio, 1</t>
  </si>
  <si>
    <t>Progreso perpetuo hacia Dios</t>
  </si>
  <si>
    <t>Perpetua progressio ad Deum</t>
  </si>
  <si>
    <t>De hominis opificio, 2</t>
  </si>
  <si>
    <t>El alma siempre asciende</t>
  </si>
  <si>
    <t>Anima semper ascendit</t>
  </si>
  <si>
    <t>De anima, 1</t>
  </si>
  <si>
    <t>La virginidad es vida angélica</t>
  </si>
  <si>
    <t>Virginitas vita angelica</t>
  </si>
  <si>
    <t>De virginitate, 1</t>
  </si>
  <si>
    <t>Contemplación de la belleza divina</t>
  </si>
  <si>
    <t>Contemplatio divinae pulchritudinis</t>
  </si>
  <si>
    <t>De vita contemplativa, 3</t>
  </si>
  <si>
    <t>Dios es incomprensible</t>
  </si>
  <si>
    <t>Deus incomprehensibilis</t>
  </si>
  <si>
    <t>Orationes catecheticae, 2</t>
  </si>
  <si>
    <t>La libertad es perfección de la naturaleza</t>
  </si>
  <si>
    <t>Libertas perfectio naturae</t>
  </si>
  <si>
    <t>De hominis opificio, 4</t>
  </si>
  <si>
    <t>La resurrección es restauración de la imagen</t>
  </si>
  <si>
    <t>Resurrectio restauratio imaginis</t>
  </si>
  <si>
    <t>De resurrectione, 1</t>
  </si>
  <si>
    <t>Ascenso místico hacia la luz</t>
  </si>
  <si>
    <t>Mysticus ascensus ad lucem</t>
  </si>
  <si>
    <t>De anima, 3</t>
  </si>
  <si>
    <t>El amor es deseo infinito</t>
  </si>
  <si>
    <t>Amor desiderium infinitum</t>
  </si>
  <si>
    <t>De vita contemplativa, 5</t>
  </si>
  <si>
    <t>El emperador está dentro de la Iglesia, no sobre ella</t>
  </si>
  <si>
    <t>Imperator intra Ecclesiam, non supra Ecclesiam est</t>
  </si>
  <si>
    <t>San Ambrosio</t>
  </si>
  <si>
    <t>De officiis ministrorum, 1</t>
  </si>
  <si>
    <t>Donde hay fe, hay libertad</t>
  </si>
  <si>
    <t>Ubi fides, ibi libertas</t>
  </si>
  <si>
    <t>De fide, 1</t>
  </si>
  <si>
    <t>El salmo es bendición del pueblo</t>
  </si>
  <si>
    <t>Psalmus benedictio populi</t>
  </si>
  <si>
    <t>Expositio psalmorum, 1</t>
  </si>
  <si>
    <t>La Eucaristía es pan de ángeles</t>
  </si>
  <si>
    <t>Eucharistia panis angelorum</t>
  </si>
  <si>
    <t>De sacramentis, 1</t>
  </si>
  <si>
    <t>No agradó a Dios salvar a su pueblo por la dialéctica</t>
  </si>
  <si>
    <t>Non in dialectica complacuit Deo salvum facere populum suum</t>
  </si>
  <si>
    <t>De officiis ministrorum, 2</t>
  </si>
  <si>
    <t>La penitencia es segunda tabla tras el naufragio</t>
  </si>
  <si>
    <t>Poenitentia secunda tabula post naufragium</t>
  </si>
  <si>
    <t>De poenitentia, 1</t>
  </si>
  <si>
    <t>La justicia hacia Dios se llama piedad</t>
  </si>
  <si>
    <t>Iustitia erga Deum pietas dicitur</t>
  </si>
  <si>
    <t>De officiis ministrorum, 3</t>
  </si>
  <si>
    <t>El himno es cántico espiritual</t>
  </si>
  <si>
    <t>Hymnus canticorum spiritualium</t>
  </si>
  <si>
    <t>De hymnis, 1</t>
  </si>
  <si>
    <t>Cristo resucitó, nuestra esperanza</t>
  </si>
  <si>
    <t>Christus resurrexit, spes nostra</t>
  </si>
  <si>
    <t>La fe busca, el intelecto encuentra</t>
  </si>
  <si>
    <t>Fides quaerit, intellectus invenit</t>
  </si>
  <si>
    <t>De fide, 2</t>
  </si>
  <si>
    <t>Ignorar las Escrituras es ignorar a Cristo</t>
  </si>
  <si>
    <t>Ignoratio Scripturarum ignoratio Christi est</t>
  </si>
  <si>
    <t>San Jerónimo</t>
  </si>
  <si>
    <t>Epistulae, 22</t>
  </si>
  <si>
    <t>Las riquezas o sirven o dominan</t>
  </si>
  <si>
    <t>Divitiae aut serviunt aut dominantur</t>
  </si>
  <si>
    <t>Ama la ciencia de las Escrituras y no amarás los vicios de la carne</t>
  </si>
  <si>
    <t>Ama scientiam Scripturarum et carnis vitia non amabis</t>
  </si>
  <si>
    <t>La soledad del cielo es paraíso</t>
  </si>
  <si>
    <t>Solitudo coeli est paradisus</t>
  </si>
  <si>
    <t>La verdad no se avergüenza</t>
  </si>
  <si>
    <t>Veritas non erubescit</t>
  </si>
  <si>
    <t>Con el sudor de tu rostro comerás tu pan</t>
  </si>
  <si>
    <t>In sudore vultus tui vesceris pane tuo</t>
  </si>
  <si>
    <t>Lee, ora, trabaja</t>
  </si>
  <si>
    <t>Lege, ora, labora</t>
  </si>
  <si>
    <t>Fácil es despreciar los placeres en el desierto</t>
  </si>
  <si>
    <t>Facile est contemptorem esse deliciarum in deserto</t>
  </si>
  <si>
    <t>La carta es indicio del alma</t>
  </si>
  <si>
    <t>Epistula animi indicium</t>
  </si>
  <si>
    <t>La vida del monje es cruz cotidiana</t>
  </si>
  <si>
    <t>Vita monachi crux quotidiana</t>
  </si>
  <si>
    <t>Reconoce, oh cristiano, tu dignidad</t>
  </si>
  <si>
    <t>Agnosce, o Christiane, dignitatem tuam</t>
  </si>
  <si>
    <t>San León Magno</t>
  </si>
  <si>
    <t>Sermones, 1</t>
  </si>
  <si>
    <t>Te has hecho partícipe de la naturaleza divina</t>
  </si>
  <si>
    <t>Particeps divinae naturae factus es</t>
  </si>
  <si>
    <t>Cristo es verdadero Dios, verdadero hombre</t>
  </si>
  <si>
    <t>Christus verus Deus, verus homo</t>
  </si>
  <si>
    <t>Una persona, dos naturalezas</t>
  </si>
  <si>
    <t>Una persona, duae naturae</t>
  </si>
  <si>
    <t>Ayuno del cuerpo, banquete del alma</t>
  </si>
  <si>
    <t>Ieiunium corporis, epulatio animae</t>
  </si>
  <si>
    <t>La humildad es fundamento de todas las virtudes</t>
  </si>
  <si>
    <t>Humilitas fundamentum omnium virtutum</t>
  </si>
  <si>
    <t>Pedro habla en Pedro</t>
  </si>
  <si>
    <t>Petrus in Petro loquitur</t>
  </si>
  <si>
    <t>La resurrección de Cristo es nuestra vida</t>
  </si>
  <si>
    <t>Resurrectio Christi vita nostra</t>
  </si>
  <si>
    <t>La limosna es redención de pecados</t>
  </si>
  <si>
    <t>Eleemosyna redemptio peccatorum</t>
  </si>
  <si>
    <t>La fe sin obras está muerta</t>
  </si>
  <si>
    <t>Fides sine operibus mortua est</t>
  </si>
  <si>
    <t>Fuera de la Iglesia no hay salvación</t>
  </si>
  <si>
    <t>Extra Ecclesiam nulla salus</t>
  </si>
  <si>
    <t>San Cipriano</t>
  </si>
  <si>
    <t>De unitate Ecclesiae, c. 6</t>
  </si>
  <si>
    <t>No puede tener a Dios por padre quien no tiene a la Iglesia por madre</t>
  </si>
  <si>
    <t>Non potest habere Deum patrem qui Ecclesiam non habet matrem</t>
  </si>
  <si>
    <t>La unidad de la Iglesia no puede romperse</t>
  </si>
  <si>
    <t>Unitas Ecclesiae frangi non potest</t>
  </si>
  <si>
    <t>El martirio es bautismo de sangre</t>
  </si>
  <si>
    <t>Martyrium baptismus sanguinis</t>
  </si>
  <si>
    <t>Epistula ad Donatum, 5</t>
  </si>
  <si>
    <t>La oración es ascenso a Dios</t>
  </si>
  <si>
    <t>Oratio ascensus ad Deum</t>
  </si>
  <si>
    <t>De Oratione, 2</t>
  </si>
  <si>
    <t>La paciencia es la máxima virtud cristiana</t>
  </si>
  <si>
    <t>Patientia Christiana virtus maxima</t>
  </si>
  <si>
    <t>De exhortatione martyrum, 1</t>
  </si>
  <si>
    <t>La caridad es vínculo de fraternidad</t>
  </si>
  <si>
    <t>Caritas vinculum fraternitatis</t>
  </si>
  <si>
    <t>Epistulae, 56</t>
  </si>
  <si>
    <t>Un Dios, una fe, un bautismo</t>
  </si>
  <si>
    <t>Unus Deus, una fides, unum baptisma</t>
  </si>
  <si>
    <t>El obispo en la Iglesia Patientispo</t>
  </si>
  <si>
    <t>Episcopus in Ecclesia, Ecclesia in episcopo</t>
  </si>
  <si>
    <t>La limosna es satisfacción por el pecado</t>
  </si>
  <si>
    <t>Eleemosyna satisfactio peccati</t>
  </si>
  <si>
    <t>De opere et eleemosyna, 2</t>
  </si>
  <si>
    <t>La fe que busca entender</t>
  </si>
  <si>
    <t>Fides quaerens intellectum</t>
  </si>
  <si>
    <t>San Anselmo de Canterbury</t>
  </si>
  <si>
    <t>Proslogion, Prologus</t>
  </si>
  <si>
    <t>Creo para entender</t>
  </si>
  <si>
    <t>Credo ut intelligam</t>
  </si>
  <si>
    <t>Dios es aquello mayor que lo cual nada puede pensarse</t>
  </si>
  <si>
    <t>Deus est id quo maius cogitari nequit</t>
  </si>
  <si>
    <t>Proslogion, Cap. 2</t>
  </si>
  <si>
    <t>La razón necesaria demuestra que Dios existe</t>
  </si>
  <si>
    <t>Ratio necessaria demonstrat Deum esse</t>
  </si>
  <si>
    <t>Proslogion, Cap. 2-3</t>
  </si>
  <si>
    <t>¿Por qué Dios se hizo hombre?</t>
  </si>
  <si>
    <t>Cur Deus homo</t>
  </si>
  <si>
    <t>Cur Deus Homo, Prologus</t>
  </si>
  <si>
    <t>La satisfacción por el pecado es necesaria</t>
  </si>
  <si>
    <t>Satisfactio pro peccato necessaria</t>
  </si>
  <si>
    <t>Cur Deus Homo, Cap. 1</t>
  </si>
  <si>
    <t>La libertad del albedrío es poder de conservar la rectitud</t>
  </si>
  <si>
    <t>Libertas arbitrii potentia servandi rectitudinem</t>
  </si>
  <si>
    <t>Cur Deus Homo, Cap. 1-2</t>
  </si>
  <si>
    <t>La verdad es rectitud perceptible solo por la mente</t>
  </si>
  <si>
    <t>Veritas est rectitudo sola mente perceptibilis</t>
  </si>
  <si>
    <t>Monologion, Cap. 4</t>
  </si>
  <si>
    <t>El Monologio y el Proslogio son fundamentos de teología</t>
  </si>
  <si>
    <t>Monologion et Proslogion fundamenta theologiae</t>
  </si>
  <si>
    <t>Commentarius generalis de opere suo</t>
  </si>
  <si>
    <t>El deseo de ver a Dios es el sumo bien</t>
  </si>
  <si>
    <t>Desiderium videndi Deum summum bonum</t>
  </si>
  <si>
    <t>Proslogion, Cap. 23</t>
  </si>
  <si>
    <t>No se deben multiplicar los entes sin necesidad</t>
  </si>
  <si>
    <t>Pluralitas non est ponenda sine necessitate</t>
  </si>
  <si>
    <t>Guillermo de Ockham</t>
  </si>
  <si>
    <t>Summa Logicae</t>
  </si>
  <si>
    <t>En vano se hace con más lo que puede hacerse con menos</t>
  </si>
  <si>
    <t>Frustra fit per plura quod potest fieri per pauciora</t>
  </si>
  <si>
    <t>Lo universal no es cosa</t>
  </si>
  <si>
    <t>Universale non est res</t>
  </si>
  <si>
    <t>Los nombres son signos de cosas singulares</t>
  </si>
  <si>
    <t>Nomina sunt signa rerum singularium</t>
  </si>
  <si>
    <t>La fe y la razón son distintas</t>
  </si>
  <si>
    <t>Fides et ratio distinctae sunt</t>
  </si>
  <si>
    <t>Summa Theologiae</t>
  </si>
  <si>
    <t>La teología no es ciencia</t>
  </si>
  <si>
    <t>Theologia non est scientia</t>
  </si>
  <si>
    <t>La potencia absoluta de Dios</t>
  </si>
  <si>
    <t>Potentia Dei absoluta</t>
  </si>
  <si>
    <t>La voluntad divina es ley suprema</t>
  </si>
  <si>
    <t>Voluntas divina suprema lex</t>
  </si>
  <si>
    <t>La intuición de lo singular es principio del conocimiento</t>
  </si>
  <si>
    <t>Intuitus singularis principium cognitionis</t>
  </si>
  <si>
    <t>La libertad de la voluntad es fundamento de la moralidad</t>
  </si>
  <si>
    <t>Libertas voluntatis fundamentum moralitatis</t>
  </si>
  <si>
    <t>Si ves la caridad, ves la Trinidad</t>
  </si>
  <si>
    <t>Si vides caritatem, vides Trinitatem</t>
  </si>
  <si>
    <t>De Trinitate, VIII, 8, 12</t>
  </si>
  <si>
    <t>El Padre es Dios, el Hijo es Dios, el Espíritu Santo es Dios; y, sin embargo, no son tres dioses, sino un solo Dios</t>
  </si>
  <si>
    <t>Pater est Deus, Filius est Deus, Spiritus Sanctus est Deus; et tamen non tres dii, sed unus Deus</t>
  </si>
  <si>
    <t>De Trinitate, I, 4, 7</t>
  </si>
  <si>
    <t>La fe católica es esta: que adoremos a un solo Dios en la Trinidad, y a la Trinidad en la unidad</t>
  </si>
  <si>
    <t>Fides catholica haec est: ut unum Deum in Trinitate, et Trinitatem in unitate veneremur</t>
  </si>
  <si>
    <t>Symbolum Athanasianum</t>
  </si>
  <si>
    <t>Las personas divinas se distinguen por sus relaciones, no por su esencia</t>
  </si>
  <si>
    <t>Personae divinae distinguuntur relationibus, non essentia</t>
  </si>
  <si>
    <t>Summa Theologiae, I, q. 29, a. 4</t>
  </si>
  <si>
    <t>Cuando pienso en el Uno, soy iluminado por el esplendor de los Tres; cuando distingo a los Tres, soy llevado de nuevo al Uno</t>
  </si>
  <si>
    <t>Cum de Uno cogito, splendore Trium illuminor; cum Tres distinguo, ad Unum reducor</t>
  </si>
  <si>
    <t>Orationes, XL, 41</t>
  </si>
  <si>
    <t>La esperanza es lo último que se pierde</t>
  </si>
  <si>
    <t>Spes ultima est quae amittitur</t>
  </si>
  <si>
    <t>Lo que no mata, fortalece</t>
  </si>
  <si>
    <t>Quod non necat, roborat</t>
  </si>
  <si>
    <t>Ez hiltzen duena, indartsuago egiten du</t>
  </si>
  <si>
    <t>Refrán Vasco</t>
  </si>
  <si>
    <t>La libertad es nada más que la oportunidad de ser mejor</t>
  </si>
  <si>
    <t>Libertas nihil est nisi occasio melioris fieri</t>
  </si>
  <si>
    <t>La liberté n'est rien d'autre que la possibilité d'être meilleur</t>
  </si>
  <si>
    <t>Albert Camus</t>
  </si>
  <si>
    <t>L'Homme révolté (1951)</t>
  </si>
  <si>
    <t>No debemos esperar grandes cosas, sino hacer pequeñas cosas con gran amor</t>
  </si>
  <si>
    <t>Parva magna cum magno amore agere debemus</t>
  </si>
  <si>
    <t>Nuk duhet të presim gjëra të mëdha, por të bëjmë gjëra të vogla me dashuri të madhe</t>
  </si>
  <si>
    <t>Santa Teresa de Calcuta</t>
  </si>
  <si>
    <t>Verba sua (dicta notoria)</t>
  </si>
  <si>
    <t>Comienza haciendo lo que es necesario, luego lo que es posible, y de repente estarás haciendo lo imposible</t>
  </si>
  <si>
    <t>Fac hoc quod necessarium est, deinde quod possibile, et subito facies impossibile</t>
  </si>
  <si>
    <t>Comincia facendo ciò che è necessario, poi ciò che è possibile, e all'improvviso farai l'impossibile</t>
  </si>
  <si>
    <t>San Francisco de Asís</t>
  </si>
  <si>
    <t>Dicta traditionalia</t>
  </si>
  <si>
    <t>Todo conocimiento deriva de la experiencia</t>
  </si>
  <si>
    <t>Omnis nostra scientia principium habet ab experientia</t>
  </si>
  <si>
    <t>Ogni nostra conoscenza ha principio dall'esperienza</t>
  </si>
  <si>
    <t>Leonardo da Vinci</t>
  </si>
  <si>
    <t>Codex Atlanticus, f. 1r-2r</t>
  </si>
  <si>
    <t>El que no sabe pintar, no sabe observar la naturaleza</t>
  </si>
  <si>
    <t>Qui nescit pingere, nescit naturam observare</t>
  </si>
  <si>
    <t>Chi non sa dipingere, non sa osservare la natura</t>
  </si>
  <si>
    <t>Trattato della pittura, f. 34r</t>
  </si>
  <si>
    <t>El agua es la fuerza motriz de la naturaleza</t>
  </si>
  <si>
    <t>Aqua est vis motrix naturae</t>
  </si>
  <si>
    <t>L'acqua è la forza motrice della natura</t>
  </si>
  <si>
    <t>Codex Leicester, f. 1v-3r</t>
  </si>
  <si>
    <t>El ojo ve la verdad, la mano la reproduce</t>
  </si>
  <si>
    <t>Oculus videt veritatem, manus eam reproducit</t>
  </si>
  <si>
    <t>L'occhio vede la verità, la mano la riproduce</t>
  </si>
  <si>
    <t>Trattato della pittura, f. 14r</t>
  </si>
  <si>
    <t>La pintura es cosa del intelecto</t>
  </si>
  <si>
    <t>Pictura est res mentalis</t>
  </si>
  <si>
    <t>La pittura è cosa mentale</t>
  </si>
  <si>
    <t>Trattato della pittura, f. 3r</t>
  </si>
  <si>
    <t>Si te caes siete veces levántate ocho</t>
  </si>
  <si>
    <t>Septies cade octies surge</t>
  </si>
  <si>
    <t>El oro legítimo no teme al fuego</t>
  </si>
  <si>
    <t>Verum aurum ignem non timet</t>
  </si>
  <si>
    <t>真金不怕火炼</t>
  </si>
  <si>
    <t>El mejor momento para plantar un árbol fue hace 20 años el segundo mejor momento es ahora</t>
  </si>
  <si>
    <t>Optimum tempus arborem serere fuit ante viginti annos secundum nunc est</t>
  </si>
  <si>
    <t>种树最好的时间是二十年前，其次是现在</t>
  </si>
  <si>
    <t>Cuando el dinero habla la verdad calla</t>
  </si>
  <si>
    <t>Cum pecunia loquitur veritas tacet</t>
  </si>
  <si>
    <t>钱说话时真理沉默</t>
  </si>
  <si>
    <t>Tres monjes no tienen agua para beber</t>
  </si>
  <si>
    <t>Tres monachi aquam bibere non habent</t>
  </si>
  <si>
    <t>三个和尚没水喝</t>
  </si>
  <si>
    <t>Con el tiempo se conoce el corazón del hombre</t>
  </si>
  <si>
    <t>Tempore cor hominis cognoscitur</t>
  </si>
  <si>
    <t>日久见人心</t>
  </si>
  <si>
    <t>En aguas de extrema limpidez no puede haber peces</t>
  </si>
  <si>
    <t>In aquis nimis puris pisces esse non possunt</t>
  </si>
  <si>
    <t>水至清则无鱼</t>
  </si>
  <si>
    <t>Matar dos pájaros de un tiro</t>
  </si>
  <si>
    <t>Duos aves uno iactu interficere</t>
  </si>
  <si>
    <t>一箭双雕</t>
  </si>
  <si>
    <t>A la tarde te examinarán en el amor</t>
  </si>
  <si>
    <t>Ad vesperam in amore examinaberis</t>
  </si>
  <si>
    <t>A la tarde seréis examinados en el amor</t>
  </si>
  <si>
    <t>San Juan de la Cruz</t>
  </si>
  <si>
    <t>Carta 3 y Noche oscura del alma</t>
  </si>
  <si>
    <t>Donde no hay amor, pon amor y sacarás amor</t>
  </si>
  <si>
    <t>Ubi non est amor pone amorem et extrahe amorem</t>
  </si>
  <si>
    <t>Donde no hay amor, pon amor, y hallarás amor</t>
  </si>
  <si>
    <t>Obras completas, comentario sobre la caridad y el amor divino</t>
  </si>
  <si>
    <t>El alma que anda en amor ni cansa ni se cansa</t>
  </si>
  <si>
    <t>Anima quae in amore ambulat nec fatigat nec fatigatur</t>
  </si>
  <si>
    <t>El alma que anda en amor, ni cansa ni se cansa</t>
  </si>
  <si>
    <t>Cántico espiritual, estrofa XI, sobre el impulso del amor divino</t>
  </si>
  <si>
    <t>Buscad leyendo y hallaréis meditando</t>
  </si>
  <si>
    <t>Quaerite legendo et invenietis meditando</t>
  </si>
  <si>
    <t>Subida del Monte Carmelo, capítulo sobre la contemplación y la meditación</t>
  </si>
  <si>
    <t>Quien supiere morir a todo tendrá vida en todo</t>
  </si>
  <si>
    <t>Qui sciverit mori ad omnia habebit vitam in omnibus</t>
  </si>
  <si>
    <t>Quien supiere morir a todo, tendrá vida en todo</t>
  </si>
  <si>
    <t>Noche oscura del alma, estrofa sobre el desapego y unión con Dios</t>
  </si>
  <si>
    <t>Nada te turbe, nada te espante, todo se pasa, Dios no se muda</t>
  </si>
  <si>
    <t>Nihil te perturbet, nihil te terreat, omnia transeunt, Deus non mutatur</t>
  </si>
  <si>
    <t>Santa Teresa de Jesús</t>
  </si>
  <si>
    <t>Poema Nada te turbe</t>
  </si>
  <si>
    <t>La paciencia todo lo alcanza</t>
  </si>
  <si>
    <t>Patientia omnia consequitur</t>
  </si>
  <si>
    <t>Camino de perfección</t>
  </si>
  <si>
    <t>Solo Dios basta</t>
  </si>
  <si>
    <t>Solus Deus sufficit</t>
  </si>
  <si>
    <t>Libro de la vida</t>
  </si>
  <si>
    <t>Vivo sin vivir en mí y tan alta vida espero que muero porque no muero</t>
  </si>
  <si>
    <t>Vivo sine vivere in me et vitam tam altam spero ut moriar quia non morior</t>
  </si>
  <si>
    <t>Vivo sin vivir en mí, y tan alta vida espero, que muero porque no muero</t>
  </si>
  <si>
    <t>Poema Vivo sin vivir en mí</t>
  </si>
  <si>
    <t>La vida es una noche en una mala posada</t>
  </si>
  <si>
    <t>Vita est nox in deversorio malo</t>
  </si>
  <si>
    <t>Si en medio de las adversidades persevera el corazón con serenidad, con gozo y con paz, esto es amor</t>
  </si>
  <si>
    <t>Si in medio adversitatum perseverat cor cum serenitate, gaudio et pace, hoc est amor</t>
  </si>
  <si>
    <t>Alegría, estudio y piedad</t>
  </si>
  <si>
    <t>Laetitia, studium et pietas</t>
  </si>
  <si>
    <t>Gioia, studio e pietà</t>
  </si>
  <si>
    <t>San Juan Bosco</t>
  </si>
  <si>
    <t>Regole dell'Oratorio</t>
  </si>
  <si>
    <t>Si quieres una vida alegre y tranquila, procura estar siempre en gracia de Dios</t>
  </si>
  <si>
    <t>Si vis vitam laetam et tranquillam, cura ut semper in gratia Dei sis</t>
  </si>
  <si>
    <t>Se vuoi una vita allegra e tranquilla, cerca di essere sempre in grazia di Dio</t>
  </si>
  <si>
    <t>Scritti e lettere ai giovani</t>
  </si>
  <si>
    <t>Ser bueno no consiste en no cometer ninguna falta, sino en saber enmendarse</t>
  </si>
  <si>
    <t>Bonus esse non consistit in nullam culpam committere sed in scire emendare</t>
  </si>
  <si>
    <t>Essere buono non consiste nel non commettere mai errori, ma nel saperli correggere</t>
  </si>
  <si>
    <t>Letture spirituali per giovani</t>
  </si>
  <si>
    <t>Estando siempre alegres, ni cuenta nos daremos de lo pronto que pasa el tiempo</t>
  </si>
  <si>
    <t>Semper laeti nullum computum temporis transituri faciemus</t>
  </si>
  <si>
    <t>Stando sempre allegri, non ci accorgiamo di quanto presto passa il tempo</t>
  </si>
  <si>
    <t>Scritti ai giovani</t>
  </si>
  <si>
    <t>Dios favorece al hombre alegre</t>
  </si>
  <si>
    <t>Deus hominem laetum favet</t>
  </si>
  <si>
    <t>Dio favorisce l'uomo allegro</t>
  </si>
  <si>
    <t>Letture per giovani</t>
  </si>
  <si>
    <t>La base de la vida feliz de un joven es la comunión</t>
  </si>
  <si>
    <t>Basis vitae felicis iuvenis est communio</t>
  </si>
  <si>
    <t>La base della vita felice di un giovane è la comunione</t>
  </si>
  <si>
    <t>Dios es amor</t>
  </si>
  <si>
    <t>Deus caritas est</t>
  </si>
  <si>
    <t>Benedicto XVI</t>
  </si>
  <si>
    <t>Deus Caritas Est, n. 1</t>
  </si>
  <si>
    <t>La razón no se salvará sin la fe, pero la fe sin la razón no será humana</t>
  </si>
  <si>
    <t>Ratio sine fide non salvabitur; sed fides sine ratione non erit humana</t>
  </si>
  <si>
    <t>Oratio ad Universitatem Ratisbonensem, 12 septembris 2006</t>
  </si>
  <si>
    <t>Solo la verdad hace libres</t>
  </si>
  <si>
    <t>Sola veritas facit liberos</t>
  </si>
  <si>
    <t>Caritas in Veritate, n. 1</t>
  </si>
  <si>
    <t>La locura de la cruz es convertir el sufrimiento en grito de amor a Dios</t>
  </si>
  <si>
    <t>Insania crucis est dolorem convertere in clamorem amoris Dei</t>
  </si>
  <si>
    <t>Homilia in Hebdomada Sancta, 2006</t>
  </si>
  <si>
    <t>Mi verdadero programa de gobierno es no hacer mi voluntad, sino ponerme junto con toda la Iglesia</t>
  </si>
  <si>
    <t>Verum meum programma gubernationis est non voluntatem meam facere sed me cum tota Ecclesia ponere</t>
  </si>
  <si>
    <t>Oratio ad Corpus Diplomaticum, 24 aprilis 2005</t>
  </si>
  <si>
    <t>La verdad sin amor es dura; el amor sin verdad es arbitrario</t>
  </si>
  <si>
    <t>Veritas sine amore dura est; amor sine veritate arbitrarius est</t>
  </si>
  <si>
    <t>Discurso ad iuvenes, 2005</t>
  </si>
  <si>
    <t>Después de mi muerte haré caer una lluvia de rosas</t>
  </si>
  <si>
    <t>Post mortem meam pluviam rosarum faciam cadere</t>
  </si>
  <si>
    <t>Après ma mort, je ferai tomber une pluie de roses</t>
  </si>
  <si>
    <t>Santa Teresita de Lisieux</t>
  </si>
  <si>
    <t>Manuscripta Histoire d'une âme, cap. XXX</t>
  </si>
  <si>
    <t>Voy a pasar mi cielo haciendo el bien en la tierra</t>
  </si>
  <si>
    <t>Caelum meum transigam bonum in terra faciens</t>
  </si>
  <si>
    <t>Je passerai mon ciel à faire du bien sur la terre</t>
  </si>
  <si>
    <t>Manuscripta Histoire d'une âme, cap. XXXI</t>
  </si>
  <si>
    <t>Yo no muero, entro en la vida</t>
  </si>
  <si>
    <t>Non morior, in vitam introeo</t>
  </si>
  <si>
    <t>Je ne meurs pas, j'entre dans la vie</t>
  </si>
  <si>
    <t>Manuscripta Histoire d'une âme, cap. XXXII</t>
  </si>
  <si>
    <t>Mi camino es la confianza y el amor</t>
  </si>
  <si>
    <t>Via mea est fiducia et amor</t>
  </si>
  <si>
    <t>Ma voie est la confiance et l'amour</t>
  </si>
  <si>
    <t>Manuscripta Histoire d'une âme, cap. XXVIII</t>
  </si>
  <si>
    <t>La verdadera santidad es humillarse y soportar las propias imperfecciones</t>
  </si>
  <si>
    <t>Vera sanctitas est se humiliare et imperfectiones proprias tolerare</t>
  </si>
  <si>
    <t>La vraie sainteté est de s'humilier et supporter ses imperfections</t>
  </si>
  <si>
    <t>Manuscripta Histoire d'une âme, cap. XXIX</t>
  </si>
  <si>
    <t>Jesús, mi alegría es amarte</t>
  </si>
  <si>
    <t>Iesu, gaudium meum est te amare</t>
  </si>
  <si>
    <t>Jésus, ma joie est de t'aimer</t>
  </si>
  <si>
    <t>Manuscripta Histoire d'une âme, cap. XXVII</t>
  </si>
  <si>
    <t>Ayúdame a hacerlo por mí mismo</t>
  </si>
  <si>
    <t>Adiuva me ut id per me ipsum faciam</t>
  </si>
  <si>
    <t>Aiutami a farlo da solo</t>
  </si>
  <si>
    <t>María Montessori</t>
  </si>
  <si>
    <t>Il Metodo della Pedagogia Scientifica, cap. III</t>
  </si>
  <si>
    <t>La mayor señal de éxito para un profesor es poder decir ahora los niños trabajan como si yo no existiera</t>
  </si>
  <si>
    <t>Maximum signum successus magistri est posse dicere nunc pueri laborant quasi ego non existerem</t>
  </si>
  <si>
    <t>Il più grande segno di successo per un insegnante è poter dire i bambini stanno lavorando come se io non esistessi</t>
  </si>
  <si>
    <t>Il Metodo della Pedagogia Scientifica, cap. V</t>
  </si>
  <si>
    <t>Cualquier ayuda innecesaria es un obstáculo para el desarrollo</t>
  </si>
  <si>
    <t>Quodlibet auxilium non necessarium impedimentum progressui est</t>
  </si>
  <si>
    <t>Qualsiasi aiuto inutile è un ostacolo allo sviluppo</t>
  </si>
  <si>
    <t>Il Metodo della Pedagogia Scientifica, cap. VI</t>
  </si>
  <si>
    <t>Nunca ayudes a un niño mientras está realizando una tarea en la que siente que puede tener éxito</t>
  </si>
  <si>
    <t>Numquam adiuva puerum dum munus perficit in quo sentit se successum habere posse</t>
  </si>
  <si>
    <t>Non aiutare mai un bambino mentre sta svolgendo un compito in cui sente di poter avere successo</t>
  </si>
  <si>
    <t>Il Metodo della Pedagogia Scientifica, cap. VII</t>
  </si>
  <si>
    <t>Hemos de ser educados si queremos educar</t>
  </si>
  <si>
    <t>Educati esse debemus si volumus educare</t>
  </si>
  <si>
    <t>Dobbiamo essere educati se vogliamo educare</t>
  </si>
  <si>
    <t>Il Metodo della Pedagogia Scientifica, cap. VIII</t>
  </si>
  <si>
    <t>La primera tarea es agitar la vida pero dejarla libre para que se desarrolle</t>
  </si>
  <si>
    <t>Primum munus est vitam agitare sed eam liberam relinquere ut se evolvat</t>
  </si>
  <si>
    <t>Il primo compito è agitare la vita ma lasciarla libera di svilupparsi</t>
  </si>
  <si>
    <t>Il Metodo della Pedagogia Scientifica, cap. IX</t>
  </si>
  <si>
    <t>Nadie libera a nadie ni nadie se libera, solo los hombres se liberan en comunión</t>
  </si>
  <si>
    <t>Nemo liberat aliquem nec aliquis se solus liberat; homines se in communione liberant</t>
  </si>
  <si>
    <t>Ninguém liberta ninguém, ninguém se liberta sozinho, os homens se libertam em comunhão</t>
  </si>
  <si>
    <t>Paulo Freire</t>
  </si>
  <si>
    <t>Pedagogia do Oprimido, cap. II</t>
  </si>
  <si>
    <t>La educación no cambia el mundo, cambia a las personas que van a cambiar el mundo</t>
  </si>
  <si>
    <t>Educatio mundum non mutat, mutat personas quae mundum mutaturi sunt</t>
  </si>
  <si>
    <t>A educação não muda o mundo, muda as pessoas que vão mudar o mundo</t>
  </si>
  <si>
    <t>Pedagogia do Oprimido, cap. III</t>
  </si>
  <si>
    <t>Enseñar no es transferir conocimiento, sino crear las posibilidades para su producción</t>
  </si>
  <si>
    <t>Docere non est cognitionem transferre, sed possibilitates pro eius productione creare</t>
  </si>
  <si>
    <t>Ensinar não é transferir conhecimento, mas criar as possibilidades para a sua produção</t>
  </si>
  <si>
    <t>Pedagogia do Oprimido, cap. IV</t>
  </si>
  <si>
    <t>No hay docencia sin discencia</t>
  </si>
  <si>
    <t>Non est docentia sine discentia</t>
  </si>
  <si>
    <t>Não há docência sem discência</t>
  </si>
  <si>
    <t>Pedagogia do Oprimido, cap. V</t>
  </si>
  <si>
    <t>La educación es un acto de amor, por tanto un acto de valor</t>
  </si>
  <si>
    <t>Educatio est actus amoris, ergo actus fortitudinis</t>
  </si>
  <si>
    <t>A educação é um ato de amor, portanto um ato de coragem</t>
  </si>
  <si>
    <t>Pedagogia do Oprimido, cap. VI</t>
  </si>
  <si>
    <t>Lucho por una educación que nos enseñe a pensar y no por una educación que nos enseñe a obedecer</t>
  </si>
  <si>
    <t>Pugno pro educatione quae nos docet cogitare, non pro educatione quae nos docet obedire</t>
  </si>
  <si>
    <t>Luto por uma educação que nos ensine a pensar e não por uma educação que nos ensine a obedecer</t>
  </si>
  <si>
    <t>Pedagogia do Oprimido, cap. VII</t>
  </si>
  <si>
    <t>Piedad y Letras</t>
  </si>
  <si>
    <t>Pietas et Litterae</t>
  </si>
  <si>
    <t>San José de Calasanz</t>
  </si>
  <si>
    <t>Si desde la niñez el muchacho es imbuido diligentemente en la piedad y en las letras no hay que temer su edad avanzada</t>
  </si>
  <si>
    <t>Si ab infantia puer diligenter in pietate et litteris imbuatur non est timenda eius aetas provecta</t>
  </si>
  <si>
    <t>Epistolae et Scripta</t>
  </si>
  <si>
    <t>En cuanto a recibir alumnos pobres obra santamente admitiendo a cuantos vienen porque para ellos se fundó nuestro Instituto</t>
  </si>
  <si>
    <t>Quantum ad pauperes discipulos recipiendos sancte operatur admittens quotquot veniunt quia pro eis nostrum Institutum fundatum est</t>
  </si>
  <si>
    <t>En la instrucción de los niños es necesario tener mucha paciencia</t>
  </si>
  <si>
    <t>In institutione puerorum necesse est multam patientiam habere</t>
  </si>
  <si>
    <t>Amar es servir</t>
  </si>
  <si>
    <t>Amare est servire</t>
  </si>
  <si>
    <t>La educación es la base de toda la reforma de la humanidad</t>
  </si>
  <si>
    <t>Educatio est basis omnis reformationis humanitatis</t>
  </si>
  <si>
    <t>La principal esperanza de una nación descansa en la adecuada educación de su juventud</t>
  </si>
  <si>
    <t>Praecipua spes nationis in apta educatione iuventutis suae consistit</t>
  </si>
  <si>
    <t>Erasmo de Rotterdam</t>
  </si>
  <si>
    <t>Opera Omnia</t>
  </si>
  <si>
    <t>El colmo de la estupidez es aprender lo que luego hay que olvidar</t>
  </si>
  <si>
    <t>Summa stultitiae est discere quod postea obliviscendum sit</t>
  </si>
  <si>
    <t>Moriae Encomium</t>
  </si>
  <si>
    <t>No hay nada más desigual que tratar por igual a los desiguales</t>
  </si>
  <si>
    <t>Nihil est iniquius quam aequare inaequalia</t>
  </si>
  <si>
    <t>Adagia</t>
  </si>
  <si>
    <t>La verdadera amistad llega cuando el silencio entre dos parece ameno</t>
  </si>
  <si>
    <t>Vera amicitia advenit cum silentium inter duos amoenum videtur</t>
  </si>
  <si>
    <t>De Amicitia</t>
  </si>
  <si>
    <t>Instruir a un niño es ante todo instruirse uno mismo</t>
  </si>
  <si>
    <t>Puerum instruere est ante omnia se ipsum instruere</t>
  </si>
  <si>
    <t>De Pueris Instituendis</t>
  </si>
  <si>
    <t>La mejor forma de educar a un niño es hacerle amar el conocimiento</t>
  </si>
  <si>
    <t>Optimus modus educandi puerum est facere eum cognitionem amare</t>
  </si>
  <si>
    <t>Es difícil encontrar la felicidad dentro de uno mismo, pero es imposible encontrarla en otro lugar</t>
  </si>
  <si>
    <t>Difficile est felicitatem intra se invenire, sed impossibile est eam alibi invenire</t>
  </si>
  <si>
    <t>Es ist schwierig, Glück in sich selbst zu finden, aber unmöglich es anderswo zu finden</t>
  </si>
  <si>
    <t>Arthur Schopenhauer</t>
  </si>
  <si>
    <t>Die Welt als Wille und Vorstellung, Buch I</t>
  </si>
  <si>
    <t>La vida oscila como un péndulo entre el dolor y el aburrimiento</t>
  </si>
  <si>
    <t>Vita ut pendulum inter dolorem et taedium oscillat</t>
  </si>
  <si>
    <t>Das Leben schwingt wie ein Pendel zwischen Schmerz und Langeweile</t>
  </si>
  <si>
    <t>Die Welt als Wille und Vorstellung, Buch II</t>
  </si>
  <si>
    <t>El hombre puede hacer lo que quiera, pero no puede querer lo que quiera</t>
  </si>
  <si>
    <t>Homo facere potest quod vult, sed non potest velle quod vult</t>
  </si>
  <si>
    <t>Der Mensch kann zwar tun was er will, aber er kann nicht wollen was er will</t>
  </si>
  <si>
    <t>Die Welt als Wille und Vorstellung, Buch III</t>
  </si>
  <si>
    <t>Leer es pensar con una cabeza ajena en lugar de la propia</t>
  </si>
  <si>
    <t>Legere est cogitare capite alieno loco proprio</t>
  </si>
  <si>
    <t>Lesen heißt mit einem fremden Kopf statt dem eigenen denken</t>
  </si>
  <si>
    <t>Parerga und Paralipomena, I</t>
  </si>
  <si>
    <t>Toda verdad pasa por tres etapas: primero es ridiculizada, segundo es violentamente rechazada, tercero es aceptada como evidente</t>
  </si>
  <si>
    <t>Omnis veritas per tria stadia transit: primo ridetur, secundo violenter repudiatur, tertio ut evidens acceptatur</t>
  </si>
  <si>
    <t>Alle Wahrheit durchläuft drei Stufen: Zuerst wird sie lächerlich gemacht, Zweitens wird sie heftig bekämpft, Drittens wird sie als selbstverständlich akzeptiert</t>
  </si>
  <si>
    <t>Die Welt als Wille und Vorstellung, Buch IV</t>
  </si>
  <si>
    <t>Un mendigo sano es más feliz que un rey enfermo</t>
  </si>
  <si>
    <t>Mendicus sanus felicior est quam rex aegrotus</t>
  </si>
  <si>
    <t>Ein gesunder Bettler ist glücklicher als ein kranker König</t>
  </si>
  <si>
    <t>Die Welt als Wille und Vorstellung, Buch V</t>
  </si>
  <si>
    <t>La libertad no es la capacidad de elegir entre opciones preexistentes, sino la posibilidad de crear nuevas opciones</t>
  </si>
  <si>
    <t>Libertas non est facultas eligendi inter optiones praeexistentes, sed possibilitas novas optiones creandi</t>
  </si>
  <si>
    <t>Freiheit ist nicht die Fähigkeit zwischen vorhandenen Optionen zu wählen, sondern die Möglichkeit neue Optionen zu schaffen</t>
  </si>
  <si>
    <t>Hannah Arendt</t>
  </si>
  <si>
    <t>Vita Activa oder Vom tätigen Leben, Buch I</t>
  </si>
  <si>
    <t>La acción es la expresión más completa de la libertad humana</t>
  </si>
  <si>
    <t>Actio est expressio plenissima libertatis humanae</t>
  </si>
  <si>
    <t>Handeln ist der vollkommenste Ausdruck menschlicher Freiheit</t>
  </si>
  <si>
    <t>Vita Activa oder Vom tätigen Leben, Buch II</t>
  </si>
  <si>
    <t>La violencia nunca puede ser justificada en nombre de la libertad o la justicia</t>
  </si>
  <si>
    <t>Violentia numquam iustificari potest nomine libertatis aut iustitiae</t>
  </si>
  <si>
    <t>Gewalt kann niemals im Namen von Freiheit oder Gerechtigkeit gerechtfertigt werden</t>
  </si>
  <si>
    <t>On Violence, 1970</t>
  </si>
  <si>
    <t>Nada es más peligroso que un pueblo que ha renunciado a su derecho a pensar por sí mismo</t>
  </si>
  <si>
    <t>Nihil periculosius est quam populus qui iuri suo cogitandi per se renuntiavit</t>
  </si>
  <si>
    <t>Nichts ist gefährlicher als ein Volk das sein Recht aufgegeben hat selbst zu denken</t>
  </si>
  <si>
    <t>Vita Activa oder Vom tätigen Leben, Buch III</t>
  </si>
  <si>
    <t>La libertad no es un hecho, es un deber y una responsabilidad</t>
  </si>
  <si>
    <t>Libertas non est factum, sed officium et responsabilitas</t>
  </si>
  <si>
    <t>Freiheit ist keine Tatsache, sondern eine Pflicht und Verantwortung</t>
  </si>
  <si>
    <t>Vita Activa oder Vom tätigen Leben, Buch IV</t>
  </si>
  <si>
    <t>El perdón es la clave de la acción y la libertad</t>
  </si>
  <si>
    <t>Venia est clavis actionis et libertatis</t>
  </si>
  <si>
    <t>Vergebung ist der Schlüssel zu Handlung und Freiheit</t>
  </si>
  <si>
    <t>Vita Activa oder Vom tätigen Leben, Buch V</t>
  </si>
  <si>
    <t>Obra de tal modo que la máxima de tu voluntad pueda valer siempre al mismo tiempo como principio de una legislación universal</t>
  </si>
  <si>
    <t>Age ita ut maxima voluntatis tuae semper valere possit simul ut principium legislationis universalis</t>
  </si>
  <si>
    <t>Handle so dass die Maxime deines Willens jederzeit zugleich als Prinzip einer allgemeinen Gesetzgebung gelten könne</t>
  </si>
  <si>
    <t>Immanuel Kant</t>
  </si>
  <si>
    <t>Grundlegung zur Metaphysik der Sitten, 1785</t>
  </si>
  <si>
    <t>Obra de tal modo que uses la humanidad tanto en tu persona como en la persona de cualquier otro siempre como un fin y nunca solamente como un medio</t>
  </si>
  <si>
    <t>Age ita ut humanitatem tam in persona tua quam in persona cuiusvis alterius semper simul ut finem numquam solum ut medium adhibeas</t>
  </si>
  <si>
    <t>Handle so dass du die Menschheit sowohl in deiner Person als in der Person eines jeden anderen jederzeit zugleich als Zweck niemals bloß als Mittel brauchst</t>
  </si>
  <si>
    <t>Dos cosas llenan el ánimo de admiración y respeto siempre nuevos y crecientes: el cielo estrellado sobre mí y la ley moral dentro de mí</t>
  </si>
  <si>
    <t>Duo res animum admiratione et reverentia semper novis et crescentibus implent: caelum stellatum super me et lex moralis intra me</t>
  </si>
  <si>
    <t>Zwei Dinge erfüllen das Gemüt mit immer neuer und zunehmender Bewunderung und Ehrfurcht: der bestirnte Himmel über mir und das moralische Gesetz in mir</t>
  </si>
  <si>
    <t>Critik der praktischen Vernunft, 1788</t>
  </si>
  <si>
    <t>Atrévete a saber: ten el valor de usar tu propia razón</t>
  </si>
  <si>
    <t>Aude sapere: habe audaciam propria ratione utendi</t>
  </si>
  <si>
    <t>Wage zu wissen. Habe Mut dich deines eigenen Verstandes zu bedienen</t>
  </si>
  <si>
    <t>Beantwortung der Frage: Was ist Aufklärung?, 1784</t>
  </si>
  <si>
    <t>La ilustración es la salida del hombre de su autoculpable minoría de edad</t>
  </si>
  <si>
    <t>Illuminatio est exitus hominis e sua culpabili minoritate</t>
  </si>
  <si>
    <t>Aufklärung ist der Ausgang des Menschen aus seiner selbstverschuldeten Unmündigkeit</t>
  </si>
  <si>
    <t>La paz perpetua es una idea práctica que debe realizarse</t>
  </si>
  <si>
    <t>Pax perpetua est idea practica quae realizari debet</t>
  </si>
  <si>
    <t>Der ewige Friede ist eine praktische Idee, die verwirklicht werden muss</t>
  </si>
  <si>
    <t>Zum ewigen Frieden, 1795</t>
  </si>
  <si>
    <t>Yo soy yo y mi circunstancia, y si no la salvo a ella, no me salvo yo</t>
  </si>
  <si>
    <t>Ego sum ego et circumstantia mea, et nisi eam servo, me non servo</t>
  </si>
  <si>
    <t>José Ortega y Gasset</t>
  </si>
  <si>
    <t>Meditaciones del Quijote, 1914</t>
  </si>
  <si>
    <t>La vida es lo que hacemos y lo que nos pasa</t>
  </si>
  <si>
    <t>Vita est quod facimus et quod nobis accidit</t>
  </si>
  <si>
    <t>La rebelión de las masas, 1930</t>
  </si>
  <si>
    <t>Vivir es ocuparse con algo, decidir ser esto o aquello</t>
  </si>
  <si>
    <t>Vivere est aliqua re occupari, decernere hoc aut illud esse</t>
  </si>
  <si>
    <t>La deshumanización del arte, 1925</t>
  </si>
  <si>
    <t>El hombre no tiene naturaleza, sino que tiene historia</t>
  </si>
  <si>
    <t>Homo naturam non habet, sed historiam habet</t>
  </si>
  <si>
    <t>Dime a qué prestas atención y te diré quién eres</t>
  </si>
  <si>
    <t>Dic mihi cui attentionem praebes et dicam tibi quis sis</t>
  </si>
  <si>
    <t>La idea de principio en la filosofía, 1910</t>
  </si>
  <si>
    <t>La claridad es la cortesía del filósofo</t>
  </si>
  <si>
    <t>Claritas est urbanitas philosophi</t>
  </si>
  <si>
    <t>La fe no es una teoría sino una experiencia de vida</t>
  </si>
  <si>
    <t>Fides non est theoria sed experientia vitae</t>
  </si>
  <si>
    <t>Troen er ikke en teori men en livserfaring</t>
  </si>
  <si>
    <t>Søren Kierkegaard</t>
  </si>
  <si>
    <t>Enten – Eller, 1843</t>
  </si>
  <si>
    <t>La fe es la única fuerza capaz de vencer al porvenir</t>
  </si>
  <si>
    <t>Fides est unica vis capax vincere futurum</t>
  </si>
  <si>
    <t>Troen er den eneste kraft der kan overvinde fremtiden</t>
  </si>
  <si>
    <t>Frygt og Bæven, 1843</t>
  </si>
  <si>
    <t>La vida solo puede ser comprendida mirando hacia atrás, pero debe ser vivida mirando hacia adelante</t>
  </si>
  <si>
    <t>Vita solum intelligi potest respiciendo sed vivi debet prospiciendo</t>
  </si>
  <si>
    <t>Livet kan kun forstås baglæns men må leves forlæns</t>
  </si>
  <si>
    <t>Diario, 1840s</t>
  </si>
  <si>
    <t>La fe comienza precisamente donde termina el pensamiento</t>
  </si>
  <si>
    <t>Fides incipit praecise ubi cogitatio finitur</t>
  </si>
  <si>
    <t>Troen begynder netop hvor tænkningen slutter</t>
  </si>
  <si>
    <t>La desesperación es la enfermedad mortal</t>
  </si>
  <si>
    <t>Desperatio est morbus ad mortem</t>
  </si>
  <si>
    <t>Fortvivlelsen er sygdommen til døden</t>
  </si>
  <si>
    <t>Sygdommen til Døden, 1849</t>
  </si>
  <si>
    <t>La angustia es el vértigo de la libertad</t>
  </si>
  <si>
    <t>Angustia est vertigo libertatis</t>
  </si>
  <si>
    <t>Angsten er frihedens svimmelhed</t>
  </si>
  <si>
    <t>Begrebet Angest, 1844</t>
  </si>
  <si>
    <t>Enseñar todo a todos</t>
  </si>
  <si>
    <t>Omnes omnia docere</t>
  </si>
  <si>
    <t>Johann Amos Comenius</t>
  </si>
  <si>
    <t>Didactica Magna, cap. I</t>
  </si>
  <si>
    <t>La educación debe comenzar en la más tierna infancia</t>
  </si>
  <si>
    <t>Educatio ab infantia tenerissima incipi debet</t>
  </si>
  <si>
    <t>Didactica Magna, cap. II</t>
  </si>
  <si>
    <t>Los libros deben ser accesibles para todos, especialmente para los niños</t>
  </si>
  <si>
    <t>Libri omnibus praesertim pueris accessibiles esse debent</t>
  </si>
  <si>
    <t>Didactica Magna, cap. III</t>
  </si>
  <si>
    <t>La enseñanza debe ser agradable para que el aprendizaje sea duradero</t>
  </si>
  <si>
    <t>Doctrina iucunda esse debet ut apprehensio durabilis sit</t>
  </si>
  <si>
    <t>Didactica Magna, cap. IV</t>
  </si>
  <si>
    <t>Nada debe enseñarse que no pueda ser puesto en práctica</t>
  </si>
  <si>
    <t>Nihil doceri debet quod in praxim poni non possit</t>
  </si>
  <si>
    <t>Didactica Magna, cap. V</t>
  </si>
  <si>
    <t>La escuela debe ser un taller de humanidad</t>
  </si>
  <si>
    <t>Schola debet esse officina humanitatis</t>
  </si>
  <si>
    <t>Didactica Magna, cap. VI</t>
  </si>
  <si>
    <t>Nuestros primeros maestros son nuestros pies, nuestras manos y nuestros ojos</t>
  </si>
  <si>
    <t>Primi magistri nostri sunt pedes, manus et oculi nostri</t>
  </si>
  <si>
    <t>Nos premiers maîtres sont nos pieds, nos mains et nos yeux</t>
  </si>
  <si>
    <t>Jean-Jacques Rousseau</t>
  </si>
  <si>
    <t>Émile, 1762</t>
  </si>
  <si>
    <t>El niño debe aprender de la experiencia, no de los libros</t>
  </si>
  <si>
    <t>Puer ab experientia non ex libris discere debet</t>
  </si>
  <si>
    <t>L'enfant doit apprendre de l'expérience, non des livres</t>
  </si>
  <si>
    <t>Dejad que la infancia madure en los niños</t>
  </si>
  <si>
    <t>Sinite infantiam in pueris maturescere</t>
  </si>
  <si>
    <t>Laissez mûrir l'enfance dans les enfants</t>
  </si>
  <si>
    <t>El mejor medio para hacer buenos a los niños es hacerlos felices</t>
  </si>
  <si>
    <t>Optimum medium ad pueros bonos faciendos est eos felices facere</t>
  </si>
  <si>
    <t>Le meilleur moyen de faire les enfants bons est de les rendre heureux</t>
  </si>
  <si>
    <t>Enseñar a vivir es el oficio que quiero enseñarle</t>
  </si>
  <si>
    <t>Docere vivere est officium quod ei docere volo</t>
  </si>
  <si>
    <t>Apprendre à vivre, c'est le métier que je veux lui enseigner</t>
  </si>
  <si>
    <t>El hombre nace libre, pero en todas partes está encadenado</t>
  </si>
  <si>
    <t>Homo liber nascitur sed ubique in catenis est</t>
  </si>
  <si>
    <t>L'homme est né libre et partout il est dans les fers</t>
  </si>
  <si>
    <t>Du Contrat Social, 1762</t>
  </si>
  <si>
    <t>Nuestra influencia llega solo a donde llega nuestro amor</t>
  </si>
  <si>
    <t>Nostra influentia tantum pervenit quo amor noster pervenit</t>
  </si>
  <si>
    <t>Unser Einfluss reicht nur so weit wie unsere Liebe reicht</t>
  </si>
  <si>
    <t>Johann Heinrich Pestalozzi</t>
  </si>
  <si>
    <t>Wie Gertrud ihre Kinder lehrt, 1801</t>
  </si>
  <si>
    <t>La educación es el desarrollo natural, armonioso y progresivo de todas las facultades</t>
  </si>
  <si>
    <t>Educatio est progressus naturalis harmonicus et progressivus omnium facultatum</t>
  </si>
  <si>
    <t>Bildung ist die natürliche harmonische und fortschreitende Entwicklung aller Fähigkeiten</t>
  </si>
  <si>
    <t>Aprender es unir cabeza, corazón y manos</t>
  </si>
  <si>
    <t>Discere est caput, cor et manus coniungere</t>
  </si>
  <si>
    <t>Lernen heißt Kopf, Herz und Hand vereinen</t>
  </si>
  <si>
    <t>La intuición es el fundamento del conocimiento</t>
  </si>
  <si>
    <t>Intuitio est fundamentum cognitionis</t>
  </si>
  <si>
    <t>Anschauung ist die Grundlage der Erkenntnis</t>
  </si>
  <si>
    <t>Quiero psicologizar la educación</t>
  </si>
  <si>
    <t>Volo educationem psychologizare</t>
  </si>
  <si>
    <t>Ich will die Erziehung psychologisieren</t>
  </si>
  <si>
    <t>El objetivo de la educación es formar hombres, no eruditos</t>
  </si>
  <si>
    <t>Finis educationis est homines formare non eruditos</t>
  </si>
  <si>
    <t>Das Ziel der Bildung ist es, Menschen zu formen, nicht Gelehrte</t>
  </si>
  <si>
    <t>El objetivo principal de la educación es crear personas capaces de hacer cosas nuevas y no simplemente repetir lo que otras generaciones han hecho</t>
  </si>
  <si>
    <t>Scopus praecipuus educationis est creare personas capaces res novas faciendi non solum repetendi quod aliae generationes fecerunt</t>
  </si>
  <si>
    <t>Le but principal de l'éducation est de créer des hommes capables de faire des choses nouvelles et non simplement de répéter ce que les autres générations ont fait</t>
  </si>
  <si>
    <t>Jean Piaget</t>
  </si>
  <si>
    <t>La construction du réel chez l'enfant, 1937</t>
  </si>
  <si>
    <t>La inteligencia es lo que usas cuando no sabes qué hacer</t>
  </si>
  <si>
    <t>Intelligentia est id quod uteris cum nescis quid faciendum sit</t>
  </si>
  <si>
    <t>L'intelligence c'est ce que tu utilises quand tu ne sais pas quoi faire</t>
  </si>
  <si>
    <t>Cuando le enseñas a un niño algo, le quitas para siempre su oportunidad de descubrirlo por sí mismo</t>
  </si>
  <si>
    <t>Cum doceas puerum aliquid, ei auferas in perpetuum occasionem id per se inveniendi</t>
  </si>
  <si>
    <t>Quand vous enseignez quelque chose à un enfant, vous lui enlevez à jamais sa chance de le découvrir par lui-même</t>
  </si>
  <si>
    <t>El conocimiento no es una copia de la realidad, sino una construcción del ser humano</t>
  </si>
  <si>
    <t>Cognitio non est copia realitatis sed constructio hominis</t>
  </si>
  <si>
    <t>La connaissance n'est pas une copie de la réalité mais une construction de l'être humain</t>
  </si>
  <si>
    <t>Jugar es el trabajo de los niños</t>
  </si>
  <si>
    <t>Ludere est labor puerorum</t>
  </si>
  <si>
    <t>Jouer est le travail des enfants</t>
  </si>
  <si>
    <t>Todo lo que enseñamos a un niño, impedimos que lo invente o lo descubra</t>
  </si>
  <si>
    <t>Quidquid puerum docemus, impedimus ut id inveniat aut detegat</t>
  </si>
  <si>
    <t>Tout ce que nous enseignons à un enfant, nous l'empêchons de l'inventer ou de le découvrir</t>
  </si>
  <si>
    <t>El aprendizaje despierta una serie de procesos evolutivos internos capaces de operar solo cuando el niño está en interacción con las personas de su entorno</t>
  </si>
  <si>
    <t>Apprehensio excitat seriem processuum evolutivorum internorum qui operari possunt solum cum puer in interactione cum personis ambitus sui est</t>
  </si>
  <si>
    <t>Обучение пробуждает ряд внутренних процессов развития, которые могут действовать только когда ребенок взаимодействует с людьми в своей среде</t>
  </si>
  <si>
    <t>Lev Vygotsky</t>
  </si>
  <si>
    <t>Мышление и речь, 1934</t>
  </si>
  <si>
    <t>Lo que el niño puede hacer hoy con ayuda, mañana podrá hacerlo solo</t>
  </si>
  <si>
    <t>Quod puer hodie cum auxilio facere potest, cras solus facere poterit</t>
  </si>
  <si>
    <t>То, что ребенок может делать сегодня с помощью, завтра он сможет делать самостоятельно</t>
  </si>
  <si>
    <t>El lenguaje es la herramienta de las herramientas</t>
  </si>
  <si>
    <t>Lingua est instrumentum instrumentorum</t>
  </si>
  <si>
    <t>Язык — инструмент инструментов</t>
  </si>
  <si>
    <t>El aprendizaje es más que la adquisición de la capacidad de pensar; es la adquisición de muchas capacidades especializadas para pensar</t>
  </si>
  <si>
    <t>Apprehensio plus est quam acquisitio facultatis cogitandi; est acquisitio multarum facultatum specializatarum cogitandi</t>
  </si>
  <si>
    <t>Обучение — это больше чем приобретение способности думать; это приобретение многих специализированных способностей мыслить</t>
  </si>
  <si>
    <t>El ser humano se caracteriza por una sociabilidad primaria</t>
  </si>
  <si>
    <t>Homo characterizatur sociabilitate primaria</t>
  </si>
  <si>
    <t>Человек характеризуется первичной социальностью</t>
  </si>
  <si>
    <t>En el juego, el niño siempre se comporta por encima de su edad promedio</t>
  </si>
  <si>
    <t>In ludo puer semper se gerit supra aetatem suam mediam</t>
  </si>
  <si>
    <t>В игре ребенок всегда ведет себя выше своего среднего возраста</t>
  </si>
  <si>
    <t>El juego es el trabajo del niño; su oficio, su vida</t>
  </si>
  <si>
    <t>Ludus est labor pueri, officium eius, vita eius</t>
  </si>
  <si>
    <t>Das Spiel ist die Arbeit des Kindes, sein Beruf, sein Leben</t>
  </si>
  <si>
    <t>Friedrich Froebel</t>
  </si>
  <si>
    <t>Die Menschenerziehung, 1826</t>
  </si>
  <si>
    <t>Educar a un niño es esencialmente enseñarle a desenvolverse sin nosotros</t>
  </si>
  <si>
    <t>Educare puerum est essentialiter docere eum se explicare sine nobis</t>
  </si>
  <si>
    <t>Ein Kind zu erziehen bedeutet im Wesentlichen, ihm beizubringen, sich ohne uns zu entwickeln</t>
  </si>
  <si>
    <t>Ven, vive con nosotros; los niños te mostrarán el camino</t>
  </si>
  <si>
    <t>Veni, vive nobiscum; pueri viam tibi monstrabunt</t>
  </si>
  <si>
    <t>Komm, lebe mit uns; die Kinder werden dir den Weg zeigen</t>
  </si>
  <si>
    <t>El niño no es una botella que hay que llenar sino un fuego que es preciso encender</t>
  </si>
  <si>
    <t>Puer non est ampulla quae implenda est, sed ignis qui accendendus est</t>
  </si>
  <si>
    <t>Das Kind ist keine Flasche, die gefüllt werden muss, sondern ein Feuer, das entzündet werden muss</t>
  </si>
  <si>
    <t>La educación debe guiar al hombre a conocerse a sí mismo y a vivir en paz con la naturaleza</t>
  </si>
  <si>
    <t>Educatio hominem ducere debet ut se cognoscat et in pace cum natura vivat</t>
  </si>
  <si>
    <t>Bildung soll den Menschen dazu führen, sich selbst zu erkennen und in Frieden mit der Natur zu leben</t>
  </si>
  <si>
    <t>Los niños son como flores y deben ser tratados con paciencia y comprensión</t>
  </si>
  <si>
    <t>Pueri sunt ut flores et cum patientia et comprehensione tractandi sunt</t>
  </si>
  <si>
    <t>Kinder sind wie Blumen und müssen mit Geduld und Verständnis behandelt werden</t>
  </si>
  <si>
    <t>La escuela debe ser para la vida y mediante la vida</t>
  </si>
  <si>
    <t>Schola debet esse pro vita et mediante vita</t>
  </si>
  <si>
    <t>L'école doit être pour la vie et par la vie</t>
  </si>
  <si>
    <t>Ovide Decroly</t>
  </si>
  <si>
    <t>L'Éducation nouvelle, 1921</t>
  </si>
  <si>
    <t>El niño debe vivir en su medio natural para conocerlo y comprenderlo</t>
  </si>
  <si>
    <t>Puer in medio suo naturali vivere debet ut id cognoscat et comprehendat</t>
  </si>
  <si>
    <t>L'enfant doit vivre dans son milieu naturel pour le connaître et le comprendre</t>
  </si>
  <si>
    <t>La educación globalizada respeta la unidad de la vida mental</t>
  </si>
  <si>
    <t>Educatio globalizata unitatem vitae mentalis respectat</t>
  </si>
  <si>
    <t>L'éducation globalisée respecte l'unité de la vie mentale</t>
  </si>
  <si>
    <t>Observar, asociar y expresar son las bases del aprendizaje</t>
  </si>
  <si>
    <t>Observare, associare et exprimere sunt bases apprehensionis</t>
  </si>
  <si>
    <t>Observer, associer et exprimer sont les bases de l'apprentissage</t>
  </si>
  <si>
    <t>Hay que partir de los intereses del niño para lograr un aprendizaje significativo</t>
  </si>
  <si>
    <t>Oportet a puerorum interessibus proficisci ut apprehensionem significativam consequamur</t>
  </si>
  <si>
    <t>Il faut partir des intérêts de l'enfant pour obtenir un apprentissage significatif</t>
  </si>
  <si>
    <t>El programa escolar debe estar basado en las necesidades del niño</t>
  </si>
  <si>
    <t>Programma scholae in necessitatibus pueri fundari debet</t>
  </si>
  <si>
    <t>Le programme scolaire doit être basé sur les besoins de l'enfant</t>
  </si>
  <si>
    <t>Estad alegres en el Señor siempre</t>
  </si>
  <si>
    <t>State laeti in Domino semper</t>
  </si>
  <si>
    <t>State sempre allegri nel Signore</t>
  </si>
  <si>
    <t>San Felipe Neri</t>
  </si>
  <si>
    <t>Lettere e Sermoni, sec. XVI</t>
  </si>
  <si>
    <t>Un corazón alegre es señal de la gracia de Dios</t>
  </si>
  <si>
    <t>Cor laetum signum gratiae Dei est</t>
  </si>
  <si>
    <t>Un cuore allegro è segno della grazia di Dio</t>
  </si>
  <si>
    <t>Sed buenos si podéis</t>
  </si>
  <si>
    <t>State boni si potestis</t>
  </si>
  <si>
    <t>State buoni se potete</t>
  </si>
  <si>
    <t>La alegría cristiana es el mejor medio de atraer almas a Dios</t>
  </si>
  <si>
    <t>Laetitia Christiana est optimum medium ad animas Deo attrahendas</t>
  </si>
  <si>
    <t>La gioia cristiana è il miglior mezzo per attirare anime a Dio</t>
  </si>
  <si>
    <t>Un santo triste es un triste santo</t>
  </si>
  <si>
    <t>Sanctus tristis est tristis sanctus</t>
  </si>
  <si>
    <t>Un santo triste è un triste santo</t>
  </si>
  <si>
    <t>Haced el bien y dejad hablar</t>
  </si>
  <si>
    <t>Bonum facite et sinite loqui</t>
  </si>
  <si>
    <t>Fate il bene e lasciate dire</t>
  </si>
  <si>
    <t>La humildad es la verdad</t>
  </si>
  <si>
    <t>Humilitas est veritas</t>
  </si>
  <si>
    <t>L'umiltà è verità</t>
  </si>
  <si>
    <t>Echémonos en brazos de Dios</t>
  </si>
  <si>
    <t>In brachiis Dei nos proiiciamus</t>
  </si>
  <si>
    <t>Gettiamoci nelle braccia di Dio</t>
  </si>
  <si>
    <t>El que educa es mediador entre la ignorancia y el saber</t>
  </si>
  <si>
    <t>Qui educat mediator inter ignorantiam et scientiam est</t>
  </si>
  <si>
    <t>Wer erzieht ist Vermittler zwischen Unwissenheit und Wissen</t>
  </si>
  <si>
    <t>Santa Teresa de la Cruz</t>
  </si>
  <si>
    <t>Bildungsmanuskripte, 20. Jh.</t>
  </si>
  <si>
    <t>La educación es necesariamente un trabajo de comunidad</t>
  </si>
  <si>
    <t>Educatio necessario opus communitatis est</t>
  </si>
  <si>
    <t>Bildung ist notwendigerweise eine Gemeinschaftsarbeit</t>
  </si>
  <si>
    <t>La verdadera educación enseña a pensar por sí mismo</t>
  </si>
  <si>
    <t>Vera educatio docet per se cogitare</t>
  </si>
  <si>
    <t>Wahre Bildung lehrt selbst zu denken</t>
  </si>
  <si>
    <t>La mujer tiene la vocación de educar a la persona humana completa</t>
  </si>
  <si>
    <t>Mulier vocationem habet educandi personam humanam completam</t>
  </si>
  <si>
    <t>Die Frau hat die Berufung die ganze menschliche Person zu erziehen</t>
  </si>
  <si>
    <t>El educador debe ser verdaderamente paterno o materno</t>
  </si>
  <si>
    <t>Educator vere paternus aut maternus esse debet</t>
  </si>
  <si>
    <t>Der Erzieher muss wahrhaft väterlich oder mütterlich sein</t>
  </si>
  <si>
    <t>La verdadera sabiduría es el resultado de aprender de nuestros errores</t>
  </si>
  <si>
    <t>Vera sapientia est fructus discendi ex erroribus nostris</t>
  </si>
  <si>
    <t>Wahre Weisheit ist das Ergebnis unserer Fehler zu lernen</t>
  </si>
  <si>
    <t>El amor verdadero consiste en devolver al otro su propia dignidad intacta</t>
  </si>
  <si>
    <t>Amor verus consistit in reddendo alteri dignitatem propriam intactam</t>
  </si>
  <si>
    <t>Wahre Liebe besteht darin dem anderen seine eigene Würde unversehrt zurückzugeben</t>
  </si>
  <si>
    <t>Quien busca la verdad busca a Dios aunque no lo sepa</t>
  </si>
  <si>
    <t>Qui veritatem quaerit Deum quaerit etsi nesciat</t>
  </si>
  <si>
    <t>Wer die Wahrheit sucht, sucht Gott auch wenn er es nicht weiß</t>
  </si>
  <si>
    <t>Todos nacen como originales pero muchos mueren como fotocopias</t>
  </si>
  <si>
    <t>Omnes ut originales nascuntur sed multi ut photocopiae moriuntur</t>
  </si>
  <si>
    <t>Tutti nascono originali ma molti muoiono come fotocopie</t>
  </si>
  <si>
    <t>Beato Carlo Acutis</t>
  </si>
  <si>
    <t>Scritti Personali</t>
  </si>
  <si>
    <t>La Eucaristía es mi autopista al cielo</t>
  </si>
  <si>
    <t>Eucharistia est via mea celeris ad caelum</t>
  </si>
  <si>
    <t>L'Eucaristia è la mia autostrada per il cielo</t>
  </si>
  <si>
    <t>No yo sino Dios</t>
  </si>
  <si>
    <t>Non ego sed Deus</t>
  </si>
  <si>
    <t>Non io ma Dio</t>
  </si>
  <si>
    <t>La tristeza es dirigir la mirada hacia uno mismo, la felicidad es dirigir la mirada hacia Dios</t>
  </si>
  <si>
    <t>Tristitia est oculos ad se convertere felicitas est oculos ad Deum convertere</t>
  </si>
  <si>
    <t>La tristezza è rivolgere lo sguardo verso se stessi la felicità è rivolgere lo sguardo verso Dio</t>
  </si>
  <si>
    <t>Estar siempre unido a Jesús, ese es mi programa de vida</t>
  </si>
  <si>
    <t>Semper cum Iesu coniunctum esse hoc est meum vitae programma</t>
  </si>
  <si>
    <t>Stare sempre unito a Gesù questo è il mio programma di vita</t>
  </si>
  <si>
    <t>La Virgen María es la única mujer de mi vida</t>
  </si>
  <si>
    <t>Virgo Maria est unica mulier vitae meae</t>
  </si>
  <si>
    <t>La Vergine Maria è l'unica donna della mia vita</t>
  </si>
  <si>
    <t>Internet puede ser usado para acercar a las personas a Dios</t>
  </si>
  <si>
    <t>Interrete adhiberi potest ad personas Deo propinquiores faciendas</t>
  </si>
  <si>
    <t>Internet può essere usato per avvicinare le persone a Dio</t>
  </si>
  <si>
    <t>Para ser siempre original debemos tener nuestros ojos fijos en Jesús</t>
  </si>
  <si>
    <t>Ut semper originales simus oculos in Iesum fixos habere debemus</t>
  </si>
  <si>
    <t>Per essere sempre originali dobbiamo tenere i nostri occhi fissi su Gesù</t>
  </si>
  <si>
    <t>El juego es el trabajo del niño, su oficio, su vida</t>
  </si>
  <si>
    <t>Die Menschenerziehung</t>
  </si>
  <si>
    <t>Ven, vive con nosotros, los niños te mostrarán el camino</t>
  </si>
  <si>
    <t>Veni, vive nobiscum, pueri viam tibi monstrabunt</t>
  </si>
  <si>
    <t>Komm, lebe mit uns! Die Kinder werden dir den Weg zeigen</t>
  </si>
  <si>
    <t>Puer non est ampulla quae implenda est sed ignis qui accendendus est</t>
  </si>
  <si>
    <t>La educación es el arte de ayudar a cada individuo a manifestar lo mejor de sí mismo</t>
  </si>
  <si>
    <t>Educatio est ars adiuvandi singulum individuum ut optimum sui ipsius manifestet</t>
  </si>
  <si>
    <t>Erziehung ist die Kunst, jedem Individuum zu helfen, das Beste aus sich selbst zu manifestieren</t>
  </si>
  <si>
    <t>Rudolf Steiner</t>
  </si>
  <si>
    <t>Die Erziehung des Kindes</t>
  </si>
  <si>
    <t>Nuestro más alto esfuerzo debe ser desarrollar seres humanos libres que sean capaces por sí mismos de impartir propósito y dirección a sus vidas</t>
  </si>
  <si>
    <t>Summus conatus noster esse debet homines liberos evolvere qui per se ipsos vitae suae finem et directionem dare possint</t>
  </si>
  <si>
    <t>Unser höchstes Bestreben muss sein, freie Menschen zu entwickeln, die fähig sind, aus sich selbst heraus ihrem Leben Zweck und Richtung zu geben</t>
  </si>
  <si>
    <t>Recibe al niño con reverencia, edúcalo con amor, envíalo con libertad</t>
  </si>
  <si>
    <t>Puerum cum reverentia recipe, cum amore educa, dimitte cum libertate</t>
  </si>
  <si>
    <t>Empfange das Kind mit Ehrfurcht, erziehe es mit Liebe, entlasse es in Freiheit</t>
  </si>
  <si>
    <t>El corazón del método Waldorf es que la educación es un arte, debe hablar de la experiencia del niño</t>
  </si>
  <si>
    <t>Cor methodi Waldorf est educationem artem esse debet, de experientia pueri loqui</t>
  </si>
  <si>
    <t>Das Herz der Waldorf Methode ist, dass Bildung eine Kunst ist, sie muss von der Erfahrung des Kindes sprechen</t>
  </si>
  <si>
    <t>La pedagogía no es una ciencia sino un arte</t>
  </si>
  <si>
    <t>Paedagogia non est scientia sed ars</t>
  </si>
  <si>
    <t>Paedagogik ist keine Wissenschaft, sondern eine Kunst</t>
  </si>
  <si>
    <t>Hasta el más sabio puede aprender de los niños</t>
  </si>
  <si>
    <t>Etiam sapientissimus a pueris discere potest</t>
  </si>
  <si>
    <t>Auch der Weiseste kann von Kindern lernen</t>
  </si>
  <si>
    <t>Si quieres que tus hijos sean inteligentes, léeles cuentos de hadas. Si quieres que sean más inteligentes, léeles más cuentos de hadas</t>
  </si>
  <si>
    <t>Si vis filios tuos intelligentes esse, legis eis fabulas miraculosas. Si vis eos magis intelligentes esse, legis eis plures fabulas miraculosas</t>
  </si>
  <si>
    <t>Wenn du willst, dass deine Kinder intelligent sind, lies ihnen Märchen vor. Wenn du willst, dass sie noch intelligenter sind, lies ihnen mehr Märchen vor</t>
  </si>
  <si>
    <t>La educación debería cultivar la individualidad creativa de cada niño</t>
  </si>
  <si>
    <t>Educatio individualitatem creativam uniuscuiusque pueri colere deberet</t>
  </si>
  <si>
    <t>Bildung sollte die kreative Individualität jedes Kindes kultivieren</t>
  </si>
  <si>
    <t>Enseñar siempre en el patio y en la calle como en la sala de clase. Enseñar con la actitud, el gesto y la palabra</t>
  </si>
  <si>
    <t>Semper docere in atrio et in via sicut in aula scholae. Docere cum habitu, gestu et verbo</t>
  </si>
  <si>
    <t>Gabriela Mistral</t>
  </si>
  <si>
    <t>Cartas pedagógicas y ensayos sobre educación, 1951</t>
  </si>
  <si>
    <t>Para corregir no hay que temer. El peor maestro es el maestro con miedo</t>
  </si>
  <si>
    <t>Ad corrigendum non oportet timere. Pessimus magister est magister cum timore</t>
  </si>
  <si>
    <t>Tizas y pizarra: Reflexiones sobre educación, 1924</t>
  </si>
  <si>
    <t>La enseñanza de los niños es tal vez la forma más alta de buscar a Dios</t>
  </si>
  <si>
    <t>Doctrina puerorum fortasse forma altissima est quaerendi Deum</t>
  </si>
  <si>
    <t>Cartas pedagógicas, 1938</t>
  </si>
  <si>
    <t>El futuro de los niños es siempre hoy; mañana será tarde</t>
  </si>
  <si>
    <t>Futurum puerorum semper hodie est; cras erit sero</t>
  </si>
  <si>
    <t>Lecturas educativas y reflexiones sobre infancia, 1926</t>
  </si>
  <si>
    <t>Donde hay un niño hay una misión</t>
  </si>
  <si>
    <t>Ubi puer est ibi missio est</t>
  </si>
  <si>
    <t>Cartas y conferencias pedagógicas, 1940</t>
  </si>
  <si>
    <t>Dame el amor único de mi escuela</t>
  </si>
  <si>
    <t>Da mihi amorem unicum scholae meae</t>
  </si>
  <si>
    <t>Textos sobre enseñanza y vida escolar, 1925</t>
  </si>
  <si>
    <t>El maestro que trata de enseñar sin inspirar en el alumno el deseo de aprender</t>
  </si>
  <si>
    <t>Magister qui conatur docere quin desiderium discendi in discipulo inspiret</t>
  </si>
  <si>
    <t>Tizas y pizarra, 1924</t>
  </si>
  <si>
    <t>Todo para la escuela, todo para el niño</t>
  </si>
  <si>
    <t>Omnia pro schola, omnia pro puero</t>
  </si>
  <si>
    <t>Ensayos pedagógicos, 1930</t>
  </si>
  <si>
    <t>El amor a las niñas enseña más caminos a la que enseña que la pedagogía</t>
  </si>
  <si>
    <t>Amor ad puellas plures vias docet magistrae quam paedagogia</t>
  </si>
  <si>
    <t>Cartas pedagógicas y reflexiones, 1925</t>
  </si>
  <si>
    <t>Dame que alcance a hacer de una de mis niñas mi verso perfecto</t>
  </si>
  <si>
    <t>Da mihi ut possim ex una puellarum mearum versum meum perfectum facere</t>
  </si>
  <si>
    <t>Cartas a colegas y diarios de enseñanza, 1925-1930</t>
  </si>
  <si>
    <t>La inteligencia es la capacidad de resolver problemas o de crear productos valorados en un entorno cultural</t>
  </si>
  <si>
    <t>Intelligentia est capacitas problemata solvendi aut productus creandi qui in ambitu culturali aestimantur</t>
  </si>
  <si>
    <t>Intelligence is the ability to solve problems or to create products that are valued within a cultural setting</t>
  </si>
  <si>
    <t>Howard Gardner</t>
  </si>
  <si>
    <t>Frames of Mind: The Theory of Multiple Intelligences, 1983, p. 27</t>
  </si>
  <si>
    <t>Cada ser humano tiene una combinación única de inteligencias; este es el desafío educativo fundamental: estimular a cada alumno de una forma personalizada</t>
  </si>
  <si>
    <t>Unusquisque homo combinationem unicam intelligentiarum habet; hoc est provocatio educativa fundamentalis: stimulare quemque discipulum modo personali</t>
  </si>
  <si>
    <t>Each human being has a unique combination of intelligences. This is the fundamental educational challenge: to stimulate each learner in a personalized way</t>
  </si>
  <si>
    <t>Intelligence Reframed: Multiple Intelligences for the 21st Century, 1999, pp. 11-12</t>
  </si>
  <si>
    <t>No puede haber una única medida de la inteligencia, ya que hay muchas formas diferentes de ser inteligente</t>
  </si>
  <si>
    <t>Non potest esse unica mensura intelligentiae quia sunt multae formae diversae intelligentis esse</t>
  </si>
  <si>
    <t>There cannot be a single measure of intelligence because there are many different ways of being intelligent</t>
  </si>
  <si>
    <t>Frames of Mind, 1983, pp. 40-42</t>
  </si>
  <si>
    <t>Es de suma importancia que reconozcamos y alimentemos todas las inteligencias humanas</t>
  </si>
  <si>
    <t>Maximi momenti est ut omnes intelligentias humanas agnoscamus et nutriamus</t>
  </si>
  <si>
    <t>It is of paramount importance that we recognize and nurture all human intelligences</t>
  </si>
  <si>
    <t>Multiple Intelligences: The Theory in Practice, 1993, p. 10</t>
  </si>
  <si>
    <t>La pregunta no es qué tan inteligente eres, sino en qué eres inteligente</t>
  </si>
  <si>
    <t>Quaestio non est quam intelligens sis sed quo modo intelligens sis</t>
  </si>
  <si>
    <t>The question is not how intelligent you are, but in what way are you intelligent</t>
  </si>
  <si>
    <t>Intelligence Reframed, 1999, p. 15</t>
  </si>
  <si>
    <t>Nuestras limitaciones no sólo posibilitan los primeros aprendizajes vitales, sino que también permiten ocasionales rupturas creativas</t>
  </si>
  <si>
    <t>Limitationes nostrae non solum primas apprehensiones vitales possibiles faciunt sed etiam occasionales rupturas creativas permittunt</t>
  </si>
  <si>
    <t>Our limitations not only make early vital learning possible but also allow for occasional creative breakthroughs</t>
  </si>
  <si>
    <t>Creating Minds, 1993, p. 4</t>
  </si>
  <si>
    <t>La creatividad es tan importante como la alfabetización y debería ser tratada de la misma manera</t>
  </si>
  <si>
    <t>Creativitas tam gravis est quam litterarum cognitio et eodem modo tractari debet</t>
  </si>
  <si>
    <t>Creativity is as important as literacy and we should treat it with the same status</t>
  </si>
  <si>
    <t>Ken Robinson</t>
  </si>
  <si>
    <t>Out of Our Minds: Learning to be Creative, 2001, p. 17</t>
  </si>
  <si>
    <t>Si no estás preparado para equivocarte, nunca llegarás a nada original</t>
  </si>
  <si>
    <t>Si non paratus es errare numquam ad aliquid originale pervenies</t>
  </si>
  <si>
    <t>If you're not prepared to be wrong, you'll never come up with anything original</t>
  </si>
  <si>
    <t>TED Talk: Do Schools Kill Creativity?, 2006</t>
  </si>
  <si>
    <t>Las escuelas matan la creatividad</t>
  </si>
  <si>
    <t>Scholae creativitatem necant</t>
  </si>
  <si>
    <t>Schools kill creativity</t>
  </si>
  <si>
    <t>La imaginación es la fuente de todo logro humano</t>
  </si>
  <si>
    <t>Imaginatio fons omnis operis humani est</t>
  </si>
  <si>
    <t>Imagination is the source of every form of human achievement</t>
  </si>
  <si>
    <t>Out of Our Minds, 2001, p. 11</t>
  </si>
  <si>
    <t>Los niños de ahora harán trabajos que aún no están inventados</t>
  </si>
  <si>
    <t>Pueri nunc opera facient quae nondum inventa sunt</t>
  </si>
  <si>
    <t>Children now will do jobs that haven't been invented yet</t>
  </si>
  <si>
    <t>Out of Our Minds, 2001, p. 15</t>
  </si>
  <si>
    <t>La gente produce lo mejor cuando hace cosas que ama, cuando está en su elemento</t>
  </si>
  <si>
    <t>Homines optimum producunt cum faciunt quae amant, cum in suo elemento sunt</t>
  </si>
  <si>
    <t>People produce their best work when they're doing something they love, when they're in their element</t>
  </si>
  <si>
    <t>Out of Our Minds, 2001, p. 30</t>
  </si>
  <si>
    <t>No es acerca de estandarizar la educación, es acerca de subir el estándar de la educación</t>
  </si>
  <si>
    <t>Non de educatione standardizanda agitur sed de standardum educationis elevando</t>
  </si>
  <si>
    <t>It's not about standardizing education, it's about raising the standard of education</t>
  </si>
  <si>
    <t>La creatividad se aprende igual que se aprende a leer</t>
  </si>
  <si>
    <t>Creativitas discitur sicut discitur legere</t>
  </si>
  <si>
    <t>Creativity is learned just as you learn to read</t>
  </si>
  <si>
    <t>Out of Our Minds, 2001, p. 35</t>
  </si>
  <si>
    <t>La mayoría del aprendizaje humano se produce mediante la observación</t>
  </si>
  <si>
    <t>Maior pars apprehensionis humanae fit per observationem</t>
  </si>
  <si>
    <t>Most human learning occurs through observation</t>
  </si>
  <si>
    <t>Albert Bandura</t>
  </si>
  <si>
    <t>Social Learning Theory, 1977, p. 22</t>
  </si>
  <si>
    <t>Las personas no solo aprenden de sus propias experiencias sino también observando las acciones de otros</t>
  </si>
  <si>
    <t>Homines non solum ex propriis experientiis discunt sed etiam actiones aliorum observando</t>
  </si>
  <si>
    <t>People learn not only from their own experiences but also by observing the actions of others</t>
  </si>
  <si>
    <t>Social Learning Theory, 1977, pp. 10-15</t>
  </si>
  <si>
    <t>La autoeficacia es la creencia en las propias capacidades para organizar y ejecutar las acciones requeridas</t>
  </si>
  <si>
    <t>Autoefficientia est fides in capacitatibus propriis ad actiones requisitas organizandas et exequendas</t>
  </si>
  <si>
    <t>Self-efficacy is the belief in one's capabilities to organize and execute the courses of action required</t>
  </si>
  <si>
    <t>Self-Efficacy: The Exercise of Control, 1997, pp. 3-4</t>
  </si>
  <si>
    <t>El aprendizaje sería sumamente laborioso si tuviéramos que confiar solo en los efectos de nuestras propias acciones</t>
  </si>
  <si>
    <t>Apprehensio summe laboriosa esset si solum in effectibus actionum nostrarum confidere deberemus</t>
  </si>
  <si>
    <t>Learning would be exceedingly laborious if we had to rely solely on the effects of our own actions</t>
  </si>
  <si>
    <t>Social Learning Theory, 1977, p. 21</t>
  </si>
  <si>
    <t>Para poder enseñar a los demás primero hay que hacer y conocer</t>
  </si>
  <si>
    <t>Ut alios docere possimus primum facere et cognoscere debemus</t>
  </si>
  <si>
    <t>To be able to teach others one must first do and know</t>
  </si>
  <si>
    <t>Los modelos son más que transmisores de información; proveen contextos sociales que influyen en el comportamiento</t>
  </si>
  <si>
    <t>Exempla plus quam transmissores informationis sunt; contextos sociales praebent qui in comportamentum influunt</t>
  </si>
  <si>
    <t>Models are more than transmitters of information; they provide social contexts that influence behavior</t>
  </si>
  <si>
    <t>Social Learning Theory, 1977, pp. 22-23</t>
  </si>
  <si>
    <t>La educación es lo que sobrevive cuando lo aprendido ha sido olvidado</t>
  </si>
  <si>
    <t>Educatio est id quod superest cum quod doctum est oblitum est</t>
  </si>
  <si>
    <t>Education is what survives when what has been learned has been forgotten</t>
  </si>
  <si>
    <t>B.F. Skinner</t>
  </si>
  <si>
    <t>The Science of Learning and the Art of Teaching, 1954</t>
  </si>
  <si>
    <t>Enseñamos con éxito cuando el estudiante aprende</t>
  </si>
  <si>
    <t>Cum successu docemus cum discipulus discit</t>
  </si>
  <si>
    <t>We teach successfully when the student learns</t>
  </si>
  <si>
    <t>The Technology of Teaching, 1968, p. 19</t>
  </si>
  <si>
    <t>El comportamiento es seguido por una consecuencia y la naturaleza de la consecuencia modifica la tendencia del organismo a repetir el comportamiento</t>
  </si>
  <si>
    <t>Comportamentum consequentia sequitur et natura consequentiae tendentiam organismi ad comportamentum repetendum modificat</t>
  </si>
  <si>
    <t>Behavior is followed by a consequence, and the nature of the consequence modifies the organism's tendency to repeat the behavior</t>
  </si>
  <si>
    <t>Science and Human Behavior, 1953, p. 56</t>
  </si>
  <si>
    <t>La forma en que se lleva a cabo el refuerzo positivo es más importante que la cantidad</t>
  </si>
  <si>
    <t>Modus quo confirmatio positiva fit gravior est quam quantitas</t>
  </si>
  <si>
    <t>The manner in which positive reinforcement is carried out is more important than the amount</t>
  </si>
  <si>
    <t>Science and Human Behavior, 1953, pp. 80-82</t>
  </si>
  <si>
    <t>No enseñamos a los estudiantes; solo les damos las condiciones bajo las cuales pueden aprender</t>
  </si>
  <si>
    <t>Non docemus discipulos; solum eis conditiones damus sub quibus discere possunt</t>
  </si>
  <si>
    <t>We do not teach students; we only give them the conditions under which they can learn</t>
  </si>
  <si>
    <t>The Technology of Teaching, 1968, pp. 9-10</t>
  </si>
  <si>
    <t>El comportamiento real es sencillamente la combinación de reacciones reflejas innatas y de respuestas aprendidas</t>
  </si>
  <si>
    <t>Comportamentum reale simpliciter combinatio reactionum reflexarum innatarum et responsionum doctarum est</t>
  </si>
  <si>
    <t>Actual behavior is simply the combination of innate reflex reactions and learned responses</t>
  </si>
  <si>
    <t>Science and Human Behavior, 1953, p. 35</t>
  </si>
  <si>
    <t>El fin de la educación es ayudar y guiar al niño hacia su realización humana</t>
  </si>
  <si>
    <t>Finis educationis est adiuvare et ducere puerum ad suam realizationem humanam</t>
  </si>
  <si>
    <t>Le but de l'éducation est d'aider et de guider l'enfant vers sa réalisation humaine</t>
  </si>
  <si>
    <t>Jacques Maritain</t>
  </si>
  <si>
    <t>Éducation et Philosophie, 1956, p. 23</t>
  </si>
  <si>
    <t>La educación es el arte de ayudar al joven a alcanzar la plenitud de su forma humana</t>
  </si>
  <si>
    <t>Educatio est ars adiuvandi iuvenem ad plenitudinem formae suae humanae attingendam</t>
  </si>
  <si>
    <t>L'éducation est l'art d'aider le jeune à atteindre la plénitude de sa forme humaine</t>
  </si>
  <si>
    <t>Éducation et Philosophie, 1956, p. 25</t>
  </si>
  <si>
    <t>El objeto de la educación no es formar esa abstracción platónica que es el hombre en sí mismo sino formar a un joven determinado</t>
  </si>
  <si>
    <t>Obiectum educationis non est formare abstractionem illam platonicam quae est homo in se sed formare iuvenem determinatum</t>
  </si>
  <si>
    <t>L'objet de l'éducation n'est pas de former cette abstraction platonicienne qu'est l'homme en soi mais de former un jeune déterminé</t>
  </si>
  <si>
    <t>Éducation et Philosophie, 1956, p. 27</t>
  </si>
  <si>
    <t>La educación del hombre es un despertar humano</t>
  </si>
  <si>
    <t>Educatio hominis est evocatio humana</t>
  </si>
  <si>
    <t>L'éducation de l'homme est un éveil humain</t>
  </si>
  <si>
    <t>Éducation et Philosophie, 1956, p. 29</t>
  </si>
  <si>
    <t>Liberar las buenas energías es el primer principio de la educación</t>
  </si>
  <si>
    <t>Liberare bonas energias primum principium educationis est</t>
  </si>
  <si>
    <t>Libérer les bonnes énergies est le premier principe de l'éducation</t>
  </si>
  <si>
    <t>Éducation et Philosophie, 1956, p. 31</t>
  </si>
  <si>
    <t>La educación no debe forjar individuos sino asistir al dinamismo propio de la persona</t>
  </si>
  <si>
    <t>Educatio non debet individua formare sed dynamismo proprio personae assistere</t>
  </si>
  <si>
    <t>L'éducation ne doit pas forger des individus mais assister le dynamisme propre de la personne</t>
  </si>
  <si>
    <t>Éducation et Philosophie, 1956, p. 33</t>
  </si>
  <si>
    <t>El deber del educador moderno no es talar selvas sino regar desiertos</t>
  </si>
  <si>
    <t>Officium educatoris moderni non est silvas caedere sed deserta irrigare</t>
  </si>
  <si>
    <t>The task of the modern educator is not to cut down jungles but to irrigate deserts</t>
  </si>
  <si>
    <t>C.S. Lewis</t>
  </si>
  <si>
    <t>The Abolition of Man, 1960, p. 18</t>
  </si>
  <si>
    <t>La defensa adecuada contra los sentimientos falsos es inculcar sentimientos justos</t>
  </si>
  <si>
    <t>Defensio apta contra sensus falsos est sensus iustos inculcare</t>
  </si>
  <si>
    <t>The right defence against false sentiments is to inculcate just sentiments</t>
  </si>
  <si>
    <t>The Abolition of Man, 1960, p. 20</t>
  </si>
  <si>
    <t>Hacemos hombres sin corazones y esperamos de ellos virtud y buen juicio</t>
  </si>
  <si>
    <t>Homines sine pectore facimus et ab eis virtutem et industriam exspectamus</t>
  </si>
  <si>
    <t>We make men without chests and expect of them virtue and enterprise</t>
  </si>
  <si>
    <t>The Abolition of Man, 1960, p. 21</t>
  </si>
  <si>
    <t>La educación sin valores por los cuales educar es pura vocación vacía</t>
  </si>
  <si>
    <t>Educatio sine valoribus pro quibus educare est merum exercitium vocale vacuum</t>
  </si>
  <si>
    <t>Education without values for which to educate is mere empty vocational training</t>
  </si>
  <si>
    <t>No podemos abandonar sin traicionar el futuro a merced del pasado a menos que tengamos valores permanentes</t>
  </si>
  <si>
    <t>Non possumus sine proditione futurum misericordiae praeteriti relinquere nisi valores permanentes habeamus</t>
  </si>
  <si>
    <t>We cannot abandon without treachery the future to the mercy of the past unless we have permanent values</t>
  </si>
  <si>
    <t>The Abolition of Man, 1960, pp. 21-22</t>
  </si>
  <si>
    <t>El fin de la educación es conseguir que el alumno tenga predilecciones y aversiones por lo que corresponde</t>
  </si>
  <si>
    <t>Finis educationis est efficere ut discipulus dilectiones et aversiones pro eo quod convenit habeat</t>
  </si>
  <si>
    <t>The aim of education is to get the pupil to have likes and dislikes for what is fitting</t>
  </si>
  <si>
    <t>The Abolition of Man, 1960, p. 22</t>
  </si>
  <si>
    <t>La escuela no es un parque de atracciones</t>
  </si>
  <si>
    <t>Schola non est hortus voluptatum</t>
  </si>
  <si>
    <t>Gregorio Luri</t>
  </si>
  <si>
    <t>La escuela no es un parque de atracciones, 2013</t>
  </si>
  <si>
    <t>El saber riguroso no puede ser sino crítico mientras que la crítica sin rigor tiene mucho de pataleta</t>
  </si>
  <si>
    <t>Scientia rigorosa non potest nisi critica esse dum critica sine rigore multum irae infantilis habet</t>
  </si>
  <si>
    <t>La escuela no es un parque de atracciones, 2014</t>
  </si>
  <si>
    <t>Sin instrucción no hay pensamiento crítico</t>
  </si>
  <si>
    <t>Sine instructione non est cogitatio critica</t>
  </si>
  <si>
    <t>La escuela no es un parque de atracciones, 2015</t>
  </si>
  <si>
    <t>El maestro consciente de su papel de magister no es el guardián celoso de la autonomía infantil sino el amante celoso de lo mejor que un niño puede llegar a ser</t>
  </si>
  <si>
    <t>Magister conscius muneris sui non est custos zelotypus autonomiae puerilis sed amator zelotypus optimi quod puer esse potest</t>
  </si>
  <si>
    <t>La escuela no es un parque de atracciones, 2016</t>
  </si>
  <si>
    <t>Creo que a los niños hay que darle en la escuela lo que no les van a proporcionar en ninguna parte más y es conocimiento riguroso</t>
  </si>
  <si>
    <t>Credo pueris in schola dandum esse quod nusquam alibi accipient et est cognitio rigorosa</t>
  </si>
  <si>
    <t>La escuela no es un parque de atracciones, 2017</t>
  </si>
  <si>
    <t>El conocimiento riguroso es en sí mismo un fenomenal educador emocional</t>
  </si>
  <si>
    <t>Cognitio rigorosa in se ipsa est phenomenalis educator emotionalis</t>
  </si>
  <si>
    <t>La escuela no es un parque de atracciones, 2018</t>
  </si>
  <si>
    <t>Los profesores excelentes son evaluadores expertos de sus estudiantes</t>
  </si>
  <si>
    <t>Professores excellentes sunt aestimatores periti discipulorum suorum</t>
  </si>
  <si>
    <t>Excellent teachers are expert evaluators of their students</t>
  </si>
  <si>
    <t>John Hattie</t>
  </si>
  <si>
    <t>Visible Learning, 2009, p. 173</t>
  </si>
  <si>
    <t>El aprendizaje visible ocurre cuando los profesores ven el aprendizaje a través de los ojos de los estudiantes</t>
  </si>
  <si>
    <t>Apprehensio visibilis evenit cum professores apprehenionem per oculos discipulorum vident</t>
  </si>
  <si>
    <t>Visible learning occurs when teachers see learning through the eyes of students</t>
  </si>
  <si>
    <t>Conoce tu impacto</t>
  </si>
  <si>
    <t>Cognosce tuum impactum</t>
  </si>
  <si>
    <t>Know thy impact</t>
  </si>
  <si>
    <t>La retroalimentación es una de las influencias más poderosas en el aprendizaje</t>
  </si>
  <si>
    <t>Retroalimentatio una ex influxibus potentissimis in apprehensione est</t>
  </si>
  <si>
    <t>Feedback is one of the most powerful influences on learning</t>
  </si>
  <si>
    <t>Visible Learning, 2009, pp. 173-174</t>
  </si>
  <si>
    <t>Los maestros son los evaluadores de su propio efecto</t>
  </si>
  <si>
    <t>Magistri sunt aestimatores proprii effectus</t>
  </si>
  <si>
    <t>Teachers are the evaluators of their own effect</t>
  </si>
  <si>
    <t>El aprendizaje visible significa que el aprendizaje es el objetivo explícito</t>
  </si>
  <si>
    <t>Apprehensio visibilis significat apprehenionem obiectivum explicitum esse</t>
  </si>
  <si>
    <t>Visible learning means that learning is the explicit goal</t>
  </si>
  <si>
    <t>Visible Learning, 2009, p. 174</t>
  </si>
  <si>
    <t>La mente es un papel en blanco, vacío de caracteres, que se llena con la experiencia</t>
  </si>
  <si>
    <t>Mens est tabula rasa quae experientia impletur</t>
  </si>
  <si>
    <t>The mind is a white paper, void of all characters, filled by experience</t>
  </si>
  <si>
    <t>John Locke</t>
  </si>
  <si>
    <t>An Essay Concerning Human Understanding, 1690, Book II, Chapter I, Sec. 2</t>
  </si>
  <si>
    <t>El trabajo del maestro no consiste tanto en enseñar todo lo aprendible como en producir en el alumno amor y estima por el conocimiento</t>
  </si>
  <si>
    <t>Opus magistri non tam consistit in docendo omnia pretiosa quam in producendo in discipulo amore et aestimatione cognitionis</t>
  </si>
  <si>
    <t>The job of the teacher is not so much to teach all that is knowable, as to raise in him a love and esteem of knowledge</t>
  </si>
  <si>
    <t>Some Thoughts Concerning Education, 1693, Section 195</t>
  </si>
  <si>
    <t>No hay nada en el intelecto que no haya estado antes en los sentidos</t>
  </si>
  <si>
    <t>Nothing is in the intellect that was not first in the senses</t>
  </si>
  <si>
    <t>An Essay Concerning Human Understanding, 1690, Book II, Chapter I</t>
  </si>
  <si>
    <t>La lectura proporciona a la mente solo materiales de conocimiento; es pensar lo que hace que lo que leemos sea nuestro</t>
  </si>
  <si>
    <t>Lectio menti tantum materias cognitionis praebet; cogitare est quod facit ut quod legimus nostrum sit</t>
  </si>
  <si>
    <t>Reading furnishes the mind only with materials of knowledge; it is thinking makes what we read ours</t>
  </si>
  <si>
    <t>Of the Conduct of the Understanding, 1706, Section 42</t>
  </si>
  <si>
    <t>Considero que la verdadera causa de que los hombres no conozcan mejor las cosas es que se contentan con palabras</t>
  </si>
  <si>
    <t>Censeo veram causam cur homines res melius non cognoscant esse quod verbis contenti sunt</t>
  </si>
  <si>
    <t>I am apt to imagine that were the imperfections of language more thoroughly weighed, a great many of the controversies in the world would cease of themselves</t>
  </si>
  <si>
    <t>An Essay Concerning Human Understanding, 1690, Book III, Chapter IX, Sec. 21</t>
  </si>
  <si>
    <t>Las acciones de los hombres son los mejores intérpretes de sus pensamientos</t>
  </si>
  <si>
    <t>Actiones hominum sunt optimi interpretes cogitationum suarum</t>
  </si>
  <si>
    <t>The actions of men are the best interpreters of their thoughts</t>
  </si>
  <si>
    <t>An Essay Concerning Human Understanding, 1690, Book I, Chapter III, Sec. 3</t>
  </si>
  <si>
    <t>La verdadera educación consiste en abrir la mente, no en llenarla</t>
  </si>
  <si>
    <t>Vera educatio consistit in mente aperienda, non implenda</t>
  </si>
  <si>
    <t>True education consists in opening the mind, not in filling it</t>
  </si>
  <si>
    <t>Rabindranath Tagore</t>
  </si>
  <si>
    <t>The Religion of Man, 1917, p. 80</t>
  </si>
  <si>
    <t>La educación más alta es la que armoniza la vida con toda la existencia</t>
  </si>
  <si>
    <t>Educatio altissima est quae vitam cum omni existentia componit</t>
  </si>
  <si>
    <t>The highest education is that which does not merely give us information but makes our life in harmony with all existence</t>
  </si>
  <si>
    <t>The Religion of Man, 1917, p. 82</t>
  </si>
  <si>
    <t>No puedes cruzar el mar simplemente mirando el agua</t>
  </si>
  <si>
    <t>Non potes mare transire solum aquam spectando</t>
  </si>
  <si>
    <t>You can't cross the sea merely by staring at the water</t>
  </si>
  <si>
    <t>The Religion of Man, 1917, p. 88</t>
  </si>
  <si>
    <t>Un maestro nunca puede enseñar verdaderamente si deja de aprender</t>
  </si>
  <si>
    <t>Magister numquam vere docere potest nisi ipse adhuc discat</t>
  </si>
  <si>
    <t>A teacher can never truly teach unless he is still learning himself</t>
  </si>
  <si>
    <t>The Religion of Man, 1917, p. 91</t>
  </si>
  <si>
    <t>Los niños son artistas vivos; los adultos, artistas vividos</t>
  </si>
  <si>
    <t>Pueri sunt artifices vivi; adulti, artifices victi</t>
  </si>
  <si>
    <t>Children are living artists; adults are lived artists</t>
  </si>
  <si>
    <t>The Parrot's Training and Other Essays on Education, 1920</t>
  </si>
  <si>
    <t>El aprendizaje significativo subyace a la integración constructiva de pensamiento, sentimiento y acción</t>
  </si>
  <si>
    <t>Apprehensio significativa subiacet integrationi constructivae cogitationis, sensus et actionis</t>
  </si>
  <si>
    <t>Meaningful learning underlies the constructive integration of thinking, feeling, and acting</t>
  </si>
  <si>
    <t>Joseph D. Novak</t>
  </si>
  <si>
    <t>Learning, Creating, and Using Knowledge, 1998</t>
  </si>
  <si>
    <t>Los mapas conceptuales son herramientas para organizar y representar conocimiento</t>
  </si>
  <si>
    <t>Mappae conceptuales sunt instrumenta ad cognitionem organizandam et repraesentandam</t>
  </si>
  <si>
    <t>Concept maps are tools for organizing and representing knowledge</t>
  </si>
  <si>
    <t>Learning How to Learn, 1984</t>
  </si>
  <si>
    <t>El aprendizaje significativo ocurre cuando el estudiante relaciona conscientemente nuevos conceptos con conceptos que ya posee</t>
  </si>
  <si>
    <t>Apprehensio significativa evenit cum discipulus conscienter conceptus novos cum conceptibus iam possessis coniungit</t>
  </si>
  <si>
    <t>Meaningful learning occurs when the learner consciously relates new concepts to concepts already possessed</t>
  </si>
  <si>
    <t>Journal of Research in Science Teaching, 27(10), 1990</t>
  </si>
  <si>
    <t>Los mapas conceptuales ayudan al estudiante a ver el significado del material de aprendizaje</t>
  </si>
  <si>
    <t>Mappae conceptuales adiuvant discipulum videre significationem materiae discendae</t>
  </si>
  <si>
    <t>Concept maps help the student to see the meaning of learning material</t>
  </si>
  <si>
    <t>Aprender significativamente es aprender a aprender</t>
  </si>
  <si>
    <t>Discere significative est discere discere</t>
  </si>
  <si>
    <t>Learning meaningfully is learning to learn</t>
  </si>
  <si>
    <t>El factor más importante que influye en el aprendizaje es lo que el alumno ya sabe. Averígüelo y enséñele en consecuencia</t>
  </si>
  <si>
    <t>Maximum momentum quod in apprehensionem influit est id quod discipulus iam scit. Hoc investiga et secundum hoc doce</t>
  </si>
  <si>
    <t>The most important single factor influencing learning is what the learner already knows. Ascertain this and teach him accordingly</t>
  </si>
  <si>
    <t>David Ausubel</t>
  </si>
  <si>
    <t>Educational Psychology: A Cognitive View, 1968, p. 18</t>
  </si>
  <si>
    <t>El aprendizaje significativo ocurre cuando una nueva información se conecta con un concepto relevante preexistente</t>
  </si>
  <si>
    <t>Apprehensio significativa evenit cum nova informatio cum conceptu relevanti praeexistenti connectitur</t>
  </si>
  <si>
    <t>Meaningful learning occurs when new information connects with a relevant preexisting concept</t>
  </si>
  <si>
    <t>Educational Psychology: A Cognitive View, 1968, pp. 21-22</t>
  </si>
  <si>
    <t>La esencia del proceso de aprendizaje significativo: ideas simbólicas relacionadas no arbitrariamente con lo que el alumno ya sabe</t>
  </si>
  <si>
    <t>Essentia processus apprehensionis significativae: ideae symbolicae non arbitrarie cum eo quod discipulus iam scit relatae</t>
  </si>
  <si>
    <t>The essence of meaningful learning: symbolic ideas related non-arbitrarily to what the learner already knows</t>
  </si>
  <si>
    <t>Educational Psychology: A Cognitive View, 1968, p. 22</t>
  </si>
  <si>
    <t>El alumno debe manifestar disposición para relacionar sustancialmente el nuevo material con su estructura cognitiva</t>
  </si>
  <si>
    <t>Discipulus dispositionem manifestare debet ad novam materiam substantialiter cum structura sua cognitiva conectendam</t>
  </si>
  <si>
    <t>The learner must manifest willingness to relate the new material substantially to his cognitive structure</t>
  </si>
  <si>
    <t>Educational Psychology: A Cognitive View, 1968, p. 23</t>
  </si>
  <si>
    <t>Los organizadores previos facilitan la asimilación</t>
  </si>
  <si>
    <t>Organizatores praeii assimilationem facilitant</t>
  </si>
  <si>
    <t>Advance organizers facilitate assimilation</t>
  </si>
  <si>
    <t>Educational Psychology: A Cognitive View, 1968, pp. 23-24</t>
  </si>
  <si>
    <t>El aprendizaje por descubrimiento no es necesariamente significativo</t>
  </si>
  <si>
    <t>Apprehensio per inventionem non necessario significativa est</t>
  </si>
  <si>
    <t>Discovery learning is not necessarily meaningful</t>
  </si>
  <si>
    <t>Educational Psychology: A Cognitive View, 1968, p. 27</t>
  </si>
  <si>
    <t>La adquisición de un cuerpo de conocimiento claro, estable y organizado es la variable más significativa para adquirir nuevos conocimientos</t>
  </si>
  <si>
    <t>Acquisitio corporis cognitionis clari, stabilis et organizati est variabilis maxime significativa ad novas cognitiones acquirendas</t>
  </si>
  <si>
    <t>The acquisition of a clear, stable and organized body of knowledge is the most significant variable for acquiring new knowledge</t>
  </si>
  <si>
    <t>Para educar a un niño hace falta la tribu entera</t>
  </si>
  <si>
    <t>Ad puerum educandum tota tribus necessaria est</t>
  </si>
  <si>
    <t>Proverbio Africano</t>
  </si>
  <si>
    <t>No limites a tu hijo a tus propios conocimientos porque él nació en otra época</t>
  </si>
  <si>
    <t>Ne limites filium tuum ad tua propria cognitiones quia ipse in alia aetate natus est</t>
  </si>
  <si>
    <t>אַל תַּגְבִּיל אֶת בִּנְךָ לְיְדִיעוֹתֶיךָ שֶׁלְּךָ כִּי הוּא נוֹלַד בִּזְמַן אַחֵר</t>
  </si>
  <si>
    <t>Proverbio Judío</t>
  </si>
  <si>
    <t>Educa a un niño en su propia senda de modo que incluso cuando se haga viejo no se desvíe de ella</t>
  </si>
  <si>
    <t>Educa puerum in via sua ut etiam cum senuerit non recedat ab ea</t>
  </si>
  <si>
    <t>חֲנֹךְ לַנַּעַר עַל פִּי דַרְכּוֹ גַּם כִּי יַזְקִין לֹא יָסוּר מִמֶּנָּה</t>
  </si>
  <si>
    <t>Si quieres ir rápido camina solo Si quieres llegar lejos camina acompañado</t>
  </si>
  <si>
    <t>Si vis celeriter ire ambula solus Si vis longe pervenire ambula comitatus</t>
  </si>
  <si>
    <t>Hablar mucho es un signo de vanidad el que sabe escucha</t>
  </si>
  <si>
    <t>Multum loqui signum vanitatis est qui scit audit</t>
  </si>
  <si>
    <t>Por mucho que madrugues el sol no saldrá antes</t>
  </si>
  <si>
    <t>Quantumcumque mane surgis sol non ante orietur</t>
  </si>
  <si>
    <t>Cuando las raíces de un árbol empiezan a pudrirse la muerte llega a las ramas</t>
  </si>
  <si>
    <t>Cum radices arboris putrescere incipiunt mors ad ramos pervenit</t>
  </si>
  <si>
    <t>El río se llena con arroyos pequeños</t>
  </si>
  <si>
    <t>Fluvius rivis parvis impletur</t>
  </si>
  <si>
    <t>La huella de los que caminaron antes que nosotros es el camino que debemos seguir</t>
  </si>
  <si>
    <t>Vestigium eorum qui ante nos ambulaverunt via est quam sequi debemus</t>
  </si>
  <si>
    <t>Un solo dedo no puede levantar una piedra</t>
  </si>
  <si>
    <t>Unus digitus lapidem levare non potest</t>
  </si>
  <si>
    <t>La sabiduría es como un árbol baobab ninguna persona puede abarcarlo con sus brazos</t>
  </si>
  <si>
    <t>Sapientia est sicut arbor baobab nulla persona eam brachiis suis complecti potest</t>
  </si>
  <si>
    <t>He aprendido mucho de mis maestros más de mis colegas pero más que de todos ellos de mis alumnos</t>
  </si>
  <si>
    <t>Multum a magistris meis didici plus a collegis sed plus quam ab omnibus illis a discipulis meis</t>
  </si>
  <si>
    <t>למדתי הרבה ממוריי יותר מחבריי אבל יותר מכולם מתלמידיי</t>
  </si>
  <si>
    <t>Quién es sabio El que aprende de todos los hombres</t>
  </si>
  <si>
    <t>Quis est sapiens Qui ab omnibus hominibus discit</t>
  </si>
  <si>
    <t>איזהו חכם הלומד מכל אדם</t>
  </si>
  <si>
    <t>No digas poco en muchas palabras sino mucho en pocas</t>
  </si>
  <si>
    <t>Ne dicas pauca in multis verbis sed multa in paucis</t>
  </si>
  <si>
    <t>אַל תֹּאמַר מְעַט בִּדְבָרִים רַבִּים אֶלָּא הַרְבֵּה בִּמְעַט</t>
  </si>
  <si>
    <t>Si no soy yo para mí quién será Y si solo soy para mí qué soy yo</t>
  </si>
  <si>
    <t>Si non sum mihi quis mihi erit Et si solum mihi sum quid ego sum</t>
  </si>
  <si>
    <t>אִם אֵין אֲנִי לִי מִי לִי וּכְשֶׁאֲנִי לְעַצְמִי מָה אֲנִי</t>
  </si>
  <si>
    <t>Dios no pudo estar en todas partes y por eso creó a las madres</t>
  </si>
  <si>
    <t>Deus ubique esse non potuit et ideo matres creavit</t>
  </si>
  <si>
    <t>אלוהים לא יכול להיות בכל מקום ולכן ברא אמהות</t>
  </si>
  <si>
    <t>El hombre que no sabe que no sabe es un tonto apártate de él El hombre que sabe que no sabe es un niño enséñale</t>
  </si>
  <si>
    <t>Homo qui nescit se nescire stultus est recede ab eo Homo qui scit se nescire puer est doce eum</t>
  </si>
  <si>
    <t>האיש שאינו יודע שהוא לא יודע הוא טיפש התרחק ממנו האיש שיודע שהוא לא יודע הוא ילד למד אותו</t>
  </si>
  <si>
    <t>Quien se enoja pierde</t>
  </si>
  <si>
    <t>Qui irascitur perdit</t>
  </si>
  <si>
    <t>הכועס מפסיד</t>
  </si>
  <si>
    <t>El estudio de la Torá es superior a todo</t>
  </si>
  <si>
    <t>Studium Legis omnibus superior est</t>
  </si>
  <si>
    <t>תלמוד תורה כנגד כולם</t>
  </si>
  <si>
    <t>Todo lo que tiene nombre existe</t>
  </si>
  <si>
    <t>Omne quod nomen habet existit</t>
  </si>
  <si>
    <t>Izena duen guztia omen da</t>
  </si>
  <si>
    <t>Palabra dada deuda contraída</t>
  </si>
  <si>
    <t>Verbum datum debitum contractum</t>
  </si>
  <si>
    <t>Hitz emana zor emana</t>
  </si>
  <si>
    <t>La verdad no tiene amigos</t>
  </si>
  <si>
    <t>Veritas amicos non habet</t>
  </si>
  <si>
    <t>Egiak ez du lagunik</t>
  </si>
  <si>
    <t>Quien dice luego dice que se quede sin hacer</t>
  </si>
  <si>
    <t>Qui dicit postea dicit ut maneat infectum</t>
  </si>
  <si>
    <t>Gero dioenak bego dio</t>
  </si>
  <si>
    <t>El que aprende sabe</t>
  </si>
  <si>
    <t>Qui discit scit</t>
  </si>
  <si>
    <t>Ikasten duenak badaki</t>
  </si>
  <si>
    <t>Según sea la madera así será la astilla</t>
  </si>
  <si>
    <t>Qualis lignum talis assula</t>
  </si>
  <si>
    <t>Nolako egurra halako ezpala</t>
  </si>
  <si>
    <t>Noticias viejas valen poco</t>
  </si>
  <si>
    <t>Notitiae veteres parvi valoris sunt</t>
  </si>
  <si>
    <t>Zaharrak berri gutxi balio</t>
  </si>
  <si>
    <t>Para el vago siempre es fiesta</t>
  </si>
  <si>
    <t>Pigro semper dies festus est</t>
  </si>
  <si>
    <t>Alferrarentzat beti da jaia</t>
  </si>
  <si>
    <t>A cada tiempo lo suyo</t>
  </si>
  <si>
    <t>Cuique tempori sua</t>
  </si>
  <si>
    <t>Aldian aldiko hura da garaiko</t>
  </si>
  <si>
    <t>El agua se va y la piedra se queda</t>
  </si>
  <si>
    <t>Aqua abit saxum manet</t>
  </si>
  <si>
    <t>Ura joan eta harria gelditu</t>
  </si>
  <si>
    <t>Cada uno lo suyo lo de todos para el mundo entero</t>
  </si>
  <si>
    <t>Unusquisque suum omnium pro mundo toto</t>
  </si>
  <si>
    <t>Bakoitzak berea mundu osoarena</t>
  </si>
  <si>
    <t>Menudo par el caracol y la babosa</t>
  </si>
  <si>
    <t>Par quale limax et cochlea</t>
  </si>
  <si>
    <t>A ze parea karakola ta barea</t>
  </si>
  <si>
    <t>Mejor que ser rico tener buena reputación</t>
  </si>
  <si>
    <t>Melius quam divitem esse bonam famam habere</t>
  </si>
  <si>
    <t>Aberats izatea baino izen ona hobe</t>
  </si>
  <si>
    <t>El rico todo trampa el pobre todo sueños</t>
  </si>
  <si>
    <t>Dives totus dolus pauper totus somnia</t>
  </si>
  <si>
    <t>Aberatsa tranpa hutsa pobrea amets hutsa</t>
  </si>
  <si>
    <t>Con buenos amigos las horas son cortas</t>
  </si>
  <si>
    <t>Cum bonis amicis horae breves sunt</t>
  </si>
  <si>
    <t>Adiskide onekin orduak labur</t>
  </si>
  <si>
    <t>Una vida sin amigos es una muerte sin compañeros</t>
  </si>
  <si>
    <t>Vita sine amicis mors sine comitibus est</t>
  </si>
  <si>
    <t>Adiskidegabeko bizitza auzogabeko heriotza</t>
  </si>
  <si>
    <t>El que no quiere oír no debe decir</t>
  </si>
  <si>
    <t>Qui audire non vult dicere non debet</t>
  </si>
  <si>
    <t>Aditu nahi ez duenak ez du esan behar</t>
  </si>
  <si>
    <t>A buen entendedor pocas palabras</t>
  </si>
  <si>
    <t>Auditori bono pauca verba</t>
  </si>
  <si>
    <t>Aditzaile onari hitz gutxi</t>
  </si>
  <si>
    <t>El momento pasado jamás vuelve</t>
  </si>
  <si>
    <t>Momentum praeteritum numquam redit</t>
  </si>
  <si>
    <t>Aldi joana ez da itzultzen</t>
  </si>
  <si>
    <t>Lo prometido es deuda</t>
  </si>
  <si>
    <t>Promissum debitum est</t>
  </si>
  <si>
    <t>Agindua zorra</t>
  </si>
  <si>
    <t>Padre ahorrador hijo gastador</t>
  </si>
  <si>
    <t>Pater parcus filius prodigus</t>
  </si>
  <si>
    <t>Aita biltzaile seme gastatzaile</t>
  </si>
  <si>
    <t>La pereza ruina de muchos</t>
  </si>
  <si>
    <t>Pigritia perditio multorum</t>
  </si>
  <si>
    <t>Alferkeria askoren hondamendia</t>
  </si>
  <si>
    <t>Las deudas contraídas con una madre nunca se pagan</t>
  </si>
  <si>
    <t>Debita cum matre contracta numquam solvuntur</t>
  </si>
  <si>
    <t>Amari egindako zorrak ez dira inoiz ordaintzen</t>
  </si>
  <si>
    <t>Una vida sin sueños es como una noche sin estrellas</t>
  </si>
  <si>
    <t>Vita sine somniis nox sine stellis est</t>
  </si>
  <si>
    <t>Ametsik gabeko bizia izarrik gabeko gaua</t>
  </si>
  <si>
    <t>Forjando forjando se doblega el hierro</t>
  </si>
  <si>
    <t>Fabricando fabricando ferrum flectitur</t>
  </si>
  <si>
    <t>Arian arian zehetzen da burnia</t>
  </si>
  <si>
    <t>Mucho vale la fuerza más una cabeza inteligente</t>
  </si>
  <si>
    <t>Multum valet vis plus caput sagax</t>
  </si>
  <si>
    <t>Asko balio du indarrak gehiago buru azkarrak</t>
  </si>
  <si>
    <t>Cada uno lo suyo la ley de Dios</t>
  </si>
  <si>
    <t>Unicuique suum lex Dei</t>
  </si>
  <si>
    <t>Bakoitzak berea Jainkoaren legea</t>
  </si>
  <si>
    <t>Cada uno vive su propia locura</t>
  </si>
  <si>
    <t>Unusquisque suam dementiam vivit</t>
  </si>
  <si>
    <t>Bakoitzak bere zoroa bizi du</t>
  </si>
  <si>
    <t>Si te despiertas tarde los quehaceres diarios se atrasan</t>
  </si>
  <si>
    <t>Si sero expergisceris labores diurni retardantur</t>
  </si>
  <si>
    <t>Berandu jaikitzen bazara eguneko lanak atzera</t>
  </si>
  <si>
    <t>Ver la paja en ojo ajeno pero no la viga en el propio</t>
  </si>
  <si>
    <t>Festucam in oculo alieno videre trabem in proprio non</t>
  </si>
  <si>
    <t>Besteen faltak aurreko aldean geureak bizkarrean</t>
  </si>
  <si>
    <t>Para ver los errores ajenos no se necesitan gafas</t>
  </si>
  <si>
    <t>Ad errores alienos videndos perspicilla non necessaria</t>
  </si>
  <si>
    <t>Besteren akatsak ikusteko ez da betaurreko beharrik</t>
  </si>
  <si>
    <t>Escuchar y callar afirmación total</t>
  </si>
  <si>
    <t>Audire et tacere assensus totalis</t>
  </si>
  <si>
    <t>Entzun eta isil baiezko borobil</t>
  </si>
  <si>
    <t>Cayendo se aprende a andar</t>
  </si>
  <si>
    <t>Cadendo ambulare discitur</t>
  </si>
  <si>
    <t>Eroriz ikasten da oinez</t>
  </si>
  <si>
    <t>En casa del herrero cuchillo de palo</t>
  </si>
  <si>
    <t>In domo fabri cultellus ligneus</t>
  </si>
  <si>
    <t>Errementariaren etxean zotza nagusi</t>
  </si>
  <si>
    <t>Los niños de escuela comen mucho y estudian poco</t>
  </si>
  <si>
    <t>Pueri scholae multum edunt parum discunt</t>
  </si>
  <si>
    <t>Eskola umeak asko jan eta gutxi ikasi</t>
  </si>
  <si>
    <t>Los trapos sucios hay que limpiarlos en familia</t>
  </si>
  <si>
    <t>Pannos sordidos in familia lavare oportet</t>
  </si>
  <si>
    <t>Etxeko sua etxeko hautsez estali behar da</t>
  </si>
  <si>
    <t>No hay pan sin esfuerzo</t>
  </si>
  <si>
    <t>Non est panis sine labore</t>
  </si>
  <si>
    <t>Ez da ogirik neke gaberik</t>
  </si>
  <si>
    <t>No hables demasiado si no quieres errar</t>
  </si>
  <si>
    <t>Ne loquaris nimis si non vis errare</t>
  </si>
  <si>
    <t>Ez gehiegi hitz egin nahi ez bada huts egin</t>
  </si>
  <si>
    <t>La verdad es verdad el pan es pan el vino es vino</t>
  </si>
  <si>
    <t>Veritas veritas est panis panis vinum vinum</t>
  </si>
  <si>
    <t>Egia egi ogia ogi ardaua ardau</t>
  </si>
  <si>
    <t>La verdad no tiene dos caminos</t>
  </si>
  <si>
    <t>Veritas duos vias non habet</t>
  </si>
  <si>
    <t>Egiak ez ditu bi bide</t>
  </si>
  <si>
    <t>Quod hodie facere potes cras ne dimittas</t>
  </si>
  <si>
    <t>Gaur egin dezakezuna biharko ez utzi</t>
  </si>
  <si>
    <t>El joven si supiera el viejo si pudiera</t>
  </si>
  <si>
    <t>Iuvenis si sciret senex si posset</t>
  </si>
  <si>
    <t>Gazteak baleki zaharrak baleza</t>
  </si>
  <si>
    <t>El después es el lema del vago</t>
  </si>
  <si>
    <t>Postea lemma pigri est</t>
  </si>
  <si>
    <t>Geroa alferraren leloa</t>
  </si>
  <si>
    <t>La mentira tiene piernas cortas</t>
  </si>
  <si>
    <t>Mendacium crura brevia habet</t>
  </si>
  <si>
    <t>Gezurrak hanka motzak</t>
  </si>
  <si>
    <t>Qué merece el mentiroso No creerle al decir la verdad</t>
  </si>
  <si>
    <t>Quid meretur mendax Ei non credi cum veritatem dicit</t>
  </si>
  <si>
    <t>Gezurtiak zer duen merezi Egia esatean ez sinetsi</t>
  </si>
  <si>
    <t>Al hombre se mide del cuello para arriba</t>
  </si>
  <si>
    <t>Homo a collo sursum mensuratur</t>
  </si>
  <si>
    <t>Gizona lepotik gora neurtzen da</t>
  </si>
  <si>
    <t>Donde hay voluntad no hay cuestas</t>
  </si>
  <si>
    <t>Ubi voluntas ibi non sunt clivi</t>
  </si>
  <si>
    <t>Gogoa den tokian aldaparik ez</t>
  </si>
  <si>
    <t>El hambre aguza el ingenio</t>
  </si>
  <si>
    <t>Fames ingenium acuit</t>
  </si>
  <si>
    <t>Goseak begiak argi</t>
  </si>
  <si>
    <t>El poco aprendido siempre sabiondo</t>
  </si>
  <si>
    <t>Parum doctus semper sapiens se putat</t>
  </si>
  <si>
    <t>Gutxi ikasia beti jakintsu</t>
  </si>
  <si>
    <t>Quien es amigo de todos no lo es de nadie</t>
  </si>
  <si>
    <t>Qui omnium amicus nullius amicus est</t>
  </si>
  <si>
    <t>Guztien adiskide dena ez da inorena</t>
  </si>
  <si>
    <t>La palabra es palabra</t>
  </si>
  <si>
    <t>Verbum verbum est</t>
  </si>
  <si>
    <t>Hitza hitz</t>
  </si>
  <si>
    <t>La palabra dada es deuda</t>
  </si>
  <si>
    <t>Verbum datum debitum est</t>
  </si>
  <si>
    <t>Hitzemana zor</t>
  </si>
  <si>
    <t>Mejor pájaro en mano que ciento volando</t>
  </si>
  <si>
    <t>Melius avis in manu quam centum volantes</t>
  </si>
  <si>
    <t>Hobe da bat eskuan ez bi auzoan</t>
  </si>
  <si>
    <t>Nadie ha nacido sabido</t>
  </si>
  <si>
    <t>Nemo natus est doctus</t>
  </si>
  <si>
    <t>Inor ez da ikasia jaiotzen</t>
  </si>
  <si>
    <t>En boca cerrada no entran moscas</t>
  </si>
  <si>
    <t>In ore clauso muscae non intrant</t>
  </si>
  <si>
    <t>Isilik dagoenak ez dio gezurrik</t>
  </si>
  <si>
    <t>Lo que tiene nombre existe</t>
  </si>
  <si>
    <t>Quod nomen habet existit</t>
  </si>
  <si>
    <t>Izena duena da</t>
  </si>
  <si>
    <t>Del dicho al hecho hay un trecho</t>
  </si>
  <si>
    <t>A dicto ad factum via longa est</t>
  </si>
  <si>
    <t>Izenetik izanera gogoa zubi</t>
  </si>
  <si>
    <t>Paloma en la calle lobo en casa</t>
  </si>
  <si>
    <t>Columba in via lupus in domo</t>
  </si>
  <si>
    <t>Kalean uso etxean otso</t>
  </si>
  <si>
    <t>El trabajo más fácil mandar</t>
  </si>
  <si>
    <t>Labor facilissimus imperare</t>
  </si>
  <si>
    <t>Lanik errazena agintzea</t>
  </si>
  <si>
    <t>Donde está la voluntad allí va el pie</t>
  </si>
  <si>
    <t>Ubi voluntas ibi pes</t>
  </si>
  <si>
    <t>Non gogoa han zangoa</t>
  </si>
  <si>
    <t>La salud es la riqueza del mundo</t>
  </si>
  <si>
    <t>Sanitas divitiae mundi sunt</t>
  </si>
  <si>
    <t>Osasuna munduko ondasuna</t>
  </si>
  <si>
    <t>La olla del cura pequeña pero sabrosa</t>
  </si>
  <si>
    <t>Olla sacerdotis parva sed sapida</t>
  </si>
  <si>
    <t>Abadearen lapikoa txikia baino gozoa</t>
  </si>
  <si>
    <t>Diciembre todo fiesta y todo noche</t>
  </si>
  <si>
    <t>December omnis dies festus omnis nox</t>
  </si>
  <si>
    <t>Abendua jai huts eta gau huts</t>
  </si>
  <si>
    <t>El día de diciembre para cuando clarea oscuro</t>
  </si>
  <si>
    <t>Dies Decembris cum lucescit obscurus</t>
  </si>
  <si>
    <t>Abenduko eguna argitu orduko iluna</t>
  </si>
  <si>
    <t>Boca abierta sueño o hambre</t>
  </si>
  <si>
    <t>Os apertum somnus aut fames</t>
  </si>
  <si>
    <t>Ahoa zabal logale edo gose</t>
  </si>
  <si>
    <t>Estar holgazaneando y realizar trabajo en vano ambos lo mismo</t>
  </si>
  <si>
    <t>Otiari esse et laborem vanum facere idem sunt</t>
  </si>
  <si>
    <t>Alfer egon eta alfer-lana egin biak berdin</t>
  </si>
  <si>
    <t>Los perezosos siempre repletos de trabajo</t>
  </si>
  <si>
    <t>Pigri semper laboribus pleni</t>
  </si>
  <si>
    <t>Alferrak beti lanez beterik</t>
  </si>
  <si>
    <t>Para los perezosos ni hay trabajo ni momento oportuno</t>
  </si>
  <si>
    <t>Pigris nec labor nec tempus opportunum</t>
  </si>
  <si>
    <t>Alferrarendako lanik ez eta astirik ez</t>
  </si>
  <si>
    <t>Es en vano hacer la presa después de irse el agua</t>
  </si>
  <si>
    <t>Frustra est aggerem facere post aquam abeuntem</t>
  </si>
  <si>
    <t>Alferrik da ura joanda gero presa egitea</t>
  </si>
  <si>
    <t>Amén tu ahí y yo aquí</t>
  </si>
  <si>
    <t>Amen tu ibi ego hic</t>
  </si>
  <si>
    <t>Amen zu hor eta ni hemen</t>
  </si>
  <si>
    <t>El sueño el domingo de la voluntad</t>
  </si>
  <si>
    <t>Somnus dies dominicus voluntatis</t>
  </si>
  <si>
    <t>Ametsa gogoaren igandea</t>
  </si>
  <si>
    <t>Curas y frailes cuervos sin alas</t>
  </si>
  <si>
    <t>Sacerdotes et fratres corvi sine alis</t>
  </si>
  <si>
    <t>Apaizak eta praileak hegal gabeko beleak</t>
  </si>
  <si>
    <t>Al final de abril las hojas florecen en los robles</t>
  </si>
  <si>
    <t>Fine Aprilis folia in quercubus florent</t>
  </si>
  <si>
    <t>Apirilaren azkenean hostoa haritz gainean</t>
  </si>
  <si>
    <t>Se puede encontrar oveja perdida no así momento perdido</t>
  </si>
  <si>
    <t>Ovis perdita inveniri potest momentum perditum non</t>
  </si>
  <si>
    <t>Ardi galdua atzeman daiteke aldi galdua berriz ez</t>
  </si>
  <si>
    <t>La oveja pequeña siempre será cordero</t>
  </si>
  <si>
    <t>Ovis parva semper agnus erit</t>
  </si>
  <si>
    <t>Ardi txikia beti bildots</t>
  </si>
  <si>
    <t>El vino vicario de Navarra</t>
  </si>
  <si>
    <t>Vinum vicarius Navarrae</t>
  </si>
  <si>
    <t>Ardoa Nafarroako bikarioa</t>
  </si>
  <si>
    <t>El vino dulce tiene cuatro ojos y ningún pie</t>
  </si>
  <si>
    <t>Vinum dulce quattuor oculos et nullum pedem habet</t>
  </si>
  <si>
    <t>Ardo gozoak lau begi eta oinik ez</t>
  </si>
  <si>
    <t>Atardecer rojizo amanecer lluvioso</t>
  </si>
  <si>
    <t>Vesper rubens aurora pluvialis</t>
  </si>
  <si>
    <t>Arrats gorri goiz euri</t>
  </si>
  <si>
    <t>País extranjero país de lobos</t>
  </si>
  <si>
    <t>Terra aliena terra luporum</t>
  </si>
  <si>
    <t>Arrotzerri otserri</t>
  </si>
  <si>
    <t>La saciedad no puede ver al hambre</t>
  </si>
  <si>
    <t>Satietas famem videre non potest</t>
  </si>
  <si>
    <t>Aseak gosea ezin ikus</t>
  </si>
  <si>
    <t>El que no tiene suficiente el que no tiene nada</t>
  </si>
  <si>
    <t>Qui satis non habet qui nihil habet</t>
  </si>
  <si>
    <t>Aski ez duena deusik ez duena</t>
  </si>
  <si>
    <t>Mucho hablar y poco hacer</t>
  </si>
  <si>
    <t>Multum loqui parum facere</t>
  </si>
  <si>
    <t>Asko egin bai gutxi egin bai</t>
  </si>
  <si>
    <t>Dolor de muchos placer de tontos</t>
  </si>
  <si>
    <t>Dolor multorum voluptas stultorum</t>
  </si>
  <si>
    <t>Askoren mina tontoen atsegina</t>
  </si>
  <si>
    <t>El burro aunque lo vistas de caballo siempre burro</t>
  </si>
  <si>
    <t>Asinus equi vestibus indutus semper asinus</t>
  </si>
  <si>
    <t>Astoa zaldiz jantzi arren beti asto</t>
  </si>
  <si>
    <t>El burro a la mula le llama orejudo</t>
  </si>
  <si>
    <t>Asinus mulo auritus vocat</t>
  </si>
  <si>
    <t>Astoak mandoari belarri luze</t>
  </si>
  <si>
    <t>Si tienes mucho necesitarás mucho</t>
  </si>
  <si>
    <t>Si multum habes multum necessarium erit</t>
  </si>
  <si>
    <t>Asko baduk asko beharko duk</t>
  </si>
  <si>
    <t>Lo de delante enseña a bailar a lo de atrás</t>
  </si>
  <si>
    <t>Quod ante est docet saltare quod retro est</t>
  </si>
  <si>
    <t>Aurreak erakusten du atzea nola dantzatu</t>
  </si>
  <si>
    <t>Tras la disputa el perdedor en cueros vivos el ganador con triste camisa</t>
  </si>
  <si>
    <t>Post litem qui perdit nudo corpore qui vincit tristi camisia</t>
  </si>
  <si>
    <t>Auziaren ondoren galtzen duena larru gorrian irabazten duena alkondara hutsean</t>
  </si>
  <si>
    <t>Noviembre frío invierno corto Noviembre caliente invierno luego</t>
  </si>
  <si>
    <t>November frigidus hiems brevis November calidus hiems postea</t>
  </si>
  <si>
    <t>Azaroa hotz negua motz Azaroa bero negua gero</t>
  </si>
  <si>
    <t>El zorro tiene cola larga</t>
  </si>
  <si>
    <t>Vulpes caudam longam habet</t>
  </si>
  <si>
    <t>Azeriak isatsa luze</t>
  </si>
  <si>
    <t>La paloma vuela bien y rápido</t>
  </si>
  <si>
    <t>Columba bene et celeriter volat</t>
  </si>
  <si>
    <t>Azkar eta ondo usoak egiten du hegan</t>
  </si>
  <si>
    <t>Cada uno arrea a su propio burro</t>
  </si>
  <si>
    <t>Unusquisque suum asinum incitat</t>
  </si>
  <si>
    <t>Bakoitzak bere astoari egiten dio arre</t>
  </si>
  <si>
    <t>El árbol suele caerse al lado que se balancea</t>
  </si>
  <si>
    <t>Arbor ad latus quo oscillat cadere solet</t>
  </si>
  <si>
    <t>Balantza duen aldera erortzen da arbola</t>
  </si>
  <si>
    <t>Con leche valiosa no se puede desayunar</t>
  </si>
  <si>
    <t>Cum lacte pretioso ientare non potest</t>
  </si>
  <si>
    <t>Balizko esnearekin ezin gosaldu</t>
  </si>
  <si>
    <t>Cuando llueve nublado</t>
  </si>
  <si>
    <t>Cum pluit nubilum</t>
  </si>
  <si>
    <t>Euria denean laino</t>
  </si>
  <si>
    <t>El ajo comida contra siete males</t>
  </si>
  <si>
    <t>Allium cibus contra septem mala</t>
  </si>
  <si>
    <t>Baratxuria zazpi gaitzen kontrako janaria</t>
  </si>
  <si>
    <t>Dar una y tomar dos</t>
  </si>
  <si>
    <t>Dare unum capere duo</t>
  </si>
  <si>
    <t>Bat eman eta bi hartu</t>
  </si>
  <si>
    <t>Decir una cosa y hacer otra cómo acertar con gente así</t>
  </si>
  <si>
    <t>Dicere unum facere aliud quomodo recte agere cum talibus</t>
  </si>
  <si>
    <t>Bat esan eta bestea egin nola asmatu horrelakoekin</t>
  </si>
  <si>
    <t>Al vendedor solo le es necesario un ojo al comprador le faltan cien</t>
  </si>
  <si>
    <t>Venditori unus oculus sufficit emptori centum deficiunt</t>
  </si>
  <si>
    <t>Begi bat aski du saldunak eta ehun ez ditu sobera erostunak</t>
  </si>
  <si>
    <t>La espada del pusilánime tiene punta corta</t>
  </si>
  <si>
    <t>Gladius pusillanimi cuspide brevi</t>
  </si>
  <si>
    <t>Beldur denaren ezpatak punta motz</t>
  </si>
  <si>
    <t>No todo lo negro son cuervos</t>
  </si>
  <si>
    <t>Non omnia nigra sunt corvi</t>
  </si>
  <si>
    <t>Beltz guztiak ez dira beleak</t>
  </si>
  <si>
    <t>El nacido en casa pobre mejor en la propia que en la del rey</t>
  </si>
  <si>
    <t>Natus in domo paupere melior in sua quam in regia</t>
  </si>
  <si>
    <t>Bere etxe pobrea erregerena baino hobea</t>
  </si>
  <si>
    <t>En otros lugares los perros también andan descalzos</t>
  </si>
  <si>
    <t>In aliis locis canes etiam nudi pedibus ambulant</t>
  </si>
  <si>
    <t>Beste lekuetan ere txakurrak oinutsik ibiltzen dira</t>
  </si>
  <si>
    <t>La madre de los demás buena la propia la mejor</t>
  </si>
  <si>
    <t>Mater aliorum bona propria optima</t>
  </si>
  <si>
    <t>Besteren ama ona norberea askoz hobea</t>
  </si>
  <si>
    <t>Siempre comiendo y siempre delgado Demonio de fino cuello</t>
  </si>
  <si>
    <t>Semper edens semper gracilis Daemon colli tenuis</t>
  </si>
  <si>
    <t>Beti jan eta beti mehe demonio lepomehe</t>
  </si>
  <si>
    <t>El que siempre tiene hora siempre llega tarde</t>
  </si>
  <si>
    <t>Qui semper horam habet semper sero advenit</t>
  </si>
  <si>
    <t>Beti ordu duena beti berandu heldu ohi dena</t>
  </si>
  <si>
    <t>Los dos están como para ponerlos bajo un yugo</t>
  </si>
  <si>
    <t>Ambo sub iugo ponendi sunt</t>
  </si>
  <si>
    <t>Biak uztarrian jartzeko modukoak</t>
  </si>
  <si>
    <t>Se creía vivo y era imbécil</t>
  </si>
  <si>
    <t>Se vivum credebat et stultus erat</t>
  </si>
  <si>
    <t>Biboa uste eta baboa izan</t>
  </si>
  <si>
    <t>Mañana también saldrá el sol</t>
  </si>
  <si>
    <t>Cras etiam sol orietur</t>
  </si>
  <si>
    <t>Bihar ere eguzkia aterako duk</t>
  </si>
  <si>
    <t>Tienen buena vista y no se pueden ni ver</t>
  </si>
  <si>
    <t>Bonam visionem habent et se videre non possunt</t>
  </si>
  <si>
    <t>Bista ona eta elkar ezin ikusi</t>
  </si>
  <si>
    <t>Las cinco y oscuro día de matar al cerdo</t>
  </si>
  <si>
    <t>Quinta hora et obscurum dies porcum mactandi</t>
  </si>
  <si>
    <t>Bostak eta iluna txerria hiltzeko eguna</t>
  </si>
  <si>
    <t>Una herida de cinco céntimos y venda de diez céntimos</t>
  </si>
  <si>
    <t>Vulnus quinque centimorum et fascia decem centimorum</t>
  </si>
  <si>
    <t>Bost xentimoko pupua eta hamar xentimoko trapua</t>
  </si>
  <si>
    <t>Al hierro ha de golpeársele en caliente</t>
  </si>
  <si>
    <t>Ferrum calidum percuti debet</t>
  </si>
  <si>
    <t>Burdina berotan jo behar da</t>
  </si>
  <si>
    <t>El que no tiene cabeza solo le queda andar</t>
  </si>
  <si>
    <t>Qui caput non habet tantum ambulare potest</t>
  </si>
  <si>
    <t>Bururik ez duenak hankak ibili behar</t>
  </si>
  <si>
    <t>El que persiste tiene barriga grande el que desiste pie grande</t>
  </si>
  <si>
    <t>Qui persistit ventrem magnum habet qui desistit pedem magnum</t>
  </si>
  <si>
    <t>Dabilanak sabela handi dagoenak hoina handi</t>
  </si>
  <si>
    <t>Cuando hay muy bien cuando no hay aguantarse</t>
  </si>
  <si>
    <t>Cum est optime cum non est tolerare</t>
  </si>
  <si>
    <t>Dagoenean bon bon ez dagoenean egon</t>
  </si>
  <si>
    <t>Cuando hay de jauja cuando no hay a llorar</t>
  </si>
  <si>
    <t>Cum est laetitia cum non est plorare</t>
  </si>
  <si>
    <t>Dagoenean par-par ez dagoenean negar</t>
  </si>
  <si>
    <t>Lo poco que hagamos hagámoslo siempre</t>
  </si>
  <si>
    <t>Pauca quae facimus semper faciamus</t>
  </si>
  <si>
    <t>Dezagun gutxi dezagun beti</t>
  </si>
  <si>
    <t>El dinero allana las cuestas</t>
  </si>
  <si>
    <t>Pecunia clivos planat</t>
  </si>
  <si>
    <t>Diruak malkarrak zelaitzen</t>
  </si>
  <si>
    <t>El dinero buen siervo pero mal amo</t>
  </si>
  <si>
    <t>Pecunia servus bonus sed dominus malus</t>
  </si>
  <si>
    <t>Dirua morroi ona baina nagusi txarra</t>
  </si>
  <si>
    <t>Al pan pan y al vino vino</t>
  </si>
  <si>
    <t>Panis panis vinum vinum</t>
  </si>
  <si>
    <t>La verdad y la fe la ley de Ezkurra</t>
  </si>
  <si>
    <t>Veritas et fides lex Ezkurrae</t>
  </si>
  <si>
    <t>Egia eta fedea Ezkurrako legea</t>
  </si>
  <si>
    <t>No te espabiles y comerás fino aunque tengas dos sirvientas</t>
  </si>
  <si>
    <t>Non vigila et tenue edes licet duas ancillas habeas</t>
  </si>
  <si>
    <t>Egintzak lo eta jango dek mehe izan arren bi neskame</t>
  </si>
  <si>
    <t>Lluvia de mediodía lluvia para todo el día</t>
  </si>
  <si>
    <t>Pluvia meridiana pluvia toti diei</t>
  </si>
  <si>
    <t>Eguerdiko euria egun guztiko euria</t>
  </si>
  <si>
    <t>El sudor diario es el pan diario</t>
  </si>
  <si>
    <t>Sudor diurnus panis diurnus est</t>
  </si>
  <si>
    <t>Eguneroko izerdia eguneroko ogia</t>
  </si>
  <si>
    <t>Estate dormido y comerás fino</t>
  </si>
  <si>
    <t>Dormiens esto et tenue edes</t>
  </si>
  <si>
    <t>Egon hadi lo eta jango duk mehe</t>
  </si>
  <si>
    <t>Leña vieja fuego malo</t>
  </si>
  <si>
    <t>Lignum vetus ignis malus</t>
  </si>
  <si>
    <t>Egur zaharra su txarra</t>
  </si>
  <si>
    <t>El sol y la lluvia traen el arcoiris</t>
  </si>
  <si>
    <t>Sol et pluvia arcum caeli ferunt</t>
  </si>
  <si>
    <t>Eguzkia eta euria Erromako zubia</t>
  </si>
  <si>
    <t>El sol es el mismo para buenos y malos</t>
  </si>
  <si>
    <t>Sol idem est bonis et malis</t>
  </si>
  <si>
    <t>Eguzki bera on eta gaiztoentzat</t>
  </si>
  <si>
    <t>Sol y lluvia tiempo de marzo</t>
  </si>
  <si>
    <t>Sol et pluvia tempus Martii</t>
  </si>
  <si>
    <t>Eguzki eta euri martxoko eguraldi</t>
  </si>
  <si>
    <t>Nieve nievecita no te temo en casa tengo suficiente maíz y leña</t>
  </si>
  <si>
    <t>Nix nixcula non te timeo domi satis frumenti et ligni habeo</t>
  </si>
  <si>
    <t>Elur-melur ez nauk hire beldur etxean badiat nahiko arto eta egur</t>
  </si>
  <si>
    <t>La envidia era su propia enemiga</t>
  </si>
  <si>
    <t>Invidia sua ipsius hostis erat</t>
  </si>
  <si>
    <t>Enbidiosoa bere etsai osoa</t>
  </si>
  <si>
    <t>No hallarás llave que logre unir tus palabras pronunciadas</t>
  </si>
  <si>
    <t>Non invenies clavem quae verba tua prolata ligare possit</t>
  </si>
  <si>
    <t>Esandako hitzak lotzeko ez duzu giltzarik topatuko</t>
  </si>
  <si>
    <t>Gracias Mari Belasko Poca carne y mucho caldo</t>
  </si>
  <si>
    <t>Gratias Mari Belasko Pauca caro multum ius</t>
  </si>
  <si>
    <t>Eskerrik asko Mari Belasko Okela gutxi eta salda asko</t>
  </si>
  <si>
    <t>Dios no hizo iguales ni a los dedos de las manos</t>
  </si>
  <si>
    <t>Deus ne digitos quidem manus aequales fecit</t>
  </si>
  <si>
    <t>Eskuko behatzak ere ez zituen Jainkoak berdinak egin</t>
  </si>
  <si>
    <t>El cuello lleno de cencerros</t>
  </si>
  <si>
    <t>Collum plenum tintinnabulis</t>
  </si>
  <si>
    <t>Lepoa bete txintxarri</t>
  </si>
  <si>
    <t>No reza en su casa y da misa en el barrio</t>
  </si>
  <si>
    <t>Domi non orat in vico missam celebrat</t>
  </si>
  <si>
    <t>Etxean otoitzik ez egiten eta auzoan meza ematen</t>
  </si>
  <si>
    <t>El euskera en el corazón pero el castellano en los labios</t>
  </si>
  <si>
    <t>Lingua Vasconum in corde sed Hispana in labiis</t>
  </si>
  <si>
    <t>Euskara bihotzean baina erdara ezpainean</t>
  </si>
  <si>
    <t>Ni cabeza ni rabo</t>
  </si>
  <si>
    <t>Nec caput nec cauda</t>
  </si>
  <si>
    <t>Ez buru ta ez buztan</t>
  </si>
  <si>
    <t>No hay rosa sin espinas</t>
  </si>
  <si>
    <t>Non est rosa sine spinis</t>
  </si>
  <si>
    <t>Ez duk larrosik arantza gaberik</t>
  </si>
  <si>
    <t>No es eso nada nuevo</t>
  </si>
  <si>
    <t>Non est illud novum</t>
  </si>
  <si>
    <t>Ez da horixe atzo goizekoa</t>
  </si>
  <si>
    <t>Ojos que no ven corazón que no siente</t>
  </si>
  <si>
    <t>Oculi qui non vident cor quod non sentit</t>
  </si>
  <si>
    <t>Ez dakusan begirik ez ahalgerik</t>
  </si>
  <si>
    <t>No tener pelos en la lengua</t>
  </si>
  <si>
    <t>Non habere pilos in lingua</t>
  </si>
  <si>
    <t>Ez dauka horretxek mingainean herdoilik</t>
  </si>
  <si>
    <t>Todo aquel que no tiene es generoso</t>
  </si>
  <si>
    <t>Omnis qui non habet largus est</t>
  </si>
  <si>
    <t>Ez duan oro emaile hon</t>
  </si>
  <si>
    <t>No voy a la iglesia porque estoy cojo voy a la taberna porque el vino me hace bien</t>
  </si>
  <si>
    <t>Non eo ad ecclesiam quia claudus sum eo ad tabernam quia vinum mihi bene facit</t>
  </si>
  <si>
    <t>Ez naiz joaten elizara maingu naizelako joaten naiz tabernara ardoa on zaidalako</t>
  </si>
  <si>
    <t>Antes de casarte ten cuidado con lo que hagas</t>
  </si>
  <si>
    <t>Antequam nubas cave quid facias</t>
  </si>
  <si>
    <t>Ezkondu baino lehen kontu zer egiten den</t>
  </si>
  <si>
    <t>Recién casados alegría después las historias</t>
  </si>
  <si>
    <t>Nuper nupti laetitia postea narrationes</t>
  </si>
  <si>
    <t>Ezkongaietan bero kontuak gero</t>
  </si>
  <si>
    <t>Año de bellotas año de nieve</t>
  </si>
  <si>
    <t>Annus glandium annus nivis</t>
  </si>
  <si>
    <t>Ezkur urte elur urte</t>
  </si>
  <si>
    <t>La enfermedad ladrón silencioso</t>
  </si>
  <si>
    <t>Morbus fur tacitus</t>
  </si>
  <si>
    <t>Gaitza lapur isila</t>
  </si>
  <si>
    <t>No hay edad para la enfermedad</t>
  </si>
  <si>
    <t>Non est aetas pro morbo</t>
  </si>
  <si>
    <t>Gaitzarentzat ez da adinik</t>
  </si>
  <si>
    <t>Disculpad lo mal dicho y recordad lo bien dicho</t>
  </si>
  <si>
    <t>Ignoscite male dicta et memorate bene dicta</t>
  </si>
  <si>
    <t>Gaizki esanak barkatu eta ondo esanak gogoan hartu</t>
  </si>
  <si>
    <t>En casa de irresponsables caldo de mañana al atardecer</t>
  </si>
  <si>
    <t>In domo imprudentum ius matutinum ad vesperam</t>
  </si>
  <si>
    <t>Ganorabakoen etxean goizeko salda arratsean</t>
  </si>
  <si>
    <t>La victoria el final de muchos desvelos</t>
  </si>
  <si>
    <t>Victoria finis multarum vigiliarum</t>
  </si>
  <si>
    <t>Garaipena neke askoren ondorena</t>
  </si>
  <si>
    <t>La palabra hoy dicha mañana se la lleva el viento</t>
  </si>
  <si>
    <t>Verbum hodie dictum cras ventus fert</t>
  </si>
  <si>
    <t>Gaur hitza eman bihar haizeak eraman</t>
  </si>
  <si>
    <t>Dije mentira en casa y llegó a la calle antes que yo</t>
  </si>
  <si>
    <t>Mendacium dixi domi et ante me in viam pervenit</t>
  </si>
  <si>
    <t>Gezurra esan nuen etxean ni baino lehenago kalean</t>
  </si>
  <si>
    <t>Dije mentira en Getaria y llegó antes que yo al portal</t>
  </si>
  <si>
    <t>Mendacium dixi Getariae et ante me ad atrium pervenit</t>
  </si>
  <si>
    <t>Gezurra esan nuen Getarian eta ni baino lehenago zen atarian</t>
  </si>
  <si>
    <t>La mentira tiene el rabo corto</t>
  </si>
  <si>
    <t>Mendacium caudam brevem habet</t>
  </si>
  <si>
    <t>Gezurrak buztana labur</t>
  </si>
  <si>
    <t>Guillermo mañana morirás pasado mañana te enterrarán al otro día te olvidarán</t>
  </si>
  <si>
    <t>Guillerme cras morieris perendie sepelieris die sequenti oblivione traderis</t>
  </si>
  <si>
    <t>Gilen bihar hilen etzi ehortziren etzidamu ahantziren</t>
  </si>
  <si>
    <t>El hombre es hombre el gato es gatito</t>
  </si>
  <si>
    <t>Homo homo est felis feliculus est</t>
  </si>
  <si>
    <t>Gizona gizon katua mixon</t>
  </si>
  <si>
    <t>El que más arriba se encuentra es el que cacarea</t>
  </si>
  <si>
    <t>Qui altius est ille cantat</t>
  </si>
  <si>
    <t>Goien dagoenak jotzen du kukurruku</t>
  </si>
  <si>
    <t>Mañana roja tarde lluviosa</t>
  </si>
  <si>
    <t>Mane rubra vesper pluvialis</t>
  </si>
  <si>
    <t>Goiz gorri arrats euri</t>
  </si>
  <si>
    <t>A la mañana caldo de puerros al mediodía berzas fácil te cabrán los pantalones</t>
  </si>
  <si>
    <t>Mane ius porrorum meridie brassicae facile tibi bracae capient</t>
  </si>
  <si>
    <t>Goizean porrusalda eta eguerdian azak aise kabituko zaizkik ipurdian galtzak</t>
  </si>
  <si>
    <t>Nube del amanecer fuente del anochecer</t>
  </si>
  <si>
    <t>Nubes aurorae fons vesperae</t>
  </si>
  <si>
    <t>Goizeko laino gorri gaueko iturri</t>
  </si>
  <si>
    <t>Arriba nosotros y los nuestros</t>
  </si>
  <si>
    <t>Sursum nos et nostri</t>
  </si>
  <si>
    <t>Gora gu eta gutarrak</t>
  </si>
  <si>
    <t>Nosotros y nosotros y nosotros al final Gurugú los demás ganan y nosotros perdemos</t>
  </si>
  <si>
    <t>Nos et nos et nos tandem Gurugu alii vincunt nos perdimus</t>
  </si>
  <si>
    <t>Gu ta gu ta gu azkenean Gurugu besteak irabazi eta guk galdu</t>
  </si>
  <si>
    <t>Nuestro gato tiene cola larga cree que los demás también la tienen</t>
  </si>
  <si>
    <t>Felis noster caudam longam habet credit alios etiam habere</t>
  </si>
  <si>
    <t>Gure katuak buztana luze besteek hala dutela uste</t>
  </si>
  <si>
    <t>Si estás a gusto no hay cuestas</t>
  </si>
  <si>
    <t>Si bene tibi est non sunt clivi</t>
  </si>
  <si>
    <t>Gustuko lekuan aldaparik ez</t>
  </si>
  <si>
    <t>Adonde sople el viento se agita el pañuelo</t>
  </si>
  <si>
    <t>Quo ventus flat mappula agitatur</t>
  </si>
  <si>
    <t>Haizeak nora zapiak hara</t>
  </si>
  <si>
    <t>El nacido entre peñas tira a las peñas</t>
  </si>
  <si>
    <t>Natus inter rupes ad rupes tendit</t>
  </si>
  <si>
    <t>Haitzean jaioak haitzera nahi</t>
  </si>
  <si>
    <t>Vaya par tú uno y yo otro</t>
  </si>
  <si>
    <t>Ecce par tu unus ego alius</t>
  </si>
  <si>
    <t>Hara bi zu bat eta beste ni</t>
  </si>
  <si>
    <t>Las piedras no tienen ojos</t>
  </si>
  <si>
    <t>Lapides oculos non habent</t>
  </si>
  <si>
    <t>Harriak ez du begirik</t>
  </si>
  <si>
    <t>El rápido cobrador es mal pagador</t>
  </si>
  <si>
    <t>Collector celer solutor malus</t>
  </si>
  <si>
    <t>Hartzaile bizkor emaile koxkor</t>
  </si>
  <si>
    <t>Rápido en cobrar y tonto al pagar</t>
  </si>
  <si>
    <t>Celer colligere stultus solvere</t>
  </si>
  <si>
    <t>Hartzeko pronto eta emateko tonto</t>
  </si>
  <si>
    <t>El grande siempre tiene razón el pequeño jamás</t>
  </si>
  <si>
    <t>Magnus semper rationem habet parvus numquam</t>
  </si>
  <si>
    <t>Handia beti legez txikia behin ere ez</t>
  </si>
  <si>
    <t>El que no tiene niños no tiene buen recibimiento</t>
  </si>
  <si>
    <t>Qui liberos non habet non habet bonam receptionem</t>
  </si>
  <si>
    <t>Haurrik ez duanak ez haur abegirik</t>
  </si>
  <si>
    <t>El ave para el aire el hombre para el trabajo</t>
  </si>
  <si>
    <t>Avis aeri homo labori</t>
  </si>
  <si>
    <t>Hegaztia airerako gizona lanerako</t>
  </si>
  <si>
    <t>Viento sur viento de locos</t>
  </si>
  <si>
    <t>Ventus australis ventus insanorum</t>
  </si>
  <si>
    <t>Hego haizea ero haizea</t>
  </si>
  <si>
    <t>Tú también estarías presente en la mesa donde se repartió la envidia</t>
  </si>
  <si>
    <t>Tu quoque in mensa ubi invidia distributa est praesens eras</t>
  </si>
  <si>
    <t>Hi ere inbidia partitu zen mahaian izango hintzen</t>
  </si>
  <si>
    <t>Vete a herrar gansos</t>
  </si>
  <si>
    <t>Vade anseres ferrare</t>
  </si>
  <si>
    <t>Hoa antzarrak perratzera</t>
  </si>
  <si>
    <t>Mejor uno en mano que dos en el barrio</t>
  </si>
  <si>
    <t>Melius unus in manu quam duo in vico</t>
  </si>
  <si>
    <t>Mejor ir a pie y a lo seguro que a caballo y al hoyo</t>
  </si>
  <si>
    <t>Melius pedibus et secure quam equo et ad foveam</t>
  </si>
  <si>
    <t>Hobe da oinez eta segurura eta ez zaldiz eta zulora</t>
  </si>
  <si>
    <t>Ahí te las compongas muchachote</t>
  </si>
  <si>
    <t>Ibi tibi compone iuvenis</t>
  </si>
  <si>
    <t>Hor konpon Marianton</t>
  </si>
  <si>
    <t>Comprar el yugo antes de comprar los bueyes</t>
  </si>
  <si>
    <t>Emere iugum antequam boves emere</t>
  </si>
  <si>
    <t>Uztarria erosi idiak erosi aurretik</t>
  </si>
  <si>
    <t>Parrandero de noche sueño a la mañana</t>
  </si>
  <si>
    <t>Comissator nocte somnus mane</t>
  </si>
  <si>
    <t>Ibiltari gauean logale goizean</t>
  </si>
  <si>
    <t>Idiazabal la puerta celestial abierta</t>
  </si>
  <si>
    <t>Idiazabal porta caelestis aperta</t>
  </si>
  <si>
    <t>Idiazabal zeruko ateak zabal</t>
  </si>
  <si>
    <t>Luna y niebla ambiente de brujas</t>
  </si>
  <si>
    <t>Luna et nebula aer sagarum</t>
  </si>
  <si>
    <t>Ilargi eta laino sorginentzat giro</t>
  </si>
  <si>
    <t>Es mejor que se quede en blanco el pelo que la mente</t>
  </si>
  <si>
    <t>Melius est ut capillus albescat quam mens</t>
  </si>
  <si>
    <t>Ilea zuritzea hobe da burua baino</t>
  </si>
  <si>
    <t>El que está callado no miente</t>
  </si>
  <si>
    <t>Qui tacet non mentitur</t>
  </si>
  <si>
    <t>Callados hasta que la gallina mee</t>
  </si>
  <si>
    <t>Taciti donec gallina mingat</t>
  </si>
  <si>
    <t>Isilik oiloak pixa egin arte</t>
  </si>
  <si>
    <t>Del nombre al ser hay un puente</t>
  </si>
  <si>
    <t>A nomine ad esse pons est</t>
  </si>
  <si>
    <t>Come y duerme y gordito</t>
  </si>
  <si>
    <t>Ede et dormi et pinguis</t>
  </si>
  <si>
    <t>Janda lo ta potolo</t>
  </si>
  <si>
    <t>Dios único y el suficiente</t>
  </si>
  <si>
    <t>Deus unus et ipse sufficiens</t>
  </si>
  <si>
    <t>Jainkoa bat eta bera nahikoa</t>
  </si>
  <si>
    <t>Dios el que está por encima de todas las cosas</t>
  </si>
  <si>
    <t>Deus qui super omnia est</t>
  </si>
  <si>
    <t>Jainkoa gauza guztien gainekoa</t>
  </si>
  <si>
    <t>No se puede fiar con los santos que comen</t>
  </si>
  <si>
    <t>Non fidendum est sanctis qui edunt</t>
  </si>
  <si>
    <t>Jaten duten santuekin ez dago fidatzerik</t>
  </si>
  <si>
    <t>Jesús María y José siempre comiendo y siempre hambriento</t>
  </si>
  <si>
    <t>Iesus Maria et Ioseph semper edentes semper esurientes</t>
  </si>
  <si>
    <t>Jesus Maria eta Jose beti jan eta beti gose</t>
  </si>
  <si>
    <t>El que no quiera escuchar la campana que no mueva la cuerda</t>
  </si>
  <si>
    <t>Qui campanam audire non vult funem non moveat</t>
  </si>
  <si>
    <t>Kanpaia nahi ez duenak aditu ez dezala soka mugitu</t>
  </si>
  <si>
    <t>En la casa donde no hay gatos los ratones bailan</t>
  </si>
  <si>
    <t>In domo ubi feles non sunt mures saltant</t>
  </si>
  <si>
    <t>Katurik ez dagoen etxean saguak dantzan</t>
  </si>
  <si>
    <t>Labor facillimus imperare</t>
  </si>
  <si>
    <t>El trabajo rápido trabajo baldío</t>
  </si>
  <si>
    <t>Labor celer labor vanus</t>
  </si>
  <si>
    <t>Lan lasterra lan alferra</t>
  </si>
  <si>
    <t>Antes así ahora asá luego quién sabrá</t>
  </si>
  <si>
    <t>Olim sic nunc sic postea quis sciet</t>
  </si>
  <si>
    <t>Lehen hala orain hola gero ez jakin nola</t>
  </si>
  <si>
    <t>La tierra lo cría y la tierra se lo come</t>
  </si>
  <si>
    <t>Terra nutrit et terra comedit</t>
  </si>
  <si>
    <t>Lurrak hazi eta lurrak jan</t>
  </si>
  <si>
    <t>María trueno en Orio y lluvia en Markina</t>
  </si>
  <si>
    <t>Maria tonitru in Orio et pluvia in Markina</t>
  </si>
  <si>
    <t>Maria Orion trumoia eta Markinan euria</t>
  </si>
  <si>
    <t>La esposa del marinero esposada a la mañana viuda al atardecer</t>
  </si>
  <si>
    <t>Uxor nautae mane coniugata vespere vidua</t>
  </si>
  <si>
    <t>Marinelaren emaztea goizean senardun arratsean alargun</t>
  </si>
  <si>
    <t>El médico te limpia el cuerpo el cura el alma el abogado el bolsillo</t>
  </si>
  <si>
    <t>Medicus corpus purgat sacerdos animam advocatus crumenam</t>
  </si>
  <si>
    <t>Medikuak gorputza garbitu apaizak arima abokatuak poltsa</t>
  </si>
  <si>
    <t>En el mundo se desperdician tres cosas la razón del pobre la buena madera del monte y la fuerza del vago</t>
  </si>
  <si>
    <t>In mundo tria perduntur gratis ratio pauperis lignum bonum montis et vis pigri</t>
  </si>
  <si>
    <t>Munduan hiru gauza galtzen dira alferrik pobrearen arrazoia mendiko egur igarra eta alferraren indarra</t>
  </si>
  <si>
    <t>El que quiera vivir largamente que se acueste con las gallinas y se levante con los pájaros</t>
  </si>
  <si>
    <t>Qui diu vivere vult cum gallinis cubet et cum avibus surgat</t>
  </si>
  <si>
    <t>Munduan nahi duenak luzaroan bizi oiloekin ohera eta txoriekin jaiki</t>
  </si>
  <si>
    <t>Donde esté mi voluntad allí mi pie</t>
  </si>
  <si>
    <t>Ubi mea voluntas ibi meus pes</t>
  </si>
  <si>
    <t>Non nire gogoa han nire zangoa</t>
  </si>
  <si>
    <t>De cómo sea el sonido así será la danza</t>
  </si>
  <si>
    <t>Qualis sonus talis saltatio</t>
  </si>
  <si>
    <t>Nola soinu hala dantza</t>
  </si>
  <si>
    <t>De dónde vienes al monte voy</t>
  </si>
  <si>
    <t>Unde venis ad montem vado</t>
  </si>
  <si>
    <t>Nondik zatoz mendira noa</t>
  </si>
  <si>
    <t>Ni el lobo come de su propia carne</t>
  </si>
  <si>
    <t>Nec lupus carnem suam comedit</t>
  </si>
  <si>
    <t>Otsoak ere ez du bere haragirik jaten</t>
  </si>
  <si>
    <t>Al pan duro comillo afilado</t>
  </si>
  <si>
    <t>Pani duro dens acutus</t>
  </si>
  <si>
    <t>Ogi gogorrari hagin zorrotza</t>
  </si>
  <si>
    <t>Oiartzun Las paredes viejas responden</t>
  </si>
  <si>
    <t>Oiartzun parietes veteres respondent</t>
  </si>
  <si>
    <t>Oiartzun pareta zaharrak erantzun</t>
  </si>
  <si>
    <t>No querer andar a pie no venir nadie a caballo</t>
  </si>
  <si>
    <t>Nolui pedibus ambulare nemo equo venire</t>
  </si>
  <si>
    <t>Oinezkorik nahi ez zaldikorik etorri ez</t>
  </si>
  <si>
    <t>Que os haga bien la comida y ningún mal la bebida</t>
  </si>
  <si>
    <t>Bene vobis faciat cibus et nullum malum potus</t>
  </si>
  <si>
    <t>On egin deizuela janak eta kalterik ez edanak</t>
  </si>
  <si>
    <t>Al dormir bien la salud va bien</t>
  </si>
  <si>
    <t>Bene dormiendo sanitas bene procedit</t>
  </si>
  <si>
    <t>Ongi eginez gero loa osasuna ongi doa</t>
  </si>
  <si>
    <t>Pecado leve es aquel que uno mismo comete</t>
  </si>
  <si>
    <t>Peccatum leve est quod ipse committit</t>
  </si>
  <si>
    <t>Pekatu arina norberak egina</t>
  </si>
  <si>
    <t>El caramelo de la pena la esperanza</t>
  </si>
  <si>
    <t>Caramela doloris spes</t>
  </si>
  <si>
    <t>Penaren karameloa esperantza</t>
  </si>
  <si>
    <t>El día de Santa Lucía las noches se acortan y los días se alargan</t>
  </si>
  <si>
    <t>Die Sanctae Luciae noctes breviores dies longiores</t>
  </si>
  <si>
    <t>Santa Luzi gaua moztu eta eguna hazi</t>
  </si>
  <si>
    <t>De dos cosas que escucha el zarzal una es mentira</t>
  </si>
  <si>
    <t>De duobus quae dumus audit unum mendacium est</t>
  </si>
  <si>
    <t>Sasiak entzuna bitik bat gezurra</t>
  </si>
  <si>
    <t>Segura mueren muchos y pocos van al cielo</t>
  </si>
  <si>
    <t>Segura multi moriuntur pauci ad caelum eunt</t>
  </si>
  <si>
    <t>Segura asko hil eta gutxi zerura</t>
  </si>
  <si>
    <t>En casa del acordeonista todos bailarines</t>
  </si>
  <si>
    <t>In domo organistrarii omnes saltatores</t>
  </si>
  <si>
    <t>Soinugilearen etxean oro dantzari</t>
  </si>
  <si>
    <t>El que tiene dinero que lo cuente el que tenga alegría que cante</t>
  </si>
  <si>
    <t>Qui pecuniam habet numeret qui laetitiam habet cantet</t>
  </si>
  <si>
    <t>Sosa duenak kontatu poza duenak kantatu</t>
  </si>
  <si>
    <t>El fuego y el agua mejor de rodilla para abajo</t>
  </si>
  <si>
    <t>Ignis et aqua melius a genu deorsum</t>
  </si>
  <si>
    <t>Sua eta ura belaunetik behera</t>
  </si>
  <si>
    <t>No hay humo si no hay fuego</t>
  </si>
  <si>
    <t>Non est fumus si non est ignis</t>
  </si>
  <si>
    <t>Su gaberik ezta kerik</t>
  </si>
  <si>
    <t>Ese tiene menos cabeza que un petirrojo</t>
  </si>
  <si>
    <t>Ille minus capitis habet quam rubecula</t>
  </si>
  <si>
    <t>Txantxangorriak baino buru behiago ez dik horrek</t>
  </si>
  <si>
    <t>No poder cubrir dos cabezas con una boina</t>
  </si>
  <si>
    <t>Non posse duo capita uno pilleo tegere</t>
  </si>
  <si>
    <t>Txapel batekin bi buru ezin estali</t>
  </si>
  <si>
    <t>Con la boina en la cabeza y anda por el mundo</t>
  </si>
  <si>
    <t>Cum pileo in capite et ambulat per mundum</t>
  </si>
  <si>
    <t>Txapela buruan eta ibili munduan</t>
  </si>
  <si>
    <t>Cuanto más sube un mono por el árbol más al descubierto está su culo</t>
  </si>
  <si>
    <t>Quo altius simia arborem ascendit eo magis podex eius apparet</t>
  </si>
  <si>
    <t>Tximinoa arbolan gorago haren ipurdia ageriago</t>
  </si>
  <si>
    <t>Relámpago grande y poca lluvia</t>
  </si>
  <si>
    <t>Fulmen magnum et pluvia parva</t>
  </si>
  <si>
    <t>Tximist haundi eta euri gitxi</t>
  </si>
  <si>
    <t>El pájaro también da toda la sangre que tiene</t>
  </si>
  <si>
    <t>Avis etiam omnem sanguinem quem habet dat</t>
  </si>
  <si>
    <t>Txoriak ere duen hainbat odol ematen du</t>
  </si>
  <si>
    <t>Un trago dos tragos para cuando te das cuenta voltereta</t>
  </si>
  <si>
    <t>Haustus unus haustus duo antequam scias eversio</t>
  </si>
  <si>
    <t>Txurrut bat txurrut bi konturatzeke zilipurdi</t>
  </si>
  <si>
    <t>Pedir oro y dar poco</t>
  </si>
  <si>
    <t>Aurum petere et parum dare</t>
  </si>
  <si>
    <t>Urrea esan eta urria eman</t>
  </si>
  <si>
    <t>La olla lejana de oro tan pronto nos acercamos de tierra</t>
  </si>
  <si>
    <t>Olla remota ex auro mox appropinquamus ex terra</t>
  </si>
  <si>
    <t>Urruneko eltzea urrez gerturatu orduko lurrez</t>
  </si>
  <si>
    <t>Las nueces de lejos catorce acercarse y cuatro</t>
  </si>
  <si>
    <t>Nuces remotae quattuordecim appropinquare et quattuor</t>
  </si>
  <si>
    <t>Urrutiko intxaurrak hamalau gerturatu ta lau</t>
  </si>
  <si>
    <t>Por muchos años con la boina sobre la cabeza</t>
  </si>
  <si>
    <t>Per multos annos cum pileo super capite</t>
  </si>
  <si>
    <t>Urte askoan txapela kaskoan</t>
  </si>
  <si>
    <t>Las creencias no son certezas</t>
  </si>
  <si>
    <t>Opiniones non sunt certitudines</t>
  </si>
  <si>
    <t>Usteak erdia ustel</t>
  </si>
  <si>
    <t>Deja en paz al que está en paz</t>
  </si>
  <si>
    <t>Sine in pace eum qui in pace est</t>
  </si>
  <si>
    <t>Utzi bakean bakean dagoenari</t>
  </si>
  <si>
    <t>Palabra vieja palabra sabia</t>
  </si>
  <si>
    <t>Verbum vetus verbum sapiens</t>
  </si>
  <si>
    <t>Zahar hitz zuhur hitz</t>
  </si>
  <si>
    <t>Es lo mismo decir a un viejo que vaya rápido que a un niño que se esté quieto</t>
  </si>
  <si>
    <t>Idem est dicere seni ut celeriter eat et puero ut quiescat</t>
  </si>
  <si>
    <t>Zaharrari azkar joateko eta haurrari geldi egoteko esatea berdin da</t>
  </si>
  <si>
    <t>Irse caballo y volver mula</t>
  </si>
  <si>
    <t>Ire equo et redire mulus</t>
  </si>
  <si>
    <t>Zaldia joan ta mando etorri</t>
  </si>
  <si>
    <t>El mejor perro el de casa la mejor esposa la del vecino</t>
  </si>
  <si>
    <t>Canis optimus domesticus uxor optima vicini</t>
  </si>
  <si>
    <t>Zakurrik onena etxekoa emaztea auzokoa</t>
  </si>
  <si>
    <t>De zapatos blancos de papel cuando llueve no queda nada</t>
  </si>
  <si>
    <t>Calcei albi ex papyro cum pluit nihil remanet</t>
  </si>
  <si>
    <t>Zapata zuriak paperez euria denean batere ez</t>
  </si>
  <si>
    <t>En el diente en que hay dolor ahí está la lengua</t>
  </si>
  <si>
    <t>In dente ubi dolor est ibi lingua est</t>
  </si>
  <si>
    <t>Zein haginetan den mina han da mihina</t>
  </si>
  <si>
    <t>Cuanto más alto el culo más baja la cabeza</t>
  </si>
  <si>
    <t>Quo altius podex eo humilior caput</t>
  </si>
  <si>
    <t>Zenbat eta ipurdia gorago orduan eta burua beherago</t>
  </si>
  <si>
    <t>Hay tantas opiniones como cabezas</t>
  </si>
  <si>
    <t>Tot sunt sententiae quot capita</t>
  </si>
  <si>
    <t>Zenbat buru hainbat aburu</t>
  </si>
  <si>
    <t>Qué haremos pues Vivir hasta morir</t>
  </si>
  <si>
    <t>Quid ergo faciemus Vivere usque ad mortem</t>
  </si>
  <si>
    <t>Zer egingo diagu ba Hil arte bizi</t>
  </si>
  <si>
    <t>Qué tal estás Mejor están los curas</t>
  </si>
  <si>
    <t>Quomodo vales Melius sacerdotes valent</t>
  </si>
  <si>
    <t>Zer Moduz Apaizak hobeto</t>
  </si>
  <si>
    <t>El mirlo le llama al cuervo culonegro</t>
  </si>
  <si>
    <t>Merula corvo podicem nigrum vocat</t>
  </si>
  <si>
    <t>Zozoak beleari ipurbeltz</t>
  </si>
  <si>
    <t>Zugarramurdi pueblo de brujas</t>
  </si>
  <si>
    <t>Zugarramurdi oppidum sagarum</t>
  </si>
  <si>
    <t>Zugarramurdi sorgin herri</t>
  </si>
  <si>
    <t>Lo que tú digas y el renqueo de un perro valen igual</t>
  </si>
  <si>
    <t>Quod tu dicas et claudicatio canis aeque valent</t>
  </si>
  <si>
    <t>Zure esana eta txakurraren errena berdin</t>
  </si>
  <si>
    <t>Las fiestas la parte delantera más hermosa que la trasera</t>
  </si>
  <si>
    <t>Festae pars anterior pulchrior quam posterior</t>
  </si>
  <si>
    <t>Festak aurrea ederrago du atzea baino</t>
  </si>
  <si>
    <t>Más vale estar solo que mal acompañado</t>
  </si>
  <si>
    <t>Melius est solum esse quam male comitatum</t>
  </si>
  <si>
    <t>Perro ladrador poco mordedor</t>
  </si>
  <si>
    <t>Canis latrator parum mordax</t>
  </si>
  <si>
    <t>A lo hecho pecho</t>
  </si>
  <si>
    <t>Factis pectus</t>
  </si>
  <si>
    <t>Al mal tiempo buena cara</t>
  </si>
  <si>
    <t>Tempori malo facies bona</t>
  </si>
  <si>
    <t>Cada loco con su tema</t>
  </si>
  <si>
    <t>Unusquisque demens cum suo themate</t>
  </si>
  <si>
    <t>De tal palo tal astilla</t>
  </si>
  <si>
    <t>De tali ligno talis assula</t>
  </si>
  <si>
    <t>El que la hace la paga</t>
  </si>
  <si>
    <t>Qui facit solvit</t>
  </si>
  <si>
    <t>Dinero llama dinero</t>
  </si>
  <si>
    <t>Pecunia pecuniam vocat</t>
  </si>
  <si>
    <t>El mundo es un pañuelo</t>
  </si>
  <si>
    <t>Mundus mappula est</t>
  </si>
  <si>
    <t>A la tercera va la vencida</t>
  </si>
  <si>
    <t>Tertio vice victoria</t>
  </si>
  <si>
    <t>Cada oveja con su pareja</t>
  </si>
  <si>
    <t>Unusquisque ovis cum suo pari</t>
  </si>
  <si>
    <t>Más vale prevenir que lamentar</t>
  </si>
  <si>
    <t>Melius est praevenire quam lamentari</t>
  </si>
  <si>
    <t>Más vale tarde que nunca</t>
  </si>
  <si>
    <t>Melius tarde quam numquam</t>
  </si>
  <si>
    <t>Al que madruga Dios lo ayuda</t>
  </si>
  <si>
    <t>Deus adiuvat qui mane surgit</t>
  </si>
  <si>
    <t>El que calla otorga</t>
  </si>
  <si>
    <t>Qui tacet consentit</t>
  </si>
  <si>
    <t>Amor con hambre no dura</t>
  </si>
  <si>
    <t>Amor cum fame non durat</t>
  </si>
  <si>
    <t>Tira la piedra y esconde la mano</t>
  </si>
  <si>
    <t>Lapidem iacit et manum occultat</t>
  </si>
  <si>
    <t>El que ríe el último ríe mejor</t>
  </si>
  <si>
    <t>Qui ultimus ridet melius ridet</t>
  </si>
  <si>
    <t>El hábito no hace al monje</t>
  </si>
  <si>
    <t>Habitus monachum non facit</t>
  </si>
  <si>
    <t>A palabras necias oídos sordos</t>
  </si>
  <si>
    <t>Verbis stultis aures surdae</t>
  </si>
  <si>
    <t>Crea fama y acuéstate a dormir</t>
  </si>
  <si>
    <t>Famam crea et dormi</t>
  </si>
  <si>
    <t>Del dicho al hecho hay mucho trecho</t>
  </si>
  <si>
    <t>A dicto ad factum multum spatium</t>
  </si>
  <si>
    <t>Dios aprieta pero no ahorca</t>
  </si>
  <si>
    <t>Deus premit sed non strangulat</t>
  </si>
  <si>
    <t>Donde fueres haz lo que vieres</t>
  </si>
  <si>
    <t>Ubi fueris fac quod videris</t>
  </si>
  <si>
    <t>Quien mucho abarca poco aprieta</t>
  </si>
  <si>
    <t>Qui multum amplectitur parum stringit</t>
  </si>
  <si>
    <t>Hombre precavido vale por dos</t>
  </si>
  <si>
    <t>Homo cautus valet pro duobus</t>
  </si>
  <si>
    <t>Preguntando se llega a Roma</t>
  </si>
  <si>
    <t>Interrogando Romam pervenitur</t>
  </si>
  <si>
    <t>Zapatero a sus zapatos</t>
  </si>
  <si>
    <t>Sutor ad sua calceos</t>
  </si>
  <si>
    <t>Una golondrina no hace verano</t>
  </si>
  <si>
    <t>Una hirundo non facit ver</t>
  </si>
  <si>
    <t>Obras son amores y no buenas razones</t>
  </si>
  <si>
    <t>Opera sunt amores non bonae rationes</t>
  </si>
  <si>
    <t>Mucho ruido y pocas nueces</t>
  </si>
  <si>
    <t>Multus strepitus et paucae nuces</t>
  </si>
  <si>
    <t>En la variedad está el gusto</t>
  </si>
  <si>
    <t>In varietate voluptas</t>
  </si>
  <si>
    <t>Tanto tienes tanto vales</t>
  </si>
  <si>
    <t>Quantum habes tantum vales</t>
  </si>
  <si>
    <t>Nadie es profeta en su tierra</t>
  </si>
  <si>
    <t>Nemo propheta in patria sua</t>
  </si>
  <si>
    <t>Dónde va Vicente Donde va la gente</t>
  </si>
  <si>
    <t>Quo Vincentius it quo turba it</t>
  </si>
  <si>
    <t>Dios los cría y ellos se juntan</t>
  </si>
  <si>
    <t>Deus eos creat et ipsi se coniungunt</t>
  </si>
  <si>
    <t>El que espera desespera</t>
  </si>
  <si>
    <t>Qui exspectat desperat</t>
  </si>
  <si>
    <t>Escoba nueva barre bien</t>
  </si>
  <si>
    <t>Scopa nova bene verrit</t>
  </si>
  <si>
    <t>No hay mal que dure cien años</t>
  </si>
  <si>
    <t>Non est malum quod centum annos duret</t>
  </si>
  <si>
    <t>Guerra avisada no mata soldados</t>
  </si>
  <si>
    <t>Bellum praemonitum milites non occidit</t>
  </si>
  <si>
    <t>La fe mueve montañas</t>
  </si>
  <si>
    <t>Fides montes movet</t>
  </si>
  <si>
    <t>El que no la debe no la teme</t>
  </si>
  <si>
    <t>Qui non debet non timet</t>
  </si>
  <si>
    <t>Perro que ladra no muerde</t>
  </si>
  <si>
    <t>Canis qui latrat non mordet</t>
  </si>
  <si>
    <t>Si te he visto no me acuerdo</t>
  </si>
  <si>
    <t>Si te vidi non memini</t>
  </si>
  <si>
    <t>No hay mal que por bien no venga</t>
  </si>
  <si>
    <t>Non est malum quod in bonum non veniat</t>
  </si>
  <si>
    <t>Si así llueve que no escampe</t>
  </si>
  <si>
    <t>Si sic pluit ne serenescat</t>
  </si>
  <si>
    <t>Querer es poder</t>
  </si>
  <si>
    <t>Velle est posse</t>
  </si>
  <si>
    <t>Loro viejo no aprende a hablar</t>
  </si>
  <si>
    <t>Psittacus vetus loqui non discit</t>
  </si>
  <si>
    <t>Más vale maña que fuerza</t>
  </si>
  <si>
    <t>Melius ars quam vis</t>
  </si>
  <si>
    <t>El papel aguanta todo</t>
  </si>
  <si>
    <t>Charta omnia sustinet</t>
  </si>
  <si>
    <t>Barriga llena corazón contento</t>
  </si>
  <si>
    <t>Venter plenus cor contentum</t>
  </si>
  <si>
    <t>Casa de herrero cuchillo de palo</t>
  </si>
  <si>
    <t>Poco a poco se anda lejos</t>
  </si>
  <si>
    <t>Paulatim longe ambulatur</t>
  </si>
  <si>
    <t>Malos ojos son cariño</t>
  </si>
  <si>
    <t>Mali oculi sunt affectus</t>
  </si>
  <si>
    <t>Lo cortés no quita lo valiente</t>
  </si>
  <si>
    <t>Urbanitas fortitudinem non tollit</t>
  </si>
  <si>
    <t>A otro perro con ese hueso</t>
  </si>
  <si>
    <t>Alteri cani cum illo osse</t>
  </si>
  <si>
    <t>Contigo pan y cebolla</t>
  </si>
  <si>
    <t>Tecum panis et cepa</t>
  </si>
  <si>
    <t>Jaula nueva pájaro muerto</t>
  </si>
  <si>
    <t>Cavea nova avis mortua</t>
  </si>
  <si>
    <t>Nunca es tarde si la dicha es buena</t>
  </si>
  <si>
    <t>Numquam serum si felicitas bona est</t>
  </si>
  <si>
    <t>Sarna con gusto no pica</t>
  </si>
  <si>
    <t>Scabies cum voluptate non prurit</t>
  </si>
  <si>
    <t>Quien tiene boca se equivoca</t>
  </si>
  <si>
    <t>Qui os habet errat</t>
  </si>
  <si>
    <t>El poeta nace no se hace</t>
  </si>
  <si>
    <t>Poeta nascitur non fit</t>
  </si>
  <si>
    <t>Haz bien y no mires a quien</t>
  </si>
  <si>
    <t>Fac bene et non spectes cui</t>
  </si>
  <si>
    <t>El que se excusa se acusa</t>
  </si>
  <si>
    <t>Qui se excusat se accusat</t>
  </si>
  <si>
    <t>El pez grande se come al chico</t>
  </si>
  <si>
    <t>Piscis magnus parvum comedit</t>
  </si>
  <si>
    <t>Lo barato sale caro</t>
  </si>
  <si>
    <t>Vile caro exit</t>
  </si>
  <si>
    <t>A rey muerto rey puesto</t>
  </si>
  <si>
    <t>Rege mortuo rex positus</t>
  </si>
  <si>
    <t>Para muestra un botón</t>
  </si>
  <si>
    <t>Ad exemplum unus globulus</t>
  </si>
  <si>
    <t>Se dice el pecado mas no el pecador</t>
  </si>
  <si>
    <t>Dicitur peccatum sed non peccator</t>
  </si>
  <si>
    <t>Mucho donaire causa desaire</t>
  </si>
  <si>
    <t>Multus lepor causat offensam</t>
  </si>
  <si>
    <t>Hoy por ti mañana por mí</t>
  </si>
  <si>
    <t>Hodie pro te cras pro me</t>
  </si>
  <si>
    <t>El que busca encuentra</t>
  </si>
  <si>
    <t>Qui quaerit invenit</t>
  </si>
  <si>
    <t>Quien se pica ajos come</t>
  </si>
  <si>
    <t>Qui se pungit allia comedit</t>
  </si>
  <si>
    <t>Gota a gota la mar se agota</t>
  </si>
  <si>
    <t>Gutta ad guttam mare exhaustum</t>
  </si>
  <si>
    <t>Hierba mala nunca muere</t>
  </si>
  <si>
    <t>Herba mala numquam moritur</t>
  </si>
  <si>
    <t>El tiempo es oro</t>
  </si>
  <si>
    <t>Tempus aurum est</t>
  </si>
  <si>
    <t>Ojo por ojo diente por diente</t>
  </si>
  <si>
    <t>Oculus pro oculo dens pro dente</t>
  </si>
  <si>
    <t>Quien canta su mal espanta</t>
  </si>
  <si>
    <t>Qui cantat malum suum fugat</t>
  </si>
  <si>
    <t>Del árbol caído todos hacen leña</t>
  </si>
  <si>
    <t>De arbore cadente omnes ligna faciunt</t>
  </si>
  <si>
    <t>El que a hierro mata a hierro muere</t>
  </si>
  <si>
    <t>Qui ferro occidit ferro moritur</t>
  </si>
  <si>
    <t>Piensa mal y acertarás</t>
  </si>
  <si>
    <t>Cogita male et recte ages</t>
  </si>
  <si>
    <t>Por la boca muere el pez</t>
  </si>
  <si>
    <t>Per os moritur piscis</t>
  </si>
  <si>
    <t>La excepción hace la regla</t>
  </si>
  <si>
    <t>Exceptio regulam confirmat</t>
  </si>
  <si>
    <t>Como se vive se muere</t>
  </si>
  <si>
    <t>Ut vivitur ita moritur</t>
  </si>
  <si>
    <t>Un clavo saca otro clavo</t>
  </si>
  <si>
    <t>Clavus clavum pellit</t>
  </si>
  <si>
    <t>Mañana será otro día</t>
  </si>
  <si>
    <t>Cras alius dies erit</t>
  </si>
  <si>
    <t>Decir refranes es decir verdades</t>
  </si>
  <si>
    <t>Proverbia dicere veritates dicere est</t>
  </si>
  <si>
    <t>No hay quinto malo</t>
  </si>
  <si>
    <t>Non est quintus malus</t>
  </si>
  <si>
    <t>La intención es lo que cuenta</t>
  </si>
  <si>
    <t>Intentio est quod valet</t>
  </si>
  <si>
    <t>La música amansa las fieras</t>
  </si>
  <si>
    <t>Musica feras mansuefacit</t>
  </si>
  <si>
    <t>Más claro no canta un gallo</t>
  </si>
  <si>
    <t>Clarius gallus non cantat</t>
  </si>
  <si>
    <t>El casado casa quiere</t>
  </si>
  <si>
    <t>Coniugatus domum vult</t>
  </si>
  <si>
    <t>A mala vida mala muerte</t>
  </si>
  <si>
    <t>Ad malam vitam mala mors</t>
  </si>
  <si>
    <t>Caras vemos corazones no sabemos</t>
  </si>
  <si>
    <t>Facies videmus corda nescimus</t>
  </si>
  <si>
    <t>Cría cuervos y te sacarán los ojos</t>
  </si>
  <si>
    <t>Nutri corvos et oculos tibi eruent</t>
  </si>
  <si>
    <t>Matar pulgas a balazos</t>
  </si>
  <si>
    <t>Pulices bombardis occidere</t>
  </si>
  <si>
    <t>Más sabe el diablo por viejo que por diablo</t>
  </si>
  <si>
    <t>Plus scit diabolus quia senex quam quia diabolus</t>
  </si>
  <si>
    <t>Agua que no has de beber déjala correr</t>
  </si>
  <si>
    <t>Aquam quam non bibes sine currere</t>
  </si>
  <si>
    <t>No es oro todo lo que reluce</t>
  </si>
  <si>
    <t>Non omne quod nitet aurum est</t>
  </si>
  <si>
    <t>A falta de pan buenas son tortas</t>
  </si>
  <si>
    <t>Defectu panis bonae sunt placentae</t>
  </si>
  <si>
    <t>A llorar al valle</t>
  </si>
  <si>
    <t>Ad plorandum ad vallem</t>
  </si>
  <si>
    <t>La cabra siempre tira al monte</t>
  </si>
  <si>
    <t>Capra semper ad montem tendit</t>
  </si>
  <si>
    <t>Vísteme despacio que tengo prisa</t>
  </si>
  <si>
    <t>Vesti me tarde quia festino</t>
  </si>
  <si>
    <t>Unos tienen la fama y otros cardan la lana</t>
  </si>
  <si>
    <t>Alii famam habent alii lanam cardant</t>
  </si>
  <si>
    <t>Siempre pagan justos por pecadores</t>
  </si>
  <si>
    <t>Semper iusti pro peccatoribus solvunt</t>
  </si>
  <si>
    <t>Primero es la obligación que la devoción</t>
  </si>
  <si>
    <t>Prius est obligatio quam devotio</t>
  </si>
  <si>
    <t>Por un perro que maté mataperros me llamaron</t>
  </si>
  <si>
    <t>Pro uno cane quem occidi canioccisor vocatus sum</t>
  </si>
  <si>
    <t>Nunca digas de este agua no beberé</t>
  </si>
  <si>
    <t>Numquam dicas ex hac aqua non bibam</t>
  </si>
  <si>
    <t>No se hizo la miel para la boca del asno</t>
  </si>
  <si>
    <t>Non facta est mel ori asini</t>
  </si>
  <si>
    <t>No vendas la piel antes de cazar al oso</t>
  </si>
  <si>
    <t>Ne vendas pellem antequam ursum capias</t>
  </si>
  <si>
    <t>El que roba a un ladrón tiene cien años de perdón</t>
  </si>
  <si>
    <t>Qui furem spoliat centum annos veniae habet</t>
  </si>
  <si>
    <t>El que se pica ajos come</t>
  </si>
  <si>
    <t>Castellano fino el pan pan y el vino vino</t>
  </si>
  <si>
    <t>Castellanus elegans panis panis vinum vinum</t>
  </si>
  <si>
    <t>Cada maestrillo tiene su librillo</t>
  </si>
  <si>
    <t>Unusquisque magister suum libellum habet</t>
  </si>
  <si>
    <t>A grandes males grandes remedios</t>
  </si>
  <si>
    <t>Magnis malis magna remedia</t>
  </si>
  <si>
    <t>A la chita callando hay quien se va aprovechando</t>
  </si>
  <si>
    <t>Tacite quidam se proficit</t>
  </si>
  <si>
    <t>A las diez en la cama estés y mejor antes que después</t>
  </si>
  <si>
    <t>Ad decimam in lecto sis et melius ante quam post</t>
  </si>
  <si>
    <t>Cree el ladrón que todos son de su condición</t>
  </si>
  <si>
    <t>Credit fur omnes esse suae conditionis</t>
  </si>
  <si>
    <t>Cuando el gato está ausente los ratones se divierten</t>
  </si>
  <si>
    <t>Cum felis abest mures ludunt</t>
  </si>
  <si>
    <t>Cuando el río suena agua lleva</t>
  </si>
  <si>
    <t>Cum fluvius sonat aquam fert</t>
  </si>
  <si>
    <t>Es siempre provechoso abrir cualquier libro</t>
  </si>
  <si>
    <t>Semper utile est librum aperire</t>
  </si>
  <si>
    <t>开卷有益</t>
  </si>
  <si>
    <t>Toda persona o cosa tiene su mérito y demérito</t>
  </si>
  <si>
    <t>Omnis persona vel res meritum et demeritum habet</t>
  </si>
  <si>
    <t>尺有所短寸有所长</t>
  </si>
  <si>
    <t>El que de joven no es acucioso llegado a viejo en vano se lamentará</t>
  </si>
  <si>
    <t>Qui iuvenis non diligens est senex frustra dolebit</t>
  </si>
  <si>
    <t>少壮不努力老大徒伤悲</t>
  </si>
  <si>
    <t>Una pulgada de tiempo es una pulgada de oro</t>
  </si>
  <si>
    <t>Tempus pretiosum est sicut aurum</t>
  </si>
  <si>
    <t>一寸光阴一寸金</t>
  </si>
  <si>
    <t>Lobos de la misma camada</t>
  </si>
  <si>
    <t>Lupi eiusdem stirpis</t>
  </si>
  <si>
    <t>一丘之貉</t>
  </si>
  <si>
    <t>Un paso en falso se hace deplorar toda la vida</t>
  </si>
  <si>
    <t>Unus passus falsus totam vitam lamentatur</t>
  </si>
  <si>
    <t>一失足成千古恨</t>
  </si>
  <si>
    <t>Una hoja ante los ojos impide ver la montaña</t>
  </si>
  <si>
    <t>Folium ante oculos montem videre impedit</t>
  </si>
  <si>
    <t>一叶障目不见泰山</t>
  </si>
  <si>
    <t>Quien un día fue picado por la víbora siente temor a una soga enroscada durante diez años</t>
  </si>
  <si>
    <t>Qui semel a vipera punctus est decem annos funem timet</t>
  </si>
  <si>
    <t>一朝被蛇咬十年怕井绳</t>
  </si>
  <si>
    <t>El trabajo entero de un año depende de un buen comienzo en primavera</t>
  </si>
  <si>
    <t>Labor totius anni a bono principio veris pendet</t>
  </si>
  <si>
    <t>一年之计在于春</t>
  </si>
  <si>
    <t>Ser pobre como si hubiera sido lavado</t>
  </si>
  <si>
    <t>Pauper esse quasi lotus</t>
  </si>
  <si>
    <t>一贫如洗</t>
  </si>
  <si>
    <t>Matar dos águilas con una sola flecha</t>
  </si>
  <si>
    <t>Duas aquilas una sagitta occidere</t>
  </si>
  <si>
    <t>Ni cuatro caballos galopando pueden recuperar la palabra empeñada</t>
  </si>
  <si>
    <t>Nec quattuor equi currentes verbum datum recuperare possunt</t>
  </si>
  <si>
    <t>一言既出驷马难追</t>
  </si>
  <si>
    <t>A un hombre no se le puede juzgar por las apariencias</t>
  </si>
  <si>
    <t>Homo ex specie iudicari non potest</t>
  </si>
  <si>
    <t>人不可貌相</t>
  </si>
  <si>
    <t>El gorrión a pesar de su pequeñez tiene todas las vísceras</t>
  </si>
  <si>
    <t>Passer quamvis parvus omnia viscera habet</t>
  </si>
  <si>
    <t>麻雀虽小五脏俱全</t>
  </si>
  <si>
    <t>Mientras haya montes verdes no hay por qué inquietarse por la leña</t>
  </si>
  <si>
    <t>Dum montes virides sunt de lignis non sollicitandum</t>
  </si>
  <si>
    <t>留得青山在不怕没柴烧</t>
  </si>
  <si>
    <t>La experiencia del pasado si no cae en el olvido sirve de guía para el futuro</t>
  </si>
  <si>
    <t>Experientia praeteriti si non oblivioni traditur futuri dux est</t>
  </si>
  <si>
    <t>前事不忘后事之师</t>
  </si>
  <si>
    <t>La generación anterior planta árboles y la posterior se cobija a su sombra</t>
  </si>
  <si>
    <t>Generatio prior arbores plantat posterior umbra fruitur</t>
  </si>
  <si>
    <t>前人栽树后人乘凉</t>
  </si>
  <si>
    <t>Los verdaderos amigos se conocen en la adversidad</t>
  </si>
  <si>
    <t>Veri amici in adversitate cognoscuntur</t>
  </si>
  <si>
    <t>患难见真情</t>
  </si>
  <si>
    <t>El vuelco del carro delantero puede servir de aviso al que va detrás</t>
  </si>
  <si>
    <t>Eversio currus prioris monimentum posteriori esse potest</t>
  </si>
  <si>
    <t>前车之覆后车之鉴</t>
  </si>
  <si>
    <t>Sin tigres en el monte el mono es rey</t>
  </si>
  <si>
    <t>Sine tigribus in monte simia rex est</t>
  </si>
  <si>
    <t>山中无老虎猴子称大王</t>
  </si>
  <si>
    <t>Un regalo tan insignificante como una pluma de ganso enviada desde lejos tiene mucho sentido</t>
  </si>
  <si>
    <t>Donum quamvis exile ut pluma anseris e longinquo missum magnum sensum habet</t>
  </si>
  <si>
    <t>千里送鹅毛礼轻情意重</t>
  </si>
  <si>
    <t>En cielo despejado puede desatarse de repente una tempestad</t>
  </si>
  <si>
    <t>In caelo sereno subito tempestas oriri potest</t>
  </si>
  <si>
    <t>天有不测风云</t>
  </si>
  <si>
    <t>La red justiciera tendida por los cielos es omnipresente y sus mallas aunque ralas no dejan escapar a nadie</t>
  </si>
  <si>
    <t>Rete iustitiae a caelo extensum ubique est et maculae eius quamvis rarae neminem effugere sinunt</t>
  </si>
  <si>
    <t>天网恢恢疏而不漏</t>
  </si>
  <si>
    <t>El cielo no cierra completamente el camino a los hombres</t>
  </si>
  <si>
    <t>Caelum viam hominibus omnino non claudit</t>
  </si>
  <si>
    <t>天无绝人之路</t>
  </si>
  <si>
    <t>En el mundo no hay banquete que no tenga fin</t>
  </si>
  <si>
    <t>In mundo non est convivium quod finem non habeat</t>
  </si>
  <si>
    <t>天下没有不散的筵席</t>
  </si>
  <si>
    <t>En el mundo no hay nada difícil siempre que el hombre tenga asiduidad</t>
  </si>
  <si>
    <t>In mundo nihil difficile est si homo assiduus sit</t>
  </si>
  <si>
    <t>世上无难事只怕有心人</t>
  </si>
  <si>
    <t>No renunciar a sus esperanzas hasta llegar al río Huanghe</t>
  </si>
  <si>
    <t>Non spes deserere donec ad flumen Huanghe perveniatur</t>
  </si>
  <si>
    <t>不到黄河心不死</t>
  </si>
  <si>
    <t>O bien no emprender nada o bien asombrar a todo el mundo con cuanto emprende</t>
  </si>
  <si>
    <t>Aut nihil incipere aut mundum totum stupefacere</t>
  </si>
  <si>
    <t>不鸣则已一鸣惊人</t>
  </si>
  <si>
    <t>Si uno no entra en la guarida del tigre cómo podrá apoderarse de sus cachorros</t>
  </si>
  <si>
    <t>Si quis in speluncam tigris non intrat quomodo catulos eius capere poterit</t>
  </si>
  <si>
    <t>不入虎穴焉得虎子</t>
  </si>
  <si>
    <t>Una maja de hierro a fuerza de ser afilada puede convertirse en una aguja</t>
  </si>
  <si>
    <t>Massa ferri vi acuendi in acum converti potest</t>
  </si>
  <si>
    <t>铁杵磨成针</t>
  </si>
  <si>
    <t>La flor de loto asoma inmaculada del fango</t>
  </si>
  <si>
    <t>Flos loti immaculatus e limo emergit</t>
  </si>
  <si>
    <t>出淤泥而不染</t>
  </si>
  <si>
    <t>Lo que se pierde a la salida del sol se recupera a su puesta</t>
  </si>
  <si>
    <t>Quod oriente sole perditur occidente recuperatur</t>
  </si>
  <si>
    <t>失之东隅收之桑榆</t>
  </si>
  <si>
    <t>Lo que comienza siendo una pequeña diferencia termina en una desigualdad descomunal</t>
  </si>
  <si>
    <t>Quod parva differentia incipit in inaequalitatem ingentem terminat</t>
  </si>
  <si>
    <t>差之毫厘谬以千里</t>
  </si>
  <si>
    <t>Es fácil cambiar el curso de los ríos y las montañas pero difícil cambiar la naturaleza de un hombre</t>
  </si>
  <si>
    <t>Facile est cursum fluminum et montium mutare difficile naturam hominis</t>
  </si>
  <si>
    <t>江山易改本性难移</t>
  </si>
  <si>
    <t>Un solo día de frío no basta para congelar el río a tres pies de profundidad</t>
  </si>
  <si>
    <t>Unus dies frigoris non sufficit ad flumen tres pedes profundum congelandum</t>
  </si>
  <si>
    <t>冰冻三尺非一日之寒</t>
  </si>
  <si>
    <t>No hay que dejar escapar una oportunidad que nunca va a presentarse otra vez</t>
  </si>
  <si>
    <t>Occasio non dimittenda est quae numquam iterum se offeret</t>
  </si>
  <si>
    <t>机不可失时不再来</t>
  </si>
  <si>
    <t>En tanto que la flor cae amorosa el arroyo corre impasible</t>
  </si>
  <si>
    <t>Dum flos amore cadit rivus impassibilis currit</t>
  </si>
  <si>
    <t>落花有意流水无情</t>
  </si>
  <si>
    <t>Tres simples zapateros hacen un sabio Zhuge Liang</t>
  </si>
  <si>
    <t>Tres simplices sutores sapientem Zhuge Liang faciunt</t>
  </si>
  <si>
    <t>三个臭皮匠顶个诸葛亮</t>
  </si>
  <si>
    <t>El primer paso siempre cuesta</t>
  </si>
  <si>
    <t>Primus passus semper difficilis est</t>
  </si>
  <si>
    <t>万事开头难</t>
  </si>
  <si>
    <t>No hagas a otros lo que no quieres que hagan contigo</t>
  </si>
  <si>
    <t>Ne facias aliis quod tibi fieri non vis</t>
  </si>
  <si>
    <t>己所不欲勿施于人</t>
  </si>
  <si>
    <t>El agua corriente no se corrompe y a los goznes de la puerta no los carcomen los gusanos</t>
  </si>
  <si>
    <t>Aqua currens non corrumpitur et cardines portae vermes non rodunt</t>
  </si>
  <si>
    <t>流水不腐户枢不蠹</t>
  </si>
  <si>
    <t>Aurum legitimum ignem non timet</t>
  </si>
  <si>
    <t>Sin viento no hay oleaje</t>
  </si>
  <si>
    <t>Sine vento non est fluctus</t>
  </si>
  <si>
    <t>无风不起浪</t>
  </si>
  <si>
    <t>Soplar la pelusa de un abrigo de pieles para descubrir el menor defecto</t>
  </si>
  <si>
    <t>Sufflare pilos vestimenti pellicei ut minimum defectum inveniat</t>
  </si>
  <si>
    <t>吹毛求疵</t>
  </si>
  <si>
    <t>Las llamas se elevan más cuando cada uno les echa leña</t>
  </si>
  <si>
    <t>Flammae altius surgunt cum unusquisque ligna iacit</t>
  </si>
  <si>
    <t>众人拾柴火焰高</t>
  </si>
  <si>
    <t>La lluvia de primavera es tan preciosa como el aceite</t>
  </si>
  <si>
    <t>Pluvia veris tam pretiosa est quam oleum</t>
  </si>
  <si>
    <t>春雨贵如油</t>
  </si>
  <si>
    <t>Escapar del lago del dragón y caer en la guarida del tigre</t>
  </si>
  <si>
    <t>E lacu draconis effugere et in speluncam tigris cadere</t>
  </si>
  <si>
    <t>逃出龙潭又入虎穴</t>
  </si>
  <si>
    <t>Si uno pierde los labios tendrá los dientes fríos</t>
  </si>
  <si>
    <t>Si quis labra amittit dentes frigidos habebit</t>
  </si>
  <si>
    <t>唇亡齿寒</t>
  </si>
  <si>
    <t>Una hábil ama de casa sin arroz no puede preparar una comida</t>
  </si>
  <si>
    <t>Domina peritus sine oryza prandium parare non potest</t>
  </si>
  <si>
    <t>巧妇难为无米之炊</t>
  </si>
  <si>
    <t>Colgar una cabeza de cordero y vender carne de perro</t>
  </si>
  <si>
    <t>Caput agni suspendere et carnem canis vendere</t>
  </si>
  <si>
    <t>挂羊头卖狗肉</t>
  </si>
  <si>
    <t>El tiempo es como una flecha que vuela</t>
  </si>
  <si>
    <t>Tempus est sicut sagitta quae volat</t>
  </si>
  <si>
    <t>光阴似箭</t>
  </si>
  <si>
    <t>Siempre que haya amigos íntimos estarán tan cerca como vecinos aunque se encuentren en confines remotos</t>
  </si>
  <si>
    <t>Dum amici intimi sint tam prope erunt quam vicini quamvis in finibus remotis sint</t>
  </si>
  <si>
    <t>海内存知己天涯若比邻</t>
  </si>
  <si>
    <t>Caballo que es bueno no ha de menester mucho sonar de su timbre</t>
  </si>
  <si>
    <t>Equus qui bonus est multum tinnire non debet</t>
  </si>
  <si>
    <t>好马不用多加鞭</t>
  </si>
  <si>
    <t>El bien no se sabe fuera del hogar mientras que el mal se transmite a la lejanía</t>
  </si>
  <si>
    <t>Bonum extra domum non scitur malum vero ad longinquum transmittitur</t>
  </si>
  <si>
    <t>好事不出门坏事传千里</t>
  </si>
  <si>
    <t>Siendo tan bellas las flores de loto solo con el verdor de las hojas resalta su hermosura</t>
  </si>
  <si>
    <t>Cum flores loti tam pulchri sint tantum cum viriditate foliorum pulchritudo eorum eminet</t>
  </si>
  <si>
    <t>红花还需绿叶扶</t>
  </si>
  <si>
    <t>Convertir las lanzas y escudos en jades y telas</t>
  </si>
  <si>
    <t>Hastas et scuta in iades et telas convertere</t>
  </si>
  <si>
    <t>化干戈为玉帛</t>
  </si>
  <si>
    <t>La flor no se conserva roja cien días</t>
  </si>
  <si>
    <t>Flos ruber centum dies non conservatur</t>
  </si>
  <si>
    <t>花无百日红</t>
  </si>
  <si>
    <t>Dibujar pasteles para matar el hambre</t>
  </si>
  <si>
    <t>Placentas pingere ut famem necare</t>
  </si>
  <si>
    <t>画饼充饥</t>
  </si>
  <si>
    <t>De un tigre solo se dibuja la piel y no los huesos de una persona solo se conoce la cara y no el corazón</t>
  </si>
  <si>
    <t>De tigride tantum pellis pingitur non ossa de homine tantum facies cognoscitur non cor</t>
  </si>
  <si>
    <t>画虎画皮难画骨知人知面不知心</t>
  </si>
  <si>
    <t>Dibujar una serpiente añadiéndole patas</t>
  </si>
  <si>
    <t>Serpentem pingere pedes addendo</t>
  </si>
  <si>
    <t>画蛇添足</t>
  </si>
  <si>
    <t>Quien se acerca al bermellón enrojece quien se acerca a la tinta ennegrece</t>
  </si>
  <si>
    <t>Qui cinnaberem accedit rubescit qui atrum accedit nigrescit</t>
  </si>
  <si>
    <t>近朱者赤近墨者黑</t>
  </si>
  <si>
    <t>El azul es extraído del índigo y es más azul que él</t>
  </si>
  <si>
    <t>Caeruleum ex indico extrahitur et caeruleus quam illud est</t>
  </si>
  <si>
    <t>青出于蓝胜于蓝</t>
  </si>
  <si>
    <t>Cuando los montes están lejanos resultan bajos cuando el agua es profunda se ve clara</t>
  </si>
  <si>
    <t>Cum montes remoti sunt humiles videntur cum aqua profunda est clara videtur</t>
  </si>
  <si>
    <t>远山低近水清</t>
  </si>
  <si>
    <t>Caminar con pasos de paloma</t>
  </si>
  <si>
    <t>Ambulare passibus columbae</t>
  </si>
  <si>
    <t>鸽行</t>
  </si>
  <si>
    <t>El camino es conocido por la fuerza del caballo y el tiempo revela el corazón del hombre</t>
  </si>
  <si>
    <t>Via vi equi cognoscitur et tempus cor hominis revelat</t>
  </si>
  <si>
    <t>路遥知马力日久见人心</t>
  </si>
  <si>
    <t>El que tiene dos amos pasa hambre el que tiene dos casas pierde todo</t>
  </si>
  <si>
    <t>Qui duos dominos habet famem patitur qui duas domos habet omnia perdit</t>
  </si>
  <si>
    <t>一仆二主饿肚皮一人二房空房子</t>
  </si>
  <si>
    <t>Buscando al médico de urgencia sin reparar si es bueno o malo</t>
  </si>
  <si>
    <t>Medicum urgenter quaerens non curans utrum bonus an malus sit</t>
  </si>
  <si>
    <t>急不择医</t>
  </si>
  <si>
    <t>Lucha cada una de las jóvenes familias en las fiestas de primavera por colgar sus columpios</t>
  </si>
  <si>
    <t>Unaquaeque familia iuvenum in festis vernis contendit ut columnia sua suspendant</t>
  </si>
  <si>
    <t>千门万户曈曈日总把新桃换旧符</t>
  </si>
  <si>
    <t>No hay banquete bueno que tenga fin</t>
  </si>
  <si>
    <t>Non est convivium bonum quod finem habeat</t>
  </si>
  <si>
    <t>天下无不散之筵席</t>
  </si>
  <si>
    <t>Un árbol no puede convertirse en bosque</t>
  </si>
  <si>
    <t>Arbor una silvam fieri non potest</t>
  </si>
  <si>
    <t>独木不成林</t>
  </si>
  <si>
    <t>Las manos se calientan con el roce constante</t>
  </si>
  <si>
    <t>Manus frictu constanti calefactae sunt</t>
  </si>
  <si>
    <t>手摩擦生热</t>
  </si>
  <si>
    <t>Cuando pones el pie en el bote ya estás en la mitad del río</t>
  </si>
  <si>
    <t>Cum pedem in scapham ponis iam in medio fluminis es</t>
  </si>
  <si>
    <t>上船容易下船难</t>
  </si>
  <si>
    <t>El maestro abre la puerta pero cada uno debe entrar por sí mismo</t>
  </si>
  <si>
    <t>Magister portam aperit sed unusquisque per se intrare debet</t>
  </si>
  <si>
    <t>师傅领进门修行在个人</t>
  </si>
  <si>
    <t>Ni el cangrejo de río puede escalar cielo ni el dragón puede llegar al fondo del mar</t>
  </si>
  <si>
    <t>Nec cancer fluvialis caelum scandere nec draco fundum maris attingere potest</t>
  </si>
  <si>
    <t>龙游浅滩遭虾戏</t>
  </si>
  <si>
    <t>Esperar al conejo bajo el árbol</t>
  </si>
  <si>
    <t>Sub arbore cuniculum exspectare</t>
  </si>
  <si>
    <t>守株待兔</t>
  </si>
  <si>
    <t>Preferir ser cabeza de gallo a cola de fénix</t>
  </si>
  <si>
    <t>Malle caput galli esse quam caudam phoenicis</t>
  </si>
  <si>
    <t>宁为鸡头不为凤尾</t>
  </si>
  <si>
    <t>El que anda con lobos a aullar aprende</t>
  </si>
  <si>
    <t>Qui cum lupis ambulat ululare discit</t>
  </si>
  <si>
    <t>与狼共舞学嚎叫</t>
  </si>
  <si>
    <t>Medir con su propio corazón el corazón de los otros</t>
  </si>
  <si>
    <t>Suo corde cor aliorum metiri</t>
  </si>
  <si>
    <t>以小人之心度君子之腹</t>
  </si>
  <si>
    <t>Si quieres conocer a una persona observa a sus amigos</t>
  </si>
  <si>
    <t>Si vis hominem cognoscere amicos eius observa</t>
  </si>
  <si>
    <t>欲知其人先观其友</t>
  </si>
  <si>
    <t>Una gota de agua en tiempo de necesidad vale más que un tonel en tiempo de abundancia</t>
  </si>
  <si>
    <t>Una gutta aquae tempore necessitatis plus valet quam dolium tempore abundantiae</t>
  </si>
  <si>
    <t>滴水之恩当涌泉相报</t>
  </si>
  <si>
    <t>La barca por sí sola va derecha hacia el arco al llegar al puente</t>
  </si>
  <si>
    <t>Scapha per se recta ad arcum vadit cum ad pontem pervenerit</t>
  </si>
  <si>
    <t>船到桥头自然直</t>
  </si>
  <si>
    <t>Mantener en vista el conjunto y tomar los trabajos diarios en las manos</t>
  </si>
  <si>
    <t>Coniunctum in visu tenere et labores diurnos in manibus capere</t>
  </si>
  <si>
    <t>胸怀全局抓住日常工作</t>
  </si>
  <si>
    <t>Una persona de gran sabiduría suele parecer torpe</t>
  </si>
  <si>
    <t>Homo magnae sapientiae saepe stupidus videtur</t>
  </si>
  <si>
    <t>大智若愚</t>
  </si>
  <si>
    <t>Quien ha leído hasta diez mil volúmenes escribirá con espontánea inspiración</t>
  </si>
  <si>
    <t>Qui decem milia volumina legit spontanea inspiratione scribet</t>
  </si>
  <si>
    <t>读书破万卷下笔如有神</t>
  </si>
  <si>
    <t>La mariposa nocturna se precipita al fuego</t>
  </si>
  <si>
    <t>Papilio nocturnus in ignem se praecipitat</t>
  </si>
  <si>
    <t>飞蛾扑火</t>
  </si>
  <si>
    <t>Quitar la leña debajo de la caldera</t>
  </si>
  <si>
    <t>Ligna sub caldario removere</t>
  </si>
  <si>
    <t>釜底抽薪</t>
  </si>
  <si>
    <t>El agua derramada es difícil recogerla</t>
  </si>
  <si>
    <t>Aqua effusa difficilis colligere</t>
  </si>
  <si>
    <t>覆水难收</t>
  </si>
  <si>
    <t>Acarrear leña para apagar un incendio</t>
  </si>
  <si>
    <t>Ligna portare ut incendium extinguere</t>
  </si>
  <si>
    <t>抱薪救火</t>
  </si>
  <si>
    <t>Cada uno limpia la nieve delante de su casa sin preocuparse de la escarcha en el tejado ajeno</t>
  </si>
  <si>
    <t>Unusquisque nivem ante domum suam purgat de pruina in tecto alieno non sollicitus</t>
  </si>
  <si>
    <t>各人自扫门前雪莫管他人瓦上霜</t>
  </si>
  <si>
    <t>Muchos pocos hacen un mucho muchos granos de arena forman una pagoda</t>
  </si>
  <si>
    <t>Multa parva faciunt multum multi grani arenae pagodam formant</t>
  </si>
  <si>
    <t>积少成多集腋成裘</t>
  </si>
  <si>
    <t>Obsequiar a Buda con flores regaladas</t>
  </si>
  <si>
    <t>Buddha floribus donatis munerare</t>
  </si>
  <si>
    <t>借花献佛</t>
  </si>
  <si>
    <t>El agua del pozo no fluye en el agua del río</t>
  </si>
  <si>
    <t>Aqua putei in aquam fluminis non fluit</t>
  </si>
  <si>
    <t>井水不犯河水</t>
  </si>
  <si>
    <t>Rana en el fondo del pozo</t>
  </si>
  <si>
    <t>Rana in fundo putei</t>
  </si>
  <si>
    <t>井底之蛙</t>
  </si>
  <si>
    <t>Si el vino es fragante no importa que se venda al fondo de un largo callejón</t>
  </si>
  <si>
    <t>Si vinum fragrans est non refert quod in fundo longi vici vendatur</t>
  </si>
  <si>
    <t>酒香不怕巷子深</t>
  </si>
  <si>
    <t>Gota a gota se forma el río</t>
  </si>
  <si>
    <t>Gutta ad guttam flumen formatur</t>
  </si>
  <si>
    <t>滴水成河</t>
  </si>
  <si>
    <t>Un buen caballo viejo encerrado en el establo aún aspira a galopar mil li</t>
  </si>
  <si>
    <t>Equus bonus senex in stabulo clausus adhuc mille li currere aspirat</t>
  </si>
  <si>
    <t>老骥伏枥志在千里</t>
  </si>
  <si>
    <t>Hay momentos en que hasta el tigre dormita</t>
  </si>
  <si>
    <t>Sunt momenta cum etiam tigris dormitet</t>
  </si>
  <si>
    <t>虎也有打盹儿的时候</t>
  </si>
  <si>
    <t>El caballo viejo conoce bien el camino</t>
  </si>
  <si>
    <t>Equus vetus viam bene novit</t>
  </si>
  <si>
    <t>老马识途</t>
  </si>
  <si>
    <t>Así como un medicamento amargo cura la enfermedad las palabras sinceras que hieren los oídos benefician el comportamiento</t>
  </si>
  <si>
    <t>Sicut medicamentum amarum morbum sanat verba sincera quae aures laedunt mores iuvant</t>
  </si>
  <si>
    <t>良药苦口利于病忠言逆耳利于行</t>
  </si>
  <si>
    <t>Mientras haya montes verdes no hay por qué preocuparse por la leña</t>
  </si>
  <si>
    <t>Dum montes virides sint de lignis non sollicitandum</t>
  </si>
  <si>
    <t>留得青山在不愁没柴烧</t>
  </si>
  <si>
    <t>El dragón da a luz al dragón el fénix al fénix</t>
  </si>
  <si>
    <t>Draco draconem gignit phoenix phoenicem</t>
  </si>
  <si>
    <t>龙生龙凤生凤</t>
  </si>
  <si>
    <t>El camino se hace al andar</t>
  </si>
  <si>
    <t>Via faciendo fit</t>
  </si>
  <si>
    <t>路是走出来的</t>
  </si>
  <si>
    <t>No hay cosa que no tenga su revés</t>
  </si>
  <si>
    <t>Non est res quae aversam partem non habeat</t>
  </si>
  <si>
    <t>没有不倒翁</t>
  </si>
  <si>
    <t>Si no hay nube cómo puede llover</t>
  </si>
  <si>
    <t>Si nubes non sunt quomodo pluere potest</t>
  </si>
  <si>
    <t>无云不雨</t>
  </si>
  <si>
    <t>Vendedor de melones alaba sus melones</t>
  </si>
  <si>
    <t>Venditor melonum melones suos laudat</t>
  </si>
  <si>
    <t>卖瓜的说瓜甜</t>
  </si>
  <si>
    <t>Cada uno suda para su pan</t>
  </si>
  <si>
    <t>Unusquisque pro pane suo sudat</t>
  </si>
  <si>
    <t>各人顾各人</t>
  </si>
  <si>
    <t>El secreto entre dos ya no es secreto</t>
  </si>
  <si>
    <t>Secretum inter duos iam secretum non est</t>
  </si>
  <si>
    <t>两个人的秘密不是秘密</t>
  </si>
  <si>
    <t>Más vale llegar tarde que no llegar</t>
  </si>
  <si>
    <t>Melius tarde pervenire quam non pervenire</t>
  </si>
  <si>
    <t>迟到总比不到好</t>
  </si>
  <si>
    <t>Una hormiga puede hacer caer un muro</t>
  </si>
  <si>
    <t>Formica murum cadere facere potest</t>
  </si>
  <si>
    <t>蚁穴虽小可溃堤</t>
  </si>
  <si>
    <t>Cavar un pozo cuando se tiene sed</t>
  </si>
  <si>
    <t>Puteum fodere cum sitis est</t>
  </si>
  <si>
    <t>临渴掘井</t>
  </si>
  <si>
    <t>Buscar un caballo teniendo uno bajo las piernas</t>
  </si>
  <si>
    <t>Equum quaerere equo sub cruribus habito</t>
  </si>
  <si>
    <t>骑驴找驴</t>
  </si>
  <si>
    <t>Aprender de los errores</t>
  </si>
  <si>
    <t>Ex erroribus discere</t>
  </si>
  <si>
    <t>从错误中学习</t>
  </si>
  <si>
    <t>El tiempo todo lo cura</t>
  </si>
  <si>
    <t>Tempus omnia sanat</t>
  </si>
  <si>
    <t>时间治愈一切</t>
  </si>
  <si>
    <t>Hablar es fácil hacer es difícil</t>
  </si>
  <si>
    <t>Loqui facile est facere difficile</t>
  </si>
  <si>
    <t>说易行难</t>
  </si>
  <si>
    <t>El que mucho habla mucho yerra</t>
  </si>
  <si>
    <t>Qui multum loquitur multum errat</t>
  </si>
  <si>
    <t>言多必失</t>
  </si>
  <si>
    <t>La práctica hace al maestro</t>
  </si>
  <si>
    <t>Usus magister est</t>
  </si>
  <si>
    <t>熟能生巧</t>
  </si>
  <si>
    <t>No juzgues un libro por su cubierta</t>
  </si>
  <si>
    <t>Librum ex tegumento ne iudices</t>
  </si>
  <si>
    <t>不可以貌取人</t>
  </si>
  <si>
    <t>La paciencia es amarga pero su fruto es dulce</t>
  </si>
  <si>
    <t>Patientia amara est sed fructus eius dulcis</t>
  </si>
  <si>
    <t>忍耐是苦的但果实是甜的</t>
  </si>
  <si>
    <t>El que no arriesga no gana</t>
  </si>
  <si>
    <t>Qui non audit non lucrat</t>
  </si>
  <si>
    <t>Donde hay voluntad hay un camino</t>
  </si>
  <si>
    <t>Ubi voluntas ibi via</t>
  </si>
  <si>
    <t>有志者事竟成</t>
  </si>
  <si>
    <t>Queda sin compañeros el hombre exigente hasta en los últimos detalles</t>
  </si>
  <si>
    <t>Homo minutiis nimis deditus sine sociis remanet</t>
  </si>
  <si>
    <t>求全责备孤家寡人</t>
  </si>
  <si>
    <t>El hombre siempre pugna por ir arriba y el agua abajo</t>
  </si>
  <si>
    <t>Homo semper sursum tendit aqua deorsum</t>
  </si>
  <si>
    <t>人往高处走水往低处流</t>
  </si>
  <si>
    <t>El benévolo ve benevolencia el sabio ve sabiduría</t>
  </si>
  <si>
    <t>Benevolus benignitatem videt sapiens sapientiam</t>
  </si>
  <si>
    <t>仁者见仁智者见智</t>
  </si>
  <si>
    <t>La nieve presagia una buena cosecha</t>
  </si>
  <si>
    <t>Nix bonum proventum praesagit</t>
  </si>
  <si>
    <t>瑞雪兆丰年</t>
  </si>
  <si>
    <t>Si no quieres que lo sepan los demás no lo hagas</t>
  </si>
  <si>
    <t>Si nolis alios scire ne facias</t>
  </si>
  <si>
    <t>若要人不知除非己莫为</t>
  </si>
  <si>
    <t>El que el viejo de la frontera haya perdido su caballo acaso no puede ser causa de buena suerte</t>
  </si>
  <si>
    <t>Senex ad fines equum amisit nonne causa fortunae bonae esse potest</t>
  </si>
  <si>
    <t>塞翁失马焉知非福</t>
  </si>
  <si>
    <t>Reflexionar tres veces antes de obrar</t>
  </si>
  <si>
    <t>Ter cogitare antequam agere</t>
  </si>
  <si>
    <t>三思而后行</t>
  </si>
  <si>
    <t>El arroz ya está cocido</t>
  </si>
  <si>
    <t>Oryza iam cocta est</t>
  </si>
  <si>
    <t>生米煮成熟饭</t>
  </si>
  <si>
    <t>No tener ni una teja encima de la cabeza ni una pulgada de tierra bajo los pies</t>
  </si>
  <si>
    <t>Nec teguam super caput nec unciam terrae sub pedibus habere</t>
  </si>
  <si>
    <t>上无片瓦下无立锥之地</t>
  </si>
  <si>
    <t>Victoria y derrota son moneda corriente en la guerra</t>
  </si>
  <si>
    <t>Victoria et clades res communes belli sunt</t>
  </si>
  <si>
    <t>胜败乃兵家常事</t>
  </si>
  <si>
    <t>Difícilmente estar a la altura de la fama de que uno goza</t>
  </si>
  <si>
    <t>Difficile est famae suae dignum esse</t>
  </si>
  <si>
    <t>盛名之下其实难副</t>
  </si>
  <si>
    <t>Nada en el mundo es difícil para el que se propone hacerlo</t>
  </si>
  <si>
    <t>Nihil in mundo difficile est ei qui proponit facere</t>
  </si>
  <si>
    <t>Mostrarse indiferente a las cosas que no le conciernen</t>
  </si>
  <si>
    <t>Se indifferentem praebere rebus quae ad se non pertinent</t>
  </si>
  <si>
    <t>事不关己高高挂起</t>
  </si>
  <si>
    <t>Hasta del árbol más alto caen sus hojas a las raíces</t>
  </si>
  <si>
    <t>Etiam ex arbore altissima folia ad radices cadunt</t>
  </si>
  <si>
    <t>树高千丈叶落归根</t>
  </si>
  <si>
    <t>El árbol preferiría la calma pero el viento no cesa</t>
  </si>
  <si>
    <t>Arbor quietem praeferat sed ventus non cessat</t>
  </si>
  <si>
    <t>树欲静而风不止</t>
  </si>
  <si>
    <t>Atrapar la luna en el agua</t>
  </si>
  <si>
    <t>Lunam in aqua capere</t>
  </si>
  <si>
    <t>水中捞月</t>
  </si>
  <si>
    <t>Lo que no se encuentra buscándolo hasta dejar desgastados unos zapatos de hierro resulta que viene a mano sin el menor esfuerzo</t>
  </si>
  <si>
    <t>Quod quaerendo usque ad calceos ferreos detritos non invenitur sine labore ad manum venit</t>
  </si>
  <si>
    <t>踏破铁鞋无觅处得来全不费工夫</t>
  </si>
  <si>
    <t>Cuando la manta religiosa acosa a la cigarra detrás la acecha el canario</t>
  </si>
  <si>
    <t>Cum mantis cicadam insequitur a tergo canarius insidiatur</t>
  </si>
  <si>
    <t>螳螂捕蝉黄雀在后</t>
  </si>
  <si>
    <t>La santateresa intenta parar un carro con sus patas</t>
  </si>
  <si>
    <t>Mantis currum pedibus suis sistere conatur</t>
  </si>
  <si>
    <t>螳臂当车</t>
  </si>
  <si>
    <t>Quien todo lo quiere todo lo pierde</t>
  </si>
  <si>
    <t>Qui omnia vult omnia perdit</t>
  </si>
  <si>
    <t>贪多嚼不烂</t>
  </si>
  <si>
    <t>El cielo sin fisuras no deja caer regalos</t>
  </si>
  <si>
    <t>Caelum sine fissuris dona cadere non sinit</t>
  </si>
  <si>
    <t>天上不会掉馅饼</t>
  </si>
  <si>
    <t>Cada profesión produce su campeón</t>
  </si>
  <si>
    <t>Quaeque professio suum principem producit</t>
  </si>
  <si>
    <t>三百六十行行行出状元</t>
  </si>
  <si>
    <t>Mirar las flores desde el lomo de un caballo galopante</t>
  </si>
  <si>
    <t>Flores ex dorso equi currentis spectare</t>
  </si>
  <si>
    <t>走马观花</t>
  </si>
  <si>
    <t>El conejo no come la hierba del borde de su madriguera</t>
  </si>
  <si>
    <t>Cuniculus herbam marginis suae cavae non edit</t>
  </si>
  <si>
    <t>兔子不吃窝边草</t>
  </si>
  <si>
    <t>Tender una trampa para caer en ella uno mismo</t>
  </si>
  <si>
    <t>Laqueum tendere ut in eum ipse cadat</t>
  </si>
  <si>
    <t>作茧自缚</t>
  </si>
  <si>
    <t>Golpear la hierba para asustar a la serpiente</t>
  </si>
  <si>
    <t>Herbam percutere ut serpentem terreat</t>
  </si>
  <si>
    <t>打草惊蛇</t>
  </si>
  <si>
    <t>Salir airoso del primer encuentro</t>
  </si>
  <si>
    <t>Ex primo congressu felicem evadere</t>
  </si>
  <si>
    <t>旗开得胜</t>
  </si>
  <si>
    <t>Matar la gallina para sacar los huevos</t>
  </si>
  <si>
    <t>Gallinam occidere ut ova capere</t>
  </si>
  <si>
    <t>杀鸡取卵</t>
  </si>
  <si>
    <t>Hay que tener paciencia para pescar peces grandes</t>
  </si>
  <si>
    <t>Patientia opus est ad magnos pisces capiendos</t>
  </si>
  <si>
    <t>钓大鱼需要耐心</t>
  </si>
  <si>
    <t>Lo que comienza mal acaba mal</t>
  </si>
  <si>
    <t>Quod male incipit male finitur</t>
  </si>
  <si>
    <t>好的开始是成功的一半</t>
  </si>
  <si>
    <t>No hay atajo sin trabajo</t>
  </si>
  <si>
    <t>Non est compendium sine labore</t>
  </si>
  <si>
    <t>没有捷径不劳而获</t>
  </si>
  <si>
    <t>El que tiene prisa no come caliente</t>
  </si>
  <si>
    <t>Qui festinat calidum non edit</t>
  </si>
  <si>
    <t>心急吃不了热豆腐</t>
  </si>
  <si>
    <t>坚持就是胜利</t>
  </si>
  <si>
    <t>Aprender sin pensar es inútil pensar sin aprender es peligroso</t>
  </si>
  <si>
    <t>Discere sine cogitare inutile est cogitare sine discere periculosum</t>
  </si>
  <si>
    <t>学而不思则罔思而不学则殆</t>
  </si>
  <si>
    <t>El que pregunta puede parecer tonto cinco minutos pero el que no pregunta será tonto toda su vida</t>
  </si>
  <si>
    <t>Qui interrogat stultus quinque minutos videri potest qui non interrogat stultus tota vita erit</t>
  </si>
  <si>
    <t>Dar un paso atrás para ver mejor el panorama</t>
  </si>
  <si>
    <t>Passum retro facere ut melius prospectum videat</t>
  </si>
  <si>
    <t>退一步海阔天空</t>
  </si>
  <si>
    <t>El hombre propone y el cielo dispone</t>
  </si>
  <si>
    <t>Homo proponit et caelum disponit</t>
  </si>
  <si>
    <t>谋事在人成事在天</t>
  </si>
  <si>
    <t>Más vale encender una vela que maldecir la oscuridad</t>
  </si>
  <si>
    <t>Melius est candelam accendere quam tenebras maledicere</t>
  </si>
  <si>
    <t>与其诅咒黑暗不如点燃蜡烛</t>
  </si>
  <si>
    <t>Una imagen vale más que mil palabras</t>
  </si>
  <si>
    <t>Imago plus quam mille verba valet</t>
  </si>
  <si>
    <t>一图胜千言</t>
  </si>
  <si>
    <t>Si quieres ir rápido ve solo si quieres llegar lejos ve acompañado</t>
  </si>
  <si>
    <t>Si vis celeriter ire vade solus si vis longe pervenire vade comitatus</t>
  </si>
  <si>
    <t>欲速则不达</t>
  </si>
  <si>
    <t>El maestro enseña pero es el alumno quien aprende</t>
  </si>
  <si>
    <t>Magister docet sed discipulus est qui discit</t>
  </si>
  <si>
    <t>师父领进门修行在个人</t>
  </si>
  <si>
    <t>No hay mal que dure cien años ni cuerpo que lo resista</t>
  </si>
  <si>
    <t>Non est malum quod centum annos duret nec corpus quod resistat</t>
  </si>
  <si>
    <t>没有过不去的坎</t>
  </si>
  <si>
    <t>Cuando soplan vientos de cambio unos construyen muros otros molinos</t>
  </si>
  <si>
    <t>Cum venti mutationis spirant alii muros aedificant alii molendina</t>
  </si>
  <si>
    <t>风来了有人筑墙有人造风车</t>
  </si>
  <si>
    <t>La gota horada la piedra</t>
  </si>
  <si>
    <t>Gutta cavat lapidem</t>
  </si>
  <si>
    <t>滴水穿石</t>
  </si>
  <si>
    <t>Mejor un pájaro en mano que cien volando</t>
  </si>
  <si>
    <t>双鸟在林不如一鸟在手</t>
  </si>
  <si>
    <t>El que teme sufrir ya sufre de temor</t>
  </si>
  <si>
    <t>Qui pati timet iam ex timore patitur</t>
  </si>
  <si>
    <t>杞人忧天</t>
  </si>
  <si>
    <t>La experiencia es la madre de la ciencia</t>
  </si>
  <si>
    <t>Experientia mater scientiae est</t>
  </si>
  <si>
    <t>实践出真知</t>
  </si>
  <si>
    <t>Sembrar vientos y recoger tempestades</t>
  </si>
  <si>
    <t>Ventos serere et tempestates metere</t>
  </si>
  <si>
    <t>种瓜得瓜种豆得豆</t>
  </si>
  <si>
    <t>El que mucho abarca poco aprieta</t>
  </si>
  <si>
    <t>No vendas la piel del oso antes de cazarlo</t>
  </si>
  <si>
    <t>Ne vendas pellem ursi antequam eum capias</t>
  </si>
  <si>
    <t>别高兴太早</t>
  </si>
  <si>
    <t>El silencio es oro</t>
  </si>
  <si>
    <t>Silentium aurum est</t>
  </si>
  <si>
    <t>沉默是金</t>
  </si>
  <si>
    <t>El hombre sabio cambia de opinión el necio nunca</t>
  </si>
  <si>
    <t>Homo sapiens sententiam mutat stultus numquam</t>
  </si>
  <si>
    <t>智者千虑必有一失愚者千虑必有一得</t>
  </si>
  <si>
    <t>Roma no se construyó en un día</t>
  </si>
  <si>
    <t>Roma uno die aedificata non est</t>
  </si>
  <si>
    <t>罗马不是一天建成的</t>
  </si>
  <si>
    <t>Cuando el gato no está los ratones bailan</t>
  </si>
  <si>
    <t>Cum felis abest mures saltant</t>
  </si>
  <si>
    <t>El que ríe último ríe mejor</t>
  </si>
  <si>
    <t>谁笑到最后谁笑得最好</t>
  </si>
  <si>
    <t>亡羊补牢为时未晚</t>
  </si>
  <si>
    <t>Hijo de tigre sale pintado</t>
  </si>
  <si>
    <t>Filius tigris pictus exit</t>
  </si>
  <si>
    <t>虎父无犬子</t>
  </si>
  <si>
    <t>Antes de hablar escucha antes de escribir piensa</t>
  </si>
  <si>
    <t>Antequam loqueris audi antequam scribas cogita</t>
  </si>
  <si>
    <t>Si las vigas de arriba están mal las de abajo otro tal</t>
  </si>
  <si>
    <t>Si trabes superiores pravae inferiores etiam pravae</t>
  </si>
  <si>
    <t>上梁不正下梁歪</t>
  </si>
  <si>
    <t>Más vale ver una sola vez que oír cien veces</t>
  </si>
  <si>
    <t>Melius semel videre quam centum audire</t>
  </si>
  <si>
    <t>百闻不如一见</t>
  </si>
  <si>
    <t>Con firme voluntad se llega al triunfo</t>
  </si>
  <si>
    <t>Firma voluntate ad victoriam pervenitur</t>
  </si>
  <si>
    <t>Precaverse contra un posible percance</t>
  </si>
  <si>
    <t>Contra possibile periculum praecavere</t>
  </si>
  <si>
    <t>防患于未然</t>
  </si>
  <si>
    <t>Cada fracaso nos hace más listos</t>
  </si>
  <si>
    <t>Unusquisque casus nos prudentiores facit</t>
  </si>
  <si>
    <t>吃一堑长一智</t>
  </si>
  <si>
    <t>Quien comete muchas injusticias busca su propia ruina</t>
  </si>
  <si>
    <t>Qui multas iniustitias committit propriam ruinam quaerit</t>
  </si>
  <si>
    <t>多行不义必自毙</t>
  </si>
  <si>
    <t>La promesa debe ser cumplida y la acción debe tener resultado</t>
  </si>
  <si>
    <t>Promissio implenda est et actio effectum habere debet</t>
  </si>
  <si>
    <t>言必信行必果</t>
  </si>
  <si>
    <t>El ternero recental no teme al tigre</t>
  </si>
  <si>
    <t>Vitulus recens tigrem non timet</t>
  </si>
  <si>
    <t>初生牛犊不怕虎</t>
  </si>
  <si>
    <t>La cortesía exige reciprocidad</t>
  </si>
  <si>
    <t>Urbanitas reciprocationem exigit</t>
  </si>
  <si>
    <t>来而不往非礼也</t>
  </si>
  <si>
    <t>Un vecino cercano es mejor que un pariente lejano</t>
  </si>
  <si>
    <t>Vicinus propinquus melior est quam cognatus remotus</t>
  </si>
  <si>
    <t>远亲不如近邻</t>
  </si>
  <si>
    <t>Acudir a las palabras y no a los puños como es propio del caballero</t>
  </si>
  <si>
    <t>Ad verba non ad pugnas accurrere ut decet equitem</t>
  </si>
  <si>
    <t>君子动口不动手</t>
  </si>
  <si>
    <t>Internarse en una montaña infestada de tigres a sabiendas de que los hay</t>
  </si>
  <si>
    <t>In montem tigribus infestum intrare cum sciatur</t>
  </si>
  <si>
    <t>明知山有虎偏向虎山行</t>
  </si>
  <si>
    <t>Conoce a tu adversario y conócete a ti mismo y vencerás en cien batallas</t>
  </si>
  <si>
    <t>Cognosce adversarium tuum et te ipsum et in centum proeliis vinces</t>
  </si>
  <si>
    <t>知己知彼百战不殆</t>
  </si>
  <si>
    <t>Se conoce la cara de una persona pero no su corazón</t>
  </si>
  <si>
    <t>Facies hominis cognoscitur sed non cor</t>
  </si>
  <si>
    <t>知人知面不知心</t>
  </si>
  <si>
    <t>Lo raro es caro</t>
  </si>
  <si>
    <t>Rarum carum est</t>
  </si>
  <si>
    <t>物以稀为贵</t>
  </si>
  <si>
    <t>Oro y jade por fuera y algodón podrido por dentro</t>
  </si>
  <si>
    <t>Aurum et iadis foris gossypium putridum intus</t>
  </si>
  <si>
    <t>金玉其外败絮其中</t>
  </si>
  <si>
    <t>Siembra melones y recogerás melones siembra habas y recogerás habas</t>
  </si>
  <si>
    <t>Sere melones et melones metes sere fabas et fabas metes</t>
  </si>
  <si>
    <t>Una receta que cambia el agua pero no la medicina</t>
  </si>
  <si>
    <t>Receptum quod aquam mutat sed non medicinam</t>
  </si>
  <si>
    <t>换汤不换药</t>
  </si>
  <si>
    <t>Las dichas no vienen a pares una desgracia no llega sola</t>
  </si>
  <si>
    <t>Felicitates non binae veniunt calamitas non sola advenit</t>
  </si>
  <si>
    <t>福无双至祸不单行</t>
  </si>
  <si>
    <t>Con el viento fuerte se conoce la resistencia de la hierba</t>
  </si>
  <si>
    <t>Vento forti firmitas herbae cognoscitur</t>
  </si>
  <si>
    <t>疾风知劲草</t>
  </si>
  <si>
    <t>Los escándalos de familia no deben trascender para afuera</t>
  </si>
  <si>
    <t>Scandala domestica foris transcendere non debent</t>
  </si>
  <si>
    <t>家丑不可外扬</t>
  </si>
  <si>
    <t>Recoger las semillas de sésamo pasando por alto las sandías</t>
  </si>
  <si>
    <t>Semina sesami colligere cucurbitas praeterire</t>
  </si>
  <si>
    <t>捡了芝麻丢了西瓜</t>
  </si>
  <si>
    <t>Quien ha atado el cascabel al cuello del tigre debe quitárselo por sí mismo</t>
  </si>
  <si>
    <t>Qui tintinnabulum collo tigris alligavit per se removere debet</t>
  </si>
  <si>
    <t>解铃还须系铃人</t>
  </si>
  <si>
    <t>La enfermedad entra por la boca y la desgracia sale de la boca</t>
  </si>
  <si>
    <t>Morbus per os intrat calamitas per os exit</t>
  </si>
  <si>
    <t>病从口入祸从口出</t>
  </si>
  <si>
    <t>En la desgracia habita la felicidad y en la felicidad se oculta la desgracia</t>
  </si>
  <si>
    <t>In calamitate felicitas habitat in felicitate calamitas latet</t>
  </si>
  <si>
    <t>祸兮福所倚福兮祸所伏</t>
  </si>
  <si>
    <t>Si escuchas a ambas partes se hará en ti la luz si escuchas a una sola permanecerás en las tinieblas</t>
  </si>
  <si>
    <t>Si utramque partem audis lux in te fiet si unam tantum audis in tenebris manebis</t>
  </si>
  <si>
    <t>兼听则明偏信则暗</t>
  </si>
  <si>
    <t>El soldado que ha huido cincuenta pasos se ríe del que lo ha hecho en cien pasos</t>
  </si>
  <si>
    <t>Miles qui quinquaginta passus fugit de eo qui centum fugit ridet</t>
  </si>
  <si>
    <t>五十步笑百步</t>
  </si>
  <si>
    <t>Llegado el carro al pie de la montaña se encontrará infaliblemente el camino</t>
  </si>
  <si>
    <t>Curru ad pedem montis pervento via infallibiliter invenietur</t>
  </si>
  <si>
    <t>车到山前必有路</t>
  </si>
  <si>
    <t>Con el tiempo que pasa se conoce el corazón del hombre</t>
  </si>
  <si>
    <t>Tempore progrediente cor hominis cognoscitur</t>
  </si>
  <si>
    <t>En aguas de extrema limpidez no puede haber peces y hombre extremadamente exigente no puede tener compañeros</t>
  </si>
  <si>
    <t>In aquis extremae puritatis pisces esse non possunt homo nimis exigens socios habere non potest</t>
  </si>
  <si>
    <t>水至清则无鱼人至察则无徒</t>
  </si>
  <si>
    <t>Tratar a los demás tal como lo tratan</t>
  </si>
  <si>
    <t>Alios tractare sicut tractatur</t>
  </si>
  <si>
    <t>以其人之道还治其人之身</t>
  </si>
  <si>
    <t>Preferir ser jade en añicos antes que una teja entera</t>
  </si>
  <si>
    <t>Malle iadem in fragmenta esse quam tegulam integram</t>
  </si>
  <si>
    <t>宁为玉碎不为瓦全</t>
  </si>
  <si>
    <t>Si el jade no es pulido resulta inútil</t>
  </si>
  <si>
    <t>Si iadis non politur inutilis est</t>
  </si>
  <si>
    <t>玉不琢不成器</t>
  </si>
  <si>
    <t>Uso tu propia lanza contra tu propio escudo</t>
  </si>
  <si>
    <t>Lancea tua contra scutum tuum utor</t>
  </si>
  <si>
    <t>以子之矛攻子之盾</t>
  </si>
  <si>
    <t>El agua fluye abajo y el hombre va arriba</t>
  </si>
  <si>
    <t>Aqua deorsum fluit homo sursum vadit</t>
  </si>
  <si>
    <t>水往底处流人往高处走</t>
  </si>
  <si>
    <t>Un chi puede resultar corto y un cun largo</t>
  </si>
  <si>
    <t>Chi brevis esse potest cun longus</t>
  </si>
  <si>
    <t>尺有所长寸有所短</t>
  </si>
  <si>
    <t>Cuando las puertas de la ciudad se incendian los peces en el foso sufren</t>
  </si>
  <si>
    <t>Cum portae urbis incenduntur pisces in fossa patiuntur</t>
  </si>
  <si>
    <t>城门失火殃及池鱼</t>
  </si>
  <si>
    <t>Una vez en la llanura incluso el tigre se ve a merced de un perro</t>
  </si>
  <si>
    <t>In planitie etiam tigris cani obnoxius videtur</t>
  </si>
  <si>
    <t>虎落平阳被狗欺</t>
  </si>
  <si>
    <t>Llorar el gato la muerte del ratón</t>
  </si>
  <si>
    <t>Feles mortem muris plorare</t>
  </si>
  <si>
    <t>猫哭老鼠假慈悲</t>
  </si>
  <si>
    <t>Más fácil es defenderse de una lanza arrojada a plena vista que de una flecha disparada desde la sombra</t>
  </si>
  <si>
    <t>Facilius est se defendere contra hastam in aperto iactam quam contra sagittam ex umbra emissam</t>
  </si>
  <si>
    <t>明枪易躲暗箭难防</t>
  </si>
  <si>
    <t>Al buen entendedor pocas palabras bastan</t>
  </si>
  <si>
    <t>Intelligenti pauca verba sufficiunt</t>
  </si>
  <si>
    <t>明人不必细说</t>
  </si>
  <si>
    <t>El ídolo hecho de barro que cruza el río no puede salvarse ni a sí mismo</t>
  </si>
  <si>
    <t>Idolum e luto factum quod flumen transit se ipsum salvare non potest</t>
  </si>
  <si>
    <t>泥菩萨过河自身难保</t>
  </si>
  <si>
    <t>Rotas las raíces del loto siguen unidas sus fibras</t>
  </si>
  <si>
    <t>Radicibus loti ruptis fibrae tamen unitae manent</t>
  </si>
  <si>
    <t>藕断丝连</t>
  </si>
  <si>
    <t>Los observadores ven más claro que los comprometidos en un asunto</t>
  </si>
  <si>
    <t>Spectatores clarius vident quam in negotio implicati</t>
  </si>
  <si>
    <t>旁观者清</t>
  </si>
  <si>
    <t>Arrojar un ladrillo para incitar a los demás a enseñar sus jades</t>
  </si>
  <si>
    <t>Laterem iacere ut alios incitet ut iades suos ostendant</t>
  </si>
  <si>
    <t>抛砖引玉</t>
  </si>
  <si>
    <t>La vara del carro hacia el sur y la rodada hacia el norte</t>
  </si>
  <si>
    <t>Hasta currus versus meridiem orbita versus septentrionem</t>
  </si>
  <si>
    <t>南辕北辙</t>
  </si>
  <si>
    <t>Entre mil consideraciones de un tonto debe haber una aceptable</t>
  </si>
  <si>
    <t>Inter mille cogitationes stulti una acceptabilis esse debet</t>
  </si>
  <si>
    <t>愚者千虑必有一得</t>
  </si>
  <si>
    <t>Abrir la fuente y disminuir el escape del agua</t>
  </si>
  <si>
    <t>Fontem aperire et effusionem aquae minuere</t>
  </si>
  <si>
    <t>开源节流</t>
  </si>
  <si>
    <t>Acomoda el apetito a la comida y haz el traje según la talla</t>
  </si>
  <si>
    <t>Appetitum cibis accommoda et vestem secundum mensuram fac</t>
  </si>
  <si>
    <t>看菜吃饭量体裁衣</t>
  </si>
  <si>
    <t>Completar el número de flautistas sin saber tocar la flauta</t>
  </si>
  <si>
    <t>Numerum tibicinum complere sine arte tibias canendi</t>
  </si>
  <si>
    <t>滥竽充数</t>
  </si>
  <si>
    <t>Hombres de la misma quinta se atraen pájaros de idéntico plumaje vuelan juntos</t>
  </si>
  <si>
    <t>Homines eiusdem quintae se attrahunt aves eiusdem plumae simul volant</t>
  </si>
  <si>
    <t>物以类聚人以群分</t>
  </si>
  <si>
    <t>Tomar lo innecesario quitar lo sobrante</t>
  </si>
  <si>
    <t>Necessarium capere superfluum removere</t>
  </si>
  <si>
    <t>取其精华去其糟粕</t>
  </si>
  <si>
    <t>Si no entras en la cueva del tigre cómo vas a conseguir sus cachorros</t>
  </si>
  <si>
    <t>Si in speluncam tigris non intras quomodo catulos eius consequi potes</t>
  </si>
  <si>
    <t>A falta de un clavo se perdió una herradura por falta de una herradura se perdió un caballo</t>
  </si>
  <si>
    <t>Clavo deficiente ferramentum periit ferramento deficiente equus periit</t>
  </si>
  <si>
    <t>千里之堤溃于蚁穴</t>
  </si>
  <si>
    <t>Seguir los pasos de los otros al pie de la letra</t>
  </si>
  <si>
    <t>Vestigia aliorum ad litteram sequi</t>
  </si>
  <si>
    <t>亦步亦趋</t>
  </si>
  <si>
    <t>Quien busca al pez debe mojarse</t>
  </si>
  <si>
    <t>Qui piscem quaerit madere debet</t>
  </si>
  <si>
    <t>不经风雨怎能见彩虹</t>
  </si>
  <si>
    <t>La cabeza del perro sirve para sustituir la carne de cordero</t>
  </si>
  <si>
    <t>Caput canis ad carnem agni substituendam servit</t>
  </si>
  <si>
    <t>狗头充羊肉</t>
  </si>
  <si>
    <t>Gira la rueda treinta años al este y treinta años al oeste</t>
  </si>
  <si>
    <t>Rota triginta annos ad orientem triginta ad occidentem girat</t>
  </si>
  <si>
    <t>三十年河东三十年河西</t>
  </si>
  <si>
    <t>Ayudar al brote a crecer tirándolo hacia arriba</t>
  </si>
  <si>
    <t>Germen adiuvare crescere trahendo sursum</t>
  </si>
  <si>
    <t>拔苗助长</t>
  </si>
  <si>
    <t>Quien no ha estado en la Gran Muralla no es un hombre de verdad</t>
  </si>
  <si>
    <t>Qui ad Magnam Murum non fuit homo verus non est</t>
  </si>
  <si>
    <t>不到长城非好汉</t>
  </si>
  <si>
    <t>Escupir sangre tras cada tres pasos</t>
  </si>
  <si>
    <t>Sanguinem post tres passus spuere</t>
  </si>
  <si>
    <t>三步一吐血</t>
  </si>
  <si>
    <t>La honradez es la mejor prenda</t>
  </si>
  <si>
    <t>Probitas optima dos est</t>
  </si>
  <si>
    <t>诚实为上策</t>
  </si>
  <si>
    <t>Labios rojos y dientes blancos</t>
  </si>
  <si>
    <t>Labra rubra dentes albi</t>
  </si>
  <si>
    <t>唇红齿白</t>
  </si>
  <si>
    <t>Seguir el camino al revés a propósito</t>
  </si>
  <si>
    <t>Viam contra propositum sequi</t>
  </si>
  <si>
    <t>反其道而行之</t>
  </si>
  <si>
    <t>Volver a la vieja costumbre</t>
  </si>
  <si>
    <t>Ad veterem consuetudinem reverti</t>
  </si>
  <si>
    <t>故技重施</t>
  </si>
  <si>
    <t>Aferrado a las viejas enseñanzas sin cambio</t>
  </si>
  <si>
    <t>Veteribus doctrinis sine mutatione inhaerens</t>
  </si>
  <si>
    <t>墨守成规</t>
  </si>
  <si>
    <t>Con el estómago lleno y sin nada que hacer</t>
  </si>
  <si>
    <t>Ventre pleno et nihil agendo</t>
  </si>
  <si>
    <t>饱食终日无所用心</t>
  </si>
  <si>
    <t>Estar sentado en la cima de la montaña para ver los tigres luchando</t>
  </si>
  <si>
    <t>In summo monte sedere ut tigres pugnantes videat</t>
  </si>
  <si>
    <t>坐山观虎斗</t>
  </si>
  <si>
    <t>Tener ojos pero no reconocer el Monte Tai</t>
  </si>
  <si>
    <t>Oculos habere sed Montem Tai non recognoscere</t>
  </si>
  <si>
    <t>有眼不识泰山</t>
  </si>
  <si>
    <t>Antes de empezar algo ya desistir a medio camino</t>
  </si>
  <si>
    <t>Antequam incipere iam in medio desistere</t>
  </si>
  <si>
    <t>半途而废</t>
  </si>
  <si>
    <t>Hablar sin pensar</t>
  </si>
  <si>
    <t>Loqui sine cogitare</t>
  </si>
  <si>
    <t>信口开河</t>
  </si>
  <si>
    <t>Decir al este y señalar al oeste</t>
  </si>
  <si>
    <t>Ad orientem dicere et ad occidentem monstrare</t>
  </si>
  <si>
    <t>说东道西</t>
  </si>
  <si>
    <t>Cuando el diablo viejo juega un papel el joven aprende el juego</t>
  </si>
  <si>
    <t>Cum daemon senex partem agit iuvenis ludum discit</t>
  </si>
  <si>
    <t>Poner las cosas en su sitio con orden y concierto</t>
  </si>
  <si>
    <t>Res suo loco cum ordine et consilio ponere</t>
  </si>
  <si>
    <t>井井有条</t>
  </si>
  <si>
    <t>Fingir inocencia después de obtener ventaja</t>
  </si>
  <si>
    <t>Innocentiam simulare post commodum obtentum</t>
  </si>
  <si>
    <t>得了便宜还卖乖</t>
  </si>
  <si>
    <t>El sabio no dice todo lo que piensa pero siempre piensa todo lo que dice</t>
  </si>
  <si>
    <t>Sapiens non omnia quae cogitat dicit sed semper omnia quae dicit cogitat</t>
  </si>
  <si>
    <t>智者不言言者不智</t>
  </si>
  <si>
    <t>Un proverbio vale más que mil palabras</t>
  </si>
  <si>
    <t>Proverbium plus quam mille verba valet</t>
  </si>
  <si>
    <t>一言胜千语</t>
  </si>
  <si>
    <t>Si tú eres paciente en un momento de ira escaparás a cien días de tristeza</t>
  </si>
  <si>
    <t>Si patiens es in momento irae centum diebus tristitiae effugies</t>
  </si>
  <si>
    <t>忍一时风平浪静</t>
  </si>
  <si>
    <t>Haz que tus actos parezcan naturales y mantente en sintonía con el curso de las cosas</t>
  </si>
  <si>
    <t>Actus tuos naturales videri fac et cum rerum cursu consentire</t>
  </si>
  <si>
    <t>顺其自然</t>
  </si>
  <si>
    <t>Cuando camines camina cuando comas come</t>
  </si>
  <si>
    <t>Cum ambules ambula cum edas ede</t>
  </si>
  <si>
    <t>行亦禅坐亦禅</t>
  </si>
  <si>
    <t>El sabio puede cambiar de opinión el necio nunca</t>
  </si>
  <si>
    <t>Sapiens sententiam mutare potest stultus numquam</t>
  </si>
  <si>
    <t>智者改过愚者文过</t>
  </si>
  <si>
    <t>No importa lo lento que vayas mientras no te detengas</t>
  </si>
  <si>
    <t>Non refert quam lente eas dummodo non subsistas</t>
  </si>
  <si>
    <t>不怕慢只怕站</t>
  </si>
  <si>
    <t>Una familia que come unida permanece unida</t>
  </si>
  <si>
    <t>Familia quae simul edit simul manet</t>
  </si>
  <si>
    <t>家和万事兴</t>
  </si>
  <si>
    <t>Cuando bebas agua recuerda su fuente</t>
  </si>
  <si>
    <t>Cum aquam bibas fontem eius memento</t>
  </si>
  <si>
    <t>饮水思源</t>
  </si>
  <si>
    <t>Si no puedes ser el sol sé una estrella</t>
  </si>
  <si>
    <t>Si sol esse non potes stella esto</t>
  </si>
  <si>
    <t>不能为日则为星</t>
  </si>
  <si>
    <t>Las palabras buenas procuran calor por tres inviernos las malas hieren incluso en junio</t>
  </si>
  <si>
    <t>Verba bona calorem per tres hiemes procurant mala etiam in Iunio vulnerant</t>
  </si>
  <si>
    <t>良言一句三冬暖恶语伤人六月寒</t>
  </si>
  <si>
    <t>El tiempo revela a las personas</t>
  </si>
  <si>
    <t>Tempus personas revelat</t>
  </si>
  <si>
    <t>Si quieres ser feliz toda tu vida aprende a trabajar</t>
  </si>
  <si>
    <t>Si vis felix tota vita esse laborem disce</t>
  </si>
  <si>
    <t>学会工作终生幸福</t>
  </si>
  <si>
    <t>La belleza está en los ojos de quien mira</t>
  </si>
  <si>
    <t>Pulchritudo in oculis spectantis est</t>
  </si>
  <si>
    <t>情人眼里出西施</t>
  </si>
  <si>
    <t>Aunque las flores sean bellas también se marchitan</t>
  </si>
  <si>
    <t>Quamvis flores pulchri sint etiam marcescunt</t>
  </si>
  <si>
    <t>Los errores del pasado son las lecciones del futuro</t>
  </si>
  <si>
    <t>Errores praeteriti lectiones futuri sunt</t>
  </si>
  <si>
    <t>前车之鉴</t>
  </si>
  <si>
    <t>Con dinero el diablo muele tu maíz sin dinero ni agua de la fuente</t>
  </si>
  <si>
    <t>Cum pecunia daemon frumentum tuum molit sine pecunia ne aquam e fonte</t>
  </si>
  <si>
    <t>有钱能使鬼推磨</t>
  </si>
  <si>
    <t>Si no trabajas no comes</t>
  </si>
  <si>
    <t>Si non laboras non edis</t>
  </si>
  <si>
    <t>不劳不食</t>
  </si>
  <si>
    <t>Quien siembra vientos recoge tempestades</t>
  </si>
  <si>
    <t>Qui ventos serit tempestates metit</t>
  </si>
  <si>
    <t>种风得暴</t>
  </si>
  <si>
    <t>Un libro es como un jardín que se lleva en el bolsillo</t>
  </si>
  <si>
    <t>Liber est velut hortus in sinu gestatus</t>
  </si>
  <si>
    <t>书是口袋里的花园</t>
  </si>
  <si>
    <t>Los libros son las abejas que llevan el polen de una inteligencia a otra</t>
  </si>
  <si>
    <t>Libri sunt apes quae pollen ab intelligentia ad aliam ferunt</t>
  </si>
  <si>
    <t>书籍是智慧的蜜蜂</t>
  </si>
  <si>
    <t>Leer sin meditar es como comer sin digerir</t>
  </si>
  <si>
    <t>Legere sine meditari est ut edere sine digerere</t>
  </si>
  <si>
    <t>读而不思如食而不化</t>
  </si>
  <si>
    <t>Cada libro abierto es un universo que te espera</t>
  </si>
  <si>
    <t>Liber quilibet apertus est universum quod te exspectat</t>
  </si>
  <si>
    <t>每本书都是一个宇宙</t>
  </si>
  <si>
    <t>Si hay luz en el alma habrá belleza en la persona</t>
  </si>
  <si>
    <t>Si lux in anima est pulchritudo in persona erit</t>
  </si>
  <si>
    <t>心中有光人必美</t>
  </si>
  <si>
    <t>La mejor inversión es en conocimiento</t>
  </si>
  <si>
    <t>Optima ratio in scientia est</t>
  </si>
  <si>
    <t>最好的投资是知识</t>
  </si>
  <si>
    <t>El que no sabe nada no duda de nada</t>
  </si>
  <si>
    <t>Qui nihil scit de nihilo dubitat</t>
  </si>
  <si>
    <t>无知者无畏</t>
  </si>
  <si>
    <t>Las palabras dulces multiplican los amigos las palabras amargas los disminuyen</t>
  </si>
  <si>
    <t>Verba dulcia amicos multiplicant verba amara minuunt</t>
  </si>
  <si>
    <t>甜言蜜语多朋友恶语伤人少知己</t>
  </si>
  <si>
    <t>No temas crecer lentamente teme solo quedarte quieto</t>
  </si>
  <si>
    <t>Ne timeas lente crescere time tantum quietum manere</t>
  </si>
  <si>
    <t>不怕慢就怕站</t>
  </si>
  <si>
    <t>El hombre superior es modesto en el hablar pero abundante en el obrar</t>
  </si>
  <si>
    <t>Homo superior modestus in loquendo sed abundans in operando</t>
  </si>
  <si>
    <t>君子讷于言而敏于行</t>
  </si>
  <si>
    <t>El fracaso es la madre del éxito</t>
  </si>
  <si>
    <t>Casus mater successus est</t>
  </si>
  <si>
    <t>失败是成功之母</t>
  </si>
  <si>
    <t>Donde hay una voluntad hay un camino</t>
  </si>
  <si>
    <t>Ubi voluntas est via est</t>
  </si>
  <si>
    <t>El que no puede soportar lo pequeño arruinará lo grande</t>
  </si>
  <si>
    <t>Qui parvum tolerare non potest magnum corrumpit</t>
  </si>
  <si>
    <t>小不忍则乱大谋</t>
  </si>
  <si>
    <t>La perseverancia todo lo alcanza</t>
  </si>
  <si>
    <t>Perseverantia omnia consequitur</t>
  </si>
  <si>
    <t>坚持到底就是胜利</t>
  </si>
  <si>
    <t>Iter mille millium passuum uno passu incipit</t>
  </si>
  <si>
    <t>千里之行始于足下</t>
  </si>
  <si>
    <t>Escucha a todos los consejos pero decide por ti mismo</t>
  </si>
  <si>
    <t>Omnia consilia audi sed per te ipsum decide</t>
  </si>
  <si>
    <t>El verdadero conocimiento es conocer la extensión de la propia ignorancia</t>
  </si>
  <si>
    <t>Vera scientia est scire quantum ignorantiae propriae</t>
  </si>
  <si>
    <t>知之为知之不知为不知是知也</t>
  </si>
  <si>
    <t>Si planeas para un año siembra arroz si para diez años planta árboles si para cien instruye al pueblo</t>
  </si>
  <si>
    <t>Si annum cogitas oryza sere si decem annos arbores planta si centum populum doce</t>
  </si>
  <si>
    <t>一年之计在于春十年树木百年树人</t>
  </si>
  <si>
    <t>El maestro abre la puerta pero tú debes entrar por ti mismo</t>
  </si>
  <si>
    <t>Magister portam aperit sed tu per te ipsum intrare debes</t>
  </si>
  <si>
    <t>La joya más preciosa que puedes llevar alrededor de tu cuello es tu cabeza</t>
  </si>
  <si>
    <t>Gemma pretiosissima quam circa collum ferre potes est caput tuum</t>
  </si>
  <si>
    <t>人最宝贵的是脑袋</t>
  </si>
  <si>
    <t>Cava el pozo antes de tener sed</t>
  </si>
  <si>
    <t>Puteum fode antequam sitias</t>
  </si>
  <si>
    <t>未雨绸缪</t>
  </si>
  <si>
    <t>La paciencia es un árbol de raíz amarga pero de frutos muy dulces</t>
  </si>
  <si>
    <t>Patientia arbor radicis amarae sed fructuum dulcissimorum est</t>
  </si>
  <si>
    <t>忍耐是苦根甜果</t>
  </si>
  <si>
    <t>Si el problema tiene solución para qué preocuparse si no tiene solución de qué sirve preocuparse</t>
  </si>
  <si>
    <t>Si problema solutionem habet quid sollicitari si non habet quid prodest sollicitari</t>
  </si>
  <si>
    <t>有解何必忧无解忧何用</t>
  </si>
  <si>
    <t>El hombre que ha cometido un error y no lo corrige comete otro error mayor</t>
  </si>
  <si>
    <t>Homo qui errorem commisit et non corrigit alium maiorem committit</t>
  </si>
  <si>
    <t>知错不改错上加错</t>
  </si>
  <si>
    <t>Aprende del pasado vive el presente construye el futuro</t>
  </si>
  <si>
    <t>Ex praeterito disce praesens vive futurum aedifica</t>
  </si>
  <si>
    <t>鉴往知来</t>
  </si>
  <si>
    <t>Las grandes almas tienen voluntades las débiles solo deseos</t>
  </si>
  <si>
    <t>Magnae animae voluntates habent debiles tantum cupiditates</t>
  </si>
  <si>
    <t>大志者有意志弱者只有欲望</t>
  </si>
  <si>
    <t>No corras tras la mariposa cuida tu jardín y ella vendrá</t>
  </si>
  <si>
    <t>Ne papilionem persequaris hortum tuum cole et veniet</t>
  </si>
  <si>
    <t>不追蝴蝶护花园蝶自来</t>
  </si>
  <si>
    <t>El bambú que se dobla es más fuerte que el roble que resiste</t>
  </si>
  <si>
    <t>Bambusa quae flectitur fortior est quam quercus quae resistit</t>
  </si>
  <si>
    <t>竹弯强于橡硬</t>
  </si>
  <si>
    <t>Cuando sopla el viento de cambio unos construyen muros y otros molinos de viento</t>
  </si>
  <si>
    <t>Cum ventus mutationis flat alii muros aedificant alii molendina venti</t>
  </si>
  <si>
    <t>变革之风起有人筑墙有人造风车</t>
  </si>
  <si>
    <t>Si das pescado a un hombre hambriento le nutres una jornada si le enseñas a pescar le nutrirás toda su vida</t>
  </si>
  <si>
    <t>Si piscem homini famelico das unum diem nutris si piscari doces totam vitam nutris</t>
  </si>
  <si>
    <t>授人以鱼不如授人以渔</t>
  </si>
  <si>
    <t>Las palabras amables pueden ser cortas y fáciles de decir pero sus ecos son infinitos</t>
  </si>
  <si>
    <t>Verba blanda brevia et facilia dictu esse possunt sed eorum resonantiae infinitae sunt</t>
  </si>
  <si>
    <t>良言一句暖三冬</t>
  </si>
  <si>
    <t>El sabio no acumula cuanto más da a los demás más tiene para sí</t>
  </si>
  <si>
    <t>Sapiens non accumulat quo plus aliis dat plus sibi habet</t>
  </si>
  <si>
    <t>圣人不积既以为人己愈有</t>
  </si>
  <si>
    <t>Aprender es como remar contra corriente en cuanto se deja se retrocede</t>
  </si>
  <si>
    <t>Discere est ut contra flumen remigare cum desinas retrocedis</t>
  </si>
  <si>
    <t>学如逆水行舟不进则退</t>
  </si>
  <si>
    <t>No le temas al avance lento témele solo a la inactividad</t>
  </si>
  <si>
    <t>Ne timeas progressum lentum time tantum inertiam</t>
  </si>
  <si>
    <t>La mayor gloria no está en no caer nunca sino en levantarse siempre</t>
  </si>
  <si>
    <t>Maxima gloria non est numquam cadere sed semper surgere</t>
  </si>
  <si>
    <t>最大的荣耀不在于从不跌倒而在于每次跌倒后都能站起来</t>
  </si>
  <si>
    <t>Las palabras tienen el poder de destruir y crear</t>
  </si>
  <si>
    <t>Verba vim destruendi et creandi habent</t>
  </si>
  <si>
    <t>言语能毁能创</t>
  </si>
  <si>
    <t>Si quieres conocer tu pasado mira tu presente si quieres conocer tu futuro mira tu presente</t>
  </si>
  <si>
    <t>Si praeteritum tuum cognoscere vis praesens aspice si futurum tuum cognoscere vis praesens aspice</t>
  </si>
  <si>
    <t>欲知过去现在是欲知未来现在是</t>
  </si>
  <si>
    <t>El éxito depende de la preparación previa y sin tal preparación seguro que hay fracaso</t>
  </si>
  <si>
    <t>Successus ex praeparatione priore pendet et sine tali praeparatione certe casus est</t>
  </si>
  <si>
    <t>成功靠准备无准备必败</t>
  </si>
  <si>
    <t>Quien conquista a otros es fuerte quien se conquista a sí mismo es poderoso</t>
  </si>
  <si>
    <t>Qui alios vincit fortis est qui se ipsum vincit potens est</t>
  </si>
  <si>
    <t>胜人者有力自胜者强</t>
  </si>
  <si>
    <t>Las palabras son como las flechas una vez lanzadas no regresan</t>
  </si>
  <si>
    <t>Verba sunt ut sagittae semel emissae non redeunt</t>
  </si>
  <si>
    <t>No busques la felicidad crea las condiciones para que ella te encuentre</t>
  </si>
  <si>
    <t>Ne felicitatem quaere conditiones crea ut te inveniat</t>
  </si>
  <si>
    <t>不求幸福创造条件让幸福找你</t>
  </si>
  <si>
    <t>El hombre que mueve una montaña comienza cargando pequeñas piedras</t>
  </si>
  <si>
    <t>Homo qui montem movet parvas petras portando incipit</t>
  </si>
  <si>
    <t>移山始于搬石</t>
  </si>
  <si>
    <t>La paciencia es poder con tiempo y paciencia la hoja de morera se convierte en seda</t>
  </si>
  <si>
    <t>Patientia potestas est tempore et patientia folium mori in sericum convertitur</t>
  </si>
  <si>
    <t>耐心就是力量</t>
  </si>
  <si>
    <t>Si la mente está dispuesta el cuerpo puede resistir cualquier cosa</t>
  </si>
  <si>
    <t>Si mens parata est corpus quidvis tolerare potest</t>
  </si>
  <si>
    <t>心若在身可承</t>
  </si>
  <si>
    <t>La felicidad no es hacer lo que uno quiere sino querer lo que uno hace</t>
  </si>
  <si>
    <t>Felicitas non est facere quod velis sed velle quod facias</t>
  </si>
  <si>
    <t>幸福不是做想做的而是想做所做的</t>
  </si>
  <si>
    <t>No tengas miedo de avanzar lentamente ten miedo solo de quedarte quieto</t>
  </si>
  <si>
    <t>Ne timeas lente progredi time tantum quietum stare</t>
  </si>
  <si>
    <t>莫怕慢行只怕止步</t>
  </si>
  <si>
    <t>El que pregunta es tonto por cinco minutos el que no pregunta es tonto para siempre</t>
  </si>
  <si>
    <t>Qui interrogat stultus quinque minutis est qui non interrogat stultus in perpetuum est</t>
  </si>
  <si>
    <t>问者愚五分钟不问者愚永远</t>
  </si>
  <si>
    <t>Las dificultades fortalecen la mente así como el trabajo fortalece el cuerpo</t>
  </si>
  <si>
    <t>Difficultates mentem confirmant sicut labor corpus confirmat</t>
  </si>
  <si>
    <t>困难强心劳动强身</t>
  </si>
  <si>
    <t>El éxito es la suma de pequeños esfuerzos repetidos día tras día</t>
  </si>
  <si>
    <t>Successus summa parvorum conatum die post diem repetitorum est</t>
  </si>
  <si>
    <t>成功是日复一日小努力的总和</t>
  </si>
  <si>
    <t>La verdadera sabiduría consiste en no aparentar que se sabe lo que no se sabe</t>
  </si>
  <si>
    <t>Vera sapientia consistit in non simulare se scire quod non sciat</t>
  </si>
  <si>
    <t>真智在于不装知不知</t>
  </si>
  <si>
    <t>El hombre sabio no atesora cuanto más ayuda a otros más se beneficia</t>
  </si>
  <si>
    <t>Homo sapiens non condit quo plus aliis auxiliatur plus prodest</t>
  </si>
  <si>
    <t>智者不藏愈助人愈得</t>
  </si>
  <si>
    <t>Las raíces profundas no temen al viento</t>
  </si>
  <si>
    <t>Radices profundae ventum non timent</t>
  </si>
  <si>
    <t>根深不怕风</t>
  </si>
  <si>
    <t>Quien no sonríe no debe abrir una tienda</t>
  </si>
  <si>
    <t>Qui non ridet tabernam aperire non debet</t>
  </si>
  <si>
    <t>不笑莫开店</t>
  </si>
  <si>
    <t>El comienzo es la parte más importante del trabajo</t>
  </si>
  <si>
    <t>Initium pars gravissima operis est</t>
  </si>
  <si>
    <t>开始是工作最重要的部分</t>
  </si>
  <si>
    <t>No importa cuán lento vayas siempre y cuando no te detengas</t>
  </si>
  <si>
    <t>慢无妨只要不停</t>
  </si>
  <si>
    <t>La vida es realmente simple pero insistimos en hacerla complicada</t>
  </si>
  <si>
    <t>Vita re vera simplex est sed insistimus eam complicatam facere</t>
  </si>
  <si>
    <t>生活本简单我们自复杂</t>
  </si>
  <si>
    <t>Con favores se conquista a los espíritus pequeños; a los nobles se les gana con afecto</t>
  </si>
  <si>
    <t>Favoribus animi parvi vincuntur nobilibus affectione capiuntur</t>
  </si>
  <si>
    <t>Μικροψυχίαις χάρισιν νικῶνται γενναίοις δὲ φιλίᾳ</t>
  </si>
  <si>
    <t>Jenofonte</t>
  </si>
  <si>
    <t>Κύρου Παιδεία, Βιβλίον Α, κεφ. 6</t>
  </si>
  <si>
    <t>La alabanza es el más dulce de todos los sonidos</t>
  </si>
  <si>
    <t>Laus dulcissima omnium sonorum est</t>
  </si>
  <si>
    <t>Ἐπαίνος γλυκυτάτη πάντων φωνή ἐστιν</t>
  </si>
  <si>
    <t>Οἰκονομικός 14.10</t>
  </si>
  <si>
    <t>El hombre cuerdo y prudente sabe sacar provecho incluso de sus enemigos</t>
  </si>
  <si>
    <t>Homo sapiens et prudens etiam ex hostibus commodum extrahere novit</t>
  </si>
  <si>
    <t>Φρόνιμος ἀνὴρ καὶ ἐξ ἐχθρῶν ὠφελεῖσθαι οἶδεν</t>
  </si>
  <si>
    <t>Ἀπομνημονεύματα, Βιβλίον Γ, κεφ. 11</t>
  </si>
  <si>
    <t>Interrogar es enseñar</t>
  </si>
  <si>
    <t>Interrogare docere est</t>
  </si>
  <si>
    <t>Ἐρωτᾶν διδάσκειν ἐστίν</t>
  </si>
  <si>
    <t>Ἀπομνημονεύματα, Βιβλίον Α</t>
  </si>
  <si>
    <t>La obediencia voluntaria siempre es mejor que la forzada</t>
  </si>
  <si>
    <t>Oboedientia voluntaria semper melior est quam coacta</t>
  </si>
  <si>
    <t>Ἡ ἑκούσια πειθὼ κρείττων τῆς βιαίας</t>
  </si>
  <si>
    <t>Κύρου Παιδεία, Βιβλίον Β</t>
  </si>
  <si>
    <t>Lo que es bello y honesto los dioses no lo conceden sin trabajo</t>
  </si>
  <si>
    <t>Quicquid pulchrum et honestum est dii hominibus non concedunt nisi pretio laboris et assiduitate</t>
  </si>
  <si>
    <t>Ὅσα καλὰ καὶ τίμια ἐστίν οἱ θεοὶ οὐ δωρεάν διδόασι τοῖς ἀνθρώποις ἀλλὰ διὰ πόνου</t>
  </si>
  <si>
    <t>Οἰκονομικός 3.5</t>
  </si>
  <si>
    <t>Es difícil actuar libre de faltas, incluso si ninguna se comete</t>
  </si>
  <si>
    <t>Difficile est agere ut quis liber culpis videatur</t>
  </si>
  <si>
    <t>Χαλεπὸν ἀναμάρτητον εἶναι</t>
  </si>
  <si>
    <t>Ἀπομνημονεύματα 1.3</t>
  </si>
  <si>
    <t>Cada cual debe esforzarse como si fuera principal causante de la victoria</t>
  </si>
  <si>
    <t>Unusquisque laborare debet ut credat se praecipuam causam victoriae esse</t>
  </si>
  <si>
    <t>Ἕκαστον δεῖ οὕτω φιλοτιμεῖσθαι ὡς αὐτὸν μάλιστα αἴτιον τῆς νίκης</t>
  </si>
  <si>
    <t>Ἀνάβασις ΙΙ.6</t>
  </si>
  <si>
    <t>No puede existir un valor digno de alabanza si no va acompañado de prudencia</t>
  </si>
  <si>
    <t>Non potest existere virtus laude digna nisi prudentia comitetur</t>
  </si>
  <si>
    <t>Οὐκ ἔστιν ἐπαινετὴ ἀνδρεία ἄνευ φρονήσεως</t>
  </si>
  <si>
    <t>Κύρου Παιδεία, Βιβλίον Δ</t>
  </si>
  <si>
    <t>Muchos han sucumbido por proyectos demasiado grandes creyéndose fuertes</t>
  </si>
  <si>
    <t>Quam multi succubuerunt infortunio propter consilia nimis vasta tantum quia se fortes sentiebant</t>
  </si>
  <si>
    <t>Πόσοι ἀπώλοντο διὰ τὸ μεγάλα φρονεῖν ἰσχυροὶ ὄντες</t>
  </si>
  <si>
    <t>Κύρου Παιδεία, Βιβλίον Γ</t>
  </si>
  <si>
    <t>Consulta el ojo de tu enemigo pues es el primero que ve tus defectos</t>
  </si>
  <si>
    <t>Conspice oculum inimici tui primus enim vitia tua videt</t>
  </si>
  <si>
    <t>Σκέψαι τὸν ὀφθαλμὸν τοῦ ἐχθροῦ σου πρῶτος γὰρ τὰ ἐλαττώματά σου βλέπει</t>
  </si>
  <si>
    <t>Antístenes</t>
  </si>
  <si>
    <t>Διογένης Λαέρτιος, Βίοι καὶ γνῶμαι τῶν ἐν φιλοσοφίᾳ εὐδοκιμησάντων, Βιβλίον ΣΤ, frag. 55</t>
  </si>
  <si>
    <t>Los cuervos devoran a los muertos y los aduladores a los vivos</t>
  </si>
  <si>
    <t>Corvi mortuos devorant adulatores vivos</t>
  </si>
  <si>
    <t>Οἱ κόρακες τοὺς νεκροὺς κατεσθίουσιν οἱ κόλακες τοὺς ζῶντας</t>
  </si>
  <si>
    <t>Στοβαῖος, Ἀνθολόγιον, Α, 27</t>
  </si>
  <si>
    <t>Las pasiones tienen causas y no principios</t>
  </si>
  <si>
    <t>Passiones causas habent non principia</t>
  </si>
  <si>
    <t>Τὰ πάθη αἰτίας ἔχει οὐκ ἀρχάς</t>
  </si>
  <si>
    <t>Αὔλος Γέλλιος, Ἀττικαὶ Νύκτες, ΙΓ, 18</t>
  </si>
  <si>
    <t>Prefiero la locura a la voluptuosidad</t>
  </si>
  <si>
    <t>Mallem insanire quam voluptate frui</t>
  </si>
  <si>
    <t>Μᾶλλον ἂν μανείην ἢ ἡσθείην</t>
  </si>
  <si>
    <t>Διογένης Λαέρτιος, Βιβλίον ΣΤ, frag. 65</t>
  </si>
  <si>
    <t>Principio de la educación es el examen de los términos</t>
  </si>
  <si>
    <t>Principium educationis est examen nominum</t>
  </si>
  <si>
    <t>Ἀρχὴ παιδεύσεως ἡ τῶν ὀνομάτων ἐπίσκεψις</t>
  </si>
  <si>
    <t>Σέξτος Ἐμπειρικός, Πρὸς Μαθηματικούς, Β, 27</t>
  </si>
  <si>
    <t>No huyáis jamás del trabajo</t>
  </si>
  <si>
    <t>Ne fugiatis laborem</t>
  </si>
  <si>
    <t>Μὴ φεύγετε τὸν πόνον ἀγαθός ἐστι καὶ βελτίους ποιεῖ</t>
  </si>
  <si>
    <t>Διογένης Λαέρτιος, Βιβλίον ΣΤ, frag. 73</t>
  </si>
  <si>
    <t>La virtud se basta a sí misma para la felicidad</t>
  </si>
  <si>
    <t>Virtus sibi sufficiens ad felicitatem</t>
  </si>
  <si>
    <t>Ἀρετὴ αὔταρκες εἰς εὐδαιμονίαν</t>
  </si>
  <si>
    <t>Διογένης Λαέρτιος, Βιβλίον ΣΤ, frag. 12</t>
  </si>
  <si>
    <t>Si hablan mal de vosotros soportadlo con paciencia</t>
  </si>
  <si>
    <t>Si male de vobis loquuntur ferte patienter</t>
  </si>
  <si>
    <t>Εἰ κακῶς λέγουσιν ὑμᾶς φέρετε</t>
  </si>
  <si>
    <t>Στοβαῖος, Ἀνθολόγιον, Α, 33</t>
  </si>
  <si>
    <t>Cuidaos de que os alaben los malos</t>
  </si>
  <si>
    <t>Cavete ne vos mali laudent</t>
  </si>
  <si>
    <t>Φυλάξασθε μὴ ὑμᾶς πονηροὶ ἐπαινῶσιν</t>
  </si>
  <si>
    <t>Στοβαῖος, Α, 30</t>
  </si>
  <si>
    <t>Lo primero es desaprender el mal</t>
  </si>
  <si>
    <t>Primum opus est dediscere malum quod didicimus</t>
  </si>
  <si>
    <t>Πρῶτον ἔργον τὸ ἀπομανθάνειν τὸ κακὸν ὃ ἐμάθομεν</t>
  </si>
  <si>
    <t>Διογένης Λαέρτιος, Βιβλίον ΣΤ, frag. 67</t>
  </si>
  <si>
    <t>Cada alma es y se convierte en lo que contempla</t>
  </si>
  <si>
    <t>Quaeque anima est et fit quod contemplatur</t>
  </si>
  <si>
    <t>Ἑκάστη ψυχὴ ἐστι καὶ γίνεται ὃ θεωρεῖ</t>
  </si>
  <si>
    <t>Plotino</t>
  </si>
  <si>
    <t>Ἐννεάδες IV.3.10</t>
  </si>
  <si>
    <t>El alma humana encerrada en el cuerpo padece sufrimiento</t>
  </si>
  <si>
    <t>Anima humana in corpore clausa patitur</t>
  </si>
  <si>
    <t>Ἡ ἀνθρωπίνη ψυχὴ ἐν τῷ σώματι κλειομένη πάσχει</t>
  </si>
  <si>
    <t>Ἐννεάδες II.9.5</t>
  </si>
  <si>
    <t>Es debilidad no inquietarnos por males ajenos</t>
  </si>
  <si>
    <t>Infirmitas est non sollicitari malis alienis</t>
  </si>
  <si>
    <t>Ἀσθένεια φανερά ἐστι μὴ ἀγωνιᾶν</t>
  </si>
  <si>
    <t>Ἐννεάδες IV.3.14</t>
  </si>
  <si>
    <t>Estoy esforzándome por reconducir lo divino en nosotros</t>
  </si>
  <si>
    <t>Conor reducere divinum in nobis</t>
  </si>
  <si>
    <t>Πειρῶμαι ἀναγαγεῖν τὸ θεῖον ἐν ἡμῖν</t>
  </si>
  <si>
    <t>Ἐννεάδες VI.9.12</t>
  </si>
  <si>
    <t>La grandeza de espíritu consiste en despreciar las cosas de este mundo</t>
  </si>
  <si>
    <t>Magnitudo animi consistit in contemnendis rebus mundi huius</t>
  </si>
  <si>
    <t>Μεγαλοψυχία ἐν τῷ καταφρονεῖν</t>
  </si>
  <si>
    <t>Ἐννεάδες IV.3.19</t>
  </si>
  <si>
    <t>Morir es cambiar de cuerpo como actor cambia de traje</t>
  </si>
  <si>
    <t>Mori est corpus mutare sicut histrio vestem</t>
  </si>
  <si>
    <t>Ἀποθνήσκειν ἐστὶ μεταβάλλειν σῶμα ὥσπερ ὑποκριτὴς</t>
  </si>
  <si>
    <t>Ἐννεάδες III.8.7</t>
  </si>
  <si>
    <t>Nuestro afán no es estar libre del pecado sino ser Dios</t>
  </si>
  <si>
    <t>Studium nostrum non est sine peccato esse sed Deus esse</t>
  </si>
  <si>
    <t>Ἡ σπουδὴ ἡμῶν οὐκ ἐν τῷ ἀναμάρτητον εἶναι</t>
  </si>
  <si>
    <t>Ἐννεάδες VI.7.10</t>
  </si>
  <si>
    <t>Ser o pensar es lo mismo</t>
  </si>
  <si>
    <t>Esse aut cogitare idem est</t>
  </si>
  <si>
    <t>Εἶναι ἢ νοεῖν ταὐτόν ἐστι</t>
  </si>
  <si>
    <t>Ἐννεάδες V.5.1</t>
  </si>
  <si>
    <t>Todo cuerpo está en el alma</t>
  </si>
  <si>
    <t>Omne corpus in anima est</t>
  </si>
  <si>
    <t>Πᾶν σῶμα ἐν ψυχῇ ἀλλ᾽ οὐ πᾶσα ψυχὴ ἐν σώματι</t>
  </si>
  <si>
    <t>Ἐννεάδες II.4.8</t>
  </si>
  <si>
    <t>El Uno está en todas partes y en ninguna</t>
  </si>
  <si>
    <t>Unum ubique est et nusquam</t>
  </si>
  <si>
    <t>Τὸ Ἓν πανταχοῦ καὶ οὐδαμοῦ</t>
  </si>
  <si>
    <t>Ἐννεάδες VI.9.1</t>
  </si>
  <si>
    <t>La patria nuestra es de donde partimos</t>
  </si>
  <si>
    <t>Patria nostra est unde profecti sumus</t>
  </si>
  <si>
    <t>Ἡ πατρὶς ἡμῶν ἐκείνη ἐστὶν ὅθεν ἤλθομεν</t>
  </si>
  <si>
    <t>Ἐννεάδες IV.4.21</t>
  </si>
  <si>
    <t>El alma es palabra de la Inteligencia</t>
  </si>
  <si>
    <t>Anima verbum Intellectus est</t>
  </si>
  <si>
    <t>Ἡ ψυχὴ λόγος τοῦ Νοῦ ἐστιν ἐνέργεια ὅλη</t>
  </si>
  <si>
    <t>Ἐννεάδες V.3.8</t>
  </si>
  <si>
    <t>Allí arriba el hombre es todo ojo</t>
  </si>
  <si>
    <t>Ibi sursum homo totus oculus est</t>
  </si>
  <si>
    <t>Ἐκεῖ ἄνω ὁ ἄνθρωπος ὅλος ὀφθαλμός ἐστι</t>
  </si>
  <si>
    <t>Ἐννεάδες IV.4.6</t>
  </si>
  <si>
    <t>La belleza es el resplandor de la verdad</t>
  </si>
  <si>
    <t>Pulchritudo splendor veritatis est</t>
  </si>
  <si>
    <t>Τὸ κάλλος λαμπρότης τῆς ἀληθείας ἐστίν</t>
  </si>
  <si>
    <t>Ἐννεάδες IV.3.22</t>
  </si>
  <si>
    <t>Huye de todo lo corpóreo y corre hacia el Uno</t>
  </si>
  <si>
    <t>Fuge omne corporeum et curre ad Unum</t>
  </si>
  <si>
    <t>Φεῦγε πᾶν σωματικὸν καὶ τρέχε πρὸς τὸ Ἕν</t>
  </si>
  <si>
    <t>Ἐννεάδες VI.9.5</t>
  </si>
  <si>
    <t>El alma no puede recordar nada de Dios si antes no se hace semejante a Él</t>
  </si>
  <si>
    <t>Anima nihil de Deo meminisse potest nisi prius ei similis fiat</t>
  </si>
  <si>
    <t>Ἡ ψυχὴ οὐδὲν τοῦ Θεοῦ μνημονεῦσαι δύναται</t>
  </si>
  <si>
    <t>Ἐννεάδες V.8.6</t>
  </si>
  <si>
    <t>La virtud es suficiente para la felicidad</t>
  </si>
  <si>
    <t>Virtus sufficiens ad felicitatem est</t>
  </si>
  <si>
    <t>Ἡ ἀρετὴ ἱκανὴ πρὸς εὐδαιμονίαν ἄνευ ἐξωτερικῶν</t>
  </si>
  <si>
    <t>La vida allá arriba es fácil y la verdad es madre</t>
  </si>
  <si>
    <t>Vita ibi sursum facilis est et veritas mater</t>
  </si>
  <si>
    <t>Ἡ ζωὴ ἐκεῖ ἄνω ῥᾳδία καὶ ἡ ἀλήθεια μήτηρ τῶν ὄντων</t>
  </si>
  <si>
    <t>Ἐννεάδες IV.3.24</t>
  </si>
  <si>
    <t>Cerrar los ojos y despertar a otra manera de ver</t>
  </si>
  <si>
    <t>Claude oculos et evigila ad alium modum videndi</t>
  </si>
  <si>
    <t>Κλεῖσαι τοὺς ὀφθαλμοὺς καὶ ἐγερθῆναι εἰς ἄλλον τρόπον βλέποντα</t>
  </si>
  <si>
    <t>Ἐννεάδες V.4.11</t>
  </si>
  <si>
    <t>Así se hunde la mente en la profunda desesperación cuando las tormentas de la vida aumentan el peso de las preocupaciones terrenales</t>
  </si>
  <si>
    <t>Sic mens profunda desperatione demergitur cum vitae procellae terrenorum onerum pondus augent</t>
  </si>
  <si>
    <t>Sic mens in profundam desperationem mergitur cum vitae tempestates terrarum curarum pondus augent</t>
  </si>
  <si>
    <t>Boecio</t>
  </si>
  <si>
    <t>De Consolatione Philosophiae, sec. VI</t>
  </si>
  <si>
    <t>Que los hombres se compongan y vivan en paz, pongan el destino altivo bajo sus pies y miren impasibles la buena y la mala fortuna</t>
  </si>
  <si>
    <t>Ut homines se componant pacemque colant fatum superbum pedibus calcent bona malaque fortuna aequo animo intueantur</t>
  </si>
  <si>
    <t>Ut homines se componant et in pace vivant fatum superbum sub pedibus ponant et aequo animo bonam malamque fortunam spectent</t>
  </si>
  <si>
    <t>Ningún hombre es tan completamente feliz que algo en algún lugar no choque con su condición</t>
  </si>
  <si>
    <t>Nemo tam plene felix est quin aliquid alicubi condicioni suae repugnet</t>
  </si>
  <si>
    <t>Nullus homo tam omnino felix est ut aliquid alicubi cum condicione sua non pugnet</t>
  </si>
  <si>
    <t>¿Por qué entonces vosotros, hombres mortales, buscáis la felicidad fuera de vosotros mismos, cuando esta reside dentro de vosotros?</t>
  </si>
  <si>
    <t>Cur igitur mortales felicitatem extra vos quaeritis cum ea intus in vobis habitet</t>
  </si>
  <si>
    <t>Cur igitur vos homines mortales felicitatem extra vosmetipsos quaeritis cum haec intus in vobis resideat</t>
  </si>
  <si>
    <t>Si la felicidad es el bien supremo, la Fortuna, por su mutabilidad, no puede esperar conducir a la felicidad</t>
  </si>
  <si>
    <t>Si felicitas summum bonum est Fortuna propter mutabilitatem ad felicitatem perducere non potest</t>
  </si>
  <si>
    <t>Si felicitas summum bonum est Fortuna per mutabilitatem suam non potest sperare ad felicitatem ducere</t>
  </si>
  <si>
    <t>Muchos hombres han sido famosos en su tiempo, pero su memoria ha perecido porque no hubo historiadores que escribieran sobre ellos</t>
  </si>
  <si>
    <t>Multi homines suo aevo celebres fuere sed memoria eorum interiit quia scriptores defuere</t>
  </si>
  <si>
    <t>Multi homines suo tempore famosi fuerunt sed eorum memoria periit quia non fuerunt historici qui de eis scriberent</t>
  </si>
  <si>
    <t>El mundo en constante cambio mantiene una armonía, y los elementos mantienen la paz cuya naturaleza es guerrear</t>
  </si>
  <si>
    <t>Mundus continua mutatione harmoniam servat, elementa pacem tenent quorum natura est pugnare</t>
  </si>
  <si>
    <t>Mundus in constanti mutatione harmoniam servat et elementa pacem servant quorum natura est bellare</t>
  </si>
  <si>
    <t>El amor mantiene a las personas unidas por el vínculo sagrado y teje el santo lazo del puro amor</t>
  </si>
  <si>
    <t>Amor homines sacro foedere coniungit sanctumque vinculum puri amoris texet</t>
  </si>
  <si>
    <t>Amor personas coniunctas tenet sacro vinculo et sanctum nexum puri amoris nectit</t>
  </si>
  <si>
    <t>Oh, feliz raza de hombres, si el Amor que rige el cielo pudiera gobernar también vuestros corazones</t>
  </si>
  <si>
    <t>O felix mortalium genus si Amor qui caelum regit corda etiam vestra gubernaret</t>
  </si>
  <si>
    <t>O felix hominum genus si Amor qui caelum regit corda quoque vestra regere posset</t>
  </si>
  <si>
    <t>Quien desea sembrar en suelo virgen, primero debe despojar los campos de maleza y arbustos</t>
  </si>
  <si>
    <t>Qui in virgine solo serere vult prius agros zizaniis et vepribus purgare debet</t>
  </si>
  <si>
    <t>Qui seminare desiderat in solo virgine prius debet agros a herbis et fruticibus purgare</t>
  </si>
  <si>
    <t>En toda la dedicación con la que se afanan en innumerables empresas, los mortales transitan caminos diferentes, aunque todos luchan por alcanzar un mismo objetivo: la felicidad</t>
  </si>
  <si>
    <t>Omni studio quo innumeris negotiis laborant mortales diversa itinera pergunt, quamquam omnes ad eundem finem felicitatem contendant</t>
  </si>
  <si>
    <t>In omni dedicatione qua in innumeris inceptis laborant mortales vias diversas transeunt licet omnes pro eodem fine felicitate contendant</t>
  </si>
  <si>
    <t>La felicidad es un estado perfeccionado por la presencia de todo lo que es bueno</t>
  </si>
  <si>
    <t>Felicitas status perfectus est bonorum omnium congregatione perfectus</t>
  </si>
  <si>
    <t>Felicitas est status perfectus praesentia omnium quae bona sunt</t>
  </si>
  <si>
    <t>No hay duda de que estos caminos hacia la felicidad son desvíos y no pueden llevarnos al destino que prometen</t>
  </si>
  <si>
    <t>Haud dubium est has vias ad felicitatem devia esse nec posse nos quo promittunt perducere</t>
  </si>
  <si>
    <t>Non est dubium quin hae viae ad felicitatem diverticula sint nec possint nos ad destinationem quam promittunt ducere</t>
  </si>
  <si>
    <t>Dichoso el hombre cuyos ojos una vez pudieron percibir la resplandeciente fuente del bien</t>
  </si>
  <si>
    <t>Beatus homo cuius oculi splendorem fontis boni semel videre potuerunt</t>
  </si>
  <si>
    <t>Beatus homo cuius oculi semel lucentem fontem boni percipere potuerunt</t>
  </si>
  <si>
    <t>La mayor causa de mi tristeza es que, a pesar de contar con un buen timonel que guíe al mundo, el mal puede existir</t>
  </si>
  <si>
    <t>Maxima tristitiae meae causa est quod quamvis bonus rector mundum gubernet malum esse potest</t>
  </si>
  <si>
    <t>Maxima causa tristitiae meae est quod licet bonus gubernator mundum regat malum existere potest</t>
  </si>
  <si>
    <t>Los buenos son siempre fuertes y los malvados siempre humildes y débiles</t>
  </si>
  <si>
    <t>Boni semper validi, mali semper imbecilles ac debiles</t>
  </si>
  <si>
    <t>Boni semper fortes sunt et mali semper humiles et debiles</t>
  </si>
  <si>
    <t>La bondad misma se establece como una especie de recompensa común de la actividad humana</t>
  </si>
  <si>
    <t>Bonitas ipsa velut commune praemium humanae actionis constituitur</t>
  </si>
  <si>
    <t>Bonitas ipsa constituitur ut quaedam merces communis humanae activitatis</t>
  </si>
  <si>
    <t>Veamos lo que decreta la ley eterna: si has dirigido tu mente a cosas más elevadas, eres tú mismo quien te has llevado a un estado más excelente</t>
  </si>
  <si>
    <t>Videamus quid aeterna lex decernat si mentem ad altiora direxisti, te ipsum ad excellentiorem statum provexisti</t>
  </si>
  <si>
    <t>Videamus quid lex aeterna decernit si mentem tuam ad altiora direxisti tu ipse es qui te ad statum excellentiorem tulisti</t>
  </si>
  <si>
    <t>No existe tal cosa como la casualidad, y es una palabra completamente sin sentido</t>
  </si>
  <si>
    <t>Non est res talis ut casus et est vox plane sine mente</t>
  </si>
  <si>
    <t>Non existit talis res ut casus et est verbum omnino sine sensu</t>
  </si>
  <si>
    <t>Hay libertad, pues sería imposible que existiera alguna naturaleza racional sin ella</t>
  </si>
  <si>
    <t>Libertas est nam fieri non potest ut natura rationalis sine ea sit</t>
  </si>
  <si>
    <t>Est libertas nam impossibile esset ut natura rationalis aliqua sine ea existeret</t>
  </si>
  <si>
    <t>La voluntad es más noble que el intelecto porque el amor une mientras el conocimiento separa</t>
  </si>
  <si>
    <t>Voluntas nobilior est quam intellectus quia amor coniungit cognitio vero dividit</t>
  </si>
  <si>
    <t>Voluntas nobilior est intellectu quia amor unit dum cognitio separat</t>
  </si>
  <si>
    <t>Juan Duns Escoto</t>
  </si>
  <si>
    <t>Ordinatio, sec. XIII–XIV</t>
  </si>
  <si>
    <t>Dios no ama porque algo sea bueno, sino que algo es bueno porque Dios lo ama</t>
  </si>
  <si>
    <t>Deus non amat quia res bona est sed res bona est quia Deus eam amat</t>
  </si>
  <si>
    <t>Deus non amat quia aliquid bonum est sed aliquid bonum est quia Deus illud amat</t>
  </si>
  <si>
    <t>La libertad no consiste en poder elegir entre el bien y el mal, sino en la capacidad de autodeterminación</t>
  </si>
  <si>
    <t>Libertas non in electione inter bonum et malum consistit sed in capacitate se ipsum determinandi</t>
  </si>
  <si>
    <t>Libertas non consistit in potentia eligendi inter bonum et malum sed in capacitate autodeterminationis</t>
  </si>
  <si>
    <t>Todo lo que no es imposible puede ser realizado por Dios</t>
  </si>
  <si>
    <t>Quodcumque non implicat contradictionem a Deo fieri potest</t>
  </si>
  <si>
    <t>Omne quod non est impossibile potest a Deo fieri</t>
  </si>
  <si>
    <t>El ser se dice unívocamente de Dios y de las criaturas</t>
  </si>
  <si>
    <t>Ens univoce praedicatur de Deo et creaturis</t>
  </si>
  <si>
    <t>Ens univoce dicitur de Deo et de creaturis</t>
  </si>
  <si>
    <t>La materia no es pura potencia, sino que tiene su propia actualidad</t>
  </si>
  <si>
    <t>Materia non est pura potentialitas sed suam habet actualitatem</t>
  </si>
  <si>
    <t>Materia non est pura potentia sed habet propriam actualitatem</t>
  </si>
  <si>
    <t>Cristo habría venido aunque no hubiera habido pecado</t>
  </si>
  <si>
    <t>Christus incarnatus fuisset etiam si Adam non peccasset</t>
  </si>
  <si>
    <t>Christus venisset etsi peccatum non fuisset</t>
  </si>
  <si>
    <t>La Inmaculada Concepción es razonable: pues Dios pudo hacerlo, fue conveniente hacerlo, luego lo hizo</t>
  </si>
  <si>
    <t>Potuit decuit ergo fecit</t>
  </si>
  <si>
    <t>Immaculata Conceptio rationabilis est quia Deus potuit facere decuit facere ergo fecit</t>
  </si>
  <si>
    <t>Lo que es más perfecto debe atribuirse a María</t>
  </si>
  <si>
    <t>Quod excellentius est de Maria tenendum est</t>
  </si>
  <si>
    <t>Quod perfectius est Mariae attribuendum est</t>
  </si>
  <si>
    <t>La caridad perfecciona la voluntad, como la sabiduría perfecciona el intelecto</t>
  </si>
  <si>
    <t>Charitas voluntatem perficit sicut sapientia intellectum</t>
  </si>
  <si>
    <t>Caritas perficit voluntatem sicut sapientia perficit intellectum</t>
  </si>
  <si>
    <t>Cada individuo posee su propia haecceitas, que lo hace ser este y no otro</t>
  </si>
  <si>
    <t>Quodlibet individuum habet suam haecceitatem qua est hoc et non illud</t>
  </si>
  <si>
    <t>Unusquisque individuum propriam habet haecceitatem quae facit ipsum esse hoc et non aliud</t>
  </si>
  <si>
    <t>La ciencia teológica es práctica antes que especulativa</t>
  </si>
  <si>
    <t>Theologia magis practica est quam speculativa</t>
  </si>
  <si>
    <t>Scientia theologica practica est potius quam speculativa</t>
  </si>
  <si>
    <t>Dios ama con un amor de predilección a quien quiere amar</t>
  </si>
  <si>
    <t>Deus diligit amore electionis quemcumque vult</t>
  </si>
  <si>
    <t>Deus amat amore praedilectionis quem vult amare</t>
  </si>
  <si>
    <t>Las visiones que contemplé nunca las percibí durante el sueño, ni en el reposo, ni en el delirio</t>
  </si>
  <si>
    <t>Visiones quas contemplata sum numquam percepi in somno nec in quiete nec in delirio</t>
  </si>
  <si>
    <t>Hildegarda de Bingen</t>
  </si>
  <si>
    <t>Scivias, sec. XII</t>
  </si>
  <si>
    <t>Lo que no veo lo desconozco, puesto que no soy docta</t>
  </si>
  <si>
    <t>Quod non video ignoro quoniam non sum docta</t>
  </si>
  <si>
    <t>Escucha: hay un Rey en la montaña, sentado en su trono, rodeado por sus columnas</t>
  </si>
  <si>
    <t>Audi est Rex in monte sedens in throno suo circumdatus columnis suis</t>
  </si>
  <si>
    <t>El alma es sinfónica</t>
  </si>
  <si>
    <t>Anima symphonica est</t>
  </si>
  <si>
    <t>La creación entera está llamada a ser una sinfonía de alabanza al Creador</t>
  </si>
  <si>
    <t>Creatio tota vocata est ut sit symphonia laudis Creatori</t>
  </si>
  <si>
    <t>Oh fuego del Espíritu Santo, vida de la vida de toda criatura, santo eres al dar vida a las formas</t>
  </si>
  <si>
    <t>O ignis Spiritus Sancti vita vitae omnis creaturae sanctus es vivificando formas</t>
  </si>
  <si>
    <t>El ser humano es un instrumento de la sinfonía de Dios</t>
  </si>
  <si>
    <t>Homo instrumentum est symphoniae Dei</t>
  </si>
  <si>
    <t>La viriditas es el poder de reverdecimiento, la fuerza vital que Dios infunde en toda la creación</t>
  </si>
  <si>
    <t>Viriditas potestas revirescentiae est vis vitalis quam Deus in omnem creationem infundit</t>
  </si>
  <si>
    <t>El alma es el soplo de vida del cuerpo; el cuerpo es la sombra del alma</t>
  </si>
  <si>
    <t>Anima spiritus vitae corporis est, corpus umbra animae est</t>
  </si>
  <si>
    <t>Mujer luminosa: el cielo no tiene otra luz que la de la lámpara</t>
  </si>
  <si>
    <t>Mulier lucida caelum non habet aliam lucem quam lucernae</t>
  </si>
  <si>
    <t>La palabra profética es como el resplandor del relámpago</t>
  </si>
  <si>
    <t>Verbum propheticum est sicut splendor fulguris</t>
  </si>
  <si>
    <t>La naturaleza entera está al servicio del hombre, pero el hombre debe estar al servicio de Dios</t>
  </si>
  <si>
    <t>Natura tota in servitio hominis est, sed homo in servitio Dei esse debet</t>
  </si>
  <si>
    <t>Dios está en nosotros y nosotros estamos en Él</t>
  </si>
  <si>
    <t>Deus in nobis est et nos in Eo sumus</t>
  </si>
  <si>
    <t>Maestro Eckhart</t>
  </si>
  <si>
    <t>Sermones, sec. XIII–XIV</t>
  </si>
  <si>
    <t>El ojo con que veo a Dios es el mismo ojo con que Dios me ve</t>
  </si>
  <si>
    <t>Oculus quo Deum video idem oculus est quo Deus me videt</t>
  </si>
  <si>
    <t>Dios no está fuera de nosotros sino dentro de nosotros</t>
  </si>
  <si>
    <t>Deus non extra nos est sed intra nos est</t>
  </si>
  <si>
    <t>El silencio es el lenguaje de Dios</t>
  </si>
  <si>
    <t>Silentium lingua Dei est</t>
  </si>
  <si>
    <t>Aquí el fondo de Dios es mi fondo y mi fondo es el fondo de Dios</t>
  </si>
  <si>
    <t>Hic fundamentum Dei fundamentum meum est et fundamentum meum fundamentum Dei est</t>
  </si>
  <si>
    <t>Si el alma pudiera conocer a Dios sin el mundo, el mundo no habría sido creado jamás</t>
  </si>
  <si>
    <t>Si anima Deum sine mundo cognoscere posset, mundus numquam creatus fuisset</t>
  </si>
  <si>
    <t>El hombre que está establecido en la presencia de Dios no puede ser perturbado por nada</t>
  </si>
  <si>
    <t>Homo qui in praesentia Dei fundatus est non potest a re aliqua perturbari</t>
  </si>
  <si>
    <t>Cuando el alma alcanza la luz sin mezcla, entonces penetra en su insignificancia</t>
  </si>
  <si>
    <t>Cum anima lucem sine mixtura attingit, tunc in suam parvitatem penetrat</t>
  </si>
  <si>
    <t>Cada criatura es una palabra de Dios</t>
  </si>
  <si>
    <t>Omnis creatura verbum Dei est</t>
  </si>
  <si>
    <t>Si alguien se imagina que por la interioridad va a recibir más de Dios que junto al hogar, entonces no hace algo distinto que si tomara a Dios y le cubriera la cabeza</t>
  </si>
  <si>
    <t>Si quis imaginatur se per interioritatem plus de Deo recepturum quam apud focum, tunc non facit aliud quam si Deum caperet et caput eius operiret</t>
  </si>
  <si>
    <t>Quien busca a Dios sin modo lo comprende tal como es en sí mismo</t>
  </si>
  <si>
    <t>Qui Deum sine modo quaerit eum comprehendit sicuti in se ipso est</t>
  </si>
  <si>
    <t>Desde este fondo interior debes hacer todas tus obras sin porqué</t>
  </si>
  <si>
    <t>Ex hoc fundo interiori debes facere omnia opera tua sine quare</t>
  </si>
  <si>
    <t>Oh alma mía, sal fuera, Dios entra</t>
  </si>
  <si>
    <t>O anima mea exi foras Deus intrat</t>
  </si>
  <si>
    <t>La pobreza de espíritu significa no querer nada, no saber nada, no tener nada</t>
  </si>
  <si>
    <t>Paupertas spiritus significat nihil velle, nihil scire, nihil habere</t>
  </si>
  <si>
    <t>Dios nace en el alma cuando el alma muere en Dios</t>
  </si>
  <si>
    <t>Deus nascitur in anima cum anima moritur in Deo</t>
  </si>
  <si>
    <t>Lo más grande que el hombre puede abandonar es abandonarse a sí mismo</t>
  </si>
  <si>
    <t>Maximum quod homo relinquere potest est se ipsum relinquere</t>
  </si>
  <si>
    <t>Oigo las voces de muchísimos no cristianos que dicen: Danos maestros que nos enseñen la fe</t>
  </si>
  <si>
    <t>Audio voces plurimorum non Christianorum qui dicunt: Date nobis magistros qui nos fidem doceant</t>
  </si>
  <si>
    <t>San Francisco Javier</t>
  </si>
  <si>
    <t>Epistulae, sec. XVI</t>
  </si>
  <si>
    <t>Muchas veces me vienen deseos de ir a las universidades de Europa para gritar, como hombre que ha perdido el juicio, a los que tienen más letras que voluntad</t>
  </si>
  <si>
    <t>Saepe mihi veniunt desideria eundi ad universitates Europae ut clamem, quasi homo qui rationem amisit, ad eos qui plus litterarum quam voluntatis habent</t>
  </si>
  <si>
    <t>Toda mi consolación la tengo cuando leo las cartas de mis hermanos de la Compañía</t>
  </si>
  <si>
    <t>Omnem consolationem meam habeo cum litteras fratrum meorum Societatis lego</t>
  </si>
  <si>
    <t>Os ruego, por el amor y reverencia de Dios nuestro Señor, que dejéis vuestras ocupaciones y vengáis a ayudar a los que por acá están</t>
  </si>
  <si>
    <t>Rogo vos per amorem et reverentiam Dei Domini nostri ut occupationes vestras relinquatis et veniatis ad adiuvandum eos qui hic sunt</t>
  </si>
  <si>
    <t>En todo amar y servir</t>
  </si>
  <si>
    <t>In omnibus amare et servire</t>
  </si>
  <si>
    <t>San Ignacio de Loyola</t>
  </si>
  <si>
    <t>Exercitia Spiritualia, sec. XVI</t>
  </si>
  <si>
    <t>El amor se ha de poner más en las obras que en las palabras</t>
  </si>
  <si>
    <t>Amor magis in operibus quam in verbis ponendus est</t>
  </si>
  <si>
    <t>Tomad Señor y recibid toda mi libertad, mi memoria, mi entendimiento y toda mi voluntad</t>
  </si>
  <si>
    <t>Sume Domine et recipe omnem meam libertatem, meam memoriam, intellectum atque omnem voluntatem</t>
  </si>
  <si>
    <t>En tiempos de desolación nunca hacer cambios</t>
  </si>
  <si>
    <t>In tempore desolationis numquam mutationes faciendae</t>
  </si>
  <si>
    <t>No el mucho saber harta y satisface al alma, sino el sentir y gustar de las cosas internamente</t>
  </si>
  <si>
    <t>Non multum scire satiat et satisfacit animam, sed sentire et gustare res interne</t>
  </si>
  <si>
    <t>Dad Señor a quien ama darme antes vuestro amor y gracia que esto me basta</t>
  </si>
  <si>
    <t>Date Domine ei qui amat, dare mihi potius vestrum amorem et gratiam, quod hoc mihi sufficit</t>
  </si>
  <si>
    <t>Busca y halla la voluntad divina en la disposición de tu vida</t>
  </si>
  <si>
    <t>Quaere et invenias voluntatem divinam in dispositione vitae tuae</t>
  </si>
  <si>
    <t>Id y encended el mundo</t>
  </si>
  <si>
    <t>Ite et incendite mundum</t>
  </si>
  <si>
    <t>La obediencia es amor porque quien ama obedece</t>
  </si>
  <si>
    <t>Oboedientia amor est quia qui amat obedit</t>
  </si>
  <si>
    <t>Para quien ama nada es difícil</t>
  </si>
  <si>
    <t>Amanti nihil difficile</t>
  </si>
  <si>
    <t>En las cosas grandes que nos agraden y en las pequeñas que nos desagraden, debemos buscar solamente la mayor alabanza y gloria de Dios nuestro Señor</t>
  </si>
  <si>
    <t>In rebus magnis quae nobis placeant et in parvis quae displicent, solam maiorem laudem et gloriam Dei Domini nostri quaerere debemus</t>
  </si>
  <si>
    <t>Todo modo de examinar la conciencia, de meditar, de contemplar, de orar vocal y mentalmente, se llaman ejercicios espirituales</t>
  </si>
  <si>
    <t>Omnis modus examinandi conscientiam, meditandi, contemplandi, orandi vocali et mentali, exercitia spiritualia dicuntur</t>
  </si>
  <si>
    <t>No temer nunca porque Dios está conmigo</t>
  </si>
  <si>
    <t>Numquam timere quia Deus mecum est</t>
  </si>
  <si>
    <t>Para mayor gloria de Dios</t>
  </si>
  <si>
    <t>Ad maiorem Dei gloriam</t>
  </si>
  <si>
    <t>Todo hombre sabio ama a la esposa que ha elegido</t>
  </si>
  <si>
    <t>Omnis sapiens vir amat mulierem quam elegerit.</t>
  </si>
  <si>
    <t>Πᾶς σοφὸς ἀνὴρ φιλεῖ τὴν γυναῖκα ἣν ἐξελέξατο</t>
  </si>
  <si>
    <t>Homero</t>
  </si>
  <si>
    <t>Odisea</t>
  </si>
  <si>
    <t>La juventud tiene el genio vivo y el juicio débil</t>
  </si>
  <si>
    <t>Iuventus animum acutum habet et iudicium infirmum.</t>
  </si>
  <si>
    <t>Ἡ νεότης ἔχει τὸν νοῦν ὀξὺν καὶ τὴν κρίσιν ἀσθενῆ</t>
  </si>
  <si>
    <t>Ilíada</t>
  </si>
  <si>
    <t>No hay mejor aguijón que la necesidad</t>
  </si>
  <si>
    <t>Nihil melius est quam necessitas.</t>
  </si>
  <si>
    <t>Οὐδὲν κέντρον βέλτιον ἢ ἡ ἀνάγκη</t>
  </si>
  <si>
    <t>El sueño es el hermano gemelo de la muerte</t>
  </si>
  <si>
    <t>Somnus frater geminus mortis est.</t>
  </si>
  <si>
    <t>Ὁ ὕπνος ἀδελφὸς ὁ δίδυμος τοῦ θανάτου ἐστίν</t>
  </si>
  <si>
    <t>Ilíada, XVI, 672</t>
  </si>
  <si>
    <t>Nadie puede apresurarme a ir a Hades antes de mi tiempo</t>
  </si>
  <si>
    <t>Nemo me in Acheronta ante tempus meum properare potest.</t>
  </si>
  <si>
    <t>Οὐδεὶς δύναται με ἐπισπεύδειν εἰς Ἅιδην πρὸ τοῦ καιροῦ μου</t>
  </si>
  <si>
    <t>Ilíada, VI, 488</t>
  </si>
  <si>
    <t>Los inmortales inspirarán cantos agradables a los hombres</t>
  </si>
  <si>
    <t>Immortales canent carmina gratissima hominibus.</t>
  </si>
  <si>
    <t>Οἱ ἀθάνατοι ἐμπνεύσουσιν ᾠδὰς εὐαρέστους τοῖς ἀνθρώποις</t>
  </si>
  <si>
    <t>Odisea, XXIV</t>
  </si>
  <si>
    <t>Cristo es el camino y la puerta; Cristo es la escalera y el vehículo</t>
  </si>
  <si>
    <t>Christus est via et ostium; Christus est scala et vehiculum</t>
  </si>
  <si>
    <t>San Buenaventura</t>
  </si>
  <si>
    <t>Itinerarium Mentis in Deum, Prologus, cap. 7</t>
  </si>
  <si>
    <t>Quien, a pesar de tantos indicios, no vuelve la mirada hacia el Primer Principio, es necio</t>
  </si>
  <si>
    <t>Siquis non per multa indicia ad primum Principium respexit, stultus est</t>
  </si>
  <si>
    <t>Itinerarium Mentis in Deum, cap. 1</t>
  </si>
  <si>
    <t>Un espejo sin la sabiduría inspirada por Dios</t>
  </si>
  <si>
    <t>Speculum absque sapientia divinitus inspirata</t>
  </si>
  <si>
    <t>Itinerarium Mentis in Deum, Prologus</t>
  </si>
  <si>
    <t>Cristo es el propiciatorio sobre el arca de Dios</t>
  </si>
  <si>
    <t>Christus est propitiatorium super arcam Dei</t>
  </si>
  <si>
    <t>Itinerarium Mentis in Deum, cap. 7</t>
  </si>
  <si>
    <t>Esta, en verdad, se define como la primera clave de la sabiduría: la interrogación asidua o frecuente; pues dudando llegamos a la investigación, y al investigar percibimos la verdad</t>
  </si>
  <si>
    <t>Haec quippe prima sapientiae clavis definitur, assidua scilicet seu frequens interrogatio; dubitando enim ad inquisitionem venimus, inquirendo veritatem percipimus</t>
  </si>
  <si>
    <t>Pedro Abelardo</t>
  </si>
  <si>
    <t>Sic et Non, Prologue</t>
  </si>
  <si>
    <t>Decimos que la buena intención es, en sí, recta; pero la acción no lleva ninguna bondad en sí misma, sino que procede de una buena intención</t>
  </si>
  <si>
    <t>Bonam quippe intentionem, hoc est, rectam in se dicimus; operationem vero non quod boni aliquid in se suscipiat, sed quod ex bona intentione procedat</t>
  </si>
  <si>
    <t>Ethica seu Scito te ipsum, Libro 1</t>
  </si>
  <si>
    <t>id_autor</t>
  </si>
  <si>
    <t>fecha_nacimiento</t>
  </si>
  <si>
    <t>fecha_fallecimiento</t>
  </si>
  <si>
    <t>Quintus Horatius Flaccus</t>
  </si>
  <si>
    <t>Poeta lírico romano, autor de "Carpe diem".</t>
  </si>
  <si>
    <t>Poeta lyricus Romanus, auctor "Carpe diem".</t>
  </si>
  <si>
    <t>Latín</t>
  </si>
  <si>
    <t>Roma</t>
  </si>
  <si>
    <t>https://i.ibb.co/KjBfHkQ2/horacio.png</t>
  </si>
  <si>
    <t>Renatus Cartesius</t>
  </si>
  <si>
    <t>Filósofo y matemático francés.</t>
  </si>
  <si>
    <t>Philosophus et mathematicus Francogallicus.</t>
  </si>
  <si>
    <t>Francia</t>
  </si>
  <si>
    <t>https://i.ibb.co/pjycYzXh/descartes.png</t>
  </si>
  <si>
    <t>Franciscus Bacon</t>
  </si>
  <si>
    <t>Filósofo y estadista inglés, autor de "El conocimiento es poder".</t>
  </si>
  <si>
    <t>Philosophus et civis Anglicus, auctor "Scientia potentia est".</t>
  </si>
  <si>
    <t>Inglés</t>
  </si>
  <si>
    <t>Reino Unido</t>
  </si>
  <si>
    <t>https://i.ibb.co/xtWthbfv/bacon.png</t>
  </si>
  <si>
    <t>Aurelius Augustinus</t>
  </si>
  <si>
    <t>Filósofo y teólogo cristiano.</t>
  </si>
  <si>
    <t>Philosophus et theologus Christianus.</t>
  </si>
  <si>
    <t>https://i.ibb.co/chhLXqTZ/agustin.png</t>
  </si>
  <si>
    <t>Gulielmus Shakespeare</t>
  </si>
  <si>
    <t>Dramaturgo y poeta inglés, autor de Hamlet.</t>
  </si>
  <si>
    <t>Dramaturgus et poeta Anglicus, auctor "Hamlet".</t>
  </si>
  <si>
    <t>https://i.ibb.co/MDGnQ1yJ/shakespeare.png</t>
  </si>
  <si>
    <t>Salomón</t>
  </si>
  <si>
    <t>Salomon</t>
  </si>
  <si>
    <t>Rey de Israel, autor de proverbios y textos bíblicos.</t>
  </si>
  <si>
    <t>Rex Israel, auctor proverbiorum et textuum sacrorum.</t>
  </si>
  <si>
    <t>Hebreo</t>
  </si>
  <si>
    <t>Israel</t>
  </si>
  <si>
    <t>https://i.ibb.co/QvJZF5fh/salomon.png</t>
  </si>
  <si>
    <t>Daleus Carnegieus</t>
  </si>
  <si>
    <t>Escritor y conferencista estadounidense, autor de libros de desarrollo personal.</t>
  </si>
  <si>
    <t>Scriba et orator Americanus, auctor librorum de progressu personali.</t>
  </si>
  <si>
    <t>Estados Unidos</t>
  </si>
  <si>
    <t>https://i.ibb.co/BFB74pj/carnegie.png</t>
  </si>
  <si>
    <t>Proverbium Sinense</t>
  </si>
  <si>
    <t>Conjunto de proverbios tradicionales de la cultura china que transmiten sabiduría popular, valores morales y enseñanzas prácticas transmitidas oralmente durante siglos.</t>
  </si>
  <si>
    <t>Collectio sententiarum Sinensium, magnopere in cultura tradita.</t>
  </si>
  <si>
    <t>Chino</t>
  </si>
  <si>
    <t>China</t>
  </si>
  <si>
    <t>https://i.ibb.co/qLfpZm6h/china.png</t>
  </si>
  <si>
    <t>Proverbium Iaponicum</t>
  </si>
  <si>
    <t>Expresiones tradicionales de la cultura japonesa que resumen enseñanzas morales, filosóficas y prácticas derivadas del budismo, el sintoísmo y la experiencia popular.</t>
  </si>
  <si>
    <t>Collectio sententiarum Iaponicarum.</t>
  </si>
  <si>
    <t>Japonés</t>
  </si>
  <si>
    <t>Japón</t>
  </si>
  <si>
    <t>https://i.ibb.co/svZg6Fc2/japon.png</t>
  </si>
  <si>
    <t>Sententia Gallica</t>
  </si>
  <si>
    <t>Refranes populares de la tradición oral francesa que transmiten observaciones sobre la vida, el trabajo y la conducta humana.</t>
  </si>
  <si>
    <t>Collectio sententiarum Gallicarum.</t>
  </si>
  <si>
    <t>Francés</t>
  </si>
  <si>
    <t>https://i.ibb.co/1GSsmt8h/francia.png</t>
  </si>
  <si>
    <t>Sententia Russica</t>
  </si>
  <si>
    <t>Dichos tradicionales del pueblo ruso que condensan la experiencia colectiva, el ingenio y la filosofía popular transmitida de generación en generación.</t>
  </si>
  <si>
    <t>Collectio sententiarum Russicarum.</t>
  </si>
  <si>
    <t>Ruso</t>
  </si>
  <si>
    <t>Rusia</t>
  </si>
  <si>
    <t>https://i.ibb.co/HLT9WZLw/rusia.png</t>
  </si>
  <si>
    <t>Sententia Hispanica</t>
  </si>
  <si>
    <t>Refranes populares de la tradición oral hispana que expresan de forma breve y ingeniosa enseñanzas prácticas sobre la vida cotidiana.</t>
  </si>
  <si>
    <t>Collectio sententiarum Hispanicarum.</t>
  </si>
  <si>
    <t>Español</t>
  </si>
  <si>
    <t>España</t>
  </si>
  <si>
    <t>https://i.ibb.co/Y4f7TZWm/espa-a.png</t>
  </si>
  <si>
    <t>Sententia Vasconica</t>
  </si>
  <si>
    <t>Proverbios de la tradición oral vasca que reflejan la relación con la naturaleza, el trabajo y los valores comunitarios del pueblo vasco.</t>
  </si>
  <si>
    <t>Collectio sententiarum Vasconicarum.</t>
  </si>
  <si>
    <t>Euskara</t>
  </si>
  <si>
    <t>https://i.ibb.co/bjgxB3kn/euskadi.png</t>
  </si>
  <si>
    <t>Gaius Iulius Caesar</t>
  </si>
  <si>
    <t>Político, militar y escritor romano. Protagonizó el final de la República Romana y el ascenso del Imperio. Conquistó la Galia, cruzó el Rubicón en 49 a. C. iniciando la guerra civil, y ejerció el poder como dictador vitalicio. Fue asesinado el 15 de marzo de 44 a. C. durante los Idus de marzo.</t>
  </si>
  <si>
    <t>Politicus, miles et scriptor Romanus. Finitum Rei Publicae et ascensus Imperii. Galliam vicit, Rubiconem transiit anno 49 a.C., bellum civile incepit, dictator perpetuus factus. Interfectus est die 15 Martii 44 a.C.</t>
  </si>
  <si>
    <t>https://i.ibb.co/7dbHBQ9X/juliocesar.png</t>
  </si>
  <si>
    <t>Parmenides</t>
  </si>
  <si>
    <t>Filósofo presocrático griego, fundador de la escuela eleática. Defendió la idea de la permanencia del ser y que nada surge de la nada.</t>
  </si>
  <si>
    <t>Philosophus Praesocraticus Graecus, schola Eleatica conditor. Ideam constantiae entis defendit, nihil ex nihilo oriri.</t>
  </si>
  <si>
    <t>Grecia</t>
  </si>
  <si>
    <t>https://i.ibb.co/8DHGWSZc/parmenides.png</t>
  </si>
  <si>
    <t>Confucius</t>
  </si>
  <si>
    <t>Filósofo y maestro chino, fundador del confucianismo. Sus enseñanzas influyeron profundamente en la cultura, ética y política de China.</t>
  </si>
  <si>
    <t>Philosophus et magister Sinensis, confucianismi conditor. Doctrinae eius in culturam, ethicam et politicam Sinensem profunde influentes.</t>
  </si>
  <si>
    <t>https://i.ibb.co/tjXTLg8/confucio.png</t>
  </si>
  <si>
    <t>Isidoro de Sevilla</t>
  </si>
  <si>
    <t>Isidorus Hispalensis</t>
  </si>
  <si>
    <t>Arzobispo de Sevilla, erudito y escritor español. Autor de "Etimologías", obra enciclopédica que recoge gran parte del saber de su época.</t>
  </si>
  <si>
    <t>Archiepiscopus Hispaliensis, eruditus et scriptor Hispanicus, auctor "Etymologiae".</t>
  </si>
  <si>
    <t>https://i.ibb.co/5xsVq8Sz/isidoro.png</t>
  </si>
  <si>
    <t>Lucius Annaeus Seneca</t>
  </si>
  <si>
    <t>Filósofo, escritor y político romano, representante del estoicismo. Autor de numerosas cartas y tratados morales.</t>
  </si>
  <si>
    <t>Philosophus, scriptor et politicus Romanus, stoicismus repraesentans. Multas epistulas et tractatus morales scripsit.</t>
  </si>
  <si>
    <t>https://i.ibb.co/35c3QS9J/seneca.png</t>
  </si>
  <si>
    <t>Thomas Aquinas</t>
  </si>
  <si>
    <t>Filósofo y teólogo italiano, representante de la Escolástica. Autor de la "Summa Theologica".</t>
  </si>
  <si>
    <t>Philosophus et theologus Italicus, Scholasticae repraesentans. Auctor "Summa Theologica".</t>
  </si>
  <si>
    <t>Italia</t>
  </si>
  <si>
    <t>https://i.ibb.co/wG8jHsv/tomasaquino.png</t>
  </si>
  <si>
    <t>Filósofo, poeta y filólogo alemán. Autor de obras como "Así habló Zaratustra" y "Más allá del bien y del mal".</t>
  </si>
  <si>
    <t>Philosophus, poeta et philologus Germanicus, auctor operum ut "Ita loquutus est Zarathustra" et "Ultra bonum et malum".</t>
  </si>
  <si>
    <t>Alemán</t>
  </si>
  <si>
    <t>Alemania</t>
  </si>
  <si>
    <t>https://i.ibb.co/N6jnVDp7/nietzsche.png</t>
  </si>
  <si>
    <t>Escritor, poeta, filósofo y periodista inglés. Famoso por sus ensayos, cuentos de misterio y defensa del cristianismo.</t>
  </si>
  <si>
    <t>Scriba, poeta, philosophus et diurnarius Anglicus. Notus pro essayis, fabulis mysteriis et Christianismi defensione.</t>
  </si>
  <si>
    <t>https://i.ibb.co/9mGNtTcT/chesterton.png</t>
  </si>
  <si>
    <t>Ioannes Paulus II</t>
  </si>
  <si>
    <t>Papa de la Iglesia Católica desde 1978 hasta 2005. Destacado por su labor pastoral, defensa de la vida y los derechos humanos.</t>
  </si>
  <si>
    <t>Papa Ecclesiae Catholicae ab anno 1978 usque 2005. Labor pastoral, vitae tutela et iura humana praecipuus.</t>
  </si>
  <si>
    <t>Polonia</t>
  </si>
  <si>
    <t>https://i.ibb.co/tMz7wVTz/juanpabloii.png</t>
  </si>
  <si>
    <t>Sanctus Ioannes Baptista de La Salle</t>
  </si>
  <si>
    <t>Sacerdote francés y fundador de los Hermanos de las Escuelas Cristianas, dedicados a la educación cristiana de los jóvenes, especialmente pobres.</t>
  </si>
  <si>
    <t>Sacerdos Francogallicus, fratres Scholarium Christianorum fundator. Iuvenes praecipue pauperes educavit.</t>
  </si>
  <si>
    <t>https://i.ibb.co/20M9HWkV/lasalle.png</t>
  </si>
  <si>
    <t>Proverbium Arabica</t>
  </si>
  <si>
    <t>Proverbios tradicionales de la cultura árabe que transmiten valores de hospitalidad, honor, paciencia y sabiduría práctica.</t>
  </si>
  <si>
    <t>Collectio sententiarum Arabicarum.</t>
  </si>
  <si>
    <t>Árabe</t>
  </si>
  <si>
    <t>Arabia Saudita</t>
  </si>
  <si>
    <t>https://i.ibb.co/1fdqG2fh/arabia.png</t>
  </si>
  <si>
    <t>Proverbium Indica</t>
  </si>
  <si>
    <t>Dichos tradicionales de la India que reflejan principios espirituales, filosóficos y morales influidos por el hinduismo y las tradiciones védicas.</t>
  </si>
  <si>
    <t>Collectio sententiarum Indicarum.</t>
  </si>
  <si>
    <t>Hindi</t>
  </si>
  <si>
    <t>India</t>
  </si>
  <si>
    <t>https://i.ibb.co/84cDNBHX/india.png</t>
  </si>
  <si>
    <t>Oswaldus Spengler</t>
  </si>
  <si>
    <t>Filósofo e historiador alemán, autor de "La decadencia de Occidente".</t>
  </si>
  <si>
    <t>Philosophus et historicus Germanicus, auctor "Occidentis Decadentia".</t>
  </si>
  <si>
    <t>https://i.ibb.co/jFsMGCC/spengler.png</t>
  </si>
  <si>
    <t>Michael Cervantes</t>
  </si>
  <si>
    <t>Novelista, poeta y dramaturgo español, autor de "Don Quijote de la Mancha".</t>
  </si>
  <si>
    <t>Scriba, poeta et dramatist Hispanicus, auctor "Don Quixote de la Mancha".</t>
  </si>
  <si>
    <t>https://i.ibb.co/7d8RNgBb/cervantes.png</t>
  </si>
  <si>
    <t>Nelsonus Mandela</t>
  </si>
  <si>
    <t>Político y activista sudafricano, primer presidente negro de Sudáfrica y líder contra el apartheid.</t>
  </si>
  <si>
    <t>Politicus et activist Africanus Australis, primus praeses niger et apartheid adversator.</t>
  </si>
  <si>
    <t>Sudáfrica</t>
  </si>
  <si>
    <t>https://i.ibb.co/qYBzbNJH/mandela.png</t>
  </si>
  <si>
    <t>Mohandas Gandhi</t>
  </si>
  <si>
    <t>Líder político y espiritual de India, impulsor de la resistencia no violenta.</t>
  </si>
  <si>
    <t>Dux politicis et spiritualis Indiae, resistentiam non violentam promovere.</t>
  </si>
  <si>
    <t>https://i.ibb.co/hFVyv04H/gandhi.png</t>
  </si>
  <si>
    <t>Albertus Einstein</t>
  </si>
  <si>
    <t>Físico teórico alemán, desarrolló la teoría de la relatividad.</t>
  </si>
  <si>
    <t>Physicus theoreticus Germanicus, theoriam relativitatis excogitavit.</t>
  </si>
  <si>
    <t>https://i.ibb.co/XkSxyZyF/einstein.png</t>
  </si>
  <si>
    <t>Martin Luther King</t>
  </si>
  <si>
    <t>Líder del movimiento por los derechos civiles en Estados Unidos y activista por la igualdad racial.</t>
  </si>
  <si>
    <t>Dux iurium civilium et activist aequalitatis racialium in Civitatibus Foederatis.</t>
  </si>
  <si>
    <t>https://i.ibb.co/GBYRvH9/king.png</t>
  </si>
  <si>
    <t>Ioannes Dewey</t>
  </si>
  <si>
    <t>Filósofo y pedagogo estadounidense, defensor de la educación progresista.</t>
  </si>
  <si>
    <t>Philosophus et paedagogus Americanus, educationem progressivam defendens.</t>
  </si>
  <si>
    <t>https://i.ibb.co/C5cSzJyL/dewey.png</t>
  </si>
  <si>
    <t>Benjaminus Franklin</t>
  </si>
  <si>
    <t>Político, científico y escritor estadounidense, uno de los Padres Fundadores de Estados Unidos.</t>
  </si>
  <si>
    <t>Politicus, sapiens et scriptor Americanus, unus ex Patribus Fundatoribus.</t>
  </si>
  <si>
    <t>https://i.ibb.co/d08LLy25/franklin.png</t>
  </si>
  <si>
    <t>Leonardus Vincius</t>
  </si>
  <si>
    <t>Artista, inventor y científico italiano del Renacimiento.</t>
  </si>
  <si>
    <t>Artifex, inventor et physicus Italicus Renaissance.</t>
  </si>
  <si>
    <t>https://i.ibb.co/prKj8Gtz/davinci.png</t>
  </si>
  <si>
    <t>Proverbium Tibetanum</t>
  </si>
  <si>
    <t>Proverbios de la tradición tibetana inspirados en la filosofía budista, centrados en la compasión, la impermanencia y el equilibrio interior.</t>
  </si>
  <si>
    <t>Collectio sententiarum Tibeticarum.</t>
  </si>
  <si>
    <t>Tibetano</t>
  </si>
  <si>
    <t>Tíbet</t>
  </si>
  <si>
    <t>https://i.ibb.co/G4YNT7DT/tibet.png</t>
  </si>
  <si>
    <t>Albertus Camus</t>
  </si>
  <si>
    <t>Escritor, filósofo y periodista francés. Premio Nobel de Literatura en 1957, representante del existencialismo y el absurdo.</t>
  </si>
  <si>
    <t>Scriba, philosophus et diurnarius Francogallicus. Praemium Nobel Litterarum anno 1957, existentialismus et absurdi repraesentans.</t>
  </si>
  <si>
    <t>https://i.ibb.co/qYHNPQ2Z/camus.png</t>
  </si>
  <si>
    <t>Beata Teresia Calcuttensis</t>
  </si>
  <si>
    <t>Monja católica y misionera albanesa, fundadora de las Misioneras de la Caridad. Premio Nobel de la Paz 1979 por su trabajo con los más pobres.</t>
  </si>
  <si>
    <t>Soror catholica et missionaria Albanensis, Missionariarum Caritatis fundatrix. Praemium Nobel Pacis anno 1979 propter laborem cum pauperrimis.</t>
  </si>
  <si>
    <t>Albanés</t>
  </si>
  <si>
    <t>Albania</t>
  </si>
  <si>
    <t>https://i.ibb.co/MkxqpJ6j/calcuta.png</t>
  </si>
  <si>
    <t>Sanctus Franciscus Assisiensis</t>
  </si>
  <si>
    <t>Fraile católico italiano, fundador de la Orden Franciscana. Conocido por su amor a la naturaleza, la pobreza y la paz.</t>
  </si>
  <si>
    <t>Frater catholicus Italicus, Ordinis Franciscani fundator. Notus propter amorem naturae, paupertatis et pacis.</t>
  </si>
  <si>
    <t>Italiano</t>
  </si>
  <si>
    <t>https://i.ibb.co/VWvD2P4t/asis.png</t>
  </si>
  <si>
    <t>Epicurus</t>
  </si>
  <si>
    <t>Filósofo griego de la Edad Antigua, fundador del epicureísmo, que defendía la búsqueda racional del placer moderado como camino a la felicidad.</t>
  </si>
  <si>
    <t>Philosophus Graecus Antiquitatis, scholae Epicureae conditor, qui voluptatem moderatam ratione quaesitam viam ad felicitatem esse docebat.</t>
  </si>
  <si>
    <t>Griego</t>
  </si>
  <si>
    <t>https://i.ibb.co/dsQnnqJw/epicuro.png</t>
  </si>
  <si>
    <t>Marcus Aurelius</t>
  </si>
  <si>
    <t>Emperador romano y filósofo estoico de la Edad Antigua, autor de las “Meditaciones”, obra clave del estoicismo práctico.</t>
  </si>
  <si>
    <t>Imperator Romanus et philosophus Stoicus Antiquitatis, auctor “Meditationum”, operis maximi in praxi Stoica.</t>
  </si>
  <si>
    <t>https://i.ibb.co/0p8F8QbX/marcoaurelio.png</t>
  </si>
  <si>
    <t>Plato</t>
  </si>
  <si>
    <t>Filósofo griego de la Edad Antigua, discípulo de Sócrates y maestro de Aristóteles, fundador de la Academia de Atenas.</t>
  </si>
  <si>
    <t>Philosophus Graecus Antiquitatis, discipulus Socratis et magister Aristotelis, Academiae Atheniensis conditor.</t>
  </si>
  <si>
    <t>https://i.ibb.co/VcxD11Wm/platon.png</t>
  </si>
  <si>
    <t>Aristoteles</t>
  </si>
  <si>
    <t>Filósofo griego de la Edad Antigua, discípulo de Platón y maestro de Alejandro Magno, figura central del pensamiento lógico, ético y metafísico.</t>
  </si>
  <si>
    <t>Philosophus Graecus Antiquitatis, discipulus Platonis et magister Alexandri Magni, pars maxima in logica, ethica et metaphysica.</t>
  </si>
  <si>
    <t>https://i.ibb.co/gZpf6w2B/aristoteles.png</t>
  </si>
  <si>
    <t>Thales Miletaeus</t>
  </si>
  <si>
    <t>Filósofo griego presocrático de Mileto, considerado el primer filósofo de Occidente y uno de los Siete Sabios. Predijo el eclipse solar del 585 a.C. y propuso que el agua es la sustancia primordial.</t>
  </si>
  <si>
    <t>Philosophus Graecus Praesocraticus Miletaeus, primus philosophus Occidentis et unus ex Septem Sapientibus. Praedixit eclipsis solis anno 585 a.C. et aquam substantiam primordialem proposuit.</t>
  </si>
  <si>
    <t>https://i.ibb.co/qLzHP6XJ/tales.png</t>
  </si>
  <si>
    <t>Pythagoras</t>
  </si>
  <si>
    <t>Filósofo y matemático griego de Samos, fundador del pitagorismo. Propuso la inmortalidad del alma, la transmigración y el número como principio de la realidad.</t>
  </si>
  <si>
    <t>Philosophus et mathematicus Graecus Samius, pythagorismi conditor. Immortalitatem animae, transmigrationem et numerum principium rerum proposuit.</t>
  </si>
  <si>
    <t>https://i.ibb.co/MyYJ15Jw/Pitagoras.png</t>
  </si>
  <si>
    <t>Heraclitus</t>
  </si>
  <si>
    <t>Filósofo presocrático griego de Éfeso. Propuso el flujo perpetuo de la realidad (panta rhei) y el fuego como elemento primordial.</t>
  </si>
  <si>
    <t>Philosophus Praesocraticus Graecus Ephesius. Fluxum perpetuum rerum (panta rhei) et ignem elementum primordiale proposuit.</t>
  </si>
  <si>
    <t>https://i.ibb.co/0p0Gxf3S/heraclito.png</t>
  </si>
  <si>
    <t>Socrates</t>
  </si>
  <si>
    <t>Filósofo griego de Atenas, fundador de la filosofía moral occidental. Maestro de Platón, desarrolló el método mayéutico. Fue condenado a muerte por impiedad.</t>
  </si>
  <si>
    <t>Philosophus Graecus Atheniensis, philosophiae moralis Occidentalis conditor. Magister Platonis, methodum maieuticam elaboravit. Morte damnatus propter impietatem.</t>
  </si>
  <si>
    <t>https://i.ibb.co/hJtF2qzm/socrates.png</t>
  </si>
  <si>
    <t>Democritus</t>
  </si>
  <si>
    <t>Filósofo griego de Abdera, fundador del atomismo junto a Leucipo. Propuso que el universo está compuesto por átomos indivisibles en el vacío.</t>
  </si>
  <si>
    <t>Philosophus Graecus Abderita, atomismi conditor cum Leucippo. Universum ex atomis indivisibilibus in vacuo compositum proposuit.</t>
  </si>
  <si>
    <t>https://i.ibb.co/FkWkGPTs/democrito.png</t>
  </si>
  <si>
    <t>Protagoras</t>
  </si>
  <si>
    <t>Filósofo sofista griego de Abdera, precursor de la enseñanza retórica profesional. Autor de la máxima "El hombre es la medida de todas las cosas".</t>
  </si>
  <si>
    <t>Philosophus sophista Graecus Abderita, rhetoricae artis professionalis praecursor. Auctor sententiae "Homo mensura omnium rerum est".</t>
  </si>
  <si>
    <t>https://i.ibb.co/Q3vRf8m3/protagoras.png</t>
  </si>
  <si>
    <t>Clemens Romanus</t>
  </si>
  <si>
    <t>Cuarto papa de la Iglesia, Padre Apostólico y mártir. Autor de la carta a los Corintios, documento papal más antiguo después de las epístolas de San Pedro.</t>
  </si>
  <si>
    <t>Quartus Papa Ecclesiae, Pater Apostolicus et martyr. Auctor epistulae ad Corinthios, documentum pontificale antiquissimum post epistulas Sancti Petri.</t>
  </si>
  <si>
    <t>https://i.ibb.co/TDXTVzjk/sanclemente.png</t>
  </si>
  <si>
    <t>Ignatius Antiochenus</t>
  </si>
  <si>
    <t>Obispo de Antioquía, mártir y Padre Apostólico. Discípulo de San Juan Evangelista, martirizado en Roma. Autor de siete cartas escritas camino al martirio.</t>
  </si>
  <si>
    <t>Episcopus Antiochenus, martyr et Pater Apostolicus. Discipulus Sancti Ioannis Evangelistae, Romae martyrizatus. Auctor septem epistularum in via ad martyrium scriptarum.</t>
  </si>
  <si>
    <t>https://i.ibb.co/yFrskTBq/ignacioantio.png</t>
  </si>
  <si>
    <t>Polycarpus Smyrnaeus</t>
  </si>
  <si>
    <t>Obispo de Esmirna, mártir y Padre Apostólico. Discípulo del apóstol Juan, martirizado a los 86 años. Una de las tres figuras principales de los Padres Apostólicos.</t>
  </si>
  <si>
    <t>Episcopus Smyrnaeus, martyr et Pater Apostolicus. Discipulus apostoli Ioannis, octoginta sex annos natus martyrizatus. Una ex tribus figuris principalibus Patrum Apostolicorum.</t>
  </si>
  <si>
    <t>https://i.ibb.co/GQTLb5X7/policarpo.png</t>
  </si>
  <si>
    <t>Irenaeus Lugdunensis</t>
  </si>
  <si>
    <t>Obispo de Lyon, Padre de la Iglesia y mártir. Discípulo de San Policarpo, combatió el gnosticismo. Primer teólogo que consideró esenciales los cuatro evangelios canónicos.</t>
  </si>
  <si>
    <t>Episcopus Lugdunensis, Pater Ecclesiae et martyr. Discipulus Sancti Polycarpi, gnosticismum impugnavit. Primus theologus quattuor evangelia canonica essentialia consideravit.</t>
  </si>
  <si>
    <t>https://i.ibb.co/ccNf9TJC/ireneolion.png</t>
  </si>
  <si>
    <t>Athanasius Alexandrinus</t>
  </si>
  <si>
    <t>Obispo de Alejandría, Doctor de la Iglesia y defensor de la ortodoxia nicena contra el arrianismo. Autor de la "Vida de San Antonio", influyente en la espiritualidad monástica.</t>
  </si>
  <si>
    <t>Episcopus Alexandrinus, Doctor Ecclesiae et defensor orthodoxiae Nicaenae contra arianismum. Auctor "Vita Sancti Antonii", in spiritualitate monastica influens.</t>
  </si>
  <si>
    <t>https://i.ibb.co/N2qBhZS8/atanasio.png</t>
  </si>
  <si>
    <t>Basilius Magnus</t>
  </si>
  <si>
    <t>Obispo de Cesarea, Doctor de la Iglesia y Padre Capadocio. Hermano de San Gregorio de Nisa, organizador del monaquismo oriental y defensor de la ortodoxia nicena.</t>
  </si>
  <si>
    <t>Episcopus Caesariensis, Doctor Ecclesiae et Pater Cappadocius. Frater Sancti Gregorii Nysseni, monasticismi orientalis organizator et orthodoxiae Nicaenae defensor.</t>
  </si>
  <si>
    <t>https://i.ibb.co/3y7fTRWM/sanbasilio.png</t>
  </si>
  <si>
    <t>Gregorius Nazianzenus</t>
  </si>
  <si>
    <t>Arzobispo de Constantinopla, Doctor de la Iglesia y Padre Capadocio. Llamado "el Teólogo", gran orador y defensor de la Trinidad. Uno de los tres Padres Capadocios.</t>
  </si>
  <si>
    <t>Archiepiscopus Constantinopolitanus, Doctor Ecclesiae et Pater Cappadocius. "Theologus" vocatus, orator magnus et defensor Trinitatis. Unus ex tribus Patribus Cappadociis.</t>
  </si>
  <si>
    <t>https://i.ibb.co/whvy5Lhm/sangregorioana.png</t>
  </si>
  <si>
    <t>Gregorius Nyssenus</t>
  </si>
  <si>
    <t>Obispo de Nisa, Doctor de la Iglesia y Padre Capadocio. Hermano de San Basilio Magno, teólogo místico y filósofo cristiano. Uno de los tres Padres Capadocios.</t>
  </si>
  <si>
    <t>Episcopus Nyssenus, Doctor Ecclesiae et Pater Cappadocius. Frater Sancti Basilii Magni, theologus mysticus et philosophus Christianus. Unus ex tribus Patribus Cappadociis.</t>
  </si>
  <si>
    <t>https://i.ibb.co/LXBmwpy1/sangregorioniza.png</t>
  </si>
  <si>
    <t>Ambrosius Mediolanensis</t>
  </si>
  <si>
    <t>Obispo de Milán, Doctor de la Iglesia y Padre Latino. Maestro de San Agustín, defensor de la ortodoxia y autoridad moral frente al poder imperial.</t>
  </si>
  <si>
    <t>Episcopus Mediolanensis, Doctor Ecclesiae et Pater Latinus. Magister Sancti Augustini, orthodoxiae defensor et auctoritas moralis contra imperium.</t>
  </si>
  <si>
    <t>https://i.ibb.co/yncvTttZ/sanambrosio.png</t>
  </si>
  <si>
    <t>Hieronymus Stridonensis</t>
  </si>
  <si>
    <t>Padre y Doctor de la Iglesia, traductor de la Biblia al latín (Vulgata). Erudito políglota, asceta y polemista, patrono de los traductores.</t>
  </si>
  <si>
    <t>Pater et Doctor Ecclesiae, translator Bibliae in Latinum (Vulgata). Eruditus polyglottus, asceta et polemista, patronus interpretum.</t>
  </si>
  <si>
    <t>https://i.ibb.co/HDVQmSDL/sanjeronimo.png</t>
  </si>
  <si>
    <t>Leo Magnus</t>
  </si>
  <si>
    <t>Papa, Doctor de la Iglesia. Convocó el Concilio de Calcedonia, detuvo a Atila en las puertas de Roma. Defensor de la primacía papal y la cristología ortodoxa.</t>
  </si>
  <si>
    <t>Papa, Doctor Ecclesiae. Concilium Chalcedonense convocavit, Attilam ad portas Romae inhibuit. Primatus papalis et christologiae orthodoxae defensor.</t>
  </si>
  <si>
    <t>https://i.ibb.co/63WDrBK/sanleonmagno.png</t>
  </si>
  <si>
    <t>Cyprianus Carthaginensis</t>
  </si>
  <si>
    <t>Obispo de Cartago, Padre de la Iglesia y mártir. Teólogo de la unidad eclesiástica, autor de "Sobre la unidad de la Iglesia". Martirizado durante la persecución de Valeriano.</t>
  </si>
  <si>
    <t>Episcopus Carthaginensis, Pater Ecclesiae et martyr. Theologus unitatis ecclesiasticae, auctor "De unitate Ecclesiae". In persecutione Valeriani martyrizatus.</t>
  </si>
  <si>
    <t>https://i.ibb.co/gZSsK5S4/sancipriano.png</t>
  </si>
  <si>
    <t>Anselmus Cantuariensis</t>
  </si>
  <si>
    <t>Arzobispo de Canterbury, Doctor de la Iglesia y filósofo. Autor del argumento ontológico de la existencia de Dios. Padre de la escolástica.</t>
  </si>
  <si>
    <t>Archiepiscopus Cantuariensis, Doctor Ecclesiae et philosophus. Auctor argumenti ontologici existentiae Dei. Pater scholasticae.</t>
  </si>
  <si>
    <t>https://i.ibb.co/Lz7Qxttz/sananselmocant.png</t>
  </si>
  <si>
    <t>Gulielmus de Ockham</t>
  </si>
  <si>
    <t>Filósofo y teólogo franciscano inglés. Padre del nominalismo, autor de la "navaja de Ockham" (principio de parsimonia). Defensor de la separación entre fe y razón.</t>
  </si>
  <si>
    <t>Philosophus et theologus Franciscanus Anglicus. Pater nominalismi, auctor "novaculae Occami" (principium parsimoniae). Separationis inter fidem et rationem defensor.</t>
  </si>
  <si>
    <t>https://i.ibb.co/G38ns2JL/ockcham.png</t>
  </si>
  <si>
    <t>Polímata florentino del Renacimiento italiano. Fue pintor, anatomista, arquitecto, paleontólogo, botánico, escritor, escultor, filósofo, ingeniero, inventor, músico, poeta y urbanista. Famoso por obras como La Última Cena y La Mona Lisa.</t>
  </si>
  <si>
    <t>Leonardus Vincius fuit polyhistor Florentinus Renascentiae Italicae. Pictor, anatomista, architectus, palaeontologus, botanicus, scriptor, sculptor, philosophus, ingeniarius, inventor, musicus, poeta et urbanista fuit. Notissimus ob opera ut Cena Ultima et Mona Lisa.</t>
  </si>
  <si>
    <t>https://i.ibb.co/d4KS2Mqw/leonardodavinci.png</t>
  </si>
  <si>
    <t>Sanctus Ioannes a Cruce</t>
  </si>
  <si>
    <t>Místico y poeta español, Doctor de la Iglesia. Reformador del Carmelo junto a Santa Teresa de Jesús, autor de obras cumbre de la mística cristiana como Noche oscura del alma, Cántico espiritual y Llama de amor viva. Maestro de la vida espiritual y el amor divino.</t>
  </si>
  <si>
    <t>Mysticus et poeta Hispanicus, Doctor Ecclesiae. Carmeli reformator cum Sancta Theresia ab Iesu, auctor operum mysticae Christianae ut Nox obscura animae, Canticum spirituale et Flamma amoris vivae. Magister vitae spiritualis et amoris divini.</t>
  </si>
  <si>
    <t>https://i.ibb.co/ynPqYx5K/sanjuandelacruz.png</t>
  </si>
  <si>
    <t>Sancta Theresia ab Iesu</t>
  </si>
  <si>
    <t>Mística y escritora española, Doctora de la Iglesia. Fundadora de las Carmelitas Descalzas, reformadora del Carmelo. Autora de obras maestras como El Castillo Interior y Camino de Perfección. Cumbre de la mística experimental cristiana junto a San Juan de la Cruz.</t>
  </si>
  <si>
    <t>Mystica et scriptrix Hispanica, Doctor Ecclesiae. Carmelitarum Discalceatarum fundatrix, Carmeli reformatrix. Auctor operum ut Castellum Interius et Via Perfectionis. Culmen mysticae experimentalis Christianae cum Sancto Ioanne a Cruce.</t>
  </si>
  <si>
    <t>https://i.ibb.co/nqTZx8JJ/santateresadejesus.png</t>
  </si>
  <si>
    <t>Sanctus Ioannes Bosco</t>
  </si>
  <si>
    <t>Sacerdote italiano fundador de la Congregación Salesiana y de las Hijas de María Auxiliadora. Padre y maestro de la juventud, dedicó su vida a la educación y formación de los jóvenes pobres. Su pedagogía se basaba en la alegría, la piedad y el estudio.</t>
  </si>
  <si>
    <t>Sacerdos Italicus Congregationis Salesianae et Filiarum Mariae Auxiliatricis fundator. Pater et magister iuventutis, vitam suam educationi et formationi iuvenum pauperum dedicavit. Paedagogia eius in laetitia, pietate et studio fundata erat.</t>
  </si>
  <si>
    <t>https://i.ibb.co/hRrvF9Vk/sanjuanbosco.png</t>
  </si>
  <si>
    <t>Benedictus XVI</t>
  </si>
  <si>
    <t>Papa emérito de la Iglesia Católica desde 2005 hasta 2013, primer pontífice en renunciar al papado en casi 600 años. Teólogo brillante, Prefecto de la Congregación para la Doctrina de la Fe durante 24 años. Autor de numerosas obras teológicas sobre fe, razón, verdad y amor.</t>
  </si>
  <si>
    <t>Papa emeritus Ecclesiae Catholicae ab anno 2005 usque 2013, primus pontifex qui papatu renuntiavit in fere 600 annis. Theologus praeclarus, Praefectus Congregationis pro Doctrina Fidei per 24 annos. Auctor numerosarum operum theologicarum de fide, ratione, veritate et amore.</t>
  </si>
  <si>
    <t>https://i.ibb.co/4nL3Mpnc/benedictoxvi.png</t>
  </si>
  <si>
    <t>Sancta Theresia a Lisieux</t>
  </si>
  <si>
    <t>Monja carmelita francesa, Doctora de la Iglesia. Desarrolló el Caminito de infancia espiritual, la teología de la pequeñez. Autora de Historia de un alma. Patrona de las misiones y de Francia. Prometió pasar su cielo haciendo el bien en la tierra.</t>
  </si>
  <si>
    <t>Soror Carmelita Francogallica, Doctor Ecclesiae. Viam parvam infantiae spiritualis, theologiam parvitatis elaboravit. Auctor Historiae animae. Patrona missionum et Galliae. Promisit se caelum transacturam bonum in terra faciens.</t>
  </si>
  <si>
    <t>https://i.ibb.co/jNM8XWz/santateresitadelissieux.png</t>
  </si>
  <si>
    <t>Maria Montessori</t>
  </si>
  <si>
    <t>Médica y pedagoga italiana, creadora del Método Montessori. Primera mujer médica de Italia, desarrolló una innovadora filosofía educativa centrada en el respeto al niño, su libertad, autonomía e independencia. Su método revolucionó la educación infantil mundial enfatizando el aprendizaje natural y sensorial.</t>
  </si>
  <si>
    <t>Medica et paedagoga Italica, creatrix Methodi Montessori. Prima femina medica Italiae, philosophiam educativam innovativam elaboravit in respectu pueri, libertate, autonomia et independentia fundatam. Methodus eius educationem infantilem mundialem transformavit emphasim in apprehensione naturali et sensoriali ponens.</t>
  </si>
  <si>
    <t>https://i.ibb.co/XfpNXLtH/mariamontessori.png</t>
  </si>
  <si>
    <t>Paulus Freire</t>
  </si>
  <si>
    <t>Pedagogo brasileño, creador de la Pedagogía del Oprimido y la educación liberadora. Desarrolló un revolucionario método de alfabetización crítica que entiende la educación como práctica de libertad y transformación social. Figura fundamental de la pedagogía crítica mundial.</t>
  </si>
  <si>
    <t>Paedagogus Brasilianus, creator Paedagogiae Oppressorum et educationis liberatricis. Methodum revolutionarium alphabetizationis criticae elaboravit qui educationem ut praxim libertatis et transformationis socialis intelligit. Figura fundamentalis paedagogiae criticae mundialis.</t>
  </si>
  <si>
    <t>Portugués</t>
  </si>
  <si>
    <t>Brasil</t>
  </si>
  <si>
    <t>https://i.ibb.co/8g9CdD0p/paulofreire.png</t>
  </si>
  <si>
    <t>Sanctus Iosephus Calasanctius</t>
  </si>
  <si>
    <t>Sacerdote español fundador de las Escuelas Pías y de la Orden de los Escolapios. Pionero de la educación popular gratuita y universal en Europa, abrió la primera escuela pública gratuita en 1597 en Roma. Su lema educativo fue Piedad y Letras, defendiendo la educación integral para todos sin distinción.</t>
  </si>
  <si>
    <t>Sacerdos Hispanicus Scholarum Piarum et Ordinis Clericorum Regularium Pauperum Matris Dei Scholarum Piarum fundator. Pionarius educationis popularis gratuitae et universalis in Europa, primam scholam publicam gratuitam anno 1597 Romae aperuit. Lemma educativum eius fuit Pietas et Litterae, educationem integralem pro omnibus sine distinctione defendens.</t>
  </si>
  <si>
    <t>https://i.ibb.co/C5vjn9Hz/sanjosedecalasanz.png</t>
  </si>
  <si>
    <t>Desiderius Erasmus Roterodamus</t>
  </si>
  <si>
    <t>Humanista, filósofo y teólogo neerlandés, figura cumbre del Renacimiento europeo. Crítico de la Iglesia desde dentro, defensor de la reforma educativa y moral. Amigo de Tomás Moro, editor del Nuevo Testamento griego y las obras de San Jerónimo. Autor del Elogio de la locura y precursor del pensamiento moderno.</t>
  </si>
  <si>
    <t>Humanista, philosophus et theologus Batavus, figura culmen Renascentiae Europaeae. Criticus Ecclesiae ab intra, defensor reformae educativae et moralis. Amicus Thomae Mori, editor Novi Testamenti Graeci et operum Sancti Hieronymi. Auctor Moriae Encomii et praecursor cogitationis modernae.</t>
  </si>
  <si>
    <t>Países Bajos</t>
  </si>
  <si>
    <t>https://i.ibb.co/7d7hCTQ3/erasmo.png</t>
  </si>
  <si>
    <t>Arthurus Schopenhauer</t>
  </si>
  <si>
    <t>Filósofo alemán, considerado uno de los más brillantes del siglo XIX. Máximo representante del pesimismo filosófico, autor de El mundo como voluntad y representación. Influyó profundamente en Nietzsche, Freud, Wagner y el existencialismo. Pionero en declararse abiertamente ateo y en integrar el pensamiento oriental en la filosofía occidental.</t>
  </si>
  <si>
    <t>Philosophus Germanicus, unus ex clarissimis saeculi XIX. Maximus repraesentans pessimismi philosophici, auctor Mundi ut Voluntatis et Repraesentationis. In Nietzsche, Freud, Wagner et existentialismum profunde influxit. Pionarius in aperte atheum se declarare et in cogitationem orientalem in philosophiam occidentalem integrare.</t>
  </si>
  <si>
    <t>https://i.ibb.co/1B16KyZ/shopenhauer.png</t>
  </si>
  <si>
    <t>Filósofa política alemana de origen judío, una de las pensadoras más influyentes del siglo XX. Autora de Los orígenes del totalitarismo, La condición humana y Eichmann en Jerusalén. Desarrolló conceptos fundamentales sobre la libertad, la acción política, el totalitarismo y la banalidad del mal. Discípula de Heidegger y Jaspers.</t>
  </si>
  <si>
    <t>Philosopha politica Germanica originis Iudaicae, una ex cogitatoribus maxime influentibus saeculi XX. Auctor Originum Totalitarismi, Conditionis Humanae et Eichmann in Ierusalem. Conceptus fundamentales de libertate, actione politica, totalitarismo et banalitate mali elaboravit. Discipula Heideggeri et Jaspers.</t>
  </si>
  <si>
    <t>https://i.ibb.co/spVH8Jj1/hannaharendt.png</t>
  </si>
  <si>
    <t>Filósofo alemán de la Ilustración, figura central de la filosofía moderna. Autor de la Crítica de la razón pura, Crítica de la razón práctica y Crítica del juicio. Desarrolló el imperativo categórico como fundamento de la ética universal. Revolucionó la epistemología, la ética y la estética, estableciendo los límites del conocimiento humano.</t>
  </si>
  <si>
    <t>Philosophus Germanicus Illuminationis, figura centralis philosophiae modernae. Auctor Criticae Rationis Purae, Criticae Rationis Practicae et Criticae Iudicii. Imperativum categoricum ut fundamentum ethicae universalis elaboravit. Epistemologiam, ethicam et aestheticam revolutionavit, limites cognitionis humanae constituens.</t>
  </si>
  <si>
    <t>https://i.ibb.co/MkNPjK5r/kant.png</t>
  </si>
  <si>
    <t>Iosephus Ortega y Gasset</t>
  </si>
  <si>
    <t>Filósofo y ensayista español, figura cumbre del pensamiento hispánico del siglo XX. Creador del raciovitalismo y la razón histórica. Autor de La rebelión de las masas, Meditaciones del Quijote y El tema de nuestro tiempo. Su frase Yo soy yo y mi circunstancia resume su filosofía de la vida como realidad radical.</t>
  </si>
  <si>
    <t>Philosophus et scriptor Hispanicus, figura culmen cogitationis Hispanicae saeculi XX. Creator ratiovitalismi et rationis historicae. Auctor Rebellionis Massarum, Meditationum de Quixote et Thematis Temporis Nostri. Sententia eius Ego sum ego et circumstantia mea philosophiam vitae ut realitatis radicalis compendit.</t>
  </si>
  <si>
    <t>https://i.ibb.co/xtYX3S7h/ortega.png</t>
  </si>
  <si>
    <t>Soren Kierkegaard</t>
  </si>
  <si>
    <t>Filósofo y teólogo danés, considerado el padre del existencialismo. Crítico del racionalismo hegeliano y de la cristiandad institucionalizada. Autor de Temor y temblor, El concepto de la angustia y La enfermedad mortal. Desarrolló los tres estadios de la existencia: estético, ético y religioso. Enfatizó la subjetividad, la fe como salto y la angustia existencial.</t>
  </si>
  <si>
    <t>Philosophus et theologus Danicus, pater existentialismi consideratus. Criticus rationalismi Hegeliani et Christianitatis institutionalizatae. Auctor Timoris et Tremoris, Conceptus Angustiae et Morbi ad Mortem. Tria stadia existentiae elaboravit: aestheticum, ethicum et religiosum. Subiectivitatem, fidem ut saltum et angustiam existentialem emphasizavit.</t>
  </si>
  <si>
    <t>Danés</t>
  </si>
  <si>
    <t>Dinamarca</t>
  </si>
  <si>
    <t>https://i.ibb.co/h0XxRwM/kiekergard.png</t>
  </si>
  <si>
    <t>Anónimo</t>
  </si>
  <si>
    <t>Anonymous</t>
  </si>
  <si>
    <t>Autor desconocido, usado para refranes y proverbios populares.</t>
  </si>
  <si>
    <t>Auctor ignotus, usus pro proverbiorum popularium collectione.</t>
  </si>
  <si>
    <t>nd</t>
  </si>
  <si>
    <t>Iohannes Amos Comenius</t>
  </si>
  <si>
    <t>Pedagogo filósofo y teólogo checo considerado el padre de la pedagogía moderna. Autor de la Didáctica Magna donde propone el ideal pansófico de enseñar todo a todos. Creó el primer libro ilustrado para niños Orbis Pictus. Pionero de métodos educativos que respetan el desarrollo natural del niño y defensor de la educación universal.</t>
  </si>
  <si>
    <t>Paedagogus philosophus et theologus Bohemicus pater paedagogiae modernae consideratus. Auctor Didacticae Magnae ubi ideal pansophicum docere omnia omnibus proponit. Primum librum illustratum pro pueris Orbis Pictus creavit. Pionarius methodorum educativarum quae progressum naturalem pueri respectant et defensor educationis universalis.</t>
  </si>
  <si>
    <t>Chequia</t>
  </si>
  <si>
    <t>https://i.ibb.co/fzJrNW0W/comenio.png</t>
  </si>
  <si>
    <t>Ioannes Iacobus Rousseau</t>
  </si>
  <si>
    <t>Filósofo escritor y pedagogo suizo de la Ilustración. Autor de El Emilio obra fundamental de la pedagogía moderna que propone una educación basada en la naturaleza y la libertad del niño. Defensor del aprendizaje experiencial y del juego como método educativo. Influyó profundamente en Pestalozzi y toda la pedagogía posterior.</t>
  </si>
  <si>
    <t>Philosophus scriptor et paedagogus Helveticus Illuminationis. Auctor Emilii operis fundamentalis paedagogiae modernae quod educationem in natura et libertate pueri fundatam proponit. Defensor apprenhesionis experientiatis et ludi ut methodi educativae. In Pestalozzi et omnem paedagogiam posteriorem profunde influxit.</t>
  </si>
  <si>
    <t>Suiza</t>
  </si>
  <si>
    <t>https://i.ibb.co/3yBzY0N8/rousseau.png</t>
  </si>
  <si>
    <t>Iohannes Henricus Pestalozzi</t>
  </si>
  <si>
    <t>Pedagogo y reformador educativo suizo que aplicó los ideales de la Ilustración a la educación. Defensor de la educación integral basada en la intuición la experiencia y el desarrollo natural del niño. Fundó escuelas para niños pobres. Su lema fue la cabeza el corazón y las manos. Influyó decisivamente en Froebel Herbart y la pedagogía moderna.</t>
  </si>
  <si>
    <t>Paedagogus et reformator educativus Helveticus qui idealia Illuminationis ad educationem applicavit. Defensor educationis integralis in intuitione experientia et progressu naturali pueri fundatae. Scholas pro pueris pauperibus fundavit. Lemma eius fuit caput cor et manus. In Froebel Herbart et paedagogiam modernam decisive influxit.</t>
  </si>
  <si>
    <t>https://i.ibb.co/nNjVdCkf/pestalozzi.png</t>
  </si>
  <si>
    <t>Ioannes Piaget</t>
  </si>
  <si>
    <t>Psicólogo y epistemólogo suizo creador de la teoría del desarrollo cognitivo. Revolucionó la comprensión del pensamiento infantil describiendo cuatro estadios del desarrollo sensoriomotor preoperacional operaciones concretas y operaciones formales. Defendió que el niño construye activamente su conocimiento mediante la interacción con el entorno.</t>
  </si>
  <si>
    <t>Psychologus et epistemologus Helveticus creator theoriae progressus cognitivi. Intellectionem cogitationis infantilis revolutionavit describens quattuor stadia progressus sensoriomotorem praeoperationalem operationes concretas et operationes formales. Defendit puerum active cognitionem suam construere mediante interactione cum ambitu.</t>
  </si>
  <si>
    <t>https://i.ibb.co/5xBrX10s/jeanpiaget.png</t>
  </si>
  <si>
    <t>Psicólogo y pedagogo soviético fundador de la psicología histórico-cultural. Creador del concepto de Zona de Desarrollo Próximo que explica cómo el aprendizaje social precede al desarrollo individual. Enfatizó la importancia del lenguaje la cultura y la interacción social en el desarrollo cognitivo. Pionero de la pedagogía sociocultural.</t>
  </si>
  <si>
    <t>Psychologus et paedagogus Sovieticus fundator psychologiae historico-culturalis. Creator conceptus Zonae Progressus Proximi qui explicat quomodo apprehensio socialis progressum individualem praecedit. Importantiam linguae culturae et interactionis socialis in progressu cognitivo emphasizavit. Pionarius paedagogiae socioculturalis.</t>
  </si>
  <si>
    <t>https://i.ibb.co/60c7p4y9/vigotsky.png</t>
  </si>
  <si>
    <t>Fridericus Froebel</t>
  </si>
  <si>
    <t>Pedagogo alemán fundador del primer kindergarten jardín de infancia del mundo en 1840. Desarrolló una pedagogía centrada en el juego la actividad espontánea y la creatividad infantil. Creó los dones de Froebel materiales didácticos para el desarrollo sensorial y cognitivo. Discípulo de Pestalozzi revolucionó la educación infantil.</t>
  </si>
  <si>
    <t>Paedagogus Germanicus fundator primi kindergarten horti infantium mundi anno 1840. Paedagogiam in ludo activitate spontanea et creativitate infantili fundatam elaboravit. Dona Froebelii materias didacticas pro progressu sensoriali et cognitivo creavit. Discipulus Pestalozzi educationem infantilem revolutionavit.</t>
  </si>
  <si>
    <t>https://i.ibb.co/0jwMS3vT/froebel.png</t>
  </si>
  <si>
    <t>Ovidius Decroly</t>
  </si>
  <si>
    <t>Médico psicólogo y pedagogo belga creador del método Decroly basado en los centros de interés del niño. Propuso una educación globalizada que parte de las necesidades e intereses infantiles. Fundó la Escuela de l'Ermitage en Bruselas. Defensor de la observación directa la naturaleza y el aprendizaje significativo mediante la vida para la vida.</t>
  </si>
  <si>
    <t>Medicus psychologus et paedagogus Belgicus creator methodi Decroly in centris interesse pueri fundati. Educationem globalizatam quae a necessitatibus et interessibus infantilibus procedit proposuit. Scholam de l'Ermitage Bruxellis fundavit. Defensor observationis directae naturae et apprenhesionis significativae mediante vita pro vita.</t>
  </si>
  <si>
    <t>Bélgica</t>
  </si>
  <si>
    <t>https://i.ibb.co/C5S7WqXv/decroly.png</t>
  </si>
  <si>
    <t>Sanctus Philippus Nerius</t>
  </si>
  <si>
    <t>Sacerdote italiano fundador de la Congregación del Oratorio conocido como el Apóstol de Roma. Revolucionó la educación juvenil mediante la alegría el buen humor la música y el afecto. Promovió una espiritualidad accesible basada en la alegría como signo de la presencia de Dios. Su lema era Estad alegres en el Señor siempre.</t>
  </si>
  <si>
    <t>Sacerdos Italicus Congregationis Oratorii fundator Apostolus Romae cognitus. Educationem iuvenum per laetitiam bonum humorem musicam et affectum revolutionavit. Spiritualitatem accessibilem in laetitia ut signo praesentiae Dei fundatam promovit. Lemma eius erat State laeti in Domino semper.</t>
  </si>
  <si>
    <t>https://i.ibb.co/60VT5xTj/sanfelipeneri.png</t>
  </si>
  <si>
    <t xml:space="preserve">Teresia Benedicta a Cruce </t>
  </si>
  <si>
    <t>Filósofa mística y monja carmelita alemana de origen judío con nombre religioso Santa Teresa Benedicta de la Cruz. Discípula de Husserl experta en fenomenología desarrolló una profunda antropología cristiana y escritos sobre la formación de la mujer. Mártir del Holocausto asesinada en Auschwitz. Doctora de la Iglesia patrona de Europa.</t>
  </si>
  <si>
    <t>Philosopha mystica et monacha Carmelita Germanica originis Iudaicae nomine religioso Sancta Teresia Benedicta a Cruce. Discipula Husserl experta in phenomenologia anthropologiam Christianam profundam et scripta de formatione mulieris elaboravit. Martyr Holocausti in Auschwitz interfecta. Doctor Ecclesiae patrona Europae.</t>
  </si>
  <si>
    <t>https://i.ibb.co/sdgNknh0/santateresadelacruz.png</t>
  </si>
  <si>
    <t>Beatus Carolus Acutis</t>
  </si>
  <si>
    <t>Joven italiano beatificado conocido como el ciberapóstol de la Eucaristía y patrono de internet. Utilizó sus conocimientos informáticos para evangelizar creando una exposición virtual de milagros eucarísticos. Ejemplo de santidad juvenil en la era digital vivió una profunda devoción eucarística y mariana. Su lema era Todos nacen como originales pero muchos mueren como fotocopias.</t>
  </si>
  <si>
    <t>Iuvenis Italicus beatificatus ut ciberapostolus Eucharistiae et patronus interretis cognitus. Cognitionem informaticam ad evangelizandum adhibuit expositionem virtualem miraculorum eucharisticorum creans. Exemplum sanctitatis iuvenilis in aetate digitali devotionem eucharisticam et marianam profundam vixit. Lemma eius erat Omnes ut originales nascuntur sed multi ut photocopiae moriuntur.</t>
  </si>
  <si>
    <t>https://i.ibb.co/Xxv42TMM/carloacutis.png</t>
  </si>
  <si>
    <t>Rudolphus Steiner</t>
  </si>
  <si>
    <t>Filósofo educador y esoterista austriaco fundador de la Antroposofía y la pedagogía Waldorf. Creó en 1919 la primera escuela Waldorf en Stuttgart basada en una educación artística y espiritual del ser humano completo cuerpo alma y espíritu. Desarrolló la teoría de los septenios tres etapas de siete años en el desarrollo infantil. Revolucionó la educación enfatizando el arte la imaginación y el desarrollo integral.</t>
  </si>
  <si>
    <t>Philosophus educator et esotericus Austriacus fundator Anthroposophiae et paedagogiae Waldorf. Anno 1919 primam scholam Waldorf Stuttgartiae creavit in educatione artistica et spirituali hominis completi corporis animae et spiritus fundatam. Theoriam septenniorum trium stadiorum septem annorum in progressu infantili elaboravit. Educationem revolutionavit artem imaginationem et progressum integralem emphasizans.</t>
  </si>
  <si>
    <t>Austria</t>
  </si>
  <si>
    <t>https://i.ibb.co/S7Bw3Wgz/steiner.png</t>
  </si>
  <si>
    <t>Poetisa pedagoga diplomática y activista chilena. Primera mujer hispanoamericana en recibir el Premio Nobel de Literatura en 1945. Maestra rural devota dedicó su vida a la educación de los niños pobres. Su obra pedagógica enfatiza el amor maternal en la enseñanza y la responsabilidad social del maestro. Autora de la célebre Oración de la Maestra y numerosos pensamientos pedagógicos de extraordinaria belleza lírica.</t>
  </si>
  <si>
    <t>Poetisa paedagoga diplomatica et activista Chilensis. Prima mulier Hispane Americana Praemium Nobel Litterarum anno 1945 recepit. Magistra ruralis devota vitam suam educationi puerorum pauperum dedicavit. Opus paedagogicum eius amorem maternum in docendo et responsabilitatem socialem magistri emphasizat. Auctor celebris Orationis Magistrae et numerosorum cogitationum paedagogicarum extraordinariae pulchritudinis lyricae.</t>
  </si>
  <si>
    <t>Chile</t>
  </si>
  <si>
    <t>https://i.ibb.co/XTz1rHj/gabrielamistral.png</t>
  </si>
  <si>
    <t>Howardus Gardner</t>
  </si>
  <si>
    <t>Psicólogo y pedagogo estadounidense creador de la Teoría de las Inteligencias Múltiples publicada en 1983. Revolucionó el concepto tradicional de inteligencia proponiendo que existen al menos ocho tipos de inteligencia lingüística lógico-matemática espacial musical corporal-kinestésica interpersonal intrapersonal y naturalista. Cofundador del Proyecto Cero en Harvard transformó la comprensión del aprendizaje y la evaluación educativa.</t>
  </si>
  <si>
    <t>Psychologus et paedagogus Americanus creator Theoriae Intelligentiarum Multiplicium anno 1983 publicatae. Conceptum traditionalem intelligentiae revolutionavit proponens octo saltem species intelligentiae linguisticam logico-mathematicam spatialem musicalem corporeo-kinaestheticam interpersonalem intrapersonalem et naturalisticam existere. Cofundator Projecti Zero in Harvard intellectionem apprenhesionis et aestimationis educativae transformavit.</t>
  </si>
  <si>
    <t>https://i.ibb.co/6c49K80z/gardner.png</t>
  </si>
  <si>
    <t>Educador escritor y conferencista británico líder mundial en desarrollo de la creatividad y la innovación educativa. Su charla TED Las escuelas matan la creatividad es la más vista de la historia. Crítico del sistema educativo industrial defendió una transformación radical que priorice la creatividad la imaginación y la diversidad de talentos. Autor de El Elemento y otros libros sobre educación y creatividad.</t>
  </si>
  <si>
    <t>Educator scriptor et concionator Britannicus dux mundialis in progressu creativitatis et innovationis educativae. Allocutio eius TED Scholae creativitatem necant maxime visa in historia est. Criticus systematis educativi industrialis transformationem radicalem defendit quae creativitatem imaginationem et diversitatem talentorum prioritatem habeat. Auctor libri Elementum et aliorum de educatione et creativitate.</t>
  </si>
  <si>
    <t>https://i.ibb.co/pBt9Ty7Z/kenrobinson.png</t>
  </si>
  <si>
    <t>Albertus Bandura</t>
  </si>
  <si>
    <t>Psicólogo canadiense-estadounidense creador de la Teoría del Aprendizaje Social. Demostró que los niños aprenden por observación e imitación mediante su famoso experimento del muñeco Bobo. Desarrolló el concepto de autoeficacia la creencia en las propias capacidades. Puente entre el conductismo y el cognitivismo su teoría es pilar fundamental de la psicología educativa moderna sobre el rol del maestro como modelo.</t>
  </si>
  <si>
    <t>Psychologus Canadensis-Americanus creator Theoriae Apprenhesionis Socialis. Demonstravit pueros per observationem et imitationem discere mediante celebri experimento bamboli Bobo. Conceptum autoeficaciae credentiam in facultatibus propriis elaboravit. Pons inter conductismum et cognitivismum theoria eius fundamentum est psychologiae educativae modernae de munere magistri ut exemplaris.</t>
  </si>
  <si>
    <t>Canadá</t>
  </si>
  <si>
    <t>https://i.ibb.co/21zkG8D5/albertbandura.png</t>
  </si>
  <si>
    <t>Burrhus Frederic Skinner</t>
  </si>
  <si>
    <t>Psicólogo estadounidense máximo exponente del conductismo. Creador de la teoría del condicionamiento operante basada en refuerzos y castigos que revolucionó la comprensión del aprendizaje. Desarrolló la caja de Skinner para estudiar el comportamiento animal. Aunque polémico su trabajo sobre el refuerzo positivo y negativo es pilar de la psicología del aprendizaje y las técnicas de modificación de conducta en educación.</t>
  </si>
  <si>
    <t>Psychologus Americanus maximus exponent conductismi. Creator theoriae conditionamenti operantis in reinfortiis et punitionibus fundatae quae intellectionem apprenhesionis revolutionavit. Capsulam Skinner ad studendum comportamentum animalium elaboravit. Quamvis controversus opus eius de reinfortio positivo et negativo fundamentum est psychologiae apprenhesionis et technicarum modificationis conductus in educatione.</t>
  </si>
  <si>
    <t>https://i.ibb.co/QFcznP4m/skinner.png</t>
  </si>
  <si>
    <t>Iacobus Maritain</t>
  </si>
  <si>
    <t>Filósofo católico francés máximo exponente del tomismo y del humanismo cristiano. Autor de Los fines de la educación y La educación en la encrucijada donde desarrolló una filosofía educativa centrada en la formación integral de la persona humana cuerpo alma y espíritu. Defendió que el fin primario de la educación es la conquista de la libertad interior y espiritual no solo la preparación técnica o profesional. Influyó en la Declaración Universal de Derechos Humanos.</t>
  </si>
  <si>
    <t>Philosophus catholicus Francogallicus maximus exponent thomismi et humanismi Christiani. Auctor Finium Educationis et Educationis in Cruciviis ubi philosophiam educativam in formatione integrali personae humanae corporis animae et spiritus fundatam elaboravit. Defendit finem primarium educationis esse conquestum libertatis interioris et spiritualis non solum praeparationem technicam aut professionalem. In Declarationem Universalem Iurium Humanorum influxit.</t>
  </si>
  <si>
    <t>https://i.ibb.co/tMwzk5gg/maritain.png</t>
  </si>
  <si>
    <t>Clive Staples Lewis</t>
  </si>
  <si>
    <t>Escritor académico y apologista cristiano irlandés-británico. Profesor en Oxford y Cambridge autor de Las Crónicas de Narnia y obras apologéticas como Mero Cristianismo. Su libro La abolición del hombre es fundamental en filosofía de la educación defendiendo que educar no es solo instruir la mente sino formar el corazón cultivando sentimientos justos y afectos ordenados. Crítico de la manipulación educativa sin valores objetivos.</t>
  </si>
  <si>
    <t>Scriba academicus et apologista Christianus Hibernicus-Britannicus. Professor Oxonii et Cantabrigiae auctor Chronicarum Narniae et operum apologeticarum ut Mere Christianitas. Liber eius Abolitio Hominis fundamentalis est in philosophia educationis defendens educare non esse solum mentem instruere sed cor formare sentimenta iusta et affectus ordinatos colendo. Criticus manipulationis educativae sine valoribus obiectis.</t>
  </si>
  <si>
    <t>https://i.ibb.co/VY2H7VMM/cslewis.png</t>
  </si>
  <si>
    <t>Gregorius Luri</t>
  </si>
  <si>
    <t>Filósofo pedagogo y maestro español uno de los mayores expertos en educación de España. Crítico de las modas pedagógicas sin rigor defiende una escuela centrada en el conocimiento riguroso y la transmisión cultural. Autor de La escuela no es un parque de atracciones y Por una educación republicana. Enfatiza que el saber riguroso es intrínsecamente educador emocional y que sin instrucción no hay pensamiento crítico. Defensor de la memoria la exigencia y el papel del maestro como magister.</t>
  </si>
  <si>
    <t>Philosophus paedagogus et magister Hispanicus unus ex maximis expertis educationis Hispaniae. Criticus modorum paedagogicarum sine rigore scholam in cognitione rigorosa et transmissione culturali fundatam defendit. Auctor Schola non est locus oblectationis et Pro educatione republicana. Emphasizat cognitionem rigorosam intrinsece educatorem emotionalem esse et sine instructione non esse cogitationem criticam. Defensor memoriae exigentiae et muneris magistri ut magister.</t>
  </si>
  <si>
    <t>https://i.ibb.co/WvdGWZ6r/gregorioluri.png</t>
  </si>
  <si>
    <t>Ioannes Hattie</t>
  </si>
  <si>
    <t>Investigador educativo neozelandés creador del concepto de Aprendizaje Visible. Realizó el mayor meta-análisis de la historia de la educación analizando más de 1400 estudios con datos de 300 millones de estudiantes para identificar qué estrategias docentes tienen mayor impacto en el aprendizaje. Demostró que el factor más importante es la calidad del maestro y su capacidad de evaluar el progreso. Sus trabajos basados en evidencia transformaron la comprensión de la efectividad educativa.</t>
  </si>
  <si>
    <t>Investigator educativus Novae Zelandiae creator conceptus Apprenhesionis Visibilis. Maximam meta-analysem historiae educationis perfecit plus quam 1400 studia cum datis 300 millionibus discipulorum analysans ut strategias docentes maioris impactus in apprehensione identificaret. Demonstravit factorem gravissimum esse qualitatem magistri et facultatem eius progressum aestimandi. Opera eius in evidentia fundata intellectionem effectivitatis educativae transformaverunt.</t>
  </si>
  <si>
    <t>Nueva Zelanda</t>
  </si>
  <si>
    <t>https://i.ibb.co/20HTMSQF/johnhattie.png</t>
  </si>
  <si>
    <t>Ioannes Locke</t>
  </si>
  <si>
    <t>Filósofo y médico inglés padre del empirismo y del liberalismo político. Autor del Ensayo sobre el entendimiento humano donde propuso la teoría de la tabula rasa la mente como pizarra en blanco al nacer que se llena mediante la experiencia sensorial. En Algunos pensamientos sobre la educación defendió que la educación moldea al individuo siendo el ambiente y la experiencia fundamentales. Influyó profundamente en la pedagogía moderna y el conductismo.</t>
  </si>
  <si>
    <t>Philosophus et medicus Anglicus pater empirismi et liberalismi politici. Auctor Tractatus de Intellectu Humano ubi theoriam tabulae rasae mentem ut tabulam albam in nascendo quae per experientiam sensorialem impletur proposuit. In Cogitationibus de Educatione defendit educationem individuum formare ambiente et experientia fundamentalibus. In paedagogiam modernam et conductismum profunde influxit.</t>
  </si>
  <si>
    <t>https://i.ibb.co/9HRt5j9n/johnlocke.png</t>
  </si>
  <si>
    <t>Poeta filósofo músico y pedagogo indio primer no europeo en recibir el Premio Nobel de Literatura en 1913. Fundó la escuela Santiniketan basada en una educación integral que une naturaleza arte espiritualidad y libertad. Defendió una educación poética y humanista que armoniza al hombre con la naturaleza y Dios rechazando el sistema educativo colonial. Su pedagogía enfatiza la creatividad el amor y la conexión con el cosmos.</t>
  </si>
  <si>
    <t>Poeta philosophus musicus et paedagogus Indicus primus non Europaeus Praemium Nobel Litterarum anno 1913 recipere. Scholam Santiniketan fundavit in educatione integrali quae naturam artem spiritualitatem et libertatem coniungit fundatam. Educationem poeticam et humanisticam quae hominem cum natura et Deo harmonizat defendit systema educativum coloniale repudians. Paedagogia eius creativitatem amorem et conexionem cum cosmo emphasizat.</t>
  </si>
  <si>
    <t>Bengalí</t>
  </si>
  <si>
    <t>https://i.ibb.co/kgbszCVd/tagore.png</t>
  </si>
  <si>
    <t>Iosephus D. Novak</t>
  </si>
  <si>
    <t>Educador e investigador estadounidense creador de los Mapas Conceptuales en 1972. Trabajando sobre la teoría del aprendizaje significativo de David Ausubel desarrolló esta poderosa herramienta de representación gráfica del conocimiento. Profesor emérito de Cornell e investigador senior del IHMC revolucionó la forma de enseñar y evaluar demostrando que el aprendizaje significativo supera al memorístico. Su objetivo es liberar el potencial de aprendizaje desarrollando pensamiento creativo.</t>
  </si>
  <si>
    <t>Educator et investigator Americanus creator Mapparum Conceptualium anno 1972. Super theoriam apprenhesionis significativae David Ausubel laborans hanc potentem instrumentum repraesentationis graphicae cognitionis elaboravit. Professor emeritus Cornell et investigator senior IHMC modum docendi et aestimandi revolutionavit demonstrans apprenhensionem significativam memoristicam superare. Scopus eius est potentiale apprenhesionis liberare cogitationem creativam evolventem.</t>
  </si>
  <si>
    <t>https://i.ibb.co/sdL6mZws/novak.png</t>
  </si>
  <si>
    <t>David Paulus Ausubel</t>
  </si>
  <si>
    <t>Psicólogo y pedagogo estadounidense creador de la Teoría del Aprendizaje Significativo. Revolucionó la comprensión del proceso de aprendizaje al demostrar que el conocimiento verdadero solo nace cuando los nuevos contenidos tienen significado a la luz de los conocimientos previos. Desarrolló el concepto de organizadores previos herramientas que ayudan a conectar el nuevo material con la estructura cognitiva existente. Su frase más célebre es Si tuviese que reducir toda la psicología educativa a un solo principio enunciaría este El factor más importante que influye en el aprendizaje es lo que el alumno ya sabe Averígüese esto y enséñese consecuentemente.</t>
  </si>
  <si>
    <t>Psychologus et paedagogus Americanus creator Theoriae Apprenhesionis Significativae. Intellectionem processus apprenhesionis revolutionavit demonstrans cognitionem veram solum nasci cum nova contenta significationem habeant ad lucem cognitionum praeviarum. Conceptum organizatorum praeviarum instrumenta quae adiuvant novum material cum structura cognitiva existente conectere elaboravit. Sententia eius celeberrima est Si totam psychologiam educativam ad unum principium reducere deberem hoc enuntiarem Factor gravissimus qui in apprenhensionem influit est quod discipulus iam scit Hoc investigetur et consequenter doceatur.</t>
  </si>
  <si>
    <t>https://i.ibb.co/s9xMVWJK/ausubel.png</t>
  </si>
  <si>
    <t>Proverbium Africanum</t>
  </si>
  <si>
    <t>Sabiduría tradicional de las diversas culturas y pueblos africanos que transmite valores comunitarios sobre la cooperación la solidaridad familiar la importancia de la comunidad y la educación colectiva. Destaca la visión africana de que la crianza y educación de los niños es responsabilidad de toda la comunidad no solo de los padres.</t>
  </si>
  <si>
    <t>Sapientia traditionalis diversarum culturarum et populorum Africanorum quae valores communitarios de cooperatione solidaritate familiari importantia communitatis et educatione collectiva transmittit. Visionem Africanam emphasizat educationem et curam puerorum responsabilitatem totius communitatis esse non solum parentum.</t>
  </si>
  <si>
    <t>https://i.ibb.co/BKdVkDB2/africa.png</t>
  </si>
  <si>
    <t>Proverbium Iudaicum</t>
  </si>
  <si>
    <t>Máximas de la tradición judía transmitidas a través de generaciones que condensan la sabiduría rabínica talmúdica y popular sobre la educación el estudio la familia y la vida. Reflejan la profunda valoración del conocimiento el aprendizaje continuo y la necesidad de adaptar la educación a cada época y generación respetando la singularidad de cada niño.</t>
  </si>
  <si>
    <t>Maximae traditionis Iudaicae per generationes transmissae quae sapientiam rabbinicam talmudicum et popularem de educatione studio familia et vita condensant. Profundam aestimationem cognitionis apprenhesionis continuae et necessitatem educationem ad singulam epocham et generationem adaptandi singularitatem uniuscuiusque pueri respectando reflectunt.</t>
  </si>
  <si>
    <t>https://i.ibb.co/HDXxrpfv/israel.png</t>
  </si>
  <si>
    <t>Xenophon</t>
  </si>
  <si>
    <t>Historiador militar y filósofo griego discípulo de Sócrates que narró la vida del maestro desde una perspectiva práctica y ética centrada en el ciudadano virtuoso y el liderazgo</t>
  </si>
  <si>
    <t>Historicus miles et philosophus Graecus discipulus Socratis qui vitam magistri ex perspectiva practica et ethica de cive virtuoso et ducatu narravit</t>
  </si>
  <si>
    <t>https://i.ibb.co/jPPtTZtx/jenofonte.png</t>
  </si>
  <si>
    <t>Antisthenes</t>
  </si>
  <si>
    <t>Filósofo griego discípulo directo de Sócrates y fundador de la escuela cínica que defendía la virtud la autosuficiencia y el desprecio por las riquezas materiales</t>
  </si>
  <si>
    <t>Philosophus Graecus discipulus directus Socratis et fundator scholae Cynicae qui virtutem autosufficientia et contemptum divitiarum materialium defendebat</t>
  </si>
  <si>
    <t>https://i.ibb.co/Xr7qMRcm/antistenes.png</t>
  </si>
  <si>
    <t>Plotinus</t>
  </si>
  <si>
    <t>Filósofo neoplatónico fundador de la escuela neoplatónica que estableció el puente entre la filosofía griega clásica y la mística cristiana medieval con su doctrina sobre el Uno y la emanación del alma</t>
  </si>
  <si>
    <t>Philosophus Neoplatonicus fundator scholae Neoplatonicae qui pontem inter philosophiam Graecam classicam et mysticam Christianam medievalem constituit cum doctrina de Uno et emanatione animae</t>
  </si>
  <si>
    <t>https://i.ibb.co/wFKwzxC5/plotino.png</t>
  </si>
  <si>
    <t>Sanctus Bonaventura</t>
  </si>
  <si>
    <t>Teólogo franciscano italiano Doctor Seráfico discípulo de Alejandro de Hales y ministro general de la Orden franciscana que desarrolló una filosofía mística sobre el itinerario del alma hacia Dios siendo contrapunto místico a Santo Tomás de Aquino</t>
  </si>
  <si>
    <t>Theologus Franciscanus Italicus Doctor Seraphicus discipulus Alexandri de Hales et minister generalis Ordinis Franciscani qui philosophiam mysticam de itinerario animae ad Deum elaboravit Thomae Aquinatis contrapunctum mysticum</t>
  </si>
  <si>
    <t>https://i.ibb.co/Z129mSh3/buenaventura.png</t>
  </si>
  <si>
    <t>Petrus Abaelardus</t>
  </si>
  <si>
    <t>Filósofo y teólogo francés iniciador de la lógica medieval célebre por su método de la duda como camino a la verdad y por su trágico amor con Eloísa siendo perseguido por sus ideas heterodoxas</t>
  </si>
  <si>
    <t>Philosophus et theologus Francicus initiator logicae medievalis celebris pro methodo dubitationis ut via ad veritatem et pro amore tragico cum Heloisa propter ideas heterodoxas persecutus</t>
  </si>
  <si>
    <t>https://i.ibb.co/YFt2jzrQ/pedroabelardo.png</t>
  </si>
  <si>
    <t>Boethius</t>
  </si>
  <si>
    <t>Filósofo poeta y político romano último representante de la filosofía clásica y primer medieval autor de La consolación de la filosofía que sirvió de puente entre el mundo antiguo y el cristiano medieval</t>
  </si>
  <si>
    <t>Philosophus poeta et politicus Romanus ultimus philosophiae classicae et primus medievalis auctor De consolatione philosophiae qui pons inter mundum antiquum et Christianum medievalem fuit</t>
  </si>
  <si>
    <t>https://i.ibb.co/XfRSKJzS/boecio.png</t>
  </si>
  <si>
    <t>Ioannes Duns Scotus</t>
  </si>
  <si>
    <t>Teólogo franciscano escocés Doctor Sutil conocido por su defensa de la Inmaculada Concepción su voluntarismo y su oposición intelectual a Santo Tomás de Aquino siendo fundamental para la filosofía católica sobre la libertad y la voluntad</t>
  </si>
  <si>
    <t>Theologus Franciscanus Scoticus Doctor Subtilis notus pro defensione Immaculatae Conceptionis voluntarismo et oppositione intellectuali ad Thomam Aquinatem fundamentalis pro philosophia catholica de libertate et voluntate</t>
  </si>
  <si>
    <t>https://i.ibb.co/KkCQxPT/juanduns.png</t>
  </si>
  <si>
    <t>Hildegardis Bingensis</t>
  </si>
  <si>
    <t>Abadesa benedictina alemana mística visionaria compositora escritora médica y naturalista conocida como la Sibila del Rin que escribió sobre teología medicina botánica y la conexión espiritual entre el hombre y el cosmos</t>
  </si>
  <si>
    <t>Abbatissa Benedictina Germanica mystica visionaria compositrix scriptrix medica et naturalista cognita ut Sibylla Rheni quae de theologia medicina botanica et connexione spirituali inter hominem et cosmum scripsit</t>
  </si>
  <si>
    <t>https://i.ibb.co/6RxfDv6N/hildegarda.png</t>
  </si>
  <si>
    <t>Magister Eckhart</t>
  </si>
  <si>
    <t>Teólogo y místico dominico alemán fundador de la mística renana conocido por sus sermones paradójicos sobre el desapego la unión con Dios y la presencia divina en el alma siendo maestro de teología en París</t>
  </si>
  <si>
    <t>Theologus et mysticus Dominicanus Germanicus fundator mysticae Rhenanae notus pro sermonibus paradoxis de detractione unione cum Deo et praesentia divina in anima magister theologiae Parisiis</t>
  </si>
  <si>
    <t>https://i.ibb.co/WCsSjKp/eckhart.png</t>
  </si>
  <si>
    <t>Sanctus Ignatius de Loyola</t>
  </si>
  <si>
    <t>Militar y sacerdote vasco fundador y primer general de la Compañía de Jesús autor de los Ejercicios Espirituales figura clave de la Contrarreforma que estableció una orden religiosa basada en la obediencia al papa y el discernimiento espiritual</t>
  </si>
  <si>
    <t>Miles et sacerdos Vascus fundator et primus generalis Societatis Iesu auctor Exercitiorum Spiritualium figura principalis Contrareformationis qui ordinem religiosum in oboedientia ad papam et discretione spirituali fundavit</t>
  </si>
  <si>
    <t>https://i.ibb.co/DD8cx8tb/ignacioloiola.png</t>
  </si>
  <si>
    <t>Sanctus Franciscus Xaverius</t>
  </si>
  <si>
    <t>Sacerdote jesuita navarro cofundador de la Compañía de Jesús junto a Ignacio de Loyola misionero apostólico en India y Japón patrono de las misiones que evangelizó Asia con gran fervor bautizando miles de personas</t>
  </si>
  <si>
    <t>Sacerdos Iesuita Navarrensis cofundator Societatis Iesu cum Ignatio de Loyola missionarius apostolicus in India et Iaponia patronus missionum qui Asiam magno fervore evangelizavit millia personarum baptizans</t>
  </si>
  <si>
    <t>https://i.ibb.co/0jY6Nmcb/franciscojavier.png</t>
  </si>
  <si>
    <t>Homerus</t>
  </si>
  <si>
    <t>Poeta épico griego autor de la Ilíada y la Odisea, las dos obras fundamentales de la literatura griega antigua y occidental.</t>
  </si>
  <si>
    <t>Poeta epicus Graecus auctor Iliadis et Odysseae, duo opera fundamentalia litteraturae Graecae antiquae et occidentalis.</t>
  </si>
  <si>
    <t>https://i.ibb.co/7Nb8gNJ3/homero.png</t>
  </si>
  <si>
    <t>Biblia Sacra</t>
  </si>
  <si>
    <t>La Biblia es el conjunto de libros sagrados del judaísmo y el cristianismo, compuesta por el Antiguo Testamento (escrito aproximadamente entre 1445 a.C. y 400 a.C.) y el Nuevo Testamento (escrito entre 40 d.C. y 95 d.C.). Fue redactada por múltiples autores a lo largo de aproximadamente 1500 años, incluyendo profetas, apóstoles, sacerdotes y escribas.</t>
  </si>
  <si>
    <t>Liber Scripturae Sacrae est collectio librorum iudaicae et christianae religionis, quae ex Vetere Testamento (circiter inter 1445 a.C. et 400 a.C. scripta) et Novo Testamento (circiter inter 40 d.C. et 95 d.C. scripta) constat. A multis auctoribus per circiter mille et quingenta annos scripta est, prophetis, apostolis, sacerdotibus et scribis inclusi.</t>
  </si>
  <si>
    <t>https://i.ibb.co/mF9zsdM5/bible.png</t>
  </si>
  <si>
    <t>Virgilio</t>
  </si>
  <si>
    <t>Publius Vergilius Maro</t>
  </si>
  <si>
    <t>Publio Virgilio Marón fue uno de los más grandes poetas del Imperio Romano. Nació en Andes (actual Pietole) cerca de Mantua el 15 de octubre del 70 a.C. y murió en Brindisi el 21 de septiembre del 19 a.C. Es autor de tres obras fundamentales: las Bucólicas, las Geórgicas y la Eneida, el gran poema épico de la Roma clásica. Vivió durante el periodo turbulento de las guerras civiles romanas y mantuvo una estrecha relación con el emperador Augusto.</t>
  </si>
  <si>
    <t>Publius Vergilius Maro fuit unus ex maximis poetis Imperii Romani. Natus est in Andes (nunc Pietole) prope Mantuam die XV Octobris anno LXX a.C. et mortuus est Brundisii die XXI Septembris anno XIX a.C. Auctor est trium operum fundamentalium: Bucolica, Georgica et Aeneis, magnum carmen epicum Romae classicae. Vixit tempore turbulento bellis civilibus Romanis et arctam relationem habuit cum imperatore Augusto.</t>
  </si>
  <si>
    <t>https://i.ibb.co/xqfZddf3/virgilio.png</t>
  </si>
  <si>
    <t>Proverbio Latino</t>
  </si>
  <si>
    <t>Proverbium Latinum</t>
  </si>
  <si>
    <t>Los proverbios latinos son un tipo de sentencia o enunciado parémico utilizado por los romanos desde la época republicana hasta el final del Imperio Romano de Occidente. Forman parte de la sabiduría popular y jurídica romana, transmitiéndose a través de un uso constante e ininterrumpido del latín antiguo al latín medieval y de ahí a las lenguas modernas. Se han mantenido en uso sin traducirse desde hace más de dos milenios, formando parte del legado cultural grecolatino común a las lenguas europeas.</t>
  </si>
  <si>
    <t>Proverbia Latina sunt genus sententiae seu enuntiati paroemiaci a Romanis usitati ab aetate republicana usque ad finem Imperii Romani Occidentalis. Partem constituunt sapientiae popularis et iuridicae Romanae, transmissa per usum constantem et ininterruptum e Latino antiquo ad Latinum medievalem et inde ad linguas modernas. Per plus quam duo millennia sine translatione in usu permanserunt, partem formantes hereditatis culturalis graecolatinae communis linguis Europaeis.</t>
  </si>
  <si>
    <t>https://i.ibb.co/kVL6ZPRF/roma.png</t>
  </si>
  <si>
    <t>Publius Cornelius Tacitus</t>
  </si>
  <si>
    <t>Gayo o Publio Cornelio Tácito fue un político, orador e historiador romano considerado uno de los más grandes escritores de la historiografía romana. Nació alrededor del año 56 d.C., probablemente en la Galia Narbonense o el norte de Italia, y murió hacia el 120 d.C. Desarrolló una brillante carrera política llegando a ser cónsul en el 97 d.C. y procónsul de Asia entre 112-113 d.C. Sus obras más importantes son los Anales, que narran la historia del Imperio Romano desde la muerte de Augusto hasta Nerón (14-68 d.C.), y las Historias, que abarcan desde el año 69 al 96 d.C. También escribió Germania, una obra etnográfica sobre las tribus germánicas.</t>
  </si>
  <si>
    <t>Gaius vel Publius Cornelius Tacitus fuit politicus, orator et historicus Romanus consideratus unus ex maximis scriptoribus historiographiae Romanae. Natus est circiter annum LVI p.C., probabiliter in Gallia Narbonensi vel Italia septentrionali, et mortuus est circiter annum CXX p.C. Cursum honorum fulgentem perfecit ut consul anno XCVII p.C. et proconsul Asiae inter annos CXII-CXIII p.C. Opera eius praecipua sunt Annales, qui narrant historiam Imperii Romani a morte Augusti usque ad Neronem (XIV-LXVIII p.C.), et Historiae, quae annos LXIX ad XCVI p.C. comprehendunt. Etiam scripsit Germaniam, opus ethnographicum de tribubus Germanicis.</t>
  </si>
  <si>
    <t>https://i.ibb.co/x8MJCvrr/tacito.png</t>
  </si>
  <si>
    <t>id_idioma</t>
  </si>
  <si>
    <t>es</t>
  </si>
  <si>
    <t>Lingua Hispanica</t>
  </si>
  <si>
    <t>en</t>
  </si>
  <si>
    <t>Lingua Anglica</t>
  </si>
  <si>
    <t>fr</t>
  </si>
  <si>
    <t>Lingua Gallica</t>
  </si>
  <si>
    <t>zh</t>
  </si>
  <si>
    <t>Lingua Sinica</t>
  </si>
  <si>
    <t>la</t>
  </si>
  <si>
    <t>Lingua Latina</t>
  </si>
  <si>
    <t>eu</t>
  </si>
  <si>
    <t>Lingua Vasconica</t>
  </si>
  <si>
    <t>ja</t>
  </si>
  <si>
    <t>Lingua Iaponica</t>
  </si>
  <si>
    <t>ru</t>
  </si>
  <si>
    <t>Lingua Russica</t>
  </si>
  <si>
    <t>de</t>
  </si>
  <si>
    <t>Lingua Germanica</t>
  </si>
  <si>
    <t>it</t>
  </si>
  <si>
    <t>Lingua Italica</t>
  </si>
  <si>
    <t>pt</t>
  </si>
  <si>
    <t>Lingua Lusitanica</t>
  </si>
  <si>
    <t>ar</t>
  </si>
  <si>
    <t>Lingua Arabica</t>
  </si>
  <si>
    <t>hi</t>
  </si>
  <si>
    <t>Lingua Indica</t>
  </si>
  <si>
    <t>he</t>
  </si>
  <si>
    <t>Lingua Hebraica</t>
  </si>
  <si>
    <t>sq</t>
  </si>
  <si>
    <t>Lingua Albanica</t>
  </si>
  <si>
    <t>el</t>
  </si>
  <si>
    <t>Lingua Graeca</t>
  </si>
  <si>
    <t>ko</t>
  </si>
  <si>
    <t>Coreano</t>
  </si>
  <si>
    <t>Lingua Coreana</t>
  </si>
  <si>
    <t>nl</t>
  </si>
  <si>
    <t>Neerlandés</t>
  </si>
  <si>
    <t>Lingua Batava</t>
  </si>
  <si>
    <t>ca</t>
  </si>
  <si>
    <t>Catalán</t>
  </si>
  <si>
    <t>Lingua Catalaunica</t>
  </si>
  <si>
    <t>gl</t>
  </si>
  <si>
    <t>Gallego</t>
  </si>
  <si>
    <t>Lingua Gallaeca</t>
  </si>
  <si>
    <t>sa</t>
  </si>
  <si>
    <t>Sánscrito</t>
  </si>
  <si>
    <t>Lingua Sanscritica</t>
  </si>
  <si>
    <t>vi</t>
  </si>
  <si>
    <t>Vietnamita</t>
  </si>
  <si>
    <t>Lingua Vietnamica</t>
  </si>
  <si>
    <t>tr</t>
  </si>
  <si>
    <t>Turco</t>
  </si>
  <si>
    <t>Lingua Turcica</t>
  </si>
  <si>
    <t>pl</t>
  </si>
  <si>
    <t>Polaco</t>
  </si>
  <si>
    <t>Lingua Polonica</t>
  </si>
  <si>
    <t>uk</t>
  </si>
  <si>
    <t>Ucraniano</t>
  </si>
  <si>
    <t>Lingua Ucrainica</t>
  </si>
  <si>
    <t>sv</t>
  </si>
  <si>
    <t>Sueco</t>
  </si>
  <si>
    <t>Lingua Suecica</t>
  </si>
  <si>
    <t>no</t>
  </si>
  <si>
    <t>Noruego</t>
  </si>
  <si>
    <t>Lingua Norvegica</t>
  </si>
  <si>
    <t>fa</t>
  </si>
  <si>
    <t>Persa</t>
  </si>
  <si>
    <t>Lingua Persica</t>
  </si>
  <si>
    <t>th</t>
  </si>
  <si>
    <t>Tailandés</t>
  </si>
  <si>
    <t>Lingua Thailandica</t>
  </si>
  <si>
    <t>id</t>
  </si>
  <si>
    <t>Indonesio</t>
  </si>
  <si>
    <t>Lingua Indonesica</t>
  </si>
  <si>
    <t>da</t>
  </si>
  <si>
    <t>Lingua Danica</t>
  </si>
  <si>
    <t>fi</t>
  </si>
  <si>
    <t>Finés</t>
  </si>
  <si>
    <t>Lingua Finnica</t>
  </si>
  <si>
    <t>is</t>
  </si>
  <si>
    <t>Islandés</t>
  </si>
  <si>
    <t>Lingua Islandica</t>
  </si>
  <si>
    <t>hu</t>
  </si>
  <si>
    <t>Húngaro</t>
  </si>
  <si>
    <t>Lingua Hungarica</t>
  </si>
  <si>
    <t>cs</t>
  </si>
  <si>
    <t>Checo</t>
  </si>
  <si>
    <t>Lingua Bohemica</t>
  </si>
  <si>
    <t>ro</t>
  </si>
  <si>
    <t>Rumano</t>
  </si>
  <si>
    <t>Lingua Dacoromanica</t>
  </si>
  <si>
    <t>bg</t>
  </si>
  <si>
    <t>Búlgaro</t>
  </si>
  <si>
    <t>Lingua Bulgarica</t>
  </si>
  <si>
    <t>sr</t>
  </si>
  <si>
    <t>Serbio</t>
  </si>
  <si>
    <t>Lingua Serbica</t>
  </si>
  <si>
    <t>hr</t>
  </si>
  <si>
    <t>Croata</t>
  </si>
  <si>
    <t>Lingua Croatica</t>
  </si>
  <si>
    <t>sk</t>
  </si>
  <si>
    <t>Eslovaco</t>
  </si>
  <si>
    <t>Lingua Slovaca</t>
  </si>
  <si>
    <t>mt</t>
  </si>
  <si>
    <t>Maltés</t>
  </si>
  <si>
    <t>Lingua Melitensis</t>
  </si>
  <si>
    <t>be</t>
  </si>
  <si>
    <t>Bielorruso</t>
  </si>
  <si>
    <t>Lingua Ruthenica Alba</t>
  </si>
  <si>
    <t>ga</t>
  </si>
  <si>
    <t>Irlandés</t>
  </si>
  <si>
    <t>Lingua Hibernica</t>
  </si>
  <si>
    <t>cy</t>
  </si>
  <si>
    <t>Galés</t>
  </si>
  <si>
    <t>Lingua Cambrica</t>
  </si>
  <si>
    <t>gd</t>
  </si>
  <si>
    <t>Gaélico Escocés</t>
  </si>
  <si>
    <t>Lingua Scotica</t>
  </si>
  <si>
    <t>br</t>
  </si>
  <si>
    <t>Bretón</t>
  </si>
  <si>
    <t>Lingua Armoricana</t>
  </si>
  <si>
    <t>oc</t>
  </si>
  <si>
    <t>Occitano</t>
  </si>
  <si>
    <t>Lingua Occitana</t>
  </si>
  <si>
    <t>an</t>
  </si>
  <si>
    <t>Aragonés</t>
  </si>
  <si>
    <t>Lingua Aragonensis</t>
  </si>
  <si>
    <t>ast</t>
  </si>
  <si>
    <t>Asturiano</t>
  </si>
  <si>
    <t>Lingua Asturiana</t>
  </si>
  <si>
    <t>eo</t>
  </si>
  <si>
    <t>Esperanto</t>
  </si>
  <si>
    <t>Lingua Esperantica</t>
  </si>
  <si>
    <t>bn</t>
  </si>
  <si>
    <t>Lingua Bengalice</t>
  </si>
  <si>
    <t>bo</t>
  </si>
  <si>
    <t>Lingua Tibetica</t>
  </si>
  <si>
    <t>No definido</t>
  </si>
  <si>
    <t>Lingua non definita</t>
  </si>
  <si>
    <t>id_nacion</t>
  </si>
  <si>
    <t>Graecia</t>
  </si>
  <si>
    <t>Regnum Unitum</t>
  </si>
  <si>
    <t>Hispania</t>
  </si>
  <si>
    <t>Sinae</t>
  </si>
  <si>
    <t>Iaponia</t>
  </si>
  <si>
    <t>Russia</t>
  </si>
  <si>
    <t>Germania</t>
  </si>
  <si>
    <t>Civitates Foederatae Americae</t>
  </si>
  <si>
    <t>Thibetum</t>
  </si>
  <si>
    <t>Africa Australis</t>
  </si>
  <si>
    <t>Brasilia</t>
  </si>
  <si>
    <t>Nederlandia</t>
  </si>
  <si>
    <t>Dania</t>
  </si>
  <si>
    <t>Canada</t>
  </si>
  <si>
    <t>Australia</t>
  </si>
  <si>
    <t>México</t>
  </si>
  <si>
    <t>Mexicum</t>
  </si>
  <si>
    <t>Argentina</t>
  </si>
  <si>
    <t>Egipto</t>
  </si>
  <si>
    <t>Aegyptus</t>
  </si>
  <si>
    <t>Turquía</t>
  </si>
  <si>
    <t>Turcia</t>
  </si>
  <si>
    <t>Irán</t>
  </si>
  <si>
    <t>Irania</t>
  </si>
  <si>
    <t>Corea del Sur</t>
  </si>
  <si>
    <t>Corea Meridiana</t>
  </si>
  <si>
    <t>Portugal</t>
  </si>
  <si>
    <t>Portugallia</t>
  </si>
  <si>
    <t>Helvetia</t>
  </si>
  <si>
    <t>Suecia</t>
  </si>
  <si>
    <t>Ucrania</t>
  </si>
  <si>
    <t>Ucraina</t>
  </si>
  <si>
    <t>Noruega</t>
  </si>
  <si>
    <t>Norvegia</t>
  </si>
  <si>
    <t>Belgica</t>
  </si>
  <si>
    <t>Chili</t>
  </si>
  <si>
    <t>Colombia</t>
  </si>
  <si>
    <t>Columbia</t>
  </si>
  <si>
    <t>Indonesia</t>
  </si>
  <si>
    <t>Pakistán</t>
  </si>
  <si>
    <t>Pakistania</t>
  </si>
  <si>
    <t>Nigeria</t>
  </si>
  <si>
    <t>Vietnam</t>
  </si>
  <si>
    <t>Vietnamia</t>
  </si>
  <si>
    <t>Filipinas</t>
  </si>
  <si>
    <t>Philippinae</t>
  </si>
  <si>
    <t>Tailandia</t>
  </si>
  <si>
    <t>Thailandia</t>
  </si>
  <si>
    <t>Marruecos</t>
  </si>
  <si>
    <t>Marocum</t>
  </si>
  <si>
    <t>Cechia</t>
  </si>
  <si>
    <t>Nova Zelandia</t>
  </si>
  <si>
    <t>Non definitum</t>
  </si>
  <si>
    <t>id_epoca</t>
  </si>
  <si>
    <t>inicio_ano</t>
  </si>
  <si>
    <t>fin_ano</t>
  </si>
  <si>
    <t>Prehistoria</t>
  </si>
  <si>
    <t>Praehistoria</t>
  </si>
  <si>
    <t>Edad Antigua</t>
  </si>
  <si>
    <t>Antiquitas</t>
  </si>
  <si>
    <t>Edad Media</t>
  </si>
  <si>
    <t>Medium Aevum</t>
  </si>
  <si>
    <t>Edad Moderna</t>
  </si>
  <si>
    <t>Nova Aetas</t>
  </si>
  <si>
    <t>Edad Contemporánea</t>
  </si>
  <si>
    <t>Aetas Contemporanea</t>
  </si>
  <si>
    <t>Epoca Desconocida</t>
  </si>
  <si>
    <t>Epocha Ignota</t>
  </si>
  <si>
    <t>Total frases</t>
  </si>
  <si>
    <t>Total autores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</si>
</sst>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0"/>
      <name val="Arial"/>
      <family val="2"/>
      <charset val="1"/>
    </font>
    <font>
      <sz val="10"/>
      <name val="Noto Sans CJK SC"/>
      <family val="2"/>
      <charset val="1"/>
    </font>
    <font>
      <sz val="10"/>
      <name val="Noto Sans Devanagari"/>
      <family val="2"/>
      <charset val="1"/>
    </font>
    <font>
      <u/>
      <sz val="10"/>
      <color theme="10"/>
      <name val="Arial"/>
      <family val="2"/>
      <charset val="1"/>
    </font>
    <font>
      <i/>
      <sz val="10"/>
      <name val="Arial"/>
      <family val="2"/>
      <charset val="1"/>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0" fontId="1" fillId="0" borderId="0" xfId="0" applyFont="1"/>
    <xf numFmtId="0" fontId="2" fillId="0" borderId="0" xfId="0" applyFont="1"/>
    <xf numFmtId="0" fontId="2" fillId="0" borderId="0" xfId="0" applyFont="1" applyAlignment="1">
      <alignment horizontal="left"/>
    </xf>
    <xf numFmtId="0" fontId="0" fillId="0" borderId="0" xfId="0" applyAlignment="1">
      <alignment wrapText="1"/>
    </xf>
    <xf numFmtId="1" fontId="0" fillId="0" borderId="0" xfId="0" applyNumberFormat="1"/>
    <xf numFmtId="0" fontId="3" fillId="0" borderId="0" xfId="1"/>
    <xf numFmtId="0" fontId="4" fillId="0" borderId="0" xfId="0" applyFont="1"/>
  </cellXfs>
  <cellStyles count="2">
    <cellStyle name="Hyperlink" xfId="1" xr:uid="{00000000-000B-0000-0000-000008000000}"/>
    <cellStyle name="Normal" xfId="0" builtinId="0"/>
  </cellStyles>
  <dxfs count="13">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8C4EDF6-874E-40DA-81EE-FEA3EC34FA94}" name="frasest" displayName="frasest" ref="A1:R1479" totalsRowShown="0">
  <autoFilter ref="A1:R1479" xr:uid="{08C4EDF6-874E-40DA-81EE-FEA3EC34FA94}"/>
  <tableColumns count="18">
    <tableColumn id="1" xr3:uid="{885259A7-7511-46FC-B0D1-E993CAB98010}" name="id_cita"/>
    <tableColumn id="4" xr3:uid="{DAF7F211-08E8-4006-92FA-430AF8FBAC94}" name="cita_es"/>
    <tableColumn id="20" xr3:uid="{A37EA60B-1D6A-48D0-B561-3C9A551B6C44}" name="cita_la"/>
    <tableColumn id="5" xr3:uid="{CE7FE5B1-D5FA-4427-8F19-3E34ABE1A84B}" name="cita_original"/>
    <tableColumn id="18" xr3:uid="{6C689678-377D-4B1B-BE9F-40E1FB6B14CC}" name="autor_es"/>
    <tableColumn id="7" xr3:uid="{56D3DA2A-8185-45C7-9641-20CB0EC5CFED}" name="referencia"/>
    <tableColumn id="17" xr3:uid="{52E94910-38B7-40F6-A36C-1AA42FEDA98A}" name="autor_la">
      <calculatedColumnFormula>_xlfn.XLOOKUP(frasest[[#This Row],[autor_es]],autorest[autor_es],autorest[autor_la])</calculatedColumnFormula>
    </tableColumn>
    <tableColumn id="22" xr3:uid="{93C7EFE0-F545-4E02-AC1E-C05970A0A294}" name="bio_es" dataDxfId="12">
      <calculatedColumnFormula>_xlfn.XLOOKUP(frasest[[#This Row],[autor_es]],autorest[autor_es],autorest[bio_es])</calculatedColumnFormula>
    </tableColumn>
    <tableColumn id="21" xr3:uid="{DF6CCC9F-1ACF-4417-848B-4ACE70CDE421}" name="bio_la" dataDxfId="11">
      <calculatedColumnFormula>_xlfn.XLOOKUP(frasest[[#This Row],[autor_es]],autorest[autor_es],autorest[bio_la])</calculatedColumnFormula>
    </tableColumn>
    <tableColumn id="8" xr3:uid="{5087D70D-7AD1-4F02-B340-8E59B49FA5BB}" name="codigo">
      <calculatedColumnFormula>_xlfn.XLOOKUP(frasest[[#This Row],[autor_es]],autorest[autor_es],autorest[codigo])</calculatedColumnFormula>
    </tableColumn>
    <tableColumn id="9" xr3:uid="{AF747245-8A57-44D6-A375-F78C8D2D9ABD}" name="idioma_es">
      <calculatedColumnFormula>_xlfn.XLOOKUP(frasest[[#This Row],[autor_es]],autorest[autor_es],autorest[idioma_es])</calculatedColumnFormula>
    </tableColumn>
    <tableColumn id="10" xr3:uid="{1478DD1B-E113-45DD-A0A6-5C38ADE46703}" name="idioma_la" dataDxfId="10">
      <calculatedColumnFormula>_xlfn.XLOOKUP(frasest[[#This Row],[autor_es]],autorest[autor_es],autorest[idioma_la])</calculatedColumnFormula>
    </tableColumn>
    <tableColumn id="12" xr3:uid="{E910299F-FC4E-4353-B7BA-5BA43F91D763}" name="nacion_es" dataDxfId="9">
      <calculatedColumnFormula>_xlfn.XLOOKUP(frasest[[#This Row],[autor_es]],autorest[autor_es],autorest[nacion_es])</calculatedColumnFormula>
    </tableColumn>
    <tableColumn id="13" xr3:uid="{868C19AD-376A-4BC1-8EAA-566FD8ABAE77}" name="nacion_la">
      <calculatedColumnFormula>_xlfn.XLOOKUP(frasest[[#This Row],[autor_es]],autorest[autor_es],autorest[nacion_la])</calculatedColumnFormula>
    </tableColumn>
    <tableColumn id="14" xr3:uid="{30BAD0FA-323F-4B59-AACB-DEA0897D2806}" name="epoca_es">
      <calculatedColumnFormula>_xlfn.XLOOKUP(frasest[[#This Row],[autor_es]],autorest[autor_es],autorest[epoca_es])</calculatedColumnFormula>
    </tableColumn>
    <tableColumn id="15" xr3:uid="{8BCD8D38-4D75-416F-86BE-478281640E18}" name="epoca_la">
      <calculatedColumnFormula>_xlfn.XLOOKUP(frasest[[#This Row],[autor_es]],autorest[autor_es],autorest[epoca_la])</calculatedColumnFormula>
    </tableColumn>
    <tableColumn id="2" xr3:uid="{DC2EAF88-698C-4C3C-9F88-C3F9C0F7D675}" name="imagen" dataDxfId="8">
      <calculatedColumnFormula>_xlfn.XLOOKUP(frasest[[#This Row],[autor_es]],autorest[autor_es],autorest[imagen])</calculatedColumnFormula>
    </tableColumn>
    <tableColumn id="3" xr3:uid="{96AB2C37-EE75-46FF-914F-B7CAC6BE5528}" name="imagen_atr" dataDxfId="7">
      <calculatedColumnFormula>_xlfn.XLOOKUP(frasest[[#This Row],[autor_es]],autorest[autor_es],autorest[imagen_atr])</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ACF983-0659-4011-91FD-499FC29B2EA9}" name="autorest" displayName="autorest" ref="A1:P121" totalsRowShown="0">
  <autoFilter ref="A1:P121" xr:uid="{31ACF983-0659-4011-91FD-499FC29B2EA9}"/>
  <tableColumns count="16">
    <tableColumn id="1" xr3:uid="{06A8F433-648F-41D3-8B5C-D5820005957C}" name="id_autor"/>
    <tableColumn id="2" xr3:uid="{F6466F79-6DAE-4D51-AC27-B246AB595D89}" name="autor_es"/>
    <tableColumn id="3" xr3:uid="{C6D53566-B0FE-45E2-91D5-45B776209A14}" name="autor_la"/>
    <tableColumn id="4" xr3:uid="{67AB4C34-B6AA-48E1-8498-2CA5E8D20AB4}" name="fecha_nacimiento"/>
    <tableColumn id="5" xr3:uid="{47413A82-4729-4508-8FBF-AED4E91FC102}" name="fecha_fallecimiento"/>
    <tableColumn id="6" xr3:uid="{A91BD57D-B061-40EF-A32F-7937322747C0}" name="bio_es"/>
    <tableColumn id="7" xr3:uid="{C5BD877C-A5A7-467A-9867-B048B10F7F6B}" name="bio_la"/>
    <tableColumn id="11" xr3:uid="{9A9AEDC2-76B6-4D32-9B73-CEF01F53F438}" name="idioma_es" dataDxfId="6"/>
    <tableColumn id="9" xr3:uid="{9BFA2F40-9AA0-4D61-AD33-18CA6509F3D2}" name="nacion_es"/>
    <tableColumn id="12" xr3:uid="{117FA817-30FF-430D-B5EC-854B4536F9DF}" name="idioma_la" dataDxfId="5">
      <calculatedColumnFormula>_xlfn.XLOOKUP(autorest[[#This Row],[idioma_es]],idiomast[idioma_es],idiomast[idioma_la])</calculatedColumnFormula>
    </tableColumn>
    <tableColumn id="8" xr3:uid="{7EDAC52A-15B3-4080-84E6-D5B3412CD1F5}" name="imagen"/>
    <tableColumn id="13" xr3:uid="{2AD7362D-62C7-4424-894E-4E4BF6B3C0B4}" name="imagen_atr" dataCellStyle="Hyperlink"/>
    <tableColumn id="14" xr3:uid="{128122BA-4588-429D-AA6D-AA7E97AA9881}" name="codigo">
      <calculatedColumnFormula>_xlfn.XLOOKUP(autorest[[#This Row],[idioma_es]],idiomast[idioma_es],idiomast[codigo])</calculatedColumnFormula>
    </tableColumn>
    <tableColumn id="15" xr3:uid="{09EA5943-EC28-4B0D-9648-705706E4BFA5}" name="nacion_la" dataDxfId="4">
      <calculatedColumnFormula>_xlfn.XLOOKUP(autorest[[#This Row],[nacion_es]],nacionest[nacion_es],nacionest[nacion_la])</calculatedColumnFormula>
    </tableColumn>
    <tableColumn id="10" xr3:uid="{FAFCEE98-B09B-4C21-8087-C2DEC4A29185}" name="epoca_es" dataDxfId="3">
      <calculatedColumnFormula array="1">IF(ISBLANK(autorest[[#This Row],[fecha_nacimiento]]),"Epoca Desconocida",IFERROR(INDEX(epocast[epoca_es],MATCH(1,(autorest[[#This Row],[fecha_nacimiento]]&gt;=epocast[inicio_ano])*(autorest[[#This Row],[fecha_nacimiento]]&lt;=epocast[fin_ano]),0)),"Epoca Desconocida"))</calculatedColumnFormula>
    </tableColumn>
    <tableColumn id="17" xr3:uid="{AFCF34C0-1069-4924-9FEB-DC4BEF655C12}" name="epoca_la" dataDxfId="2">
      <calculatedColumnFormula>_xlfn.XLOOKUP(autorest[[#This Row],[epoca_es]],epocast[epoca_es],epocast[epoca_la])</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2B2ACA5-FCCC-45F1-BDB3-4D9DEB5301B0}" name="idiomast" displayName="idiomast" ref="A1:D54" totalsRowShown="0">
  <autoFilter ref="A1:D54" xr:uid="{32B2ACA5-FCCC-45F1-BDB3-4D9DEB5301B0}"/>
  <tableColumns count="4">
    <tableColumn id="1" xr3:uid="{854D4186-21FB-434F-9659-1A60569008A9}" name="id_idioma"/>
    <tableColumn id="2" xr3:uid="{988834AB-78D5-4CB5-AF9B-A37F228AB409}" name="codigo"/>
    <tableColumn id="3" xr3:uid="{85D3E548-8614-4054-A19A-13BDC8AAAEEA}" name="idioma_es"/>
    <tableColumn id="4" xr3:uid="{14C892AD-0512-4344-96A9-3867D26342F8}" name="idioma_la"/>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81CAFEA-8DD3-4367-99C6-FB9B52B1344A}" name="nacionest" displayName="nacionest" ref="A1:C49" totalsRowShown="0">
  <autoFilter ref="A1:C49" xr:uid="{181CAFEA-8DD3-4367-99C6-FB9B52B1344A}"/>
  <tableColumns count="3">
    <tableColumn id="1" xr3:uid="{715D9EEC-2D4E-49FD-A08A-9F017910A735}" name="id_nacion"/>
    <tableColumn id="2" xr3:uid="{6E75ACB2-5016-4B39-B7FA-6AF4D04BE9C7}" name="nacion_es"/>
    <tableColumn id="3" xr3:uid="{CB76645E-D8EB-445E-9677-B0C259C49149}" name="nacion_la"/>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CCB813B-CF3C-478D-8C64-368566402ECC}" name="epocast" displayName="epocast" ref="A1:E7" totalsRowShown="0">
  <autoFilter ref="A1:E7" xr:uid="{ECCB813B-CF3C-478D-8C64-368566402ECC}"/>
  <tableColumns count="5">
    <tableColumn id="1" xr3:uid="{3E4EA615-44A3-44F1-BAEA-0E61EEB21047}" name="id_epoca"/>
    <tableColumn id="2" xr3:uid="{D44AABC4-4375-40DB-87F0-F2D0E330C7C0}" name="epoca_es"/>
    <tableColumn id="3" xr3:uid="{EE48EC97-402C-4C8F-8BE4-379B59963FDA}" name="epoca_la"/>
    <tableColumn id="4" xr3:uid="{B6D5EBDF-1920-4594-A000-5D408BFD756D}" name="inicio_ano" dataDxfId="1"/>
    <tableColumn id="5" xr3:uid="{2CB23BAF-D28A-408F-8529-1C3F2CFF0AB4}" name="fin_ano" dataDxfId="0"/>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3" Type="http://schemas.openxmlformats.org/officeDocument/2006/relationships/hyperlink" Target="https://i.ibb.co/wG8jHsv/tomasaquino.png" TargetMode="External"/><Relationship Id="rId18" Type="http://schemas.openxmlformats.org/officeDocument/2006/relationships/hyperlink" Target="https://i.ibb.co/jFsMGCC/spengler.png" TargetMode="External"/><Relationship Id="rId26" Type="http://schemas.openxmlformats.org/officeDocument/2006/relationships/hyperlink" Target="https://i.ibb.co/prKj8Gtz/davinci.png" TargetMode="External"/><Relationship Id="rId21" Type="http://schemas.openxmlformats.org/officeDocument/2006/relationships/hyperlink" Target="https://i.ibb.co/hFVyv04H/gandhi.png" TargetMode="External"/><Relationship Id="rId34" Type="http://schemas.openxmlformats.org/officeDocument/2006/relationships/hyperlink" Target="https://i.ibb.co/VWvD2P4t/asis.png" TargetMode="External"/><Relationship Id="rId7" Type="http://schemas.openxmlformats.org/officeDocument/2006/relationships/hyperlink" Target="https://i.ibb.co/BFB74pj/carnegie.png" TargetMode="External"/><Relationship Id="rId12" Type="http://schemas.openxmlformats.org/officeDocument/2006/relationships/hyperlink" Target="https://i.ibb.co/35c3QS9J/seneca.png" TargetMode="External"/><Relationship Id="rId17" Type="http://schemas.openxmlformats.org/officeDocument/2006/relationships/hyperlink" Target="https://i.ibb.co/20M9HWkV/lasalle.png" TargetMode="External"/><Relationship Id="rId25" Type="http://schemas.openxmlformats.org/officeDocument/2006/relationships/hyperlink" Target="https://i.ibb.co/d08LLy25/franklin.png" TargetMode="External"/><Relationship Id="rId33" Type="http://schemas.openxmlformats.org/officeDocument/2006/relationships/hyperlink" Target="https://i.ibb.co/G4YNT7DT/tibet.png" TargetMode="External"/><Relationship Id="rId38" Type="http://schemas.openxmlformats.org/officeDocument/2006/relationships/table" Target="../tables/table2.xml"/><Relationship Id="rId2" Type="http://schemas.openxmlformats.org/officeDocument/2006/relationships/hyperlink" Target="https://i.ibb.co/chhLXqTZ/agustin.png" TargetMode="External"/><Relationship Id="rId16" Type="http://schemas.openxmlformats.org/officeDocument/2006/relationships/hyperlink" Target="https://i.ibb.co/tMz7wVTz/juanpabloii.png" TargetMode="External"/><Relationship Id="rId20" Type="http://schemas.openxmlformats.org/officeDocument/2006/relationships/hyperlink" Target="https://i.ibb.co/qYBzbNJH/mandela.png" TargetMode="External"/><Relationship Id="rId29" Type="http://schemas.openxmlformats.org/officeDocument/2006/relationships/hyperlink" Target="https://i.ibb.co/qLfpZm6h/china.png" TargetMode="External"/><Relationship Id="rId1" Type="http://schemas.openxmlformats.org/officeDocument/2006/relationships/hyperlink" Target="https://i.ibb.co/KjBfHkQ2/horacio.png" TargetMode="External"/><Relationship Id="rId6" Type="http://schemas.openxmlformats.org/officeDocument/2006/relationships/hyperlink" Target="https://i.ibb.co/QvJZF5fh/salomon.png" TargetMode="External"/><Relationship Id="rId11" Type="http://schemas.openxmlformats.org/officeDocument/2006/relationships/hyperlink" Target="https://i.ibb.co/5xsVq8Sz/isidoro.png" TargetMode="External"/><Relationship Id="rId24" Type="http://schemas.openxmlformats.org/officeDocument/2006/relationships/hyperlink" Target="https://i.ibb.co/C5cSzJyL/dewey.png" TargetMode="External"/><Relationship Id="rId32" Type="http://schemas.openxmlformats.org/officeDocument/2006/relationships/hyperlink" Target="https://i.ibb.co/1fdqG2fh/arabia.png" TargetMode="External"/><Relationship Id="rId37" Type="http://schemas.openxmlformats.org/officeDocument/2006/relationships/hyperlink" Target="https://i.ibb.co/kVL6ZPRF/roma.png" TargetMode="External"/><Relationship Id="rId5" Type="http://schemas.openxmlformats.org/officeDocument/2006/relationships/hyperlink" Target="https://i.ibb.co/MDGnQ1yJ/shakespeare.png" TargetMode="External"/><Relationship Id="rId15" Type="http://schemas.openxmlformats.org/officeDocument/2006/relationships/hyperlink" Target="https://i.ibb.co/9mGNtTcT/chesterton.png" TargetMode="External"/><Relationship Id="rId23" Type="http://schemas.openxmlformats.org/officeDocument/2006/relationships/hyperlink" Target="https://i.ibb.co/GBYRvH9/king.png" TargetMode="External"/><Relationship Id="rId28" Type="http://schemas.openxmlformats.org/officeDocument/2006/relationships/hyperlink" Target="https://i.ibb.co/MkxqpJ6j/calcuta.png" TargetMode="External"/><Relationship Id="rId36" Type="http://schemas.openxmlformats.org/officeDocument/2006/relationships/hyperlink" Target="https://i.ibb.co/dsQnnqJw/epicuro.png" TargetMode="External"/><Relationship Id="rId10" Type="http://schemas.openxmlformats.org/officeDocument/2006/relationships/hyperlink" Target="https://i.ibb.co/8DHGWSZc/parmenides.png" TargetMode="External"/><Relationship Id="rId19" Type="http://schemas.openxmlformats.org/officeDocument/2006/relationships/hyperlink" Target="https://i.ibb.co/7d8RNgBb/cervantes.png" TargetMode="External"/><Relationship Id="rId31" Type="http://schemas.openxmlformats.org/officeDocument/2006/relationships/hyperlink" Target="https://i.ibb.co/1GSsmt8h/francia.png" TargetMode="External"/><Relationship Id="rId4" Type="http://schemas.openxmlformats.org/officeDocument/2006/relationships/hyperlink" Target="https://i.ibb.co/xtWthbfv/bacon.png" TargetMode="External"/><Relationship Id="rId9" Type="http://schemas.openxmlformats.org/officeDocument/2006/relationships/hyperlink" Target="https://i.ibb.co/7dbHBQ9X/juliocesar.png" TargetMode="External"/><Relationship Id="rId14" Type="http://schemas.openxmlformats.org/officeDocument/2006/relationships/hyperlink" Target="https://i.ibb.co/N6jnVDp7/nietzsche.png" TargetMode="External"/><Relationship Id="rId22" Type="http://schemas.openxmlformats.org/officeDocument/2006/relationships/hyperlink" Target="https://i.ibb.co/XkSxyZyF/einstein.png" TargetMode="External"/><Relationship Id="rId27" Type="http://schemas.openxmlformats.org/officeDocument/2006/relationships/hyperlink" Target="https://i.ibb.co/qYHNPQ2Z/camus.png" TargetMode="External"/><Relationship Id="rId30" Type="http://schemas.openxmlformats.org/officeDocument/2006/relationships/hyperlink" Target="https://i.ibb.co/svZg6Fc2/japon.png" TargetMode="External"/><Relationship Id="rId35" Type="http://schemas.openxmlformats.org/officeDocument/2006/relationships/hyperlink" Target="https://i.ibb.co/0p8F8QbX/marcoaurelio.png" TargetMode="External"/><Relationship Id="rId8" Type="http://schemas.openxmlformats.org/officeDocument/2006/relationships/hyperlink" Target="https://i.ibb.co/tjXTLg8/confucio.png" TargetMode="External"/><Relationship Id="rId3" Type="http://schemas.openxmlformats.org/officeDocument/2006/relationships/hyperlink" Target="https://i.ibb.co/pjycYzXh/descartes.png"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479"/>
  <sheetViews>
    <sheetView tabSelected="1" topLeftCell="D1" zoomScaleNormal="100" workbookViewId="0">
      <selection activeCell="H523" sqref="H523"/>
    </sheetView>
  </sheetViews>
  <sheetFormatPr defaultColWidth="11.5703125" defaultRowHeight="12.75"/>
  <cols>
    <col min="1" max="1" width="9.28515625" bestFit="1" customWidth="1"/>
    <col min="2" max="2" width="122.28515625" customWidth="1"/>
    <col min="3" max="3" width="96.5703125" bestFit="1" customWidth="1"/>
    <col min="4" max="4" width="122.28515625" bestFit="1" customWidth="1"/>
    <col min="5" max="5" width="26.5703125" bestFit="1" customWidth="1"/>
    <col min="6" max="6" width="26.5703125" customWidth="1"/>
    <col min="7" max="7" width="32.7109375" bestFit="1" customWidth="1"/>
    <col min="8" max="9" width="32.7109375" customWidth="1"/>
    <col min="10" max="10" width="9.5703125" bestFit="1" customWidth="1"/>
    <col min="11" max="11" width="12.5703125" bestFit="1" customWidth="1"/>
    <col min="12" max="12" width="16.42578125" bestFit="1" customWidth="1"/>
    <col min="13" max="13" width="14.28515625" bestFit="1" customWidth="1"/>
    <col min="14" max="14" width="18.5703125" bestFit="1" customWidth="1"/>
    <col min="15" max="15" width="18" bestFit="1" customWidth="1"/>
    <col min="16" max="16" width="19.5703125" bestFit="1" customWidth="1"/>
    <col min="18" max="18" width="13.28515625" bestFit="1" customWidth="1"/>
  </cols>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v>1</v>
      </c>
      <c r="B2" t="s">
        <v>18</v>
      </c>
      <c r="C2" t="s">
        <v>19</v>
      </c>
      <c r="D2" t="s">
        <v>20</v>
      </c>
      <c r="E2" t="s">
        <v>21</v>
      </c>
      <c r="G2" t="str">
        <f>_xlfn.XLOOKUP(frasest[[#This Row],[autor_es]],autorest[autor_es],autorest[autor_la])</f>
        <v>Sententia Gallica</v>
      </c>
      <c r="H2" t="str">
        <f>_xlfn.XLOOKUP(frasest[[#This Row],[autor_es]],autorest[autor_es],autorest[bio_es])</f>
        <v>Refranes populares de la tradición oral francesa que transmiten observaciones sobre la vida, el trabajo y la conducta humana.</v>
      </c>
      <c r="I2" t="str">
        <f>_xlfn.XLOOKUP(frasest[[#This Row],[autor_es]],autorest[autor_es],autorest[bio_la])</f>
        <v>Collectio sententiarum Gallicarum.</v>
      </c>
      <c r="J2" t="str">
        <f>_xlfn.XLOOKUP(frasest[[#This Row],[autor_es]],autorest[autor_es],autorest[codigo])</f>
        <v>fr</v>
      </c>
      <c r="K2" t="str">
        <f>_xlfn.XLOOKUP(frasest[[#This Row],[autor_es]],autorest[autor_es],autorest[idioma_es])</f>
        <v>Francés</v>
      </c>
      <c r="L2" t="str">
        <f>_xlfn.XLOOKUP(frasest[[#This Row],[autor_es]],autorest[autor_es],autorest[idioma_la])</f>
        <v>Lingua Gallica</v>
      </c>
      <c r="M2" t="str">
        <f>_xlfn.XLOOKUP(frasest[[#This Row],[autor_es]],autorest[autor_es],autorest[nacion_es])</f>
        <v>Francia</v>
      </c>
      <c r="N2" t="str">
        <f>_xlfn.XLOOKUP(frasest[[#This Row],[autor_es]],autorest[autor_es],autorest[nacion_la])</f>
        <v>Francia</v>
      </c>
      <c r="O2" t="str">
        <f>_xlfn.XLOOKUP(frasest[[#This Row],[autor_es]],autorest[autor_es],autorest[epoca_es])</f>
        <v>Epoca Desconocida</v>
      </c>
      <c r="P2" t="str">
        <f>_xlfn.XLOOKUP(frasest[[#This Row],[autor_es]],autorest[autor_es],autorest[epoca_la])</f>
        <v>Epocha Ignota</v>
      </c>
      <c r="Q2" t="str">
        <f>_xlfn.XLOOKUP(frasest[[#This Row],[autor_es]],autorest[autor_es],autorest[imagen])</f>
        <v>https://i.ibb.co/1GSsmt8h/francia.png</v>
      </c>
      <c r="R2">
        <f>_xlfn.XLOOKUP(frasest[[#This Row],[autor_es]],autorest[autor_es],autorest[imagen_atr])</f>
        <v>0</v>
      </c>
    </row>
    <row r="3" spans="1:18">
      <c r="A3">
        <v>2</v>
      </c>
      <c r="B3" t="s">
        <v>22</v>
      </c>
      <c r="C3" t="s">
        <v>23</v>
      </c>
      <c r="D3" t="s">
        <v>22</v>
      </c>
      <c r="E3" t="s">
        <v>24</v>
      </c>
      <c r="G3" t="str">
        <f>_xlfn.XLOOKUP(frasest[[#This Row],[autor_es]],autorest[autor_es],autorest[autor_la])</f>
        <v>Sententia Hispanica</v>
      </c>
      <c r="H3" t="str">
        <f>_xlfn.XLOOKUP(frasest[[#This Row],[autor_es]],autorest[autor_es],autorest[bio_es])</f>
        <v>Refranes populares de la tradición oral hispana que expresan de forma breve y ingeniosa enseñanzas prácticas sobre la vida cotidiana.</v>
      </c>
      <c r="I3" t="str">
        <f>_xlfn.XLOOKUP(frasest[[#This Row],[autor_es]],autorest[autor_es],autorest[bio_la])</f>
        <v>Collectio sententiarum Hispanicarum.</v>
      </c>
      <c r="J3" t="str">
        <f>_xlfn.XLOOKUP(frasest[[#This Row],[autor_es]],autorest[autor_es],autorest[codigo])</f>
        <v>es</v>
      </c>
      <c r="K3" t="str">
        <f>_xlfn.XLOOKUP(frasest[[#This Row],[autor_es]],autorest[autor_es],autorest[idioma_es])</f>
        <v>Español</v>
      </c>
      <c r="L3" t="str">
        <f>_xlfn.XLOOKUP(frasest[[#This Row],[autor_es]],autorest[autor_es],autorest[idioma_la])</f>
        <v>Lingua Hispanica</v>
      </c>
      <c r="M3" t="str">
        <f>_xlfn.XLOOKUP(frasest[[#This Row],[autor_es]],autorest[autor_es],autorest[nacion_es])</f>
        <v>España</v>
      </c>
      <c r="N3" t="str">
        <f>_xlfn.XLOOKUP(frasest[[#This Row],[autor_es]],autorest[autor_es],autorest[nacion_la])</f>
        <v>Hispania</v>
      </c>
      <c r="O3" t="str">
        <f>_xlfn.XLOOKUP(frasest[[#This Row],[autor_es]],autorest[autor_es],autorest[epoca_es])</f>
        <v>Epoca Desconocida</v>
      </c>
      <c r="P3" t="str">
        <f>_xlfn.XLOOKUP(frasest[[#This Row],[autor_es]],autorest[autor_es],autorest[epoca_la])</f>
        <v>Epocha Ignota</v>
      </c>
      <c r="Q3" t="str">
        <f>_xlfn.XLOOKUP(frasest[[#This Row],[autor_es]],autorest[autor_es],autorest[imagen])</f>
        <v>https://i.ibb.co/Y4f7TZWm/espa-a.png</v>
      </c>
      <c r="R3">
        <f>_xlfn.XLOOKUP(frasest[[#This Row],[autor_es]],autorest[autor_es],autorest[imagen_atr])</f>
        <v>0</v>
      </c>
    </row>
    <row r="4" spans="1:18">
      <c r="A4">
        <v>3</v>
      </c>
      <c r="B4" t="s">
        <v>25</v>
      </c>
      <c r="C4" t="s">
        <v>26</v>
      </c>
      <c r="D4" s="1" t="s">
        <v>27</v>
      </c>
      <c r="E4" t="s">
        <v>28</v>
      </c>
      <c r="G4" t="str">
        <f>_xlfn.XLOOKUP(frasest[[#This Row],[autor_es]],autorest[autor_es],autorest[autor_la])</f>
        <v>Proverbium Iaponicum</v>
      </c>
      <c r="H4" t="str">
        <f>_xlfn.XLOOKUP(frasest[[#This Row],[autor_es]],autorest[autor_es],autorest[bio_es])</f>
        <v>Expresiones tradicionales de la cultura japonesa que resumen enseñanzas morales, filosóficas y prácticas derivadas del budismo, el sintoísmo y la experiencia popular.</v>
      </c>
      <c r="I4" t="str">
        <f>_xlfn.XLOOKUP(frasest[[#This Row],[autor_es]],autorest[autor_es],autorest[bio_la])</f>
        <v>Collectio sententiarum Iaponicarum.</v>
      </c>
      <c r="J4" t="str">
        <f>_xlfn.XLOOKUP(frasest[[#This Row],[autor_es]],autorest[autor_es],autorest[codigo])</f>
        <v>ja</v>
      </c>
      <c r="K4" t="str">
        <f>_xlfn.XLOOKUP(frasest[[#This Row],[autor_es]],autorest[autor_es],autorest[idioma_es])</f>
        <v>Japonés</v>
      </c>
      <c r="L4" t="str">
        <f>_xlfn.XLOOKUP(frasest[[#This Row],[autor_es]],autorest[autor_es],autorest[idioma_la])</f>
        <v>Lingua Iaponica</v>
      </c>
      <c r="M4" t="str">
        <f>_xlfn.XLOOKUP(frasest[[#This Row],[autor_es]],autorest[autor_es],autorest[nacion_es])</f>
        <v>Japón</v>
      </c>
      <c r="N4" t="str">
        <f>_xlfn.XLOOKUP(frasest[[#This Row],[autor_es]],autorest[autor_es],autorest[nacion_la])</f>
        <v>Iaponia</v>
      </c>
      <c r="O4" t="str">
        <f>_xlfn.XLOOKUP(frasest[[#This Row],[autor_es]],autorest[autor_es],autorest[epoca_es])</f>
        <v>Epoca Desconocida</v>
      </c>
      <c r="P4" t="str">
        <f>_xlfn.XLOOKUP(frasest[[#This Row],[autor_es]],autorest[autor_es],autorest[epoca_la])</f>
        <v>Epocha Ignota</v>
      </c>
      <c r="Q4" t="str">
        <f>_xlfn.XLOOKUP(frasest[[#This Row],[autor_es]],autorest[autor_es],autorest[imagen])</f>
        <v>https://i.ibb.co/svZg6Fc2/japon.png</v>
      </c>
      <c r="R4">
        <f>_xlfn.XLOOKUP(frasest[[#This Row],[autor_es]],autorest[autor_es],autorest[imagen_atr])</f>
        <v>0</v>
      </c>
    </row>
    <row r="5" spans="1:18">
      <c r="A5">
        <v>4</v>
      </c>
      <c r="B5" t="s">
        <v>29</v>
      </c>
      <c r="C5" t="s">
        <v>30</v>
      </c>
      <c r="D5" t="s">
        <v>31</v>
      </c>
      <c r="E5" t="s">
        <v>32</v>
      </c>
      <c r="G5" t="str">
        <f>_xlfn.XLOOKUP(frasest[[#This Row],[autor_es]],autorest[autor_es],autorest[autor_la])</f>
        <v>Sententia Russica</v>
      </c>
      <c r="H5" t="str">
        <f>_xlfn.XLOOKUP(frasest[[#This Row],[autor_es]],autorest[autor_es],autorest[bio_es])</f>
        <v>Dichos tradicionales del pueblo ruso que condensan la experiencia colectiva, el ingenio y la filosofía popular transmitida de generación en generación.</v>
      </c>
      <c r="I5" t="str">
        <f>_xlfn.XLOOKUP(frasest[[#This Row],[autor_es]],autorest[autor_es],autorest[bio_la])</f>
        <v>Collectio sententiarum Russicarum.</v>
      </c>
      <c r="J5" t="str">
        <f>_xlfn.XLOOKUP(frasest[[#This Row],[autor_es]],autorest[autor_es],autorest[codigo])</f>
        <v>ru</v>
      </c>
      <c r="K5" t="str">
        <f>_xlfn.XLOOKUP(frasest[[#This Row],[autor_es]],autorest[autor_es],autorest[idioma_es])</f>
        <v>Ruso</v>
      </c>
      <c r="L5" t="str">
        <f>_xlfn.XLOOKUP(frasest[[#This Row],[autor_es]],autorest[autor_es],autorest[idioma_la])</f>
        <v>Lingua Russica</v>
      </c>
      <c r="M5" t="str">
        <f>_xlfn.XLOOKUP(frasest[[#This Row],[autor_es]],autorest[autor_es],autorest[nacion_es])</f>
        <v>Rusia</v>
      </c>
      <c r="N5" t="str">
        <f>_xlfn.XLOOKUP(frasest[[#This Row],[autor_es]],autorest[autor_es],autorest[nacion_la])</f>
        <v>Russia</v>
      </c>
      <c r="O5" t="str">
        <f>_xlfn.XLOOKUP(frasest[[#This Row],[autor_es]],autorest[autor_es],autorest[epoca_es])</f>
        <v>Epoca Desconocida</v>
      </c>
      <c r="P5" t="str">
        <f>_xlfn.XLOOKUP(frasest[[#This Row],[autor_es]],autorest[autor_es],autorest[epoca_la])</f>
        <v>Epocha Ignota</v>
      </c>
      <c r="Q5" t="str">
        <f>_xlfn.XLOOKUP(frasest[[#This Row],[autor_es]],autorest[autor_es],autorest[imagen])</f>
        <v>https://i.ibb.co/HLT9WZLw/rusia.png</v>
      </c>
      <c r="R5">
        <f>_xlfn.XLOOKUP(frasest[[#This Row],[autor_es]],autorest[autor_es],autorest[imagen_atr])</f>
        <v>0</v>
      </c>
    </row>
    <row r="6" spans="1:18">
      <c r="A6">
        <v>5</v>
      </c>
      <c r="B6" t="s">
        <v>33</v>
      </c>
      <c r="C6" t="s">
        <v>34</v>
      </c>
      <c r="D6" s="1" t="s">
        <v>35</v>
      </c>
      <c r="E6" t="s">
        <v>36</v>
      </c>
      <c r="G6" t="str">
        <f>_xlfn.XLOOKUP(frasest[[#This Row],[autor_es]],autorest[autor_es],autorest[autor_la])</f>
        <v>Proverbium Sinense</v>
      </c>
      <c r="H6" t="str">
        <f>_xlfn.XLOOKUP(frasest[[#This Row],[autor_es]],autorest[autor_es],autorest[bio_es])</f>
        <v>Conjunto de proverbios tradicionales de la cultura china que transmiten sabiduría popular, valores morales y enseñanzas prácticas transmitidas oralmente durante siglos.</v>
      </c>
      <c r="I6" t="str">
        <f>_xlfn.XLOOKUP(frasest[[#This Row],[autor_es]],autorest[autor_es],autorest[bio_la])</f>
        <v>Collectio sententiarum Sinensium, magnopere in cultura tradita.</v>
      </c>
      <c r="J6" t="str">
        <f>_xlfn.XLOOKUP(frasest[[#This Row],[autor_es]],autorest[autor_es],autorest[codigo])</f>
        <v>zh</v>
      </c>
      <c r="K6" t="str">
        <f>_xlfn.XLOOKUP(frasest[[#This Row],[autor_es]],autorest[autor_es],autorest[idioma_es])</f>
        <v>Chino</v>
      </c>
      <c r="L6" t="str">
        <f>_xlfn.XLOOKUP(frasest[[#This Row],[autor_es]],autorest[autor_es],autorest[idioma_la])</f>
        <v>Lingua Sinica</v>
      </c>
      <c r="M6" t="str">
        <f>_xlfn.XLOOKUP(frasest[[#This Row],[autor_es]],autorest[autor_es],autorest[nacion_es])</f>
        <v>China</v>
      </c>
      <c r="N6" t="str">
        <f>_xlfn.XLOOKUP(frasest[[#This Row],[autor_es]],autorest[autor_es],autorest[nacion_la])</f>
        <v>Sinae</v>
      </c>
      <c r="O6" t="str">
        <f>_xlfn.XLOOKUP(frasest[[#This Row],[autor_es]],autorest[autor_es],autorest[epoca_es])</f>
        <v>Epoca Desconocida</v>
      </c>
      <c r="P6" t="str">
        <f>_xlfn.XLOOKUP(frasest[[#This Row],[autor_es]],autorest[autor_es],autorest[epoca_la])</f>
        <v>Epocha Ignota</v>
      </c>
      <c r="Q6" t="str">
        <f>_xlfn.XLOOKUP(frasest[[#This Row],[autor_es]],autorest[autor_es],autorest[imagen])</f>
        <v>https://i.ibb.co/qLfpZm6h/china.png</v>
      </c>
      <c r="R6">
        <f>_xlfn.XLOOKUP(frasest[[#This Row],[autor_es]],autorest[autor_es],autorest[imagen_atr])</f>
        <v>0</v>
      </c>
    </row>
    <row r="7" spans="1:18" ht="14.25">
      <c r="A7">
        <v>6</v>
      </c>
      <c r="B7" t="s">
        <v>37</v>
      </c>
      <c r="C7" t="s">
        <v>38</v>
      </c>
      <c r="D7" s="3" t="s">
        <v>39</v>
      </c>
      <c r="E7" t="s">
        <v>40</v>
      </c>
      <c r="F7" t="s">
        <v>41</v>
      </c>
      <c r="G7" t="str">
        <f>_xlfn.XLOOKUP(frasest[[#This Row],[autor_es]],autorest[autor_es],autorest[autor_la])</f>
        <v>Biblia Sacra</v>
      </c>
      <c r="H7" t="str">
        <f>_xlfn.XLOOKUP(frasest[[#This Row],[autor_es]],autorest[autor_es],autorest[bio_es])</f>
        <v>La Biblia es el conjunto de libros sagrados del judaísmo y el cristianismo, compuesta por el Antiguo Testamento (escrito aproximadamente entre 1445 a.C. y 400 a.C.) y el Nuevo Testamento (escrito entre 40 d.C. y 95 d.C.). Fue redactada por múltiples autores a lo largo de aproximadamente 1500 años, incluyendo profetas, apóstoles, sacerdotes y escribas.</v>
      </c>
      <c r="I7" t="str">
        <f>_xlfn.XLOOKUP(frasest[[#This Row],[autor_es]],autorest[autor_es],autorest[bio_la])</f>
        <v>Liber Scripturae Sacrae est collectio librorum iudaicae et christianae religionis, quae ex Vetere Testamento (circiter inter 1445 a.C. et 400 a.C. scripta) et Novo Testamento (circiter inter 40 d.C. et 95 d.C. scripta) constat. A multis auctoribus per circiter mille et quingenta annos scripta est, prophetis, apostolis, sacerdotibus et scribis inclusi.</v>
      </c>
      <c r="J7" t="str">
        <f>_xlfn.XLOOKUP(frasest[[#This Row],[autor_es]],autorest[autor_es],autorest[codigo])</f>
        <v>he</v>
      </c>
      <c r="K7" t="str">
        <f>_xlfn.XLOOKUP(frasest[[#This Row],[autor_es]],autorest[autor_es],autorest[idioma_es])</f>
        <v>Hebreo</v>
      </c>
      <c r="L7" t="str">
        <f>_xlfn.XLOOKUP(frasest[[#This Row],[autor_es]],autorest[autor_es],autorest[idioma_la])</f>
        <v>Lingua Hebraica</v>
      </c>
      <c r="M7" t="str">
        <f>_xlfn.XLOOKUP(frasest[[#This Row],[autor_es]],autorest[autor_es],autorest[nacion_es])</f>
        <v>Israel</v>
      </c>
      <c r="N7" t="str">
        <f>_xlfn.XLOOKUP(frasest[[#This Row],[autor_es]],autorest[autor_es],autorest[nacion_la])</f>
        <v>Israel</v>
      </c>
      <c r="O7" t="str">
        <f>_xlfn.XLOOKUP(frasest[[#This Row],[autor_es]],autorest[autor_es],autorest[epoca_es])</f>
        <v>Edad Antigua</v>
      </c>
      <c r="P7" t="str">
        <f>_xlfn.XLOOKUP(frasest[[#This Row],[autor_es]],autorest[autor_es],autorest[epoca_la])</f>
        <v>Antiquitas</v>
      </c>
      <c r="Q7" t="str">
        <f>_xlfn.XLOOKUP(frasest[[#This Row],[autor_es]],autorest[autor_es],autorest[imagen])</f>
        <v>https://i.ibb.co/mF9zsdM5/bible.png</v>
      </c>
      <c r="R7">
        <f>_xlfn.XLOOKUP(frasest[[#This Row],[autor_es]],autorest[autor_es],autorest[imagen_atr])</f>
        <v>0</v>
      </c>
    </row>
    <row r="8" spans="1:18">
      <c r="A8">
        <v>7</v>
      </c>
      <c r="B8" t="s">
        <v>42</v>
      </c>
      <c r="C8" t="s">
        <v>43</v>
      </c>
      <c r="D8" t="s">
        <v>44</v>
      </c>
      <c r="E8" t="s">
        <v>40</v>
      </c>
      <c r="F8" t="s">
        <v>45</v>
      </c>
      <c r="G8" t="str">
        <f>_xlfn.XLOOKUP(frasest[[#This Row],[autor_es]],autorest[autor_es],autorest[autor_la])</f>
        <v>Biblia Sacra</v>
      </c>
      <c r="H8" t="str">
        <f>_xlfn.XLOOKUP(frasest[[#This Row],[autor_es]],autorest[autor_es],autorest[bio_es])</f>
        <v>La Biblia es el conjunto de libros sagrados del judaísmo y el cristianismo, compuesta por el Antiguo Testamento (escrito aproximadamente entre 1445 a.C. y 400 a.C.) y el Nuevo Testamento (escrito entre 40 d.C. y 95 d.C.). Fue redactada por múltiples autores a lo largo de aproximadamente 1500 años, incluyendo profetas, apóstoles, sacerdotes y escribas.</v>
      </c>
      <c r="I8" t="str">
        <f>_xlfn.XLOOKUP(frasest[[#This Row],[autor_es]],autorest[autor_es],autorest[bio_la])</f>
        <v>Liber Scripturae Sacrae est collectio librorum iudaicae et christianae religionis, quae ex Vetere Testamento (circiter inter 1445 a.C. et 400 a.C. scripta) et Novo Testamento (circiter inter 40 d.C. et 95 d.C. scripta) constat. A multis auctoribus per circiter mille et quingenta annos scripta est, prophetis, apostolis, sacerdotibus et scribis inclusi.</v>
      </c>
      <c r="J8" t="str">
        <f>_xlfn.XLOOKUP(frasest[[#This Row],[autor_es]],autorest[autor_es],autorest[codigo])</f>
        <v>he</v>
      </c>
      <c r="K8" t="str">
        <f>_xlfn.XLOOKUP(frasest[[#This Row],[autor_es]],autorest[autor_es],autorest[idioma_es])</f>
        <v>Hebreo</v>
      </c>
      <c r="L8" t="str">
        <f>_xlfn.XLOOKUP(frasest[[#This Row],[autor_es]],autorest[autor_es],autorest[idioma_la])</f>
        <v>Lingua Hebraica</v>
      </c>
      <c r="M8" t="str">
        <f>_xlfn.XLOOKUP(frasest[[#This Row],[autor_es]],autorest[autor_es],autorest[nacion_es])</f>
        <v>Israel</v>
      </c>
      <c r="N8" t="str">
        <f>_xlfn.XLOOKUP(frasest[[#This Row],[autor_es]],autorest[autor_es],autorest[nacion_la])</f>
        <v>Israel</v>
      </c>
      <c r="O8" t="str">
        <f>_xlfn.XLOOKUP(frasest[[#This Row],[autor_es]],autorest[autor_es],autorest[epoca_es])</f>
        <v>Edad Antigua</v>
      </c>
      <c r="P8" t="str">
        <f>_xlfn.XLOOKUP(frasest[[#This Row],[autor_es]],autorest[autor_es],autorest[epoca_la])</f>
        <v>Antiquitas</v>
      </c>
      <c r="Q8" t="str">
        <f>_xlfn.XLOOKUP(frasest[[#This Row],[autor_es]],autorest[autor_es],autorest[imagen])</f>
        <v>https://i.ibb.co/mF9zsdM5/bible.png</v>
      </c>
      <c r="R8">
        <f>_xlfn.XLOOKUP(frasest[[#This Row],[autor_es]],autorest[autor_es],autorest[imagen_atr])</f>
        <v>0</v>
      </c>
    </row>
    <row r="9" spans="1:18">
      <c r="A9">
        <v>8</v>
      </c>
      <c r="B9" t="s">
        <v>46</v>
      </c>
      <c r="C9" t="s">
        <v>47</v>
      </c>
      <c r="D9" t="s">
        <v>48</v>
      </c>
      <c r="E9" t="s">
        <v>49</v>
      </c>
      <c r="F9" t="s">
        <v>50</v>
      </c>
      <c r="G9" t="str">
        <f>_xlfn.XLOOKUP(frasest[[#This Row],[autor_es]],autorest[autor_es],autorest[autor_la])</f>
        <v>Renatus Cartesius</v>
      </c>
      <c r="H9" t="str">
        <f>_xlfn.XLOOKUP(frasest[[#This Row],[autor_es]],autorest[autor_es],autorest[bio_es])</f>
        <v>Filósofo y matemático francés.</v>
      </c>
      <c r="I9" t="str">
        <f>_xlfn.XLOOKUP(frasest[[#This Row],[autor_es]],autorest[autor_es],autorest[bio_la])</f>
        <v>Philosophus et mathematicus Francogallicus.</v>
      </c>
      <c r="J9" t="str">
        <f>_xlfn.XLOOKUP(frasest[[#This Row],[autor_es]],autorest[autor_es],autorest[codigo])</f>
        <v>la</v>
      </c>
      <c r="K9" t="str">
        <f>_xlfn.XLOOKUP(frasest[[#This Row],[autor_es]],autorest[autor_es],autorest[idioma_es])</f>
        <v>Latín</v>
      </c>
      <c r="L9" t="str">
        <f>_xlfn.XLOOKUP(frasest[[#This Row],[autor_es]],autorest[autor_es],autorest[idioma_la])</f>
        <v>Lingua Latina</v>
      </c>
      <c r="M9" t="str">
        <f>_xlfn.XLOOKUP(frasest[[#This Row],[autor_es]],autorest[autor_es],autorest[nacion_es])</f>
        <v>Francia</v>
      </c>
      <c r="N9" t="str">
        <f>_xlfn.XLOOKUP(frasest[[#This Row],[autor_es]],autorest[autor_es],autorest[nacion_la])</f>
        <v>Francia</v>
      </c>
      <c r="O9" t="str">
        <f>_xlfn.XLOOKUP(frasest[[#This Row],[autor_es]],autorest[autor_es],autorest[epoca_es])</f>
        <v>Edad Moderna</v>
      </c>
      <c r="P9" t="str">
        <f>_xlfn.XLOOKUP(frasest[[#This Row],[autor_es]],autorest[autor_es],autorest[epoca_la])</f>
        <v>Nova Aetas</v>
      </c>
      <c r="Q9" t="str">
        <f>_xlfn.XLOOKUP(frasest[[#This Row],[autor_es]],autorest[autor_es],autorest[imagen])</f>
        <v>https://i.ibb.co/pjycYzXh/descartes.png</v>
      </c>
      <c r="R9">
        <f>_xlfn.XLOOKUP(frasest[[#This Row],[autor_es]],autorest[autor_es],autorest[imagen_atr])</f>
        <v>0</v>
      </c>
    </row>
    <row r="10" spans="1:18">
      <c r="A10">
        <v>9</v>
      </c>
      <c r="B10" t="s">
        <v>51</v>
      </c>
      <c r="C10" t="s">
        <v>52</v>
      </c>
      <c r="D10" t="s">
        <v>52</v>
      </c>
      <c r="E10" t="s">
        <v>53</v>
      </c>
      <c r="F10" t="s">
        <v>54</v>
      </c>
      <c r="G10" t="str">
        <f>_xlfn.XLOOKUP(frasest[[#This Row],[autor_es]],autorest[autor_es],autorest[autor_la])</f>
        <v>Franciscus Bacon</v>
      </c>
      <c r="H10" t="str">
        <f>_xlfn.XLOOKUP(frasest[[#This Row],[autor_es]],autorest[autor_es],autorest[bio_es])</f>
        <v>Filósofo y estadista inglés, autor de "El conocimiento es poder".</v>
      </c>
      <c r="I10" t="str">
        <f>_xlfn.XLOOKUP(frasest[[#This Row],[autor_es]],autorest[autor_es],autorest[bio_la])</f>
        <v>Philosophus et civis Anglicus, auctor "Scientia potentia est".</v>
      </c>
      <c r="J10" t="str">
        <f>_xlfn.XLOOKUP(frasest[[#This Row],[autor_es]],autorest[autor_es],autorest[codigo])</f>
        <v>en</v>
      </c>
      <c r="K10" t="str">
        <f>_xlfn.XLOOKUP(frasest[[#This Row],[autor_es]],autorest[autor_es],autorest[idioma_es])</f>
        <v>Inglés</v>
      </c>
      <c r="L10" t="str">
        <f>_xlfn.XLOOKUP(frasest[[#This Row],[autor_es]],autorest[autor_es],autorest[idioma_la])</f>
        <v>Lingua Anglica</v>
      </c>
      <c r="M10" t="str">
        <f>_xlfn.XLOOKUP(frasest[[#This Row],[autor_es]],autorest[autor_es],autorest[nacion_es])</f>
        <v>Reino Unido</v>
      </c>
      <c r="N10" t="str">
        <f>_xlfn.XLOOKUP(frasest[[#This Row],[autor_es]],autorest[autor_es],autorest[nacion_la])</f>
        <v>Regnum Unitum</v>
      </c>
      <c r="O10" t="str">
        <f>_xlfn.XLOOKUP(frasest[[#This Row],[autor_es]],autorest[autor_es],autorest[epoca_es])</f>
        <v>Edad Moderna</v>
      </c>
      <c r="P10" t="str">
        <f>_xlfn.XLOOKUP(frasest[[#This Row],[autor_es]],autorest[autor_es],autorest[epoca_la])</f>
        <v>Nova Aetas</v>
      </c>
      <c r="Q10" t="str">
        <f>_xlfn.XLOOKUP(frasest[[#This Row],[autor_es]],autorest[autor_es],autorest[imagen])</f>
        <v>https://i.ibb.co/xtWthbfv/bacon.png</v>
      </c>
      <c r="R10">
        <f>_xlfn.XLOOKUP(frasest[[#This Row],[autor_es]],autorest[autor_es],autorest[imagen_atr])</f>
        <v>0</v>
      </c>
    </row>
    <row r="11" spans="1:18">
      <c r="A11">
        <v>10</v>
      </c>
      <c r="B11" t="s">
        <v>55</v>
      </c>
      <c r="C11" t="s">
        <v>56</v>
      </c>
      <c r="D11" t="s">
        <v>56</v>
      </c>
      <c r="E11" t="s">
        <v>57</v>
      </c>
      <c r="F11" t="s">
        <v>58</v>
      </c>
      <c r="G11" t="str">
        <f>_xlfn.XLOOKUP(frasest[[#This Row],[autor_es]],autorest[autor_es],autorest[autor_la])</f>
        <v>Aurelius Augustinus</v>
      </c>
      <c r="H11" t="str">
        <f>_xlfn.XLOOKUP(frasest[[#This Row],[autor_es]],autorest[autor_es],autorest[bio_es])</f>
        <v>Filósofo y teólogo cristiano.</v>
      </c>
      <c r="I11" t="str">
        <f>_xlfn.XLOOKUP(frasest[[#This Row],[autor_es]],autorest[autor_es],autorest[bio_la])</f>
        <v>Philosophus et theologus Christianus.</v>
      </c>
      <c r="J11" t="str">
        <f>_xlfn.XLOOKUP(frasest[[#This Row],[autor_es]],autorest[autor_es],autorest[codigo])</f>
        <v>la</v>
      </c>
      <c r="K11" t="str">
        <f>_xlfn.XLOOKUP(frasest[[#This Row],[autor_es]],autorest[autor_es],autorest[idioma_es])</f>
        <v>Latín</v>
      </c>
      <c r="L11" t="str">
        <f>_xlfn.XLOOKUP(frasest[[#This Row],[autor_es]],autorest[autor_es],autorest[idioma_la])</f>
        <v>Lingua Latina</v>
      </c>
      <c r="M11" t="str">
        <f>_xlfn.XLOOKUP(frasest[[#This Row],[autor_es]],autorest[autor_es],autorest[nacion_es])</f>
        <v>Roma</v>
      </c>
      <c r="N11" t="str">
        <f>_xlfn.XLOOKUP(frasest[[#This Row],[autor_es]],autorest[autor_es],autorest[nacion_la])</f>
        <v>Roma</v>
      </c>
      <c r="O11" t="str">
        <f>_xlfn.XLOOKUP(frasest[[#This Row],[autor_es]],autorest[autor_es],autorest[epoca_es])</f>
        <v>Edad Antigua</v>
      </c>
      <c r="P11" t="str">
        <f>_xlfn.XLOOKUP(frasest[[#This Row],[autor_es]],autorest[autor_es],autorest[epoca_la])</f>
        <v>Antiquitas</v>
      </c>
      <c r="Q11" t="str">
        <f>_xlfn.XLOOKUP(frasest[[#This Row],[autor_es]],autorest[autor_es],autorest[imagen])</f>
        <v>https://i.ibb.co/chhLXqTZ/agustin.png</v>
      </c>
      <c r="R11">
        <f>_xlfn.XLOOKUP(frasest[[#This Row],[autor_es]],autorest[autor_es],autorest[imagen_atr])</f>
        <v>0</v>
      </c>
    </row>
    <row r="12" spans="1:18">
      <c r="A12">
        <v>11</v>
      </c>
      <c r="B12" t="s">
        <v>59</v>
      </c>
      <c r="C12" t="s">
        <v>60</v>
      </c>
      <c r="D12" t="s">
        <v>61</v>
      </c>
      <c r="E12" t="s">
        <v>62</v>
      </c>
      <c r="F12" t="s">
        <v>63</v>
      </c>
      <c r="G12" t="str">
        <f>_xlfn.XLOOKUP(frasest[[#This Row],[autor_es]],autorest[autor_es],autorest[autor_la])</f>
        <v>Daleus Carnegieus</v>
      </c>
      <c r="H12" t="str">
        <f>_xlfn.XLOOKUP(frasest[[#This Row],[autor_es]],autorest[autor_es],autorest[bio_es])</f>
        <v>Escritor y conferencista estadounidense, autor de libros de desarrollo personal.</v>
      </c>
      <c r="I12" t="str">
        <f>_xlfn.XLOOKUP(frasest[[#This Row],[autor_es]],autorest[autor_es],autorest[bio_la])</f>
        <v>Scriba et orator Americanus, auctor librorum de progressu personali.</v>
      </c>
      <c r="J12" t="str">
        <f>_xlfn.XLOOKUP(frasest[[#This Row],[autor_es]],autorest[autor_es],autorest[codigo])</f>
        <v>en</v>
      </c>
      <c r="K12" t="str">
        <f>_xlfn.XLOOKUP(frasest[[#This Row],[autor_es]],autorest[autor_es],autorest[idioma_es])</f>
        <v>Inglés</v>
      </c>
      <c r="L12" t="str">
        <f>_xlfn.XLOOKUP(frasest[[#This Row],[autor_es]],autorest[autor_es],autorest[idioma_la])</f>
        <v>Lingua Anglica</v>
      </c>
      <c r="M12" t="str">
        <f>_xlfn.XLOOKUP(frasest[[#This Row],[autor_es]],autorest[autor_es],autorest[nacion_es])</f>
        <v>Estados Unidos</v>
      </c>
      <c r="N12" t="str">
        <f>_xlfn.XLOOKUP(frasest[[#This Row],[autor_es]],autorest[autor_es],autorest[nacion_la])</f>
        <v>Civitates Foederatae Americae</v>
      </c>
      <c r="O12" t="str">
        <f>_xlfn.XLOOKUP(frasest[[#This Row],[autor_es]],autorest[autor_es],autorest[epoca_es])</f>
        <v>Edad Contemporánea</v>
      </c>
      <c r="P12" t="str">
        <f>_xlfn.XLOOKUP(frasest[[#This Row],[autor_es]],autorest[autor_es],autorest[epoca_la])</f>
        <v>Aetas Contemporanea</v>
      </c>
      <c r="Q12" t="str">
        <f>_xlfn.XLOOKUP(frasest[[#This Row],[autor_es]],autorest[autor_es],autorest[imagen])</f>
        <v>https://i.ibb.co/BFB74pj/carnegie.png</v>
      </c>
      <c r="R12">
        <f>_xlfn.XLOOKUP(frasest[[#This Row],[autor_es]],autorest[autor_es],autorest[imagen_atr])</f>
        <v>0</v>
      </c>
    </row>
    <row r="13" spans="1:18">
      <c r="A13">
        <v>12</v>
      </c>
      <c r="B13" t="s">
        <v>64</v>
      </c>
      <c r="C13" t="s">
        <v>65</v>
      </c>
      <c r="D13" t="s">
        <v>64</v>
      </c>
      <c r="E13" t="s">
        <v>24</v>
      </c>
      <c r="G13" t="str">
        <f>_xlfn.XLOOKUP(frasest[[#This Row],[autor_es]],autorest[autor_es],autorest[autor_la])</f>
        <v>Sententia Hispanica</v>
      </c>
      <c r="H13" t="str">
        <f>_xlfn.XLOOKUP(frasest[[#This Row],[autor_es]],autorest[autor_es],autorest[bio_es])</f>
        <v>Refranes populares de la tradición oral hispana que expresan de forma breve y ingeniosa enseñanzas prácticas sobre la vida cotidiana.</v>
      </c>
      <c r="I13" t="str">
        <f>_xlfn.XLOOKUP(frasest[[#This Row],[autor_es]],autorest[autor_es],autorest[bio_la])</f>
        <v>Collectio sententiarum Hispanicarum.</v>
      </c>
      <c r="J13" t="str">
        <f>_xlfn.XLOOKUP(frasest[[#This Row],[autor_es]],autorest[autor_es],autorest[codigo])</f>
        <v>es</v>
      </c>
      <c r="K13" t="str">
        <f>_xlfn.XLOOKUP(frasest[[#This Row],[autor_es]],autorest[autor_es],autorest[idioma_es])</f>
        <v>Español</v>
      </c>
      <c r="L13" t="str">
        <f>_xlfn.XLOOKUP(frasest[[#This Row],[autor_es]],autorest[autor_es],autorest[idioma_la])</f>
        <v>Lingua Hispanica</v>
      </c>
      <c r="M13" t="str">
        <f>_xlfn.XLOOKUP(frasest[[#This Row],[autor_es]],autorest[autor_es],autorest[nacion_es])</f>
        <v>España</v>
      </c>
      <c r="N13" t="str">
        <f>_xlfn.XLOOKUP(frasest[[#This Row],[autor_es]],autorest[autor_es],autorest[nacion_la])</f>
        <v>Hispania</v>
      </c>
      <c r="O13" t="str">
        <f>_xlfn.XLOOKUP(frasest[[#This Row],[autor_es]],autorest[autor_es],autorest[epoca_es])</f>
        <v>Epoca Desconocida</v>
      </c>
      <c r="P13" t="str">
        <f>_xlfn.XLOOKUP(frasest[[#This Row],[autor_es]],autorest[autor_es],autorest[epoca_la])</f>
        <v>Epocha Ignota</v>
      </c>
      <c r="Q13" t="str">
        <f>_xlfn.XLOOKUP(frasest[[#This Row],[autor_es]],autorest[autor_es],autorest[imagen])</f>
        <v>https://i.ibb.co/Y4f7TZWm/espa-a.png</v>
      </c>
      <c r="R13">
        <f>_xlfn.XLOOKUP(frasest[[#This Row],[autor_es]],autorest[autor_es],autorest[imagen_atr])</f>
        <v>0</v>
      </c>
    </row>
    <row r="14" spans="1:18">
      <c r="A14">
        <v>13</v>
      </c>
      <c r="B14" t="s">
        <v>66</v>
      </c>
      <c r="C14" t="s">
        <v>67</v>
      </c>
      <c r="D14" t="s">
        <v>67</v>
      </c>
      <c r="E14" t="s">
        <v>68</v>
      </c>
      <c r="F14" t="s">
        <v>69</v>
      </c>
      <c r="G14" t="str">
        <f>_xlfn.XLOOKUP(frasest[[#This Row],[autor_es]],autorest[autor_es],autorest[autor_la])</f>
        <v>Quintus Horatius Flaccus</v>
      </c>
      <c r="H14" t="str">
        <f>_xlfn.XLOOKUP(frasest[[#This Row],[autor_es]],autorest[autor_es],autorest[bio_es])</f>
        <v>Poeta lírico romano, autor de "Carpe diem".</v>
      </c>
      <c r="I14" t="str">
        <f>_xlfn.XLOOKUP(frasest[[#This Row],[autor_es]],autorest[autor_es],autorest[bio_la])</f>
        <v>Poeta lyricus Romanus, auctor "Carpe diem".</v>
      </c>
      <c r="J14" t="str">
        <f>_xlfn.XLOOKUP(frasest[[#This Row],[autor_es]],autorest[autor_es],autorest[codigo])</f>
        <v>la</v>
      </c>
      <c r="K14" t="str">
        <f>_xlfn.XLOOKUP(frasest[[#This Row],[autor_es]],autorest[autor_es],autorest[idioma_es])</f>
        <v>Latín</v>
      </c>
      <c r="L14" t="str">
        <f>_xlfn.XLOOKUP(frasest[[#This Row],[autor_es]],autorest[autor_es],autorest[idioma_la])</f>
        <v>Lingua Latina</v>
      </c>
      <c r="M14" t="str">
        <f>_xlfn.XLOOKUP(frasest[[#This Row],[autor_es]],autorest[autor_es],autorest[nacion_es])</f>
        <v>Roma</v>
      </c>
      <c r="N14" t="str">
        <f>_xlfn.XLOOKUP(frasest[[#This Row],[autor_es]],autorest[autor_es],autorest[nacion_la])</f>
        <v>Roma</v>
      </c>
      <c r="O14" t="str">
        <f>_xlfn.XLOOKUP(frasest[[#This Row],[autor_es]],autorest[autor_es],autorest[epoca_es])</f>
        <v>Edad Antigua</v>
      </c>
      <c r="P14" t="str">
        <f>_xlfn.XLOOKUP(frasest[[#This Row],[autor_es]],autorest[autor_es],autorest[epoca_la])</f>
        <v>Antiquitas</v>
      </c>
      <c r="Q14" t="str">
        <f>_xlfn.XLOOKUP(frasest[[#This Row],[autor_es]],autorest[autor_es],autorest[imagen])</f>
        <v>https://i.ibb.co/KjBfHkQ2/horacio.png</v>
      </c>
      <c r="R14">
        <f>_xlfn.XLOOKUP(frasest[[#This Row],[autor_es]],autorest[autor_es],autorest[imagen_atr])</f>
        <v>0</v>
      </c>
    </row>
    <row r="15" spans="1:18">
      <c r="A15">
        <v>14</v>
      </c>
      <c r="B15" t="s">
        <v>70</v>
      </c>
      <c r="C15" t="s">
        <v>71</v>
      </c>
      <c r="D15" t="s">
        <v>72</v>
      </c>
      <c r="E15" t="s">
        <v>73</v>
      </c>
      <c r="F15" t="s">
        <v>74</v>
      </c>
      <c r="G15" t="str">
        <f>_xlfn.XLOOKUP(frasest[[#This Row],[autor_es]],autorest[autor_es],autorest[autor_la])</f>
        <v>Gulielmus Shakespeare</v>
      </c>
      <c r="H15" t="str">
        <f>_xlfn.XLOOKUP(frasest[[#This Row],[autor_es]],autorest[autor_es],autorest[bio_es])</f>
        <v>Dramaturgo y poeta inglés, autor de Hamlet.</v>
      </c>
      <c r="I15" t="str">
        <f>_xlfn.XLOOKUP(frasest[[#This Row],[autor_es]],autorest[autor_es],autorest[bio_la])</f>
        <v>Dramaturgus et poeta Anglicus, auctor "Hamlet".</v>
      </c>
      <c r="J15" t="str">
        <f>_xlfn.XLOOKUP(frasest[[#This Row],[autor_es]],autorest[autor_es],autorest[codigo])</f>
        <v>en</v>
      </c>
      <c r="K15" t="str">
        <f>_xlfn.XLOOKUP(frasest[[#This Row],[autor_es]],autorest[autor_es],autorest[idioma_es])</f>
        <v>Inglés</v>
      </c>
      <c r="L15" t="str">
        <f>_xlfn.XLOOKUP(frasest[[#This Row],[autor_es]],autorest[autor_es],autorest[idioma_la])</f>
        <v>Lingua Anglica</v>
      </c>
      <c r="M15" t="str">
        <f>_xlfn.XLOOKUP(frasest[[#This Row],[autor_es]],autorest[autor_es],autorest[nacion_es])</f>
        <v>Reino Unido</v>
      </c>
      <c r="N15" t="str">
        <f>_xlfn.XLOOKUP(frasest[[#This Row],[autor_es]],autorest[autor_es],autorest[nacion_la])</f>
        <v>Regnum Unitum</v>
      </c>
      <c r="O15" t="str">
        <f>_xlfn.XLOOKUP(frasest[[#This Row],[autor_es]],autorest[autor_es],autorest[epoca_es])</f>
        <v>Edad Moderna</v>
      </c>
      <c r="P15" t="str">
        <f>_xlfn.XLOOKUP(frasest[[#This Row],[autor_es]],autorest[autor_es],autorest[epoca_la])</f>
        <v>Nova Aetas</v>
      </c>
      <c r="Q15" t="str">
        <f>_xlfn.XLOOKUP(frasest[[#This Row],[autor_es]],autorest[autor_es],autorest[imagen])</f>
        <v>https://i.ibb.co/MDGnQ1yJ/shakespeare.png</v>
      </c>
      <c r="R15">
        <f>_xlfn.XLOOKUP(frasest[[#This Row],[autor_es]],autorest[autor_es],autorest[imagen_atr])</f>
        <v>0</v>
      </c>
    </row>
    <row r="16" spans="1:18">
      <c r="A16">
        <v>15</v>
      </c>
      <c r="B16" t="s">
        <v>75</v>
      </c>
      <c r="C16" t="s">
        <v>76</v>
      </c>
      <c r="D16" t="s">
        <v>75</v>
      </c>
      <c r="E16" t="s">
        <v>24</v>
      </c>
      <c r="G16" t="str">
        <f>_xlfn.XLOOKUP(frasest[[#This Row],[autor_es]],autorest[autor_es],autorest[autor_la])</f>
        <v>Sententia Hispanica</v>
      </c>
      <c r="H16" t="str">
        <f>_xlfn.XLOOKUP(frasest[[#This Row],[autor_es]],autorest[autor_es],autorest[bio_es])</f>
        <v>Refranes populares de la tradición oral hispana que expresan de forma breve y ingeniosa enseñanzas prácticas sobre la vida cotidiana.</v>
      </c>
      <c r="I16" t="str">
        <f>_xlfn.XLOOKUP(frasest[[#This Row],[autor_es]],autorest[autor_es],autorest[bio_la])</f>
        <v>Collectio sententiarum Hispanicarum.</v>
      </c>
      <c r="J16" t="str">
        <f>_xlfn.XLOOKUP(frasest[[#This Row],[autor_es]],autorest[autor_es],autorest[codigo])</f>
        <v>es</v>
      </c>
      <c r="K16" t="str">
        <f>_xlfn.XLOOKUP(frasest[[#This Row],[autor_es]],autorest[autor_es],autorest[idioma_es])</f>
        <v>Español</v>
      </c>
      <c r="L16" t="str">
        <f>_xlfn.XLOOKUP(frasest[[#This Row],[autor_es]],autorest[autor_es],autorest[idioma_la])</f>
        <v>Lingua Hispanica</v>
      </c>
      <c r="M16" t="str">
        <f>_xlfn.XLOOKUP(frasest[[#This Row],[autor_es]],autorest[autor_es],autorest[nacion_es])</f>
        <v>España</v>
      </c>
      <c r="N16" t="str">
        <f>_xlfn.XLOOKUP(frasest[[#This Row],[autor_es]],autorest[autor_es],autorest[nacion_la])</f>
        <v>Hispania</v>
      </c>
      <c r="O16" t="str">
        <f>_xlfn.XLOOKUP(frasest[[#This Row],[autor_es]],autorest[autor_es],autorest[epoca_es])</f>
        <v>Epoca Desconocida</v>
      </c>
      <c r="P16" t="str">
        <f>_xlfn.XLOOKUP(frasest[[#This Row],[autor_es]],autorest[autor_es],autorest[epoca_la])</f>
        <v>Epocha Ignota</v>
      </c>
      <c r="Q16" t="str">
        <f>_xlfn.XLOOKUP(frasest[[#This Row],[autor_es]],autorest[autor_es],autorest[imagen])</f>
        <v>https://i.ibb.co/Y4f7TZWm/espa-a.png</v>
      </c>
      <c r="R16">
        <f>_xlfn.XLOOKUP(frasest[[#This Row],[autor_es]],autorest[autor_es],autorest[imagen_atr])</f>
        <v>0</v>
      </c>
    </row>
    <row r="17" spans="1:18">
      <c r="A17">
        <v>16</v>
      </c>
      <c r="B17" t="s">
        <v>77</v>
      </c>
      <c r="C17" t="s">
        <v>78</v>
      </c>
      <c r="D17" s="1" t="s">
        <v>79</v>
      </c>
      <c r="E17" t="s">
        <v>36</v>
      </c>
      <c r="G17" t="str">
        <f>_xlfn.XLOOKUP(frasest[[#This Row],[autor_es]],autorest[autor_es],autorest[autor_la])</f>
        <v>Proverbium Sinense</v>
      </c>
      <c r="H17" t="str">
        <f>_xlfn.XLOOKUP(frasest[[#This Row],[autor_es]],autorest[autor_es],autorest[bio_es])</f>
        <v>Conjunto de proverbios tradicionales de la cultura china que transmiten sabiduría popular, valores morales y enseñanzas prácticas transmitidas oralmente durante siglos.</v>
      </c>
      <c r="I17" t="str">
        <f>_xlfn.XLOOKUP(frasest[[#This Row],[autor_es]],autorest[autor_es],autorest[bio_la])</f>
        <v>Collectio sententiarum Sinensium, magnopere in cultura tradita.</v>
      </c>
      <c r="J17" t="str">
        <f>_xlfn.XLOOKUP(frasest[[#This Row],[autor_es]],autorest[autor_es],autorest[codigo])</f>
        <v>zh</v>
      </c>
      <c r="K17" t="str">
        <f>_xlfn.XLOOKUP(frasest[[#This Row],[autor_es]],autorest[autor_es],autorest[idioma_es])</f>
        <v>Chino</v>
      </c>
      <c r="L17" t="str">
        <f>_xlfn.XLOOKUP(frasest[[#This Row],[autor_es]],autorest[autor_es],autorest[idioma_la])</f>
        <v>Lingua Sinica</v>
      </c>
      <c r="M17" t="str">
        <f>_xlfn.XLOOKUP(frasest[[#This Row],[autor_es]],autorest[autor_es],autorest[nacion_es])</f>
        <v>China</v>
      </c>
      <c r="N17" t="str">
        <f>_xlfn.XLOOKUP(frasest[[#This Row],[autor_es]],autorest[autor_es],autorest[nacion_la])</f>
        <v>Sinae</v>
      </c>
      <c r="O17" t="str">
        <f>_xlfn.XLOOKUP(frasest[[#This Row],[autor_es]],autorest[autor_es],autorest[epoca_es])</f>
        <v>Epoca Desconocida</v>
      </c>
      <c r="P17" t="str">
        <f>_xlfn.XLOOKUP(frasest[[#This Row],[autor_es]],autorest[autor_es],autorest[epoca_la])</f>
        <v>Epocha Ignota</v>
      </c>
      <c r="Q17" t="str">
        <f>_xlfn.XLOOKUP(frasest[[#This Row],[autor_es]],autorest[autor_es],autorest[imagen])</f>
        <v>https://i.ibb.co/qLfpZm6h/china.png</v>
      </c>
      <c r="R17">
        <f>_xlfn.XLOOKUP(frasest[[#This Row],[autor_es]],autorest[autor_es],autorest[imagen_atr])</f>
        <v>0</v>
      </c>
    </row>
    <row r="18" spans="1:18">
      <c r="A18">
        <v>17</v>
      </c>
      <c r="B18" t="s">
        <v>80</v>
      </c>
      <c r="C18" t="s">
        <v>81</v>
      </c>
      <c r="D18" t="s">
        <v>81</v>
      </c>
      <c r="E18" t="s">
        <v>82</v>
      </c>
      <c r="F18" t="s">
        <v>83</v>
      </c>
      <c r="G18" t="str">
        <f>_xlfn.XLOOKUP(frasest[[#This Row],[autor_es]],autorest[autor_es],autorest[autor_la])</f>
        <v>Gaius Iulius Caesar</v>
      </c>
      <c r="H18" t="str">
        <f>_xlfn.XLOOKUP(frasest[[#This Row],[autor_es]],autorest[autor_es],autorest[bio_es])</f>
        <v>Político, militar y escritor romano. Protagonizó el final de la República Romana y el ascenso del Imperio. Conquistó la Galia, cruzó el Rubicón en 49 a. C. iniciando la guerra civil, y ejerció el poder como dictador vitalicio. Fue asesinado el 15 de marzo de 44 a. C. durante los Idus de marzo.</v>
      </c>
      <c r="I18" t="str">
        <f>_xlfn.XLOOKUP(frasest[[#This Row],[autor_es]],autorest[autor_es],autorest[bio_la])</f>
        <v>Politicus, miles et scriptor Romanus. Finitum Rei Publicae et ascensus Imperii. Galliam vicit, Rubiconem transiit anno 49 a.C., bellum civile incepit, dictator perpetuus factus. Interfectus est die 15 Martii 44 a.C.</v>
      </c>
      <c r="J18" t="str">
        <f>_xlfn.XLOOKUP(frasest[[#This Row],[autor_es]],autorest[autor_es],autorest[codigo])</f>
        <v>la</v>
      </c>
      <c r="K18" t="str">
        <f>_xlfn.XLOOKUP(frasest[[#This Row],[autor_es]],autorest[autor_es],autorest[idioma_es])</f>
        <v>Latín</v>
      </c>
      <c r="L18" t="str">
        <f>_xlfn.XLOOKUP(frasest[[#This Row],[autor_es]],autorest[autor_es],autorest[idioma_la])</f>
        <v>Lingua Latina</v>
      </c>
      <c r="M18" t="str">
        <f>_xlfn.XLOOKUP(frasest[[#This Row],[autor_es]],autorest[autor_es],autorest[nacion_es])</f>
        <v>Roma</v>
      </c>
      <c r="N18" t="str">
        <f>_xlfn.XLOOKUP(frasest[[#This Row],[autor_es]],autorest[autor_es],autorest[nacion_la])</f>
        <v>Roma</v>
      </c>
      <c r="O18" t="str">
        <f>_xlfn.XLOOKUP(frasest[[#This Row],[autor_es]],autorest[autor_es],autorest[epoca_es])</f>
        <v>Edad Antigua</v>
      </c>
      <c r="P18" t="str">
        <f>_xlfn.XLOOKUP(frasest[[#This Row],[autor_es]],autorest[autor_es],autorest[epoca_la])</f>
        <v>Antiquitas</v>
      </c>
      <c r="Q18" t="str">
        <f>_xlfn.XLOOKUP(frasest[[#This Row],[autor_es]],autorest[autor_es],autorest[imagen])</f>
        <v>https://i.ibb.co/7dbHBQ9X/juliocesar.png</v>
      </c>
      <c r="R18">
        <f>_xlfn.XLOOKUP(frasest[[#This Row],[autor_es]],autorest[autor_es],autorest[imagen_atr])</f>
        <v>0</v>
      </c>
    </row>
    <row r="19" spans="1:18">
      <c r="A19">
        <v>18</v>
      </c>
      <c r="B19" t="s">
        <v>84</v>
      </c>
      <c r="C19" t="s">
        <v>85</v>
      </c>
      <c r="D19" t="s">
        <v>86</v>
      </c>
      <c r="E19" t="s">
        <v>87</v>
      </c>
      <c r="F19" t="s">
        <v>88</v>
      </c>
      <c r="G19" t="str">
        <f>_xlfn.XLOOKUP(frasest[[#This Row],[autor_es]],autorest[autor_es],autorest[autor_la])</f>
        <v>Parmenides</v>
      </c>
      <c r="H19" t="str">
        <f>_xlfn.XLOOKUP(frasest[[#This Row],[autor_es]],autorest[autor_es],autorest[bio_es])</f>
        <v>Filósofo presocrático griego, fundador de la escuela eleática. Defendió la idea de la permanencia del ser y que nada surge de la nada.</v>
      </c>
      <c r="I19" t="str">
        <f>_xlfn.XLOOKUP(frasest[[#This Row],[autor_es]],autorest[autor_es],autorest[bio_la])</f>
        <v>Philosophus Praesocraticus Graecus, schola Eleatica conditor. Ideam constantiae entis defendit, nihil ex nihilo oriri.</v>
      </c>
      <c r="J19" t="str">
        <f>_xlfn.XLOOKUP(frasest[[#This Row],[autor_es]],autorest[autor_es],autorest[codigo])</f>
        <v>la</v>
      </c>
      <c r="K19" t="str">
        <f>_xlfn.XLOOKUP(frasest[[#This Row],[autor_es]],autorest[autor_es],autorest[idioma_es])</f>
        <v>Latín</v>
      </c>
      <c r="L19" t="str">
        <f>_xlfn.XLOOKUP(frasest[[#This Row],[autor_es]],autorest[autor_es],autorest[idioma_la])</f>
        <v>Lingua Latina</v>
      </c>
      <c r="M19" t="str">
        <f>_xlfn.XLOOKUP(frasest[[#This Row],[autor_es]],autorest[autor_es],autorest[nacion_es])</f>
        <v>Grecia</v>
      </c>
      <c r="N19" t="str">
        <f>_xlfn.XLOOKUP(frasest[[#This Row],[autor_es]],autorest[autor_es],autorest[nacion_la])</f>
        <v>Graecia</v>
      </c>
      <c r="O19" t="str">
        <f>_xlfn.XLOOKUP(frasest[[#This Row],[autor_es]],autorest[autor_es],autorest[epoca_es])</f>
        <v>Edad Antigua</v>
      </c>
      <c r="P19" t="str">
        <f>_xlfn.XLOOKUP(frasest[[#This Row],[autor_es]],autorest[autor_es],autorest[epoca_la])</f>
        <v>Antiquitas</v>
      </c>
      <c r="Q19" t="str">
        <f>_xlfn.XLOOKUP(frasest[[#This Row],[autor_es]],autorest[autor_es],autorest[imagen])</f>
        <v>https://i.ibb.co/8DHGWSZc/parmenides.png</v>
      </c>
      <c r="R19">
        <f>_xlfn.XLOOKUP(frasest[[#This Row],[autor_es]],autorest[autor_es],autorest[imagen_atr])</f>
        <v>0</v>
      </c>
    </row>
    <row r="20" spans="1:18">
      <c r="A20">
        <v>19</v>
      </c>
      <c r="B20" t="s">
        <v>89</v>
      </c>
      <c r="C20" t="s">
        <v>90</v>
      </c>
      <c r="D20" s="1" t="s">
        <v>91</v>
      </c>
      <c r="E20" t="s">
        <v>36</v>
      </c>
      <c r="G20" t="str">
        <f>_xlfn.XLOOKUP(frasest[[#This Row],[autor_es]],autorest[autor_es],autorest[autor_la])</f>
        <v>Proverbium Sinense</v>
      </c>
      <c r="H20" t="str">
        <f>_xlfn.XLOOKUP(frasest[[#This Row],[autor_es]],autorest[autor_es],autorest[bio_es])</f>
        <v>Conjunto de proverbios tradicionales de la cultura china que transmiten sabiduría popular, valores morales y enseñanzas prácticas transmitidas oralmente durante siglos.</v>
      </c>
      <c r="I20" t="str">
        <f>_xlfn.XLOOKUP(frasest[[#This Row],[autor_es]],autorest[autor_es],autorest[bio_la])</f>
        <v>Collectio sententiarum Sinensium, magnopere in cultura tradita.</v>
      </c>
      <c r="J20" t="str">
        <f>_xlfn.XLOOKUP(frasest[[#This Row],[autor_es]],autorest[autor_es],autorest[codigo])</f>
        <v>zh</v>
      </c>
      <c r="K20" t="str">
        <f>_xlfn.XLOOKUP(frasest[[#This Row],[autor_es]],autorest[autor_es],autorest[idioma_es])</f>
        <v>Chino</v>
      </c>
      <c r="L20" t="str">
        <f>_xlfn.XLOOKUP(frasest[[#This Row],[autor_es]],autorest[autor_es],autorest[idioma_la])</f>
        <v>Lingua Sinica</v>
      </c>
      <c r="M20" t="str">
        <f>_xlfn.XLOOKUP(frasest[[#This Row],[autor_es]],autorest[autor_es],autorest[nacion_es])</f>
        <v>China</v>
      </c>
      <c r="N20" t="str">
        <f>_xlfn.XLOOKUP(frasest[[#This Row],[autor_es]],autorest[autor_es],autorest[nacion_la])</f>
        <v>Sinae</v>
      </c>
      <c r="O20" t="str">
        <f>_xlfn.XLOOKUP(frasest[[#This Row],[autor_es]],autorest[autor_es],autorest[epoca_es])</f>
        <v>Epoca Desconocida</v>
      </c>
      <c r="P20" t="str">
        <f>_xlfn.XLOOKUP(frasest[[#This Row],[autor_es]],autorest[autor_es],autorest[epoca_la])</f>
        <v>Epocha Ignota</v>
      </c>
      <c r="Q20" t="str">
        <f>_xlfn.XLOOKUP(frasest[[#This Row],[autor_es]],autorest[autor_es],autorest[imagen])</f>
        <v>https://i.ibb.co/qLfpZm6h/china.png</v>
      </c>
      <c r="R20">
        <f>_xlfn.XLOOKUP(frasest[[#This Row],[autor_es]],autorest[autor_es],autorest[imagen_atr])</f>
        <v>0</v>
      </c>
    </row>
    <row r="21" spans="1:18">
      <c r="A21">
        <v>20</v>
      </c>
      <c r="B21" t="s">
        <v>92</v>
      </c>
      <c r="C21" t="s">
        <v>93</v>
      </c>
      <c r="D21" s="1" t="s">
        <v>94</v>
      </c>
      <c r="E21" t="s">
        <v>95</v>
      </c>
      <c r="F21" t="s">
        <v>96</v>
      </c>
      <c r="G21" t="str">
        <f>_xlfn.XLOOKUP(frasest[[#This Row],[autor_es]],autorest[autor_es],autorest[autor_la])</f>
        <v>Confucius</v>
      </c>
      <c r="H21" t="str">
        <f>_xlfn.XLOOKUP(frasest[[#This Row],[autor_es]],autorest[autor_es],autorest[bio_es])</f>
        <v>Filósofo y maestro chino, fundador del confucianismo. Sus enseñanzas influyeron profundamente en la cultura, ética y política de China.</v>
      </c>
      <c r="I21" t="str">
        <f>_xlfn.XLOOKUP(frasest[[#This Row],[autor_es]],autorest[autor_es],autorest[bio_la])</f>
        <v>Philosophus et magister Sinensis, confucianismi conditor. Doctrinae eius in culturam, ethicam et politicam Sinensem profunde influentes.</v>
      </c>
      <c r="J21" t="str">
        <f>_xlfn.XLOOKUP(frasest[[#This Row],[autor_es]],autorest[autor_es],autorest[codigo])</f>
        <v>zh</v>
      </c>
      <c r="K21" t="str">
        <f>_xlfn.XLOOKUP(frasest[[#This Row],[autor_es]],autorest[autor_es],autorest[idioma_es])</f>
        <v>Chino</v>
      </c>
      <c r="L21" t="str">
        <f>_xlfn.XLOOKUP(frasest[[#This Row],[autor_es]],autorest[autor_es],autorest[idioma_la])</f>
        <v>Lingua Sinica</v>
      </c>
      <c r="M21" t="str">
        <f>_xlfn.XLOOKUP(frasest[[#This Row],[autor_es]],autorest[autor_es],autorest[nacion_es])</f>
        <v>China</v>
      </c>
      <c r="N21" t="str">
        <f>_xlfn.XLOOKUP(frasest[[#This Row],[autor_es]],autorest[autor_es],autorest[nacion_la])</f>
        <v>Sinae</v>
      </c>
      <c r="O21" t="str">
        <f>_xlfn.XLOOKUP(frasest[[#This Row],[autor_es]],autorest[autor_es],autorest[epoca_es])</f>
        <v>Edad Antigua</v>
      </c>
      <c r="P21" t="str">
        <f>_xlfn.XLOOKUP(frasest[[#This Row],[autor_es]],autorest[autor_es],autorest[epoca_la])</f>
        <v>Antiquitas</v>
      </c>
      <c r="Q21" t="str">
        <f>_xlfn.XLOOKUP(frasest[[#This Row],[autor_es]],autorest[autor_es],autorest[imagen])</f>
        <v>https://i.ibb.co/tjXTLg8/confucio.png</v>
      </c>
      <c r="R21">
        <f>_xlfn.XLOOKUP(frasest[[#This Row],[autor_es]],autorest[autor_es],autorest[imagen_atr])</f>
        <v>0</v>
      </c>
    </row>
    <row r="22" spans="1:18">
      <c r="A22">
        <v>21</v>
      </c>
      <c r="B22" t="s">
        <v>97</v>
      </c>
      <c r="C22" t="s">
        <v>98</v>
      </c>
      <c r="D22" s="1" t="s">
        <v>99</v>
      </c>
      <c r="E22" t="s">
        <v>95</v>
      </c>
      <c r="F22" t="s">
        <v>100</v>
      </c>
      <c r="G22" t="str">
        <f>_xlfn.XLOOKUP(frasest[[#This Row],[autor_es]],autorest[autor_es],autorest[autor_la])</f>
        <v>Confucius</v>
      </c>
      <c r="H22" t="str">
        <f>_xlfn.XLOOKUP(frasest[[#This Row],[autor_es]],autorest[autor_es],autorest[bio_es])</f>
        <v>Filósofo y maestro chino, fundador del confucianismo. Sus enseñanzas influyeron profundamente en la cultura, ética y política de China.</v>
      </c>
      <c r="I22" t="str">
        <f>_xlfn.XLOOKUP(frasest[[#This Row],[autor_es]],autorest[autor_es],autorest[bio_la])</f>
        <v>Philosophus et magister Sinensis, confucianismi conditor. Doctrinae eius in culturam, ethicam et politicam Sinensem profunde influentes.</v>
      </c>
      <c r="J22" t="str">
        <f>_xlfn.XLOOKUP(frasest[[#This Row],[autor_es]],autorest[autor_es],autorest[codigo])</f>
        <v>zh</v>
      </c>
      <c r="K22" t="str">
        <f>_xlfn.XLOOKUP(frasest[[#This Row],[autor_es]],autorest[autor_es],autorest[idioma_es])</f>
        <v>Chino</v>
      </c>
      <c r="L22" t="str">
        <f>_xlfn.XLOOKUP(frasest[[#This Row],[autor_es]],autorest[autor_es],autorest[idioma_la])</f>
        <v>Lingua Sinica</v>
      </c>
      <c r="M22" t="str">
        <f>_xlfn.XLOOKUP(frasest[[#This Row],[autor_es]],autorest[autor_es],autorest[nacion_es])</f>
        <v>China</v>
      </c>
      <c r="N22" t="str">
        <f>_xlfn.XLOOKUP(frasest[[#This Row],[autor_es]],autorest[autor_es],autorest[nacion_la])</f>
        <v>Sinae</v>
      </c>
      <c r="O22" t="str">
        <f>_xlfn.XLOOKUP(frasest[[#This Row],[autor_es]],autorest[autor_es],autorest[epoca_es])</f>
        <v>Edad Antigua</v>
      </c>
      <c r="P22" t="str">
        <f>_xlfn.XLOOKUP(frasest[[#This Row],[autor_es]],autorest[autor_es],autorest[epoca_la])</f>
        <v>Antiquitas</v>
      </c>
      <c r="Q22" t="str">
        <f>_xlfn.XLOOKUP(frasest[[#This Row],[autor_es]],autorest[autor_es],autorest[imagen])</f>
        <v>https://i.ibb.co/tjXTLg8/confucio.png</v>
      </c>
      <c r="R22">
        <f>_xlfn.XLOOKUP(frasest[[#This Row],[autor_es]],autorest[autor_es],autorest[imagen_atr])</f>
        <v>0</v>
      </c>
    </row>
    <row r="23" spans="1:18">
      <c r="A23">
        <v>22</v>
      </c>
      <c r="B23" t="s">
        <v>101</v>
      </c>
      <c r="C23" t="s">
        <v>102</v>
      </c>
      <c r="D23" s="1" t="s">
        <v>103</v>
      </c>
      <c r="E23" t="s">
        <v>95</v>
      </c>
      <c r="F23" t="s">
        <v>104</v>
      </c>
      <c r="G23" t="str">
        <f>_xlfn.XLOOKUP(frasest[[#This Row],[autor_es]],autorest[autor_es],autorest[autor_la])</f>
        <v>Confucius</v>
      </c>
      <c r="H23" t="str">
        <f>_xlfn.XLOOKUP(frasest[[#This Row],[autor_es]],autorest[autor_es],autorest[bio_es])</f>
        <v>Filósofo y maestro chino, fundador del confucianismo. Sus enseñanzas influyeron profundamente en la cultura, ética y política de China.</v>
      </c>
      <c r="I23" t="str">
        <f>_xlfn.XLOOKUP(frasest[[#This Row],[autor_es]],autorest[autor_es],autorest[bio_la])</f>
        <v>Philosophus et magister Sinensis, confucianismi conditor. Doctrinae eius in culturam, ethicam et politicam Sinensem profunde influentes.</v>
      </c>
      <c r="J23" t="str">
        <f>_xlfn.XLOOKUP(frasest[[#This Row],[autor_es]],autorest[autor_es],autorest[codigo])</f>
        <v>zh</v>
      </c>
      <c r="K23" t="str">
        <f>_xlfn.XLOOKUP(frasest[[#This Row],[autor_es]],autorest[autor_es],autorest[idioma_es])</f>
        <v>Chino</v>
      </c>
      <c r="L23" t="str">
        <f>_xlfn.XLOOKUP(frasest[[#This Row],[autor_es]],autorest[autor_es],autorest[idioma_la])</f>
        <v>Lingua Sinica</v>
      </c>
      <c r="M23" t="str">
        <f>_xlfn.XLOOKUP(frasest[[#This Row],[autor_es]],autorest[autor_es],autorest[nacion_es])</f>
        <v>China</v>
      </c>
      <c r="N23" t="str">
        <f>_xlfn.XLOOKUP(frasest[[#This Row],[autor_es]],autorest[autor_es],autorest[nacion_la])</f>
        <v>Sinae</v>
      </c>
      <c r="O23" t="str">
        <f>_xlfn.XLOOKUP(frasest[[#This Row],[autor_es]],autorest[autor_es],autorest[epoca_es])</f>
        <v>Edad Antigua</v>
      </c>
      <c r="P23" t="str">
        <f>_xlfn.XLOOKUP(frasest[[#This Row],[autor_es]],autorest[autor_es],autorest[epoca_la])</f>
        <v>Antiquitas</v>
      </c>
      <c r="Q23" t="str">
        <f>_xlfn.XLOOKUP(frasest[[#This Row],[autor_es]],autorest[autor_es],autorest[imagen])</f>
        <v>https://i.ibb.co/tjXTLg8/confucio.png</v>
      </c>
      <c r="R23">
        <f>_xlfn.XLOOKUP(frasest[[#This Row],[autor_es]],autorest[autor_es],autorest[imagen_atr])</f>
        <v>0</v>
      </c>
    </row>
    <row r="24" spans="1:18">
      <c r="A24">
        <v>23</v>
      </c>
      <c r="B24" t="s">
        <v>105</v>
      </c>
      <c r="C24" t="s">
        <v>106</v>
      </c>
      <c r="D24" t="s">
        <v>106</v>
      </c>
      <c r="E24" t="s">
        <v>107</v>
      </c>
      <c r="F24" t="s">
        <v>108</v>
      </c>
      <c r="G24" t="str">
        <f>_xlfn.XLOOKUP(frasest[[#This Row],[autor_es]],autorest[autor_es],autorest[autor_la])</f>
        <v>Lucius Annaeus Seneca</v>
      </c>
      <c r="H24" t="str">
        <f>_xlfn.XLOOKUP(frasest[[#This Row],[autor_es]],autorest[autor_es],autorest[bio_es])</f>
        <v>Filósofo, escritor y político romano, representante del estoicismo. Autor de numerosas cartas y tratados morales.</v>
      </c>
      <c r="I24" t="str">
        <f>_xlfn.XLOOKUP(frasest[[#This Row],[autor_es]],autorest[autor_es],autorest[bio_la])</f>
        <v>Philosophus, scriptor et politicus Romanus, stoicismus repraesentans. Multas epistulas et tractatus morales scripsit.</v>
      </c>
      <c r="J24" t="str">
        <f>_xlfn.XLOOKUP(frasest[[#This Row],[autor_es]],autorest[autor_es],autorest[codigo])</f>
        <v>la</v>
      </c>
      <c r="K24" t="str">
        <f>_xlfn.XLOOKUP(frasest[[#This Row],[autor_es]],autorest[autor_es],autorest[idioma_es])</f>
        <v>Latín</v>
      </c>
      <c r="L24" t="str">
        <f>_xlfn.XLOOKUP(frasest[[#This Row],[autor_es]],autorest[autor_es],autorest[idioma_la])</f>
        <v>Lingua Latina</v>
      </c>
      <c r="M24" t="str">
        <f>_xlfn.XLOOKUP(frasest[[#This Row],[autor_es]],autorest[autor_es],autorest[nacion_es])</f>
        <v>Roma</v>
      </c>
      <c r="N24" t="str">
        <f>_xlfn.XLOOKUP(frasest[[#This Row],[autor_es]],autorest[autor_es],autorest[nacion_la])</f>
        <v>Roma</v>
      </c>
      <c r="O24" t="str">
        <f>_xlfn.XLOOKUP(frasest[[#This Row],[autor_es]],autorest[autor_es],autorest[epoca_es])</f>
        <v>Edad Antigua</v>
      </c>
      <c r="P24" t="str">
        <f>_xlfn.XLOOKUP(frasest[[#This Row],[autor_es]],autorest[autor_es],autorest[epoca_la])</f>
        <v>Antiquitas</v>
      </c>
      <c r="Q24" t="str">
        <f>_xlfn.XLOOKUP(frasest[[#This Row],[autor_es]],autorest[autor_es],autorest[imagen])</f>
        <v>https://i.ibb.co/35c3QS9J/seneca.png</v>
      </c>
      <c r="R24">
        <f>_xlfn.XLOOKUP(frasest[[#This Row],[autor_es]],autorest[autor_es],autorest[imagen_atr])</f>
        <v>0</v>
      </c>
    </row>
    <row r="25" spans="1:18">
      <c r="A25">
        <v>24</v>
      </c>
      <c r="B25" t="s">
        <v>109</v>
      </c>
      <c r="C25" t="s">
        <v>110</v>
      </c>
      <c r="D25" t="s">
        <v>110</v>
      </c>
      <c r="E25" t="s">
        <v>107</v>
      </c>
      <c r="F25" t="s">
        <v>111</v>
      </c>
      <c r="G25" t="str">
        <f>_xlfn.XLOOKUP(frasest[[#This Row],[autor_es]],autorest[autor_es],autorest[autor_la])</f>
        <v>Lucius Annaeus Seneca</v>
      </c>
      <c r="H25" t="str">
        <f>_xlfn.XLOOKUP(frasest[[#This Row],[autor_es]],autorest[autor_es],autorest[bio_es])</f>
        <v>Filósofo, escritor y político romano, representante del estoicismo. Autor de numerosas cartas y tratados morales.</v>
      </c>
      <c r="I25" t="str">
        <f>_xlfn.XLOOKUP(frasest[[#This Row],[autor_es]],autorest[autor_es],autorest[bio_la])</f>
        <v>Philosophus, scriptor et politicus Romanus, stoicismus repraesentans. Multas epistulas et tractatus morales scripsit.</v>
      </c>
      <c r="J25" t="str">
        <f>_xlfn.XLOOKUP(frasest[[#This Row],[autor_es]],autorest[autor_es],autorest[codigo])</f>
        <v>la</v>
      </c>
      <c r="K25" t="str">
        <f>_xlfn.XLOOKUP(frasest[[#This Row],[autor_es]],autorest[autor_es],autorest[idioma_es])</f>
        <v>Latín</v>
      </c>
      <c r="L25" t="str">
        <f>_xlfn.XLOOKUP(frasest[[#This Row],[autor_es]],autorest[autor_es],autorest[idioma_la])</f>
        <v>Lingua Latina</v>
      </c>
      <c r="M25" t="str">
        <f>_xlfn.XLOOKUP(frasest[[#This Row],[autor_es]],autorest[autor_es],autorest[nacion_es])</f>
        <v>Roma</v>
      </c>
      <c r="N25" t="str">
        <f>_xlfn.XLOOKUP(frasest[[#This Row],[autor_es]],autorest[autor_es],autorest[nacion_la])</f>
        <v>Roma</v>
      </c>
      <c r="O25" t="str">
        <f>_xlfn.XLOOKUP(frasest[[#This Row],[autor_es]],autorest[autor_es],autorest[epoca_es])</f>
        <v>Edad Antigua</v>
      </c>
      <c r="P25" t="str">
        <f>_xlfn.XLOOKUP(frasest[[#This Row],[autor_es]],autorest[autor_es],autorest[epoca_la])</f>
        <v>Antiquitas</v>
      </c>
      <c r="Q25" t="str">
        <f>_xlfn.XLOOKUP(frasest[[#This Row],[autor_es]],autorest[autor_es],autorest[imagen])</f>
        <v>https://i.ibb.co/35c3QS9J/seneca.png</v>
      </c>
      <c r="R25">
        <f>_xlfn.XLOOKUP(frasest[[#This Row],[autor_es]],autorest[autor_es],autorest[imagen_atr])</f>
        <v>0</v>
      </c>
    </row>
    <row r="26" spans="1:18">
      <c r="A26">
        <v>25</v>
      </c>
      <c r="B26" t="s">
        <v>112</v>
      </c>
      <c r="C26" t="s">
        <v>113</v>
      </c>
      <c r="D26" t="s">
        <v>114</v>
      </c>
      <c r="E26" t="s">
        <v>107</v>
      </c>
      <c r="F26" t="s">
        <v>115</v>
      </c>
      <c r="G26" t="str">
        <f>_xlfn.XLOOKUP(frasest[[#This Row],[autor_es]],autorest[autor_es],autorest[autor_la])</f>
        <v>Lucius Annaeus Seneca</v>
      </c>
      <c r="H26" t="str">
        <f>_xlfn.XLOOKUP(frasest[[#This Row],[autor_es]],autorest[autor_es],autorest[bio_es])</f>
        <v>Filósofo, escritor y político romano, representante del estoicismo. Autor de numerosas cartas y tratados morales.</v>
      </c>
      <c r="I26" t="str">
        <f>_xlfn.XLOOKUP(frasest[[#This Row],[autor_es]],autorest[autor_es],autorest[bio_la])</f>
        <v>Philosophus, scriptor et politicus Romanus, stoicismus repraesentans. Multas epistulas et tractatus morales scripsit.</v>
      </c>
      <c r="J26" t="str">
        <f>_xlfn.XLOOKUP(frasest[[#This Row],[autor_es]],autorest[autor_es],autorest[codigo])</f>
        <v>la</v>
      </c>
      <c r="K26" t="str">
        <f>_xlfn.XLOOKUP(frasest[[#This Row],[autor_es]],autorest[autor_es],autorest[idioma_es])</f>
        <v>Latín</v>
      </c>
      <c r="L26" t="str">
        <f>_xlfn.XLOOKUP(frasest[[#This Row],[autor_es]],autorest[autor_es],autorest[idioma_la])</f>
        <v>Lingua Latina</v>
      </c>
      <c r="M26" t="str">
        <f>_xlfn.XLOOKUP(frasest[[#This Row],[autor_es]],autorest[autor_es],autorest[nacion_es])</f>
        <v>Roma</v>
      </c>
      <c r="N26" t="str">
        <f>_xlfn.XLOOKUP(frasest[[#This Row],[autor_es]],autorest[autor_es],autorest[nacion_la])</f>
        <v>Roma</v>
      </c>
      <c r="O26" t="str">
        <f>_xlfn.XLOOKUP(frasest[[#This Row],[autor_es]],autorest[autor_es],autorest[epoca_es])</f>
        <v>Edad Antigua</v>
      </c>
      <c r="P26" t="str">
        <f>_xlfn.XLOOKUP(frasest[[#This Row],[autor_es]],autorest[autor_es],autorest[epoca_la])</f>
        <v>Antiquitas</v>
      </c>
      <c r="Q26" t="str">
        <f>_xlfn.XLOOKUP(frasest[[#This Row],[autor_es]],autorest[autor_es],autorest[imagen])</f>
        <v>https://i.ibb.co/35c3QS9J/seneca.png</v>
      </c>
      <c r="R26">
        <f>_xlfn.XLOOKUP(frasest[[#This Row],[autor_es]],autorest[autor_es],autorest[imagen_atr])</f>
        <v>0</v>
      </c>
    </row>
    <row r="27" spans="1:18">
      <c r="A27">
        <v>26</v>
      </c>
      <c r="B27" t="s">
        <v>116</v>
      </c>
      <c r="C27" t="s">
        <v>117</v>
      </c>
      <c r="D27" t="s">
        <v>118</v>
      </c>
      <c r="E27" t="s">
        <v>107</v>
      </c>
      <c r="F27" t="s">
        <v>119</v>
      </c>
      <c r="G27" t="str">
        <f>_xlfn.XLOOKUP(frasest[[#This Row],[autor_es]],autorest[autor_es],autorest[autor_la])</f>
        <v>Lucius Annaeus Seneca</v>
      </c>
      <c r="H27" t="str">
        <f>_xlfn.XLOOKUP(frasest[[#This Row],[autor_es]],autorest[autor_es],autorest[bio_es])</f>
        <v>Filósofo, escritor y político romano, representante del estoicismo. Autor de numerosas cartas y tratados morales.</v>
      </c>
      <c r="I27" t="str">
        <f>_xlfn.XLOOKUP(frasest[[#This Row],[autor_es]],autorest[autor_es],autorest[bio_la])</f>
        <v>Philosophus, scriptor et politicus Romanus, stoicismus repraesentans. Multas epistulas et tractatus morales scripsit.</v>
      </c>
      <c r="J27" t="str">
        <f>_xlfn.XLOOKUP(frasest[[#This Row],[autor_es]],autorest[autor_es],autorest[codigo])</f>
        <v>la</v>
      </c>
      <c r="K27" t="str">
        <f>_xlfn.XLOOKUP(frasest[[#This Row],[autor_es]],autorest[autor_es],autorest[idioma_es])</f>
        <v>Latín</v>
      </c>
      <c r="L27" t="str">
        <f>_xlfn.XLOOKUP(frasest[[#This Row],[autor_es]],autorest[autor_es],autorest[idioma_la])</f>
        <v>Lingua Latina</v>
      </c>
      <c r="M27" t="str">
        <f>_xlfn.XLOOKUP(frasest[[#This Row],[autor_es]],autorest[autor_es],autorest[nacion_es])</f>
        <v>Roma</v>
      </c>
      <c r="N27" t="str">
        <f>_xlfn.XLOOKUP(frasest[[#This Row],[autor_es]],autorest[autor_es],autorest[nacion_la])</f>
        <v>Roma</v>
      </c>
      <c r="O27" t="str">
        <f>_xlfn.XLOOKUP(frasest[[#This Row],[autor_es]],autorest[autor_es],autorest[epoca_es])</f>
        <v>Edad Antigua</v>
      </c>
      <c r="P27" t="str">
        <f>_xlfn.XLOOKUP(frasest[[#This Row],[autor_es]],autorest[autor_es],autorest[epoca_la])</f>
        <v>Antiquitas</v>
      </c>
      <c r="Q27" t="str">
        <f>_xlfn.XLOOKUP(frasest[[#This Row],[autor_es]],autorest[autor_es],autorest[imagen])</f>
        <v>https://i.ibb.co/35c3QS9J/seneca.png</v>
      </c>
      <c r="R27">
        <f>_xlfn.XLOOKUP(frasest[[#This Row],[autor_es]],autorest[autor_es],autorest[imagen_atr])</f>
        <v>0</v>
      </c>
    </row>
    <row r="28" spans="1:18">
      <c r="A28">
        <v>27</v>
      </c>
      <c r="B28" t="s">
        <v>120</v>
      </c>
      <c r="C28" t="s">
        <v>121</v>
      </c>
      <c r="D28" t="s">
        <v>121</v>
      </c>
      <c r="E28" t="s">
        <v>122</v>
      </c>
      <c r="F28" t="s">
        <v>123</v>
      </c>
      <c r="G28" t="str">
        <f>_xlfn.XLOOKUP(frasest[[#This Row],[autor_es]],autorest[autor_es],autorest[autor_la])</f>
        <v>Publius Cornelius Tacitus</v>
      </c>
      <c r="H28" t="str">
        <f>_xlfn.XLOOKUP(frasest[[#This Row],[autor_es]],autorest[autor_es],autorest[bio_es])</f>
        <v>Gayo o Publio Cornelio Tácito fue un político, orador e historiador romano considerado uno de los más grandes escritores de la historiografía romana. Nació alrededor del año 56 d.C., probablemente en la Galia Narbonense o el norte de Italia, y murió hacia el 120 d.C. Desarrolló una brillante carrera política llegando a ser cónsul en el 97 d.C. y procónsul de Asia entre 112-113 d.C. Sus obras más importantes son los Anales, que narran la historia del Imperio Romano desde la muerte de Augusto hasta Nerón (14-68 d.C.), y las Historias, que abarcan desde el año 69 al 96 d.C. También escribió Germania, una obra etnográfica sobre las tribus germánicas.</v>
      </c>
      <c r="I28" t="str">
        <f>_xlfn.XLOOKUP(frasest[[#This Row],[autor_es]],autorest[autor_es],autorest[bio_la])</f>
        <v>Gaius vel Publius Cornelius Tacitus fuit politicus, orator et historicus Romanus consideratus unus ex maximis scriptoribus historiographiae Romanae. Natus est circiter annum LVI p.C., probabiliter in Gallia Narbonensi vel Italia septentrionali, et mortuus est circiter annum CXX p.C. Cursum honorum fulgentem perfecit ut consul anno XCVII p.C. et proconsul Asiae inter annos CXII-CXIII p.C. Opera eius praecipua sunt Annales, qui narrant historiam Imperii Romani a morte Augusti usque ad Neronem (XIV-LXVIII p.C.), et Historiae, quae annos LXIX ad XCVI p.C. comprehendunt. Etiam scripsit Germaniam, opus ethnographicum de tribubus Germanicis.</v>
      </c>
      <c r="J28" t="str">
        <f>_xlfn.XLOOKUP(frasest[[#This Row],[autor_es]],autorest[autor_es],autorest[codigo])</f>
        <v>la</v>
      </c>
      <c r="K28" t="str">
        <f>_xlfn.XLOOKUP(frasest[[#This Row],[autor_es]],autorest[autor_es],autorest[idioma_es])</f>
        <v>Latín</v>
      </c>
      <c r="L28" t="str">
        <f>_xlfn.XLOOKUP(frasest[[#This Row],[autor_es]],autorest[autor_es],autorest[idioma_la])</f>
        <v>Lingua Latina</v>
      </c>
      <c r="M28" t="str">
        <f>_xlfn.XLOOKUP(frasest[[#This Row],[autor_es]],autorest[autor_es],autorest[nacion_es])</f>
        <v>Roma</v>
      </c>
      <c r="N28" t="str">
        <f>_xlfn.XLOOKUP(frasest[[#This Row],[autor_es]],autorest[autor_es],autorest[nacion_la])</f>
        <v>Roma</v>
      </c>
      <c r="O28" t="str">
        <f>_xlfn.XLOOKUP(frasest[[#This Row],[autor_es]],autorest[autor_es],autorest[epoca_es])</f>
        <v>Edad Antigua</v>
      </c>
      <c r="P28" t="str">
        <f>_xlfn.XLOOKUP(frasest[[#This Row],[autor_es]],autorest[autor_es],autorest[epoca_la])</f>
        <v>Antiquitas</v>
      </c>
      <c r="Q28" t="str">
        <f>_xlfn.XLOOKUP(frasest[[#This Row],[autor_es]],autorest[autor_es],autorest[imagen])</f>
        <v>https://i.ibb.co/x8MJCvrr/tacito.png</v>
      </c>
      <c r="R28">
        <f>_xlfn.XLOOKUP(frasest[[#This Row],[autor_es]],autorest[autor_es],autorest[imagen_atr])</f>
        <v>0</v>
      </c>
    </row>
    <row r="29" spans="1:18">
      <c r="A29">
        <v>28</v>
      </c>
      <c r="B29" t="s">
        <v>124</v>
      </c>
      <c r="C29" t="s">
        <v>125</v>
      </c>
      <c r="D29" t="s">
        <v>126</v>
      </c>
      <c r="E29" t="s">
        <v>53</v>
      </c>
      <c r="F29" t="s">
        <v>54</v>
      </c>
      <c r="G29" t="str">
        <f>_xlfn.XLOOKUP(frasest[[#This Row],[autor_es]],autorest[autor_es],autorest[autor_la])</f>
        <v>Franciscus Bacon</v>
      </c>
      <c r="H29" t="str">
        <f>_xlfn.XLOOKUP(frasest[[#This Row],[autor_es]],autorest[autor_es],autorest[bio_es])</f>
        <v>Filósofo y estadista inglés, autor de "El conocimiento es poder".</v>
      </c>
      <c r="I29" t="str">
        <f>_xlfn.XLOOKUP(frasest[[#This Row],[autor_es]],autorest[autor_es],autorest[bio_la])</f>
        <v>Philosophus et civis Anglicus, auctor "Scientia potentia est".</v>
      </c>
      <c r="J29" t="str">
        <f>_xlfn.XLOOKUP(frasest[[#This Row],[autor_es]],autorest[autor_es],autorest[codigo])</f>
        <v>en</v>
      </c>
      <c r="K29" t="str">
        <f>_xlfn.XLOOKUP(frasest[[#This Row],[autor_es]],autorest[autor_es],autorest[idioma_es])</f>
        <v>Inglés</v>
      </c>
      <c r="L29" t="str">
        <f>_xlfn.XLOOKUP(frasest[[#This Row],[autor_es]],autorest[autor_es],autorest[idioma_la])</f>
        <v>Lingua Anglica</v>
      </c>
      <c r="M29" t="str">
        <f>_xlfn.XLOOKUP(frasest[[#This Row],[autor_es]],autorest[autor_es],autorest[nacion_es])</f>
        <v>Reino Unido</v>
      </c>
      <c r="N29" t="str">
        <f>_xlfn.XLOOKUP(frasest[[#This Row],[autor_es]],autorest[autor_es],autorest[nacion_la])</f>
        <v>Regnum Unitum</v>
      </c>
      <c r="O29" t="str">
        <f>_xlfn.XLOOKUP(frasest[[#This Row],[autor_es]],autorest[autor_es],autorest[epoca_es])</f>
        <v>Edad Moderna</v>
      </c>
      <c r="P29" t="str">
        <f>_xlfn.XLOOKUP(frasest[[#This Row],[autor_es]],autorest[autor_es],autorest[epoca_la])</f>
        <v>Nova Aetas</v>
      </c>
      <c r="Q29" t="str">
        <f>_xlfn.XLOOKUP(frasest[[#This Row],[autor_es]],autorest[autor_es],autorest[imagen])</f>
        <v>https://i.ibb.co/xtWthbfv/bacon.png</v>
      </c>
      <c r="R29">
        <f>_xlfn.XLOOKUP(frasest[[#This Row],[autor_es]],autorest[autor_es],autorest[imagen_atr])</f>
        <v>0</v>
      </c>
    </row>
    <row r="30" spans="1:18">
      <c r="A30">
        <v>29</v>
      </c>
      <c r="B30" t="s">
        <v>127</v>
      </c>
      <c r="C30" t="s">
        <v>128</v>
      </c>
      <c r="D30" s="1" t="s">
        <v>129</v>
      </c>
      <c r="E30" t="s">
        <v>36</v>
      </c>
      <c r="G30" t="str">
        <f>_xlfn.XLOOKUP(frasest[[#This Row],[autor_es]],autorest[autor_es],autorest[autor_la])</f>
        <v>Proverbium Sinense</v>
      </c>
      <c r="H30" t="str">
        <f>_xlfn.XLOOKUP(frasest[[#This Row],[autor_es]],autorest[autor_es],autorest[bio_es])</f>
        <v>Conjunto de proverbios tradicionales de la cultura china que transmiten sabiduría popular, valores morales y enseñanzas prácticas transmitidas oralmente durante siglos.</v>
      </c>
      <c r="I30" t="str">
        <f>_xlfn.XLOOKUP(frasest[[#This Row],[autor_es]],autorest[autor_es],autorest[bio_la])</f>
        <v>Collectio sententiarum Sinensium, magnopere in cultura tradita.</v>
      </c>
      <c r="J30" t="str">
        <f>_xlfn.XLOOKUP(frasest[[#This Row],[autor_es]],autorest[autor_es],autorest[codigo])</f>
        <v>zh</v>
      </c>
      <c r="K30" t="str">
        <f>_xlfn.XLOOKUP(frasest[[#This Row],[autor_es]],autorest[autor_es],autorest[idioma_es])</f>
        <v>Chino</v>
      </c>
      <c r="L30" t="str">
        <f>_xlfn.XLOOKUP(frasest[[#This Row],[autor_es]],autorest[autor_es],autorest[idioma_la])</f>
        <v>Lingua Sinica</v>
      </c>
      <c r="M30" t="str">
        <f>_xlfn.XLOOKUP(frasest[[#This Row],[autor_es]],autorest[autor_es],autorest[nacion_es])</f>
        <v>China</v>
      </c>
      <c r="N30" t="str">
        <f>_xlfn.XLOOKUP(frasest[[#This Row],[autor_es]],autorest[autor_es],autorest[nacion_la])</f>
        <v>Sinae</v>
      </c>
      <c r="O30" t="str">
        <f>_xlfn.XLOOKUP(frasest[[#This Row],[autor_es]],autorest[autor_es],autorest[epoca_es])</f>
        <v>Epoca Desconocida</v>
      </c>
      <c r="P30" t="str">
        <f>_xlfn.XLOOKUP(frasest[[#This Row],[autor_es]],autorest[autor_es],autorest[epoca_la])</f>
        <v>Epocha Ignota</v>
      </c>
      <c r="Q30" t="str">
        <f>_xlfn.XLOOKUP(frasest[[#This Row],[autor_es]],autorest[autor_es],autorest[imagen])</f>
        <v>https://i.ibb.co/qLfpZm6h/china.png</v>
      </c>
      <c r="R30">
        <f>_xlfn.XLOOKUP(frasest[[#This Row],[autor_es]],autorest[autor_es],autorest[imagen_atr])</f>
        <v>0</v>
      </c>
    </row>
    <row r="31" spans="1:18">
      <c r="A31">
        <v>30</v>
      </c>
      <c r="B31" t="s">
        <v>130</v>
      </c>
      <c r="C31" t="s">
        <v>131</v>
      </c>
      <c r="D31" s="1" t="s">
        <v>132</v>
      </c>
      <c r="E31" t="s">
        <v>36</v>
      </c>
      <c r="G31" t="str">
        <f>_xlfn.XLOOKUP(frasest[[#This Row],[autor_es]],autorest[autor_es],autorest[autor_la])</f>
        <v>Proverbium Sinense</v>
      </c>
      <c r="H31" t="str">
        <f>_xlfn.XLOOKUP(frasest[[#This Row],[autor_es]],autorest[autor_es],autorest[bio_es])</f>
        <v>Conjunto de proverbios tradicionales de la cultura china que transmiten sabiduría popular, valores morales y enseñanzas prácticas transmitidas oralmente durante siglos.</v>
      </c>
      <c r="I31" t="str">
        <f>_xlfn.XLOOKUP(frasest[[#This Row],[autor_es]],autorest[autor_es],autorest[bio_la])</f>
        <v>Collectio sententiarum Sinensium, magnopere in cultura tradita.</v>
      </c>
      <c r="J31" t="str">
        <f>_xlfn.XLOOKUP(frasest[[#This Row],[autor_es]],autorest[autor_es],autorest[codigo])</f>
        <v>zh</v>
      </c>
      <c r="K31" t="str">
        <f>_xlfn.XLOOKUP(frasest[[#This Row],[autor_es]],autorest[autor_es],autorest[idioma_es])</f>
        <v>Chino</v>
      </c>
      <c r="L31" t="str">
        <f>_xlfn.XLOOKUP(frasest[[#This Row],[autor_es]],autorest[autor_es],autorest[idioma_la])</f>
        <v>Lingua Sinica</v>
      </c>
      <c r="M31" t="str">
        <f>_xlfn.XLOOKUP(frasest[[#This Row],[autor_es]],autorest[autor_es],autorest[nacion_es])</f>
        <v>China</v>
      </c>
      <c r="N31" t="str">
        <f>_xlfn.XLOOKUP(frasest[[#This Row],[autor_es]],autorest[autor_es],autorest[nacion_la])</f>
        <v>Sinae</v>
      </c>
      <c r="O31" t="str">
        <f>_xlfn.XLOOKUP(frasest[[#This Row],[autor_es]],autorest[autor_es],autorest[epoca_es])</f>
        <v>Epoca Desconocida</v>
      </c>
      <c r="P31" t="str">
        <f>_xlfn.XLOOKUP(frasest[[#This Row],[autor_es]],autorest[autor_es],autorest[epoca_la])</f>
        <v>Epocha Ignota</v>
      </c>
      <c r="Q31" t="str">
        <f>_xlfn.XLOOKUP(frasest[[#This Row],[autor_es]],autorest[autor_es],autorest[imagen])</f>
        <v>https://i.ibb.co/qLfpZm6h/china.png</v>
      </c>
      <c r="R31">
        <f>_xlfn.XLOOKUP(frasest[[#This Row],[autor_es]],autorest[autor_es],autorest[imagen_atr])</f>
        <v>0</v>
      </c>
    </row>
    <row r="32" spans="1:18">
      <c r="A32">
        <v>31</v>
      </c>
      <c r="B32" t="s">
        <v>133</v>
      </c>
      <c r="C32" t="s">
        <v>134</v>
      </c>
      <c r="D32" s="1" t="s">
        <v>135</v>
      </c>
      <c r="E32" t="s">
        <v>36</v>
      </c>
      <c r="G32" t="str">
        <f>_xlfn.XLOOKUP(frasest[[#This Row],[autor_es]],autorest[autor_es],autorest[autor_la])</f>
        <v>Proverbium Sinense</v>
      </c>
      <c r="H32" t="str">
        <f>_xlfn.XLOOKUP(frasest[[#This Row],[autor_es]],autorest[autor_es],autorest[bio_es])</f>
        <v>Conjunto de proverbios tradicionales de la cultura china que transmiten sabiduría popular, valores morales y enseñanzas prácticas transmitidas oralmente durante siglos.</v>
      </c>
      <c r="I32" t="str">
        <f>_xlfn.XLOOKUP(frasest[[#This Row],[autor_es]],autorest[autor_es],autorest[bio_la])</f>
        <v>Collectio sententiarum Sinensium, magnopere in cultura tradita.</v>
      </c>
      <c r="J32" t="str">
        <f>_xlfn.XLOOKUP(frasest[[#This Row],[autor_es]],autorest[autor_es],autorest[codigo])</f>
        <v>zh</v>
      </c>
      <c r="K32" t="str">
        <f>_xlfn.XLOOKUP(frasest[[#This Row],[autor_es]],autorest[autor_es],autorest[idioma_es])</f>
        <v>Chino</v>
      </c>
      <c r="L32" t="str">
        <f>_xlfn.XLOOKUP(frasest[[#This Row],[autor_es]],autorest[autor_es],autorest[idioma_la])</f>
        <v>Lingua Sinica</v>
      </c>
      <c r="M32" t="str">
        <f>_xlfn.XLOOKUP(frasest[[#This Row],[autor_es]],autorest[autor_es],autorest[nacion_es])</f>
        <v>China</v>
      </c>
      <c r="N32" t="str">
        <f>_xlfn.XLOOKUP(frasest[[#This Row],[autor_es]],autorest[autor_es],autorest[nacion_la])</f>
        <v>Sinae</v>
      </c>
      <c r="O32" t="str">
        <f>_xlfn.XLOOKUP(frasest[[#This Row],[autor_es]],autorest[autor_es],autorest[epoca_es])</f>
        <v>Epoca Desconocida</v>
      </c>
      <c r="P32" t="str">
        <f>_xlfn.XLOOKUP(frasest[[#This Row],[autor_es]],autorest[autor_es],autorest[epoca_la])</f>
        <v>Epocha Ignota</v>
      </c>
      <c r="Q32" t="str">
        <f>_xlfn.XLOOKUP(frasest[[#This Row],[autor_es]],autorest[autor_es],autorest[imagen])</f>
        <v>https://i.ibb.co/qLfpZm6h/china.png</v>
      </c>
      <c r="R32">
        <f>_xlfn.XLOOKUP(frasest[[#This Row],[autor_es]],autorest[autor_es],autorest[imagen_atr])</f>
        <v>0</v>
      </c>
    </row>
    <row r="33" spans="1:18">
      <c r="A33">
        <v>32</v>
      </c>
      <c r="B33" t="s">
        <v>136</v>
      </c>
      <c r="C33" t="s">
        <v>137</v>
      </c>
      <c r="D33" s="1" t="s">
        <v>138</v>
      </c>
      <c r="E33" t="s">
        <v>36</v>
      </c>
      <c r="G33" t="str">
        <f>_xlfn.XLOOKUP(frasest[[#This Row],[autor_es]],autorest[autor_es],autorest[autor_la])</f>
        <v>Proverbium Sinense</v>
      </c>
      <c r="H33" t="str">
        <f>_xlfn.XLOOKUP(frasest[[#This Row],[autor_es]],autorest[autor_es],autorest[bio_es])</f>
        <v>Conjunto de proverbios tradicionales de la cultura china que transmiten sabiduría popular, valores morales y enseñanzas prácticas transmitidas oralmente durante siglos.</v>
      </c>
      <c r="I33" t="str">
        <f>_xlfn.XLOOKUP(frasest[[#This Row],[autor_es]],autorest[autor_es],autorest[bio_la])</f>
        <v>Collectio sententiarum Sinensium, magnopere in cultura tradita.</v>
      </c>
      <c r="J33" t="str">
        <f>_xlfn.XLOOKUP(frasest[[#This Row],[autor_es]],autorest[autor_es],autorest[codigo])</f>
        <v>zh</v>
      </c>
      <c r="K33" t="str">
        <f>_xlfn.XLOOKUP(frasest[[#This Row],[autor_es]],autorest[autor_es],autorest[idioma_es])</f>
        <v>Chino</v>
      </c>
      <c r="L33" t="str">
        <f>_xlfn.XLOOKUP(frasest[[#This Row],[autor_es]],autorest[autor_es],autorest[idioma_la])</f>
        <v>Lingua Sinica</v>
      </c>
      <c r="M33" t="str">
        <f>_xlfn.XLOOKUP(frasest[[#This Row],[autor_es]],autorest[autor_es],autorest[nacion_es])</f>
        <v>China</v>
      </c>
      <c r="N33" t="str">
        <f>_xlfn.XLOOKUP(frasest[[#This Row],[autor_es]],autorest[autor_es],autorest[nacion_la])</f>
        <v>Sinae</v>
      </c>
      <c r="O33" t="str">
        <f>_xlfn.XLOOKUP(frasest[[#This Row],[autor_es]],autorest[autor_es],autorest[epoca_es])</f>
        <v>Epoca Desconocida</v>
      </c>
      <c r="P33" t="str">
        <f>_xlfn.XLOOKUP(frasest[[#This Row],[autor_es]],autorest[autor_es],autorest[epoca_la])</f>
        <v>Epocha Ignota</v>
      </c>
      <c r="Q33" t="str">
        <f>_xlfn.XLOOKUP(frasest[[#This Row],[autor_es]],autorest[autor_es],autorest[imagen])</f>
        <v>https://i.ibb.co/qLfpZm6h/china.png</v>
      </c>
      <c r="R33">
        <f>_xlfn.XLOOKUP(frasest[[#This Row],[autor_es]],autorest[autor_es],autorest[imagen_atr])</f>
        <v>0</v>
      </c>
    </row>
    <row r="34" spans="1:18">
      <c r="A34">
        <v>33</v>
      </c>
      <c r="B34" t="s">
        <v>139</v>
      </c>
      <c r="C34" t="s">
        <v>140</v>
      </c>
      <c r="D34" s="1" t="s">
        <v>141</v>
      </c>
      <c r="E34" t="s">
        <v>36</v>
      </c>
      <c r="G34" t="str">
        <f>_xlfn.XLOOKUP(frasest[[#This Row],[autor_es]],autorest[autor_es],autorest[autor_la])</f>
        <v>Proverbium Sinense</v>
      </c>
      <c r="H34" t="str">
        <f>_xlfn.XLOOKUP(frasest[[#This Row],[autor_es]],autorest[autor_es],autorest[bio_es])</f>
        <v>Conjunto de proverbios tradicionales de la cultura china que transmiten sabiduría popular, valores morales y enseñanzas prácticas transmitidas oralmente durante siglos.</v>
      </c>
      <c r="I34" t="str">
        <f>_xlfn.XLOOKUP(frasest[[#This Row],[autor_es]],autorest[autor_es],autorest[bio_la])</f>
        <v>Collectio sententiarum Sinensium, magnopere in cultura tradita.</v>
      </c>
      <c r="J34" t="str">
        <f>_xlfn.XLOOKUP(frasest[[#This Row],[autor_es]],autorest[autor_es],autorest[codigo])</f>
        <v>zh</v>
      </c>
      <c r="K34" t="str">
        <f>_xlfn.XLOOKUP(frasest[[#This Row],[autor_es]],autorest[autor_es],autorest[idioma_es])</f>
        <v>Chino</v>
      </c>
      <c r="L34" t="str">
        <f>_xlfn.XLOOKUP(frasest[[#This Row],[autor_es]],autorest[autor_es],autorest[idioma_la])</f>
        <v>Lingua Sinica</v>
      </c>
      <c r="M34" t="str">
        <f>_xlfn.XLOOKUP(frasest[[#This Row],[autor_es]],autorest[autor_es],autorest[nacion_es])</f>
        <v>China</v>
      </c>
      <c r="N34" t="str">
        <f>_xlfn.XLOOKUP(frasest[[#This Row],[autor_es]],autorest[autor_es],autorest[nacion_la])</f>
        <v>Sinae</v>
      </c>
      <c r="O34" t="str">
        <f>_xlfn.XLOOKUP(frasest[[#This Row],[autor_es]],autorest[autor_es],autorest[epoca_es])</f>
        <v>Epoca Desconocida</v>
      </c>
      <c r="P34" t="str">
        <f>_xlfn.XLOOKUP(frasest[[#This Row],[autor_es]],autorest[autor_es],autorest[epoca_la])</f>
        <v>Epocha Ignota</v>
      </c>
      <c r="Q34" t="str">
        <f>_xlfn.XLOOKUP(frasest[[#This Row],[autor_es]],autorest[autor_es],autorest[imagen])</f>
        <v>https://i.ibb.co/qLfpZm6h/china.png</v>
      </c>
      <c r="R34">
        <f>_xlfn.XLOOKUP(frasest[[#This Row],[autor_es]],autorest[autor_es],autorest[imagen_atr])</f>
        <v>0</v>
      </c>
    </row>
    <row r="35" spans="1:18">
      <c r="A35">
        <v>34</v>
      </c>
      <c r="B35" t="s">
        <v>97</v>
      </c>
      <c r="C35" t="s">
        <v>98</v>
      </c>
      <c r="D35" s="1" t="s">
        <v>142</v>
      </c>
      <c r="E35" t="s">
        <v>36</v>
      </c>
      <c r="G35" t="str">
        <f>_xlfn.XLOOKUP(frasest[[#This Row],[autor_es]],autorest[autor_es],autorest[autor_la])</f>
        <v>Proverbium Sinense</v>
      </c>
      <c r="H35" t="str">
        <f>_xlfn.XLOOKUP(frasest[[#This Row],[autor_es]],autorest[autor_es],autorest[bio_es])</f>
        <v>Conjunto de proverbios tradicionales de la cultura china que transmiten sabiduría popular, valores morales y enseñanzas prácticas transmitidas oralmente durante siglos.</v>
      </c>
      <c r="I35" t="str">
        <f>_xlfn.XLOOKUP(frasest[[#This Row],[autor_es]],autorest[autor_es],autorest[bio_la])</f>
        <v>Collectio sententiarum Sinensium, magnopere in cultura tradita.</v>
      </c>
      <c r="J35" t="str">
        <f>_xlfn.XLOOKUP(frasest[[#This Row],[autor_es]],autorest[autor_es],autorest[codigo])</f>
        <v>zh</v>
      </c>
      <c r="K35" t="str">
        <f>_xlfn.XLOOKUP(frasest[[#This Row],[autor_es]],autorest[autor_es],autorest[idioma_es])</f>
        <v>Chino</v>
      </c>
      <c r="L35" t="str">
        <f>_xlfn.XLOOKUP(frasest[[#This Row],[autor_es]],autorest[autor_es],autorest[idioma_la])</f>
        <v>Lingua Sinica</v>
      </c>
      <c r="M35" t="str">
        <f>_xlfn.XLOOKUP(frasest[[#This Row],[autor_es]],autorest[autor_es],autorest[nacion_es])</f>
        <v>China</v>
      </c>
      <c r="N35" t="str">
        <f>_xlfn.XLOOKUP(frasest[[#This Row],[autor_es]],autorest[autor_es],autorest[nacion_la])</f>
        <v>Sinae</v>
      </c>
      <c r="O35" t="str">
        <f>_xlfn.XLOOKUP(frasest[[#This Row],[autor_es]],autorest[autor_es],autorest[epoca_es])</f>
        <v>Epoca Desconocida</v>
      </c>
      <c r="P35" t="str">
        <f>_xlfn.XLOOKUP(frasest[[#This Row],[autor_es]],autorest[autor_es],autorest[epoca_la])</f>
        <v>Epocha Ignota</v>
      </c>
      <c r="Q35" t="str">
        <f>_xlfn.XLOOKUP(frasest[[#This Row],[autor_es]],autorest[autor_es],autorest[imagen])</f>
        <v>https://i.ibb.co/qLfpZm6h/china.png</v>
      </c>
      <c r="R35">
        <f>_xlfn.XLOOKUP(frasest[[#This Row],[autor_es]],autorest[autor_es],autorest[imagen_atr])</f>
        <v>0</v>
      </c>
    </row>
    <row r="36" spans="1:18">
      <c r="A36">
        <v>35</v>
      </c>
      <c r="B36" t="s">
        <v>143</v>
      </c>
      <c r="C36" t="s">
        <v>144</v>
      </c>
      <c r="D36" s="1" t="s">
        <v>145</v>
      </c>
      <c r="E36" t="s">
        <v>36</v>
      </c>
      <c r="G36" t="str">
        <f>_xlfn.XLOOKUP(frasest[[#This Row],[autor_es]],autorest[autor_es],autorest[autor_la])</f>
        <v>Proverbium Sinense</v>
      </c>
      <c r="H36" t="str">
        <f>_xlfn.XLOOKUP(frasest[[#This Row],[autor_es]],autorest[autor_es],autorest[bio_es])</f>
        <v>Conjunto de proverbios tradicionales de la cultura china que transmiten sabiduría popular, valores morales y enseñanzas prácticas transmitidas oralmente durante siglos.</v>
      </c>
      <c r="I36" t="str">
        <f>_xlfn.XLOOKUP(frasest[[#This Row],[autor_es]],autorest[autor_es],autorest[bio_la])</f>
        <v>Collectio sententiarum Sinensium, magnopere in cultura tradita.</v>
      </c>
      <c r="J36" t="str">
        <f>_xlfn.XLOOKUP(frasest[[#This Row],[autor_es]],autorest[autor_es],autorest[codigo])</f>
        <v>zh</v>
      </c>
      <c r="K36" t="str">
        <f>_xlfn.XLOOKUP(frasest[[#This Row],[autor_es]],autorest[autor_es],autorest[idioma_es])</f>
        <v>Chino</v>
      </c>
      <c r="L36" t="str">
        <f>_xlfn.XLOOKUP(frasest[[#This Row],[autor_es]],autorest[autor_es],autorest[idioma_la])</f>
        <v>Lingua Sinica</v>
      </c>
      <c r="M36" t="str">
        <f>_xlfn.XLOOKUP(frasest[[#This Row],[autor_es]],autorest[autor_es],autorest[nacion_es])</f>
        <v>China</v>
      </c>
      <c r="N36" t="str">
        <f>_xlfn.XLOOKUP(frasest[[#This Row],[autor_es]],autorest[autor_es],autorest[nacion_la])</f>
        <v>Sinae</v>
      </c>
      <c r="O36" t="str">
        <f>_xlfn.XLOOKUP(frasest[[#This Row],[autor_es]],autorest[autor_es],autorest[epoca_es])</f>
        <v>Epoca Desconocida</v>
      </c>
      <c r="P36" t="str">
        <f>_xlfn.XLOOKUP(frasest[[#This Row],[autor_es]],autorest[autor_es],autorest[epoca_la])</f>
        <v>Epocha Ignota</v>
      </c>
      <c r="Q36" t="str">
        <f>_xlfn.XLOOKUP(frasest[[#This Row],[autor_es]],autorest[autor_es],autorest[imagen])</f>
        <v>https://i.ibb.co/qLfpZm6h/china.png</v>
      </c>
      <c r="R36">
        <f>_xlfn.XLOOKUP(frasest[[#This Row],[autor_es]],autorest[autor_es],autorest[imagen_atr])</f>
        <v>0</v>
      </c>
    </row>
    <row r="37" spans="1:18">
      <c r="A37">
        <v>36</v>
      </c>
      <c r="B37" t="s">
        <v>146</v>
      </c>
      <c r="C37" t="s">
        <v>147</v>
      </c>
      <c r="D37" s="1" t="s">
        <v>148</v>
      </c>
      <c r="E37" t="s">
        <v>28</v>
      </c>
      <c r="G37" t="str">
        <f>_xlfn.XLOOKUP(frasest[[#This Row],[autor_es]],autorest[autor_es],autorest[autor_la])</f>
        <v>Proverbium Iaponicum</v>
      </c>
      <c r="H37" t="str">
        <f>_xlfn.XLOOKUP(frasest[[#This Row],[autor_es]],autorest[autor_es],autorest[bio_es])</f>
        <v>Expresiones tradicionales de la cultura japonesa que resumen enseñanzas morales, filosóficas y prácticas derivadas del budismo, el sintoísmo y la experiencia popular.</v>
      </c>
      <c r="I37" t="str">
        <f>_xlfn.XLOOKUP(frasest[[#This Row],[autor_es]],autorest[autor_es],autorest[bio_la])</f>
        <v>Collectio sententiarum Iaponicarum.</v>
      </c>
      <c r="J37" t="str">
        <f>_xlfn.XLOOKUP(frasest[[#This Row],[autor_es]],autorest[autor_es],autorest[codigo])</f>
        <v>ja</v>
      </c>
      <c r="K37" t="str">
        <f>_xlfn.XLOOKUP(frasest[[#This Row],[autor_es]],autorest[autor_es],autorest[idioma_es])</f>
        <v>Japonés</v>
      </c>
      <c r="L37" t="str">
        <f>_xlfn.XLOOKUP(frasest[[#This Row],[autor_es]],autorest[autor_es],autorest[idioma_la])</f>
        <v>Lingua Iaponica</v>
      </c>
      <c r="M37" t="str">
        <f>_xlfn.XLOOKUP(frasest[[#This Row],[autor_es]],autorest[autor_es],autorest[nacion_es])</f>
        <v>Japón</v>
      </c>
      <c r="N37" t="str">
        <f>_xlfn.XLOOKUP(frasest[[#This Row],[autor_es]],autorest[autor_es],autorest[nacion_la])</f>
        <v>Iaponia</v>
      </c>
      <c r="O37" t="str">
        <f>_xlfn.XLOOKUP(frasest[[#This Row],[autor_es]],autorest[autor_es],autorest[epoca_es])</f>
        <v>Epoca Desconocida</v>
      </c>
      <c r="P37" t="str">
        <f>_xlfn.XLOOKUP(frasest[[#This Row],[autor_es]],autorest[autor_es],autorest[epoca_la])</f>
        <v>Epocha Ignota</v>
      </c>
      <c r="Q37" t="str">
        <f>_xlfn.XLOOKUP(frasest[[#This Row],[autor_es]],autorest[autor_es],autorest[imagen])</f>
        <v>https://i.ibb.co/svZg6Fc2/japon.png</v>
      </c>
      <c r="R37">
        <f>_xlfn.XLOOKUP(frasest[[#This Row],[autor_es]],autorest[autor_es],autorest[imagen_atr])</f>
        <v>0</v>
      </c>
    </row>
    <row r="38" spans="1:18">
      <c r="A38">
        <v>37</v>
      </c>
      <c r="B38" t="s">
        <v>149</v>
      </c>
      <c r="C38" t="s">
        <v>150</v>
      </c>
      <c r="D38" s="1" t="s">
        <v>151</v>
      </c>
      <c r="E38" t="s">
        <v>28</v>
      </c>
      <c r="G38" t="str">
        <f>_xlfn.XLOOKUP(frasest[[#This Row],[autor_es]],autorest[autor_es],autorest[autor_la])</f>
        <v>Proverbium Iaponicum</v>
      </c>
      <c r="H38" t="str">
        <f>_xlfn.XLOOKUP(frasest[[#This Row],[autor_es]],autorest[autor_es],autorest[bio_es])</f>
        <v>Expresiones tradicionales de la cultura japonesa que resumen enseñanzas morales, filosóficas y prácticas derivadas del budismo, el sintoísmo y la experiencia popular.</v>
      </c>
      <c r="I38" t="str">
        <f>_xlfn.XLOOKUP(frasest[[#This Row],[autor_es]],autorest[autor_es],autorest[bio_la])</f>
        <v>Collectio sententiarum Iaponicarum.</v>
      </c>
      <c r="J38" t="str">
        <f>_xlfn.XLOOKUP(frasest[[#This Row],[autor_es]],autorest[autor_es],autorest[codigo])</f>
        <v>ja</v>
      </c>
      <c r="K38" t="str">
        <f>_xlfn.XLOOKUP(frasest[[#This Row],[autor_es]],autorest[autor_es],autorest[idioma_es])</f>
        <v>Japonés</v>
      </c>
      <c r="L38" t="str">
        <f>_xlfn.XLOOKUP(frasest[[#This Row],[autor_es]],autorest[autor_es],autorest[idioma_la])</f>
        <v>Lingua Iaponica</v>
      </c>
      <c r="M38" t="str">
        <f>_xlfn.XLOOKUP(frasest[[#This Row],[autor_es]],autorest[autor_es],autorest[nacion_es])</f>
        <v>Japón</v>
      </c>
      <c r="N38" t="str">
        <f>_xlfn.XLOOKUP(frasest[[#This Row],[autor_es]],autorest[autor_es],autorest[nacion_la])</f>
        <v>Iaponia</v>
      </c>
      <c r="O38" t="str">
        <f>_xlfn.XLOOKUP(frasest[[#This Row],[autor_es]],autorest[autor_es],autorest[epoca_es])</f>
        <v>Epoca Desconocida</v>
      </c>
      <c r="P38" t="str">
        <f>_xlfn.XLOOKUP(frasest[[#This Row],[autor_es]],autorest[autor_es],autorest[epoca_la])</f>
        <v>Epocha Ignota</v>
      </c>
      <c r="Q38" t="str">
        <f>_xlfn.XLOOKUP(frasest[[#This Row],[autor_es]],autorest[autor_es],autorest[imagen])</f>
        <v>https://i.ibb.co/svZg6Fc2/japon.png</v>
      </c>
      <c r="R38">
        <f>_xlfn.XLOOKUP(frasest[[#This Row],[autor_es]],autorest[autor_es],autorest[imagen_atr])</f>
        <v>0</v>
      </c>
    </row>
    <row r="39" spans="1:18">
      <c r="A39">
        <v>38</v>
      </c>
      <c r="B39" t="s">
        <v>152</v>
      </c>
      <c r="C39" t="s">
        <v>153</v>
      </c>
      <c r="D39" s="1" t="s">
        <v>154</v>
      </c>
      <c r="E39" t="s">
        <v>28</v>
      </c>
      <c r="G39" t="str">
        <f>_xlfn.XLOOKUP(frasest[[#This Row],[autor_es]],autorest[autor_es],autorest[autor_la])</f>
        <v>Proverbium Iaponicum</v>
      </c>
      <c r="H39" t="str">
        <f>_xlfn.XLOOKUP(frasest[[#This Row],[autor_es]],autorest[autor_es],autorest[bio_es])</f>
        <v>Expresiones tradicionales de la cultura japonesa que resumen enseñanzas morales, filosóficas y prácticas derivadas del budismo, el sintoísmo y la experiencia popular.</v>
      </c>
      <c r="I39" t="str">
        <f>_xlfn.XLOOKUP(frasest[[#This Row],[autor_es]],autorest[autor_es],autorest[bio_la])</f>
        <v>Collectio sententiarum Iaponicarum.</v>
      </c>
      <c r="J39" t="str">
        <f>_xlfn.XLOOKUP(frasest[[#This Row],[autor_es]],autorest[autor_es],autorest[codigo])</f>
        <v>ja</v>
      </c>
      <c r="K39" t="str">
        <f>_xlfn.XLOOKUP(frasest[[#This Row],[autor_es]],autorest[autor_es],autorest[idioma_es])</f>
        <v>Japonés</v>
      </c>
      <c r="L39" t="str">
        <f>_xlfn.XLOOKUP(frasest[[#This Row],[autor_es]],autorest[autor_es],autorest[idioma_la])</f>
        <v>Lingua Iaponica</v>
      </c>
      <c r="M39" t="str">
        <f>_xlfn.XLOOKUP(frasest[[#This Row],[autor_es]],autorest[autor_es],autorest[nacion_es])</f>
        <v>Japón</v>
      </c>
      <c r="N39" t="str">
        <f>_xlfn.XLOOKUP(frasest[[#This Row],[autor_es]],autorest[autor_es],autorest[nacion_la])</f>
        <v>Iaponia</v>
      </c>
      <c r="O39" t="str">
        <f>_xlfn.XLOOKUP(frasest[[#This Row],[autor_es]],autorest[autor_es],autorest[epoca_es])</f>
        <v>Epoca Desconocida</v>
      </c>
      <c r="P39" t="str">
        <f>_xlfn.XLOOKUP(frasest[[#This Row],[autor_es]],autorest[autor_es],autorest[epoca_la])</f>
        <v>Epocha Ignota</v>
      </c>
      <c r="Q39" t="str">
        <f>_xlfn.XLOOKUP(frasest[[#This Row],[autor_es]],autorest[autor_es],autorest[imagen])</f>
        <v>https://i.ibb.co/svZg6Fc2/japon.png</v>
      </c>
      <c r="R39">
        <f>_xlfn.XLOOKUP(frasest[[#This Row],[autor_es]],autorest[autor_es],autorest[imagen_atr])</f>
        <v>0</v>
      </c>
    </row>
    <row r="40" spans="1:18">
      <c r="A40">
        <v>39</v>
      </c>
      <c r="B40" t="s">
        <v>155</v>
      </c>
      <c r="C40" t="s">
        <v>156</v>
      </c>
      <c r="D40" s="1" t="s">
        <v>157</v>
      </c>
      <c r="E40" t="s">
        <v>28</v>
      </c>
      <c r="G40" t="str">
        <f>_xlfn.XLOOKUP(frasest[[#This Row],[autor_es]],autorest[autor_es],autorest[autor_la])</f>
        <v>Proverbium Iaponicum</v>
      </c>
      <c r="H40" t="str">
        <f>_xlfn.XLOOKUP(frasest[[#This Row],[autor_es]],autorest[autor_es],autorest[bio_es])</f>
        <v>Expresiones tradicionales de la cultura japonesa que resumen enseñanzas morales, filosóficas y prácticas derivadas del budismo, el sintoísmo y la experiencia popular.</v>
      </c>
      <c r="I40" t="str">
        <f>_xlfn.XLOOKUP(frasest[[#This Row],[autor_es]],autorest[autor_es],autorest[bio_la])</f>
        <v>Collectio sententiarum Iaponicarum.</v>
      </c>
      <c r="J40" t="str">
        <f>_xlfn.XLOOKUP(frasest[[#This Row],[autor_es]],autorest[autor_es],autorest[codigo])</f>
        <v>ja</v>
      </c>
      <c r="K40" t="str">
        <f>_xlfn.XLOOKUP(frasest[[#This Row],[autor_es]],autorest[autor_es],autorest[idioma_es])</f>
        <v>Japonés</v>
      </c>
      <c r="L40" t="str">
        <f>_xlfn.XLOOKUP(frasest[[#This Row],[autor_es]],autorest[autor_es],autorest[idioma_la])</f>
        <v>Lingua Iaponica</v>
      </c>
      <c r="M40" t="str">
        <f>_xlfn.XLOOKUP(frasest[[#This Row],[autor_es]],autorest[autor_es],autorest[nacion_es])</f>
        <v>Japón</v>
      </c>
      <c r="N40" t="str">
        <f>_xlfn.XLOOKUP(frasest[[#This Row],[autor_es]],autorest[autor_es],autorest[nacion_la])</f>
        <v>Iaponia</v>
      </c>
      <c r="O40" t="str">
        <f>_xlfn.XLOOKUP(frasest[[#This Row],[autor_es]],autorest[autor_es],autorest[epoca_es])</f>
        <v>Epoca Desconocida</v>
      </c>
      <c r="P40" t="str">
        <f>_xlfn.XLOOKUP(frasest[[#This Row],[autor_es]],autorest[autor_es],autorest[epoca_la])</f>
        <v>Epocha Ignota</v>
      </c>
      <c r="Q40" t="str">
        <f>_xlfn.XLOOKUP(frasest[[#This Row],[autor_es]],autorest[autor_es],autorest[imagen])</f>
        <v>https://i.ibb.co/svZg6Fc2/japon.png</v>
      </c>
      <c r="R40">
        <f>_xlfn.XLOOKUP(frasest[[#This Row],[autor_es]],autorest[autor_es],autorest[imagen_atr])</f>
        <v>0</v>
      </c>
    </row>
    <row r="41" spans="1:18">
      <c r="A41">
        <v>40</v>
      </c>
      <c r="B41" t="s">
        <v>158</v>
      </c>
      <c r="C41" t="s">
        <v>159</v>
      </c>
      <c r="D41" s="1" t="s">
        <v>160</v>
      </c>
      <c r="E41" t="s">
        <v>28</v>
      </c>
      <c r="G41" t="str">
        <f>_xlfn.XLOOKUP(frasest[[#This Row],[autor_es]],autorest[autor_es],autorest[autor_la])</f>
        <v>Proverbium Iaponicum</v>
      </c>
      <c r="H41" t="str">
        <f>_xlfn.XLOOKUP(frasest[[#This Row],[autor_es]],autorest[autor_es],autorest[bio_es])</f>
        <v>Expresiones tradicionales de la cultura japonesa que resumen enseñanzas morales, filosóficas y prácticas derivadas del budismo, el sintoísmo y la experiencia popular.</v>
      </c>
      <c r="I41" t="str">
        <f>_xlfn.XLOOKUP(frasest[[#This Row],[autor_es]],autorest[autor_es],autorest[bio_la])</f>
        <v>Collectio sententiarum Iaponicarum.</v>
      </c>
      <c r="J41" t="str">
        <f>_xlfn.XLOOKUP(frasest[[#This Row],[autor_es]],autorest[autor_es],autorest[codigo])</f>
        <v>ja</v>
      </c>
      <c r="K41" t="str">
        <f>_xlfn.XLOOKUP(frasest[[#This Row],[autor_es]],autorest[autor_es],autorest[idioma_es])</f>
        <v>Japonés</v>
      </c>
      <c r="L41" t="str">
        <f>_xlfn.XLOOKUP(frasest[[#This Row],[autor_es]],autorest[autor_es],autorest[idioma_la])</f>
        <v>Lingua Iaponica</v>
      </c>
      <c r="M41" t="str">
        <f>_xlfn.XLOOKUP(frasest[[#This Row],[autor_es]],autorest[autor_es],autorest[nacion_es])</f>
        <v>Japón</v>
      </c>
      <c r="N41" t="str">
        <f>_xlfn.XLOOKUP(frasest[[#This Row],[autor_es]],autorest[autor_es],autorest[nacion_la])</f>
        <v>Iaponia</v>
      </c>
      <c r="O41" t="str">
        <f>_xlfn.XLOOKUP(frasest[[#This Row],[autor_es]],autorest[autor_es],autorest[epoca_es])</f>
        <v>Epoca Desconocida</v>
      </c>
      <c r="P41" t="str">
        <f>_xlfn.XLOOKUP(frasest[[#This Row],[autor_es]],autorest[autor_es],autorest[epoca_la])</f>
        <v>Epocha Ignota</v>
      </c>
      <c r="Q41" t="str">
        <f>_xlfn.XLOOKUP(frasest[[#This Row],[autor_es]],autorest[autor_es],autorest[imagen])</f>
        <v>https://i.ibb.co/svZg6Fc2/japon.png</v>
      </c>
      <c r="R41">
        <f>_xlfn.XLOOKUP(frasest[[#This Row],[autor_es]],autorest[autor_es],autorest[imagen_atr])</f>
        <v>0</v>
      </c>
    </row>
    <row r="42" spans="1:18">
      <c r="A42">
        <v>41</v>
      </c>
      <c r="B42" t="s">
        <v>161</v>
      </c>
      <c r="C42" t="s">
        <v>162</v>
      </c>
      <c r="D42" s="1" t="s">
        <v>163</v>
      </c>
      <c r="E42" t="s">
        <v>28</v>
      </c>
      <c r="G42" t="str">
        <f>_xlfn.XLOOKUP(frasest[[#This Row],[autor_es]],autorest[autor_es],autorest[autor_la])</f>
        <v>Proverbium Iaponicum</v>
      </c>
      <c r="H42" t="str">
        <f>_xlfn.XLOOKUP(frasest[[#This Row],[autor_es]],autorest[autor_es],autorest[bio_es])</f>
        <v>Expresiones tradicionales de la cultura japonesa que resumen enseñanzas morales, filosóficas y prácticas derivadas del budismo, el sintoísmo y la experiencia popular.</v>
      </c>
      <c r="I42" t="str">
        <f>_xlfn.XLOOKUP(frasest[[#This Row],[autor_es]],autorest[autor_es],autorest[bio_la])</f>
        <v>Collectio sententiarum Iaponicarum.</v>
      </c>
      <c r="J42" t="str">
        <f>_xlfn.XLOOKUP(frasest[[#This Row],[autor_es]],autorest[autor_es],autorest[codigo])</f>
        <v>ja</v>
      </c>
      <c r="K42" t="str">
        <f>_xlfn.XLOOKUP(frasest[[#This Row],[autor_es]],autorest[autor_es],autorest[idioma_es])</f>
        <v>Japonés</v>
      </c>
      <c r="L42" t="str">
        <f>_xlfn.XLOOKUP(frasest[[#This Row],[autor_es]],autorest[autor_es],autorest[idioma_la])</f>
        <v>Lingua Iaponica</v>
      </c>
      <c r="M42" t="str">
        <f>_xlfn.XLOOKUP(frasest[[#This Row],[autor_es]],autorest[autor_es],autorest[nacion_es])</f>
        <v>Japón</v>
      </c>
      <c r="N42" t="str">
        <f>_xlfn.XLOOKUP(frasest[[#This Row],[autor_es]],autorest[autor_es],autorest[nacion_la])</f>
        <v>Iaponia</v>
      </c>
      <c r="O42" t="str">
        <f>_xlfn.XLOOKUP(frasest[[#This Row],[autor_es]],autorest[autor_es],autorest[epoca_es])</f>
        <v>Epoca Desconocida</v>
      </c>
      <c r="P42" t="str">
        <f>_xlfn.XLOOKUP(frasest[[#This Row],[autor_es]],autorest[autor_es],autorest[epoca_la])</f>
        <v>Epocha Ignota</v>
      </c>
      <c r="Q42" t="str">
        <f>_xlfn.XLOOKUP(frasest[[#This Row],[autor_es]],autorest[autor_es],autorest[imagen])</f>
        <v>https://i.ibb.co/svZg6Fc2/japon.png</v>
      </c>
      <c r="R42">
        <f>_xlfn.XLOOKUP(frasest[[#This Row],[autor_es]],autorest[autor_es],autorest[imagen_atr])</f>
        <v>0</v>
      </c>
    </row>
    <row r="43" spans="1:18">
      <c r="A43">
        <v>42</v>
      </c>
      <c r="B43" t="s">
        <v>164</v>
      </c>
      <c r="C43" t="s">
        <v>165</v>
      </c>
      <c r="D43" s="1" t="s">
        <v>166</v>
      </c>
      <c r="E43" t="s">
        <v>28</v>
      </c>
      <c r="G43" t="str">
        <f>_xlfn.XLOOKUP(frasest[[#This Row],[autor_es]],autorest[autor_es],autorest[autor_la])</f>
        <v>Proverbium Iaponicum</v>
      </c>
      <c r="H43" t="str">
        <f>_xlfn.XLOOKUP(frasest[[#This Row],[autor_es]],autorest[autor_es],autorest[bio_es])</f>
        <v>Expresiones tradicionales de la cultura japonesa que resumen enseñanzas morales, filosóficas y prácticas derivadas del budismo, el sintoísmo y la experiencia popular.</v>
      </c>
      <c r="I43" t="str">
        <f>_xlfn.XLOOKUP(frasest[[#This Row],[autor_es]],autorest[autor_es],autorest[bio_la])</f>
        <v>Collectio sententiarum Iaponicarum.</v>
      </c>
      <c r="J43" t="str">
        <f>_xlfn.XLOOKUP(frasest[[#This Row],[autor_es]],autorest[autor_es],autorest[codigo])</f>
        <v>ja</v>
      </c>
      <c r="K43" t="str">
        <f>_xlfn.XLOOKUP(frasest[[#This Row],[autor_es]],autorest[autor_es],autorest[idioma_es])</f>
        <v>Japonés</v>
      </c>
      <c r="L43" t="str">
        <f>_xlfn.XLOOKUP(frasest[[#This Row],[autor_es]],autorest[autor_es],autorest[idioma_la])</f>
        <v>Lingua Iaponica</v>
      </c>
      <c r="M43" t="str">
        <f>_xlfn.XLOOKUP(frasest[[#This Row],[autor_es]],autorest[autor_es],autorest[nacion_es])</f>
        <v>Japón</v>
      </c>
      <c r="N43" t="str">
        <f>_xlfn.XLOOKUP(frasest[[#This Row],[autor_es]],autorest[autor_es],autorest[nacion_la])</f>
        <v>Iaponia</v>
      </c>
      <c r="O43" t="str">
        <f>_xlfn.XLOOKUP(frasest[[#This Row],[autor_es]],autorest[autor_es],autorest[epoca_es])</f>
        <v>Epoca Desconocida</v>
      </c>
      <c r="P43" t="str">
        <f>_xlfn.XLOOKUP(frasest[[#This Row],[autor_es]],autorest[autor_es],autorest[epoca_la])</f>
        <v>Epocha Ignota</v>
      </c>
      <c r="Q43" t="str">
        <f>_xlfn.XLOOKUP(frasest[[#This Row],[autor_es]],autorest[autor_es],autorest[imagen])</f>
        <v>https://i.ibb.co/svZg6Fc2/japon.png</v>
      </c>
      <c r="R43">
        <f>_xlfn.XLOOKUP(frasest[[#This Row],[autor_es]],autorest[autor_es],autorest[imagen_atr])</f>
        <v>0</v>
      </c>
    </row>
    <row r="44" spans="1:18">
      <c r="A44">
        <v>43</v>
      </c>
      <c r="B44" t="s">
        <v>167</v>
      </c>
      <c r="C44" t="s">
        <v>106</v>
      </c>
      <c r="D44" t="s">
        <v>106</v>
      </c>
      <c r="E44" t="s">
        <v>107</v>
      </c>
      <c r="F44" t="s">
        <v>108</v>
      </c>
      <c r="G44" t="str">
        <f>_xlfn.XLOOKUP(frasest[[#This Row],[autor_es]],autorest[autor_es],autorest[autor_la])</f>
        <v>Lucius Annaeus Seneca</v>
      </c>
      <c r="H44" t="str">
        <f>_xlfn.XLOOKUP(frasest[[#This Row],[autor_es]],autorest[autor_es],autorest[bio_es])</f>
        <v>Filósofo, escritor y político romano, representante del estoicismo. Autor de numerosas cartas y tratados morales.</v>
      </c>
      <c r="I44" t="str">
        <f>_xlfn.XLOOKUP(frasest[[#This Row],[autor_es]],autorest[autor_es],autorest[bio_la])</f>
        <v>Philosophus, scriptor et politicus Romanus, stoicismus repraesentans. Multas epistulas et tractatus morales scripsit.</v>
      </c>
      <c r="J44" t="str">
        <f>_xlfn.XLOOKUP(frasest[[#This Row],[autor_es]],autorest[autor_es],autorest[codigo])</f>
        <v>la</v>
      </c>
      <c r="K44" t="str">
        <f>_xlfn.XLOOKUP(frasest[[#This Row],[autor_es]],autorest[autor_es],autorest[idioma_es])</f>
        <v>Latín</v>
      </c>
      <c r="L44" t="str">
        <f>_xlfn.XLOOKUP(frasest[[#This Row],[autor_es]],autorest[autor_es],autorest[idioma_la])</f>
        <v>Lingua Latina</v>
      </c>
      <c r="M44" t="str">
        <f>_xlfn.XLOOKUP(frasest[[#This Row],[autor_es]],autorest[autor_es],autorest[nacion_es])</f>
        <v>Roma</v>
      </c>
      <c r="N44" t="str">
        <f>_xlfn.XLOOKUP(frasest[[#This Row],[autor_es]],autorest[autor_es],autorest[nacion_la])</f>
        <v>Roma</v>
      </c>
      <c r="O44" t="str">
        <f>_xlfn.XLOOKUP(frasest[[#This Row],[autor_es]],autorest[autor_es],autorest[epoca_es])</f>
        <v>Edad Antigua</v>
      </c>
      <c r="P44" t="str">
        <f>_xlfn.XLOOKUP(frasest[[#This Row],[autor_es]],autorest[autor_es],autorest[epoca_la])</f>
        <v>Antiquitas</v>
      </c>
      <c r="Q44" t="str">
        <f>_xlfn.XLOOKUP(frasest[[#This Row],[autor_es]],autorest[autor_es],autorest[imagen])</f>
        <v>https://i.ibb.co/35c3QS9J/seneca.png</v>
      </c>
      <c r="R44">
        <f>_xlfn.XLOOKUP(frasest[[#This Row],[autor_es]],autorest[autor_es],autorest[imagen_atr])</f>
        <v>0</v>
      </c>
    </row>
    <row r="45" spans="1:18">
      <c r="A45">
        <v>44</v>
      </c>
      <c r="B45" t="s">
        <v>168</v>
      </c>
      <c r="C45" t="s">
        <v>110</v>
      </c>
      <c r="D45" t="s">
        <v>110</v>
      </c>
      <c r="E45" t="s">
        <v>107</v>
      </c>
      <c r="F45" t="s">
        <v>111</v>
      </c>
      <c r="G45" t="str">
        <f>_xlfn.XLOOKUP(frasest[[#This Row],[autor_es]],autorest[autor_es],autorest[autor_la])</f>
        <v>Lucius Annaeus Seneca</v>
      </c>
      <c r="H45" t="str">
        <f>_xlfn.XLOOKUP(frasest[[#This Row],[autor_es]],autorest[autor_es],autorest[bio_es])</f>
        <v>Filósofo, escritor y político romano, representante del estoicismo. Autor de numerosas cartas y tratados morales.</v>
      </c>
      <c r="I45" t="str">
        <f>_xlfn.XLOOKUP(frasest[[#This Row],[autor_es]],autorest[autor_es],autorest[bio_la])</f>
        <v>Philosophus, scriptor et politicus Romanus, stoicismus repraesentans. Multas epistulas et tractatus morales scripsit.</v>
      </c>
      <c r="J45" t="str">
        <f>_xlfn.XLOOKUP(frasest[[#This Row],[autor_es]],autorest[autor_es],autorest[codigo])</f>
        <v>la</v>
      </c>
      <c r="K45" t="str">
        <f>_xlfn.XLOOKUP(frasest[[#This Row],[autor_es]],autorest[autor_es],autorest[idioma_es])</f>
        <v>Latín</v>
      </c>
      <c r="L45" t="str">
        <f>_xlfn.XLOOKUP(frasest[[#This Row],[autor_es]],autorest[autor_es],autorest[idioma_la])</f>
        <v>Lingua Latina</v>
      </c>
      <c r="M45" t="str">
        <f>_xlfn.XLOOKUP(frasest[[#This Row],[autor_es]],autorest[autor_es],autorest[nacion_es])</f>
        <v>Roma</v>
      </c>
      <c r="N45" t="str">
        <f>_xlfn.XLOOKUP(frasest[[#This Row],[autor_es]],autorest[autor_es],autorest[nacion_la])</f>
        <v>Roma</v>
      </c>
      <c r="O45" t="str">
        <f>_xlfn.XLOOKUP(frasest[[#This Row],[autor_es]],autorest[autor_es],autorest[epoca_es])</f>
        <v>Edad Antigua</v>
      </c>
      <c r="P45" t="str">
        <f>_xlfn.XLOOKUP(frasest[[#This Row],[autor_es]],autorest[autor_es],autorest[epoca_la])</f>
        <v>Antiquitas</v>
      </c>
      <c r="Q45" t="str">
        <f>_xlfn.XLOOKUP(frasest[[#This Row],[autor_es]],autorest[autor_es],autorest[imagen])</f>
        <v>https://i.ibb.co/35c3QS9J/seneca.png</v>
      </c>
      <c r="R45">
        <f>_xlfn.XLOOKUP(frasest[[#This Row],[autor_es]],autorest[autor_es],autorest[imagen_atr])</f>
        <v>0</v>
      </c>
    </row>
    <row r="46" spans="1:18">
      <c r="A46">
        <v>45</v>
      </c>
      <c r="B46" t="s">
        <v>169</v>
      </c>
      <c r="C46" t="s">
        <v>113</v>
      </c>
      <c r="D46" t="s">
        <v>113</v>
      </c>
      <c r="E46" t="s">
        <v>107</v>
      </c>
      <c r="F46" t="s">
        <v>115</v>
      </c>
      <c r="G46" t="str">
        <f>_xlfn.XLOOKUP(frasest[[#This Row],[autor_es]],autorest[autor_es],autorest[autor_la])</f>
        <v>Lucius Annaeus Seneca</v>
      </c>
      <c r="H46" t="str">
        <f>_xlfn.XLOOKUP(frasest[[#This Row],[autor_es]],autorest[autor_es],autorest[bio_es])</f>
        <v>Filósofo, escritor y político romano, representante del estoicismo. Autor de numerosas cartas y tratados morales.</v>
      </c>
      <c r="I46" t="str">
        <f>_xlfn.XLOOKUP(frasest[[#This Row],[autor_es]],autorest[autor_es],autorest[bio_la])</f>
        <v>Philosophus, scriptor et politicus Romanus, stoicismus repraesentans. Multas epistulas et tractatus morales scripsit.</v>
      </c>
      <c r="J46" t="str">
        <f>_xlfn.XLOOKUP(frasest[[#This Row],[autor_es]],autorest[autor_es],autorest[codigo])</f>
        <v>la</v>
      </c>
      <c r="K46" t="str">
        <f>_xlfn.XLOOKUP(frasest[[#This Row],[autor_es]],autorest[autor_es],autorest[idioma_es])</f>
        <v>Latín</v>
      </c>
      <c r="L46" t="str">
        <f>_xlfn.XLOOKUP(frasest[[#This Row],[autor_es]],autorest[autor_es],autorest[idioma_la])</f>
        <v>Lingua Latina</v>
      </c>
      <c r="M46" t="str">
        <f>_xlfn.XLOOKUP(frasest[[#This Row],[autor_es]],autorest[autor_es],autorest[nacion_es])</f>
        <v>Roma</v>
      </c>
      <c r="N46" t="str">
        <f>_xlfn.XLOOKUP(frasest[[#This Row],[autor_es]],autorest[autor_es],autorest[nacion_la])</f>
        <v>Roma</v>
      </c>
      <c r="O46" t="str">
        <f>_xlfn.XLOOKUP(frasest[[#This Row],[autor_es]],autorest[autor_es],autorest[epoca_es])</f>
        <v>Edad Antigua</v>
      </c>
      <c r="P46" t="str">
        <f>_xlfn.XLOOKUP(frasest[[#This Row],[autor_es]],autorest[autor_es],autorest[epoca_la])</f>
        <v>Antiquitas</v>
      </c>
      <c r="Q46" t="str">
        <f>_xlfn.XLOOKUP(frasest[[#This Row],[autor_es]],autorest[autor_es],autorest[imagen])</f>
        <v>https://i.ibb.co/35c3QS9J/seneca.png</v>
      </c>
      <c r="R46">
        <f>_xlfn.XLOOKUP(frasest[[#This Row],[autor_es]],autorest[autor_es],autorest[imagen_atr])</f>
        <v>0</v>
      </c>
    </row>
    <row r="47" spans="1:18">
      <c r="A47">
        <v>46</v>
      </c>
      <c r="B47" t="s">
        <v>116</v>
      </c>
      <c r="C47" t="s">
        <v>118</v>
      </c>
      <c r="D47" t="s">
        <v>118</v>
      </c>
      <c r="E47" t="s">
        <v>107</v>
      </c>
      <c r="F47" t="s">
        <v>119</v>
      </c>
      <c r="G47" t="str">
        <f>_xlfn.XLOOKUP(frasest[[#This Row],[autor_es]],autorest[autor_es],autorest[autor_la])</f>
        <v>Lucius Annaeus Seneca</v>
      </c>
      <c r="H47" t="str">
        <f>_xlfn.XLOOKUP(frasest[[#This Row],[autor_es]],autorest[autor_es],autorest[bio_es])</f>
        <v>Filósofo, escritor y político romano, representante del estoicismo. Autor de numerosas cartas y tratados morales.</v>
      </c>
      <c r="I47" t="str">
        <f>_xlfn.XLOOKUP(frasest[[#This Row],[autor_es]],autorest[autor_es],autorest[bio_la])</f>
        <v>Philosophus, scriptor et politicus Romanus, stoicismus repraesentans. Multas epistulas et tractatus morales scripsit.</v>
      </c>
      <c r="J47" t="str">
        <f>_xlfn.XLOOKUP(frasest[[#This Row],[autor_es]],autorest[autor_es],autorest[codigo])</f>
        <v>la</v>
      </c>
      <c r="K47" t="str">
        <f>_xlfn.XLOOKUP(frasest[[#This Row],[autor_es]],autorest[autor_es],autorest[idioma_es])</f>
        <v>Latín</v>
      </c>
      <c r="L47" t="str">
        <f>_xlfn.XLOOKUP(frasest[[#This Row],[autor_es]],autorest[autor_es],autorest[idioma_la])</f>
        <v>Lingua Latina</v>
      </c>
      <c r="M47" t="str">
        <f>_xlfn.XLOOKUP(frasest[[#This Row],[autor_es]],autorest[autor_es],autorest[nacion_es])</f>
        <v>Roma</v>
      </c>
      <c r="N47" t="str">
        <f>_xlfn.XLOOKUP(frasest[[#This Row],[autor_es]],autorest[autor_es],autorest[nacion_la])</f>
        <v>Roma</v>
      </c>
      <c r="O47" t="str">
        <f>_xlfn.XLOOKUP(frasest[[#This Row],[autor_es]],autorest[autor_es],autorest[epoca_es])</f>
        <v>Edad Antigua</v>
      </c>
      <c r="P47" t="str">
        <f>_xlfn.XLOOKUP(frasest[[#This Row],[autor_es]],autorest[autor_es],autorest[epoca_la])</f>
        <v>Antiquitas</v>
      </c>
      <c r="Q47" t="str">
        <f>_xlfn.XLOOKUP(frasest[[#This Row],[autor_es]],autorest[autor_es],autorest[imagen])</f>
        <v>https://i.ibb.co/35c3QS9J/seneca.png</v>
      </c>
      <c r="R47">
        <f>_xlfn.XLOOKUP(frasest[[#This Row],[autor_es]],autorest[autor_es],autorest[imagen_atr])</f>
        <v>0</v>
      </c>
    </row>
    <row r="48" spans="1:18">
      <c r="A48">
        <v>47</v>
      </c>
      <c r="B48" t="s">
        <v>170</v>
      </c>
      <c r="C48" t="s">
        <v>171</v>
      </c>
      <c r="D48" t="s">
        <v>171</v>
      </c>
      <c r="E48" t="s">
        <v>172</v>
      </c>
      <c r="F48" t="s">
        <v>173</v>
      </c>
      <c r="G48" t="str">
        <f>_xlfn.XLOOKUP(frasest[[#This Row],[autor_es]],autorest[autor_es],autorest[autor_la])</f>
        <v>Thomas Aquinas</v>
      </c>
      <c r="H48" t="str">
        <f>_xlfn.XLOOKUP(frasest[[#This Row],[autor_es]],autorest[autor_es],autorest[bio_es])</f>
        <v>Filósofo y teólogo italiano, representante de la Escolástica. Autor de la "Summa Theologica".</v>
      </c>
      <c r="I48" t="str">
        <f>_xlfn.XLOOKUP(frasest[[#This Row],[autor_es]],autorest[autor_es],autorest[bio_la])</f>
        <v>Philosophus et theologus Italicus, Scholasticae repraesentans. Auctor "Summa Theologica".</v>
      </c>
      <c r="J48" t="str">
        <f>_xlfn.XLOOKUP(frasest[[#This Row],[autor_es]],autorest[autor_es],autorest[codigo])</f>
        <v>la</v>
      </c>
      <c r="K48" t="str">
        <f>_xlfn.XLOOKUP(frasest[[#This Row],[autor_es]],autorest[autor_es],autorest[idioma_es])</f>
        <v>Latín</v>
      </c>
      <c r="L48" t="str">
        <f>_xlfn.XLOOKUP(frasest[[#This Row],[autor_es]],autorest[autor_es],autorest[idioma_la])</f>
        <v>Lingua Latina</v>
      </c>
      <c r="M48" t="str">
        <f>_xlfn.XLOOKUP(frasest[[#This Row],[autor_es]],autorest[autor_es],autorest[nacion_es])</f>
        <v>Italia</v>
      </c>
      <c r="N48" t="str">
        <f>_xlfn.XLOOKUP(frasest[[#This Row],[autor_es]],autorest[autor_es],autorest[nacion_la])</f>
        <v>Italia</v>
      </c>
      <c r="O48" t="str">
        <f>_xlfn.XLOOKUP(frasest[[#This Row],[autor_es]],autorest[autor_es],autorest[epoca_es])</f>
        <v>Edad Media</v>
      </c>
      <c r="P48" t="str">
        <f>_xlfn.XLOOKUP(frasest[[#This Row],[autor_es]],autorest[autor_es],autorest[epoca_la])</f>
        <v>Medium Aevum</v>
      </c>
      <c r="Q48" t="str">
        <f>_xlfn.XLOOKUP(frasest[[#This Row],[autor_es]],autorest[autor_es],autorest[imagen])</f>
        <v>https://i.ibb.co/wG8jHsv/tomasaquino.png</v>
      </c>
      <c r="R48">
        <f>_xlfn.XLOOKUP(frasest[[#This Row],[autor_es]],autorest[autor_es],autorest[imagen_atr])</f>
        <v>0</v>
      </c>
    </row>
    <row r="49" spans="1:18">
      <c r="A49">
        <v>48</v>
      </c>
      <c r="B49" t="s">
        <v>174</v>
      </c>
      <c r="C49" t="s">
        <v>175</v>
      </c>
      <c r="D49" t="s">
        <v>175</v>
      </c>
      <c r="E49" t="s">
        <v>172</v>
      </c>
      <c r="F49" t="s">
        <v>176</v>
      </c>
      <c r="G49" t="str">
        <f>_xlfn.XLOOKUP(frasest[[#This Row],[autor_es]],autorest[autor_es],autorest[autor_la])</f>
        <v>Thomas Aquinas</v>
      </c>
      <c r="H49" t="str">
        <f>_xlfn.XLOOKUP(frasest[[#This Row],[autor_es]],autorest[autor_es],autorest[bio_es])</f>
        <v>Filósofo y teólogo italiano, representante de la Escolástica. Autor de la "Summa Theologica".</v>
      </c>
      <c r="I49" t="str">
        <f>_xlfn.XLOOKUP(frasest[[#This Row],[autor_es]],autorest[autor_es],autorest[bio_la])</f>
        <v>Philosophus et theologus Italicus, Scholasticae repraesentans. Auctor "Summa Theologica".</v>
      </c>
      <c r="J49" t="str">
        <f>_xlfn.XLOOKUP(frasest[[#This Row],[autor_es]],autorest[autor_es],autorest[codigo])</f>
        <v>la</v>
      </c>
      <c r="K49" t="str">
        <f>_xlfn.XLOOKUP(frasest[[#This Row],[autor_es]],autorest[autor_es],autorest[idioma_es])</f>
        <v>Latín</v>
      </c>
      <c r="L49" t="str">
        <f>_xlfn.XLOOKUP(frasest[[#This Row],[autor_es]],autorest[autor_es],autorest[idioma_la])</f>
        <v>Lingua Latina</v>
      </c>
      <c r="M49" t="str">
        <f>_xlfn.XLOOKUP(frasest[[#This Row],[autor_es]],autorest[autor_es],autorest[nacion_es])</f>
        <v>Italia</v>
      </c>
      <c r="N49" t="str">
        <f>_xlfn.XLOOKUP(frasest[[#This Row],[autor_es]],autorest[autor_es],autorest[nacion_la])</f>
        <v>Italia</v>
      </c>
      <c r="O49" t="str">
        <f>_xlfn.XLOOKUP(frasest[[#This Row],[autor_es]],autorest[autor_es],autorest[epoca_es])</f>
        <v>Edad Media</v>
      </c>
      <c r="P49" t="str">
        <f>_xlfn.XLOOKUP(frasest[[#This Row],[autor_es]],autorest[autor_es],autorest[epoca_la])</f>
        <v>Medium Aevum</v>
      </c>
      <c r="Q49" t="str">
        <f>_xlfn.XLOOKUP(frasest[[#This Row],[autor_es]],autorest[autor_es],autorest[imagen])</f>
        <v>https://i.ibb.co/wG8jHsv/tomasaquino.png</v>
      </c>
      <c r="R49">
        <f>_xlfn.XLOOKUP(frasest[[#This Row],[autor_es]],autorest[autor_es],autorest[imagen_atr])</f>
        <v>0</v>
      </c>
    </row>
    <row r="50" spans="1:18">
      <c r="A50">
        <v>49</v>
      </c>
      <c r="B50" t="s">
        <v>177</v>
      </c>
      <c r="C50" t="s">
        <v>178</v>
      </c>
      <c r="D50" t="s">
        <v>178</v>
      </c>
      <c r="E50" t="s">
        <v>172</v>
      </c>
      <c r="F50" t="s">
        <v>179</v>
      </c>
      <c r="G50" t="str">
        <f>_xlfn.XLOOKUP(frasest[[#This Row],[autor_es]],autorest[autor_es],autorest[autor_la])</f>
        <v>Thomas Aquinas</v>
      </c>
      <c r="H50" t="str">
        <f>_xlfn.XLOOKUP(frasest[[#This Row],[autor_es]],autorest[autor_es],autorest[bio_es])</f>
        <v>Filósofo y teólogo italiano, representante de la Escolástica. Autor de la "Summa Theologica".</v>
      </c>
      <c r="I50" t="str">
        <f>_xlfn.XLOOKUP(frasest[[#This Row],[autor_es]],autorest[autor_es],autorest[bio_la])</f>
        <v>Philosophus et theologus Italicus, Scholasticae repraesentans. Auctor "Summa Theologica".</v>
      </c>
      <c r="J50" t="str">
        <f>_xlfn.XLOOKUP(frasest[[#This Row],[autor_es]],autorest[autor_es],autorest[codigo])</f>
        <v>la</v>
      </c>
      <c r="K50" t="str">
        <f>_xlfn.XLOOKUP(frasest[[#This Row],[autor_es]],autorest[autor_es],autorest[idioma_es])</f>
        <v>Latín</v>
      </c>
      <c r="L50" t="str">
        <f>_xlfn.XLOOKUP(frasest[[#This Row],[autor_es]],autorest[autor_es],autorest[idioma_la])</f>
        <v>Lingua Latina</v>
      </c>
      <c r="M50" t="str">
        <f>_xlfn.XLOOKUP(frasest[[#This Row],[autor_es]],autorest[autor_es],autorest[nacion_es])</f>
        <v>Italia</v>
      </c>
      <c r="N50" t="str">
        <f>_xlfn.XLOOKUP(frasest[[#This Row],[autor_es]],autorest[autor_es],autorest[nacion_la])</f>
        <v>Italia</v>
      </c>
      <c r="O50" t="str">
        <f>_xlfn.XLOOKUP(frasest[[#This Row],[autor_es]],autorest[autor_es],autorest[epoca_es])</f>
        <v>Edad Media</v>
      </c>
      <c r="P50" t="str">
        <f>_xlfn.XLOOKUP(frasest[[#This Row],[autor_es]],autorest[autor_es],autorest[epoca_la])</f>
        <v>Medium Aevum</v>
      </c>
      <c r="Q50" t="str">
        <f>_xlfn.XLOOKUP(frasest[[#This Row],[autor_es]],autorest[autor_es],autorest[imagen])</f>
        <v>https://i.ibb.co/wG8jHsv/tomasaquino.png</v>
      </c>
      <c r="R50">
        <f>_xlfn.XLOOKUP(frasest[[#This Row],[autor_es]],autorest[autor_es],autorest[imagen_atr])</f>
        <v>0</v>
      </c>
    </row>
    <row r="51" spans="1:18">
      <c r="A51">
        <v>50</v>
      </c>
      <c r="B51" t="s">
        <v>180</v>
      </c>
      <c r="C51" t="s">
        <v>181</v>
      </c>
      <c r="D51" t="s">
        <v>181</v>
      </c>
      <c r="E51" t="s">
        <v>172</v>
      </c>
      <c r="F51" t="s">
        <v>182</v>
      </c>
      <c r="G51" t="str">
        <f>_xlfn.XLOOKUP(frasest[[#This Row],[autor_es]],autorest[autor_es],autorest[autor_la])</f>
        <v>Thomas Aquinas</v>
      </c>
      <c r="H51" t="str">
        <f>_xlfn.XLOOKUP(frasest[[#This Row],[autor_es]],autorest[autor_es],autorest[bio_es])</f>
        <v>Filósofo y teólogo italiano, representante de la Escolástica. Autor de la "Summa Theologica".</v>
      </c>
      <c r="I51" t="str">
        <f>_xlfn.XLOOKUP(frasest[[#This Row],[autor_es]],autorest[autor_es],autorest[bio_la])</f>
        <v>Philosophus et theologus Italicus, Scholasticae repraesentans. Auctor "Summa Theologica".</v>
      </c>
      <c r="J51" t="str">
        <f>_xlfn.XLOOKUP(frasest[[#This Row],[autor_es]],autorest[autor_es],autorest[codigo])</f>
        <v>la</v>
      </c>
      <c r="K51" t="str">
        <f>_xlfn.XLOOKUP(frasest[[#This Row],[autor_es]],autorest[autor_es],autorest[idioma_es])</f>
        <v>Latín</v>
      </c>
      <c r="L51" t="str">
        <f>_xlfn.XLOOKUP(frasest[[#This Row],[autor_es]],autorest[autor_es],autorest[idioma_la])</f>
        <v>Lingua Latina</v>
      </c>
      <c r="M51" t="str">
        <f>_xlfn.XLOOKUP(frasest[[#This Row],[autor_es]],autorest[autor_es],autorest[nacion_es])</f>
        <v>Italia</v>
      </c>
      <c r="N51" t="str">
        <f>_xlfn.XLOOKUP(frasest[[#This Row],[autor_es]],autorest[autor_es],autorest[nacion_la])</f>
        <v>Italia</v>
      </c>
      <c r="O51" t="str">
        <f>_xlfn.XLOOKUP(frasest[[#This Row],[autor_es]],autorest[autor_es],autorest[epoca_es])</f>
        <v>Edad Media</v>
      </c>
      <c r="P51" t="str">
        <f>_xlfn.XLOOKUP(frasest[[#This Row],[autor_es]],autorest[autor_es],autorest[epoca_la])</f>
        <v>Medium Aevum</v>
      </c>
      <c r="Q51" t="str">
        <f>_xlfn.XLOOKUP(frasest[[#This Row],[autor_es]],autorest[autor_es],autorest[imagen])</f>
        <v>https://i.ibb.co/wG8jHsv/tomasaquino.png</v>
      </c>
      <c r="R51">
        <f>_xlfn.XLOOKUP(frasest[[#This Row],[autor_es]],autorest[autor_es],autorest[imagen_atr])</f>
        <v>0</v>
      </c>
    </row>
    <row r="52" spans="1:18">
      <c r="A52">
        <v>51</v>
      </c>
      <c r="B52" t="s">
        <v>183</v>
      </c>
      <c r="C52" t="s">
        <v>184</v>
      </c>
      <c r="D52" t="s">
        <v>184</v>
      </c>
      <c r="E52" t="s">
        <v>172</v>
      </c>
      <c r="F52" t="s">
        <v>185</v>
      </c>
      <c r="G52" t="str">
        <f>_xlfn.XLOOKUP(frasest[[#This Row],[autor_es]],autorest[autor_es],autorest[autor_la])</f>
        <v>Thomas Aquinas</v>
      </c>
      <c r="H52" t="str">
        <f>_xlfn.XLOOKUP(frasest[[#This Row],[autor_es]],autorest[autor_es],autorest[bio_es])</f>
        <v>Filósofo y teólogo italiano, representante de la Escolástica. Autor de la "Summa Theologica".</v>
      </c>
      <c r="I52" t="str">
        <f>_xlfn.XLOOKUP(frasest[[#This Row],[autor_es]],autorest[autor_es],autorest[bio_la])</f>
        <v>Philosophus et theologus Italicus, Scholasticae repraesentans. Auctor "Summa Theologica".</v>
      </c>
      <c r="J52" t="str">
        <f>_xlfn.XLOOKUP(frasest[[#This Row],[autor_es]],autorest[autor_es],autorest[codigo])</f>
        <v>la</v>
      </c>
      <c r="K52" t="str">
        <f>_xlfn.XLOOKUP(frasest[[#This Row],[autor_es]],autorest[autor_es],autorest[idioma_es])</f>
        <v>Latín</v>
      </c>
      <c r="L52" t="str">
        <f>_xlfn.XLOOKUP(frasest[[#This Row],[autor_es]],autorest[autor_es],autorest[idioma_la])</f>
        <v>Lingua Latina</v>
      </c>
      <c r="M52" t="str">
        <f>_xlfn.XLOOKUP(frasest[[#This Row],[autor_es]],autorest[autor_es],autorest[nacion_es])</f>
        <v>Italia</v>
      </c>
      <c r="N52" t="str">
        <f>_xlfn.XLOOKUP(frasest[[#This Row],[autor_es]],autorest[autor_es],autorest[nacion_la])</f>
        <v>Italia</v>
      </c>
      <c r="O52" t="str">
        <f>_xlfn.XLOOKUP(frasest[[#This Row],[autor_es]],autorest[autor_es],autorest[epoca_es])</f>
        <v>Edad Media</v>
      </c>
      <c r="P52" t="str">
        <f>_xlfn.XLOOKUP(frasest[[#This Row],[autor_es]],autorest[autor_es],autorest[epoca_la])</f>
        <v>Medium Aevum</v>
      </c>
      <c r="Q52" t="str">
        <f>_xlfn.XLOOKUP(frasest[[#This Row],[autor_es]],autorest[autor_es],autorest[imagen])</f>
        <v>https://i.ibb.co/wG8jHsv/tomasaquino.png</v>
      </c>
      <c r="R52">
        <f>_xlfn.XLOOKUP(frasest[[#This Row],[autor_es]],autorest[autor_es],autorest[imagen_atr])</f>
        <v>0</v>
      </c>
    </row>
    <row r="53" spans="1:18">
      <c r="A53">
        <v>52</v>
      </c>
      <c r="B53" t="s">
        <v>186</v>
      </c>
      <c r="C53" t="s">
        <v>187</v>
      </c>
      <c r="D53" t="s">
        <v>188</v>
      </c>
      <c r="E53" t="s">
        <v>189</v>
      </c>
      <c r="F53" t="s">
        <v>190</v>
      </c>
      <c r="G53" t="str">
        <f>_xlfn.XLOOKUP(frasest[[#This Row],[autor_es]],autorest[autor_es],autorest[autor_la])</f>
        <v>Friedrich Nietzsche</v>
      </c>
      <c r="H53" t="str">
        <f>_xlfn.XLOOKUP(frasest[[#This Row],[autor_es]],autorest[autor_es],autorest[bio_es])</f>
        <v>Filósofo, poeta y filólogo alemán. Autor de obras como "Así habló Zaratustra" y "Más allá del bien y del mal".</v>
      </c>
      <c r="I53" t="str">
        <f>_xlfn.XLOOKUP(frasest[[#This Row],[autor_es]],autorest[autor_es],autorest[bio_la])</f>
        <v>Philosophus, poeta et philologus Germanicus, auctor operum ut "Ita loquutus est Zarathustra" et "Ultra bonum et malum".</v>
      </c>
      <c r="J53" t="str">
        <f>_xlfn.XLOOKUP(frasest[[#This Row],[autor_es]],autorest[autor_es],autorest[codigo])</f>
        <v>de</v>
      </c>
      <c r="K53" t="str">
        <f>_xlfn.XLOOKUP(frasest[[#This Row],[autor_es]],autorest[autor_es],autorest[idioma_es])</f>
        <v>Alemán</v>
      </c>
      <c r="L53" t="str">
        <f>_xlfn.XLOOKUP(frasest[[#This Row],[autor_es]],autorest[autor_es],autorest[idioma_la])</f>
        <v>Lingua Germanica</v>
      </c>
      <c r="M53" t="str">
        <f>_xlfn.XLOOKUP(frasest[[#This Row],[autor_es]],autorest[autor_es],autorest[nacion_es])</f>
        <v>Alemania</v>
      </c>
      <c r="N53" t="str">
        <f>_xlfn.XLOOKUP(frasest[[#This Row],[autor_es]],autorest[autor_es],autorest[nacion_la])</f>
        <v>Germania</v>
      </c>
      <c r="O53" t="str">
        <f>_xlfn.XLOOKUP(frasest[[#This Row],[autor_es]],autorest[autor_es],autorest[epoca_es])</f>
        <v>Edad Contemporánea</v>
      </c>
      <c r="P53" t="str">
        <f>_xlfn.XLOOKUP(frasest[[#This Row],[autor_es]],autorest[autor_es],autorest[epoca_la])</f>
        <v>Aetas Contemporanea</v>
      </c>
      <c r="Q53" t="str">
        <f>_xlfn.XLOOKUP(frasest[[#This Row],[autor_es]],autorest[autor_es],autorest[imagen])</f>
        <v>https://i.ibb.co/N6jnVDp7/nietzsche.png</v>
      </c>
      <c r="R53">
        <f>_xlfn.XLOOKUP(frasest[[#This Row],[autor_es]],autorest[autor_es],autorest[imagen_atr])</f>
        <v>0</v>
      </c>
    </row>
    <row r="54" spans="1:18">
      <c r="A54">
        <v>53</v>
      </c>
      <c r="B54" t="s">
        <v>191</v>
      </c>
      <c r="C54" t="s">
        <v>192</v>
      </c>
      <c r="D54" t="s">
        <v>193</v>
      </c>
      <c r="E54" t="s">
        <v>189</v>
      </c>
      <c r="F54" t="s">
        <v>194</v>
      </c>
      <c r="G54" t="str">
        <f>_xlfn.XLOOKUP(frasest[[#This Row],[autor_es]],autorest[autor_es],autorest[autor_la])</f>
        <v>Friedrich Nietzsche</v>
      </c>
      <c r="H54" t="str">
        <f>_xlfn.XLOOKUP(frasest[[#This Row],[autor_es]],autorest[autor_es],autorest[bio_es])</f>
        <v>Filósofo, poeta y filólogo alemán. Autor de obras como "Así habló Zaratustra" y "Más allá del bien y del mal".</v>
      </c>
      <c r="I54" t="str">
        <f>_xlfn.XLOOKUP(frasest[[#This Row],[autor_es]],autorest[autor_es],autorest[bio_la])</f>
        <v>Philosophus, poeta et philologus Germanicus, auctor operum ut "Ita loquutus est Zarathustra" et "Ultra bonum et malum".</v>
      </c>
      <c r="J54" t="str">
        <f>_xlfn.XLOOKUP(frasest[[#This Row],[autor_es]],autorest[autor_es],autorest[codigo])</f>
        <v>de</v>
      </c>
      <c r="K54" t="str">
        <f>_xlfn.XLOOKUP(frasest[[#This Row],[autor_es]],autorest[autor_es],autorest[idioma_es])</f>
        <v>Alemán</v>
      </c>
      <c r="L54" t="str">
        <f>_xlfn.XLOOKUP(frasest[[#This Row],[autor_es]],autorest[autor_es],autorest[idioma_la])</f>
        <v>Lingua Germanica</v>
      </c>
      <c r="M54" t="str">
        <f>_xlfn.XLOOKUP(frasest[[#This Row],[autor_es]],autorest[autor_es],autorest[nacion_es])</f>
        <v>Alemania</v>
      </c>
      <c r="N54" t="str">
        <f>_xlfn.XLOOKUP(frasest[[#This Row],[autor_es]],autorest[autor_es],autorest[nacion_la])</f>
        <v>Germania</v>
      </c>
      <c r="O54" t="str">
        <f>_xlfn.XLOOKUP(frasest[[#This Row],[autor_es]],autorest[autor_es],autorest[epoca_es])</f>
        <v>Edad Contemporánea</v>
      </c>
      <c r="P54" t="str">
        <f>_xlfn.XLOOKUP(frasest[[#This Row],[autor_es]],autorest[autor_es],autorest[epoca_la])</f>
        <v>Aetas Contemporanea</v>
      </c>
      <c r="Q54" t="str">
        <f>_xlfn.XLOOKUP(frasest[[#This Row],[autor_es]],autorest[autor_es],autorest[imagen])</f>
        <v>https://i.ibb.co/N6jnVDp7/nietzsche.png</v>
      </c>
      <c r="R54">
        <f>_xlfn.XLOOKUP(frasest[[#This Row],[autor_es]],autorest[autor_es],autorest[imagen_atr])</f>
        <v>0</v>
      </c>
    </row>
    <row r="55" spans="1:18">
      <c r="A55">
        <v>54</v>
      </c>
      <c r="B55" t="s">
        <v>195</v>
      </c>
      <c r="C55" t="s">
        <v>196</v>
      </c>
      <c r="D55" t="s">
        <v>197</v>
      </c>
      <c r="E55" t="s">
        <v>189</v>
      </c>
      <c r="F55" t="s">
        <v>198</v>
      </c>
      <c r="G55" t="str">
        <f>_xlfn.XLOOKUP(frasest[[#This Row],[autor_es]],autorest[autor_es],autorest[autor_la])</f>
        <v>Friedrich Nietzsche</v>
      </c>
      <c r="H55" t="str">
        <f>_xlfn.XLOOKUP(frasest[[#This Row],[autor_es]],autorest[autor_es],autorest[bio_es])</f>
        <v>Filósofo, poeta y filólogo alemán. Autor de obras como "Así habló Zaratustra" y "Más allá del bien y del mal".</v>
      </c>
      <c r="I55" t="str">
        <f>_xlfn.XLOOKUP(frasest[[#This Row],[autor_es]],autorest[autor_es],autorest[bio_la])</f>
        <v>Philosophus, poeta et philologus Germanicus, auctor operum ut "Ita loquutus est Zarathustra" et "Ultra bonum et malum".</v>
      </c>
      <c r="J55" t="str">
        <f>_xlfn.XLOOKUP(frasest[[#This Row],[autor_es]],autorest[autor_es],autorest[codigo])</f>
        <v>de</v>
      </c>
      <c r="K55" t="str">
        <f>_xlfn.XLOOKUP(frasest[[#This Row],[autor_es]],autorest[autor_es],autorest[idioma_es])</f>
        <v>Alemán</v>
      </c>
      <c r="L55" t="str">
        <f>_xlfn.XLOOKUP(frasest[[#This Row],[autor_es]],autorest[autor_es],autorest[idioma_la])</f>
        <v>Lingua Germanica</v>
      </c>
      <c r="M55" t="str">
        <f>_xlfn.XLOOKUP(frasest[[#This Row],[autor_es]],autorest[autor_es],autorest[nacion_es])</f>
        <v>Alemania</v>
      </c>
      <c r="N55" t="str">
        <f>_xlfn.XLOOKUP(frasest[[#This Row],[autor_es]],autorest[autor_es],autorest[nacion_la])</f>
        <v>Germania</v>
      </c>
      <c r="O55" t="str">
        <f>_xlfn.XLOOKUP(frasest[[#This Row],[autor_es]],autorest[autor_es],autorest[epoca_es])</f>
        <v>Edad Contemporánea</v>
      </c>
      <c r="P55" t="str">
        <f>_xlfn.XLOOKUP(frasest[[#This Row],[autor_es]],autorest[autor_es],autorest[epoca_la])</f>
        <v>Aetas Contemporanea</v>
      </c>
      <c r="Q55" t="str">
        <f>_xlfn.XLOOKUP(frasest[[#This Row],[autor_es]],autorest[autor_es],autorest[imagen])</f>
        <v>https://i.ibb.co/N6jnVDp7/nietzsche.png</v>
      </c>
      <c r="R55">
        <f>_xlfn.XLOOKUP(frasest[[#This Row],[autor_es]],autorest[autor_es],autorest[imagen_atr])</f>
        <v>0</v>
      </c>
    </row>
    <row r="56" spans="1:18">
      <c r="A56">
        <v>55</v>
      </c>
      <c r="B56" t="s">
        <v>199</v>
      </c>
      <c r="C56" t="s">
        <v>200</v>
      </c>
      <c r="D56" t="s">
        <v>201</v>
      </c>
      <c r="E56" t="s">
        <v>189</v>
      </c>
      <c r="F56" t="s">
        <v>202</v>
      </c>
      <c r="G56" t="str">
        <f>_xlfn.XLOOKUP(frasest[[#This Row],[autor_es]],autorest[autor_es],autorest[autor_la])</f>
        <v>Friedrich Nietzsche</v>
      </c>
      <c r="H56" t="str">
        <f>_xlfn.XLOOKUP(frasest[[#This Row],[autor_es]],autorest[autor_es],autorest[bio_es])</f>
        <v>Filósofo, poeta y filólogo alemán. Autor de obras como "Así habló Zaratustra" y "Más allá del bien y del mal".</v>
      </c>
      <c r="I56" t="str">
        <f>_xlfn.XLOOKUP(frasest[[#This Row],[autor_es]],autorest[autor_es],autorest[bio_la])</f>
        <v>Philosophus, poeta et philologus Germanicus, auctor operum ut "Ita loquutus est Zarathustra" et "Ultra bonum et malum".</v>
      </c>
      <c r="J56" t="str">
        <f>_xlfn.XLOOKUP(frasest[[#This Row],[autor_es]],autorest[autor_es],autorest[codigo])</f>
        <v>de</v>
      </c>
      <c r="K56" t="str">
        <f>_xlfn.XLOOKUP(frasest[[#This Row],[autor_es]],autorest[autor_es],autorest[idioma_es])</f>
        <v>Alemán</v>
      </c>
      <c r="L56" t="str">
        <f>_xlfn.XLOOKUP(frasest[[#This Row],[autor_es]],autorest[autor_es],autorest[idioma_la])</f>
        <v>Lingua Germanica</v>
      </c>
      <c r="M56" t="str">
        <f>_xlfn.XLOOKUP(frasest[[#This Row],[autor_es]],autorest[autor_es],autorest[nacion_es])</f>
        <v>Alemania</v>
      </c>
      <c r="N56" t="str">
        <f>_xlfn.XLOOKUP(frasest[[#This Row],[autor_es]],autorest[autor_es],autorest[nacion_la])</f>
        <v>Germania</v>
      </c>
      <c r="O56" t="str">
        <f>_xlfn.XLOOKUP(frasest[[#This Row],[autor_es]],autorest[autor_es],autorest[epoca_es])</f>
        <v>Edad Contemporánea</v>
      </c>
      <c r="P56" t="str">
        <f>_xlfn.XLOOKUP(frasest[[#This Row],[autor_es]],autorest[autor_es],autorest[epoca_la])</f>
        <v>Aetas Contemporanea</v>
      </c>
      <c r="Q56" t="str">
        <f>_xlfn.XLOOKUP(frasest[[#This Row],[autor_es]],autorest[autor_es],autorest[imagen])</f>
        <v>https://i.ibb.co/N6jnVDp7/nietzsche.png</v>
      </c>
      <c r="R56">
        <f>_xlfn.XLOOKUP(frasest[[#This Row],[autor_es]],autorest[autor_es],autorest[imagen_atr])</f>
        <v>0</v>
      </c>
    </row>
    <row r="57" spans="1:18">
      <c r="A57">
        <v>56</v>
      </c>
      <c r="B57" t="s">
        <v>203</v>
      </c>
      <c r="C57" t="s">
        <v>204</v>
      </c>
      <c r="D57" t="s">
        <v>205</v>
      </c>
      <c r="E57" t="s">
        <v>189</v>
      </c>
      <c r="F57" t="s">
        <v>206</v>
      </c>
      <c r="G57" t="str">
        <f>_xlfn.XLOOKUP(frasest[[#This Row],[autor_es]],autorest[autor_es],autorest[autor_la])</f>
        <v>Friedrich Nietzsche</v>
      </c>
      <c r="H57" t="str">
        <f>_xlfn.XLOOKUP(frasest[[#This Row],[autor_es]],autorest[autor_es],autorest[bio_es])</f>
        <v>Filósofo, poeta y filólogo alemán. Autor de obras como "Así habló Zaratustra" y "Más allá del bien y del mal".</v>
      </c>
      <c r="I57" t="str">
        <f>_xlfn.XLOOKUP(frasest[[#This Row],[autor_es]],autorest[autor_es],autorest[bio_la])</f>
        <v>Philosophus, poeta et philologus Germanicus, auctor operum ut "Ita loquutus est Zarathustra" et "Ultra bonum et malum".</v>
      </c>
      <c r="J57" t="str">
        <f>_xlfn.XLOOKUP(frasest[[#This Row],[autor_es]],autorest[autor_es],autorest[codigo])</f>
        <v>de</v>
      </c>
      <c r="K57" t="str">
        <f>_xlfn.XLOOKUP(frasest[[#This Row],[autor_es]],autorest[autor_es],autorest[idioma_es])</f>
        <v>Alemán</v>
      </c>
      <c r="L57" t="str">
        <f>_xlfn.XLOOKUP(frasest[[#This Row],[autor_es]],autorest[autor_es],autorest[idioma_la])</f>
        <v>Lingua Germanica</v>
      </c>
      <c r="M57" t="str">
        <f>_xlfn.XLOOKUP(frasest[[#This Row],[autor_es]],autorest[autor_es],autorest[nacion_es])</f>
        <v>Alemania</v>
      </c>
      <c r="N57" t="str">
        <f>_xlfn.XLOOKUP(frasest[[#This Row],[autor_es]],autorest[autor_es],autorest[nacion_la])</f>
        <v>Germania</v>
      </c>
      <c r="O57" t="str">
        <f>_xlfn.XLOOKUP(frasest[[#This Row],[autor_es]],autorest[autor_es],autorest[epoca_es])</f>
        <v>Edad Contemporánea</v>
      </c>
      <c r="P57" t="str">
        <f>_xlfn.XLOOKUP(frasest[[#This Row],[autor_es]],autorest[autor_es],autorest[epoca_la])</f>
        <v>Aetas Contemporanea</v>
      </c>
      <c r="Q57" t="str">
        <f>_xlfn.XLOOKUP(frasest[[#This Row],[autor_es]],autorest[autor_es],autorest[imagen])</f>
        <v>https://i.ibb.co/N6jnVDp7/nietzsche.png</v>
      </c>
      <c r="R57">
        <f>_xlfn.XLOOKUP(frasest[[#This Row],[autor_es]],autorest[autor_es],autorest[imagen_atr])</f>
        <v>0</v>
      </c>
    </row>
    <row r="58" spans="1:18">
      <c r="A58">
        <v>57</v>
      </c>
      <c r="B58" t="s">
        <v>207</v>
      </c>
      <c r="C58" t="s">
        <v>208</v>
      </c>
      <c r="D58" t="s">
        <v>209</v>
      </c>
      <c r="E58" t="s">
        <v>210</v>
      </c>
      <c r="F58" t="s">
        <v>211</v>
      </c>
      <c r="G58" t="str">
        <f>_xlfn.XLOOKUP(frasest[[#This Row],[autor_es]],autorest[autor_es],autorest[autor_la])</f>
        <v>Gilbert Keith Chesterton</v>
      </c>
      <c r="H58" t="str">
        <f>_xlfn.XLOOKUP(frasest[[#This Row],[autor_es]],autorest[autor_es],autorest[bio_es])</f>
        <v>Escritor, poeta, filósofo y periodista inglés. Famoso por sus ensayos, cuentos de misterio y defensa del cristianismo.</v>
      </c>
      <c r="I58" t="str">
        <f>_xlfn.XLOOKUP(frasest[[#This Row],[autor_es]],autorest[autor_es],autorest[bio_la])</f>
        <v>Scriba, poeta, philosophus et diurnarius Anglicus. Notus pro essayis, fabulis mysteriis et Christianismi defensione.</v>
      </c>
      <c r="J58" t="str">
        <f>_xlfn.XLOOKUP(frasest[[#This Row],[autor_es]],autorest[autor_es],autorest[codigo])</f>
        <v>en</v>
      </c>
      <c r="K58" t="str">
        <f>_xlfn.XLOOKUP(frasest[[#This Row],[autor_es]],autorest[autor_es],autorest[idioma_es])</f>
        <v>Inglés</v>
      </c>
      <c r="L58" t="str">
        <f>_xlfn.XLOOKUP(frasest[[#This Row],[autor_es]],autorest[autor_es],autorest[idioma_la])</f>
        <v>Lingua Anglica</v>
      </c>
      <c r="M58" t="str">
        <f>_xlfn.XLOOKUP(frasest[[#This Row],[autor_es]],autorest[autor_es],autorest[nacion_es])</f>
        <v>Reino Unido</v>
      </c>
      <c r="N58" t="str">
        <f>_xlfn.XLOOKUP(frasest[[#This Row],[autor_es]],autorest[autor_es],autorest[nacion_la])</f>
        <v>Regnum Unitum</v>
      </c>
      <c r="O58" t="str">
        <f>_xlfn.XLOOKUP(frasest[[#This Row],[autor_es]],autorest[autor_es],autorest[epoca_es])</f>
        <v>Edad Contemporánea</v>
      </c>
      <c r="P58" t="str">
        <f>_xlfn.XLOOKUP(frasest[[#This Row],[autor_es]],autorest[autor_es],autorest[epoca_la])</f>
        <v>Aetas Contemporanea</v>
      </c>
      <c r="Q58" t="str">
        <f>_xlfn.XLOOKUP(frasest[[#This Row],[autor_es]],autorest[autor_es],autorest[imagen])</f>
        <v>https://i.ibb.co/9mGNtTcT/chesterton.png</v>
      </c>
      <c r="R58">
        <f>_xlfn.XLOOKUP(frasest[[#This Row],[autor_es]],autorest[autor_es],autorest[imagen_atr])</f>
        <v>0</v>
      </c>
    </row>
    <row r="59" spans="1:18">
      <c r="A59">
        <v>58</v>
      </c>
      <c r="B59" t="s">
        <v>212</v>
      </c>
      <c r="C59" t="s">
        <v>213</v>
      </c>
      <c r="D59" t="s">
        <v>214</v>
      </c>
      <c r="E59" t="s">
        <v>210</v>
      </c>
      <c r="F59" t="s">
        <v>215</v>
      </c>
      <c r="G59" t="str">
        <f>_xlfn.XLOOKUP(frasest[[#This Row],[autor_es]],autorest[autor_es],autorest[autor_la])</f>
        <v>Gilbert Keith Chesterton</v>
      </c>
      <c r="H59" t="str">
        <f>_xlfn.XLOOKUP(frasest[[#This Row],[autor_es]],autorest[autor_es],autorest[bio_es])</f>
        <v>Escritor, poeta, filósofo y periodista inglés. Famoso por sus ensayos, cuentos de misterio y defensa del cristianismo.</v>
      </c>
      <c r="I59" t="str">
        <f>_xlfn.XLOOKUP(frasest[[#This Row],[autor_es]],autorest[autor_es],autorest[bio_la])</f>
        <v>Scriba, poeta, philosophus et diurnarius Anglicus. Notus pro essayis, fabulis mysteriis et Christianismi defensione.</v>
      </c>
      <c r="J59" t="str">
        <f>_xlfn.XLOOKUP(frasest[[#This Row],[autor_es]],autorest[autor_es],autorest[codigo])</f>
        <v>en</v>
      </c>
      <c r="K59" t="str">
        <f>_xlfn.XLOOKUP(frasest[[#This Row],[autor_es]],autorest[autor_es],autorest[idioma_es])</f>
        <v>Inglés</v>
      </c>
      <c r="L59" t="str">
        <f>_xlfn.XLOOKUP(frasest[[#This Row],[autor_es]],autorest[autor_es],autorest[idioma_la])</f>
        <v>Lingua Anglica</v>
      </c>
      <c r="M59" t="str">
        <f>_xlfn.XLOOKUP(frasest[[#This Row],[autor_es]],autorest[autor_es],autorest[nacion_es])</f>
        <v>Reino Unido</v>
      </c>
      <c r="N59" t="str">
        <f>_xlfn.XLOOKUP(frasest[[#This Row],[autor_es]],autorest[autor_es],autorest[nacion_la])</f>
        <v>Regnum Unitum</v>
      </c>
      <c r="O59" t="str">
        <f>_xlfn.XLOOKUP(frasest[[#This Row],[autor_es]],autorest[autor_es],autorest[epoca_es])</f>
        <v>Edad Contemporánea</v>
      </c>
      <c r="P59" t="str">
        <f>_xlfn.XLOOKUP(frasest[[#This Row],[autor_es]],autorest[autor_es],autorest[epoca_la])</f>
        <v>Aetas Contemporanea</v>
      </c>
      <c r="Q59" t="str">
        <f>_xlfn.XLOOKUP(frasest[[#This Row],[autor_es]],autorest[autor_es],autorest[imagen])</f>
        <v>https://i.ibb.co/9mGNtTcT/chesterton.png</v>
      </c>
      <c r="R59">
        <f>_xlfn.XLOOKUP(frasest[[#This Row],[autor_es]],autorest[autor_es],autorest[imagen_atr])</f>
        <v>0</v>
      </c>
    </row>
    <row r="60" spans="1:18">
      <c r="A60">
        <v>59</v>
      </c>
      <c r="B60" t="s">
        <v>216</v>
      </c>
      <c r="C60" t="s">
        <v>217</v>
      </c>
      <c r="D60" t="s">
        <v>218</v>
      </c>
      <c r="E60" t="s">
        <v>210</v>
      </c>
      <c r="F60" t="s">
        <v>211</v>
      </c>
      <c r="G60" t="str">
        <f>_xlfn.XLOOKUP(frasest[[#This Row],[autor_es]],autorest[autor_es],autorest[autor_la])</f>
        <v>Gilbert Keith Chesterton</v>
      </c>
      <c r="H60" t="str">
        <f>_xlfn.XLOOKUP(frasest[[#This Row],[autor_es]],autorest[autor_es],autorest[bio_es])</f>
        <v>Escritor, poeta, filósofo y periodista inglés. Famoso por sus ensayos, cuentos de misterio y defensa del cristianismo.</v>
      </c>
      <c r="I60" t="str">
        <f>_xlfn.XLOOKUP(frasest[[#This Row],[autor_es]],autorest[autor_es],autorest[bio_la])</f>
        <v>Scriba, poeta, philosophus et diurnarius Anglicus. Notus pro essayis, fabulis mysteriis et Christianismi defensione.</v>
      </c>
      <c r="J60" t="str">
        <f>_xlfn.XLOOKUP(frasest[[#This Row],[autor_es]],autorest[autor_es],autorest[codigo])</f>
        <v>en</v>
      </c>
      <c r="K60" t="str">
        <f>_xlfn.XLOOKUP(frasest[[#This Row],[autor_es]],autorest[autor_es],autorest[idioma_es])</f>
        <v>Inglés</v>
      </c>
      <c r="L60" t="str">
        <f>_xlfn.XLOOKUP(frasest[[#This Row],[autor_es]],autorest[autor_es],autorest[idioma_la])</f>
        <v>Lingua Anglica</v>
      </c>
      <c r="M60" t="str">
        <f>_xlfn.XLOOKUP(frasest[[#This Row],[autor_es]],autorest[autor_es],autorest[nacion_es])</f>
        <v>Reino Unido</v>
      </c>
      <c r="N60" t="str">
        <f>_xlfn.XLOOKUP(frasest[[#This Row],[autor_es]],autorest[autor_es],autorest[nacion_la])</f>
        <v>Regnum Unitum</v>
      </c>
      <c r="O60" t="str">
        <f>_xlfn.XLOOKUP(frasest[[#This Row],[autor_es]],autorest[autor_es],autorest[epoca_es])</f>
        <v>Edad Contemporánea</v>
      </c>
      <c r="P60" t="str">
        <f>_xlfn.XLOOKUP(frasest[[#This Row],[autor_es]],autorest[autor_es],autorest[epoca_la])</f>
        <v>Aetas Contemporanea</v>
      </c>
      <c r="Q60" t="str">
        <f>_xlfn.XLOOKUP(frasest[[#This Row],[autor_es]],autorest[autor_es],autorest[imagen])</f>
        <v>https://i.ibb.co/9mGNtTcT/chesterton.png</v>
      </c>
      <c r="R60">
        <f>_xlfn.XLOOKUP(frasest[[#This Row],[autor_es]],autorest[autor_es],autorest[imagen_atr])</f>
        <v>0</v>
      </c>
    </row>
    <row r="61" spans="1:18">
      <c r="A61">
        <v>60</v>
      </c>
      <c r="B61" t="s">
        <v>219</v>
      </c>
      <c r="C61" t="s">
        <v>220</v>
      </c>
      <c r="D61" t="s">
        <v>221</v>
      </c>
      <c r="E61" t="s">
        <v>210</v>
      </c>
      <c r="F61" t="s">
        <v>222</v>
      </c>
      <c r="G61" t="str">
        <f>_xlfn.XLOOKUP(frasest[[#This Row],[autor_es]],autorest[autor_es],autorest[autor_la])</f>
        <v>Gilbert Keith Chesterton</v>
      </c>
      <c r="H61" t="str">
        <f>_xlfn.XLOOKUP(frasest[[#This Row],[autor_es]],autorest[autor_es],autorest[bio_es])</f>
        <v>Escritor, poeta, filósofo y periodista inglés. Famoso por sus ensayos, cuentos de misterio y defensa del cristianismo.</v>
      </c>
      <c r="I61" t="str">
        <f>_xlfn.XLOOKUP(frasest[[#This Row],[autor_es]],autorest[autor_es],autorest[bio_la])</f>
        <v>Scriba, poeta, philosophus et diurnarius Anglicus. Notus pro essayis, fabulis mysteriis et Christianismi defensione.</v>
      </c>
      <c r="J61" t="str">
        <f>_xlfn.XLOOKUP(frasest[[#This Row],[autor_es]],autorest[autor_es],autorest[codigo])</f>
        <v>en</v>
      </c>
      <c r="K61" t="str">
        <f>_xlfn.XLOOKUP(frasest[[#This Row],[autor_es]],autorest[autor_es],autorest[idioma_es])</f>
        <v>Inglés</v>
      </c>
      <c r="L61" t="str">
        <f>_xlfn.XLOOKUP(frasest[[#This Row],[autor_es]],autorest[autor_es],autorest[idioma_la])</f>
        <v>Lingua Anglica</v>
      </c>
      <c r="M61" t="str">
        <f>_xlfn.XLOOKUP(frasest[[#This Row],[autor_es]],autorest[autor_es],autorest[nacion_es])</f>
        <v>Reino Unido</v>
      </c>
      <c r="N61" t="str">
        <f>_xlfn.XLOOKUP(frasest[[#This Row],[autor_es]],autorest[autor_es],autorest[nacion_la])</f>
        <v>Regnum Unitum</v>
      </c>
      <c r="O61" t="str">
        <f>_xlfn.XLOOKUP(frasest[[#This Row],[autor_es]],autorest[autor_es],autorest[epoca_es])</f>
        <v>Edad Contemporánea</v>
      </c>
      <c r="P61" t="str">
        <f>_xlfn.XLOOKUP(frasest[[#This Row],[autor_es]],autorest[autor_es],autorest[epoca_la])</f>
        <v>Aetas Contemporanea</v>
      </c>
      <c r="Q61" t="str">
        <f>_xlfn.XLOOKUP(frasest[[#This Row],[autor_es]],autorest[autor_es],autorest[imagen])</f>
        <v>https://i.ibb.co/9mGNtTcT/chesterton.png</v>
      </c>
      <c r="R61">
        <f>_xlfn.XLOOKUP(frasest[[#This Row],[autor_es]],autorest[autor_es],autorest[imagen_atr])</f>
        <v>0</v>
      </c>
    </row>
    <row r="62" spans="1:18">
      <c r="A62">
        <v>61</v>
      </c>
      <c r="B62" t="s">
        <v>223</v>
      </c>
      <c r="C62" t="s">
        <v>224</v>
      </c>
      <c r="D62" t="s">
        <v>225</v>
      </c>
      <c r="E62" t="s">
        <v>210</v>
      </c>
      <c r="F62" t="s">
        <v>226</v>
      </c>
      <c r="G62" t="str">
        <f>_xlfn.XLOOKUP(frasest[[#This Row],[autor_es]],autorest[autor_es],autorest[autor_la])</f>
        <v>Gilbert Keith Chesterton</v>
      </c>
      <c r="H62" t="str">
        <f>_xlfn.XLOOKUP(frasest[[#This Row],[autor_es]],autorest[autor_es],autorest[bio_es])</f>
        <v>Escritor, poeta, filósofo y periodista inglés. Famoso por sus ensayos, cuentos de misterio y defensa del cristianismo.</v>
      </c>
      <c r="I62" t="str">
        <f>_xlfn.XLOOKUP(frasest[[#This Row],[autor_es]],autorest[autor_es],autorest[bio_la])</f>
        <v>Scriba, poeta, philosophus et diurnarius Anglicus. Notus pro essayis, fabulis mysteriis et Christianismi defensione.</v>
      </c>
      <c r="J62" t="str">
        <f>_xlfn.XLOOKUP(frasest[[#This Row],[autor_es]],autorest[autor_es],autorest[codigo])</f>
        <v>en</v>
      </c>
      <c r="K62" t="str">
        <f>_xlfn.XLOOKUP(frasest[[#This Row],[autor_es]],autorest[autor_es],autorest[idioma_es])</f>
        <v>Inglés</v>
      </c>
      <c r="L62" t="str">
        <f>_xlfn.XLOOKUP(frasest[[#This Row],[autor_es]],autorest[autor_es],autorest[idioma_la])</f>
        <v>Lingua Anglica</v>
      </c>
      <c r="M62" t="str">
        <f>_xlfn.XLOOKUP(frasest[[#This Row],[autor_es]],autorest[autor_es],autorest[nacion_es])</f>
        <v>Reino Unido</v>
      </c>
      <c r="N62" t="str">
        <f>_xlfn.XLOOKUP(frasest[[#This Row],[autor_es]],autorest[autor_es],autorest[nacion_la])</f>
        <v>Regnum Unitum</v>
      </c>
      <c r="O62" t="str">
        <f>_xlfn.XLOOKUP(frasest[[#This Row],[autor_es]],autorest[autor_es],autorest[epoca_es])</f>
        <v>Edad Contemporánea</v>
      </c>
      <c r="P62" t="str">
        <f>_xlfn.XLOOKUP(frasest[[#This Row],[autor_es]],autorest[autor_es],autorest[epoca_la])</f>
        <v>Aetas Contemporanea</v>
      </c>
      <c r="Q62" t="str">
        <f>_xlfn.XLOOKUP(frasest[[#This Row],[autor_es]],autorest[autor_es],autorest[imagen])</f>
        <v>https://i.ibb.co/9mGNtTcT/chesterton.png</v>
      </c>
      <c r="R62">
        <f>_xlfn.XLOOKUP(frasest[[#This Row],[autor_es]],autorest[autor_es],autorest[imagen_atr])</f>
        <v>0</v>
      </c>
    </row>
    <row r="63" spans="1:18">
      <c r="A63">
        <v>62</v>
      </c>
      <c r="B63" t="s">
        <v>227</v>
      </c>
      <c r="C63" t="s">
        <v>228</v>
      </c>
      <c r="D63" t="s">
        <v>229</v>
      </c>
      <c r="E63" t="s">
        <v>230</v>
      </c>
      <c r="F63" t="s">
        <v>231</v>
      </c>
      <c r="G63" t="str">
        <f>_xlfn.XLOOKUP(frasest[[#This Row],[autor_es]],autorest[autor_es],autorest[autor_la])</f>
        <v>Ioannes Paulus II</v>
      </c>
      <c r="H63" t="str">
        <f>_xlfn.XLOOKUP(frasest[[#This Row],[autor_es]],autorest[autor_es],autorest[bio_es])</f>
        <v>Papa de la Iglesia Católica desde 1978 hasta 2005. Destacado por su labor pastoral, defensa de la vida y los derechos humanos.</v>
      </c>
      <c r="I63" t="str">
        <f>_xlfn.XLOOKUP(frasest[[#This Row],[autor_es]],autorest[autor_es],autorest[bio_la])</f>
        <v>Papa Ecclesiae Catholicae ab anno 1978 usque 2005. Labor pastoral, vitae tutela et iura humana praecipuus.</v>
      </c>
      <c r="J63" t="str">
        <f>_xlfn.XLOOKUP(frasest[[#This Row],[autor_es]],autorest[autor_es],autorest[codigo])</f>
        <v>la</v>
      </c>
      <c r="K63" t="str">
        <f>_xlfn.XLOOKUP(frasest[[#This Row],[autor_es]],autorest[autor_es],autorest[idioma_es])</f>
        <v>Latín</v>
      </c>
      <c r="L63" t="str">
        <f>_xlfn.XLOOKUP(frasest[[#This Row],[autor_es]],autorest[autor_es],autorest[idioma_la])</f>
        <v>Lingua Latina</v>
      </c>
      <c r="M63" t="str">
        <f>_xlfn.XLOOKUP(frasest[[#This Row],[autor_es]],autorest[autor_es],autorest[nacion_es])</f>
        <v>Polonia</v>
      </c>
      <c r="N63" t="str">
        <f>_xlfn.XLOOKUP(frasest[[#This Row],[autor_es]],autorest[autor_es],autorest[nacion_la])</f>
        <v>Polonia</v>
      </c>
      <c r="O63" t="str">
        <f>_xlfn.XLOOKUP(frasest[[#This Row],[autor_es]],autorest[autor_es],autorest[epoca_es])</f>
        <v>Edad Contemporánea</v>
      </c>
      <c r="P63" t="str">
        <f>_xlfn.XLOOKUP(frasest[[#This Row],[autor_es]],autorest[autor_es],autorest[epoca_la])</f>
        <v>Aetas Contemporanea</v>
      </c>
      <c r="Q63" t="str">
        <f>_xlfn.XLOOKUP(frasest[[#This Row],[autor_es]],autorest[autor_es],autorest[imagen])</f>
        <v>https://i.ibb.co/tMz7wVTz/juanpabloii.png</v>
      </c>
      <c r="R63">
        <f>_xlfn.XLOOKUP(frasest[[#This Row],[autor_es]],autorest[autor_es],autorest[imagen_atr])</f>
        <v>0</v>
      </c>
    </row>
    <row r="64" spans="1:18">
      <c r="A64">
        <v>63</v>
      </c>
      <c r="B64" t="s">
        <v>232</v>
      </c>
      <c r="C64" t="s">
        <v>233</v>
      </c>
      <c r="D64" t="s">
        <v>233</v>
      </c>
      <c r="E64" t="s">
        <v>230</v>
      </c>
      <c r="F64" t="s">
        <v>234</v>
      </c>
      <c r="G64" t="str">
        <f>_xlfn.XLOOKUP(frasest[[#This Row],[autor_es]],autorest[autor_es],autorest[autor_la])</f>
        <v>Ioannes Paulus II</v>
      </c>
      <c r="H64" t="str">
        <f>_xlfn.XLOOKUP(frasest[[#This Row],[autor_es]],autorest[autor_es],autorest[bio_es])</f>
        <v>Papa de la Iglesia Católica desde 1978 hasta 2005. Destacado por su labor pastoral, defensa de la vida y los derechos humanos.</v>
      </c>
      <c r="I64" t="str">
        <f>_xlfn.XLOOKUP(frasest[[#This Row],[autor_es]],autorest[autor_es],autorest[bio_la])</f>
        <v>Papa Ecclesiae Catholicae ab anno 1978 usque 2005. Labor pastoral, vitae tutela et iura humana praecipuus.</v>
      </c>
      <c r="J64" t="str">
        <f>_xlfn.XLOOKUP(frasest[[#This Row],[autor_es]],autorest[autor_es],autorest[codigo])</f>
        <v>la</v>
      </c>
      <c r="K64" t="str">
        <f>_xlfn.XLOOKUP(frasest[[#This Row],[autor_es]],autorest[autor_es],autorest[idioma_es])</f>
        <v>Latín</v>
      </c>
      <c r="L64" t="str">
        <f>_xlfn.XLOOKUP(frasest[[#This Row],[autor_es]],autorest[autor_es],autorest[idioma_la])</f>
        <v>Lingua Latina</v>
      </c>
      <c r="M64" t="str">
        <f>_xlfn.XLOOKUP(frasest[[#This Row],[autor_es]],autorest[autor_es],autorest[nacion_es])</f>
        <v>Polonia</v>
      </c>
      <c r="N64" t="str">
        <f>_xlfn.XLOOKUP(frasest[[#This Row],[autor_es]],autorest[autor_es],autorest[nacion_la])</f>
        <v>Polonia</v>
      </c>
      <c r="O64" t="str">
        <f>_xlfn.XLOOKUP(frasest[[#This Row],[autor_es]],autorest[autor_es],autorest[epoca_es])</f>
        <v>Edad Contemporánea</v>
      </c>
      <c r="P64" t="str">
        <f>_xlfn.XLOOKUP(frasest[[#This Row],[autor_es]],autorest[autor_es],autorest[epoca_la])</f>
        <v>Aetas Contemporanea</v>
      </c>
      <c r="Q64" t="str">
        <f>_xlfn.XLOOKUP(frasest[[#This Row],[autor_es]],autorest[autor_es],autorest[imagen])</f>
        <v>https://i.ibb.co/tMz7wVTz/juanpabloii.png</v>
      </c>
      <c r="R64">
        <f>_xlfn.XLOOKUP(frasest[[#This Row],[autor_es]],autorest[autor_es],autorest[imagen_atr])</f>
        <v>0</v>
      </c>
    </row>
    <row r="65" spans="1:18">
      <c r="A65">
        <v>64</v>
      </c>
      <c r="B65" t="s">
        <v>235</v>
      </c>
      <c r="C65" t="s">
        <v>236</v>
      </c>
      <c r="D65" t="s">
        <v>236</v>
      </c>
      <c r="E65" t="s">
        <v>230</v>
      </c>
      <c r="F65" t="s">
        <v>237</v>
      </c>
      <c r="G65" t="str">
        <f>_xlfn.XLOOKUP(frasest[[#This Row],[autor_es]],autorest[autor_es],autorest[autor_la])</f>
        <v>Ioannes Paulus II</v>
      </c>
      <c r="H65" t="str">
        <f>_xlfn.XLOOKUP(frasest[[#This Row],[autor_es]],autorest[autor_es],autorest[bio_es])</f>
        <v>Papa de la Iglesia Católica desde 1978 hasta 2005. Destacado por su labor pastoral, defensa de la vida y los derechos humanos.</v>
      </c>
      <c r="I65" t="str">
        <f>_xlfn.XLOOKUP(frasest[[#This Row],[autor_es]],autorest[autor_es],autorest[bio_la])</f>
        <v>Papa Ecclesiae Catholicae ab anno 1978 usque 2005. Labor pastoral, vitae tutela et iura humana praecipuus.</v>
      </c>
      <c r="J65" t="str">
        <f>_xlfn.XLOOKUP(frasest[[#This Row],[autor_es]],autorest[autor_es],autorest[codigo])</f>
        <v>la</v>
      </c>
      <c r="K65" t="str">
        <f>_xlfn.XLOOKUP(frasest[[#This Row],[autor_es]],autorest[autor_es],autorest[idioma_es])</f>
        <v>Latín</v>
      </c>
      <c r="L65" t="str">
        <f>_xlfn.XLOOKUP(frasest[[#This Row],[autor_es]],autorest[autor_es],autorest[idioma_la])</f>
        <v>Lingua Latina</v>
      </c>
      <c r="M65" t="str">
        <f>_xlfn.XLOOKUP(frasest[[#This Row],[autor_es]],autorest[autor_es],autorest[nacion_es])</f>
        <v>Polonia</v>
      </c>
      <c r="N65" t="str">
        <f>_xlfn.XLOOKUP(frasest[[#This Row],[autor_es]],autorest[autor_es],autorest[nacion_la])</f>
        <v>Polonia</v>
      </c>
      <c r="O65" t="str">
        <f>_xlfn.XLOOKUP(frasest[[#This Row],[autor_es]],autorest[autor_es],autorest[epoca_es])</f>
        <v>Edad Contemporánea</v>
      </c>
      <c r="P65" t="str">
        <f>_xlfn.XLOOKUP(frasest[[#This Row],[autor_es]],autorest[autor_es],autorest[epoca_la])</f>
        <v>Aetas Contemporanea</v>
      </c>
      <c r="Q65" t="str">
        <f>_xlfn.XLOOKUP(frasest[[#This Row],[autor_es]],autorest[autor_es],autorest[imagen])</f>
        <v>https://i.ibb.co/tMz7wVTz/juanpabloii.png</v>
      </c>
      <c r="R65">
        <f>_xlfn.XLOOKUP(frasest[[#This Row],[autor_es]],autorest[autor_es],autorest[imagen_atr])</f>
        <v>0</v>
      </c>
    </row>
    <row r="66" spans="1:18">
      <c r="A66">
        <v>65</v>
      </c>
      <c r="B66" t="s">
        <v>238</v>
      </c>
      <c r="C66" t="s">
        <v>239</v>
      </c>
      <c r="D66" t="s">
        <v>239</v>
      </c>
      <c r="E66" t="s">
        <v>230</v>
      </c>
      <c r="F66" t="s">
        <v>240</v>
      </c>
      <c r="G66" t="str">
        <f>_xlfn.XLOOKUP(frasest[[#This Row],[autor_es]],autorest[autor_es],autorest[autor_la])</f>
        <v>Ioannes Paulus II</v>
      </c>
      <c r="H66" t="str">
        <f>_xlfn.XLOOKUP(frasest[[#This Row],[autor_es]],autorest[autor_es],autorest[bio_es])</f>
        <v>Papa de la Iglesia Católica desde 1978 hasta 2005. Destacado por su labor pastoral, defensa de la vida y los derechos humanos.</v>
      </c>
      <c r="I66" t="str">
        <f>_xlfn.XLOOKUP(frasest[[#This Row],[autor_es]],autorest[autor_es],autorest[bio_la])</f>
        <v>Papa Ecclesiae Catholicae ab anno 1978 usque 2005. Labor pastoral, vitae tutela et iura humana praecipuus.</v>
      </c>
      <c r="J66" t="str">
        <f>_xlfn.XLOOKUP(frasest[[#This Row],[autor_es]],autorest[autor_es],autorest[codigo])</f>
        <v>la</v>
      </c>
      <c r="K66" t="str">
        <f>_xlfn.XLOOKUP(frasest[[#This Row],[autor_es]],autorest[autor_es],autorest[idioma_es])</f>
        <v>Latín</v>
      </c>
      <c r="L66" t="str">
        <f>_xlfn.XLOOKUP(frasest[[#This Row],[autor_es]],autorest[autor_es],autorest[idioma_la])</f>
        <v>Lingua Latina</v>
      </c>
      <c r="M66" t="str">
        <f>_xlfn.XLOOKUP(frasest[[#This Row],[autor_es]],autorest[autor_es],autorest[nacion_es])</f>
        <v>Polonia</v>
      </c>
      <c r="N66" t="str">
        <f>_xlfn.XLOOKUP(frasest[[#This Row],[autor_es]],autorest[autor_es],autorest[nacion_la])</f>
        <v>Polonia</v>
      </c>
      <c r="O66" t="str">
        <f>_xlfn.XLOOKUP(frasest[[#This Row],[autor_es]],autorest[autor_es],autorest[epoca_es])</f>
        <v>Edad Contemporánea</v>
      </c>
      <c r="P66" t="str">
        <f>_xlfn.XLOOKUP(frasest[[#This Row],[autor_es]],autorest[autor_es],autorest[epoca_la])</f>
        <v>Aetas Contemporanea</v>
      </c>
      <c r="Q66" t="str">
        <f>_xlfn.XLOOKUP(frasest[[#This Row],[autor_es]],autorest[autor_es],autorest[imagen])</f>
        <v>https://i.ibb.co/tMz7wVTz/juanpabloii.png</v>
      </c>
      <c r="R66">
        <f>_xlfn.XLOOKUP(frasest[[#This Row],[autor_es]],autorest[autor_es],autorest[imagen_atr])</f>
        <v>0</v>
      </c>
    </row>
    <row r="67" spans="1:18">
      <c r="A67">
        <v>66</v>
      </c>
      <c r="B67" t="s">
        <v>241</v>
      </c>
      <c r="C67" t="s">
        <v>242</v>
      </c>
      <c r="D67" t="s">
        <v>243</v>
      </c>
      <c r="E67" t="s">
        <v>230</v>
      </c>
      <c r="F67" t="s">
        <v>244</v>
      </c>
      <c r="G67" t="str">
        <f>_xlfn.XLOOKUP(frasest[[#This Row],[autor_es]],autorest[autor_es],autorest[autor_la])</f>
        <v>Ioannes Paulus II</v>
      </c>
      <c r="H67" t="str">
        <f>_xlfn.XLOOKUP(frasest[[#This Row],[autor_es]],autorest[autor_es],autorest[bio_es])</f>
        <v>Papa de la Iglesia Católica desde 1978 hasta 2005. Destacado por su labor pastoral, defensa de la vida y los derechos humanos.</v>
      </c>
      <c r="I67" t="str">
        <f>_xlfn.XLOOKUP(frasest[[#This Row],[autor_es]],autorest[autor_es],autorest[bio_la])</f>
        <v>Papa Ecclesiae Catholicae ab anno 1978 usque 2005. Labor pastoral, vitae tutela et iura humana praecipuus.</v>
      </c>
      <c r="J67" t="str">
        <f>_xlfn.XLOOKUP(frasest[[#This Row],[autor_es]],autorest[autor_es],autorest[codigo])</f>
        <v>la</v>
      </c>
      <c r="K67" t="str">
        <f>_xlfn.XLOOKUP(frasest[[#This Row],[autor_es]],autorest[autor_es],autorest[idioma_es])</f>
        <v>Latín</v>
      </c>
      <c r="L67" t="str">
        <f>_xlfn.XLOOKUP(frasest[[#This Row],[autor_es]],autorest[autor_es],autorest[idioma_la])</f>
        <v>Lingua Latina</v>
      </c>
      <c r="M67" t="str">
        <f>_xlfn.XLOOKUP(frasest[[#This Row],[autor_es]],autorest[autor_es],autorest[nacion_es])</f>
        <v>Polonia</v>
      </c>
      <c r="N67" t="str">
        <f>_xlfn.XLOOKUP(frasest[[#This Row],[autor_es]],autorest[autor_es],autorest[nacion_la])</f>
        <v>Polonia</v>
      </c>
      <c r="O67" t="str">
        <f>_xlfn.XLOOKUP(frasest[[#This Row],[autor_es]],autorest[autor_es],autorest[epoca_es])</f>
        <v>Edad Contemporánea</v>
      </c>
      <c r="P67" t="str">
        <f>_xlfn.XLOOKUP(frasest[[#This Row],[autor_es]],autorest[autor_es],autorest[epoca_la])</f>
        <v>Aetas Contemporanea</v>
      </c>
      <c r="Q67" t="str">
        <f>_xlfn.XLOOKUP(frasest[[#This Row],[autor_es]],autorest[autor_es],autorest[imagen])</f>
        <v>https://i.ibb.co/tMz7wVTz/juanpabloii.png</v>
      </c>
      <c r="R67">
        <f>_xlfn.XLOOKUP(frasest[[#This Row],[autor_es]],autorest[autor_es],autorest[imagen_atr])</f>
        <v>0</v>
      </c>
    </row>
    <row r="68" spans="1:18">
      <c r="A68">
        <v>67</v>
      </c>
      <c r="B68" t="s">
        <v>245</v>
      </c>
      <c r="C68" t="s">
        <v>246</v>
      </c>
      <c r="D68" t="s">
        <v>246</v>
      </c>
      <c r="E68" t="s">
        <v>230</v>
      </c>
      <c r="F68" t="s">
        <v>247</v>
      </c>
      <c r="G68" t="str">
        <f>_xlfn.XLOOKUP(frasest[[#This Row],[autor_es]],autorest[autor_es],autorest[autor_la])</f>
        <v>Ioannes Paulus II</v>
      </c>
      <c r="H68" t="str">
        <f>_xlfn.XLOOKUP(frasest[[#This Row],[autor_es]],autorest[autor_es],autorest[bio_es])</f>
        <v>Papa de la Iglesia Católica desde 1978 hasta 2005. Destacado por su labor pastoral, defensa de la vida y los derechos humanos.</v>
      </c>
      <c r="I68" t="str">
        <f>_xlfn.XLOOKUP(frasest[[#This Row],[autor_es]],autorest[autor_es],autorest[bio_la])</f>
        <v>Papa Ecclesiae Catholicae ab anno 1978 usque 2005. Labor pastoral, vitae tutela et iura humana praecipuus.</v>
      </c>
      <c r="J68" t="str">
        <f>_xlfn.XLOOKUP(frasest[[#This Row],[autor_es]],autorest[autor_es],autorest[codigo])</f>
        <v>la</v>
      </c>
      <c r="K68" t="str">
        <f>_xlfn.XLOOKUP(frasest[[#This Row],[autor_es]],autorest[autor_es],autorest[idioma_es])</f>
        <v>Latín</v>
      </c>
      <c r="L68" t="str">
        <f>_xlfn.XLOOKUP(frasest[[#This Row],[autor_es]],autorest[autor_es],autorest[idioma_la])</f>
        <v>Lingua Latina</v>
      </c>
      <c r="M68" t="str">
        <f>_xlfn.XLOOKUP(frasest[[#This Row],[autor_es]],autorest[autor_es],autorest[nacion_es])</f>
        <v>Polonia</v>
      </c>
      <c r="N68" t="str">
        <f>_xlfn.XLOOKUP(frasest[[#This Row],[autor_es]],autorest[autor_es],autorest[nacion_la])</f>
        <v>Polonia</v>
      </c>
      <c r="O68" t="str">
        <f>_xlfn.XLOOKUP(frasest[[#This Row],[autor_es]],autorest[autor_es],autorest[epoca_es])</f>
        <v>Edad Contemporánea</v>
      </c>
      <c r="P68" t="str">
        <f>_xlfn.XLOOKUP(frasest[[#This Row],[autor_es]],autorest[autor_es],autorest[epoca_la])</f>
        <v>Aetas Contemporanea</v>
      </c>
      <c r="Q68" t="str">
        <f>_xlfn.XLOOKUP(frasest[[#This Row],[autor_es]],autorest[autor_es],autorest[imagen])</f>
        <v>https://i.ibb.co/tMz7wVTz/juanpabloii.png</v>
      </c>
      <c r="R68">
        <f>_xlfn.XLOOKUP(frasest[[#This Row],[autor_es]],autorest[autor_es],autorest[imagen_atr])</f>
        <v>0</v>
      </c>
    </row>
    <row r="69" spans="1:18">
      <c r="A69">
        <v>68</v>
      </c>
      <c r="B69" t="s">
        <v>248</v>
      </c>
      <c r="C69" t="s">
        <v>249</v>
      </c>
      <c r="D69" t="s">
        <v>249</v>
      </c>
      <c r="E69" t="s">
        <v>230</v>
      </c>
      <c r="F69" t="s">
        <v>250</v>
      </c>
      <c r="G69" t="str">
        <f>_xlfn.XLOOKUP(frasest[[#This Row],[autor_es]],autorest[autor_es],autorest[autor_la])</f>
        <v>Ioannes Paulus II</v>
      </c>
      <c r="H69" t="str">
        <f>_xlfn.XLOOKUP(frasest[[#This Row],[autor_es]],autorest[autor_es],autorest[bio_es])</f>
        <v>Papa de la Iglesia Católica desde 1978 hasta 2005. Destacado por su labor pastoral, defensa de la vida y los derechos humanos.</v>
      </c>
      <c r="I69" t="str">
        <f>_xlfn.XLOOKUP(frasest[[#This Row],[autor_es]],autorest[autor_es],autorest[bio_la])</f>
        <v>Papa Ecclesiae Catholicae ab anno 1978 usque 2005. Labor pastoral, vitae tutela et iura humana praecipuus.</v>
      </c>
      <c r="J69" t="str">
        <f>_xlfn.XLOOKUP(frasest[[#This Row],[autor_es]],autorest[autor_es],autorest[codigo])</f>
        <v>la</v>
      </c>
      <c r="K69" t="str">
        <f>_xlfn.XLOOKUP(frasest[[#This Row],[autor_es]],autorest[autor_es],autorest[idioma_es])</f>
        <v>Latín</v>
      </c>
      <c r="L69" t="str">
        <f>_xlfn.XLOOKUP(frasest[[#This Row],[autor_es]],autorest[autor_es],autorest[idioma_la])</f>
        <v>Lingua Latina</v>
      </c>
      <c r="M69" t="str">
        <f>_xlfn.XLOOKUP(frasest[[#This Row],[autor_es]],autorest[autor_es],autorest[nacion_es])</f>
        <v>Polonia</v>
      </c>
      <c r="N69" t="str">
        <f>_xlfn.XLOOKUP(frasest[[#This Row],[autor_es]],autorest[autor_es],autorest[nacion_la])</f>
        <v>Polonia</v>
      </c>
      <c r="O69" t="str">
        <f>_xlfn.XLOOKUP(frasest[[#This Row],[autor_es]],autorest[autor_es],autorest[epoca_es])</f>
        <v>Edad Contemporánea</v>
      </c>
      <c r="P69" t="str">
        <f>_xlfn.XLOOKUP(frasest[[#This Row],[autor_es]],autorest[autor_es],autorest[epoca_la])</f>
        <v>Aetas Contemporanea</v>
      </c>
      <c r="Q69" t="str">
        <f>_xlfn.XLOOKUP(frasest[[#This Row],[autor_es]],autorest[autor_es],autorest[imagen])</f>
        <v>https://i.ibb.co/tMz7wVTz/juanpabloii.png</v>
      </c>
      <c r="R69">
        <f>_xlfn.XLOOKUP(frasest[[#This Row],[autor_es]],autorest[autor_es],autorest[imagen_atr])</f>
        <v>0</v>
      </c>
    </row>
    <row r="70" spans="1:18">
      <c r="A70">
        <v>69</v>
      </c>
      <c r="B70" t="s">
        <v>251</v>
      </c>
      <c r="C70" t="s">
        <v>252</v>
      </c>
      <c r="D70" t="s">
        <v>253</v>
      </c>
      <c r="E70" t="s">
        <v>230</v>
      </c>
      <c r="F70" t="s">
        <v>234</v>
      </c>
      <c r="G70" t="str">
        <f>_xlfn.XLOOKUP(frasest[[#This Row],[autor_es]],autorest[autor_es],autorest[autor_la])</f>
        <v>Ioannes Paulus II</v>
      </c>
      <c r="H70" t="str">
        <f>_xlfn.XLOOKUP(frasest[[#This Row],[autor_es]],autorest[autor_es],autorest[bio_es])</f>
        <v>Papa de la Iglesia Católica desde 1978 hasta 2005. Destacado por su labor pastoral, defensa de la vida y los derechos humanos.</v>
      </c>
      <c r="I70" t="str">
        <f>_xlfn.XLOOKUP(frasest[[#This Row],[autor_es]],autorest[autor_es],autorest[bio_la])</f>
        <v>Papa Ecclesiae Catholicae ab anno 1978 usque 2005. Labor pastoral, vitae tutela et iura humana praecipuus.</v>
      </c>
      <c r="J70" t="str">
        <f>_xlfn.XLOOKUP(frasest[[#This Row],[autor_es]],autorest[autor_es],autorest[codigo])</f>
        <v>la</v>
      </c>
      <c r="K70" t="str">
        <f>_xlfn.XLOOKUP(frasest[[#This Row],[autor_es]],autorest[autor_es],autorest[idioma_es])</f>
        <v>Latín</v>
      </c>
      <c r="L70" t="str">
        <f>_xlfn.XLOOKUP(frasest[[#This Row],[autor_es]],autorest[autor_es],autorest[idioma_la])</f>
        <v>Lingua Latina</v>
      </c>
      <c r="M70" t="str">
        <f>_xlfn.XLOOKUP(frasest[[#This Row],[autor_es]],autorest[autor_es],autorest[nacion_es])</f>
        <v>Polonia</v>
      </c>
      <c r="N70" t="str">
        <f>_xlfn.XLOOKUP(frasest[[#This Row],[autor_es]],autorest[autor_es],autorest[nacion_la])</f>
        <v>Polonia</v>
      </c>
      <c r="O70" t="str">
        <f>_xlfn.XLOOKUP(frasest[[#This Row],[autor_es]],autorest[autor_es],autorest[epoca_es])</f>
        <v>Edad Contemporánea</v>
      </c>
      <c r="P70" t="str">
        <f>_xlfn.XLOOKUP(frasest[[#This Row],[autor_es]],autorest[autor_es],autorest[epoca_la])</f>
        <v>Aetas Contemporanea</v>
      </c>
      <c r="Q70" t="str">
        <f>_xlfn.XLOOKUP(frasest[[#This Row],[autor_es]],autorest[autor_es],autorest[imagen])</f>
        <v>https://i.ibb.co/tMz7wVTz/juanpabloii.png</v>
      </c>
      <c r="R70">
        <f>_xlfn.XLOOKUP(frasest[[#This Row],[autor_es]],autorest[autor_es],autorest[imagen_atr])</f>
        <v>0</v>
      </c>
    </row>
    <row r="71" spans="1:18">
      <c r="A71">
        <v>70</v>
      </c>
      <c r="B71" t="s">
        <v>254</v>
      </c>
      <c r="C71" t="s">
        <v>255</v>
      </c>
      <c r="D71" t="s">
        <v>255</v>
      </c>
      <c r="E71" t="s">
        <v>230</v>
      </c>
      <c r="F71" t="s">
        <v>256</v>
      </c>
      <c r="G71" t="str">
        <f>_xlfn.XLOOKUP(frasest[[#This Row],[autor_es]],autorest[autor_es],autorest[autor_la])</f>
        <v>Ioannes Paulus II</v>
      </c>
      <c r="H71" t="str">
        <f>_xlfn.XLOOKUP(frasest[[#This Row],[autor_es]],autorest[autor_es],autorest[bio_es])</f>
        <v>Papa de la Iglesia Católica desde 1978 hasta 2005. Destacado por su labor pastoral, defensa de la vida y los derechos humanos.</v>
      </c>
      <c r="I71" t="str">
        <f>_xlfn.XLOOKUP(frasest[[#This Row],[autor_es]],autorest[autor_es],autorest[bio_la])</f>
        <v>Papa Ecclesiae Catholicae ab anno 1978 usque 2005. Labor pastoral, vitae tutela et iura humana praecipuus.</v>
      </c>
      <c r="J71" t="str">
        <f>_xlfn.XLOOKUP(frasest[[#This Row],[autor_es]],autorest[autor_es],autorest[codigo])</f>
        <v>la</v>
      </c>
      <c r="K71" t="str">
        <f>_xlfn.XLOOKUP(frasest[[#This Row],[autor_es]],autorest[autor_es],autorest[idioma_es])</f>
        <v>Latín</v>
      </c>
      <c r="L71" t="str">
        <f>_xlfn.XLOOKUP(frasest[[#This Row],[autor_es]],autorest[autor_es],autorest[idioma_la])</f>
        <v>Lingua Latina</v>
      </c>
      <c r="M71" t="str">
        <f>_xlfn.XLOOKUP(frasest[[#This Row],[autor_es]],autorest[autor_es],autorest[nacion_es])</f>
        <v>Polonia</v>
      </c>
      <c r="N71" t="str">
        <f>_xlfn.XLOOKUP(frasest[[#This Row],[autor_es]],autorest[autor_es],autorest[nacion_la])</f>
        <v>Polonia</v>
      </c>
      <c r="O71" t="str">
        <f>_xlfn.XLOOKUP(frasest[[#This Row],[autor_es]],autorest[autor_es],autorest[epoca_es])</f>
        <v>Edad Contemporánea</v>
      </c>
      <c r="P71" t="str">
        <f>_xlfn.XLOOKUP(frasest[[#This Row],[autor_es]],autorest[autor_es],autorest[epoca_la])</f>
        <v>Aetas Contemporanea</v>
      </c>
      <c r="Q71" t="str">
        <f>_xlfn.XLOOKUP(frasest[[#This Row],[autor_es]],autorest[autor_es],autorest[imagen])</f>
        <v>https://i.ibb.co/tMz7wVTz/juanpabloii.png</v>
      </c>
      <c r="R71">
        <f>_xlfn.XLOOKUP(frasest[[#This Row],[autor_es]],autorest[autor_es],autorest[imagen_atr])</f>
        <v>0</v>
      </c>
    </row>
    <row r="72" spans="1:18">
      <c r="A72">
        <v>71</v>
      </c>
      <c r="B72" t="s">
        <v>257</v>
      </c>
      <c r="C72" t="s">
        <v>258</v>
      </c>
      <c r="D72" t="s">
        <v>258</v>
      </c>
      <c r="E72" t="s">
        <v>230</v>
      </c>
      <c r="F72" t="s">
        <v>259</v>
      </c>
      <c r="G72" t="str">
        <f>_xlfn.XLOOKUP(frasest[[#This Row],[autor_es]],autorest[autor_es],autorest[autor_la])</f>
        <v>Ioannes Paulus II</v>
      </c>
      <c r="H72" t="str">
        <f>_xlfn.XLOOKUP(frasest[[#This Row],[autor_es]],autorest[autor_es],autorest[bio_es])</f>
        <v>Papa de la Iglesia Católica desde 1978 hasta 2005. Destacado por su labor pastoral, defensa de la vida y los derechos humanos.</v>
      </c>
      <c r="I72" t="str">
        <f>_xlfn.XLOOKUP(frasest[[#This Row],[autor_es]],autorest[autor_es],autorest[bio_la])</f>
        <v>Papa Ecclesiae Catholicae ab anno 1978 usque 2005. Labor pastoral, vitae tutela et iura humana praecipuus.</v>
      </c>
      <c r="J72" t="str">
        <f>_xlfn.XLOOKUP(frasest[[#This Row],[autor_es]],autorest[autor_es],autorest[codigo])</f>
        <v>la</v>
      </c>
      <c r="K72" t="str">
        <f>_xlfn.XLOOKUP(frasest[[#This Row],[autor_es]],autorest[autor_es],autorest[idioma_es])</f>
        <v>Latín</v>
      </c>
      <c r="L72" t="str">
        <f>_xlfn.XLOOKUP(frasest[[#This Row],[autor_es]],autorest[autor_es],autorest[idioma_la])</f>
        <v>Lingua Latina</v>
      </c>
      <c r="M72" t="str">
        <f>_xlfn.XLOOKUP(frasest[[#This Row],[autor_es]],autorest[autor_es],autorest[nacion_es])</f>
        <v>Polonia</v>
      </c>
      <c r="N72" t="str">
        <f>_xlfn.XLOOKUP(frasest[[#This Row],[autor_es]],autorest[autor_es],autorest[nacion_la])</f>
        <v>Polonia</v>
      </c>
      <c r="O72" t="str">
        <f>_xlfn.XLOOKUP(frasest[[#This Row],[autor_es]],autorest[autor_es],autorest[epoca_es])</f>
        <v>Edad Contemporánea</v>
      </c>
      <c r="P72" t="str">
        <f>_xlfn.XLOOKUP(frasest[[#This Row],[autor_es]],autorest[autor_es],autorest[epoca_la])</f>
        <v>Aetas Contemporanea</v>
      </c>
      <c r="Q72" t="str">
        <f>_xlfn.XLOOKUP(frasest[[#This Row],[autor_es]],autorest[autor_es],autorest[imagen])</f>
        <v>https://i.ibb.co/tMz7wVTz/juanpabloii.png</v>
      </c>
      <c r="R72">
        <f>_xlfn.XLOOKUP(frasest[[#This Row],[autor_es]],autorest[autor_es],autorest[imagen_atr])</f>
        <v>0</v>
      </c>
    </row>
    <row r="73" spans="1:18">
      <c r="A73">
        <v>72</v>
      </c>
      <c r="B73" t="s">
        <v>260</v>
      </c>
      <c r="C73" t="s">
        <v>261</v>
      </c>
      <c r="D73" t="s">
        <v>261</v>
      </c>
      <c r="E73" t="s">
        <v>262</v>
      </c>
      <c r="F73" t="s">
        <v>263</v>
      </c>
      <c r="G73" t="str">
        <f>_xlfn.XLOOKUP(frasest[[#This Row],[autor_es]],autorest[autor_es],autorest[autor_la])</f>
        <v>Sanctus Ioannes Baptista de La Salle</v>
      </c>
      <c r="H73" t="str">
        <f>_xlfn.XLOOKUP(frasest[[#This Row],[autor_es]],autorest[autor_es],autorest[bio_es])</f>
        <v>Sacerdote francés y fundador de los Hermanos de las Escuelas Cristianas, dedicados a la educación cristiana de los jóvenes, especialmente pobres.</v>
      </c>
      <c r="I73" t="str">
        <f>_xlfn.XLOOKUP(frasest[[#This Row],[autor_es]],autorest[autor_es],autorest[bio_la])</f>
        <v>Sacerdos Francogallicus, fratres Scholarium Christianorum fundator. Iuvenes praecipue pauperes educavit.</v>
      </c>
      <c r="J73" t="str">
        <f>_xlfn.XLOOKUP(frasest[[#This Row],[autor_es]],autorest[autor_es],autorest[codigo])</f>
        <v>la</v>
      </c>
      <c r="K73" t="str">
        <f>_xlfn.XLOOKUP(frasest[[#This Row],[autor_es]],autorest[autor_es],autorest[idioma_es])</f>
        <v>Latín</v>
      </c>
      <c r="L73" t="str">
        <f>_xlfn.XLOOKUP(frasest[[#This Row],[autor_es]],autorest[autor_es],autorest[idioma_la])</f>
        <v>Lingua Latina</v>
      </c>
      <c r="M73" t="str">
        <f>_xlfn.XLOOKUP(frasest[[#This Row],[autor_es]],autorest[autor_es],autorest[nacion_es])</f>
        <v>Francia</v>
      </c>
      <c r="N73" t="str">
        <f>_xlfn.XLOOKUP(frasest[[#This Row],[autor_es]],autorest[autor_es],autorest[nacion_la])</f>
        <v>Francia</v>
      </c>
      <c r="O73" t="str">
        <f>_xlfn.XLOOKUP(frasest[[#This Row],[autor_es]],autorest[autor_es],autorest[epoca_es])</f>
        <v>Edad Moderna</v>
      </c>
      <c r="P73" t="str">
        <f>_xlfn.XLOOKUP(frasest[[#This Row],[autor_es]],autorest[autor_es],autorest[epoca_la])</f>
        <v>Nova Aetas</v>
      </c>
      <c r="Q73" t="str">
        <f>_xlfn.XLOOKUP(frasest[[#This Row],[autor_es]],autorest[autor_es],autorest[imagen])</f>
        <v>https://i.ibb.co/20M9HWkV/lasalle.png</v>
      </c>
      <c r="R73">
        <f>_xlfn.XLOOKUP(frasest[[#This Row],[autor_es]],autorest[autor_es],autorest[imagen_atr])</f>
        <v>0</v>
      </c>
    </row>
    <row r="74" spans="1:18" ht="14.25">
      <c r="A74">
        <v>73</v>
      </c>
      <c r="B74" t="s">
        <v>264</v>
      </c>
      <c r="C74" t="s">
        <v>265</v>
      </c>
      <c r="D74" s="2" t="s">
        <v>266</v>
      </c>
      <c r="E74" t="s">
        <v>267</v>
      </c>
      <c r="G74" t="str">
        <f>_xlfn.XLOOKUP(frasest[[#This Row],[autor_es]],autorest[autor_es],autorest[autor_la])</f>
        <v>Proverbium Arabica</v>
      </c>
      <c r="H74" t="str">
        <f>_xlfn.XLOOKUP(frasest[[#This Row],[autor_es]],autorest[autor_es],autorest[bio_es])</f>
        <v>Proverbios tradicionales de la cultura árabe que transmiten valores de hospitalidad, honor, paciencia y sabiduría práctica.</v>
      </c>
      <c r="I74" t="str">
        <f>_xlfn.XLOOKUP(frasest[[#This Row],[autor_es]],autorest[autor_es],autorest[bio_la])</f>
        <v>Collectio sententiarum Arabicarum.</v>
      </c>
      <c r="J74" t="str">
        <f>_xlfn.XLOOKUP(frasest[[#This Row],[autor_es]],autorest[autor_es],autorest[codigo])</f>
        <v>ar</v>
      </c>
      <c r="K74" t="str">
        <f>_xlfn.XLOOKUP(frasest[[#This Row],[autor_es]],autorest[autor_es],autorest[idioma_es])</f>
        <v>Árabe</v>
      </c>
      <c r="L74" t="str">
        <f>_xlfn.XLOOKUP(frasest[[#This Row],[autor_es]],autorest[autor_es],autorest[idioma_la])</f>
        <v>Lingua Arabica</v>
      </c>
      <c r="M74" t="str">
        <f>_xlfn.XLOOKUP(frasest[[#This Row],[autor_es]],autorest[autor_es],autorest[nacion_es])</f>
        <v>Arabia Saudita</v>
      </c>
      <c r="N74" t="str">
        <f>_xlfn.XLOOKUP(frasest[[#This Row],[autor_es]],autorest[autor_es],autorest[nacion_la])</f>
        <v>Arabia Saudita</v>
      </c>
      <c r="O74" t="str">
        <f>_xlfn.XLOOKUP(frasest[[#This Row],[autor_es]],autorest[autor_es],autorest[epoca_es])</f>
        <v>Epoca Desconocida</v>
      </c>
      <c r="P74" t="str">
        <f>_xlfn.XLOOKUP(frasest[[#This Row],[autor_es]],autorest[autor_es],autorest[epoca_la])</f>
        <v>Epocha Ignota</v>
      </c>
      <c r="Q74" t="str">
        <f>_xlfn.XLOOKUP(frasest[[#This Row],[autor_es]],autorest[autor_es],autorest[imagen])</f>
        <v>https://i.ibb.co/1fdqG2fh/arabia.png</v>
      </c>
      <c r="R74">
        <f>_xlfn.XLOOKUP(frasest[[#This Row],[autor_es]],autorest[autor_es],autorest[imagen_atr])</f>
        <v>0</v>
      </c>
    </row>
    <row r="75" spans="1:18" ht="14.25">
      <c r="A75">
        <v>74</v>
      </c>
      <c r="B75" t="s">
        <v>268</v>
      </c>
      <c r="C75" t="s">
        <v>269</v>
      </c>
      <c r="D75" s="2" t="s">
        <v>270</v>
      </c>
      <c r="E75" t="s">
        <v>267</v>
      </c>
      <c r="G75" t="str">
        <f>_xlfn.XLOOKUP(frasest[[#This Row],[autor_es]],autorest[autor_es],autorest[autor_la])</f>
        <v>Proverbium Arabica</v>
      </c>
      <c r="H75" t="str">
        <f>_xlfn.XLOOKUP(frasest[[#This Row],[autor_es]],autorest[autor_es],autorest[bio_es])</f>
        <v>Proverbios tradicionales de la cultura árabe que transmiten valores de hospitalidad, honor, paciencia y sabiduría práctica.</v>
      </c>
      <c r="I75" t="str">
        <f>_xlfn.XLOOKUP(frasest[[#This Row],[autor_es]],autorest[autor_es],autorest[bio_la])</f>
        <v>Collectio sententiarum Arabicarum.</v>
      </c>
      <c r="J75" t="str">
        <f>_xlfn.XLOOKUP(frasest[[#This Row],[autor_es]],autorest[autor_es],autorest[codigo])</f>
        <v>ar</v>
      </c>
      <c r="K75" t="str">
        <f>_xlfn.XLOOKUP(frasest[[#This Row],[autor_es]],autorest[autor_es],autorest[idioma_es])</f>
        <v>Árabe</v>
      </c>
      <c r="L75" t="str">
        <f>_xlfn.XLOOKUP(frasest[[#This Row],[autor_es]],autorest[autor_es],autorest[idioma_la])</f>
        <v>Lingua Arabica</v>
      </c>
      <c r="M75" t="str">
        <f>_xlfn.XLOOKUP(frasest[[#This Row],[autor_es]],autorest[autor_es],autorest[nacion_es])</f>
        <v>Arabia Saudita</v>
      </c>
      <c r="N75" t="str">
        <f>_xlfn.XLOOKUP(frasest[[#This Row],[autor_es]],autorest[autor_es],autorest[nacion_la])</f>
        <v>Arabia Saudita</v>
      </c>
      <c r="O75" t="str">
        <f>_xlfn.XLOOKUP(frasest[[#This Row],[autor_es]],autorest[autor_es],autorest[epoca_es])</f>
        <v>Epoca Desconocida</v>
      </c>
      <c r="P75" t="str">
        <f>_xlfn.XLOOKUP(frasest[[#This Row],[autor_es]],autorest[autor_es],autorest[epoca_la])</f>
        <v>Epocha Ignota</v>
      </c>
      <c r="Q75" t="str">
        <f>_xlfn.XLOOKUP(frasest[[#This Row],[autor_es]],autorest[autor_es],autorest[imagen])</f>
        <v>https://i.ibb.co/1fdqG2fh/arabia.png</v>
      </c>
      <c r="R75">
        <f>_xlfn.XLOOKUP(frasest[[#This Row],[autor_es]],autorest[autor_es],autorest[imagen_atr])</f>
        <v>0</v>
      </c>
    </row>
    <row r="76" spans="1:18" ht="14.25">
      <c r="A76">
        <v>75</v>
      </c>
      <c r="B76" t="s">
        <v>271</v>
      </c>
      <c r="C76" t="s">
        <v>272</v>
      </c>
      <c r="D76" s="2" t="s">
        <v>273</v>
      </c>
      <c r="E76" t="s">
        <v>267</v>
      </c>
      <c r="G76" t="str">
        <f>_xlfn.XLOOKUP(frasest[[#This Row],[autor_es]],autorest[autor_es],autorest[autor_la])</f>
        <v>Proverbium Arabica</v>
      </c>
      <c r="H76" t="str">
        <f>_xlfn.XLOOKUP(frasest[[#This Row],[autor_es]],autorest[autor_es],autorest[bio_es])</f>
        <v>Proverbios tradicionales de la cultura árabe que transmiten valores de hospitalidad, honor, paciencia y sabiduría práctica.</v>
      </c>
      <c r="I76" t="str">
        <f>_xlfn.XLOOKUP(frasest[[#This Row],[autor_es]],autorest[autor_es],autorest[bio_la])</f>
        <v>Collectio sententiarum Arabicarum.</v>
      </c>
      <c r="J76" t="str">
        <f>_xlfn.XLOOKUP(frasest[[#This Row],[autor_es]],autorest[autor_es],autorest[codigo])</f>
        <v>ar</v>
      </c>
      <c r="K76" t="str">
        <f>_xlfn.XLOOKUP(frasest[[#This Row],[autor_es]],autorest[autor_es],autorest[idioma_es])</f>
        <v>Árabe</v>
      </c>
      <c r="L76" t="str">
        <f>_xlfn.XLOOKUP(frasest[[#This Row],[autor_es]],autorest[autor_es],autorest[idioma_la])</f>
        <v>Lingua Arabica</v>
      </c>
      <c r="M76" t="str">
        <f>_xlfn.XLOOKUP(frasest[[#This Row],[autor_es]],autorest[autor_es],autorest[nacion_es])</f>
        <v>Arabia Saudita</v>
      </c>
      <c r="N76" t="str">
        <f>_xlfn.XLOOKUP(frasest[[#This Row],[autor_es]],autorest[autor_es],autorest[nacion_la])</f>
        <v>Arabia Saudita</v>
      </c>
      <c r="O76" t="str">
        <f>_xlfn.XLOOKUP(frasest[[#This Row],[autor_es]],autorest[autor_es],autorest[epoca_es])</f>
        <v>Epoca Desconocida</v>
      </c>
      <c r="P76" t="str">
        <f>_xlfn.XLOOKUP(frasest[[#This Row],[autor_es]],autorest[autor_es],autorest[epoca_la])</f>
        <v>Epocha Ignota</v>
      </c>
      <c r="Q76" t="str">
        <f>_xlfn.XLOOKUP(frasest[[#This Row],[autor_es]],autorest[autor_es],autorest[imagen])</f>
        <v>https://i.ibb.co/1fdqG2fh/arabia.png</v>
      </c>
      <c r="R76">
        <f>_xlfn.XLOOKUP(frasest[[#This Row],[autor_es]],autorest[autor_es],autorest[imagen_atr])</f>
        <v>0</v>
      </c>
    </row>
    <row r="77" spans="1:18" ht="14.25">
      <c r="A77">
        <v>76</v>
      </c>
      <c r="B77" t="s">
        <v>274</v>
      </c>
      <c r="C77" t="s">
        <v>275</v>
      </c>
      <c r="D77" s="2" t="s">
        <v>276</v>
      </c>
      <c r="E77" t="s">
        <v>267</v>
      </c>
      <c r="G77" t="str">
        <f>_xlfn.XLOOKUP(frasest[[#This Row],[autor_es]],autorest[autor_es],autorest[autor_la])</f>
        <v>Proverbium Arabica</v>
      </c>
      <c r="H77" t="str">
        <f>_xlfn.XLOOKUP(frasest[[#This Row],[autor_es]],autorest[autor_es],autorest[bio_es])</f>
        <v>Proverbios tradicionales de la cultura árabe que transmiten valores de hospitalidad, honor, paciencia y sabiduría práctica.</v>
      </c>
      <c r="I77" t="str">
        <f>_xlfn.XLOOKUP(frasest[[#This Row],[autor_es]],autorest[autor_es],autorest[bio_la])</f>
        <v>Collectio sententiarum Arabicarum.</v>
      </c>
      <c r="J77" t="str">
        <f>_xlfn.XLOOKUP(frasest[[#This Row],[autor_es]],autorest[autor_es],autorest[codigo])</f>
        <v>ar</v>
      </c>
      <c r="K77" t="str">
        <f>_xlfn.XLOOKUP(frasest[[#This Row],[autor_es]],autorest[autor_es],autorest[idioma_es])</f>
        <v>Árabe</v>
      </c>
      <c r="L77" t="str">
        <f>_xlfn.XLOOKUP(frasest[[#This Row],[autor_es]],autorest[autor_es],autorest[idioma_la])</f>
        <v>Lingua Arabica</v>
      </c>
      <c r="M77" t="str">
        <f>_xlfn.XLOOKUP(frasest[[#This Row],[autor_es]],autorest[autor_es],autorest[nacion_es])</f>
        <v>Arabia Saudita</v>
      </c>
      <c r="N77" t="str">
        <f>_xlfn.XLOOKUP(frasest[[#This Row],[autor_es]],autorest[autor_es],autorest[nacion_la])</f>
        <v>Arabia Saudita</v>
      </c>
      <c r="O77" t="str">
        <f>_xlfn.XLOOKUP(frasest[[#This Row],[autor_es]],autorest[autor_es],autorest[epoca_es])</f>
        <v>Epoca Desconocida</v>
      </c>
      <c r="P77" t="str">
        <f>_xlfn.XLOOKUP(frasest[[#This Row],[autor_es]],autorest[autor_es],autorest[epoca_la])</f>
        <v>Epocha Ignota</v>
      </c>
      <c r="Q77" t="str">
        <f>_xlfn.XLOOKUP(frasest[[#This Row],[autor_es]],autorest[autor_es],autorest[imagen])</f>
        <v>https://i.ibb.co/1fdqG2fh/arabia.png</v>
      </c>
      <c r="R77">
        <f>_xlfn.XLOOKUP(frasest[[#This Row],[autor_es]],autorest[autor_es],autorest[imagen_atr])</f>
        <v>0</v>
      </c>
    </row>
    <row r="78" spans="1:18" ht="14.25">
      <c r="A78">
        <v>77</v>
      </c>
      <c r="B78" t="s">
        <v>277</v>
      </c>
      <c r="C78" t="s">
        <v>278</v>
      </c>
      <c r="D78" s="2" t="s">
        <v>279</v>
      </c>
      <c r="E78" t="s">
        <v>267</v>
      </c>
      <c r="G78" t="str">
        <f>_xlfn.XLOOKUP(frasest[[#This Row],[autor_es]],autorest[autor_es],autorest[autor_la])</f>
        <v>Proverbium Arabica</v>
      </c>
      <c r="H78" t="str">
        <f>_xlfn.XLOOKUP(frasest[[#This Row],[autor_es]],autorest[autor_es],autorest[bio_es])</f>
        <v>Proverbios tradicionales de la cultura árabe que transmiten valores de hospitalidad, honor, paciencia y sabiduría práctica.</v>
      </c>
      <c r="I78" t="str">
        <f>_xlfn.XLOOKUP(frasest[[#This Row],[autor_es]],autorest[autor_es],autorest[bio_la])</f>
        <v>Collectio sententiarum Arabicarum.</v>
      </c>
      <c r="J78" t="str">
        <f>_xlfn.XLOOKUP(frasest[[#This Row],[autor_es]],autorest[autor_es],autorest[codigo])</f>
        <v>ar</v>
      </c>
      <c r="K78" t="str">
        <f>_xlfn.XLOOKUP(frasest[[#This Row],[autor_es]],autorest[autor_es],autorest[idioma_es])</f>
        <v>Árabe</v>
      </c>
      <c r="L78" t="str">
        <f>_xlfn.XLOOKUP(frasest[[#This Row],[autor_es]],autorest[autor_es],autorest[idioma_la])</f>
        <v>Lingua Arabica</v>
      </c>
      <c r="M78" t="str">
        <f>_xlfn.XLOOKUP(frasest[[#This Row],[autor_es]],autorest[autor_es],autorest[nacion_es])</f>
        <v>Arabia Saudita</v>
      </c>
      <c r="N78" t="str">
        <f>_xlfn.XLOOKUP(frasest[[#This Row],[autor_es]],autorest[autor_es],autorest[nacion_la])</f>
        <v>Arabia Saudita</v>
      </c>
      <c r="O78" t="str">
        <f>_xlfn.XLOOKUP(frasest[[#This Row],[autor_es]],autorest[autor_es],autorest[epoca_es])</f>
        <v>Epoca Desconocida</v>
      </c>
      <c r="P78" t="str">
        <f>_xlfn.XLOOKUP(frasest[[#This Row],[autor_es]],autorest[autor_es],autorest[epoca_la])</f>
        <v>Epocha Ignota</v>
      </c>
      <c r="Q78" t="str">
        <f>_xlfn.XLOOKUP(frasest[[#This Row],[autor_es]],autorest[autor_es],autorest[imagen])</f>
        <v>https://i.ibb.co/1fdqG2fh/arabia.png</v>
      </c>
      <c r="R78">
        <f>_xlfn.XLOOKUP(frasest[[#This Row],[autor_es]],autorest[autor_es],autorest[imagen_atr])</f>
        <v>0</v>
      </c>
    </row>
    <row r="79" spans="1:18" ht="14.25">
      <c r="A79">
        <v>78</v>
      </c>
      <c r="B79" t="s">
        <v>280</v>
      </c>
      <c r="C79" t="s">
        <v>281</v>
      </c>
      <c r="D79" s="2" t="s">
        <v>282</v>
      </c>
      <c r="E79" t="s">
        <v>267</v>
      </c>
      <c r="G79" t="str">
        <f>_xlfn.XLOOKUP(frasest[[#This Row],[autor_es]],autorest[autor_es],autorest[autor_la])</f>
        <v>Proverbium Arabica</v>
      </c>
      <c r="H79" t="str">
        <f>_xlfn.XLOOKUP(frasest[[#This Row],[autor_es]],autorest[autor_es],autorest[bio_es])</f>
        <v>Proverbios tradicionales de la cultura árabe que transmiten valores de hospitalidad, honor, paciencia y sabiduría práctica.</v>
      </c>
      <c r="I79" t="str">
        <f>_xlfn.XLOOKUP(frasest[[#This Row],[autor_es]],autorest[autor_es],autorest[bio_la])</f>
        <v>Collectio sententiarum Arabicarum.</v>
      </c>
      <c r="J79" t="str">
        <f>_xlfn.XLOOKUP(frasest[[#This Row],[autor_es]],autorest[autor_es],autorest[codigo])</f>
        <v>ar</v>
      </c>
      <c r="K79" t="str">
        <f>_xlfn.XLOOKUP(frasest[[#This Row],[autor_es]],autorest[autor_es],autorest[idioma_es])</f>
        <v>Árabe</v>
      </c>
      <c r="L79" t="str">
        <f>_xlfn.XLOOKUP(frasest[[#This Row],[autor_es]],autorest[autor_es],autorest[idioma_la])</f>
        <v>Lingua Arabica</v>
      </c>
      <c r="M79" t="str">
        <f>_xlfn.XLOOKUP(frasest[[#This Row],[autor_es]],autorest[autor_es],autorest[nacion_es])</f>
        <v>Arabia Saudita</v>
      </c>
      <c r="N79" t="str">
        <f>_xlfn.XLOOKUP(frasest[[#This Row],[autor_es]],autorest[autor_es],autorest[nacion_la])</f>
        <v>Arabia Saudita</v>
      </c>
      <c r="O79" t="str">
        <f>_xlfn.XLOOKUP(frasest[[#This Row],[autor_es]],autorest[autor_es],autorest[epoca_es])</f>
        <v>Epoca Desconocida</v>
      </c>
      <c r="P79" t="str">
        <f>_xlfn.XLOOKUP(frasest[[#This Row],[autor_es]],autorest[autor_es],autorest[epoca_la])</f>
        <v>Epocha Ignota</v>
      </c>
      <c r="Q79" t="str">
        <f>_xlfn.XLOOKUP(frasest[[#This Row],[autor_es]],autorest[autor_es],autorest[imagen])</f>
        <v>https://i.ibb.co/1fdqG2fh/arabia.png</v>
      </c>
      <c r="R79">
        <f>_xlfn.XLOOKUP(frasest[[#This Row],[autor_es]],autorest[autor_es],autorest[imagen_atr])</f>
        <v>0</v>
      </c>
    </row>
    <row r="80" spans="1:18" ht="14.25">
      <c r="A80">
        <v>79</v>
      </c>
      <c r="B80" t="s">
        <v>283</v>
      </c>
      <c r="C80" t="s">
        <v>284</v>
      </c>
      <c r="D80" s="2" t="s">
        <v>285</v>
      </c>
      <c r="E80" t="s">
        <v>267</v>
      </c>
      <c r="G80" t="str">
        <f>_xlfn.XLOOKUP(frasest[[#This Row],[autor_es]],autorest[autor_es],autorest[autor_la])</f>
        <v>Proverbium Arabica</v>
      </c>
      <c r="H80" t="str">
        <f>_xlfn.XLOOKUP(frasest[[#This Row],[autor_es]],autorest[autor_es],autorest[bio_es])</f>
        <v>Proverbios tradicionales de la cultura árabe que transmiten valores de hospitalidad, honor, paciencia y sabiduría práctica.</v>
      </c>
      <c r="I80" t="str">
        <f>_xlfn.XLOOKUP(frasest[[#This Row],[autor_es]],autorest[autor_es],autorest[bio_la])</f>
        <v>Collectio sententiarum Arabicarum.</v>
      </c>
      <c r="J80" t="str">
        <f>_xlfn.XLOOKUP(frasest[[#This Row],[autor_es]],autorest[autor_es],autorest[codigo])</f>
        <v>ar</v>
      </c>
      <c r="K80" t="str">
        <f>_xlfn.XLOOKUP(frasest[[#This Row],[autor_es]],autorest[autor_es],autorest[idioma_es])</f>
        <v>Árabe</v>
      </c>
      <c r="L80" t="str">
        <f>_xlfn.XLOOKUP(frasest[[#This Row],[autor_es]],autorest[autor_es],autorest[idioma_la])</f>
        <v>Lingua Arabica</v>
      </c>
      <c r="M80" t="str">
        <f>_xlfn.XLOOKUP(frasest[[#This Row],[autor_es]],autorest[autor_es],autorest[nacion_es])</f>
        <v>Arabia Saudita</v>
      </c>
      <c r="N80" t="str">
        <f>_xlfn.XLOOKUP(frasest[[#This Row],[autor_es]],autorest[autor_es],autorest[nacion_la])</f>
        <v>Arabia Saudita</v>
      </c>
      <c r="O80" t="str">
        <f>_xlfn.XLOOKUP(frasest[[#This Row],[autor_es]],autorest[autor_es],autorest[epoca_es])</f>
        <v>Epoca Desconocida</v>
      </c>
      <c r="P80" t="str">
        <f>_xlfn.XLOOKUP(frasest[[#This Row],[autor_es]],autorest[autor_es],autorest[epoca_la])</f>
        <v>Epocha Ignota</v>
      </c>
      <c r="Q80" t="str">
        <f>_xlfn.XLOOKUP(frasest[[#This Row],[autor_es]],autorest[autor_es],autorest[imagen])</f>
        <v>https://i.ibb.co/1fdqG2fh/arabia.png</v>
      </c>
      <c r="R80">
        <f>_xlfn.XLOOKUP(frasest[[#This Row],[autor_es]],autorest[autor_es],autorest[imagen_atr])</f>
        <v>0</v>
      </c>
    </row>
    <row r="81" spans="1:18" ht="14.25">
      <c r="A81">
        <v>80</v>
      </c>
      <c r="B81" t="s">
        <v>286</v>
      </c>
      <c r="C81" t="s">
        <v>287</v>
      </c>
      <c r="D81" s="2" t="s">
        <v>288</v>
      </c>
      <c r="E81" t="s">
        <v>267</v>
      </c>
      <c r="G81" t="str">
        <f>_xlfn.XLOOKUP(frasest[[#This Row],[autor_es]],autorest[autor_es],autorest[autor_la])</f>
        <v>Proverbium Arabica</v>
      </c>
      <c r="H81" t="str">
        <f>_xlfn.XLOOKUP(frasest[[#This Row],[autor_es]],autorest[autor_es],autorest[bio_es])</f>
        <v>Proverbios tradicionales de la cultura árabe que transmiten valores de hospitalidad, honor, paciencia y sabiduría práctica.</v>
      </c>
      <c r="I81" t="str">
        <f>_xlfn.XLOOKUP(frasest[[#This Row],[autor_es]],autorest[autor_es],autorest[bio_la])</f>
        <v>Collectio sententiarum Arabicarum.</v>
      </c>
      <c r="J81" t="str">
        <f>_xlfn.XLOOKUP(frasest[[#This Row],[autor_es]],autorest[autor_es],autorest[codigo])</f>
        <v>ar</v>
      </c>
      <c r="K81" t="str">
        <f>_xlfn.XLOOKUP(frasest[[#This Row],[autor_es]],autorest[autor_es],autorest[idioma_es])</f>
        <v>Árabe</v>
      </c>
      <c r="L81" t="str">
        <f>_xlfn.XLOOKUP(frasest[[#This Row],[autor_es]],autorest[autor_es],autorest[idioma_la])</f>
        <v>Lingua Arabica</v>
      </c>
      <c r="M81" t="str">
        <f>_xlfn.XLOOKUP(frasest[[#This Row],[autor_es]],autorest[autor_es],autorest[nacion_es])</f>
        <v>Arabia Saudita</v>
      </c>
      <c r="N81" t="str">
        <f>_xlfn.XLOOKUP(frasest[[#This Row],[autor_es]],autorest[autor_es],autorest[nacion_la])</f>
        <v>Arabia Saudita</v>
      </c>
      <c r="O81" t="str">
        <f>_xlfn.XLOOKUP(frasest[[#This Row],[autor_es]],autorest[autor_es],autorest[epoca_es])</f>
        <v>Epoca Desconocida</v>
      </c>
      <c r="P81" t="str">
        <f>_xlfn.XLOOKUP(frasest[[#This Row],[autor_es]],autorest[autor_es],autorest[epoca_la])</f>
        <v>Epocha Ignota</v>
      </c>
      <c r="Q81" t="str">
        <f>_xlfn.XLOOKUP(frasest[[#This Row],[autor_es]],autorest[autor_es],autorest[imagen])</f>
        <v>https://i.ibb.co/1fdqG2fh/arabia.png</v>
      </c>
      <c r="R81">
        <f>_xlfn.XLOOKUP(frasest[[#This Row],[autor_es]],autorest[autor_es],autorest[imagen_atr])</f>
        <v>0</v>
      </c>
    </row>
    <row r="82" spans="1:18" ht="14.25">
      <c r="A82">
        <v>81</v>
      </c>
      <c r="B82" t="s">
        <v>289</v>
      </c>
      <c r="C82" t="s">
        <v>290</v>
      </c>
      <c r="D82" s="2" t="s">
        <v>291</v>
      </c>
      <c r="E82" t="s">
        <v>267</v>
      </c>
      <c r="G82" t="str">
        <f>_xlfn.XLOOKUP(frasest[[#This Row],[autor_es]],autorest[autor_es],autorest[autor_la])</f>
        <v>Proverbium Arabica</v>
      </c>
      <c r="H82" t="str">
        <f>_xlfn.XLOOKUP(frasest[[#This Row],[autor_es]],autorest[autor_es],autorest[bio_es])</f>
        <v>Proverbios tradicionales de la cultura árabe que transmiten valores de hospitalidad, honor, paciencia y sabiduría práctica.</v>
      </c>
      <c r="I82" t="str">
        <f>_xlfn.XLOOKUP(frasest[[#This Row],[autor_es]],autorest[autor_es],autorest[bio_la])</f>
        <v>Collectio sententiarum Arabicarum.</v>
      </c>
      <c r="J82" t="str">
        <f>_xlfn.XLOOKUP(frasest[[#This Row],[autor_es]],autorest[autor_es],autorest[codigo])</f>
        <v>ar</v>
      </c>
      <c r="K82" t="str">
        <f>_xlfn.XLOOKUP(frasest[[#This Row],[autor_es]],autorest[autor_es],autorest[idioma_es])</f>
        <v>Árabe</v>
      </c>
      <c r="L82" t="str">
        <f>_xlfn.XLOOKUP(frasest[[#This Row],[autor_es]],autorest[autor_es],autorest[idioma_la])</f>
        <v>Lingua Arabica</v>
      </c>
      <c r="M82" t="str">
        <f>_xlfn.XLOOKUP(frasest[[#This Row],[autor_es]],autorest[autor_es],autorest[nacion_es])</f>
        <v>Arabia Saudita</v>
      </c>
      <c r="N82" t="str">
        <f>_xlfn.XLOOKUP(frasest[[#This Row],[autor_es]],autorest[autor_es],autorest[nacion_la])</f>
        <v>Arabia Saudita</v>
      </c>
      <c r="O82" t="str">
        <f>_xlfn.XLOOKUP(frasest[[#This Row],[autor_es]],autorest[autor_es],autorest[epoca_es])</f>
        <v>Epoca Desconocida</v>
      </c>
      <c r="P82" t="str">
        <f>_xlfn.XLOOKUP(frasest[[#This Row],[autor_es]],autorest[autor_es],autorest[epoca_la])</f>
        <v>Epocha Ignota</v>
      </c>
      <c r="Q82" t="str">
        <f>_xlfn.XLOOKUP(frasest[[#This Row],[autor_es]],autorest[autor_es],autorest[imagen])</f>
        <v>https://i.ibb.co/1fdqG2fh/arabia.png</v>
      </c>
      <c r="R82">
        <f>_xlfn.XLOOKUP(frasest[[#This Row],[autor_es]],autorest[autor_es],autorest[imagen_atr])</f>
        <v>0</v>
      </c>
    </row>
    <row r="83" spans="1:18" ht="14.25">
      <c r="A83">
        <v>82</v>
      </c>
      <c r="B83" t="s">
        <v>292</v>
      </c>
      <c r="C83" t="s">
        <v>293</v>
      </c>
      <c r="D83" s="2" t="s">
        <v>294</v>
      </c>
      <c r="E83" t="s">
        <v>267</v>
      </c>
      <c r="G83" t="str">
        <f>_xlfn.XLOOKUP(frasest[[#This Row],[autor_es]],autorest[autor_es],autorest[autor_la])</f>
        <v>Proverbium Arabica</v>
      </c>
      <c r="H83" t="str">
        <f>_xlfn.XLOOKUP(frasest[[#This Row],[autor_es]],autorest[autor_es],autorest[bio_es])</f>
        <v>Proverbios tradicionales de la cultura árabe que transmiten valores de hospitalidad, honor, paciencia y sabiduría práctica.</v>
      </c>
      <c r="I83" t="str">
        <f>_xlfn.XLOOKUP(frasest[[#This Row],[autor_es]],autorest[autor_es],autorest[bio_la])</f>
        <v>Collectio sententiarum Arabicarum.</v>
      </c>
      <c r="J83" t="str">
        <f>_xlfn.XLOOKUP(frasest[[#This Row],[autor_es]],autorest[autor_es],autorest[codigo])</f>
        <v>ar</v>
      </c>
      <c r="K83" t="str">
        <f>_xlfn.XLOOKUP(frasest[[#This Row],[autor_es]],autorest[autor_es],autorest[idioma_es])</f>
        <v>Árabe</v>
      </c>
      <c r="L83" t="str">
        <f>_xlfn.XLOOKUP(frasest[[#This Row],[autor_es]],autorest[autor_es],autorest[idioma_la])</f>
        <v>Lingua Arabica</v>
      </c>
      <c r="M83" t="str">
        <f>_xlfn.XLOOKUP(frasest[[#This Row],[autor_es]],autorest[autor_es],autorest[nacion_es])</f>
        <v>Arabia Saudita</v>
      </c>
      <c r="N83" t="str">
        <f>_xlfn.XLOOKUP(frasest[[#This Row],[autor_es]],autorest[autor_es],autorest[nacion_la])</f>
        <v>Arabia Saudita</v>
      </c>
      <c r="O83" t="str">
        <f>_xlfn.XLOOKUP(frasest[[#This Row],[autor_es]],autorest[autor_es],autorest[epoca_es])</f>
        <v>Epoca Desconocida</v>
      </c>
      <c r="P83" t="str">
        <f>_xlfn.XLOOKUP(frasest[[#This Row],[autor_es]],autorest[autor_es],autorest[epoca_la])</f>
        <v>Epocha Ignota</v>
      </c>
      <c r="Q83" t="str">
        <f>_xlfn.XLOOKUP(frasest[[#This Row],[autor_es]],autorest[autor_es],autorest[imagen])</f>
        <v>https://i.ibb.co/1fdqG2fh/arabia.png</v>
      </c>
      <c r="R83">
        <f>_xlfn.XLOOKUP(frasest[[#This Row],[autor_es]],autorest[autor_es],autorest[imagen_atr])</f>
        <v>0</v>
      </c>
    </row>
    <row r="84" spans="1:18" ht="14.25">
      <c r="A84">
        <v>83</v>
      </c>
      <c r="B84" t="s">
        <v>295</v>
      </c>
      <c r="C84" t="s">
        <v>296</v>
      </c>
      <c r="D84" s="2" t="s">
        <v>297</v>
      </c>
      <c r="E84" t="s">
        <v>298</v>
      </c>
      <c r="G84" t="str">
        <f>_xlfn.XLOOKUP(frasest[[#This Row],[autor_es]],autorest[autor_es],autorest[autor_la])</f>
        <v>Proverbium Indica</v>
      </c>
      <c r="H84" t="str">
        <f>_xlfn.XLOOKUP(frasest[[#This Row],[autor_es]],autorest[autor_es],autorest[bio_es])</f>
        <v>Dichos tradicionales de la India que reflejan principios espirituales, filosóficos y morales influidos por el hinduismo y las tradiciones védicas.</v>
      </c>
      <c r="I84" t="str">
        <f>_xlfn.XLOOKUP(frasest[[#This Row],[autor_es]],autorest[autor_es],autorest[bio_la])</f>
        <v>Collectio sententiarum Indicarum.</v>
      </c>
      <c r="J84" t="str">
        <f>_xlfn.XLOOKUP(frasest[[#This Row],[autor_es]],autorest[autor_es],autorest[codigo])</f>
        <v>hi</v>
      </c>
      <c r="K84" t="str">
        <f>_xlfn.XLOOKUP(frasest[[#This Row],[autor_es]],autorest[autor_es],autorest[idioma_es])</f>
        <v>Hindi</v>
      </c>
      <c r="L84" t="str">
        <f>_xlfn.XLOOKUP(frasest[[#This Row],[autor_es]],autorest[autor_es],autorest[idioma_la])</f>
        <v>Lingua Indica</v>
      </c>
      <c r="M84" t="str">
        <f>_xlfn.XLOOKUP(frasest[[#This Row],[autor_es]],autorest[autor_es],autorest[nacion_es])</f>
        <v>India</v>
      </c>
      <c r="N84" t="str">
        <f>_xlfn.XLOOKUP(frasest[[#This Row],[autor_es]],autorest[autor_es],autorest[nacion_la])</f>
        <v>India</v>
      </c>
      <c r="O84" t="str">
        <f>_xlfn.XLOOKUP(frasest[[#This Row],[autor_es]],autorest[autor_es],autorest[epoca_es])</f>
        <v>Epoca Desconocida</v>
      </c>
      <c r="P84" t="str">
        <f>_xlfn.XLOOKUP(frasest[[#This Row],[autor_es]],autorest[autor_es],autorest[epoca_la])</f>
        <v>Epocha Ignota</v>
      </c>
      <c r="Q84" t="str">
        <f>_xlfn.XLOOKUP(frasest[[#This Row],[autor_es]],autorest[autor_es],autorest[imagen])</f>
        <v>https://i.ibb.co/84cDNBHX/india.png</v>
      </c>
      <c r="R84">
        <f>_xlfn.XLOOKUP(frasest[[#This Row],[autor_es]],autorest[autor_es],autorest[imagen_atr])</f>
        <v>0</v>
      </c>
    </row>
    <row r="85" spans="1:18" ht="14.25">
      <c r="A85">
        <v>84</v>
      </c>
      <c r="B85" t="s">
        <v>299</v>
      </c>
      <c r="C85" t="s">
        <v>300</v>
      </c>
      <c r="D85" s="2" t="s">
        <v>301</v>
      </c>
      <c r="E85" t="s">
        <v>298</v>
      </c>
      <c r="G85" t="str">
        <f>_xlfn.XLOOKUP(frasest[[#This Row],[autor_es]],autorest[autor_es],autorest[autor_la])</f>
        <v>Proverbium Indica</v>
      </c>
      <c r="H85" t="str">
        <f>_xlfn.XLOOKUP(frasest[[#This Row],[autor_es]],autorest[autor_es],autorest[bio_es])</f>
        <v>Dichos tradicionales de la India que reflejan principios espirituales, filosóficos y morales influidos por el hinduismo y las tradiciones védicas.</v>
      </c>
      <c r="I85" t="str">
        <f>_xlfn.XLOOKUP(frasest[[#This Row],[autor_es]],autorest[autor_es],autorest[bio_la])</f>
        <v>Collectio sententiarum Indicarum.</v>
      </c>
      <c r="J85" t="str">
        <f>_xlfn.XLOOKUP(frasest[[#This Row],[autor_es]],autorest[autor_es],autorest[codigo])</f>
        <v>hi</v>
      </c>
      <c r="K85" t="str">
        <f>_xlfn.XLOOKUP(frasest[[#This Row],[autor_es]],autorest[autor_es],autorest[idioma_es])</f>
        <v>Hindi</v>
      </c>
      <c r="L85" t="str">
        <f>_xlfn.XLOOKUP(frasest[[#This Row],[autor_es]],autorest[autor_es],autorest[idioma_la])</f>
        <v>Lingua Indica</v>
      </c>
      <c r="M85" t="str">
        <f>_xlfn.XLOOKUP(frasest[[#This Row],[autor_es]],autorest[autor_es],autorest[nacion_es])</f>
        <v>India</v>
      </c>
      <c r="N85" t="str">
        <f>_xlfn.XLOOKUP(frasest[[#This Row],[autor_es]],autorest[autor_es],autorest[nacion_la])</f>
        <v>India</v>
      </c>
      <c r="O85" t="str">
        <f>_xlfn.XLOOKUP(frasest[[#This Row],[autor_es]],autorest[autor_es],autorest[epoca_es])</f>
        <v>Epoca Desconocida</v>
      </c>
      <c r="P85" t="str">
        <f>_xlfn.XLOOKUP(frasest[[#This Row],[autor_es]],autorest[autor_es],autorest[epoca_la])</f>
        <v>Epocha Ignota</v>
      </c>
      <c r="Q85" t="str">
        <f>_xlfn.XLOOKUP(frasest[[#This Row],[autor_es]],autorest[autor_es],autorest[imagen])</f>
        <v>https://i.ibb.co/84cDNBHX/india.png</v>
      </c>
      <c r="R85">
        <f>_xlfn.XLOOKUP(frasest[[#This Row],[autor_es]],autorest[autor_es],autorest[imagen_atr])</f>
        <v>0</v>
      </c>
    </row>
    <row r="86" spans="1:18" ht="14.25">
      <c r="A86">
        <v>85</v>
      </c>
      <c r="B86" t="s">
        <v>302</v>
      </c>
      <c r="C86" t="s">
        <v>303</v>
      </c>
      <c r="D86" s="2" t="s">
        <v>304</v>
      </c>
      <c r="E86" t="s">
        <v>298</v>
      </c>
      <c r="G86" t="str">
        <f>_xlfn.XLOOKUP(frasest[[#This Row],[autor_es]],autorest[autor_es],autorest[autor_la])</f>
        <v>Proverbium Indica</v>
      </c>
      <c r="H86" t="str">
        <f>_xlfn.XLOOKUP(frasest[[#This Row],[autor_es]],autorest[autor_es],autorest[bio_es])</f>
        <v>Dichos tradicionales de la India que reflejan principios espirituales, filosóficos y morales influidos por el hinduismo y las tradiciones védicas.</v>
      </c>
      <c r="I86" t="str">
        <f>_xlfn.XLOOKUP(frasest[[#This Row],[autor_es]],autorest[autor_es],autorest[bio_la])</f>
        <v>Collectio sententiarum Indicarum.</v>
      </c>
      <c r="J86" t="str">
        <f>_xlfn.XLOOKUP(frasest[[#This Row],[autor_es]],autorest[autor_es],autorest[codigo])</f>
        <v>hi</v>
      </c>
      <c r="K86" t="str">
        <f>_xlfn.XLOOKUP(frasest[[#This Row],[autor_es]],autorest[autor_es],autorest[idioma_es])</f>
        <v>Hindi</v>
      </c>
      <c r="L86" t="str">
        <f>_xlfn.XLOOKUP(frasest[[#This Row],[autor_es]],autorest[autor_es],autorest[idioma_la])</f>
        <v>Lingua Indica</v>
      </c>
      <c r="M86" t="str">
        <f>_xlfn.XLOOKUP(frasest[[#This Row],[autor_es]],autorest[autor_es],autorest[nacion_es])</f>
        <v>India</v>
      </c>
      <c r="N86" t="str">
        <f>_xlfn.XLOOKUP(frasest[[#This Row],[autor_es]],autorest[autor_es],autorest[nacion_la])</f>
        <v>India</v>
      </c>
      <c r="O86" t="str">
        <f>_xlfn.XLOOKUP(frasest[[#This Row],[autor_es]],autorest[autor_es],autorest[epoca_es])</f>
        <v>Epoca Desconocida</v>
      </c>
      <c r="P86" t="str">
        <f>_xlfn.XLOOKUP(frasest[[#This Row],[autor_es]],autorest[autor_es],autorest[epoca_la])</f>
        <v>Epocha Ignota</v>
      </c>
      <c r="Q86" t="str">
        <f>_xlfn.XLOOKUP(frasest[[#This Row],[autor_es]],autorest[autor_es],autorest[imagen])</f>
        <v>https://i.ibb.co/84cDNBHX/india.png</v>
      </c>
      <c r="R86">
        <f>_xlfn.XLOOKUP(frasest[[#This Row],[autor_es]],autorest[autor_es],autorest[imagen_atr])</f>
        <v>0</v>
      </c>
    </row>
    <row r="87" spans="1:18" ht="14.25">
      <c r="A87">
        <v>86</v>
      </c>
      <c r="B87" t="s">
        <v>305</v>
      </c>
      <c r="C87" t="s">
        <v>306</v>
      </c>
      <c r="D87" s="2" t="s">
        <v>307</v>
      </c>
      <c r="E87" t="s">
        <v>298</v>
      </c>
      <c r="G87" t="str">
        <f>_xlfn.XLOOKUP(frasest[[#This Row],[autor_es]],autorest[autor_es],autorest[autor_la])</f>
        <v>Proverbium Indica</v>
      </c>
      <c r="H87" t="str">
        <f>_xlfn.XLOOKUP(frasest[[#This Row],[autor_es]],autorest[autor_es],autorest[bio_es])</f>
        <v>Dichos tradicionales de la India que reflejan principios espirituales, filosóficos y morales influidos por el hinduismo y las tradiciones védicas.</v>
      </c>
      <c r="I87" t="str">
        <f>_xlfn.XLOOKUP(frasest[[#This Row],[autor_es]],autorest[autor_es],autorest[bio_la])</f>
        <v>Collectio sententiarum Indicarum.</v>
      </c>
      <c r="J87" t="str">
        <f>_xlfn.XLOOKUP(frasest[[#This Row],[autor_es]],autorest[autor_es],autorest[codigo])</f>
        <v>hi</v>
      </c>
      <c r="K87" t="str">
        <f>_xlfn.XLOOKUP(frasest[[#This Row],[autor_es]],autorest[autor_es],autorest[idioma_es])</f>
        <v>Hindi</v>
      </c>
      <c r="L87" t="str">
        <f>_xlfn.XLOOKUP(frasest[[#This Row],[autor_es]],autorest[autor_es],autorest[idioma_la])</f>
        <v>Lingua Indica</v>
      </c>
      <c r="M87" t="str">
        <f>_xlfn.XLOOKUP(frasest[[#This Row],[autor_es]],autorest[autor_es],autorest[nacion_es])</f>
        <v>India</v>
      </c>
      <c r="N87" t="str">
        <f>_xlfn.XLOOKUP(frasest[[#This Row],[autor_es]],autorest[autor_es],autorest[nacion_la])</f>
        <v>India</v>
      </c>
      <c r="O87" t="str">
        <f>_xlfn.XLOOKUP(frasest[[#This Row],[autor_es]],autorest[autor_es],autorest[epoca_es])</f>
        <v>Epoca Desconocida</v>
      </c>
      <c r="P87" t="str">
        <f>_xlfn.XLOOKUP(frasest[[#This Row],[autor_es]],autorest[autor_es],autorest[epoca_la])</f>
        <v>Epocha Ignota</v>
      </c>
      <c r="Q87" t="str">
        <f>_xlfn.XLOOKUP(frasest[[#This Row],[autor_es]],autorest[autor_es],autorest[imagen])</f>
        <v>https://i.ibb.co/84cDNBHX/india.png</v>
      </c>
      <c r="R87">
        <f>_xlfn.XLOOKUP(frasest[[#This Row],[autor_es]],autorest[autor_es],autorest[imagen_atr])</f>
        <v>0</v>
      </c>
    </row>
    <row r="88" spans="1:18" ht="14.25">
      <c r="A88">
        <v>87</v>
      </c>
      <c r="B88" t="s">
        <v>308</v>
      </c>
      <c r="C88" t="s">
        <v>309</v>
      </c>
      <c r="D88" s="2" t="s">
        <v>310</v>
      </c>
      <c r="E88" t="s">
        <v>298</v>
      </c>
      <c r="G88" t="str">
        <f>_xlfn.XLOOKUP(frasest[[#This Row],[autor_es]],autorest[autor_es],autorest[autor_la])</f>
        <v>Proverbium Indica</v>
      </c>
      <c r="H88" t="str">
        <f>_xlfn.XLOOKUP(frasest[[#This Row],[autor_es]],autorest[autor_es],autorest[bio_es])</f>
        <v>Dichos tradicionales de la India que reflejan principios espirituales, filosóficos y morales influidos por el hinduismo y las tradiciones védicas.</v>
      </c>
      <c r="I88" t="str">
        <f>_xlfn.XLOOKUP(frasest[[#This Row],[autor_es]],autorest[autor_es],autorest[bio_la])</f>
        <v>Collectio sententiarum Indicarum.</v>
      </c>
      <c r="J88" t="str">
        <f>_xlfn.XLOOKUP(frasest[[#This Row],[autor_es]],autorest[autor_es],autorest[codigo])</f>
        <v>hi</v>
      </c>
      <c r="K88" t="str">
        <f>_xlfn.XLOOKUP(frasest[[#This Row],[autor_es]],autorest[autor_es],autorest[idioma_es])</f>
        <v>Hindi</v>
      </c>
      <c r="L88" t="str">
        <f>_xlfn.XLOOKUP(frasest[[#This Row],[autor_es]],autorest[autor_es],autorest[idioma_la])</f>
        <v>Lingua Indica</v>
      </c>
      <c r="M88" t="str">
        <f>_xlfn.XLOOKUP(frasest[[#This Row],[autor_es]],autorest[autor_es],autorest[nacion_es])</f>
        <v>India</v>
      </c>
      <c r="N88" t="str">
        <f>_xlfn.XLOOKUP(frasest[[#This Row],[autor_es]],autorest[autor_es],autorest[nacion_la])</f>
        <v>India</v>
      </c>
      <c r="O88" t="str">
        <f>_xlfn.XLOOKUP(frasest[[#This Row],[autor_es]],autorest[autor_es],autorest[epoca_es])</f>
        <v>Epoca Desconocida</v>
      </c>
      <c r="P88" t="str">
        <f>_xlfn.XLOOKUP(frasest[[#This Row],[autor_es]],autorest[autor_es],autorest[epoca_la])</f>
        <v>Epocha Ignota</v>
      </c>
      <c r="Q88" t="str">
        <f>_xlfn.XLOOKUP(frasest[[#This Row],[autor_es]],autorest[autor_es],autorest[imagen])</f>
        <v>https://i.ibb.co/84cDNBHX/india.png</v>
      </c>
      <c r="R88">
        <f>_xlfn.XLOOKUP(frasest[[#This Row],[autor_es]],autorest[autor_es],autorest[imagen_atr])</f>
        <v>0</v>
      </c>
    </row>
    <row r="89" spans="1:18" ht="14.25">
      <c r="A89">
        <v>88</v>
      </c>
      <c r="B89" t="s">
        <v>311</v>
      </c>
      <c r="C89" t="s">
        <v>312</v>
      </c>
      <c r="D89" s="2" t="s">
        <v>313</v>
      </c>
      <c r="E89" t="s">
        <v>298</v>
      </c>
      <c r="G89" t="str">
        <f>_xlfn.XLOOKUP(frasest[[#This Row],[autor_es]],autorest[autor_es],autorest[autor_la])</f>
        <v>Proverbium Indica</v>
      </c>
      <c r="H89" t="str">
        <f>_xlfn.XLOOKUP(frasest[[#This Row],[autor_es]],autorest[autor_es],autorest[bio_es])</f>
        <v>Dichos tradicionales de la India que reflejan principios espirituales, filosóficos y morales influidos por el hinduismo y las tradiciones védicas.</v>
      </c>
      <c r="I89" t="str">
        <f>_xlfn.XLOOKUP(frasest[[#This Row],[autor_es]],autorest[autor_es],autorest[bio_la])</f>
        <v>Collectio sententiarum Indicarum.</v>
      </c>
      <c r="J89" t="str">
        <f>_xlfn.XLOOKUP(frasest[[#This Row],[autor_es]],autorest[autor_es],autorest[codigo])</f>
        <v>hi</v>
      </c>
      <c r="K89" t="str">
        <f>_xlfn.XLOOKUP(frasest[[#This Row],[autor_es]],autorest[autor_es],autorest[idioma_es])</f>
        <v>Hindi</v>
      </c>
      <c r="L89" t="str">
        <f>_xlfn.XLOOKUP(frasest[[#This Row],[autor_es]],autorest[autor_es],autorest[idioma_la])</f>
        <v>Lingua Indica</v>
      </c>
      <c r="M89" t="str">
        <f>_xlfn.XLOOKUP(frasest[[#This Row],[autor_es]],autorest[autor_es],autorest[nacion_es])</f>
        <v>India</v>
      </c>
      <c r="N89" t="str">
        <f>_xlfn.XLOOKUP(frasest[[#This Row],[autor_es]],autorest[autor_es],autorest[nacion_la])</f>
        <v>India</v>
      </c>
      <c r="O89" t="str">
        <f>_xlfn.XLOOKUP(frasest[[#This Row],[autor_es]],autorest[autor_es],autorest[epoca_es])</f>
        <v>Epoca Desconocida</v>
      </c>
      <c r="P89" t="str">
        <f>_xlfn.XLOOKUP(frasest[[#This Row],[autor_es]],autorest[autor_es],autorest[epoca_la])</f>
        <v>Epocha Ignota</v>
      </c>
      <c r="Q89" t="str">
        <f>_xlfn.XLOOKUP(frasest[[#This Row],[autor_es]],autorest[autor_es],autorest[imagen])</f>
        <v>https://i.ibb.co/84cDNBHX/india.png</v>
      </c>
      <c r="R89">
        <f>_xlfn.XLOOKUP(frasest[[#This Row],[autor_es]],autorest[autor_es],autorest[imagen_atr])</f>
        <v>0</v>
      </c>
    </row>
    <row r="90" spans="1:18" ht="14.25">
      <c r="A90">
        <v>89</v>
      </c>
      <c r="B90" t="s">
        <v>314</v>
      </c>
      <c r="C90" t="s">
        <v>315</v>
      </c>
      <c r="D90" s="2" t="s">
        <v>316</v>
      </c>
      <c r="E90" t="s">
        <v>298</v>
      </c>
      <c r="G90" t="str">
        <f>_xlfn.XLOOKUP(frasest[[#This Row],[autor_es]],autorest[autor_es],autorest[autor_la])</f>
        <v>Proverbium Indica</v>
      </c>
      <c r="H90" t="str">
        <f>_xlfn.XLOOKUP(frasest[[#This Row],[autor_es]],autorest[autor_es],autorest[bio_es])</f>
        <v>Dichos tradicionales de la India que reflejan principios espirituales, filosóficos y morales influidos por el hinduismo y las tradiciones védicas.</v>
      </c>
      <c r="I90" t="str">
        <f>_xlfn.XLOOKUP(frasest[[#This Row],[autor_es]],autorest[autor_es],autorest[bio_la])</f>
        <v>Collectio sententiarum Indicarum.</v>
      </c>
      <c r="J90" t="str">
        <f>_xlfn.XLOOKUP(frasest[[#This Row],[autor_es]],autorest[autor_es],autorest[codigo])</f>
        <v>hi</v>
      </c>
      <c r="K90" t="str">
        <f>_xlfn.XLOOKUP(frasest[[#This Row],[autor_es]],autorest[autor_es],autorest[idioma_es])</f>
        <v>Hindi</v>
      </c>
      <c r="L90" t="str">
        <f>_xlfn.XLOOKUP(frasest[[#This Row],[autor_es]],autorest[autor_es],autorest[idioma_la])</f>
        <v>Lingua Indica</v>
      </c>
      <c r="M90" t="str">
        <f>_xlfn.XLOOKUP(frasest[[#This Row],[autor_es]],autorest[autor_es],autorest[nacion_es])</f>
        <v>India</v>
      </c>
      <c r="N90" t="str">
        <f>_xlfn.XLOOKUP(frasest[[#This Row],[autor_es]],autorest[autor_es],autorest[nacion_la])</f>
        <v>India</v>
      </c>
      <c r="O90" t="str">
        <f>_xlfn.XLOOKUP(frasest[[#This Row],[autor_es]],autorest[autor_es],autorest[epoca_es])</f>
        <v>Epoca Desconocida</v>
      </c>
      <c r="P90" t="str">
        <f>_xlfn.XLOOKUP(frasest[[#This Row],[autor_es]],autorest[autor_es],autorest[epoca_la])</f>
        <v>Epocha Ignota</v>
      </c>
      <c r="Q90" t="str">
        <f>_xlfn.XLOOKUP(frasest[[#This Row],[autor_es]],autorest[autor_es],autorest[imagen])</f>
        <v>https://i.ibb.co/84cDNBHX/india.png</v>
      </c>
      <c r="R90">
        <f>_xlfn.XLOOKUP(frasest[[#This Row],[autor_es]],autorest[autor_es],autorest[imagen_atr])</f>
        <v>0</v>
      </c>
    </row>
    <row r="91" spans="1:18" ht="14.25">
      <c r="A91">
        <v>90</v>
      </c>
      <c r="B91" t="s">
        <v>317</v>
      </c>
      <c r="C91" t="s">
        <v>318</v>
      </c>
      <c r="D91" s="2" t="s">
        <v>319</v>
      </c>
      <c r="E91" t="s">
        <v>298</v>
      </c>
      <c r="G91" t="str">
        <f>_xlfn.XLOOKUP(frasest[[#This Row],[autor_es]],autorest[autor_es],autorest[autor_la])</f>
        <v>Proverbium Indica</v>
      </c>
      <c r="H91" t="str">
        <f>_xlfn.XLOOKUP(frasest[[#This Row],[autor_es]],autorest[autor_es],autorest[bio_es])</f>
        <v>Dichos tradicionales de la India que reflejan principios espirituales, filosóficos y morales influidos por el hinduismo y las tradiciones védicas.</v>
      </c>
      <c r="I91" t="str">
        <f>_xlfn.XLOOKUP(frasest[[#This Row],[autor_es]],autorest[autor_es],autorest[bio_la])</f>
        <v>Collectio sententiarum Indicarum.</v>
      </c>
      <c r="J91" t="str">
        <f>_xlfn.XLOOKUP(frasest[[#This Row],[autor_es]],autorest[autor_es],autorest[codigo])</f>
        <v>hi</v>
      </c>
      <c r="K91" t="str">
        <f>_xlfn.XLOOKUP(frasest[[#This Row],[autor_es]],autorest[autor_es],autorest[idioma_es])</f>
        <v>Hindi</v>
      </c>
      <c r="L91" t="str">
        <f>_xlfn.XLOOKUP(frasest[[#This Row],[autor_es]],autorest[autor_es],autorest[idioma_la])</f>
        <v>Lingua Indica</v>
      </c>
      <c r="M91" t="str">
        <f>_xlfn.XLOOKUP(frasest[[#This Row],[autor_es]],autorest[autor_es],autorest[nacion_es])</f>
        <v>India</v>
      </c>
      <c r="N91" t="str">
        <f>_xlfn.XLOOKUP(frasest[[#This Row],[autor_es]],autorest[autor_es],autorest[nacion_la])</f>
        <v>India</v>
      </c>
      <c r="O91" t="str">
        <f>_xlfn.XLOOKUP(frasest[[#This Row],[autor_es]],autorest[autor_es],autorest[epoca_es])</f>
        <v>Epoca Desconocida</v>
      </c>
      <c r="P91" t="str">
        <f>_xlfn.XLOOKUP(frasest[[#This Row],[autor_es]],autorest[autor_es],autorest[epoca_la])</f>
        <v>Epocha Ignota</v>
      </c>
      <c r="Q91" t="str">
        <f>_xlfn.XLOOKUP(frasest[[#This Row],[autor_es]],autorest[autor_es],autorest[imagen])</f>
        <v>https://i.ibb.co/84cDNBHX/india.png</v>
      </c>
      <c r="R91">
        <f>_xlfn.XLOOKUP(frasest[[#This Row],[autor_es]],autorest[autor_es],autorest[imagen_atr])</f>
        <v>0</v>
      </c>
    </row>
    <row r="92" spans="1:18" ht="14.25">
      <c r="A92">
        <v>91</v>
      </c>
      <c r="B92" t="s">
        <v>320</v>
      </c>
      <c r="C92" t="s">
        <v>321</v>
      </c>
      <c r="D92" s="2" t="s">
        <v>322</v>
      </c>
      <c r="E92" t="s">
        <v>298</v>
      </c>
      <c r="G92" t="str">
        <f>_xlfn.XLOOKUP(frasest[[#This Row],[autor_es]],autorest[autor_es],autorest[autor_la])</f>
        <v>Proverbium Indica</v>
      </c>
      <c r="H92" t="str">
        <f>_xlfn.XLOOKUP(frasest[[#This Row],[autor_es]],autorest[autor_es],autorest[bio_es])</f>
        <v>Dichos tradicionales de la India que reflejan principios espirituales, filosóficos y morales influidos por el hinduismo y las tradiciones védicas.</v>
      </c>
      <c r="I92" t="str">
        <f>_xlfn.XLOOKUP(frasest[[#This Row],[autor_es]],autorest[autor_es],autorest[bio_la])</f>
        <v>Collectio sententiarum Indicarum.</v>
      </c>
      <c r="J92" t="str">
        <f>_xlfn.XLOOKUP(frasest[[#This Row],[autor_es]],autorest[autor_es],autorest[codigo])</f>
        <v>hi</v>
      </c>
      <c r="K92" t="str">
        <f>_xlfn.XLOOKUP(frasest[[#This Row],[autor_es]],autorest[autor_es],autorest[idioma_es])</f>
        <v>Hindi</v>
      </c>
      <c r="L92" t="str">
        <f>_xlfn.XLOOKUP(frasest[[#This Row],[autor_es]],autorest[autor_es],autorest[idioma_la])</f>
        <v>Lingua Indica</v>
      </c>
      <c r="M92" t="str">
        <f>_xlfn.XLOOKUP(frasest[[#This Row],[autor_es]],autorest[autor_es],autorest[nacion_es])</f>
        <v>India</v>
      </c>
      <c r="N92" t="str">
        <f>_xlfn.XLOOKUP(frasest[[#This Row],[autor_es]],autorest[autor_es],autorest[nacion_la])</f>
        <v>India</v>
      </c>
      <c r="O92" t="str">
        <f>_xlfn.XLOOKUP(frasest[[#This Row],[autor_es]],autorest[autor_es],autorest[epoca_es])</f>
        <v>Epoca Desconocida</v>
      </c>
      <c r="P92" t="str">
        <f>_xlfn.XLOOKUP(frasest[[#This Row],[autor_es]],autorest[autor_es],autorest[epoca_la])</f>
        <v>Epocha Ignota</v>
      </c>
      <c r="Q92" t="str">
        <f>_xlfn.XLOOKUP(frasest[[#This Row],[autor_es]],autorest[autor_es],autorest[imagen])</f>
        <v>https://i.ibb.co/84cDNBHX/india.png</v>
      </c>
      <c r="R92">
        <f>_xlfn.XLOOKUP(frasest[[#This Row],[autor_es]],autorest[autor_es],autorest[imagen_atr])</f>
        <v>0</v>
      </c>
    </row>
    <row r="93" spans="1:18" ht="14.25">
      <c r="A93">
        <v>92</v>
      </c>
      <c r="B93" t="s">
        <v>323</v>
      </c>
      <c r="C93" t="s">
        <v>324</v>
      </c>
      <c r="D93" s="2" t="s">
        <v>325</v>
      </c>
      <c r="E93" t="s">
        <v>298</v>
      </c>
      <c r="G93" t="str">
        <f>_xlfn.XLOOKUP(frasest[[#This Row],[autor_es]],autorest[autor_es],autorest[autor_la])</f>
        <v>Proverbium Indica</v>
      </c>
      <c r="H93" t="str">
        <f>_xlfn.XLOOKUP(frasest[[#This Row],[autor_es]],autorest[autor_es],autorest[bio_es])</f>
        <v>Dichos tradicionales de la India que reflejan principios espirituales, filosóficos y morales influidos por el hinduismo y las tradiciones védicas.</v>
      </c>
      <c r="I93" t="str">
        <f>_xlfn.XLOOKUP(frasest[[#This Row],[autor_es]],autorest[autor_es],autorest[bio_la])</f>
        <v>Collectio sententiarum Indicarum.</v>
      </c>
      <c r="J93" t="str">
        <f>_xlfn.XLOOKUP(frasest[[#This Row],[autor_es]],autorest[autor_es],autorest[codigo])</f>
        <v>hi</v>
      </c>
      <c r="K93" t="str">
        <f>_xlfn.XLOOKUP(frasest[[#This Row],[autor_es]],autorest[autor_es],autorest[idioma_es])</f>
        <v>Hindi</v>
      </c>
      <c r="L93" t="str">
        <f>_xlfn.XLOOKUP(frasest[[#This Row],[autor_es]],autorest[autor_es],autorest[idioma_la])</f>
        <v>Lingua Indica</v>
      </c>
      <c r="M93" t="str">
        <f>_xlfn.XLOOKUP(frasest[[#This Row],[autor_es]],autorest[autor_es],autorest[nacion_es])</f>
        <v>India</v>
      </c>
      <c r="N93" t="str">
        <f>_xlfn.XLOOKUP(frasest[[#This Row],[autor_es]],autorest[autor_es],autorest[nacion_la])</f>
        <v>India</v>
      </c>
      <c r="O93" t="str">
        <f>_xlfn.XLOOKUP(frasest[[#This Row],[autor_es]],autorest[autor_es],autorest[epoca_es])</f>
        <v>Epoca Desconocida</v>
      </c>
      <c r="P93" t="str">
        <f>_xlfn.XLOOKUP(frasest[[#This Row],[autor_es]],autorest[autor_es],autorest[epoca_la])</f>
        <v>Epocha Ignota</v>
      </c>
      <c r="Q93" t="str">
        <f>_xlfn.XLOOKUP(frasest[[#This Row],[autor_es]],autorest[autor_es],autorest[imagen])</f>
        <v>https://i.ibb.co/84cDNBHX/india.png</v>
      </c>
      <c r="R93">
        <f>_xlfn.XLOOKUP(frasest[[#This Row],[autor_es]],autorest[autor_es],autorest[imagen_atr])</f>
        <v>0</v>
      </c>
    </row>
    <row r="94" spans="1:18">
      <c r="A94">
        <v>93</v>
      </c>
      <c r="B94" t="s">
        <v>326</v>
      </c>
      <c r="C94" t="s">
        <v>327</v>
      </c>
      <c r="D94" t="s">
        <v>328</v>
      </c>
      <c r="E94" t="s">
        <v>329</v>
      </c>
      <c r="F94" t="s">
        <v>330</v>
      </c>
      <c r="G94" t="str">
        <f>_xlfn.XLOOKUP(frasest[[#This Row],[autor_es]],autorest[autor_es],autorest[autor_la])</f>
        <v>Oswaldus Spengler</v>
      </c>
      <c r="H94" t="str">
        <f>_xlfn.XLOOKUP(frasest[[#This Row],[autor_es]],autorest[autor_es],autorest[bio_es])</f>
        <v>Filósofo e historiador alemán, autor de "La decadencia de Occidente".</v>
      </c>
      <c r="I94" t="str">
        <f>_xlfn.XLOOKUP(frasest[[#This Row],[autor_es]],autorest[autor_es],autorest[bio_la])</f>
        <v>Philosophus et historicus Germanicus, auctor "Occidentis Decadentia".</v>
      </c>
      <c r="J94" t="str">
        <f>_xlfn.XLOOKUP(frasest[[#This Row],[autor_es]],autorest[autor_es],autorest[codigo])</f>
        <v>de</v>
      </c>
      <c r="K94" t="str">
        <f>_xlfn.XLOOKUP(frasest[[#This Row],[autor_es]],autorest[autor_es],autorest[idioma_es])</f>
        <v>Alemán</v>
      </c>
      <c r="L94" t="str">
        <f>_xlfn.XLOOKUP(frasest[[#This Row],[autor_es]],autorest[autor_es],autorest[idioma_la])</f>
        <v>Lingua Germanica</v>
      </c>
      <c r="M94" t="str">
        <f>_xlfn.XLOOKUP(frasest[[#This Row],[autor_es]],autorest[autor_es],autorest[nacion_es])</f>
        <v>Alemania</v>
      </c>
      <c r="N94" t="str">
        <f>_xlfn.XLOOKUP(frasest[[#This Row],[autor_es]],autorest[autor_es],autorest[nacion_la])</f>
        <v>Germania</v>
      </c>
      <c r="O94" t="str">
        <f>_xlfn.XLOOKUP(frasest[[#This Row],[autor_es]],autorest[autor_es],autorest[epoca_es])</f>
        <v>Edad Contemporánea</v>
      </c>
      <c r="P94" t="str">
        <f>_xlfn.XLOOKUP(frasest[[#This Row],[autor_es]],autorest[autor_es],autorest[epoca_la])</f>
        <v>Aetas Contemporanea</v>
      </c>
      <c r="Q94" t="str">
        <f>_xlfn.XLOOKUP(frasest[[#This Row],[autor_es]],autorest[autor_es],autorest[imagen])</f>
        <v>https://i.ibb.co/jFsMGCC/spengler.png</v>
      </c>
      <c r="R94">
        <f>_xlfn.XLOOKUP(frasest[[#This Row],[autor_es]],autorest[autor_es],autorest[imagen_atr])</f>
        <v>0</v>
      </c>
    </row>
    <row r="95" spans="1:18">
      <c r="A95">
        <v>94</v>
      </c>
      <c r="B95" t="s">
        <v>331</v>
      </c>
      <c r="C95" t="s">
        <v>332</v>
      </c>
      <c r="D95" t="s">
        <v>333</v>
      </c>
      <c r="E95" t="s">
        <v>329</v>
      </c>
      <c r="F95" t="s">
        <v>330</v>
      </c>
      <c r="G95" t="str">
        <f>_xlfn.XLOOKUP(frasest[[#This Row],[autor_es]],autorest[autor_es],autorest[autor_la])</f>
        <v>Oswaldus Spengler</v>
      </c>
      <c r="H95" t="str">
        <f>_xlfn.XLOOKUP(frasest[[#This Row],[autor_es]],autorest[autor_es],autorest[bio_es])</f>
        <v>Filósofo e historiador alemán, autor de "La decadencia de Occidente".</v>
      </c>
      <c r="I95" t="str">
        <f>_xlfn.XLOOKUP(frasest[[#This Row],[autor_es]],autorest[autor_es],autorest[bio_la])</f>
        <v>Philosophus et historicus Germanicus, auctor "Occidentis Decadentia".</v>
      </c>
      <c r="J95" t="str">
        <f>_xlfn.XLOOKUP(frasest[[#This Row],[autor_es]],autorest[autor_es],autorest[codigo])</f>
        <v>de</v>
      </c>
      <c r="K95" t="str">
        <f>_xlfn.XLOOKUP(frasest[[#This Row],[autor_es]],autorest[autor_es],autorest[idioma_es])</f>
        <v>Alemán</v>
      </c>
      <c r="L95" t="str">
        <f>_xlfn.XLOOKUP(frasest[[#This Row],[autor_es]],autorest[autor_es],autorest[idioma_la])</f>
        <v>Lingua Germanica</v>
      </c>
      <c r="M95" t="str">
        <f>_xlfn.XLOOKUP(frasest[[#This Row],[autor_es]],autorest[autor_es],autorest[nacion_es])</f>
        <v>Alemania</v>
      </c>
      <c r="N95" t="str">
        <f>_xlfn.XLOOKUP(frasest[[#This Row],[autor_es]],autorest[autor_es],autorest[nacion_la])</f>
        <v>Germania</v>
      </c>
      <c r="O95" t="str">
        <f>_xlfn.XLOOKUP(frasest[[#This Row],[autor_es]],autorest[autor_es],autorest[epoca_es])</f>
        <v>Edad Contemporánea</v>
      </c>
      <c r="P95" t="str">
        <f>_xlfn.XLOOKUP(frasest[[#This Row],[autor_es]],autorest[autor_es],autorest[epoca_la])</f>
        <v>Aetas Contemporanea</v>
      </c>
      <c r="Q95" t="str">
        <f>_xlfn.XLOOKUP(frasest[[#This Row],[autor_es]],autorest[autor_es],autorest[imagen])</f>
        <v>https://i.ibb.co/jFsMGCC/spengler.png</v>
      </c>
      <c r="R95">
        <f>_xlfn.XLOOKUP(frasest[[#This Row],[autor_es]],autorest[autor_es],autorest[imagen_atr])</f>
        <v>0</v>
      </c>
    </row>
    <row r="96" spans="1:18">
      <c r="A96">
        <v>95</v>
      </c>
      <c r="B96" t="s">
        <v>334</v>
      </c>
      <c r="C96" t="s">
        <v>335</v>
      </c>
      <c r="D96" t="s">
        <v>336</v>
      </c>
      <c r="E96" t="s">
        <v>329</v>
      </c>
      <c r="F96" t="s">
        <v>330</v>
      </c>
      <c r="G96" t="str">
        <f>_xlfn.XLOOKUP(frasest[[#This Row],[autor_es]],autorest[autor_es],autorest[autor_la])</f>
        <v>Oswaldus Spengler</v>
      </c>
      <c r="H96" t="str">
        <f>_xlfn.XLOOKUP(frasest[[#This Row],[autor_es]],autorest[autor_es],autorest[bio_es])</f>
        <v>Filósofo e historiador alemán, autor de "La decadencia de Occidente".</v>
      </c>
      <c r="I96" t="str">
        <f>_xlfn.XLOOKUP(frasest[[#This Row],[autor_es]],autorest[autor_es],autorest[bio_la])</f>
        <v>Philosophus et historicus Germanicus, auctor "Occidentis Decadentia".</v>
      </c>
      <c r="J96" t="str">
        <f>_xlfn.XLOOKUP(frasest[[#This Row],[autor_es]],autorest[autor_es],autorest[codigo])</f>
        <v>de</v>
      </c>
      <c r="K96" t="str">
        <f>_xlfn.XLOOKUP(frasest[[#This Row],[autor_es]],autorest[autor_es],autorest[idioma_es])</f>
        <v>Alemán</v>
      </c>
      <c r="L96" t="str">
        <f>_xlfn.XLOOKUP(frasest[[#This Row],[autor_es]],autorest[autor_es],autorest[idioma_la])</f>
        <v>Lingua Germanica</v>
      </c>
      <c r="M96" t="str">
        <f>_xlfn.XLOOKUP(frasest[[#This Row],[autor_es]],autorest[autor_es],autorest[nacion_es])</f>
        <v>Alemania</v>
      </c>
      <c r="N96" t="str">
        <f>_xlfn.XLOOKUP(frasest[[#This Row],[autor_es]],autorest[autor_es],autorest[nacion_la])</f>
        <v>Germania</v>
      </c>
      <c r="O96" t="str">
        <f>_xlfn.XLOOKUP(frasest[[#This Row],[autor_es]],autorest[autor_es],autorest[epoca_es])</f>
        <v>Edad Contemporánea</v>
      </c>
      <c r="P96" t="str">
        <f>_xlfn.XLOOKUP(frasest[[#This Row],[autor_es]],autorest[autor_es],autorest[epoca_la])</f>
        <v>Aetas Contemporanea</v>
      </c>
      <c r="Q96" t="str">
        <f>_xlfn.XLOOKUP(frasest[[#This Row],[autor_es]],autorest[autor_es],autorest[imagen])</f>
        <v>https://i.ibb.co/jFsMGCC/spengler.png</v>
      </c>
      <c r="R96">
        <f>_xlfn.XLOOKUP(frasest[[#This Row],[autor_es]],autorest[autor_es],autorest[imagen_atr])</f>
        <v>0</v>
      </c>
    </row>
    <row r="97" spans="1:18">
      <c r="A97">
        <v>96</v>
      </c>
      <c r="B97" t="s">
        <v>337</v>
      </c>
      <c r="C97" t="s">
        <v>338</v>
      </c>
      <c r="D97" t="s">
        <v>339</v>
      </c>
      <c r="E97" t="s">
        <v>329</v>
      </c>
      <c r="F97" t="s">
        <v>340</v>
      </c>
      <c r="G97" t="str">
        <f>_xlfn.XLOOKUP(frasest[[#This Row],[autor_es]],autorest[autor_es],autorest[autor_la])</f>
        <v>Oswaldus Spengler</v>
      </c>
      <c r="H97" t="str">
        <f>_xlfn.XLOOKUP(frasest[[#This Row],[autor_es]],autorest[autor_es],autorest[bio_es])</f>
        <v>Filósofo e historiador alemán, autor de "La decadencia de Occidente".</v>
      </c>
      <c r="I97" t="str">
        <f>_xlfn.XLOOKUP(frasest[[#This Row],[autor_es]],autorest[autor_es],autorest[bio_la])</f>
        <v>Philosophus et historicus Germanicus, auctor "Occidentis Decadentia".</v>
      </c>
      <c r="J97" t="str">
        <f>_xlfn.XLOOKUP(frasest[[#This Row],[autor_es]],autorest[autor_es],autorest[codigo])</f>
        <v>de</v>
      </c>
      <c r="K97" t="str">
        <f>_xlfn.XLOOKUP(frasest[[#This Row],[autor_es]],autorest[autor_es],autorest[idioma_es])</f>
        <v>Alemán</v>
      </c>
      <c r="L97" t="str">
        <f>_xlfn.XLOOKUP(frasest[[#This Row],[autor_es]],autorest[autor_es],autorest[idioma_la])</f>
        <v>Lingua Germanica</v>
      </c>
      <c r="M97" t="str">
        <f>_xlfn.XLOOKUP(frasest[[#This Row],[autor_es]],autorest[autor_es],autorest[nacion_es])</f>
        <v>Alemania</v>
      </c>
      <c r="N97" t="str">
        <f>_xlfn.XLOOKUP(frasest[[#This Row],[autor_es]],autorest[autor_es],autorest[nacion_la])</f>
        <v>Germania</v>
      </c>
      <c r="O97" t="str">
        <f>_xlfn.XLOOKUP(frasest[[#This Row],[autor_es]],autorest[autor_es],autorest[epoca_es])</f>
        <v>Edad Contemporánea</v>
      </c>
      <c r="P97" t="str">
        <f>_xlfn.XLOOKUP(frasest[[#This Row],[autor_es]],autorest[autor_es],autorest[epoca_la])</f>
        <v>Aetas Contemporanea</v>
      </c>
      <c r="Q97" t="str">
        <f>_xlfn.XLOOKUP(frasest[[#This Row],[autor_es]],autorest[autor_es],autorest[imagen])</f>
        <v>https://i.ibb.co/jFsMGCC/spengler.png</v>
      </c>
      <c r="R97">
        <f>_xlfn.XLOOKUP(frasest[[#This Row],[autor_es]],autorest[autor_es],autorest[imagen_atr])</f>
        <v>0</v>
      </c>
    </row>
    <row r="98" spans="1:18">
      <c r="A98">
        <v>97</v>
      </c>
      <c r="B98" t="s">
        <v>341</v>
      </c>
      <c r="C98" t="s">
        <v>342</v>
      </c>
      <c r="D98" t="s">
        <v>343</v>
      </c>
      <c r="E98" t="s">
        <v>329</v>
      </c>
      <c r="F98" t="s">
        <v>330</v>
      </c>
      <c r="G98" t="str">
        <f>_xlfn.XLOOKUP(frasest[[#This Row],[autor_es]],autorest[autor_es],autorest[autor_la])</f>
        <v>Oswaldus Spengler</v>
      </c>
      <c r="H98" t="str">
        <f>_xlfn.XLOOKUP(frasest[[#This Row],[autor_es]],autorest[autor_es],autorest[bio_es])</f>
        <v>Filósofo e historiador alemán, autor de "La decadencia de Occidente".</v>
      </c>
      <c r="I98" t="str">
        <f>_xlfn.XLOOKUP(frasest[[#This Row],[autor_es]],autorest[autor_es],autorest[bio_la])</f>
        <v>Philosophus et historicus Germanicus, auctor "Occidentis Decadentia".</v>
      </c>
      <c r="J98" t="str">
        <f>_xlfn.XLOOKUP(frasest[[#This Row],[autor_es]],autorest[autor_es],autorest[codigo])</f>
        <v>de</v>
      </c>
      <c r="K98" t="str">
        <f>_xlfn.XLOOKUP(frasest[[#This Row],[autor_es]],autorest[autor_es],autorest[idioma_es])</f>
        <v>Alemán</v>
      </c>
      <c r="L98" t="str">
        <f>_xlfn.XLOOKUP(frasest[[#This Row],[autor_es]],autorest[autor_es],autorest[idioma_la])</f>
        <v>Lingua Germanica</v>
      </c>
      <c r="M98" t="str">
        <f>_xlfn.XLOOKUP(frasest[[#This Row],[autor_es]],autorest[autor_es],autorest[nacion_es])</f>
        <v>Alemania</v>
      </c>
      <c r="N98" t="str">
        <f>_xlfn.XLOOKUP(frasest[[#This Row],[autor_es]],autorest[autor_es],autorest[nacion_la])</f>
        <v>Germania</v>
      </c>
      <c r="O98" t="str">
        <f>_xlfn.XLOOKUP(frasest[[#This Row],[autor_es]],autorest[autor_es],autorest[epoca_es])</f>
        <v>Edad Contemporánea</v>
      </c>
      <c r="P98" t="str">
        <f>_xlfn.XLOOKUP(frasest[[#This Row],[autor_es]],autorest[autor_es],autorest[epoca_la])</f>
        <v>Aetas Contemporanea</v>
      </c>
      <c r="Q98" t="str">
        <f>_xlfn.XLOOKUP(frasest[[#This Row],[autor_es]],autorest[autor_es],autorest[imagen])</f>
        <v>https://i.ibb.co/jFsMGCC/spengler.png</v>
      </c>
      <c r="R98">
        <f>_xlfn.XLOOKUP(frasest[[#This Row],[autor_es]],autorest[autor_es],autorest[imagen_atr])</f>
        <v>0</v>
      </c>
    </row>
    <row r="99" spans="1:18">
      <c r="A99">
        <v>98</v>
      </c>
      <c r="B99" t="s">
        <v>344</v>
      </c>
      <c r="C99" t="s">
        <v>345</v>
      </c>
      <c r="D99" t="s">
        <v>344</v>
      </c>
      <c r="E99" t="s">
        <v>346</v>
      </c>
      <c r="F99" t="s">
        <v>347</v>
      </c>
      <c r="G99" t="str">
        <f>_xlfn.XLOOKUP(frasest[[#This Row],[autor_es]],autorest[autor_es],autorest[autor_la])</f>
        <v>Michael Cervantes</v>
      </c>
      <c r="H99" t="str">
        <f>_xlfn.XLOOKUP(frasest[[#This Row],[autor_es]],autorest[autor_es],autorest[bio_es])</f>
        <v>Novelista, poeta y dramaturgo español, autor de "Don Quijote de la Mancha".</v>
      </c>
      <c r="I99" t="str">
        <f>_xlfn.XLOOKUP(frasest[[#This Row],[autor_es]],autorest[autor_es],autorest[bio_la])</f>
        <v>Scriba, poeta et dramatist Hispanicus, auctor "Don Quixote de la Mancha".</v>
      </c>
      <c r="J99" t="str">
        <f>_xlfn.XLOOKUP(frasest[[#This Row],[autor_es]],autorest[autor_es],autorest[codigo])</f>
        <v>es</v>
      </c>
      <c r="K99" t="str">
        <f>_xlfn.XLOOKUP(frasest[[#This Row],[autor_es]],autorest[autor_es],autorest[idioma_es])</f>
        <v>Español</v>
      </c>
      <c r="L99" t="str">
        <f>_xlfn.XLOOKUP(frasest[[#This Row],[autor_es]],autorest[autor_es],autorest[idioma_la])</f>
        <v>Lingua Hispanica</v>
      </c>
      <c r="M99" t="str">
        <f>_xlfn.XLOOKUP(frasest[[#This Row],[autor_es]],autorest[autor_es],autorest[nacion_es])</f>
        <v>España</v>
      </c>
      <c r="N99" t="str">
        <f>_xlfn.XLOOKUP(frasest[[#This Row],[autor_es]],autorest[autor_es],autorest[nacion_la])</f>
        <v>Hispania</v>
      </c>
      <c r="O99" t="str">
        <f>_xlfn.XLOOKUP(frasest[[#This Row],[autor_es]],autorest[autor_es],autorest[epoca_es])</f>
        <v>Edad Moderna</v>
      </c>
      <c r="P99" t="str">
        <f>_xlfn.XLOOKUP(frasest[[#This Row],[autor_es]],autorest[autor_es],autorest[epoca_la])</f>
        <v>Nova Aetas</v>
      </c>
      <c r="Q99" t="str">
        <f>_xlfn.XLOOKUP(frasest[[#This Row],[autor_es]],autorest[autor_es],autorest[imagen])</f>
        <v>https://i.ibb.co/7d8RNgBb/cervantes.png</v>
      </c>
      <c r="R99">
        <f>_xlfn.XLOOKUP(frasest[[#This Row],[autor_es]],autorest[autor_es],autorest[imagen_atr])</f>
        <v>0</v>
      </c>
    </row>
    <row r="100" spans="1:18">
      <c r="A100">
        <v>99</v>
      </c>
      <c r="B100" t="s">
        <v>348</v>
      </c>
      <c r="C100" t="s">
        <v>349</v>
      </c>
      <c r="D100" t="s">
        <v>348</v>
      </c>
      <c r="E100" t="s">
        <v>346</v>
      </c>
      <c r="F100" t="s">
        <v>350</v>
      </c>
      <c r="G100" t="str">
        <f>_xlfn.XLOOKUP(frasest[[#This Row],[autor_es]],autorest[autor_es],autorest[autor_la])</f>
        <v>Michael Cervantes</v>
      </c>
      <c r="H100" t="str">
        <f>_xlfn.XLOOKUP(frasest[[#This Row],[autor_es]],autorest[autor_es],autorest[bio_es])</f>
        <v>Novelista, poeta y dramaturgo español, autor de "Don Quijote de la Mancha".</v>
      </c>
      <c r="I100" t="str">
        <f>_xlfn.XLOOKUP(frasest[[#This Row],[autor_es]],autorest[autor_es],autorest[bio_la])</f>
        <v>Scriba, poeta et dramatist Hispanicus, auctor "Don Quixote de la Mancha".</v>
      </c>
      <c r="J100" t="str">
        <f>_xlfn.XLOOKUP(frasest[[#This Row],[autor_es]],autorest[autor_es],autorest[codigo])</f>
        <v>es</v>
      </c>
      <c r="K100" t="str">
        <f>_xlfn.XLOOKUP(frasest[[#This Row],[autor_es]],autorest[autor_es],autorest[idioma_es])</f>
        <v>Español</v>
      </c>
      <c r="L100" t="str">
        <f>_xlfn.XLOOKUP(frasest[[#This Row],[autor_es]],autorest[autor_es],autorest[idioma_la])</f>
        <v>Lingua Hispanica</v>
      </c>
      <c r="M100" t="str">
        <f>_xlfn.XLOOKUP(frasest[[#This Row],[autor_es]],autorest[autor_es],autorest[nacion_es])</f>
        <v>España</v>
      </c>
      <c r="N100" t="str">
        <f>_xlfn.XLOOKUP(frasest[[#This Row],[autor_es]],autorest[autor_es],autorest[nacion_la])</f>
        <v>Hispania</v>
      </c>
      <c r="O100" t="str">
        <f>_xlfn.XLOOKUP(frasest[[#This Row],[autor_es]],autorest[autor_es],autorest[epoca_es])</f>
        <v>Edad Moderna</v>
      </c>
      <c r="P100" t="str">
        <f>_xlfn.XLOOKUP(frasest[[#This Row],[autor_es]],autorest[autor_es],autorest[epoca_la])</f>
        <v>Nova Aetas</v>
      </c>
      <c r="Q100" t="str">
        <f>_xlfn.XLOOKUP(frasest[[#This Row],[autor_es]],autorest[autor_es],autorest[imagen])</f>
        <v>https://i.ibb.co/7d8RNgBb/cervantes.png</v>
      </c>
      <c r="R100">
        <f>_xlfn.XLOOKUP(frasest[[#This Row],[autor_es]],autorest[autor_es],autorest[imagen_atr])</f>
        <v>0</v>
      </c>
    </row>
    <row r="101" spans="1:18">
      <c r="A101">
        <v>100</v>
      </c>
      <c r="B101" t="s">
        <v>351</v>
      </c>
      <c r="C101" t="s">
        <v>352</v>
      </c>
      <c r="D101" t="s">
        <v>351</v>
      </c>
      <c r="E101" t="s">
        <v>346</v>
      </c>
      <c r="F101" t="s">
        <v>353</v>
      </c>
      <c r="G101" t="str">
        <f>_xlfn.XLOOKUP(frasest[[#This Row],[autor_es]],autorest[autor_es],autorest[autor_la])</f>
        <v>Michael Cervantes</v>
      </c>
      <c r="H101" t="str">
        <f>_xlfn.XLOOKUP(frasest[[#This Row],[autor_es]],autorest[autor_es],autorest[bio_es])</f>
        <v>Novelista, poeta y dramaturgo español, autor de "Don Quijote de la Mancha".</v>
      </c>
      <c r="I101" t="str">
        <f>_xlfn.XLOOKUP(frasest[[#This Row],[autor_es]],autorest[autor_es],autorest[bio_la])</f>
        <v>Scriba, poeta et dramatist Hispanicus, auctor "Don Quixote de la Mancha".</v>
      </c>
      <c r="J101" t="str">
        <f>_xlfn.XLOOKUP(frasest[[#This Row],[autor_es]],autorest[autor_es],autorest[codigo])</f>
        <v>es</v>
      </c>
      <c r="K101" t="str">
        <f>_xlfn.XLOOKUP(frasest[[#This Row],[autor_es]],autorest[autor_es],autorest[idioma_es])</f>
        <v>Español</v>
      </c>
      <c r="L101" t="str">
        <f>_xlfn.XLOOKUP(frasest[[#This Row],[autor_es]],autorest[autor_es],autorest[idioma_la])</f>
        <v>Lingua Hispanica</v>
      </c>
      <c r="M101" t="str">
        <f>_xlfn.XLOOKUP(frasest[[#This Row],[autor_es]],autorest[autor_es],autorest[nacion_es])</f>
        <v>España</v>
      </c>
      <c r="N101" t="str">
        <f>_xlfn.XLOOKUP(frasest[[#This Row],[autor_es]],autorest[autor_es],autorest[nacion_la])</f>
        <v>Hispania</v>
      </c>
      <c r="O101" t="str">
        <f>_xlfn.XLOOKUP(frasest[[#This Row],[autor_es]],autorest[autor_es],autorest[epoca_es])</f>
        <v>Edad Moderna</v>
      </c>
      <c r="P101" t="str">
        <f>_xlfn.XLOOKUP(frasest[[#This Row],[autor_es]],autorest[autor_es],autorest[epoca_la])</f>
        <v>Nova Aetas</v>
      </c>
      <c r="Q101" t="str">
        <f>_xlfn.XLOOKUP(frasest[[#This Row],[autor_es]],autorest[autor_es],autorest[imagen])</f>
        <v>https://i.ibb.co/7d8RNgBb/cervantes.png</v>
      </c>
      <c r="R101">
        <f>_xlfn.XLOOKUP(frasest[[#This Row],[autor_es]],autorest[autor_es],autorest[imagen_atr])</f>
        <v>0</v>
      </c>
    </row>
    <row r="102" spans="1:18">
      <c r="A102">
        <v>101</v>
      </c>
      <c r="B102" t="s">
        <v>354</v>
      </c>
      <c r="C102" t="s">
        <v>355</v>
      </c>
      <c r="D102" t="s">
        <v>354</v>
      </c>
      <c r="E102" t="s">
        <v>346</v>
      </c>
      <c r="F102" t="s">
        <v>353</v>
      </c>
      <c r="G102" t="str">
        <f>_xlfn.XLOOKUP(frasest[[#This Row],[autor_es]],autorest[autor_es],autorest[autor_la])</f>
        <v>Michael Cervantes</v>
      </c>
      <c r="H102" t="str">
        <f>_xlfn.XLOOKUP(frasest[[#This Row],[autor_es]],autorest[autor_es],autorest[bio_es])</f>
        <v>Novelista, poeta y dramaturgo español, autor de "Don Quijote de la Mancha".</v>
      </c>
      <c r="I102" t="str">
        <f>_xlfn.XLOOKUP(frasest[[#This Row],[autor_es]],autorest[autor_es],autorest[bio_la])</f>
        <v>Scriba, poeta et dramatist Hispanicus, auctor "Don Quixote de la Mancha".</v>
      </c>
      <c r="J102" t="str">
        <f>_xlfn.XLOOKUP(frasest[[#This Row],[autor_es]],autorest[autor_es],autorest[codigo])</f>
        <v>es</v>
      </c>
      <c r="K102" t="str">
        <f>_xlfn.XLOOKUP(frasest[[#This Row],[autor_es]],autorest[autor_es],autorest[idioma_es])</f>
        <v>Español</v>
      </c>
      <c r="L102" t="str">
        <f>_xlfn.XLOOKUP(frasest[[#This Row],[autor_es]],autorest[autor_es],autorest[idioma_la])</f>
        <v>Lingua Hispanica</v>
      </c>
      <c r="M102" t="str">
        <f>_xlfn.XLOOKUP(frasest[[#This Row],[autor_es]],autorest[autor_es],autorest[nacion_es])</f>
        <v>España</v>
      </c>
      <c r="N102" t="str">
        <f>_xlfn.XLOOKUP(frasest[[#This Row],[autor_es]],autorest[autor_es],autorest[nacion_la])</f>
        <v>Hispania</v>
      </c>
      <c r="O102" t="str">
        <f>_xlfn.XLOOKUP(frasest[[#This Row],[autor_es]],autorest[autor_es],autorest[epoca_es])</f>
        <v>Edad Moderna</v>
      </c>
      <c r="P102" t="str">
        <f>_xlfn.XLOOKUP(frasest[[#This Row],[autor_es]],autorest[autor_es],autorest[epoca_la])</f>
        <v>Nova Aetas</v>
      </c>
      <c r="Q102" t="str">
        <f>_xlfn.XLOOKUP(frasest[[#This Row],[autor_es]],autorest[autor_es],autorest[imagen])</f>
        <v>https://i.ibb.co/7d8RNgBb/cervantes.png</v>
      </c>
      <c r="R102">
        <f>_xlfn.XLOOKUP(frasest[[#This Row],[autor_es]],autorest[autor_es],autorest[imagen_atr])</f>
        <v>0</v>
      </c>
    </row>
    <row r="103" spans="1:18">
      <c r="A103">
        <v>102</v>
      </c>
      <c r="B103" t="s">
        <v>356</v>
      </c>
      <c r="C103" t="s">
        <v>357</v>
      </c>
      <c r="D103" t="s">
        <v>356</v>
      </c>
      <c r="E103" t="s">
        <v>346</v>
      </c>
      <c r="F103" t="s">
        <v>358</v>
      </c>
      <c r="G103" t="str">
        <f>_xlfn.XLOOKUP(frasest[[#This Row],[autor_es]],autorest[autor_es],autorest[autor_la])</f>
        <v>Michael Cervantes</v>
      </c>
      <c r="H103" t="str">
        <f>_xlfn.XLOOKUP(frasest[[#This Row],[autor_es]],autorest[autor_es],autorest[bio_es])</f>
        <v>Novelista, poeta y dramaturgo español, autor de "Don Quijote de la Mancha".</v>
      </c>
      <c r="I103" t="str">
        <f>_xlfn.XLOOKUP(frasest[[#This Row],[autor_es]],autorest[autor_es],autorest[bio_la])</f>
        <v>Scriba, poeta et dramatist Hispanicus, auctor "Don Quixote de la Mancha".</v>
      </c>
      <c r="J103" t="str">
        <f>_xlfn.XLOOKUP(frasest[[#This Row],[autor_es]],autorest[autor_es],autorest[codigo])</f>
        <v>es</v>
      </c>
      <c r="K103" t="str">
        <f>_xlfn.XLOOKUP(frasest[[#This Row],[autor_es]],autorest[autor_es],autorest[idioma_es])</f>
        <v>Español</v>
      </c>
      <c r="L103" t="str">
        <f>_xlfn.XLOOKUP(frasest[[#This Row],[autor_es]],autorest[autor_es],autorest[idioma_la])</f>
        <v>Lingua Hispanica</v>
      </c>
      <c r="M103" t="str">
        <f>_xlfn.XLOOKUP(frasest[[#This Row],[autor_es]],autorest[autor_es],autorest[nacion_es])</f>
        <v>España</v>
      </c>
      <c r="N103" t="str">
        <f>_xlfn.XLOOKUP(frasest[[#This Row],[autor_es]],autorest[autor_es],autorest[nacion_la])</f>
        <v>Hispania</v>
      </c>
      <c r="O103" t="str">
        <f>_xlfn.XLOOKUP(frasest[[#This Row],[autor_es]],autorest[autor_es],autorest[epoca_es])</f>
        <v>Edad Moderna</v>
      </c>
      <c r="P103" t="str">
        <f>_xlfn.XLOOKUP(frasest[[#This Row],[autor_es]],autorest[autor_es],autorest[epoca_la])</f>
        <v>Nova Aetas</v>
      </c>
      <c r="Q103" t="str">
        <f>_xlfn.XLOOKUP(frasest[[#This Row],[autor_es]],autorest[autor_es],autorest[imagen])</f>
        <v>https://i.ibb.co/7d8RNgBb/cervantes.png</v>
      </c>
      <c r="R103">
        <f>_xlfn.XLOOKUP(frasest[[#This Row],[autor_es]],autorest[autor_es],autorest[imagen_atr])</f>
        <v>0</v>
      </c>
    </row>
    <row r="104" spans="1:18">
      <c r="A104">
        <v>103</v>
      </c>
      <c r="B104" t="s">
        <v>359</v>
      </c>
      <c r="C104" t="s">
        <v>360</v>
      </c>
      <c r="D104" t="s">
        <v>359</v>
      </c>
      <c r="E104" t="s">
        <v>346</v>
      </c>
      <c r="F104" t="s">
        <v>361</v>
      </c>
      <c r="G104" t="str">
        <f>_xlfn.XLOOKUP(frasest[[#This Row],[autor_es]],autorest[autor_es],autorest[autor_la])</f>
        <v>Michael Cervantes</v>
      </c>
      <c r="H104" t="str">
        <f>_xlfn.XLOOKUP(frasest[[#This Row],[autor_es]],autorest[autor_es],autorest[bio_es])</f>
        <v>Novelista, poeta y dramaturgo español, autor de "Don Quijote de la Mancha".</v>
      </c>
      <c r="I104" t="str">
        <f>_xlfn.XLOOKUP(frasest[[#This Row],[autor_es]],autorest[autor_es],autorest[bio_la])</f>
        <v>Scriba, poeta et dramatist Hispanicus, auctor "Don Quixote de la Mancha".</v>
      </c>
      <c r="J104" t="str">
        <f>_xlfn.XLOOKUP(frasest[[#This Row],[autor_es]],autorest[autor_es],autorest[codigo])</f>
        <v>es</v>
      </c>
      <c r="K104" t="str">
        <f>_xlfn.XLOOKUP(frasest[[#This Row],[autor_es]],autorest[autor_es],autorest[idioma_es])</f>
        <v>Español</v>
      </c>
      <c r="L104" t="str">
        <f>_xlfn.XLOOKUP(frasest[[#This Row],[autor_es]],autorest[autor_es],autorest[idioma_la])</f>
        <v>Lingua Hispanica</v>
      </c>
      <c r="M104" t="str">
        <f>_xlfn.XLOOKUP(frasest[[#This Row],[autor_es]],autorest[autor_es],autorest[nacion_es])</f>
        <v>España</v>
      </c>
      <c r="N104" t="str">
        <f>_xlfn.XLOOKUP(frasest[[#This Row],[autor_es]],autorest[autor_es],autorest[nacion_la])</f>
        <v>Hispania</v>
      </c>
      <c r="O104" t="str">
        <f>_xlfn.XLOOKUP(frasest[[#This Row],[autor_es]],autorest[autor_es],autorest[epoca_es])</f>
        <v>Edad Moderna</v>
      </c>
      <c r="P104" t="str">
        <f>_xlfn.XLOOKUP(frasest[[#This Row],[autor_es]],autorest[autor_es],autorest[epoca_la])</f>
        <v>Nova Aetas</v>
      </c>
      <c r="Q104" t="str">
        <f>_xlfn.XLOOKUP(frasest[[#This Row],[autor_es]],autorest[autor_es],autorest[imagen])</f>
        <v>https://i.ibb.co/7d8RNgBb/cervantes.png</v>
      </c>
      <c r="R104">
        <f>_xlfn.XLOOKUP(frasest[[#This Row],[autor_es]],autorest[autor_es],autorest[imagen_atr])</f>
        <v>0</v>
      </c>
    </row>
    <row r="105" spans="1:18">
      <c r="A105">
        <v>104</v>
      </c>
      <c r="B105" t="s">
        <v>362</v>
      </c>
      <c r="C105" t="s">
        <v>363</v>
      </c>
      <c r="D105" t="s">
        <v>362</v>
      </c>
      <c r="E105" t="s">
        <v>346</v>
      </c>
      <c r="F105" t="s">
        <v>364</v>
      </c>
      <c r="G105" t="str">
        <f>_xlfn.XLOOKUP(frasest[[#This Row],[autor_es]],autorest[autor_es],autorest[autor_la])</f>
        <v>Michael Cervantes</v>
      </c>
      <c r="H105" t="str">
        <f>_xlfn.XLOOKUP(frasest[[#This Row],[autor_es]],autorest[autor_es],autorest[bio_es])</f>
        <v>Novelista, poeta y dramaturgo español, autor de "Don Quijote de la Mancha".</v>
      </c>
      <c r="I105" t="str">
        <f>_xlfn.XLOOKUP(frasest[[#This Row],[autor_es]],autorest[autor_es],autorest[bio_la])</f>
        <v>Scriba, poeta et dramatist Hispanicus, auctor "Don Quixote de la Mancha".</v>
      </c>
      <c r="J105" t="str">
        <f>_xlfn.XLOOKUP(frasest[[#This Row],[autor_es]],autorest[autor_es],autorest[codigo])</f>
        <v>es</v>
      </c>
      <c r="K105" t="str">
        <f>_xlfn.XLOOKUP(frasest[[#This Row],[autor_es]],autorest[autor_es],autorest[idioma_es])</f>
        <v>Español</v>
      </c>
      <c r="L105" t="str">
        <f>_xlfn.XLOOKUP(frasest[[#This Row],[autor_es]],autorest[autor_es],autorest[idioma_la])</f>
        <v>Lingua Hispanica</v>
      </c>
      <c r="M105" t="str">
        <f>_xlfn.XLOOKUP(frasest[[#This Row],[autor_es]],autorest[autor_es],autorest[nacion_es])</f>
        <v>España</v>
      </c>
      <c r="N105" t="str">
        <f>_xlfn.XLOOKUP(frasest[[#This Row],[autor_es]],autorest[autor_es],autorest[nacion_la])</f>
        <v>Hispania</v>
      </c>
      <c r="O105" t="str">
        <f>_xlfn.XLOOKUP(frasest[[#This Row],[autor_es]],autorest[autor_es],autorest[epoca_es])</f>
        <v>Edad Moderna</v>
      </c>
      <c r="P105" t="str">
        <f>_xlfn.XLOOKUP(frasest[[#This Row],[autor_es]],autorest[autor_es],autorest[epoca_la])</f>
        <v>Nova Aetas</v>
      </c>
      <c r="Q105" t="str">
        <f>_xlfn.XLOOKUP(frasest[[#This Row],[autor_es]],autorest[autor_es],autorest[imagen])</f>
        <v>https://i.ibb.co/7d8RNgBb/cervantes.png</v>
      </c>
      <c r="R105">
        <f>_xlfn.XLOOKUP(frasest[[#This Row],[autor_es]],autorest[autor_es],autorest[imagen_atr])</f>
        <v>0</v>
      </c>
    </row>
    <row r="106" spans="1:18">
      <c r="A106">
        <v>105</v>
      </c>
      <c r="B106" t="s">
        <v>365</v>
      </c>
      <c r="C106" t="s">
        <v>366</v>
      </c>
      <c r="D106" t="s">
        <v>365</v>
      </c>
      <c r="E106" t="s">
        <v>346</v>
      </c>
      <c r="F106" t="s">
        <v>367</v>
      </c>
      <c r="G106" t="str">
        <f>_xlfn.XLOOKUP(frasest[[#This Row],[autor_es]],autorest[autor_es],autorest[autor_la])</f>
        <v>Michael Cervantes</v>
      </c>
      <c r="H106" t="str">
        <f>_xlfn.XLOOKUP(frasest[[#This Row],[autor_es]],autorest[autor_es],autorest[bio_es])</f>
        <v>Novelista, poeta y dramaturgo español, autor de "Don Quijote de la Mancha".</v>
      </c>
      <c r="I106" t="str">
        <f>_xlfn.XLOOKUP(frasest[[#This Row],[autor_es]],autorest[autor_es],autorest[bio_la])</f>
        <v>Scriba, poeta et dramatist Hispanicus, auctor "Don Quixote de la Mancha".</v>
      </c>
      <c r="J106" t="str">
        <f>_xlfn.XLOOKUP(frasest[[#This Row],[autor_es]],autorest[autor_es],autorest[codigo])</f>
        <v>es</v>
      </c>
      <c r="K106" t="str">
        <f>_xlfn.XLOOKUP(frasest[[#This Row],[autor_es]],autorest[autor_es],autorest[idioma_es])</f>
        <v>Español</v>
      </c>
      <c r="L106" t="str">
        <f>_xlfn.XLOOKUP(frasest[[#This Row],[autor_es]],autorest[autor_es],autorest[idioma_la])</f>
        <v>Lingua Hispanica</v>
      </c>
      <c r="M106" t="str">
        <f>_xlfn.XLOOKUP(frasest[[#This Row],[autor_es]],autorest[autor_es],autorest[nacion_es])</f>
        <v>España</v>
      </c>
      <c r="N106" t="str">
        <f>_xlfn.XLOOKUP(frasest[[#This Row],[autor_es]],autorest[autor_es],autorest[nacion_la])</f>
        <v>Hispania</v>
      </c>
      <c r="O106" t="str">
        <f>_xlfn.XLOOKUP(frasest[[#This Row],[autor_es]],autorest[autor_es],autorest[epoca_es])</f>
        <v>Edad Moderna</v>
      </c>
      <c r="P106" t="str">
        <f>_xlfn.XLOOKUP(frasest[[#This Row],[autor_es]],autorest[autor_es],autorest[epoca_la])</f>
        <v>Nova Aetas</v>
      </c>
      <c r="Q106" t="str">
        <f>_xlfn.XLOOKUP(frasest[[#This Row],[autor_es]],autorest[autor_es],autorest[imagen])</f>
        <v>https://i.ibb.co/7d8RNgBb/cervantes.png</v>
      </c>
      <c r="R106">
        <f>_xlfn.XLOOKUP(frasest[[#This Row],[autor_es]],autorest[autor_es],autorest[imagen_atr])</f>
        <v>0</v>
      </c>
    </row>
    <row r="107" spans="1:18">
      <c r="A107">
        <v>106</v>
      </c>
      <c r="B107" t="s">
        <v>368</v>
      </c>
      <c r="C107" t="s">
        <v>369</v>
      </c>
      <c r="D107" t="s">
        <v>368</v>
      </c>
      <c r="E107" t="s">
        <v>346</v>
      </c>
      <c r="F107" t="s">
        <v>364</v>
      </c>
      <c r="G107" t="str">
        <f>_xlfn.XLOOKUP(frasest[[#This Row],[autor_es]],autorest[autor_es],autorest[autor_la])</f>
        <v>Michael Cervantes</v>
      </c>
      <c r="H107" t="str">
        <f>_xlfn.XLOOKUP(frasest[[#This Row],[autor_es]],autorest[autor_es],autorest[bio_es])</f>
        <v>Novelista, poeta y dramaturgo español, autor de "Don Quijote de la Mancha".</v>
      </c>
      <c r="I107" t="str">
        <f>_xlfn.XLOOKUP(frasest[[#This Row],[autor_es]],autorest[autor_es],autorest[bio_la])</f>
        <v>Scriba, poeta et dramatist Hispanicus, auctor "Don Quixote de la Mancha".</v>
      </c>
      <c r="J107" t="str">
        <f>_xlfn.XLOOKUP(frasest[[#This Row],[autor_es]],autorest[autor_es],autorest[codigo])</f>
        <v>es</v>
      </c>
      <c r="K107" t="str">
        <f>_xlfn.XLOOKUP(frasest[[#This Row],[autor_es]],autorest[autor_es],autorest[idioma_es])</f>
        <v>Español</v>
      </c>
      <c r="L107" t="str">
        <f>_xlfn.XLOOKUP(frasest[[#This Row],[autor_es]],autorest[autor_es],autorest[idioma_la])</f>
        <v>Lingua Hispanica</v>
      </c>
      <c r="M107" t="str">
        <f>_xlfn.XLOOKUP(frasest[[#This Row],[autor_es]],autorest[autor_es],autorest[nacion_es])</f>
        <v>España</v>
      </c>
      <c r="N107" t="str">
        <f>_xlfn.XLOOKUP(frasest[[#This Row],[autor_es]],autorest[autor_es],autorest[nacion_la])</f>
        <v>Hispania</v>
      </c>
      <c r="O107" t="str">
        <f>_xlfn.XLOOKUP(frasest[[#This Row],[autor_es]],autorest[autor_es],autorest[epoca_es])</f>
        <v>Edad Moderna</v>
      </c>
      <c r="P107" t="str">
        <f>_xlfn.XLOOKUP(frasest[[#This Row],[autor_es]],autorest[autor_es],autorest[epoca_la])</f>
        <v>Nova Aetas</v>
      </c>
      <c r="Q107" t="str">
        <f>_xlfn.XLOOKUP(frasest[[#This Row],[autor_es]],autorest[autor_es],autorest[imagen])</f>
        <v>https://i.ibb.co/7d8RNgBb/cervantes.png</v>
      </c>
      <c r="R107">
        <f>_xlfn.XLOOKUP(frasest[[#This Row],[autor_es]],autorest[autor_es],autorest[imagen_atr])</f>
        <v>0</v>
      </c>
    </row>
    <row r="108" spans="1:18">
      <c r="A108">
        <v>107</v>
      </c>
      <c r="B108" t="s">
        <v>370</v>
      </c>
      <c r="C108" t="s">
        <v>371</v>
      </c>
      <c r="D108" t="s">
        <v>371</v>
      </c>
      <c r="E108" t="s">
        <v>57</v>
      </c>
      <c r="F108" t="s">
        <v>372</v>
      </c>
      <c r="G108" t="str">
        <f>_xlfn.XLOOKUP(frasest[[#This Row],[autor_es]],autorest[autor_es],autorest[autor_la])</f>
        <v>Aurelius Augustinus</v>
      </c>
      <c r="H108" t="str">
        <f>_xlfn.XLOOKUP(frasest[[#This Row],[autor_es]],autorest[autor_es],autorest[bio_es])</f>
        <v>Filósofo y teólogo cristiano.</v>
      </c>
      <c r="I108" t="str">
        <f>_xlfn.XLOOKUP(frasest[[#This Row],[autor_es]],autorest[autor_es],autorest[bio_la])</f>
        <v>Philosophus et theologus Christianus.</v>
      </c>
      <c r="J108" t="str">
        <f>_xlfn.XLOOKUP(frasest[[#This Row],[autor_es]],autorest[autor_es],autorest[codigo])</f>
        <v>la</v>
      </c>
      <c r="K108" t="str">
        <f>_xlfn.XLOOKUP(frasest[[#This Row],[autor_es]],autorest[autor_es],autorest[idioma_es])</f>
        <v>Latín</v>
      </c>
      <c r="L108" t="str">
        <f>_xlfn.XLOOKUP(frasest[[#This Row],[autor_es]],autorest[autor_es],autorest[idioma_la])</f>
        <v>Lingua Latina</v>
      </c>
      <c r="M108" t="str">
        <f>_xlfn.XLOOKUP(frasest[[#This Row],[autor_es]],autorest[autor_es],autorest[nacion_es])</f>
        <v>Roma</v>
      </c>
      <c r="N108" t="str">
        <f>_xlfn.XLOOKUP(frasest[[#This Row],[autor_es]],autorest[autor_es],autorest[nacion_la])</f>
        <v>Roma</v>
      </c>
      <c r="O108" t="str">
        <f>_xlfn.XLOOKUP(frasest[[#This Row],[autor_es]],autorest[autor_es],autorest[epoca_es])</f>
        <v>Edad Antigua</v>
      </c>
      <c r="P108" t="str">
        <f>_xlfn.XLOOKUP(frasest[[#This Row],[autor_es]],autorest[autor_es],autorest[epoca_la])</f>
        <v>Antiquitas</v>
      </c>
      <c r="Q108" t="str">
        <f>_xlfn.XLOOKUP(frasest[[#This Row],[autor_es]],autorest[autor_es],autorest[imagen])</f>
        <v>https://i.ibb.co/chhLXqTZ/agustin.png</v>
      </c>
      <c r="R108">
        <f>_xlfn.XLOOKUP(frasest[[#This Row],[autor_es]],autorest[autor_es],autorest[imagen_atr])</f>
        <v>0</v>
      </c>
    </row>
    <row r="109" spans="1:18">
      <c r="A109">
        <v>108</v>
      </c>
      <c r="B109" t="s">
        <v>373</v>
      </c>
      <c r="C109" s="7" t="s">
        <v>374</v>
      </c>
      <c r="D109" t="s">
        <v>375</v>
      </c>
      <c r="E109" t="s">
        <v>376</v>
      </c>
      <c r="F109" t="s">
        <v>377</v>
      </c>
      <c r="G109" t="str">
        <f>_xlfn.XLOOKUP(frasest[[#This Row],[autor_es]],autorest[autor_es],autorest[autor_la])</f>
        <v>Nelsonus Mandela</v>
      </c>
      <c r="H109" t="str">
        <f>_xlfn.XLOOKUP(frasest[[#This Row],[autor_es]],autorest[autor_es],autorest[bio_es])</f>
        <v>Político y activista sudafricano, primer presidente negro de Sudáfrica y líder contra el apartheid.</v>
      </c>
      <c r="I109" t="str">
        <f>_xlfn.XLOOKUP(frasest[[#This Row],[autor_es]],autorest[autor_es],autorest[bio_la])</f>
        <v>Politicus et activist Africanus Australis, primus praeses niger et apartheid adversator.</v>
      </c>
      <c r="J109" t="str">
        <f>_xlfn.XLOOKUP(frasest[[#This Row],[autor_es]],autorest[autor_es],autorest[codigo])</f>
        <v>en</v>
      </c>
      <c r="K109" t="str">
        <f>_xlfn.XLOOKUP(frasest[[#This Row],[autor_es]],autorest[autor_es],autorest[idioma_es])</f>
        <v>Inglés</v>
      </c>
      <c r="L109" t="str">
        <f>_xlfn.XLOOKUP(frasest[[#This Row],[autor_es]],autorest[autor_es],autorest[idioma_la])</f>
        <v>Lingua Anglica</v>
      </c>
      <c r="M109" t="str">
        <f>_xlfn.XLOOKUP(frasest[[#This Row],[autor_es]],autorest[autor_es],autorest[nacion_es])</f>
        <v>Sudáfrica</v>
      </c>
      <c r="N109" t="str">
        <f>_xlfn.XLOOKUP(frasest[[#This Row],[autor_es]],autorest[autor_es],autorest[nacion_la])</f>
        <v>Africa Australis</v>
      </c>
      <c r="O109" t="str">
        <f>_xlfn.XLOOKUP(frasest[[#This Row],[autor_es]],autorest[autor_es],autorest[epoca_es])</f>
        <v>Edad Contemporánea</v>
      </c>
      <c r="P109" t="str">
        <f>_xlfn.XLOOKUP(frasest[[#This Row],[autor_es]],autorest[autor_es],autorest[epoca_la])</f>
        <v>Aetas Contemporanea</v>
      </c>
      <c r="Q109" t="str">
        <f>_xlfn.XLOOKUP(frasest[[#This Row],[autor_es]],autorest[autor_es],autorest[imagen])</f>
        <v>https://i.ibb.co/qYBzbNJH/mandela.png</v>
      </c>
      <c r="R109">
        <f>_xlfn.XLOOKUP(frasest[[#This Row],[autor_es]],autorest[autor_es],autorest[imagen_atr])</f>
        <v>0</v>
      </c>
    </row>
    <row r="110" spans="1:18">
      <c r="A110">
        <v>109</v>
      </c>
      <c r="B110" t="s">
        <v>378</v>
      </c>
      <c r="C110" t="s">
        <v>379</v>
      </c>
      <c r="D110" t="s">
        <v>380</v>
      </c>
      <c r="E110" t="s">
        <v>381</v>
      </c>
      <c r="F110" t="s">
        <v>382</v>
      </c>
      <c r="G110" t="str">
        <f>_xlfn.XLOOKUP(frasest[[#This Row],[autor_es]],autorest[autor_es],autorest[autor_la])</f>
        <v>Mohandas Gandhi</v>
      </c>
      <c r="H110" t="str">
        <f>_xlfn.XLOOKUP(frasest[[#This Row],[autor_es]],autorest[autor_es],autorest[bio_es])</f>
        <v>Líder político y espiritual de India, impulsor de la resistencia no violenta.</v>
      </c>
      <c r="I110" t="str">
        <f>_xlfn.XLOOKUP(frasest[[#This Row],[autor_es]],autorest[autor_es],autorest[bio_la])</f>
        <v>Dux politicis et spiritualis Indiae, resistentiam non violentam promovere.</v>
      </c>
      <c r="J110" t="str">
        <f>_xlfn.XLOOKUP(frasest[[#This Row],[autor_es]],autorest[autor_es],autorest[codigo])</f>
        <v>en</v>
      </c>
      <c r="K110" t="str">
        <f>_xlfn.XLOOKUP(frasest[[#This Row],[autor_es]],autorest[autor_es],autorest[idioma_es])</f>
        <v>Inglés</v>
      </c>
      <c r="L110" t="str">
        <f>_xlfn.XLOOKUP(frasest[[#This Row],[autor_es]],autorest[autor_es],autorest[idioma_la])</f>
        <v>Lingua Anglica</v>
      </c>
      <c r="M110" t="str">
        <f>_xlfn.XLOOKUP(frasest[[#This Row],[autor_es]],autorest[autor_es],autorest[nacion_es])</f>
        <v>India</v>
      </c>
      <c r="N110" t="str">
        <f>_xlfn.XLOOKUP(frasest[[#This Row],[autor_es]],autorest[autor_es],autorest[nacion_la])</f>
        <v>India</v>
      </c>
      <c r="O110" t="str">
        <f>_xlfn.XLOOKUP(frasest[[#This Row],[autor_es]],autorest[autor_es],autorest[epoca_es])</f>
        <v>Edad Contemporánea</v>
      </c>
      <c r="P110" t="str">
        <f>_xlfn.XLOOKUP(frasest[[#This Row],[autor_es]],autorest[autor_es],autorest[epoca_la])</f>
        <v>Aetas Contemporanea</v>
      </c>
      <c r="Q110" t="str">
        <f>_xlfn.XLOOKUP(frasest[[#This Row],[autor_es]],autorest[autor_es],autorest[imagen])</f>
        <v>https://i.ibb.co/hFVyv04H/gandhi.png</v>
      </c>
      <c r="R110">
        <f>_xlfn.XLOOKUP(frasest[[#This Row],[autor_es]],autorest[autor_es],autorest[imagen_atr])</f>
        <v>0</v>
      </c>
    </row>
    <row r="111" spans="1:18">
      <c r="A111">
        <v>110</v>
      </c>
      <c r="B111" t="s">
        <v>383</v>
      </c>
      <c r="C111" t="s">
        <v>384</v>
      </c>
      <c r="D111" t="s">
        <v>385</v>
      </c>
      <c r="E111" t="s">
        <v>386</v>
      </c>
      <c r="F111" t="s">
        <v>387</v>
      </c>
      <c r="G111" t="str">
        <f>_xlfn.XLOOKUP(frasest[[#This Row],[autor_es]],autorest[autor_es],autorest[autor_la])</f>
        <v>Albertus Einstein</v>
      </c>
      <c r="H111" t="str">
        <f>_xlfn.XLOOKUP(frasest[[#This Row],[autor_es]],autorest[autor_es],autorest[bio_es])</f>
        <v>Físico teórico alemán, desarrolló la teoría de la relatividad.</v>
      </c>
      <c r="I111" t="str">
        <f>_xlfn.XLOOKUP(frasest[[#This Row],[autor_es]],autorest[autor_es],autorest[bio_la])</f>
        <v>Physicus theoreticus Germanicus, theoriam relativitatis excogitavit.</v>
      </c>
      <c r="J111" t="str">
        <f>_xlfn.XLOOKUP(frasest[[#This Row],[autor_es]],autorest[autor_es],autorest[codigo])</f>
        <v>en</v>
      </c>
      <c r="K111" t="str">
        <f>_xlfn.XLOOKUP(frasest[[#This Row],[autor_es]],autorest[autor_es],autorest[idioma_es])</f>
        <v>Inglés</v>
      </c>
      <c r="L111" t="str">
        <f>_xlfn.XLOOKUP(frasest[[#This Row],[autor_es]],autorest[autor_es],autorest[idioma_la])</f>
        <v>Lingua Anglica</v>
      </c>
      <c r="M111" t="str">
        <f>_xlfn.XLOOKUP(frasest[[#This Row],[autor_es]],autorest[autor_es],autorest[nacion_es])</f>
        <v>Alemania</v>
      </c>
      <c r="N111" t="str">
        <f>_xlfn.XLOOKUP(frasest[[#This Row],[autor_es]],autorest[autor_es],autorest[nacion_la])</f>
        <v>Germania</v>
      </c>
      <c r="O111" t="str">
        <f>_xlfn.XLOOKUP(frasest[[#This Row],[autor_es]],autorest[autor_es],autorest[epoca_es])</f>
        <v>Edad Contemporánea</v>
      </c>
      <c r="P111" t="str">
        <f>_xlfn.XLOOKUP(frasest[[#This Row],[autor_es]],autorest[autor_es],autorest[epoca_la])</f>
        <v>Aetas Contemporanea</v>
      </c>
      <c r="Q111" t="str">
        <f>_xlfn.XLOOKUP(frasest[[#This Row],[autor_es]],autorest[autor_es],autorest[imagen])</f>
        <v>https://i.ibb.co/XkSxyZyF/einstein.png</v>
      </c>
      <c r="R111">
        <f>_xlfn.XLOOKUP(frasest[[#This Row],[autor_es]],autorest[autor_es],autorest[imagen_atr])</f>
        <v>0</v>
      </c>
    </row>
    <row r="112" spans="1:18">
      <c r="A112">
        <v>111</v>
      </c>
      <c r="B112" t="s">
        <v>388</v>
      </c>
      <c r="C112" t="s">
        <v>389</v>
      </c>
      <c r="D112" t="s">
        <v>390</v>
      </c>
      <c r="E112" t="s">
        <v>391</v>
      </c>
      <c r="F112" t="s">
        <v>392</v>
      </c>
      <c r="G112" t="str">
        <f>_xlfn.XLOOKUP(frasest[[#This Row],[autor_es]],autorest[autor_es],autorest[autor_la])</f>
        <v>Martin Luther King</v>
      </c>
      <c r="H112" t="str">
        <f>_xlfn.XLOOKUP(frasest[[#This Row],[autor_es]],autorest[autor_es],autorest[bio_es])</f>
        <v>Líder del movimiento por los derechos civiles en Estados Unidos y activista por la igualdad racial.</v>
      </c>
      <c r="I112" t="str">
        <f>_xlfn.XLOOKUP(frasest[[#This Row],[autor_es]],autorest[autor_es],autorest[bio_la])</f>
        <v>Dux iurium civilium et activist aequalitatis racialium in Civitatibus Foederatis.</v>
      </c>
      <c r="J112" t="str">
        <f>_xlfn.XLOOKUP(frasest[[#This Row],[autor_es]],autorest[autor_es],autorest[codigo])</f>
        <v>en</v>
      </c>
      <c r="K112" t="str">
        <f>_xlfn.XLOOKUP(frasest[[#This Row],[autor_es]],autorest[autor_es],autorest[idioma_es])</f>
        <v>Inglés</v>
      </c>
      <c r="L112" t="str">
        <f>_xlfn.XLOOKUP(frasest[[#This Row],[autor_es]],autorest[autor_es],autorest[idioma_la])</f>
        <v>Lingua Anglica</v>
      </c>
      <c r="M112" t="str">
        <f>_xlfn.XLOOKUP(frasest[[#This Row],[autor_es]],autorest[autor_es],autorest[nacion_es])</f>
        <v>Estados Unidos</v>
      </c>
      <c r="N112" t="str">
        <f>_xlfn.XLOOKUP(frasest[[#This Row],[autor_es]],autorest[autor_es],autorest[nacion_la])</f>
        <v>Civitates Foederatae Americae</v>
      </c>
      <c r="O112" t="str">
        <f>_xlfn.XLOOKUP(frasest[[#This Row],[autor_es]],autorest[autor_es],autorest[epoca_es])</f>
        <v>Edad Contemporánea</v>
      </c>
      <c r="P112" t="str">
        <f>_xlfn.XLOOKUP(frasest[[#This Row],[autor_es]],autorest[autor_es],autorest[epoca_la])</f>
        <v>Aetas Contemporanea</v>
      </c>
      <c r="Q112" t="str">
        <f>_xlfn.XLOOKUP(frasest[[#This Row],[autor_es]],autorest[autor_es],autorest[imagen])</f>
        <v>https://i.ibb.co/GBYRvH9/king.png</v>
      </c>
      <c r="R112">
        <f>_xlfn.XLOOKUP(frasest[[#This Row],[autor_es]],autorest[autor_es],autorest[imagen_atr])</f>
        <v>0</v>
      </c>
    </row>
    <row r="113" spans="1:18">
      <c r="A113">
        <v>112</v>
      </c>
      <c r="B113" t="s">
        <v>393</v>
      </c>
      <c r="C113" t="s">
        <v>394</v>
      </c>
      <c r="D113" t="s">
        <v>395</v>
      </c>
      <c r="E113" t="s">
        <v>396</v>
      </c>
      <c r="F113" t="s">
        <v>397</v>
      </c>
      <c r="G113" t="str">
        <f>_xlfn.XLOOKUP(frasest[[#This Row],[autor_es]],autorest[autor_es],autorest[autor_la])</f>
        <v>Ioannes Dewey</v>
      </c>
      <c r="H113" t="str">
        <f>_xlfn.XLOOKUP(frasest[[#This Row],[autor_es]],autorest[autor_es],autorest[bio_es])</f>
        <v>Filósofo y pedagogo estadounidense, defensor de la educación progresista.</v>
      </c>
      <c r="I113" t="str">
        <f>_xlfn.XLOOKUP(frasest[[#This Row],[autor_es]],autorest[autor_es],autorest[bio_la])</f>
        <v>Philosophus et paedagogus Americanus, educationem progressivam defendens.</v>
      </c>
      <c r="J113" t="str">
        <f>_xlfn.XLOOKUP(frasest[[#This Row],[autor_es]],autorest[autor_es],autorest[codigo])</f>
        <v>en</v>
      </c>
      <c r="K113" t="str">
        <f>_xlfn.XLOOKUP(frasest[[#This Row],[autor_es]],autorest[autor_es],autorest[idioma_es])</f>
        <v>Inglés</v>
      </c>
      <c r="L113" t="str">
        <f>_xlfn.XLOOKUP(frasest[[#This Row],[autor_es]],autorest[autor_es],autorest[idioma_la])</f>
        <v>Lingua Anglica</v>
      </c>
      <c r="M113" t="str">
        <f>_xlfn.XLOOKUP(frasest[[#This Row],[autor_es]],autorest[autor_es],autorest[nacion_es])</f>
        <v>Estados Unidos</v>
      </c>
      <c r="N113" t="str">
        <f>_xlfn.XLOOKUP(frasest[[#This Row],[autor_es]],autorest[autor_es],autorest[nacion_la])</f>
        <v>Civitates Foederatae Americae</v>
      </c>
      <c r="O113" t="str">
        <f>_xlfn.XLOOKUP(frasest[[#This Row],[autor_es]],autorest[autor_es],autorest[epoca_es])</f>
        <v>Edad Contemporánea</v>
      </c>
      <c r="P113" t="str">
        <f>_xlfn.XLOOKUP(frasest[[#This Row],[autor_es]],autorest[autor_es],autorest[epoca_la])</f>
        <v>Aetas Contemporanea</v>
      </c>
      <c r="Q113" t="str">
        <f>_xlfn.XLOOKUP(frasest[[#This Row],[autor_es]],autorest[autor_es],autorest[imagen])</f>
        <v>https://i.ibb.co/C5cSzJyL/dewey.png</v>
      </c>
      <c r="R113">
        <f>_xlfn.XLOOKUP(frasest[[#This Row],[autor_es]],autorest[autor_es],autorest[imagen_atr])</f>
        <v>0</v>
      </c>
    </row>
    <row r="114" spans="1:18">
      <c r="A114">
        <v>113</v>
      </c>
      <c r="B114" t="s">
        <v>398</v>
      </c>
      <c r="C114" t="s">
        <v>399</v>
      </c>
      <c r="D114" t="s">
        <v>400</v>
      </c>
      <c r="E114" t="s">
        <v>401</v>
      </c>
      <c r="F114" t="s">
        <v>402</v>
      </c>
      <c r="G114" t="str">
        <f>_xlfn.XLOOKUP(frasest[[#This Row],[autor_es]],autorest[autor_es],autorest[autor_la])</f>
        <v>Benjaminus Franklin</v>
      </c>
      <c r="H114" t="str">
        <f>_xlfn.XLOOKUP(frasest[[#This Row],[autor_es]],autorest[autor_es],autorest[bio_es])</f>
        <v>Político, científico y escritor estadounidense, uno de los Padres Fundadores de Estados Unidos.</v>
      </c>
      <c r="I114" t="str">
        <f>_xlfn.XLOOKUP(frasest[[#This Row],[autor_es]],autorest[autor_es],autorest[bio_la])</f>
        <v>Politicus, sapiens et scriptor Americanus, unus ex Patribus Fundatoribus.</v>
      </c>
      <c r="J114" t="str">
        <f>_xlfn.XLOOKUP(frasest[[#This Row],[autor_es]],autorest[autor_es],autorest[codigo])</f>
        <v>en</v>
      </c>
      <c r="K114" t="str">
        <f>_xlfn.XLOOKUP(frasest[[#This Row],[autor_es]],autorest[autor_es],autorest[idioma_es])</f>
        <v>Inglés</v>
      </c>
      <c r="L114" t="str">
        <f>_xlfn.XLOOKUP(frasest[[#This Row],[autor_es]],autorest[autor_es],autorest[idioma_la])</f>
        <v>Lingua Anglica</v>
      </c>
      <c r="M114" t="str">
        <f>_xlfn.XLOOKUP(frasest[[#This Row],[autor_es]],autorest[autor_es],autorest[nacion_es])</f>
        <v>Estados Unidos</v>
      </c>
      <c r="N114" t="str">
        <f>_xlfn.XLOOKUP(frasest[[#This Row],[autor_es]],autorest[autor_es],autorest[nacion_la])</f>
        <v>Civitates Foederatae Americae</v>
      </c>
      <c r="O114" t="str">
        <f>_xlfn.XLOOKUP(frasest[[#This Row],[autor_es]],autorest[autor_es],autorest[epoca_es])</f>
        <v>Edad Moderna</v>
      </c>
      <c r="P114" t="str">
        <f>_xlfn.XLOOKUP(frasest[[#This Row],[autor_es]],autorest[autor_es],autorest[epoca_la])</f>
        <v>Nova Aetas</v>
      </c>
      <c r="Q114" t="str">
        <f>_xlfn.XLOOKUP(frasest[[#This Row],[autor_es]],autorest[autor_es],autorest[imagen])</f>
        <v>https://i.ibb.co/d08LLy25/franklin.png</v>
      </c>
      <c r="R114">
        <f>_xlfn.XLOOKUP(frasest[[#This Row],[autor_es]],autorest[autor_es],autorest[imagen_atr])</f>
        <v>0</v>
      </c>
    </row>
    <row r="115" spans="1:18">
      <c r="A115">
        <v>114</v>
      </c>
      <c r="B115" t="s">
        <v>403</v>
      </c>
      <c r="C115" t="s">
        <v>404</v>
      </c>
      <c r="D115" t="s">
        <v>405</v>
      </c>
      <c r="E115" t="s">
        <v>406</v>
      </c>
      <c r="F115" t="s">
        <v>407</v>
      </c>
      <c r="G115" t="str">
        <f>_xlfn.XLOOKUP(frasest[[#This Row],[autor_es]],autorest[autor_es],autorest[autor_la])</f>
        <v>Leonardus Vincius</v>
      </c>
      <c r="H115" t="str">
        <f>_xlfn.XLOOKUP(frasest[[#This Row],[autor_es]],autorest[autor_es],autorest[bio_es])</f>
        <v>Artista, inventor y científico italiano del Renacimiento.</v>
      </c>
      <c r="I115" t="str">
        <f>_xlfn.XLOOKUP(frasest[[#This Row],[autor_es]],autorest[autor_es],autorest[bio_la])</f>
        <v>Artifex, inventor et physicus Italicus Renaissance.</v>
      </c>
      <c r="J115" t="str">
        <f>_xlfn.XLOOKUP(frasest[[#This Row],[autor_es]],autorest[autor_es],autorest[codigo])</f>
        <v>la</v>
      </c>
      <c r="K115" t="str">
        <f>_xlfn.XLOOKUP(frasest[[#This Row],[autor_es]],autorest[autor_es],autorest[idioma_es])</f>
        <v>Latín</v>
      </c>
      <c r="L115" t="str">
        <f>_xlfn.XLOOKUP(frasest[[#This Row],[autor_es]],autorest[autor_es],autorest[idioma_la])</f>
        <v>Lingua Latina</v>
      </c>
      <c r="M115" t="str">
        <f>_xlfn.XLOOKUP(frasest[[#This Row],[autor_es]],autorest[autor_es],autorest[nacion_es])</f>
        <v>Italia</v>
      </c>
      <c r="N115" t="str">
        <f>_xlfn.XLOOKUP(frasest[[#This Row],[autor_es]],autorest[autor_es],autorest[nacion_la])</f>
        <v>Italia</v>
      </c>
      <c r="O115" t="str">
        <f>_xlfn.XLOOKUP(frasest[[#This Row],[autor_es]],autorest[autor_es],autorest[epoca_es])</f>
        <v>Edad Media</v>
      </c>
      <c r="P115" t="str">
        <f>_xlfn.XLOOKUP(frasest[[#This Row],[autor_es]],autorest[autor_es],autorest[epoca_la])</f>
        <v>Medium Aevum</v>
      </c>
      <c r="Q115" t="str">
        <f>_xlfn.XLOOKUP(frasest[[#This Row],[autor_es]],autorest[autor_es],autorest[imagen])</f>
        <v>https://i.ibb.co/prKj8Gtz/davinci.png</v>
      </c>
      <c r="R115">
        <f>_xlfn.XLOOKUP(frasest[[#This Row],[autor_es]],autorest[autor_es],autorest[imagen_atr])</f>
        <v>0</v>
      </c>
    </row>
    <row r="116" spans="1:18">
      <c r="A116">
        <v>115</v>
      </c>
      <c r="B116" t="s">
        <v>408</v>
      </c>
      <c r="C116" t="s">
        <v>409</v>
      </c>
      <c r="D116" s="1" t="s">
        <v>410</v>
      </c>
      <c r="E116" t="s">
        <v>95</v>
      </c>
      <c r="F116" t="s">
        <v>411</v>
      </c>
      <c r="G116" t="str">
        <f>_xlfn.XLOOKUP(frasest[[#This Row],[autor_es]],autorest[autor_es],autorest[autor_la])</f>
        <v>Confucius</v>
      </c>
      <c r="H116" t="str">
        <f>_xlfn.XLOOKUP(frasest[[#This Row],[autor_es]],autorest[autor_es],autorest[bio_es])</f>
        <v>Filósofo y maestro chino, fundador del confucianismo. Sus enseñanzas influyeron profundamente en la cultura, ética y política de China.</v>
      </c>
      <c r="I116" t="str">
        <f>_xlfn.XLOOKUP(frasest[[#This Row],[autor_es]],autorest[autor_es],autorest[bio_la])</f>
        <v>Philosophus et magister Sinensis, confucianismi conditor. Doctrinae eius in culturam, ethicam et politicam Sinensem profunde influentes.</v>
      </c>
      <c r="J116" t="str">
        <f>_xlfn.XLOOKUP(frasest[[#This Row],[autor_es]],autorest[autor_es],autorest[codigo])</f>
        <v>zh</v>
      </c>
      <c r="K116" t="str">
        <f>_xlfn.XLOOKUP(frasest[[#This Row],[autor_es]],autorest[autor_es],autorest[idioma_es])</f>
        <v>Chino</v>
      </c>
      <c r="L116" t="str">
        <f>_xlfn.XLOOKUP(frasest[[#This Row],[autor_es]],autorest[autor_es],autorest[idioma_la])</f>
        <v>Lingua Sinica</v>
      </c>
      <c r="M116" t="str">
        <f>_xlfn.XLOOKUP(frasest[[#This Row],[autor_es]],autorest[autor_es],autorest[nacion_es])</f>
        <v>China</v>
      </c>
      <c r="N116" t="str">
        <f>_xlfn.XLOOKUP(frasest[[#This Row],[autor_es]],autorest[autor_es],autorest[nacion_la])</f>
        <v>Sinae</v>
      </c>
      <c r="O116" t="str">
        <f>_xlfn.XLOOKUP(frasest[[#This Row],[autor_es]],autorest[autor_es],autorest[epoca_es])</f>
        <v>Edad Antigua</v>
      </c>
      <c r="P116" t="str">
        <f>_xlfn.XLOOKUP(frasest[[#This Row],[autor_es]],autorest[autor_es],autorest[epoca_la])</f>
        <v>Antiquitas</v>
      </c>
      <c r="Q116" t="str">
        <f>_xlfn.XLOOKUP(frasest[[#This Row],[autor_es]],autorest[autor_es],autorest[imagen])</f>
        <v>https://i.ibb.co/tjXTLg8/confucio.png</v>
      </c>
      <c r="R116">
        <f>_xlfn.XLOOKUP(frasest[[#This Row],[autor_es]],autorest[autor_es],autorest[imagen_atr])</f>
        <v>0</v>
      </c>
    </row>
    <row r="117" spans="1:18" ht="14.25">
      <c r="A117">
        <v>116</v>
      </c>
      <c r="B117" t="s">
        <v>412</v>
      </c>
      <c r="C117" t="s">
        <v>413</v>
      </c>
      <c r="D117" s="2" t="s">
        <v>414</v>
      </c>
      <c r="E117" t="s">
        <v>415</v>
      </c>
      <c r="G117" t="str">
        <f>_xlfn.XLOOKUP(frasest[[#This Row],[autor_es]],autorest[autor_es],autorest[autor_la])</f>
        <v>Proverbium Tibetanum</v>
      </c>
      <c r="H117" t="str">
        <f>_xlfn.XLOOKUP(frasest[[#This Row],[autor_es]],autorest[autor_es],autorest[bio_es])</f>
        <v>Proverbios de la tradición tibetana inspirados en la filosofía budista, centrados en la compasión, la impermanencia y el equilibrio interior.</v>
      </c>
      <c r="I117" t="str">
        <f>_xlfn.XLOOKUP(frasest[[#This Row],[autor_es]],autorest[autor_es],autorest[bio_la])</f>
        <v>Collectio sententiarum Tibeticarum.</v>
      </c>
      <c r="J117" t="str">
        <f>_xlfn.XLOOKUP(frasest[[#This Row],[autor_es]],autorest[autor_es],autorest[codigo])</f>
        <v>bo</v>
      </c>
      <c r="K117" t="str">
        <f>_xlfn.XLOOKUP(frasest[[#This Row],[autor_es]],autorest[autor_es],autorest[idioma_es])</f>
        <v>Tibetano</v>
      </c>
      <c r="L117" t="str">
        <f>_xlfn.XLOOKUP(frasest[[#This Row],[autor_es]],autorest[autor_es],autorest[idioma_la])</f>
        <v>Lingua Tibetica</v>
      </c>
      <c r="M117" t="str">
        <f>_xlfn.XLOOKUP(frasest[[#This Row],[autor_es]],autorest[autor_es],autorest[nacion_es])</f>
        <v>Tíbet</v>
      </c>
      <c r="N117" t="str">
        <f>_xlfn.XLOOKUP(frasest[[#This Row],[autor_es]],autorest[autor_es],autorest[nacion_la])</f>
        <v>Thibetum</v>
      </c>
      <c r="O117" t="str">
        <f>_xlfn.XLOOKUP(frasest[[#This Row],[autor_es]],autorest[autor_es],autorest[epoca_es])</f>
        <v>Epoca Desconocida</v>
      </c>
      <c r="P117" t="str">
        <f>_xlfn.XLOOKUP(frasest[[#This Row],[autor_es]],autorest[autor_es],autorest[epoca_la])</f>
        <v>Epocha Ignota</v>
      </c>
      <c r="Q117" t="str">
        <f>_xlfn.XLOOKUP(frasest[[#This Row],[autor_es]],autorest[autor_es],autorest[imagen])</f>
        <v>https://i.ibb.co/G4YNT7DT/tibet.png</v>
      </c>
      <c r="R117">
        <f>_xlfn.XLOOKUP(frasest[[#This Row],[autor_es]],autorest[autor_es],autorest[imagen_atr])</f>
        <v>0</v>
      </c>
    </row>
    <row r="118" spans="1:18">
      <c r="A118">
        <v>117</v>
      </c>
      <c r="B118" t="s">
        <v>416</v>
      </c>
      <c r="C118" t="s">
        <v>417</v>
      </c>
      <c r="D118" t="s">
        <v>418</v>
      </c>
      <c r="E118" t="s">
        <v>419</v>
      </c>
      <c r="F118" t="s">
        <v>420</v>
      </c>
      <c r="G118" t="str">
        <f>_xlfn.XLOOKUP(frasest[[#This Row],[autor_es]],autorest[autor_es],autorest[autor_la])</f>
        <v>Thales Miletaeus</v>
      </c>
      <c r="H118" t="str">
        <f>_xlfn.XLOOKUP(frasest[[#This Row],[autor_es]],autorest[autor_es],autorest[bio_es])</f>
        <v>Filósofo griego presocrático de Mileto, considerado el primer filósofo de Occidente y uno de los Siete Sabios. Predijo el eclipse solar del 585 a.C. y propuso que el agua es la sustancia primordial.</v>
      </c>
      <c r="I118" t="str">
        <f>_xlfn.XLOOKUP(frasest[[#This Row],[autor_es]],autorest[autor_es],autorest[bio_la])</f>
        <v>Philosophus Graecus Praesocraticus Miletaeus, primus philosophus Occidentis et unus ex Septem Sapientibus. Praedixit eclipsis solis anno 585 a.C. et aquam substantiam primordialem proposuit.</v>
      </c>
      <c r="J118" t="str">
        <f>_xlfn.XLOOKUP(frasest[[#This Row],[autor_es]],autorest[autor_es],autorest[codigo])</f>
        <v>el</v>
      </c>
      <c r="K118" t="str">
        <f>_xlfn.XLOOKUP(frasest[[#This Row],[autor_es]],autorest[autor_es],autorest[idioma_es])</f>
        <v>Griego</v>
      </c>
      <c r="L118" t="str">
        <f>_xlfn.XLOOKUP(frasest[[#This Row],[autor_es]],autorest[autor_es],autorest[idioma_la])</f>
        <v>Lingua Graeca</v>
      </c>
      <c r="M118" t="str">
        <f>_xlfn.XLOOKUP(frasest[[#This Row],[autor_es]],autorest[autor_es],autorest[nacion_es])</f>
        <v>Grecia</v>
      </c>
      <c r="N118" t="str">
        <f>_xlfn.XLOOKUP(frasest[[#This Row],[autor_es]],autorest[autor_es],autorest[nacion_la])</f>
        <v>Graecia</v>
      </c>
      <c r="O118" t="str">
        <f>_xlfn.XLOOKUP(frasest[[#This Row],[autor_es]],autorest[autor_es],autorest[epoca_es])</f>
        <v>Edad Antigua</v>
      </c>
      <c r="P118" t="str">
        <f>_xlfn.XLOOKUP(frasest[[#This Row],[autor_es]],autorest[autor_es],autorest[epoca_la])</f>
        <v>Antiquitas</v>
      </c>
      <c r="Q118" t="str">
        <f>_xlfn.XLOOKUP(frasest[[#This Row],[autor_es]],autorest[autor_es],autorest[imagen])</f>
        <v>https://i.ibb.co/qLzHP6XJ/tales.png</v>
      </c>
      <c r="R118">
        <f>_xlfn.XLOOKUP(frasest[[#This Row],[autor_es]],autorest[autor_es],autorest[imagen_atr])</f>
        <v>0</v>
      </c>
    </row>
    <row r="119" spans="1:18">
      <c r="A119">
        <v>118</v>
      </c>
      <c r="B119" t="s">
        <v>421</v>
      </c>
      <c r="C119" t="s">
        <v>422</v>
      </c>
      <c r="D119" t="s">
        <v>423</v>
      </c>
      <c r="E119" t="s">
        <v>419</v>
      </c>
      <c r="F119" t="s">
        <v>424</v>
      </c>
      <c r="G119" t="str">
        <f>_xlfn.XLOOKUP(frasest[[#This Row],[autor_es]],autorest[autor_es],autorest[autor_la])</f>
        <v>Thales Miletaeus</v>
      </c>
      <c r="H119" t="str">
        <f>_xlfn.XLOOKUP(frasest[[#This Row],[autor_es]],autorest[autor_es],autorest[bio_es])</f>
        <v>Filósofo griego presocrático de Mileto, considerado el primer filósofo de Occidente y uno de los Siete Sabios. Predijo el eclipse solar del 585 a.C. y propuso que el agua es la sustancia primordial.</v>
      </c>
      <c r="I119" t="str">
        <f>_xlfn.XLOOKUP(frasest[[#This Row],[autor_es]],autorest[autor_es],autorest[bio_la])</f>
        <v>Philosophus Graecus Praesocraticus Miletaeus, primus philosophus Occidentis et unus ex Septem Sapientibus. Praedixit eclipsis solis anno 585 a.C. et aquam substantiam primordialem proposuit.</v>
      </c>
      <c r="J119" t="str">
        <f>_xlfn.XLOOKUP(frasest[[#This Row],[autor_es]],autorest[autor_es],autorest[codigo])</f>
        <v>el</v>
      </c>
      <c r="K119" t="str">
        <f>_xlfn.XLOOKUP(frasest[[#This Row],[autor_es]],autorest[autor_es],autorest[idioma_es])</f>
        <v>Griego</v>
      </c>
      <c r="L119" t="str">
        <f>_xlfn.XLOOKUP(frasest[[#This Row],[autor_es]],autorest[autor_es],autorest[idioma_la])</f>
        <v>Lingua Graeca</v>
      </c>
      <c r="M119" t="str">
        <f>_xlfn.XLOOKUP(frasest[[#This Row],[autor_es]],autorest[autor_es],autorest[nacion_es])</f>
        <v>Grecia</v>
      </c>
      <c r="N119" t="str">
        <f>_xlfn.XLOOKUP(frasest[[#This Row],[autor_es]],autorest[autor_es],autorest[nacion_la])</f>
        <v>Graecia</v>
      </c>
      <c r="O119" t="str">
        <f>_xlfn.XLOOKUP(frasest[[#This Row],[autor_es]],autorest[autor_es],autorest[epoca_es])</f>
        <v>Edad Antigua</v>
      </c>
      <c r="P119" t="str">
        <f>_xlfn.XLOOKUP(frasest[[#This Row],[autor_es]],autorest[autor_es],autorest[epoca_la])</f>
        <v>Antiquitas</v>
      </c>
      <c r="Q119" t="str">
        <f>_xlfn.XLOOKUP(frasest[[#This Row],[autor_es]],autorest[autor_es],autorest[imagen])</f>
        <v>https://i.ibb.co/qLzHP6XJ/tales.png</v>
      </c>
      <c r="R119">
        <f>_xlfn.XLOOKUP(frasest[[#This Row],[autor_es]],autorest[autor_es],autorest[imagen_atr])</f>
        <v>0</v>
      </c>
    </row>
    <row r="120" spans="1:18">
      <c r="A120">
        <v>119</v>
      </c>
      <c r="B120" t="s">
        <v>425</v>
      </c>
      <c r="C120" t="s">
        <v>426</v>
      </c>
      <c r="D120" t="s">
        <v>427</v>
      </c>
      <c r="E120" t="s">
        <v>419</v>
      </c>
      <c r="F120" t="s">
        <v>428</v>
      </c>
      <c r="G120" t="str">
        <f>_xlfn.XLOOKUP(frasest[[#This Row],[autor_es]],autorest[autor_es],autorest[autor_la])</f>
        <v>Thales Miletaeus</v>
      </c>
      <c r="H120" t="str">
        <f>_xlfn.XLOOKUP(frasest[[#This Row],[autor_es]],autorest[autor_es],autorest[bio_es])</f>
        <v>Filósofo griego presocrático de Mileto, considerado el primer filósofo de Occidente y uno de los Siete Sabios. Predijo el eclipse solar del 585 a.C. y propuso que el agua es la sustancia primordial.</v>
      </c>
      <c r="I120" t="str">
        <f>_xlfn.XLOOKUP(frasest[[#This Row],[autor_es]],autorest[autor_es],autorest[bio_la])</f>
        <v>Philosophus Graecus Praesocraticus Miletaeus, primus philosophus Occidentis et unus ex Septem Sapientibus. Praedixit eclipsis solis anno 585 a.C. et aquam substantiam primordialem proposuit.</v>
      </c>
      <c r="J120" t="str">
        <f>_xlfn.XLOOKUP(frasest[[#This Row],[autor_es]],autorest[autor_es],autorest[codigo])</f>
        <v>el</v>
      </c>
      <c r="K120" t="str">
        <f>_xlfn.XLOOKUP(frasest[[#This Row],[autor_es]],autorest[autor_es],autorest[idioma_es])</f>
        <v>Griego</v>
      </c>
      <c r="L120" t="str">
        <f>_xlfn.XLOOKUP(frasest[[#This Row],[autor_es]],autorest[autor_es],autorest[idioma_la])</f>
        <v>Lingua Graeca</v>
      </c>
      <c r="M120" t="str">
        <f>_xlfn.XLOOKUP(frasest[[#This Row],[autor_es]],autorest[autor_es],autorest[nacion_es])</f>
        <v>Grecia</v>
      </c>
      <c r="N120" t="str">
        <f>_xlfn.XLOOKUP(frasest[[#This Row],[autor_es]],autorest[autor_es],autorest[nacion_la])</f>
        <v>Graecia</v>
      </c>
      <c r="O120" t="str">
        <f>_xlfn.XLOOKUP(frasest[[#This Row],[autor_es]],autorest[autor_es],autorest[epoca_es])</f>
        <v>Edad Antigua</v>
      </c>
      <c r="P120" t="str">
        <f>_xlfn.XLOOKUP(frasest[[#This Row],[autor_es]],autorest[autor_es],autorest[epoca_la])</f>
        <v>Antiquitas</v>
      </c>
      <c r="Q120" t="str">
        <f>_xlfn.XLOOKUP(frasest[[#This Row],[autor_es]],autorest[autor_es],autorest[imagen])</f>
        <v>https://i.ibb.co/qLzHP6XJ/tales.png</v>
      </c>
      <c r="R120">
        <f>_xlfn.XLOOKUP(frasest[[#This Row],[autor_es]],autorest[autor_es],autorest[imagen_atr])</f>
        <v>0</v>
      </c>
    </row>
    <row r="121" spans="1:18">
      <c r="A121">
        <v>120</v>
      </c>
      <c r="B121" t="s">
        <v>429</v>
      </c>
      <c r="C121" t="s">
        <v>430</v>
      </c>
      <c r="D121" t="s">
        <v>431</v>
      </c>
      <c r="E121" t="s">
        <v>419</v>
      </c>
      <c r="F121" t="s">
        <v>432</v>
      </c>
      <c r="G121" t="str">
        <f>_xlfn.XLOOKUP(frasest[[#This Row],[autor_es]],autorest[autor_es],autorest[autor_la])</f>
        <v>Thales Miletaeus</v>
      </c>
      <c r="H121" t="str">
        <f>_xlfn.XLOOKUP(frasest[[#This Row],[autor_es]],autorest[autor_es],autorest[bio_es])</f>
        <v>Filósofo griego presocrático de Mileto, considerado el primer filósofo de Occidente y uno de los Siete Sabios. Predijo el eclipse solar del 585 a.C. y propuso que el agua es la sustancia primordial.</v>
      </c>
      <c r="I121" t="str">
        <f>_xlfn.XLOOKUP(frasest[[#This Row],[autor_es]],autorest[autor_es],autorest[bio_la])</f>
        <v>Philosophus Graecus Praesocraticus Miletaeus, primus philosophus Occidentis et unus ex Septem Sapientibus. Praedixit eclipsis solis anno 585 a.C. et aquam substantiam primordialem proposuit.</v>
      </c>
      <c r="J121" t="str">
        <f>_xlfn.XLOOKUP(frasest[[#This Row],[autor_es]],autorest[autor_es],autorest[codigo])</f>
        <v>el</v>
      </c>
      <c r="K121" t="str">
        <f>_xlfn.XLOOKUP(frasest[[#This Row],[autor_es]],autorest[autor_es],autorest[idioma_es])</f>
        <v>Griego</v>
      </c>
      <c r="L121" t="str">
        <f>_xlfn.XLOOKUP(frasest[[#This Row],[autor_es]],autorest[autor_es],autorest[idioma_la])</f>
        <v>Lingua Graeca</v>
      </c>
      <c r="M121" t="str">
        <f>_xlfn.XLOOKUP(frasest[[#This Row],[autor_es]],autorest[autor_es],autorest[nacion_es])</f>
        <v>Grecia</v>
      </c>
      <c r="N121" t="str">
        <f>_xlfn.XLOOKUP(frasest[[#This Row],[autor_es]],autorest[autor_es],autorest[nacion_la])</f>
        <v>Graecia</v>
      </c>
      <c r="O121" t="str">
        <f>_xlfn.XLOOKUP(frasest[[#This Row],[autor_es]],autorest[autor_es],autorest[epoca_es])</f>
        <v>Edad Antigua</v>
      </c>
      <c r="P121" t="str">
        <f>_xlfn.XLOOKUP(frasest[[#This Row],[autor_es]],autorest[autor_es],autorest[epoca_la])</f>
        <v>Antiquitas</v>
      </c>
      <c r="Q121" t="str">
        <f>_xlfn.XLOOKUP(frasest[[#This Row],[autor_es]],autorest[autor_es],autorest[imagen])</f>
        <v>https://i.ibb.co/qLzHP6XJ/tales.png</v>
      </c>
      <c r="R121">
        <f>_xlfn.XLOOKUP(frasest[[#This Row],[autor_es]],autorest[autor_es],autorest[imagen_atr])</f>
        <v>0</v>
      </c>
    </row>
    <row r="122" spans="1:18">
      <c r="A122">
        <v>121</v>
      </c>
      <c r="B122" t="s">
        <v>433</v>
      </c>
      <c r="C122" t="s">
        <v>434</v>
      </c>
      <c r="D122" t="s">
        <v>435</v>
      </c>
      <c r="E122" t="s">
        <v>419</v>
      </c>
      <c r="F122" t="s">
        <v>436</v>
      </c>
      <c r="G122" t="str">
        <f>_xlfn.XLOOKUP(frasest[[#This Row],[autor_es]],autorest[autor_es],autorest[autor_la])</f>
        <v>Thales Miletaeus</v>
      </c>
      <c r="H122" t="str">
        <f>_xlfn.XLOOKUP(frasest[[#This Row],[autor_es]],autorest[autor_es],autorest[bio_es])</f>
        <v>Filósofo griego presocrático de Mileto, considerado el primer filósofo de Occidente y uno de los Siete Sabios. Predijo el eclipse solar del 585 a.C. y propuso que el agua es la sustancia primordial.</v>
      </c>
      <c r="I122" t="str">
        <f>_xlfn.XLOOKUP(frasest[[#This Row],[autor_es]],autorest[autor_es],autorest[bio_la])</f>
        <v>Philosophus Graecus Praesocraticus Miletaeus, primus philosophus Occidentis et unus ex Septem Sapientibus. Praedixit eclipsis solis anno 585 a.C. et aquam substantiam primordialem proposuit.</v>
      </c>
      <c r="J122" t="str">
        <f>_xlfn.XLOOKUP(frasest[[#This Row],[autor_es]],autorest[autor_es],autorest[codigo])</f>
        <v>el</v>
      </c>
      <c r="K122" t="str">
        <f>_xlfn.XLOOKUP(frasest[[#This Row],[autor_es]],autorest[autor_es],autorest[idioma_es])</f>
        <v>Griego</v>
      </c>
      <c r="L122" t="str">
        <f>_xlfn.XLOOKUP(frasest[[#This Row],[autor_es]],autorest[autor_es],autorest[idioma_la])</f>
        <v>Lingua Graeca</v>
      </c>
      <c r="M122" t="str">
        <f>_xlfn.XLOOKUP(frasest[[#This Row],[autor_es]],autorest[autor_es],autorest[nacion_es])</f>
        <v>Grecia</v>
      </c>
      <c r="N122" t="str">
        <f>_xlfn.XLOOKUP(frasest[[#This Row],[autor_es]],autorest[autor_es],autorest[nacion_la])</f>
        <v>Graecia</v>
      </c>
      <c r="O122" t="str">
        <f>_xlfn.XLOOKUP(frasest[[#This Row],[autor_es]],autorest[autor_es],autorest[epoca_es])</f>
        <v>Edad Antigua</v>
      </c>
      <c r="P122" t="str">
        <f>_xlfn.XLOOKUP(frasest[[#This Row],[autor_es]],autorest[autor_es],autorest[epoca_la])</f>
        <v>Antiquitas</v>
      </c>
      <c r="Q122" t="str">
        <f>_xlfn.XLOOKUP(frasest[[#This Row],[autor_es]],autorest[autor_es],autorest[imagen])</f>
        <v>https://i.ibb.co/qLzHP6XJ/tales.png</v>
      </c>
      <c r="R122">
        <f>_xlfn.XLOOKUP(frasest[[#This Row],[autor_es]],autorest[autor_es],autorest[imagen_atr])</f>
        <v>0</v>
      </c>
    </row>
    <row r="123" spans="1:18">
      <c r="A123">
        <v>122</v>
      </c>
      <c r="B123" t="s">
        <v>437</v>
      </c>
      <c r="C123" t="s">
        <v>438</v>
      </c>
      <c r="D123" t="s">
        <v>439</v>
      </c>
      <c r="E123" t="s">
        <v>419</v>
      </c>
      <c r="F123" t="s">
        <v>440</v>
      </c>
      <c r="G123" t="str">
        <f>_xlfn.XLOOKUP(frasest[[#This Row],[autor_es]],autorest[autor_es],autorest[autor_la])</f>
        <v>Thales Miletaeus</v>
      </c>
      <c r="H123" t="str">
        <f>_xlfn.XLOOKUP(frasest[[#This Row],[autor_es]],autorest[autor_es],autorest[bio_es])</f>
        <v>Filósofo griego presocrático de Mileto, considerado el primer filósofo de Occidente y uno de los Siete Sabios. Predijo el eclipse solar del 585 a.C. y propuso que el agua es la sustancia primordial.</v>
      </c>
      <c r="I123" t="str">
        <f>_xlfn.XLOOKUP(frasest[[#This Row],[autor_es]],autorest[autor_es],autorest[bio_la])</f>
        <v>Philosophus Graecus Praesocraticus Miletaeus, primus philosophus Occidentis et unus ex Septem Sapientibus. Praedixit eclipsis solis anno 585 a.C. et aquam substantiam primordialem proposuit.</v>
      </c>
      <c r="J123" t="str">
        <f>_xlfn.XLOOKUP(frasest[[#This Row],[autor_es]],autorest[autor_es],autorest[codigo])</f>
        <v>el</v>
      </c>
      <c r="K123" t="str">
        <f>_xlfn.XLOOKUP(frasest[[#This Row],[autor_es]],autorest[autor_es],autorest[idioma_es])</f>
        <v>Griego</v>
      </c>
      <c r="L123" t="str">
        <f>_xlfn.XLOOKUP(frasest[[#This Row],[autor_es]],autorest[autor_es],autorest[idioma_la])</f>
        <v>Lingua Graeca</v>
      </c>
      <c r="M123" t="str">
        <f>_xlfn.XLOOKUP(frasest[[#This Row],[autor_es]],autorest[autor_es],autorest[nacion_es])</f>
        <v>Grecia</v>
      </c>
      <c r="N123" t="str">
        <f>_xlfn.XLOOKUP(frasest[[#This Row],[autor_es]],autorest[autor_es],autorest[nacion_la])</f>
        <v>Graecia</v>
      </c>
      <c r="O123" t="str">
        <f>_xlfn.XLOOKUP(frasest[[#This Row],[autor_es]],autorest[autor_es],autorest[epoca_es])</f>
        <v>Edad Antigua</v>
      </c>
      <c r="P123" t="str">
        <f>_xlfn.XLOOKUP(frasest[[#This Row],[autor_es]],autorest[autor_es],autorest[epoca_la])</f>
        <v>Antiquitas</v>
      </c>
      <c r="Q123" t="str">
        <f>_xlfn.XLOOKUP(frasest[[#This Row],[autor_es]],autorest[autor_es],autorest[imagen])</f>
        <v>https://i.ibb.co/qLzHP6XJ/tales.png</v>
      </c>
      <c r="R123">
        <f>_xlfn.XLOOKUP(frasest[[#This Row],[autor_es]],autorest[autor_es],autorest[imagen_atr])</f>
        <v>0</v>
      </c>
    </row>
    <row r="124" spans="1:18">
      <c r="A124">
        <v>123</v>
      </c>
      <c r="B124" t="s">
        <v>441</v>
      </c>
      <c r="C124" t="s">
        <v>442</v>
      </c>
      <c r="D124" t="s">
        <v>443</v>
      </c>
      <c r="E124" t="s">
        <v>419</v>
      </c>
      <c r="F124" t="s">
        <v>444</v>
      </c>
      <c r="G124" t="str">
        <f>_xlfn.XLOOKUP(frasest[[#This Row],[autor_es]],autorest[autor_es],autorest[autor_la])</f>
        <v>Thales Miletaeus</v>
      </c>
      <c r="H124" t="str">
        <f>_xlfn.XLOOKUP(frasest[[#This Row],[autor_es]],autorest[autor_es],autorest[bio_es])</f>
        <v>Filósofo griego presocrático de Mileto, considerado el primer filósofo de Occidente y uno de los Siete Sabios. Predijo el eclipse solar del 585 a.C. y propuso que el agua es la sustancia primordial.</v>
      </c>
      <c r="I124" t="str">
        <f>_xlfn.XLOOKUP(frasest[[#This Row],[autor_es]],autorest[autor_es],autorest[bio_la])</f>
        <v>Philosophus Graecus Praesocraticus Miletaeus, primus philosophus Occidentis et unus ex Septem Sapientibus. Praedixit eclipsis solis anno 585 a.C. et aquam substantiam primordialem proposuit.</v>
      </c>
      <c r="J124" t="str">
        <f>_xlfn.XLOOKUP(frasest[[#This Row],[autor_es]],autorest[autor_es],autorest[codigo])</f>
        <v>el</v>
      </c>
      <c r="K124" t="str">
        <f>_xlfn.XLOOKUP(frasest[[#This Row],[autor_es]],autorest[autor_es],autorest[idioma_es])</f>
        <v>Griego</v>
      </c>
      <c r="L124" t="str">
        <f>_xlfn.XLOOKUP(frasest[[#This Row],[autor_es]],autorest[autor_es],autorest[idioma_la])</f>
        <v>Lingua Graeca</v>
      </c>
      <c r="M124" t="str">
        <f>_xlfn.XLOOKUP(frasest[[#This Row],[autor_es]],autorest[autor_es],autorest[nacion_es])</f>
        <v>Grecia</v>
      </c>
      <c r="N124" t="str">
        <f>_xlfn.XLOOKUP(frasest[[#This Row],[autor_es]],autorest[autor_es],autorest[nacion_la])</f>
        <v>Graecia</v>
      </c>
      <c r="O124" t="str">
        <f>_xlfn.XLOOKUP(frasest[[#This Row],[autor_es]],autorest[autor_es],autorest[epoca_es])</f>
        <v>Edad Antigua</v>
      </c>
      <c r="P124" t="str">
        <f>_xlfn.XLOOKUP(frasest[[#This Row],[autor_es]],autorest[autor_es],autorest[epoca_la])</f>
        <v>Antiquitas</v>
      </c>
      <c r="Q124" t="str">
        <f>_xlfn.XLOOKUP(frasest[[#This Row],[autor_es]],autorest[autor_es],autorest[imagen])</f>
        <v>https://i.ibb.co/qLzHP6XJ/tales.png</v>
      </c>
      <c r="R124">
        <f>_xlfn.XLOOKUP(frasest[[#This Row],[autor_es]],autorest[autor_es],autorest[imagen_atr])</f>
        <v>0</v>
      </c>
    </row>
    <row r="125" spans="1:18">
      <c r="A125">
        <v>124</v>
      </c>
      <c r="B125" t="s">
        <v>445</v>
      </c>
      <c r="C125" t="s">
        <v>446</v>
      </c>
      <c r="D125" t="s">
        <v>447</v>
      </c>
      <c r="E125" t="s">
        <v>419</v>
      </c>
      <c r="F125" t="s">
        <v>448</v>
      </c>
      <c r="G125" t="str">
        <f>_xlfn.XLOOKUP(frasest[[#This Row],[autor_es]],autorest[autor_es],autorest[autor_la])</f>
        <v>Thales Miletaeus</v>
      </c>
      <c r="H125" t="str">
        <f>_xlfn.XLOOKUP(frasest[[#This Row],[autor_es]],autorest[autor_es],autorest[bio_es])</f>
        <v>Filósofo griego presocrático de Mileto, considerado el primer filósofo de Occidente y uno de los Siete Sabios. Predijo el eclipse solar del 585 a.C. y propuso que el agua es la sustancia primordial.</v>
      </c>
      <c r="I125" t="str">
        <f>_xlfn.XLOOKUP(frasest[[#This Row],[autor_es]],autorest[autor_es],autorest[bio_la])</f>
        <v>Philosophus Graecus Praesocraticus Miletaeus, primus philosophus Occidentis et unus ex Septem Sapientibus. Praedixit eclipsis solis anno 585 a.C. et aquam substantiam primordialem proposuit.</v>
      </c>
      <c r="J125" t="str">
        <f>_xlfn.XLOOKUP(frasest[[#This Row],[autor_es]],autorest[autor_es],autorest[codigo])</f>
        <v>el</v>
      </c>
      <c r="K125" t="str">
        <f>_xlfn.XLOOKUP(frasest[[#This Row],[autor_es]],autorest[autor_es],autorest[idioma_es])</f>
        <v>Griego</v>
      </c>
      <c r="L125" t="str">
        <f>_xlfn.XLOOKUP(frasest[[#This Row],[autor_es]],autorest[autor_es],autorest[idioma_la])</f>
        <v>Lingua Graeca</v>
      </c>
      <c r="M125" t="str">
        <f>_xlfn.XLOOKUP(frasest[[#This Row],[autor_es]],autorest[autor_es],autorest[nacion_es])</f>
        <v>Grecia</v>
      </c>
      <c r="N125" t="str">
        <f>_xlfn.XLOOKUP(frasest[[#This Row],[autor_es]],autorest[autor_es],autorest[nacion_la])</f>
        <v>Graecia</v>
      </c>
      <c r="O125" t="str">
        <f>_xlfn.XLOOKUP(frasest[[#This Row],[autor_es]],autorest[autor_es],autorest[epoca_es])</f>
        <v>Edad Antigua</v>
      </c>
      <c r="P125" t="str">
        <f>_xlfn.XLOOKUP(frasest[[#This Row],[autor_es]],autorest[autor_es],autorest[epoca_la])</f>
        <v>Antiquitas</v>
      </c>
      <c r="Q125" t="str">
        <f>_xlfn.XLOOKUP(frasest[[#This Row],[autor_es]],autorest[autor_es],autorest[imagen])</f>
        <v>https://i.ibb.co/qLzHP6XJ/tales.png</v>
      </c>
      <c r="R125">
        <f>_xlfn.XLOOKUP(frasest[[#This Row],[autor_es]],autorest[autor_es],autorest[imagen_atr])</f>
        <v>0</v>
      </c>
    </row>
    <row r="126" spans="1:18">
      <c r="A126">
        <v>125</v>
      </c>
      <c r="B126" t="s">
        <v>449</v>
      </c>
      <c r="C126" t="s">
        <v>450</v>
      </c>
      <c r="D126" t="s">
        <v>451</v>
      </c>
      <c r="E126" t="s">
        <v>419</v>
      </c>
      <c r="F126" t="s">
        <v>452</v>
      </c>
      <c r="G126" t="str">
        <f>_xlfn.XLOOKUP(frasest[[#This Row],[autor_es]],autorest[autor_es],autorest[autor_la])</f>
        <v>Thales Miletaeus</v>
      </c>
      <c r="H126" t="str">
        <f>_xlfn.XLOOKUP(frasest[[#This Row],[autor_es]],autorest[autor_es],autorest[bio_es])</f>
        <v>Filósofo griego presocrático de Mileto, considerado el primer filósofo de Occidente y uno de los Siete Sabios. Predijo el eclipse solar del 585 a.C. y propuso que el agua es la sustancia primordial.</v>
      </c>
      <c r="I126" t="str">
        <f>_xlfn.XLOOKUP(frasest[[#This Row],[autor_es]],autorest[autor_es],autorest[bio_la])</f>
        <v>Philosophus Graecus Praesocraticus Miletaeus, primus philosophus Occidentis et unus ex Septem Sapientibus. Praedixit eclipsis solis anno 585 a.C. et aquam substantiam primordialem proposuit.</v>
      </c>
      <c r="J126" t="str">
        <f>_xlfn.XLOOKUP(frasest[[#This Row],[autor_es]],autorest[autor_es],autorest[codigo])</f>
        <v>el</v>
      </c>
      <c r="K126" t="str">
        <f>_xlfn.XLOOKUP(frasest[[#This Row],[autor_es]],autorest[autor_es],autorest[idioma_es])</f>
        <v>Griego</v>
      </c>
      <c r="L126" t="str">
        <f>_xlfn.XLOOKUP(frasest[[#This Row],[autor_es]],autorest[autor_es],autorest[idioma_la])</f>
        <v>Lingua Graeca</v>
      </c>
      <c r="M126" t="str">
        <f>_xlfn.XLOOKUP(frasest[[#This Row],[autor_es]],autorest[autor_es],autorest[nacion_es])</f>
        <v>Grecia</v>
      </c>
      <c r="N126" t="str">
        <f>_xlfn.XLOOKUP(frasest[[#This Row],[autor_es]],autorest[autor_es],autorest[nacion_la])</f>
        <v>Graecia</v>
      </c>
      <c r="O126" t="str">
        <f>_xlfn.XLOOKUP(frasest[[#This Row],[autor_es]],autorest[autor_es],autorest[epoca_es])</f>
        <v>Edad Antigua</v>
      </c>
      <c r="P126" t="str">
        <f>_xlfn.XLOOKUP(frasest[[#This Row],[autor_es]],autorest[autor_es],autorest[epoca_la])</f>
        <v>Antiquitas</v>
      </c>
      <c r="Q126" t="str">
        <f>_xlfn.XLOOKUP(frasest[[#This Row],[autor_es]],autorest[autor_es],autorest[imagen])</f>
        <v>https://i.ibb.co/qLzHP6XJ/tales.png</v>
      </c>
      <c r="R126">
        <f>_xlfn.XLOOKUP(frasest[[#This Row],[autor_es]],autorest[autor_es],autorest[imagen_atr])</f>
        <v>0</v>
      </c>
    </row>
    <row r="127" spans="1:18">
      <c r="A127">
        <v>126</v>
      </c>
      <c r="B127" t="s">
        <v>453</v>
      </c>
      <c r="C127" t="s">
        <v>454</v>
      </c>
      <c r="D127" t="s">
        <v>455</v>
      </c>
      <c r="E127" t="s">
        <v>419</v>
      </c>
      <c r="F127" t="s">
        <v>456</v>
      </c>
      <c r="G127" t="str">
        <f>_xlfn.XLOOKUP(frasest[[#This Row],[autor_es]],autorest[autor_es],autorest[autor_la])</f>
        <v>Thales Miletaeus</v>
      </c>
      <c r="H127" t="str">
        <f>_xlfn.XLOOKUP(frasest[[#This Row],[autor_es]],autorest[autor_es],autorest[bio_es])</f>
        <v>Filósofo griego presocrático de Mileto, considerado el primer filósofo de Occidente y uno de los Siete Sabios. Predijo el eclipse solar del 585 a.C. y propuso que el agua es la sustancia primordial.</v>
      </c>
      <c r="I127" t="str">
        <f>_xlfn.XLOOKUP(frasest[[#This Row],[autor_es]],autorest[autor_es],autorest[bio_la])</f>
        <v>Philosophus Graecus Praesocraticus Miletaeus, primus philosophus Occidentis et unus ex Septem Sapientibus. Praedixit eclipsis solis anno 585 a.C. et aquam substantiam primordialem proposuit.</v>
      </c>
      <c r="J127" t="str">
        <f>_xlfn.XLOOKUP(frasest[[#This Row],[autor_es]],autorest[autor_es],autorest[codigo])</f>
        <v>el</v>
      </c>
      <c r="K127" t="str">
        <f>_xlfn.XLOOKUP(frasest[[#This Row],[autor_es]],autorest[autor_es],autorest[idioma_es])</f>
        <v>Griego</v>
      </c>
      <c r="L127" t="str">
        <f>_xlfn.XLOOKUP(frasest[[#This Row],[autor_es]],autorest[autor_es],autorest[idioma_la])</f>
        <v>Lingua Graeca</v>
      </c>
      <c r="M127" t="str">
        <f>_xlfn.XLOOKUP(frasest[[#This Row],[autor_es]],autorest[autor_es],autorest[nacion_es])</f>
        <v>Grecia</v>
      </c>
      <c r="N127" t="str">
        <f>_xlfn.XLOOKUP(frasest[[#This Row],[autor_es]],autorest[autor_es],autorest[nacion_la])</f>
        <v>Graecia</v>
      </c>
      <c r="O127" t="str">
        <f>_xlfn.XLOOKUP(frasest[[#This Row],[autor_es]],autorest[autor_es],autorest[epoca_es])</f>
        <v>Edad Antigua</v>
      </c>
      <c r="P127" t="str">
        <f>_xlfn.XLOOKUP(frasest[[#This Row],[autor_es]],autorest[autor_es],autorest[epoca_la])</f>
        <v>Antiquitas</v>
      </c>
      <c r="Q127" t="str">
        <f>_xlfn.XLOOKUP(frasest[[#This Row],[autor_es]],autorest[autor_es],autorest[imagen])</f>
        <v>https://i.ibb.co/qLzHP6XJ/tales.png</v>
      </c>
      <c r="R127">
        <f>_xlfn.XLOOKUP(frasest[[#This Row],[autor_es]],autorest[autor_es],autorest[imagen_atr])</f>
        <v>0</v>
      </c>
    </row>
    <row r="128" spans="1:18">
      <c r="A128">
        <v>127</v>
      </c>
      <c r="B128" t="s">
        <v>457</v>
      </c>
      <c r="C128" t="s">
        <v>458</v>
      </c>
      <c r="D128" t="s">
        <v>459</v>
      </c>
      <c r="E128" t="s">
        <v>460</v>
      </c>
      <c r="F128" t="s">
        <v>461</v>
      </c>
      <c r="G128" t="str">
        <f>_xlfn.XLOOKUP(frasest[[#This Row],[autor_es]],autorest[autor_es],autorest[autor_la])</f>
        <v>Epicurus</v>
      </c>
      <c r="H128" t="str">
        <f>_xlfn.XLOOKUP(frasest[[#This Row],[autor_es]],autorest[autor_es],autorest[bio_es])</f>
        <v>Filósofo griego de la Edad Antigua, fundador del epicureísmo, que defendía la búsqueda racional del placer moderado como camino a la felicidad.</v>
      </c>
      <c r="I128" t="str">
        <f>_xlfn.XLOOKUP(frasest[[#This Row],[autor_es]],autorest[autor_es],autorest[bio_la])</f>
        <v>Philosophus Graecus Antiquitatis, scholae Epicureae conditor, qui voluptatem moderatam ratione quaesitam viam ad felicitatem esse docebat.</v>
      </c>
      <c r="J128" t="str">
        <f>_xlfn.XLOOKUP(frasest[[#This Row],[autor_es]],autorest[autor_es],autorest[codigo])</f>
        <v>el</v>
      </c>
      <c r="K128" t="str">
        <f>_xlfn.XLOOKUP(frasest[[#This Row],[autor_es]],autorest[autor_es],autorest[idioma_es])</f>
        <v>Griego</v>
      </c>
      <c r="L128" t="str">
        <f>_xlfn.XLOOKUP(frasest[[#This Row],[autor_es]],autorest[autor_es],autorest[idioma_la])</f>
        <v>Lingua Graeca</v>
      </c>
      <c r="M128" t="str">
        <f>_xlfn.XLOOKUP(frasest[[#This Row],[autor_es]],autorest[autor_es],autorest[nacion_es])</f>
        <v>Grecia</v>
      </c>
      <c r="N128" t="str">
        <f>_xlfn.XLOOKUP(frasest[[#This Row],[autor_es]],autorest[autor_es],autorest[nacion_la])</f>
        <v>Graecia</v>
      </c>
      <c r="O128" t="str">
        <f>_xlfn.XLOOKUP(frasest[[#This Row],[autor_es]],autorest[autor_es],autorest[epoca_es])</f>
        <v>Edad Antigua</v>
      </c>
      <c r="P128" t="str">
        <f>_xlfn.XLOOKUP(frasest[[#This Row],[autor_es]],autorest[autor_es],autorest[epoca_la])</f>
        <v>Antiquitas</v>
      </c>
      <c r="Q128" t="str">
        <f>_xlfn.XLOOKUP(frasest[[#This Row],[autor_es]],autorest[autor_es],autorest[imagen])</f>
        <v>https://i.ibb.co/dsQnnqJw/epicuro.png</v>
      </c>
      <c r="R128">
        <f>_xlfn.XLOOKUP(frasest[[#This Row],[autor_es]],autorest[autor_es],autorest[imagen_atr])</f>
        <v>0</v>
      </c>
    </row>
    <row r="129" spans="1:18">
      <c r="A129">
        <v>128</v>
      </c>
      <c r="B129" t="s">
        <v>462</v>
      </c>
      <c r="C129" t="s">
        <v>463</v>
      </c>
      <c r="D129" t="s">
        <v>464</v>
      </c>
      <c r="E129" t="s">
        <v>460</v>
      </c>
      <c r="F129" t="s">
        <v>465</v>
      </c>
      <c r="G129" t="str">
        <f>_xlfn.XLOOKUP(frasest[[#This Row],[autor_es]],autorest[autor_es],autorest[autor_la])</f>
        <v>Epicurus</v>
      </c>
      <c r="H129" t="str">
        <f>_xlfn.XLOOKUP(frasest[[#This Row],[autor_es]],autorest[autor_es],autorest[bio_es])</f>
        <v>Filósofo griego de la Edad Antigua, fundador del epicureísmo, que defendía la búsqueda racional del placer moderado como camino a la felicidad.</v>
      </c>
      <c r="I129" t="str">
        <f>_xlfn.XLOOKUP(frasest[[#This Row],[autor_es]],autorest[autor_es],autorest[bio_la])</f>
        <v>Philosophus Graecus Antiquitatis, scholae Epicureae conditor, qui voluptatem moderatam ratione quaesitam viam ad felicitatem esse docebat.</v>
      </c>
      <c r="J129" t="str">
        <f>_xlfn.XLOOKUP(frasest[[#This Row],[autor_es]],autorest[autor_es],autorest[codigo])</f>
        <v>el</v>
      </c>
      <c r="K129" t="str">
        <f>_xlfn.XLOOKUP(frasest[[#This Row],[autor_es]],autorest[autor_es],autorest[idioma_es])</f>
        <v>Griego</v>
      </c>
      <c r="L129" t="str">
        <f>_xlfn.XLOOKUP(frasest[[#This Row],[autor_es]],autorest[autor_es],autorest[idioma_la])</f>
        <v>Lingua Graeca</v>
      </c>
      <c r="M129" t="str">
        <f>_xlfn.XLOOKUP(frasest[[#This Row],[autor_es]],autorest[autor_es],autorest[nacion_es])</f>
        <v>Grecia</v>
      </c>
      <c r="N129" t="str">
        <f>_xlfn.XLOOKUP(frasest[[#This Row],[autor_es]],autorest[autor_es],autorest[nacion_la])</f>
        <v>Graecia</v>
      </c>
      <c r="O129" t="str">
        <f>_xlfn.XLOOKUP(frasest[[#This Row],[autor_es]],autorest[autor_es],autorest[epoca_es])</f>
        <v>Edad Antigua</v>
      </c>
      <c r="P129" t="str">
        <f>_xlfn.XLOOKUP(frasest[[#This Row],[autor_es]],autorest[autor_es],autorest[epoca_la])</f>
        <v>Antiquitas</v>
      </c>
      <c r="Q129" t="str">
        <f>_xlfn.XLOOKUP(frasest[[#This Row],[autor_es]],autorest[autor_es],autorest[imagen])</f>
        <v>https://i.ibb.co/dsQnnqJw/epicuro.png</v>
      </c>
      <c r="R129">
        <f>_xlfn.XLOOKUP(frasest[[#This Row],[autor_es]],autorest[autor_es],autorest[imagen_atr])</f>
        <v>0</v>
      </c>
    </row>
    <row r="130" spans="1:18">
      <c r="A130">
        <v>129</v>
      </c>
      <c r="B130" t="s">
        <v>466</v>
      </c>
      <c r="C130" t="s">
        <v>467</v>
      </c>
      <c r="D130" t="s">
        <v>468</v>
      </c>
      <c r="E130" t="s">
        <v>460</v>
      </c>
      <c r="F130" t="s">
        <v>469</v>
      </c>
      <c r="G130" t="str">
        <f>_xlfn.XLOOKUP(frasest[[#This Row],[autor_es]],autorest[autor_es],autorest[autor_la])</f>
        <v>Epicurus</v>
      </c>
      <c r="H130" t="str">
        <f>_xlfn.XLOOKUP(frasest[[#This Row],[autor_es]],autorest[autor_es],autorest[bio_es])</f>
        <v>Filósofo griego de la Edad Antigua, fundador del epicureísmo, que defendía la búsqueda racional del placer moderado como camino a la felicidad.</v>
      </c>
      <c r="I130" t="str">
        <f>_xlfn.XLOOKUP(frasest[[#This Row],[autor_es]],autorest[autor_es],autorest[bio_la])</f>
        <v>Philosophus Graecus Antiquitatis, scholae Epicureae conditor, qui voluptatem moderatam ratione quaesitam viam ad felicitatem esse docebat.</v>
      </c>
      <c r="J130" t="str">
        <f>_xlfn.XLOOKUP(frasest[[#This Row],[autor_es]],autorest[autor_es],autorest[codigo])</f>
        <v>el</v>
      </c>
      <c r="K130" t="str">
        <f>_xlfn.XLOOKUP(frasest[[#This Row],[autor_es]],autorest[autor_es],autorest[idioma_es])</f>
        <v>Griego</v>
      </c>
      <c r="L130" t="str">
        <f>_xlfn.XLOOKUP(frasest[[#This Row],[autor_es]],autorest[autor_es],autorest[idioma_la])</f>
        <v>Lingua Graeca</v>
      </c>
      <c r="M130" t="str">
        <f>_xlfn.XLOOKUP(frasest[[#This Row],[autor_es]],autorest[autor_es],autorest[nacion_es])</f>
        <v>Grecia</v>
      </c>
      <c r="N130" t="str">
        <f>_xlfn.XLOOKUP(frasest[[#This Row],[autor_es]],autorest[autor_es],autorest[nacion_la])</f>
        <v>Graecia</v>
      </c>
      <c r="O130" t="str">
        <f>_xlfn.XLOOKUP(frasest[[#This Row],[autor_es]],autorest[autor_es],autorest[epoca_es])</f>
        <v>Edad Antigua</v>
      </c>
      <c r="P130" t="str">
        <f>_xlfn.XLOOKUP(frasest[[#This Row],[autor_es]],autorest[autor_es],autorest[epoca_la])</f>
        <v>Antiquitas</v>
      </c>
      <c r="Q130" t="str">
        <f>_xlfn.XLOOKUP(frasest[[#This Row],[autor_es]],autorest[autor_es],autorest[imagen])</f>
        <v>https://i.ibb.co/dsQnnqJw/epicuro.png</v>
      </c>
      <c r="R130">
        <f>_xlfn.XLOOKUP(frasest[[#This Row],[autor_es]],autorest[autor_es],autorest[imagen_atr])</f>
        <v>0</v>
      </c>
    </row>
    <row r="131" spans="1:18">
      <c r="A131">
        <v>130</v>
      </c>
      <c r="B131" t="s">
        <v>470</v>
      </c>
      <c r="C131" t="s">
        <v>471</v>
      </c>
      <c r="D131" t="s">
        <v>472</v>
      </c>
      <c r="E131" t="s">
        <v>460</v>
      </c>
      <c r="F131" t="s">
        <v>473</v>
      </c>
      <c r="G131" t="str">
        <f>_xlfn.XLOOKUP(frasest[[#This Row],[autor_es]],autorest[autor_es],autorest[autor_la])</f>
        <v>Epicurus</v>
      </c>
      <c r="H131" t="str">
        <f>_xlfn.XLOOKUP(frasest[[#This Row],[autor_es]],autorest[autor_es],autorest[bio_es])</f>
        <v>Filósofo griego de la Edad Antigua, fundador del epicureísmo, que defendía la búsqueda racional del placer moderado como camino a la felicidad.</v>
      </c>
      <c r="I131" t="str">
        <f>_xlfn.XLOOKUP(frasest[[#This Row],[autor_es]],autorest[autor_es],autorest[bio_la])</f>
        <v>Philosophus Graecus Antiquitatis, scholae Epicureae conditor, qui voluptatem moderatam ratione quaesitam viam ad felicitatem esse docebat.</v>
      </c>
      <c r="J131" t="str">
        <f>_xlfn.XLOOKUP(frasest[[#This Row],[autor_es]],autorest[autor_es],autorest[codigo])</f>
        <v>el</v>
      </c>
      <c r="K131" t="str">
        <f>_xlfn.XLOOKUP(frasest[[#This Row],[autor_es]],autorest[autor_es],autorest[idioma_es])</f>
        <v>Griego</v>
      </c>
      <c r="L131" t="str">
        <f>_xlfn.XLOOKUP(frasest[[#This Row],[autor_es]],autorest[autor_es],autorest[idioma_la])</f>
        <v>Lingua Graeca</v>
      </c>
      <c r="M131" t="str">
        <f>_xlfn.XLOOKUP(frasest[[#This Row],[autor_es]],autorest[autor_es],autorest[nacion_es])</f>
        <v>Grecia</v>
      </c>
      <c r="N131" t="str">
        <f>_xlfn.XLOOKUP(frasest[[#This Row],[autor_es]],autorest[autor_es],autorest[nacion_la])</f>
        <v>Graecia</v>
      </c>
      <c r="O131" t="str">
        <f>_xlfn.XLOOKUP(frasest[[#This Row],[autor_es]],autorest[autor_es],autorest[epoca_es])</f>
        <v>Edad Antigua</v>
      </c>
      <c r="P131" t="str">
        <f>_xlfn.XLOOKUP(frasest[[#This Row],[autor_es]],autorest[autor_es],autorest[epoca_la])</f>
        <v>Antiquitas</v>
      </c>
      <c r="Q131" t="str">
        <f>_xlfn.XLOOKUP(frasest[[#This Row],[autor_es]],autorest[autor_es],autorest[imagen])</f>
        <v>https://i.ibb.co/dsQnnqJw/epicuro.png</v>
      </c>
      <c r="R131">
        <f>_xlfn.XLOOKUP(frasest[[#This Row],[autor_es]],autorest[autor_es],autorest[imagen_atr])</f>
        <v>0</v>
      </c>
    </row>
    <row r="132" spans="1:18">
      <c r="A132">
        <v>131</v>
      </c>
      <c r="B132" t="s">
        <v>474</v>
      </c>
      <c r="C132" t="s">
        <v>475</v>
      </c>
      <c r="D132" t="s">
        <v>476</v>
      </c>
      <c r="E132" t="s">
        <v>460</v>
      </c>
      <c r="F132" t="s">
        <v>477</v>
      </c>
      <c r="G132" t="str">
        <f>_xlfn.XLOOKUP(frasest[[#This Row],[autor_es]],autorest[autor_es],autorest[autor_la])</f>
        <v>Epicurus</v>
      </c>
      <c r="H132" t="str">
        <f>_xlfn.XLOOKUP(frasest[[#This Row],[autor_es]],autorest[autor_es],autorest[bio_es])</f>
        <v>Filósofo griego de la Edad Antigua, fundador del epicureísmo, que defendía la búsqueda racional del placer moderado como camino a la felicidad.</v>
      </c>
      <c r="I132" t="str">
        <f>_xlfn.XLOOKUP(frasest[[#This Row],[autor_es]],autorest[autor_es],autorest[bio_la])</f>
        <v>Philosophus Graecus Antiquitatis, scholae Epicureae conditor, qui voluptatem moderatam ratione quaesitam viam ad felicitatem esse docebat.</v>
      </c>
      <c r="J132" t="str">
        <f>_xlfn.XLOOKUP(frasest[[#This Row],[autor_es]],autorest[autor_es],autorest[codigo])</f>
        <v>el</v>
      </c>
      <c r="K132" t="str">
        <f>_xlfn.XLOOKUP(frasest[[#This Row],[autor_es]],autorest[autor_es],autorest[idioma_es])</f>
        <v>Griego</v>
      </c>
      <c r="L132" t="str">
        <f>_xlfn.XLOOKUP(frasest[[#This Row],[autor_es]],autorest[autor_es],autorest[idioma_la])</f>
        <v>Lingua Graeca</v>
      </c>
      <c r="M132" t="str">
        <f>_xlfn.XLOOKUP(frasest[[#This Row],[autor_es]],autorest[autor_es],autorest[nacion_es])</f>
        <v>Grecia</v>
      </c>
      <c r="N132" t="str">
        <f>_xlfn.XLOOKUP(frasest[[#This Row],[autor_es]],autorest[autor_es],autorest[nacion_la])</f>
        <v>Graecia</v>
      </c>
      <c r="O132" t="str">
        <f>_xlfn.XLOOKUP(frasest[[#This Row],[autor_es]],autorest[autor_es],autorest[epoca_es])</f>
        <v>Edad Antigua</v>
      </c>
      <c r="P132" t="str">
        <f>_xlfn.XLOOKUP(frasest[[#This Row],[autor_es]],autorest[autor_es],autorest[epoca_la])</f>
        <v>Antiquitas</v>
      </c>
      <c r="Q132" t="str">
        <f>_xlfn.XLOOKUP(frasest[[#This Row],[autor_es]],autorest[autor_es],autorest[imagen])</f>
        <v>https://i.ibb.co/dsQnnqJw/epicuro.png</v>
      </c>
      <c r="R132">
        <f>_xlfn.XLOOKUP(frasest[[#This Row],[autor_es]],autorest[autor_es],autorest[imagen_atr])</f>
        <v>0</v>
      </c>
    </row>
    <row r="133" spans="1:18">
      <c r="A133">
        <v>132</v>
      </c>
      <c r="B133" t="s">
        <v>478</v>
      </c>
      <c r="C133" t="s">
        <v>479</v>
      </c>
      <c r="D133" t="s">
        <v>480</v>
      </c>
      <c r="E133" t="s">
        <v>460</v>
      </c>
      <c r="F133" t="s">
        <v>481</v>
      </c>
      <c r="G133" t="str">
        <f>_xlfn.XLOOKUP(frasest[[#This Row],[autor_es]],autorest[autor_es],autorest[autor_la])</f>
        <v>Epicurus</v>
      </c>
      <c r="H133" t="str">
        <f>_xlfn.XLOOKUP(frasest[[#This Row],[autor_es]],autorest[autor_es],autorest[bio_es])</f>
        <v>Filósofo griego de la Edad Antigua, fundador del epicureísmo, que defendía la búsqueda racional del placer moderado como camino a la felicidad.</v>
      </c>
      <c r="I133" t="str">
        <f>_xlfn.XLOOKUP(frasest[[#This Row],[autor_es]],autorest[autor_es],autorest[bio_la])</f>
        <v>Philosophus Graecus Antiquitatis, scholae Epicureae conditor, qui voluptatem moderatam ratione quaesitam viam ad felicitatem esse docebat.</v>
      </c>
      <c r="J133" t="str">
        <f>_xlfn.XLOOKUP(frasest[[#This Row],[autor_es]],autorest[autor_es],autorest[codigo])</f>
        <v>el</v>
      </c>
      <c r="K133" t="str">
        <f>_xlfn.XLOOKUP(frasest[[#This Row],[autor_es]],autorest[autor_es],autorest[idioma_es])</f>
        <v>Griego</v>
      </c>
      <c r="L133" t="str">
        <f>_xlfn.XLOOKUP(frasest[[#This Row],[autor_es]],autorest[autor_es],autorest[idioma_la])</f>
        <v>Lingua Graeca</v>
      </c>
      <c r="M133" t="str">
        <f>_xlfn.XLOOKUP(frasest[[#This Row],[autor_es]],autorest[autor_es],autorest[nacion_es])</f>
        <v>Grecia</v>
      </c>
      <c r="N133" t="str">
        <f>_xlfn.XLOOKUP(frasest[[#This Row],[autor_es]],autorest[autor_es],autorest[nacion_la])</f>
        <v>Graecia</v>
      </c>
      <c r="O133" t="str">
        <f>_xlfn.XLOOKUP(frasest[[#This Row],[autor_es]],autorest[autor_es],autorest[epoca_es])</f>
        <v>Edad Antigua</v>
      </c>
      <c r="P133" t="str">
        <f>_xlfn.XLOOKUP(frasest[[#This Row],[autor_es]],autorest[autor_es],autorest[epoca_la])</f>
        <v>Antiquitas</v>
      </c>
      <c r="Q133" t="str">
        <f>_xlfn.XLOOKUP(frasest[[#This Row],[autor_es]],autorest[autor_es],autorest[imagen])</f>
        <v>https://i.ibb.co/dsQnnqJw/epicuro.png</v>
      </c>
      <c r="R133">
        <f>_xlfn.XLOOKUP(frasest[[#This Row],[autor_es]],autorest[autor_es],autorest[imagen_atr])</f>
        <v>0</v>
      </c>
    </row>
    <row r="134" spans="1:18">
      <c r="A134">
        <v>133</v>
      </c>
      <c r="B134" t="s">
        <v>482</v>
      </c>
      <c r="C134" t="s">
        <v>483</v>
      </c>
      <c r="D134" t="s">
        <v>484</v>
      </c>
      <c r="E134" t="s">
        <v>460</v>
      </c>
      <c r="F134" t="s">
        <v>485</v>
      </c>
      <c r="G134" t="str">
        <f>_xlfn.XLOOKUP(frasest[[#This Row],[autor_es]],autorest[autor_es],autorest[autor_la])</f>
        <v>Epicurus</v>
      </c>
      <c r="H134" t="str">
        <f>_xlfn.XLOOKUP(frasest[[#This Row],[autor_es]],autorest[autor_es],autorest[bio_es])</f>
        <v>Filósofo griego de la Edad Antigua, fundador del epicureísmo, que defendía la búsqueda racional del placer moderado como camino a la felicidad.</v>
      </c>
      <c r="I134" t="str">
        <f>_xlfn.XLOOKUP(frasest[[#This Row],[autor_es]],autorest[autor_es],autorest[bio_la])</f>
        <v>Philosophus Graecus Antiquitatis, scholae Epicureae conditor, qui voluptatem moderatam ratione quaesitam viam ad felicitatem esse docebat.</v>
      </c>
      <c r="J134" t="str">
        <f>_xlfn.XLOOKUP(frasest[[#This Row],[autor_es]],autorest[autor_es],autorest[codigo])</f>
        <v>el</v>
      </c>
      <c r="K134" t="str">
        <f>_xlfn.XLOOKUP(frasest[[#This Row],[autor_es]],autorest[autor_es],autorest[idioma_es])</f>
        <v>Griego</v>
      </c>
      <c r="L134" t="str">
        <f>_xlfn.XLOOKUP(frasest[[#This Row],[autor_es]],autorest[autor_es],autorest[idioma_la])</f>
        <v>Lingua Graeca</v>
      </c>
      <c r="M134" t="str">
        <f>_xlfn.XLOOKUP(frasest[[#This Row],[autor_es]],autorest[autor_es],autorest[nacion_es])</f>
        <v>Grecia</v>
      </c>
      <c r="N134" t="str">
        <f>_xlfn.XLOOKUP(frasest[[#This Row],[autor_es]],autorest[autor_es],autorest[nacion_la])</f>
        <v>Graecia</v>
      </c>
      <c r="O134" t="str">
        <f>_xlfn.XLOOKUP(frasest[[#This Row],[autor_es]],autorest[autor_es],autorest[epoca_es])</f>
        <v>Edad Antigua</v>
      </c>
      <c r="P134" t="str">
        <f>_xlfn.XLOOKUP(frasest[[#This Row],[autor_es]],autorest[autor_es],autorest[epoca_la])</f>
        <v>Antiquitas</v>
      </c>
      <c r="Q134" t="str">
        <f>_xlfn.XLOOKUP(frasest[[#This Row],[autor_es]],autorest[autor_es],autorest[imagen])</f>
        <v>https://i.ibb.co/dsQnnqJw/epicuro.png</v>
      </c>
      <c r="R134">
        <f>_xlfn.XLOOKUP(frasest[[#This Row],[autor_es]],autorest[autor_es],autorest[imagen_atr])</f>
        <v>0</v>
      </c>
    </row>
    <row r="135" spans="1:18">
      <c r="A135">
        <v>134</v>
      </c>
      <c r="B135" t="s">
        <v>486</v>
      </c>
      <c r="C135" t="s">
        <v>487</v>
      </c>
      <c r="D135" t="s">
        <v>488</v>
      </c>
      <c r="E135" t="s">
        <v>460</v>
      </c>
      <c r="F135" t="s">
        <v>489</v>
      </c>
      <c r="G135" t="str">
        <f>_xlfn.XLOOKUP(frasest[[#This Row],[autor_es]],autorest[autor_es],autorest[autor_la])</f>
        <v>Epicurus</v>
      </c>
      <c r="H135" t="str">
        <f>_xlfn.XLOOKUP(frasest[[#This Row],[autor_es]],autorest[autor_es],autorest[bio_es])</f>
        <v>Filósofo griego de la Edad Antigua, fundador del epicureísmo, que defendía la búsqueda racional del placer moderado como camino a la felicidad.</v>
      </c>
      <c r="I135" t="str">
        <f>_xlfn.XLOOKUP(frasest[[#This Row],[autor_es]],autorest[autor_es],autorest[bio_la])</f>
        <v>Philosophus Graecus Antiquitatis, scholae Epicureae conditor, qui voluptatem moderatam ratione quaesitam viam ad felicitatem esse docebat.</v>
      </c>
      <c r="J135" t="str">
        <f>_xlfn.XLOOKUP(frasest[[#This Row],[autor_es]],autorest[autor_es],autorest[codigo])</f>
        <v>el</v>
      </c>
      <c r="K135" t="str">
        <f>_xlfn.XLOOKUP(frasest[[#This Row],[autor_es]],autorest[autor_es],autorest[idioma_es])</f>
        <v>Griego</v>
      </c>
      <c r="L135" t="str">
        <f>_xlfn.XLOOKUP(frasest[[#This Row],[autor_es]],autorest[autor_es],autorest[idioma_la])</f>
        <v>Lingua Graeca</v>
      </c>
      <c r="M135" t="str">
        <f>_xlfn.XLOOKUP(frasest[[#This Row],[autor_es]],autorest[autor_es],autorest[nacion_es])</f>
        <v>Grecia</v>
      </c>
      <c r="N135" t="str">
        <f>_xlfn.XLOOKUP(frasest[[#This Row],[autor_es]],autorest[autor_es],autorest[nacion_la])</f>
        <v>Graecia</v>
      </c>
      <c r="O135" t="str">
        <f>_xlfn.XLOOKUP(frasest[[#This Row],[autor_es]],autorest[autor_es],autorest[epoca_es])</f>
        <v>Edad Antigua</v>
      </c>
      <c r="P135" t="str">
        <f>_xlfn.XLOOKUP(frasest[[#This Row],[autor_es]],autorest[autor_es],autorest[epoca_la])</f>
        <v>Antiquitas</v>
      </c>
      <c r="Q135" t="str">
        <f>_xlfn.XLOOKUP(frasest[[#This Row],[autor_es]],autorest[autor_es],autorest[imagen])</f>
        <v>https://i.ibb.co/dsQnnqJw/epicuro.png</v>
      </c>
      <c r="R135">
        <f>_xlfn.XLOOKUP(frasest[[#This Row],[autor_es]],autorest[autor_es],autorest[imagen_atr])</f>
        <v>0</v>
      </c>
    </row>
    <row r="136" spans="1:18">
      <c r="A136">
        <v>135</v>
      </c>
      <c r="B136" t="s">
        <v>490</v>
      </c>
      <c r="C136" t="s">
        <v>491</v>
      </c>
      <c r="D136" t="s">
        <v>492</v>
      </c>
      <c r="E136" t="s">
        <v>460</v>
      </c>
      <c r="F136" t="s">
        <v>493</v>
      </c>
      <c r="G136" t="str">
        <f>_xlfn.XLOOKUP(frasest[[#This Row],[autor_es]],autorest[autor_es],autorest[autor_la])</f>
        <v>Epicurus</v>
      </c>
      <c r="H136" t="str">
        <f>_xlfn.XLOOKUP(frasest[[#This Row],[autor_es]],autorest[autor_es],autorest[bio_es])</f>
        <v>Filósofo griego de la Edad Antigua, fundador del epicureísmo, que defendía la búsqueda racional del placer moderado como camino a la felicidad.</v>
      </c>
      <c r="I136" t="str">
        <f>_xlfn.XLOOKUP(frasest[[#This Row],[autor_es]],autorest[autor_es],autorest[bio_la])</f>
        <v>Philosophus Graecus Antiquitatis, scholae Epicureae conditor, qui voluptatem moderatam ratione quaesitam viam ad felicitatem esse docebat.</v>
      </c>
      <c r="J136" t="str">
        <f>_xlfn.XLOOKUP(frasest[[#This Row],[autor_es]],autorest[autor_es],autorest[codigo])</f>
        <v>el</v>
      </c>
      <c r="K136" t="str">
        <f>_xlfn.XLOOKUP(frasest[[#This Row],[autor_es]],autorest[autor_es],autorest[idioma_es])</f>
        <v>Griego</v>
      </c>
      <c r="L136" t="str">
        <f>_xlfn.XLOOKUP(frasest[[#This Row],[autor_es]],autorest[autor_es],autorest[idioma_la])</f>
        <v>Lingua Graeca</v>
      </c>
      <c r="M136" t="str">
        <f>_xlfn.XLOOKUP(frasest[[#This Row],[autor_es]],autorest[autor_es],autorest[nacion_es])</f>
        <v>Grecia</v>
      </c>
      <c r="N136" t="str">
        <f>_xlfn.XLOOKUP(frasest[[#This Row],[autor_es]],autorest[autor_es],autorest[nacion_la])</f>
        <v>Graecia</v>
      </c>
      <c r="O136" t="str">
        <f>_xlfn.XLOOKUP(frasest[[#This Row],[autor_es]],autorest[autor_es],autorest[epoca_es])</f>
        <v>Edad Antigua</v>
      </c>
      <c r="P136" t="str">
        <f>_xlfn.XLOOKUP(frasest[[#This Row],[autor_es]],autorest[autor_es],autorest[epoca_la])</f>
        <v>Antiquitas</v>
      </c>
      <c r="Q136" t="str">
        <f>_xlfn.XLOOKUP(frasest[[#This Row],[autor_es]],autorest[autor_es],autorest[imagen])</f>
        <v>https://i.ibb.co/dsQnnqJw/epicuro.png</v>
      </c>
      <c r="R136">
        <f>_xlfn.XLOOKUP(frasest[[#This Row],[autor_es]],autorest[autor_es],autorest[imagen_atr])</f>
        <v>0</v>
      </c>
    </row>
    <row r="137" spans="1:18">
      <c r="A137">
        <v>136</v>
      </c>
      <c r="B137" t="s">
        <v>494</v>
      </c>
      <c r="C137" t="s">
        <v>495</v>
      </c>
      <c r="D137" t="s">
        <v>496</v>
      </c>
      <c r="E137" t="s">
        <v>460</v>
      </c>
      <c r="F137" t="s">
        <v>497</v>
      </c>
      <c r="G137" t="str">
        <f>_xlfn.XLOOKUP(frasest[[#This Row],[autor_es]],autorest[autor_es],autorest[autor_la])</f>
        <v>Epicurus</v>
      </c>
      <c r="H137" t="str">
        <f>_xlfn.XLOOKUP(frasest[[#This Row],[autor_es]],autorest[autor_es],autorest[bio_es])</f>
        <v>Filósofo griego de la Edad Antigua, fundador del epicureísmo, que defendía la búsqueda racional del placer moderado como camino a la felicidad.</v>
      </c>
      <c r="I137" t="str">
        <f>_xlfn.XLOOKUP(frasest[[#This Row],[autor_es]],autorest[autor_es],autorest[bio_la])</f>
        <v>Philosophus Graecus Antiquitatis, scholae Epicureae conditor, qui voluptatem moderatam ratione quaesitam viam ad felicitatem esse docebat.</v>
      </c>
      <c r="J137" t="str">
        <f>_xlfn.XLOOKUP(frasest[[#This Row],[autor_es]],autorest[autor_es],autorest[codigo])</f>
        <v>el</v>
      </c>
      <c r="K137" t="str">
        <f>_xlfn.XLOOKUP(frasest[[#This Row],[autor_es]],autorest[autor_es],autorest[idioma_es])</f>
        <v>Griego</v>
      </c>
      <c r="L137" t="str">
        <f>_xlfn.XLOOKUP(frasest[[#This Row],[autor_es]],autorest[autor_es],autorest[idioma_la])</f>
        <v>Lingua Graeca</v>
      </c>
      <c r="M137" t="str">
        <f>_xlfn.XLOOKUP(frasest[[#This Row],[autor_es]],autorest[autor_es],autorest[nacion_es])</f>
        <v>Grecia</v>
      </c>
      <c r="N137" t="str">
        <f>_xlfn.XLOOKUP(frasest[[#This Row],[autor_es]],autorest[autor_es],autorest[nacion_la])</f>
        <v>Graecia</v>
      </c>
      <c r="O137" t="str">
        <f>_xlfn.XLOOKUP(frasest[[#This Row],[autor_es]],autorest[autor_es],autorest[epoca_es])</f>
        <v>Edad Antigua</v>
      </c>
      <c r="P137" t="str">
        <f>_xlfn.XLOOKUP(frasest[[#This Row],[autor_es]],autorest[autor_es],autorest[epoca_la])</f>
        <v>Antiquitas</v>
      </c>
      <c r="Q137" t="str">
        <f>_xlfn.XLOOKUP(frasest[[#This Row],[autor_es]],autorest[autor_es],autorest[imagen])</f>
        <v>https://i.ibb.co/dsQnnqJw/epicuro.png</v>
      </c>
      <c r="R137">
        <f>_xlfn.XLOOKUP(frasest[[#This Row],[autor_es]],autorest[autor_es],autorest[imagen_atr])</f>
        <v>0</v>
      </c>
    </row>
    <row r="138" spans="1:18">
      <c r="A138">
        <v>137</v>
      </c>
      <c r="B138" t="s">
        <v>498</v>
      </c>
      <c r="C138" t="s">
        <v>499</v>
      </c>
      <c r="D138" t="s">
        <v>500</v>
      </c>
      <c r="E138" t="s">
        <v>501</v>
      </c>
      <c r="F138" t="s">
        <v>502</v>
      </c>
      <c r="G138" t="str">
        <f>_xlfn.XLOOKUP(frasest[[#This Row],[autor_es]],autorest[autor_es],autorest[autor_la])</f>
        <v>Marcus Aurelius</v>
      </c>
      <c r="H138" t="str">
        <f>_xlfn.XLOOKUP(frasest[[#This Row],[autor_es]],autorest[autor_es],autorest[bio_es])</f>
        <v>Emperador romano y filósofo estoico de la Edad Antigua, autor de las “Meditaciones”, obra clave del estoicismo práctico.</v>
      </c>
      <c r="I138" t="str">
        <f>_xlfn.XLOOKUP(frasest[[#This Row],[autor_es]],autorest[autor_es],autorest[bio_la])</f>
        <v>Imperator Romanus et philosophus Stoicus Antiquitatis, auctor “Meditationum”, operis maximi in praxi Stoica.</v>
      </c>
      <c r="J138" t="str">
        <f>_xlfn.XLOOKUP(frasest[[#This Row],[autor_es]],autorest[autor_es],autorest[codigo])</f>
        <v>el</v>
      </c>
      <c r="K138" t="str">
        <f>_xlfn.XLOOKUP(frasest[[#This Row],[autor_es]],autorest[autor_es],autorest[idioma_es])</f>
        <v>Griego</v>
      </c>
      <c r="L138" t="str">
        <f>_xlfn.XLOOKUP(frasest[[#This Row],[autor_es]],autorest[autor_es],autorest[idioma_la])</f>
        <v>Lingua Graeca</v>
      </c>
      <c r="M138" t="str">
        <f>_xlfn.XLOOKUP(frasest[[#This Row],[autor_es]],autorest[autor_es],autorest[nacion_es])</f>
        <v>Roma</v>
      </c>
      <c r="N138" t="str">
        <f>_xlfn.XLOOKUP(frasest[[#This Row],[autor_es]],autorest[autor_es],autorest[nacion_la])</f>
        <v>Roma</v>
      </c>
      <c r="O138" t="str">
        <f>_xlfn.XLOOKUP(frasest[[#This Row],[autor_es]],autorest[autor_es],autorest[epoca_es])</f>
        <v>Edad Antigua</v>
      </c>
      <c r="P138" t="str">
        <f>_xlfn.XLOOKUP(frasest[[#This Row],[autor_es]],autorest[autor_es],autorest[epoca_la])</f>
        <v>Antiquitas</v>
      </c>
      <c r="Q138" t="str">
        <f>_xlfn.XLOOKUP(frasest[[#This Row],[autor_es]],autorest[autor_es],autorest[imagen])</f>
        <v>https://i.ibb.co/0p8F8QbX/marcoaurelio.png</v>
      </c>
      <c r="R138">
        <f>_xlfn.XLOOKUP(frasest[[#This Row],[autor_es]],autorest[autor_es],autorest[imagen_atr])</f>
        <v>0</v>
      </c>
    </row>
    <row r="139" spans="1:18">
      <c r="A139">
        <v>138</v>
      </c>
      <c r="B139" t="s">
        <v>503</v>
      </c>
      <c r="C139" t="s">
        <v>504</v>
      </c>
      <c r="D139" t="s">
        <v>505</v>
      </c>
      <c r="E139" t="s">
        <v>501</v>
      </c>
      <c r="F139" t="s">
        <v>506</v>
      </c>
      <c r="G139" t="str">
        <f>_xlfn.XLOOKUP(frasest[[#This Row],[autor_es]],autorest[autor_es],autorest[autor_la])</f>
        <v>Marcus Aurelius</v>
      </c>
      <c r="H139" t="str">
        <f>_xlfn.XLOOKUP(frasest[[#This Row],[autor_es]],autorest[autor_es],autorest[bio_es])</f>
        <v>Emperador romano y filósofo estoico de la Edad Antigua, autor de las “Meditaciones”, obra clave del estoicismo práctico.</v>
      </c>
      <c r="I139" t="str">
        <f>_xlfn.XLOOKUP(frasest[[#This Row],[autor_es]],autorest[autor_es],autorest[bio_la])</f>
        <v>Imperator Romanus et philosophus Stoicus Antiquitatis, auctor “Meditationum”, operis maximi in praxi Stoica.</v>
      </c>
      <c r="J139" t="str">
        <f>_xlfn.XLOOKUP(frasest[[#This Row],[autor_es]],autorest[autor_es],autorest[codigo])</f>
        <v>el</v>
      </c>
      <c r="K139" t="str">
        <f>_xlfn.XLOOKUP(frasest[[#This Row],[autor_es]],autorest[autor_es],autorest[idioma_es])</f>
        <v>Griego</v>
      </c>
      <c r="L139" t="str">
        <f>_xlfn.XLOOKUP(frasest[[#This Row],[autor_es]],autorest[autor_es],autorest[idioma_la])</f>
        <v>Lingua Graeca</v>
      </c>
      <c r="M139" t="str">
        <f>_xlfn.XLOOKUP(frasest[[#This Row],[autor_es]],autorest[autor_es],autorest[nacion_es])</f>
        <v>Roma</v>
      </c>
      <c r="N139" t="str">
        <f>_xlfn.XLOOKUP(frasest[[#This Row],[autor_es]],autorest[autor_es],autorest[nacion_la])</f>
        <v>Roma</v>
      </c>
      <c r="O139" t="str">
        <f>_xlfn.XLOOKUP(frasest[[#This Row],[autor_es]],autorest[autor_es],autorest[epoca_es])</f>
        <v>Edad Antigua</v>
      </c>
      <c r="P139" t="str">
        <f>_xlfn.XLOOKUP(frasest[[#This Row],[autor_es]],autorest[autor_es],autorest[epoca_la])</f>
        <v>Antiquitas</v>
      </c>
      <c r="Q139" t="str">
        <f>_xlfn.XLOOKUP(frasest[[#This Row],[autor_es]],autorest[autor_es],autorest[imagen])</f>
        <v>https://i.ibb.co/0p8F8QbX/marcoaurelio.png</v>
      </c>
      <c r="R139">
        <f>_xlfn.XLOOKUP(frasest[[#This Row],[autor_es]],autorest[autor_es],autorest[imagen_atr])</f>
        <v>0</v>
      </c>
    </row>
    <row r="140" spans="1:18">
      <c r="A140">
        <v>139</v>
      </c>
      <c r="B140" t="s">
        <v>507</v>
      </c>
      <c r="C140" t="s">
        <v>508</v>
      </c>
      <c r="D140" t="s">
        <v>509</v>
      </c>
      <c r="E140" t="s">
        <v>501</v>
      </c>
      <c r="F140" t="s">
        <v>510</v>
      </c>
      <c r="G140" t="str">
        <f>_xlfn.XLOOKUP(frasest[[#This Row],[autor_es]],autorest[autor_es],autorest[autor_la])</f>
        <v>Marcus Aurelius</v>
      </c>
      <c r="H140" t="str">
        <f>_xlfn.XLOOKUP(frasest[[#This Row],[autor_es]],autorest[autor_es],autorest[bio_es])</f>
        <v>Emperador romano y filósofo estoico de la Edad Antigua, autor de las “Meditaciones”, obra clave del estoicismo práctico.</v>
      </c>
      <c r="I140" t="str">
        <f>_xlfn.XLOOKUP(frasest[[#This Row],[autor_es]],autorest[autor_es],autorest[bio_la])</f>
        <v>Imperator Romanus et philosophus Stoicus Antiquitatis, auctor “Meditationum”, operis maximi in praxi Stoica.</v>
      </c>
      <c r="J140" t="str">
        <f>_xlfn.XLOOKUP(frasest[[#This Row],[autor_es]],autorest[autor_es],autorest[codigo])</f>
        <v>el</v>
      </c>
      <c r="K140" t="str">
        <f>_xlfn.XLOOKUP(frasest[[#This Row],[autor_es]],autorest[autor_es],autorest[idioma_es])</f>
        <v>Griego</v>
      </c>
      <c r="L140" t="str">
        <f>_xlfn.XLOOKUP(frasest[[#This Row],[autor_es]],autorest[autor_es],autorest[idioma_la])</f>
        <v>Lingua Graeca</v>
      </c>
      <c r="M140" t="str">
        <f>_xlfn.XLOOKUP(frasest[[#This Row],[autor_es]],autorest[autor_es],autorest[nacion_es])</f>
        <v>Roma</v>
      </c>
      <c r="N140" t="str">
        <f>_xlfn.XLOOKUP(frasest[[#This Row],[autor_es]],autorest[autor_es],autorest[nacion_la])</f>
        <v>Roma</v>
      </c>
      <c r="O140" t="str">
        <f>_xlfn.XLOOKUP(frasest[[#This Row],[autor_es]],autorest[autor_es],autorest[epoca_es])</f>
        <v>Edad Antigua</v>
      </c>
      <c r="P140" t="str">
        <f>_xlfn.XLOOKUP(frasest[[#This Row],[autor_es]],autorest[autor_es],autorest[epoca_la])</f>
        <v>Antiquitas</v>
      </c>
      <c r="Q140" t="str">
        <f>_xlfn.XLOOKUP(frasest[[#This Row],[autor_es]],autorest[autor_es],autorest[imagen])</f>
        <v>https://i.ibb.co/0p8F8QbX/marcoaurelio.png</v>
      </c>
      <c r="R140">
        <f>_xlfn.XLOOKUP(frasest[[#This Row],[autor_es]],autorest[autor_es],autorest[imagen_atr])</f>
        <v>0</v>
      </c>
    </row>
    <row r="141" spans="1:18">
      <c r="A141">
        <v>140</v>
      </c>
      <c r="B141" t="s">
        <v>511</v>
      </c>
      <c r="C141" t="s">
        <v>512</v>
      </c>
      <c r="D141" t="s">
        <v>513</v>
      </c>
      <c r="E141" t="s">
        <v>501</v>
      </c>
      <c r="F141" t="s">
        <v>514</v>
      </c>
      <c r="G141" t="str">
        <f>_xlfn.XLOOKUP(frasest[[#This Row],[autor_es]],autorest[autor_es],autorest[autor_la])</f>
        <v>Marcus Aurelius</v>
      </c>
      <c r="H141" t="str">
        <f>_xlfn.XLOOKUP(frasest[[#This Row],[autor_es]],autorest[autor_es],autorest[bio_es])</f>
        <v>Emperador romano y filósofo estoico de la Edad Antigua, autor de las “Meditaciones”, obra clave del estoicismo práctico.</v>
      </c>
      <c r="I141" t="str">
        <f>_xlfn.XLOOKUP(frasest[[#This Row],[autor_es]],autorest[autor_es],autorest[bio_la])</f>
        <v>Imperator Romanus et philosophus Stoicus Antiquitatis, auctor “Meditationum”, operis maximi in praxi Stoica.</v>
      </c>
      <c r="J141" t="str">
        <f>_xlfn.XLOOKUP(frasest[[#This Row],[autor_es]],autorest[autor_es],autorest[codigo])</f>
        <v>el</v>
      </c>
      <c r="K141" t="str">
        <f>_xlfn.XLOOKUP(frasest[[#This Row],[autor_es]],autorest[autor_es],autorest[idioma_es])</f>
        <v>Griego</v>
      </c>
      <c r="L141" t="str">
        <f>_xlfn.XLOOKUP(frasest[[#This Row],[autor_es]],autorest[autor_es],autorest[idioma_la])</f>
        <v>Lingua Graeca</v>
      </c>
      <c r="M141" t="str">
        <f>_xlfn.XLOOKUP(frasest[[#This Row],[autor_es]],autorest[autor_es],autorest[nacion_es])</f>
        <v>Roma</v>
      </c>
      <c r="N141" t="str">
        <f>_xlfn.XLOOKUP(frasest[[#This Row],[autor_es]],autorest[autor_es],autorest[nacion_la])</f>
        <v>Roma</v>
      </c>
      <c r="O141" t="str">
        <f>_xlfn.XLOOKUP(frasest[[#This Row],[autor_es]],autorest[autor_es],autorest[epoca_es])</f>
        <v>Edad Antigua</v>
      </c>
      <c r="P141" t="str">
        <f>_xlfn.XLOOKUP(frasest[[#This Row],[autor_es]],autorest[autor_es],autorest[epoca_la])</f>
        <v>Antiquitas</v>
      </c>
      <c r="Q141" t="str">
        <f>_xlfn.XLOOKUP(frasest[[#This Row],[autor_es]],autorest[autor_es],autorest[imagen])</f>
        <v>https://i.ibb.co/0p8F8QbX/marcoaurelio.png</v>
      </c>
      <c r="R141">
        <f>_xlfn.XLOOKUP(frasest[[#This Row],[autor_es]],autorest[autor_es],autorest[imagen_atr])</f>
        <v>0</v>
      </c>
    </row>
    <row r="142" spans="1:18">
      <c r="A142">
        <v>141</v>
      </c>
      <c r="B142" t="s">
        <v>515</v>
      </c>
      <c r="C142" t="s">
        <v>516</v>
      </c>
      <c r="D142" t="s">
        <v>517</v>
      </c>
      <c r="E142" t="s">
        <v>501</v>
      </c>
      <c r="F142" t="s">
        <v>518</v>
      </c>
      <c r="G142" t="str">
        <f>_xlfn.XLOOKUP(frasest[[#This Row],[autor_es]],autorest[autor_es],autorest[autor_la])</f>
        <v>Marcus Aurelius</v>
      </c>
      <c r="H142" t="str">
        <f>_xlfn.XLOOKUP(frasest[[#This Row],[autor_es]],autorest[autor_es],autorest[bio_es])</f>
        <v>Emperador romano y filósofo estoico de la Edad Antigua, autor de las “Meditaciones”, obra clave del estoicismo práctico.</v>
      </c>
      <c r="I142" t="str">
        <f>_xlfn.XLOOKUP(frasest[[#This Row],[autor_es]],autorest[autor_es],autorest[bio_la])</f>
        <v>Imperator Romanus et philosophus Stoicus Antiquitatis, auctor “Meditationum”, operis maximi in praxi Stoica.</v>
      </c>
      <c r="J142" t="str">
        <f>_xlfn.XLOOKUP(frasest[[#This Row],[autor_es]],autorest[autor_es],autorest[codigo])</f>
        <v>el</v>
      </c>
      <c r="K142" t="str">
        <f>_xlfn.XLOOKUP(frasest[[#This Row],[autor_es]],autorest[autor_es],autorest[idioma_es])</f>
        <v>Griego</v>
      </c>
      <c r="L142" t="str">
        <f>_xlfn.XLOOKUP(frasest[[#This Row],[autor_es]],autorest[autor_es],autorest[idioma_la])</f>
        <v>Lingua Graeca</v>
      </c>
      <c r="M142" t="str">
        <f>_xlfn.XLOOKUP(frasest[[#This Row],[autor_es]],autorest[autor_es],autorest[nacion_es])</f>
        <v>Roma</v>
      </c>
      <c r="N142" t="str">
        <f>_xlfn.XLOOKUP(frasest[[#This Row],[autor_es]],autorest[autor_es],autorest[nacion_la])</f>
        <v>Roma</v>
      </c>
      <c r="O142" t="str">
        <f>_xlfn.XLOOKUP(frasest[[#This Row],[autor_es]],autorest[autor_es],autorest[epoca_es])</f>
        <v>Edad Antigua</v>
      </c>
      <c r="P142" t="str">
        <f>_xlfn.XLOOKUP(frasest[[#This Row],[autor_es]],autorest[autor_es],autorest[epoca_la])</f>
        <v>Antiquitas</v>
      </c>
      <c r="Q142" t="str">
        <f>_xlfn.XLOOKUP(frasest[[#This Row],[autor_es]],autorest[autor_es],autorest[imagen])</f>
        <v>https://i.ibb.co/0p8F8QbX/marcoaurelio.png</v>
      </c>
      <c r="R142">
        <f>_xlfn.XLOOKUP(frasest[[#This Row],[autor_es]],autorest[autor_es],autorest[imagen_atr])</f>
        <v>0</v>
      </c>
    </row>
    <row r="143" spans="1:18">
      <c r="A143">
        <v>142</v>
      </c>
      <c r="B143" t="s">
        <v>519</v>
      </c>
      <c r="C143" t="s">
        <v>520</v>
      </c>
      <c r="D143" t="s">
        <v>521</v>
      </c>
      <c r="E143" t="s">
        <v>501</v>
      </c>
      <c r="F143" t="s">
        <v>522</v>
      </c>
      <c r="G143" t="str">
        <f>_xlfn.XLOOKUP(frasest[[#This Row],[autor_es]],autorest[autor_es],autorest[autor_la])</f>
        <v>Marcus Aurelius</v>
      </c>
      <c r="H143" t="str">
        <f>_xlfn.XLOOKUP(frasest[[#This Row],[autor_es]],autorest[autor_es],autorest[bio_es])</f>
        <v>Emperador romano y filósofo estoico de la Edad Antigua, autor de las “Meditaciones”, obra clave del estoicismo práctico.</v>
      </c>
      <c r="I143" t="str">
        <f>_xlfn.XLOOKUP(frasest[[#This Row],[autor_es]],autorest[autor_es],autorest[bio_la])</f>
        <v>Imperator Romanus et philosophus Stoicus Antiquitatis, auctor “Meditationum”, operis maximi in praxi Stoica.</v>
      </c>
      <c r="J143" t="str">
        <f>_xlfn.XLOOKUP(frasest[[#This Row],[autor_es]],autorest[autor_es],autorest[codigo])</f>
        <v>el</v>
      </c>
      <c r="K143" t="str">
        <f>_xlfn.XLOOKUP(frasest[[#This Row],[autor_es]],autorest[autor_es],autorest[idioma_es])</f>
        <v>Griego</v>
      </c>
      <c r="L143" t="str">
        <f>_xlfn.XLOOKUP(frasest[[#This Row],[autor_es]],autorest[autor_es],autorest[idioma_la])</f>
        <v>Lingua Graeca</v>
      </c>
      <c r="M143" t="str">
        <f>_xlfn.XLOOKUP(frasest[[#This Row],[autor_es]],autorest[autor_es],autorest[nacion_es])</f>
        <v>Roma</v>
      </c>
      <c r="N143" t="str">
        <f>_xlfn.XLOOKUP(frasest[[#This Row],[autor_es]],autorest[autor_es],autorest[nacion_la])</f>
        <v>Roma</v>
      </c>
      <c r="O143" t="str">
        <f>_xlfn.XLOOKUP(frasest[[#This Row],[autor_es]],autorest[autor_es],autorest[epoca_es])</f>
        <v>Edad Antigua</v>
      </c>
      <c r="P143" t="str">
        <f>_xlfn.XLOOKUP(frasest[[#This Row],[autor_es]],autorest[autor_es],autorest[epoca_la])</f>
        <v>Antiquitas</v>
      </c>
      <c r="Q143" t="str">
        <f>_xlfn.XLOOKUP(frasest[[#This Row],[autor_es]],autorest[autor_es],autorest[imagen])</f>
        <v>https://i.ibb.co/0p8F8QbX/marcoaurelio.png</v>
      </c>
      <c r="R143">
        <f>_xlfn.XLOOKUP(frasest[[#This Row],[autor_es]],autorest[autor_es],autorest[imagen_atr])</f>
        <v>0</v>
      </c>
    </row>
    <row r="144" spans="1:18">
      <c r="A144">
        <v>143</v>
      </c>
      <c r="B144" t="s">
        <v>523</v>
      </c>
      <c r="C144" t="s">
        <v>524</v>
      </c>
      <c r="D144" t="s">
        <v>525</v>
      </c>
      <c r="E144" t="s">
        <v>501</v>
      </c>
      <c r="F144" t="s">
        <v>526</v>
      </c>
      <c r="G144" t="str">
        <f>_xlfn.XLOOKUP(frasest[[#This Row],[autor_es]],autorest[autor_es],autorest[autor_la])</f>
        <v>Marcus Aurelius</v>
      </c>
      <c r="H144" t="str">
        <f>_xlfn.XLOOKUP(frasest[[#This Row],[autor_es]],autorest[autor_es],autorest[bio_es])</f>
        <v>Emperador romano y filósofo estoico de la Edad Antigua, autor de las “Meditaciones”, obra clave del estoicismo práctico.</v>
      </c>
      <c r="I144" t="str">
        <f>_xlfn.XLOOKUP(frasest[[#This Row],[autor_es]],autorest[autor_es],autorest[bio_la])</f>
        <v>Imperator Romanus et philosophus Stoicus Antiquitatis, auctor “Meditationum”, operis maximi in praxi Stoica.</v>
      </c>
      <c r="J144" t="str">
        <f>_xlfn.XLOOKUP(frasest[[#This Row],[autor_es]],autorest[autor_es],autorest[codigo])</f>
        <v>el</v>
      </c>
      <c r="K144" t="str">
        <f>_xlfn.XLOOKUP(frasest[[#This Row],[autor_es]],autorest[autor_es],autorest[idioma_es])</f>
        <v>Griego</v>
      </c>
      <c r="L144" t="str">
        <f>_xlfn.XLOOKUP(frasest[[#This Row],[autor_es]],autorest[autor_es],autorest[idioma_la])</f>
        <v>Lingua Graeca</v>
      </c>
      <c r="M144" t="str">
        <f>_xlfn.XLOOKUP(frasest[[#This Row],[autor_es]],autorest[autor_es],autorest[nacion_es])</f>
        <v>Roma</v>
      </c>
      <c r="N144" t="str">
        <f>_xlfn.XLOOKUP(frasest[[#This Row],[autor_es]],autorest[autor_es],autorest[nacion_la])</f>
        <v>Roma</v>
      </c>
      <c r="O144" t="str">
        <f>_xlfn.XLOOKUP(frasest[[#This Row],[autor_es]],autorest[autor_es],autorest[epoca_es])</f>
        <v>Edad Antigua</v>
      </c>
      <c r="P144" t="str">
        <f>_xlfn.XLOOKUP(frasest[[#This Row],[autor_es]],autorest[autor_es],autorest[epoca_la])</f>
        <v>Antiquitas</v>
      </c>
      <c r="Q144" t="str">
        <f>_xlfn.XLOOKUP(frasest[[#This Row],[autor_es]],autorest[autor_es],autorest[imagen])</f>
        <v>https://i.ibb.co/0p8F8QbX/marcoaurelio.png</v>
      </c>
      <c r="R144">
        <f>_xlfn.XLOOKUP(frasest[[#This Row],[autor_es]],autorest[autor_es],autorest[imagen_atr])</f>
        <v>0</v>
      </c>
    </row>
    <row r="145" spans="1:18">
      <c r="A145">
        <v>144</v>
      </c>
      <c r="B145" t="s">
        <v>527</v>
      </c>
      <c r="C145" t="s">
        <v>528</v>
      </c>
      <c r="D145" t="s">
        <v>529</v>
      </c>
      <c r="E145" t="s">
        <v>501</v>
      </c>
      <c r="F145" t="s">
        <v>502</v>
      </c>
      <c r="G145" t="str">
        <f>_xlfn.XLOOKUP(frasest[[#This Row],[autor_es]],autorest[autor_es],autorest[autor_la])</f>
        <v>Marcus Aurelius</v>
      </c>
      <c r="H145" t="str">
        <f>_xlfn.XLOOKUP(frasest[[#This Row],[autor_es]],autorest[autor_es],autorest[bio_es])</f>
        <v>Emperador romano y filósofo estoico de la Edad Antigua, autor de las “Meditaciones”, obra clave del estoicismo práctico.</v>
      </c>
      <c r="I145" t="str">
        <f>_xlfn.XLOOKUP(frasest[[#This Row],[autor_es]],autorest[autor_es],autorest[bio_la])</f>
        <v>Imperator Romanus et philosophus Stoicus Antiquitatis, auctor “Meditationum”, operis maximi in praxi Stoica.</v>
      </c>
      <c r="J145" t="str">
        <f>_xlfn.XLOOKUP(frasest[[#This Row],[autor_es]],autorest[autor_es],autorest[codigo])</f>
        <v>el</v>
      </c>
      <c r="K145" t="str">
        <f>_xlfn.XLOOKUP(frasest[[#This Row],[autor_es]],autorest[autor_es],autorest[idioma_es])</f>
        <v>Griego</v>
      </c>
      <c r="L145" t="str">
        <f>_xlfn.XLOOKUP(frasest[[#This Row],[autor_es]],autorest[autor_es],autorest[idioma_la])</f>
        <v>Lingua Graeca</v>
      </c>
      <c r="M145" t="str">
        <f>_xlfn.XLOOKUP(frasest[[#This Row],[autor_es]],autorest[autor_es],autorest[nacion_es])</f>
        <v>Roma</v>
      </c>
      <c r="N145" t="str">
        <f>_xlfn.XLOOKUP(frasest[[#This Row],[autor_es]],autorest[autor_es],autorest[nacion_la])</f>
        <v>Roma</v>
      </c>
      <c r="O145" t="str">
        <f>_xlfn.XLOOKUP(frasest[[#This Row],[autor_es]],autorest[autor_es],autorest[epoca_es])</f>
        <v>Edad Antigua</v>
      </c>
      <c r="P145" t="str">
        <f>_xlfn.XLOOKUP(frasest[[#This Row],[autor_es]],autorest[autor_es],autorest[epoca_la])</f>
        <v>Antiquitas</v>
      </c>
      <c r="Q145" t="str">
        <f>_xlfn.XLOOKUP(frasest[[#This Row],[autor_es]],autorest[autor_es],autorest[imagen])</f>
        <v>https://i.ibb.co/0p8F8QbX/marcoaurelio.png</v>
      </c>
      <c r="R145">
        <f>_xlfn.XLOOKUP(frasest[[#This Row],[autor_es]],autorest[autor_es],autorest[imagen_atr])</f>
        <v>0</v>
      </c>
    </row>
    <row r="146" spans="1:18">
      <c r="A146">
        <v>145</v>
      </c>
      <c r="B146" t="s">
        <v>530</v>
      </c>
      <c r="C146" t="s">
        <v>531</v>
      </c>
      <c r="D146" t="s">
        <v>532</v>
      </c>
      <c r="E146" t="s">
        <v>501</v>
      </c>
      <c r="F146" t="s">
        <v>533</v>
      </c>
      <c r="G146" t="str">
        <f>_xlfn.XLOOKUP(frasest[[#This Row],[autor_es]],autorest[autor_es],autorest[autor_la])</f>
        <v>Marcus Aurelius</v>
      </c>
      <c r="H146" t="str">
        <f>_xlfn.XLOOKUP(frasest[[#This Row],[autor_es]],autorest[autor_es],autorest[bio_es])</f>
        <v>Emperador romano y filósofo estoico de la Edad Antigua, autor de las “Meditaciones”, obra clave del estoicismo práctico.</v>
      </c>
      <c r="I146" t="str">
        <f>_xlfn.XLOOKUP(frasest[[#This Row],[autor_es]],autorest[autor_es],autorest[bio_la])</f>
        <v>Imperator Romanus et philosophus Stoicus Antiquitatis, auctor “Meditationum”, operis maximi in praxi Stoica.</v>
      </c>
      <c r="J146" t="str">
        <f>_xlfn.XLOOKUP(frasest[[#This Row],[autor_es]],autorest[autor_es],autorest[codigo])</f>
        <v>el</v>
      </c>
      <c r="K146" t="str">
        <f>_xlfn.XLOOKUP(frasest[[#This Row],[autor_es]],autorest[autor_es],autorest[idioma_es])</f>
        <v>Griego</v>
      </c>
      <c r="L146" t="str">
        <f>_xlfn.XLOOKUP(frasest[[#This Row],[autor_es]],autorest[autor_es],autorest[idioma_la])</f>
        <v>Lingua Graeca</v>
      </c>
      <c r="M146" t="str">
        <f>_xlfn.XLOOKUP(frasest[[#This Row],[autor_es]],autorest[autor_es],autorest[nacion_es])</f>
        <v>Roma</v>
      </c>
      <c r="N146" t="str">
        <f>_xlfn.XLOOKUP(frasest[[#This Row],[autor_es]],autorest[autor_es],autorest[nacion_la])</f>
        <v>Roma</v>
      </c>
      <c r="O146" t="str">
        <f>_xlfn.XLOOKUP(frasest[[#This Row],[autor_es]],autorest[autor_es],autorest[epoca_es])</f>
        <v>Edad Antigua</v>
      </c>
      <c r="P146" t="str">
        <f>_xlfn.XLOOKUP(frasest[[#This Row],[autor_es]],autorest[autor_es],autorest[epoca_la])</f>
        <v>Antiquitas</v>
      </c>
      <c r="Q146" t="str">
        <f>_xlfn.XLOOKUP(frasest[[#This Row],[autor_es]],autorest[autor_es],autorest[imagen])</f>
        <v>https://i.ibb.co/0p8F8QbX/marcoaurelio.png</v>
      </c>
      <c r="R146">
        <f>_xlfn.XLOOKUP(frasest[[#This Row],[autor_es]],autorest[autor_es],autorest[imagen_atr])</f>
        <v>0</v>
      </c>
    </row>
    <row r="147" spans="1:18">
      <c r="A147">
        <v>146</v>
      </c>
      <c r="B147" t="s">
        <v>534</v>
      </c>
      <c r="C147" t="s">
        <v>535</v>
      </c>
      <c r="D147" t="s">
        <v>536</v>
      </c>
      <c r="E147" t="s">
        <v>501</v>
      </c>
      <c r="F147" t="s">
        <v>537</v>
      </c>
      <c r="G147" t="str">
        <f>_xlfn.XLOOKUP(frasest[[#This Row],[autor_es]],autorest[autor_es],autorest[autor_la])</f>
        <v>Marcus Aurelius</v>
      </c>
      <c r="H147" t="str">
        <f>_xlfn.XLOOKUP(frasest[[#This Row],[autor_es]],autorest[autor_es],autorest[bio_es])</f>
        <v>Emperador romano y filósofo estoico de la Edad Antigua, autor de las “Meditaciones”, obra clave del estoicismo práctico.</v>
      </c>
      <c r="I147" t="str">
        <f>_xlfn.XLOOKUP(frasest[[#This Row],[autor_es]],autorest[autor_es],autorest[bio_la])</f>
        <v>Imperator Romanus et philosophus Stoicus Antiquitatis, auctor “Meditationum”, operis maximi in praxi Stoica.</v>
      </c>
      <c r="J147" t="str">
        <f>_xlfn.XLOOKUP(frasest[[#This Row],[autor_es]],autorest[autor_es],autorest[codigo])</f>
        <v>el</v>
      </c>
      <c r="K147" t="str">
        <f>_xlfn.XLOOKUP(frasest[[#This Row],[autor_es]],autorest[autor_es],autorest[idioma_es])</f>
        <v>Griego</v>
      </c>
      <c r="L147" t="str">
        <f>_xlfn.XLOOKUP(frasest[[#This Row],[autor_es]],autorest[autor_es],autorest[idioma_la])</f>
        <v>Lingua Graeca</v>
      </c>
      <c r="M147" t="str">
        <f>_xlfn.XLOOKUP(frasest[[#This Row],[autor_es]],autorest[autor_es],autorest[nacion_es])</f>
        <v>Roma</v>
      </c>
      <c r="N147" t="str">
        <f>_xlfn.XLOOKUP(frasest[[#This Row],[autor_es]],autorest[autor_es],autorest[nacion_la])</f>
        <v>Roma</v>
      </c>
      <c r="O147" t="str">
        <f>_xlfn.XLOOKUP(frasest[[#This Row],[autor_es]],autorest[autor_es],autorest[epoca_es])</f>
        <v>Edad Antigua</v>
      </c>
      <c r="P147" t="str">
        <f>_xlfn.XLOOKUP(frasest[[#This Row],[autor_es]],autorest[autor_es],autorest[epoca_la])</f>
        <v>Antiquitas</v>
      </c>
      <c r="Q147" t="str">
        <f>_xlfn.XLOOKUP(frasest[[#This Row],[autor_es]],autorest[autor_es],autorest[imagen])</f>
        <v>https://i.ibb.co/0p8F8QbX/marcoaurelio.png</v>
      </c>
      <c r="R147">
        <f>_xlfn.XLOOKUP(frasest[[#This Row],[autor_es]],autorest[autor_es],autorest[imagen_atr])</f>
        <v>0</v>
      </c>
    </row>
    <row r="148" spans="1:18">
      <c r="A148">
        <v>147</v>
      </c>
      <c r="B148" t="s">
        <v>538</v>
      </c>
      <c r="C148" t="s">
        <v>539</v>
      </c>
      <c r="D148" t="s">
        <v>540</v>
      </c>
      <c r="E148" t="s">
        <v>541</v>
      </c>
      <c r="F148" t="s">
        <v>542</v>
      </c>
      <c r="G148" t="str">
        <f>_xlfn.XLOOKUP(frasest[[#This Row],[autor_es]],autorest[autor_es],autorest[autor_la])</f>
        <v>Plato</v>
      </c>
      <c r="H148" t="str">
        <f>_xlfn.XLOOKUP(frasest[[#This Row],[autor_es]],autorest[autor_es],autorest[bio_es])</f>
        <v>Filósofo griego de la Edad Antigua, discípulo de Sócrates y maestro de Aristóteles, fundador de la Academia de Atenas.</v>
      </c>
      <c r="I148" t="str">
        <f>_xlfn.XLOOKUP(frasest[[#This Row],[autor_es]],autorest[autor_es],autorest[bio_la])</f>
        <v>Philosophus Graecus Antiquitatis, discipulus Socratis et magister Aristotelis, Academiae Atheniensis conditor.</v>
      </c>
      <c r="J148" t="str">
        <f>_xlfn.XLOOKUP(frasest[[#This Row],[autor_es]],autorest[autor_es],autorest[codigo])</f>
        <v>el</v>
      </c>
      <c r="K148" t="str">
        <f>_xlfn.XLOOKUP(frasest[[#This Row],[autor_es]],autorest[autor_es],autorest[idioma_es])</f>
        <v>Griego</v>
      </c>
      <c r="L148" t="str">
        <f>_xlfn.XLOOKUP(frasest[[#This Row],[autor_es]],autorest[autor_es],autorest[idioma_la])</f>
        <v>Lingua Graeca</v>
      </c>
      <c r="M148" t="str">
        <f>_xlfn.XLOOKUP(frasest[[#This Row],[autor_es]],autorest[autor_es],autorest[nacion_es])</f>
        <v>Grecia</v>
      </c>
      <c r="N148" t="str">
        <f>_xlfn.XLOOKUP(frasest[[#This Row],[autor_es]],autorest[autor_es],autorest[nacion_la])</f>
        <v>Graecia</v>
      </c>
      <c r="O148" t="str">
        <f>_xlfn.XLOOKUP(frasest[[#This Row],[autor_es]],autorest[autor_es],autorest[epoca_es])</f>
        <v>Edad Antigua</v>
      </c>
      <c r="P148" t="str">
        <f>_xlfn.XLOOKUP(frasest[[#This Row],[autor_es]],autorest[autor_es],autorest[epoca_la])</f>
        <v>Antiquitas</v>
      </c>
      <c r="Q148" t="str">
        <f>_xlfn.XLOOKUP(frasest[[#This Row],[autor_es]],autorest[autor_es],autorest[imagen])</f>
        <v>https://i.ibb.co/VcxD11Wm/platon.png</v>
      </c>
      <c r="R148">
        <f>_xlfn.XLOOKUP(frasest[[#This Row],[autor_es]],autorest[autor_es],autorest[imagen_atr])</f>
        <v>0</v>
      </c>
    </row>
    <row r="149" spans="1:18">
      <c r="A149">
        <v>148</v>
      </c>
      <c r="B149" t="s">
        <v>543</v>
      </c>
      <c r="C149" t="s">
        <v>544</v>
      </c>
      <c r="D149" t="s">
        <v>545</v>
      </c>
      <c r="E149" t="s">
        <v>541</v>
      </c>
      <c r="F149" t="s">
        <v>546</v>
      </c>
      <c r="G149" t="str">
        <f>_xlfn.XLOOKUP(frasest[[#This Row],[autor_es]],autorest[autor_es],autorest[autor_la])</f>
        <v>Plato</v>
      </c>
      <c r="H149" t="str">
        <f>_xlfn.XLOOKUP(frasest[[#This Row],[autor_es]],autorest[autor_es],autorest[bio_es])</f>
        <v>Filósofo griego de la Edad Antigua, discípulo de Sócrates y maestro de Aristóteles, fundador de la Academia de Atenas.</v>
      </c>
      <c r="I149" t="str">
        <f>_xlfn.XLOOKUP(frasest[[#This Row],[autor_es]],autorest[autor_es],autorest[bio_la])</f>
        <v>Philosophus Graecus Antiquitatis, discipulus Socratis et magister Aristotelis, Academiae Atheniensis conditor.</v>
      </c>
      <c r="J149" t="str">
        <f>_xlfn.XLOOKUP(frasest[[#This Row],[autor_es]],autorest[autor_es],autorest[codigo])</f>
        <v>el</v>
      </c>
      <c r="K149" t="str">
        <f>_xlfn.XLOOKUP(frasest[[#This Row],[autor_es]],autorest[autor_es],autorest[idioma_es])</f>
        <v>Griego</v>
      </c>
      <c r="L149" t="str">
        <f>_xlfn.XLOOKUP(frasest[[#This Row],[autor_es]],autorest[autor_es],autorest[idioma_la])</f>
        <v>Lingua Graeca</v>
      </c>
      <c r="M149" t="str">
        <f>_xlfn.XLOOKUP(frasest[[#This Row],[autor_es]],autorest[autor_es],autorest[nacion_es])</f>
        <v>Grecia</v>
      </c>
      <c r="N149" t="str">
        <f>_xlfn.XLOOKUP(frasest[[#This Row],[autor_es]],autorest[autor_es],autorest[nacion_la])</f>
        <v>Graecia</v>
      </c>
      <c r="O149" t="str">
        <f>_xlfn.XLOOKUP(frasest[[#This Row],[autor_es]],autorest[autor_es],autorest[epoca_es])</f>
        <v>Edad Antigua</v>
      </c>
      <c r="P149" t="str">
        <f>_xlfn.XLOOKUP(frasest[[#This Row],[autor_es]],autorest[autor_es],autorest[epoca_la])</f>
        <v>Antiquitas</v>
      </c>
      <c r="Q149" t="str">
        <f>_xlfn.XLOOKUP(frasest[[#This Row],[autor_es]],autorest[autor_es],autorest[imagen])</f>
        <v>https://i.ibb.co/VcxD11Wm/platon.png</v>
      </c>
      <c r="R149">
        <f>_xlfn.XLOOKUP(frasest[[#This Row],[autor_es]],autorest[autor_es],autorest[imagen_atr])</f>
        <v>0</v>
      </c>
    </row>
    <row r="150" spans="1:18">
      <c r="A150">
        <v>149</v>
      </c>
      <c r="B150" t="s">
        <v>547</v>
      </c>
      <c r="C150" t="s">
        <v>548</v>
      </c>
      <c r="D150" t="s">
        <v>549</v>
      </c>
      <c r="E150" t="s">
        <v>541</v>
      </c>
      <c r="F150" t="s">
        <v>550</v>
      </c>
      <c r="G150" t="str">
        <f>_xlfn.XLOOKUP(frasest[[#This Row],[autor_es]],autorest[autor_es],autorest[autor_la])</f>
        <v>Plato</v>
      </c>
      <c r="H150" t="str">
        <f>_xlfn.XLOOKUP(frasest[[#This Row],[autor_es]],autorest[autor_es],autorest[bio_es])</f>
        <v>Filósofo griego de la Edad Antigua, discípulo de Sócrates y maestro de Aristóteles, fundador de la Academia de Atenas.</v>
      </c>
      <c r="I150" t="str">
        <f>_xlfn.XLOOKUP(frasest[[#This Row],[autor_es]],autorest[autor_es],autorest[bio_la])</f>
        <v>Philosophus Graecus Antiquitatis, discipulus Socratis et magister Aristotelis, Academiae Atheniensis conditor.</v>
      </c>
      <c r="J150" t="str">
        <f>_xlfn.XLOOKUP(frasest[[#This Row],[autor_es]],autorest[autor_es],autorest[codigo])</f>
        <v>el</v>
      </c>
      <c r="K150" t="str">
        <f>_xlfn.XLOOKUP(frasest[[#This Row],[autor_es]],autorest[autor_es],autorest[idioma_es])</f>
        <v>Griego</v>
      </c>
      <c r="L150" t="str">
        <f>_xlfn.XLOOKUP(frasest[[#This Row],[autor_es]],autorest[autor_es],autorest[idioma_la])</f>
        <v>Lingua Graeca</v>
      </c>
      <c r="M150" t="str">
        <f>_xlfn.XLOOKUP(frasest[[#This Row],[autor_es]],autorest[autor_es],autorest[nacion_es])</f>
        <v>Grecia</v>
      </c>
      <c r="N150" t="str">
        <f>_xlfn.XLOOKUP(frasest[[#This Row],[autor_es]],autorest[autor_es],autorest[nacion_la])</f>
        <v>Graecia</v>
      </c>
      <c r="O150" t="str">
        <f>_xlfn.XLOOKUP(frasest[[#This Row],[autor_es]],autorest[autor_es],autorest[epoca_es])</f>
        <v>Edad Antigua</v>
      </c>
      <c r="P150" t="str">
        <f>_xlfn.XLOOKUP(frasest[[#This Row],[autor_es]],autorest[autor_es],autorest[epoca_la])</f>
        <v>Antiquitas</v>
      </c>
      <c r="Q150" t="str">
        <f>_xlfn.XLOOKUP(frasest[[#This Row],[autor_es]],autorest[autor_es],autorest[imagen])</f>
        <v>https://i.ibb.co/VcxD11Wm/platon.png</v>
      </c>
      <c r="R150">
        <f>_xlfn.XLOOKUP(frasest[[#This Row],[autor_es]],autorest[autor_es],autorest[imagen_atr])</f>
        <v>0</v>
      </c>
    </row>
    <row r="151" spans="1:18">
      <c r="A151">
        <v>150</v>
      </c>
      <c r="B151" t="s">
        <v>551</v>
      </c>
      <c r="C151" t="s">
        <v>552</v>
      </c>
      <c r="D151" t="s">
        <v>553</v>
      </c>
      <c r="E151" t="s">
        <v>541</v>
      </c>
      <c r="F151" t="s">
        <v>554</v>
      </c>
      <c r="G151" t="str">
        <f>_xlfn.XLOOKUP(frasest[[#This Row],[autor_es]],autorest[autor_es],autorest[autor_la])</f>
        <v>Plato</v>
      </c>
      <c r="H151" t="str">
        <f>_xlfn.XLOOKUP(frasest[[#This Row],[autor_es]],autorest[autor_es],autorest[bio_es])</f>
        <v>Filósofo griego de la Edad Antigua, discípulo de Sócrates y maestro de Aristóteles, fundador de la Academia de Atenas.</v>
      </c>
      <c r="I151" t="str">
        <f>_xlfn.XLOOKUP(frasest[[#This Row],[autor_es]],autorest[autor_es],autorest[bio_la])</f>
        <v>Philosophus Graecus Antiquitatis, discipulus Socratis et magister Aristotelis, Academiae Atheniensis conditor.</v>
      </c>
      <c r="J151" t="str">
        <f>_xlfn.XLOOKUP(frasest[[#This Row],[autor_es]],autorest[autor_es],autorest[codigo])</f>
        <v>el</v>
      </c>
      <c r="K151" t="str">
        <f>_xlfn.XLOOKUP(frasest[[#This Row],[autor_es]],autorest[autor_es],autorest[idioma_es])</f>
        <v>Griego</v>
      </c>
      <c r="L151" t="str">
        <f>_xlfn.XLOOKUP(frasest[[#This Row],[autor_es]],autorest[autor_es],autorest[idioma_la])</f>
        <v>Lingua Graeca</v>
      </c>
      <c r="M151" t="str">
        <f>_xlfn.XLOOKUP(frasest[[#This Row],[autor_es]],autorest[autor_es],autorest[nacion_es])</f>
        <v>Grecia</v>
      </c>
      <c r="N151" t="str">
        <f>_xlfn.XLOOKUP(frasest[[#This Row],[autor_es]],autorest[autor_es],autorest[nacion_la])</f>
        <v>Graecia</v>
      </c>
      <c r="O151" t="str">
        <f>_xlfn.XLOOKUP(frasest[[#This Row],[autor_es]],autorest[autor_es],autorest[epoca_es])</f>
        <v>Edad Antigua</v>
      </c>
      <c r="P151" t="str">
        <f>_xlfn.XLOOKUP(frasest[[#This Row],[autor_es]],autorest[autor_es],autorest[epoca_la])</f>
        <v>Antiquitas</v>
      </c>
      <c r="Q151" t="str">
        <f>_xlfn.XLOOKUP(frasest[[#This Row],[autor_es]],autorest[autor_es],autorest[imagen])</f>
        <v>https://i.ibb.co/VcxD11Wm/platon.png</v>
      </c>
      <c r="R151">
        <f>_xlfn.XLOOKUP(frasest[[#This Row],[autor_es]],autorest[autor_es],autorest[imagen_atr])</f>
        <v>0</v>
      </c>
    </row>
    <row r="152" spans="1:18">
      <c r="A152">
        <v>151</v>
      </c>
      <c r="B152" t="s">
        <v>555</v>
      </c>
      <c r="C152" t="s">
        <v>556</v>
      </c>
      <c r="D152" t="s">
        <v>557</v>
      </c>
      <c r="E152" t="s">
        <v>541</v>
      </c>
      <c r="F152" t="s">
        <v>558</v>
      </c>
      <c r="G152" t="str">
        <f>_xlfn.XLOOKUP(frasest[[#This Row],[autor_es]],autorest[autor_es],autorest[autor_la])</f>
        <v>Plato</v>
      </c>
      <c r="H152" t="str">
        <f>_xlfn.XLOOKUP(frasest[[#This Row],[autor_es]],autorest[autor_es],autorest[bio_es])</f>
        <v>Filósofo griego de la Edad Antigua, discípulo de Sócrates y maestro de Aristóteles, fundador de la Academia de Atenas.</v>
      </c>
      <c r="I152" t="str">
        <f>_xlfn.XLOOKUP(frasest[[#This Row],[autor_es]],autorest[autor_es],autorest[bio_la])</f>
        <v>Philosophus Graecus Antiquitatis, discipulus Socratis et magister Aristotelis, Academiae Atheniensis conditor.</v>
      </c>
      <c r="J152" t="str">
        <f>_xlfn.XLOOKUP(frasest[[#This Row],[autor_es]],autorest[autor_es],autorest[codigo])</f>
        <v>el</v>
      </c>
      <c r="K152" t="str">
        <f>_xlfn.XLOOKUP(frasest[[#This Row],[autor_es]],autorest[autor_es],autorest[idioma_es])</f>
        <v>Griego</v>
      </c>
      <c r="L152" t="str">
        <f>_xlfn.XLOOKUP(frasest[[#This Row],[autor_es]],autorest[autor_es],autorest[idioma_la])</f>
        <v>Lingua Graeca</v>
      </c>
      <c r="M152" t="str">
        <f>_xlfn.XLOOKUP(frasest[[#This Row],[autor_es]],autorest[autor_es],autorest[nacion_es])</f>
        <v>Grecia</v>
      </c>
      <c r="N152" t="str">
        <f>_xlfn.XLOOKUP(frasest[[#This Row],[autor_es]],autorest[autor_es],autorest[nacion_la])</f>
        <v>Graecia</v>
      </c>
      <c r="O152" t="str">
        <f>_xlfn.XLOOKUP(frasest[[#This Row],[autor_es]],autorest[autor_es],autorest[epoca_es])</f>
        <v>Edad Antigua</v>
      </c>
      <c r="P152" t="str">
        <f>_xlfn.XLOOKUP(frasest[[#This Row],[autor_es]],autorest[autor_es],autorest[epoca_la])</f>
        <v>Antiquitas</v>
      </c>
      <c r="Q152" t="str">
        <f>_xlfn.XLOOKUP(frasest[[#This Row],[autor_es]],autorest[autor_es],autorest[imagen])</f>
        <v>https://i.ibb.co/VcxD11Wm/platon.png</v>
      </c>
      <c r="R152">
        <f>_xlfn.XLOOKUP(frasest[[#This Row],[autor_es]],autorest[autor_es],autorest[imagen_atr])</f>
        <v>0</v>
      </c>
    </row>
    <row r="153" spans="1:18">
      <c r="A153">
        <v>152</v>
      </c>
      <c r="B153" t="s">
        <v>559</v>
      </c>
      <c r="C153" t="s">
        <v>560</v>
      </c>
      <c r="D153" t="s">
        <v>561</v>
      </c>
      <c r="E153" t="s">
        <v>541</v>
      </c>
      <c r="F153" t="s">
        <v>562</v>
      </c>
      <c r="G153" t="str">
        <f>_xlfn.XLOOKUP(frasest[[#This Row],[autor_es]],autorest[autor_es],autorest[autor_la])</f>
        <v>Plato</v>
      </c>
      <c r="H153" t="str">
        <f>_xlfn.XLOOKUP(frasest[[#This Row],[autor_es]],autorest[autor_es],autorest[bio_es])</f>
        <v>Filósofo griego de la Edad Antigua, discípulo de Sócrates y maestro de Aristóteles, fundador de la Academia de Atenas.</v>
      </c>
      <c r="I153" t="str">
        <f>_xlfn.XLOOKUP(frasest[[#This Row],[autor_es]],autorest[autor_es],autorest[bio_la])</f>
        <v>Philosophus Graecus Antiquitatis, discipulus Socratis et magister Aristotelis, Academiae Atheniensis conditor.</v>
      </c>
      <c r="J153" t="str">
        <f>_xlfn.XLOOKUP(frasest[[#This Row],[autor_es]],autorest[autor_es],autorest[codigo])</f>
        <v>el</v>
      </c>
      <c r="K153" t="str">
        <f>_xlfn.XLOOKUP(frasest[[#This Row],[autor_es]],autorest[autor_es],autorest[idioma_es])</f>
        <v>Griego</v>
      </c>
      <c r="L153" t="str">
        <f>_xlfn.XLOOKUP(frasest[[#This Row],[autor_es]],autorest[autor_es],autorest[idioma_la])</f>
        <v>Lingua Graeca</v>
      </c>
      <c r="M153" t="str">
        <f>_xlfn.XLOOKUP(frasest[[#This Row],[autor_es]],autorest[autor_es],autorest[nacion_es])</f>
        <v>Grecia</v>
      </c>
      <c r="N153" t="str">
        <f>_xlfn.XLOOKUP(frasest[[#This Row],[autor_es]],autorest[autor_es],autorest[nacion_la])</f>
        <v>Graecia</v>
      </c>
      <c r="O153" t="str">
        <f>_xlfn.XLOOKUP(frasest[[#This Row],[autor_es]],autorest[autor_es],autorest[epoca_es])</f>
        <v>Edad Antigua</v>
      </c>
      <c r="P153" t="str">
        <f>_xlfn.XLOOKUP(frasest[[#This Row],[autor_es]],autorest[autor_es],autorest[epoca_la])</f>
        <v>Antiquitas</v>
      </c>
      <c r="Q153" t="str">
        <f>_xlfn.XLOOKUP(frasest[[#This Row],[autor_es]],autorest[autor_es],autorest[imagen])</f>
        <v>https://i.ibb.co/VcxD11Wm/platon.png</v>
      </c>
      <c r="R153">
        <f>_xlfn.XLOOKUP(frasest[[#This Row],[autor_es]],autorest[autor_es],autorest[imagen_atr])</f>
        <v>0</v>
      </c>
    </row>
    <row r="154" spans="1:18">
      <c r="A154">
        <v>153</v>
      </c>
      <c r="B154" t="s">
        <v>563</v>
      </c>
      <c r="C154" t="s">
        <v>564</v>
      </c>
      <c r="D154" t="s">
        <v>565</v>
      </c>
      <c r="E154" t="s">
        <v>541</v>
      </c>
      <c r="F154" t="s">
        <v>566</v>
      </c>
      <c r="G154" t="str">
        <f>_xlfn.XLOOKUP(frasest[[#This Row],[autor_es]],autorest[autor_es],autorest[autor_la])</f>
        <v>Plato</v>
      </c>
      <c r="H154" t="str">
        <f>_xlfn.XLOOKUP(frasest[[#This Row],[autor_es]],autorest[autor_es],autorest[bio_es])</f>
        <v>Filósofo griego de la Edad Antigua, discípulo de Sócrates y maestro de Aristóteles, fundador de la Academia de Atenas.</v>
      </c>
      <c r="I154" t="str">
        <f>_xlfn.XLOOKUP(frasest[[#This Row],[autor_es]],autorest[autor_es],autorest[bio_la])</f>
        <v>Philosophus Graecus Antiquitatis, discipulus Socratis et magister Aristotelis, Academiae Atheniensis conditor.</v>
      </c>
      <c r="J154" t="str">
        <f>_xlfn.XLOOKUP(frasest[[#This Row],[autor_es]],autorest[autor_es],autorest[codigo])</f>
        <v>el</v>
      </c>
      <c r="K154" t="str">
        <f>_xlfn.XLOOKUP(frasest[[#This Row],[autor_es]],autorest[autor_es],autorest[idioma_es])</f>
        <v>Griego</v>
      </c>
      <c r="L154" t="str">
        <f>_xlfn.XLOOKUP(frasest[[#This Row],[autor_es]],autorest[autor_es],autorest[idioma_la])</f>
        <v>Lingua Graeca</v>
      </c>
      <c r="M154" t="str">
        <f>_xlfn.XLOOKUP(frasest[[#This Row],[autor_es]],autorest[autor_es],autorest[nacion_es])</f>
        <v>Grecia</v>
      </c>
      <c r="N154" t="str">
        <f>_xlfn.XLOOKUP(frasest[[#This Row],[autor_es]],autorest[autor_es],autorest[nacion_la])</f>
        <v>Graecia</v>
      </c>
      <c r="O154" t="str">
        <f>_xlfn.XLOOKUP(frasest[[#This Row],[autor_es]],autorest[autor_es],autorest[epoca_es])</f>
        <v>Edad Antigua</v>
      </c>
      <c r="P154" t="str">
        <f>_xlfn.XLOOKUP(frasest[[#This Row],[autor_es]],autorest[autor_es],autorest[epoca_la])</f>
        <v>Antiquitas</v>
      </c>
      <c r="Q154" t="str">
        <f>_xlfn.XLOOKUP(frasest[[#This Row],[autor_es]],autorest[autor_es],autorest[imagen])</f>
        <v>https://i.ibb.co/VcxD11Wm/platon.png</v>
      </c>
      <c r="R154">
        <f>_xlfn.XLOOKUP(frasest[[#This Row],[autor_es]],autorest[autor_es],autorest[imagen_atr])</f>
        <v>0</v>
      </c>
    </row>
    <row r="155" spans="1:18">
      <c r="A155">
        <v>154</v>
      </c>
      <c r="B155" t="s">
        <v>567</v>
      </c>
      <c r="C155" t="s">
        <v>568</v>
      </c>
      <c r="D155" t="s">
        <v>569</v>
      </c>
      <c r="E155" t="s">
        <v>541</v>
      </c>
      <c r="F155" t="s">
        <v>570</v>
      </c>
      <c r="G155" t="str">
        <f>_xlfn.XLOOKUP(frasest[[#This Row],[autor_es]],autorest[autor_es],autorest[autor_la])</f>
        <v>Plato</v>
      </c>
      <c r="H155" t="str">
        <f>_xlfn.XLOOKUP(frasest[[#This Row],[autor_es]],autorest[autor_es],autorest[bio_es])</f>
        <v>Filósofo griego de la Edad Antigua, discípulo de Sócrates y maestro de Aristóteles, fundador de la Academia de Atenas.</v>
      </c>
      <c r="I155" t="str">
        <f>_xlfn.XLOOKUP(frasest[[#This Row],[autor_es]],autorest[autor_es],autorest[bio_la])</f>
        <v>Philosophus Graecus Antiquitatis, discipulus Socratis et magister Aristotelis, Academiae Atheniensis conditor.</v>
      </c>
      <c r="J155" t="str">
        <f>_xlfn.XLOOKUP(frasest[[#This Row],[autor_es]],autorest[autor_es],autorest[codigo])</f>
        <v>el</v>
      </c>
      <c r="K155" t="str">
        <f>_xlfn.XLOOKUP(frasest[[#This Row],[autor_es]],autorest[autor_es],autorest[idioma_es])</f>
        <v>Griego</v>
      </c>
      <c r="L155" t="str">
        <f>_xlfn.XLOOKUP(frasest[[#This Row],[autor_es]],autorest[autor_es],autorest[idioma_la])</f>
        <v>Lingua Graeca</v>
      </c>
      <c r="M155" t="str">
        <f>_xlfn.XLOOKUP(frasest[[#This Row],[autor_es]],autorest[autor_es],autorest[nacion_es])</f>
        <v>Grecia</v>
      </c>
      <c r="N155" t="str">
        <f>_xlfn.XLOOKUP(frasest[[#This Row],[autor_es]],autorest[autor_es],autorest[nacion_la])</f>
        <v>Graecia</v>
      </c>
      <c r="O155" t="str">
        <f>_xlfn.XLOOKUP(frasest[[#This Row],[autor_es]],autorest[autor_es],autorest[epoca_es])</f>
        <v>Edad Antigua</v>
      </c>
      <c r="P155" t="str">
        <f>_xlfn.XLOOKUP(frasest[[#This Row],[autor_es]],autorest[autor_es],autorest[epoca_la])</f>
        <v>Antiquitas</v>
      </c>
      <c r="Q155" t="str">
        <f>_xlfn.XLOOKUP(frasest[[#This Row],[autor_es]],autorest[autor_es],autorest[imagen])</f>
        <v>https://i.ibb.co/VcxD11Wm/platon.png</v>
      </c>
      <c r="R155">
        <f>_xlfn.XLOOKUP(frasest[[#This Row],[autor_es]],autorest[autor_es],autorest[imagen_atr])</f>
        <v>0</v>
      </c>
    </row>
    <row r="156" spans="1:18">
      <c r="A156">
        <v>155</v>
      </c>
      <c r="B156" t="s">
        <v>571</v>
      </c>
      <c r="C156" t="s">
        <v>572</v>
      </c>
      <c r="D156" t="s">
        <v>573</v>
      </c>
      <c r="E156" t="s">
        <v>541</v>
      </c>
      <c r="F156" t="s">
        <v>574</v>
      </c>
      <c r="G156" t="str">
        <f>_xlfn.XLOOKUP(frasest[[#This Row],[autor_es]],autorest[autor_es],autorest[autor_la])</f>
        <v>Plato</v>
      </c>
      <c r="H156" t="str">
        <f>_xlfn.XLOOKUP(frasest[[#This Row],[autor_es]],autorest[autor_es],autorest[bio_es])</f>
        <v>Filósofo griego de la Edad Antigua, discípulo de Sócrates y maestro de Aristóteles, fundador de la Academia de Atenas.</v>
      </c>
      <c r="I156" t="str">
        <f>_xlfn.XLOOKUP(frasest[[#This Row],[autor_es]],autorest[autor_es],autorest[bio_la])</f>
        <v>Philosophus Graecus Antiquitatis, discipulus Socratis et magister Aristotelis, Academiae Atheniensis conditor.</v>
      </c>
      <c r="J156" t="str">
        <f>_xlfn.XLOOKUP(frasest[[#This Row],[autor_es]],autorest[autor_es],autorest[codigo])</f>
        <v>el</v>
      </c>
      <c r="K156" t="str">
        <f>_xlfn.XLOOKUP(frasest[[#This Row],[autor_es]],autorest[autor_es],autorest[idioma_es])</f>
        <v>Griego</v>
      </c>
      <c r="L156" t="str">
        <f>_xlfn.XLOOKUP(frasest[[#This Row],[autor_es]],autorest[autor_es],autorest[idioma_la])</f>
        <v>Lingua Graeca</v>
      </c>
      <c r="M156" t="str">
        <f>_xlfn.XLOOKUP(frasest[[#This Row],[autor_es]],autorest[autor_es],autorest[nacion_es])</f>
        <v>Grecia</v>
      </c>
      <c r="N156" t="str">
        <f>_xlfn.XLOOKUP(frasest[[#This Row],[autor_es]],autorest[autor_es],autorest[nacion_la])</f>
        <v>Graecia</v>
      </c>
      <c r="O156" t="str">
        <f>_xlfn.XLOOKUP(frasest[[#This Row],[autor_es]],autorest[autor_es],autorest[epoca_es])</f>
        <v>Edad Antigua</v>
      </c>
      <c r="P156" t="str">
        <f>_xlfn.XLOOKUP(frasest[[#This Row],[autor_es]],autorest[autor_es],autorest[epoca_la])</f>
        <v>Antiquitas</v>
      </c>
      <c r="Q156" t="str">
        <f>_xlfn.XLOOKUP(frasest[[#This Row],[autor_es]],autorest[autor_es],autorest[imagen])</f>
        <v>https://i.ibb.co/VcxD11Wm/platon.png</v>
      </c>
      <c r="R156">
        <f>_xlfn.XLOOKUP(frasest[[#This Row],[autor_es]],autorest[autor_es],autorest[imagen_atr])</f>
        <v>0</v>
      </c>
    </row>
    <row r="157" spans="1:18">
      <c r="A157">
        <v>156</v>
      </c>
      <c r="B157" t="s">
        <v>575</v>
      </c>
      <c r="C157" t="s">
        <v>576</v>
      </c>
      <c r="D157" t="s">
        <v>577</v>
      </c>
      <c r="E157" t="s">
        <v>541</v>
      </c>
      <c r="F157" t="s">
        <v>578</v>
      </c>
      <c r="G157" t="str">
        <f>_xlfn.XLOOKUP(frasest[[#This Row],[autor_es]],autorest[autor_es],autorest[autor_la])</f>
        <v>Plato</v>
      </c>
      <c r="H157" t="str">
        <f>_xlfn.XLOOKUP(frasest[[#This Row],[autor_es]],autorest[autor_es],autorest[bio_es])</f>
        <v>Filósofo griego de la Edad Antigua, discípulo de Sócrates y maestro de Aristóteles, fundador de la Academia de Atenas.</v>
      </c>
      <c r="I157" t="str">
        <f>_xlfn.XLOOKUP(frasest[[#This Row],[autor_es]],autorest[autor_es],autorest[bio_la])</f>
        <v>Philosophus Graecus Antiquitatis, discipulus Socratis et magister Aristotelis, Academiae Atheniensis conditor.</v>
      </c>
      <c r="J157" t="str">
        <f>_xlfn.XLOOKUP(frasest[[#This Row],[autor_es]],autorest[autor_es],autorest[codigo])</f>
        <v>el</v>
      </c>
      <c r="K157" t="str">
        <f>_xlfn.XLOOKUP(frasest[[#This Row],[autor_es]],autorest[autor_es],autorest[idioma_es])</f>
        <v>Griego</v>
      </c>
      <c r="L157" t="str">
        <f>_xlfn.XLOOKUP(frasest[[#This Row],[autor_es]],autorest[autor_es],autorest[idioma_la])</f>
        <v>Lingua Graeca</v>
      </c>
      <c r="M157" t="str">
        <f>_xlfn.XLOOKUP(frasest[[#This Row],[autor_es]],autorest[autor_es],autorest[nacion_es])</f>
        <v>Grecia</v>
      </c>
      <c r="N157" t="str">
        <f>_xlfn.XLOOKUP(frasest[[#This Row],[autor_es]],autorest[autor_es],autorest[nacion_la])</f>
        <v>Graecia</v>
      </c>
      <c r="O157" t="str">
        <f>_xlfn.XLOOKUP(frasest[[#This Row],[autor_es]],autorest[autor_es],autorest[epoca_es])</f>
        <v>Edad Antigua</v>
      </c>
      <c r="P157" t="str">
        <f>_xlfn.XLOOKUP(frasest[[#This Row],[autor_es]],autorest[autor_es],autorest[epoca_la])</f>
        <v>Antiquitas</v>
      </c>
      <c r="Q157" t="str">
        <f>_xlfn.XLOOKUP(frasest[[#This Row],[autor_es]],autorest[autor_es],autorest[imagen])</f>
        <v>https://i.ibb.co/VcxD11Wm/platon.png</v>
      </c>
      <c r="R157">
        <f>_xlfn.XLOOKUP(frasest[[#This Row],[autor_es]],autorest[autor_es],autorest[imagen_atr])</f>
        <v>0</v>
      </c>
    </row>
    <row r="158" spans="1:18">
      <c r="A158">
        <v>157</v>
      </c>
      <c r="B158" t="s">
        <v>579</v>
      </c>
      <c r="C158" t="s">
        <v>580</v>
      </c>
      <c r="D158" t="s">
        <v>581</v>
      </c>
      <c r="E158" t="s">
        <v>582</v>
      </c>
      <c r="F158" t="s">
        <v>583</v>
      </c>
      <c r="G158" t="str">
        <f>_xlfn.XLOOKUP(frasest[[#This Row],[autor_es]],autorest[autor_es],autorest[autor_la])</f>
        <v>Aristoteles</v>
      </c>
      <c r="H158" t="str">
        <f>_xlfn.XLOOKUP(frasest[[#This Row],[autor_es]],autorest[autor_es],autorest[bio_es])</f>
        <v>Filósofo griego de la Edad Antigua, discípulo de Platón y maestro de Alejandro Magno, figura central del pensamiento lógico, ético y metafísico.</v>
      </c>
      <c r="I158" t="str">
        <f>_xlfn.XLOOKUP(frasest[[#This Row],[autor_es]],autorest[autor_es],autorest[bio_la])</f>
        <v>Philosophus Graecus Antiquitatis, discipulus Platonis et magister Alexandri Magni, pars maxima in logica, ethica et metaphysica.</v>
      </c>
      <c r="J158" t="str">
        <f>_xlfn.XLOOKUP(frasest[[#This Row],[autor_es]],autorest[autor_es],autorest[codigo])</f>
        <v>el</v>
      </c>
      <c r="K158" t="str">
        <f>_xlfn.XLOOKUP(frasest[[#This Row],[autor_es]],autorest[autor_es],autorest[idioma_es])</f>
        <v>Griego</v>
      </c>
      <c r="L158" t="str">
        <f>_xlfn.XLOOKUP(frasest[[#This Row],[autor_es]],autorest[autor_es],autorest[idioma_la])</f>
        <v>Lingua Graeca</v>
      </c>
      <c r="M158" t="str">
        <f>_xlfn.XLOOKUP(frasest[[#This Row],[autor_es]],autorest[autor_es],autorest[nacion_es])</f>
        <v>Grecia</v>
      </c>
      <c r="N158" t="str">
        <f>_xlfn.XLOOKUP(frasest[[#This Row],[autor_es]],autorest[autor_es],autorest[nacion_la])</f>
        <v>Graecia</v>
      </c>
      <c r="O158" t="str">
        <f>_xlfn.XLOOKUP(frasest[[#This Row],[autor_es]],autorest[autor_es],autorest[epoca_es])</f>
        <v>Edad Antigua</v>
      </c>
      <c r="P158" t="str">
        <f>_xlfn.XLOOKUP(frasest[[#This Row],[autor_es]],autorest[autor_es],autorest[epoca_la])</f>
        <v>Antiquitas</v>
      </c>
      <c r="Q158" t="str">
        <f>_xlfn.XLOOKUP(frasest[[#This Row],[autor_es]],autorest[autor_es],autorest[imagen])</f>
        <v>https://i.ibb.co/gZpf6w2B/aristoteles.png</v>
      </c>
      <c r="R158">
        <f>_xlfn.XLOOKUP(frasest[[#This Row],[autor_es]],autorest[autor_es],autorest[imagen_atr])</f>
        <v>0</v>
      </c>
    </row>
    <row r="159" spans="1:18">
      <c r="A159">
        <v>158</v>
      </c>
      <c r="B159" t="s">
        <v>584</v>
      </c>
      <c r="C159" t="s">
        <v>585</v>
      </c>
      <c r="D159" t="s">
        <v>586</v>
      </c>
      <c r="E159" t="s">
        <v>582</v>
      </c>
      <c r="F159" t="s">
        <v>587</v>
      </c>
      <c r="G159" t="str">
        <f>_xlfn.XLOOKUP(frasest[[#This Row],[autor_es]],autorest[autor_es],autorest[autor_la])</f>
        <v>Aristoteles</v>
      </c>
      <c r="H159" t="str">
        <f>_xlfn.XLOOKUP(frasest[[#This Row],[autor_es]],autorest[autor_es],autorest[bio_es])</f>
        <v>Filósofo griego de la Edad Antigua, discípulo de Platón y maestro de Alejandro Magno, figura central del pensamiento lógico, ético y metafísico.</v>
      </c>
      <c r="I159" t="str">
        <f>_xlfn.XLOOKUP(frasest[[#This Row],[autor_es]],autorest[autor_es],autorest[bio_la])</f>
        <v>Philosophus Graecus Antiquitatis, discipulus Platonis et magister Alexandri Magni, pars maxima in logica, ethica et metaphysica.</v>
      </c>
      <c r="J159" t="str">
        <f>_xlfn.XLOOKUP(frasest[[#This Row],[autor_es]],autorest[autor_es],autorest[codigo])</f>
        <v>el</v>
      </c>
      <c r="K159" t="str">
        <f>_xlfn.XLOOKUP(frasest[[#This Row],[autor_es]],autorest[autor_es],autorest[idioma_es])</f>
        <v>Griego</v>
      </c>
      <c r="L159" t="str">
        <f>_xlfn.XLOOKUP(frasest[[#This Row],[autor_es]],autorest[autor_es],autorest[idioma_la])</f>
        <v>Lingua Graeca</v>
      </c>
      <c r="M159" t="str">
        <f>_xlfn.XLOOKUP(frasest[[#This Row],[autor_es]],autorest[autor_es],autorest[nacion_es])</f>
        <v>Grecia</v>
      </c>
      <c r="N159" t="str">
        <f>_xlfn.XLOOKUP(frasest[[#This Row],[autor_es]],autorest[autor_es],autorest[nacion_la])</f>
        <v>Graecia</v>
      </c>
      <c r="O159" t="str">
        <f>_xlfn.XLOOKUP(frasest[[#This Row],[autor_es]],autorest[autor_es],autorest[epoca_es])</f>
        <v>Edad Antigua</v>
      </c>
      <c r="P159" t="str">
        <f>_xlfn.XLOOKUP(frasest[[#This Row],[autor_es]],autorest[autor_es],autorest[epoca_la])</f>
        <v>Antiquitas</v>
      </c>
      <c r="Q159" t="str">
        <f>_xlfn.XLOOKUP(frasest[[#This Row],[autor_es]],autorest[autor_es],autorest[imagen])</f>
        <v>https://i.ibb.co/gZpf6w2B/aristoteles.png</v>
      </c>
      <c r="R159">
        <f>_xlfn.XLOOKUP(frasest[[#This Row],[autor_es]],autorest[autor_es],autorest[imagen_atr])</f>
        <v>0</v>
      </c>
    </row>
    <row r="160" spans="1:18">
      <c r="A160">
        <v>159</v>
      </c>
      <c r="B160" t="s">
        <v>588</v>
      </c>
      <c r="C160" t="s">
        <v>589</v>
      </c>
      <c r="D160" t="s">
        <v>590</v>
      </c>
      <c r="E160" t="s">
        <v>582</v>
      </c>
      <c r="F160" t="s">
        <v>591</v>
      </c>
      <c r="G160" t="str">
        <f>_xlfn.XLOOKUP(frasest[[#This Row],[autor_es]],autorest[autor_es],autorest[autor_la])</f>
        <v>Aristoteles</v>
      </c>
      <c r="H160" t="str">
        <f>_xlfn.XLOOKUP(frasest[[#This Row],[autor_es]],autorest[autor_es],autorest[bio_es])</f>
        <v>Filósofo griego de la Edad Antigua, discípulo de Platón y maestro de Alejandro Magno, figura central del pensamiento lógico, ético y metafísico.</v>
      </c>
      <c r="I160" t="str">
        <f>_xlfn.XLOOKUP(frasest[[#This Row],[autor_es]],autorest[autor_es],autorest[bio_la])</f>
        <v>Philosophus Graecus Antiquitatis, discipulus Platonis et magister Alexandri Magni, pars maxima in logica, ethica et metaphysica.</v>
      </c>
      <c r="J160" t="str">
        <f>_xlfn.XLOOKUP(frasest[[#This Row],[autor_es]],autorest[autor_es],autorest[codigo])</f>
        <v>el</v>
      </c>
      <c r="K160" t="str">
        <f>_xlfn.XLOOKUP(frasest[[#This Row],[autor_es]],autorest[autor_es],autorest[idioma_es])</f>
        <v>Griego</v>
      </c>
      <c r="L160" t="str">
        <f>_xlfn.XLOOKUP(frasest[[#This Row],[autor_es]],autorest[autor_es],autorest[idioma_la])</f>
        <v>Lingua Graeca</v>
      </c>
      <c r="M160" t="str">
        <f>_xlfn.XLOOKUP(frasest[[#This Row],[autor_es]],autorest[autor_es],autorest[nacion_es])</f>
        <v>Grecia</v>
      </c>
      <c r="N160" t="str">
        <f>_xlfn.XLOOKUP(frasest[[#This Row],[autor_es]],autorest[autor_es],autorest[nacion_la])</f>
        <v>Graecia</v>
      </c>
      <c r="O160" t="str">
        <f>_xlfn.XLOOKUP(frasest[[#This Row],[autor_es]],autorest[autor_es],autorest[epoca_es])</f>
        <v>Edad Antigua</v>
      </c>
      <c r="P160" t="str">
        <f>_xlfn.XLOOKUP(frasest[[#This Row],[autor_es]],autorest[autor_es],autorest[epoca_la])</f>
        <v>Antiquitas</v>
      </c>
      <c r="Q160" t="str">
        <f>_xlfn.XLOOKUP(frasest[[#This Row],[autor_es]],autorest[autor_es],autorest[imagen])</f>
        <v>https://i.ibb.co/gZpf6w2B/aristoteles.png</v>
      </c>
      <c r="R160">
        <f>_xlfn.XLOOKUP(frasest[[#This Row],[autor_es]],autorest[autor_es],autorest[imagen_atr])</f>
        <v>0</v>
      </c>
    </row>
    <row r="161" spans="1:18">
      <c r="A161">
        <v>160</v>
      </c>
      <c r="B161" t="s">
        <v>592</v>
      </c>
      <c r="C161" t="s">
        <v>593</v>
      </c>
      <c r="D161" t="s">
        <v>594</v>
      </c>
      <c r="E161" t="s">
        <v>582</v>
      </c>
      <c r="F161" t="s">
        <v>595</v>
      </c>
      <c r="G161" t="str">
        <f>_xlfn.XLOOKUP(frasest[[#This Row],[autor_es]],autorest[autor_es],autorest[autor_la])</f>
        <v>Aristoteles</v>
      </c>
      <c r="H161" t="str">
        <f>_xlfn.XLOOKUP(frasest[[#This Row],[autor_es]],autorest[autor_es],autorest[bio_es])</f>
        <v>Filósofo griego de la Edad Antigua, discípulo de Platón y maestro de Alejandro Magno, figura central del pensamiento lógico, ético y metafísico.</v>
      </c>
      <c r="I161" t="str">
        <f>_xlfn.XLOOKUP(frasest[[#This Row],[autor_es]],autorest[autor_es],autorest[bio_la])</f>
        <v>Philosophus Graecus Antiquitatis, discipulus Platonis et magister Alexandri Magni, pars maxima in logica, ethica et metaphysica.</v>
      </c>
      <c r="J161" t="str">
        <f>_xlfn.XLOOKUP(frasest[[#This Row],[autor_es]],autorest[autor_es],autorest[codigo])</f>
        <v>el</v>
      </c>
      <c r="K161" t="str">
        <f>_xlfn.XLOOKUP(frasest[[#This Row],[autor_es]],autorest[autor_es],autorest[idioma_es])</f>
        <v>Griego</v>
      </c>
      <c r="L161" t="str">
        <f>_xlfn.XLOOKUP(frasest[[#This Row],[autor_es]],autorest[autor_es],autorest[idioma_la])</f>
        <v>Lingua Graeca</v>
      </c>
      <c r="M161" t="str">
        <f>_xlfn.XLOOKUP(frasest[[#This Row],[autor_es]],autorest[autor_es],autorest[nacion_es])</f>
        <v>Grecia</v>
      </c>
      <c r="N161" t="str">
        <f>_xlfn.XLOOKUP(frasest[[#This Row],[autor_es]],autorest[autor_es],autorest[nacion_la])</f>
        <v>Graecia</v>
      </c>
      <c r="O161" t="str">
        <f>_xlfn.XLOOKUP(frasest[[#This Row],[autor_es]],autorest[autor_es],autorest[epoca_es])</f>
        <v>Edad Antigua</v>
      </c>
      <c r="P161" t="str">
        <f>_xlfn.XLOOKUP(frasest[[#This Row],[autor_es]],autorest[autor_es],autorest[epoca_la])</f>
        <v>Antiquitas</v>
      </c>
      <c r="Q161" t="str">
        <f>_xlfn.XLOOKUP(frasest[[#This Row],[autor_es]],autorest[autor_es],autorest[imagen])</f>
        <v>https://i.ibb.co/gZpf6w2B/aristoteles.png</v>
      </c>
      <c r="R161">
        <f>_xlfn.XLOOKUP(frasest[[#This Row],[autor_es]],autorest[autor_es],autorest[imagen_atr])</f>
        <v>0</v>
      </c>
    </row>
    <row r="162" spans="1:18">
      <c r="A162">
        <v>161</v>
      </c>
      <c r="B162" t="s">
        <v>596</v>
      </c>
      <c r="C162" t="s">
        <v>597</v>
      </c>
      <c r="D162" t="s">
        <v>598</v>
      </c>
      <c r="E162" t="s">
        <v>582</v>
      </c>
      <c r="F162" t="s">
        <v>599</v>
      </c>
      <c r="G162" t="str">
        <f>_xlfn.XLOOKUP(frasest[[#This Row],[autor_es]],autorest[autor_es],autorest[autor_la])</f>
        <v>Aristoteles</v>
      </c>
      <c r="H162" t="str">
        <f>_xlfn.XLOOKUP(frasest[[#This Row],[autor_es]],autorest[autor_es],autorest[bio_es])</f>
        <v>Filósofo griego de la Edad Antigua, discípulo de Platón y maestro de Alejandro Magno, figura central del pensamiento lógico, ético y metafísico.</v>
      </c>
      <c r="I162" t="str">
        <f>_xlfn.XLOOKUP(frasest[[#This Row],[autor_es]],autorest[autor_es],autorest[bio_la])</f>
        <v>Philosophus Graecus Antiquitatis, discipulus Platonis et magister Alexandri Magni, pars maxima in logica, ethica et metaphysica.</v>
      </c>
      <c r="J162" t="str">
        <f>_xlfn.XLOOKUP(frasest[[#This Row],[autor_es]],autorest[autor_es],autorest[codigo])</f>
        <v>el</v>
      </c>
      <c r="K162" t="str">
        <f>_xlfn.XLOOKUP(frasest[[#This Row],[autor_es]],autorest[autor_es],autorest[idioma_es])</f>
        <v>Griego</v>
      </c>
      <c r="L162" t="str">
        <f>_xlfn.XLOOKUP(frasest[[#This Row],[autor_es]],autorest[autor_es],autorest[idioma_la])</f>
        <v>Lingua Graeca</v>
      </c>
      <c r="M162" t="str">
        <f>_xlfn.XLOOKUP(frasest[[#This Row],[autor_es]],autorest[autor_es],autorest[nacion_es])</f>
        <v>Grecia</v>
      </c>
      <c r="N162" t="str">
        <f>_xlfn.XLOOKUP(frasest[[#This Row],[autor_es]],autorest[autor_es],autorest[nacion_la])</f>
        <v>Graecia</v>
      </c>
      <c r="O162" t="str">
        <f>_xlfn.XLOOKUP(frasest[[#This Row],[autor_es]],autorest[autor_es],autorest[epoca_es])</f>
        <v>Edad Antigua</v>
      </c>
      <c r="P162" t="str">
        <f>_xlfn.XLOOKUP(frasest[[#This Row],[autor_es]],autorest[autor_es],autorest[epoca_la])</f>
        <v>Antiquitas</v>
      </c>
      <c r="Q162" t="str">
        <f>_xlfn.XLOOKUP(frasest[[#This Row],[autor_es]],autorest[autor_es],autorest[imagen])</f>
        <v>https://i.ibb.co/gZpf6w2B/aristoteles.png</v>
      </c>
      <c r="R162">
        <f>_xlfn.XLOOKUP(frasest[[#This Row],[autor_es]],autorest[autor_es],autorest[imagen_atr])</f>
        <v>0</v>
      </c>
    </row>
    <row r="163" spans="1:18">
      <c r="A163">
        <v>162</v>
      </c>
      <c r="B163" t="s">
        <v>600</v>
      </c>
      <c r="C163" t="s">
        <v>601</v>
      </c>
      <c r="D163" t="s">
        <v>602</v>
      </c>
      <c r="E163" t="s">
        <v>582</v>
      </c>
      <c r="F163" t="s">
        <v>603</v>
      </c>
      <c r="G163" t="str">
        <f>_xlfn.XLOOKUP(frasest[[#This Row],[autor_es]],autorest[autor_es],autorest[autor_la])</f>
        <v>Aristoteles</v>
      </c>
      <c r="H163" t="str">
        <f>_xlfn.XLOOKUP(frasest[[#This Row],[autor_es]],autorest[autor_es],autorest[bio_es])</f>
        <v>Filósofo griego de la Edad Antigua, discípulo de Platón y maestro de Alejandro Magno, figura central del pensamiento lógico, ético y metafísico.</v>
      </c>
      <c r="I163" t="str">
        <f>_xlfn.XLOOKUP(frasest[[#This Row],[autor_es]],autorest[autor_es],autorest[bio_la])</f>
        <v>Philosophus Graecus Antiquitatis, discipulus Platonis et magister Alexandri Magni, pars maxima in logica, ethica et metaphysica.</v>
      </c>
      <c r="J163" t="str">
        <f>_xlfn.XLOOKUP(frasest[[#This Row],[autor_es]],autorest[autor_es],autorest[codigo])</f>
        <v>el</v>
      </c>
      <c r="K163" t="str">
        <f>_xlfn.XLOOKUP(frasest[[#This Row],[autor_es]],autorest[autor_es],autorest[idioma_es])</f>
        <v>Griego</v>
      </c>
      <c r="L163" t="str">
        <f>_xlfn.XLOOKUP(frasest[[#This Row],[autor_es]],autorest[autor_es],autorest[idioma_la])</f>
        <v>Lingua Graeca</v>
      </c>
      <c r="M163" t="str">
        <f>_xlfn.XLOOKUP(frasest[[#This Row],[autor_es]],autorest[autor_es],autorest[nacion_es])</f>
        <v>Grecia</v>
      </c>
      <c r="N163" t="str">
        <f>_xlfn.XLOOKUP(frasest[[#This Row],[autor_es]],autorest[autor_es],autorest[nacion_la])</f>
        <v>Graecia</v>
      </c>
      <c r="O163" t="str">
        <f>_xlfn.XLOOKUP(frasest[[#This Row],[autor_es]],autorest[autor_es],autorest[epoca_es])</f>
        <v>Edad Antigua</v>
      </c>
      <c r="P163" t="str">
        <f>_xlfn.XLOOKUP(frasest[[#This Row],[autor_es]],autorest[autor_es],autorest[epoca_la])</f>
        <v>Antiquitas</v>
      </c>
      <c r="Q163" t="str">
        <f>_xlfn.XLOOKUP(frasest[[#This Row],[autor_es]],autorest[autor_es],autorest[imagen])</f>
        <v>https://i.ibb.co/gZpf6w2B/aristoteles.png</v>
      </c>
      <c r="R163">
        <f>_xlfn.XLOOKUP(frasest[[#This Row],[autor_es]],autorest[autor_es],autorest[imagen_atr])</f>
        <v>0</v>
      </c>
    </row>
    <row r="164" spans="1:18">
      <c r="A164">
        <v>163</v>
      </c>
      <c r="B164" t="s">
        <v>604</v>
      </c>
      <c r="C164" t="s">
        <v>605</v>
      </c>
      <c r="D164" t="s">
        <v>606</v>
      </c>
      <c r="E164" t="s">
        <v>582</v>
      </c>
      <c r="F164" t="s">
        <v>607</v>
      </c>
      <c r="G164" t="str">
        <f>_xlfn.XLOOKUP(frasest[[#This Row],[autor_es]],autorest[autor_es],autorest[autor_la])</f>
        <v>Aristoteles</v>
      </c>
      <c r="H164" t="str">
        <f>_xlfn.XLOOKUP(frasest[[#This Row],[autor_es]],autorest[autor_es],autorest[bio_es])</f>
        <v>Filósofo griego de la Edad Antigua, discípulo de Platón y maestro de Alejandro Magno, figura central del pensamiento lógico, ético y metafísico.</v>
      </c>
      <c r="I164" t="str">
        <f>_xlfn.XLOOKUP(frasest[[#This Row],[autor_es]],autorest[autor_es],autorest[bio_la])</f>
        <v>Philosophus Graecus Antiquitatis, discipulus Platonis et magister Alexandri Magni, pars maxima in logica, ethica et metaphysica.</v>
      </c>
      <c r="J164" t="str">
        <f>_xlfn.XLOOKUP(frasest[[#This Row],[autor_es]],autorest[autor_es],autorest[codigo])</f>
        <v>el</v>
      </c>
      <c r="K164" t="str">
        <f>_xlfn.XLOOKUP(frasest[[#This Row],[autor_es]],autorest[autor_es],autorest[idioma_es])</f>
        <v>Griego</v>
      </c>
      <c r="L164" t="str">
        <f>_xlfn.XLOOKUP(frasest[[#This Row],[autor_es]],autorest[autor_es],autorest[idioma_la])</f>
        <v>Lingua Graeca</v>
      </c>
      <c r="M164" t="str">
        <f>_xlfn.XLOOKUP(frasest[[#This Row],[autor_es]],autorest[autor_es],autorest[nacion_es])</f>
        <v>Grecia</v>
      </c>
      <c r="N164" t="str">
        <f>_xlfn.XLOOKUP(frasest[[#This Row],[autor_es]],autorest[autor_es],autorest[nacion_la])</f>
        <v>Graecia</v>
      </c>
      <c r="O164" t="str">
        <f>_xlfn.XLOOKUP(frasest[[#This Row],[autor_es]],autorest[autor_es],autorest[epoca_es])</f>
        <v>Edad Antigua</v>
      </c>
      <c r="P164" t="str">
        <f>_xlfn.XLOOKUP(frasest[[#This Row],[autor_es]],autorest[autor_es],autorest[epoca_la])</f>
        <v>Antiquitas</v>
      </c>
      <c r="Q164" t="str">
        <f>_xlfn.XLOOKUP(frasest[[#This Row],[autor_es]],autorest[autor_es],autorest[imagen])</f>
        <v>https://i.ibb.co/gZpf6w2B/aristoteles.png</v>
      </c>
      <c r="R164">
        <f>_xlfn.XLOOKUP(frasest[[#This Row],[autor_es]],autorest[autor_es],autorest[imagen_atr])</f>
        <v>0</v>
      </c>
    </row>
    <row r="165" spans="1:18">
      <c r="A165">
        <v>164</v>
      </c>
      <c r="B165" t="s">
        <v>608</v>
      </c>
      <c r="C165" t="s">
        <v>609</v>
      </c>
      <c r="D165" t="s">
        <v>610</v>
      </c>
      <c r="E165" t="s">
        <v>582</v>
      </c>
      <c r="F165" t="s">
        <v>611</v>
      </c>
      <c r="G165" t="str">
        <f>_xlfn.XLOOKUP(frasest[[#This Row],[autor_es]],autorest[autor_es],autorest[autor_la])</f>
        <v>Aristoteles</v>
      </c>
      <c r="H165" t="str">
        <f>_xlfn.XLOOKUP(frasest[[#This Row],[autor_es]],autorest[autor_es],autorest[bio_es])</f>
        <v>Filósofo griego de la Edad Antigua, discípulo de Platón y maestro de Alejandro Magno, figura central del pensamiento lógico, ético y metafísico.</v>
      </c>
      <c r="I165" t="str">
        <f>_xlfn.XLOOKUP(frasest[[#This Row],[autor_es]],autorest[autor_es],autorest[bio_la])</f>
        <v>Philosophus Graecus Antiquitatis, discipulus Platonis et magister Alexandri Magni, pars maxima in logica, ethica et metaphysica.</v>
      </c>
      <c r="J165" t="str">
        <f>_xlfn.XLOOKUP(frasest[[#This Row],[autor_es]],autorest[autor_es],autorest[codigo])</f>
        <v>el</v>
      </c>
      <c r="K165" t="str">
        <f>_xlfn.XLOOKUP(frasest[[#This Row],[autor_es]],autorest[autor_es],autorest[idioma_es])</f>
        <v>Griego</v>
      </c>
      <c r="L165" t="str">
        <f>_xlfn.XLOOKUP(frasest[[#This Row],[autor_es]],autorest[autor_es],autorest[idioma_la])</f>
        <v>Lingua Graeca</v>
      </c>
      <c r="M165" t="str">
        <f>_xlfn.XLOOKUP(frasest[[#This Row],[autor_es]],autorest[autor_es],autorest[nacion_es])</f>
        <v>Grecia</v>
      </c>
      <c r="N165" t="str">
        <f>_xlfn.XLOOKUP(frasest[[#This Row],[autor_es]],autorest[autor_es],autorest[nacion_la])</f>
        <v>Graecia</v>
      </c>
      <c r="O165" t="str">
        <f>_xlfn.XLOOKUP(frasest[[#This Row],[autor_es]],autorest[autor_es],autorest[epoca_es])</f>
        <v>Edad Antigua</v>
      </c>
      <c r="P165" t="str">
        <f>_xlfn.XLOOKUP(frasest[[#This Row],[autor_es]],autorest[autor_es],autorest[epoca_la])</f>
        <v>Antiquitas</v>
      </c>
      <c r="Q165" t="str">
        <f>_xlfn.XLOOKUP(frasest[[#This Row],[autor_es]],autorest[autor_es],autorest[imagen])</f>
        <v>https://i.ibb.co/gZpf6w2B/aristoteles.png</v>
      </c>
      <c r="R165">
        <f>_xlfn.XLOOKUP(frasest[[#This Row],[autor_es]],autorest[autor_es],autorest[imagen_atr])</f>
        <v>0</v>
      </c>
    </row>
    <row r="166" spans="1:18">
      <c r="A166">
        <v>165</v>
      </c>
      <c r="B166" t="s">
        <v>612</v>
      </c>
      <c r="C166" t="s">
        <v>613</v>
      </c>
      <c r="D166" t="s">
        <v>614</v>
      </c>
      <c r="E166" t="s">
        <v>582</v>
      </c>
      <c r="F166" t="s">
        <v>615</v>
      </c>
      <c r="G166" t="str">
        <f>_xlfn.XLOOKUP(frasest[[#This Row],[autor_es]],autorest[autor_es],autorest[autor_la])</f>
        <v>Aristoteles</v>
      </c>
      <c r="H166" t="str">
        <f>_xlfn.XLOOKUP(frasest[[#This Row],[autor_es]],autorest[autor_es],autorest[bio_es])</f>
        <v>Filósofo griego de la Edad Antigua, discípulo de Platón y maestro de Alejandro Magno, figura central del pensamiento lógico, ético y metafísico.</v>
      </c>
      <c r="I166" t="str">
        <f>_xlfn.XLOOKUP(frasest[[#This Row],[autor_es]],autorest[autor_es],autorest[bio_la])</f>
        <v>Philosophus Graecus Antiquitatis, discipulus Platonis et magister Alexandri Magni, pars maxima in logica, ethica et metaphysica.</v>
      </c>
      <c r="J166" t="str">
        <f>_xlfn.XLOOKUP(frasest[[#This Row],[autor_es]],autorest[autor_es],autorest[codigo])</f>
        <v>el</v>
      </c>
      <c r="K166" t="str">
        <f>_xlfn.XLOOKUP(frasest[[#This Row],[autor_es]],autorest[autor_es],autorest[idioma_es])</f>
        <v>Griego</v>
      </c>
      <c r="L166" t="str">
        <f>_xlfn.XLOOKUP(frasest[[#This Row],[autor_es]],autorest[autor_es],autorest[idioma_la])</f>
        <v>Lingua Graeca</v>
      </c>
      <c r="M166" t="str">
        <f>_xlfn.XLOOKUP(frasest[[#This Row],[autor_es]],autorest[autor_es],autorest[nacion_es])</f>
        <v>Grecia</v>
      </c>
      <c r="N166" t="str">
        <f>_xlfn.XLOOKUP(frasest[[#This Row],[autor_es]],autorest[autor_es],autorest[nacion_la])</f>
        <v>Graecia</v>
      </c>
      <c r="O166" t="str">
        <f>_xlfn.XLOOKUP(frasest[[#This Row],[autor_es]],autorest[autor_es],autorest[epoca_es])</f>
        <v>Edad Antigua</v>
      </c>
      <c r="P166" t="str">
        <f>_xlfn.XLOOKUP(frasest[[#This Row],[autor_es]],autorest[autor_es],autorest[epoca_la])</f>
        <v>Antiquitas</v>
      </c>
      <c r="Q166" t="str">
        <f>_xlfn.XLOOKUP(frasest[[#This Row],[autor_es]],autorest[autor_es],autorest[imagen])</f>
        <v>https://i.ibb.co/gZpf6w2B/aristoteles.png</v>
      </c>
      <c r="R166">
        <f>_xlfn.XLOOKUP(frasest[[#This Row],[autor_es]],autorest[autor_es],autorest[imagen_atr])</f>
        <v>0</v>
      </c>
    </row>
    <row r="167" spans="1:18">
      <c r="A167">
        <v>166</v>
      </c>
      <c r="B167" t="s">
        <v>616</v>
      </c>
      <c r="C167" t="s">
        <v>617</v>
      </c>
      <c r="D167" t="s">
        <v>618</v>
      </c>
      <c r="E167" t="s">
        <v>582</v>
      </c>
      <c r="F167" t="s">
        <v>619</v>
      </c>
      <c r="G167" t="str">
        <f>_xlfn.XLOOKUP(frasest[[#This Row],[autor_es]],autorest[autor_es],autorest[autor_la])</f>
        <v>Aristoteles</v>
      </c>
      <c r="H167" t="str">
        <f>_xlfn.XLOOKUP(frasest[[#This Row],[autor_es]],autorest[autor_es],autorest[bio_es])</f>
        <v>Filósofo griego de la Edad Antigua, discípulo de Platón y maestro de Alejandro Magno, figura central del pensamiento lógico, ético y metafísico.</v>
      </c>
      <c r="I167" t="str">
        <f>_xlfn.XLOOKUP(frasest[[#This Row],[autor_es]],autorest[autor_es],autorest[bio_la])</f>
        <v>Philosophus Graecus Antiquitatis, discipulus Platonis et magister Alexandri Magni, pars maxima in logica, ethica et metaphysica.</v>
      </c>
      <c r="J167" t="str">
        <f>_xlfn.XLOOKUP(frasest[[#This Row],[autor_es]],autorest[autor_es],autorest[codigo])</f>
        <v>el</v>
      </c>
      <c r="K167" t="str">
        <f>_xlfn.XLOOKUP(frasest[[#This Row],[autor_es]],autorest[autor_es],autorest[idioma_es])</f>
        <v>Griego</v>
      </c>
      <c r="L167" t="str">
        <f>_xlfn.XLOOKUP(frasest[[#This Row],[autor_es]],autorest[autor_es],autorest[idioma_la])</f>
        <v>Lingua Graeca</v>
      </c>
      <c r="M167" t="str">
        <f>_xlfn.XLOOKUP(frasest[[#This Row],[autor_es]],autorest[autor_es],autorest[nacion_es])</f>
        <v>Grecia</v>
      </c>
      <c r="N167" t="str">
        <f>_xlfn.XLOOKUP(frasest[[#This Row],[autor_es]],autorest[autor_es],autorest[nacion_la])</f>
        <v>Graecia</v>
      </c>
      <c r="O167" t="str">
        <f>_xlfn.XLOOKUP(frasest[[#This Row],[autor_es]],autorest[autor_es],autorest[epoca_es])</f>
        <v>Edad Antigua</v>
      </c>
      <c r="P167" t="str">
        <f>_xlfn.XLOOKUP(frasest[[#This Row],[autor_es]],autorest[autor_es],autorest[epoca_la])</f>
        <v>Antiquitas</v>
      </c>
      <c r="Q167" t="str">
        <f>_xlfn.XLOOKUP(frasest[[#This Row],[autor_es]],autorest[autor_es],autorest[imagen])</f>
        <v>https://i.ibb.co/gZpf6w2B/aristoteles.png</v>
      </c>
      <c r="R167">
        <f>_xlfn.XLOOKUP(frasest[[#This Row],[autor_es]],autorest[autor_es],autorest[imagen_atr])</f>
        <v>0</v>
      </c>
    </row>
    <row r="168" spans="1:18">
      <c r="A168">
        <v>167</v>
      </c>
      <c r="B168" t="s">
        <v>620</v>
      </c>
      <c r="C168" t="s">
        <v>621</v>
      </c>
      <c r="D168" t="s">
        <v>622</v>
      </c>
      <c r="E168" t="s">
        <v>623</v>
      </c>
      <c r="F168" t="s">
        <v>624</v>
      </c>
      <c r="G168" t="str">
        <f>_xlfn.XLOOKUP(frasest[[#This Row],[autor_es]],autorest[autor_es],autorest[autor_la])</f>
        <v>Pythagoras</v>
      </c>
      <c r="H168" t="str">
        <f>_xlfn.XLOOKUP(frasest[[#This Row],[autor_es]],autorest[autor_es],autorest[bio_es])</f>
        <v>Filósofo y matemático griego de Samos, fundador del pitagorismo. Propuso la inmortalidad del alma, la transmigración y el número como principio de la realidad.</v>
      </c>
      <c r="I168" t="str">
        <f>_xlfn.XLOOKUP(frasest[[#This Row],[autor_es]],autorest[autor_es],autorest[bio_la])</f>
        <v>Philosophus et mathematicus Graecus Samius, pythagorismi conditor. Immortalitatem animae, transmigrationem et numerum principium rerum proposuit.</v>
      </c>
      <c r="J168" t="str">
        <f>_xlfn.XLOOKUP(frasest[[#This Row],[autor_es]],autorest[autor_es],autorest[codigo])</f>
        <v>el</v>
      </c>
      <c r="K168" t="str">
        <f>_xlfn.XLOOKUP(frasest[[#This Row],[autor_es]],autorest[autor_es],autorest[idioma_es])</f>
        <v>Griego</v>
      </c>
      <c r="L168" t="str">
        <f>_xlfn.XLOOKUP(frasest[[#This Row],[autor_es]],autorest[autor_es],autorest[idioma_la])</f>
        <v>Lingua Graeca</v>
      </c>
      <c r="M168" t="str">
        <f>_xlfn.XLOOKUP(frasest[[#This Row],[autor_es]],autorest[autor_es],autorest[nacion_es])</f>
        <v>Grecia</v>
      </c>
      <c r="N168" t="str">
        <f>_xlfn.XLOOKUP(frasest[[#This Row],[autor_es]],autorest[autor_es],autorest[nacion_la])</f>
        <v>Graecia</v>
      </c>
      <c r="O168" t="str">
        <f>_xlfn.XLOOKUP(frasest[[#This Row],[autor_es]],autorest[autor_es],autorest[epoca_es])</f>
        <v>Edad Antigua</v>
      </c>
      <c r="P168" t="str">
        <f>_xlfn.XLOOKUP(frasest[[#This Row],[autor_es]],autorest[autor_es],autorest[epoca_la])</f>
        <v>Antiquitas</v>
      </c>
      <c r="Q168" t="str">
        <f>_xlfn.XLOOKUP(frasest[[#This Row],[autor_es]],autorest[autor_es],autorest[imagen])</f>
        <v>https://i.ibb.co/MyYJ15Jw/Pitagoras.png</v>
      </c>
      <c r="R168">
        <f>_xlfn.XLOOKUP(frasest[[#This Row],[autor_es]],autorest[autor_es],autorest[imagen_atr])</f>
        <v>0</v>
      </c>
    </row>
    <row r="169" spans="1:18">
      <c r="A169">
        <v>168</v>
      </c>
      <c r="B169" t="s">
        <v>625</v>
      </c>
      <c r="C169" t="s">
        <v>626</v>
      </c>
      <c r="D169" t="s">
        <v>627</v>
      </c>
      <c r="E169" t="s">
        <v>623</v>
      </c>
      <c r="F169" t="s">
        <v>628</v>
      </c>
      <c r="G169" t="str">
        <f>_xlfn.XLOOKUP(frasest[[#This Row],[autor_es]],autorest[autor_es],autorest[autor_la])</f>
        <v>Pythagoras</v>
      </c>
      <c r="H169" t="str">
        <f>_xlfn.XLOOKUP(frasest[[#This Row],[autor_es]],autorest[autor_es],autorest[bio_es])</f>
        <v>Filósofo y matemático griego de Samos, fundador del pitagorismo. Propuso la inmortalidad del alma, la transmigración y el número como principio de la realidad.</v>
      </c>
      <c r="I169" t="str">
        <f>_xlfn.XLOOKUP(frasest[[#This Row],[autor_es]],autorest[autor_es],autorest[bio_la])</f>
        <v>Philosophus et mathematicus Graecus Samius, pythagorismi conditor. Immortalitatem animae, transmigrationem et numerum principium rerum proposuit.</v>
      </c>
      <c r="J169" t="str">
        <f>_xlfn.XLOOKUP(frasest[[#This Row],[autor_es]],autorest[autor_es],autorest[codigo])</f>
        <v>el</v>
      </c>
      <c r="K169" t="str">
        <f>_xlfn.XLOOKUP(frasest[[#This Row],[autor_es]],autorest[autor_es],autorest[idioma_es])</f>
        <v>Griego</v>
      </c>
      <c r="L169" t="str">
        <f>_xlfn.XLOOKUP(frasest[[#This Row],[autor_es]],autorest[autor_es],autorest[idioma_la])</f>
        <v>Lingua Graeca</v>
      </c>
      <c r="M169" t="str">
        <f>_xlfn.XLOOKUP(frasest[[#This Row],[autor_es]],autorest[autor_es],autorest[nacion_es])</f>
        <v>Grecia</v>
      </c>
      <c r="N169" t="str">
        <f>_xlfn.XLOOKUP(frasest[[#This Row],[autor_es]],autorest[autor_es],autorest[nacion_la])</f>
        <v>Graecia</v>
      </c>
      <c r="O169" t="str">
        <f>_xlfn.XLOOKUP(frasest[[#This Row],[autor_es]],autorest[autor_es],autorest[epoca_es])</f>
        <v>Edad Antigua</v>
      </c>
      <c r="P169" t="str">
        <f>_xlfn.XLOOKUP(frasest[[#This Row],[autor_es]],autorest[autor_es],autorest[epoca_la])</f>
        <v>Antiquitas</v>
      </c>
      <c r="Q169" t="str">
        <f>_xlfn.XLOOKUP(frasest[[#This Row],[autor_es]],autorest[autor_es],autorest[imagen])</f>
        <v>https://i.ibb.co/MyYJ15Jw/Pitagoras.png</v>
      </c>
      <c r="R169">
        <f>_xlfn.XLOOKUP(frasest[[#This Row],[autor_es]],autorest[autor_es],autorest[imagen_atr])</f>
        <v>0</v>
      </c>
    </row>
    <row r="170" spans="1:18">
      <c r="A170">
        <v>169</v>
      </c>
      <c r="B170" t="s">
        <v>629</v>
      </c>
      <c r="C170" t="s">
        <v>630</v>
      </c>
      <c r="D170" t="s">
        <v>631</v>
      </c>
      <c r="E170" t="s">
        <v>623</v>
      </c>
      <c r="F170" t="s">
        <v>632</v>
      </c>
      <c r="G170" t="str">
        <f>_xlfn.XLOOKUP(frasest[[#This Row],[autor_es]],autorest[autor_es],autorest[autor_la])</f>
        <v>Pythagoras</v>
      </c>
      <c r="H170" t="str">
        <f>_xlfn.XLOOKUP(frasest[[#This Row],[autor_es]],autorest[autor_es],autorest[bio_es])</f>
        <v>Filósofo y matemático griego de Samos, fundador del pitagorismo. Propuso la inmortalidad del alma, la transmigración y el número como principio de la realidad.</v>
      </c>
      <c r="I170" t="str">
        <f>_xlfn.XLOOKUP(frasest[[#This Row],[autor_es]],autorest[autor_es],autorest[bio_la])</f>
        <v>Philosophus et mathematicus Graecus Samius, pythagorismi conditor. Immortalitatem animae, transmigrationem et numerum principium rerum proposuit.</v>
      </c>
      <c r="J170" t="str">
        <f>_xlfn.XLOOKUP(frasest[[#This Row],[autor_es]],autorest[autor_es],autorest[codigo])</f>
        <v>el</v>
      </c>
      <c r="K170" t="str">
        <f>_xlfn.XLOOKUP(frasest[[#This Row],[autor_es]],autorest[autor_es],autorest[idioma_es])</f>
        <v>Griego</v>
      </c>
      <c r="L170" t="str">
        <f>_xlfn.XLOOKUP(frasest[[#This Row],[autor_es]],autorest[autor_es],autorest[idioma_la])</f>
        <v>Lingua Graeca</v>
      </c>
      <c r="M170" t="str">
        <f>_xlfn.XLOOKUP(frasest[[#This Row],[autor_es]],autorest[autor_es],autorest[nacion_es])</f>
        <v>Grecia</v>
      </c>
      <c r="N170" t="str">
        <f>_xlfn.XLOOKUP(frasest[[#This Row],[autor_es]],autorest[autor_es],autorest[nacion_la])</f>
        <v>Graecia</v>
      </c>
      <c r="O170" t="str">
        <f>_xlfn.XLOOKUP(frasest[[#This Row],[autor_es]],autorest[autor_es],autorest[epoca_es])</f>
        <v>Edad Antigua</v>
      </c>
      <c r="P170" t="str">
        <f>_xlfn.XLOOKUP(frasest[[#This Row],[autor_es]],autorest[autor_es],autorest[epoca_la])</f>
        <v>Antiquitas</v>
      </c>
      <c r="Q170" t="str">
        <f>_xlfn.XLOOKUP(frasest[[#This Row],[autor_es]],autorest[autor_es],autorest[imagen])</f>
        <v>https://i.ibb.co/MyYJ15Jw/Pitagoras.png</v>
      </c>
      <c r="R170">
        <f>_xlfn.XLOOKUP(frasest[[#This Row],[autor_es]],autorest[autor_es],autorest[imagen_atr])</f>
        <v>0</v>
      </c>
    </row>
    <row r="171" spans="1:18">
      <c r="A171">
        <v>170</v>
      </c>
      <c r="B171" t="s">
        <v>633</v>
      </c>
      <c r="C171" t="s">
        <v>634</v>
      </c>
      <c r="D171" t="s">
        <v>635</v>
      </c>
      <c r="E171" t="s">
        <v>623</v>
      </c>
      <c r="F171" t="s">
        <v>636</v>
      </c>
      <c r="G171" t="str">
        <f>_xlfn.XLOOKUP(frasest[[#This Row],[autor_es]],autorest[autor_es],autorest[autor_la])</f>
        <v>Pythagoras</v>
      </c>
      <c r="H171" t="str">
        <f>_xlfn.XLOOKUP(frasest[[#This Row],[autor_es]],autorest[autor_es],autorest[bio_es])</f>
        <v>Filósofo y matemático griego de Samos, fundador del pitagorismo. Propuso la inmortalidad del alma, la transmigración y el número como principio de la realidad.</v>
      </c>
      <c r="I171" t="str">
        <f>_xlfn.XLOOKUP(frasest[[#This Row],[autor_es]],autorest[autor_es],autorest[bio_la])</f>
        <v>Philosophus et mathematicus Graecus Samius, pythagorismi conditor. Immortalitatem animae, transmigrationem et numerum principium rerum proposuit.</v>
      </c>
      <c r="J171" t="str">
        <f>_xlfn.XLOOKUP(frasest[[#This Row],[autor_es]],autorest[autor_es],autorest[codigo])</f>
        <v>el</v>
      </c>
      <c r="K171" t="str">
        <f>_xlfn.XLOOKUP(frasest[[#This Row],[autor_es]],autorest[autor_es],autorest[idioma_es])</f>
        <v>Griego</v>
      </c>
      <c r="L171" t="str">
        <f>_xlfn.XLOOKUP(frasest[[#This Row],[autor_es]],autorest[autor_es],autorest[idioma_la])</f>
        <v>Lingua Graeca</v>
      </c>
      <c r="M171" t="str">
        <f>_xlfn.XLOOKUP(frasest[[#This Row],[autor_es]],autorest[autor_es],autorest[nacion_es])</f>
        <v>Grecia</v>
      </c>
      <c r="N171" t="str">
        <f>_xlfn.XLOOKUP(frasest[[#This Row],[autor_es]],autorest[autor_es],autorest[nacion_la])</f>
        <v>Graecia</v>
      </c>
      <c r="O171" t="str">
        <f>_xlfn.XLOOKUP(frasest[[#This Row],[autor_es]],autorest[autor_es],autorest[epoca_es])</f>
        <v>Edad Antigua</v>
      </c>
      <c r="P171" t="str">
        <f>_xlfn.XLOOKUP(frasest[[#This Row],[autor_es]],autorest[autor_es],autorest[epoca_la])</f>
        <v>Antiquitas</v>
      </c>
      <c r="Q171" t="str">
        <f>_xlfn.XLOOKUP(frasest[[#This Row],[autor_es]],autorest[autor_es],autorest[imagen])</f>
        <v>https://i.ibb.co/MyYJ15Jw/Pitagoras.png</v>
      </c>
      <c r="R171">
        <f>_xlfn.XLOOKUP(frasest[[#This Row],[autor_es]],autorest[autor_es],autorest[imagen_atr])</f>
        <v>0</v>
      </c>
    </row>
    <row r="172" spans="1:18">
      <c r="A172">
        <v>171</v>
      </c>
      <c r="B172" t="s">
        <v>637</v>
      </c>
      <c r="C172" t="s">
        <v>638</v>
      </c>
      <c r="D172" t="s">
        <v>639</v>
      </c>
      <c r="E172" t="s">
        <v>623</v>
      </c>
      <c r="F172" t="s">
        <v>640</v>
      </c>
      <c r="G172" t="str">
        <f>_xlfn.XLOOKUP(frasest[[#This Row],[autor_es]],autorest[autor_es],autorest[autor_la])</f>
        <v>Pythagoras</v>
      </c>
      <c r="H172" t="str">
        <f>_xlfn.XLOOKUP(frasest[[#This Row],[autor_es]],autorest[autor_es],autorest[bio_es])</f>
        <v>Filósofo y matemático griego de Samos, fundador del pitagorismo. Propuso la inmortalidad del alma, la transmigración y el número como principio de la realidad.</v>
      </c>
      <c r="I172" t="str">
        <f>_xlfn.XLOOKUP(frasest[[#This Row],[autor_es]],autorest[autor_es],autorest[bio_la])</f>
        <v>Philosophus et mathematicus Graecus Samius, pythagorismi conditor. Immortalitatem animae, transmigrationem et numerum principium rerum proposuit.</v>
      </c>
      <c r="J172" t="str">
        <f>_xlfn.XLOOKUP(frasest[[#This Row],[autor_es]],autorest[autor_es],autorest[codigo])</f>
        <v>el</v>
      </c>
      <c r="K172" t="str">
        <f>_xlfn.XLOOKUP(frasest[[#This Row],[autor_es]],autorest[autor_es],autorest[idioma_es])</f>
        <v>Griego</v>
      </c>
      <c r="L172" t="str">
        <f>_xlfn.XLOOKUP(frasest[[#This Row],[autor_es]],autorest[autor_es],autorest[idioma_la])</f>
        <v>Lingua Graeca</v>
      </c>
      <c r="M172" t="str">
        <f>_xlfn.XLOOKUP(frasest[[#This Row],[autor_es]],autorest[autor_es],autorest[nacion_es])</f>
        <v>Grecia</v>
      </c>
      <c r="N172" t="str">
        <f>_xlfn.XLOOKUP(frasest[[#This Row],[autor_es]],autorest[autor_es],autorest[nacion_la])</f>
        <v>Graecia</v>
      </c>
      <c r="O172" t="str">
        <f>_xlfn.XLOOKUP(frasest[[#This Row],[autor_es]],autorest[autor_es],autorest[epoca_es])</f>
        <v>Edad Antigua</v>
      </c>
      <c r="P172" t="str">
        <f>_xlfn.XLOOKUP(frasest[[#This Row],[autor_es]],autorest[autor_es],autorest[epoca_la])</f>
        <v>Antiquitas</v>
      </c>
      <c r="Q172" t="str">
        <f>_xlfn.XLOOKUP(frasest[[#This Row],[autor_es]],autorest[autor_es],autorest[imagen])</f>
        <v>https://i.ibb.co/MyYJ15Jw/Pitagoras.png</v>
      </c>
      <c r="R172">
        <f>_xlfn.XLOOKUP(frasest[[#This Row],[autor_es]],autorest[autor_es],autorest[imagen_atr])</f>
        <v>0</v>
      </c>
    </row>
    <row r="173" spans="1:18">
      <c r="A173">
        <v>172</v>
      </c>
      <c r="B173" t="s">
        <v>641</v>
      </c>
      <c r="C173" t="s">
        <v>642</v>
      </c>
      <c r="D173" t="s">
        <v>643</v>
      </c>
      <c r="E173" t="s">
        <v>623</v>
      </c>
      <c r="F173" t="s">
        <v>644</v>
      </c>
      <c r="G173" t="str">
        <f>_xlfn.XLOOKUP(frasest[[#This Row],[autor_es]],autorest[autor_es],autorest[autor_la])</f>
        <v>Pythagoras</v>
      </c>
      <c r="H173" t="str">
        <f>_xlfn.XLOOKUP(frasest[[#This Row],[autor_es]],autorest[autor_es],autorest[bio_es])</f>
        <v>Filósofo y matemático griego de Samos, fundador del pitagorismo. Propuso la inmortalidad del alma, la transmigración y el número como principio de la realidad.</v>
      </c>
      <c r="I173" t="str">
        <f>_xlfn.XLOOKUP(frasest[[#This Row],[autor_es]],autorest[autor_es],autorest[bio_la])</f>
        <v>Philosophus et mathematicus Graecus Samius, pythagorismi conditor. Immortalitatem animae, transmigrationem et numerum principium rerum proposuit.</v>
      </c>
      <c r="J173" t="str">
        <f>_xlfn.XLOOKUP(frasest[[#This Row],[autor_es]],autorest[autor_es],autorest[codigo])</f>
        <v>el</v>
      </c>
      <c r="K173" t="str">
        <f>_xlfn.XLOOKUP(frasest[[#This Row],[autor_es]],autorest[autor_es],autorest[idioma_es])</f>
        <v>Griego</v>
      </c>
      <c r="L173" t="str">
        <f>_xlfn.XLOOKUP(frasest[[#This Row],[autor_es]],autorest[autor_es],autorest[idioma_la])</f>
        <v>Lingua Graeca</v>
      </c>
      <c r="M173" t="str">
        <f>_xlfn.XLOOKUP(frasest[[#This Row],[autor_es]],autorest[autor_es],autorest[nacion_es])</f>
        <v>Grecia</v>
      </c>
      <c r="N173" t="str">
        <f>_xlfn.XLOOKUP(frasest[[#This Row],[autor_es]],autorest[autor_es],autorest[nacion_la])</f>
        <v>Graecia</v>
      </c>
      <c r="O173" t="str">
        <f>_xlfn.XLOOKUP(frasest[[#This Row],[autor_es]],autorest[autor_es],autorest[epoca_es])</f>
        <v>Edad Antigua</v>
      </c>
      <c r="P173" t="str">
        <f>_xlfn.XLOOKUP(frasest[[#This Row],[autor_es]],autorest[autor_es],autorest[epoca_la])</f>
        <v>Antiquitas</v>
      </c>
      <c r="Q173" t="str">
        <f>_xlfn.XLOOKUP(frasest[[#This Row],[autor_es]],autorest[autor_es],autorest[imagen])</f>
        <v>https://i.ibb.co/MyYJ15Jw/Pitagoras.png</v>
      </c>
      <c r="R173">
        <f>_xlfn.XLOOKUP(frasest[[#This Row],[autor_es]],autorest[autor_es],autorest[imagen_atr])</f>
        <v>0</v>
      </c>
    </row>
    <row r="174" spans="1:18">
      <c r="A174">
        <v>173</v>
      </c>
      <c r="B174" t="s">
        <v>645</v>
      </c>
      <c r="C174" t="s">
        <v>646</v>
      </c>
      <c r="D174" t="s">
        <v>647</v>
      </c>
      <c r="E174" t="s">
        <v>623</v>
      </c>
      <c r="F174" t="s">
        <v>648</v>
      </c>
      <c r="G174" t="str">
        <f>_xlfn.XLOOKUP(frasest[[#This Row],[autor_es]],autorest[autor_es],autorest[autor_la])</f>
        <v>Pythagoras</v>
      </c>
      <c r="H174" t="str">
        <f>_xlfn.XLOOKUP(frasest[[#This Row],[autor_es]],autorest[autor_es],autorest[bio_es])</f>
        <v>Filósofo y matemático griego de Samos, fundador del pitagorismo. Propuso la inmortalidad del alma, la transmigración y el número como principio de la realidad.</v>
      </c>
      <c r="I174" t="str">
        <f>_xlfn.XLOOKUP(frasest[[#This Row],[autor_es]],autorest[autor_es],autorest[bio_la])</f>
        <v>Philosophus et mathematicus Graecus Samius, pythagorismi conditor. Immortalitatem animae, transmigrationem et numerum principium rerum proposuit.</v>
      </c>
      <c r="J174" t="str">
        <f>_xlfn.XLOOKUP(frasest[[#This Row],[autor_es]],autorest[autor_es],autorest[codigo])</f>
        <v>el</v>
      </c>
      <c r="K174" t="str">
        <f>_xlfn.XLOOKUP(frasest[[#This Row],[autor_es]],autorest[autor_es],autorest[idioma_es])</f>
        <v>Griego</v>
      </c>
      <c r="L174" t="str">
        <f>_xlfn.XLOOKUP(frasest[[#This Row],[autor_es]],autorest[autor_es],autorest[idioma_la])</f>
        <v>Lingua Graeca</v>
      </c>
      <c r="M174" t="str">
        <f>_xlfn.XLOOKUP(frasest[[#This Row],[autor_es]],autorest[autor_es],autorest[nacion_es])</f>
        <v>Grecia</v>
      </c>
      <c r="N174" t="str">
        <f>_xlfn.XLOOKUP(frasest[[#This Row],[autor_es]],autorest[autor_es],autorest[nacion_la])</f>
        <v>Graecia</v>
      </c>
      <c r="O174" t="str">
        <f>_xlfn.XLOOKUP(frasest[[#This Row],[autor_es]],autorest[autor_es],autorest[epoca_es])</f>
        <v>Edad Antigua</v>
      </c>
      <c r="P174" t="str">
        <f>_xlfn.XLOOKUP(frasest[[#This Row],[autor_es]],autorest[autor_es],autorest[epoca_la])</f>
        <v>Antiquitas</v>
      </c>
      <c r="Q174" t="str">
        <f>_xlfn.XLOOKUP(frasest[[#This Row],[autor_es]],autorest[autor_es],autorest[imagen])</f>
        <v>https://i.ibb.co/MyYJ15Jw/Pitagoras.png</v>
      </c>
      <c r="R174">
        <f>_xlfn.XLOOKUP(frasest[[#This Row],[autor_es]],autorest[autor_es],autorest[imagen_atr])</f>
        <v>0</v>
      </c>
    </row>
    <row r="175" spans="1:18">
      <c r="A175">
        <v>174</v>
      </c>
      <c r="B175" t="s">
        <v>649</v>
      </c>
      <c r="C175" t="s">
        <v>650</v>
      </c>
      <c r="D175" t="s">
        <v>651</v>
      </c>
      <c r="E175" t="s">
        <v>623</v>
      </c>
      <c r="F175" t="s">
        <v>652</v>
      </c>
      <c r="G175" t="str">
        <f>_xlfn.XLOOKUP(frasest[[#This Row],[autor_es]],autorest[autor_es],autorest[autor_la])</f>
        <v>Pythagoras</v>
      </c>
      <c r="H175" t="str">
        <f>_xlfn.XLOOKUP(frasest[[#This Row],[autor_es]],autorest[autor_es],autorest[bio_es])</f>
        <v>Filósofo y matemático griego de Samos, fundador del pitagorismo. Propuso la inmortalidad del alma, la transmigración y el número como principio de la realidad.</v>
      </c>
      <c r="I175" t="str">
        <f>_xlfn.XLOOKUP(frasest[[#This Row],[autor_es]],autorest[autor_es],autorest[bio_la])</f>
        <v>Philosophus et mathematicus Graecus Samius, pythagorismi conditor. Immortalitatem animae, transmigrationem et numerum principium rerum proposuit.</v>
      </c>
      <c r="J175" t="str">
        <f>_xlfn.XLOOKUP(frasest[[#This Row],[autor_es]],autorest[autor_es],autorest[codigo])</f>
        <v>el</v>
      </c>
      <c r="K175" t="str">
        <f>_xlfn.XLOOKUP(frasest[[#This Row],[autor_es]],autorest[autor_es],autorest[idioma_es])</f>
        <v>Griego</v>
      </c>
      <c r="L175" t="str">
        <f>_xlfn.XLOOKUP(frasest[[#This Row],[autor_es]],autorest[autor_es],autorest[idioma_la])</f>
        <v>Lingua Graeca</v>
      </c>
      <c r="M175" t="str">
        <f>_xlfn.XLOOKUP(frasest[[#This Row],[autor_es]],autorest[autor_es],autorest[nacion_es])</f>
        <v>Grecia</v>
      </c>
      <c r="N175" t="str">
        <f>_xlfn.XLOOKUP(frasest[[#This Row],[autor_es]],autorest[autor_es],autorest[nacion_la])</f>
        <v>Graecia</v>
      </c>
      <c r="O175" t="str">
        <f>_xlfn.XLOOKUP(frasest[[#This Row],[autor_es]],autorest[autor_es],autorest[epoca_es])</f>
        <v>Edad Antigua</v>
      </c>
      <c r="P175" t="str">
        <f>_xlfn.XLOOKUP(frasest[[#This Row],[autor_es]],autorest[autor_es],autorest[epoca_la])</f>
        <v>Antiquitas</v>
      </c>
      <c r="Q175" t="str">
        <f>_xlfn.XLOOKUP(frasest[[#This Row],[autor_es]],autorest[autor_es],autorest[imagen])</f>
        <v>https://i.ibb.co/MyYJ15Jw/Pitagoras.png</v>
      </c>
      <c r="R175">
        <f>_xlfn.XLOOKUP(frasest[[#This Row],[autor_es]],autorest[autor_es],autorest[imagen_atr])</f>
        <v>0</v>
      </c>
    </row>
    <row r="176" spans="1:18">
      <c r="A176">
        <v>175</v>
      </c>
      <c r="B176" t="s">
        <v>653</v>
      </c>
      <c r="C176" t="s">
        <v>654</v>
      </c>
      <c r="D176" t="s">
        <v>655</v>
      </c>
      <c r="E176" t="s">
        <v>623</v>
      </c>
      <c r="F176" t="s">
        <v>656</v>
      </c>
      <c r="G176" t="str">
        <f>_xlfn.XLOOKUP(frasest[[#This Row],[autor_es]],autorest[autor_es],autorest[autor_la])</f>
        <v>Pythagoras</v>
      </c>
      <c r="H176" t="str">
        <f>_xlfn.XLOOKUP(frasest[[#This Row],[autor_es]],autorest[autor_es],autorest[bio_es])</f>
        <v>Filósofo y matemático griego de Samos, fundador del pitagorismo. Propuso la inmortalidad del alma, la transmigración y el número como principio de la realidad.</v>
      </c>
      <c r="I176" t="str">
        <f>_xlfn.XLOOKUP(frasest[[#This Row],[autor_es]],autorest[autor_es],autorest[bio_la])</f>
        <v>Philosophus et mathematicus Graecus Samius, pythagorismi conditor. Immortalitatem animae, transmigrationem et numerum principium rerum proposuit.</v>
      </c>
      <c r="J176" t="str">
        <f>_xlfn.XLOOKUP(frasest[[#This Row],[autor_es]],autorest[autor_es],autorest[codigo])</f>
        <v>el</v>
      </c>
      <c r="K176" t="str">
        <f>_xlfn.XLOOKUP(frasest[[#This Row],[autor_es]],autorest[autor_es],autorest[idioma_es])</f>
        <v>Griego</v>
      </c>
      <c r="L176" t="str">
        <f>_xlfn.XLOOKUP(frasest[[#This Row],[autor_es]],autorest[autor_es],autorest[idioma_la])</f>
        <v>Lingua Graeca</v>
      </c>
      <c r="M176" t="str">
        <f>_xlfn.XLOOKUP(frasest[[#This Row],[autor_es]],autorest[autor_es],autorest[nacion_es])</f>
        <v>Grecia</v>
      </c>
      <c r="N176" t="str">
        <f>_xlfn.XLOOKUP(frasest[[#This Row],[autor_es]],autorest[autor_es],autorest[nacion_la])</f>
        <v>Graecia</v>
      </c>
      <c r="O176" t="str">
        <f>_xlfn.XLOOKUP(frasest[[#This Row],[autor_es]],autorest[autor_es],autorest[epoca_es])</f>
        <v>Edad Antigua</v>
      </c>
      <c r="P176" t="str">
        <f>_xlfn.XLOOKUP(frasest[[#This Row],[autor_es]],autorest[autor_es],autorest[epoca_la])</f>
        <v>Antiquitas</v>
      </c>
      <c r="Q176" t="str">
        <f>_xlfn.XLOOKUP(frasest[[#This Row],[autor_es]],autorest[autor_es],autorest[imagen])</f>
        <v>https://i.ibb.co/MyYJ15Jw/Pitagoras.png</v>
      </c>
      <c r="R176">
        <f>_xlfn.XLOOKUP(frasest[[#This Row],[autor_es]],autorest[autor_es],autorest[imagen_atr])</f>
        <v>0</v>
      </c>
    </row>
    <row r="177" spans="1:18">
      <c r="A177">
        <v>176</v>
      </c>
      <c r="B177" t="s">
        <v>657</v>
      </c>
      <c r="C177" t="s">
        <v>658</v>
      </c>
      <c r="D177" t="s">
        <v>659</v>
      </c>
      <c r="E177" t="s">
        <v>623</v>
      </c>
      <c r="F177" t="s">
        <v>660</v>
      </c>
      <c r="G177" t="str">
        <f>_xlfn.XLOOKUP(frasest[[#This Row],[autor_es]],autorest[autor_es],autorest[autor_la])</f>
        <v>Pythagoras</v>
      </c>
      <c r="H177" t="str">
        <f>_xlfn.XLOOKUP(frasest[[#This Row],[autor_es]],autorest[autor_es],autorest[bio_es])</f>
        <v>Filósofo y matemático griego de Samos, fundador del pitagorismo. Propuso la inmortalidad del alma, la transmigración y el número como principio de la realidad.</v>
      </c>
      <c r="I177" t="str">
        <f>_xlfn.XLOOKUP(frasest[[#This Row],[autor_es]],autorest[autor_es],autorest[bio_la])</f>
        <v>Philosophus et mathematicus Graecus Samius, pythagorismi conditor. Immortalitatem animae, transmigrationem et numerum principium rerum proposuit.</v>
      </c>
      <c r="J177" t="str">
        <f>_xlfn.XLOOKUP(frasest[[#This Row],[autor_es]],autorest[autor_es],autorest[codigo])</f>
        <v>el</v>
      </c>
      <c r="K177" t="str">
        <f>_xlfn.XLOOKUP(frasest[[#This Row],[autor_es]],autorest[autor_es],autorest[idioma_es])</f>
        <v>Griego</v>
      </c>
      <c r="L177" t="str">
        <f>_xlfn.XLOOKUP(frasest[[#This Row],[autor_es]],autorest[autor_es],autorest[idioma_la])</f>
        <v>Lingua Graeca</v>
      </c>
      <c r="M177" t="str">
        <f>_xlfn.XLOOKUP(frasest[[#This Row],[autor_es]],autorest[autor_es],autorest[nacion_es])</f>
        <v>Grecia</v>
      </c>
      <c r="N177" t="str">
        <f>_xlfn.XLOOKUP(frasest[[#This Row],[autor_es]],autorest[autor_es],autorest[nacion_la])</f>
        <v>Graecia</v>
      </c>
      <c r="O177" t="str">
        <f>_xlfn.XLOOKUP(frasest[[#This Row],[autor_es]],autorest[autor_es],autorest[epoca_es])</f>
        <v>Edad Antigua</v>
      </c>
      <c r="P177" t="str">
        <f>_xlfn.XLOOKUP(frasest[[#This Row],[autor_es]],autorest[autor_es],autorest[epoca_la])</f>
        <v>Antiquitas</v>
      </c>
      <c r="Q177" t="str">
        <f>_xlfn.XLOOKUP(frasest[[#This Row],[autor_es]],autorest[autor_es],autorest[imagen])</f>
        <v>https://i.ibb.co/MyYJ15Jw/Pitagoras.png</v>
      </c>
      <c r="R177">
        <f>_xlfn.XLOOKUP(frasest[[#This Row],[autor_es]],autorest[autor_es],autorest[imagen_atr])</f>
        <v>0</v>
      </c>
    </row>
    <row r="178" spans="1:18">
      <c r="A178">
        <v>177</v>
      </c>
      <c r="B178" t="s">
        <v>661</v>
      </c>
      <c r="C178" t="s">
        <v>662</v>
      </c>
      <c r="D178" t="s">
        <v>663</v>
      </c>
      <c r="E178" t="s">
        <v>664</v>
      </c>
      <c r="F178" t="s">
        <v>665</v>
      </c>
      <c r="G178" t="str">
        <f>_xlfn.XLOOKUP(frasest[[#This Row],[autor_es]],autorest[autor_es],autorest[autor_la])</f>
        <v>Heraclitus</v>
      </c>
      <c r="H178" t="str">
        <f>_xlfn.XLOOKUP(frasest[[#This Row],[autor_es]],autorest[autor_es],autorest[bio_es])</f>
        <v>Filósofo presocrático griego de Éfeso. Propuso el flujo perpetuo de la realidad (panta rhei) y el fuego como elemento primordial.</v>
      </c>
      <c r="I178" t="str">
        <f>_xlfn.XLOOKUP(frasest[[#This Row],[autor_es]],autorest[autor_es],autorest[bio_la])</f>
        <v>Philosophus Praesocraticus Graecus Ephesius. Fluxum perpetuum rerum (panta rhei) et ignem elementum primordiale proposuit.</v>
      </c>
      <c r="J178" t="str">
        <f>_xlfn.XLOOKUP(frasest[[#This Row],[autor_es]],autorest[autor_es],autorest[codigo])</f>
        <v>el</v>
      </c>
      <c r="K178" t="str">
        <f>_xlfn.XLOOKUP(frasest[[#This Row],[autor_es]],autorest[autor_es],autorest[idioma_es])</f>
        <v>Griego</v>
      </c>
      <c r="L178" t="str">
        <f>_xlfn.XLOOKUP(frasest[[#This Row],[autor_es]],autorest[autor_es],autorest[idioma_la])</f>
        <v>Lingua Graeca</v>
      </c>
      <c r="M178" t="str">
        <f>_xlfn.XLOOKUP(frasest[[#This Row],[autor_es]],autorest[autor_es],autorest[nacion_es])</f>
        <v>Grecia</v>
      </c>
      <c r="N178" t="str">
        <f>_xlfn.XLOOKUP(frasest[[#This Row],[autor_es]],autorest[autor_es],autorest[nacion_la])</f>
        <v>Graecia</v>
      </c>
      <c r="O178" t="str">
        <f>_xlfn.XLOOKUP(frasest[[#This Row],[autor_es]],autorest[autor_es],autorest[epoca_es])</f>
        <v>Edad Antigua</v>
      </c>
      <c r="P178" t="str">
        <f>_xlfn.XLOOKUP(frasest[[#This Row],[autor_es]],autorest[autor_es],autorest[epoca_la])</f>
        <v>Antiquitas</v>
      </c>
      <c r="Q178" t="str">
        <f>_xlfn.XLOOKUP(frasest[[#This Row],[autor_es]],autorest[autor_es],autorest[imagen])</f>
        <v>https://i.ibb.co/0p0Gxf3S/heraclito.png</v>
      </c>
      <c r="R178">
        <f>_xlfn.XLOOKUP(frasest[[#This Row],[autor_es]],autorest[autor_es],autorest[imagen_atr])</f>
        <v>0</v>
      </c>
    </row>
    <row r="179" spans="1:18">
      <c r="A179">
        <v>178</v>
      </c>
      <c r="B179" t="s">
        <v>666</v>
      </c>
      <c r="C179" t="s">
        <v>667</v>
      </c>
      <c r="D179" t="s">
        <v>668</v>
      </c>
      <c r="E179" t="s">
        <v>664</v>
      </c>
      <c r="F179" t="s">
        <v>665</v>
      </c>
      <c r="G179" t="str">
        <f>_xlfn.XLOOKUP(frasest[[#This Row],[autor_es]],autorest[autor_es],autorest[autor_la])</f>
        <v>Heraclitus</v>
      </c>
      <c r="H179" t="str">
        <f>_xlfn.XLOOKUP(frasest[[#This Row],[autor_es]],autorest[autor_es],autorest[bio_es])</f>
        <v>Filósofo presocrático griego de Éfeso. Propuso el flujo perpetuo de la realidad (panta rhei) y el fuego como elemento primordial.</v>
      </c>
      <c r="I179" t="str">
        <f>_xlfn.XLOOKUP(frasest[[#This Row],[autor_es]],autorest[autor_es],autorest[bio_la])</f>
        <v>Philosophus Praesocraticus Graecus Ephesius. Fluxum perpetuum rerum (panta rhei) et ignem elementum primordiale proposuit.</v>
      </c>
      <c r="J179" t="str">
        <f>_xlfn.XLOOKUP(frasest[[#This Row],[autor_es]],autorest[autor_es],autorest[codigo])</f>
        <v>el</v>
      </c>
      <c r="K179" t="str">
        <f>_xlfn.XLOOKUP(frasest[[#This Row],[autor_es]],autorest[autor_es],autorest[idioma_es])</f>
        <v>Griego</v>
      </c>
      <c r="L179" t="str">
        <f>_xlfn.XLOOKUP(frasest[[#This Row],[autor_es]],autorest[autor_es],autorest[idioma_la])</f>
        <v>Lingua Graeca</v>
      </c>
      <c r="M179" t="str">
        <f>_xlfn.XLOOKUP(frasest[[#This Row],[autor_es]],autorest[autor_es],autorest[nacion_es])</f>
        <v>Grecia</v>
      </c>
      <c r="N179" t="str">
        <f>_xlfn.XLOOKUP(frasest[[#This Row],[autor_es]],autorest[autor_es],autorest[nacion_la])</f>
        <v>Graecia</v>
      </c>
      <c r="O179" t="str">
        <f>_xlfn.XLOOKUP(frasest[[#This Row],[autor_es]],autorest[autor_es],autorest[epoca_es])</f>
        <v>Edad Antigua</v>
      </c>
      <c r="P179" t="str">
        <f>_xlfn.XLOOKUP(frasest[[#This Row],[autor_es]],autorest[autor_es],autorest[epoca_la])</f>
        <v>Antiquitas</v>
      </c>
      <c r="Q179" t="str">
        <f>_xlfn.XLOOKUP(frasest[[#This Row],[autor_es]],autorest[autor_es],autorest[imagen])</f>
        <v>https://i.ibb.co/0p0Gxf3S/heraclito.png</v>
      </c>
      <c r="R179">
        <f>_xlfn.XLOOKUP(frasest[[#This Row],[autor_es]],autorest[autor_es],autorest[imagen_atr])</f>
        <v>0</v>
      </c>
    </row>
    <row r="180" spans="1:18">
      <c r="A180">
        <v>179</v>
      </c>
      <c r="B180" t="s">
        <v>669</v>
      </c>
      <c r="C180" t="s">
        <v>670</v>
      </c>
      <c r="D180" t="s">
        <v>671</v>
      </c>
      <c r="E180" t="s">
        <v>664</v>
      </c>
      <c r="F180" t="s">
        <v>672</v>
      </c>
      <c r="G180" t="str">
        <f>_xlfn.XLOOKUP(frasest[[#This Row],[autor_es]],autorest[autor_es],autorest[autor_la])</f>
        <v>Heraclitus</v>
      </c>
      <c r="H180" t="str">
        <f>_xlfn.XLOOKUP(frasest[[#This Row],[autor_es]],autorest[autor_es],autorest[bio_es])</f>
        <v>Filósofo presocrático griego de Éfeso. Propuso el flujo perpetuo de la realidad (panta rhei) y el fuego como elemento primordial.</v>
      </c>
      <c r="I180" t="str">
        <f>_xlfn.XLOOKUP(frasest[[#This Row],[autor_es]],autorest[autor_es],autorest[bio_la])</f>
        <v>Philosophus Praesocraticus Graecus Ephesius. Fluxum perpetuum rerum (panta rhei) et ignem elementum primordiale proposuit.</v>
      </c>
      <c r="J180" t="str">
        <f>_xlfn.XLOOKUP(frasest[[#This Row],[autor_es]],autorest[autor_es],autorest[codigo])</f>
        <v>el</v>
      </c>
      <c r="K180" t="str">
        <f>_xlfn.XLOOKUP(frasest[[#This Row],[autor_es]],autorest[autor_es],autorest[idioma_es])</f>
        <v>Griego</v>
      </c>
      <c r="L180" t="str">
        <f>_xlfn.XLOOKUP(frasest[[#This Row],[autor_es]],autorest[autor_es],autorest[idioma_la])</f>
        <v>Lingua Graeca</v>
      </c>
      <c r="M180" t="str">
        <f>_xlfn.XLOOKUP(frasest[[#This Row],[autor_es]],autorest[autor_es],autorest[nacion_es])</f>
        <v>Grecia</v>
      </c>
      <c r="N180" t="str">
        <f>_xlfn.XLOOKUP(frasest[[#This Row],[autor_es]],autorest[autor_es],autorest[nacion_la])</f>
        <v>Graecia</v>
      </c>
      <c r="O180" t="str">
        <f>_xlfn.XLOOKUP(frasest[[#This Row],[autor_es]],autorest[autor_es],autorest[epoca_es])</f>
        <v>Edad Antigua</v>
      </c>
      <c r="P180" t="str">
        <f>_xlfn.XLOOKUP(frasest[[#This Row],[autor_es]],autorest[autor_es],autorest[epoca_la])</f>
        <v>Antiquitas</v>
      </c>
      <c r="Q180" t="str">
        <f>_xlfn.XLOOKUP(frasest[[#This Row],[autor_es]],autorest[autor_es],autorest[imagen])</f>
        <v>https://i.ibb.co/0p0Gxf3S/heraclito.png</v>
      </c>
      <c r="R180">
        <f>_xlfn.XLOOKUP(frasest[[#This Row],[autor_es]],autorest[autor_es],autorest[imagen_atr])</f>
        <v>0</v>
      </c>
    </row>
    <row r="181" spans="1:18">
      <c r="A181">
        <v>180</v>
      </c>
      <c r="B181" t="s">
        <v>673</v>
      </c>
      <c r="C181" t="s">
        <v>674</v>
      </c>
      <c r="D181" t="s">
        <v>675</v>
      </c>
      <c r="E181" t="s">
        <v>664</v>
      </c>
      <c r="F181" t="s">
        <v>676</v>
      </c>
      <c r="G181" t="str">
        <f>_xlfn.XLOOKUP(frasest[[#This Row],[autor_es]],autorest[autor_es],autorest[autor_la])</f>
        <v>Heraclitus</v>
      </c>
      <c r="H181" t="str">
        <f>_xlfn.XLOOKUP(frasest[[#This Row],[autor_es]],autorest[autor_es],autorest[bio_es])</f>
        <v>Filósofo presocrático griego de Éfeso. Propuso el flujo perpetuo de la realidad (panta rhei) y el fuego como elemento primordial.</v>
      </c>
      <c r="I181" t="str">
        <f>_xlfn.XLOOKUP(frasest[[#This Row],[autor_es]],autorest[autor_es],autorest[bio_la])</f>
        <v>Philosophus Praesocraticus Graecus Ephesius. Fluxum perpetuum rerum (panta rhei) et ignem elementum primordiale proposuit.</v>
      </c>
      <c r="J181" t="str">
        <f>_xlfn.XLOOKUP(frasest[[#This Row],[autor_es]],autorest[autor_es],autorest[codigo])</f>
        <v>el</v>
      </c>
      <c r="K181" t="str">
        <f>_xlfn.XLOOKUP(frasest[[#This Row],[autor_es]],autorest[autor_es],autorest[idioma_es])</f>
        <v>Griego</v>
      </c>
      <c r="L181" t="str">
        <f>_xlfn.XLOOKUP(frasest[[#This Row],[autor_es]],autorest[autor_es],autorest[idioma_la])</f>
        <v>Lingua Graeca</v>
      </c>
      <c r="M181" t="str">
        <f>_xlfn.XLOOKUP(frasest[[#This Row],[autor_es]],autorest[autor_es],autorest[nacion_es])</f>
        <v>Grecia</v>
      </c>
      <c r="N181" t="str">
        <f>_xlfn.XLOOKUP(frasest[[#This Row],[autor_es]],autorest[autor_es],autorest[nacion_la])</f>
        <v>Graecia</v>
      </c>
      <c r="O181" t="str">
        <f>_xlfn.XLOOKUP(frasest[[#This Row],[autor_es]],autorest[autor_es],autorest[epoca_es])</f>
        <v>Edad Antigua</v>
      </c>
      <c r="P181" t="str">
        <f>_xlfn.XLOOKUP(frasest[[#This Row],[autor_es]],autorest[autor_es],autorest[epoca_la])</f>
        <v>Antiquitas</v>
      </c>
      <c r="Q181" t="str">
        <f>_xlfn.XLOOKUP(frasest[[#This Row],[autor_es]],autorest[autor_es],autorest[imagen])</f>
        <v>https://i.ibb.co/0p0Gxf3S/heraclito.png</v>
      </c>
      <c r="R181">
        <f>_xlfn.XLOOKUP(frasest[[#This Row],[autor_es]],autorest[autor_es],autorest[imagen_atr])</f>
        <v>0</v>
      </c>
    </row>
    <row r="182" spans="1:18">
      <c r="A182">
        <v>181</v>
      </c>
      <c r="B182" t="s">
        <v>677</v>
      </c>
      <c r="C182" t="s">
        <v>678</v>
      </c>
      <c r="D182" t="s">
        <v>679</v>
      </c>
      <c r="E182" t="s">
        <v>664</v>
      </c>
      <c r="F182" t="s">
        <v>680</v>
      </c>
      <c r="G182" t="str">
        <f>_xlfn.XLOOKUP(frasest[[#This Row],[autor_es]],autorest[autor_es],autorest[autor_la])</f>
        <v>Heraclitus</v>
      </c>
      <c r="H182" t="str">
        <f>_xlfn.XLOOKUP(frasest[[#This Row],[autor_es]],autorest[autor_es],autorest[bio_es])</f>
        <v>Filósofo presocrático griego de Éfeso. Propuso el flujo perpetuo de la realidad (panta rhei) y el fuego como elemento primordial.</v>
      </c>
      <c r="I182" t="str">
        <f>_xlfn.XLOOKUP(frasest[[#This Row],[autor_es]],autorest[autor_es],autorest[bio_la])</f>
        <v>Philosophus Praesocraticus Graecus Ephesius. Fluxum perpetuum rerum (panta rhei) et ignem elementum primordiale proposuit.</v>
      </c>
      <c r="J182" t="str">
        <f>_xlfn.XLOOKUP(frasest[[#This Row],[autor_es]],autorest[autor_es],autorest[codigo])</f>
        <v>el</v>
      </c>
      <c r="K182" t="str">
        <f>_xlfn.XLOOKUP(frasest[[#This Row],[autor_es]],autorest[autor_es],autorest[idioma_es])</f>
        <v>Griego</v>
      </c>
      <c r="L182" t="str">
        <f>_xlfn.XLOOKUP(frasest[[#This Row],[autor_es]],autorest[autor_es],autorest[idioma_la])</f>
        <v>Lingua Graeca</v>
      </c>
      <c r="M182" t="str">
        <f>_xlfn.XLOOKUP(frasest[[#This Row],[autor_es]],autorest[autor_es],autorest[nacion_es])</f>
        <v>Grecia</v>
      </c>
      <c r="N182" t="str">
        <f>_xlfn.XLOOKUP(frasest[[#This Row],[autor_es]],autorest[autor_es],autorest[nacion_la])</f>
        <v>Graecia</v>
      </c>
      <c r="O182" t="str">
        <f>_xlfn.XLOOKUP(frasest[[#This Row],[autor_es]],autorest[autor_es],autorest[epoca_es])</f>
        <v>Edad Antigua</v>
      </c>
      <c r="P182" t="str">
        <f>_xlfn.XLOOKUP(frasest[[#This Row],[autor_es]],autorest[autor_es],autorest[epoca_la])</f>
        <v>Antiquitas</v>
      </c>
      <c r="Q182" t="str">
        <f>_xlfn.XLOOKUP(frasest[[#This Row],[autor_es]],autorest[autor_es],autorest[imagen])</f>
        <v>https://i.ibb.co/0p0Gxf3S/heraclito.png</v>
      </c>
      <c r="R182">
        <f>_xlfn.XLOOKUP(frasest[[#This Row],[autor_es]],autorest[autor_es],autorest[imagen_atr])</f>
        <v>0</v>
      </c>
    </row>
    <row r="183" spans="1:18">
      <c r="A183">
        <v>182</v>
      </c>
      <c r="B183" t="s">
        <v>681</v>
      </c>
      <c r="C183" t="s">
        <v>682</v>
      </c>
      <c r="D183" t="s">
        <v>683</v>
      </c>
      <c r="E183" t="s">
        <v>664</v>
      </c>
      <c r="F183" t="s">
        <v>684</v>
      </c>
      <c r="G183" t="str">
        <f>_xlfn.XLOOKUP(frasest[[#This Row],[autor_es]],autorest[autor_es],autorest[autor_la])</f>
        <v>Heraclitus</v>
      </c>
      <c r="H183" t="str">
        <f>_xlfn.XLOOKUP(frasest[[#This Row],[autor_es]],autorest[autor_es],autorest[bio_es])</f>
        <v>Filósofo presocrático griego de Éfeso. Propuso el flujo perpetuo de la realidad (panta rhei) y el fuego como elemento primordial.</v>
      </c>
      <c r="I183" t="str">
        <f>_xlfn.XLOOKUP(frasest[[#This Row],[autor_es]],autorest[autor_es],autorest[bio_la])</f>
        <v>Philosophus Praesocraticus Graecus Ephesius. Fluxum perpetuum rerum (panta rhei) et ignem elementum primordiale proposuit.</v>
      </c>
      <c r="J183" t="str">
        <f>_xlfn.XLOOKUP(frasest[[#This Row],[autor_es]],autorest[autor_es],autorest[codigo])</f>
        <v>el</v>
      </c>
      <c r="K183" t="str">
        <f>_xlfn.XLOOKUP(frasest[[#This Row],[autor_es]],autorest[autor_es],autorest[idioma_es])</f>
        <v>Griego</v>
      </c>
      <c r="L183" t="str">
        <f>_xlfn.XLOOKUP(frasest[[#This Row],[autor_es]],autorest[autor_es],autorest[idioma_la])</f>
        <v>Lingua Graeca</v>
      </c>
      <c r="M183" t="str">
        <f>_xlfn.XLOOKUP(frasest[[#This Row],[autor_es]],autorest[autor_es],autorest[nacion_es])</f>
        <v>Grecia</v>
      </c>
      <c r="N183" t="str">
        <f>_xlfn.XLOOKUP(frasest[[#This Row],[autor_es]],autorest[autor_es],autorest[nacion_la])</f>
        <v>Graecia</v>
      </c>
      <c r="O183" t="str">
        <f>_xlfn.XLOOKUP(frasest[[#This Row],[autor_es]],autorest[autor_es],autorest[epoca_es])</f>
        <v>Edad Antigua</v>
      </c>
      <c r="P183" t="str">
        <f>_xlfn.XLOOKUP(frasest[[#This Row],[autor_es]],autorest[autor_es],autorest[epoca_la])</f>
        <v>Antiquitas</v>
      </c>
      <c r="Q183" t="str">
        <f>_xlfn.XLOOKUP(frasest[[#This Row],[autor_es]],autorest[autor_es],autorest[imagen])</f>
        <v>https://i.ibb.co/0p0Gxf3S/heraclito.png</v>
      </c>
      <c r="R183">
        <f>_xlfn.XLOOKUP(frasest[[#This Row],[autor_es]],autorest[autor_es],autorest[imagen_atr])</f>
        <v>0</v>
      </c>
    </row>
    <row r="184" spans="1:18">
      <c r="A184">
        <v>183</v>
      </c>
      <c r="B184" t="s">
        <v>685</v>
      </c>
      <c r="C184" t="s">
        <v>686</v>
      </c>
      <c r="D184" t="s">
        <v>687</v>
      </c>
      <c r="E184" t="s">
        <v>664</v>
      </c>
      <c r="F184" t="s">
        <v>688</v>
      </c>
      <c r="G184" t="str">
        <f>_xlfn.XLOOKUP(frasest[[#This Row],[autor_es]],autorest[autor_es],autorest[autor_la])</f>
        <v>Heraclitus</v>
      </c>
      <c r="H184" t="str">
        <f>_xlfn.XLOOKUP(frasest[[#This Row],[autor_es]],autorest[autor_es],autorest[bio_es])</f>
        <v>Filósofo presocrático griego de Éfeso. Propuso el flujo perpetuo de la realidad (panta rhei) y el fuego como elemento primordial.</v>
      </c>
      <c r="I184" t="str">
        <f>_xlfn.XLOOKUP(frasest[[#This Row],[autor_es]],autorest[autor_es],autorest[bio_la])</f>
        <v>Philosophus Praesocraticus Graecus Ephesius. Fluxum perpetuum rerum (panta rhei) et ignem elementum primordiale proposuit.</v>
      </c>
      <c r="J184" t="str">
        <f>_xlfn.XLOOKUP(frasest[[#This Row],[autor_es]],autorest[autor_es],autorest[codigo])</f>
        <v>el</v>
      </c>
      <c r="K184" t="str">
        <f>_xlfn.XLOOKUP(frasest[[#This Row],[autor_es]],autorest[autor_es],autorest[idioma_es])</f>
        <v>Griego</v>
      </c>
      <c r="L184" t="str">
        <f>_xlfn.XLOOKUP(frasest[[#This Row],[autor_es]],autorest[autor_es],autorest[idioma_la])</f>
        <v>Lingua Graeca</v>
      </c>
      <c r="M184" t="str">
        <f>_xlfn.XLOOKUP(frasest[[#This Row],[autor_es]],autorest[autor_es],autorest[nacion_es])</f>
        <v>Grecia</v>
      </c>
      <c r="N184" t="str">
        <f>_xlfn.XLOOKUP(frasest[[#This Row],[autor_es]],autorest[autor_es],autorest[nacion_la])</f>
        <v>Graecia</v>
      </c>
      <c r="O184" t="str">
        <f>_xlfn.XLOOKUP(frasest[[#This Row],[autor_es]],autorest[autor_es],autorest[epoca_es])</f>
        <v>Edad Antigua</v>
      </c>
      <c r="P184" t="str">
        <f>_xlfn.XLOOKUP(frasest[[#This Row],[autor_es]],autorest[autor_es],autorest[epoca_la])</f>
        <v>Antiquitas</v>
      </c>
      <c r="Q184" t="str">
        <f>_xlfn.XLOOKUP(frasest[[#This Row],[autor_es]],autorest[autor_es],autorest[imagen])</f>
        <v>https://i.ibb.co/0p0Gxf3S/heraclito.png</v>
      </c>
      <c r="R184">
        <f>_xlfn.XLOOKUP(frasest[[#This Row],[autor_es]],autorest[autor_es],autorest[imagen_atr])</f>
        <v>0</v>
      </c>
    </row>
    <row r="185" spans="1:18">
      <c r="A185">
        <v>184</v>
      </c>
      <c r="B185" t="s">
        <v>689</v>
      </c>
      <c r="C185" t="s">
        <v>690</v>
      </c>
      <c r="D185" t="s">
        <v>691</v>
      </c>
      <c r="E185" t="s">
        <v>664</v>
      </c>
      <c r="F185" t="s">
        <v>692</v>
      </c>
      <c r="G185" t="str">
        <f>_xlfn.XLOOKUP(frasest[[#This Row],[autor_es]],autorest[autor_es],autorest[autor_la])</f>
        <v>Heraclitus</v>
      </c>
      <c r="H185" t="str">
        <f>_xlfn.XLOOKUP(frasest[[#This Row],[autor_es]],autorest[autor_es],autorest[bio_es])</f>
        <v>Filósofo presocrático griego de Éfeso. Propuso el flujo perpetuo de la realidad (panta rhei) y el fuego como elemento primordial.</v>
      </c>
      <c r="I185" t="str">
        <f>_xlfn.XLOOKUP(frasest[[#This Row],[autor_es]],autorest[autor_es],autorest[bio_la])</f>
        <v>Philosophus Praesocraticus Graecus Ephesius. Fluxum perpetuum rerum (panta rhei) et ignem elementum primordiale proposuit.</v>
      </c>
      <c r="J185" t="str">
        <f>_xlfn.XLOOKUP(frasest[[#This Row],[autor_es]],autorest[autor_es],autorest[codigo])</f>
        <v>el</v>
      </c>
      <c r="K185" t="str">
        <f>_xlfn.XLOOKUP(frasest[[#This Row],[autor_es]],autorest[autor_es],autorest[idioma_es])</f>
        <v>Griego</v>
      </c>
      <c r="L185" t="str">
        <f>_xlfn.XLOOKUP(frasest[[#This Row],[autor_es]],autorest[autor_es],autorest[idioma_la])</f>
        <v>Lingua Graeca</v>
      </c>
      <c r="M185" t="str">
        <f>_xlfn.XLOOKUP(frasest[[#This Row],[autor_es]],autorest[autor_es],autorest[nacion_es])</f>
        <v>Grecia</v>
      </c>
      <c r="N185" t="str">
        <f>_xlfn.XLOOKUP(frasest[[#This Row],[autor_es]],autorest[autor_es],autorest[nacion_la])</f>
        <v>Graecia</v>
      </c>
      <c r="O185" t="str">
        <f>_xlfn.XLOOKUP(frasest[[#This Row],[autor_es]],autorest[autor_es],autorest[epoca_es])</f>
        <v>Edad Antigua</v>
      </c>
      <c r="P185" t="str">
        <f>_xlfn.XLOOKUP(frasest[[#This Row],[autor_es]],autorest[autor_es],autorest[epoca_la])</f>
        <v>Antiquitas</v>
      </c>
      <c r="Q185" t="str">
        <f>_xlfn.XLOOKUP(frasest[[#This Row],[autor_es]],autorest[autor_es],autorest[imagen])</f>
        <v>https://i.ibb.co/0p0Gxf3S/heraclito.png</v>
      </c>
      <c r="R185">
        <f>_xlfn.XLOOKUP(frasest[[#This Row],[autor_es]],autorest[autor_es],autorest[imagen_atr])</f>
        <v>0</v>
      </c>
    </row>
    <row r="186" spans="1:18">
      <c r="A186">
        <v>185</v>
      </c>
      <c r="B186" t="s">
        <v>693</v>
      </c>
      <c r="C186" t="s">
        <v>694</v>
      </c>
      <c r="D186" t="s">
        <v>695</v>
      </c>
      <c r="E186" t="s">
        <v>664</v>
      </c>
      <c r="F186" t="s">
        <v>696</v>
      </c>
      <c r="G186" t="str">
        <f>_xlfn.XLOOKUP(frasest[[#This Row],[autor_es]],autorest[autor_es],autorest[autor_la])</f>
        <v>Heraclitus</v>
      </c>
      <c r="H186" t="str">
        <f>_xlfn.XLOOKUP(frasest[[#This Row],[autor_es]],autorest[autor_es],autorest[bio_es])</f>
        <v>Filósofo presocrático griego de Éfeso. Propuso el flujo perpetuo de la realidad (panta rhei) y el fuego como elemento primordial.</v>
      </c>
      <c r="I186" t="str">
        <f>_xlfn.XLOOKUP(frasest[[#This Row],[autor_es]],autorest[autor_es],autorest[bio_la])</f>
        <v>Philosophus Praesocraticus Graecus Ephesius. Fluxum perpetuum rerum (panta rhei) et ignem elementum primordiale proposuit.</v>
      </c>
      <c r="J186" t="str">
        <f>_xlfn.XLOOKUP(frasest[[#This Row],[autor_es]],autorest[autor_es],autorest[codigo])</f>
        <v>el</v>
      </c>
      <c r="K186" t="str">
        <f>_xlfn.XLOOKUP(frasest[[#This Row],[autor_es]],autorest[autor_es],autorest[idioma_es])</f>
        <v>Griego</v>
      </c>
      <c r="L186" t="str">
        <f>_xlfn.XLOOKUP(frasest[[#This Row],[autor_es]],autorest[autor_es],autorest[idioma_la])</f>
        <v>Lingua Graeca</v>
      </c>
      <c r="M186" t="str">
        <f>_xlfn.XLOOKUP(frasest[[#This Row],[autor_es]],autorest[autor_es],autorest[nacion_es])</f>
        <v>Grecia</v>
      </c>
      <c r="N186" t="str">
        <f>_xlfn.XLOOKUP(frasest[[#This Row],[autor_es]],autorest[autor_es],autorest[nacion_la])</f>
        <v>Graecia</v>
      </c>
      <c r="O186" t="str">
        <f>_xlfn.XLOOKUP(frasest[[#This Row],[autor_es]],autorest[autor_es],autorest[epoca_es])</f>
        <v>Edad Antigua</v>
      </c>
      <c r="P186" t="str">
        <f>_xlfn.XLOOKUP(frasest[[#This Row],[autor_es]],autorest[autor_es],autorest[epoca_la])</f>
        <v>Antiquitas</v>
      </c>
      <c r="Q186" t="str">
        <f>_xlfn.XLOOKUP(frasest[[#This Row],[autor_es]],autorest[autor_es],autorest[imagen])</f>
        <v>https://i.ibb.co/0p0Gxf3S/heraclito.png</v>
      </c>
      <c r="R186">
        <f>_xlfn.XLOOKUP(frasest[[#This Row],[autor_es]],autorest[autor_es],autorest[imagen_atr])</f>
        <v>0</v>
      </c>
    </row>
    <row r="187" spans="1:18">
      <c r="A187">
        <v>186</v>
      </c>
      <c r="B187" t="s">
        <v>697</v>
      </c>
      <c r="C187" t="s">
        <v>698</v>
      </c>
      <c r="D187" t="s">
        <v>699</v>
      </c>
      <c r="E187" t="s">
        <v>664</v>
      </c>
      <c r="F187" t="s">
        <v>700</v>
      </c>
      <c r="G187" t="str">
        <f>_xlfn.XLOOKUP(frasest[[#This Row],[autor_es]],autorest[autor_es],autorest[autor_la])</f>
        <v>Heraclitus</v>
      </c>
      <c r="H187" t="str">
        <f>_xlfn.XLOOKUP(frasest[[#This Row],[autor_es]],autorest[autor_es],autorest[bio_es])</f>
        <v>Filósofo presocrático griego de Éfeso. Propuso el flujo perpetuo de la realidad (panta rhei) y el fuego como elemento primordial.</v>
      </c>
      <c r="I187" t="str">
        <f>_xlfn.XLOOKUP(frasest[[#This Row],[autor_es]],autorest[autor_es],autorest[bio_la])</f>
        <v>Philosophus Praesocraticus Graecus Ephesius. Fluxum perpetuum rerum (panta rhei) et ignem elementum primordiale proposuit.</v>
      </c>
      <c r="J187" t="str">
        <f>_xlfn.XLOOKUP(frasest[[#This Row],[autor_es]],autorest[autor_es],autorest[codigo])</f>
        <v>el</v>
      </c>
      <c r="K187" t="str">
        <f>_xlfn.XLOOKUP(frasest[[#This Row],[autor_es]],autorest[autor_es],autorest[idioma_es])</f>
        <v>Griego</v>
      </c>
      <c r="L187" t="str">
        <f>_xlfn.XLOOKUP(frasest[[#This Row],[autor_es]],autorest[autor_es],autorest[idioma_la])</f>
        <v>Lingua Graeca</v>
      </c>
      <c r="M187" t="str">
        <f>_xlfn.XLOOKUP(frasest[[#This Row],[autor_es]],autorest[autor_es],autorest[nacion_es])</f>
        <v>Grecia</v>
      </c>
      <c r="N187" t="str">
        <f>_xlfn.XLOOKUP(frasest[[#This Row],[autor_es]],autorest[autor_es],autorest[nacion_la])</f>
        <v>Graecia</v>
      </c>
      <c r="O187" t="str">
        <f>_xlfn.XLOOKUP(frasest[[#This Row],[autor_es]],autorest[autor_es],autorest[epoca_es])</f>
        <v>Edad Antigua</v>
      </c>
      <c r="P187" t="str">
        <f>_xlfn.XLOOKUP(frasest[[#This Row],[autor_es]],autorest[autor_es],autorest[epoca_la])</f>
        <v>Antiquitas</v>
      </c>
      <c r="Q187" t="str">
        <f>_xlfn.XLOOKUP(frasest[[#This Row],[autor_es]],autorest[autor_es],autorest[imagen])</f>
        <v>https://i.ibb.co/0p0Gxf3S/heraclito.png</v>
      </c>
      <c r="R187">
        <f>_xlfn.XLOOKUP(frasest[[#This Row],[autor_es]],autorest[autor_es],autorest[imagen_atr])</f>
        <v>0</v>
      </c>
    </row>
    <row r="188" spans="1:18">
      <c r="A188">
        <v>187</v>
      </c>
      <c r="B188" t="s">
        <v>701</v>
      </c>
      <c r="C188" t="s">
        <v>702</v>
      </c>
      <c r="D188" t="s">
        <v>703</v>
      </c>
      <c r="E188" t="s">
        <v>704</v>
      </c>
      <c r="F188" t="s">
        <v>705</v>
      </c>
      <c r="G188" t="str">
        <f>_xlfn.XLOOKUP(frasest[[#This Row],[autor_es]],autorest[autor_es],autorest[autor_la])</f>
        <v>Socrates</v>
      </c>
      <c r="H188" t="str">
        <f>_xlfn.XLOOKUP(frasest[[#This Row],[autor_es]],autorest[autor_es],autorest[bio_es])</f>
        <v>Filósofo griego de Atenas, fundador de la filosofía moral occidental. Maestro de Platón, desarrolló el método mayéutico. Fue condenado a muerte por impiedad.</v>
      </c>
      <c r="I188" t="str">
        <f>_xlfn.XLOOKUP(frasest[[#This Row],[autor_es]],autorest[autor_es],autorest[bio_la])</f>
        <v>Philosophus Graecus Atheniensis, philosophiae moralis Occidentalis conditor. Magister Platonis, methodum maieuticam elaboravit. Morte damnatus propter impietatem.</v>
      </c>
      <c r="J188" t="str">
        <f>_xlfn.XLOOKUP(frasest[[#This Row],[autor_es]],autorest[autor_es],autorest[codigo])</f>
        <v>el</v>
      </c>
      <c r="K188" t="str">
        <f>_xlfn.XLOOKUP(frasest[[#This Row],[autor_es]],autorest[autor_es],autorest[idioma_es])</f>
        <v>Griego</v>
      </c>
      <c r="L188" t="str">
        <f>_xlfn.XLOOKUP(frasest[[#This Row],[autor_es]],autorest[autor_es],autorest[idioma_la])</f>
        <v>Lingua Graeca</v>
      </c>
      <c r="M188" t="str">
        <f>_xlfn.XLOOKUP(frasest[[#This Row],[autor_es]],autorest[autor_es],autorest[nacion_es])</f>
        <v>Grecia</v>
      </c>
      <c r="N188" t="str">
        <f>_xlfn.XLOOKUP(frasest[[#This Row],[autor_es]],autorest[autor_es],autorest[nacion_la])</f>
        <v>Graecia</v>
      </c>
      <c r="O188" t="str">
        <f>_xlfn.XLOOKUP(frasest[[#This Row],[autor_es]],autorest[autor_es],autorest[epoca_es])</f>
        <v>Edad Antigua</v>
      </c>
      <c r="P188" t="str">
        <f>_xlfn.XLOOKUP(frasest[[#This Row],[autor_es]],autorest[autor_es],autorest[epoca_la])</f>
        <v>Antiquitas</v>
      </c>
      <c r="Q188" t="str">
        <f>_xlfn.XLOOKUP(frasest[[#This Row],[autor_es]],autorest[autor_es],autorest[imagen])</f>
        <v>https://i.ibb.co/hJtF2qzm/socrates.png</v>
      </c>
      <c r="R188">
        <f>_xlfn.XLOOKUP(frasest[[#This Row],[autor_es]],autorest[autor_es],autorest[imagen_atr])</f>
        <v>0</v>
      </c>
    </row>
    <row r="189" spans="1:18">
      <c r="A189">
        <v>188</v>
      </c>
      <c r="B189" t="s">
        <v>449</v>
      </c>
      <c r="C189" t="s">
        <v>706</v>
      </c>
      <c r="D189" t="s">
        <v>707</v>
      </c>
      <c r="E189" t="s">
        <v>704</v>
      </c>
      <c r="F189" t="s">
        <v>708</v>
      </c>
      <c r="G189" t="str">
        <f>_xlfn.XLOOKUP(frasest[[#This Row],[autor_es]],autorest[autor_es],autorest[autor_la])</f>
        <v>Socrates</v>
      </c>
      <c r="H189" t="str">
        <f>_xlfn.XLOOKUP(frasest[[#This Row],[autor_es]],autorest[autor_es],autorest[bio_es])</f>
        <v>Filósofo griego de Atenas, fundador de la filosofía moral occidental. Maestro de Platón, desarrolló el método mayéutico. Fue condenado a muerte por impiedad.</v>
      </c>
      <c r="I189" t="str">
        <f>_xlfn.XLOOKUP(frasest[[#This Row],[autor_es]],autorest[autor_es],autorest[bio_la])</f>
        <v>Philosophus Graecus Atheniensis, philosophiae moralis Occidentalis conditor. Magister Platonis, methodum maieuticam elaboravit. Morte damnatus propter impietatem.</v>
      </c>
      <c r="J189" t="str">
        <f>_xlfn.XLOOKUP(frasest[[#This Row],[autor_es]],autorest[autor_es],autorest[codigo])</f>
        <v>el</v>
      </c>
      <c r="K189" t="str">
        <f>_xlfn.XLOOKUP(frasest[[#This Row],[autor_es]],autorest[autor_es],autorest[idioma_es])</f>
        <v>Griego</v>
      </c>
      <c r="L189" t="str">
        <f>_xlfn.XLOOKUP(frasest[[#This Row],[autor_es]],autorest[autor_es],autorest[idioma_la])</f>
        <v>Lingua Graeca</v>
      </c>
      <c r="M189" t="str">
        <f>_xlfn.XLOOKUP(frasest[[#This Row],[autor_es]],autorest[autor_es],autorest[nacion_es])</f>
        <v>Grecia</v>
      </c>
      <c r="N189" t="str">
        <f>_xlfn.XLOOKUP(frasest[[#This Row],[autor_es]],autorest[autor_es],autorest[nacion_la])</f>
        <v>Graecia</v>
      </c>
      <c r="O189" t="str">
        <f>_xlfn.XLOOKUP(frasest[[#This Row],[autor_es]],autorest[autor_es],autorest[epoca_es])</f>
        <v>Edad Antigua</v>
      </c>
      <c r="P189" t="str">
        <f>_xlfn.XLOOKUP(frasest[[#This Row],[autor_es]],autorest[autor_es],autorest[epoca_la])</f>
        <v>Antiquitas</v>
      </c>
      <c r="Q189" t="str">
        <f>_xlfn.XLOOKUP(frasest[[#This Row],[autor_es]],autorest[autor_es],autorest[imagen])</f>
        <v>https://i.ibb.co/hJtF2qzm/socrates.png</v>
      </c>
      <c r="R189">
        <f>_xlfn.XLOOKUP(frasest[[#This Row],[autor_es]],autorest[autor_es],autorest[imagen_atr])</f>
        <v>0</v>
      </c>
    </row>
    <row r="190" spans="1:18">
      <c r="A190">
        <v>189</v>
      </c>
      <c r="B190" t="s">
        <v>709</v>
      </c>
      <c r="C190" t="s">
        <v>710</v>
      </c>
      <c r="D190" t="s">
        <v>711</v>
      </c>
      <c r="E190" t="s">
        <v>704</v>
      </c>
      <c r="F190" t="s">
        <v>712</v>
      </c>
      <c r="G190" t="str">
        <f>_xlfn.XLOOKUP(frasest[[#This Row],[autor_es]],autorest[autor_es],autorest[autor_la])</f>
        <v>Socrates</v>
      </c>
      <c r="H190" t="str">
        <f>_xlfn.XLOOKUP(frasest[[#This Row],[autor_es]],autorest[autor_es],autorest[bio_es])</f>
        <v>Filósofo griego de Atenas, fundador de la filosofía moral occidental. Maestro de Platón, desarrolló el método mayéutico. Fue condenado a muerte por impiedad.</v>
      </c>
      <c r="I190" t="str">
        <f>_xlfn.XLOOKUP(frasest[[#This Row],[autor_es]],autorest[autor_es],autorest[bio_la])</f>
        <v>Philosophus Graecus Atheniensis, philosophiae moralis Occidentalis conditor. Magister Platonis, methodum maieuticam elaboravit. Morte damnatus propter impietatem.</v>
      </c>
      <c r="J190" t="str">
        <f>_xlfn.XLOOKUP(frasest[[#This Row],[autor_es]],autorest[autor_es],autorest[codigo])</f>
        <v>el</v>
      </c>
      <c r="K190" t="str">
        <f>_xlfn.XLOOKUP(frasest[[#This Row],[autor_es]],autorest[autor_es],autorest[idioma_es])</f>
        <v>Griego</v>
      </c>
      <c r="L190" t="str">
        <f>_xlfn.XLOOKUP(frasest[[#This Row],[autor_es]],autorest[autor_es],autorest[idioma_la])</f>
        <v>Lingua Graeca</v>
      </c>
      <c r="M190" t="str">
        <f>_xlfn.XLOOKUP(frasest[[#This Row],[autor_es]],autorest[autor_es],autorest[nacion_es])</f>
        <v>Grecia</v>
      </c>
      <c r="N190" t="str">
        <f>_xlfn.XLOOKUP(frasest[[#This Row],[autor_es]],autorest[autor_es],autorest[nacion_la])</f>
        <v>Graecia</v>
      </c>
      <c r="O190" t="str">
        <f>_xlfn.XLOOKUP(frasest[[#This Row],[autor_es]],autorest[autor_es],autorest[epoca_es])</f>
        <v>Edad Antigua</v>
      </c>
      <c r="P190" t="str">
        <f>_xlfn.XLOOKUP(frasest[[#This Row],[autor_es]],autorest[autor_es],autorest[epoca_la])</f>
        <v>Antiquitas</v>
      </c>
      <c r="Q190" t="str">
        <f>_xlfn.XLOOKUP(frasest[[#This Row],[autor_es]],autorest[autor_es],autorest[imagen])</f>
        <v>https://i.ibb.co/hJtF2qzm/socrates.png</v>
      </c>
      <c r="R190">
        <f>_xlfn.XLOOKUP(frasest[[#This Row],[autor_es]],autorest[autor_es],autorest[imagen_atr])</f>
        <v>0</v>
      </c>
    </row>
    <row r="191" spans="1:18">
      <c r="A191">
        <v>190</v>
      </c>
      <c r="B191" t="s">
        <v>713</v>
      </c>
      <c r="C191" t="s">
        <v>714</v>
      </c>
      <c r="D191" t="s">
        <v>715</v>
      </c>
      <c r="E191" t="s">
        <v>704</v>
      </c>
      <c r="F191" t="s">
        <v>716</v>
      </c>
      <c r="G191" t="str">
        <f>_xlfn.XLOOKUP(frasest[[#This Row],[autor_es]],autorest[autor_es],autorest[autor_la])</f>
        <v>Socrates</v>
      </c>
      <c r="H191" t="str">
        <f>_xlfn.XLOOKUP(frasest[[#This Row],[autor_es]],autorest[autor_es],autorest[bio_es])</f>
        <v>Filósofo griego de Atenas, fundador de la filosofía moral occidental. Maestro de Platón, desarrolló el método mayéutico. Fue condenado a muerte por impiedad.</v>
      </c>
      <c r="I191" t="str">
        <f>_xlfn.XLOOKUP(frasest[[#This Row],[autor_es]],autorest[autor_es],autorest[bio_la])</f>
        <v>Philosophus Graecus Atheniensis, philosophiae moralis Occidentalis conditor. Magister Platonis, methodum maieuticam elaboravit. Morte damnatus propter impietatem.</v>
      </c>
      <c r="J191" t="str">
        <f>_xlfn.XLOOKUP(frasest[[#This Row],[autor_es]],autorest[autor_es],autorest[codigo])</f>
        <v>el</v>
      </c>
      <c r="K191" t="str">
        <f>_xlfn.XLOOKUP(frasest[[#This Row],[autor_es]],autorest[autor_es],autorest[idioma_es])</f>
        <v>Griego</v>
      </c>
      <c r="L191" t="str">
        <f>_xlfn.XLOOKUP(frasest[[#This Row],[autor_es]],autorest[autor_es],autorest[idioma_la])</f>
        <v>Lingua Graeca</v>
      </c>
      <c r="M191" t="str">
        <f>_xlfn.XLOOKUP(frasest[[#This Row],[autor_es]],autorest[autor_es],autorest[nacion_es])</f>
        <v>Grecia</v>
      </c>
      <c r="N191" t="str">
        <f>_xlfn.XLOOKUP(frasest[[#This Row],[autor_es]],autorest[autor_es],autorest[nacion_la])</f>
        <v>Graecia</v>
      </c>
      <c r="O191" t="str">
        <f>_xlfn.XLOOKUP(frasest[[#This Row],[autor_es]],autorest[autor_es],autorest[epoca_es])</f>
        <v>Edad Antigua</v>
      </c>
      <c r="P191" t="str">
        <f>_xlfn.XLOOKUP(frasest[[#This Row],[autor_es]],autorest[autor_es],autorest[epoca_la])</f>
        <v>Antiquitas</v>
      </c>
      <c r="Q191" t="str">
        <f>_xlfn.XLOOKUP(frasest[[#This Row],[autor_es]],autorest[autor_es],autorest[imagen])</f>
        <v>https://i.ibb.co/hJtF2qzm/socrates.png</v>
      </c>
      <c r="R191">
        <f>_xlfn.XLOOKUP(frasest[[#This Row],[autor_es]],autorest[autor_es],autorest[imagen_atr])</f>
        <v>0</v>
      </c>
    </row>
    <row r="192" spans="1:18">
      <c r="A192">
        <v>191</v>
      </c>
      <c r="B192" t="s">
        <v>717</v>
      </c>
      <c r="C192" t="s">
        <v>718</v>
      </c>
      <c r="D192" t="s">
        <v>719</v>
      </c>
      <c r="E192" t="s">
        <v>704</v>
      </c>
      <c r="F192" t="s">
        <v>720</v>
      </c>
      <c r="G192" t="str">
        <f>_xlfn.XLOOKUP(frasest[[#This Row],[autor_es]],autorest[autor_es],autorest[autor_la])</f>
        <v>Socrates</v>
      </c>
      <c r="H192" t="str">
        <f>_xlfn.XLOOKUP(frasest[[#This Row],[autor_es]],autorest[autor_es],autorest[bio_es])</f>
        <v>Filósofo griego de Atenas, fundador de la filosofía moral occidental. Maestro de Platón, desarrolló el método mayéutico. Fue condenado a muerte por impiedad.</v>
      </c>
      <c r="I192" t="str">
        <f>_xlfn.XLOOKUP(frasest[[#This Row],[autor_es]],autorest[autor_es],autorest[bio_la])</f>
        <v>Philosophus Graecus Atheniensis, philosophiae moralis Occidentalis conditor. Magister Platonis, methodum maieuticam elaboravit. Morte damnatus propter impietatem.</v>
      </c>
      <c r="J192" t="str">
        <f>_xlfn.XLOOKUP(frasest[[#This Row],[autor_es]],autorest[autor_es],autorest[codigo])</f>
        <v>el</v>
      </c>
      <c r="K192" t="str">
        <f>_xlfn.XLOOKUP(frasest[[#This Row],[autor_es]],autorest[autor_es],autorest[idioma_es])</f>
        <v>Griego</v>
      </c>
      <c r="L192" t="str">
        <f>_xlfn.XLOOKUP(frasest[[#This Row],[autor_es]],autorest[autor_es],autorest[idioma_la])</f>
        <v>Lingua Graeca</v>
      </c>
      <c r="M192" t="str">
        <f>_xlfn.XLOOKUP(frasest[[#This Row],[autor_es]],autorest[autor_es],autorest[nacion_es])</f>
        <v>Grecia</v>
      </c>
      <c r="N192" t="str">
        <f>_xlfn.XLOOKUP(frasest[[#This Row],[autor_es]],autorest[autor_es],autorest[nacion_la])</f>
        <v>Graecia</v>
      </c>
      <c r="O192" t="str">
        <f>_xlfn.XLOOKUP(frasest[[#This Row],[autor_es]],autorest[autor_es],autorest[epoca_es])</f>
        <v>Edad Antigua</v>
      </c>
      <c r="P192" t="str">
        <f>_xlfn.XLOOKUP(frasest[[#This Row],[autor_es]],autorest[autor_es],autorest[epoca_la])</f>
        <v>Antiquitas</v>
      </c>
      <c r="Q192" t="str">
        <f>_xlfn.XLOOKUP(frasest[[#This Row],[autor_es]],autorest[autor_es],autorest[imagen])</f>
        <v>https://i.ibb.co/hJtF2qzm/socrates.png</v>
      </c>
      <c r="R192">
        <f>_xlfn.XLOOKUP(frasest[[#This Row],[autor_es]],autorest[autor_es],autorest[imagen_atr])</f>
        <v>0</v>
      </c>
    </row>
    <row r="193" spans="1:18">
      <c r="A193">
        <v>192</v>
      </c>
      <c r="B193" t="s">
        <v>721</v>
      </c>
      <c r="C193" t="s">
        <v>722</v>
      </c>
      <c r="D193" t="s">
        <v>723</v>
      </c>
      <c r="E193" t="s">
        <v>704</v>
      </c>
      <c r="F193" t="s">
        <v>724</v>
      </c>
      <c r="G193" t="str">
        <f>_xlfn.XLOOKUP(frasest[[#This Row],[autor_es]],autorest[autor_es],autorest[autor_la])</f>
        <v>Socrates</v>
      </c>
      <c r="H193" t="str">
        <f>_xlfn.XLOOKUP(frasest[[#This Row],[autor_es]],autorest[autor_es],autorest[bio_es])</f>
        <v>Filósofo griego de Atenas, fundador de la filosofía moral occidental. Maestro de Platón, desarrolló el método mayéutico. Fue condenado a muerte por impiedad.</v>
      </c>
      <c r="I193" t="str">
        <f>_xlfn.XLOOKUP(frasest[[#This Row],[autor_es]],autorest[autor_es],autorest[bio_la])</f>
        <v>Philosophus Graecus Atheniensis, philosophiae moralis Occidentalis conditor. Magister Platonis, methodum maieuticam elaboravit. Morte damnatus propter impietatem.</v>
      </c>
      <c r="J193" t="str">
        <f>_xlfn.XLOOKUP(frasest[[#This Row],[autor_es]],autorest[autor_es],autorest[codigo])</f>
        <v>el</v>
      </c>
      <c r="K193" t="str">
        <f>_xlfn.XLOOKUP(frasest[[#This Row],[autor_es]],autorest[autor_es],autorest[idioma_es])</f>
        <v>Griego</v>
      </c>
      <c r="L193" t="str">
        <f>_xlfn.XLOOKUP(frasest[[#This Row],[autor_es]],autorest[autor_es],autorest[idioma_la])</f>
        <v>Lingua Graeca</v>
      </c>
      <c r="M193" t="str">
        <f>_xlfn.XLOOKUP(frasest[[#This Row],[autor_es]],autorest[autor_es],autorest[nacion_es])</f>
        <v>Grecia</v>
      </c>
      <c r="N193" t="str">
        <f>_xlfn.XLOOKUP(frasest[[#This Row],[autor_es]],autorest[autor_es],autorest[nacion_la])</f>
        <v>Graecia</v>
      </c>
      <c r="O193" t="str">
        <f>_xlfn.XLOOKUP(frasest[[#This Row],[autor_es]],autorest[autor_es],autorest[epoca_es])</f>
        <v>Edad Antigua</v>
      </c>
      <c r="P193" t="str">
        <f>_xlfn.XLOOKUP(frasest[[#This Row],[autor_es]],autorest[autor_es],autorest[epoca_la])</f>
        <v>Antiquitas</v>
      </c>
      <c r="Q193" t="str">
        <f>_xlfn.XLOOKUP(frasest[[#This Row],[autor_es]],autorest[autor_es],autorest[imagen])</f>
        <v>https://i.ibb.co/hJtF2qzm/socrates.png</v>
      </c>
      <c r="R193">
        <f>_xlfn.XLOOKUP(frasest[[#This Row],[autor_es]],autorest[autor_es],autorest[imagen_atr])</f>
        <v>0</v>
      </c>
    </row>
    <row r="194" spans="1:18">
      <c r="A194">
        <v>193</v>
      </c>
      <c r="B194" t="s">
        <v>457</v>
      </c>
      <c r="C194" t="s">
        <v>725</v>
      </c>
      <c r="D194" t="s">
        <v>726</v>
      </c>
      <c r="E194" t="s">
        <v>704</v>
      </c>
      <c r="F194" t="s">
        <v>727</v>
      </c>
      <c r="G194" t="str">
        <f>_xlfn.XLOOKUP(frasest[[#This Row],[autor_es]],autorest[autor_es],autorest[autor_la])</f>
        <v>Socrates</v>
      </c>
      <c r="H194" t="str">
        <f>_xlfn.XLOOKUP(frasest[[#This Row],[autor_es]],autorest[autor_es],autorest[bio_es])</f>
        <v>Filósofo griego de Atenas, fundador de la filosofía moral occidental. Maestro de Platón, desarrolló el método mayéutico. Fue condenado a muerte por impiedad.</v>
      </c>
      <c r="I194" t="str">
        <f>_xlfn.XLOOKUP(frasest[[#This Row],[autor_es]],autorest[autor_es],autorest[bio_la])</f>
        <v>Philosophus Graecus Atheniensis, philosophiae moralis Occidentalis conditor. Magister Platonis, methodum maieuticam elaboravit. Morte damnatus propter impietatem.</v>
      </c>
      <c r="J194" t="str">
        <f>_xlfn.XLOOKUP(frasest[[#This Row],[autor_es]],autorest[autor_es],autorest[codigo])</f>
        <v>el</v>
      </c>
      <c r="K194" t="str">
        <f>_xlfn.XLOOKUP(frasest[[#This Row],[autor_es]],autorest[autor_es],autorest[idioma_es])</f>
        <v>Griego</v>
      </c>
      <c r="L194" t="str">
        <f>_xlfn.XLOOKUP(frasest[[#This Row],[autor_es]],autorest[autor_es],autorest[idioma_la])</f>
        <v>Lingua Graeca</v>
      </c>
      <c r="M194" t="str">
        <f>_xlfn.XLOOKUP(frasest[[#This Row],[autor_es]],autorest[autor_es],autorest[nacion_es])</f>
        <v>Grecia</v>
      </c>
      <c r="N194" t="str">
        <f>_xlfn.XLOOKUP(frasest[[#This Row],[autor_es]],autorest[autor_es],autorest[nacion_la])</f>
        <v>Graecia</v>
      </c>
      <c r="O194" t="str">
        <f>_xlfn.XLOOKUP(frasest[[#This Row],[autor_es]],autorest[autor_es],autorest[epoca_es])</f>
        <v>Edad Antigua</v>
      </c>
      <c r="P194" t="str">
        <f>_xlfn.XLOOKUP(frasest[[#This Row],[autor_es]],autorest[autor_es],autorest[epoca_la])</f>
        <v>Antiquitas</v>
      </c>
      <c r="Q194" t="str">
        <f>_xlfn.XLOOKUP(frasest[[#This Row],[autor_es]],autorest[autor_es],autorest[imagen])</f>
        <v>https://i.ibb.co/hJtF2qzm/socrates.png</v>
      </c>
      <c r="R194">
        <f>_xlfn.XLOOKUP(frasest[[#This Row],[autor_es]],autorest[autor_es],autorest[imagen_atr])</f>
        <v>0</v>
      </c>
    </row>
    <row r="195" spans="1:18">
      <c r="A195">
        <v>194</v>
      </c>
      <c r="B195" t="s">
        <v>728</v>
      </c>
      <c r="C195" t="s">
        <v>729</v>
      </c>
      <c r="D195" t="s">
        <v>730</v>
      </c>
      <c r="E195" t="s">
        <v>704</v>
      </c>
      <c r="F195" t="s">
        <v>705</v>
      </c>
      <c r="G195" t="str">
        <f>_xlfn.XLOOKUP(frasest[[#This Row],[autor_es]],autorest[autor_es],autorest[autor_la])</f>
        <v>Socrates</v>
      </c>
      <c r="H195" t="str">
        <f>_xlfn.XLOOKUP(frasest[[#This Row],[autor_es]],autorest[autor_es],autorest[bio_es])</f>
        <v>Filósofo griego de Atenas, fundador de la filosofía moral occidental. Maestro de Platón, desarrolló el método mayéutico. Fue condenado a muerte por impiedad.</v>
      </c>
      <c r="I195" t="str">
        <f>_xlfn.XLOOKUP(frasest[[#This Row],[autor_es]],autorest[autor_es],autorest[bio_la])</f>
        <v>Philosophus Graecus Atheniensis, philosophiae moralis Occidentalis conditor. Magister Platonis, methodum maieuticam elaboravit. Morte damnatus propter impietatem.</v>
      </c>
      <c r="J195" t="str">
        <f>_xlfn.XLOOKUP(frasest[[#This Row],[autor_es]],autorest[autor_es],autorest[codigo])</f>
        <v>el</v>
      </c>
      <c r="K195" t="str">
        <f>_xlfn.XLOOKUP(frasest[[#This Row],[autor_es]],autorest[autor_es],autorest[idioma_es])</f>
        <v>Griego</v>
      </c>
      <c r="L195" t="str">
        <f>_xlfn.XLOOKUP(frasest[[#This Row],[autor_es]],autorest[autor_es],autorest[idioma_la])</f>
        <v>Lingua Graeca</v>
      </c>
      <c r="M195" t="str">
        <f>_xlfn.XLOOKUP(frasest[[#This Row],[autor_es]],autorest[autor_es],autorest[nacion_es])</f>
        <v>Grecia</v>
      </c>
      <c r="N195" t="str">
        <f>_xlfn.XLOOKUP(frasest[[#This Row],[autor_es]],autorest[autor_es],autorest[nacion_la])</f>
        <v>Graecia</v>
      </c>
      <c r="O195" t="str">
        <f>_xlfn.XLOOKUP(frasest[[#This Row],[autor_es]],autorest[autor_es],autorest[epoca_es])</f>
        <v>Edad Antigua</v>
      </c>
      <c r="P195" t="str">
        <f>_xlfn.XLOOKUP(frasest[[#This Row],[autor_es]],autorest[autor_es],autorest[epoca_la])</f>
        <v>Antiquitas</v>
      </c>
      <c r="Q195" t="str">
        <f>_xlfn.XLOOKUP(frasest[[#This Row],[autor_es]],autorest[autor_es],autorest[imagen])</f>
        <v>https://i.ibb.co/hJtF2qzm/socrates.png</v>
      </c>
      <c r="R195">
        <f>_xlfn.XLOOKUP(frasest[[#This Row],[autor_es]],autorest[autor_es],autorest[imagen_atr])</f>
        <v>0</v>
      </c>
    </row>
    <row r="196" spans="1:18">
      <c r="A196">
        <v>195</v>
      </c>
      <c r="B196" t="s">
        <v>731</v>
      </c>
      <c r="C196" t="s">
        <v>732</v>
      </c>
      <c r="D196" t="s">
        <v>733</v>
      </c>
      <c r="E196" t="s">
        <v>704</v>
      </c>
      <c r="F196" t="s">
        <v>712</v>
      </c>
      <c r="G196" t="str">
        <f>_xlfn.XLOOKUP(frasest[[#This Row],[autor_es]],autorest[autor_es],autorest[autor_la])</f>
        <v>Socrates</v>
      </c>
      <c r="H196" t="str">
        <f>_xlfn.XLOOKUP(frasest[[#This Row],[autor_es]],autorest[autor_es],autorest[bio_es])</f>
        <v>Filósofo griego de Atenas, fundador de la filosofía moral occidental. Maestro de Platón, desarrolló el método mayéutico. Fue condenado a muerte por impiedad.</v>
      </c>
      <c r="I196" t="str">
        <f>_xlfn.XLOOKUP(frasest[[#This Row],[autor_es]],autorest[autor_es],autorest[bio_la])</f>
        <v>Philosophus Graecus Atheniensis, philosophiae moralis Occidentalis conditor. Magister Platonis, methodum maieuticam elaboravit. Morte damnatus propter impietatem.</v>
      </c>
      <c r="J196" t="str">
        <f>_xlfn.XLOOKUP(frasest[[#This Row],[autor_es]],autorest[autor_es],autorest[codigo])</f>
        <v>el</v>
      </c>
      <c r="K196" t="str">
        <f>_xlfn.XLOOKUP(frasest[[#This Row],[autor_es]],autorest[autor_es],autorest[idioma_es])</f>
        <v>Griego</v>
      </c>
      <c r="L196" t="str">
        <f>_xlfn.XLOOKUP(frasest[[#This Row],[autor_es]],autorest[autor_es],autorest[idioma_la])</f>
        <v>Lingua Graeca</v>
      </c>
      <c r="M196" t="str">
        <f>_xlfn.XLOOKUP(frasest[[#This Row],[autor_es]],autorest[autor_es],autorest[nacion_es])</f>
        <v>Grecia</v>
      </c>
      <c r="N196" t="str">
        <f>_xlfn.XLOOKUP(frasest[[#This Row],[autor_es]],autorest[autor_es],autorest[nacion_la])</f>
        <v>Graecia</v>
      </c>
      <c r="O196" t="str">
        <f>_xlfn.XLOOKUP(frasest[[#This Row],[autor_es]],autorest[autor_es],autorest[epoca_es])</f>
        <v>Edad Antigua</v>
      </c>
      <c r="P196" t="str">
        <f>_xlfn.XLOOKUP(frasest[[#This Row],[autor_es]],autorest[autor_es],autorest[epoca_la])</f>
        <v>Antiquitas</v>
      </c>
      <c r="Q196" t="str">
        <f>_xlfn.XLOOKUP(frasest[[#This Row],[autor_es]],autorest[autor_es],autorest[imagen])</f>
        <v>https://i.ibb.co/hJtF2qzm/socrates.png</v>
      </c>
      <c r="R196">
        <f>_xlfn.XLOOKUP(frasest[[#This Row],[autor_es]],autorest[autor_es],autorest[imagen_atr])</f>
        <v>0</v>
      </c>
    </row>
    <row r="197" spans="1:18">
      <c r="A197">
        <v>196</v>
      </c>
      <c r="B197" t="s">
        <v>734</v>
      </c>
      <c r="C197" t="s">
        <v>735</v>
      </c>
      <c r="D197" t="s">
        <v>736</v>
      </c>
      <c r="E197" t="s">
        <v>704</v>
      </c>
      <c r="F197" t="s">
        <v>712</v>
      </c>
      <c r="G197" t="str">
        <f>_xlfn.XLOOKUP(frasest[[#This Row],[autor_es]],autorest[autor_es],autorest[autor_la])</f>
        <v>Socrates</v>
      </c>
      <c r="H197" t="str">
        <f>_xlfn.XLOOKUP(frasest[[#This Row],[autor_es]],autorest[autor_es],autorest[bio_es])</f>
        <v>Filósofo griego de Atenas, fundador de la filosofía moral occidental. Maestro de Platón, desarrolló el método mayéutico. Fue condenado a muerte por impiedad.</v>
      </c>
      <c r="I197" t="str">
        <f>_xlfn.XLOOKUP(frasest[[#This Row],[autor_es]],autorest[autor_es],autorest[bio_la])</f>
        <v>Philosophus Graecus Atheniensis, philosophiae moralis Occidentalis conditor. Magister Platonis, methodum maieuticam elaboravit. Morte damnatus propter impietatem.</v>
      </c>
      <c r="J197" t="str">
        <f>_xlfn.XLOOKUP(frasest[[#This Row],[autor_es]],autorest[autor_es],autorest[codigo])</f>
        <v>el</v>
      </c>
      <c r="K197" t="str">
        <f>_xlfn.XLOOKUP(frasest[[#This Row],[autor_es]],autorest[autor_es],autorest[idioma_es])</f>
        <v>Griego</v>
      </c>
      <c r="L197" t="str">
        <f>_xlfn.XLOOKUP(frasest[[#This Row],[autor_es]],autorest[autor_es],autorest[idioma_la])</f>
        <v>Lingua Graeca</v>
      </c>
      <c r="M197" t="str">
        <f>_xlfn.XLOOKUP(frasest[[#This Row],[autor_es]],autorest[autor_es],autorest[nacion_es])</f>
        <v>Grecia</v>
      </c>
      <c r="N197" t="str">
        <f>_xlfn.XLOOKUP(frasest[[#This Row],[autor_es]],autorest[autor_es],autorest[nacion_la])</f>
        <v>Graecia</v>
      </c>
      <c r="O197" t="str">
        <f>_xlfn.XLOOKUP(frasest[[#This Row],[autor_es]],autorest[autor_es],autorest[epoca_es])</f>
        <v>Edad Antigua</v>
      </c>
      <c r="P197" t="str">
        <f>_xlfn.XLOOKUP(frasest[[#This Row],[autor_es]],autorest[autor_es],autorest[epoca_la])</f>
        <v>Antiquitas</v>
      </c>
      <c r="Q197" t="str">
        <f>_xlfn.XLOOKUP(frasest[[#This Row],[autor_es]],autorest[autor_es],autorest[imagen])</f>
        <v>https://i.ibb.co/hJtF2qzm/socrates.png</v>
      </c>
      <c r="R197">
        <f>_xlfn.XLOOKUP(frasest[[#This Row],[autor_es]],autorest[autor_es],autorest[imagen_atr])</f>
        <v>0</v>
      </c>
    </row>
    <row r="198" spans="1:18">
      <c r="A198">
        <v>197</v>
      </c>
      <c r="B198" t="s">
        <v>737</v>
      </c>
      <c r="C198" t="s">
        <v>738</v>
      </c>
      <c r="D198" t="s">
        <v>739</v>
      </c>
      <c r="E198" t="s">
        <v>740</v>
      </c>
      <c r="F198" t="s">
        <v>741</v>
      </c>
      <c r="G198" t="str">
        <f>_xlfn.XLOOKUP(frasest[[#This Row],[autor_es]],autorest[autor_es],autorest[autor_la])</f>
        <v>Democritus</v>
      </c>
      <c r="H198" t="str">
        <f>_xlfn.XLOOKUP(frasest[[#This Row],[autor_es]],autorest[autor_es],autorest[bio_es])</f>
        <v>Filósofo griego de Abdera, fundador del atomismo junto a Leucipo. Propuso que el universo está compuesto por átomos indivisibles en el vacío.</v>
      </c>
      <c r="I198" t="str">
        <f>_xlfn.XLOOKUP(frasest[[#This Row],[autor_es]],autorest[autor_es],autorest[bio_la])</f>
        <v>Philosophus Graecus Abderita, atomismi conditor cum Leucippo. Universum ex atomis indivisibilibus in vacuo compositum proposuit.</v>
      </c>
      <c r="J198" t="str">
        <f>_xlfn.XLOOKUP(frasest[[#This Row],[autor_es]],autorest[autor_es],autorest[codigo])</f>
        <v>el</v>
      </c>
      <c r="K198" t="str">
        <f>_xlfn.XLOOKUP(frasest[[#This Row],[autor_es]],autorest[autor_es],autorest[idioma_es])</f>
        <v>Griego</v>
      </c>
      <c r="L198" t="str">
        <f>_xlfn.XLOOKUP(frasest[[#This Row],[autor_es]],autorest[autor_es],autorest[idioma_la])</f>
        <v>Lingua Graeca</v>
      </c>
      <c r="M198" t="str">
        <f>_xlfn.XLOOKUP(frasest[[#This Row],[autor_es]],autorest[autor_es],autorest[nacion_es])</f>
        <v>Grecia</v>
      </c>
      <c r="N198" t="str">
        <f>_xlfn.XLOOKUP(frasest[[#This Row],[autor_es]],autorest[autor_es],autorest[nacion_la])</f>
        <v>Graecia</v>
      </c>
      <c r="O198" t="str">
        <f>_xlfn.XLOOKUP(frasest[[#This Row],[autor_es]],autorest[autor_es],autorest[epoca_es])</f>
        <v>Edad Antigua</v>
      </c>
      <c r="P198" t="str">
        <f>_xlfn.XLOOKUP(frasest[[#This Row],[autor_es]],autorest[autor_es],autorest[epoca_la])</f>
        <v>Antiquitas</v>
      </c>
      <c r="Q198" t="str">
        <f>_xlfn.XLOOKUP(frasest[[#This Row],[autor_es]],autorest[autor_es],autorest[imagen])</f>
        <v>https://i.ibb.co/FkWkGPTs/democrito.png</v>
      </c>
      <c r="R198">
        <f>_xlfn.XLOOKUP(frasest[[#This Row],[autor_es]],autorest[autor_es],autorest[imagen_atr])</f>
        <v>0</v>
      </c>
    </row>
    <row r="199" spans="1:18">
      <c r="A199">
        <v>198</v>
      </c>
      <c r="B199" t="s">
        <v>742</v>
      </c>
      <c r="C199" t="s">
        <v>743</v>
      </c>
      <c r="D199" t="s">
        <v>744</v>
      </c>
      <c r="E199" t="s">
        <v>740</v>
      </c>
      <c r="F199" t="s">
        <v>745</v>
      </c>
      <c r="G199" t="str">
        <f>_xlfn.XLOOKUP(frasest[[#This Row],[autor_es]],autorest[autor_es],autorest[autor_la])</f>
        <v>Democritus</v>
      </c>
      <c r="H199" t="str">
        <f>_xlfn.XLOOKUP(frasest[[#This Row],[autor_es]],autorest[autor_es],autorest[bio_es])</f>
        <v>Filósofo griego de Abdera, fundador del atomismo junto a Leucipo. Propuso que el universo está compuesto por átomos indivisibles en el vacío.</v>
      </c>
      <c r="I199" t="str">
        <f>_xlfn.XLOOKUP(frasest[[#This Row],[autor_es]],autorest[autor_es],autorest[bio_la])</f>
        <v>Philosophus Graecus Abderita, atomismi conditor cum Leucippo. Universum ex atomis indivisibilibus in vacuo compositum proposuit.</v>
      </c>
      <c r="J199" t="str">
        <f>_xlfn.XLOOKUP(frasest[[#This Row],[autor_es]],autorest[autor_es],autorest[codigo])</f>
        <v>el</v>
      </c>
      <c r="K199" t="str">
        <f>_xlfn.XLOOKUP(frasest[[#This Row],[autor_es]],autorest[autor_es],autorest[idioma_es])</f>
        <v>Griego</v>
      </c>
      <c r="L199" t="str">
        <f>_xlfn.XLOOKUP(frasest[[#This Row],[autor_es]],autorest[autor_es],autorest[idioma_la])</f>
        <v>Lingua Graeca</v>
      </c>
      <c r="M199" t="str">
        <f>_xlfn.XLOOKUP(frasest[[#This Row],[autor_es]],autorest[autor_es],autorest[nacion_es])</f>
        <v>Grecia</v>
      </c>
      <c r="N199" t="str">
        <f>_xlfn.XLOOKUP(frasest[[#This Row],[autor_es]],autorest[autor_es],autorest[nacion_la])</f>
        <v>Graecia</v>
      </c>
      <c r="O199" t="str">
        <f>_xlfn.XLOOKUP(frasest[[#This Row],[autor_es]],autorest[autor_es],autorest[epoca_es])</f>
        <v>Edad Antigua</v>
      </c>
      <c r="P199" t="str">
        <f>_xlfn.XLOOKUP(frasest[[#This Row],[autor_es]],autorest[autor_es],autorest[epoca_la])</f>
        <v>Antiquitas</v>
      </c>
      <c r="Q199" t="str">
        <f>_xlfn.XLOOKUP(frasest[[#This Row],[autor_es]],autorest[autor_es],autorest[imagen])</f>
        <v>https://i.ibb.co/FkWkGPTs/democrito.png</v>
      </c>
      <c r="R199">
        <f>_xlfn.XLOOKUP(frasest[[#This Row],[autor_es]],autorest[autor_es],autorest[imagen_atr])</f>
        <v>0</v>
      </c>
    </row>
    <row r="200" spans="1:18">
      <c r="A200">
        <v>199</v>
      </c>
      <c r="B200" t="s">
        <v>746</v>
      </c>
      <c r="C200" t="s">
        <v>747</v>
      </c>
      <c r="D200" t="s">
        <v>748</v>
      </c>
      <c r="E200" t="s">
        <v>740</v>
      </c>
      <c r="F200" t="s">
        <v>749</v>
      </c>
      <c r="G200" t="str">
        <f>_xlfn.XLOOKUP(frasest[[#This Row],[autor_es]],autorest[autor_es],autorest[autor_la])</f>
        <v>Democritus</v>
      </c>
      <c r="H200" t="str">
        <f>_xlfn.XLOOKUP(frasest[[#This Row],[autor_es]],autorest[autor_es],autorest[bio_es])</f>
        <v>Filósofo griego de Abdera, fundador del atomismo junto a Leucipo. Propuso que el universo está compuesto por átomos indivisibles en el vacío.</v>
      </c>
      <c r="I200" t="str">
        <f>_xlfn.XLOOKUP(frasest[[#This Row],[autor_es]],autorest[autor_es],autorest[bio_la])</f>
        <v>Philosophus Graecus Abderita, atomismi conditor cum Leucippo. Universum ex atomis indivisibilibus in vacuo compositum proposuit.</v>
      </c>
      <c r="J200" t="str">
        <f>_xlfn.XLOOKUP(frasest[[#This Row],[autor_es]],autorest[autor_es],autorest[codigo])</f>
        <v>el</v>
      </c>
      <c r="K200" t="str">
        <f>_xlfn.XLOOKUP(frasest[[#This Row],[autor_es]],autorest[autor_es],autorest[idioma_es])</f>
        <v>Griego</v>
      </c>
      <c r="L200" t="str">
        <f>_xlfn.XLOOKUP(frasest[[#This Row],[autor_es]],autorest[autor_es],autorest[idioma_la])</f>
        <v>Lingua Graeca</v>
      </c>
      <c r="M200" t="str">
        <f>_xlfn.XLOOKUP(frasest[[#This Row],[autor_es]],autorest[autor_es],autorest[nacion_es])</f>
        <v>Grecia</v>
      </c>
      <c r="N200" t="str">
        <f>_xlfn.XLOOKUP(frasest[[#This Row],[autor_es]],autorest[autor_es],autorest[nacion_la])</f>
        <v>Graecia</v>
      </c>
      <c r="O200" t="str">
        <f>_xlfn.XLOOKUP(frasest[[#This Row],[autor_es]],autorest[autor_es],autorest[epoca_es])</f>
        <v>Edad Antigua</v>
      </c>
      <c r="P200" t="str">
        <f>_xlfn.XLOOKUP(frasest[[#This Row],[autor_es]],autorest[autor_es],autorest[epoca_la])</f>
        <v>Antiquitas</v>
      </c>
      <c r="Q200" t="str">
        <f>_xlfn.XLOOKUP(frasest[[#This Row],[autor_es]],autorest[autor_es],autorest[imagen])</f>
        <v>https://i.ibb.co/FkWkGPTs/democrito.png</v>
      </c>
      <c r="R200">
        <f>_xlfn.XLOOKUP(frasest[[#This Row],[autor_es]],autorest[autor_es],autorest[imagen_atr])</f>
        <v>0</v>
      </c>
    </row>
    <row r="201" spans="1:18">
      <c r="A201">
        <v>200</v>
      </c>
      <c r="B201" t="s">
        <v>750</v>
      </c>
      <c r="C201" t="s">
        <v>751</v>
      </c>
      <c r="D201" t="s">
        <v>752</v>
      </c>
      <c r="E201" t="s">
        <v>740</v>
      </c>
      <c r="F201" t="s">
        <v>753</v>
      </c>
      <c r="G201" t="str">
        <f>_xlfn.XLOOKUP(frasest[[#This Row],[autor_es]],autorest[autor_es],autorest[autor_la])</f>
        <v>Democritus</v>
      </c>
      <c r="H201" t="str">
        <f>_xlfn.XLOOKUP(frasest[[#This Row],[autor_es]],autorest[autor_es],autorest[bio_es])</f>
        <v>Filósofo griego de Abdera, fundador del atomismo junto a Leucipo. Propuso que el universo está compuesto por átomos indivisibles en el vacío.</v>
      </c>
      <c r="I201" t="str">
        <f>_xlfn.XLOOKUP(frasest[[#This Row],[autor_es]],autorest[autor_es],autorest[bio_la])</f>
        <v>Philosophus Graecus Abderita, atomismi conditor cum Leucippo. Universum ex atomis indivisibilibus in vacuo compositum proposuit.</v>
      </c>
      <c r="J201" t="str">
        <f>_xlfn.XLOOKUP(frasest[[#This Row],[autor_es]],autorest[autor_es],autorest[codigo])</f>
        <v>el</v>
      </c>
      <c r="K201" t="str">
        <f>_xlfn.XLOOKUP(frasest[[#This Row],[autor_es]],autorest[autor_es],autorest[idioma_es])</f>
        <v>Griego</v>
      </c>
      <c r="L201" t="str">
        <f>_xlfn.XLOOKUP(frasest[[#This Row],[autor_es]],autorest[autor_es],autorest[idioma_la])</f>
        <v>Lingua Graeca</v>
      </c>
      <c r="M201" t="str">
        <f>_xlfn.XLOOKUP(frasest[[#This Row],[autor_es]],autorest[autor_es],autorest[nacion_es])</f>
        <v>Grecia</v>
      </c>
      <c r="N201" t="str">
        <f>_xlfn.XLOOKUP(frasest[[#This Row],[autor_es]],autorest[autor_es],autorest[nacion_la])</f>
        <v>Graecia</v>
      </c>
      <c r="O201" t="str">
        <f>_xlfn.XLOOKUP(frasest[[#This Row],[autor_es]],autorest[autor_es],autorest[epoca_es])</f>
        <v>Edad Antigua</v>
      </c>
      <c r="P201" t="str">
        <f>_xlfn.XLOOKUP(frasest[[#This Row],[autor_es]],autorest[autor_es],autorest[epoca_la])</f>
        <v>Antiquitas</v>
      </c>
      <c r="Q201" t="str">
        <f>_xlfn.XLOOKUP(frasest[[#This Row],[autor_es]],autorest[autor_es],autorest[imagen])</f>
        <v>https://i.ibb.co/FkWkGPTs/democrito.png</v>
      </c>
      <c r="R201">
        <f>_xlfn.XLOOKUP(frasest[[#This Row],[autor_es]],autorest[autor_es],autorest[imagen_atr])</f>
        <v>0</v>
      </c>
    </row>
    <row r="202" spans="1:18">
      <c r="A202">
        <v>201</v>
      </c>
      <c r="B202" t="s">
        <v>754</v>
      </c>
      <c r="C202" t="s">
        <v>755</v>
      </c>
      <c r="D202" t="s">
        <v>756</v>
      </c>
      <c r="E202" t="s">
        <v>740</v>
      </c>
      <c r="F202" t="s">
        <v>757</v>
      </c>
      <c r="G202" t="str">
        <f>_xlfn.XLOOKUP(frasest[[#This Row],[autor_es]],autorest[autor_es],autorest[autor_la])</f>
        <v>Democritus</v>
      </c>
      <c r="H202" t="str">
        <f>_xlfn.XLOOKUP(frasest[[#This Row],[autor_es]],autorest[autor_es],autorest[bio_es])</f>
        <v>Filósofo griego de Abdera, fundador del atomismo junto a Leucipo. Propuso que el universo está compuesto por átomos indivisibles en el vacío.</v>
      </c>
      <c r="I202" t="str">
        <f>_xlfn.XLOOKUP(frasest[[#This Row],[autor_es]],autorest[autor_es],autorest[bio_la])</f>
        <v>Philosophus Graecus Abderita, atomismi conditor cum Leucippo. Universum ex atomis indivisibilibus in vacuo compositum proposuit.</v>
      </c>
      <c r="J202" t="str">
        <f>_xlfn.XLOOKUP(frasest[[#This Row],[autor_es]],autorest[autor_es],autorest[codigo])</f>
        <v>el</v>
      </c>
      <c r="K202" t="str">
        <f>_xlfn.XLOOKUP(frasest[[#This Row],[autor_es]],autorest[autor_es],autorest[idioma_es])</f>
        <v>Griego</v>
      </c>
      <c r="L202" t="str">
        <f>_xlfn.XLOOKUP(frasest[[#This Row],[autor_es]],autorest[autor_es],autorest[idioma_la])</f>
        <v>Lingua Graeca</v>
      </c>
      <c r="M202" t="str">
        <f>_xlfn.XLOOKUP(frasest[[#This Row],[autor_es]],autorest[autor_es],autorest[nacion_es])</f>
        <v>Grecia</v>
      </c>
      <c r="N202" t="str">
        <f>_xlfn.XLOOKUP(frasest[[#This Row],[autor_es]],autorest[autor_es],autorest[nacion_la])</f>
        <v>Graecia</v>
      </c>
      <c r="O202" t="str">
        <f>_xlfn.XLOOKUP(frasest[[#This Row],[autor_es]],autorest[autor_es],autorest[epoca_es])</f>
        <v>Edad Antigua</v>
      </c>
      <c r="P202" t="str">
        <f>_xlfn.XLOOKUP(frasest[[#This Row],[autor_es]],autorest[autor_es],autorest[epoca_la])</f>
        <v>Antiquitas</v>
      </c>
      <c r="Q202" t="str">
        <f>_xlfn.XLOOKUP(frasest[[#This Row],[autor_es]],autorest[autor_es],autorest[imagen])</f>
        <v>https://i.ibb.co/FkWkGPTs/democrito.png</v>
      </c>
      <c r="R202">
        <f>_xlfn.XLOOKUP(frasest[[#This Row],[autor_es]],autorest[autor_es],autorest[imagen_atr])</f>
        <v>0</v>
      </c>
    </row>
    <row r="203" spans="1:18">
      <c r="A203">
        <v>202</v>
      </c>
      <c r="B203" t="s">
        <v>758</v>
      </c>
      <c r="C203" t="s">
        <v>759</v>
      </c>
      <c r="D203" t="s">
        <v>760</v>
      </c>
      <c r="E203" t="s">
        <v>740</v>
      </c>
      <c r="F203" t="s">
        <v>761</v>
      </c>
      <c r="G203" t="str">
        <f>_xlfn.XLOOKUP(frasest[[#This Row],[autor_es]],autorest[autor_es],autorest[autor_la])</f>
        <v>Democritus</v>
      </c>
      <c r="H203" t="str">
        <f>_xlfn.XLOOKUP(frasest[[#This Row],[autor_es]],autorest[autor_es],autorest[bio_es])</f>
        <v>Filósofo griego de Abdera, fundador del atomismo junto a Leucipo. Propuso que el universo está compuesto por átomos indivisibles en el vacío.</v>
      </c>
      <c r="I203" t="str">
        <f>_xlfn.XLOOKUP(frasest[[#This Row],[autor_es]],autorest[autor_es],autorest[bio_la])</f>
        <v>Philosophus Graecus Abderita, atomismi conditor cum Leucippo. Universum ex atomis indivisibilibus in vacuo compositum proposuit.</v>
      </c>
      <c r="J203" t="str">
        <f>_xlfn.XLOOKUP(frasest[[#This Row],[autor_es]],autorest[autor_es],autorest[codigo])</f>
        <v>el</v>
      </c>
      <c r="K203" t="str">
        <f>_xlfn.XLOOKUP(frasest[[#This Row],[autor_es]],autorest[autor_es],autorest[idioma_es])</f>
        <v>Griego</v>
      </c>
      <c r="L203" t="str">
        <f>_xlfn.XLOOKUP(frasest[[#This Row],[autor_es]],autorest[autor_es],autorest[idioma_la])</f>
        <v>Lingua Graeca</v>
      </c>
      <c r="M203" t="str">
        <f>_xlfn.XLOOKUP(frasest[[#This Row],[autor_es]],autorest[autor_es],autorest[nacion_es])</f>
        <v>Grecia</v>
      </c>
      <c r="N203" t="str">
        <f>_xlfn.XLOOKUP(frasest[[#This Row],[autor_es]],autorest[autor_es],autorest[nacion_la])</f>
        <v>Graecia</v>
      </c>
      <c r="O203" t="str">
        <f>_xlfn.XLOOKUP(frasest[[#This Row],[autor_es]],autorest[autor_es],autorest[epoca_es])</f>
        <v>Edad Antigua</v>
      </c>
      <c r="P203" t="str">
        <f>_xlfn.XLOOKUP(frasest[[#This Row],[autor_es]],autorest[autor_es],autorest[epoca_la])</f>
        <v>Antiquitas</v>
      </c>
      <c r="Q203" t="str">
        <f>_xlfn.XLOOKUP(frasest[[#This Row],[autor_es]],autorest[autor_es],autorest[imagen])</f>
        <v>https://i.ibb.co/FkWkGPTs/democrito.png</v>
      </c>
      <c r="R203">
        <f>_xlfn.XLOOKUP(frasest[[#This Row],[autor_es]],autorest[autor_es],autorest[imagen_atr])</f>
        <v>0</v>
      </c>
    </row>
    <row r="204" spans="1:18">
      <c r="A204">
        <v>203</v>
      </c>
      <c r="B204" t="s">
        <v>762</v>
      </c>
      <c r="C204" t="s">
        <v>763</v>
      </c>
      <c r="D204" t="s">
        <v>764</v>
      </c>
      <c r="E204" t="s">
        <v>740</v>
      </c>
      <c r="F204" t="s">
        <v>765</v>
      </c>
      <c r="G204" t="str">
        <f>_xlfn.XLOOKUP(frasest[[#This Row],[autor_es]],autorest[autor_es],autorest[autor_la])</f>
        <v>Democritus</v>
      </c>
      <c r="H204" t="str">
        <f>_xlfn.XLOOKUP(frasest[[#This Row],[autor_es]],autorest[autor_es],autorest[bio_es])</f>
        <v>Filósofo griego de Abdera, fundador del atomismo junto a Leucipo. Propuso que el universo está compuesto por átomos indivisibles en el vacío.</v>
      </c>
      <c r="I204" t="str">
        <f>_xlfn.XLOOKUP(frasest[[#This Row],[autor_es]],autorest[autor_es],autorest[bio_la])</f>
        <v>Philosophus Graecus Abderita, atomismi conditor cum Leucippo. Universum ex atomis indivisibilibus in vacuo compositum proposuit.</v>
      </c>
      <c r="J204" t="str">
        <f>_xlfn.XLOOKUP(frasest[[#This Row],[autor_es]],autorest[autor_es],autorest[codigo])</f>
        <v>el</v>
      </c>
      <c r="K204" t="str">
        <f>_xlfn.XLOOKUP(frasest[[#This Row],[autor_es]],autorest[autor_es],autorest[idioma_es])</f>
        <v>Griego</v>
      </c>
      <c r="L204" t="str">
        <f>_xlfn.XLOOKUP(frasest[[#This Row],[autor_es]],autorest[autor_es],autorest[idioma_la])</f>
        <v>Lingua Graeca</v>
      </c>
      <c r="M204" t="str">
        <f>_xlfn.XLOOKUP(frasest[[#This Row],[autor_es]],autorest[autor_es],autorest[nacion_es])</f>
        <v>Grecia</v>
      </c>
      <c r="N204" t="str">
        <f>_xlfn.XLOOKUP(frasest[[#This Row],[autor_es]],autorest[autor_es],autorest[nacion_la])</f>
        <v>Graecia</v>
      </c>
      <c r="O204" t="str">
        <f>_xlfn.XLOOKUP(frasest[[#This Row],[autor_es]],autorest[autor_es],autorest[epoca_es])</f>
        <v>Edad Antigua</v>
      </c>
      <c r="P204" t="str">
        <f>_xlfn.XLOOKUP(frasest[[#This Row],[autor_es]],autorest[autor_es],autorest[epoca_la])</f>
        <v>Antiquitas</v>
      </c>
      <c r="Q204" t="str">
        <f>_xlfn.XLOOKUP(frasest[[#This Row],[autor_es]],autorest[autor_es],autorest[imagen])</f>
        <v>https://i.ibb.co/FkWkGPTs/democrito.png</v>
      </c>
      <c r="R204">
        <f>_xlfn.XLOOKUP(frasest[[#This Row],[autor_es]],autorest[autor_es],autorest[imagen_atr])</f>
        <v>0</v>
      </c>
    </row>
    <row r="205" spans="1:18">
      <c r="A205">
        <v>204</v>
      </c>
      <c r="B205" t="s">
        <v>766</v>
      </c>
      <c r="C205" t="s">
        <v>767</v>
      </c>
      <c r="D205" t="s">
        <v>768</v>
      </c>
      <c r="E205" t="s">
        <v>740</v>
      </c>
      <c r="F205" t="s">
        <v>745</v>
      </c>
      <c r="G205" t="str">
        <f>_xlfn.XLOOKUP(frasest[[#This Row],[autor_es]],autorest[autor_es],autorest[autor_la])</f>
        <v>Democritus</v>
      </c>
      <c r="H205" t="str">
        <f>_xlfn.XLOOKUP(frasest[[#This Row],[autor_es]],autorest[autor_es],autorest[bio_es])</f>
        <v>Filósofo griego de Abdera, fundador del atomismo junto a Leucipo. Propuso que el universo está compuesto por átomos indivisibles en el vacío.</v>
      </c>
      <c r="I205" t="str">
        <f>_xlfn.XLOOKUP(frasest[[#This Row],[autor_es]],autorest[autor_es],autorest[bio_la])</f>
        <v>Philosophus Graecus Abderita, atomismi conditor cum Leucippo. Universum ex atomis indivisibilibus in vacuo compositum proposuit.</v>
      </c>
      <c r="J205" t="str">
        <f>_xlfn.XLOOKUP(frasest[[#This Row],[autor_es]],autorest[autor_es],autorest[codigo])</f>
        <v>el</v>
      </c>
      <c r="K205" t="str">
        <f>_xlfn.XLOOKUP(frasest[[#This Row],[autor_es]],autorest[autor_es],autorest[idioma_es])</f>
        <v>Griego</v>
      </c>
      <c r="L205" t="str">
        <f>_xlfn.XLOOKUP(frasest[[#This Row],[autor_es]],autorest[autor_es],autorest[idioma_la])</f>
        <v>Lingua Graeca</v>
      </c>
      <c r="M205" t="str">
        <f>_xlfn.XLOOKUP(frasest[[#This Row],[autor_es]],autorest[autor_es],autorest[nacion_es])</f>
        <v>Grecia</v>
      </c>
      <c r="N205" t="str">
        <f>_xlfn.XLOOKUP(frasest[[#This Row],[autor_es]],autorest[autor_es],autorest[nacion_la])</f>
        <v>Graecia</v>
      </c>
      <c r="O205" t="str">
        <f>_xlfn.XLOOKUP(frasest[[#This Row],[autor_es]],autorest[autor_es],autorest[epoca_es])</f>
        <v>Edad Antigua</v>
      </c>
      <c r="P205" t="str">
        <f>_xlfn.XLOOKUP(frasest[[#This Row],[autor_es]],autorest[autor_es],autorest[epoca_la])</f>
        <v>Antiquitas</v>
      </c>
      <c r="Q205" t="str">
        <f>_xlfn.XLOOKUP(frasest[[#This Row],[autor_es]],autorest[autor_es],autorest[imagen])</f>
        <v>https://i.ibb.co/FkWkGPTs/democrito.png</v>
      </c>
      <c r="R205">
        <f>_xlfn.XLOOKUP(frasest[[#This Row],[autor_es]],autorest[autor_es],autorest[imagen_atr])</f>
        <v>0</v>
      </c>
    </row>
    <row r="206" spans="1:18">
      <c r="A206">
        <v>205</v>
      </c>
      <c r="B206" t="s">
        <v>769</v>
      </c>
      <c r="C206" t="s">
        <v>770</v>
      </c>
      <c r="D206" t="s">
        <v>771</v>
      </c>
      <c r="E206" t="s">
        <v>740</v>
      </c>
      <c r="F206" t="s">
        <v>772</v>
      </c>
      <c r="G206" t="str">
        <f>_xlfn.XLOOKUP(frasest[[#This Row],[autor_es]],autorest[autor_es],autorest[autor_la])</f>
        <v>Democritus</v>
      </c>
      <c r="H206" t="str">
        <f>_xlfn.XLOOKUP(frasest[[#This Row],[autor_es]],autorest[autor_es],autorest[bio_es])</f>
        <v>Filósofo griego de Abdera, fundador del atomismo junto a Leucipo. Propuso que el universo está compuesto por átomos indivisibles en el vacío.</v>
      </c>
      <c r="I206" t="str">
        <f>_xlfn.XLOOKUP(frasest[[#This Row],[autor_es]],autorest[autor_es],autorest[bio_la])</f>
        <v>Philosophus Graecus Abderita, atomismi conditor cum Leucippo. Universum ex atomis indivisibilibus in vacuo compositum proposuit.</v>
      </c>
      <c r="J206" t="str">
        <f>_xlfn.XLOOKUP(frasest[[#This Row],[autor_es]],autorest[autor_es],autorest[codigo])</f>
        <v>el</v>
      </c>
      <c r="K206" t="str">
        <f>_xlfn.XLOOKUP(frasest[[#This Row],[autor_es]],autorest[autor_es],autorest[idioma_es])</f>
        <v>Griego</v>
      </c>
      <c r="L206" t="str">
        <f>_xlfn.XLOOKUP(frasest[[#This Row],[autor_es]],autorest[autor_es],autorest[idioma_la])</f>
        <v>Lingua Graeca</v>
      </c>
      <c r="M206" t="str">
        <f>_xlfn.XLOOKUP(frasest[[#This Row],[autor_es]],autorest[autor_es],autorest[nacion_es])</f>
        <v>Grecia</v>
      </c>
      <c r="N206" t="str">
        <f>_xlfn.XLOOKUP(frasest[[#This Row],[autor_es]],autorest[autor_es],autorest[nacion_la])</f>
        <v>Graecia</v>
      </c>
      <c r="O206" t="str">
        <f>_xlfn.XLOOKUP(frasest[[#This Row],[autor_es]],autorest[autor_es],autorest[epoca_es])</f>
        <v>Edad Antigua</v>
      </c>
      <c r="P206" t="str">
        <f>_xlfn.XLOOKUP(frasest[[#This Row],[autor_es]],autorest[autor_es],autorest[epoca_la])</f>
        <v>Antiquitas</v>
      </c>
      <c r="Q206" t="str">
        <f>_xlfn.XLOOKUP(frasest[[#This Row],[autor_es]],autorest[autor_es],autorest[imagen])</f>
        <v>https://i.ibb.co/FkWkGPTs/democrito.png</v>
      </c>
      <c r="R206">
        <f>_xlfn.XLOOKUP(frasest[[#This Row],[autor_es]],autorest[autor_es],autorest[imagen_atr])</f>
        <v>0</v>
      </c>
    </row>
    <row r="207" spans="1:18">
      <c r="A207">
        <v>206</v>
      </c>
      <c r="B207" t="s">
        <v>773</v>
      </c>
      <c r="C207" t="s">
        <v>774</v>
      </c>
      <c r="D207" t="s">
        <v>775</v>
      </c>
      <c r="E207" t="s">
        <v>740</v>
      </c>
      <c r="F207" t="s">
        <v>776</v>
      </c>
      <c r="G207" t="str">
        <f>_xlfn.XLOOKUP(frasest[[#This Row],[autor_es]],autorest[autor_es],autorest[autor_la])</f>
        <v>Democritus</v>
      </c>
      <c r="H207" t="str">
        <f>_xlfn.XLOOKUP(frasest[[#This Row],[autor_es]],autorest[autor_es],autorest[bio_es])</f>
        <v>Filósofo griego de Abdera, fundador del atomismo junto a Leucipo. Propuso que el universo está compuesto por átomos indivisibles en el vacío.</v>
      </c>
      <c r="I207" t="str">
        <f>_xlfn.XLOOKUP(frasest[[#This Row],[autor_es]],autorest[autor_es],autorest[bio_la])</f>
        <v>Philosophus Graecus Abderita, atomismi conditor cum Leucippo. Universum ex atomis indivisibilibus in vacuo compositum proposuit.</v>
      </c>
      <c r="J207" t="str">
        <f>_xlfn.XLOOKUP(frasest[[#This Row],[autor_es]],autorest[autor_es],autorest[codigo])</f>
        <v>el</v>
      </c>
      <c r="K207" t="str">
        <f>_xlfn.XLOOKUP(frasest[[#This Row],[autor_es]],autorest[autor_es],autorest[idioma_es])</f>
        <v>Griego</v>
      </c>
      <c r="L207" t="str">
        <f>_xlfn.XLOOKUP(frasest[[#This Row],[autor_es]],autorest[autor_es],autorest[idioma_la])</f>
        <v>Lingua Graeca</v>
      </c>
      <c r="M207" t="str">
        <f>_xlfn.XLOOKUP(frasest[[#This Row],[autor_es]],autorest[autor_es],autorest[nacion_es])</f>
        <v>Grecia</v>
      </c>
      <c r="N207" t="str">
        <f>_xlfn.XLOOKUP(frasest[[#This Row],[autor_es]],autorest[autor_es],autorest[nacion_la])</f>
        <v>Graecia</v>
      </c>
      <c r="O207" t="str">
        <f>_xlfn.XLOOKUP(frasest[[#This Row],[autor_es]],autorest[autor_es],autorest[epoca_es])</f>
        <v>Edad Antigua</v>
      </c>
      <c r="P207" t="str">
        <f>_xlfn.XLOOKUP(frasest[[#This Row],[autor_es]],autorest[autor_es],autorest[epoca_la])</f>
        <v>Antiquitas</v>
      </c>
      <c r="Q207" t="str">
        <f>_xlfn.XLOOKUP(frasest[[#This Row],[autor_es]],autorest[autor_es],autorest[imagen])</f>
        <v>https://i.ibb.co/FkWkGPTs/democrito.png</v>
      </c>
      <c r="R207">
        <f>_xlfn.XLOOKUP(frasest[[#This Row],[autor_es]],autorest[autor_es],autorest[imagen_atr])</f>
        <v>0</v>
      </c>
    </row>
    <row r="208" spans="1:18">
      <c r="A208">
        <v>207</v>
      </c>
      <c r="B208" t="s">
        <v>777</v>
      </c>
      <c r="C208" t="s">
        <v>778</v>
      </c>
      <c r="D208" t="s">
        <v>779</v>
      </c>
      <c r="E208" t="s">
        <v>780</v>
      </c>
      <c r="F208" t="s">
        <v>781</v>
      </c>
      <c r="G208" t="str">
        <f>_xlfn.XLOOKUP(frasest[[#This Row],[autor_es]],autorest[autor_es],autorest[autor_la])</f>
        <v>Protagoras</v>
      </c>
      <c r="H208" t="str">
        <f>_xlfn.XLOOKUP(frasest[[#This Row],[autor_es]],autorest[autor_es],autorest[bio_es])</f>
        <v>Filósofo sofista griego de Abdera, precursor de la enseñanza retórica profesional. Autor de la máxima "El hombre es la medida de todas las cosas".</v>
      </c>
      <c r="I208" t="str">
        <f>_xlfn.XLOOKUP(frasest[[#This Row],[autor_es]],autorest[autor_es],autorest[bio_la])</f>
        <v>Philosophus sophista Graecus Abderita, rhetoricae artis professionalis praecursor. Auctor sententiae "Homo mensura omnium rerum est".</v>
      </c>
      <c r="J208" t="str">
        <f>_xlfn.XLOOKUP(frasest[[#This Row],[autor_es]],autorest[autor_es],autorest[codigo])</f>
        <v>el</v>
      </c>
      <c r="K208" t="str">
        <f>_xlfn.XLOOKUP(frasest[[#This Row],[autor_es]],autorest[autor_es],autorest[idioma_es])</f>
        <v>Griego</v>
      </c>
      <c r="L208" t="str">
        <f>_xlfn.XLOOKUP(frasest[[#This Row],[autor_es]],autorest[autor_es],autorest[idioma_la])</f>
        <v>Lingua Graeca</v>
      </c>
      <c r="M208" t="str">
        <f>_xlfn.XLOOKUP(frasest[[#This Row],[autor_es]],autorest[autor_es],autorest[nacion_es])</f>
        <v>Grecia</v>
      </c>
      <c r="N208" t="str">
        <f>_xlfn.XLOOKUP(frasest[[#This Row],[autor_es]],autorest[autor_es],autorest[nacion_la])</f>
        <v>Graecia</v>
      </c>
      <c r="O208" t="str">
        <f>_xlfn.XLOOKUP(frasest[[#This Row],[autor_es]],autorest[autor_es],autorest[epoca_es])</f>
        <v>Edad Antigua</v>
      </c>
      <c r="P208" t="str">
        <f>_xlfn.XLOOKUP(frasest[[#This Row],[autor_es]],autorest[autor_es],autorest[epoca_la])</f>
        <v>Antiquitas</v>
      </c>
      <c r="Q208" t="str">
        <f>_xlfn.XLOOKUP(frasest[[#This Row],[autor_es]],autorest[autor_es],autorest[imagen])</f>
        <v>https://i.ibb.co/Q3vRf8m3/protagoras.png</v>
      </c>
      <c r="R208">
        <f>_xlfn.XLOOKUP(frasest[[#This Row],[autor_es]],autorest[autor_es],autorest[imagen_atr])</f>
        <v>0</v>
      </c>
    </row>
    <row r="209" spans="1:18">
      <c r="A209">
        <v>208</v>
      </c>
      <c r="B209" t="s">
        <v>782</v>
      </c>
      <c r="C209" t="s">
        <v>783</v>
      </c>
      <c r="D209" t="s">
        <v>784</v>
      </c>
      <c r="E209" t="s">
        <v>780</v>
      </c>
      <c r="F209" t="s">
        <v>785</v>
      </c>
      <c r="G209" t="str">
        <f>_xlfn.XLOOKUP(frasest[[#This Row],[autor_es]],autorest[autor_es],autorest[autor_la])</f>
        <v>Protagoras</v>
      </c>
      <c r="H209" t="str">
        <f>_xlfn.XLOOKUP(frasest[[#This Row],[autor_es]],autorest[autor_es],autorest[bio_es])</f>
        <v>Filósofo sofista griego de Abdera, precursor de la enseñanza retórica profesional. Autor de la máxima "El hombre es la medida de todas las cosas".</v>
      </c>
      <c r="I209" t="str">
        <f>_xlfn.XLOOKUP(frasest[[#This Row],[autor_es]],autorest[autor_es],autorest[bio_la])</f>
        <v>Philosophus sophista Graecus Abderita, rhetoricae artis professionalis praecursor. Auctor sententiae "Homo mensura omnium rerum est".</v>
      </c>
      <c r="J209" t="str">
        <f>_xlfn.XLOOKUP(frasest[[#This Row],[autor_es]],autorest[autor_es],autorest[codigo])</f>
        <v>el</v>
      </c>
      <c r="K209" t="str">
        <f>_xlfn.XLOOKUP(frasest[[#This Row],[autor_es]],autorest[autor_es],autorest[idioma_es])</f>
        <v>Griego</v>
      </c>
      <c r="L209" t="str">
        <f>_xlfn.XLOOKUP(frasest[[#This Row],[autor_es]],autorest[autor_es],autorest[idioma_la])</f>
        <v>Lingua Graeca</v>
      </c>
      <c r="M209" t="str">
        <f>_xlfn.XLOOKUP(frasest[[#This Row],[autor_es]],autorest[autor_es],autorest[nacion_es])</f>
        <v>Grecia</v>
      </c>
      <c r="N209" t="str">
        <f>_xlfn.XLOOKUP(frasest[[#This Row],[autor_es]],autorest[autor_es],autorest[nacion_la])</f>
        <v>Graecia</v>
      </c>
      <c r="O209" t="str">
        <f>_xlfn.XLOOKUP(frasest[[#This Row],[autor_es]],autorest[autor_es],autorest[epoca_es])</f>
        <v>Edad Antigua</v>
      </c>
      <c r="P209" t="str">
        <f>_xlfn.XLOOKUP(frasest[[#This Row],[autor_es]],autorest[autor_es],autorest[epoca_la])</f>
        <v>Antiquitas</v>
      </c>
      <c r="Q209" t="str">
        <f>_xlfn.XLOOKUP(frasest[[#This Row],[autor_es]],autorest[autor_es],autorest[imagen])</f>
        <v>https://i.ibb.co/Q3vRf8m3/protagoras.png</v>
      </c>
      <c r="R209">
        <f>_xlfn.XLOOKUP(frasest[[#This Row],[autor_es]],autorest[autor_es],autorest[imagen_atr])</f>
        <v>0</v>
      </c>
    </row>
    <row r="210" spans="1:18">
      <c r="A210">
        <v>209</v>
      </c>
      <c r="B210" t="s">
        <v>786</v>
      </c>
      <c r="C210" t="s">
        <v>787</v>
      </c>
      <c r="D210" t="s">
        <v>788</v>
      </c>
      <c r="E210" t="s">
        <v>780</v>
      </c>
      <c r="F210" t="s">
        <v>789</v>
      </c>
      <c r="G210" t="str">
        <f>_xlfn.XLOOKUP(frasest[[#This Row],[autor_es]],autorest[autor_es],autorest[autor_la])</f>
        <v>Protagoras</v>
      </c>
      <c r="H210" t="str">
        <f>_xlfn.XLOOKUP(frasest[[#This Row],[autor_es]],autorest[autor_es],autorest[bio_es])</f>
        <v>Filósofo sofista griego de Abdera, precursor de la enseñanza retórica profesional. Autor de la máxima "El hombre es la medida de todas las cosas".</v>
      </c>
      <c r="I210" t="str">
        <f>_xlfn.XLOOKUP(frasest[[#This Row],[autor_es]],autorest[autor_es],autorest[bio_la])</f>
        <v>Philosophus sophista Graecus Abderita, rhetoricae artis professionalis praecursor. Auctor sententiae "Homo mensura omnium rerum est".</v>
      </c>
      <c r="J210" t="str">
        <f>_xlfn.XLOOKUP(frasest[[#This Row],[autor_es]],autorest[autor_es],autorest[codigo])</f>
        <v>el</v>
      </c>
      <c r="K210" t="str">
        <f>_xlfn.XLOOKUP(frasest[[#This Row],[autor_es]],autorest[autor_es],autorest[idioma_es])</f>
        <v>Griego</v>
      </c>
      <c r="L210" t="str">
        <f>_xlfn.XLOOKUP(frasest[[#This Row],[autor_es]],autorest[autor_es],autorest[idioma_la])</f>
        <v>Lingua Graeca</v>
      </c>
      <c r="M210" t="str">
        <f>_xlfn.XLOOKUP(frasest[[#This Row],[autor_es]],autorest[autor_es],autorest[nacion_es])</f>
        <v>Grecia</v>
      </c>
      <c r="N210" t="str">
        <f>_xlfn.XLOOKUP(frasest[[#This Row],[autor_es]],autorest[autor_es],autorest[nacion_la])</f>
        <v>Graecia</v>
      </c>
      <c r="O210" t="str">
        <f>_xlfn.XLOOKUP(frasest[[#This Row],[autor_es]],autorest[autor_es],autorest[epoca_es])</f>
        <v>Edad Antigua</v>
      </c>
      <c r="P210" t="str">
        <f>_xlfn.XLOOKUP(frasest[[#This Row],[autor_es]],autorest[autor_es],autorest[epoca_la])</f>
        <v>Antiquitas</v>
      </c>
      <c r="Q210" t="str">
        <f>_xlfn.XLOOKUP(frasest[[#This Row],[autor_es]],autorest[autor_es],autorest[imagen])</f>
        <v>https://i.ibb.co/Q3vRf8m3/protagoras.png</v>
      </c>
      <c r="R210">
        <f>_xlfn.XLOOKUP(frasest[[#This Row],[autor_es]],autorest[autor_es],autorest[imagen_atr])</f>
        <v>0</v>
      </c>
    </row>
    <row r="211" spans="1:18">
      <c r="A211">
        <v>210</v>
      </c>
      <c r="B211" t="s">
        <v>790</v>
      </c>
      <c r="C211" t="s">
        <v>791</v>
      </c>
      <c r="D211" t="s">
        <v>792</v>
      </c>
      <c r="E211" t="s">
        <v>780</v>
      </c>
      <c r="F211" t="s">
        <v>793</v>
      </c>
      <c r="G211" t="str">
        <f>_xlfn.XLOOKUP(frasest[[#This Row],[autor_es]],autorest[autor_es],autorest[autor_la])</f>
        <v>Protagoras</v>
      </c>
      <c r="H211" t="str">
        <f>_xlfn.XLOOKUP(frasest[[#This Row],[autor_es]],autorest[autor_es],autorest[bio_es])</f>
        <v>Filósofo sofista griego de Abdera, precursor de la enseñanza retórica profesional. Autor de la máxima "El hombre es la medida de todas las cosas".</v>
      </c>
      <c r="I211" t="str">
        <f>_xlfn.XLOOKUP(frasest[[#This Row],[autor_es]],autorest[autor_es],autorest[bio_la])</f>
        <v>Philosophus sophista Graecus Abderita, rhetoricae artis professionalis praecursor. Auctor sententiae "Homo mensura omnium rerum est".</v>
      </c>
      <c r="J211" t="str">
        <f>_xlfn.XLOOKUP(frasest[[#This Row],[autor_es]],autorest[autor_es],autorest[codigo])</f>
        <v>el</v>
      </c>
      <c r="K211" t="str">
        <f>_xlfn.XLOOKUP(frasest[[#This Row],[autor_es]],autorest[autor_es],autorest[idioma_es])</f>
        <v>Griego</v>
      </c>
      <c r="L211" t="str">
        <f>_xlfn.XLOOKUP(frasest[[#This Row],[autor_es]],autorest[autor_es],autorest[idioma_la])</f>
        <v>Lingua Graeca</v>
      </c>
      <c r="M211" t="str">
        <f>_xlfn.XLOOKUP(frasest[[#This Row],[autor_es]],autorest[autor_es],autorest[nacion_es])</f>
        <v>Grecia</v>
      </c>
      <c r="N211" t="str">
        <f>_xlfn.XLOOKUP(frasest[[#This Row],[autor_es]],autorest[autor_es],autorest[nacion_la])</f>
        <v>Graecia</v>
      </c>
      <c r="O211" t="str">
        <f>_xlfn.XLOOKUP(frasest[[#This Row],[autor_es]],autorest[autor_es],autorest[epoca_es])</f>
        <v>Edad Antigua</v>
      </c>
      <c r="P211" t="str">
        <f>_xlfn.XLOOKUP(frasest[[#This Row],[autor_es]],autorest[autor_es],autorest[epoca_la])</f>
        <v>Antiquitas</v>
      </c>
      <c r="Q211" t="str">
        <f>_xlfn.XLOOKUP(frasest[[#This Row],[autor_es]],autorest[autor_es],autorest[imagen])</f>
        <v>https://i.ibb.co/Q3vRf8m3/protagoras.png</v>
      </c>
      <c r="R211">
        <f>_xlfn.XLOOKUP(frasest[[#This Row],[autor_es]],autorest[autor_es],autorest[imagen_atr])</f>
        <v>0</v>
      </c>
    </row>
    <row r="212" spans="1:18">
      <c r="A212">
        <v>211</v>
      </c>
      <c r="B212" t="s">
        <v>794</v>
      </c>
      <c r="C212" t="s">
        <v>795</v>
      </c>
      <c r="D212" t="s">
        <v>796</v>
      </c>
      <c r="E212" t="s">
        <v>780</v>
      </c>
      <c r="F212" t="s">
        <v>797</v>
      </c>
      <c r="G212" t="str">
        <f>_xlfn.XLOOKUP(frasest[[#This Row],[autor_es]],autorest[autor_es],autorest[autor_la])</f>
        <v>Protagoras</v>
      </c>
      <c r="H212" t="str">
        <f>_xlfn.XLOOKUP(frasest[[#This Row],[autor_es]],autorest[autor_es],autorest[bio_es])</f>
        <v>Filósofo sofista griego de Abdera, precursor de la enseñanza retórica profesional. Autor de la máxima "El hombre es la medida de todas las cosas".</v>
      </c>
      <c r="I212" t="str">
        <f>_xlfn.XLOOKUP(frasest[[#This Row],[autor_es]],autorest[autor_es],autorest[bio_la])</f>
        <v>Philosophus sophista Graecus Abderita, rhetoricae artis professionalis praecursor. Auctor sententiae "Homo mensura omnium rerum est".</v>
      </c>
      <c r="J212" t="str">
        <f>_xlfn.XLOOKUP(frasest[[#This Row],[autor_es]],autorest[autor_es],autorest[codigo])</f>
        <v>el</v>
      </c>
      <c r="K212" t="str">
        <f>_xlfn.XLOOKUP(frasest[[#This Row],[autor_es]],autorest[autor_es],autorest[idioma_es])</f>
        <v>Griego</v>
      </c>
      <c r="L212" t="str">
        <f>_xlfn.XLOOKUP(frasest[[#This Row],[autor_es]],autorest[autor_es],autorest[idioma_la])</f>
        <v>Lingua Graeca</v>
      </c>
      <c r="M212" t="str">
        <f>_xlfn.XLOOKUP(frasest[[#This Row],[autor_es]],autorest[autor_es],autorest[nacion_es])</f>
        <v>Grecia</v>
      </c>
      <c r="N212" t="str">
        <f>_xlfn.XLOOKUP(frasest[[#This Row],[autor_es]],autorest[autor_es],autorest[nacion_la])</f>
        <v>Graecia</v>
      </c>
      <c r="O212" t="str">
        <f>_xlfn.XLOOKUP(frasest[[#This Row],[autor_es]],autorest[autor_es],autorest[epoca_es])</f>
        <v>Edad Antigua</v>
      </c>
      <c r="P212" t="str">
        <f>_xlfn.XLOOKUP(frasest[[#This Row],[autor_es]],autorest[autor_es],autorest[epoca_la])</f>
        <v>Antiquitas</v>
      </c>
      <c r="Q212" t="str">
        <f>_xlfn.XLOOKUP(frasest[[#This Row],[autor_es]],autorest[autor_es],autorest[imagen])</f>
        <v>https://i.ibb.co/Q3vRf8m3/protagoras.png</v>
      </c>
      <c r="R212">
        <f>_xlfn.XLOOKUP(frasest[[#This Row],[autor_es]],autorest[autor_es],autorest[imagen_atr])</f>
        <v>0</v>
      </c>
    </row>
    <row r="213" spans="1:18">
      <c r="A213">
        <v>212</v>
      </c>
      <c r="B213" t="s">
        <v>798</v>
      </c>
      <c r="C213" t="s">
        <v>799</v>
      </c>
      <c r="D213" t="s">
        <v>800</v>
      </c>
      <c r="E213" t="s">
        <v>780</v>
      </c>
      <c r="F213" t="s">
        <v>801</v>
      </c>
      <c r="G213" t="str">
        <f>_xlfn.XLOOKUP(frasest[[#This Row],[autor_es]],autorest[autor_es],autorest[autor_la])</f>
        <v>Protagoras</v>
      </c>
      <c r="H213" t="str">
        <f>_xlfn.XLOOKUP(frasest[[#This Row],[autor_es]],autorest[autor_es],autorest[bio_es])</f>
        <v>Filósofo sofista griego de Abdera, precursor de la enseñanza retórica profesional. Autor de la máxima "El hombre es la medida de todas las cosas".</v>
      </c>
      <c r="I213" t="str">
        <f>_xlfn.XLOOKUP(frasest[[#This Row],[autor_es]],autorest[autor_es],autorest[bio_la])</f>
        <v>Philosophus sophista Graecus Abderita, rhetoricae artis professionalis praecursor. Auctor sententiae "Homo mensura omnium rerum est".</v>
      </c>
      <c r="J213" t="str">
        <f>_xlfn.XLOOKUP(frasest[[#This Row],[autor_es]],autorest[autor_es],autorest[codigo])</f>
        <v>el</v>
      </c>
      <c r="K213" t="str">
        <f>_xlfn.XLOOKUP(frasest[[#This Row],[autor_es]],autorest[autor_es],autorest[idioma_es])</f>
        <v>Griego</v>
      </c>
      <c r="L213" t="str">
        <f>_xlfn.XLOOKUP(frasest[[#This Row],[autor_es]],autorest[autor_es],autorest[idioma_la])</f>
        <v>Lingua Graeca</v>
      </c>
      <c r="M213" t="str">
        <f>_xlfn.XLOOKUP(frasest[[#This Row],[autor_es]],autorest[autor_es],autorest[nacion_es])</f>
        <v>Grecia</v>
      </c>
      <c r="N213" t="str">
        <f>_xlfn.XLOOKUP(frasest[[#This Row],[autor_es]],autorest[autor_es],autorest[nacion_la])</f>
        <v>Graecia</v>
      </c>
      <c r="O213" t="str">
        <f>_xlfn.XLOOKUP(frasest[[#This Row],[autor_es]],autorest[autor_es],autorest[epoca_es])</f>
        <v>Edad Antigua</v>
      </c>
      <c r="P213" t="str">
        <f>_xlfn.XLOOKUP(frasest[[#This Row],[autor_es]],autorest[autor_es],autorest[epoca_la])</f>
        <v>Antiquitas</v>
      </c>
      <c r="Q213" t="str">
        <f>_xlfn.XLOOKUP(frasest[[#This Row],[autor_es]],autorest[autor_es],autorest[imagen])</f>
        <v>https://i.ibb.co/Q3vRf8m3/protagoras.png</v>
      </c>
      <c r="R213">
        <f>_xlfn.XLOOKUP(frasest[[#This Row],[autor_es]],autorest[autor_es],autorest[imagen_atr])</f>
        <v>0</v>
      </c>
    </row>
    <row r="214" spans="1:18">
      <c r="A214">
        <v>213</v>
      </c>
      <c r="B214" t="s">
        <v>802</v>
      </c>
      <c r="C214" t="s">
        <v>803</v>
      </c>
      <c r="D214" t="s">
        <v>804</v>
      </c>
      <c r="E214" t="s">
        <v>780</v>
      </c>
      <c r="F214" t="s">
        <v>805</v>
      </c>
      <c r="G214" t="str">
        <f>_xlfn.XLOOKUP(frasest[[#This Row],[autor_es]],autorest[autor_es],autorest[autor_la])</f>
        <v>Protagoras</v>
      </c>
      <c r="H214" t="str">
        <f>_xlfn.XLOOKUP(frasest[[#This Row],[autor_es]],autorest[autor_es],autorest[bio_es])</f>
        <v>Filósofo sofista griego de Abdera, precursor de la enseñanza retórica profesional. Autor de la máxima "El hombre es la medida de todas las cosas".</v>
      </c>
      <c r="I214" t="str">
        <f>_xlfn.XLOOKUP(frasest[[#This Row],[autor_es]],autorest[autor_es],autorest[bio_la])</f>
        <v>Philosophus sophista Graecus Abderita, rhetoricae artis professionalis praecursor. Auctor sententiae "Homo mensura omnium rerum est".</v>
      </c>
      <c r="J214" t="str">
        <f>_xlfn.XLOOKUP(frasest[[#This Row],[autor_es]],autorest[autor_es],autorest[codigo])</f>
        <v>el</v>
      </c>
      <c r="K214" t="str">
        <f>_xlfn.XLOOKUP(frasest[[#This Row],[autor_es]],autorest[autor_es],autorest[idioma_es])</f>
        <v>Griego</v>
      </c>
      <c r="L214" t="str">
        <f>_xlfn.XLOOKUP(frasest[[#This Row],[autor_es]],autorest[autor_es],autorest[idioma_la])</f>
        <v>Lingua Graeca</v>
      </c>
      <c r="M214" t="str">
        <f>_xlfn.XLOOKUP(frasest[[#This Row],[autor_es]],autorest[autor_es],autorest[nacion_es])</f>
        <v>Grecia</v>
      </c>
      <c r="N214" t="str">
        <f>_xlfn.XLOOKUP(frasest[[#This Row],[autor_es]],autorest[autor_es],autorest[nacion_la])</f>
        <v>Graecia</v>
      </c>
      <c r="O214" t="str">
        <f>_xlfn.XLOOKUP(frasest[[#This Row],[autor_es]],autorest[autor_es],autorest[epoca_es])</f>
        <v>Edad Antigua</v>
      </c>
      <c r="P214" t="str">
        <f>_xlfn.XLOOKUP(frasest[[#This Row],[autor_es]],autorest[autor_es],autorest[epoca_la])</f>
        <v>Antiquitas</v>
      </c>
      <c r="Q214" t="str">
        <f>_xlfn.XLOOKUP(frasest[[#This Row],[autor_es]],autorest[autor_es],autorest[imagen])</f>
        <v>https://i.ibb.co/Q3vRf8m3/protagoras.png</v>
      </c>
      <c r="R214">
        <f>_xlfn.XLOOKUP(frasest[[#This Row],[autor_es]],autorest[autor_es],autorest[imagen_atr])</f>
        <v>0</v>
      </c>
    </row>
    <row r="215" spans="1:18">
      <c r="A215">
        <v>214</v>
      </c>
      <c r="B215" t="s">
        <v>806</v>
      </c>
      <c r="C215" t="s">
        <v>807</v>
      </c>
      <c r="D215" t="s">
        <v>808</v>
      </c>
      <c r="E215" t="s">
        <v>780</v>
      </c>
      <c r="F215" t="s">
        <v>809</v>
      </c>
      <c r="G215" t="str">
        <f>_xlfn.XLOOKUP(frasest[[#This Row],[autor_es]],autorest[autor_es],autorest[autor_la])</f>
        <v>Protagoras</v>
      </c>
      <c r="H215" t="str">
        <f>_xlfn.XLOOKUP(frasest[[#This Row],[autor_es]],autorest[autor_es],autorest[bio_es])</f>
        <v>Filósofo sofista griego de Abdera, precursor de la enseñanza retórica profesional. Autor de la máxima "El hombre es la medida de todas las cosas".</v>
      </c>
      <c r="I215" t="str">
        <f>_xlfn.XLOOKUP(frasest[[#This Row],[autor_es]],autorest[autor_es],autorest[bio_la])</f>
        <v>Philosophus sophista Graecus Abderita, rhetoricae artis professionalis praecursor. Auctor sententiae "Homo mensura omnium rerum est".</v>
      </c>
      <c r="J215" t="str">
        <f>_xlfn.XLOOKUP(frasest[[#This Row],[autor_es]],autorest[autor_es],autorest[codigo])</f>
        <v>el</v>
      </c>
      <c r="K215" t="str">
        <f>_xlfn.XLOOKUP(frasest[[#This Row],[autor_es]],autorest[autor_es],autorest[idioma_es])</f>
        <v>Griego</v>
      </c>
      <c r="L215" t="str">
        <f>_xlfn.XLOOKUP(frasest[[#This Row],[autor_es]],autorest[autor_es],autorest[idioma_la])</f>
        <v>Lingua Graeca</v>
      </c>
      <c r="M215" t="str">
        <f>_xlfn.XLOOKUP(frasest[[#This Row],[autor_es]],autorest[autor_es],autorest[nacion_es])</f>
        <v>Grecia</v>
      </c>
      <c r="N215" t="str">
        <f>_xlfn.XLOOKUP(frasest[[#This Row],[autor_es]],autorest[autor_es],autorest[nacion_la])</f>
        <v>Graecia</v>
      </c>
      <c r="O215" t="str">
        <f>_xlfn.XLOOKUP(frasest[[#This Row],[autor_es]],autorest[autor_es],autorest[epoca_es])</f>
        <v>Edad Antigua</v>
      </c>
      <c r="P215" t="str">
        <f>_xlfn.XLOOKUP(frasest[[#This Row],[autor_es]],autorest[autor_es],autorest[epoca_la])</f>
        <v>Antiquitas</v>
      </c>
      <c r="Q215" t="str">
        <f>_xlfn.XLOOKUP(frasest[[#This Row],[autor_es]],autorest[autor_es],autorest[imagen])</f>
        <v>https://i.ibb.co/Q3vRf8m3/protagoras.png</v>
      </c>
      <c r="R215">
        <f>_xlfn.XLOOKUP(frasest[[#This Row],[autor_es]],autorest[autor_es],autorest[imagen_atr])</f>
        <v>0</v>
      </c>
    </row>
    <row r="216" spans="1:18">
      <c r="A216">
        <v>215</v>
      </c>
      <c r="B216" t="s">
        <v>810</v>
      </c>
      <c r="C216" t="s">
        <v>811</v>
      </c>
      <c r="D216" t="s">
        <v>812</v>
      </c>
      <c r="E216" t="s">
        <v>780</v>
      </c>
      <c r="F216" t="s">
        <v>813</v>
      </c>
      <c r="G216" t="str">
        <f>_xlfn.XLOOKUP(frasest[[#This Row],[autor_es]],autorest[autor_es],autorest[autor_la])</f>
        <v>Protagoras</v>
      </c>
      <c r="H216" t="str">
        <f>_xlfn.XLOOKUP(frasest[[#This Row],[autor_es]],autorest[autor_es],autorest[bio_es])</f>
        <v>Filósofo sofista griego de Abdera, precursor de la enseñanza retórica profesional. Autor de la máxima "El hombre es la medida de todas las cosas".</v>
      </c>
      <c r="I216" t="str">
        <f>_xlfn.XLOOKUP(frasest[[#This Row],[autor_es]],autorest[autor_es],autorest[bio_la])</f>
        <v>Philosophus sophista Graecus Abderita, rhetoricae artis professionalis praecursor. Auctor sententiae "Homo mensura omnium rerum est".</v>
      </c>
      <c r="J216" t="str">
        <f>_xlfn.XLOOKUP(frasest[[#This Row],[autor_es]],autorest[autor_es],autorest[codigo])</f>
        <v>el</v>
      </c>
      <c r="K216" t="str">
        <f>_xlfn.XLOOKUP(frasest[[#This Row],[autor_es]],autorest[autor_es],autorest[idioma_es])</f>
        <v>Griego</v>
      </c>
      <c r="L216" t="str">
        <f>_xlfn.XLOOKUP(frasest[[#This Row],[autor_es]],autorest[autor_es],autorest[idioma_la])</f>
        <v>Lingua Graeca</v>
      </c>
      <c r="M216" t="str">
        <f>_xlfn.XLOOKUP(frasest[[#This Row],[autor_es]],autorest[autor_es],autorest[nacion_es])</f>
        <v>Grecia</v>
      </c>
      <c r="N216" t="str">
        <f>_xlfn.XLOOKUP(frasest[[#This Row],[autor_es]],autorest[autor_es],autorest[nacion_la])</f>
        <v>Graecia</v>
      </c>
      <c r="O216" t="str">
        <f>_xlfn.XLOOKUP(frasest[[#This Row],[autor_es]],autorest[autor_es],autorest[epoca_es])</f>
        <v>Edad Antigua</v>
      </c>
      <c r="P216" t="str">
        <f>_xlfn.XLOOKUP(frasest[[#This Row],[autor_es]],autorest[autor_es],autorest[epoca_la])</f>
        <v>Antiquitas</v>
      </c>
      <c r="Q216" t="str">
        <f>_xlfn.XLOOKUP(frasest[[#This Row],[autor_es]],autorest[autor_es],autorest[imagen])</f>
        <v>https://i.ibb.co/Q3vRf8m3/protagoras.png</v>
      </c>
      <c r="R216">
        <f>_xlfn.XLOOKUP(frasest[[#This Row],[autor_es]],autorest[autor_es],autorest[imagen_atr])</f>
        <v>0</v>
      </c>
    </row>
    <row r="217" spans="1:18">
      <c r="A217">
        <v>216</v>
      </c>
      <c r="B217" t="s">
        <v>814</v>
      </c>
      <c r="C217" t="s">
        <v>815</v>
      </c>
      <c r="D217" t="s">
        <v>816</v>
      </c>
      <c r="E217" t="s">
        <v>780</v>
      </c>
      <c r="F217" t="s">
        <v>817</v>
      </c>
      <c r="G217" t="str">
        <f>_xlfn.XLOOKUP(frasest[[#This Row],[autor_es]],autorest[autor_es],autorest[autor_la])</f>
        <v>Protagoras</v>
      </c>
      <c r="H217" t="str">
        <f>_xlfn.XLOOKUP(frasest[[#This Row],[autor_es]],autorest[autor_es],autorest[bio_es])</f>
        <v>Filósofo sofista griego de Abdera, precursor de la enseñanza retórica profesional. Autor de la máxima "El hombre es la medida de todas las cosas".</v>
      </c>
      <c r="I217" t="str">
        <f>_xlfn.XLOOKUP(frasest[[#This Row],[autor_es]],autorest[autor_es],autorest[bio_la])</f>
        <v>Philosophus sophista Graecus Abderita, rhetoricae artis professionalis praecursor. Auctor sententiae "Homo mensura omnium rerum est".</v>
      </c>
      <c r="J217" t="str">
        <f>_xlfn.XLOOKUP(frasest[[#This Row],[autor_es]],autorest[autor_es],autorest[codigo])</f>
        <v>el</v>
      </c>
      <c r="K217" t="str">
        <f>_xlfn.XLOOKUP(frasest[[#This Row],[autor_es]],autorest[autor_es],autorest[idioma_es])</f>
        <v>Griego</v>
      </c>
      <c r="L217" t="str">
        <f>_xlfn.XLOOKUP(frasest[[#This Row],[autor_es]],autorest[autor_es],autorest[idioma_la])</f>
        <v>Lingua Graeca</v>
      </c>
      <c r="M217" t="str">
        <f>_xlfn.XLOOKUP(frasest[[#This Row],[autor_es]],autorest[autor_es],autorest[nacion_es])</f>
        <v>Grecia</v>
      </c>
      <c r="N217" t="str">
        <f>_xlfn.XLOOKUP(frasest[[#This Row],[autor_es]],autorest[autor_es],autorest[nacion_la])</f>
        <v>Graecia</v>
      </c>
      <c r="O217" t="str">
        <f>_xlfn.XLOOKUP(frasest[[#This Row],[autor_es]],autorest[autor_es],autorest[epoca_es])</f>
        <v>Edad Antigua</v>
      </c>
      <c r="P217" t="str">
        <f>_xlfn.XLOOKUP(frasest[[#This Row],[autor_es]],autorest[autor_es],autorest[epoca_la])</f>
        <v>Antiquitas</v>
      </c>
      <c r="Q217" t="str">
        <f>_xlfn.XLOOKUP(frasest[[#This Row],[autor_es]],autorest[autor_es],autorest[imagen])</f>
        <v>https://i.ibb.co/Q3vRf8m3/protagoras.png</v>
      </c>
      <c r="R217">
        <f>_xlfn.XLOOKUP(frasest[[#This Row],[autor_es]],autorest[autor_es],autorest[imagen_atr])</f>
        <v>0</v>
      </c>
    </row>
    <row r="218" spans="1:18">
      <c r="A218">
        <v>217</v>
      </c>
      <c r="B218" t="s">
        <v>818</v>
      </c>
      <c r="C218" t="s">
        <v>819</v>
      </c>
      <c r="D218" t="s">
        <v>820</v>
      </c>
      <c r="E218" t="s">
        <v>821</v>
      </c>
      <c r="F218" t="s">
        <v>822</v>
      </c>
      <c r="G218" t="str">
        <f>_xlfn.XLOOKUP(frasest[[#This Row],[autor_es]],autorest[autor_es],autorest[autor_la])</f>
        <v>Clemens Romanus</v>
      </c>
      <c r="H218" t="str">
        <f>_xlfn.XLOOKUP(frasest[[#This Row],[autor_es]],autorest[autor_es],autorest[bio_es])</f>
        <v>Cuarto papa de la Iglesia, Padre Apostólico y mártir. Autor de la carta a los Corintios, documento papal más antiguo después de las epístolas de San Pedro.</v>
      </c>
      <c r="I218" t="str">
        <f>_xlfn.XLOOKUP(frasest[[#This Row],[autor_es]],autorest[autor_es],autorest[bio_la])</f>
        <v>Quartus Papa Ecclesiae, Pater Apostolicus et martyr. Auctor epistulae ad Corinthios, documentum pontificale antiquissimum post epistulas Sancti Petri.</v>
      </c>
      <c r="J218" t="str">
        <f>_xlfn.XLOOKUP(frasest[[#This Row],[autor_es]],autorest[autor_es],autorest[codigo])</f>
        <v>la</v>
      </c>
      <c r="K218" t="str">
        <f>_xlfn.XLOOKUP(frasest[[#This Row],[autor_es]],autorest[autor_es],autorest[idioma_es])</f>
        <v>Latín</v>
      </c>
      <c r="L218" t="str">
        <f>_xlfn.XLOOKUP(frasest[[#This Row],[autor_es]],autorest[autor_es],autorest[idioma_la])</f>
        <v>Lingua Latina</v>
      </c>
      <c r="M218" t="str">
        <f>_xlfn.XLOOKUP(frasest[[#This Row],[autor_es]],autorest[autor_es],autorest[nacion_es])</f>
        <v>Roma</v>
      </c>
      <c r="N218" t="str">
        <f>_xlfn.XLOOKUP(frasest[[#This Row],[autor_es]],autorest[autor_es],autorest[nacion_la])</f>
        <v>Roma</v>
      </c>
      <c r="O218" t="str">
        <f>_xlfn.XLOOKUP(frasest[[#This Row],[autor_es]],autorest[autor_es],autorest[epoca_es])</f>
        <v>Edad Antigua</v>
      </c>
      <c r="P218" t="str">
        <f>_xlfn.XLOOKUP(frasest[[#This Row],[autor_es]],autorest[autor_es],autorest[epoca_la])</f>
        <v>Antiquitas</v>
      </c>
      <c r="Q218" t="str">
        <f>_xlfn.XLOOKUP(frasest[[#This Row],[autor_es]],autorest[autor_es],autorest[imagen])</f>
        <v>https://i.ibb.co/TDXTVzjk/sanclemente.png</v>
      </c>
      <c r="R218">
        <f>_xlfn.XLOOKUP(frasest[[#This Row],[autor_es]],autorest[autor_es],autorest[imagen_atr])</f>
        <v>0</v>
      </c>
    </row>
    <row r="219" spans="1:18">
      <c r="A219">
        <v>218</v>
      </c>
      <c r="B219" t="s">
        <v>823</v>
      </c>
      <c r="C219" t="s">
        <v>824</v>
      </c>
      <c r="D219" t="s">
        <v>824</v>
      </c>
      <c r="E219" t="s">
        <v>821</v>
      </c>
      <c r="F219" t="s">
        <v>825</v>
      </c>
      <c r="G219" t="str">
        <f>_xlfn.XLOOKUP(frasest[[#This Row],[autor_es]],autorest[autor_es],autorest[autor_la])</f>
        <v>Clemens Romanus</v>
      </c>
      <c r="H219" t="str">
        <f>_xlfn.XLOOKUP(frasest[[#This Row],[autor_es]],autorest[autor_es],autorest[bio_es])</f>
        <v>Cuarto papa de la Iglesia, Padre Apostólico y mártir. Autor de la carta a los Corintios, documento papal más antiguo después de las epístolas de San Pedro.</v>
      </c>
      <c r="I219" t="str">
        <f>_xlfn.XLOOKUP(frasest[[#This Row],[autor_es]],autorest[autor_es],autorest[bio_la])</f>
        <v>Quartus Papa Ecclesiae, Pater Apostolicus et martyr. Auctor epistulae ad Corinthios, documentum pontificale antiquissimum post epistulas Sancti Petri.</v>
      </c>
      <c r="J219" t="str">
        <f>_xlfn.XLOOKUP(frasest[[#This Row],[autor_es]],autorest[autor_es],autorest[codigo])</f>
        <v>la</v>
      </c>
      <c r="K219" t="str">
        <f>_xlfn.XLOOKUP(frasest[[#This Row],[autor_es]],autorest[autor_es],autorest[idioma_es])</f>
        <v>Latín</v>
      </c>
      <c r="L219" t="str">
        <f>_xlfn.XLOOKUP(frasest[[#This Row],[autor_es]],autorest[autor_es],autorest[idioma_la])</f>
        <v>Lingua Latina</v>
      </c>
      <c r="M219" t="str">
        <f>_xlfn.XLOOKUP(frasest[[#This Row],[autor_es]],autorest[autor_es],autorest[nacion_es])</f>
        <v>Roma</v>
      </c>
      <c r="N219" t="str">
        <f>_xlfn.XLOOKUP(frasest[[#This Row],[autor_es]],autorest[autor_es],autorest[nacion_la])</f>
        <v>Roma</v>
      </c>
      <c r="O219" t="str">
        <f>_xlfn.XLOOKUP(frasest[[#This Row],[autor_es]],autorest[autor_es],autorest[epoca_es])</f>
        <v>Edad Antigua</v>
      </c>
      <c r="P219" t="str">
        <f>_xlfn.XLOOKUP(frasest[[#This Row],[autor_es]],autorest[autor_es],autorest[epoca_la])</f>
        <v>Antiquitas</v>
      </c>
      <c r="Q219" t="str">
        <f>_xlfn.XLOOKUP(frasest[[#This Row],[autor_es]],autorest[autor_es],autorest[imagen])</f>
        <v>https://i.ibb.co/TDXTVzjk/sanclemente.png</v>
      </c>
      <c r="R219">
        <f>_xlfn.XLOOKUP(frasest[[#This Row],[autor_es]],autorest[autor_es],autorest[imagen_atr])</f>
        <v>0</v>
      </c>
    </row>
    <row r="220" spans="1:18">
      <c r="A220">
        <v>219</v>
      </c>
      <c r="B220" t="s">
        <v>826</v>
      </c>
      <c r="C220" t="s">
        <v>827</v>
      </c>
      <c r="D220" t="s">
        <v>827</v>
      </c>
      <c r="E220" t="s">
        <v>821</v>
      </c>
      <c r="F220" t="s">
        <v>828</v>
      </c>
      <c r="G220" t="str">
        <f>_xlfn.XLOOKUP(frasest[[#This Row],[autor_es]],autorest[autor_es],autorest[autor_la])</f>
        <v>Clemens Romanus</v>
      </c>
      <c r="H220" t="str">
        <f>_xlfn.XLOOKUP(frasest[[#This Row],[autor_es]],autorest[autor_es],autorest[bio_es])</f>
        <v>Cuarto papa de la Iglesia, Padre Apostólico y mártir. Autor de la carta a los Corintios, documento papal más antiguo después de las epístolas de San Pedro.</v>
      </c>
      <c r="I220" t="str">
        <f>_xlfn.XLOOKUP(frasest[[#This Row],[autor_es]],autorest[autor_es],autorest[bio_la])</f>
        <v>Quartus Papa Ecclesiae, Pater Apostolicus et martyr. Auctor epistulae ad Corinthios, documentum pontificale antiquissimum post epistulas Sancti Petri.</v>
      </c>
      <c r="J220" t="str">
        <f>_xlfn.XLOOKUP(frasest[[#This Row],[autor_es]],autorest[autor_es],autorest[codigo])</f>
        <v>la</v>
      </c>
      <c r="K220" t="str">
        <f>_xlfn.XLOOKUP(frasest[[#This Row],[autor_es]],autorest[autor_es],autorest[idioma_es])</f>
        <v>Latín</v>
      </c>
      <c r="L220" t="str">
        <f>_xlfn.XLOOKUP(frasest[[#This Row],[autor_es]],autorest[autor_es],autorest[idioma_la])</f>
        <v>Lingua Latina</v>
      </c>
      <c r="M220" t="str">
        <f>_xlfn.XLOOKUP(frasest[[#This Row],[autor_es]],autorest[autor_es],autorest[nacion_es])</f>
        <v>Roma</v>
      </c>
      <c r="N220" t="str">
        <f>_xlfn.XLOOKUP(frasest[[#This Row],[autor_es]],autorest[autor_es],autorest[nacion_la])</f>
        <v>Roma</v>
      </c>
      <c r="O220" t="str">
        <f>_xlfn.XLOOKUP(frasest[[#This Row],[autor_es]],autorest[autor_es],autorest[epoca_es])</f>
        <v>Edad Antigua</v>
      </c>
      <c r="P220" t="str">
        <f>_xlfn.XLOOKUP(frasest[[#This Row],[autor_es]],autorest[autor_es],autorest[epoca_la])</f>
        <v>Antiquitas</v>
      </c>
      <c r="Q220" t="str">
        <f>_xlfn.XLOOKUP(frasest[[#This Row],[autor_es]],autorest[autor_es],autorest[imagen])</f>
        <v>https://i.ibb.co/TDXTVzjk/sanclemente.png</v>
      </c>
      <c r="R220">
        <f>_xlfn.XLOOKUP(frasest[[#This Row],[autor_es]],autorest[autor_es],autorest[imagen_atr])</f>
        <v>0</v>
      </c>
    </row>
    <row r="221" spans="1:18">
      <c r="A221">
        <v>220</v>
      </c>
      <c r="B221" t="s">
        <v>829</v>
      </c>
      <c r="C221" t="s">
        <v>830</v>
      </c>
      <c r="D221" t="s">
        <v>830</v>
      </c>
      <c r="E221" t="s">
        <v>821</v>
      </c>
      <c r="F221" t="s">
        <v>831</v>
      </c>
      <c r="G221" t="str">
        <f>_xlfn.XLOOKUP(frasest[[#This Row],[autor_es]],autorest[autor_es],autorest[autor_la])</f>
        <v>Clemens Romanus</v>
      </c>
      <c r="H221" t="str">
        <f>_xlfn.XLOOKUP(frasest[[#This Row],[autor_es]],autorest[autor_es],autorest[bio_es])</f>
        <v>Cuarto papa de la Iglesia, Padre Apostólico y mártir. Autor de la carta a los Corintios, documento papal más antiguo después de las epístolas de San Pedro.</v>
      </c>
      <c r="I221" t="str">
        <f>_xlfn.XLOOKUP(frasest[[#This Row],[autor_es]],autorest[autor_es],autorest[bio_la])</f>
        <v>Quartus Papa Ecclesiae, Pater Apostolicus et martyr. Auctor epistulae ad Corinthios, documentum pontificale antiquissimum post epistulas Sancti Petri.</v>
      </c>
      <c r="J221" t="str">
        <f>_xlfn.XLOOKUP(frasest[[#This Row],[autor_es]],autorest[autor_es],autorest[codigo])</f>
        <v>la</v>
      </c>
      <c r="K221" t="str">
        <f>_xlfn.XLOOKUP(frasest[[#This Row],[autor_es]],autorest[autor_es],autorest[idioma_es])</f>
        <v>Latín</v>
      </c>
      <c r="L221" t="str">
        <f>_xlfn.XLOOKUP(frasest[[#This Row],[autor_es]],autorest[autor_es],autorest[idioma_la])</f>
        <v>Lingua Latina</v>
      </c>
      <c r="M221" t="str">
        <f>_xlfn.XLOOKUP(frasest[[#This Row],[autor_es]],autorest[autor_es],autorest[nacion_es])</f>
        <v>Roma</v>
      </c>
      <c r="N221" t="str">
        <f>_xlfn.XLOOKUP(frasest[[#This Row],[autor_es]],autorest[autor_es],autorest[nacion_la])</f>
        <v>Roma</v>
      </c>
      <c r="O221" t="str">
        <f>_xlfn.XLOOKUP(frasest[[#This Row],[autor_es]],autorest[autor_es],autorest[epoca_es])</f>
        <v>Edad Antigua</v>
      </c>
      <c r="P221" t="str">
        <f>_xlfn.XLOOKUP(frasest[[#This Row],[autor_es]],autorest[autor_es],autorest[epoca_la])</f>
        <v>Antiquitas</v>
      </c>
      <c r="Q221" t="str">
        <f>_xlfn.XLOOKUP(frasest[[#This Row],[autor_es]],autorest[autor_es],autorest[imagen])</f>
        <v>https://i.ibb.co/TDXTVzjk/sanclemente.png</v>
      </c>
      <c r="R221">
        <f>_xlfn.XLOOKUP(frasest[[#This Row],[autor_es]],autorest[autor_es],autorest[imagen_atr])</f>
        <v>0</v>
      </c>
    </row>
    <row r="222" spans="1:18">
      <c r="A222">
        <v>221</v>
      </c>
      <c r="B222" t="s">
        <v>832</v>
      </c>
      <c r="C222" t="s">
        <v>833</v>
      </c>
      <c r="D222" t="s">
        <v>833</v>
      </c>
      <c r="E222" t="s">
        <v>821</v>
      </c>
      <c r="F222" t="s">
        <v>834</v>
      </c>
      <c r="G222" t="str">
        <f>_xlfn.XLOOKUP(frasest[[#This Row],[autor_es]],autorest[autor_es],autorest[autor_la])</f>
        <v>Clemens Romanus</v>
      </c>
      <c r="H222" t="str">
        <f>_xlfn.XLOOKUP(frasest[[#This Row],[autor_es]],autorest[autor_es],autorest[bio_es])</f>
        <v>Cuarto papa de la Iglesia, Padre Apostólico y mártir. Autor de la carta a los Corintios, documento papal más antiguo después de las epístolas de San Pedro.</v>
      </c>
      <c r="I222" t="str">
        <f>_xlfn.XLOOKUP(frasest[[#This Row],[autor_es]],autorest[autor_es],autorest[bio_la])</f>
        <v>Quartus Papa Ecclesiae, Pater Apostolicus et martyr. Auctor epistulae ad Corinthios, documentum pontificale antiquissimum post epistulas Sancti Petri.</v>
      </c>
      <c r="J222" t="str">
        <f>_xlfn.XLOOKUP(frasest[[#This Row],[autor_es]],autorest[autor_es],autorest[codigo])</f>
        <v>la</v>
      </c>
      <c r="K222" t="str">
        <f>_xlfn.XLOOKUP(frasest[[#This Row],[autor_es]],autorest[autor_es],autorest[idioma_es])</f>
        <v>Latín</v>
      </c>
      <c r="L222" t="str">
        <f>_xlfn.XLOOKUP(frasest[[#This Row],[autor_es]],autorest[autor_es],autorest[idioma_la])</f>
        <v>Lingua Latina</v>
      </c>
      <c r="M222" t="str">
        <f>_xlfn.XLOOKUP(frasest[[#This Row],[autor_es]],autorest[autor_es],autorest[nacion_es])</f>
        <v>Roma</v>
      </c>
      <c r="N222" t="str">
        <f>_xlfn.XLOOKUP(frasest[[#This Row],[autor_es]],autorest[autor_es],autorest[nacion_la])</f>
        <v>Roma</v>
      </c>
      <c r="O222" t="str">
        <f>_xlfn.XLOOKUP(frasest[[#This Row],[autor_es]],autorest[autor_es],autorest[epoca_es])</f>
        <v>Edad Antigua</v>
      </c>
      <c r="P222" t="str">
        <f>_xlfn.XLOOKUP(frasest[[#This Row],[autor_es]],autorest[autor_es],autorest[epoca_la])</f>
        <v>Antiquitas</v>
      </c>
      <c r="Q222" t="str">
        <f>_xlfn.XLOOKUP(frasest[[#This Row],[autor_es]],autorest[autor_es],autorest[imagen])</f>
        <v>https://i.ibb.co/TDXTVzjk/sanclemente.png</v>
      </c>
      <c r="R222">
        <f>_xlfn.XLOOKUP(frasest[[#This Row],[autor_es]],autorest[autor_es],autorest[imagen_atr])</f>
        <v>0</v>
      </c>
    </row>
    <row r="223" spans="1:18">
      <c r="A223">
        <v>222</v>
      </c>
      <c r="B223" t="s">
        <v>835</v>
      </c>
      <c r="C223" t="s">
        <v>836</v>
      </c>
      <c r="D223" t="s">
        <v>836</v>
      </c>
      <c r="E223" t="s">
        <v>821</v>
      </c>
      <c r="F223" t="s">
        <v>825</v>
      </c>
      <c r="G223" t="str">
        <f>_xlfn.XLOOKUP(frasest[[#This Row],[autor_es]],autorest[autor_es],autorest[autor_la])</f>
        <v>Clemens Romanus</v>
      </c>
      <c r="H223" t="str">
        <f>_xlfn.XLOOKUP(frasest[[#This Row],[autor_es]],autorest[autor_es],autorest[bio_es])</f>
        <v>Cuarto papa de la Iglesia, Padre Apostólico y mártir. Autor de la carta a los Corintios, documento papal más antiguo después de las epístolas de San Pedro.</v>
      </c>
      <c r="I223" t="str">
        <f>_xlfn.XLOOKUP(frasest[[#This Row],[autor_es]],autorest[autor_es],autorest[bio_la])</f>
        <v>Quartus Papa Ecclesiae, Pater Apostolicus et martyr. Auctor epistulae ad Corinthios, documentum pontificale antiquissimum post epistulas Sancti Petri.</v>
      </c>
      <c r="J223" t="str">
        <f>_xlfn.XLOOKUP(frasest[[#This Row],[autor_es]],autorest[autor_es],autorest[codigo])</f>
        <v>la</v>
      </c>
      <c r="K223" t="str">
        <f>_xlfn.XLOOKUP(frasest[[#This Row],[autor_es]],autorest[autor_es],autorest[idioma_es])</f>
        <v>Latín</v>
      </c>
      <c r="L223" t="str">
        <f>_xlfn.XLOOKUP(frasest[[#This Row],[autor_es]],autorest[autor_es],autorest[idioma_la])</f>
        <v>Lingua Latina</v>
      </c>
      <c r="M223" t="str">
        <f>_xlfn.XLOOKUP(frasest[[#This Row],[autor_es]],autorest[autor_es],autorest[nacion_es])</f>
        <v>Roma</v>
      </c>
      <c r="N223" t="str">
        <f>_xlfn.XLOOKUP(frasest[[#This Row],[autor_es]],autorest[autor_es],autorest[nacion_la])</f>
        <v>Roma</v>
      </c>
      <c r="O223" t="str">
        <f>_xlfn.XLOOKUP(frasest[[#This Row],[autor_es]],autorest[autor_es],autorest[epoca_es])</f>
        <v>Edad Antigua</v>
      </c>
      <c r="P223" t="str">
        <f>_xlfn.XLOOKUP(frasest[[#This Row],[autor_es]],autorest[autor_es],autorest[epoca_la])</f>
        <v>Antiquitas</v>
      </c>
      <c r="Q223" t="str">
        <f>_xlfn.XLOOKUP(frasest[[#This Row],[autor_es]],autorest[autor_es],autorest[imagen])</f>
        <v>https://i.ibb.co/TDXTVzjk/sanclemente.png</v>
      </c>
      <c r="R223">
        <f>_xlfn.XLOOKUP(frasest[[#This Row],[autor_es]],autorest[autor_es],autorest[imagen_atr])</f>
        <v>0</v>
      </c>
    </row>
    <row r="224" spans="1:18">
      <c r="A224">
        <v>223</v>
      </c>
      <c r="B224" t="s">
        <v>837</v>
      </c>
      <c r="C224" t="s">
        <v>838</v>
      </c>
      <c r="D224" t="s">
        <v>838</v>
      </c>
      <c r="E224" t="s">
        <v>821</v>
      </c>
      <c r="F224" t="s">
        <v>839</v>
      </c>
      <c r="G224" t="str">
        <f>_xlfn.XLOOKUP(frasest[[#This Row],[autor_es]],autorest[autor_es],autorest[autor_la])</f>
        <v>Clemens Romanus</v>
      </c>
      <c r="H224" t="str">
        <f>_xlfn.XLOOKUP(frasest[[#This Row],[autor_es]],autorest[autor_es],autorest[bio_es])</f>
        <v>Cuarto papa de la Iglesia, Padre Apostólico y mártir. Autor de la carta a los Corintios, documento papal más antiguo después de las epístolas de San Pedro.</v>
      </c>
      <c r="I224" t="str">
        <f>_xlfn.XLOOKUP(frasest[[#This Row],[autor_es]],autorest[autor_es],autorest[bio_la])</f>
        <v>Quartus Papa Ecclesiae, Pater Apostolicus et martyr. Auctor epistulae ad Corinthios, documentum pontificale antiquissimum post epistulas Sancti Petri.</v>
      </c>
      <c r="J224" t="str">
        <f>_xlfn.XLOOKUP(frasest[[#This Row],[autor_es]],autorest[autor_es],autorest[codigo])</f>
        <v>la</v>
      </c>
      <c r="K224" t="str">
        <f>_xlfn.XLOOKUP(frasest[[#This Row],[autor_es]],autorest[autor_es],autorest[idioma_es])</f>
        <v>Latín</v>
      </c>
      <c r="L224" t="str">
        <f>_xlfn.XLOOKUP(frasest[[#This Row],[autor_es]],autorest[autor_es],autorest[idioma_la])</f>
        <v>Lingua Latina</v>
      </c>
      <c r="M224" t="str">
        <f>_xlfn.XLOOKUP(frasest[[#This Row],[autor_es]],autorest[autor_es],autorest[nacion_es])</f>
        <v>Roma</v>
      </c>
      <c r="N224" t="str">
        <f>_xlfn.XLOOKUP(frasest[[#This Row],[autor_es]],autorest[autor_es],autorest[nacion_la])</f>
        <v>Roma</v>
      </c>
      <c r="O224" t="str">
        <f>_xlfn.XLOOKUP(frasest[[#This Row],[autor_es]],autorest[autor_es],autorest[epoca_es])</f>
        <v>Edad Antigua</v>
      </c>
      <c r="P224" t="str">
        <f>_xlfn.XLOOKUP(frasest[[#This Row],[autor_es]],autorest[autor_es],autorest[epoca_la])</f>
        <v>Antiquitas</v>
      </c>
      <c r="Q224" t="str">
        <f>_xlfn.XLOOKUP(frasest[[#This Row],[autor_es]],autorest[autor_es],autorest[imagen])</f>
        <v>https://i.ibb.co/TDXTVzjk/sanclemente.png</v>
      </c>
      <c r="R224">
        <f>_xlfn.XLOOKUP(frasest[[#This Row],[autor_es]],autorest[autor_es],autorest[imagen_atr])</f>
        <v>0</v>
      </c>
    </row>
    <row r="225" spans="1:18">
      <c r="A225">
        <v>224</v>
      </c>
      <c r="B225" t="s">
        <v>840</v>
      </c>
      <c r="C225" t="s">
        <v>841</v>
      </c>
      <c r="D225" t="s">
        <v>841</v>
      </c>
      <c r="E225" t="s">
        <v>821</v>
      </c>
      <c r="F225" t="s">
        <v>828</v>
      </c>
      <c r="G225" t="str">
        <f>_xlfn.XLOOKUP(frasest[[#This Row],[autor_es]],autorest[autor_es],autorest[autor_la])</f>
        <v>Clemens Romanus</v>
      </c>
      <c r="H225" t="str">
        <f>_xlfn.XLOOKUP(frasest[[#This Row],[autor_es]],autorest[autor_es],autorest[bio_es])</f>
        <v>Cuarto papa de la Iglesia, Padre Apostólico y mártir. Autor de la carta a los Corintios, documento papal más antiguo después de las epístolas de San Pedro.</v>
      </c>
      <c r="I225" t="str">
        <f>_xlfn.XLOOKUP(frasest[[#This Row],[autor_es]],autorest[autor_es],autorest[bio_la])</f>
        <v>Quartus Papa Ecclesiae, Pater Apostolicus et martyr. Auctor epistulae ad Corinthios, documentum pontificale antiquissimum post epistulas Sancti Petri.</v>
      </c>
      <c r="J225" t="str">
        <f>_xlfn.XLOOKUP(frasest[[#This Row],[autor_es]],autorest[autor_es],autorest[codigo])</f>
        <v>la</v>
      </c>
      <c r="K225" t="str">
        <f>_xlfn.XLOOKUP(frasest[[#This Row],[autor_es]],autorest[autor_es],autorest[idioma_es])</f>
        <v>Latín</v>
      </c>
      <c r="L225" t="str">
        <f>_xlfn.XLOOKUP(frasest[[#This Row],[autor_es]],autorest[autor_es],autorest[idioma_la])</f>
        <v>Lingua Latina</v>
      </c>
      <c r="M225" t="str">
        <f>_xlfn.XLOOKUP(frasest[[#This Row],[autor_es]],autorest[autor_es],autorest[nacion_es])</f>
        <v>Roma</v>
      </c>
      <c r="N225" t="str">
        <f>_xlfn.XLOOKUP(frasest[[#This Row],[autor_es]],autorest[autor_es],autorest[nacion_la])</f>
        <v>Roma</v>
      </c>
      <c r="O225" t="str">
        <f>_xlfn.XLOOKUP(frasest[[#This Row],[autor_es]],autorest[autor_es],autorest[epoca_es])</f>
        <v>Edad Antigua</v>
      </c>
      <c r="P225" t="str">
        <f>_xlfn.XLOOKUP(frasest[[#This Row],[autor_es]],autorest[autor_es],autorest[epoca_la])</f>
        <v>Antiquitas</v>
      </c>
      <c r="Q225" t="str">
        <f>_xlfn.XLOOKUP(frasest[[#This Row],[autor_es]],autorest[autor_es],autorest[imagen])</f>
        <v>https://i.ibb.co/TDXTVzjk/sanclemente.png</v>
      </c>
      <c r="R225">
        <f>_xlfn.XLOOKUP(frasest[[#This Row],[autor_es]],autorest[autor_es],autorest[imagen_atr])</f>
        <v>0</v>
      </c>
    </row>
    <row r="226" spans="1:18">
      <c r="A226">
        <v>225</v>
      </c>
      <c r="B226" t="s">
        <v>842</v>
      </c>
      <c r="C226" t="s">
        <v>843</v>
      </c>
      <c r="D226" t="s">
        <v>843</v>
      </c>
      <c r="E226" t="s">
        <v>821</v>
      </c>
      <c r="F226" t="s">
        <v>844</v>
      </c>
      <c r="G226" t="str">
        <f>_xlfn.XLOOKUP(frasest[[#This Row],[autor_es]],autorest[autor_es],autorest[autor_la])</f>
        <v>Clemens Romanus</v>
      </c>
      <c r="H226" t="str">
        <f>_xlfn.XLOOKUP(frasest[[#This Row],[autor_es]],autorest[autor_es],autorest[bio_es])</f>
        <v>Cuarto papa de la Iglesia, Padre Apostólico y mártir. Autor de la carta a los Corintios, documento papal más antiguo después de las epístolas de San Pedro.</v>
      </c>
      <c r="I226" t="str">
        <f>_xlfn.XLOOKUP(frasest[[#This Row],[autor_es]],autorest[autor_es],autorest[bio_la])</f>
        <v>Quartus Papa Ecclesiae, Pater Apostolicus et martyr. Auctor epistulae ad Corinthios, documentum pontificale antiquissimum post epistulas Sancti Petri.</v>
      </c>
      <c r="J226" t="str">
        <f>_xlfn.XLOOKUP(frasest[[#This Row],[autor_es]],autorest[autor_es],autorest[codigo])</f>
        <v>la</v>
      </c>
      <c r="K226" t="str">
        <f>_xlfn.XLOOKUP(frasest[[#This Row],[autor_es]],autorest[autor_es],autorest[idioma_es])</f>
        <v>Latín</v>
      </c>
      <c r="L226" t="str">
        <f>_xlfn.XLOOKUP(frasest[[#This Row],[autor_es]],autorest[autor_es],autorest[idioma_la])</f>
        <v>Lingua Latina</v>
      </c>
      <c r="M226" t="str">
        <f>_xlfn.XLOOKUP(frasest[[#This Row],[autor_es]],autorest[autor_es],autorest[nacion_es])</f>
        <v>Roma</v>
      </c>
      <c r="N226" t="str">
        <f>_xlfn.XLOOKUP(frasest[[#This Row],[autor_es]],autorest[autor_es],autorest[nacion_la])</f>
        <v>Roma</v>
      </c>
      <c r="O226" t="str">
        <f>_xlfn.XLOOKUP(frasest[[#This Row],[autor_es]],autorest[autor_es],autorest[epoca_es])</f>
        <v>Edad Antigua</v>
      </c>
      <c r="P226" t="str">
        <f>_xlfn.XLOOKUP(frasest[[#This Row],[autor_es]],autorest[autor_es],autorest[epoca_la])</f>
        <v>Antiquitas</v>
      </c>
      <c r="Q226" t="str">
        <f>_xlfn.XLOOKUP(frasest[[#This Row],[autor_es]],autorest[autor_es],autorest[imagen])</f>
        <v>https://i.ibb.co/TDXTVzjk/sanclemente.png</v>
      </c>
      <c r="R226">
        <f>_xlfn.XLOOKUP(frasest[[#This Row],[autor_es]],autorest[autor_es],autorest[imagen_atr])</f>
        <v>0</v>
      </c>
    </row>
    <row r="227" spans="1:18">
      <c r="A227">
        <v>226</v>
      </c>
      <c r="B227" t="s">
        <v>845</v>
      </c>
      <c r="C227" t="s">
        <v>846</v>
      </c>
      <c r="D227" t="s">
        <v>846</v>
      </c>
      <c r="E227" t="s">
        <v>821</v>
      </c>
      <c r="F227" t="s">
        <v>847</v>
      </c>
      <c r="G227" t="str">
        <f>_xlfn.XLOOKUP(frasest[[#This Row],[autor_es]],autorest[autor_es],autorest[autor_la])</f>
        <v>Clemens Romanus</v>
      </c>
      <c r="H227" t="str">
        <f>_xlfn.XLOOKUP(frasest[[#This Row],[autor_es]],autorest[autor_es],autorest[bio_es])</f>
        <v>Cuarto papa de la Iglesia, Padre Apostólico y mártir. Autor de la carta a los Corintios, documento papal más antiguo después de las epístolas de San Pedro.</v>
      </c>
      <c r="I227" t="str">
        <f>_xlfn.XLOOKUP(frasest[[#This Row],[autor_es]],autorest[autor_es],autorest[bio_la])</f>
        <v>Quartus Papa Ecclesiae, Pater Apostolicus et martyr. Auctor epistulae ad Corinthios, documentum pontificale antiquissimum post epistulas Sancti Petri.</v>
      </c>
      <c r="J227" t="str">
        <f>_xlfn.XLOOKUP(frasest[[#This Row],[autor_es]],autorest[autor_es],autorest[codigo])</f>
        <v>la</v>
      </c>
      <c r="K227" t="str">
        <f>_xlfn.XLOOKUP(frasest[[#This Row],[autor_es]],autorest[autor_es],autorest[idioma_es])</f>
        <v>Latín</v>
      </c>
      <c r="L227" t="str">
        <f>_xlfn.XLOOKUP(frasest[[#This Row],[autor_es]],autorest[autor_es],autorest[idioma_la])</f>
        <v>Lingua Latina</v>
      </c>
      <c r="M227" t="str">
        <f>_xlfn.XLOOKUP(frasest[[#This Row],[autor_es]],autorest[autor_es],autorest[nacion_es])</f>
        <v>Roma</v>
      </c>
      <c r="N227" t="str">
        <f>_xlfn.XLOOKUP(frasest[[#This Row],[autor_es]],autorest[autor_es],autorest[nacion_la])</f>
        <v>Roma</v>
      </c>
      <c r="O227" t="str">
        <f>_xlfn.XLOOKUP(frasest[[#This Row],[autor_es]],autorest[autor_es],autorest[epoca_es])</f>
        <v>Edad Antigua</v>
      </c>
      <c r="P227" t="str">
        <f>_xlfn.XLOOKUP(frasest[[#This Row],[autor_es]],autorest[autor_es],autorest[epoca_la])</f>
        <v>Antiquitas</v>
      </c>
      <c r="Q227" t="str">
        <f>_xlfn.XLOOKUP(frasest[[#This Row],[autor_es]],autorest[autor_es],autorest[imagen])</f>
        <v>https://i.ibb.co/TDXTVzjk/sanclemente.png</v>
      </c>
      <c r="R227">
        <f>_xlfn.XLOOKUP(frasest[[#This Row],[autor_es]],autorest[autor_es],autorest[imagen_atr])</f>
        <v>0</v>
      </c>
    </row>
    <row r="228" spans="1:18">
      <c r="A228">
        <v>227</v>
      </c>
      <c r="B228" t="s">
        <v>848</v>
      </c>
      <c r="C228" t="s">
        <v>849</v>
      </c>
      <c r="D228" t="s">
        <v>849</v>
      </c>
      <c r="E228" t="s">
        <v>850</v>
      </c>
      <c r="F228" t="s">
        <v>851</v>
      </c>
      <c r="G228" t="str">
        <f>_xlfn.XLOOKUP(frasest[[#This Row],[autor_es]],autorest[autor_es],autorest[autor_la])</f>
        <v>Ignatius Antiochenus</v>
      </c>
      <c r="H228" t="str">
        <f>_xlfn.XLOOKUP(frasest[[#This Row],[autor_es]],autorest[autor_es],autorest[bio_es])</f>
        <v>Obispo de Antioquía, mártir y Padre Apostólico. Discípulo de San Juan Evangelista, martirizado en Roma. Autor de siete cartas escritas camino al martirio.</v>
      </c>
      <c r="I228" t="str">
        <f>_xlfn.XLOOKUP(frasest[[#This Row],[autor_es]],autorest[autor_es],autorest[bio_la])</f>
        <v>Episcopus Antiochenus, martyr et Pater Apostolicus. Discipulus Sancti Ioannis Evangelistae, Romae martyrizatus. Auctor septem epistularum in via ad martyrium scriptarum.</v>
      </c>
      <c r="J228" t="str">
        <f>_xlfn.XLOOKUP(frasest[[#This Row],[autor_es]],autorest[autor_es],autorest[codigo])</f>
        <v>la</v>
      </c>
      <c r="K228" t="str">
        <f>_xlfn.XLOOKUP(frasest[[#This Row],[autor_es]],autorest[autor_es],autorest[idioma_es])</f>
        <v>Latín</v>
      </c>
      <c r="L228" t="str">
        <f>_xlfn.XLOOKUP(frasest[[#This Row],[autor_es]],autorest[autor_es],autorest[idioma_la])</f>
        <v>Lingua Latina</v>
      </c>
      <c r="M228" t="str">
        <f>_xlfn.XLOOKUP(frasest[[#This Row],[autor_es]],autorest[autor_es],autorest[nacion_es])</f>
        <v>Roma</v>
      </c>
      <c r="N228" t="str">
        <f>_xlfn.XLOOKUP(frasest[[#This Row],[autor_es]],autorest[autor_es],autorest[nacion_la])</f>
        <v>Roma</v>
      </c>
      <c r="O228" t="str">
        <f>_xlfn.XLOOKUP(frasest[[#This Row],[autor_es]],autorest[autor_es],autorest[epoca_es])</f>
        <v>Edad Antigua</v>
      </c>
      <c r="P228" t="str">
        <f>_xlfn.XLOOKUP(frasest[[#This Row],[autor_es]],autorest[autor_es],autorest[epoca_la])</f>
        <v>Antiquitas</v>
      </c>
      <c r="Q228" t="str">
        <f>_xlfn.XLOOKUP(frasest[[#This Row],[autor_es]],autorest[autor_es],autorest[imagen])</f>
        <v>https://i.ibb.co/yFrskTBq/ignacioantio.png</v>
      </c>
      <c r="R228">
        <f>_xlfn.XLOOKUP(frasest[[#This Row],[autor_es]],autorest[autor_es],autorest[imagen_atr])</f>
        <v>0</v>
      </c>
    </row>
    <row r="229" spans="1:18">
      <c r="A229">
        <v>228</v>
      </c>
      <c r="B229" t="s">
        <v>852</v>
      </c>
      <c r="C229" t="s">
        <v>853</v>
      </c>
      <c r="D229" t="s">
        <v>853</v>
      </c>
      <c r="E229" t="s">
        <v>850</v>
      </c>
      <c r="F229" t="s">
        <v>854</v>
      </c>
      <c r="G229" t="str">
        <f>_xlfn.XLOOKUP(frasest[[#This Row],[autor_es]],autorest[autor_es],autorest[autor_la])</f>
        <v>Ignatius Antiochenus</v>
      </c>
      <c r="H229" t="str">
        <f>_xlfn.XLOOKUP(frasest[[#This Row],[autor_es]],autorest[autor_es],autorest[bio_es])</f>
        <v>Obispo de Antioquía, mártir y Padre Apostólico. Discípulo de San Juan Evangelista, martirizado en Roma. Autor de siete cartas escritas camino al martirio.</v>
      </c>
      <c r="I229" t="str">
        <f>_xlfn.XLOOKUP(frasest[[#This Row],[autor_es]],autorest[autor_es],autorest[bio_la])</f>
        <v>Episcopus Antiochenus, martyr et Pater Apostolicus. Discipulus Sancti Ioannis Evangelistae, Romae martyrizatus. Auctor septem epistularum in via ad martyrium scriptarum.</v>
      </c>
      <c r="J229" t="str">
        <f>_xlfn.XLOOKUP(frasest[[#This Row],[autor_es]],autorest[autor_es],autorest[codigo])</f>
        <v>la</v>
      </c>
      <c r="K229" t="str">
        <f>_xlfn.XLOOKUP(frasest[[#This Row],[autor_es]],autorest[autor_es],autorest[idioma_es])</f>
        <v>Latín</v>
      </c>
      <c r="L229" t="str">
        <f>_xlfn.XLOOKUP(frasest[[#This Row],[autor_es]],autorest[autor_es],autorest[idioma_la])</f>
        <v>Lingua Latina</v>
      </c>
      <c r="M229" t="str">
        <f>_xlfn.XLOOKUP(frasest[[#This Row],[autor_es]],autorest[autor_es],autorest[nacion_es])</f>
        <v>Roma</v>
      </c>
      <c r="N229" t="str">
        <f>_xlfn.XLOOKUP(frasest[[#This Row],[autor_es]],autorest[autor_es],autorest[nacion_la])</f>
        <v>Roma</v>
      </c>
      <c r="O229" t="str">
        <f>_xlfn.XLOOKUP(frasest[[#This Row],[autor_es]],autorest[autor_es],autorest[epoca_es])</f>
        <v>Edad Antigua</v>
      </c>
      <c r="P229" t="str">
        <f>_xlfn.XLOOKUP(frasest[[#This Row],[autor_es]],autorest[autor_es],autorest[epoca_la])</f>
        <v>Antiquitas</v>
      </c>
      <c r="Q229" t="str">
        <f>_xlfn.XLOOKUP(frasest[[#This Row],[autor_es]],autorest[autor_es],autorest[imagen])</f>
        <v>https://i.ibb.co/yFrskTBq/ignacioantio.png</v>
      </c>
      <c r="R229">
        <f>_xlfn.XLOOKUP(frasest[[#This Row],[autor_es]],autorest[autor_es],autorest[imagen_atr])</f>
        <v>0</v>
      </c>
    </row>
    <row r="230" spans="1:18">
      <c r="A230">
        <v>229</v>
      </c>
      <c r="B230" t="s">
        <v>855</v>
      </c>
      <c r="C230" t="s">
        <v>856</v>
      </c>
      <c r="D230" t="s">
        <v>856</v>
      </c>
      <c r="E230" t="s">
        <v>850</v>
      </c>
      <c r="F230" t="s">
        <v>857</v>
      </c>
      <c r="G230" t="str">
        <f>_xlfn.XLOOKUP(frasest[[#This Row],[autor_es]],autorest[autor_es],autorest[autor_la])</f>
        <v>Ignatius Antiochenus</v>
      </c>
      <c r="H230" t="str">
        <f>_xlfn.XLOOKUP(frasest[[#This Row],[autor_es]],autorest[autor_es],autorest[bio_es])</f>
        <v>Obispo de Antioquía, mártir y Padre Apostólico. Discípulo de San Juan Evangelista, martirizado en Roma. Autor de siete cartas escritas camino al martirio.</v>
      </c>
      <c r="I230" t="str">
        <f>_xlfn.XLOOKUP(frasest[[#This Row],[autor_es]],autorest[autor_es],autorest[bio_la])</f>
        <v>Episcopus Antiochenus, martyr et Pater Apostolicus. Discipulus Sancti Ioannis Evangelistae, Romae martyrizatus. Auctor septem epistularum in via ad martyrium scriptarum.</v>
      </c>
      <c r="J230" t="str">
        <f>_xlfn.XLOOKUP(frasest[[#This Row],[autor_es]],autorest[autor_es],autorest[codigo])</f>
        <v>la</v>
      </c>
      <c r="K230" t="str">
        <f>_xlfn.XLOOKUP(frasest[[#This Row],[autor_es]],autorest[autor_es],autorest[idioma_es])</f>
        <v>Latín</v>
      </c>
      <c r="L230" t="str">
        <f>_xlfn.XLOOKUP(frasest[[#This Row],[autor_es]],autorest[autor_es],autorest[idioma_la])</f>
        <v>Lingua Latina</v>
      </c>
      <c r="M230" t="str">
        <f>_xlfn.XLOOKUP(frasest[[#This Row],[autor_es]],autorest[autor_es],autorest[nacion_es])</f>
        <v>Roma</v>
      </c>
      <c r="N230" t="str">
        <f>_xlfn.XLOOKUP(frasest[[#This Row],[autor_es]],autorest[autor_es],autorest[nacion_la])</f>
        <v>Roma</v>
      </c>
      <c r="O230" t="str">
        <f>_xlfn.XLOOKUP(frasest[[#This Row],[autor_es]],autorest[autor_es],autorest[epoca_es])</f>
        <v>Edad Antigua</v>
      </c>
      <c r="P230" t="str">
        <f>_xlfn.XLOOKUP(frasest[[#This Row],[autor_es]],autorest[autor_es],autorest[epoca_la])</f>
        <v>Antiquitas</v>
      </c>
      <c r="Q230" t="str">
        <f>_xlfn.XLOOKUP(frasest[[#This Row],[autor_es]],autorest[autor_es],autorest[imagen])</f>
        <v>https://i.ibb.co/yFrskTBq/ignacioantio.png</v>
      </c>
      <c r="R230">
        <f>_xlfn.XLOOKUP(frasest[[#This Row],[autor_es]],autorest[autor_es],autorest[imagen_atr])</f>
        <v>0</v>
      </c>
    </row>
    <row r="231" spans="1:18">
      <c r="A231">
        <v>230</v>
      </c>
      <c r="B231" t="s">
        <v>858</v>
      </c>
      <c r="C231" t="s">
        <v>859</v>
      </c>
      <c r="D231" t="s">
        <v>859</v>
      </c>
      <c r="E231" t="s">
        <v>850</v>
      </c>
      <c r="F231" t="s">
        <v>860</v>
      </c>
      <c r="G231" t="str">
        <f>_xlfn.XLOOKUP(frasest[[#This Row],[autor_es]],autorest[autor_es],autorest[autor_la])</f>
        <v>Ignatius Antiochenus</v>
      </c>
      <c r="H231" t="str">
        <f>_xlfn.XLOOKUP(frasest[[#This Row],[autor_es]],autorest[autor_es],autorest[bio_es])</f>
        <v>Obispo de Antioquía, mártir y Padre Apostólico. Discípulo de San Juan Evangelista, martirizado en Roma. Autor de siete cartas escritas camino al martirio.</v>
      </c>
      <c r="I231" t="str">
        <f>_xlfn.XLOOKUP(frasest[[#This Row],[autor_es]],autorest[autor_es],autorest[bio_la])</f>
        <v>Episcopus Antiochenus, martyr et Pater Apostolicus. Discipulus Sancti Ioannis Evangelistae, Romae martyrizatus. Auctor septem epistularum in via ad martyrium scriptarum.</v>
      </c>
      <c r="J231" t="str">
        <f>_xlfn.XLOOKUP(frasest[[#This Row],[autor_es]],autorest[autor_es],autorest[codigo])</f>
        <v>la</v>
      </c>
      <c r="K231" t="str">
        <f>_xlfn.XLOOKUP(frasest[[#This Row],[autor_es]],autorest[autor_es],autorest[idioma_es])</f>
        <v>Latín</v>
      </c>
      <c r="L231" t="str">
        <f>_xlfn.XLOOKUP(frasest[[#This Row],[autor_es]],autorest[autor_es],autorest[idioma_la])</f>
        <v>Lingua Latina</v>
      </c>
      <c r="M231" t="str">
        <f>_xlfn.XLOOKUP(frasest[[#This Row],[autor_es]],autorest[autor_es],autorest[nacion_es])</f>
        <v>Roma</v>
      </c>
      <c r="N231" t="str">
        <f>_xlfn.XLOOKUP(frasest[[#This Row],[autor_es]],autorest[autor_es],autorest[nacion_la])</f>
        <v>Roma</v>
      </c>
      <c r="O231" t="str">
        <f>_xlfn.XLOOKUP(frasest[[#This Row],[autor_es]],autorest[autor_es],autorest[epoca_es])</f>
        <v>Edad Antigua</v>
      </c>
      <c r="P231" t="str">
        <f>_xlfn.XLOOKUP(frasest[[#This Row],[autor_es]],autorest[autor_es],autorest[epoca_la])</f>
        <v>Antiquitas</v>
      </c>
      <c r="Q231" t="str">
        <f>_xlfn.XLOOKUP(frasest[[#This Row],[autor_es]],autorest[autor_es],autorest[imagen])</f>
        <v>https://i.ibb.co/yFrskTBq/ignacioantio.png</v>
      </c>
      <c r="R231">
        <f>_xlfn.XLOOKUP(frasest[[#This Row],[autor_es]],autorest[autor_es],autorest[imagen_atr])</f>
        <v>0</v>
      </c>
    </row>
    <row r="232" spans="1:18">
      <c r="A232">
        <v>231</v>
      </c>
      <c r="B232" t="s">
        <v>861</v>
      </c>
      <c r="C232" t="s">
        <v>862</v>
      </c>
      <c r="D232" t="s">
        <v>862</v>
      </c>
      <c r="E232" t="s">
        <v>850</v>
      </c>
      <c r="F232" t="s">
        <v>863</v>
      </c>
      <c r="G232" t="str">
        <f>_xlfn.XLOOKUP(frasest[[#This Row],[autor_es]],autorest[autor_es],autorest[autor_la])</f>
        <v>Ignatius Antiochenus</v>
      </c>
      <c r="H232" t="str">
        <f>_xlfn.XLOOKUP(frasest[[#This Row],[autor_es]],autorest[autor_es],autorest[bio_es])</f>
        <v>Obispo de Antioquía, mártir y Padre Apostólico. Discípulo de San Juan Evangelista, martirizado en Roma. Autor de siete cartas escritas camino al martirio.</v>
      </c>
      <c r="I232" t="str">
        <f>_xlfn.XLOOKUP(frasest[[#This Row],[autor_es]],autorest[autor_es],autorest[bio_la])</f>
        <v>Episcopus Antiochenus, martyr et Pater Apostolicus. Discipulus Sancti Ioannis Evangelistae, Romae martyrizatus. Auctor septem epistularum in via ad martyrium scriptarum.</v>
      </c>
      <c r="J232" t="str">
        <f>_xlfn.XLOOKUP(frasest[[#This Row],[autor_es]],autorest[autor_es],autorest[codigo])</f>
        <v>la</v>
      </c>
      <c r="K232" t="str">
        <f>_xlfn.XLOOKUP(frasest[[#This Row],[autor_es]],autorest[autor_es],autorest[idioma_es])</f>
        <v>Latín</v>
      </c>
      <c r="L232" t="str">
        <f>_xlfn.XLOOKUP(frasest[[#This Row],[autor_es]],autorest[autor_es],autorest[idioma_la])</f>
        <v>Lingua Latina</v>
      </c>
      <c r="M232" t="str">
        <f>_xlfn.XLOOKUP(frasest[[#This Row],[autor_es]],autorest[autor_es],autorest[nacion_es])</f>
        <v>Roma</v>
      </c>
      <c r="N232" t="str">
        <f>_xlfn.XLOOKUP(frasest[[#This Row],[autor_es]],autorest[autor_es],autorest[nacion_la])</f>
        <v>Roma</v>
      </c>
      <c r="O232" t="str">
        <f>_xlfn.XLOOKUP(frasest[[#This Row],[autor_es]],autorest[autor_es],autorest[epoca_es])</f>
        <v>Edad Antigua</v>
      </c>
      <c r="P232" t="str">
        <f>_xlfn.XLOOKUP(frasest[[#This Row],[autor_es]],autorest[autor_es],autorest[epoca_la])</f>
        <v>Antiquitas</v>
      </c>
      <c r="Q232" t="str">
        <f>_xlfn.XLOOKUP(frasest[[#This Row],[autor_es]],autorest[autor_es],autorest[imagen])</f>
        <v>https://i.ibb.co/yFrskTBq/ignacioantio.png</v>
      </c>
      <c r="R232">
        <f>_xlfn.XLOOKUP(frasest[[#This Row],[autor_es]],autorest[autor_es],autorest[imagen_atr])</f>
        <v>0</v>
      </c>
    </row>
    <row r="233" spans="1:18">
      <c r="A233">
        <v>232</v>
      </c>
      <c r="B233" t="s">
        <v>864</v>
      </c>
      <c r="C233" t="s">
        <v>865</v>
      </c>
      <c r="D233" t="s">
        <v>865</v>
      </c>
      <c r="E233" t="s">
        <v>850</v>
      </c>
      <c r="F233" t="s">
        <v>866</v>
      </c>
      <c r="G233" t="str">
        <f>_xlfn.XLOOKUP(frasest[[#This Row],[autor_es]],autorest[autor_es],autorest[autor_la])</f>
        <v>Ignatius Antiochenus</v>
      </c>
      <c r="H233" t="str">
        <f>_xlfn.XLOOKUP(frasest[[#This Row],[autor_es]],autorest[autor_es],autorest[bio_es])</f>
        <v>Obispo de Antioquía, mártir y Padre Apostólico. Discípulo de San Juan Evangelista, martirizado en Roma. Autor de siete cartas escritas camino al martirio.</v>
      </c>
      <c r="I233" t="str">
        <f>_xlfn.XLOOKUP(frasest[[#This Row],[autor_es]],autorest[autor_es],autorest[bio_la])</f>
        <v>Episcopus Antiochenus, martyr et Pater Apostolicus. Discipulus Sancti Ioannis Evangelistae, Romae martyrizatus. Auctor septem epistularum in via ad martyrium scriptarum.</v>
      </c>
      <c r="J233" t="str">
        <f>_xlfn.XLOOKUP(frasest[[#This Row],[autor_es]],autorest[autor_es],autorest[codigo])</f>
        <v>la</v>
      </c>
      <c r="K233" t="str">
        <f>_xlfn.XLOOKUP(frasest[[#This Row],[autor_es]],autorest[autor_es],autorest[idioma_es])</f>
        <v>Latín</v>
      </c>
      <c r="L233" t="str">
        <f>_xlfn.XLOOKUP(frasest[[#This Row],[autor_es]],autorest[autor_es],autorest[idioma_la])</f>
        <v>Lingua Latina</v>
      </c>
      <c r="M233" t="str">
        <f>_xlfn.XLOOKUP(frasest[[#This Row],[autor_es]],autorest[autor_es],autorest[nacion_es])</f>
        <v>Roma</v>
      </c>
      <c r="N233" t="str">
        <f>_xlfn.XLOOKUP(frasest[[#This Row],[autor_es]],autorest[autor_es],autorest[nacion_la])</f>
        <v>Roma</v>
      </c>
      <c r="O233" t="str">
        <f>_xlfn.XLOOKUP(frasest[[#This Row],[autor_es]],autorest[autor_es],autorest[epoca_es])</f>
        <v>Edad Antigua</v>
      </c>
      <c r="P233" t="str">
        <f>_xlfn.XLOOKUP(frasest[[#This Row],[autor_es]],autorest[autor_es],autorest[epoca_la])</f>
        <v>Antiquitas</v>
      </c>
      <c r="Q233" t="str">
        <f>_xlfn.XLOOKUP(frasest[[#This Row],[autor_es]],autorest[autor_es],autorest[imagen])</f>
        <v>https://i.ibb.co/yFrskTBq/ignacioantio.png</v>
      </c>
      <c r="R233">
        <f>_xlfn.XLOOKUP(frasest[[#This Row],[autor_es]],autorest[autor_es],autorest[imagen_atr])</f>
        <v>0</v>
      </c>
    </row>
    <row r="234" spans="1:18">
      <c r="A234">
        <v>233</v>
      </c>
      <c r="B234" t="s">
        <v>867</v>
      </c>
      <c r="C234" t="s">
        <v>868</v>
      </c>
      <c r="D234" t="s">
        <v>868</v>
      </c>
      <c r="E234" t="s">
        <v>850</v>
      </c>
      <c r="F234" t="s">
        <v>869</v>
      </c>
      <c r="G234" t="str">
        <f>_xlfn.XLOOKUP(frasest[[#This Row],[autor_es]],autorest[autor_es],autorest[autor_la])</f>
        <v>Ignatius Antiochenus</v>
      </c>
      <c r="H234" t="str">
        <f>_xlfn.XLOOKUP(frasest[[#This Row],[autor_es]],autorest[autor_es],autorest[bio_es])</f>
        <v>Obispo de Antioquía, mártir y Padre Apostólico. Discípulo de San Juan Evangelista, martirizado en Roma. Autor de siete cartas escritas camino al martirio.</v>
      </c>
      <c r="I234" t="str">
        <f>_xlfn.XLOOKUP(frasest[[#This Row],[autor_es]],autorest[autor_es],autorest[bio_la])</f>
        <v>Episcopus Antiochenus, martyr et Pater Apostolicus. Discipulus Sancti Ioannis Evangelistae, Romae martyrizatus. Auctor septem epistularum in via ad martyrium scriptarum.</v>
      </c>
      <c r="J234" t="str">
        <f>_xlfn.XLOOKUP(frasest[[#This Row],[autor_es]],autorest[autor_es],autorest[codigo])</f>
        <v>la</v>
      </c>
      <c r="K234" t="str">
        <f>_xlfn.XLOOKUP(frasest[[#This Row],[autor_es]],autorest[autor_es],autorest[idioma_es])</f>
        <v>Latín</v>
      </c>
      <c r="L234" t="str">
        <f>_xlfn.XLOOKUP(frasest[[#This Row],[autor_es]],autorest[autor_es],autorest[idioma_la])</f>
        <v>Lingua Latina</v>
      </c>
      <c r="M234" t="str">
        <f>_xlfn.XLOOKUP(frasest[[#This Row],[autor_es]],autorest[autor_es],autorest[nacion_es])</f>
        <v>Roma</v>
      </c>
      <c r="N234" t="str">
        <f>_xlfn.XLOOKUP(frasest[[#This Row],[autor_es]],autorest[autor_es],autorest[nacion_la])</f>
        <v>Roma</v>
      </c>
      <c r="O234" t="str">
        <f>_xlfn.XLOOKUP(frasest[[#This Row],[autor_es]],autorest[autor_es],autorest[epoca_es])</f>
        <v>Edad Antigua</v>
      </c>
      <c r="P234" t="str">
        <f>_xlfn.XLOOKUP(frasest[[#This Row],[autor_es]],autorest[autor_es],autorest[epoca_la])</f>
        <v>Antiquitas</v>
      </c>
      <c r="Q234" t="str">
        <f>_xlfn.XLOOKUP(frasest[[#This Row],[autor_es]],autorest[autor_es],autorest[imagen])</f>
        <v>https://i.ibb.co/yFrskTBq/ignacioantio.png</v>
      </c>
      <c r="R234">
        <f>_xlfn.XLOOKUP(frasest[[#This Row],[autor_es]],autorest[autor_es],autorest[imagen_atr])</f>
        <v>0</v>
      </c>
    </row>
    <row r="235" spans="1:18">
      <c r="A235">
        <v>234</v>
      </c>
      <c r="B235" t="s">
        <v>870</v>
      </c>
      <c r="C235" t="s">
        <v>871</v>
      </c>
      <c r="D235" t="s">
        <v>871</v>
      </c>
      <c r="E235" t="s">
        <v>850</v>
      </c>
      <c r="F235" t="s">
        <v>863</v>
      </c>
      <c r="G235" t="str">
        <f>_xlfn.XLOOKUP(frasest[[#This Row],[autor_es]],autorest[autor_es],autorest[autor_la])</f>
        <v>Ignatius Antiochenus</v>
      </c>
      <c r="H235" t="str">
        <f>_xlfn.XLOOKUP(frasest[[#This Row],[autor_es]],autorest[autor_es],autorest[bio_es])</f>
        <v>Obispo de Antioquía, mártir y Padre Apostólico. Discípulo de San Juan Evangelista, martirizado en Roma. Autor de siete cartas escritas camino al martirio.</v>
      </c>
      <c r="I235" t="str">
        <f>_xlfn.XLOOKUP(frasest[[#This Row],[autor_es]],autorest[autor_es],autorest[bio_la])</f>
        <v>Episcopus Antiochenus, martyr et Pater Apostolicus. Discipulus Sancti Ioannis Evangelistae, Romae martyrizatus. Auctor septem epistularum in via ad martyrium scriptarum.</v>
      </c>
      <c r="J235" t="str">
        <f>_xlfn.XLOOKUP(frasest[[#This Row],[autor_es]],autorest[autor_es],autorest[codigo])</f>
        <v>la</v>
      </c>
      <c r="K235" t="str">
        <f>_xlfn.XLOOKUP(frasest[[#This Row],[autor_es]],autorest[autor_es],autorest[idioma_es])</f>
        <v>Latín</v>
      </c>
      <c r="L235" t="str">
        <f>_xlfn.XLOOKUP(frasest[[#This Row],[autor_es]],autorest[autor_es],autorest[idioma_la])</f>
        <v>Lingua Latina</v>
      </c>
      <c r="M235" t="str">
        <f>_xlfn.XLOOKUP(frasest[[#This Row],[autor_es]],autorest[autor_es],autorest[nacion_es])</f>
        <v>Roma</v>
      </c>
      <c r="N235" t="str">
        <f>_xlfn.XLOOKUP(frasest[[#This Row],[autor_es]],autorest[autor_es],autorest[nacion_la])</f>
        <v>Roma</v>
      </c>
      <c r="O235" t="str">
        <f>_xlfn.XLOOKUP(frasest[[#This Row],[autor_es]],autorest[autor_es],autorest[epoca_es])</f>
        <v>Edad Antigua</v>
      </c>
      <c r="P235" t="str">
        <f>_xlfn.XLOOKUP(frasest[[#This Row],[autor_es]],autorest[autor_es],autorest[epoca_la])</f>
        <v>Antiquitas</v>
      </c>
      <c r="Q235" t="str">
        <f>_xlfn.XLOOKUP(frasest[[#This Row],[autor_es]],autorest[autor_es],autorest[imagen])</f>
        <v>https://i.ibb.co/yFrskTBq/ignacioantio.png</v>
      </c>
      <c r="R235">
        <f>_xlfn.XLOOKUP(frasest[[#This Row],[autor_es]],autorest[autor_es],autorest[imagen_atr])</f>
        <v>0</v>
      </c>
    </row>
    <row r="236" spans="1:18">
      <c r="A236">
        <v>235</v>
      </c>
      <c r="B236" t="s">
        <v>872</v>
      </c>
      <c r="C236" t="s">
        <v>873</v>
      </c>
      <c r="D236" t="s">
        <v>873</v>
      </c>
      <c r="E236" t="s">
        <v>850</v>
      </c>
      <c r="F236" t="s">
        <v>874</v>
      </c>
      <c r="G236" t="str">
        <f>_xlfn.XLOOKUP(frasest[[#This Row],[autor_es]],autorest[autor_es],autorest[autor_la])</f>
        <v>Ignatius Antiochenus</v>
      </c>
      <c r="H236" t="str">
        <f>_xlfn.XLOOKUP(frasest[[#This Row],[autor_es]],autorest[autor_es],autorest[bio_es])</f>
        <v>Obispo de Antioquía, mártir y Padre Apostólico. Discípulo de San Juan Evangelista, martirizado en Roma. Autor de siete cartas escritas camino al martirio.</v>
      </c>
      <c r="I236" t="str">
        <f>_xlfn.XLOOKUP(frasest[[#This Row],[autor_es]],autorest[autor_es],autorest[bio_la])</f>
        <v>Episcopus Antiochenus, martyr et Pater Apostolicus. Discipulus Sancti Ioannis Evangelistae, Romae martyrizatus. Auctor septem epistularum in via ad martyrium scriptarum.</v>
      </c>
      <c r="J236" t="str">
        <f>_xlfn.XLOOKUP(frasest[[#This Row],[autor_es]],autorest[autor_es],autorest[codigo])</f>
        <v>la</v>
      </c>
      <c r="K236" t="str">
        <f>_xlfn.XLOOKUP(frasest[[#This Row],[autor_es]],autorest[autor_es],autorest[idioma_es])</f>
        <v>Latín</v>
      </c>
      <c r="L236" t="str">
        <f>_xlfn.XLOOKUP(frasest[[#This Row],[autor_es]],autorest[autor_es],autorest[idioma_la])</f>
        <v>Lingua Latina</v>
      </c>
      <c r="M236" t="str">
        <f>_xlfn.XLOOKUP(frasest[[#This Row],[autor_es]],autorest[autor_es],autorest[nacion_es])</f>
        <v>Roma</v>
      </c>
      <c r="N236" t="str">
        <f>_xlfn.XLOOKUP(frasest[[#This Row],[autor_es]],autorest[autor_es],autorest[nacion_la])</f>
        <v>Roma</v>
      </c>
      <c r="O236" t="str">
        <f>_xlfn.XLOOKUP(frasest[[#This Row],[autor_es]],autorest[autor_es],autorest[epoca_es])</f>
        <v>Edad Antigua</v>
      </c>
      <c r="P236" t="str">
        <f>_xlfn.XLOOKUP(frasest[[#This Row],[autor_es]],autorest[autor_es],autorest[epoca_la])</f>
        <v>Antiquitas</v>
      </c>
      <c r="Q236" t="str">
        <f>_xlfn.XLOOKUP(frasest[[#This Row],[autor_es]],autorest[autor_es],autorest[imagen])</f>
        <v>https://i.ibb.co/yFrskTBq/ignacioantio.png</v>
      </c>
      <c r="R236">
        <f>_xlfn.XLOOKUP(frasest[[#This Row],[autor_es]],autorest[autor_es],autorest[imagen_atr])</f>
        <v>0</v>
      </c>
    </row>
    <row r="237" spans="1:18">
      <c r="A237">
        <v>236</v>
      </c>
      <c r="B237" t="s">
        <v>875</v>
      </c>
      <c r="C237" t="s">
        <v>876</v>
      </c>
      <c r="D237" t="s">
        <v>876</v>
      </c>
      <c r="E237" t="s">
        <v>850</v>
      </c>
      <c r="F237" t="s">
        <v>877</v>
      </c>
      <c r="G237" t="str">
        <f>_xlfn.XLOOKUP(frasest[[#This Row],[autor_es]],autorest[autor_es],autorest[autor_la])</f>
        <v>Ignatius Antiochenus</v>
      </c>
      <c r="H237" t="str">
        <f>_xlfn.XLOOKUP(frasest[[#This Row],[autor_es]],autorest[autor_es],autorest[bio_es])</f>
        <v>Obispo de Antioquía, mártir y Padre Apostólico. Discípulo de San Juan Evangelista, martirizado en Roma. Autor de siete cartas escritas camino al martirio.</v>
      </c>
      <c r="I237" t="str">
        <f>_xlfn.XLOOKUP(frasest[[#This Row],[autor_es]],autorest[autor_es],autorest[bio_la])</f>
        <v>Episcopus Antiochenus, martyr et Pater Apostolicus. Discipulus Sancti Ioannis Evangelistae, Romae martyrizatus. Auctor septem epistularum in via ad martyrium scriptarum.</v>
      </c>
      <c r="J237" t="str">
        <f>_xlfn.XLOOKUP(frasest[[#This Row],[autor_es]],autorest[autor_es],autorest[codigo])</f>
        <v>la</v>
      </c>
      <c r="K237" t="str">
        <f>_xlfn.XLOOKUP(frasest[[#This Row],[autor_es]],autorest[autor_es],autorest[idioma_es])</f>
        <v>Latín</v>
      </c>
      <c r="L237" t="str">
        <f>_xlfn.XLOOKUP(frasest[[#This Row],[autor_es]],autorest[autor_es],autorest[idioma_la])</f>
        <v>Lingua Latina</v>
      </c>
      <c r="M237" t="str">
        <f>_xlfn.XLOOKUP(frasest[[#This Row],[autor_es]],autorest[autor_es],autorest[nacion_es])</f>
        <v>Roma</v>
      </c>
      <c r="N237" t="str">
        <f>_xlfn.XLOOKUP(frasest[[#This Row],[autor_es]],autorest[autor_es],autorest[nacion_la])</f>
        <v>Roma</v>
      </c>
      <c r="O237" t="str">
        <f>_xlfn.XLOOKUP(frasest[[#This Row],[autor_es]],autorest[autor_es],autorest[epoca_es])</f>
        <v>Edad Antigua</v>
      </c>
      <c r="P237" t="str">
        <f>_xlfn.XLOOKUP(frasest[[#This Row],[autor_es]],autorest[autor_es],autorest[epoca_la])</f>
        <v>Antiquitas</v>
      </c>
      <c r="Q237" t="str">
        <f>_xlfn.XLOOKUP(frasest[[#This Row],[autor_es]],autorest[autor_es],autorest[imagen])</f>
        <v>https://i.ibb.co/yFrskTBq/ignacioantio.png</v>
      </c>
      <c r="R237">
        <f>_xlfn.XLOOKUP(frasest[[#This Row],[autor_es]],autorest[autor_es],autorest[imagen_atr])</f>
        <v>0</v>
      </c>
    </row>
    <row r="238" spans="1:18">
      <c r="A238">
        <v>237</v>
      </c>
      <c r="B238" t="s">
        <v>878</v>
      </c>
      <c r="C238" t="s">
        <v>879</v>
      </c>
      <c r="D238" t="s">
        <v>879</v>
      </c>
      <c r="E238" t="s">
        <v>880</v>
      </c>
      <c r="F238" t="s">
        <v>881</v>
      </c>
      <c r="G238" t="str">
        <f>_xlfn.XLOOKUP(frasest[[#This Row],[autor_es]],autorest[autor_es],autorest[autor_la])</f>
        <v>Polycarpus Smyrnaeus</v>
      </c>
      <c r="H238" t="str">
        <f>_xlfn.XLOOKUP(frasest[[#This Row],[autor_es]],autorest[autor_es],autorest[bio_es])</f>
        <v>Obispo de Esmirna, mártir y Padre Apostólico. Discípulo del apóstol Juan, martirizado a los 86 años. Una de las tres figuras principales de los Padres Apostólicos.</v>
      </c>
      <c r="I238" t="str">
        <f>_xlfn.XLOOKUP(frasest[[#This Row],[autor_es]],autorest[autor_es],autorest[bio_la])</f>
        <v>Episcopus Smyrnaeus, martyr et Pater Apostolicus. Discipulus apostoli Ioannis, octoginta sex annos natus martyrizatus. Una ex tribus figuris principalibus Patrum Apostolicorum.</v>
      </c>
      <c r="J238" t="str">
        <f>_xlfn.XLOOKUP(frasest[[#This Row],[autor_es]],autorest[autor_es],autorest[codigo])</f>
        <v>la</v>
      </c>
      <c r="K238" t="str">
        <f>_xlfn.XLOOKUP(frasest[[#This Row],[autor_es]],autorest[autor_es],autorest[idioma_es])</f>
        <v>Latín</v>
      </c>
      <c r="L238" t="str">
        <f>_xlfn.XLOOKUP(frasest[[#This Row],[autor_es]],autorest[autor_es],autorest[idioma_la])</f>
        <v>Lingua Latina</v>
      </c>
      <c r="M238" t="str">
        <f>_xlfn.XLOOKUP(frasest[[#This Row],[autor_es]],autorest[autor_es],autorest[nacion_es])</f>
        <v>Roma</v>
      </c>
      <c r="N238" t="str">
        <f>_xlfn.XLOOKUP(frasest[[#This Row],[autor_es]],autorest[autor_es],autorest[nacion_la])</f>
        <v>Roma</v>
      </c>
      <c r="O238" t="str">
        <f>_xlfn.XLOOKUP(frasest[[#This Row],[autor_es]],autorest[autor_es],autorest[epoca_es])</f>
        <v>Edad Antigua</v>
      </c>
      <c r="P238" t="str">
        <f>_xlfn.XLOOKUP(frasest[[#This Row],[autor_es]],autorest[autor_es],autorest[epoca_la])</f>
        <v>Antiquitas</v>
      </c>
      <c r="Q238" t="str">
        <f>_xlfn.XLOOKUP(frasest[[#This Row],[autor_es]],autorest[autor_es],autorest[imagen])</f>
        <v>https://i.ibb.co/GQTLb5X7/policarpo.png</v>
      </c>
      <c r="R238">
        <f>_xlfn.XLOOKUP(frasest[[#This Row],[autor_es]],autorest[autor_es],autorest[imagen_atr])</f>
        <v>0</v>
      </c>
    </row>
    <row r="239" spans="1:18">
      <c r="A239">
        <v>238</v>
      </c>
      <c r="B239" t="s">
        <v>882</v>
      </c>
      <c r="C239" t="s">
        <v>883</v>
      </c>
      <c r="D239" t="s">
        <v>883</v>
      </c>
      <c r="E239" t="s">
        <v>880</v>
      </c>
      <c r="F239" t="s">
        <v>884</v>
      </c>
      <c r="G239" t="str">
        <f>_xlfn.XLOOKUP(frasest[[#This Row],[autor_es]],autorest[autor_es],autorest[autor_la])</f>
        <v>Polycarpus Smyrnaeus</v>
      </c>
      <c r="H239" t="str">
        <f>_xlfn.XLOOKUP(frasest[[#This Row],[autor_es]],autorest[autor_es],autorest[bio_es])</f>
        <v>Obispo de Esmirna, mártir y Padre Apostólico. Discípulo del apóstol Juan, martirizado a los 86 años. Una de las tres figuras principales de los Padres Apostólicos.</v>
      </c>
      <c r="I239" t="str">
        <f>_xlfn.XLOOKUP(frasest[[#This Row],[autor_es]],autorest[autor_es],autorest[bio_la])</f>
        <v>Episcopus Smyrnaeus, martyr et Pater Apostolicus. Discipulus apostoli Ioannis, octoginta sex annos natus martyrizatus. Una ex tribus figuris principalibus Patrum Apostolicorum.</v>
      </c>
      <c r="J239" t="str">
        <f>_xlfn.XLOOKUP(frasest[[#This Row],[autor_es]],autorest[autor_es],autorest[codigo])</f>
        <v>la</v>
      </c>
      <c r="K239" t="str">
        <f>_xlfn.XLOOKUP(frasest[[#This Row],[autor_es]],autorest[autor_es],autorest[idioma_es])</f>
        <v>Latín</v>
      </c>
      <c r="L239" t="str">
        <f>_xlfn.XLOOKUP(frasest[[#This Row],[autor_es]],autorest[autor_es],autorest[idioma_la])</f>
        <v>Lingua Latina</v>
      </c>
      <c r="M239" t="str">
        <f>_xlfn.XLOOKUP(frasest[[#This Row],[autor_es]],autorest[autor_es],autorest[nacion_es])</f>
        <v>Roma</v>
      </c>
      <c r="N239" t="str">
        <f>_xlfn.XLOOKUP(frasest[[#This Row],[autor_es]],autorest[autor_es],autorest[nacion_la])</f>
        <v>Roma</v>
      </c>
      <c r="O239" t="str">
        <f>_xlfn.XLOOKUP(frasest[[#This Row],[autor_es]],autorest[autor_es],autorest[epoca_es])</f>
        <v>Edad Antigua</v>
      </c>
      <c r="P239" t="str">
        <f>_xlfn.XLOOKUP(frasest[[#This Row],[autor_es]],autorest[autor_es],autorest[epoca_la])</f>
        <v>Antiquitas</v>
      </c>
      <c r="Q239" t="str">
        <f>_xlfn.XLOOKUP(frasest[[#This Row],[autor_es]],autorest[autor_es],autorest[imagen])</f>
        <v>https://i.ibb.co/GQTLb5X7/policarpo.png</v>
      </c>
      <c r="R239">
        <f>_xlfn.XLOOKUP(frasest[[#This Row],[autor_es]],autorest[autor_es],autorest[imagen_atr])</f>
        <v>0</v>
      </c>
    </row>
    <row r="240" spans="1:18">
      <c r="A240">
        <v>239</v>
      </c>
      <c r="B240" t="s">
        <v>885</v>
      </c>
      <c r="C240" t="s">
        <v>886</v>
      </c>
      <c r="D240" t="s">
        <v>886</v>
      </c>
      <c r="E240" t="s">
        <v>880</v>
      </c>
      <c r="F240" t="s">
        <v>887</v>
      </c>
      <c r="G240" t="str">
        <f>_xlfn.XLOOKUP(frasest[[#This Row],[autor_es]],autorest[autor_es],autorest[autor_la])</f>
        <v>Polycarpus Smyrnaeus</v>
      </c>
      <c r="H240" t="str">
        <f>_xlfn.XLOOKUP(frasest[[#This Row],[autor_es]],autorest[autor_es],autorest[bio_es])</f>
        <v>Obispo de Esmirna, mártir y Padre Apostólico. Discípulo del apóstol Juan, martirizado a los 86 años. Una de las tres figuras principales de los Padres Apostólicos.</v>
      </c>
      <c r="I240" t="str">
        <f>_xlfn.XLOOKUP(frasest[[#This Row],[autor_es]],autorest[autor_es],autorest[bio_la])</f>
        <v>Episcopus Smyrnaeus, martyr et Pater Apostolicus. Discipulus apostoli Ioannis, octoginta sex annos natus martyrizatus. Una ex tribus figuris principalibus Patrum Apostolicorum.</v>
      </c>
      <c r="J240" t="str">
        <f>_xlfn.XLOOKUP(frasest[[#This Row],[autor_es]],autorest[autor_es],autorest[codigo])</f>
        <v>la</v>
      </c>
      <c r="K240" t="str">
        <f>_xlfn.XLOOKUP(frasest[[#This Row],[autor_es]],autorest[autor_es],autorest[idioma_es])</f>
        <v>Latín</v>
      </c>
      <c r="L240" t="str">
        <f>_xlfn.XLOOKUP(frasest[[#This Row],[autor_es]],autorest[autor_es],autorest[idioma_la])</f>
        <v>Lingua Latina</v>
      </c>
      <c r="M240" t="str">
        <f>_xlfn.XLOOKUP(frasest[[#This Row],[autor_es]],autorest[autor_es],autorest[nacion_es])</f>
        <v>Roma</v>
      </c>
      <c r="N240" t="str">
        <f>_xlfn.XLOOKUP(frasest[[#This Row],[autor_es]],autorest[autor_es],autorest[nacion_la])</f>
        <v>Roma</v>
      </c>
      <c r="O240" t="str">
        <f>_xlfn.XLOOKUP(frasest[[#This Row],[autor_es]],autorest[autor_es],autorest[epoca_es])</f>
        <v>Edad Antigua</v>
      </c>
      <c r="P240" t="str">
        <f>_xlfn.XLOOKUP(frasest[[#This Row],[autor_es]],autorest[autor_es],autorest[epoca_la])</f>
        <v>Antiquitas</v>
      </c>
      <c r="Q240" t="str">
        <f>_xlfn.XLOOKUP(frasest[[#This Row],[autor_es]],autorest[autor_es],autorest[imagen])</f>
        <v>https://i.ibb.co/GQTLb5X7/policarpo.png</v>
      </c>
      <c r="R240">
        <f>_xlfn.XLOOKUP(frasest[[#This Row],[autor_es]],autorest[autor_es],autorest[imagen_atr])</f>
        <v>0</v>
      </c>
    </row>
    <row r="241" spans="1:18">
      <c r="A241">
        <v>240</v>
      </c>
      <c r="B241" t="s">
        <v>888</v>
      </c>
      <c r="C241" t="s">
        <v>889</v>
      </c>
      <c r="D241" t="s">
        <v>889</v>
      </c>
      <c r="E241" t="s">
        <v>880</v>
      </c>
      <c r="F241" t="s">
        <v>890</v>
      </c>
      <c r="G241" t="str">
        <f>_xlfn.XLOOKUP(frasest[[#This Row],[autor_es]],autorest[autor_es],autorest[autor_la])</f>
        <v>Polycarpus Smyrnaeus</v>
      </c>
      <c r="H241" t="str">
        <f>_xlfn.XLOOKUP(frasest[[#This Row],[autor_es]],autorest[autor_es],autorest[bio_es])</f>
        <v>Obispo de Esmirna, mártir y Padre Apostólico. Discípulo del apóstol Juan, martirizado a los 86 años. Una de las tres figuras principales de los Padres Apostólicos.</v>
      </c>
      <c r="I241" t="str">
        <f>_xlfn.XLOOKUP(frasest[[#This Row],[autor_es]],autorest[autor_es],autorest[bio_la])</f>
        <v>Episcopus Smyrnaeus, martyr et Pater Apostolicus. Discipulus apostoli Ioannis, octoginta sex annos natus martyrizatus. Una ex tribus figuris principalibus Patrum Apostolicorum.</v>
      </c>
      <c r="J241" t="str">
        <f>_xlfn.XLOOKUP(frasest[[#This Row],[autor_es]],autorest[autor_es],autorest[codigo])</f>
        <v>la</v>
      </c>
      <c r="K241" t="str">
        <f>_xlfn.XLOOKUP(frasest[[#This Row],[autor_es]],autorest[autor_es],autorest[idioma_es])</f>
        <v>Latín</v>
      </c>
      <c r="L241" t="str">
        <f>_xlfn.XLOOKUP(frasest[[#This Row],[autor_es]],autorest[autor_es],autorest[idioma_la])</f>
        <v>Lingua Latina</v>
      </c>
      <c r="M241" t="str">
        <f>_xlfn.XLOOKUP(frasest[[#This Row],[autor_es]],autorest[autor_es],autorest[nacion_es])</f>
        <v>Roma</v>
      </c>
      <c r="N241" t="str">
        <f>_xlfn.XLOOKUP(frasest[[#This Row],[autor_es]],autorest[autor_es],autorest[nacion_la])</f>
        <v>Roma</v>
      </c>
      <c r="O241" t="str">
        <f>_xlfn.XLOOKUP(frasest[[#This Row],[autor_es]],autorest[autor_es],autorest[epoca_es])</f>
        <v>Edad Antigua</v>
      </c>
      <c r="P241" t="str">
        <f>_xlfn.XLOOKUP(frasest[[#This Row],[autor_es]],autorest[autor_es],autorest[epoca_la])</f>
        <v>Antiquitas</v>
      </c>
      <c r="Q241" t="str">
        <f>_xlfn.XLOOKUP(frasest[[#This Row],[autor_es]],autorest[autor_es],autorest[imagen])</f>
        <v>https://i.ibb.co/GQTLb5X7/policarpo.png</v>
      </c>
      <c r="R241">
        <f>_xlfn.XLOOKUP(frasest[[#This Row],[autor_es]],autorest[autor_es],autorest[imagen_atr])</f>
        <v>0</v>
      </c>
    </row>
    <row r="242" spans="1:18">
      <c r="A242">
        <v>241</v>
      </c>
      <c r="B242" t="s">
        <v>891</v>
      </c>
      <c r="C242" t="s">
        <v>892</v>
      </c>
      <c r="D242" t="s">
        <v>892</v>
      </c>
      <c r="E242" t="s">
        <v>880</v>
      </c>
      <c r="F242" t="s">
        <v>893</v>
      </c>
      <c r="G242" t="str">
        <f>_xlfn.XLOOKUP(frasest[[#This Row],[autor_es]],autorest[autor_es],autorest[autor_la])</f>
        <v>Polycarpus Smyrnaeus</v>
      </c>
      <c r="H242" t="str">
        <f>_xlfn.XLOOKUP(frasest[[#This Row],[autor_es]],autorest[autor_es],autorest[bio_es])</f>
        <v>Obispo de Esmirna, mártir y Padre Apostólico. Discípulo del apóstol Juan, martirizado a los 86 años. Una de las tres figuras principales de los Padres Apostólicos.</v>
      </c>
      <c r="I242" t="str">
        <f>_xlfn.XLOOKUP(frasest[[#This Row],[autor_es]],autorest[autor_es],autorest[bio_la])</f>
        <v>Episcopus Smyrnaeus, martyr et Pater Apostolicus. Discipulus apostoli Ioannis, octoginta sex annos natus martyrizatus. Una ex tribus figuris principalibus Patrum Apostolicorum.</v>
      </c>
      <c r="J242" t="str">
        <f>_xlfn.XLOOKUP(frasest[[#This Row],[autor_es]],autorest[autor_es],autorest[codigo])</f>
        <v>la</v>
      </c>
      <c r="K242" t="str">
        <f>_xlfn.XLOOKUP(frasest[[#This Row],[autor_es]],autorest[autor_es],autorest[idioma_es])</f>
        <v>Latín</v>
      </c>
      <c r="L242" t="str">
        <f>_xlfn.XLOOKUP(frasest[[#This Row],[autor_es]],autorest[autor_es],autorest[idioma_la])</f>
        <v>Lingua Latina</v>
      </c>
      <c r="M242" t="str">
        <f>_xlfn.XLOOKUP(frasest[[#This Row],[autor_es]],autorest[autor_es],autorest[nacion_es])</f>
        <v>Roma</v>
      </c>
      <c r="N242" t="str">
        <f>_xlfn.XLOOKUP(frasest[[#This Row],[autor_es]],autorest[autor_es],autorest[nacion_la])</f>
        <v>Roma</v>
      </c>
      <c r="O242" t="str">
        <f>_xlfn.XLOOKUP(frasest[[#This Row],[autor_es]],autorest[autor_es],autorest[epoca_es])</f>
        <v>Edad Antigua</v>
      </c>
      <c r="P242" t="str">
        <f>_xlfn.XLOOKUP(frasest[[#This Row],[autor_es]],autorest[autor_es],autorest[epoca_la])</f>
        <v>Antiquitas</v>
      </c>
      <c r="Q242" t="str">
        <f>_xlfn.XLOOKUP(frasest[[#This Row],[autor_es]],autorest[autor_es],autorest[imagen])</f>
        <v>https://i.ibb.co/GQTLb5X7/policarpo.png</v>
      </c>
      <c r="R242">
        <f>_xlfn.XLOOKUP(frasest[[#This Row],[autor_es]],autorest[autor_es],autorest[imagen_atr])</f>
        <v>0</v>
      </c>
    </row>
    <row r="243" spans="1:18">
      <c r="A243">
        <v>242</v>
      </c>
      <c r="B243" t="s">
        <v>894</v>
      </c>
      <c r="C243" t="s">
        <v>895</v>
      </c>
      <c r="D243" t="s">
        <v>895</v>
      </c>
      <c r="E243" t="s">
        <v>880</v>
      </c>
      <c r="F243" t="s">
        <v>896</v>
      </c>
      <c r="G243" t="str">
        <f>_xlfn.XLOOKUP(frasest[[#This Row],[autor_es]],autorest[autor_es],autorest[autor_la])</f>
        <v>Polycarpus Smyrnaeus</v>
      </c>
      <c r="H243" t="str">
        <f>_xlfn.XLOOKUP(frasest[[#This Row],[autor_es]],autorest[autor_es],autorest[bio_es])</f>
        <v>Obispo de Esmirna, mártir y Padre Apostólico. Discípulo del apóstol Juan, martirizado a los 86 años. Una de las tres figuras principales de los Padres Apostólicos.</v>
      </c>
      <c r="I243" t="str">
        <f>_xlfn.XLOOKUP(frasest[[#This Row],[autor_es]],autorest[autor_es],autorest[bio_la])</f>
        <v>Episcopus Smyrnaeus, martyr et Pater Apostolicus. Discipulus apostoli Ioannis, octoginta sex annos natus martyrizatus. Una ex tribus figuris principalibus Patrum Apostolicorum.</v>
      </c>
      <c r="J243" t="str">
        <f>_xlfn.XLOOKUP(frasest[[#This Row],[autor_es]],autorest[autor_es],autorest[codigo])</f>
        <v>la</v>
      </c>
      <c r="K243" t="str">
        <f>_xlfn.XLOOKUP(frasest[[#This Row],[autor_es]],autorest[autor_es],autorest[idioma_es])</f>
        <v>Latín</v>
      </c>
      <c r="L243" t="str">
        <f>_xlfn.XLOOKUP(frasest[[#This Row],[autor_es]],autorest[autor_es],autorest[idioma_la])</f>
        <v>Lingua Latina</v>
      </c>
      <c r="M243" t="str">
        <f>_xlfn.XLOOKUP(frasest[[#This Row],[autor_es]],autorest[autor_es],autorest[nacion_es])</f>
        <v>Roma</v>
      </c>
      <c r="N243" t="str">
        <f>_xlfn.XLOOKUP(frasest[[#This Row],[autor_es]],autorest[autor_es],autorest[nacion_la])</f>
        <v>Roma</v>
      </c>
      <c r="O243" t="str">
        <f>_xlfn.XLOOKUP(frasest[[#This Row],[autor_es]],autorest[autor_es],autorest[epoca_es])</f>
        <v>Edad Antigua</v>
      </c>
      <c r="P243" t="str">
        <f>_xlfn.XLOOKUP(frasest[[#This Row],[autor_es]],autorest[autor_es],autorest[epoca_la])</f>
        <v>Antiquitas</v>
      </c>
      <c r="Q243" t="str">
        <f>_xlfn.XLOOKUP(frasest[[#This Row],[autor_es]],autorest[autor_es],autorest[imagen])</f>
        <v>https://i.ibb.co/GQTLb5X7/policarpo.png</v>
      </c>
      <c r="R243">
        <f>_xlfn.XLOOKUP(frasest[[#This Row],[autor_es]],autorest[autor_es],autorest[imagen_atr])</f>
        <v>0</v>
      </c>
    </row>
    <row r="244" spans="1:18">
      <c r="A244">
        <v>243</v>
      </c>
      <c r="B244" t="s">
        <v>897</v>
      </c>
      <c r="C244" t="s">
        <v>898</v>
      </c>
      <c r="D244" t="s">
        <v>898</v>
      </c>
      <c r="E244" t="s">
        <v>880</v>
      </c>
      <c r="F244" t="s">
        <v>899</v>
      </c>
      <c r="G244" t="str">
        <f>_xlfn.XLOOKUP(frasest[[#This Row],[autor_es]],autorest[autor_es],autorest[autor_la])</f>
        <v>Polycarpus Smyrnaeus</v>
      </c>
      <c r="H244" t="str">
        <f>_xlfn.XLOOKUP(frasest[[#This Row],[autor_es]],autorest[autor_es],autorest[bio_es])</f>
        <v>Obispo de Esmirna, mártir y Padre Apostólico. Discípulo del apóstol Juan, martirizado a los 86 años. Una de las tres figuras principales de los Padres Apostólicos.</v>
      </c>
      <c r="I244" t="str">
        <f>_xlfn.XLOOKUP(frasest[[#This Row],[autor_es]],autorest[autor_es],autorest[bio_la])</f>
        <v>Episcopus Smyrnaeus, martyr et Pater Apostolicus. Discipulus apostoli Ioannis, octoginta sex annos natus martyrizatus. Una ex tribus figuris principalibus Patrum Apostolicorum.</v>
      </c>
      <c r="J244" t="str">
        <f>_xlfn.XLOOKUP(frasest[[#This Row],[autor_es]],autorest[autor_es],autorest[codigo])</f>
        <v>la</v>
      </c>
      <c r="K244" t="str">
        <f>_xlfn.XLOOKUP(frasest[[#This Row],[autor_es]],autorest[autor_es],autorest[idioma_es])</f>
        <v>Latín</v>
      </c>
      <c r="L244" t="str">
        <f>_xlfn.XLOOKUP(frasest[[#This Row],[autor_es]],autorest[autor_es],autorest[idioma_la])</f>
        <v>Lingua Latina</v>
      </c>
      <c r="M244" t="str">
        <f>_xlfn.XLOOKUP(frasest[[#This Row],[autor_es]],autorest[autor_es],autorest[nacion_es])</f>
        <v>Roma</v>
      </c>
      <c r="N244" t="str">
        <f>_xlfn.XLOOKUP(frasest[[#This Row],[autor_es]],autorest[autor_es],autorest[nacion_la])</f>
        <v>Roma</v>
      </c>
      <c r="O244" t="str">
        <f>_xlfn.XLOOKUP(frasest[[#This Row],[autor_es]],autorest[autor_es],autorest[epoca_es])</f>
        <v>Edad Antigua</v>
      </c>
      <c r="P244" t="str">
        <f>_xlfn.XLOOKUP(frasest[[#This Row],[autor_es]],autorest[autor_es],autorest[epoca_la])</f>
        <v>Antiquitas</v>
      </c>
      <c r="Q244" t="str">
        <f>_xlfn.XLOOKUP(frasest[[#This Row],[autor_es]],autorest[autor_es],autorest[imagen])</f>
        <v>https://i.ibb.co/GQTLb5X7/policarpo.png</v>
      </c>
      <c r="R244">
        <f>_xlfn.XLOOKUP(frasest[[#This Row],[autor_es]],autorest[autor_es],autorest[imagen_atr])</f>
        <v>0</v>
      </c>
    </row>
    <row r="245" spans="1:18">
      <c r="A245">
        <v>244</v>
      </c>
      <c r="B245" t="s">
        <v>900</v>
      </c>
      <c r="C245" t="s">
        <v>901</v>
      </c>
      <c r="D245" t="s">
        <v>901</v>
      </c>
      <c r="E245" t="s">
        <v>880</v>
      </c>
      <c r="F245" t="s">
        <v>902</v>
      </c>
      <c r="G245" t="str">
        <f>_xlfn.XLOOKUP(frasest[[#This Row],[autor_es]],autorest[autor_es],autorest[autor_la])</f>
        <v>Polycarpus Smyrnaeus</v>
      </c>
      <c r="H245" t="str">
        <f>_xlfn.XLOOKUP(frasest[[#This Row],[autor_es]],autorest[autor_es],autorest[bio_es])</f>
        <v>Obispo de Esmirna, mártir y Padre Apostólico. Discípulo del apóstol Juan, martirizado a los 86 años. Una de las tres figuras principales de los Padres Apostólicos.</v>
      </c>
      <c r="I245" t="str">
        <f>_xlfn.XLOOKUP(frasest[[#This Row],[autor_es]],autorest[autor_es],autorest[bio_la])</f>
        <v>Episcopus Smyrnaeus, martyr et Pater Apostolicus. Discipulus apostoli Ioannis, octoginta sex annos natus martyrizatus. Una ex tribus figuris principalibus Patrum Apostolicorum.</v>
      </c>
      <c r="J245" t="str">
        <f>_xlfn.XLOOKUP(frasest[[#This Row],[autor_es]],autorest[autor_es],autorest[codigo])</f>
        <v>la</v>
      </c>
      <c r="K245" t="str">
        <f>_xlfn.XLOOKUP(frasest[[#This Row],[autor_es]],autorest[autor_es],autorest[idioma_es])</f>
        <v>Latín</v>
      </c>
      <c r="L245" t="str">
        <f>_xlfn.XLOOKUP(frasest[[#This Row],[autor_es]],autorest[autor_es],autorest[idioma_la])</f>
        <v>Lingua Latina</v>
      </c>
      <c r="M245" t="str">
        <f>_xlfn.XLOOKUP(frasest[[#This Row],[autor_es]],autorest[autor_es],autorest[nacion_es])</f>
        <v>Roma</v>
      </c>
      <c r="N245" t="str">
        <f>_xlfn.XLOOKUP(frasest[[#This Row],[autor_es]],autorest[autor_es],autorest[nacion_la])</f>
        <v>Roma</v>
      </c>
      <c r="O245" t="str">
        <f>_xlfn.XLOOKUP(frasest[[#This Row],[autor_es]],autorest[autor_es],autorest[epoca_es])</f>
        <v>Edad Antigua</v>
      </c>
      <c r="P245" t="str">
        <f>_xlfn.XLOOKUP(frasest[[#This Row],[autor_es]],autorest[autor_es],autorest[epoca_la])</f>
        <v>Antiquitas</v>
      </c>
      <c r="Q245" t="str">
        <f>_xlfn.XLOOKUP(frasest[[#This Row],[autor_es]],autorest[autor_es],autorest[imagen])</f>
        <v>https://i.ibb.co/GQTLb5X7/policarpo.png</v>
      </c>
      <c r="R245">
        <f>_xlfn.XLOOKUP(frasest[[#This Row],[autor_es]],autorest[autor_es],autorest[imagen_atr])</f>
        <v>0</v>
      </c>
    </row>
    <row r="246" spans="1:18">
      <c r="A246">
        <v>245</v>
      </c>
      <c r="B246" t="s">
        <v>903</v>
      </c>
      <c r="C246" t="s">
        <v>904</v>
      </c>
      <c r="D246" t="s">
        <v>904</v>
      </c>
      <c r="E246" t="s">
        <v>880</v>
      </c>
      <c r="F246" t="s">
        <v>905</v>
      </c>
      <c r="G246" t="str">
        <f>_xlfn.XLOOKUP(frasest[[#This Row],[autor_es]],autorest[autor_es],autorest[autor_la])</f>
        <v>Polycarpus Smyrnaeus</v>
      </c>
      <c r="H246" t="str">
        <f>_xlfn.XLOOKUP(frasest[[#This Row],[autor_es]],autorest[autor_es],autorest[bio_es])</f>
        <v>Obispo de Esmirna, mártir y Padre Apostólico. Discípulo del apóstol Juan, martirizado a los 86 años. Una de las tres figuras principales de los Padres Apostólicos.</v>
      </c>
      <c r="I246" t="str">
        <f>_xlfn.XLOOKUP(frasest[[#This Row],[autor_es]],autorest[autor_es],autorest[bio_la])</f>
        <v>Episcopus Smyrnaeus, martyr et Pater Apostolicus. Discipulus apostoli Ioannis, octoginta sex annos natus martyrizatus. Una ex tribus figuris principalibus Patrum Apostolicorum.</v>
      </c>
      <c r="J246" t="str">
        <f>_xlfn.XLOOKUP(frasest[[#This Row],[autor_es]],autorest[autor_es],autorest[codigo])</f>
        <v>la</v>
      </c>
      <c r="K246" t="str">
        <f>_xlfn.XLOOKUP(frasest[[#This Row],[autor_es]],autorest[autor_es],autorest[idioma_es])</f>
        <v>Latín</v>
      </c>
      <c r="L246" t="str">
        <f>_xlfn.XLOOKUP(frasest[[#This Row],[autor_es]],autorest[autor_es],autorest[idioma_la])</f>
        <v>Lingua Latina</v>
      </c>
      <c r="M246" t="str">
        <f>_xlfn.XLOOKUP(frasest[[#This Row],[autor_es]],autorest[autor_es],autorest[nacion_es])</f>
        <v>Roma</v>
      </c>
      <c r="N246" t="str">
        <f>_xlfn.XLOOKUP(frasest[[#This Row],[autor_es]],autorest[autor_es],autorest[nacion_la])</f>
        <v>Roma</v>
      </c>
      <c r="O246" t="str">
        <f>_xlfn.XLOOKUP(frasest[[#This Row],[autor_es]],autorest[autor_es],autorest[epoca_es])</f>
        <v>Edad Antigua</v>
      </c>
      <c r="P246" t="str">
        <f>_xlfn.XLOOKUP(frasest[[#This Row],[autor_es]],autorest[autor_es],autorest[epoca_la])</f>
        <v>Antiquitas</v>
      </c>
      <c r="Q246" t="str">
        <f>_xlfn.XLOOKUP(frasest[[#This Row],[autor_es]],autorest[autor_es],autorest[imagen])</f>
        <v>https://i.ibb.co/GQTLb5X7/policarpo.png</v>
      </c>
      <c r="R246">
        <f>_xlfn.XLOOKUP(frasest[[#This Row],[autor_es]],autorest[autor_es],autorest[imagen_atr])</f>
        <v>0</v>
      </c>
    </row>
    <row r="247" spans="1:18">
      <c r="A247">
        <v>246</v>
      </c>
      <c r="B247" t="s">
        <v>906</v>
      </c>
      <c r="C247" t="s">
        <v>907</v>
      </c>
      <c r="D247" t="s">
        <v>907</v>
      </c>
      <c r="E247" t="s">
        <v>880</v>
      </c>
      <c r="F247" t="s">
        <v>908</v>
      </c>
      <c r="G247" t="str">
        <f>_xlfn.XLOOKUP(frasest[[#This Row],[autor_es]],autorest[autor_es],autorest[autor_la])</f>
        <v>Polycarpus Smyrnaeus</v>
      </c>
      <c r="H247" t="str">
        <f>_xlfn.XLOOKUP(frasest[[#This Row],[autor_es]],autorest[autor_es],autorest[bio_es])</f>
        <v>Obispo de Esmirna, mártir y Padre Apostólico. Discípulo del apóstol Juan, martirizado a los 86 años. Una de las tres figuras principales de los Padres Apostólicos.</v>
      </c>
      <c r="I247" t="str">
        <f>_xlfn.XLOOKUP(frasest[[#This Row],[autor_es]],autorest[autor_es],autorest[bio_la])</f>
        <v>Episcopus Smyrnaeus, martyr et Pater Apostolicus. Discipulus apostoli Ioannis, octoginta sex annos natus martyrizatus. Una ex tribus figuris principalibus Patrum Apostolicorum.</v>
      </c>
      <c r="J247" t="str">
        <f>_xlfn.XLOOKUP(frasest[[#This Row],[autor_es]],autorest[autor_es],autorest[codigo])</f>
        <v>la</v>
      </c>
      <c r="K247" t="str">
        <f>_xlfn.XLOOKUP(frasest[[#This Row],[autor_es]],autorest[autor_es],autorest[idioma_es])</f>
        <v>Latín</v>
      </c>
      <c r="L247" t="str">
        <f>_xlfn.XLOOKUP(frasest[[#This Row],[autor_es]],autorest[autor_es],autorest[idioma_la])</f>
        <v>Lingua Latina</v>
      </c>
      <c r="M247" t="str">
        <f>_xlfn.XLOOKUP(frasest[[#This Row],[autor_es]],autorest[autor_es],autorest[nacion_es])</f>
        <v>Roma</v>
      </c>
      <c r="N247" t="str">
        <f>_xlfn.XLOOKUP(frasest[[#This Row],[autor_es]],autorest[autor_es],autorest[nacion_la])</f>
        <v>Roma</v>
      </c>
      <c r="O247" t="str">
        <f>_xlfn.XLOOKUP(frasest[[#This Row],[autor_es]],autorest[autor_es],autorest[epoca_es])</f>
        <v>Edad Antigua</v>
      </c>
      <c r="P247" t="str">
        <f>_xlfn.XLOOKUP(frasest[[#This Row],[autor_es]],autorest[autor_es],autorest[epoca_la])</f>
        <v>Antiquitas</v>
      </c>
      <c r="Q247" t="str">
        <f>_xlfn.XLOOKUP(frasest[[#This Row],[autor_es]],autorest[autor_es],autorest[imagen])</f>
        <v>https://i.ibb.co/GQTLb5X7/policarpo.png</v>
      </c>
      <c r="R247">
        <f>_xlfn.XLOOKUP(frasest[[#This Row],[autor_es]],autorest[autor_es],autorest[imagen_atr])</f>
        <v>0</v>
      </c>
    </row>
    <row r="248" spans="1:18">
      <c r="A248">
        <v>247</v>
      </c>
      <c r="B248" t="s">
        <v>909</v>
      </c>
      <c r="C248" t="s">
        <v>910</v>
      </c>
      <c r="D248" t="s">
        <v>910</v>
      </c>
      <c r="E248" t="s">
        <v>911</v>
      </c>
      <c r="F248" t="s">
        <v>912</v>
      </c>
      <c r="G248" t="str">
        <f>_xlfn.XLOOKUP(frasest[[#This Row],[autor_es]],autorest[autor_es],autorest[autor_la])</f>
        <v>Irenaeus Lugdunensis</v>
      </c>
      <c r="H248" t="str">
        <f>_xlfn.XLOOKUP(frasest[[#This Row],[autor_es]],autorest[autor_es],autorest[bio_es])</f>
        <v>Obispo de Lyon, Padre de la Iglesia y mártir. Discípulo de San Policarpo, combatió el gnosticismo. Primer teólogo que consideró esenciales los cuatro evangelios canónicos.</v>
      </c>
      <c r="I248" t="str">
        <f>_xlfn.XLOOKUP(frasest[[#This Row],[autor_es]],autorest[autor_es],autorest[bio_la])</f>
        <v>Episcopus Lugdunensis, Pater Ecclesiae et martyr. Discipulus Sancti Polycarpi, gnosticismum impugnavit. Primus theologus quattuor evangelia canonica essentialia consideravit.</v>
      </c>
      <c r="J248" t="str">
        <f>_xlfn.XLOOKUP(frasest[[#This Row],[autor_es]],autorest[autor_es],autorest[codigo])</f>
        <v>la</v>
      </c>
      <c r="K248" t="str">
        <f>_xlfn.XLOOKUP(frasest[[#This Row],[autor_es]],autorest[autor_es],autorest[idioma_es])</f>
        <v>Latín</v>
      </c>
      <c r="L248" t="str">
        <f>_xlfn.XLOOKUP(frasest[[#This Row],[autor_es]],autorest[autor_es],autorest[idioma_la])</f>
        <v>Lingua Latina</v>
      </c>
      <c r="M248" t="str">
        <f>_xlfn.XLOOKUP(frasest[[#This Row],[autor_es]],autorest[autor_es],autorest[nacion_es])</f>
        <v>Roma</v>
      </c>
      <c r="N248" t="str">
        <f>_xlfn.XLOOKUP(frasest[[#This Row],[autor_es]],autorest[autor_es],autorest[nacion_la])</f>
        <v>Roma</v>
      </c>
      <c r="O248" t="str">
        <f>_xlfn.XLOOKUP(frasest[[#This Row],[autor_es]],autorest[autor_es],autorest[epoca_es])</f>
        <v>Edad Antigua</v>
      </c>
      <c r="P248" t="str">
        <f>_xlfn.XLOOKUP(frasest[[#This Row],[autor_es]],autorest[autor_es],autorest[epoca_la])</f>
        <v>Antiquitas</v>
      </c>
      <c r="Q248" t="str">
        <f>_xlfn.XLOOKUP(frasest[[#This Row],[autor_es]],autorest[autor_es],autorest[imagen])</f>
        <v>https://i.ibb.co/ccNf9TJC/ireneolion.png</v>
      </c>
      <c r="R248">
        <f>_xlfn.XLOOKUP(frasest[[#This Row],[autor_es]],autorest[autor_es],autorest[imagen_atr])</f>
        <v>0</v>
      </c>
    </row>
    <row r="249" spans="1:18">
      <c r="A249">
        <v>248</v>
      </c>
      <c r="B249" t="s">
        <v>913</v>
      </c>
      <c r="C249" t="s">
        <v>914</v>
      </c>
      <c r="D249" t="s">
        <v>914</v>
      </c>
      <c r="E249" t="s">
        <v>911</v>
      </c>
      <c r="F249" t="s">
        <v>912</v>
      </c>
      <c r="G249" t="str">
        <f>_xlfn.XLOOKUP(frasest[[#This Row],[autor_es]],autorest[autor_es],autorest[autor_la])</f>
        <v>Irenaeus Lugdunensis</v>
      </c>
      <c r="H249" t="str">
        <f>_xlfn.XLOOKUP(frasest[[#This Row],[autor_es]],autorest[autor_es],autorest[bio_es])</f>
        <v>Obispo de Lyon, Padre de la Iglesia y mártir. Discípulo de San Policarpo, combatió el gnosticismo. Primer teólogo que consideró esenciales los cuatro evangelios canónicos.</v>
      </c>
      <c r="I249" t="str">
        <f>_xlfn.XLOOKUP(frasest[[#This Row],[autor_es]],autorest[autor_es],autorest[bio_la])</f>
        <v>Episcopus Lugdunensis, Pater Ecclesiae et martyr. Discipulus Sancti Polycarpi, gnosticismum impugnavit. Primus theologus quattuor evangelia canonica essentialia consideravit.</v>
      </c>
      <c r="J249" t="str">
        <f>_xlfn.XLOOKUP(frasest[[#This Row],[autor_es]],autorest[autor_es],autorest[codigo])</f>
        <v>la</v>
      </c>
      <c r="K249" t="str">
        <f>_xlfn.XLOOKUP(frasest[[#This Row],[autor_es]],autorest[autor_es],autorest[idioma_es])</f>
        <v>Latín</v>
      </c>
      <c r="L249" t="str">
        <f>_xlfn.XLOOKUP(frasest[[#This Row],[autor_es]],autorest[autor_es],autorest[idioma_la])</f>
        <v>Lingua Latina</v>
      </c>
      <c r="M249" t="str">
        <f>_xlfn.XLOOKUP(frasest[[#This Row],[autor_es]],autorest[autor_es],autorest[nacion_es])</f>
        <v>Roma</v>
      </c>
      <c r="N249" t="str">
        <f>_xlfn.XLOOKUP(frasest[[#This Row],[autor_es]],autorest[autor_es],autorest[nacion_la])</f>
        <v>Roma</v>
      </c>
      <c r="O249" t="str">
        <f>_xlfn.XLOOKUP(frasest[[#This Row],[autor_es]],autorest[autor_es],autorest[epoca_es])</f>
        <v>Edad Antigua</v>
      </c>
      <c r="P249" t="str">
        <f>_xlfn.XLOOKUP(frasest[[#This Row],[autor_es]],autorest[autor_es],autorest[epoca_la])</f>
        <v>Antiquitas</v>
      </c>
      <c r="Q249" t="str">
        <f>_xlfn.XLOOKUP(frasest[[#This Row],[autor_es]],autorest[autor_es],autorest[imagen])</f>
        <v>https://i.ibb.co/ccNf9TJC/ireneolion.png</v>
      </c>
      <c r="R249">
        <f>_xlfn.XLOOKUP(frasest[[#This Row],[autor_es]],autorest[autor_es],autorest[imagen_atr])</f>
        <v>0</v>
      </c>
    </row>
    <row r="250" spans="1:18">
      <c r="A250">
        <v>249</v>
      </c>
      <c r="B250" t="s">
        <v>915</v>
      </c>
      <c r="C250" t="s">
        <v>916</v>
      </c>
      <c r="D250" t="s">
        <v>916</v>
      </c>
      <c r="E250" t="s">
        <v>911</v>
      </c>
      <c r="F250" t="s">
        <v>917</v>
      </c>
      <c r="G250" t="str">
        <f>_xlfn.XLOOKUP(frasest[[#This Row],[autor_es]],autorest[autor_es],autorest[autor_la])</f>
        <v>Irenaeus Lugdunensis</v>
      </c>
      <c r="H250" t="str">
        <f>_xlfn.XLOOKUP(frasest[[#This Row],[autor_es]],autorest[autor_es],autorest[bio_es])</f>
        <v>Obispo de Lyon, Padre de la Iglesia y mártir. Discípulo de San Policarpo, combatió el gnosticismo. Primer teólogo que consideró esenciales los cuatro evangelios canónicos.</v>
      </c>
      <c r="I250" t="str">
        <f>_xlfn.XLOOKUP(frasest[[#This Row],[autor_es]],autorest[autor_es],autorest[bio_la])</f>
        <v>Episcopus Lugdunensis, Pater Ecclesiae et martyr. Discipulus Sancti Polycarpi, gnosticismum impugnavit. Primus theologus quattuor evangelia canonica essentialia consideravit.</v>
      </c>
      <c r="J250" t="str">
        <f>_xlfn.XLOOKUP(frasest[[#This Row],[autor_es]],autorest[autor_es],autorest[codigo])</f>
        <v>la</v>
      </c>
      <c r="K250" t="str">
        <f>_xlfn.XLOOKUP(frasest[[#This Row],[autor_es]],autorest[autor_es],autorest[idioma_es])</f>
        <v>Latín</v>
      </c>
      <c r="L250" t="str">
        <f>_xlfn.XLOOKUP(frasest[[#This Row],[autor_es]],autorest[autor_es],autorest[idioma_la])</f>
        <v>Lingua Latina</v>
      </c>
      <c r="M250" t="str">
        <f>_xlfn.XLOOKUP(frasest[[#This Row],[autor_es]],autorest[autor_es],autorest[nacion_es])</f>
        <v>Roma</v>
      </c>
      <c r="N250" t="str">
        <f>_xlfn.XLOOKUP(frasest[[#This Row],[autor_es]],autorest[autor_es],autorest[nacion_la])</f>
        <v>Roma</v>
      </c>
      <c r="O250" t="str">
        <f>_xlfn.XLOOKUP(frasest[[#This Row],[autor_es]],autorest[autor_es],autorest[epoca_es])</f>
        <v>Edad Antigua</v>
      </c>
      <c r="P250" t="str">
        <f>_xlfn.XLOOKUP(frasest[[#This Row],[autor_es]],autorest[autor_es],autorest[epoca_la])</f>
        <v>Antiquitas</v>
      </c>
      <c r="Q250" t="str">
        <f>_xlfn.XLOOKUP(frasest[[#This Row],[autor_es]],autorest[autor_es],autorest[imagen])</f>
        <v>https://i.ibb.co/ccNf9TJC/ireneolion.png</v>
      </c>
      <c r="R250">
        <f>_xlfn.XLOOKUP(frasest[[#This Row],[autor_es]],autorest[autor_es],autorest[imagen_atr])</f>
        <v>0</v>
      </c>
    </row>
    <row r="251" spans="1:18">
      <c r="A251">
        <v>250</v>
      </c>
      <c r="B251" t="s">
        <v>918</v>
      </c>
      <c r="C251" t="s">
        <v>919</v>
      </c>
      <c r="D251" t="s">
        <v>919</v>
      </c>
      <c r="E251" t="s">
        <v>911</v>
      </c>
      <c r="F251" t="s">
        <v>920</v>
      </c>
      <c r="G251" t="str">
        <f>_xlfn.XLOOKUP(frasest[[#This Row],[autor_es]],autorest[autor_es],autorest[autor_la])</f>
        <v>Irenaeus Lugdunensis</v>
      </c>
      <c r="H251" t="str">
        <f>_xlfn.XLOOKUP(frasest[[#This Row],[autor_es]],autorest[autor_es],autorest[bio_es])</f>
        <v>Obispo de Lyon, Padre de la Iglesia y mártir. Discípulo de San Policarpo, combatió el gnosticismo. Primer teólogo que consideró esenciales los cuatro evangelios canónicos.</v>
      </c>
      <c r="I251" t="str">
        <f>_xlfn.XLOOKUP(frasest[[#This Row],[autor_es]],autorest[autor_es],autorest[bio_la])</f>
        <v>Episcopus Lugdunensis, Pater Ecclesiae et martyr. Discipulus Sancti Polycarpi, gnosticismum impugnavit. Primus theologus quattuor evangelia canonica essentialia consideravit.</v>
      </c>
      <c r="J251" t="str">
        <f>_xlfn.XLOOKUP(frasest[[#This Row],[autor_es]],autorest[autor_es],autorest[codigo])</f>
        <v>la</v>
      </c>
      <c r="K251" t="str">
        <f>_xlfn.XLOOKUP(frasest[[#This Row],[autor_es]],autorest[autor_es],autorest[idioma_es])</f>
        <v>Latín</v>
      </c>
      <c r="L251" t="str">
        <f>_xlfn.XLOOKUP(frasest[[#This Row],[autor_es]],autorest[autor_es],autorest[idioma_la])</f>
        <v>Lingua Latina</v>
      </c>
      <c r="M251" t="str">
        <f>_xlfn.XLOOKUP(frasest[[#This Row],[autor_es]],autorest[autor_es],autorest[nacion_es])</f>
        <v>Roma</v>
      </c>
      <c r="N251" t="str">
        <f>_xlfn.XLOOKUP(frasest[[#This Row],[autor_es]],autorest[autor_es],autorest[nacion_la])</f>
        <v>Roma</v>
      </c>
      <c r="O251" t="str">
        <f>_xlfn.XLOOKUP(frasest[[#This Row],[autor_es]],autorest[autor_es],autorest[epoca_es])</f>
        <v>Edad Antigua</v>
      </c>
      <c r="P251" t="str">
        <f>_xlfn.XLOOKUP(frasest[[#This Row],[autor_es]],autorest[autor_es],autorest[epoca_la])</f>
        <v>Antiquitas</v>
      </c>
      <c r="Q251" t="str">
        <f>_xlfn.XLOOKUP(frasest[[#This Row],[autor_es]],autorest[autor_es],autorest[imagen])</f>
        <v>https://i.ibb.co/ccNf9TJC/ireneolion.png</v>
      </c>
      <c r="R251">
        <f>_xlfn.XLOOKUP(frasest[[#This Row],[autor_es]],autorest[autor_es],autorest[imagen_atr])</f>
        <v>0</v>
      </c>
    </row>
    <row r="252" spans="1:18">
      <c r="A252">
        <v>251</v>
      </c>
      <c r="B252" t="s">
        <v>921</v>
      </c>
      <c r="C252" t="s">
        <v>922</v>
      </c>
      <c r="D252" t="s">
        <v>922</v>
      </c>
      <c r="E252" t="s">
        <v>911</v>
      </c>
      <c r="F252" t="s">
        <v>923</v>
      </c>
      <c r="G252" t="str">
        <f>_xlfn.XLOOKUP(frasest[[#This Row],[autor_es]],autorest[autor_es],autorest[autor_la])</f>
        <v>Irenaeus Lugdunensis</v>
      </c>
      <c r="H252" t="str">
        <f>_xlfn.XLOOKUP(frasest[[#This Row],[autor_es]],autorest[autor_es],autorest[bio_es])</f>
        <v>Obispo de Lyon, Padre de la Iglesia y mártir. Discípulo de San Policarpo, combatió el gnosticismo. Primer teólogo que consideró esenciales los cuatro evangelios canónicos.</v>
      </c>
      <c r="I252" t="str">
        <f>_xlfn.XLOOKUP(frasest[[#This Row],[autor_es]],autorest[autor_es],autorest[bio_la])</f>
        <v>Episcopus Lugdunensis, Pater Ecclesiae et martyr. Discipulus Sancti Polycarpi, gnosticismum impugnavit. Primus theologus quattuor evangelia canonica essentialia consideravit.</v>
      </c>
      <c r="J252" t="str">
        <f>_xlfn.XLOOKUP(frasest[[#This Row],[autor_es]],autorest[autor_es],autorest[codigo])</f>
        <v>la</v>
      </c>
      <c r="K252" t="str">
        <f>_xlfn.XLOOKUP(frasest[[#This Row],[autor_es]],autorest[autor_es],autorest[idioma_es])</f>
        <v>Latín</v>
      </c>
      <c r="L252" t="str">
        <f>_xlfn.XLOOKUP(frasest[[#This Row],[autor_es]],autorest[autor_es],autorest[idioma_la])</f>
        <v>Lingua Latina</v>
      </c>
      <c r="M252" t="str">
        <f>_xlfn.XLOOKUP(frasest[[#This Row],[autor_es]],autorest[autor_es],autorest[nacion_es])</f>
        <v>Roma</v>
      </c>
      <c r="N252" t="str">
        <f>_xlfn.XLOOKUP(frasest[[#This Row],[autor_es]],autorest[autor_es],autorest[nacion_la])</f>
        <v>Roma</v>
      </c>
      <c r="O252" t="str">
        <f>_xlfn.XLOOKUP(frasest[[#This Row],[autor_es]],autorest[autor_es],autorest[epoca_es])</f>
        <v>Edad Antigua</v>
      </c>
      <c r="P252" t="str">
        <f>_xlfn.XLOOKUP(frasest[[#This Row],[autor_es]],autorest[autor_es],autorest[epoca_la])</f>
        <v>Antiquitas</v>
      </c>
      <c r="Q252" t="str">
        <f>_xlfn.XLOOKUP(frasest[[#This Row],[autor_es]],autorest[autor_es],autorest[imagen])</f>
        <v>https://i.ibb.co/ccNf9TJC/ireneolion.png</v>
      </c>
      <c r="R252">
        <f>_xlfn.XLOOKUP(frasest[[#This Row],[autor_es]],autorest[autor_es],autorest[imagen_atr])</f>
        <v>0</v>
      </c>
    </row>
    <row r="253" spans="1:18">
      <c r="A253">
        <v>252</v>
      </c>
      <c r="B253" t="s">
        <v>924</v>
      </c>
      <c r="C253" t="s">
        <v>925</v>
      </c>
      <c r="D253" t="s">
        <v>925</v>
      </c>
      <c r="E253" t="s">
        <v>911</v>
      </c>
      <c r="F253" t="s">
        <v>926</v>
      </c>
      <c r="G253" t="str">
        <f>_xlfn.XLOOKUP(frasest[[#This Row],[autor_es]],autorest[autor_es],autorest[autor_la])</f>
        <v>Irenaeus Lugdunensis</v>
      </c>
      <c r="H253" t="str">
        <f>_xlfn.XLOOKUP(frasest[[#This Row],[autor_es]],autorest[autor_es],autorest[bio_es])</f>
        <v>Obispo de Lyon, Padre de la Iglesia y mártir. Discípulo de San Policarpo, combatió el gnosticismo. Primer teólogo que consideró esenciales los cuatro evangelios canónicos.</v>
      </c>
      <c r="I253" t="str">
        <f>_xlfn.XLOOKUP(frasest[[#This Row],[autor_es]],autorest[autor_es],autorest[bio_la])</f>
        <v>Episcopus Lugdunensis, Pater Ecclesiae et martyr. Discipulus Sancti Polycarpi, gnosticismum impugnavit. Primus theologus quattuor evangelia canonica essentialia consideravit.</v>
      </c>
      <c r="J253" t="str">
        <f>_xlfn.XLOOKUP(frasest[[#This Row],[autor_es]],autorest[autor_es],autorest[codigo])</f>
        <v>la</v>
      </c>
      <c r="K253" t="str">
        <f>_xlfn.XLOOKUP(frasest[[#This Row],[autor_es]],autorest[autor_es],autorest[idioma_es])</f>
        <v>Latín</v>
      </c>
      <c r="L253" t="str">
        <f>_xlfn.XLOOKUP(frasest[[#This Row],[autor_es]],autorest[autor_es],autorest[idioma_la])</f>
        <v>Lingua Latina</v>
      </c>
      <c r="M253" t="str">
        <f>_xlfn.XLOOKUP(frasest[[#This Row],[autor_es]],autorest[autor_es],autorest[nacion_es])</f>
        <v>Roma</v>
      </c>
      <c r="N253" t="str">
        <f>_xlfn.XLOOKUP(frasest[[#This Row],[autor_es]],autorest[autor_es],autorest[nacion_la])</f>
        <v>Roma</v>
      </c>
      <c r="O253" t="str">
        <f>_xlfn.XLOOKUP(frasest[[#This Row],[autor_es]],autorest[autor_es],autorest[epoca_es])</f>
        <v>Edad Antigua</v>
      </c>
      <c r="P253" t="str">
        <f>_xlfn.XLOOKUP(frasest[[#This Row],[autor_es]],autorest[autor_es],autorest[epoca_la])</f>
        <v>Antiquitas</v>
      </c>
      <c r="Q253" t="str">
        <f>_xlfn.XLOOKUP(frasest[[#This Row],[autor_es]],autorest[autor_es],autorest[imagen])</f>
        <v>https://i.ibb.co/ccNf9TJC/ireneolion.png</v>
      </c>
      <c r="R253">
        <f>_xlfn.XLOOKUP(frasest[[#This Row],[autor_es]],autorest[autor_es],autorest[imagen_atr])</f>
        <v>0</v>
      </c>
    </row>
    <row r="254" spans="1:18">
      <c r="A254">
        <v>253</v>
      </c>
      <c r="B254" t="s">
        <v>927</v>
      </c>
      <c r="C254" t="s">
        <v>928</v>
      </c>
      <c r="D254" t="s">
        <v>928</v>
      </c>
      <c r="E254" t="s">
        <v>911</v>
      </c>
      <c r="F254" t="s">
        <v>917</v>
      </c>
      <c r="G254" t="str">
        <f>_xlfn.XLOOKUP(frasest[[#This Row],[autor_es]],autorest[autor_es],autorest[autor_la])</f>
        <v>Irenaeus Lugdunensis</v>
      </c>
      <c r="H254" t="str">
        <f>_xlfn.XLOOKUP(frasest[[#This Row],[autor_es]],autorest[autor_es],autorest[bio_es])</f>
        <v>Obispo de Lyon, Padre de la Iglesia y mártir. Discípulo de San Policarpo, combatió el gnosticismo. Primer teólogo que consideró esenciales los cuatro evangelios canónicos.</v>
      </c>
      <c r="I254" t="str">
        <f>_xlfn.XLOOKUP(frasest[[#This Row],[autor_es]],autorest[autor_es],autorest[bio_la])</f>
        <v>Episcopus Lugdunensis, Pater Ecclesiae et martyr. Discipulus Sancti Polycarpi, gnosticismum impugnavit. Primus theologus quattuor evangelia canonica essentialia consideravit.</v>
      </c>
      <c r="J254" t="str">
        <f>_xlfn.XLOOKUP(frasest[[#This Row],[autor_es]],autorest[autor_es],autorest[codigo])</f>
        <v>la</v>
      </c>
      <c r="K254" t="str">
        <f>_xlfn.XLOOKUP(frasest[[#This Row],[autor_es]],autorest[autor_es],autorest[idioma_es])</f>
        <v>Latín</v>
      </c>
      <c r="L254" t="str">
        <f>_xlfn.XLOOKUP(frasest[[#This Row],[autor_es]],autorest[autor_es],autorest[idioma_la])</f>
        <v>Lingua Latina</v>
      </c>
      <c r="M254" t="str">
        <f>_xlfn.XLOOKUP(frasest[[#This Row],[autor_es]],autorest[autor_es],autorest[nacion_es])</f>
        <v>Roma</v>
      </c>
      <c r="N254" t="str">
        <f>_xlfn.XLOOKUP(frasest[[#This Row],[autor_es]],autorest[autor_es],autorest[nacion_la])</f>
        <v>Roma</v>
      </c>
      <c r="O254" t="str">
        <f>_xlfn.XLOOKUP(frasest[[#This Row],[autor_es]],autorest[autor_es],autorest[epoca_es])</f>
        <v>Edad Antigua</v>
      </c>
      <c r="P254" t="str">
        <f>_xlfn.XLOOKUP(frasest[[#This Row],[autor_es]],autorest[autor_es],autorest[epoca_la])</f>
        <v>Antiquitas</v>
      </c>
      <c r="Q254" t="str">
        <f>_xlfn.XLOOKUP(frasest[[#This Row],[autor_es]],autorest[autor_es],autorest[imagen])</f>
        <v>https://i.ibb.co/ccNf9TJC/ireneolion.png</v>
      </c>
      <c r="R254">
        <f>_xlfn.XLOOKUP(frasest[[#This Row],[autor_es]],autorest[autor_es],autorest[imagen_atr])</f>
        <v>0</v>
      </c>
    </row>
    <row r="255" spans="1:18">
      <c r="A255">
        <v>254</v>
      </c>
      <c r="B255" t="s">
        <v>929</v>
      </c>
      <c r="C255" t="s">
        <v>930</v>
      </c>
      <c r="D255" t="s">
        <v>930</v>
      </c>
      <c r="E255" t="s">
        <v>911</v>
      </c>
      <c r="F255" t="s">
        <v>931</v>
      </c>
      <c r="G255" t="str">
        <f>_xlfn.XLOOKUP(frasest[[#This Row],[autor_es]],autorest[autor_es],autorest[autor_la])</f>
        <v>Irenaeus Lugdunensis</v>
      </c>
      <c r="H255" t="str">
        <f>_xlfn.XLOOKUP(frasest[[#This Row],[autor_es]],autorest[autor_es],autorest[bio_es])</f>
        <v>Obispo de Lyon, Padre de la Iglesia y mártir. Discípulo de San Policarpo, combatió el gnosticismo. Primer teólogo que consideró esenciales los cuatro evangelios canónicos.</v>
      </c>
      <c r="I255" t="str">
        <f>_xlfn.XLOOKUP(frasest[[#This Row],[autor_es]],autorest[autor_es],autorest[bio_la])</f>
        <v>Episcopus Lugdunensis, Pater Ecclesiae et martyr. Discipulus Sancti Polycarpi, gnosticismum impugnavit. Primus theologus quattuor evangelia canonica essentialia consideravit.</v>
      </c>
      <c r="J255" t="str">
        <f>_xlfn.XLOOKUP(frasest[[#This Row],[autor_es]],autorest[autor_es],autorest[codigo])</f>
        <v>la</v>
      </c>
      <c r="K255" t="str">
        <f>_xlfn.XLOOKUP(frasest[[#This Row],[autor_es]],autorest[autor_es],autorest[idioma_es])</f>
        <v>Latín</v>
      </c>
      <c r="L255" t="str">
        <f>_xlfn.XLOOKUP(frasest[[#This Row],[autor_es]],autorest[autor_es],autorest[idioma_la])</f>
        <v>Lingua Latina</v>
      </c>
      <c r="M255" t="str">
        <f>_xlfn.XLOOKUP(frasest[[#This Row],[autor_es]],autorest[autor_es],autorest[nacion_es])</f>
        <v>Roma</v>
      </c>
      <c r="N255" t="str">
        <f>_xlfn.XLOOKUP(frasest[[#This Row],[autor_es]],autorest[autor_es],autorest[nacion_la])</f>
        <v>Roma</v>
      </c>
      <c r="O255" t="str">
        <f>_xlfn.XLOOKUP(frasest[[#This Row],[autor_es]],autorest[autor_es],autorest[epoca_es])</f>
        <v>Edad Antigua</v>
      </c>
      <c r="P255" t="str">
        <f>_xlfn.XLOOKUP(frasest[[#This Row],[autor_es]],autorest[autor_es],autorest[epoca_la])</f>
        <v>Antiquitas</v>
      </c>
      <c r="Q255" t="str">
        <f>_xlfn.XLOOKUP(frasest[[#This Row],[autor_es]],autorest[autor_es],autorest[imagen])</f>
        <v>https://i.ibb.co/ccNf9TJC/ireneolion.png</v>
      </c>
      <c r="R255">
        <f>_xlfn.XLOOKUP(frasest[[#This Row],[autor_es]],autorest[autor_es],autorest[imagen_atr])</f>
        <v>0</v>
      </c>
    </row>
    <row r="256" spans="1:18">
      <c r="A256">
        <v>255</v>
      </c>
      <c r="B256" t="s">
        <v>932</v>
      </c>
      <c r="C256" t="s">
        <v>933</v>
      </c>
      <c r="D256" t="s">
        <v>933</v>
      </c>
      <c r="E256" t="s">
        <v>911</v>
      </c>
      <c r="F256" t="s">
        <v>934</v>
      </c>
      <c r="G256" t="str">
        <f>_xlfn.XLOOKUP(frasest[[#This Row],[autor_es]],autorest[autor_es],autorest[autor_la])</f>
        <v>Irenaeus Lugdunensis</v>
      </c>
      <c r="H256" t="str">
        <f>_xlfn.XLOOKUP(frasest[[#This Row],[autor_es]],autorest[autor_es],autorest[bio_es])</f>
        <v>Obispo de Lyon, Padre de la Iglesia y mártir. Discípulo de San Policarpo, combatió el gnosticismo. Primer teólogo que consideró esenciales los cuatro evangelios canónicos.</v>
      </c>
      <c r="I256" t="str">
        <f>_xlfn.XLOOKUP(frasest[[#This Row],[autor_es]],autorest[autor_es],autorest[bio_la])</f>
        <v>Episcopus Lugdunensis, Pater Ecclesiae et martyr. Discipulus Sancti Polycarpi, gnosticismum impugnavit. Primus theologus quattuor evangelia canonica essentialia consideravit.</v>
      </c>
      <c r="J256" t="str">
        <f>_xlfn.XLOOKUP(frasest[[#This Row],[autor_es]],autorest[autor_es],autorest[codigo])</f>
        <v>la</v>
      </c>
      <c r="K256" t="str">
        <f>_xlfn.XLOOKUP(frasest[[#This Row],[autor_es]],autorest[autor_es],autorest[idioma_es])</f>
        <v>Latín</v>
      </c>
      <c r="L256" t="str">
        <f>_xlfn.XLOOKUP(frasest[[#This Row],[autor_es]],autorest[autor_es],autorest[idioma_la])</f>
        <v>Lingua Latina</v>
      </c>
      <c r="M256" t="str">
        <f>_xlfn.XLOOKUP(frasest[[#This Row],[autor_es]],autorest[autor_es],autorest[nacion_es])</f>
        <v>Roma</v>
      </c>
      <c r="N256" t="str">
        <f>_xlfn.XLOOKUP(frasest[[#This Row],[autor_es]],autorest[autor_es],autorest[nacion_la])</f>
        <v>Roma</v>
      </c>
      <c r="O256" t="str">
        <f>_xlfn.XLOOKUP(frasest[[#This Row],[autor_es]],autorest[autor_es],autorest[epoca_es])</f>
        <v>Edad Antigua</v>
      </c>
      <c r="P256" t="str">
        <f>_xlfn.XLOOKUP(frasest[[#This Row],[autor_es]],autorest[autor_es],autorest[epoca_la])</f>
        <v>Antiquitas</v>
      </c>
      <c r="Q256" t="str">
        <f>_xlfn.XLOOKUP(frasest[[#This Row],[autor_es]],autorest[autor_es],autorest[imagen])</f>
        <v>https://i.ibb.co/ccNf9TJC/ireneolion.png</v>
      </c>
      <c r="R256">
        <f>_xlfn.XLOOKUP(frasest[[#This Row],[autor_es]],autorest[autor_es],autorest[imagen_atr])</f>
        <v>0</v>
      </c>
    </row>
    <row r="257" spans="1:18">
      <c r="A257">
        <v>256</v>
      </c>
      <c r="B257" t="s">
        <v>935</v>
      </c>
      <c r="C257" t="s">
        <v>936</v>
      </c>
      <c r="D257" t="s">
        <v>936</v>
      </c>
      <c r="E257" t="s">
        <v>911</v>
      </c>
      <c r="F257" t="s">
        <v>937</v>
      </c>
      <c r="G257" t="str">
        <f>_xlfn.XLOOKUP(frasest[[#This Row],[autor_es]],autorest[autor_es],autorest[autor_la])</f>
        <v>Irenaeus Lugdunensis</v>
      </c>
      <c r="H257" t="str">
        <f>_xlfn.XLOOKUP(frasest[[#This Row],[autor_es]],autorest[autor_es],autorest[bio_es])</f>
        <v>Obispo de Lyon, Padre de la Iglesia y mártir. Discípulo de San Policarpo, combatió el gnosticismo. Primer teólogo que consideró esenciales los cuatro evangelios canónicos.</v>
      </c>
      <c r="I257" t="str">
        <f>_xlfn.XLOOKUP(frasest[[#This Row],[autor_es]],autorest[autor_es],autorest[bio_la])</f>
        <v>Episcopus Lugdunensis, Pater Ecclesiae et martyr. Discipulus Sancti Polycarpi, gnosticismum impugnavit. Primus theologus quattuor evangelia canonica essentialia consideravit.</v>
      </c>
      <c r="J257" t="str">
        <f>_xlfn.XLOOKUP(frasest[[#This Row],[autor_es]],autorest[autor_es],autorest[codigo])</f>
        <v>la</v>
      </c>
      <c r="K257" t="str">
        <f>_xlfn.XLOOKUP(frasest[[#This Row],[autor_es]],autorest[autor_es],autorest[idioma_es])</f>
        <v>Latín</v>
      </c>
      <c r="L257" t="str">
        <f>_xlfn.XLOOKUP(frasest[[#This Row],[autor_es]],autorest[autor_es],autorest[idioma_la])</f>
        <v>Lingua Latina</v>
      </c>
      <c r="M257" t="str">
        <f>_xlfn.XLOOKUP(frasest[[#This Row],[autor_es]],autorest[autor_es],autorest[nacion_es])</f>
        <v>Roma</v>
      </c>
      <c r="N257" t="str">
        <f>_xlfn.XLOOKUP(frasest[[#This Row],[autor_es]],autorest[autor_es],autorest[nacion_la])</f>
        <v>Roma</v>
      </c>
      <c r="O257" t="str">
        <f>_xlfn.XLOOKUP(frasest[[#This Row],[autor_es]],autorest[autor_es],autorest[epoca_es])</f>
        <v>Edad Antigua</v>
      </c>
      <c r="P257" t="str">
        <f>_xlfn.XLOOKUP(frasest[[#This Row],[autor_es]],autorest[autor_es],autorest[epoca_la])</f>
        <v>Antiquitas</v>
      </c>
      <c r="Q257" t="str">
        <f>_xlfn.XLOOKUP(frasest[[#This Row],[autor_es]],autorest[autor_es],autorest[imagen])</f>
        <v>https://i.ibb.co/ccNf9TJC/ireneolion.png</v>
      </c>
      <c r="R257">
        <f>_xlfn.XLOOKUP(frasest[[#This Row],[autor_es]],autorest[autor_es],autorest[imagen_atr])</f>
        <v>0</v>
      </c>
    </row>
    <row r="258" spans="1:18">
      <c r="A258">
        <v>257</v>
      </c>
      <c r="B258" t="s">
        <v>938</v>
      </c>
      <c r="C258" t="s">
        <v>939</v>
      </c>
      <c r="D258" t="s">
        <v>939</v>
      </c>
      <c r="E258" t="s">
        <v>940</v>
      </c>
      <c r="F258" t="s">
        <v>941</v>
      </c>
      <c r="G258" t="str">
        <f>_xlfn.XLOOKUP(frasest[[#This Row],[autor_es]],autorest[autor_es],autorest[autor_la])</f>
        <v>Athanasius Alexandrinus</v>
      </c>
      <c r="H258" t="str">
        <f>_xlfn.XLOOKUP(frasest[[#This Row],[autor_es]],autorest[autor_es],autorest[bio_es])</f>
        <v>Obispo de Alejandría, Doctor de la Iglesia y defensor de la ortodoxia nicena contra el arrianismo. Autor de la "Vida de San Antonio", influyente en la espiritualidad monástica.</v>
      </c>
      <c r="I258" t="str">
        <f>_xlfn.XLOOKUP(frasest[[#This Row],[autor_es]],autorest[autor_es],autorest[bio_la])</f>
        <v>Episcopus Alexandrinus, Doctor Ecclesiae et defensor orthodoxiae Nicaenae contra arianismum. Auctor "Vita Sancti Antonii", in spiritualitate monastica influens.</v>
      </c>
      <c r="J258" t="str">
        <f>_xlfn.XLOOKUP(frasest[[#This Row],[autor_es]],autorest[autor_es],autorest[codigo])</f>
        <v>la</v>
      </c>
      <c r="K258" t="str">
        <f>_xlfn.XLOOKUP(frasest[[#This Row],[autor_es]],autorest[autor_es],autorest[idioma_es])</f>
        <v>Latín</v>
      </c>
      <c r="L258" t="str">
        <f>_xlfn.XLOOKUP(frasest[[#This Row],[autor_es]],autorest[autor_es],autorest[idioma_la])</f>
        <v>Lingua Latina</v>
      </c>
      <c r="M258" t="str">
        <f>_xlfn.XLOOKUP(frasest[[#This Row],[autor_es]],autorest[autor_es],autorest[nacion_es])</f>
        <v>Roma</v>
      </c>
      <c r="N258" t="str">
        <f>_xlfn.XLOOKUP(frasest[[#This Row],[autor_es]],autorest[autor_es],autorest[nacion_la])</f>
        <v>Roma</v>
      </c>
      <c r="O258" t="str">
        <f>_xlfn.XLOOKUP(frasest[[#This Row],[autor_es]],autorest[autor_es],autorest[epoca_es])</f>
        <v>Edad Antigua</v>
      </c>
      <c r="P258" t="str">
        <f>_xlfn.XLOOKUP(frasest[[#This Row],[autor_es]],autorest[autor_es],autorest[epoca_la])</f>
        <v>Antiquitas</v>
      </c>
      <c r="Q258" t="str">
        <f>_xlfn.XLOOKUP(frasest[[#This Row],[autor_es]],autorest[autor_es],autorest[imagen])</f>
        <v>https://i.ibb.co/N2qBhZS8/atanasio.png</v>
      </c>
      <c r="R258">
        <f>_xlfn.XLOOKUP(frasest[[#This Row],[autor_es]],autorest[autor_es],autorest[imagen_atr])</f>
        <v>0</v>
      </c>
    </row>
    <row r="259" spans="1:18">
      <c r="A259">
        <v>258</v>
      </c>
      <c r="B259" t="s">
        <v>942</v>
      </c>
      <c r="C259" t="s">
        <v>943</v>
      </c>
      <c r="D259" t="s">
        <v>943</v>
      </c>
      <c r="E259" t="s">
        <v>940</v>
      </c>
      <c r="F259" t="s">
        <v>944</v>
      </c>
      <c r="G259" t="str">
        <f>_xlfn.XLOOKUP(frasest[[#This Row],[autor_es]],autorest[autor_es],autorest[autor_la])</f>
        <v>Athanasius Alexandrinus</v>
      </c>
      <c r="H259" t="str">
        <f>_xlfn.XLOOKUP(frasest[[#This Row],[autor_es]],autorest[autor_es],autorest[bio_es])</f>
        <v>Obispo de Alejandría, Doctor de la Iglesia y defensor de la ortodoxia nicena contra el arrianismo. Autor de la "Vida de San Antonio", influyente en la espiritualidad monástica.</v>
      </c>
      <c r="I259" t="str">
        <f>_xlfn.XLOOKUP(frasest[[#This Row],[autor_es]],autorest[autor_es],autorest[bio_la])</f>
        <v>Episcopus Alexandrinus, Doctor Ecclesiae et defensor orthodoxiae Nicaenae contra arianismum. Auctor "Vita Sancti Antonii", in spiritualitate monastica influens.</v>
      </c>
      <c r="J259" t="str">
        <f>_xlfn.XLOOKUP(frasest[[#This Row],[autor_es]],autorest[autor_es],autorest[codigo])</f>
        <v>la</v>
      </c>
      <c r="K259" t="str">
        <f>_xlfn.XLOOKUP(frasest[[#This Row],[autor_es]],autorest[autor_es],autorest[idioma_es])</f>
        <v>Latín</v>
      </c>
      <c r="L259" t="str">
        <f>_xlfn.XLOOKUP(frasest[[#This Row],[autor_es]],autorest[autor_es],autorest[idioma_la])</f>
        <v>Lingua Latina</v>
      </c>
      <c r="M259" t="str">
        <f>_xlfn.XLOOKUP(frasest[[#This Row],[autor_es]],autorest[autor_es],autorest[nacion_es])</f>
        <v>Roma</v>
      </c>
      <c r="N259" t="str">
        <f>_xlfn.XLOOKUP(frasest[[#This Row],[autor_es]],autorest[autor_es],autorest[nacion_la])</f>
        <v>Roma</v>
      </c>
      <c r="O259" t="str">
        <f>_xlfn.XLOOKUP(frasest[[#This Row],[autor_es]],autorest[autor_es],autorest[epoca_es])</f>
        <v>Edad Antigua</v>
      </c>
      <c r="P259" t="str">
        <f>_xlfn.XLOOKUP(frasest[[#This Row],[autor_es]],autorest[autor_es],autorest[epoca_la])</f>
        <v>Antiquitas</v>
      </c>
      <c r="Q259" t="str">
        <f>_xlfn.XLOOKUP(frasest[[#This Row],[autor_es]],autorest[autor_es],autorest[imagen])</f>
        <v>https://i.ibb.co/N2qBhZS8/atanasio.png</v>
      </c>
      <c r="R259">
        <f>_xlfn.XLOOKUP(frasest[[#This Row],[autor_es]],autorest[autor_es],autorest[imagen_atr])</f>
        <v>0</v>
      </c>
    </row>
    <row r="260" spans="1:18">
      <c r="A260">
        <v>259</v>
      </c>
      <c r="B260" t="s">
        <v>945</v>
      </c>
      <c r="C260" t="s">
        <v>946</v>
      </c>
      <c r="D260" t="s">
        <v>946</v>
      </c>
      <c r="E260" t="s">
        <v>940</v>
      </c>
      <c r="F260" t="s">
        <v>947</v>
      </c>
      <c r="G260" t="str">
        <f>_xlfn.XLOOKUP(frasest[[#This Row],[autor_es]],autorest[autor_es],autorest[autor_la])</f>
        <v>Athanasius Alexandrinus</v>
      </c>
      <c r="H260" t="str">
        <f>_xlfn.XLOOKUP(frasest[[#This Row],[autor_es]],autorest[autor_es],autorest[bio_es])</f>
        <v>Obispo de Alejandría, Doctor de la Iglesia y defensor de la ortodoxia nicena contra el arrianismo. Autor de la "Vida de San Antonio", influyente en la espiritualidad monástica.</v>
      </c>
      <c r="I260" t="str">
        <f>_xlfn.XLOOKUP(frasest[[#This Row],[autor_es]],autorest[autor_es],autorest[bio_la])</f>
        <v>Episcopus Alexandrinus, Doctor Ecclesiae et defensor orthodoxiae Nicaenae contra arianismum. Auctor "Vita Sancti Antonii", in spiritualitate monastica influens.</v>
      </c>
      <c r="J260" t="str">
        <f>_xlfn.XLOOKUP(frasest[[#This Row],[autor_es]],autorest[autor_es],autorest[codigo])</f>
        <v>la</v>
      </c>
      <c r="K260" t="str">
        <f>_xlfn.XLOOKUP(frasest[[#This Row],[autor_es]],autorest[autor_es],autorest[idioma_es])</f>
        <v>Latín</v>
      </c>
      <c r="L260" t="str">
        <f>_xlfn.XLOOKUP(frasest[[#This Row],[autor_es]],autorest[autor_es],autorest[idioma_la])</f>
        <v>Lingua Latina</v>
      </c>
      <c r="M260" t="str">
        <f>_xlfn.XLOOKUP(frasest[[#This Row],[autor_es]],autorest[autor_es],autorest[nacion_es])</f>
        <v>Roma</v>
      </c>
      <c r="N260" t="str">
        <f>_xlfn.XLOOKUP(frasest[[#This Row],[autor_es]],autorest[autor_es],autorest[nacion_la])</f>
        <v>Roma</v>
      </c>
      <c r="O260" t="str">
        <f>_xlfn.XLOOKUP(frasest[[#This Row],[autor_es]],autorest[autor_es],autorest[epoca_es])</f>
        <v>Edad Antigua</v>
      </c>
      <c r="P260" t="str">
        <f>_xlfn.XLOOKUP(frasest[[#This Row],[autor_es]],autorest[autor_es],autorest[epoca_la])</f>
        <v>Antiquitas</v>
      </c>
      <c r="Q260" t="str">
        <f>_xlfn.XLOOKUP(frasest[[#This Row],[autor_es]],autorest[autor_es],autorest[imagen])</f>
        <v>https://i.ibb.co/N2qBhZS8/atanasio.png</v>
      </c>
      <c r="R260">
        <f>_xlfn.XLOOKUP(frasest[[#This Row],[autor_es]],autorest[autor_es],autorest[imagen_atr])</f>
        <v>0</v>
      </c>
    </row>
    <row r="261" spans="1:18">
      <c r="A261">
        <v>260</v>
      </c>
      <c r="B261" t="s">
        <v>948</v>
      </c>
      <c r="C261" t="s">
        <v>949</v>
      </c>
      <c r="D261" t="s">
        <v>949</v>
      </c>
      <c r="E261" t="s">
        <v>940</v>
      </c>
      <c r="F261" t="s">
        <v>950</v>
      </c>
      <c r="G261" t="str">
        <f>_xlfn.XLOOKUP(frasest[[#This Row],[autor_es]],autorest[autor_es],autorest[autor_la])</f>
        <v>Athanasius Alexandrinus</v>
      </c>
      <c r="H261" t="str">
        <f>_xlfn.XLOOKUP(frasest[[#This Row],[autor_es]],autorest[autor_es],autorest[bio_es])</f>
        <v>Obispo de Alejandría, Doctor de la Iglesia y defensor de la ortodoxia nicena contra el arrianismo. Autor de la "Vida de San Antonio", influyente en la espiritualidad monástica.</v>
      </c>
      <c r="I261" t="str">
        <f>_xlfn.XLOOKUP(frasest[[#This Row],[autor_es]],autorest[autor_es],autorest[bio_la])</f>
        <v>Episcopus Alexandrinus, Doctor Ecclesiae et defensor orthodoxiae Nicaenae contra arianismum. Auctor "Vita Sancti Antonii", in spiritualitate monastica influens.</v>
      </c>
      <c r="J261" t="str">
        <f>_xlfn.XLOOKUP(frasest[[#This Row],[autor_es]],autorest[autor_es],autorest[codigo])</f>
        <v>la</v>
      </c>
      <c r="K261" t="str">
        <f>_xlfn.XLOOKUP(frasest[[#This Row],[autor_es]],autorest[autor_es],autorest[idioma_es])</f>
        <v>Latín</v>
      </c>
      <c r="L261" t="str">
        <f>_xlfn.XLOOKUP(frasest[[#This Row],[autor_es]],autorest[autor_es],autorest[idioma_la])</f>
        <v>Lingua Latina</v>
      </c>
      <c r="M261" t="str">
        <f>_xlfn.XLOOKUP(frasest[[#This Row],[autor_es]],autorest[autor_es],autorest[nacion_es])</f>
        <v>Roma</v>
      </c>
      <c r="N261" t="str">
        <f>_xlfn.XLOOKUP(frasest[[#This Row],[autor_es]],autorest[autor_es],autorest[nacion_la])</f>
        <v>Roma</v>
      </c>
      <c r="O261" t="str">
        <f>_xlfn.XLOOKUP(frasest[[#This Row],[autor_es]],autorest[autor_es],autorest[epoca_es])</f>
        <v>Edad Antigua</v>
      </c>
      <c r="P261" t="str">
        <f>_xlfn.XLOOKUP(frasest[[#This Row],[autor_es]],autorest[autor_es],autorest[epoca_la])</f>
        <v>Antiquitas</v>
      </c>
      <c r="Q261" t="str">
        <f>_xlfn.XLOOKUP(frasest[[#This Row],[autor_es]],autorest[autor_es],autorest[imagen])</f>
        <v>https://i.ibb.co/N2qBhZS8/atanasio.png</v>
      </c>
      <c r="R261">
        <f>_xlfn.XLOOKUP(frasest[[#This Row],[autor_es]],autorest[autor_es],autorest[imagen_atr])</f>
        <v>0</v>
      </c>
    </row>
    <row r="262" spans="1:18">
      <c r="A262">
        <v>261</v>
      </c>
      <c r="B262" t="s">
        <v>951</v>
      </c>
      <c r="C262" t="s">
        <v>952</v>
      </c>
      <c r="D262" t="s">
        <v>952</v>
      </c>
      <c r="E262" t="s">
        <v>940</v>
      </c>
      <c r="F262" t="s">
        <v>953</v>
      </c>
      <c r="G262" t="str">
        <f>_xlfn.XLOOKUP(frasest[[#This Row],[autor_es]],autorest[autor_es],autorest[autor_la])</f>
        <v>Athanasius Alexandrinus</v>
      </c>
      <c r="H262" t="str">
        <f>_xlfn.XLOOKUP(frasest[[#This Row],[autor_es]],autorest[autor_es],autorest[bio_es])</f>
        <v>Obispo de Alejandría, Doctor de la Iglesia y defensor de la ortodoxia nicena contra el arrianismo. Autor de la "Vida de San Antonio", influyente en la espiritualidad monástica.</v>
      </c>
      <c r="I262" t="str">
        <f>_xlfn.XLOOKUP(frasest[[#This Row],[autor_es]],autorest[autor_es],autorest[bio_la])</f>
        <v>Episcopus Alexandrinus, Doctor Ecclesiae et defensor orthodoxiae Nicaenae contra arianismum. Auctor "Vita Sancti Antonii", in spiritualitate monastica influens.</v>
      </c>
      <c r="J262" t="str">
        <f>_xlfn.XLOOKUP(frasest[[#This Row],[autor_es]],autorest[autor_es],autorest[codigo])</f>
        <v>la</v>
      </c>
      <c r="K262" t="str">
        <f>_xlfn.XLOOKUP(frasest[[#This Row],[autor_es]],autorest[autor_es],autorest[idioma_es])</f>
        <v>Latín</v>
      </c>
      <c r="L262" t="str">
        <f>_xlfn.XLOOKUP(frasest[[#This Row],[autor_es]],autorest[autor_es],autorest[idioma_la])</f>
        <v>Lingua Latina</v>
      </c>
      <c r="M262" t="str">
        <f>_xlfn.XLOOKUP(frasest[[#This Row],[autor_es]],autorest[autor_es],autorest[nacion_es])</f>
        <v>Roma</v>
      </c>
      <c r="N262" t="str">
        <f>_xlfn.XLOOKUP(frasest[[#This Row],[autor_es]],autorest[autor_es],autorest[nacion_la])</f>
        <v>Roma</v>
      </c>
      <c r="O262" t="str">
        <f>_xlfn.XLOOKUP(frasest[[#This Row],[autor_es]],autorest[autor_es],autorest[epoca_es])</f>
        <v>Edad Antigua</v>
      </c>
      <c r="P262" t="str">
        <f>_xlfn.XLOOKUP(frasest[[#This Row],[autor_es]],autorest[autor_es],autorest[epoca_la])</f>
        <v>Antiquitas</v>
      </c>
      <c r="Q262" t="str">
        <f>_xlfn.XLOOKUP(frasest[[#This Row],[autor_es]],autorest[autor_es],autorest[imagen])</f>
        <v>https://i.ibb.co/N2qBhZS8/atanasio.png</v>
      </c>
      <c r="R262">
        <f>_xlfn.XLOOKUP(frasest[[#This Row],[autor_es]],autorest[autor_es],autorest[imagen_atr])</f>
        <v>0</v>
      </c>
    </row>
    <row r="263" spans="1:18">
      <c r="A263">
        <v>262</v>
      </c>
      <c r="B263" t="s">
        <v>954</v>
      </c>
      <c r="C263" t="s">
        <v>955</v>
      </c>
      <c r="D263" t="s">
        <v>955</v>
      </c>
      <c r="E263" t="s">
        <v>940</v>
      </c>
      <c r="F263" t="s">
        <v>956</v>
      </c>
      <c r="G263" t="str">
        <f>_xlfn.XLOOKUP(frasest[[#This Row],[autor_es]],autorest[autor_es],autorest[autor_la])</f>
        <v>Athanasius Alexandrinus</v>
      </c>
      <c r="H263" t="str">
        <f>_xlfn.XLOOKUP(frasest[[#This Row],[autor_es]],autorest[autor_es],autorest[bio_es])</f>
        <v>Obispo de Alejandría, Doctor de la Iglesia y defensor de la ortodoxia nicena contra el arrianismo. Autor de la "Vida de San Antonio", influyente en la espiritualidad monástica.</v>
      </c>
      <c r="I263" t="str">
        <f>_xlfn.XLOOKUP(frasest[[#This Row],[autor_es]],autorest[autor_es],autorest[bio_la])</f>
        <v>Episcopus Alexandrinus, Doctor Ecclesiae et defensor orthodoxiae Nicaenae contra arianismum. Auctor "Vita Sancti Antonii", in spiritualitate monastica influens.</v>
      </c>
      <c r="J263" t="str">
        <f>_xlfn.XLOOKUP(frasest[[#This Row],[autor_es]],autorest[autor_es],autorest[codigo])</f>
        <v>la</v>
      </c>
      <c r="K263" t="str">
        <f>_xlfn.XLOOKUP(frasest[[#This Row],[autor_es]],autorest[autor_es],autorest[idioma_es])</f>
        <v>Latín</v>
      </c>
      <c r="L263" t="str">
        <f>_xlfn.XLOOKUP(frasest[[#This Row],[autor_es]],autorest[autor_es],autorest[idioma_la])</f>
        <v>Lingua Latina</v>
      </c>
      <c r="M263" t="str">
        <f>_xlfn.XLOOKUP(frasest[[#This Row],[autor_es]],autorest[autor_es],autorest[nacion_es])</f>
        <v>Roma</v>
      </c>
      <c r="N263" t="str">
        <f>_xlfn.XLOOKUP(frasest[[#This Row],[autor_es]],autorest[autor_es],autorest[nacion_la])</f>
        <v>Roma</v>
      </c>
      <c r="O263" t="str">
        <f>_xlfn.XLOOKUP(frasest[[#This Row],[autor_es]],autorest[autor_es],autorest[epoca_es])</f>
        <v>Edad Antigua</v>
      </c>
      <c r="P263" t="str">
        <f>_xlfn.XLOOKUP(frasest[[#This Row],[autor_es]],autorest[autor_es],autorest[epoca_la])</f>
        <v>Antiquitas</v>
      </c>
      <c r="Q263" t="str">
        <f>_xlfn.XLOOKUP(frasest[[#This Row],[autor_es]],autorest[autor_es],autorest[imagen])</f>
        <v>https://i.ibb.co/N2qBhZS8/atanasio.png</v>
      </c>
      <c r="R263">
        <f>_xlfn.XLOOKUP(frasest[[#This Row],[autor_es]],autorest[autor_es],autorest[imagen_atr])</f>
        <v>0</v>
      </c>
    </row>
    <row r="264" spans="1:18">
      <c r="A264">
        <v>263</v>
      </c>
      <c r="B264" t="s">
        <v>957</v>
      </c>
      <c r="C264" t="s">
        <v>958</v>
      </c>
      <c r="D264" t="s">
        <v>958</v>
      </c>
      <c r="E264" t="s">
        <v>940</v>
      </c>
      <c r="F264" t="s">
        <v>959</v>
      </c>
      <c r="G264" t="str">
        <f>_xlfn.XLOOKUP(frasest[[#This Row],[autor_es]],autorest[autor_es],autorest[autor_la])</f>
        <v>Athanasius Alexandrinus</v>
      </c>
      <c r="H264" t="str">
        <f>_xlfn.XLOOKUP(frasest[[#This Row],[autor_es]],autorest[autor_es],autorest[bio_es])</f>
        <v>Obispo de Alejandría, Doctor de la Iglesia y defensor de la ortodoxia nicena contra el arrianismo. Autor de la "Vida de San Antonio", influyente en la espiritualidad monástica.</v>
      </c>
      <c r="I264" t="str">
        <f>_xlfn.XLOOKUP(frasest[[#This Row],[autor_es]],autorest[autor_es],autorest[bio_la])</f>
        <v>Episcopus Alexandrinus, Doctor Ecclesiae et defensor orthodoxiae Nicaenae contra arianismum. Auctor "Vita Sancti Antonii", in spiritualitate monastica influens.</v>
      </c>
      <c r="J264" t="str">
        <f>_xlfn.XLOOKUP(frasest[[#This Row],[autor_es]],autorest[autor_es],autorest[codigo])</f>
        <v>la</v>
      </c>
      <c r="K264" t="str">
        <f>_xlfn.XLOOKUP(frasest[[#This Row],[autor_es]],autorest[autor_es],autorest[idioma_es])</f>
        <v>Latín</v>
      </c>
      <c r="L264" t="str">
        <f>_xlfn.XLOOKUP(frasest[[#This Row],[autor_es]],autorest[autor_es],autorest[idioma_la])</f>
        <v>Lingua Latina</v>
      </c>
      <c r="M264" t="str">
        <f>_xlfn.XLOOKUP(frasest[[#This Row],[autor_es]],autorest[autor_es],autorest[nacion_es])</f>
        <v>Roma</v>
      </c>
      <c r="N264" t="str">
        <f>_xlfn.XLOOKUP(frasest[[#This Row],[autor_es]],autorest[autor_es],autorest[nacion_la])</f>
        <v>Roma</v>
      </c>
      <c r="O264" t="str">
        <f>_xlfn.XLOOKUP(frasest[[#This Row],[autor_es]],autorest[autor_es],autorest[epoca_es])</f>
        <v>Edad Antigua</v>
      </c>
      <c r="P264" t="str">
        <f>_xlfn.XLOOKUP(frasest[[#This Row],[autor_es]],autorest[autor_es],autorest[epoca_la])</f>
        <v>Antiquitas</v>
      </c>
      <c r="Q264" t="str">
        <f>_xlfn.XLOOKUP(frasest[[#This Row],[autor_es]],autorest[autor_es],autorest[imagen])</f>
        <v>https://i.ibb.co/N2qBhZS8/atanasio.png</v>
      </c>
      <c r="R264">
        <f>_xlfn.XLOOKUP(frasest[[#This Row],[autor_es]],autorest[autor_es],autorest[imagen_atr])</f>
        <v>0</v>
      </c>
    </row>
    <row r="265" spans="1:18">
      <c r="A265">
        <v>264</v>
      </c>
      <c r="B265" t="s">
        <v>960</v>
      </c>
      <c r="C265" t="s">
        <v>961</v>
      </c>
      <c r="D265" t="s">
        <v>961</v>
      </c>
      <c r="E265" t="s">
        <v>940</v>
      </c>
      <c r="F265" t="s">
        <v>962</v>
      </c>
      <c r="G265" t="str">
        <f>_xlfn.XLOOKUP(frasest[[#This Row],[autor_es]],autorest[autor_es],autorest[autor_la])</f>
        <v>Athanasius Alexandrinus</v>
      </c>
      <c r="H265" t="str">
        <f>_xlfn.XLOOKUP(frasest[[#This Row],[autor_es]],autorest[autor_es],autorest[bio_es])</f>
        <v>Obispo de Alejandría, Doctor de la Iglesia y defensor de la ortodoxia nicena contra el arrianismo. Autor de la "Vida de San Antonio", influyente en la espiritualidad monástica.</v>
      </c>
      <c r="I265" t="str">
        <f>_xlfn.XLOOKUP(frasest[[#This Row],[autor_es]],autorest[autor_es],autorest[bio_la])</f>
        <v>Episcopus Alexandrinus, Doctor Ecclesiae et defensor orthodoxiae Nicaenae contra arianismum. Auctor "Vita Sancti Antonii", in spiritualitate monastica influens.</v>
      </c>
      <c r="J265" t="str">
        <f>_xlfn.XLOOKUP(frasest[[#This Row],[autor_es]],autorest[autor_es],autorest[codigo])</f>
        <v>la</v>
      </c>
      <c r="K265" t="str">
        <f>_xlfn.XLOOKUP(frasest[[#This Row],[autor_es]],autorest[autor_es],autorest[idioma_es])</f>
        <v>Latín</v>
      </c>
      <c r="L265" t="str">
        <f>_xlfn.XLOOKUP(frasest[[#This Row],[autor_es]],autorest[autor_es],autorest[idioma_la])</f>
        <v>Lingua Latina</v>
      </c>
      <c r="M265" t="str">
        <f>_xlfn.XLOOKUP(frasest[[#This Row],[autor_es]],autorest[autor_es],autorest[nacion_es])</f>
        <v>Roma</v>
      </c>
      <c r="N265" t="str">
        <f>_xlfn.XLOOKUP(frasest[[#This Row],[autor_es]],autorest[autor_es],autorest[nacion_la])</f>
        <v>Roma</v>
      </c>
      <c r="O265" t="str">
        <f>_xlfn.XLOOKUP(frasest[[#This Row],[autor_es]],autorest[autor_es],autorest[epoca_es])</f>
        <v>Edad Antigua</v>
      </c>
      <c r="P265" t="str">
        <f>_xlfn.XLOOKUP(frasest[[#This Row],[autor_es]],autorest[autor_es],autorest[epoca_la])</f>
        <v>Antiquitas</v>
      </c>
      <c r="Q265" t="str">
        <f>_xlfn.XLOOKUP(frasest[[#This Row],[autor_es]],autorest[autor_es],autorest[imagen])</f>
        <v>https://i.ibb.co/N2qBhZS8/atanasio.png</v>
      </c>
      <c r="R265">
        <f>_xlfn.XLOOKUP(frasest[[#This Row],[autor_es]],autorest[autor_es],autorest[imagen_atr])</f>
        <v>0</v>
      </c>
    </row>
    <row r="266" spans="1:18">
      <c r="A266">
        <v>265</v>
      </c>
      <c r="B266" t="s">
        <v>963</v>
      </c>
      <c r="C266" t="s">
        <v>964</v>
      </c>
      <c r="D266" t="s">
        <v>964</v>
      </c>
      <c r="E266" t="s">
        <v>940</v>
      </c>
      <c r="F266" t="s">
        <v>950</v>
      </c>
      <c r="G266" t="str">
        <f>_xlfn.XLOOKUP(frasest[[#This Row],[autor_es]],autorest[autor_es],autorest[autor_la])</f>
        <v>Athanasius Alexandrinus</v>
      </c>
      <c r="H266" t="str">
        <f>_xlfn.XLOOKUP(frasest[[#This Row],[autor_es]],autorest[autor_es],autorest[bio_es])</f>
        <v>Obispo de Alejandría, Doctor de la Iglesia y defensor de la ortodoxia nicena contra el arrianismo. Autor de la "Vida de San Antonio", influyente en la espiritualidad monástica.</v>
      </c>
      <c r="I266" t="str">
        <f>_xlfn.XLOOKUP(frasest[[#This Row],[autor_es]],autorest[autor_es],autorest[bio_la])</f>
        <v>Episcopus Alexandrinus, Doctor Ecclesiae et defensor orthodoxiae Nicaenae contra arianismum. Auctor "Vita Sancti Antonii", in spiritualitate monastica influens.</v>
      </c>
      <c r="J266" t="str">
        <f>_xlfn.XLOOKUP(frasest[[#This Row],[autor_es]],autorest[autor_es],autorest[codigo])</f>
        <v>la</v>
      </c>
      <c r="K266" t="str">
        <f>_xlfn.XLOOKUP(frasest[[#This Row],[autor_es]],autorest[autor_es],autorest[idioma_es])</f>
        <v>Latín</v>
      </c>
      <c r="L266" t="str">
        <f>_xlfn.XLOOKUP(frasest[[#This Row],[autor_es]],autorest[autor_es],autorest[idioma_la])</f>
        <v>Lingua Latina</v>
      </c>
      <c r="M266" t="str">
        <f>_xlfn.XLOOKUP(frasest[[#This Row],[autor_es]],autorest[autor_es],autorest[nacion_es])</f>
        <v>Roma</v>
      </c>
      <c r="N266" t="str">
        <f>_xlfn.XLOOKUP(frasest[[#This Row],[autor_es]],autorest[autor_es],autorest[nacion_la])</f>
        <v>Roma</v>
      </c>
      <c r="O266" t="str">
        <f>_xlfn.XLOOKUP(frasest[[#This Row],[autor_es]],autorest[autor_es],autorest[epoca_es])</f>
        <v>Edad Antigua</v>
      </c>
      <c r="P266" t="str">
        <f>_xlfn.XLOOKUP(frasest[[#This Row],[autor_es]],autorest[autor_es],autorest[epoca_la])</f>
        <v>Antiquitas</v>
      </c>
      <c r="Q266" t="str">
        <f>_xlfn.XLOOKUP(frasest[[#This Row],[autor_es]],autorest[autor_es],autorest[imagen])</f>
        <v>https://i.ibb.co/N2qBhZS8/atanasio.png</v>
      </c>
      <c r="R266">
        <f>_xlfn.XLOOKUP(frasest[[#This Row],[autor_es]],autorest[autor_es],autorest[imagen_atr])</f>
        <v>0</v>
      </c>
    </row>
    <row r="267" spans="1:18">
      <c r="A267">
        <v>266</v>
      </c>
      <c r="B267" t="s">
        <v>965</v>
      </c>
      <c r="C267" t="s">
        <v>966</v>
      </c>
      <c r="D267" t="s">
        <v>966</v>
      </c>
      <c r="E267" t="s">
        <v>940</v>
      </c>
      <c r="F267" t="s">
        <v>967</v>
      </c>
      <c r="G267" t="str">
        <f>_xlfn.XLOOKUP(frasest[[#This Row],[autor_es]],autorest[autor_es],autorest[autor_la])</f>
        <v>Athanasius Alexandrinus</v>
      </c>
      <c r="H267" t="str">
        <f>_xlfn.XLOOKUP(frasest[[#This Row],[autor_es]],autorest[autor_es],autorest[bio_es])</f>
        <v>Obispo de Alejandría, Doctor de la Iglesia y defensor de la ortodoxia nicena contra el arrianismo. Autor de la "Vida de San Antonio", influyente en la espiritualidad monástica.</v>
      </c>
      <c r="I267" t="str">
        <f>_xlfn.XLOOKUP(frasest[[#This Row],[autor_es]],autorest[autor_es],autorest[bio_la])</f>
        <v>Episcopus Alexandrinus, Doctor Ecclesiae et defensor orthodoxiae Nicaenae contra arianismum. Auctor "Vita Sancti Antonii", in spiritualitate monastica influens.</v>
      </c>
      <c r="J267" t="str">
        <f>_xlfn.XLOOKUP(frasest[[#This Row],[autor_es]],autorest[autor_es],autorest[codigo])</f>
        <v>la</v>
      </c>
      <c r="K267" t="str">
        <f>_xlfn.XLOOKUP(frasest[[#This Row],[autor_es]],autorest[autor_es],autorest[idioma_es])</f>
        <v>Latín</v>
      </c>
      <c r="L267" t="str">
        <f>_xlfn.XLOOKUP(frasest[[#This Row],[autor_es]],autorest[autor_es],autorest[idioma_la])</f>
        <v>Lingua Latina</v>
      </c>
      <c r="M267" t="str">
        <f>_xlfn.XLOOKUP(frasest[[#This Row],[autor_es]],autorest[autor_es],autorest[nacion_es])</f>
        <v>Roma</v>
      </c>
      <c r="N267" t="str">
        <f>_xlfn.XLOOKUP(frasest[[#This Row],[autor_es]],autorest[autor_es],autorest[nacion_la])</f>
        <v>Roma</v>
      </c>
      <c r="O267" t="str">
        <f>_xlfn.XLOOKUP(frasest[[#This Row],[autor_es]],autorest[autor_es],autorest[epoca_es])</f>
        <v>Edad Antigua</v>
      </c>
      <c r="P267" t="str">
        <f>_xlfn.XLOOKUP(frasest[[#This Row],[autor_es]],autorest[autor_es],autorest[epoca_la])</f>
        <v>Antiquitas</v>
      </c>
      <c r="Q267" t="str">
        <f>_xlfn.XLOOKUP(frasest[[#This Row],[autor_es]],autorest[autor_es],autorest[imagen])</f>
        <v>https://i.ibb.co/N2qBhZS8/atanasio.png</v>
      </c>
      <c r="R267">
        <f>_xlfn.XLOOKUP(frasest[[#This Row],[autor_es]],autorest[autor_es],autorest[imagen_atr])</f>
        <v>0</v>
      </c>
    </row>
    <row r="268" spans="1:18">
      <c r="A268">
        <v>267</v>
      </c>
      <c r="B268" t="s">
        <v>968</v>
      </c>
      <c r="C268" t="s">
        <v>969</v>
      </c>
      <c r="D268" t="s">
        <v>969</v>
      </c>
      <c r="E268" t="s">
        <v>970</v>
      </c>
      <c r="F268" t="s">
        <v>971</v>
      </c>
      <c r="G268" t="str">
        <f>_xlfn.XLOOKUP(frasest[[#This Row],[autor_es]],autorest[autor_es],autorest[autor_la])</f>
        <v>Basilius Magnus</v>
      </c>
      <c r="H268" t="str">
        <f>_xlfn.XLOOKUP(frasest[[#This Row],[autor_es]],autorest[autor_es],autorest[bio_es])</f>
        <v>Obispo de Cesarea, Doctor de la Iglesia y Padre Capadocio. Hermano de San Gregorio de Nisa, organizador del monaquismo oriental y defensor de la ortodoxia nicena.</v>
      </c>
      <c r="I268" t="str">
        <f>_xlfn.XLOOKUP(frasest[[#This Row],[autor_es]],autorest[autor_es],autorest[bio_la])</f>
        <v>Episcopus Caesariensis, Doctor Ecclesiae et Pater Cappadocius. Frater Sancti Gregorii Nysseni, monasticismi orientalis organizator et orthodoxiae Nicaenae defensor.</v>
      </c>
      <c r="J268" t="str">
        <f>_xlfn.XLOOKUP(frasest[[#This Row],[autor_es]],autorest[autor_es],autorest[codigo])</f>
        <v>la</v>
      </c>
      <c r="K268" t="str">
        <f>_xlfn.XLOOKUP(frasest[[#This Row],[autor_es]],autorest[autor_es],autorest[idioma_es])</f>
        <v>Latín</v>
      </c>
      <c r="L268" t="str">
        <f>_xlfn.XLOOKUP(frasest[[#This Row],[autor_es]],autorest[autor_es],autorest[idioma_la])</f>
        <v>Lingua Latina</v>
      </c>
      <c r="M268" t="str">
        <f>_xlfn.XLOOKUP(frasest[[#This Row],[autor_es]],autorest[autor_es],autorest[nacion_es])</f>
        <v>Roma</v>
      </c>
      <c r="N268" t="str">
        <f>_xlfn.XLOOKUP(frasest[[#This Row],[autor_es]],autorest[autor_es],autorest[nacion_la])</f>
        <v>Roma</v>
      </c>
      <c r="O268" t="str">
        <f>_xlfn.XLOOKUP(frasest[[#This Row],[autor_es]],autorest[autor_es],autorest[epoca_es])</f>
        <v>Edad Antigua</v>
      </c>
      <c r="P268" t="str">
        <f>_xlfn.XLOOKUP(frasest[[#This Row],[autor_es]],autorest[autor_es],autorest[epoca_la])</f>
        <v>Antiquitas</v>
      </c>
      <c r="Q268" t="str">
        <f>_xlfn.XLOOKUP(frasest[[#This Row],[autor_es]],autorest[autor_es],autorest[imagen])</f>
        <v>https://i.ibb.co/3y7fTRWM/sanbasilio.png</v>
      </c>
      <c r="R268">
        <f>_xlfn.XLOOKUP(frasest[[#This Row],[autor_es]],autorest[autor_es],autorest[imagen_atr])</f>
        <v>0</v>
      </c>
    </row>
    <row r="269" spans="1:18">
      <c r="A269">
        <v>268</v>
      </c>
      <c r="B269" t="s">
        <v>972</v>
      </c>
      <c r="C269" t="s">
        <v>973</v>
      </c>
      <c r="D269" t="s">
        <v>973</v>
      </c>
      <c r="E269" t="s">
        <v>970</v>
      </c>
      <c r="F269" t="s">
        <v>974</v>
      </c>
      <c r="G269" t="str">
        <f>_xlfn.XLOOKUP(frasest[[#This Row],[autor_es]],autorest[autor_es],autorest[autor_la])</f>
        <v>Basilius Magnus</v>
      </c>
      <c r="H269" t="str">
        <f>_xlfn.XLOOKUP(frasest[[#This Row],[autor_es]],autorest[autor_es],autorest[bio_es])</f>
        <v>Obispo de Cesarea, Doctor de la Iglesia y Padre Capadocio. Hermano de San Gregorio de Nisa, organizador del monaquismo oriental y defensor de la ortodoxia nicena.</v>
      </c>
      <c r="I269" t="str">
        <f>_xlfn.XLOOKUP(frasest[[#This Row],[autor_es]],autorest[autor_es],autorest[bio_la])</f>
        <v>Episcopus Caesariensis, Doctor Ecclesiae et Pater Cappadocius. Frater Sancti Gregorii Nysseni, monasticismi orientalis organizator et orthodoxiae Nicaenae defensor.</v>
      </c>
      <c r="J269" t="str">
        <f>_xlfn.XLOOKUP(frasest[[#This Row],[autor_es]],autorest[autor_es],autorest[codigo])</f>
        <v>la</v>
      </c>
      <c r="K269" t="str">
        <f>_xlfn.XLOOKUP(frasest[[#This Row],[autor_es]],autorest[autor_es],autorest[idioma_es])</f>
        <v>Latín</v>
      </c>
      <c r="L269" t="str">
        <f>_xlfn.XLOOKUP(frasest[[#This Row],[autor_es]],autorest[autor_es],autorest[idioma_la])</f>
        <v>Lingua Latina</v>
      </c>
      <c r="M269" t="str">
        <f>_xlfn.XLOOKUP(frasest[[#This Row],[autor_es]],autorest[autor_es],autorest[nacion_es])</f>
        <v>Roma</v>
      </c>
      <c r="N269" t="str">
        <f>_xlfn.XLOOKUP(frasest[[#This Row],[autor_es]],autorest[autor_es],autorest[nacion_la])</f>
        <v>Roma</v>
      </c>
      <c r="O269" t="str">
        <f>_xlfn.XLOOKUP(frasest[[#This Row],[autor_es]],autorest[autor_es],autorest[epoca_es])</f>
        <v>Edad Antigua</v>
      </c>
      <c r="P269" t="str">
        <f>_xlfn.XLOOKUP(frasest[[#This Row],[autor_es]],autorest[autor_es],autorest[epoca_la])</f>
        <v>Antiquitas</v>
      </c>
      <c r="Q269" t="str">
        <f>_xlfn.XLOOKUP(frasest[[#This Row],[autor_es]],autorest[autor_es],autorest[imagen])</f>
        <v>https://i.ibb.co/3y7fTRWM/sanbasilio.png</v>
      </c>
      <c r="R269">
        <f>_xlfn.XLOOKUP(frasest[[#This Row],[autor_es]],autorest[autor_es],autorest[imagen_atr])</f>
        <v>0</v>
      </c>
    </row>
    <row r="270" spans="1:18">
      <c r="A270">
        <v>269</v>
      </c>
      <c r="B270" t="s">
        <v>975</v>
      </c>
      <c r="C270" t="s">
        <v>976</v>
      </c>
      <c r="D270" t="s">
        <v>976</v>
      </c>
      <c r="E270" t="s">
        <v>970</v>
      </c>
      <c r="F270" t="s">
        <v>977</v>
      </c>
      <c r="G270" t="str">
        <f>_xlfn.XLOOKUP(frasest[[#This Row],[autor_es]],autorest[autor_es],autorest[autor_la])</f>
        <v>Basilius Magnus</v>
      </c>
      <c r="H270" t="str">
        <f>_xlfn.XLOOKUP(frasest[[#This Row],[autor_es]],autorest[autor_es],autorest[bio_es])</f>
        <v>Obispo de Cesarea, Doctor de la Iglesia y Padre Capadocio. Hermano de San Gregorio de Nisa, organizador del monaquismo oriental y defensor de la ortodoxia nicena.</v>
      </c>
      <c r="I270" t="str">
        <f>_xlfn.XLOOKUP(frasest[[#This Row],[autor_es]],autorest[autor_es],autorest[bio_la])</f>
        <v>Episcopus Caesariensis, Doctor Ecclesiae et Pater Cappadocius. Frater Sancti Gregorii Nysseni, monasticismi orientalis organizator et orthodoxiae Nicaenae defensor.</v>
      </c>
      <c r="J270" t="str">
        <f>_xlfn.XLOOKUP(frasest[[#This Row],[autor_es]],autorest[autor_es],autorest[codigo])</f>
        <v>la</v>
      </c>
      <c r="K270" t="str">
        <f>_xlfn.XLOOKUP(frasest[[#This Row],[autor_es]],autorest[autor_es],autorest[idioma_es])</f>
        <v>Latín</v>
      </c>
      <c r="L270" t="str">
        <f>_xlfn.XLOOKUP(frasest[[#This Row],[autor_es]],autorest[autor_es],autorest[idioma_la])</f>
        <v>Lingua Latina</v>
      </c>
      <c r="M270" t="str">
        <f>_xlfn.XLOOKUP(frasest[[#This Row],[autor_es]],autorest[autor_es],autorest[nacion_es])</f>
        <v>Roma</v>
      </c>
      <c r="N270" t="str">
        <f>_xlfn.XLOOKUP(frasest[[#This Row],[autor_es]],autorest[autor_es],autorest[nacion_la])</f>
        <v>Roma</v>
      </c>
      <c r="O270" t="str">
        <f>_xlfn.XLOOKUP(frasest[[#This Row],[autor_es]],autorest[autor_es],autorest[epoca_es])</f>
        <v>Edad Antigua</v>
      </c>
      <c r="P270" t="str">
        <f>_xlfn.XLOOKUP(frasest[[#This Row],[autor_es]],autorest[autor_es],autorest[epoca_la])</f>
        <v>Antiquitas</v>
      </c>
      <c r="Q270" t="str">
        <f>_xlfn.XLOOKUP(frasest[[#This Row],[autor_es]],autorest[autor_es],autorest[imagen])</f>
        <v>https://i.ibb.co/3y7fTRWM/sanbasilio.png</v>
      </c>
      <c r="R270">
        <f>_xlfn.XLOOKUP(frasest[[#This Row],[autor_es]],autorest[autor_es],autorest[imagen_atr])</f>
        <v>0</v>
      </c>
    </row>
    <row r="271" spans="1:18">
      <c r="A271">
        <v>270</v>
      </c>
      <c r="B271" t="s">
        <v>978</v>
      </c>
      <c r="C271" t="s">
        <v>979</v>
      </c>
      <c r="D271" t="s">
        <v>979</v>
      </c>
      <c r="E271" t="s">
        <v>970</v>
      </c>
      <c r="F271" t="s">
        <v>980</v>
      </c>
      <c r="G271" t="str">
        <f>_xlfn.XLOOKUP(frasest[[#This Row],[autor_es]],autorest[autor_es],autorest[autor_la])</f>
        <v>Basilius Magnus</v>
      </c>
      <c r="H271" t="str">
        <f>_xlfn.XLOOKUP(frasest[[#This Row],[autor_es]],autorest[autor_es],autorest[bio_es])</f>
        <v>Obispo de Cesarea, Doctor de la Iglesia y Padre Capadocio. Hermano de San Gregorio de Nisa, organizador del monaquismo oriental y defensor de la ortodoxia nicena.</v>
      </c>
      <c r="I271" t="str">
        <f>_xlfn.XLOOKUP(frasest[[#This Row],[autor_es]],autorest[autor_es],autorest[bio_la])</f>
        <v>Episcopus Caesariensis, Doctor Ecclesiae et Pater Cappadocius. Frater Sancti Gregorii Nysseni, monasticismi orientalis organizator et orthodoxiae Nicaenae defensor.</v>
      </c>
      <c r="J271" t="str">
        <f>_xlfn.XLOOKUP(frasest[[#This Row],[autor_es]],autorest[autor_es],autorest[codigo])</f>
        <v>la</v>
      </c>
      <c r="K271" t="str">
        <f>_xlfn.XLOOKUP(frasest[[#This Row],[autor_es]],autorest[autor_es],autorest[idioma_es])</f>
        <v>Latín</v>
      </c>
      <c r="L271" t="str">
        <f>_xlfn.XLOOKUP(frasest[[#This Row],[autor_es]],autorest[autor_es],autorest[idioma_la])</f>
        <v>Lingua Latina</v>
      </c>
      <c r="M271" t="str">
        <f>_xlfn.XLOOKUP(frasest[[#This Row],[autor_es]],autorest[autor_es],autorest[nacion_es])</f>
        <v>Roma</v>
      </c>
      <c r="N271" t="str">
        <f>_xlfn.XLOOKUP(frasest[[#This Row],[autor_es]],autorest[autor_es],autorest[nacion_la])</f>
        <v>Roma</v>
      </c>
      <c r="O271" t="str">
        <f>_xlfn.XLOOKUP(frasest[[#This Row],[autor_es]],autorest[autor_es],autorest[epoca_es])</f>
        <v>Edad Antigua</v>
      </c>
      <c r="P271" t="str">
        <f>_xlfn.XLOOKUP(frasest[[#This Row],[autor_es]],autorest[autor_es],autorest[epoca_la])</f>
        <v>Antiquitas</v>
      </c>
      <c r="Q271" t="str">
        <f>_xlfn.XLOOKUP(frasest[[#This Row],[autor_es]],autorest[autor_es],autorest[imagen])</f>
        <v>https://i.ibb.co/3y7fTRWM/sanbasilio.png</v>
      </c>
      <c r="R271">
        <f>_xlfn.XLOOKUP(frasest[[#This Row],[autor_es]],autorest[autor_es],autorest[imagen_atr])</f>
        <v>0</v>
      </c>
    </row>
    <row r="272" spans="1:18">
      <c r="A272">
        <v>271</v>
      </c>
      <c r="B272" t="s">
        <v>981</v>
      </c>
      <c r="C272" t="s">
        <v>982</v>
      </c>
      <c r="D272" t="s">
        <v>982</v>
      </c>
      <c r="E272" t="s">
        <v>970</v>
      </c>
      <c r="F272" t="s">
        <v>983</v>
      </c>
      <c r="G272" t="str">
        <f>_xlfn.XLOOKUP(frasest[[#This Row],[autor_es]],autorest[autor_es],autorest[autor_la])</f>
        <v>Basilius Magnus</v>
      </c>
      <c r="H272" t="str">
        <f>_xlfn.XLOOKUP(frasest[[#This Row],[autor_es]],autorest[autor_es],autorest[bio_es])</f>
        <v>Obispo de Cesarea, Doctor de la Iglesia y Padre Capadocio. Hermano de San Gregorio de Nisa, organizador del monaquismo oriental y defensor de la ortodoxia nicena.</v>
      </c>
      <c r="I272" t="str">
        <f>_xlfn.XLOOKUP(frasest[[#This Row],[autor_es]],autorest[autor_es],autorest[bio_la])</f>
        <v>Episcopus Caesariensis, Doctor Ecclesiae et Pater Cappadocius. Frater Sancti Gregorii Nysseni, monasticismi orientalis organizator et orthodoxiae Nicaenae defensor.</v>
      </c>
      <c r="J272" t="str">
        <f>_xlfn.XLOOKUP(frasest[[#This Row],[autor_es]],autorest[autor_es],autorest[codigo])</f>
        <v>la</v>
      </c>
      <c r="K272" t="str">
        <f>_xlfn.XLOOKUP(frasest[[#This Row],[autor_es]],autorest[autor_es],autorest[idioma_es])</f>
        <v>Latín</v>
      </c>
      <c r="L272" t="str">
        <f>_xlfn.XLOOKUP(frasest[[#This Row],[autor_es]],autorest[autor_es],autorest[idioma_la])</f>
        <v>Lingua Latina</v>
      </c>
      <c r="M272" t="str">
        <f>_xlfn.XLOOKUP(frasest[[#This Row],[autor_es]],autorest[autor_es],autorest[nacion_es])</f>
        <v>Roma</v>
      </c>
      <c r="N272" t="str">
        <f>_xlfn.XLOOKUP(frasest[[#This Row],[autor_es]],autorest[autor_es],autorest[nacion_la])</f>
        <v>Roma</v>
      </c>
      <c r="O272" t="str">
        <f>_xlfn.XLOOKUP(frasest[[#This Row],[autor_es]],autorest[autor_es],autorest[epoca_es])</f>
        <v>Edad Antigua</v>
      </c>
      <c r="P272" t="str">
        <f>_xlfn.XLOOKUP(frasest[[#This Row],[autor_es]],autorest[autor_es],autorest[epoca_la])</f>
        <v>Antiquitas</v>
      </c>
      <c r="Q272" t="str">
        <f>_xlfn.XLOOKUP(frasest[[#This Row],[autor_es]],autorest[autor_es],autorest[imagen])</f>
        <v>https://i.ibb.co/3y7fTRWM/sanbasilio.png</v>
      </c>
      <c r="R272">
        <f>_xlfn.XLOOKUP(frasest[[#This Row],[autor_es]],autorest[autor_es],autorest[imagen_atr])</f>
        <v>0</v>
      </c>
    </row>
    <row r="273" spans="1:18">
      <c r="A273">
        <v>272</v>
      </c>
      <c r="B273" t="s">
        <v>984</v>
      </c>
      <c r="C273" t="s">
        <v>985</v>
      </c>
      <c r="D273" t="s">
        <v>985</v>
      </c>
      <c r="E273" t="s">
        <v>970</v>
      </c>
      <c r="F273" t="s">
        <v>986</v>
      </c>
      <c r="G273" t="str">
        <f>_xlfn.XLOOKUP(frasest[[#This Row],[autor_es]],autorest[autor_es],autorest[autor_la])</f>
        <v>Basilius Magnus</v>
      </c>
      <c r="H273" t="str">
        <f>_xlfn.XLOOKUP(frasest[[#This Row],[autor_es]],autorest[autor_es],autorest[bio_es])</f>
        <v>Obispo de Cesarea, Doctor de la Iglesia y Padre Capadocio. Hermano de San Gregorio de Nisa, organizador del monaquismo oriental y defensor de la ortodoxia nicena.</v>
      </c>
      <c r="I273" t="str">
        <f>_xlfn.XLOOKUP(frasest[[#This Row],[autor_es]],autorest[autor_es],autorest[bio_la])</f>
        <v>Episcopus Caesariensis, Doctor Ecclesiae et Pater Cappadocius. Frater Sancti Gregorii Nysseni, monasticismi orientalis organizator et orthodoxiae Nicaenae defensor.</v>
      </c>
      <c r="J273" t="str">
        <f>_xlfn.XLOOKUP(frasest[[#This Row],[autor_es]],autorest[autor_es],autorest[codigo])</f>
        <v>la</v>
      </c>
      <c r="K273" t="str">
        <f>_xlfn.XLOOKUP(frasest[[#This Row],[autor_es]],autorest[autor_es],autorest[idioma_es])</f>
        <v>Latín</v>
      </c>
      <c r="L273" t="str">
        <f>_xlfn.XLOOKUP(frasest[[#This Row],[autor_es]],autorest[autor_es],autorest[idioma_la])</f>
        <v>Lingua Latina</v>
      </c>
      <c r="M273" t="str">
        <f>_xlfn.XLOOKUP(frasest[[#This Row],[autor_es]],autorest[autor_es],autorest[nacion_es])</f>
        <v>Roma</v>
      </c>
      <c r="N273" t="str">
        <f>_xlfn.XLOOKUP(frasest[[#This Row],[autor_es]],autorest[autor_es],autorest[nacion_la])</f>
        <v>Roma</v>
      </c>
      <c r="O273" t="str">
        <f>_xlfn.XLOOKUP(frasest[[#This Row],[autor_es]],autorest[autor_es],autorest[epoca_es])</f>
        <v>Edad Antigua</v>
      </c>
      <c r="P273" t="str">
        <f>_xlfn.XLOOKUP(frasest[[#This Row],[autor_es]],autorest[autor_es],autorest[epoca_la])</f>
        <v>Antiquitas</v>
      </c>
      <c r="Q273" t="str">
        <f>_xlfn.XLOOKUP(frasest[[#This Row],[autor_es]],autorest[autor_es],autorest[imagen])</f>
        <v>https://i.ibb.co/3y7fTRWM/sanbasilio.png</v>
      </c>
      <c r="R273">
        <f>_xlfn.XLOOKUP(frasest[[#This Row],[autor_es]],autorest[autor_es],autorest[imagen_atr])</f>
        <v>0</v>
      </c>
    </row>
    <row r="274" spans="1:18">
      <c r="A274">
        <v>273</v>
      </c>
      <c r="B274" t="s">
        <v>987</v>
      </c>
      <c r="C274" t="s">
        <v>988</v>
      </c>
      <c r="D274" t="s">
        <v>988</v>
      </c>
      <c r="E274" t="s">
        <v>970</v>
      </c>
      <c r="F274" t="s">
        <v>989</v>
      </c>
      <c r="G274" t="str">
        <f>_xlfn.XLOOKUP(frasest[[#This Row],[autor_es]],autorest[autor_es],autorest[autor_la])</f>
        <v>Basilius Magnus</v>
      </c>
      <c r="H274" t="str">
        <f>_xlfn.XLOOKUP(frasest[[#This Row],[autor_es]],autorest[autor_es],autorest[bio_es])</f>
        <v>Obispo de Cesarea, Doctor de la Iglesia y Padre Capadocio. Hermano de San Gregorio de Nisa, organizador del monaquismo oriental y defensor de la ortodoxia nicena.</v>
      </c>
      <c r="I274" t="str">
        <f>_xlfn.XLOOKUP(frasest[[#This Row],[autor_es]],autorest[autor_es],autorest[bio_la])</f>
        <v>Episcopus Caesariensis, Doctor Ecclesiae et Pater Cappadocius. Frater Sancti Gregorii Nysseni, monasticismi orientalis organizator et orthodoxiae Nicaenae defensor.</v>
      </c>
      <c r="J274" t="str">
        <f>_xlfn.XLOOKUP(frasest[[#This Row],[autor_es]],autorest[autor_es],autorest[codigo])</f>
        <v>la</v>
      </c>
      <c r="K274" t="str">
        <f>_xlfn.XLOOKUP(frasest[[#This Row],[autor_es]],autorest[autor_es],autorest[idioma_es])</f>
        <v>Latín</v>
      </c>
      <c r="L274" t="str">
        <f>_xlfn.XLOOKUP(frasest[[#This Row],[autor_es]],autorest[autor_es],autorest[idioma_la])</f>
        <v>Lingua Latina</v>
      </c>
      <c r="M274" t="str">
        <f>_xlfn.XLOOKUP(frasest[[#This Row],[autor_es]],autorest[autor_es],autorest[nacion_es])</f>
        <v>Roma</v>
      </c>
      <c r="N274" t="str">
        <f>_xlfn.XLOOKUP(frasest[[#This Row],[autor_es]],autorest[autor_es],autorest[nacion_la])</f>
        <v>Roma</v>
      </c>
      <c r="O274" t="str">
        <f>_xlfn.XLOOKUP(frasest[[#This Row],[autor_es]],autorest[autor_es],autorest[epoca_es])</f>
        <v>Edad Antigua</v>
      </c>
      <c r="P274" t="str">
        <f>_xlfn.XLOOKUP(frasest[[#This Row],[autor_es]],autorest[autor_es],autorest[epoca_la])</f>
        <v>Antiquitas</v>
      </c>
      <c r="Q274" t="str">
        <f>_xlfn.XLOOKUP(frasest[[#This Row],[autor_es]],autorest[autor_es],autorest[imagen])</f>
        <v>https://i.ibb.co/3y7fTRWM/sanbasilio.png</v>
      </c>
      <c r="R274">
        <f>_xlfn.XLOOKUP(frasest[[#This Row],[autor_es]],autorest[autor_es],autorest[imagen_atr])</f>
        <v>0</v>
      </c>
    </row>
    <row r="275" spans="1:18">
      <c r="A275">
        <v>274</v>
      </c>
      <c r="B275" t="s">
        <v>990</v>
      </c>
      <c r="C275" t="s">
        <v>991</v>
      </c>
      <c r="D275" t="s">
        <v>991</v>
      </c>
      <c r="E275" t="s">
        <v>970</v>
      </c>
      <c r="F275" t="s">
        <v>992</v>
      </c>
      <c r="G275" t="str">
        <f>_xlfn.XLOOKUP(frasest[[#This Row],[autor_es]],autorest[autor_es],autorest[autor_la])</f>
        <v>Basilius Magnus</v>
      </c>
      <c r="H275" t="str">
        <f>_xlfn.XLOOKUP(frasest[[#This Row],[autor_es]],autorest[autor_es],autorest[bio_es])</f>
        <v>Obispo de Cesarea, Doctor de la Iglesia y Padre Capadocio. Hermano de San Gregorio de Nisa, organizador del monaquismo oriental y defensor de la ortodoxia nicena.</v>
      </c>
      <c r="I275" t="str">
        <f>_xlfn.XLOOKUP(frasest[[#This Row],[autor_es]],autorest[autor_es],autorest[bio_la])</f>
        <v>Episcopus Caesariensis, Doctor Ecclesiae et Pater Cappadocius. Frater Sancti Gregorii Nysseni, monasticismi orientalis organizator et orthodoxiae Nicaenae defensor.</v>
      </c>
      <c r="J275" t="str">
        <f>_xlfn.XLOOKUP(frasest[[#This Row],[autor_es]],autorest[autor_es],autorest[codigo])</f>
        <v>la</v>
      </c>
      <c r="K275" t="str">
        <f>_xlfn.XLOOKUP(frasest[[#This Row],[autor_es]],autorest[autor_es],autorest[idioma_es])</f>
        <v>Latín</v>
      </c>
      <c r="L275" t="str">
        <f>_xlfn.XLOOKUP(frasest[[#This Row],[autor_es]],autorest[autor_es],autorest[idioma_la])</f>
        <v>Lingua Latina</v>
      </c>
      <c r="M275" t="str">
        <f>_xlfn.XLOOKUP(frasest[[#This Row],[autor_es]],autorest[autor_es],autorest[nacion_es])</f>
        <v>Roma</v>
      </c>
      <c r="N275" t="str">
        <f>_xlfn.XLOOKUP(frasest[[#This Row],[autor_es]],autorest[autor_es],autorest[nacion_la])</f>
        <v>Roma</v>
      </c>
      <c r="O275" t="str">
        <f>_xlfn.XLOOKUP(frasest[[#This Row],[autor_es]],autorest[autor_es],autorest[epoca_es])</f>
        <v>Edad Antigua</v>
      </c>
      <c r="P275" t="str">
        <f>_xlfn.XLOOKUP(frasest[[#This Row],[autor_es]],autorest[autor_es],autorest[epoca_la])</f>
        <v>Antiquitas</v>
      </c>
      <c r="Q275" t="str">
        <f>_xlfn.XLOOKUP(frasest[[#This Row],[autor_es]],autorest[autor_es],autorest[imagen])</f>
        <v>https://i.ibb.co/3y7fTRWM/sanbasilio.png</v>
      </c>
      <c r="R275">
        <f>_xlfn.XLOOKUP(frasest[[#This Row],[autor_es]],autorest[autor_es],autorest[imagen_atr])</f>
        <v>0</v>
      </c>
    </row>
    <row r="276" spans="1:18">
      <c r="A276">
        <v>275</v>
      </c>
      <c r="B276" t="s">
        <v>993</v>
      </c>
      <c r="C276" t="s">
        <v>994</v>
      </c>
      <c r="D276" t="s">
        <v>994</v>
      </c>
      <c r="E276" t="s">
        <v>970</v>
      </c>
      <c r="F276" t="s">
        <v>995</v>
      </c>
      <c r="G276" t="str">
        <f>_xlfn.XLOOKUP(frasest[[#This Row],[autor_es]],autorest[autor_es],autorest[autor_la])</f>
        <v>Basilius Magnus</v>
      </c>
      <c r="H276" t="str">
        <f>_xlfn.XLOOKUP(frasest[[#This Row],[autor_es]],autorest[autor_es],autorest[bio_es])</f>
        <v>Obispo de Cesarea, Doctor de la Iglesia y Padre Capadocio. Hermano de San Gregorio de Nisa, organizador del monaquismo oriental y defensor de la ortodoxia nicena.</v>
      </c>
      <c r="I276" t="str">
        <f>_xlfn.XLOOKUP(frasest[[#This Row],[autor_es]],autorest[autor_es],autorest[bio_la])</f>
        <v>Episcopus Caesariensis, Doctor Ecclesiae et Pater Cappadocius. Frater Sancti Gregorii Nysseni, monasticismi orientalis organizator et orthodoxiae Nicaenae defensor.</v>
      </c>
      <c r="J276" t="str">
        <f>_xlfn.XLOOKUP(frasest[[#This Row],[autor_es]],autorest[autor_es],autorest[codigo])</f>
        <v>la</v>
      </c>
      <c r="K276" t="str">
        <f>_xlfn.XLOOKUP(frasest[[#This Row],[autor_es]],autorest[autor_es],autorest[idioma_es])</f>
        <v>Latín</v>
      </c>
      <c r="L276" t="str">
        <f>_xlfn.XLOOKUP(frasest[[#This Row],[autor_es]],autorest[autor_es],autorest[idioma_la])</f>
        <v>Lingua Latina</v>
      </c>
      <c r="M276" t="str">
        <f>_xlfn.XLOOKUP(frasest[[#This Row],[autor_es]],autorest[autor_es],autorest[nacion_es])</f>
        <v>Roma</v>
      </c>
      <c r="N276" t="str">
        <f>_xlfn.XLOOKUP(frasest[[#This Row],[autor_es]],autorest[autor_es],autorest[nacion_la])</f>
        <v>Roma</v>
      </c>
      <c r="O276" t="str">
        <f>_xlfn.XLOOKUP(frasest[[#This Row],[autor_es]],autorest[autor_es],autorest[epoca_es])</f>
        <v>Edad Antigua</v>
      </c>
      <c r="P276" t="str">
        <f>_xlfn.XLOOKUP(frasest[[#This Row],[autor_es]],autorest[autor_es],autorest[epoca_la])</f>
        <v>Antiquitas</v>
      </c>
      <c r="Q276" t="str">
        <f>_xlfn.XLOOKUP(frasest[[#This Row],[autor_es]],autorest[autor_es],autorest[imagen])</f>
        <v>https://i.ibb.co/3y7fTRWM/sanbasilio.png</v>
      </c>
      <c r="R276">
        <f>_xlfn.XLOOKUP(frasest[[#This Row],[autor_es]],autorest[autor_es],autorest[imagen_atr])</f>
        <v>0</v>
      </c>
    </row>
    <row r="277" spans="1:18">
      <c r="A277">
        <v>276</v>
      </c>
      <c r="B277" t="s">
        <v>996</v>
      </c>
      <c r="C277" t="s">
        <v>997</v>
      </c>
      <c r="D277" t="s">
        <v>997</v>
      </c>
      <c r="E277" t="s">
        <v>970</v>
      </c>
      <c r="F277" t="s">
        <v>998</v>
      </c>
      <c r="G277" t="str">
        <f>_xlfn.XLOOKUP(frasest[[#This Row],[autor_es]],autorest[autor_es],autorest[autor_la])</f>
        <v>Basilius Magnus</v>
      </c>
      <c r="H277" t="str">
        <f>_xlfn.XLOOKUP(frasest[[#This Row],[autor_es]],autorest[autor_es],autorest[bio_es])</f>
        <v>Obispo de Cesarea, Doctor de la Iglesia y Padre Capadocio. Hermano de San Gregorio de Nisa, organizador del monaquismo oriental y defensor de la ortodoxia nicena.</v>
      </c>
      <c r="I277" t="str">
        <f>_xlfn.XLOOKUP(frasest[[#This Row],[autor_es]],autorest[autor_es],autorest[bio_la])</f>
        <v>Episcopus Caesariensis, Doctor Ecclesiae et Pater Cappadocius. Frater Sancti Gregorii Nysseni, monasticismi orientalis organizator et orthodoxiae Nicaenae defensor.</v>
      </c>
      <c r="J277" t="str">
        <f>_xlfn.XLOOKUP(frasest[[#This Row],[autor_es]],autorest[autor_es],autorest[codigo])</f>
        <v>la</v>
      </c>
      <c r="K277" t="str">
        <f>_xlfn.XLOOKUP(frasest[[#This Row],[autor_es]],autorest[autor_es],autorest[idioma_es])</f>
        <v>Latín</v>
      </c>
      <c r="L277" t="str">
        <f>_xlfn.XLOOKUP(frasest[[#This Row],[autor_es]],autorest[autor_es],autorest[idioma_la])</f>
        <v>Lingua Latina</v>
      </c>
      <c r="M277" t="str">
        <f>_xlfn.XLOOKUP(frasest[[#This Row],[autor_es]],autorest[autor_es],autorest[nacion_es])</f>
        <v>Roma</v>
      </c>
      <c r="N277" t="str">
        <f>_xlfn.XLOOKUP(frasest[[#This Row],[autor_es]],autorest[autor_es],autorest[nacion_la])</f>
        <v>Roma</v>
      </c>
      <c r="O277" t="str">
        <f>_xlfn.XLOOKUP(frasest[[#This Row],[autor_es]],autorest[autor_es],autorest[epoca_es])</f>
        <v>Edad Antigua</v>
      </c>
      <c r="P277" t="str">
        <f>_xlfn.XLOOKUP(frasest[[#This Row],[autor_es]],autorest[autor_es],autorest[epoca_la])</f>
        <v>Antiquitas</v>
      </c>
      <c r="Q277" t="str">
        <f>_xlfn.XLOOKUP(frasest[[#This Row],[autor_es]],autorest[autor_es],autorest[imagen])</f>
        <v>https://i.ibb.co/3y7fTRWM/sanbasilio.png</v>
      </c>
      <c r="R277">
        <f>_xlfn.XLOOKUP(frasest[[#This Row],[autor_es]],autorest[autor_es],autorest[imagen_atr])</f>
        <v>0</v>
      </c>
    </row>
    <row r="278" spans="1:18">
      <c r="A278">
        <v>277</v>
      </c>
      <c r="B278" t="s">
        <v>999</v>
      </c>
      <c r="C278" t="s">
        <v>1000</v>
      </c>
      <c r="D278" t="s">
        <v>1001</v>
      </c>
      <c r="E278" t="s">
        <v>1002</v>
      </c>
      <c r="F278" t="s">
        <v>1003</v>
      </c>
      <c r="G278" t="str">
        <f>_xlfn.XLOOKUP(frasest[[#This Row],[autor_es]],autorest[autor_es],autorest[autor_la])</f>
        <v>Gregorius Nazianzenus</v>
      </c>
      <c r="H278" t="str">
        <f>_xlfn.XLOOKUP(frasest[[#This Row],[autor_es]],autorest[autor_es],autorest[bio_es])</f>
        <v>Arzobispo de Constantinopla, Doctor de la Iglesia y Padre Capadocio. Llamado "el Teólogo", gran orador y defensor de la Trinidad. Uno de los tres Padres Capadocios.</v>
      </c>
      <c r="I278" t="str">
        <f>_xlfn.XLOOKUP(frasest[[#This Row],[autor_es]],autorest[autor_es],autorest[bio_la])</f>
        <v>Archiepiscopus Constantinopolitanus, Doctor Ecclesiae et Pater Cappadocius. "Theologus" vocatus, orator magnus et defensor Trinitatis. Unus ex tribus Patribus Cappadociis.</v>
      </c>
      <c r="J278" t="str">
        <f>_xlfn.XLOOKUP(frasest[[#This Row],[autor_es]],autorest[autor_es],autorest[codigo])</f>
        <v>la</v>
      </c>
      <c r="K278" t="str">
        <f>_xlfn.XLOOKUP(frasest[[#This Row],[autor_es]],autorest[autor_es],autorest[idioma_es])</f>
        <v>Latín</v>
      </c>
      <c r="L278" t="str">
        <f>_xlfn.XLOOKUP(frasest[[#This Row],[autor_es]],autorest[autor_es],autorest[idioma_la])</f>
        <v>Lingua Latina</v>
      </c>
      <c r="M278" t="str">
        <f>_xlfn.XLOOKUP(frasest[[#This Row],[autor_es]],autorest[autor_es],autorest[nacion_es])</f>
        <v>Roma</v>
      </c>
      <c r="N278" t="str">
        <f>_xlfn.XLOOKUP(frasest[[#This Row],[autor_es]],autorest[autor_es],autorest[nacion_la])</f>
        <v>Roma</v>
      </c>
      <c r="O278" t="str">
        <f>_xlfn.XLOOKUP(frasest[[#This Row],[autor_es]],autorest[autor_es],autorest[epoca_es])</f>
        <v>Edad Antigua</v>
      </c>
      <c r="P278" t="str">
        <f>_xlfn.XLOOKUP(frasest[[#This Row],[autor_es]],autorest[autor_es],autorest[epoca_la])</f>
        <v>Antiquitas</v>
      </c>
      <c r="Q278" t="str">
        <f>_xlfn.XLOOKUP(frasest[[#This Row],[autor_es]],autorest[autor_es],autorest[imagen])</f>
        <v>https://i.ibb.co/whvy5Lhm/sangregorioana.png</v>
      </c>
      <c r="R278">
        <f>_xlfn.XLOOKUP(frasest[[#This Row],[autor_es]],autorest[autor_es],autorest[imagen_atr])</f>
        <v>0</v>
      </c>
    </row>
    <row r="279" spans="1:18">
      <c r="A279">
        <v>278</v>
      </c>
      <c r="B279" t="s">
        <v>1004</v>
      </c>
      <c r="C279" t="s">
        <v>1005</v>
      </c>
      <c r="D279" t="s">
        <v>1005</v>
      </c>
      <c r="E279" t="s">
        <v>1002</v>
      </c>
      <c r="F279" t="s">
        <v>1006</v>
      </c>
      <c r="G279" t="str">
        <f>_xlfn.XLOOKUP(frasest[[#This Row],[autor_es]],autorest[autor_es],autorest[autor_la])</f>
        <v>Gregorius Nazianzenus</v>
      </c>
      <c r="H279" t="str">
        <f>_xlfn.XLOOKUP(frasest[[#This Row],[autor_es]],autorest[autor_es],autorest[bio_es])</f>
        <v>Arzobispo de Constantinopla, Doctor de la Iglesia y Padre Capadocio. Llamado "el Teólogo", gran orador y defensor de la Trinidad. Uno de los tres Padres Capadocios.</v>
      </c>
      <c r="I279" t="str">
        <f>_xlfn.XLOOKUP(frasest[[#This Row],[autor_es]],autorest[autor_es],autorest[bio_la])</f>
        <v>Archiepiscopus Constantinopolitanus, Doctor Ecclesiae et Pater Cappadocius. "Theologus" vocatus, orator magnus et defensor Trinitatis. Unus ex tribus Patribus Cappadociis.</v>
      </c>
      <c r="J279" t="str">
        <f>_xlfn.XLOOKUP(frasest[[#This Row],[autor_es]],autorest[autor_es],autorest[codigo])</f>
        <v>la</v>
      </c>
      <c r="K279" t="str">
        <f>_xlfn.XLOOKUP(frasest[[#This Row],[autor_es]],autorest[autor_es],autorest[idioma_es])</f>
        <v>Latín</v>
      </c>
      <c r="L279" t="str">
        <f>_xlfn.XLOOKUP(frasest[[#This Row],[autor_es]],autorest[autor_es],autorest[idioma_la])</f>
        <v>Lingua Latina</v>
      </c>
      <c r="M279" t="str">
        <f>_xlfn.XLOOKUP(frasest[[#This Row],[autor_es]],autorest[autor_es],autorest[nacion_es])</f>
        <v>Roma</v>
      </c>
      <c r="N279" t="str">
        <f>_xlfn.XLOOKUP(frasest[[#This Row],[autor_es]],autorest[autor_es],autorest[nacion_la])</f>
        <v>Roma</v>
      </c>
      <c r="O279" t="str">
        <f>_xlfn.XLOOKUP(frasest[[#This Row],[autor_es]],autorest[autor_es],autorest[epoca_es])</f>
        <v>Edad Antigua</v>
      </c>
      <c r="P279" t="str">
        <f>_xlfn.XLOOKUP(frasest[[#This Row],[autor_es]],autorest[autor_es],autorest[epoca_la])</f>
        <v>Antiquitas</v>
      </c>
      <c r="Q279" t="str">
        <f>_xlfn.XLOOKUP(frasest[[#This Row],[autor_es]],autorest[autor_es],autorest[imagen])</f>
        <v>https://i.ibb.co/whvy5Lhm/sangregorioana.png</v>
      </c>
      <c r="R279">
        <f>_xlfn.XLOOKUP(frasest[[#This Row],[autor_es]],autorest[autor_es],autorest[imagen_atr])</f>
        <v>0</v>
      </c>
    </row>
    <row r="280" spans="1:18">
      <c r="A280">
        <v>279</v>
      </c>
      <c r="B280" t="s">
        <v>1007</v>
      </c>
      <c r="C280" t="s">
        <v>1008</v>
      </c>
      <c r="D280" t="s">
        <v>1008</v>
      </c>
      <c r="E280" t="s">
        <v>1002</v>
      </c>
      <c r="F280" t="s">
        <v>1009</v>
      </c>
      <c r="G280" t="str">
        <f>_xlfn.XLOOKUP(frasest[[#This Row],[autor_es]],autorest[autor_es],autorest[autor_la])</f>
        <v>Gregorius Nazianzenus</v>
      </c>
      <c r="H280" t="str">
        <f>_xlfn.XLOOKUP(frasest[[#This Row],[autor_es]],autorest[autor_es],autorest[bio_es])</f>
        <v>Arzobispo de Constantinopla, Doctor de la Iglesia y Padre Capadocio. Llamado "el Teólogo", gran orador y defensor de la Trinidad. Uno de los tres Padres Capadocios.</v>
      </c>
      <c r="I280" t="str">
        <f>_xlfn.XLOOKUP(frasest[[#This Row],[autor_es]],autorest[autor_es],autorest[bio_la])</f>
        <v>Archiepiscopus Constantinopolitanus, Doctor Ecclesiae et Pater Cappadocius. "Theologus" vocatus, orator magnus et defensor Trinitatis. Unus ex tribus Patribus Cappadociis.</v>
      </c>
      <c r="J280" t="str">
        <f>_xlfn.XLOOKUP(frasest[[#This Row],[autor_es]],autorest[autor_es],autorest[codigo])</f>
        <v>la</v>
      </c>
      <c r="K280" t="str">
        <f>_xlfn.XLOOKUP(frasest[[#This Row],[autor_es]],autorest[autor_es],autorest[idioma_es])</f>
        <v>Latín</v>
      </c>
      <c r="L280" t="str">
        <f>_xlfn.XLOOKUP(frasest[[#This Row],[autor_es]],autorest[autor_es],autorest[idioma_la])</f>
        <v>Lingua Latina</v>
      </c>
      <c r="M280" t="str">
        <f>_xlfn.XLOOKUP(frasest[[#This Row],[autor_es]],autorest[autor_es],autorest[nacion_es])</f>
        <v>Roma</v>
      </c>
      <c r="N280" t="str">
        <f>_xlfn.XLOOKUP(frasest[[#This Row],[autor_es]],autorest[autor_es],autorest[nacion_la])</f>
        <v>Roma</v>
      </c>
      <c r="O280" t="str">
        <f>_xlfn.XLOOKUP(frasest[[#This Row],[autor_es]],autorest[autor_es],autorest[epoca_es])</f>
        <v>Edad Antigua</v>
      </c>
      <c r="P280" t="str">
        <f>_xlfn.XLOOKUP(frasest[[#This Row],[autor_es]],autorest[autor_es],autorest[epoca_la])</f>
        <v>Antiquitas</v>
      </c>
      <c r="Q280" t="str">
        <f>_xlfn.XLOOKUP(frasest[[#This Row],[autor_es]],autorest[autor_es],autorest[imagen])</f>
        <v>https://i.ibb.co/whvy5Lhm/sangregorioana.png</v>
      </c>
      <c r="R280">
        <f>_xlfn.XLOOKUP(frasest[[#This Row],[autor_es]],autorest[autor_es],autorest[imagen_atr])</f>
        <v>0</v>
      </c>
    </row>
    <row r="281" spans="1:18">
      <c r="A281">
        <v>280</v>
      </c>
      <c r="B281" t="s">
        <v>1010</v>
      </c>
      <c r="C281" t="s">
        <v>1011</v>
      </c>
      <c r="D281" t="s">
        <v>1011</v>
      </c>
      <c r="E281" t="s">
        <v>1002</v>
      </c>
      <c r="F281" t="s">
        <v>1012</v>
      </c>
      <c r="G281" t="str">
        <f>_xlfn.XLOOKUP(frasest[[#This Row],[autor_es]],autorest[autor_es],autorest[autor_la])</f>
        <v>Gregorius Nazianzenus</v>
      </c>
      <c r="H281" t="str">
        <f>_xlfn.XLOOKUP(frasest[[#This Row],[autor_es]],autorest[autor_es],autorest[bio_es])</f>
        <v>Arzobispo de Constantinopla, Doctor de la Iglesia y Padre Capadocio. Llamado "el Teólogo", gran orador y defensor de la Trinidad. Uno de los tres Padres Capadocios.</v>
      </c>
      <c r="I281" t="str">
        <f>_xlfn.XLOOKUP(frasest[[#This Row],[autor_es]],autorest[autor_es],autorest[bio_la])</f>
        <v>Archiepiscopus Constantinopolitanus, Doctor Ecclesiae et Pater Cappadocius. "Theologus" vocatus, orator magnus et defensor Trinitatis. Unus ex tribus Patribus Cappadociis.</v>
      </c>
      <c r="J281" t="str">
        <f>_xlfn.XLOOKUP(frasest[[#This Row],[autor_es]],autorest[autor_es],autorest[codigo])</f>
        <v>la</v>
      </c>
      <c r="K281" t="str">
        <f>_xlfn.XLOOKUP(frasest[[#This Row],[autor_es]],autorest[autor_es],autorest[idioma_es])</f>
        <v>Latín</v>
      </c>
      <c r="L281" t="str">
        <f>_xlfn.XLOOKUP(frasest[[#This Row],[autor_es]],autorest[autor_es],autorest[idioma_la])</f>
        <v>Lingua Latina</v>
      </c>
      <c r="M281" t="str">
        <f>_xlfn.XLOOKUP(frasest[[#This Row],[autor_es]],autorest[autor_es],autorest[nacion_es])</f>
        <v>Roma</v>
      </c>
      <c r="N281" t="str">
        <f>_xlfn.XLOOKUP(frasest[[#This Row],[autor_es]],autorest[autor_es],autorest[nacion_la])</f>
        <v>Roma</v>
      </c>
      <c r="O281" t="str">
        <f>_xlfn.XLOOKUP(frasest[[#This Row],[autor_es]],autorest[autor_es],autorest[epoca_es])</f>
        <v>Edad Antigua</v>
      </c>
      <c r="P281" t="str">
        <f>_xlfn.XLOOKUP(frasest[[#This Row],[autor_es]],autorest[autor_es],autorest[epoca_la])</f>
        <v>Antiquitas</v>
      </c>
      <c r="Q281" t="str">
        <f>_xlfn.XLOOKUP(frasest[[#This Row],[autor_es]],autorest[autor_es],autorest[imagen])</f>
        <v>https://i.ibb.co/whvy5Lhm/sangregorioana.png</v>
      </c>
      <c r="R281">
        <f>_xlfn.XLOOKUP(frasest[[#This Row],[autor_es]],autorest[autor_es],autorest[imagen_atr])</f>
        <v>0</v>
      </c>
    </row>
    <row r="282" spans="1:18">
      <c r="A282">
        <v>281</v>
      </c>
      <c r="B282" t="s">
        <v>1013</v>
      </c>
      <c r="C282" t="s">
        <v>1014</v>
      </c>
      <c r="D282" t="s">
        <v>1014</v>
      </c>
      <c r="E282" t="s">
        <v>1002</v>
      </c>
      <c r="F282" t="s">
        <v>1015</v>
      </c>
      <c r="G282" t="str">
        <f>_xlfn.XLOOKUP(frasest[[#This Row],[autor_es]],autorest[autor_es],autorest[autor_la])</f>
        <v>Gregorius Nazianzenus</v>
      </c>
      <c r="H282" t="str">
        <f>_xlfn.XLOOKUP(frasest[[#This Row],[autor_es]],autorest[autor_es],autorest[bio_es])</f>
        <v>Arzobispo de Constantinopla, Doctor de la Iglesia y Padre Capadocio. Llamado "el Teólogo", gran orador y defensor de la Trinidad. Uno de los tres Padres Capadocios.</v>
      </c>
      <c r="I282" t="str">
        <f>_xlfn.XLOOKUP(frasest[[#This Row],[autor_es]],autorest[autor_es],autorest[bio_la])</f>
        <v>Archiepiscopus Constantinopolitanus, Doctor Ecclesiae et Pater Cappadocius. "Theologus" vocatus, orator magnus et defensor Trinitatis. Unus ex tribus Patribus Cappadociis.</v>
      </c>
      <c r="J282" t="str">
        <f>_xlfn.XLOOKUP(frasest[[#This Row],[autor_es]],autorest[autor_es],autorest[codigo])</f>
        <v>la</v>
      </c>
      <c r="K282" t="str">
        <f>_xlfn.XLOOKUP(frasest[[#This Row],[autor_es]],autorest[autor_es],autorest[idioma_es])</f>
        <v>Latín</v>
      </c>
      <c r="L282" t="str">
        <f>_xlfn.XLOOKUP(frasest[[#This Row],[autor_es]],autorest[autor_es],autorest[idioma_la])</f>
        <v>Lingua Latina</v>
      </c>
      <c r="M282" t="str">
        <f>_xlfn.XLOOKUP(frasest[[#This Row],[autor_es]],autorest[autor_es],autorest[nacion_es])</f>
        <v>Roma</v>
      </c>
      <c r="N282" t="str">
        <f>_xlfn.XLOOKUP(frasest[[#This Row],[autor_es]],autorest[autor_es],autorest[nacion_la])</f>
        <v>Roma</v>
      </c>
      <c r="O282" t="str">
        <f>_xlfn.XLOOKUP(frasest[[#This Row],[autor_es]],autorest[autor_es],autorest[epoca_es])</f>
        <v>Edad Antigua</v>
      </c>
      <c r="P282" t="str">
        <f>_xlfn.XLOOKUP(frasest[[#This Row],[autor_es]],autorest[autor_es],autorest[epoca_la])</f>
        <v>Antiquitas</v>
      </c>
      <c r="Q282" t="str">
        <f>_xlfn.XLOOKUP(frasest[[#This Row],[autor_es]],autorest[autor_es],autorest[imagen])</f>
        <v>https://i.ibb.co/whvy5Lhm/sangregorioana.png</v>
      </c>
      <c r="R282">
        <f>_xlfn.XLOOKUP(frasest[[#This Row],[autor_es]],autorest[autor_es],autorest[imagen_atr])</f>
        <v>0</v>
      </c>
    </row>
    <row r="283" spans="1:18">
      <c r="A283">
        <v>282</v>
      </c>
      <c r="B283" t="s">
        <v>1016</v>
      </c>
      <c r="C283" t="s">
        <v>1017</v>
      </c>
      <c r="D283" t="s">
        <v>1017</v>
      </c>
      <c r="E283" t="s">
        <v>1002</v>
      </c>
      <c r="F283" t="s">
        <v>1018</v>
      </c>
      <c r="G283" t="str">
        <f>_xlfn.XLOOKUP(frasest[[#This Row],[autor_es]],autorest[autor_es],autorest[autor_la])</f>
        <v>Gregorius Nazianzenus</v>
      </c>
      <c r="H283" t="str">
        <f>_xlfn.XLOOKUP(frasest[[#This Row],[autor_es]],autorest[autor_es],autorest[bio_es])</f>
        <v>Arzobispo de Constantinopla, Doctor de la Iglesia y Padre Capadocio. Llamado "el Teólogo", gran orador y defensor de la Trinidad. Uno de los tres Padres Capadocios.</v>
      </c>
      <c r="I283" t="str">
        <f>_xlfn.XLOOKUP(frasest[[#This Row],[autor_es]],autorest[autor_es],autorest[bio_la])</f>
        <v>Archiepiscopus Constantinopolitanus, Doctor Ecclesiae et Pater Cappadocius. "Theologus" vocatus, orator magnus et defensor Trinitatis. Unus ex tribus Patribus Cappadociis.</v>
      </c>
      <c r="J283" t="str">
        <f>_xlfn.XLOOKUP(frasest[[#This Row],[autor_es]],autorest[autor_es],autorest[codigo])</f>
        <v>la</v>
      </c>
      <c r="K283" t="str">
        <f>_xlfn.XLOOKUP(frasest[[#This Row],[autor_es]],autorest[autor_es],autorest[idioma_es])</f>
        <v>Latín</v>
      </c>
      <c r="L283" t="str">
        <f>_xlfn.XLOOKUP(frasest[[#This Row],[autor_es]],autorest[autor_es],autorest[idioma_la])</f>
        <v>Lingua Latina</v>
      </c>
      <c r="M283" t="str">
        <f>_xlfn.XLOOKUP(frasest[[#This Row],[autor_es]],autorest[autor_es],autorest[nacion_es])</f>
        <v>Roma</v>
      </c>
      <c r="N283" t="str">
        <f>_xlfn.XLOOKUP(frasest[[#This Row],[autor_es]],autorest[autor_es],autorest[nacion_la])</f>
        <v>Roma</v>
      </c>
      <c r="O283" t="str">
        <f>_xlfn.XLOOKUP(frasest[[#This Row],[autor_es]],autorest[autor_es],autorest[epoca_es])</f>
        <v>Edad Antigua</v>
      </c>
      <c r="P283" t="str">
        <f>_xlfn.XLOOKUP(frasest[[#This Row],[autor_es]],autorest[autor_es],autorest[epoca_la])</f>
        <v>Antiquitas</v>
      </c>
      <c r="Q283" t="str">
        <f>_xlfn.XLOOKUP(frasest[[#This Row],[autor_es]],autorest[autor_es],autorest[imagen])</f>
        <v>https://i.ibb.co/whvy5Lhm/sangregorioana.png</v>
      </c>
      <c r="R283">
        <f>_xlfn.XLOOKUP(frasest[[#This Row],[autor_es]],autorest[autor_es],autorest[imagen_atr])</f>
        <v>0</v>
      </c>
    </row>
    <row r="284" spans="1:18">
      <c r="A284">
        <v>283</v>
      </c>
      <c r="B284" t="s">
        <v>1019</v>
      </c>
      <c r="C284" t="s">
        <v>1020</v>
      </c>
      <c r="D284" t="s">
        <v>1020</v>
      </c>
      <c r="E284" t="s">
        <v>1002</v>
      </c>
      <c r="F284" t="s">
        <v>1021</v>
      </c>
      <c r="G284" t="str">
        <f>_xlfn.XLOOKUP(frasest[[#This Row],[autor_es]],autorest[autor_es],autorest[autor_la])</f>
        <v>Gregorius Nazianzenus</v>
      </c>
      <c r="H284" t="str">
        <f>_xlfn.XLOOKUP(frasest[[#This Row],[autor_es]],autorest[autor_es],autorest[bio_es])</f>
        <v>Arzobispo de Constantinopla, Doctor de la Iglesia y Padre Capadocio. Llamado "el Teólogo", gran orador y defensor de la Trinidad. Uno de los tres Padres Capadocios.</v>
      </c>
      <c r="I284" t="str">
        <f>_xlfn.XLOOKUP(frasest[[#This Row],[autor_es]],autorest[autor_es],autorest[bio_la])</f>
        <v>Archiepiscopus Constantinopolitanus, Doctor Ecclesiae et Pater Cappadocius. "Theologus" vocatus, orator magnus et defensor Trinitatis. Unus ex tribus Patribus Cappadociis.</v>
      </c>
      <c r="J284" t="str">
        <f>_xlfn.XLOOKUP(frasest[[#This Row],[autor_es]],autorest[autor_es],autorest[codigo])</f>
        <v>la</v>
      </c>
      <c r="K284" t="str">
        <f>_xlfn.XLOOKUP(frasest[[#This Row],[autor_es]],autorest[autor_es],autorest[idioma_es])</f>
        <v>Latín</v>
      </c>
      <c r="L284" t="str">
        <f>_xlfn.XLOOKUP(frasest[[#This Row],[autor_es]],autorest[autor_es],autorest[idioma_la])</f>
        <v>Lingua Latina</v>
      </c>
      <c r="M284" t="str">
        <f>_xlfn.XLOOKUP(frasest[[#This Row],[autor_es]],autorest[autor_es],autorest[nacion_es])</f>
        <v>Roma</v>
      </c>
      <c r="N284" t="str">
        <f>_xlfn.XLOOKUP(frasest[[#This Row],[autor_es]],autorest[autor_es],autorest[nacion_la])</f>
        <v>Roma</v>
      </c>
      <c r="O284" t="str">
        <f>_xlfn.XLOOKUP(frasest[[#This Row],[autor_es]],autorest[autor_es],autorest[epoca_es])</f>
        <v>Edad Antigua</v>
      </c>
      <c r="P284" t="str">
        <f>_xlfn.XLOOKUP(frasest[[#This Row],[autor_es]],autorest[autor_es],autorest[epoca_la])</f>
        <v>Antiquitas</v>
      </c>
      <c r="Q284" t="str">
        <f>_xlfn.XLOOKUP(frasest[[#This Row],[autor_es]],autorest[autor_es],autorest[imagen])</f>
        <v>https://i.ibb.co/whvy5Lhm/sangregorioana.png</v>
      </c>
      <c r="R284">
        <f>_xlfn.XLOOKUP(frasest[[#This Row],[autor_es]],autorest[autor_es],autorest[imagen_atr])</f>
        <v>0</v>
      </c>
    </row>
    <row r="285" spans="1:18">
      <c r="A285">
        <v>284</v>
      </c>
      <c r="B285" t="s">
        <v>1022</v>
      </c>
      <c r="C285" t="s">
        <v>1023</v>
      </c>
      <c r="D285" t="s">
        <v>1023</v>
      </c>
      <c r="E285" t="s">
        <v>1002</v>
      </c>
      <c r="F285" t="s">
        <v>1024</v>
      </c>
      <c r="G285" t="str">
        <f>_xlfn.XLOOKUP(frasest[[#This Row],[autor_es]],autorest[autor_es],autorest[autor_la])</f>
        <v>Gregorius Nazianzenus</v>
      </c>
      <c r="H285" t="str">
        <f>_xlfn.XLOOKUP(frasest[[#This Row],[autor_es]],autorest[autor_es],autorest[bio_es])</f>
        <v>Arzobispo de Constantinopla, Doctor de la Iglesia y Padre Capadocio. Llamado "el Teólogo", gran orador y defensor de la Trinidad. Uno de los tres Padres Capadocios.</v>
      </c>
      <c r="I285" t="str">
        <f>_xlfn.XLOOKUP(frasest[[#This Row],[autor_es]],autorest[autor_es],autorest[bio_la])</f>
        <v>Archiepiscopus Constantinopolitanus, Doctor Ecclesiae et Pater Cappadocius. "Theologus" vocatus, orator magnus et defensor Trinitatis. Unus ex tribus Patribus Cappadociis.</v>
      </c>
      <c r="J285" t="str">
        <f>_xlfn.XLOOKUP(frasest[[#This Row],[autor_es]],autorest[autor_es],autorest[codigo])</f>
        <v>la</v>
      </c>
      <c r="K285" t="str">
        <f>_xlfn.XLOOKUP(frasest[[#This Row],[autor_es]],autorest[autor_es],autorest[idioma_es])</f>
        <v>Latín</v>
      </c>
      <c r="L285" t="str">
        <f>_xlfn.XLOOKUP(frasest[[#This Row],[autor_es]],autorest[autor_es],autorest[idioma_la])</f>
        <v>Lingua Latina</v>
      </c>
      <c r="M285" t="str">
        <f>_xlfn.XLOOKUP(frasest[[#This Row],[autor_es]],autorest[autor_es],autorest[nacion_es])</f>
        <v>Roma</v>
      </c>
      <c r="N285" t="str">
        <f>_xlfn.XLOOKUP(frasest[[#This Row],[autor_es]],autorest[autor_es],autorest[nacion_la])</f>
        <v>Roma</v>
      </c>
      <c r="O285" t="str">
        <f>_xlfn.XLOOKUP(frasest[[#This Row],[autor_es]],autorest[autor_es],autorest[epoca_es])</f>
        <v>Edad Antigua</v>
      </c>
      <c r="P285" t="str">
        <f>_xlfn.XLOOKUP(frasest[[#This Row],[autor_es]],autorest[autor_es],autorest[epoca_la])</f>
        <v>Antiquitas</v>
      </c>
      <c r="Q285" t="str">
        <f>_xlfn.XLOOKUP(frasest[[#This Row],[autor_es]],autorest[autor_es],autorest[imagen])</f>
        <v>https://i.ibb.co/whvy5Lhm/sangregorioana.png</v>
      </c>
      <c r="R285">
        <f>_xlfn.XLOOKUP(frasest[[#This Row],[autor_es]],autorest[autor_es],autorest[imagen_atr])</f>
        <v>0</v>
      </c>
    </row>
    <row r="286" spans="1:18">
      <c r="A286">
        <v>285</v>
      </c>
      <c r="B286" t="s">
        <v>1025</v>
      </c>
      <c r="C286" t="s">
        <v>1026</v>
      </c>
      <c r="D286" t="s">
        <v>1026</v>
      </c>
      <c r="E286" t="s">
        <v>1002</v>
      </c>
      <c r="F286" t="s">
        <v>1027</v>
      </c>
      <c r="G286" t="str">
        <f>_xlfn.XLOOKUP(frasest[[#This Row],[autor_es]],autorest[autor_es],autorest[autor_la])</f>
        <v>Gregorius Nazianzenus</v>
      </c>
      <c r="H286" t="str">
        <f>_xlfn.XLOOKUP(frasest[[#This Row],[autor_es]],autorest[autor_es],autorest[bio_es])</f>
        <v>Arzobispo de Constantinopla, Doctor de la Iglesia y Padre Capadocio. Llamado "el Teólogo", gran orador y defensor de la Trinidad. Uno de los tres Padres Capadocios.</v>
      </c>
      <c r="I286" t="str">
        <f>_xlfn.XLOOKUP(frasest[[#This Row],[autor_es]],autorest[autor_es],autorest[bio_la])</f>
        <v>Archiepiscopus Constantinopolitanus, Doctor Ecclesiae et Pater Cappadocius. "Theologus" vocatus, orator magnus et defensor Trinitatis. Unus ex tribus Patribus Cappadociis.</v>
      </c>
      <c r="J286" t="str">
        <f>_xlfn.XLOOKUP(frasest[[#This Row],[autor_es]],autorest[autor_es],autorest[codigo])</f>
        <v>la</v>
      </c>
      <c r="K286" t="str">
        <f>_xlfn.XLOOKUP(frasest[[#This Row],[autor_es]],autorest[autor_es],autorest[idioma_es])</f>
        <v>Latín</v>
      </c>
      <c r="L286" t="str">
        <f>_xlfn.XLOOKUP(frasest[[#This Row],[autor_es]],autorest[autor_es],autorest[idioma_la])</f>
        <v>Lingua Latina</v>
      </c>
      <c r="M286" t="str">
        <f>_xlfn.XLOOKUP(frasest[[#This Row],[autor_es]],autorest[autor_es],autorest[nacion_es])</f>
        <v>Roma</v>
      </c>
      <c r="N286" t="str">
        <f>_xlfn.XLOOKUP(frasest[[#This Row],[autor_es]],autorest[autor_es],autorest[nacion_la])</f>
        <v>Roma</v>
      </c>
      <c r="O286" t="str">
        <f>_xlfn.XLOOKUP(frasest[[#This Row],[autor_es]],autorest[autor_es],autorest[epoca_es])</f>
        <v>Edad Antigua</v>
      </c>
      <c r="P286" t="str">
        <f>_xlfn.XLOOKUP(frasest[[#This Row],[autor_es]],autorest[autor_es],autorest[epoca_la])</f>
        <v>Antiquitas</v>
      </c>
      <c r="Q286" t="str">
        <f>_xlfn.XLOOKUP(frasest[[#This Row],[autor_es]],autorest[autor_es],autorest[imagen])</f>
        <v>https://i.ibb.co/whvy5Lhm/sangregorioana.png</v>
      </c>
      <c r="R286">
        <f>_xlfn.XLOOKUP(frasest[[#This Row],[autor_es]],autorest[autor_es],autorest[imagen_atr])</f>
        <v>0</v>
      </c>
    </row>
    <row r="287" spans="1:18">
      <c r="A287">
        <v>286</v>
      </c>
      <c r="B287" t="s">
        <v>1028</v>
      </c>
      <c r="C287" t="s">
        <v>1029</v>
      </c>
      <c r="D287" t="s">
        <v>1029</v>
      </c>
      <c r="E287" t="s">
        <v>1002</v>
      </c>
      <c r="F287" t="s">
        <v>1030</v>
      </c>
      <c r="G287" t="str">
        <f>_xlfn.XLOOKUP(frasest[[#This Row],[autor_es]],autorest[autor_es],autorest[autor_la])</f>
        <v>Gregorius Nazianzenus</v>
      </c>
      <c r="H287" t="str">
        <f>_xlfn.XLOOKUP(frasest[[#This Row],[autor_es]],autorest[autor_es],autorest[bio_es])</f>
        <v>Arzobispo de Constantinopla, Doctor de la Iglesia y Padre Capadocio. Llamado "el Teólogo", gran orador y defensor de la Trinidad. Uno de los tres Padres Capadocios.</v>
      </c>
      <c r="I287" t="str">
        <f>_xlfn.XLOOKUP(frasest[[#This Row],[autor_es]],autorest[autor_es],autorest[bio_la])</f>
        <v>Archiepiscopus Constantinopolitanus, Doctor Ecclesiae et Pater Cappadocius. "Theologus" vocatus, orator magnus et defensor Trinitatis. Unus ex tribus Patribus Cappadociis.</v>
      </c>
      <c r="J287" t="str">
        <f>_xlfn.XLOOKUP(frasest[[#This Row],[autor_es]],autorest[autor_es],autorest[codigo])</f>
        <v>la</v>
      </c>
      <c r="K287" t="str">
        <f>_xlfn.XLOOKUP(frasest[[#This Row],[autor_es]],autorest[autor_es],autorest[idioma_es])</f>
        <v>Latín</v>
      </c>
      <c r="L287" t="str">
        <f>_xlfn.XLOOKUP(frasest[[#This Row],[autor_es]],autorest[autor_es],autorest[idioma_la])</f>
        <v>Lingua Latina</v>
      </c>
      <c r="M287" t="str">
        <f>_xlfn.XLOOKUP(frasest[[#This Row],[autor_es]],autorest[autor_es],autorest[nacion_es])</f>
        <v>Roma</v>
      </c>
      <c r="N287" t="str">
        <f>_xlfn.XLOOKUP(frasest[[#This Row],[autor_es]],autorest[autor_es],autorest[nacion_la])</f>
        <v>Roma</v>
      </c>
      <c r="O287" t="str">
        <f>_xlfn.XLOOKUP(frasest[[#This Row],[autor_es]],autorest[autor_es],autorest[epoca_es])</f>
        <v>Edad Antigua</v>
      </c>
      <c r="P287" t="str">
        <f>_xlfn.XLOOKUP(frasest[[#This Row],[autor_es]],autorest[autor_es],autorest[epoca_la])</f>
        <v>Antiquitas</v>
      </c>
      <c r="Q287" t="str">
        <f>_xlfn.XLOOKUP(frasest[[#This Row],[autor_es]],autorest[autor_es],autorest[imagen])</f>
        <v>https://i.ibb.co/whvy5Lhm/sangregorioana.png</v>
      </c>
      <c r="R287">
        <f>_xlfn.XLOOKUP(frasest[[#This Row],[autor_es]],autorest[autor_es],autorest[imagen_atr])</f>
        <v>0</v>
      </c>
    </row>
    <row r="288" spans="1:18">
      <c r="A288">
        <v>287</v>
      </c>
      <c r="B288" t="s">
        <v>1031</v>
      </c>
      <c r="C288" t="s">
        <v>1032</v>
      </c>
      <c r="D288" t="s">
        <v>1032</v>
      </c>
      <c r="E288" t="s">
        <v>1033</v>
      </c>
      <c r="F288" t="s">
        <v>1034</v>
      </c>
      <c r="G288" t="str">
        <f>_xlfn.XLOOKUP(frasest[[#This Row],[autor_es]],autorest[autor_es],autorest[autor_la])</f>
        <v>Gregorius Nyssenus</v>
      </c>
      <c r="H288" t="str">
        <f>_xlfn.XLOOKUP(frasest[[#This Row],[autor_es]],autorest[autor_es],autorest[bio_es])</f>
        <v>Obispo de Nisa, Doctor de la Iglesia y Padre Capadocio. Hermano de San Basilio Magno, teólogo místico y filósofo cristiano. Uno de los tres Padres Capadocios.</v>
      </c>
      <c r="I288" t="str">
        <f>_xlfn.XLOOKUP(frasest[[#This Row],[autor_es]],autorest[autor_es],autorest[bio_la])</f>
        <v>Episcopus Nyssenus, Doctor Ecclesiae et Pater Cappadocius. Frater Sancti Basilii Magni, theologus mysticus et philosophus Christianus. Unus ex tribus Patribus Cappadociis.</v>
      </c>
      <c r="J288" t="str">
        <f>_xlfn.XLOOKUP(frasest[[#This Row],[autor_es]],autorest[autor_es],autorest[codigo])</f>
        <v>la</v>
      </c>
      <c r="K288" t="str">
        <f>_xlfn.XLOOKUP(frasest[[#This Row],[autor_es]],autorest[autor_es],autorest[idioma_es])</f>
        <v>Latín</v>
      </c>
      <c r="L288" t="str">
        <f>_xlfn.XLOOKUP(frasest[[#This Row],[autor_es]],autorest[autor_es],autorest[idioma_la])</f>
        <v>Lingua Latina</v>
      </c>
      <c r="M288" t="str">
        <f>_xlfn.XLOOKUP(frasest[[#This Row],[autor_es]],autorest[autor_es],autorest[nacion_es])</f>
        <v>Roma</v>
      </c>
      <c r="N288" t="str">
        <f>_xlfn.XLOOKUP(frasest[[#This Row],[autor_es]],autorest[autor_es],autorest[nacion_la])</f>
        <v>Roma</v>
      </c>
      <c r="O288" t="str">
        <f>_xlfn.XLOOKUP(frasest[[#This Row],[autor_es]],autorest[autor_es],autorest[epoca_es])</f>
        <v>Edad Antigua</v>
      </c>
      <c r="P288" t="str">
        <f>_xlfn.XLOOKUP(frasest[[#This Row],[autor_es]],autorest[autor_es],autorest[epoca_la])</f>
        <v>Antiquitas</v>
      </c>
      <c r="Q288" t="str">
        <f>_xlfn.XLOOKUP(frasest[[#This Row],[autor_es]],autorest[autor_es],autorest[imagen])</f>
        <v>https://i.ibb.co/LXBmwpy1/sangregorioniza.png</v>
      </c>
      <c r="R288">
        <f>_xlfn.XLOOKUP(frasest[[#This Row],[autor_es]],autorest[autor_es],autorest[imagen_atr])</f>
        <v>0</v>
      </c>
    </row>
    <row r="289" spans="1:18">
      <c r="A289">
        <v>288</v>
      </c>
      <c r="B289" t="s">
        <v>1035</v>
      </c>
      <c r="C289" t="s">
        <v>1036</v>
      </c>
      <c r="D289" t="s">
        <v>1036</v>
      </c>
      <c r="E289" t="s">
        <v>1033</v>
      </c>
      <c r="F289" t="s">
        <v>1037</v>
      </c>
      <c r="G289" t="str">
        <f>_xlfn.XLOOKUP(frasest[[#This Row],[autor_es]],autorest[autor_es],autorest[autor_la])</f>
        <v>Gregorius Nyssenus</v>
      </c>
      <c r="H289" t="str">
        <f>_xlfn.XLOOKUP(frasest[[#This Row],[autor_es]],autorest[autor_es],autorest[bio_es])</f>
        <v>Obispo de Nisa, Doctor de la Iglesia y Padre Capadocio. Hermano de San Basilio Magno, teólogo místico y filósofo cristiano. Uno de los tres Padres Capadocios.</v>
      </c>
      <c r="I289" t="str">
        <f>_xlfn.XLOOKUP(frasest[[#This Row],[autor_es]],autorest[autor_es],autorest[bio_la])</f>
        <v>Episcopus Nyssenus, Doctor Ecclesiae et Pater Cappadocius. Frater Sancti Basilii Magni, theologus mysticus et philosophus Christianus. Unus ex tribus Patribus Cappadociis.</v>
      </c>
      <c r="J289" t="str">
        <f>_xlfn.XLOOKUP(frasest[[#This Row],[autor_es]],autorest[autor_es],autorest[codigo])</f>
        <v>la</v>
      </c>
      <c r="K289" t="str">
        <f>_xlfn.XLOOKUP(frasest[[#This Row],[autor_es]],autorest[autor_es],autorest[idioma_es])</f>
        <v>Latín</v>
      </c>
      <c r="L289" t="str">
        <f>_xlfn.XLOOKUP(frasest[[#This Row],[autor_es]],autorest[autor_es],autorest[idioma_la])</f>
        <v>Lingua Latina</v>
      </c>
      <c r="M289" t="str">
        <f>_xlfn.XLOOKUP(frasest[[#This Row],[autor_es]],autorest[autor_es],autorest[nacion_es])</f>
        <v>Roma</v>
      </c>
      <c r="N289" t="str">
        <f>_xlfn.XLOOKUP(frasest[[#This Row],[autor_es]],autorest[autor_es],autorest[nacion_la])</f>
        <v>Roma</v>
      </c>
      <c r="O289" t="str">
        <f>_xlfn.XLOOKUP(frasest[[#This Row],[autor_es]],autorest[autor_es],autorest[epoca_es])</f>
        <v>Edad Antigua</v>
      </c>
      <c r="P289" t="str">
        <f>_xlfn.XLOOKUP(frasest[[#This Row],[autor_es]],autorest[autor_es],autorest[epoca_la])</f>
        <v>Antiquitas</v>
      </c>
      <c r="Q289" t="str">
        <f>_xlfn.XLOOKUP(frasest[[#This Row],[autor_es]],autorest[autor_es],autorest[imagen])</f>
        <v>https://i.ibb.co/LXBmwpy1/sangregorioniza.png</v>
      </c>
      <c r="R289">
        <f>_xlfn.XLOOKUP(frasest[[#This Row],[autor_es]],autorest[autor_es],autorest[imagen_atr])</f>
        <v>0</v>
      </c>
    </row>
    <row r="290" spans="1:18">
      <c r="A290">
        <v>289</v>
      </c>
      <c r="B290" t="s">
        <v>1038</v>
      </c>
      <c r="C290" t="s">
        <v>1039</v>
      </c>
      <c r="D290" t="s">
        <v>1039</v>
      </c>
      <c r="E290" t="s">
        <v>1033</v>
      </c>
      <c r="F290" t="s">
        <v>1040</v>
      </c>
      <c r="G290" t="str">
        <f>_xlfn.XLOOKUP(frasest[[#This Row],[autor_es]],autorest[autor_es],autorest[autor_la])</f>
        <v>Gregorius Nyssenus</v>
      </c>
      <c r="H290" t="str">
        <f>_xlfn.XLOOKUP(frasest[[#This Row],[autor_es]],autorest[autor_es],autorest[bio_es])</f>
        <v>Obispo de Nisa, Doctor de la Iglesia y Padre Capadocio. Hermano de San Basilio Magno, teólogo místico y filósofo cristiano. Uno de los tres Padres Capadocios.</v>
      </c>
      <c r="I290" t="str">
        <f>_xlfn.XLOOKUP(frasest[[#This Row],[autor_es]],autorest[autor_es],autorest[bio_la])</f>
        <v>Episcopus Nyssenus, Doctor Ecclesiae et Pater Cappadocius. Frater Sancti Basilii Magni, theologus mysticus et philosophus Christianus. Unus ex tribus Patribus Cappadociis.</v>
      </c>
      <c r="J290" t="str">
        <f>_xlfn.XLOOKUP(frasest[[#This Row],[autor_es]],autorest[autor_es],autorest[codigo])</f>
        <v>la</v>
      </c>
      <c r="K290" t="str">
        <f>_xlfn.XLOOKUP(frasest[[#This Row],[autor_es]],autorest[autor_es],autorest[idioma_es])</f>
        <v>Latín</v>
      </c>
      <c r="L290" t="str">
        <f>_xlfn.XLOOKUP(frasest[[#This Row],[autor_es]],autorest[autor_es],autorest[idioma_la])</f>
        <v>Lingua Latina</v>
      </c>
      <c r="M290" t="str">
        <f>_xlfn.XLOOKUP(frasest[[#This Row],[autor_es]],autorest[autor_es],autorest[nacion_es])</f>
        <v>Roma</v>
      </c>
      <c r="N290" t="str">
        <f>_xlfn.XLOOKUP(frasest[[#This Row],[autor_es]],autorest[autor_es],autorest[nacion_la])</f>
        <v>Roma</v>
      </c>
      <c r="O290" t="str">
        <f>_xlfn.XLOOKUP(frasest[[#This Row],[autor_es]],autorest[autor_es],autorest[epoca_es])</f>
        <v>Edad Antigua</v>
      </c>
      <c r="P290" t="str">
        <f>_xlfn.XLOOKUP(frasest[[#This Row],[autor_es]],autorest[autor_es],autorest[epoca_la])</f>
        <v>Antiquitas</v>
      </c>
      <c r="Q290" t="str">
        <f>_xlfn.XLOOKUP(frasest[[#This Row],[autor_es]],autorest[autor_es],autorest[imagen])</f>
        <v>https://i.ibb.co/LXBmwpy1/sangregorioniza.png</v>
      </c>
      <c r="R290">
        <f>_xlfn.XLOOKUP(frasest[[#This Row],[autor_es]],autorest[autor_es],autorest[imagen_atr])</f>
        <v>0</v>
      </c>
    </row>
    <row r="291" spans="1:18">
      <c r="A291">
        <v>290</v>
      </c>
      <c r="B291" t="s">
        <v>1041</v>
      </c>
      <c r="C291" t="s">
        <v>1042</v>
      </c>
      <c r="D291" t="s">
        <v>1042</v>
      </c>
      <c r="E291" t="s">
        <v>1033</v>
      </c>
      <c r="F291" t="s">
        <v>1043</v>
      </c>
      <c r="G291" t="str">
        <f>_xlfn.XLOOKUP(frasest[[#This Row],[autor_es]],autorest[autor_es],autorest[autor_la])</f>
        <v>Gregorius Nyssenus</v>
      </c>
      <c r="H291" t="str">
        <f>_xlfn.XLOOKUP(frasest[[#This Row],[autor_es]],autorest[autor_es],autorest[bio_es])</f>
        <v>Obispo de Nisa, Doctor de la Iglesia y Padre Capadocio. Hermano de San Basilio Magno, teólogo místico y filósofo cristiano. Uno de los tres Padres Capadocios.</v>
      </c>
      <c r="I291" t="str">
        <f>_xlfn.XLOOKUP(frasest[[#This Row],[autor_es]],autorest[autor_es],autorest[bio_la])</f>
        <v>Episcopus Nyssenus, Doctor Ecclesiae et Pater Cappadocius. Frater Sancti Basilii Magni, theologus mysticus et philosophus Christianus. Unus ex tribus Patribus Cappadociis.</v>
      </c>
      <c r="J291" t="str">
        <f>_xlfn.XLOOKUP(frasest[[#This Row],[autor_es]],autorest[autor_es],autorest[codigo])</f>
        <v>la</v>
      </c>
      <c r="K291" t="str">
        <f>_xlfn.XLOOKUP(frasest[[#This Row],[autor_es]],autorest[autor_es],autorest[idioma_es])</f>
        <v>Latín</v>
      </c>
      <c r="L291" t="str">
        <f>_xlfn.XLOOKUP(frasest[[#This Row],[autor_es]],autorest[autor_es],autorest[idioma_la])</f>
        <v>Lingua Latina</v>
      </c>
      <c r="M291" t="str">
        <f>_xlfn.XLOOKUP(frasest[[#This Row],[autor_es]],autorest[autor_es],autorest[nacion_es])</f>
        <v>Roma</v>
      </c>
      <c r="N291" t="str">
        <f>_xlfn.XLOOKUP(frasest[[#This Row],[autor_es]],autorest[autor_es],autorest[nacion_la])</f>
        <v>Roma</v>
      </c>
      <c r="O291" t="str">
        <f>_xlfn.XLOOKUP(frasest[[#This Row],[autor_es]],autorest[autor_es],autorest[epoca_es])</f>
        <v>Edad Antigua</v>
      </c>
      <c r="P291" t="str">
        <f>_xlfn.XLOOKUP(frasest[[#This Row],[autor_es]],autorest[autor_es],autorest[epoca_la])</f>
        <v>Antiquitas</v>
      </c>
      <c r="Q291" t="str">
        <f>_xlfn.XLOOKUP(frasest[[#This Row],[autor_es]],autorest[autor_es],autorest[imagen])</f>
        <v>https://i.ibb.co/LXBmwpy1/sangregorioniza.png</v>
      </c>
      <c r="R291">
        <f>_xlfn.XLOOKUP(frasest[[#This Row],[autor_es]],autorest[autor_es],autorest[imagen_atr])</f>
        <v>0</v>
      </c>
    </row>
    <row r="292" spans="1:18">
      <c r="A292">
        <v>291</v>
      </c>
      <c r="B292" t="s">
        <v>1044</v>
      </c>
      <c r="C292" t="s">
        <v>1045</v>
      </c>
      <c r="D292" t="s">
        <v>1045</v>
      </c>
      <c r="E292" t="s">
        <v>1033</v>
      </c>
      <c r="F292" t="s">
        <v>1046</v>
      </c>
      <c r="G292" t="str">
        <f>_xlfn.XLOOKUP(frasest[[#This Row],[autor_es]],autorest[autor_es],autorest[autor_la])</f>
        <v>Gregorius Nyssenus</v>
      </c>
      <c r="H292" t="str">
        <f>_xlfn.XLOOKUP(frasest[[#This Row],[autor_es]],autorest[autor_es],autorest[bio_es])</f>
        <v>Obispo de Nisa, Doctor de la Iglesia y Padre Capadocio. Hermano de San Basilio Magno, teólogo místico y filósofo cristiano. Uno de los tres Padres Capadocios.</v>
      </c>
      <c r="I292" t="str">
        <f>_xlfn.XLOOKUP(frasest[[#This Row],[autor_es]],autorest[autor_es],autorest[bio_la])</f>
        <v>Episcopus Nyssenus, Doctor Ecclesiae et Pater Cappadocius. Frater Sancti Basilii Magni, theologus mysticus et philosophus Christianus. Unus ex tribus Patribus Cappadociis.</v>
      </c>
      <c r="J292" t="str">
        <f>_xlfn.XLOOKUP(frasest[[#This Row],[autor_es]],autorest[autor_es],autorest[codigo])</f>
        <v>la</v>
      </c>
      <c r="K292" t="str">
        <f>_xlfn.XLOOKUP(frasest[[#This Row],[autor_es]],autorest[autor_es],autorest[idioma_es])</f>
        <v>Latín</v>
      </c>
      <c r="L292" t="str">
        <f>_xlfn.XLOOKUP(frasest[[#This Row],[autor_es]],autorest[autor_es],autorest[idioma_la])</f>
        <v>Lingua Latina</v>
      </c>
      <c r="M292" t="str">
        <f>_xlfn.XLOOKUP(frasest[[#This Row],[autor_es]],autorest[autor_es],autorest[nacion_es])</f>
        <v>Roma</v>
      </c>
      <c r="N292" t="str">
        <f>_xlfn.XLOOKUP(frasest[[#This Row],[autor_es]],autorest[autor_es],autorest[nacion_la])</f>
        <v>Roma</v>
      </c>
      <c r="O292" t="str">
        <f>_xlfn.XLOOKUP(frasest[[#This Row],[autor_es]],autorest[autor_es],autorest[epoca_es])</f>
        <v>Edad Antigua</v>
      </c>
      <c r="P292" t="str">
        <f>_xlfn.XLOOKUP(frasest[[#This Row],[autor_es]],autorest[autor_es],autorest[epoca_la])</f>
        <v>Antiquitas</v>
      </c>
      <c r="Q292" t="str">
        <f>_xlfn.XLOOKUP(frasest[[#This Row],[autor_es]],autorest[autor_es],autorest[imagen])</f>
        <v>https://i.ibb.co/LXBmwpy1/sangregorioniza.png</v>
      </c>
      <c r="R292">
        <f>_xlfn.XLOOKUP(frasest[[#This Row],[autor_es]],autorest[autor_es],autorest[imagen_atr])</f>
        <v>0</v>
      </c>
    </row>
    <row r="293" spans="1:18">
      <c r="A293">
        <v>292</v>
      </c>
      <c r="B293" t="s">
        <v>1047</v>
      </c>
      <c r="C293" t="s">
        <v>1048</v>
      </c>
      <c r="D293" t="s">
        <v>1048</v>
      </c>
      <c r="E293" t="s">
        <v>1033</v>
      </c>
      <c r="F293" t="s">
        <v>1049</v>
      </c>
      <c r="G293" t="str">
        <f>_xlfn.XLOOKUP(frasest[[#This Row],[autor_es]],autorest[autor_es],autorest[autor_la])</f>
        <v>Gregorius Nyssenus</v>
      </c>
      <c r="H293" t="str">
        <f>_xlfn.XLOOKUP(frasest[[#This Row],[autor_es]],autorest[autor_es],autorest[bio_es])</f>
        <v>Obispo de Nisa, Doctor de la Iglesia y Padre Capadocio. Hermano de San Basilio Magno, teólogo místico y filósofo cristiano. Uno de los tres Padres Capadocios.</v>
      </c>
      <c r="I293" t="str">
        <f>_xlfn.XLOOKUP(frasest[[#This Row],[autor_es]],autorest[autor_es],autorest[bio_la])</f>
        <v>Episcopus Nyssenus, Doctor Ecclesiae et Pater Cappadocius. Frater Sancti Basilii Magni, theologus mysticus et philosophus Christianus. Unus ex tribus Patribus Cappadociis.</v>
      </c>
      <c r="J293" t="str">
        <f>_xlfn.XLOOKUP(frasest[[#This Row],[autor_es]],autorest[autor_es],autorest[codigo])</f>
        <v>la</v>
      </c>
      <c r="K293" t="str">
        <f>_xlfn.XLOOKUP(frasest[[#This Row],[autor_es]],autorest[autor_es],autorest[idioma_es])</f>
        <v>Latín</v>
      </c>
      <c r="L293" t="str">
        <f>_xlfn.XLOOKUP(frasest[[#This Row],[autor_es]],autorest[autor_es],autorest[idioma_la])</f>
        <v>Lingua Latina</v>
      </c>
      <c r="M293" t="str">
        <f>_xlfn.XLOOKUP(frasest[[#This Row],[autor_es]],autorest[autor_es],autorest[nacion_es])</f>
        <v>Roma</v>
      </c>
      <c r="N293" t="str">
        <f>_xlfn.XLOOKUP(frasest[[#This Row],[autor_es]],autorest[autor_es],autorest[nacion_la])</f>
        <v>Roma</v>
      </c>
      <c r="O293" t="str">
        <f>_xlfn.XLOOKUP(frasest[[#This Row],[autor_es]],autorest[autor_es],autorest[epoca_es])</f>
        <v>Edad Antigua</v>
      </c>
      <c r="P293" t="str">
        <f>_xlfn.XLOOKUP(frasest[[#This Row],[autor_es]],autorest[autor_es],autorest[epoca_la])</f>
        <v>Antiquitas</v>
      </c>
      <c r="Q293" t="str">
        <f>_xlfn.XLOOKUP(frasest[[#This Row],[autor_es]],autorest[autor_es],autorest[imagen])</f>
        <v>https://i.ibb.co/LXBmwpy1/sangregorioniza.png</v>
      </c>
      <c r="R293">
        <f>_xlfn.XLOOKUP(frasest[[#This Row],[autor_es]],autorest[autor_es],autorest[imagen_atr])</f>
        <v>0</v>
      </c>
    </row>
    <row r="294" spans="1:18">
      <c r="A294">
        <v>293</v>
      </c>
      <c r="B294" t="s">
        <v>1050</v>
      </c>
      <c r="C294" t="s">
        <v>1051</v>
      </c>
      <c r="D294" t="s">
        <v>1051</v>
      </c>
      <c r="E294" t="s">
        <v>1033</v>
      </c>
      <c r="F294" t="s">
        <v>1052</v>
      </c>
      <c r="G294" t="str">
        <f>_xlfn.XLOOKUP(frasest[[#This Row],[autor_es]],autorest[autor_es],autorest[autor_la])</f>
        <v>Gregorius Nyssenus</v>
      </c>
      <c r="H294" t="str">
        <f>_xlfn.XLOOKUP(frasest[[#This Row],[autor_es]],autorest[autor_es],autorest[bio_es])</f>
        <v>Obispo de Nisa, Doctor de la Iglesia y Padre Capadocio. Hermano de San Basilio Magno, teólogo místico y filósofo cristiano. Uno de los tres Padres Capadocios.</v>
      </c>
      <c r="I294" t="str">
        <f>_xlfn.XLOOKUP(frasest[[#This Row],[autor_es]],autorest[autor_es],autorest[bio_la])</f>
        <v>Episcopus Nyssenus, Doctor Ecclesiae et Pater Cappadocius. Frater Sancti Basilii Magni, theologus mysticus et philosophus Christianus. Unus ex tribus Patribus Cappadociis.</v>
      </c>
      <c r="J294" t="str">
        <f>_xlfn.XLOOKUP(frasest[[#This Row],[autor_es]],autorest[autor_es],autorest[codigo])</f>
        <v>la</v>
      </c>
      <c r="K294" t="str">
        <f>_xlfn.XLOOKUP(frasest[[#This Row],[autor_es]],autorest[autor_es],autorest[idioma_es])</f>
        <v>Latín</v>
      </c>
      <c r="L294" t="str">
        <f>_xlfn.XLOOKUP(frasest[[#This Row],[autor_es]],autorest[autor_es],autorest[idioma_la])</f>
        <v>Lingua Latina</v>
      </c>
      <c r="M294" t="str">
        <f>_xlfn.XLOOKUP(frasest[[#This Row],[autor_es]],autorest[autor_es],autorest[nacion_es])</f>
        <v>Roma</v>
      </c>
      <c r="N294" t="str">
        <f>_xlfn.XLOOKUP(frasest[[#This Row],[autor_es]],autorest[autor_es],autorest[nacion_la])</f>
        <v>Roma</v>
      </c>
      <c r="O294" t="str">
        <f>_xlfn.XLOOKUP(frasest[[#This Row],[autor_es]],autorest[autor_es],autorest[epoca_es])</f>
        <v>Edad Antigua</v>
      </c>
      <c r="P294" t="str">
        <f>_xlfn.XLOOKUP(frasest[[#This Row],[autor_es]],autorest[autor_es],autorest[epoca_la])</f>
        <v>Antiquitas</v>
      </c>
      <c r="Q294" t="str">
        <f>_xlfn.XLOOKUP(frasest[[#This Row],[autor_es]],autorest[autor_es],autorest[imagen])</f>
        <v>https://i.ibb.co/LXBmwpy1/sangregorioniza.png</v>
      </c>
      <c r="R294">
        <f>_xlfn.XLOOKUP(frasest[[#This Row],[autor_es]],autorest[autor_es],autorest[imagen_atr])</f>
        <v>0</v>
      </c>
    </row>
    <row r="295" spans="1:18">
      <c r="A295">
        <v>294</v>
      </c>
      <c r="B295" t="s">
        <v>1053</v>
      </c>
      <c r="C295" t="s">
        <v>1054</v>
      </c>
      <c r="D295" t="s">
        <v>1054</v>
      </c>
      <c r="E295" t="s">
        <v>1033</v>
      </c>
      <c r="F295" t="s">
        <v>1055</v>
      </c>
      <c r="G295" t="str">
        <f>_xlfn.XLOOKUP(frasest[[#This Row],[autor_es]],autorest[autor_es],autorest[autor_la])</f>
        <v>Gregorius Nyssenus</v>
      </c>
      <c r="H295" t="str">
        <f>_xlfn.XLOOKUP(frasest[[#This Row],[autor_es]],autorest[autor_es],autorest[bio_es])</f>
        <v>Obispo de Nisa, Doctor de la Iglesia y Padre Capadocio. Hermano de San Basilio Magno, teólogo místico y filósofo cristiano. Uno de los tres Padres Capadocios.</v>
      </c>
      <c r="I295" t="str">
        <f>_xlfn.XLOOKUP(frasest[[#This Row],[autor_es]],autorest[autor_es],autorest[bio_la])</f>
        <v>Episcopus Nyssenus, Doctor Ecclesiae et Pater Cappadocius. Frater Sancti Basilii Magni, theologus mysticus et philosophus Christianus. Unus ex tribus Patribus Cappadociis.</v>
      </c>
      <c r="J295" t="str">
        <f>_xlfn.XLOOKUP(frasest[[#This Row],[autor_es]],autorest[autor_es],autorest[codigo])</f>
        <v>la</v>
      </c>
      <c r="K295" t="str">
        <f>_xlfn.XLOOKUP(frasest[[#This Row],[autor_es]],autorest[autor_es],autorest[idioma_es])</f>
        <v>Latín</v>
      </c>
      <c r="L295" t="str">
        <f>_xlfn.XLOOKUP(frasest[[#This Row],[autor_es]],autorest[autor_es],autorest[idioma_la])</f>
        <v>Lingua Latina</v>
      </c>
      <c r="M295" t="str">
        <f>_xlfn.XLOOKUP(frasest[[#This Row],[autor_es]],autorest[autor_es],autorest[nacion_es])</f>
        <v>Roma</v>
      </c>
      <c r="N295" t="str">
        <f>_xlfn.XLOOKUP(frasest[[#This Row],[autor_es]],autorest[autor_es],autorest[nacion_la])</f>
        <v>Roma</v>
      </c>
      <c r="O295" t="str">
        <f>_xlfn.XLOOKUP(frasest[[#This Row],[autor_es]],autorest[autor_es],autorest[epoca_es])</f>
        <v>Edad Antigua</v>
      </c>
      <c r="P295" t="str">
        <f>_xlfn.XLOOKUP(frasest[[#This Row],[autor_es]],autorest[autor_es],autorest[epoca_la])</f>
        <v>Antiquitas</v>
      </c>
      <c r="Q295" t="str">
        <f>_xlfn.XLOOKUP(frasest[[#This Row],[autor_es]],autorest[autor_es],autorest[imagen])</f>
        <v>https://i.ibb.co/LXBmwpy1/sangregorioniza.png</v>
      </c>
      <c r="R295">
        <f>_xlfn.XLOOKUP(frasest[[#This Row],[autor_es]],autorest[autor_es],autorest[imagen_atr])</f>
        <v>0</v>
      </c>
    </row>
    <row r="296" spans="1:18">
      <c r="A296">
        <v>295</v>
      </c>
      <c r="B296" t="s">
        <v>1056</v>
      </c>
      <c r="C296" t="s">
        <v>1057</v>
      </c>
      <c r="D296" t="s">
        <v>1057</v>
      </c>
      <c r="E296" t="s">
        <v>1033</v>
      </c>
      <c r="F296" t="s">
        <v>1058</v>
      </c>
      <c r="G296" t="str">
        <f>_xlfn.XLOOKUP(frasest[[#This Row],[autor_es]],autorest[autor_es],autorest[autor_la])</f>
        <v>Gregorius Nyssenus</v>
      </c>
      <c r="H296" t="str">
        <f>_xlfn.XLOOKUP(frasest[[#This Row],[autor_es]],autorest[autor_es],autorest[bio_es])</f>
        <v>Obispo de Nisa, Doctor de la Iglesia y Padre Capadocio. Hermano de San Basilio Magno, teólogo místico y filósofo cristiano. Uno de los tres Padres Capadocios.</v>
      </c>
      <c r="I296" t="str">
        <f>_xlfn.XLOOKUP(frasest[[#This Row],[autor_es]],autorest[autor_es],autorest[bio_la])</f>
        <v>Episcopus Nyssenus, Doctor Ecclesiae et Pater Cappadocius. Frater Sancti Basilii Magni, theologus mysticus et philosophus Christianus. Unus ex tribus Patribus Cappadociis.</v>
      </c>
      <c r="J296" t="str">
        <f>_xlfn.XLOOKUP(frasest[[#This Row],[autor_es]],autorest[autor_es],autorest[codigo])</f>
        <v>la</v>
      </c>
      <c r="K296" t="str">
        <f>_xlfn.XLOOKUP(frasest[[#This Row],[autor_es]],autorest[autor_es],autorest[idioma_es])</f>
        <v>Latín</v>
      </c>
      <c r="L296" t="str">
        <f>_xlfn.XLOOKUP(frasest[[#This Row],[autor_es]],autorest[autor_es],autorest[idioma_la])</f>
        <v>Lingua Latina</v>
      </c>
      <c r="M296" t="str">
        <f>_xlfn.XLOOKUP(frasest[[#This Row],[autor_es]],autorest[autor_es],autorest[nacion_es])</f>
        <v>Roma</v>
      </c>
      <c r="N296" t="str">
        <f>_xlfn.XLOOKUP(frasest[[#This Row],[autor_es]],autorest[autor_es],autorest[nacion_la])</f>
        <v>Roma</v>
      </c>
      <c r="O296" t="str">
        <f>_xlfn.XLOOKUP(frasest[[#This Row],[autor_es]],autorest[autor_es],autorest[epoca_es])</f>
        <v>Edad Antigua</v>
      </c>
      <c r="P296" t="str">
        <f>_xlfn.XLOOKUP(frasest[[#This Row],[autor_es]],autorest[autor_es],autorest[epoca_la])</f>
        <v>Antiquitas</v>
      </c>
      <c r="Q296" t="str">
        <f>_xlfn.XLOOKUP(frasest[[#This Row],[autor_es]],autorest[autor_es],autorest[imagen])</f>
        <v>https://i.ibb.co/LXBmwpy1/sangregorioniza.png</v>
      </c>
      <c r="R296">
        <f>_xlfn.XLOOKUP(frasest[[#This Row],[autor_es]],autorest[autor_es],autorest[imagen_atr])</f>
        <v>0</v>
      </c>
    </row>
    <row r="297" spans="1:18">
      <c r="A297">
        <v>296</v>
      </c>
      <c r="B297" t="s">
        <v>1059</v>
      </c>
      <c r="C297" t="s">
        <v>1060</v>
      </c>
      <c r="D297" t="s">
        <v>1060</v>
      </c>
      <c r="E297" t="s">
        <v>1033</v>
      </c>
      <c r="F297" t="s">
        <v>1061</v>
      </c>
      <c r="G297" t="str">
        <f>_xlfn.XLOOKUP(frasest[[#This Row],[autor_es]],autorest[autor_es],autorest[autor_la])</f>
        <v>Gregorius Nyssenus</v>
      </c>
      <c r="H297" t="str">
        <f>_xlfn.XLOOKUP(frasest[[#This Row],[autor_es]],autorest[autor_es],autorest[bio_es])</f>
        <v>Obispo de Nisa, Doctor de la Iglesia y Padre Capadocio. Hermano de San Basilio Magno, teólogo místico y filósofo cristiano. Uno de los tres Padres Capadocios.</v>
      </c>
      <c r="I297" t="str">
        <f>_xlfn.XLOOKUP(frasest[[#This Row],[autor_es]],autorest[autor_es],autorest[bio_la])</f>
        <v>Episcopus Nyssenus, Doctor Ecclesiae et Pater Cappadocius. Frater Sancti Basilii Magni, theologus mysticus et philosophus Christianus. Unus ex tribus Patribus Cappadociis.</v>
      </c>
      <c r="J297" t="str">
        <f>_xlfn.XLOOKUP(frasest[[#This Row],[autor_es]],autorest[autor_es],autorest[codigo])</f>
        <v>la</v>
      </c>
      <c r="K297" t="str">
        <f>_xlfn.XLOOKUP(frasest[[#This Row],[autor_es]],autorest[autor_es],autorest[idioma_es])</f>
        <v>Latín</v>
      </c>
      <c r="L297" t="str">
        <f>_xlfn.XLOOKUP(frasest[[#This Row],[autor_es]],autorest[autor_es],autorest[idioma_la])</f>
        <v>Lingua Latina</v>
      </c>
      <c r="M297" t="str">
        <f>_xlfn.XLOOKUP(frasest[[#This Row],[autor_es]],autorest[autor_es],autorest[nacion_es])</f>
        <v>Roma</v>
      </c>
      <c r="N297" t="str">
        <f>_xlfn.XLOOKUP(frasest[[#This Row],[autor_es]],autorest[autor_es],autorest[nacion_la])</f>
        <v>Roma</v>
      </c>
      <c r="O297" t="str">
        <f>_xlfn.XLOOKUP(frasest[[#This Row],[autor_es]],autorest[autor_es],autorest[epoca_es])</f>
        <v>Edad Antigua</v>
      </c>
      <c r="P297" t="str">
        <f>_xlfn.XLOOKUP(frasest[[#This Row],[autor_es]],autorest[autor_es],autorest[epoca_la])</f>
        <v>Antiquitas</v>
      </c>
      <c r="Q297" t="str">
        <f>_xlfn.XLOOKUP(frasest[[#This Row],[autor_es]],autorest[autor_es],autorest[imagen])</f>
        <v>https://i.ibb.co/LXBmwpy1/sangregorioniza.png</v>
      </c>
      <c r="R297">
        <f>_xlfn.XLOOKUP(frasest[[#This Row],[autor_es]],autorest[autor_es],autorest[imagen_atr])</f>
        <v>0</v>
      </c>
    </row>
    <row r="298" spans="1:18">
      <c r="A298">
        <v>297</v>
      </c>
      <c r="B298" t="s">
        <v>1062</v>
      </c>
      <c r="C298" t="s">
        <v>1063</v>
      </c>
      <c r="D298" t="s">
        <v>1063</v>
      </c>
      <c r="E298" t="s">
        <v>1064</v>
      </c>
      <c r="F298" t="s">
        <v>1065</v>
      </c>
      <c r="G298" t="str">
        <f>_xlfn.XLOOKUP(frasest[[#This Row],[autor_es]],autorest[autor_es],autorest[autor_la])</f>
        <v>Ambrosius Mediolanensis</v>
      </c>
      <c r="H298" t="str">
        <f>_xlfn.XLOOKUP(frasest[[#This Row],[autor_es]],autorest[autor_es],autorest[bio_es])</f>
        <v>Obispo de Milán, Doctor de la Iglesia y Padre Latino. Maestro de San Agustín, defensor de la ortodoxia y autoridad moral frente al poder imperial.</v>
      </c>
      <c r="I298" t="str">
        <f>_xlfn.XLOOKUP(frasest[[#This Row],[autor_es]],autorest[autor_es],autorest[bio_la])</f>
        <v>Episcopus Mediolanensis, Doctor Ecclesiae et Pater Latinus. Magister Sancti Augustini, orthodoxiae defensor et auctoritas moralis contra imperium.</v>
      </c>
      <c r="J298" t="str">
        <f>_xlfn.XLOOKUP(frasest[[#This Row],[autor_es]],autorest[autor_es],autorest[codigo])</f>
        <v>la</v>
      </c>
      <c r="K298" t="str">
        <f>_xlfn.XLOOKUP(frasest[[#This Row],[autor_es]],autorest[autor_es],autorest[idioma_es])</f>
        <v>Latín</v>
      </c>
      <c r="L298" t="str">
        <f>_xlfn.XLOOKUP(frasest[[#This Row],[autor_es]],autorest[autor_es],autorest[idioma_la])</f>
        <v>Lingua Latina</v>
      </c>
      <c r="M298" t="str">
        <f>_xlfn.XLOOKUP(frasest[[#This Row],[autor_es]],autorest[autor_es],autorest[nacion_es])</f>
        <v>Roma</v>
      </c>
      <c r="N298" t="str">
        <f>_xlfn.XLOOKUP(frasest[[#This Row],[autor_es]],autorest[autor_es],autorest[nacion_la])</f>
        <v>Roma</v>
      </c>
      <c r="O298" t="str">
        <f>_xlfn.XLOOKUP(frasest[[#This Row],[autor_es]],autorest[autor_es],autorest[epoca_es])</f>
        <v>Edad Antigua</v>
      </c>
      <c r="P298" t="str">
        <f>_xlfn.XLOOKUP(frasest[[#This Row],[autor_es]],autorest[autor_es],autorest[epoca_la])</f>
        <v>Antiquitas</v>
      </c>
      <c r="Q298" t="str">
        <f>_xlfn.XLOOKUP(frasest[[#This Row],[autor_es]],autorest[autor_es],autorest[imagen])</f>
        <v>https://i.ibb.co/yncvTttZ/sanambrosio.png</v>
      </c>
      <c r="R298">
        <f>_xlfn.XLOOKUP(frasest[[#This Row],[autor_es]],autorest[autor_es],autorest[imagen_atr])</f>
        <v>0</v>
      </c>
    </row>
    <row r="299" spans="1:18">
      <c r="A299">
        <v>298</v>
      </c>
      <c r="B299" t="s">
        <v>1066</v>
      </c>
      <c r="C299" t="s">
        <v>1067</v>
      </c>
      <c r="D299" t="s">
        <v>1067</v>
      </c>
      <c r="E299" t="s">
        <v>1064</v>
      </c>
      <c r="F299" t="s">
        <v>1068</v>
      </c>
      <c r="G299" t="str">
        <f>_xlfn.XLOOKUP(frasest[[#This Row],[autor_es]],autorest[autor_es],autorest[autor_la])</f>
        <v>Ambrosius Mediolanensis</v>
      </c>
      <c r="H299" t="str">
        <f>_xlfn.XLOOKUP(frasest[[#This Row],[autor_es]],autorest[autor_es],autorest[bio_es])</f>
        <v>Obispo de Milán, Doctor de la Iglesia y Padre Latino. Maestro de San Agustín, defensor de la ortodoxia y autoridad moral frente al poder imperial.</v>
      </c>
      <c r="I299" t="str">
        <f>_xlfn.XLOOKUP(frasest[[#This Row],[autor_es]],autorest[autor_es],autorest[bio_la])</f>
        <v>Episcopus Mediolanensis, Doctor Ecclesiae et Pater Latinus. Magister Sancti Augustini, orthodoxiae defensor et auctoritas moralis contra imperium.</v>
      </c>
      <c r="J299" t="str">
        <f>_xlfn.XLOOKUP(frasest[[#This Row],[autor_es]],autorest[autor_es],autorest[codigo])</f>
        <v>la</v>
      </c>
      <c r="K299" t="str">
        <f>_xlfn.XLOOKUP(frasest[[#This Row],[autor_es]],autorest[autor_es],autorest[idioma_es])</f>
        <v>Latín</v>
      </c>
      <c r="L299" t="str">
        <f>_xlfn.XLOOKUP(frasest[[#This Row],[autor_es]],autorest[autor_es],autorest[idioma_la])</f>
        <v>Lingua Latina</v>
      </c>
      <c r="M299" t="str">
        <f>_xlfn.XLOOKUP(frasest[[#This Row],[autor_es]],autorest[autor_es],autorest[nacion_es])</f>
        <v>Roma</v>
      </c>
      <c r="N299" t="str">
        <f>_xlfn.XLOOKUP(frasest[[#This Row],[autor_es]],autorest[autor_es],autorest[nacion_la])</f>
        <v>Roma</v>
      </c>
      <c r="O299" t="str">
        <f>_xlfn.XLOOKUP(frasest[[#This Row],[autor_es]],autorest[autor_es],autorest[epoca_es])</f>
        <v>Edad Antigua</v>
      </c>
      <c r="P299" t="str">
        <f>_xlfn.XLOOKUP(frasest[[#This Row],[autor_es]],autorest[autor_es],autorest[epoca_la])</f>
        <v>Antiquitas</v>
      </c>
      <c r="Q299" t="str">
        <f>_xlfn.XLOOKUP(frasest[[#This Row],[autor_es]],autorest[autor_es],autorest[imagen])</f>
        <v>https://i.ibb.co/yncvTttZ/sanambrosio.png</v>
      </c>
      <c r="R299">
        <f>_xlfn.XLOOKUP(frasest[[#This Row],[autor_es]],autorest[autor_es],autorest[imagen_atr])</f>
        <v>0</v>
      </c>
    </row>
    <row r="300" spans="1:18">
      <c r="A300">
        <v>299</v>
      </c>
      <c r="B300" t="s">
        <v>1069</v>
      </c>
      <c r="C300" t="s">
        <v>1070</v>
      </c>
      <c r="D300" t="s">
        <v>1070</v>
      </c>
      <c r="E300" t="s">
        <v>1064</v>
      </c>
      <c r="F300" t="s">
        <v>1071</v>
      </c>
      <c r="G300" t="str">
        <f>_xlfn.XLOOKUP(frasest[[#This Row],[autor_es]],autorest[autor_es],autorest[autor_la])</f>
        <v>Ambrosius Mediolanensis</v>
      </c>
      <c r="H300" t="str">
        <f>_xlfn.XLOOKUP(frasest[[#This Row],[autor_es]],autorest[autor_es],autorest[bio_es])</f>
        <v>Obispo de Milán, Doctor de la Iglesia y Padre Latino. Maestro de San Agustín, defensor de la ortodoxia y autoridad moral frente al poder imperial.</v>
      </c>
      <c r="I300" t="str">
        <f>_xlfn.XLOOKUP(frasest[[#This Row],[autor_es]],autorest[autor_es],autorest[bio_la])</f>
        <v>Episcopus Mediolanensis, Doctor Ecclesiae et Pater Latinus. Magister Sancti Augustini, orthodoxiae defensor et auctoritas moralis contra imperium.</v>
      </c>
      <c r="J300" t="str">
        <f>_xlfn.XLOOKUP(frasest[[#This Row],[autor_es]],autorest[autor_es],autorest[codigo])</f>
        <v>la</v>
      </c>
      <c r="K300" t="str">
        <f>_xlfn.XLOOKUP(frasest[[#This Row],[autor_es]],autorest[autor_es],autorest[idioma_es])</f>
        <v>Latín</v>
      </c>
      <c r="L300" t="str">
        <f>_xlfn.XLOOKUP(frasest[[#This Row],[autor_es]],autorest[autor_es],autorest[idioma_la])</f>
        <v>Lingua Latina</v>
      </c>
      <c r="M300" t="str">
        <f>_xlfn.XLOOKUP(frasest[[#This Row],[autor_es]],autorest[autor_es],autorest[nacion_es])</f>
        <v>Roma</v>
      </c>
      <c r="N300" t="str">
        <f>_xlfn.XLOOKUP(frasest[[#This Row],[autor_es]],autorest[autor_es],autorest[nacion_la])</f>
        <v>Roma</v>
      </c>
      <c r="O300" t="str">
        <f>_xlfn.XLOOKUP(frasest[[#This Row],[autor_es]],autorest[autor_es],autorest[epoca_es])</f>
        <v>Edad Antigua</v>
      </c>
      <c r="P300" t="str">
        <f>_xlfn.XLOOKUP(frasest[[#This Row],[autor_es]],autorest[autor_es],autorest[epoca_la])</f>
        <v>Antiquitas</v>
      </c>
      <c r="Q300" t="str">
        <f>_xlfn.XLOOKUP(frasest[[#This Row],[autor_es]],autorest[autor_es],autorest[imagen])</f>
        <v>https://i.ibb.co/yncvTttZ/sanambrosio.png</v>
      </c>
      <c r="R300">
        <f>_xlfn.XLOOKUP(frasest[[#This Row],[autor_es]],autorest[autor_es],autorest[imagen_atr])</f>
        <v>0</v>
      </c>
    </row>
    <row r="301" spans="1:18">
      <c r="A301">
        <v>300</v>
      </c>
      <c r="B301" t="s">
        <v>1072</v>
      </c>
      <c r="C301" t="s">
        <v>1073</v>
      </c>
      <c r="D301" t="s">
        <v>1073</v>
      </c>
      <c r="E301" t="s">
        <v>1064</v>
      </c>
      <c r="F301" t="s">
        <v>1074</v>
      </c>
      <c r="G301" t="str">
        <f>_xlfn.XLOOKUP(frasest[[#This Row],[autor_es]],autorest[autor_es],autorest[autor_la])</f>
        <v>Ambrosius Mediolanensis</v>
      </c>
      <c r="H301" t="str">
        <f>_xlfn.XLOOKUP(frasest[[#This Row],[autor_es]],autorest[autor_es],autorest[bio_es])</f>
        <v>Obispo de Milán, Doctor de la Iglesia y Padre Latino. Maestro de San Agustín, defensor de la ortodoxia y autoridad moral frente al poder imperial.</v>
      </c>
      <c r="I301" t="str">
        <f>_xlfn.XLOOKUP(frasest[[#This Row],[autor_es]],autorest[autor_es],autorest[bio_la])</f>
        <v>Episcopus Mediolanensis, Doctor Ecclesiae et Pater Latinus. Magister Sancti Augustini, orthodoxiae defensor et auctoritas moralis contra imperium.</v>
      </c>
      <c r="J301" t="str">
        <f>_xlfn.XLOOKUP(frasest[[#This Row],[autor_es]],autorest[autor_es],autorest[codigo])</f>
        <v>la</v>
      </c>
      <c r="K301" t="str">
        <f>_xlfn.XLOOKUP(frasest[[#This Row],[autor_es]],autorest[autor_es],autorest[idioma_es])</f>
        <v>Latín</v>
      </c>
      <c r="L301" t="str">
        <f>_xlfn.XLOOKUP(frasest[[#This Row],[autor_es]],autorest[autor_es],autorest[idioma_la])</f>
        <v>Lingua Latina</v>
      </c>
      <c r="M301" t="str">
        <f>_xlfn.XLOOKUP(frasest[[#This Row],[autor_es]],autorest[autor_es],autorest[nacion_es])</f>
        <v>Roma</v>
      </c>
      <c r="N301" t="str">
        <f>_xlfn.XLOOKUP(frasest[[#This Row],[autor_es]],autorest[autor_es],autorest[nacion_la])</f>
        <v>Roma</v>
      </c>
      <c r="O301" t="str">
        <f>_xlfn.XLOOKUP(frasest[[#This Row],[autor_es]],autorest[autor_es],autorest[epoca_es])</f>
        <v>Edad Antigua</v>
      </c>
      <c r="P301" t="str">
        <f>_xlfn.XLOOKUP(frasest[[#This Row],[autor_es]],autorest[autor_es],autorest[epoca_la])</f>
        <v>Antiquitas</v>
      </c>
      <c r="Q301" t="str">
        <f>_xlfn.XLOOKUP(frasest[[#This Row],[autor_es]],autorest[autor_es],autorest[imagen])</f>
        <v>https://i.ibb.co/yncvTttZ/sanambrosio.png</v>
      </c>
      <c r="R301">
        <f>_xlfn.XLOOKUP(frasest[[#This Row],[autor_es]],autorest[autor_es],autorest[imagen_atr])</f>
        <v>0</v>
      </c>
    </row>
    <row r="302" spans="1:18">
      <c r="A302">
        <v>301</v>
      </c>
      <c r="B302" t="s">
        <v>1075</v>
      </c>
      <c r="C302" t="s">
        <v>1076</v>
      </c>
      <c r="D302" t="s">
        <v>1076</v>
      </c>
      <c r="E302" t="s">
        <v>1064</v>
      </c>
      <c r="F302" t="s">
        <v>1077</v>
      </c>
      <c r="G302" t="str">
        <f>_xlfn.XLOOKUP(frasest[[#This Row],[autor_es]],autorest[autor_es],autorest[autor_la])</f>
        <v>Ambrosius Mediolanensis</v>
      </c>
      <c r="H302" t="str">
        <f>_xlfn.XLOOKUP(frasest[[#This Row],[autor_es]],autorest[autor_es],autorest[bio_es])</f>
        <v>Obispo de Milán, Doctor de la Iglesia y Padre Latino. Maestro de San Agustín, defensor de la ortodoxia y autoridad moral frente al poder imperial.</v>
      </c>
      <c r="I302" t="str">
        <f>_xlfn.XLOOKUP(frasest[[#This Row],[autor_es]],autorest[autor_es],autorest[bio_la])</f>
        <v>Episcopus Mediolanensis, Doctor Ecclesiae et Pater Latinus. Magister Sancti Augustini, orthodoxiae defensor et auctoritas moralis contra imperium.</v>
      </c>
      <c r="J302" t="str">
        <f>_xlfn.XLOOKUP(frasest[[#This Row],[autor_es]],autorest[autor_es],autorest[codigo])</f>
        <v>la</v>
      </c>
      <c r="K302" t="str">
        <f>_xlfn.XLOOKUP(frasest[[#This Row],[autor_es]],autorest[autor_es],autorest[idioma_es])</f>
        <v>Latín</v>
      </c>
      <c r="L302" t="str">
        <f>_xlfn.XLOOKUP(frasest[[#This Row],[autor_es]],autorest[autor_es],autorest[idioma_la])</f>
        <v>Lingua Latina</v>
      </c>
      <c r="M302" t="str">
        <f>_xlfn.XLOOKUP(frasest[[#This Row],[autor_es]],autorest[autor_es],autorest[nacion_es])</f>
        <v>Roma</v>
      </c>
      <c r="N302" t="str">
        <f>_xlfn.XLOOKUP(frasest[[#This Row],[autor_es]],autorest[autor_es],autorest[nacion_la])</f>
        <v>Roma</v>
      </c>
      <c r="O302" t="str">
        <f>_xlfn.XLOOKUP(frasest[[#This Row],[autor_es]],autorest[autor_es],autorest[epoca_es])</f>
        <v>Edad Antigua</v>
      </c>
      <c r="P302" t="str">
        <f>_xlfn.XLOOKUP(frasest[[#This Row],[autor_es]],autorest[autor_es],autorest[epoca_la])</f>
        <v>Antiquitas</v>
      </c>
      <c r="Q302" t="str">
        <f>_xlfn.XLOOKUP(frasest[[#This Row],[autor_es]],autorest[autor_es],autorest[imagen])</f>
        <v>https://i.ibb.co/yncvTttZ/sanambrosio.png</v>
      </c>
      <c r="R302">
        <f>_xlfn.XLOOKUP(frasest[[#This Row],[autor_es]],autorest[autor_es],autorest[imagen_atr])</f>
        <v>0</v>
      </c>
    </row>
    <row r="303" spans="1:18">
      <c r="A303">
        <v>302</v>
      </c>
      <c r="B303" t="s">
        <v>1078</v>
      </c>
      <c r="C303" t="s">
        <v>1079</v>
      </c>
      <c r="D303" t="s">
        <v>1079</v>
      </c>
      <c r="E303" t="s">
        <v>1064</v>
      </c>
      <c r="F303" t="s">
        <v>1080</v>
      </c>
      <c r="G303" t="str">
        <f>_xlfn.XLOOKUP(frasest[[#This Row],[autor_es]],autorest[autor_es],autorest[autor_la])</f>
        <v>Ambrosius Mediolanensis</v>
      </c>
      <c r="H303" t="str">
        <f>_xlfn.XLOOKUP(frasest[[#This Row],[autor_es]],autorest[autor_es],autorest[bio_es])</f>
        <v>Obispo de Milán, Doctor de la Iglesia y Padre Latino. Maestro de San Agustín, defensor de la ortodoxia y autoridad moral frente al poder imperial.</v>
      </c>
      <c r="I303" t="str">
        <f>_xlfn.XLOOKUP(frasest[[#This Row],[autor_es]],autorest[autor_es],autorest[bio_la])</f>
        <v>Episcopus Mediolanensis, Doctor Ecclesiae et Pater Latinus. Magister Sancti Augustini, orthodoxiae defensor et auctoritas moralis contra imperium.</v>
      </c>
      <c r="J303" t="str">
        <f>_xlfn.XLOOKUP(frasest[[#This Row],[autor_es]],autorest[autor_es],autorest[codigo])</f>
        <v>la</v>
      </c>
      <c r="K303" t="str">
        <f>_xlfn.XLOOKUP(frasest[[#This Row],[autor_es]],autorest[autor_es],autorest[idioma_es])</f>
        <v>Latín</v>
      </c>
      <c r="L303" t="str">
        <f>_xlfn.XLOOKUP(frasest[[#This Row],[autor_es]],autorest[autor_es],autorest[idioma_la])</f>
        <v>Lingua Latina</v>
      </c>
      <c r="M303" t="str">
        <f>_xlfn.XLOOKUP(frasest[[#This Row],[autor_es]],autorest[autor_es],autorest[nacion_es])</f>
        <v>Roma</v>
      </c>
      <c r="N303" t="str">
        <f>_xlfn.XLOOKUP(frasest[[#This Row],[autor_es]],autorest[autor_es],autorest[nacion_la])</f>
        <v>Roma</v>
      </c>
      <c r="O303" t="str">
        <f>_xlfn.XLOOKUP(frasest[[#This Row],[autor_es]],autorest[autor_es],autorest[epoca_es])</f>
        <v>Edad Antigua</v>
      </c>
      <c r="P303" t="str">
        <f>_xlfn.XLOOKUP(frasest[[#This Row],[autor_es]],autorest[autor_es],autorest[epoca_la])</f>
        <v>Antiquitas</v>
      </c>
      <c r="Q303" t="str">
        <f>_xlfn.XLOOKUP(frasest[[#This Row],[autor_es]],autorest[autor_es],autorest[imagen])</f>
        <v>https://i.ibb.co/yncvTttZ/sanambrosio.png</v>
      </c>
      <c r="R303">
        <f>_xlfn.XLOOKUP(frasest[[#This Row],[autor_es]],autorest[autor_es],autorest[imagen_atr])</f>
        <v>0</v>
      </c>
    </row>
    <row r="304" spans="1:18">
      <c r="A304">
        <v>303</v>
      </c>
      <c r="B304" t="s">
        <v>1081</v>
      </c>
      <c r="C304" t="s">
        <v>1082</v>
      </c>
      <c r="D304" t="s">
        <v>1082</v>
      </c>
      <c r="E304" t="s">
        <v>1064</v>
      </c>
      <c r="F304" t="s">
        <v>1083</v>
      </c>
      <c r="G304" t="str">
        <f>_xlfn.XLOOKUP(frasest[[#This Row],[autor_es]],autorest[autor_es],autorest[autor_la])</f>
        <v>Ambrosius Mediolanensis</v>
      </c>
      <c r="H304" t="str">
        <f>_xlfn.XLOOKUP(frasest[[#This Row],[autor_es]],autorest[autor_es],autorest[bio_es])</f>
        <v>Obispo de Milán, Doctor de la Iglesia y Padre Latino. Maestro de San Agustín, defensor de la ortodoxia y autoridad moral frente al poder imperial.</v>
      </c>
      <c r="I304" t="str">
        <f>_xlfn.XLOOKUP(frasest[[#This Row],[autor_es]],autorest[autor_es],autorest[bio_la])</f>
        <v>Episcopus Mediolanensis, Doctor Ecclesiae et Pater Latinus. Magister Sancti Augustini, orthodoxiae defensor et auctoritas moralis contra imperium.</v>
      </c>
      <c r="J304" t="str">
        <f>_xlfn.XLOOKUP(frasest[[#This Row],[autor_es]],autorest[autor_es],autorest[codigo])</f>
        <v>la</v>
      </c>
      <c r="K304" t="str">
        <f>_xlfn.XLOOKUP(frasest[[#This Row],[autor_es]],autorest[autor_es],autorest[idioma_es])</f>
        <v>Latín</v>
      </c>
      <c r="L304" t="str">
        <f>_xlfn.XLOOKUP(frasest[[#This Row],[autor_es]],autorest[autor_es],autorest[idioma_la])</f>
        <v>Lingua Latina</v>
      </c>
      <c r="M304" t="str">
        <f>_xlfn.XLOOKUP(frasest[[#This Row],[autor_es]],autorest[autor_es],autorest[nacion_es])</f>
        <v>Roma</v>
      </c>
      <c r="N304" t="str">
        <f>_xlfn.XLOOKUP(frasest[[#This Row],[autor_es]],autorest[autor_es],autorest[nacion_la])</f>
        <v>Roma</v>
      </c>
      <c r="O304" t="str">
        <f>_xlfn.XLOOKUP(frasest[[#This Row],[autor_es]],autorest[autor_es],autorest[epoca_es])</f>
        <v>Edad Antigua</v>
      </c>
      <c r="P304" t="str">
        <f>_xlfn.XLOOKUP(frasest[[#This Row],[autor_es]],autorest[autor_es],autorest[epoca_la])</f>
        <v>Antiquitas</v>
      </c>
      <c r="Q304" t="str">
        <f>_xlfn.XLOOKUP(frasest[[#This Row],[autor_es]],autorest[autor_es],autorest[imagen])</f>
        <v>https://i.ibb.co/yncvTttZ/sanambrosio.png</v>
      </c>
      <c r="R304">
        <f>_xlfn.XLOOKUP(frasest[[#This Row],[autor_es]],autorest[autor_es],autorest[imagen_atr])</f>
        <v>0</v>
      </c>
    </row>
    <row r="305" spans="1:18">
      <c r="A305">
        <v>304</v>
      </c>
      <c r="B305" t="s">
        <v>1084</v>
      </c>
      <c r="C305" t="s">
        <v>1085</v>
      </c>
      <c r="D305" t="s">
        <v>1085</v>
      </c>
      <c r="E305" t="s">
        <v>1064</v>
      </c>
      <c r="F305" t="s">
        <v>1086</v>
      </c>
      <c r="G305" t="str">
        <f>_xlfn.XLOOKUP(frasest[[#This Row],[autor_es]],autorest[autor_es],autorest[autor_la])</f>
        <v>Ambrosius Mediolanensis</v>
      </c>
      <c r="H305" t="str">
        <f>_xlfn.XLOOKUP(frasest[[#This Row],[autor_es]],autorest[autor_es],autorest[bio_es])</f>
        <v>Obispo de Milán, Doctor de la Iglesia y Padre Latino. Maestro de San Agustín, defensor de la ortodoxia y autoridad moral frente al poder imperial.</v>
      </c>
      <c r="I305" t="str">
        <f>_xlfn.XLOOKUP(frasest[[#This Row],[autor_es]],autorest[autor_es],autorest[bio_la])</f>
        <v>Episcopus Mediolanensis, Doctor Ecclesiae et Pater Latinus. Magister Sancti Augustini, orthodoxiae defensor et auctoritas moralis contra imperium.</v>
      </c>
      <c r="J305" t="str">
        <f>_xlfn.XLOOKUP(frasest[[#This Row],[autor_es]],autorest[autor_es],autorest[codigo])</f>
        <v>la</v>
      </c>
      <c r="K305" t="str">
        <f>_xlfn.XLOOKUP(frasest[[#This Row],[autor_es]],autorest[autor_es],autorest[idioma_es])</f>
        <v>Latín</v>
      </c>
      <c r="L305" t="str">
        <f>_xlfn.XLOOKUP(frasest[[#This Row],[autor_es]],autorest[autor_es],autorest[idioma_la])</f>
        <v>Lingua Latina</v>
      </c>
      <c r="M305" t="str">
        <f>_xlfn.XLOOKUP(frasest[[#This Row],[autor_es]],autorest[autor_es],autorest[nacion_es])</f>
        <v>Roma</v>
      </c>
      <c r="N305" t="str">
        <f>_xlfn.XLOOKUP(frasest[[#This Row],[autor_es]],autorest[autor_es],autorest[nacion_la])</f>
        <v>Roma</v>
      </c>
      <c r="O305" t="str">
        <f>_xlfn.XLOOKUP(frasest[[#This Row],[autor_es]],autorest[autor_es],autorest[epoca_es])</f>
        <v>Edad Antigua</v>
      </c>
      <c r="P305" t="str">
        <f>_xlfn.XLOOKUP(frasest[[#This Row],[autor_es]],autorest[autor_es],autorest[epoca_la])</f>
        <v>Antiquitas</v>
      </c>
      <c r="Q305" t="str">
        <f>_xlfn.XLOOKUP(frasest[[#This Row],[autor_es]],autorest[autor_es],autorest[imagen])</f>
        <v>https://i.ibb.co/yncvTttZ/sanambrosio.png</v>
      </c>
      <c r="R305">
        <f>_xlfn.XLOOKUP(frasest[[#This Row],[autor_es]],autorest[autor_es],autorest[imagen_atr])</f>
        <v>0</v>
      </c>
    </row>
    <row r="306" spans="1:18">
      <c r="A306">
        <v>305</v>
      </c>
      <c r="B306" t="s">
        <v>1087</v>
      </c>
      <c r="C306" t="s">
        <v>1088</v>
      </c>
      <c r="D306" t="s">
        <v>1088</v>
      </c>
      <c r="E306" t="s">
        <v>1064</v>
      </c>
      <c r="F306" t="s">
        <v>1055</v>
      </c>
      <c r="G306" t="str">
        <f>_xlfn.XLOOKUP(frasest[[#This Row],[autor_es]],autorest[autor_es],autorest[autor_la])</f>
        <v>Ambrosius Mediolanensis</v>
      </c>
      <c r="H306" t="str">
        <f>_xlfn.XLOOKUP(frasest[[#This Row],[autor_es]],autorest[autor_es],autorest[bio_es])</f>
        <v>Obispo de Milán, Doctor de la Iglesia y Padre Latino. Maestro de San Agustín, defensor de la ortodoxia y autoridad moral frente al poder imperial.</v>
      </c>
      <c r="I306" t="str">
        <f>_xlfn.XLOOKUP(frasest[[#This Row],[autor_es]],autorest[autor_es],autorest[bio_la])</f>
        <v>Episcopus Mediolanensis, Doctor Ecclesiae et Pater Latinus. Magister Sancti Augustini, orthodoxiae defensor et auctoritas moralis contra imperium.</v>
      </c>
      <c r="J306" t="str">
        <f>_xlfn.XLOOKUP(frasest[[#This Row],[autor_es]],autorest[autor_es],autorest[codigo])</f>
        <v>la</v>
      </c>
      <c r="K306" t="str">
        <f>_xlfn.XLOOKUP(frasest[[#This Row],[autor_es]],autorest[autor_es],autorest[idioma_es])</f>
        <v>Latín</v>
      </c>
      <c r="L306" t="str">
        <f>_xlfn.XLOOKUP(frasest[[#This Row],[autor_es]],autorest[autor_es],autorest[idioma_la])</f>
        <v>Lingua Latina</v>
      </c>
      <c r="M306" t="str">
        <f>_xlfn.XLOOKUP(frasest[[#This Row],[autor_es]],autorest[autor_es],autorest[nacion_es])</f>
        <v>Roma</v>
      </c>
      <c r="N306" t="str">
        <f>_xlfn.XLOOKUP(frasest[[#This Row],[autor_es]],autorest[autor_es],autorest[nacion_la])</f>
        <v>Roma</v>
      </c>
      <c r="O306" t="str">
        <f>_xlfn.XLOOKUP(frasest[[#This Row],[autor_es]],autorest[autor_es],autorest[epoca_es])</f>
        <v>Edad Antigua</v>
      </c>
      <c r="P306" t="str">
        <f>_xlfn.XLOOKUP(frasest[[#This Row],[autor_es]],autorest[autor_es],autorest[epoca_la])</f>
        <v>Antiquitas</v>
      </c>
      <c r="Q306" t="str">
        <f>_xlfn.XLOOKUP(frasest[[#This Row],[autor_es]],autorest[autor_es],autorest[imagen])</f>
        <v>https://i.ibb.co/yncvTttZ/sanambrosio.png</v>
      </c>
      <c r="R306">
        <f>_xlfn.XLOOKUP(frasest[[#This Row],[autor_es]],autorest[autor_es],autorest[imagen_atr])</f>
        <v>0</v>
      </c>
    </row>
    <row r="307" spans="1:18">
      <c r="A307">
        <v>306</v>
      </c>
      <c r="B307" t="s">
        <v>1089</v>
      </c>
      <c r="C307" t="s">
        <v>1090</v>
      </c>
      <c r="D307" t="s">
        <v>1090</v>
      </c>
      <c r="E307" t="s">
        <v>1064</v>
      </c>
      <c r="F307" t="s">
        <v>1091</v>
      </c>
      <c r="G307" t="str">
        <f>_xlfn.XLOOKUP(frasest[[#This Row],[autor_es]],autorest[autor_es],autorest[autor_la])</f>
        <v>Ambrosius Mediolanensis</v>
      </c>
      <c r="H307" t="str">
        <f>_xlfn.XLOOKUP(frasest[[#This Row],[autor_es]],autorest[autor_es],autorest[bio_es])</f>
        <v>Obispo de Milán, Doctor de la Iglesia y Padre Latino. Maestro de San Agustín, defensor de la ortodoxia y autoridad moral frente al poder imperial.</v>
      </c>
      <c r="I307" t="str">
        <f>_xlfn.XLOOKUP(frasest[[#This Row],[autor_es]],autorest[autor_es],autorest[bio_la])</f>
        <v>Episcopus Mediolanensis, Doctor Ecclesiae et Pater Latinus. Magister Sancti Augustini, orthodoxiae defensor et auctoritas moralis contra imperium.</v>
      </c>
      <c r="J307" t="str">
        <f>_xlfn.XLOOKUP(frasest[[#This Row],[autor_es]],autorest[autor_es],autorest[codigo])</f>
        <v>la</v>
      </c>
      <c r="K307" t="str">
        <f>_xlfn.XLOOKUP(frasest[[#This Row],[autor_es]],autorest[autor_es],autorest[idioma_es])</f>
        <v>Latín</v>
      </c>
      <c r="L307" t="str">
        <f>_xlfn.XLOOKUP(frasest[[#This Row],[autor_es]],autorest[autor_es],autorest[idioma_la])</f>
        <v>Lingua Latina</v>
      </c>
      <c r="M307" t="str">
        <f>_xlfn.XLOOKUP(frasest[[#This Row],[autor_es]],autorest[autor_es],autorest[nacion_es])</f>
        <v>Roma</v>
      </c>
      <c r="N307" t="str">
        <f>_xlfn.XLOOKUP(frasest[[#This Row],[autor_es]],autorest[autor_es],autorest[nacion_la])</f>
        <v>Roma</v>
      </c>
      <c r="O307" t="str">
        <f>_xlfn.XLOOKUP(frasest[[#This Row],[autor_es]],autorest[autor_es],autorest[epoca_es])</f>
        <v>Edad Antigua</v>
      </c>
      <c r="P307" t="str">
        <f>_xlfn.XLOOKUP(frasest[[#This Row],[autor_es]],autorest[autor_es],autorest[epoca_la])</f>
        <v>Antiquitas</v>
      </c>
      <c r="Q307" t="str">
        <f>_xlfn.XLOOKUP(frasest[[#This Row],[autor_es]],autorest[autor_es],autorest[imagen])</f>
        <v>https://i.ibb.co/yncvTttZ/sanambrosio.png</v>
      </c>
      <c r="R307">
        <f>_xlfn.XLOOKUP(frasest[[#This Row],[autor_es]],autorest[autor_es],autorest[imagen_atr])</f>
        <v>0</v>
      </c>
    </row>
    <row r="308" spans="1:18">
      <c r="A308">
        <v>307</v>
      </c>
      <c r="B308" t="s">
        <v>1092</v>
      </c>
      <c r="C308" t="s">
        <v>1093</v>
      </c>
      <c r="D308" t="s">
        <v>1093</v>
      </c>
      <c r="E308" t="s">
        <v>1094</v>
      </c>
      <c r="F308" t="s">
        <v>1095</v>
      </c>
      <c r="G308" t="str">
        <f>_xlfn.XLOOKUP(frasest[[#This Row],[autor_es]],autorest[autor_es],autorest[autor_la])</f>
        <v>Hieronymus Stridonensis</v>
      </c>
      <c r="H308" t="str">
        <f>_xlfn.XLOOKUP(frasest[[#This Row],[autor_es]],autorest[autor_es],autorest[bio_es])</f>
        <v>Padre y Doctor de la Iglesia, traductor de la Biblia al latín (Vulgata). Erudito políglota, asceta y polemista, patrono de los traductores.</v>
      </c>
      <c r="I308" t="str">
        <f>_xlfn.XLOOKUP(frasest[[#This Row],[autor_es]],autorest[autor_es],autorest[bio_la])</f>
        <v>Pater et Doctor Ecclesiae, translator Bibliae in Latinum (Vulgata). Eruditus polyglottus, asceta et polemista, patronus interpretum.</v>
      </c>
      <c r="J308" t="str">
        <f>_xlfn.XLOOKUP(frasest[[#This Row],[autor_es]],autorest[autor_es],autorest[codigo])</f>
        <v>la</v>
      </c>
      <c r="K308" t="str">
        <f>_xlfn.XLOOKUP(frasest[[#This Row],[autor_es]],autorest[autor_es],autorest[idioma_es])</f>
        <v>Latín</v>
      </c>
      <c r="L308" t="str">
        <f>_xlfn.XLOOKUP(frasest[[#This Row],[autor_es]],autorest[autor_es],autorest[idioma_la])</f>
        <v>Lingua Latina</v>
      </c>
      <c r="M308" t="str">
        <f>_xlfn.XLOOKUP(frasest[[#This Row],[autor_es]],autorest[autor_es],autorest[nacion_es])</f>
        <v>Roma</v>
      </c>
      <c r="N308" t="str">
        <f>_xlfn.XLOOKUP(frasest[[#This Row],[autor_es]],autorest[autor_es],autorest[nacion_la])</f>
        <v>Roma</v>
      </c>
      <c r="O308" t="str">
        <f>_xlfn.XLOOKUP(frasest[[#This Row],[autor_es]],autorest[autor_es],autorest[epoca_es])</f>
        <v>Edad Antigua</v>
      </c>
      <c r="P308" t="str">
        <f>_xlfn.XLOOKUP(frasest[[#This Row],[autor_es]],autorest[autor_es],autorest[epoca_la])</f>
        <v>Antiquitas</v>
      </c>
      <c r="Q308" t="str">
        <f>_xlfn.XLOOKUP(frasest[[#This Row],[autor_es]],autorest[autor_es],autorest[imagen])</f>
        <v>https://i.ibb.co/HDVQmSDL/sanjeronimo.png</v>
      </c>
      <c r="R308">
        <f>_xlfn.XLOOKUP(frasest[[#This Row],[autor_es]],autorest[autor_es],autorest[imagen_atr])</f>
        <v>0</v>
      </c>
    </row>
    <row r="309" spans="1:18">
      <c r="A309">
        <v>308</v>
      </c>
      <c r="B309" t="s">
        <v>1096</v>
      </c>
      <c r="C309" t="s">
        <v>1097</v>
      </c>
      <c r="D309" t="s">
        <v>1097</v>
      </c>
      <c r="E309" t="s">
        <v>1094</v>
      </c>
      <c r="F309" t="s">
        <v>1095</v>
      </c>
      <c r="G309" t="str">
        <f>_xlfn.XLOOKUP(frasest[[#This Row],[autor_es]],autorest[autor_es],autorest[autor_la])</f>
        <v>Hieronymus Stridonensis</v>
      </c>
      <c r="H309" t="str">
        <f>_xlfn.XLOOKUP(frasest[[#This Row],[autor_es]],autorest[autor_es],autorest[bio_es])</f>
        <v>Padre y Doctor de la Iglesia, traductor de la Biblia al latín (Vulgata). Erudito políglota, asceta y polemista, patrono de los traductores.</v>
      </c>
      <c r="I309" t="str">
        <f>_xlfn.XLOOKUP(frasest[[#This Row],[autor_es]],autorest[autor_es],autorest[bio_la])</f>
        <v>Pater et Doctor Ecclesiae, translator Bibliae in Latinum (Vulgata). Eruditus polyglottus, asceta et polemista, patronus interpretum.</v>
      </c>
      <c r="J309" t="str">
        <f>_xlfn.XLOOKUP(frasest[[#This Row],[autor_es]],autorest[autor_es],autorest[codigo])</f>
        <v>la</v>
      </c>
      <c r="K309" t="str">
        <f>_xlfn.XLOOKUP(frasest[[#This Row],[autor_es]],autorest[autor_es],autorest[idioma_es])</f>
        <v>Latín</v>
      </c>
      <c r="L309" t="str">
        <f>_xlfn.XLOOKUP(frasest[[#This Row],[autor_es]],autorest[autor_es],autorest[idioma_la])</f>
        <v>Lingua Latina</v>
      </c>
      <c r="M309" t="str">
        <f>_xlfn.XLOOKUP(frasest[[#This Row],[autor_es]],autorest[autor_es],autorest[nacion_es])</f>
        <v>Roma</v>
      </c>
      <c r="N309" t="str">
        <f>_xlfn.XLOOKUP(frasest[[#This Row],[autor_es]],autorest[autor_es],autorest[nacion_la])</f>
        <v>Roma</v>
      </c>
      <c r="O309" t="str">
        <f>_xlfn.XLOOKUP(frasest[[#This Row],[autor_es]],autorest[autor_es],autorest[epoca_es])</f>
        <v>Edad Antigua</v>
      </c>
      <c r="P309" t="str">
        <f>_xlfn.XLOOKUP(frasest[[#This Row],[autor_es]],autorest[autor_es],autorest[epoca_la])</f>
        <v>Antiquitas</v>
      </c>
      <c r="Q309" t="str">
        <f>_xlfn.XLOOKUP(frasest[[#This Row],[autor_es]],autorest[autor_es],autorest[imagen])</f>
        <v>https://i.ibb.co/HDVQmSDL/sanjeronimo.png</v>
      </c>
      <c r="R309">
        <f>_xlfn.XLOOKUP(frasest[[#This Row],[autor_es]],autorest[autor_es],autorest[imagen_atr])</f>
        <v>0</v>
      </c>
    </row>
    <row r="310" spans="1:18">
      <c r="A310">
        <v>309</v>
      </c>
      <c r="B310" t="s">
        <v>1098</v>
      </c>
      <c r="C310" t="s">
        <v>1099</v>
      </c>
      <c r="D310" t="s">
        <v>1099</v>
      </c>
      <c r="E310" t="s">
        <v>1094</v>
      </c>
      <c r="F310" t="s">
        <v>1095</v>
      </c>
      <c r="G310" t="str">
        <f>_xlfn.XLOOKUP(frasest[[#This Row],[autor_es]],autorest[autor_es],autorest[autor_la])</f>
        <v>Hieronymus Stridonensis</v>
      </c>
      <c r="H310" t="str">
        <f>_xlfn.XLOOKUP(frasest[[#This Row],[autor_es]],autorest[autor_es],autorest[bio_es])</f>
        <v>Padre y Doctor de la Iglesia, traductor de la Biblia al latín (Vulgata). Erudito políglota, asceta y polemista, patrono de los traductores.</v>
      </c>
      <c r="I310" t="str">
        <f>_xlfn.XLOOKUP(frasest[[#This Row],[autor_es]],autorest[autor_es],autorest[bio_la])</f>
        <v>Pater et Doctor Ecclesiae, translator Bibliae in Latinum (Vulgata). Eruditus polyglottus, asceta et polemista, patronus interpretum.</v>
      </c>
      <c r="J310" t="str">
        <f>_xlfn.XLOOKUP(frasest[[#This Row],[autor_es]],autorest[autor_es],autorest[codigo])</f>
        <v>la</v>
      </c>
      <c r="K310" t="str">
        <f>_xlfn.XLOOKUP(frasest[[#This Row],[autor_es]],autorest[autor_es],autorest[idioma_es])</f>
        <v>Latín</v>
      </c>
      <c r="L310" t="str">
        <f>_xlfn.XLOOKUP(frasest[[#This Row],[autor_es]],autorest[autor_es],autorest[idioma_la])</f>
        <v>Lingua Latina</v>
      </c>
      <c r="M310" t="str">
        <f>_xlfn.XLOOKUP(frasest[[#This Row],[autor_es]],autorest[autor_es],autorest[nacion_es])</f>
        <v>Roma</v>
      </c>
      <c r="N310" t="str">
        <f>_xlfn.XLOOKUP(frasest[[#This Row],[autor_es]],autorest[autor_es],autorest[nacion_la])</f>
        <v>Roma</v>
      </c>
      <c r="O310" t="str">
        <f>_xlfn.XLOOKUP(frasest[[#This Row],[autor_es]],autorest[autor_es],autorest[epoca_es])</f>
        <v>Edad Antigua</v>
      </c>
      <c r="P310" t="str">
        <f>_xlfn.XLOOKUP(frasest[[#This Row],[autor_es]],autorest[autor_es],autorest[epoca_la])</f>
        <v>Antiquitas</v>
      </c>
      <c r="Q310" t="str">
        <f>_xlfn.XLOOKUP(frasest[[#This Row],[autor_es]],autorest[autor_es],autorest[imagen])</f>
        <v>https://i.ibb.co/HDVQmSDL/sanjeronimo.png</v>
      </c>
      <c r="R310">
        <f>_xlfn.XLOOKUP(frasest[[#This Row],[autor_es]],autorest[autor_es],autorest[imagen_atr])</f>
        <v>0</v>
      </c>
    </row>
    <row r="311" spans="1:18">
      <c r="A311">
        <v>310</v>
      </c>
      <c r="B311" t="s">
        <v>1100</v>
      </c>
      <c r="C311" t="s">
        <v>1101</v>
      </c>
      <c r="D311" t="s">
        <v>1101</v>
      </c>
      <c r="E311" t="s">
        <v>1094</v>
      </c>
      <c r="F311" t="s">
        <v>1095</v>
      </c>
      <c r="G311" t="str">
        <f>_xlfn.XLOOKUP(frasest[[#This Row],[autor_es]],autorest[autor_es],autorest[autor_la])</f>
        <v>Hieronymus Stridonensis</v>
      </c>
      <c r="H311" t="str">
        <f>_xlfn.XLOOKUP(frasest[[#This Row],[autor_es]],autorest[autor_es],autorest[bio_es])</f>
        <v>Padre y Doctor de la Iglesia, traductor de la Biblia al latín (Vulgata). Erudito políglota, asceta y polemista, patrono de los traductores.</v>
      </c>
      <c r="I311" t="str">
        <f>_xlfn.XLOOKUP(frasest[[#This Row],[autor_es]],autorest[autor_es],autorest[bio_la])</f>
        <v>Pater et Doctor Ecclesiae, translator Bibliae in Latinum (Vulgata). Eruditus polyglottus, asceta et polemista, patronus interpretum.</v>
      </c>
      <c r="J311" t="str">
        <f>_xlfn.XLOOKUP(frasest[[#This Row],[autor_es]],autorest[autor_es],autorest[codigo])</f>
        <v>la</v>
      </c>
      <c r="K311" t="str">
        <f>_xlfn.XLOOKUP(frasest[[#This Row],[autor_es]],autorest[autor_es],autorest[idioma_es])</f>
        <v>Latín</v>
      </c>
      <c r="L311" t="str">
        <f>_xlfn.XLOOKUP(frasest[[#This Row],[autor_es]],autorest[autor_es],autorest[idioma_la])</f>
        <v>Lingua Latina</v>
      </c>
      <c r="M311" t="str">
        <f>_xlfn.XLOOKUP(frasest[[#This Row],[autor_es]],autorest[autor_es],autorest[nacion_es])</f>
        <v>Roma</v>
      </c>
      <c r="N311" t="str">
        <f>_xlfn.XLOOKUP(frasest[[#This Row],[autor_es]],autorest[autor_es],autorest[nacion_la])</f>
        <v>Roma</v>
      </c>
      <c r="O311" t="str">
        <f>_xlfn.XLOOKUP(frasest[[#This Row],[autor_es]],autorest[autor_es],autorest[epoca_es])</f>
        <v>Edad Antigua</v>
      </c>
      <c r="P311" t="str">
        <f>_xlfn.XLOOKUP(frasest[[#This Row],[autor_es]],autorest[autor_es],autorest[epoca_la])</f>
        <v>Antiquitas</v>
      </c>
      <c r="Q311" t="str">
        <f>_xlfn.XLOOKUP(frasest[[#This Row],[autor_es]],autorest[autor_es],autorest[imagen])</f>
        <v>https://i.ibb.co/HDVQmSDL/sanjeronimo.png</v>
      </c>
      <c r="R311">
        <f>_xlfn.XLOOKUP(frasest[[#This Row],[autor_es]],autorest[autor_es],autorest[imagen_atr])</f>
        <v>0</v>
      </c>
    </row>
    <row r="312" spans="1:18">
      <c r="A312">
        <v>311</v>
      </c>
      <c r="B312" t="s">
        <v>1102</v>
      </c>
      <c r="C312" t="s">
        <v>1103</v>
      </c>
      <c r="D312" t="s">
        <v>1103</v>
      </c>
      <c r="E312" t="s">
        <v>1094</v>
      </c>
      <c r="F312" t="s">
        <v>1095</v>
      </c>
      <c r="G312" t="str">
        <f>_xlfn.XLOOKUP(frasest[[#This Row],[autor_es]],autorest[autor_es],autorest[autor_la])</f>
        <v>Hieronymus Stridonensis</v>
      </c>
      <c r="H312" t="str">
        <f>_xlfn.XLOOKUP(frasest[[#This Row],[autor_es]],autorest[autor_es],autorest[bio_es])</f>
        <v>Padre y Doctor de la Iglesia, traductor de la Biblia al latín (Vulgata). Erudito políglota, asceta y polemista, patrono de los traductores.</v>
      </c>
      <c r="I312" t="str">
        <f>_xlfn.XLOOKUP(frasest[[#This Row],[autor_es]],autorest[autor_es],autorest[bio_la])</f>
        <v>Pater et Doctor Ecclesiae, translator Bibliae in Latinum (Vulgata). Eruditus polyglottus, asceta et polemista, patronus interpretum.</v>
      </c>
      <c r="J312" t="str">
        <f>_xlfn.XLOOKUP(frasest[[#This Row],[autor_es]],autorest[autor_es],autorest[codigo])</f>
        <v>la</v>
      </c>
      <c r="K312" t="str">
        <f>_xlfn.XLOOKUP(frasest[[#This Row],[autor_es]],autorest[autor_es],autorest[idioma_es])</f>
        <v>Latín</v>
      </c>
      <c r="L312" t="str">
        <f>_xlfn.XLOOKUP(frasest[[#This Row],[autor_es]],autorest[autor_es],autorest[idioma_la])</f>
        <v>Lingua Latina</v>
      </c>
      <c r="M312" t="str">
        <f>_xlfn.XLOOKUP(frasest[[#This Row],[autor_es]],autorest[autor_es],autorest[nacion_es])</f>
        <v>Roma</v>
      </c>
      <c r="N312" t="str">
        <f>_xlfn.XLOOKUP(frasest[[#This Row],[autor_es]],autorest[autor_es],autorest[nacion_la])</f>
        <v>Roma</v>
      </c>
      <c r="O312" t="str">
        <f>_xlfn.XLOOKUP(frasest[[#This Row],[autor_es]],autorest[autor_es],autorest[epoca_es])</f>
        <v>Edad Antigua</v>
      </c>
      <c r="P312" t="str">
        <f>_xlfn.XLOOKUP(frasest[[#This Row],[autor_es]],autorest[autor_es],autorest[epoca_la])</f>
        <v>Antiquitas</v>
      </c>
      <c r="Q312" t="str">
        <f>_xlfn.XLOOKUP(frasest[[#This Row],[autor_es]],autorest[autor_es],autorest[imagen])</f>
        <v>https://i.ibb.co/HDVQmSDL/sanjeronimo.png</v>
      </c>
      <c r="R312">
        <f>_xlfn.XLOOKUP(frasest[[#This Row],[autor_es]],autorest[autor_es],autorest[imagen_atr])</f>
        <v>0</v>
      </c>
    </row>
    <row r="313" spans="1:18">
      <c r="A313">
        <v>312</v>
      </c>
      <c r="B313" t="s">
        <v>1104</v>
      </c>
      <c r="C313" t="s">
        <v>1105</v>
      </c>
      <c r="D313" t="s">
        <v>1105</v>
      </c>
      <c r="E313" t="s">
        <v>1094</v>
      </c>
      <c r="F313" t="s">
        <v>1095</v>
      </c>
      <c r="G313" t="str">
        <f>_xlfn.XLOOKUP(frasest[[#This Row],[autor_es]],autorest[autor_es],autorest[autor_la])</f>
        <v>Hieronymus Stridonensis</v>
      </c>
      <c r="H313" t="str">
        <f>_xlfn.XLOOKUP(frasest[[#This Row],[autor_es]],autorest[autor_es],autorest[bio_es])</f>
        <v>Padre y Doctor de la Iglesia, traductor de la Biblia al latín (Vulgata). Erudito políglota, asceta y polemista, patrono de los traductores.</v>
      </c>
      <c r="I313" t="str">
        <f>_xlfn.XLOOKUP(frasest[[#This Row],[autor_es]],autorest[autor_es],autorest[bio_la])</f>
        <v>Pater et Doctor Ecclesiae, translator Bibliae in Latinum (Vulgata). Eruditus polyglottus, asceta et polemista, patronus interpretum.</v>
      </c>
      <c r="J313" t="str">
        <f>_xlfn.XLOOKUP(frasest[[#This Row],[autor_es]],autorest[autor_es],autorest[codigo])</f>
        <v>la</v>
      </c>
      <c r="K313" t="str">
        <f>_xlfn.XLOOKUP(frasest[[#This Row],[autor_es]],autorest[autor_es],autorest[idioma_es])</f>
        <v>Latín</v>
      </c>
      <c r="L313" t="str">
        <f>_xlfn.XLOOKUP(frasest[[#This Row],[autor_es]],autorest[autor_es],autorest[idioma_la])</f>
        <v>Lingua Latina</v>
      </c>
      <c r="M313" t="str">
        <f>_xlfn.XLOOKUP(frasest[[#This Row],[autor_es]],autorest[autor_es],autorest[nacion_es])</f>
        <v>Roma</v>
      </c>
      <c r="N313" t="str">
        <f>_xlfn.XLOOKUP(frasest[[#This Row],[autor_es]],autorest[autor_es],autorest[nacion_la])</f>
        <v>Roma</v>
      </c>
      <c r="O313" t="str">
        <f>_xlfn.XLOOKUP(frasest[[#This Row],[autor_es]],autorest[autor_es],autorest[epoca_es])</f>
        <v>Edad Antigua</v>
      </c>
      <c r="P313" t="str">
        <f>_xlfn.XLOOKUP(frasest[[#This Row],[autor_es]],autorest[autor_es],autorest[epoca_la])</f>
        <v>Antiquitas</v>
      </c>
      <c r="Q313" t="str">
        <f>_xlfn.XLOOKUP(frasest[[#This Row],[autor_es]],autorest[autor_es],autorest[imagen])</f>
        <v>https://i.ibb.co/HDVQmSDL/sanjeronimo.png</v>
      </c>
      <c r="R313">
        <f>_xlfn.XLOOKUP(frasest[[#This Row],[autor_es]],autorest[autor_es],autorest[imagen_atr])</f>
        <v>0</v>
      </c>
    </row>
    <row r="314" spans="1:18">
      <c r="A314">
        <v>313</v>
      </c>
      <c r="B314" t="s">
        <v>1106</v>
      </c>
      <c r="C314" t="s">
        <v>1107</v>
      </c>
      <c r="D314" t="s">
        <v>1107</v>
      </c>
      <c r="E314" t="s">
        <v>1094</v>
      </c>
      <c r="F314" t="s">
        <v>1095</v>
      </c>
      <c r="G314" t="str">
        <f>_xlfn.XLOOKUP(frasest[[#This Row],[autor_es]],autorest[autor_es],autorest[autor_la])</f>
        <v>Hieronymus Stridonensis</v>
      </c>
      <c r="H314" t="str">
        <f>_xlfn.XLOOKUP(frasest[[#This Row],[autor_es]],autorest[autor_es],autorest[bio_es])</f>
        <v>Padre y Doctor de la Iglesia, traductor de la Biblia al latín (Vulgata). Erudito políglota, asceta y polemista, patrono de los traductores.</v>
      </c>
      <c r="I314" t="str">
        <f>_xlfn.XLOOKUP(frasest[[#This Row],[autor_es]],autorest[autor_es],autorest[bio_la])</f>
        <v>Pater et Doctor Ecclesiae, translator Bibliae in Latinum (Vulgata). Eruditus polyglottus, asceta et polemista, patronus interpretum.</v>
      </c>
      <c r="J314" t="str">
        <f>_xlfn.XLOOKUP(frasest[[#This Row],[autor_es]],autorest[autor_es],autorest[codigo])</f>
        <v>la</v>
      </c>
      <c r="K314" t="str">
        <f>_xlfn.XLOOKUP(frasest[[#This Row],[autor_es]],autorest[autor_es],autorest[idioma_es])</f>
        <v>Latín</v>
      </c>
      <c r="L314" t="str">
        <f>_xlfn.XLOOKUP(frasest[[#This Row],[autor_es]],autorest[autor_es],autorest[idioma_la])</f>
        <v>Lingua Latina</v>
      </c>
      <c r="M314" t="str">
        <f>_xlfn.XLOOKUP(frasest[[#This Row],[autor_es]],autorest[autor_es],autorest[nacion_es])</f>
        <v>Roma</v>
      </c>
      <c r="N314" t="str">
        <f>_xlfn.XLOOKUP(frasest[[#This Row],[autor_es]],autorest[autor_es],autorest[nacion_la])</f>
        <v>Roma</v>
      </c>
      <c r="O314" t="str">
        <f>_xlfn.XLOOKUP(frasest[[#This Row],[autor_es]],autorest[autor_es],autorest[epoca_es])</f>
        <v>Edad Antigua</v>
      </c>
      <c r="P314" t="str">
        <f>_xlfn.XLOOKUP(frasest[[#This Row],[autor_es]],autorest[autor_es],autorest[epoca_la])</f>
        <v>Antiquitas</v>
      </c>
      <c r="Q314" t="str">
        <f>_xlfn.XLOOKUP(frasest[[#This Row],[autor_es]],autorest[autor_es],autorest[imagen])</f>
        <v>https://i.ibb.co/HDVQmSDL/sanjeronimo.png</v>
      </c>
      <c r="R314">
        <f>_xlfn.XLOOKUP(frasest[[#This Row],[autor_es]],autorest[autor_es],autorest[imagen_atr])</f>
        <v>0</v>
      </c>
    </row>
    <row r="315" spans="1:18">
      <c r="A315">
        <v>314</v>
      </c>
      <c r="B315" t="s">
        <v>1108</v>
      </c>
      <c r="C315" t="s">
        <v>1109</v>
      </c>
      <c r="D315" t="s">
        <v>1109</v>
      </c>
      <c r="E315" t="s">
        <v>1094</v>
      </c>
      <c r="F315" t="s">
        <v>1095</v>
      </c>
      <c r="G315" t="str">
        <f>_xlfn.XLOOKUP(frasest[[#This Row],[autor_es]],autorest[autor_es],autorest[autor_la])</f>
        <v>Hieronymus Stridonensis</v>
      </c>
      <c r="H315" t="str">
        <f>_xlfn.XLOOKUP(frasest[[#This Row],[autor_es]],autorest[autor_es],autorest[bio_es])</f>
        <v>Padre y Doctor de la Iglesia, traductor de la Biblia al latín (Vulgata). Erudito políglota, asceta y polemista, patrono de los traductores.</v>
      </c>
      <c r="I315" t="str">
        <f>_xlfn.XLOOKUP(frasest[[#This Row],[autor_es]],autorest[autor_es],autorest[bio_la])</f>
        <v>Pater et Doctor Ecclesiae, translator Bibliae in Latinum (Vulgata). Eruditus polyglottus, asceta et polemista, patronus interpretum.</v>
      </c>
      <c r="J315" t="str">
        <f>_xlfn.XLOOKUP(frasest[[#This Row],[autor_es]],autorest[autor_es],autorest[codigo])</f>
        <v>la</v>
      </c>
      <c r="K315" t="str">
        <f>_xlfn.XLOOKUP(frasest[[#This Row],[autor_es]],autorest[autor_es],autorest[idioma_es])</f>
        <v>Latín</v>
      </c>
      <c r="L315" t="str">
        <f>_xlfn.XLOOKUP(frasest[[#This Row],[autor_es]],autorest[autor_es],autorest[idioma_la])</f>
        <v>Lingua Latina</v>
      </c>
      <c r="M315" t="str">
        <f>_xlfn.XLOOKUP(frasest[[#This Row],[autor_es]],autorest[autor_es],autorest[nacion_es])</f>
        <v>Roma</v>
      </c>
      <c r="N315" t="str">
        <f>_xlfn.XLOOKUP(frasest[[#This Row],[autor_es]],autorest[autor_es],autorest[nacion_la])</f>
        <v>Roma</v>
      </c>
      <c r="O315" t="str">
        <f>_xlfn.XLOOKUP(frasest[[#This Row],[autor_es]],autorest[autor_es],autorest[epoca_es])</f>
        <v>Edad Antigua</v>
      </c>
      <c r="P315" t="str">
        <f>_xlfn.XLOOKUP(frasest[[#This Row],[autor_es]],autorest[autor_es],autorest[epoca_la])</f>
        <v>Antiquitas</v>
      </c>
      <c r="Q315" t="str">
        <f>_xlfn.XLOOKUP(frasest[[#This Row],[autor_es]],autorest[autor_es],autorest[imagen])</f>
        <v>https://i.ibb.co/HDVQmSDL/sanjeronimo.png</v>
      </c>
      <c r="R315">
        <f>_xlfn.XLOOKUP(frasest[[#This Row],[autor_es]],autorest[autor_es],autorest[imagen_atr])</f>
        <v>0</v>
      </c>
    </row>
    <row r="316" spans="1:18">
      <c r="A316">
        <v>315</v>
      </c>
      <c r="B316" t="s">
        <v>1110</v>
      </c>
      <c r="C316" t="s">
        <v>1111</v>
      </c>
      <c r="D316" t="s">
        <v>1111</v>
      </c>
      <c r="E316" t="s">
        <v>1094</v>
      </c>
      <c r="F316" t="s">
        <v>1095</v>
      </c>
      <c r="G316" t="str">
        <f>_xlfn.XLOOKUP(frasest[[#This Row],[autor_es]],autorest[autor_es],autorest[autor_la])</f>
        <v>Hieronymus Stridonensis</v>
      </c>
      <c r="H316" t="str">
        <f>_xlfn.XLOOKUP(frasest[[#This Row],[autor_es]],autorest[autor_es],autorest[bio_es])</f>
        <v>Padre y Doctor de la Iglesia, traductor de la Biblia al latín (Vulgata). Erudito políglota, asceta y polemista, patrono de los traductores.</v>
      </c>
      <c r="I316" t="str">
        <f>_xlfn.XLOOKUP(frasest[[#This Row],[autor_es]],autorest[autor_es],autorest[bio_la])</f>
        <v>Pater et Doctor Ecclesiae, translator Bibliae in Latinum (Vulgata). Eruditus polyglottus, asceta et polemista, patronus interpretum.</v>
      </c>
      <c r="J316" t="str">
        <f>_xlfn.XLOOKUP(frasest[[#This Row],[autor_es]],autorest[autor_es],autorest[codigo])</f>
        <v>la</v>
      </c>
      <c r="K316" t="str">
        <f>_xlfn.XLOOKUP(frasest[[#This Row],[autor_es]],autorest[autor_es],autorest[idioma_es])</f>
        <v>Latín</v>
      </c>
      <c r="L316" t="str">
        <f>_xlfn.XLOOKUP(frasest[[#This Row],[autor_es]],autorest[autor_es],autorest[idioma_la])</f>
        <v>Lingua Latina</v>
      </c>
      <c r="M316" t="str">
        <f>_xlfn.XLOOKUP(frasest[[#This Row],[autor_es]],autorest[autor_es],autorest[nacion_es])</f>
        <v>Roma</v>
      </c>
      <c r="N316" t="str">
        <f>_xlfn.XLOOKUP(frasest[[#This Row],[autor_es]],autorest[autor_es],autorest[nacion_la])</f>
        <v>Roma</v>
      </c>
      <c r="O316" t="str">
        <f>_xlfn.XLOOKUP(frasest[[#This Row],[autor_es]],autorest[autor_es],autorest[epoca_es])</f>
        <v>Edad Antigua</v>
      </c>
      <c r="P316" t="str">
        <f>_xlfn.XLOOKUP(frasest[[#This Row],[autor_es]],autorest[autor_es],autorest[epoca_la])</f>
        <v>Antiquitas</v>
      </c>
      <c r="Q316" t="str">
        <f>_xlfn.XLOOKUP(frasest[[#This Row],[autor_es]],autorest[autor_es],autorest[imagen])</f>
        <v>https://i.ibb.co/HDVQmSDL/sanjeronimo.png</v>
      </c>
      <c r="R316">
        <f>_xlfn.XLOOKUP(frasest[[#This Row],[autor_es]],autorest[autor_es],autorest[imagen_atr])</f>
        <v>0</v>
      </c>
    </row>
    <row r="317" spans="1:18">
      <c r="A317">
        <v>316</v>
      </c>
      <c r="B317" t="s">
        <v>1112</v>
      </c>
      <c r="C317" t="s">
        <v>1113</v>
      </c>
      <c r="D317" t="s">
        <v>1113</v>
      </c>
      <c r="E317" t="s">
        <v>1094</v>
      </c>
      <c r="F317" t="s">
        <v>1095</v>
      </c>
      <c r="G317" t="str">
        <f>_xlfn.XLOOKUP(frasest[[#This Row],[autor_es]],autorest[autor_es],autorest[autor_la])</f>
        <v>Hieronymus Stridonensis</v>
      </c>
      <c r="H317" t="str">
        <f>_xlfn.XLOOKUP(frasest[[#This Row],[autor_es]],autorest[autor_es],autorest[bio_es])</f>
        <v>Padre y Doctor de la Iglesia, traductor de la Biblia al latín (Vulgata). Erudito políglota, asceta y polemista, patrono de los traductores.</v>
      </c>
      <c r="I317" t="str">
        <f>_xlfn.XLOOKUP(frasest[[#This Row],[autor_es]],autorest[autor_es],autorest[bio_la])</f>
        <v>Pater et Doctor Ecclesiae, translator Bibliae in Latinum (Vulgata). Eruditus polyglottus, asceta et polemista, patronus interpretum.</v>
      </c>
      <c r="J317" t="str">
        <f>_xlfn.XLOOKUP(frasest[[#This Row],[autor_es]],autorest[autor_es],autorest[codigo])</f>
        <v>la</v>
      </c>
      <c r="K317" t="str">
        <f>_xlfn.XLOOKUP(frasest[[#This Row],[autor_es]],autorest[autor_es],autorest[idioma_es])</f>
        <v>Latín</v>
      </c>
      <c r="L317" t="str">
        <f>_xlfn.XLOOKUP(frasest[[#This Row],[autor_es]],autorest[autor_es],autorest[idioma_la])</f>
        <v>Lingua Latina</v>
      </c>
      <c r="M317" t="str">
        <f>_xlfn.XLOOKUP(frasest[[#This Row],[autor_es]],autorest[autor_es],autorest[nacion_es])</f>
        <v>Roma</v>
      </c>
      <c r="N317" t="str">
        <f>_xlfn.XLOOKUP(frasest[[#This Row],[autor_es]],autorest[autor_es],autorest[nacion_la])</f>
        <v>Roma</v>
      </c>
      <c r="O317" t="str">
        <f>_xlfn.XLOOKUP(frasest[[#This Row],[autor_es]],autorest[autor_es],autorest[epoca_es])</f>
        <v>Edad Antigua</v>
      </c>
      <c r="P317" t="str">
        <f>_xlfn.XLOOKUP(frasest[[#This Row],[autor_es]],autorest[autor_es],autorest[epoca_la])</f>
        <v>Antiquitas</v>
      </c>
      <c r="Q317" t="str">
        <f>_xlfn.XLOOKUP(frasest[[#This Row],[autor_es]],autorest[autor_es],autorest[imagen])</f>
        <v>https://i.ibb.co/HDVQmSDL/sanjeronimo.png</v>
      </c>
      <c r="R317">
        <f>_xlfn.XLOOKUP(frasest[[#This Row],[autor_es]],autorest[autor_es],autorest[imagen_atr])</f>
        <v>0</v>
      </c>
    </row>
    <row r="318" spans="1:18">
      <c r="A318">
        <v>317</v>
      </c>
      <c r="B318" t="s">
        <v>1114</v>
      </c>
      <c r="C318" t="s">
        <v>1115</v>
      </c>
      <c r="D318" t="s">
        <v>1115</v>
      </c>
      <c r="E318" t="s">
        <v>1116</v>
      </c>
      <c r="F318" t="s">
        <v>1117</v>
      </c>
      <c r="G318" t="str">
        <f>_xlfn.XLOOKUP(frasest[[#This Row],[autor_es]],autorest[autor_es],autorest[autor_la])</f>
        <v>Leo Magnus</v>
      </c>
      <c r="H318" t="str">
        <f>_xlfn.XLOOKUP(frasest[[#This Row],[autor_es]],autorest[autor_es],autorest[bio_es])</f>
        <v>Papa, Doctor de la Iglesia. Convocó el Concilio de Calcedonia, detuvo a Atila en las puertas de Roma. Defensor de la primacía papal y la cristología ortodoxa.</v>
      </c>
      <c r="I318" t="str">
        <f>_xlfn.XLOOKUP(frasest[[#This Row],[autor_es]],autorest[autor_es],autorest[bio_la])</f>
        <v>Papa, Doctor Ecclesiae. Concilium Chalcedonense convocavit, Attilam ad portas Romae inhibuit. Primatus papalis et christologiae orthodoxae defensor.</v>
      </c>
      <c r="J318" t="str">
        <f>_xlfn.XLOOKUP(frasest[[#This Row],[autor_es]],autorest[autor_es],autorest[codigo])</f>
        <v>la</v>
      </c>
      <c r="K318" t="str">
        <f>_xlfn.XLOOKUP(frasest[[#This Row],[autor_es]],autorest[autor_es],autorest[idioma_es])</f>
        <v>Latín</v>
      </c>
      <c r="L318" t="str">
        <f>_xlfn.XLOOKUP(frasest[[#This Row],[autor_es]],autorest[autor_es],autorest[idioma_la])</f>
        <v>Lingua Latina</v>
      </c>
      <c r="M318" t="str">
        <f>_xlfn.XLOOKUP(frasest[[#This Row],[autor_es]],autorest[autor_es],autorest[nacion_es])</f>
        <v>Roma</v>
      </c>
      <c r="N318" t="str">
        <f>_xlfn.XLOOKUP(frasest[[#This Row],[autor_es]],autorest[autor_es],autorest[nacion_la])</f>
        <v>Roma</v>
      </c>
      <c r="O318" t="str">
        <f>_xlfn.XLOOKUP(frasest[[#This Row],[autor_es]],autorest[autor_es],autorest[epoca_es])</f>
        <v>Edad Antigua</v>
      </c>
      <c r="P318" t="str">
        <f>_xlfn.XLOOKUP(frasest[[#This Row],[autor_es]],autorest[autor_es],autorest[epoca_la])</f>
        <v>Antiquitas</v>
      </c>
      <c r="Q318" t="str">
        <f>_xlfn.XLOOKUP(frasest[[#This Row],[autor_es]],autorest[autor_es],autorest[imagen])</f>
        <v>https://i.ibb.co/63WDrBK/sanleonmagno.png</v>
      </c>
      <c r="R318">
        <f>_xlfn.XLOOKUP(frasest[[#This Row],[autor_es]],autorest[autor_es],autorest[imagen_atr])</f>
        <v>0</v>
      </c>
    </row>
    <row r="319" spans="1:18">
      <c r="A319">
        <v>318</v>
      </c>
      <c r="B319" t="s">
        <v>1118</v>
      </c>
      <c r="C319" t="s">
        <v>1119</v>
      </c>
      <c r="D319" t="s">
        <v>1119</v>
      </c>
      <c r="E319" t="s">
        <v>1116</v>
      </c>
      <c r="F319" t="s">
        <v>1117</v>
      </c>
      <c r="G319" t="str">
        <f>_xlfn.XLOOKUP(frasest[[#This Row],[autor_es]],autorest[autor_es],autorest[autor_la])</f>
        <v>Leo Magnus</v>
      </c>
      <c r="H319" t="str">
        <f>_xlfn.XLOOKUP(frasest[[#This Row],[autor_es]],autorest[autor_es],autorest[bio_es])</f>
        <v>Papa, Doctor de la Iglesia. Convocó el Concilio de Calcedonia, detuvo a Atila en las puertas de Roma. Defensor de la primacía papal y la cristología ortodoxa.</v>
      </c>
      <c r="I319" t="str">
        <f>_xlfn.XLOOKUP(frasest[[#This Row],[autor_es]],autorest[autor_es],autorest[bio_la])</f>
        <v>Papa, Doctor Ecclesiae. Concilium Chalcedonense convocavit, Attilam ad portas Romae inhibuit. Primatus papalis et christologiae orthodoxae defensor.</v>
      </c>
      <c r="J319" t="str">
        <f>_xlfn.XLOOKUP(frasest[[#This Row],[autor_es]],autorest[autor_es],autorest[codigo])</f>
        <v>la</v>
      </c>
      <c r="K319" t="str">
        <f>_xlfn.XLOOKUP(frasest[[#This Row],[autor_es]],autorest[autor_es],autorest[idioma_es])</f>
        <v>Latín</v>
      </c>
      <c r="L319" t="str">
        <f>_xlfn.XLOOKUP(frasest[[#This Row],[autor_es]],autorest[autor_es],autorest[idioma_la])</f>
        <v>Lingua Latina</v>
      </c>
      <c r="M319" t="str">
        <f>_xlfn.XLOOKUP(frasest[[#This Row],[autor_es]],autorest[autor_es],autorest[nacion_es])</f>
        <v>Roma</v>
      </c>
      <c r="N319" t="str">
        <f>_xlfn.XLOOKUP(frasest[[#This Row],[autor_es]],autorest[autor_es],autorest[nacion_la])</f>
        <v>Roma</v>
      </c>
      <c r="O319" t="str">
        <f>_xlfn.XLOOKUP(frasest[[#This Row],[autor_es]],autorest[autor_es],autorest[epoca_es])</f>
        <v>Edad Antigua</v>
      </c>
      <c r="P319" t="str">
        <f>_xlfn.XLOOKUP(frasest[[#This Row],[autor_es]],autorest[autor_es],autorest[epoca_la])</f>
        <v>Antiquitas</v>
      </c>
      <c r="Q319" t="str">
        <f>_xlfn.XLOOKUP(frasest[[#This Row],[autor_es]],autorest[autor_es],autorest[imagen])</f>
        <v>https://i.ibb.co/63WDrBK/sanleonmagno.png</v>
      </c>
      <c r="R319">
        <f>_xlfn.XLOOKUP(frasest[[#This Row],[autor_es]],autorest[autor_es],autorest[imagen_atr])</f>
        <v>0</v>
      </c>
    </row>
    <row r="320" spans="1:18">
      <c r="A320">
        <v>319</v>
      </c>
      <c r="B320" t="s">
        <v>1120</v>
      </c>
      <c r="C320" t="s">
        <v>1121</v>
      </c>
      <c r="D320" t="s">
        <v>1121</v>
      </c>
      <c r="E320" t="s">
        <v>1116</v>
      </c>
      <c r="F320" t="s">
        <v>1117</v>
      </c>
      <c r="G320" t="str">
        <f>_xlfn.XLOOKUP(frasest[[#This Row],[autor_es]],autorest[autor_es],autorest[autor_la])</f>
        <v>Leo Magnus</v>
      </c>
      <c r="H320" t="str">
        <f>_xlfn.XLOOKUP(frasest[[#This Row],[autor_es]],autorest[autor_es],autorest[bio_es])</f>
        <v>Papa, Doctor de la Iglesia. Convocó el Concilio de Calcedonia, detuvo a Atila en las puertas de Roma. Defensor de la primacía papal y la cristología ortodoxa.</v>
      </c>
      <c r="I320" t="str">
        <f>_xlfn.XLOOKUP(frasest[[#This Row],[autor_es]],autorest[autor_es],autorest[bio_la])</f>
        <v>Papa, Doctor Ecclesiae. Concilium Chalcedonense convocavit, Attilam ad portas Romae inhibuit. Primatus papalis et christologiae orthodoxae defensor.</v>
      </c>
      <c r="J320" t="str">
        <f>_xlfn.XLOOKUP(frasest[[#This Row],[autor_es]],autorest[autor_es],autorest[codigo])</f>
        <v>la</v>
      </c>
      <c r="K320" t="str">
        <f>_xlfn.XLOOKUP(frasest[[#This Row],[autor_es]],autorest[autor_es],autorest[idioma_es])</f>
        <v>Latín</v>
      </c>
      <c r="L320" t="str">
        <f>_xlfn.XLOOKUP(frasest[[#This Row],[autor_es]],autorest[autor_es],autorest[idioma_la])</f>
        <v>Lingua Latina</v>
      </c>
      <c r="M320" t="str">
        <f>_xlfn.XLOOKUP(frasest[[#This Row],[autor_es]],autorest[autor_es],autorest[nacion_es])</f>
        <v>Roma</v>
      </c>
      <c r="N320" t="str">
        <f>_xlfn.XLOOKUP(frasest[[#This Row],[autor_es]],autorest[autor_es],autorest[nacion_la])</f>
        <v>Roma</v>
      </c>
      <c r="O320" t="str">
        <f>_xlfn.XLOOKUP(frasest[[#This Row],[autor_es]],autorest[autor_es],autorest[epoca_es])</f>
        <v>Edad Antigua</v>
      </c>
      <c r="P320" t="str">
        <f>_xlfn.XLOOKUP(frasest[[#This Row],[autor_es]],autorest[autor_es],autorest[epoca_la])</f>
        <v>Antiquitas</v>
      </c>
      <c r="Q320" t="str">
        <f>_xlfn.XLOOKUP(frasest[[#This Row],[autor_es]],autorest[autor_es],autorest[imagen])</f>
        <v>https://i.ibb.co/63WDrBK/sanleonmagno.png</v>
      </c>
      <c r="R320">
        <f>_xlfn.XLOOKUP(frasest[[#This Row],[autor_es]],autorest[autor_es],autorest[imagen_atr])</f>
        <v>0</v>
      </c>
    </row>
    <row r="321" spans="1:18">
      <c r="A321">
        <v>320</v>
      </c>
      <c r="B321" t="s">
        <v>1122</v>
      </c>
      <c r="C321" t="s">
        <v>1123</v>
      </c>
      <c r="D321" t="s">
        <v>1123</v>
      </c>
      <c r="E321" t="s">
        <v>1116</v>
      </c>
      <c r="F321" t="s">
        <v>1117</v>
      </c>
      <c r="G321" t="str">
        <f>_xlfn.XLOOKUP(frasest[[#This Row],[autor_es]],autorest[autor_es],autorest[autor_la])</f>
        <v>Leo Magnus</v>
      </c>
      <c r="H321" t="str">
        <f>_xlfn.XLOOKUP(frasest[[#This Row],[autor_es]],autorest[autor_es],autorest[bio_es])</f>
        <v>Papa, Doctor de la Iglesia. Convocó el Concilio de Calcedonia, detuvo a Atila en las puertas de Roma. Defensor de la primacía papal y la cristología ortodoxa.</v>
      </c>
      <c r="I321" t="str">
        <f>_xlfn.XLOOKUP(frasest[[#This Row],[autor_es]],autorest[autor_es],autorest[bio_la])</f>
        <v>Papa, Doctor Ecclesiae. Concilium Chalcedonense convocavit, Attilam ad portas Romae inhibuit. Primatus papalis et christologiae orthodoxae defensor.</v>
      </c>
      <c r="J321" t="str">
        <f>_xlfn.XLOOKUP(frasest[[#This Row],[autor_es]],autorest[autor_es],autorest[codigo])</f>
        <v>la</v>
      </c>
      <c r="K321" t="str">
        <f>_xlfn.XLOOKUP(frasest[[#This Row],[autor_es]],autorest[autor_es],autorest[idioma_es])</f>
        <v>Latín</v>
      </c>
      <c r="L321" t="str">
        <f>_xlfn.XLOOKUP(frasest[[#This Row],[autor_es]],autorest[autor_es],autorest[idioma_la])</f>
        <v>Lingua Latina</v>
      </c>
      <c r="M321" t="str">
        <f>_xlfn.XLOOKUP(frasest[[#This Row],[autor_es]],autorest[autor_es],autorest[nacion_es])</f>
        <v>Roma</v>
      </c>
      <c r="N321" t="str">
        <f>_xlfn.XLOOKUP(frasest[[#This Row],[autor_es]],autorest[autor_es],autorest[nacion_la])</f>
        <v>Roma</v>
      </c>
      <c r="O321" t="str">
        <f>_xlfn.XLOOKUP(frasest[[#This Row],[autor_es]],autorest[autor_es],autorest[epoca_es])</f>
        <v>Edad Antigua</v>
      </c>
      <c r="P321" t="str">
        <f>_xlfn.XLOOKUP(frasest[[#This Row],[autor_es]],autorest[autor_es],autorest[epoca_la])</f>
        <v>Antiquitas</v>
      </c>
      <c r="Q321" t="str">
        <f>_xlfn.XLOOKUP(frasest[[#This Row],[autor_es]],autorest[autor_es],autorest[imagen])</f>
        <v>https://i.ibb.co/63WDrBK/sanleonmagno.png</v>
      </c>
      <c r="R321">
        <f>_xlfn.XLOOKUP(frasest[[#This Row],[autor_es]],autorest[autor_es],autorest[imagen_atr])</f>
        <v>0</v>
      </c>
    </row>
    <row r="322" spans="1:18">
      <c r="A322">
        <v>321</v>
      </c>
      <c r="B322" t="s">
        <v>1124</v>
      </c>
      <c r="C322" t="s">
        <v>1125</v>
      </c>
      <c r="D322" t="s">
        <v>1125</v>
      </c>
      <c r="E322" t="s">
        <v>1116</v>
      </c>
      <c r="F322" t="s">
        <v>1117</v>
      </c>
      <c r="G322" t="str">
        <f>_xlfn.XLOOKUP(frasest[[#This Row],[autor_es]],autorest[autor_es],autorest[autor_la])</f>
        <v>Leo Magnus</v>
      </c>
      <c r="H322" t="str">
        <f>_xlfn.XLOOKUP(frasest[[#This Row],[autor_es]],autorest[autor_es],autorest[bio_es])</f>
        <v>Papa, Doctor de la Iglesia. Convocó el Concilio de Calcedonia, detuvo a Atila en las puertas de Roma. Defensor de la primacía papal y la cristología ortodoxa.</v>
      </c>
      <c r="I322" t="str">
        <f>_xlfn.XLOOKUP(frasest[[#This Row],[autor_es]],autorest[autor_es],autorest[bio_la])</f>
        <v>Papa, Doctor Ecclesiae. Concilium Chalcedonense convocavit, Attilam ad portas Romae inhibuit. Primatus papalis et christologiae orthodoxae defensor.</v>
      </c>
      <c r="J322" t="str">
        <f>_xlfn.XLOOKUP(frasest[[#This Row],[autor_es]],autorest[autor_es],autorest[codigo])</f>
        <v>la</v>
      </c>
      <c r="K322" t="str">
        <f>_xlfn.XLOOKUP(frasest[[#This Row],[autor_es]],autorest[autor_es],autorest[idioma_es])</f>
        <v>Latín</v>
      </c>
      <c r="L322" t="str">
        <f>_xlfn.XLOOKUP(frasest[[#This Row],[autor_es]],autorest[autor_es],autorest[idioma_la])</f>
        <v>Lingua Latina</v>
      </c>
      <c r="M322" t="str">
        <f>_xlfn.XLOOKUP(frasest[[#This Row],[autor_es]],autorest[autor_es],autorest[nacion_es])</f>
        <v>Roma</v>
      </c>
      <c r="N322" t="str">
        <f>_xlfn.XLOOKUP(frasest[[#This Row],[autor_es]],autorest[autor_es],autorest[nacion_la])</f>
        <v>Roma</v>
      </c>
      <c r="O322" t="str">
        <f>_xlfn.XLOOKUP(frasest[[#This Row],[autor_es]],autorest[autor_es],autorest[epoca_es])</f>
        <v>Edad Antigua</v>
      </c>
      <c r="P322" t="str">
        <f>_xlfn.XLOOKUP(frasest[[#This Row],[autor_es]],autorest[autor_es],autorest[epoca_la])</f>
        <v>Antiquitas</v>
      </c>
      <c r="Q322" t="str">
        <f>_xlfn.XLOOKUP(frasest[[#This Row],[autor_es]],autorest[autor_es],autorest[imagen])</f>
        <v>https://i.ibb.co/63WDrBK/sanleonmagno.png</v>
      </c>
      <c r="R322">
        <f>_xlfn.XLOOKUP(frasest[[#This Row],[autor_es]],autorest[autor_es],autorest[imagen_atr])</f>
        <v>0</v>
      </c>
    </row>
    <row r="323" spans="1:18">
      <c r="A323">
        <v>322</v>
      </c>
      <c r="B323" t="s">
        <v>1126</v>
      </c>
      <c r="C323" t="s">
        <v>1127</v>
      </c>
      <c r="D323" t="s">
        <v>1127</v>
      </c>
      <c r="E323" t="s">
        <v>1116</v>
      </c>
      <c r="F323" t="s">
        <v>1117</v>
      </c>
      <c r="G323" t="str">
        <f>_xlfn.XLOOKUP(frasest[[#This Row],[autor_es]],autorest[autor_es],autorest[autor_la])</f>
        <v>Leo Magnus</v>
      </c>
      <c r="H323" t="str">
        <f>_xlfn.XLOOKUP(frasest[[#This Row],[autor_es]],autorest[autor_es],autorest[bio_es])</f>
        <v>Papa, Doctor de la Iglesia. Convocó el Concilio de Calcedonia, detuvo a Atila en las puertas de Roma. Defensor de la primacía papal y la cristología ortodoxa.</v>
      </c>
      <c r="I323" t="str">
        <f>_xlfn.XLOOKUP(frasest[[#This Row],[autor_es]],autorest[autor_es],autorest[bio_la])</f>
        <v>Papa, Doctor Ecclesiae. Concilium Chalcedonense convocavit, Attilam ad portas Romae inhibuit. Primatus papalis et christologiae orthodoxae defensor.</v>
      </c>
      <c r="J323" t="str">
        <f>_xlfn.XLOOKUP(frasest[[#This Row],[autor_es]],autorest[autor_es],autorest[codigo])</f>
        <v>la</v>
      </c>
      <c r="K323" t="str">
        <f>_xlfn.XLOOKUP(frasest[[#This Row],[autor_es]],autorest[autor_es],autorest[idioma_es])</f>
        <v>Latín</v>
      </c>
      <c r="L323" t="str">
        <f>_xlfn.XLOOKUP(frasest[[#This Row],[autor_es]],autorest[autor_es],autorest[idioma_la])</f>
        <v>Lingua Latina</v>
      </c>
      <c r="M323" t="str">
        <f>_xlfn.XLOOKUP(frasest[[#This Row],[autor_es]],autorest[autor_es],autorest[nacion_es])</f>
        <v>Roma</v>
      </c>
      <c r="N323" t="str">
        <f>_xlfn.XLOOKUP(frasest[[#This Row],[autor_es]],autorest[autor_es],autorest[nacion_la])</f>
        <v>Roma</v>
      </c>
      <c r="O323" t="str">
        <f>_xlfn.XLOOKUP(frasest[[#This Row],[autor_es]],autorest[autor_es],autorest[epoca_es])</f>
        <v>Edad Antigua</v>
      </c>
      <c r="P323" t="str">
        <f>_xlfn.XLOOKUP(frasest[[#This Row],[autor_es]],autorest[autor_es],autorest[epoca_la])</f>
        <v>Antiquitas</v>
      </c>
      <c r="Q323" t="str">
        <f>_xlfn.XLOOKUP(frasest[[#This Row],[autor_es]],autorest[autor_es],autorest[imagen])</f>
        <v>https://i.ibb.co/63WDrBK/sanleonmagno.png</v>
      </c>
      <c r="R323">
        <f>_xlfn.XLOOKUP(frasest[[#This Row],[autor_es]],autorest[autor_es],autorest[imagen_atr])</f>
        <v>0</v>
      </c>
    </row>
    <row r="324" spans="1:18">
      <c r="A324">
        <v>323</v>
      </c>
      <c r="B324" t="s">
        <v>1128</v>
      </c>
      <c r="C324" t="s">
        <v>1129</v>
      </c>
      <c r="D324" t="s">
        <v>1129</v>
      </c>
      <c r="E324" t="s">
        <v>1116</v>
      </c>
      <c r="F324" t="s">
        <v>1117</v>
      </c>
      <c r="G324" t="str">
        <f>_xlfn.XLOOKUP(frasest[[#This Row],[autor_es]],autorest[autor_es],autorest[autor_la])</f>
        <v>Leo Magnus</v>
      </c>
      <c r="H324" t="str">
        <f>_xlfn.XLOOKUP(frasest[[#This Row],[autor_es]],autorest[autor_es],autorest[bio_es])</f>
        <v>Papa, Doctor de la Iglesia. Convocó el Concilio de Calcedonia, detuvo a Atila en las puertas de Roma. Defensor de la primacía papal y la cristología ortodoxa.</v>
      </c>
      <c r="I324" t="str">
        <f>_xlfn.XLOOKUP(frasest[[#This Row],[autor_es]],autorest[autor_es],autorest[bio_la])</f>
        <v>Papa, Doctor Ecclesiae. Concilium Chalcedonense convocavit, Attilam ad portas Romae inhibuit. Primatus papalis et christologiae orthodoxae defensor.</v>
      </c>
      <c r="J324" t="str">
        <f>_xlfn.XLOOKUP(frasest[[#This Row],[autor_es]],autorest[autor_es],autorest[codigo])</f>
        <v>la</v>
      </c>
      <c r="K324" t="str">
        <f>_xlfn.XLOOKUP(frasest[[#This Row],[autor_es]],autorest[autor_es],autorest[idioma_es])</f>
        <v>Latín</v>
      </c>
      <c r="L324" t="str">
        <f>_xlfn.XLOOKUP(frasest[[#This Row],[autor_es]],autorest[autor_es],autorest[idioma_la])</f>
        <v>Lingua Latina</v>
      </c>
      <c r="M324" t="str">
        <f>_xlfn.XLOOKUP(frasest[[#This Row],[autor_es]],autorest[autor_es],autorest[nacion_es])</f>
        <v>Roma</v>
      </c>
      <c r="N324" t="str">
        <f>_xlfn.XLOOKUP(frasest[[#This Row],[autor_es]],autorest[autor_es],autorest[nacion_la])</f>
        <v>Roma</v>
      </c>
      <c r="O324" t="str">
        <f>_xlfn.XLOOKUP(frasest[[#This Row],[autor_es]],autorest[autor_es],autorest[epoca_es])</f>
        <v>Edad Antigua</v>
      </c>
      <c r="P324" t="str">
        <f>_xlfn.XLOOKUP(frasest[[#This Row],[autor_es]],autorest[autor_es],autorest[epoca_la])</f>
        <v>Antiquitas</v>
      </c>
      <c r="Q324" t="str">
        <f>_xlfn.XLOOKUP(frasest[[#This Row],[autor_es]],autorest[autor_es],autorest[imagen])</f>
        <v>https://i.ibb.co/63WDrBK/sanleonmagno.png</v>
      </c>
      <c r="R324">
        <f>_xlfn.XLOOKUP(frasest[[#This Row],[autor_es]],autorest[autor_es],autorest[imagen_atr])</f>
        <v>0</v>
      </c>
    </row>
    <row r="325" spans="1:18">
      <c r="A325">
        <v>324</v>
      </c>
      <c r="B325" t="s">
        <v>1130</v>
      </c>
      <c r="C325" t="s">
        <v>1131</v>
      </c>
      <c r="D325" t="s">
        <v>1131</v>
      </c>
      <c r="E325" t="s">
        <v>1116</v>
      </c>
      <c r="F325" t="s">
        <v>1117</v>
      </c>
      <c r="G325" t="str">
        <f>_xlfn.XLOOKUP(frasest[[#This Row],[autor_es]],autorest[autor_es],autorest[autor_la])</f>
        <v>Leo Magnus</v>
      </c>
      <c r="H325" t="str">
        <f>_xlfn.XLOOKUP(frasest[[#This Row],[autor_es]],autorest[autor_es],autorest[bio_es])</f>
        <v>Papa, Doctor de la Iglesia. Convocó el Concilio de Calcedonia, detuvo a Atila en las puertas de Roma. Defensor de la primacía papal y la cristología ortodoxa.</v>
      </c>
      <c r="I325" t="str">
        <f>_xlfn.XLOOKUP(frasest[[#This Row],[autor_es]],autorest[autor_es],autorest[bio_la])</f>
        <v>Papa, Doctor Ecclesiae. Concilium Chalcedonense convocavit, Attilam ad portas Romae inhibuit. Primatus papalis et christologiae orthodoxae defensor.</v>
      </c>
      <c r="J325" t="str">
        <f>_xlfn.XLOOKUP(frasest[[#This Row],[autor_es]],autorest[autor_es],autorest[codigo])</f>
        <v>la</v>
      </c>
      <c r="K325" t="str">
        <f>_xlfn.XLOOKUP(frasest[[#This Row],[autor_es]],autorest[autor_es],autorest[idioma_es])</f>
        <v>Latín</v>
      </c>
      <c r="L325" t="str">
        <f>_xlfn.XLOOKUP(frasest[[#This Row],[autor_es]],autorest[autor_es],autorest[idioma_la])</f>
        <v>Lingua Latina</v>
      </c>
      <c r="M325" t="str">
        <f>_xlfn.XLOOKUP(frasest[[#This Row],[autor_es]],autorest[autor_es],autorest[nacion_es])</f>
        <v>Roma</v>
      </c>
      <c r="N325" t="str">
        <f>_xlfn.XLOOKUP(frasest[[#This Row],[autor_es]],autorest[autor_es],autorest[nacion_la])</f>
        <v>Roma</v>
      </c>
      <c r="O325" t="str">
        <f>_xlfn.XLOOKUP(frasest[[#This Row],[autor_es]],autorest[autor_es],autorest[epoca_es])</f>
        <v>Edad Antigua</v>
      </c>
      <c r="P325" t="str">
        <f>_xlfn.XLOOKUP(frasest[[#This Row],[autor_es]],autorest[autor_es],autorest[epoca_la])</f>
        <v>Antiquitas</v>
      </c>
      <c r="Q325" t="str">
        <f>_xlfn.XLOOKUP(frasest[[#This Row],[autor_es]],autorest[autor_es],autorest[imagen])</f>
        <v>https://i.ibb.co/63WDrBK/sanleonmagno.png</v>
      </c>
      <c r="R325">
        <f>_xlfn.XLOOKUP(frasest[[#This Row],[autor_es]],autorest[autor_es],autorest[imagen_atr])</f>
        <v>0</v>
      </c>
    </row>
    <row r="326" spans="1:18">
      <c r="A326">
        <v>325</v>
      </c>
      <c r="B326" t="s">
        <v>1132</v>
      </c>
      <c r="C326" t="s">
        <v>1133</v>
      </c>
      <c r="D326" t="s">
        <v>1133</v>
      </c>
      <c r="E326" t="s">
        <v>1116</v>
      </c>
      <c r="F326" t="s">
        <v>1117</v>
      </c>
      <c r="G326" t="str">
        <f>_xlfn.XLOOKUP(frasest[[#This Row],[autor_es]],autorest[autor_es],autorest[autor_la])</f>
        <v>Leo Magnus</v>
      </c>
      <c r="H326" t="str">
        <f>_xlfn.XLOOKUP(frasest[[#This Row],[autor_es]],autorest[autor_es],autorest[bio_es])</f>
        <v>Papa, Doctor de la Iglesia. Convocó el Concilio de Calcedonia, detuvo a Atila en las puertas de Roma. Defensor de la primacía papal y la cristología ortodoxa.</v>
      </c>
      <c r="I326" t="str">
        <f>_xlfn.XLOOKUP(frasest[[#This Row],[autor_es]],autorest[autor_es],autorest[bio_la])</f>
        <v>Papa, Doctor Ecclesiae. Concilium Chalcedonense convocavit, Attilam ad portas Romae inhibuit. Primatus papalis et christologiae orthodoxae defensor.</v>
      </c>
      <c r="J326" t="str">
        <f>_xlfn.XLOOKUP(frasest[[#This Row],[autor_es]],autorest[autor_es],autorest[codigo])</f>
        <v>la</v>
      </c>
      <c r="K326" t="str">
        <f>_xlfn.XLOOKUP(frasest[[#This Row],[autor_es]],autorest[autor_es],autorest[idioma_es])</f>
        <v>Latín</v>
      </c>
      <c r="L326" t="str">
        <f>_xlfn.XLOOKUP(frasest[[#This Row],[autor_es]],autorest[autor_es],autorest[idioma_la])</f>
        <v>Lingua Latina</v>
      </c>
      <c r="M326" t="str">
        <f>_xlfn.XLOOKUP(frasest[[#This Row],[autor_es]],autorest[autor_es],autorest[nacion_es])</f>
        <v>Roma</v>
      </c>
      <c r="N326" t="str">
        <f>_xlfn.XLOOKUP(frasest[[#This Row],[autor_es]],autorest[autor_es],autorest[nacion_la])</f>
        <v>Roma</v>
      </c>
      <c r="O326" t="str">
        <f>_xlfn.XLOOKUP(frasest[[#This Row],[autor_es]],autorest[autor_es],autorest[epoca_es])</f>
        <v>Edad Antigua</v>
      </c>
      <c r="P326" t="str">
        <f>_xlfn.XLOOKUP(frasest[[#This Row],[autor_es]],autorest[autor_es],autorest[epoca_la])</f>
        <v>Antiquitas</v>
      </c>
      <c r="Q326" t="str">
        <f>_xlfn.XLOOKUP(frasest[[#This Row],[autor_es]],autorest[autor_es],autorest[imagen])</f>
        <v>https://i.ibb.co/63WDrBK/sanleonmagno.png</v>
      </c>
      <c r="R326">
        <f>_xlfn.XLOOKUP(frasest[[#This Row],[autor_es]],autorest[autor_es],autorest[imagen_atr])</f>
        <v>0</v>
      </c>
    </row>
    <row r="327" spans="1:18">
      <c r="A327">
        <v>326</v>
      </c>
      <c r="B327" t="s">
        <v>1134</v>
      </c>
      <c r="C327" t="s">
        <v>1135</v>
      </c>
      <c r="D327" t="s">
        <v>1135</v>
      </c>
      <c r="E327" t="s">
        <v>1116</v>
      </c>
      <c r="F327" t="s">
        <v>1117</v>
      </c>
      <c r="G327" t="str">
        <f>_xlfn.XLOOKUP(frasest[[#This Row],[autor_es]],autorest[autor_es],autorest[autor_la])</f>
        <v>Leo Magnus</v>
      </c>
      <c r="H327" t="str">
        <f>_xlfn.XLOOKUP(frasest[[#This Row],[autor_es]],autorest[autor_es],autorest[bio_es])</f>
        <v>Papa, Doctor de la Iglesia. Convocó el Concilio de Calcedonia, detuvo a Atila en las puertas de Roma. Defensor de la primacía papal y la cristología ortodoxa.</v>
      </c>
      <c r="I327" t="str">
        <f>_xlfn.XLOOKUP(frasest[[#This Row],[autor_es]],autorest[autor_es],autorest[bio_la])</f>
        <v>Papa, Doctor Ecclesiae. Concilium Chalcedonense convocavit, Attilam ad portas Romae inhibuit. Primatus papalis et christologiae orthodoxae defensor.</v>
      </c>
      <c r="J327" t="str">
        <f>_xlfn.XLOOKUP(frasest[[#This Row],[autor_es]],autorest[autor_es],autorest[codigo])</f>
        <v>la</v>
      </c>
      <c r="K327" t="str">
        <f>_xlfn.XLOOKUP(frasest[[#This Row],[autor_es]],autorest[autor_es],autorest[idioma_es])</f>
        <v>Latín</v>
      </c>
      <c r="L327" t="str">
        <f>_xlfn.XLOOKUP(frasest[[#This Row],[autor_es]],autorest[autor_es],autorest[idioma_la])</f>
        <v>Lingua Latina</v>
      </c>
      <c r="M327" t="str">
        <f>_xlfn.XLOOKUP(frasest[[#This Row],[autor_es]],autorest[autor_es],autorest[nacion_es])</f>
        <v>Roma</v>
      </c>
      <c r="N327" t="str">
        <f>_xlfn.XLOOKUP(frasest[[#This Row],[autor_es]],autorest[autor_es],autorest[nacion_la])</f>
        <v>Roma</v>
      </c>
      <c r="O327" t="str">
        <f>_xlfn.XLOOKUP(frasest[[#This Row],[autor_es]],autorest[autor_es],autorest[epoca_es])</f>
        <v>Edad Antigua</v>
      </c>
      <c r="P327" t="str">
        <f>_xlfn.XLOOKUP(frasest[[#This Row],[autor_es]],autorest[autor_es],autorest[epoca_la])</f>
        <v>Antiquitas</v>
      </c>
      <c r="Q327" t="str">
        <f>_xlfn.XLOOKUP(frasest[[#This Row],[autor_es]],autorest[autor_es],autorest[imagen])</f>
        <v>https://i.ibb.co/63WDrBK/sanleonmagno.png</v>
      </c>
      <c r="R327">
        <f>_xlfn.XLOOKUP(frasest[[#This Row],[autor_es]],autorest[autor_es],autorest[imagen_atr])</f>
        <v>0</v>
      </c>
    </row>
    <row r="328" spans="1:18">
      <c r="A328">
        <v>327</v>
      </c>
      <c r="B328" t="s">
        <v>1136</v>
      </c>
      <c r="C328" t="s">
        <v>1137</v>
      </c>
      <c r="D328" t="s">
        <v>1137</v>
      </c>
      <c r="E328" t="s">
        <v>1138</v>
      </c>
      <c r="F328" t="s">
        <v>1139</v>
      </c>
      <c r="G328" t="str">
        <f>_xlfn.XLOOKUP(frasest[[#This Row],[autor_es]],autorest[autor_es],autorest[autor_la])</f>
        <v>Cyprianus Carthaginensis</v>
      </c>
      <c r="H328" t="str">
        <f>_xlfn.XLOOKUP(frasest[[#This Row],[autor_es]],autorest[autor_es],autorest[bio_es])</f>
        <v>Obispo de Cartago, Padre de la Iglesia y mártir. Teólogo de la unidad eclesiástica, autor de "Sobre la unidad de la Iglesia". Martirizado durante la persecución de Valeriano.</v>
      </c>
      <c r="I328" t="str">
        <f>_xlfn.XLOOKUP(frasest[[#This Row],[autor_es]],autorest[autor_es],autorest[bio_la])</f>
        <v>Episcopus Carthaginensis, Pater Ecclesiae et martyr. Theologus unitatis ecclesiasticae, auctor "De unitate Ecclesiae". In persecutione Valeriani martyrizatus.</v>
      </c>
      <c r="J328" t="str">
        <f>_xlfn.XLOOKUP(frasest[[#This Row],[autor_es]],autorest[autor_es],autorest[codigo])</f>
        <v>la</v>
      </c>
      <c r="K328" t="str">
        <f>_xlfn.XLOOKUP(frasest[[#This Row],[autor_es]],autorest[autor_es],autorest[idioma_es])</f>
        <v>Latín</v>
      </c>
      <c r="L328" t="str">
        <f>_xlfn.XLOOKUP(frasest[[#This Row],[autor_es]],autorest[autor_es],autorest[idioma_la])</f>
        <v>Lingua Latina</v>
      </c>
      <c r="M328" t="str">
        <f>_xlfn.XLOOKUP(frasest[[#This Row],[autor_es]],autorest[autor_es],autorest[nacion_es])</f>
        <v>Roma</v>
      </c>
      <c r="N328" t="str">
        <f>_xlfn.XLOOKUP(frasest[[#This Row],[autor_es]],autorest[autor_es],autorest[nacion_la])</f>
        <v>Roma</v>
      </c>
      <c r="O328" t="str">
        <f>_xlfn.XLOOKUP(frasest[[#This Row],[autor_es]],autorest[autor_es],autorest[epoca_es])</f>
        <v>Edad Antigua</v>
      </c>
      <c r="P328" t="str">
        <f>_xlfn.XLOOKUP(frasest[[#This Row],[autor_es]],autorest[autor_es],autorest[epoca_la])</f>
        <v>Antiquitas</v>
      </c>
      <c r="Q328" t="str">
        <f>_xlfn.XLOOKUP(frasest[[#This Row],[autor_es]],autorest[autor_es],autorest[imagen])</f>
        <v>https://i.ibb.co/gZSsK5S4/sancipriano.png</v>
      </c>
      <c r="R328">
        <f>_xlfn.XLOOKUP(frasest[[#This Row],[autor_es]],autorest[autor_es],autorest[imagen_atr])</f>
        <v>0</v>
      </c>
    </row>
    <row r="329" spans="1:18">
      <c r="A329">
        <v>328</v>
      </c>
      <c r="B329" t="s">
        <v>1140</v>
      </c>
      <c r="C329" t="s">
        <v>1141</v>
      </c>
      <c r="D329" t="s">
        <v>1141</v>
      </c>
      <c r="E329" t="s">
        <v>1138</v>
      </c>
      <c r="F329" t="s">
        <v>1139</v>
      </c>
      <c r="G329" t="str">
        <f>_xlfn.XLOOKUP(frasest[[#This Row],[autor_es]],autorest[autor_es],autorest[autor_la])</f>
        <v>Cyprianus Carthaginensis</v>
      </c>
      <c r="H329" t="str">
        <f>_xlfn.XLOOKUP(frasest[[#This Row],[autor_es]],autorest[autor_es],autorest[bio_es])</f>
        <v>Obispo de Cartago, Padre de la Iglesia y mártir. Teólogo de la unidad eclesiástica, autor de "Sobre la unidad de la Iglesia". Martirizado durante la persecución de Valeriano.</v>
      </c>
      <c r="I329" t="str">
        <f>_xlfn.XLOOKUP(frasest[[#This Row],[autor_es]],autorest[autor_es],autorest[bio_la])</f>
        <v>Episcopus Carthaginensis, Pater Ecclesiae et martyr. Theologus unitatis ecclesiasticae, auctor "De unitate Ecclesiae". In persecutione Valeriani martyrizatus.</v>
      </c>
      <c r="J329" t="str">
        <f>_xlfn.XLOOKUP(frasest[[#This Row],[autor_es]],autorest[autor_es],autorest[codigo])</f>
        <v>la</v>
      </c>
      <c r="K329" t="str">
        <f>_xlfn.XLOOKUP(frasest[[#This Row],[autor_es]],autorest[autor_es],autorest[idioma_es])</f>
        <v>Latín</v>
      </c>
      <c r="L329" t="str">
        <f>_xlfn.XLOOKUP(frasest[[#This Row],[autor_es]],autorest[autor_es],autorest[idioma_la])</f>
        <v>Lingua Latina</v>
      </c>
      <c r="M329" t="str">
        <f>_xlfn.XLOOKUP(frasest[[#This Row],[autor_es]],autorest[autor_es],autorest[nacion_es])</f>
        <v>Roma</v>
      </c>
      <c r="N329" t="str">
        <f>_xlfn.XLOOKUP(frasest[[#This Row],[autor_es]],autorest[autor_es],autorest[nacion_la])</f>
        <v>Roma</v>
      </c>
      <c r="O329" t="str">
        <f>_xlfn.XLOOKUP(frasest[[#This Row],[autor_es]],autorest[autor_es],autorest[epoca_es])</f>
        <v>Edad Antigua</v>
      </c>
      <c r="P329" t="str">
        <f>_xlfn.XLOOKUP(frasest[[#This Row],[autor_es]],autorest[autor_es],autorest[epoca_la])</f>
        <v>Antiquitas</v>
      </c>
      <c r="Q329" t="str">
        <f>_xlfn.XLOOKUP(frasest[[#This Row],[autor_es]],autorest[autor_es],autorest[imagen])</f>
        <v>https://i.ibb.co/gZSsK5S4/sancipriano.png</v>
      </c>
      <c r="R329">
        <f>_xlfn.XLOOKUP(frasest[[#This Row],[autor_es]],autorest[autor_es],autorest[imagen_atr])</f>
        <v>0</v>
      </c>
    </row>
    <row r="330" spans="1:18">
      <c r="A330">
        <v>329</v>
      </c>
      <c r="B330" t="s">
        <v>1142</v>
      </c>
      <c r="C330" t="s">
        <v>1143</v>
      </c>
      <c r="D330" t="s">
        <v>1143</v>
      </c>
      <c r="E330" t="s">
        <v>1138</v>
      </c>
      <c r="F330" t="s">
        <v>1139</v>
      </c>
      <c r="G330" t="str">
        <f>_xlfn.XLOOKUP(frasest[[#This Row],[autor_es]],autorest[autor_es],autorest[autor_la])</f>
        <v>Cyprianus Carthaginensis</v>
      </c>
      <c r="H330" t="str">
        <f>_xlfn.XLOOKUP(frasest[[#This Row],[autor_es]],autorest[autor_es],autorest[bio_es])</f>
        <v>Obispo de Cartago, Padre de la Iglesia y mártir. Teólogo de la unidad eclesiástica, autor de "Sobre la unidad de la Iglesia". Martirizado durante la persecución de Valeriano.</v>
      </c>
      <c r="I330" t="str">
        <f>_xlfn.XLOOKUP(frasest[[#This Row],[autor_es]],autorest[autor_es],autorest[bio_la])</f>
        <v>Episcopus Carthaginensis, Pater Ecclesiae et martyr. Theologus unitatis ecclesiasticae, auctor "De unitate Ecclesiae". In persecutione Valeriani martyrizatus.</v>
      </c>
      <c r="J330" t="str">
        <f>_xlfn.XLOOKUP(frasest[[#This Row],[autor_es]],autorest[autor_es],autorest[codigo])</f>
        <v>la</v>
      </c>
      <c r="K330" t="str">
        <f>_xlfn.XLOOKUP(frasest[[#This Row],[autor_es]],autorest[autor_es],autorest[idioma_es])</f>
        <v>Latín</v>
      </c>
      <c r="L330" t="str">
        <f>_xlfn.XLOOKUP(frasest[[#This Row],[autor_es]],autorest[autor_es],autorest[idioma_la])</f>
        <v>Lingua Latina</v>
      </c>
      <c r="M330" t="str">
        <f>_xlfn.XLOOKUP(frasest[[#This Row],[autor_es]],autorest[autor_es],autorest[nacion_es])</f>
        <v>Roma</v>
      </c>
      <c r="N330" t="str">
        <f>_xlfn.XLOOKUP(frasest[[#This Row],[autor_es]],autorest[autor_es],autorest[nacion_la])</f>
        <v>Roma</v>
      </c>
      <c r="O330" t="str">
        <f>_xlfn.XLOOKUP(frasest[[#This Row],[autor_es]],autorest[autor_es],autorest[epoca_es])</f>
        <v>Edad Antigua</v>
      </c>
      <c r="P330" t="str">
        <f>_xlfn.XLOOKUP(frasest[[#This Row],[autor_es]],autorest[autor_es],autorest[epoca_la])</f>
        <v>Antiquitas</v>
      </c>
      <c r="Q330" t="str">
        <f>_xlfn.XLOOKUP(frasest[[#This Row],[autor_es]],autorest[autor_es],autorest[imagen])</f>
        <v>https://i.ibb.co/gZSsK5S4/sancipriano.png</v>
      </c>
      <c r="R330">
        <f>_xlfn.XLOOKUP(frasest[[#This Row],[autor_es]],autorest[autor_es],autorest[imagen_atr])</f>
        <v>0</v>
      </c>
    </row>
    <row r="331" spans="1:18">
      <c r="A331">
        <v>330</v>
      </c>
      <c r="B331" t="s">
        <v>1144</v>
      </c>
      <c r="C331" t="s">
        <v>1145</v>
      </c>
      <c r="D331" t="s">
        <v>1145</v>
      </c>
      <c r="E331" t="s">
        <v>1138</v>
      </c>
      <c r="F331" t="s">
        <v>1146</v>
      </c>
      <c r="G331" t="str">
        <f>_xlfn.XLOOKUP(frasest[[#This Row],[autor_es]],autorest[autor_es],autorest[autor_la])</f>
        <v>Cyprianus Carthaginensis</v>
      </c>
      <c r="H331" t="str">
        <f>_xlfn.XLOOKUP(frasest[[#This Row],[autor_es]],autorest[autor_es],autorest[bio_es])</f>
        <v>Obispo de Cartago, Padre de la Iglesia y mártir. Teólogo de la unidad eclesiástica, autor de "Sobre la unidad de la Iglesia". Martirizado durante la persecución de Valeriano.</v>
      </c>
      <c r="I331" t="str">
        <f>_xlfn.XLOOKUP(frasest[[#This Row],[autor_es]],autorest[autor_es],autorest[bio_la])</f>
        <v>Episcopus Carthaginensis, Pater Ecclesiae et martyr. Theologus unitatis ecclesiasticae, auctor "De unitate Ecclesiae". In persecutione Valeriani martyrizatus.</v>
      </c>
      <c r="J331" t="str">
        <f>_xlfn.XLOOKUP(frasest[[#This Row],[autor_es]],autorest[autor_es],autorest[codigo])</f>
        <v>la</v>
      </c>
      <c r="K331" t="str">
        <f>_xlfn.XLOOKUP(frasest[[#This Row],[autor_es]],autorest[autor_es],autorest[idioma_es])</f>
        <v>Latín</v>
      </c>
      <c r="L331" t="str">
        <f>_xlfn.XLOOKUP(frasest[[#This Row],[autor_es]],autorest[autor_es],autorest[idioma_la])</f>
        <v>Lingua Latina</v>
      </c>
      <c r="M331" t="str">
        <f>_xlfn.XLOOKUP(frasest[[#This Row],[autor_es]],autorest[autor_es],autorest[nacion_es])</f>
        <v>Roma</v>
      </c>
      <c r="N331" t="str">
        <f>_xlfn.XLOOKUP(frasest[[#This Row],[autor_es]],autorest[autor_es],autorest[nacion_la])</f>
        <v>Roma</v>
      </c>
      <c r="O331" t="str">
        <f>_xlfn.XLOOKUP(frasest[[#This Row],[autor_es]],autorest[autor_es],autorest[epoca_es])</f>
        <v>Edad Antigua</v>
      </c>
      <c r="P331" t="str">
        <f>_xlfn.XLOOKUP(frasest[[#This Row],[autor_es]],autorest[autor_es],autorest[epoca_la])</f>
        <v>Antiquitas</v>
      </c>
      <c r="Q331" t="str">
        <f>_xlfn.XLOOKUP(frasest[[#This Row],[autor_es]],autorest[autor_es],autorest[imagen])</f>
        <v>https://i.ibb.co/gZSsK5S4/sancipriano.png</v>
      </c>
      <c r="R331">
        <f>_xlfn.XLOOKUP(frasest[[#This Row],[autor_es]],autorest[autor_es],autorest[imagen_atr])</f>
        <v>0</v>
      </c>
    </row>
    <row r="332" spans="1:18">
      <c r="A332">
        <v>331</v>
      </c>
      <c r="B332" t="s">
        <v>1147</v>
      </c>
      <c r="C332" t="s">
        <v>1148</v>
      </c>
      <c r="D332" t="s">
        <v>1148</v>
      </c>
      <c r="E332" t="s">
        <v>1138</v>
      </c>
      <c r="F332" t="s">
        <v>1149</v>
      </c>
      <c r="G332" t="str">
        <f>_xlfn.XLOOKUP(frasest[[#This Row],[autor_es]],autorest[autor_es],autorest[autor_la])</f>
        <v>Cyprianus Carthaginensis</v>
      </c>
      <c r="H332" t="str">
        <f>_xlfn.XLOOKUP(frasest[[#This Row],[autor_es]],autorest[autor_es],autorest[bio_es])</f>
        <v>Obispo de Cartago, Padre de la Iglesia y mártir. Teólogo de la unidad eclesiástica, autor de "Sobre la unidad de la Iglesia". Martirizado durante la persecución de Valeriano.</v>
      </c>
      <c r="I332" t="str">
        <f>_xlfn.XLOOKUP(frasest[[#This Row],[autor_es]],autorest[autor_es],autorest[bio_la])</f>
        <v>Episcopus Carthaginensis, Pater Ecclesiae et martyr. Theologus unitatis ecclesiasticae, auctor "De unitate Ecclesiae". In persecutione Valeriani martyrizatus.</v>
      </c>
      <c r="J332" t="str">
        <f>_xlfn.XLOOKUP(frasest[[#This Row],[autor_es]],autorest[autor_es],autorest[codigo])</f>
        <v>la</v>
      </c>
      <c r="K332" t="str">
        <f>_xlfn.XLOOKUP(frasest[[#This Row],[autor_es]],autorest[autor_es],autorest[idioma_es])</f>
        <v>Latín</v>
      </c>
      <c r="L332" t="str">
        <f>_xlfn.XLOOKUP(frasest[[#This Row],[autor_es]],autorest[autor_es],autorest[idioma_la])</f>
        <v>Lingua Latina</v>
      </c>
      <c r="M332" t="str">
        <f>_xlfn.XLOOKUP(frasest[[#This Row],[autor_es]],autorest[autor_es],autorest[nacion_es])</f>
        <v>Roma</v>
      </c>
      <c r="N332" t="str">
        <f>_xlfn.XLOOKUP(frasest[[#This Row],[autor_es]],autorest[autor_es],autorest[nacion_la])</f>
        <v>Roma</v>
      </c>
      <c r="O332" t="str">
        <f>_xlfn.XLOOKUP(frasest[[#This Row],[autor_es]],autorest[autor_es],autorest[epoca_es])</f>
        <v>Edad Antigua</v>
      </c>
      <c r="P332" t="str">
        <f>_xlfn.XLOOKUP(frasest[[#This Row],[autor_es]],autorest[autor_es],autorest[epoca_la])</f>
        <v>Antiquitas</v>
      </c>
      <c r="Q332" t="str">
        <f>_xlfn.XLOOKUP(frasest[[#This Row],[autor_es]],autorest[autor_es],autorest[imagen])</f>
        <v>https://i.ibb.co/gZSsK5S4/sancipriano.png</v>
      </c>
      <c r="R332">
        <f>_xlfn.XLOOKUP(frasest[[#This Row],[autor_es]],autorest[autor_es],autorest[imagen_atr])</f>
        <v>0</v>
      </c>
    </row>
    <row r="333" spans="1:18">
      <c r="A333">
        <v>332</v>
      </c>
      <c r="B333" t="s">
        <v>1150</v>
      </c>
      <c r="C333" t="s">
        <v>1151</v>
      </c>
      <c r="D333" t="s">
        <v>1151</v>
      </c>
      <c r="E333" t="s">
        <v>1138</v>
      </c>
      <c r="F333" t="s">
        <v>1152</v>
      </c>
      <c r="G333" t="str">
        <f>_xlfn.XLOOKUP(frasest[[#This Row],[autor_es]],autorest[autor_es],autorest[autor_la])</f>
        <v>Cyprianus Carthaginensis</v>
      </c>
      <c r="H333" t="str">
        <f>_xlfn.XLOOKUP(frasest[[#This Row],[autor_es]],autorest[autor_es],autorest[bio_es])</f>
        <v>Obispo de Cartago, Padre de la Iglesia y mártir. Teólogo de la unidad eclesiástica, autor de "Sobre la unidad de la Iglesia". Martirizado durante la persecución de Valeriano.</v>
      </c>
      <c r="I333" t="str">
        <f>_xlfn.XLOOKUP(frasest[[#This Row],[autor_es]],autorest[autor_es],autorest[bio_la])</f>
        <v>Episcopus Carthaginensis, Pater Ecclesiae et martyr. Theologus unitatis ecclesiasticae, auctor "De unitate Ecclesiae". In persecutione Valeriani martyrizatus.</v>
      </c>
      <c r="J333" t="str">
        <f>_xlfn.XLOOKUP(frasest[[#This Row],[autor_es]],autorest[autor_es],autorest[codigo])</f>
        <v>la</v>
      </c>
      <c r="K333" t="str">
        <f>_xlfn.XLOOKUP(frasest[[#This Row],[autor_es]],autorest[autor_es],autorest[idioma_es])</f>
        <v>Latín</v>
      </c>
      <c r="L333" t="str">
        <f>_xlfn.XLOOKUP(frasest[[#This Row],[autor_es]],autorest[autor_es],autorest[idioma_la])</f>
        <v>Lingua Latina</v>
      </c>
      <c r="M333" t="str">
        <f>_xlfn.XLOOKUP(frasest[[#This Row],[autor_es]],autorest[autor_es],autorest[nacion_es])</f>
        <v>Roma</v>
      </c>
      <c r="N333" t="str">
        <f>_xlfn.XLOOKUP(frasest[[#This Row],[autor_es]],autorest[autor_es],autorest[nacion_la])</f>
        <v>Roma</v>
      </c>
      <c r="O333" t="str">
        <f>_xlfn.XLOOKUP(frasest[[#This Row],[autor_es]],autorest[autor_es],autorest[epoca_es])</f>
        <v>Edad Antigua</v>
      </c>
      <c r="P333" t="str">
        <f>_xlfn.XLOOKUP(frasest[[#This Row],[autor_es]],autorest[autor_es],autorest[epoca_la])</f>
        <v>Antiquitas</v>
      </c>
      <c r="Q333" t="str">
        <f>_xlfn.XLOOKUP(frasest[[#This Row],[autor_es]],autorest[autor_es],autorest[imagen])</f>
        <v>https://i.ibb.co/gZSsK5S4/sancipriano.png</v>
      </c>
      <c r="R333">
        <f>_xlfn.XLOOKUP(frasest[[#This Row],[autor_es]],autorest[autor_es],autorest[imagen_atr])</f>
        <v>0</v>
      </c>
    </row>
    <row r="334" spans="1:18">
      <c r="A334">
        <v>333</v>
      </c>
      <c r="B334" t="s">
        <v>1153</v>
      </c>
      <c r="C334" t="s">
        <v>1154</v>
      </c>
      <c r="D334" t="s">
        <v>1154</v>
      </c>
      <c r="E334" t="s">
        <v>1138</v>
      </c>
      <c r="F334" t="s">
        <v>1155</v>
      </c>
      <c r="G334" t="str">
        <f>_xlfn.XLOOKUP(frasest[[#This Row],[autor_es]],autorest[autor_es],autorest[autor_la])</f>
        <v>Cyprianus Carthaginensis</v>
      </c>
      <c r="H334" t="str">
        <f>_xlfn.XLOOKUP(frasest[[#This Row],[autor_es]],autorest[autor_es],autorest[bio_es])</f>
        <v>Obispo de Cartago, Padre de la Iglesia y mártir. Teólogo de la unidad eclesiástica, autor de "Sobre la unidad de la Iglesia". Martirizado durante la persecución de Valeriano.</v>
      </c>
      <c r="I334" t="str">
        <f>_xlfn.XLOOKUP(frasest[[#This Row],[autor_es]],autorest[autor_es],autorest[bio_la])</f>
        <v>Episcopus Carthaginensis, Pater Ecclesiae et martyr. Theologus unitatis ecclesiasticae, auctor "De unitate Ecclesiae". In persecutione Valeriani martyrizatus.</v>
      </c>
      <c r="J334" t="str">
        <f>_xlfn.XLOOKUP(frasest[[#This Row],[autor_es]],autorest[autor_es],autorest[codigo])</f>
        <v>la</v>
      </c>
      <c r="K334" t="str">
        <f>_xlfn.XLOOKUP(frasest[[#This Row],[autor_es]],autorest[autor_es],autorest[idioma_es])</f>
        <v>Latín</v>
      </c>
      <c r="L334" t="str">
        <f>_xlfn.XLOOKUP(frasest[[#This Row],[autor_es]],autorest[autor_es],autorest[idioma_la])</f>
        <v>Lingua Latina</v>
      </c>
      <c r="M334" t="str">
        <f>_xlfn.XLOOKUP(frasest[[#This Row],[autor_es]],autorest[autor_es],autorest[nacion_es])</f>
        <v>Roma</v>
      </c>
      <c r="N334" t="str">
        <f>_xlfn.XLOOKUP(frasest[[#This Row],[autor_es]],autorest[autor_es],autorest[nacion_la])</f>
        <v>Roma</v>
      </c>
      <c r="O334" t="str">
        <f>_xlfn.XLOOKUP(frasest[[#This Row],[autor_es]],autorest[autor_es],autorest[epoca_es])</f>
        <v>Edad Antigua</v>
      </c>
      <c r="P334" t="str">
        <f>_xlfn.XLOOKUP(frasest[[#This Row],[autor_es]],autorest[autor_es],autorest[epoca_la])</f>
        <v>Antiquitas</v>
      </c>
      <c r="Q334" t="str">
        <f>_xlfn.XLOOKUP(frasest[[#This Row],[autor_es]],autorest[autor_es],autorest[imagen])</f>
        <v>https://i.ibb.co/gZSsK5S4/sancipriano.png</v>
      </c>
      <c r="R334">
        <f>_xlfn.XLOOKUP(frasest[[#This Row],[autor_es]],autorest[autor_es],autorest[imagen_atr])</f>
        <v>0</v>
      </c>
    </row>
    <row r="335" spans="1:18">
      <c r="A335">
        <v>334</v>
      </c>
      <c r="B335" t="s">
        <v>1156</v>
      </c>
      <c r="C335" t="s">
        <v>1157</v>
      </c>
      <c r="D335" t="s">
        <v>1157</v>
      </c>
      <c r="E335" t="s">
        <v>1138</v>
      </c>
      <c r="F335" t="s">
        <v>1139</v>
      </c>
      <c r="G335" t="str">
        <f>_xlfn.XLOOKUP(frasest[[#This Row],[autor_es]],autorest[autor_es],autorest[autor_la])</f>
        <v>Cyprianus Carthaginensis</v>
      </c>
      <c r="H335" t="str">
        <f>_xlfn.XLOOKUP(frasest[[#This Row],[autor_es]],autorest[autor_es],autorest[bio_es])</f>
        <v>Obispo de Cartago, Padre de la Iglesia y mártir. Teólogo de la unidad eclesiástica, autor de "Sobre la unidad de la Iglesia". Martirizado durante la persecución de Valeriano.</v>
      </c>
      <c r="I335" t="str">
        <f>_xlfn.XLOOKUP(frasest[[#This Row],[autor_es]],autorest[autor_es],autorest[bio_la])</f>
        <v>Episcopus Carthaginensis, Pater Ecclesiae et martyr. Theologus unitatis ecclesiasticae, auctor "De unitate Ecclesiae". In persecutione Valeriani martyrizatus.</v>
      </c>
      <c r="J335" t="str">
        <f>_xlfn.XLOOKUP(frasest[[#This Row],[autor_es]],autorest[autor_es],autorest[codigo])</f>
        <v>la</v>
      </c>
      <c r="K335" t="str">
        <f>_xlfn.XLOOKUP(frasest[[#This Row],[autor_es]],autorest[autor_es],autorest[idioma_es])</f>
        <v>Latín</v>
      </c>
      <c r="L335" t="str">
        <f>_xlfn.XLOOKUP(frasest[[#This Row],[autor_es]],autorest[autor_es],autorest[idioma_la])</f>
        <v>Lingua Latina</v>
      </c>
      <c r="M335" t="str">
        <f>_xlfn.XLOOKUP(frasest[[#This Row],[autor_es]],autorest[autor_es],autorest[nacion_es])</f>
        <v>Roma</v>
      </c>
      <c r="N335" t="str">
        <f>_xlfn.XLOOKUP(frasest[[#This Row],[autor_es]],autorest[autor_es],autorest[nacion_la])</f>
        <v>Roma</v>
      </c>
      <c r="O335" t="str">
        <f>_xlfn.XLOOKUP(frasest[[#This Row],[autor_es]],autorest[autor_es],autorest[epoca_es])</f>
        <v>Edad Antigua</v>
      </c>
      <c r="P335" t="str">
        <f>_xlfn.XLOOKUP(frasest[[#This Row],[autor_es]],autorest[autor_es],autorest[epoca_la])</f>
        <v>Antiquitas</v>
      </c>
      <c r="Q335" t="str">
        <f>_xlfn.XLOOKUP(frasest[[#This Row],[autor_es]],autorest[autor_es],autorest[imagen])</f>
        <v>https://i.ibb.co/gZSsK5S4/sancipriano.png</v>
      </c>
      <c r="R335">
        <f>_xlfn.XLOOKUP(frasest[[#This Row],[autor_es]],autorest[autor_es],autorest[imagen_atr])</f>
        <v>0</v>
      </c>
    </row>
    <row r="336" spans="1:18">
      <c r="A336">
        <v>335</v>
      </c>
      <c r="B336" t="s">
        <v>1158</v>
      </c>
      <c r="C336" t="s">
        <v>1159</v>
      </c>
      <c r="D336" t="s">
        <v>1159</v>
      </c>
      <c r="E336" t="s">
        <v>1138</v>
      </c>
      <c r="F336" t="s">
        <v>1139</v>
      </c>
      <c r="G336" t="str">
        <f>_xlfn.XLOOKUP(frasest[[#This Row],[autor_es]],autorest[autor_es],autorest[autor_la])</f>
        <v>Cyprianus Carthaginensis</v>
      </c>
      <c r="H336" t="str">
        <f>_xlfn.XLOOKUP(frasest[[#This Row],[autor_es]],autorest[autor_es],autorest[bio_es])</f>
        <v>Obispo de Cartago, Padre de la Iglesia y mártir. Teólogo de la unidad eclesiástica, autor de "Sobre la unidad de la Iglesia". Martirizado durante la persecución de Valeriano.</v>
      </c>
      <c r="I336" t="str">
        <f>_xlfn.XLOOKUP(frasest[[#This Row],[autor_es]],autorest[autor_es],autorest[bio_la])</f>
        <v>Episcopus Carthaginensis, Pater Ecclesiae et martyr. Theologus unitatis ecclesiasticae, auctor "De unitate Ecclesiae". In persecutione Valeriani martyrizatus.</v>
      </c>
      <c r="J336" t="str">
        <f>_xlfn.XLOOKUP(frasest[[#This Row],[autor_es]],autorest[autor_es],autorest[codigo])</f>
        <v>la</v>
      </c>
      <c r="K336" t="str">
        <f>_xlfn.XLOOKUP(frasest[[#This Row],[autor_es]],autorest[autor_es],autorest[idioma_es])</f>
        <v>Latín</v>
      </c>
      <c r="L336" t="str">
        <f>_xlfn.XLOOKUP(frasest[[#This Row],[autor_es]],autorest[autor_es],autorest[idioma_la])</f>
        <v>Lingua Latina</v>
      </c>
      <c r="M336" t="str">
        <f>_xlfn.XLOOKUP(frasest[[#This Row],[autor_es]],autorest[autor_es],autorest[nacion_es])</f>
        <v>Roma</v>
      </c>
      <c r="N336" t="str">
        <f>_xlfn.XLOOKUP(frasest[[#This Row],[autor_es]],autorest[autor_es],autorest[nacion_la])</f>
        <v>Roma</v>
      </c>
      <c r="O336" t="str">
        <f>_xlfn.XLOOKUP(frasest[[#This Row],[autor_es]],autorest[autor_es],autorest[epoca_es])</f>
        <v>Edad Antigua</v>
      </c>
      <c r="P336" t="str">
        <f>_xlfn.XLOOKUP(frasest[[#This Row],[autor_es]],autorest[autor_es],autorest[epoca_la])</f>
        <v>Antiquitas</v>
      </c>
      <c r="Q336" t="str">
        <f>_xlfn.XLOOKUP(frasest[[#This Row],[autor_es]],autorest[autor_es],autorest[imagen])</f>
        <v>https://i.ibb.co/gZSsK5S4/sancipriano.png</v>
      </c>
      <c r="R336">
        <f>_xlfn.XLOOKUP(frasest[[#This Row],[autor_es]],autorest[autor_es],autorest[imagen_atr])</f>
        <v>0</v>
      </c>
    </row>
    <row r="337" spans="1:18">
      <c r="A337">
        <v>336</v>
      </c>
      <c r="B337" t="s">
        <v>1160</v>
      </c>
      <c r="C337" t="s">
        <v>1161</v>
      </c>
      <c r="D337" t="s">
        <v>1161</v>
      </c>
      <c r="E337" t="s">
        <v>1138</v>
      </c>
      <c r="F337" t="s">
        <v>1162</v>
      </c>
      <c r="G337" t="str">
        <f>_xlfn.XLOOKUP(frasest[[#This Row],[autor_es]],autorest[autor_es],autorest[autor_la])</f>
        <v>Cyprianus Carthaginensis</v>
      </c>
      <c r="H337" t="str">
        <f>_xlfn.XLOOKUP(frasest[[#This Row],[autor_es]],autorest[autor_es],autorest[bio_es])</f>
        <v>Obispo de Cartago, Padre de la Iglesia y mártir. Teólogo de la unidad eclesiástica, autor de "Sobre la unidad de la Iglesia". Martirizado durante la persecución de Valeriano.</v>
      </c>
      <c r="I337" t="str">
        <f>_xlfn.XLOOKUP(frasest[[#This Row],[autor_es]],autorest[autor_es],autorest[bio_la])</f>
        <v>Episcopus Carthaginensis, Pater Ecclesiae et martyr. Theologus unitatis ecclesiasticae, auctor "De unitate Ecclesiae". In persecutione Valeriani martyrizatus.</v>
      </c>
      <c r="J337" t="str">
        <f>_xlfn.XLOOKUP(frasest[[#This Row],[autor_es]],autorest[autor_es],autorest[codigo])</f>
        <v>la</v>
      </c>
      <c r="K337" t="str">
        <f>_xlfn.XLOOKUP(frasest[[#This Row],[autor_es]],autorest[autor_es],autorest[idioma_es])</f>
        <v>Latín</v>
      </c>
      <c r="L337" t="str">
        <f>_xlfn.XLOOKUP(frasest[[#This Row],[autor_es]],autorest[autor_es],autorest[idioma_la])</f>
        <v>Lingua Latina</v>
      </c>
      <c r="M337" t="str">
        <f>_xlfn.XLOOKUP(frasest[[#This Row],[autor_es]],autorest[autor_es],autorest[nacion_es])</f>
        <v>Roma</v>
      </c>
      <c r="N337" t="str">
        <f>_xlfn.XLOOKUP(frasest[[#This Row],[autor_es]],autorest[autor_es],autorest[nacion_la])</f>
        <v>Roma</v>
      </c>
      <c r="O337" t="str">
        <f>_xlfn.XLOOKUP(frasest[[#This Row],[autor_es]],autorest[autor_es],autorest[epoca_es])</f>
        <v>Edad Antigua</v>
      </c>
      <c r="P337" t="str">
        <f>_xlfn.XLOOKUP(frasest[[#This Row],[autor_es]],autorest[autor_es],autorest[epoca_la])</f>
        <v>Antiquitas</v>
      </c>
      <c r="Q337" t="str">
        <f>_xlfn.XLOOKUP(frasest[[#This Row],[autor_es]],autorest[autor_es],autorest[imagen])</f>
        <v>https://i.ibb.co/gZSsK5S4/sancipriano.png</v>
      </c>
      <c r="R337">
        <f>_xlfn.XLOOKUP(frasest[[#This Row],[autor_es]],autorest[autor_es],autorest[imagen_atr])</f>
        <v>0</v>
      </c>
    </row>
    <row r="338" spans="1:18">
      <c r="A338">
        <v>337</v>
      </c>
      <c r="B338" t="s">
        <v>1163</v>
      </c>
      <c r="C338" t="s">
        <v>1164</v>
      </c>
      <c r="D338" t="s">
        <v>1164</v>
      </c>
      <c r="E338" t="s">
        <v>1165</v>
      </c>
      <c r="F338" t="s">
        <v>1166</v>
      </c>
      <c r="G338" t="str">
        <f>_xlfn.XLOOKUP(frasest[[#This Row],[autor_es]],autorest[autor_es],autorest[autor_la])</f>
        <v>Anselmus Cantuariensis</v>
      </c>
      <c r="H338" t="str">
        <f>_xlfn.XLOOKUP(frasest[[#This Row],[autor_es]],autorest[autor_es],autorest[bio_es])</f>
        <v>Arzobispo de Canterbury, Doctor de la Iglesia y filósofo. Autor del argumento ontológico de la existencia de Dios. Padre de la escolástica.</v>
      </c>
      <c r="I338" t="str">
        <f>_xlfn.XLOOKUP(frasest[[#This Row],[autor_es]],autorest[autor_es],autorest[bio_la])</f>
        <v>Archiepiscopus Cantuariensis, Doctor Ecclesiae et philosophus. Auctor argumenti ontologici existentiae Dei. Pater scholasticae.</v>
      </c>
      <c r="J338" t="str">
        <f>_xlfn.XLOOKUP(frasest[[#This Row],[autor_es]],autorest[autor_es],autorest[codigo])</f>
        <v>la</v>
      </c>
      <c r="K338" t="str">
        <f>_xlfn.XLOOKUP(frasest[[#This Row],[autor_es]],autorest[autor_es],autorest[idioma_es])</f>
        <v>Latín</v>
      </c>
      <c r="L338" t="str">
        <f>_xlfn.XLOOKUP(frasest[[#This Row],[autor_es]],autorest[autor_es],autorest[idioma_la])</f>
        <v>Lingua Latina</v>
      </c>
      <c r="M338" t="str">
        <f>_xlfn.XLOOKUP(frasest[[#This Row],[autor_es]],autorest[autor_es],autorest[nacion_es])</f>
        <v>Italia</v>
      </c>
      <c r="N338" t="str">
        <f>_xlfn.XLOOKUP(frasest[[#This Row],[autor_es]],autorest[autor_es],autorest[nacion_la])</f>
        <v>Italia</v>
      </c>
      <c r="O338" t="str">
        <f>_xlfn.XLOOKUP(frasest[[#This Row],[autor_es]],autorest[autor_es],autorest[epoca_es])</f>
        <v>Edad Media</v>
      </c>
      <c r="P338" t="str">
        <f>_xlfn.XLOOKUP(frasest[[#This Row],[autor_es]],autorest[autor_es],autorest[epoca_la])</f>
        <v>Medium Aevum</v>
      </c>
      <c r="Q338" t="str">
        <f>_xlfn.XLOOKUP(frasest[[#This Row],[autor_es]],autorest[autor_es],autorest[imagen])</f>
        <v>https://i.ibb.co/Lz7Qxttz/sananselmocant.png</v>
      </c>
      <c r="R338">
        <f>_xlfn.XLOOKUP(frasest[[#This Row],[autor_es]],autorest[autor_es],autorest[imagen_atr])</f>
        <v>0</v>
      </c>
    </row>
    <row r="339" spans="1:18">
      <c r="A339">
        <v>338</v>
      </c>
      <c r="B339" t="s">
        <v>1167</v>
      </c>
      <c r="C339" t="s">
        <v>1168</v>
      </c>
      <c r="D339" t="s">
        <v>1168</v>
      </c>
      <c r="E339" t="s">
        <v>1165</v>
      </c>
      <c r="F339" t="s">
        <v>1166</v>
      </c>
      <c r="G339" t="str">
        <f>_xlfn.XLOOKUP(frasest[[#This Row],[autor_es]],autorest[autor_es],autorest[autor_la])</f>
        <v>Anselmus Cantuariensis</v>
      </c>
      <c r="H339" t="str">
        <f>_xlfn.XLOOKUP(frasest[[#This Row],[autor_es]],autorest[autor_es],autorest[bio_es])</f>
        <v>Arzobispo de Canterbury, Doctor de la Iglesia y filósofo. Autor del argumento ontológico de la existencia de Dios. Padre de la escolástica.</v>
      </c>
      <c r="I339" t="str">
        <f>_xlfn.XLOOKUP(frasest[[#This Row],[autor_es]],autorest[autor_es],autorest[bio_la])</f>
        <v>Archiepiscopus Cantuariensis, Doctor Ecclesiae et philosophus. Auctor argumenti ontologici existentiae Dei. Pater scholasticae.</v>
      </c>
      <c r="J339" t="str">
        <f>_xlfn.XLOOKUP(frasest[[#This Row],[autor_es]],autorest[autor_es],autorest[codigo])</f>
        <v>la</v>
      </c>
      <c r="K339" t="str">
        <f>_xlfn.XLOOKUP(frasest[[#This Row],[autor_es]],autorest[autor_es],autorest[idioma_es])</f>
        <v>Latín</v>
      </c>
      <c r="L339" t="str">
        <f>_xlfn.XLOOKUP(frasest[[#This Row],[autor_es]],autorest[autor_es],autorest[idioma_la])</f>
        <v>Lingua Latina</v>
      </c>
      <c r="M339" t="str">
        <f>_xlfn.XLOOKUP(frasest[[#This Row],[autor_es]],autorest[autor_es],autorest[nacion_es])</f>
        <v>Italia</v>
      </c>
      <c r="N339" t="str">
        <f>_xlfn.XLOOKUP(frasest[[#This Row],[autor_es]],autorest[autor_es],autorest[nacion_la])</f>
        <v>Italia</v>
      </c>
      <c r="O339" t="str">
        <f>_xlfn.XLOOKUP(frasest[[#This Row],[autor_es]],autorest[autor_es],autorest[epoca_es])</f>
        <v>Edad Media</v>
      </c>
      <c r="P339" t="str">
        <f>_xlfn.XLOOKUP(frasest[[#This Row],[autor_es]],autorest[autor_es],autorest[epoca_la])</f>
        <v>Medium Aevum</v>
      </c>
      <c r="Q339" t="str">
        <f>_xlfn.XLOOKUP(frasest[[#This Row],[autor_es]],autorest[autor_es],autorest[imagen])</f>
        <v>https://i.ibb.co/Lz7Qxttz/sananselmocant.png</v>
      </c>
      <c r="R339">
        <f>_xlfn.XLOOKUP(frasest[[#This Row],[autor_es]],autorest[autor_es],autorest[imagen_atr])</f>
        <v>0</v>
      </c>
    </row>
    <row r="340" spans="1:18">
      <c r="A340">
        <v>339</v>
      </c>
      <c r="B340" t="s">
        <v>1169</v>
      </c>
      <c r="C340" t="s">
        <v>1170</v>
      </c>
      <c r="D340" t="s">
        <v>1170</v>
      </c>
      <c r="E340" t="s">
        <v>1165</v>
      </c>
      <c r="F340" t="s">
        <v>1171</v>
      </c>
      <c r="G340" t="str">
        <f>_xlfn.XLOOKUP(frasest[[#This Row],[autor_es]],autorest[autor_es],autorest[autor_la])</f>
        <v>Anselmus Cantuariensis</v>
      </c>
      <c r="H340" t="str">
        <f>_xlfn.XLOOKUP(frasest[[#This Row],[autor_es]],autorest[autor_es],autorest[bio_es])</f>
        <v>Arzobispo de Canterbury, Doctor de la Iglesia y filósofo. Autor del argumento ontológico de la existencia de Dios. Padre de la escolástica.</v>
      </c>
      <c r="I340" t="str">
        <f>_xlfn.XLOOKUP(frasest[[#This Row],[autor_es]],autorest[autor_es],autorest[bio_la])</f>
        <v>Archiepiscopus Cantuariensis, Doctor Ecclesiae et philosophus. Auctor argumenti ontologici existentiae Dei. Pater scholasticae.</v>
      </c>
      <c r="J340" t="str">
        <f>_xlfn.XLOOKUP(frasest[[#This Row],[autor_es]],autorest[autor_es],autorest[codigo])</f>
        <v>la</v>
      </c>
      <c r="K340" t="str">
        <f>_xlfn.XLOOKUP(frasest[[#This Row],[autor_es]],autorest[autor_es],autorest[idioma_es])</f>
        <v>Latín</v>
      </c>
      <c r="L340" t="str">
        <f>_xlfn.XLOOKUP(frasest[[#This Row],[autor_es]],autorest[autor_es],autorest[idioma_la])</f>
        <v>Lingua Latina</v>
      </c>
      <c r="M340" t="str">
        <f>_xlfn.XLOOKUP(frasest[[#This Row],[autor_es]],autorest[autor_es],autorest[nacion_es])</f>
        <v>Italia</v>
      </c>
      <c r="N340" t="str">
        <f>_xlfn.XLOOKUP(frasest[[#This Row],[autor_es]],autorest[autor_es],autorest[nacion_la])</f>
        <v>Italia</v>
      </c>
      <c r="O340" t="str">
        <f>_xlfn.XLOOKUP(frasest[[#This Row],[autor_es]],autorest[autor_es],autorest[epoca_es])</f>
        <v>Edad Media</v>
      </c>
      <c r="P340" t="str">
        <f>_xlfn.XLOOKUP(frasest[[#This Row],[autor_es]],autorest[autor_es],autorest[epoca_la])</f>
        <v>Medium Aevum</v>
      </c>
      <c r="Q340" t="str">
        <f>_xlfn.XLOOKUP(frasest[[#This Row],[autor_es]],autorest[autor_es],autorest[imagen])</f>
        <v>https://i.ibb.co/Lz7Qxttz/sananselmocant.png</v>
      </c>
      <c r="R340">
        <f>_xlfn.XLOOKUP(frasest[[#This Row],[autor_es]],autorest[autor_es],autorest[imagen_atr])</f>
        <v>0</v>
      </c>
    </row>
    <row r="341" spans="1:18">
      <c r="A341">
        <v>340</v>
      </c>
      <c r="B341" t="s">
        <v>1172</v>
      </c>
      <c r="C341" t="s">
        <v>1173</v>
      </c>
      <c r="D341" t="s">
        <v>1173</v>
      </c>
      <c r="E341" t="s">
        <v>1165</v>
      </c>
      <c r="F341" t="s">
        <v>1174</v>
      </c>
      <c r="G341" t="str">
        <f>_xlfn.XLOOKUP(frasest[[#This Row],[autor_es]],autorest[autor_es],autorest[autor_la])</f>
        <v>Anselmus Cantuariensis</v>
      </c>
      <c r="H341" t="str">
        <f>_xlfn.XLOOKUP(frasest[[#This Row],[autor_es]],autorest[autor_es],autorest[bio_es])</f>
        <v>Arzobispo de Canterbury, Doctor de la Iglesia y filósofo. Autor del argumento ontológico de la existencia de Dios. Padre de la escolástica.</v>
      </c>
      <c r="I341" t="str">
        <f>_xlfn.XLOOKUP(frasest[[#This Row],[autor_es]],autorest[autor_es],autorest[bio_la])</f>
        <v>Archiepiscopus Cantuariensis, Doctor Ecclesiae et philosophus. Auctor argumenti ontologici existentiae Dei. Pater scholasticae.</v>
      </c>
      <c r="J341" t="str">
        <f>_xlfn.XLOOKUP(frasest[[#This Row],[autor_es]],autorest[autor_es],autorest[codigo])</f>
        <v>la</v>
      </c>
      <c r="K341" t="str">
        <f>_xlfn.XLOOKUP(frasest[[#This Row],[autor_es]],autorest[autor_es],autorest[idioma_es])</f>
        <v>Latín</v>
      </c>
      <c r="L341" t="str">
        <f>_xlfn.XLOOKUP(frasest[[#This Row],[autor_es]],autorest[autor_es],autorest[idioma_la])</f>
        <v>Lingua Latina</v>
      </c>
      <c r="M341" t="str">
        <f>_xlfn.XLOOKUP(frasest[[#This Row],[autor_es]],autorest[autor_es],autorest[nacion_es])</f>
        <v>Italia</v>
      </c>
      <c r="N341" t="str">
        <f>_xlfn.XLOOKUP(frasest[[#This Row],[autor_es]],autorest[autor_es],autorest[nacion_la])</f>
        <v>Italia</v>
      </c>
      <c r="O341" t="str">
        <f>_xlfn.XLOOKUP(frasest[[#This Row],[autor_es]],autorest[autor_es],autorest[epoca_es])</f>
        <v>Edad Media</v>
      </c>
      <c r="P341" t="str">
        <f>_xlfn.XLOOKUP(frasest[[#This Row],[autor_es]],autorest[autor_es],autorest[epoca_la])</f>
        <v>Medium Aevum</v>
      </c>
      <c r="Q341" t="str">
        <f>_xlfn.XLOOKUP(frasest[[#This Row],[autor_es]],autorest[autor_es],autorest[imagen])</f>
        <v>https://i.ibb.co/Lz7Qxttz/sananselmocant.png</v>
      </c>
      <c r="R341">
        <f>_xlfn.XLOOKUP(frasest[[#This Row],[autor_es]],autorest[autor_es],autorest[imagen_atr])</f>
        <v>0</v>
      </c>
    </row>
    <row r="342" spans="1:18">
      <c r="A342">
        <v>341</v>
      </c>
      <c r="B342" t="s">
        <v>1175</v>
      </c>
      <c r="C342" t="s">
        <v>1176</v>
      </c>
      <c r="D342" t="s">
        <v>1176</v>
      </c>
      <c r="E342" t="s">
        <v>1165</v>
      </c>
      <c r="F342" t="s">
        <v>1177</v>
      </c>
      <c r="G342" t="str">
        <f>_xlfn.XLOOKUP(frasest[[#This Row],[autor_es]],autorest[autor_es],autorest[autor_la])</f>
        <v>Anselmus Cantuariensis</v>
      </c>
      <c r="H342" t="str">
        <f>_xlfn.XLOOKUP(frasest[[#This Row],[autor_es]],autorest[autor_es],autorest[bio_es])</f>
        <v>Arzobispo de Canterbury, Doctor de la Iglesia y filósofo. Autor del argumento ontológico de la existencia de Dios. Padre de la escolástica.</v>
      </c>
      <c r="I342" t="str">
        <f>_xlfn.XLOOKUP(frasest[[#This Row],[autor_es]],autorest[autor_es],autorest[bio_la])</f>
        <v>Archiepiscopus Cantuariensis, Doctor Ecclesiae et philosophus. Auctor argumenti ontologici existentiae Dei. Pater scholasticae.</v>
      </c>
      <c r="J342" t="str">
        <f>_xlfn.XLOOKUP(frasest[[#This Row],[autor_es]],autorest[autor_es],autorest[codigo])</f>
        <v>la</v>
      </c>
      <c r="K342" t="str">
        <f>_xlfn.XLOOKUP(frasest[[#This Row],[autor_es]],autorest[autor_es],autorest[idioma_es])</f>
        <v>Latín</v>
      </c>
      <c r="L342" t="str">
        <f>_xlfn.XLOOKUP(frasest[[#This Row],[autor_es]],autorest[autor_es],autorest[idioma_la])</f>
        <v>Lingua Latina</v>
      </c>
      <c r="M342" t="str">
        <f>_xlfn.XLOOKUP(frasest[[#This Row],[autor_es]],autorest[autor_es],autorest[nacion_es])</f>
        <v>Italia</v>
      </c>
      <c r="N342" t="str">
        <f>_xlfn.XLOOKUP(frasest[[#This Row],[autor_es]],autorest[autor_es],autorest[nacion_la])</f>
        <v>Italia</v>
      </c>
      <c r="O342" t="str">
        <f>_xlfn.XLOOKUP(frasest[[#This Row],[autor_es]],autorest[autor_es],autorest[epoca_es])</f>
        <v>Edad Media</v>
      </c>
      <c r="P342" t="str">
        <f>_xlfn.XLOOKUP(frasest[[#This Row],[autor_es]],autorest[autor_es],autorest[epoca_la])</f>
        <v>Medium Aevum</v>
      </c>
      <c r="Q342" t="str">
        <f>_xlfn.XLOOKUP(frasest[[#This Row],[autor_es]],autorest[autor_es],autorest[imagen])</f>
        <v>https://i.ibb.co/Lz7Qxttz/sananselmocant.png</v>
      </c>
      <c r="R342">
        <f>_xlfn.XLOOKUP(frasest[[#This Row],[autor_es]],autorest[autor_es],autorest[imagen_atr])</f>
        <v>0</v>
      </c>
    </row>
    <row r="343" spans="1:18">
      <c r="A343">
        <v>342</v>
      </c>
      <c r="B343" t="s">
        <v>1178</v>
      </c>
      <c r="C343" t="s">
        <v>1179</v>
      </c>
      <c r="D343" t="s">
        <v>1179</v>
      </c>
      <c r="E343" t="s">
        <v>1165</v>
      </c>
      <c r="F343" t="s">
        <v>1180</v>
      </c>
      <c r="G343" t="str">
        <f>_xlfn.XLOOKUP(frasest[[#This Row],[autor_es]],autorest[autor_es],autorest[autor_la])</f>
        <v>Anselmus Cantuariensis</v>
      </c>
      <c r="H343" t="str">
        <f>_xlfn.XLOOKUP(frasest[[#This Row],[autor_es]],autorest[autor_es],autorest[bio_es])</f>
        <v>Arzobispo de Canterbury, Doctor de la Iglesia y filósofo. Autor del argumento ontológico de la existencia de Dios. Padre de la escolástica.</v>
      </c>
      <c r="I343" t="str">
        <f>_xlfn.XLOOKUP(frasest[[#This Row],[autor_es]],autorest[autor_es],autorest[bio_la])</f>
        <v>Archiepiscopus Cantuariensis, Doctor Ecclesiae et philosophus. Auctor argumenti ontologici existentiae Dei. Pater scholasticae.</v>
      </c>
      <c r="J343" t="str">
        <f>_xlfn.XLOOKUP(frasest[[#This Row],[autor_es]],autorest[autor_es],autorest[codigo])</f>
        <v>la</v>
      </c>
      <c r="K343" t="str">
        <f>_xlfn.XLOOKUP(frasest[[#This Row],[autor_es]],autorest[autor_es],autorest[idioma_es])</f>
        <v>Latín</v>
      </c>
      <c r="L343" t="str">
        <f>_xlfn.XLOOKUP(frasest[[#This Row],[autor_es]],autorest[autor_es],autorest[idioma_la])</f>
        <v>Lingua Latina</v>
      </c>
      <c r="M343" t="str">
        <f>_xlfn.XLOOKUP(frasest[[#This Row],[autor_es]],autorest[autor_es],autorest[nacion_es])</f>
        <v>Italia</v>
      </c>
      <c r="N343" t="str">
        <f>_xlfn.XLOOKUP(frasest[[#This Row],[autor_es]],autorest[autor_es],autorest[nacion_la])</f>
        <v>Italia</v>
      </c>
      <c r="O343" t="str">
        <f>_xlfn.XLOOKUP(frasest[[#This Row],[autor_es]],autorest[autor_es],autorest[epoca_es])</f>
        <v>Edad Media</v>
      </c>
      <c r="P343" t="str">
        <f>_xlfn.XLOOKUP(frasest[[#This Row],[autor_es]],autorest[autor_es],autorest[epoca_la])</f>
        <v>Medium Aevum</v>
      </c>
      <c r="Q343" t="str">
        <f>_xlfn.XLOOKUP(frasest[[#This Row],[autor_es]],autorest[autor_es],autorest[imagen])</f>
        <v>https://i.ibb.co/Lz7Qxttz/sananselmocant.png</v>
      </c>
      <c r="R343">
        <f>_xlfn.XLOOKUP(frasest[[#This Row],[autor_es]],autorest[autor_es],autorest[imagen_atr])</f>
        <v>0</v>
      </c>
    </row>
    <row r="344" spans="1:18">
      <c r="A344">
        <v>343</v>
      </c>
      <c r="B344" t="s">
        <v>1181</v>
      </c>
      <c r="C344" t="s">
        <v>1182</v>
      </c>
      <c r="D344" t="s">
        <v>1182</v>
      </c>
      <c r="E344" t="s">
        <v>1165</v>
      </c>
      <c r="F344" t="s">
        <v>1183</v>
      </c>
      <c r="G344" t="str">
        <f>_xlfn.XLOOKUP(frasest[[#This Row],[autor_es]],autorest[autor_es],autorest[autor_la])</f>
        <v>Anselmus Cantuariensis</v>
      </c>
      <c r="H344" t="str">
        <f>_xlfn.XLOOKUP(frasest[[#This Row],[autor_es]],autorest[autor_es],autorest[bio_es])</f>
        <v>Arzobispo de Canterbury, Doctor de la Iglesia y filósofo. Autor del argumento ontológico de la existencia de Dios. Padre de la escolástica.</v>
      </c>
      <c r="I344" t="str">
        <f>_xlfn.XLOOKUP(frasest[[#This Row],[autor_es]],autorest[autor_es],autorest[bio_la])</f>
        <v>Archiepiscopus Cantuariensis, Doctor Ecclesiae et philosophus. Auctor argumenti ontologici existentiae Dei. Pater scholasticae.</v>
      </c>
      <c r="J344" t="str">
        <f>_xlfn.XLOOKUP(frasest[[#This Row],[autor_es]],autorest[autor_es],autorest[codigo])</f>
        <v>la</v>
      </c>
      <c r="K344" t="str">
        <f>_xlfn.XLOOKUP(frasest[[#This Row],[autor_es]],autorest[autor_es],autorest[idioma_es])</f>
        <v>Latín</v>
      </c>
      <c r="L344" t="str">
        <f>_xlfn.XLOOKUP(frasest[[#This Row],[autor_es]],autorest[autor_es],autorest[idioma_la])</f>
        <v>Lingua Latina</v>
      </c>
      <c r="M344" t="str">
        <f>_xlfn.XLOOKUP(frasest[[#This Row],[autor_es]],autorest[autor_es],autorest[nacion_es])</f>
        <v>Italia</v>
      </c>
      <c r="N344" t="str">
        <f>_xlfn.XLOOKUP(frasest[[#This Row],[autor_es]],autorest[autor_es],autorest[nacion_la])</f>
        <v>Italia</v>
      </c>
      <c r="O344" t="str">
        <f>_xlfn.XLOOKUP(frasest[[#This Row],[autor_es]],autorest[autor_es],autorest[epoca_es])</f>
        <v>Edad Media</v>
      </c>
      <c r="P344" t="str">
        <f>_xlfn.XLOOKUP(frasest[[#This Row],[autor_es]],autorest[autor_es],autorest[epoca_la])</f>
        <v>Medium Aevum</v>
      </c>
      <c r="Q344" t="str">
        <f>_xlfn.XLOOKUP(frasest[[#This Row],[autor_es]],autorest[autor_es],autorest[imagen])</f>
        <v>https://i.ibb.co/Lz7Qxttz/sananselmocant.png</v>
      </c>
      <c r="R344">
        <f>_xlfn.XLOOKUP(frasest[[#This Row],[autor_es]],autorest[autor_es],autorest[imagen_atr])</f>
        <v>0</v>
      </c>
    </row>
    <row r="345" spans="1:18">
      <c r="A345">
        <v>344</v>
      </c>
      <c r="B345" t="s">
        <v>1184</v>
      </c>
      <c r="C345" t="s">
        <v>1185</v>
      </c>
      <c r="D345" t="s">
        <v>1185</v>
      </c>
      <c r="E345" t="s">
        <v>1165</v>
      </c>
      <c r="F345" t="s">
        <v>1186</v>
      </c>
      <c r="G345" t="str">
        <f>_xlfn.XLOOKUP(frasest[[#This Row],[autor_es]],autorest[autor_es],autorest[autor_la])</f>
        <v>Anselmus Cantuariensis</v>
      </c>
      <c r="H345" t="str">
        <f>_xlfn.XLOOKUP(frasest[[#This Row],[autor_es]],autorest[autor_es],autorest[bio_es])</f>
        <v>Arzobispo de Canterbury, Doctor de la Iglesia y filósofo. Autor del argumento ontológico de la existencia de Dios. Padre de la escolástica.</v>
      </c>
      <c r="I345" t="str">
        <f>_xlfn.XLOOKUP(frasest[[#This Row],[autor_es]],autorest[autor_es],autorest[bio_la])</f>
        <v>Archiepiscopus Cantuariensis, Doctor Ecclesiae et philosophus. Auctor argumenti ontologici existentiae Dei. Pater scholasticae.</v>
      </c>
      <c r="J345" t="str">
        <f>_xlfn.XLOOKUP(frasest[[#This Row],[autor_es]],autorest[autor_es],autorest[codigo])</f>
        <v>la</v>
      </c>
      <c r="K345" t="str">
        <f>_xlfn.XLOOKUP(frasest[[#This Row],[autor_es]],autorest[autor_es],autorest[idioma_es])</f>
        <v>Latín</v>
      </c>
      <c r="L345" t="str">
        <f>_xlfn.XLOOKUP(frasest[[#This Row],[autor_es]],autorest[autor_es],autorest[idioma_la])</f>
        <v>Lingua Latina</v>
      </c>
      <c r="M345" t="str">
        <f>_xlfn.XLOOKUP(frasest[[#This Row],[autor_es]],autorest[autor_es],autorest[nacion_es])</f>
        <v>Italia</v>
      </c>
      <c r="N345" t="str">
        <f>_xlfn.XLOOKUP(frasest[[#This Row],[autor_es]],autorest[autor_es],autorest[nacion_la])</f>
        <v>Italia</v>
      </c>
      <c r="O345" t="str">
        <f>_xlfn.XLOOKUP(frasest[[#This Row],[autor_es]],autorest[autor_es],autorest[epoca_es])</f>
        <v>Edad Media</v>
      </c>
      <c r="P345" t="str">
        <f>_xlfn.XLOOKUP(frasest[[#This Row],[autor_es]],autorest[autor_es],autorest[epoca_la])</f>
        <v>Medium Aevum</v>
      </c>
      <c r="Q345" t="str">
        <f>_xlfn.XLOOKUP(frasest[[#This Row],[autor_es]],autorest[autor_es],autorest[imagen])</f>
        <v>https://i.ibb.co/Lz7Qxttz/sananselmocant.png</v>
      </c>
      <c r="R345">
        <f>_xlfn.XLOOKUP(frasest[[#This Row],[autor_es]],autorest[autor_es],autorest[imagen_atr])</f>
        <v>0</v>
      </c>
    </row>
    <row r="346" spans="1:18">
      <c r="A346">
        <v>345</v>
      </c>
      <c r="B346" t="s">
        <v>1187</v>
      </c>
      <c r="C346" t="s">
        <v>1188</v>
      </c>
      <c r="D346" t="s">
        <v>1188</v>
      </c>
      <c r="E346" t="s">
        <v>1165</v>
      </c>
      <c r="F346" t="s">
        <v>1189</v>
      </c>
      <c r="G346" t="str">
        <f>_xlfn.XLOOKUP(frasest[[#This Row],[autor_es]],autorest[autor_es],autorest[autor_la])</f>
        <v>Anselmus Cantuariensis</v>
      </c>
      <c r="H346" t="str">
        <f>_xlfn.XLOOKUP(frasest[[#This Row],[autor_es]],autorest[autor_es],autorest[bio_es])</f>
        <v>Arzobispo de Canterbury, Doctor de la Iglesia y filósofo. Autor del argumento ontológico de la existencia de Dios. Padre de la escolástica.</v>
      </c>
      <c r="I346" t="str">
        <f>_xlfn.XLOOKUP(frasest[[#This Row],[autor_es]],autorest[autor_es],autorest[bio_la])</f>
        <v>Archiepiscopus Cantuariensis, Doctor Ecclesiae et philosophus. Auctor argumenti ontologici existentiae Dei. Pater scholasticae.</v>
      </c>
      <c r="J346" t="str">
        <f>_xlfn.XLOOKUP(frasest[[#This Row],[autor_es]],autorest[autor_es],autorest[codigo])</f>
        <v>la</v>
      </c>
      <c r="K346" t="str">
        <f>_xlfn.XLOOKUP(frasest[[#This Row],[autor_es]],autorest[autor_es],autorest[idioma_es])</f>
        <v>Latín</v>
      </c>
      <c r="L346" t="str">
        <f>_xlfn.XLOOKUP(frasest[[#This Row],[autor_es]],autorest[autor_es],autorest[idioma_la])</f>
        <v>Lingua Latina</v>
      </c>
      <c r="M346" t="str">
        <f>_xlfn.XLOOKUP(frasest[[#This Row],[autor_es]],autorest[autor_es],autorest[nacion_es])</f>
        <v>Italia</v>
      </c>
      <c r="N346" t="str">
        <f>_xlfn.XLOOKUP(frasest[[#This Row],[autor_es]],autorest[autor_es],autorest[nacion_la])</f>
        <v>Italia</v>
      </c>
      <c r="O346" t="str">
        <f>_xlfn.XLOOKUP(frasest[[#This Row],[autor_es]],autorest[autor_es],autorest[epoca_es])</f>
        <v>Edad Media</v>
      </c>
      <c r="P346" t="str">
        <f>_xlfn.XLOOKUP(frasest[[#This Row],[autor_es]],autorest[autor_es],autorest[epoca_la])</f>
        <v>Medium Aevum</v>
      </c>
      <c r="Q346" t="str">
        <f>_xlfn.XLOOKUP(frasest[[#This Row],[autor_es]],autorest[autor_es],autorest[imagen])</f>
        <v>https://i.ibb.co/Lz7Qxttz/sananselmocant.png</v>
      </c>
      <c r="R346">
        <f>_xlfn.XLOOKUP(frasest[[#This Row],[autor_es]],autorest[autor_es],autorest[imagen_atr])</f>
        <v>0</v>
      </c>
    </row>
    <row r="347" spans="1:18">
      <c r="A347">
        <v>346</v>
      </c>
      <c r="B347" t="s">
        <v>1190</v>
      </c>
      <c r="C347" t="s">
        <v>1191</v>
      </c>
      <c r="D347" t="s">
        <v>1191</v>
      </c>
      <c r="E347" t="s">
        <v>1165</v>
      </c>
      <c r="F347" t="s">
        <v>1192</v>
      </c>
      <c r="G347" t="str">
        <f>_xlfn.XLOOKUP(frasest[[#This Row],[autor_es]],autorest[autor_es],autorest[autor_la])</f>
        <v>Anselmus Cantuariensis</v>
      </c>
      <c r="H347" t="str">
        <f>_xlfn.XLOOKUP(frasest[[#This Row],[autor_es]],autorest[autor_es],autorest[bio_es])</f>
        <v>Arzobispo de Canterbury, Doctor de la Iglesia y filósofo. Autor del argumento ontológico de la existencia de Dios. Padre de la escolástica.</v>
      </c>
      <c r="I347" t="str">
        <f>_xlfn.XLOOKUP(frasest[[#This Row],[autor_es]],autorest[autor_es],autorest[bio_la])</f>
        <v>Archiepiscopus Cantuariensis, Doctor Ecclesiae et philosophus. Auctor argumenti ontologici existentiae Dei. Pater scholasticae.</v>
      </c>
      <c r="J347" t="str">
        <f>_xlfn.XLOOKUP(frasest[[#This Row],[autor_es]],autorest[autor_es],autorest[codigo])</f>
        <v>la</v>
      </c>
      <c r="K347" t="str">
        <f>_xlfn.XLOOKUP(frasest[[#This Row],[autor_es]],autorest[autor_es],autorest[idioma_es])</f>
        <v>Latín</v>
      </c>
      <c r="L347" t="str">
        <f>_xlfn.XLOOKUP(frasest[[#This Row],[autor_es]],autorest[autor_es],autorest[idioma_la])</f>
        <v>Lingua Latina</v>
      </c>
      <c r="M347" t="str">
        <f>_xlfn.XLOOKUP(frasest[[#This Row],[autor_es]],autorest[autor_es],autorest[nacion_es])</f>
        <v>Italia</v>
      </c>
      <c r="N347" t="str">
        <f>_xlfn.XLOOKUP(frasest[[#This Row],[autor_es]],autorest[autor_es],autorest[nacion_la])</f>
        <v>Italia</v>
      </c>
      <c r="O347" t="str">
        <f>_xlfn.XLOOKUP(frasest[[#This Row],[autor_es]],autorest[autor_es],autorest[epoca_es])</f>
        <v>Edad Media</v>
      </c>
      <c r="P347" t="str">
        <f>_xlfn.XLOOKUP(frasest[[#This Row],[autor_es]],autorest[autor_es],autorest[epoca_la])</f>
        <v>Medium Aevum</v>
      </c>
      <c r="Q347" t="str">
        <f>_xlfn.XLOOKUP(frasest[[#This Row],[autor_es]],autorest[autor_es],autorest[imagen])</f>
        <v>https://i.ibb.co/Lz7Qxttz/sananselmocant.png</v>
      </c>
      <c r="R347">
        <f>_xlfn.XLOOKUP(frasest[[#This Row],[autor_es]],autorest[autor_es],autorest[imagen_atr])</f>
        <v>0</v>
      </c>
    </row>
    <row r="348" spans="1:18">
      <c r="A348">
        <v>347</v>
      </c>
      <c r="B348" t="s">
        <v>1193</v>
      </c>
      <c r="C348" t="s">
        <v>1194</v>
      </c>
      <c r="D348" t="s">
        <v>1194</v>
      </c>
      <c r="E348" t="s">
        <v>1195</v>
      </c>
      <c r="F348" t="s">
        <v>1196</v>
      </c>
      <c r="G348" t="str">
        <f>_xlfn.XLOOKUP(frasest[[#This Row],[autor_es]],autorest[autor_es],autorest[autor_la])</f>
        <v>Gulielmus de Ockham</v>
      </c>
      <c r="H348" t="str">
        <f>_xlfn.XLOOKUP(frasest[[#This Row],[autor_es]],autorest[autor_es],autorest[bio_es])</f>
        <v>Filósofo y teólogo franciscano inglés. Padre del nominalismo, autor de la "navaja de Ockham" (principio de parsimonia). Defensor de la separación entre fe y razón.</v>
      </c>
      <c r="I348" t="str">
        <f>_xlfn.XLOOKUP(frasest[[#This Row],[autor_es]],autorest[autor_es],autorest[bio_la])</f>
        <v>Philosophus et theologus Franciscanus Anglicus. Pater nominalismi, auctor "novaculae Occami" (principium parsimoniae). Separationis inter fidem et rationem defensor.</v>
      </c>
      <c r="J348" t="str">
        <f>_xlfn.XLOOKUP(frasest[[#This Row],[autor_es]],autorest[autor_es],autorest[codigo])</f>
        <v>en</v>
      </c>
      <c r="K348" t="str">
        <f>_xlfn.XLOOKUP(frasest[[#This Row],[autor_es]],autorest[autor_es],autorest[idioma_es])</f>
        <v>Inglés</v>
      </c>
      <c r="L348" t="str">
        <f>_xlfn.XLOOKUP(frasest[[#This Row],[autor_es]],autorest[autor_es],autorest[idioma_la])</f>
        <v>Lingua Anglica</v>
      </c>
      <c r="M348" t="str">
        <f>_xlfn.XLOOKUP(frasest[[#This Row],[autor_es]],autorest[autor_es],autorest[nacion_es])</f>
        <v>Reino Unido</v>
      </c>
      <c r="N348" t="str">
        <f>_xlfn.XLOOKUP(frasest[[#This Row],[autor_es]],autorest[autor_es],autorest[nacion_la])</f>
        <v>Regnum Unitum</v>
      </c>
      <c r="O348" t="str">
        <f>_xlfn.XLOOKUP(frasest[[#This Row],[autor_es]],autorest[autor_es],autorest[epoca_es])</f>
        <v>Edad Media</v>
      </c>
      <c r="P348" t="str">
        <f>_xlfn.XLOOKUP(frasest[[#This Row],[autor_es]],autorest[autor_es],autorest[epoca_la])</f>
        <v>Medium Aevum</v>
      </c>
      <c r="Q348" t="str">
        <f>_xlfn.XLOOKUP(frasest[[#This Row],[autor_es]],autorest[autor_es],autorest[imagen])</f>
        <v>https://i.ibb.co/G38ns2JL/ockcham.png</v>
      </c>
      <c r="R348">
        <f>_xlfn.XLOOKUP(frasest[[#This Row],[autor_es]],autorest[autor_es],autorest[imagen_atr])</f>
        <v>0</v>
      </c>
    </row>
    <row r="349" spans="1:18">
      <c r="A349">
        <v>348</v>
      </c>
      <c r="B349" t="s">
        <v>1197</v>
      </c>
      <c r="C349" t="s">
        <v>1198</v>
      </c>
      <c r="D349" t="s">
        <v>1198</v>
      </c>
      <c r="E349" t="s">
        <v>1195</v>
      </c>
      <c r="F349" t="s">
        <v>1196</v>
      </c>
      <c r="G349" t="str">
        <f>_xlfn.XLOOKUP(frasest[[#This Row],[autor_es]],autorest[autor_es],autorest[autor_la])</f>
        <v>Gulielmus de Ockham</v>
      </c>
      <c r="H349" t="str">
        <f>_xlfn.XLOOKUP(frasest[[#This Row],[autor_es]],autorest[autor_es],autorest[bio_es])</f>
        <v>Filósofo y teólogo franciscano inglés. Padre del nominalismo, autor de la "navaja de Ockham" (principio de parsimonia). Defensor de la separación entre fe y razón.</v>
      </c>
      <c r="I349" t="str">
        <f>_xlfn.XLOOKUP(frasest[[#This Row],[autor_es]],autorest[autor_es],autorest[bio_la])</f>
        <v>Philosophus et theologus Franciscanus Anglicus. Pater nominalismi, auctor "novaculae Occami" (principium parsimoniae). Separationis inter fidem et rationem defensor.</v>
      </c>
      <c r="J349" t="str">
        <f>_xlfn.XLOOKUP(frasest[[#This Row],[autor_es]],autorest[autor_es],autorest[codigo])</f>
        <v>en</v>
      </c>
      <c r="K349" t="str">
        <f>_xlfn.XLOOKUP(frasest[[#This Row],[autor_es]],autorest[autor_es],autorest[idioma_es])</f>
        <v>Inglés</v>
      </c>
      <c r="L349" t="str">
        <f>_xlfn.XLOOKUP(frasest[[#This Row],[autor_es]],autorest[autor_es],autorest[idioma_la])</f>
        <v>Lingua Anglica</v>
      </c>
      <c r="M349" t="str">
        <f>_xlfn.XLOOKUP(frasest[[#This Row],[autor_es]],autorest[autor_es],autorest[nacion_es])</f>
        <v>Reino Unido</v>
      </c>
      <c r="N349" t="str">
        <f>_xlfn.XLOOKUP(frasest[[#This Row],[autor_es]],autorest[autor_es],autorest[nacion_la])</f>
        <v>Regnum Unitum</v>
      </c>
      <c r="O349" t="str">
        <f>_xlfn.XLOOKUP(frasest[[#This Row],[autor_es]],autorest[autor_es],autorest[epoca_es])</f>
        <v>Edad Media</v>
      </c>
      <c r="P349" t="str">
        <f>_xlfn.XLOOKUP(frasest[[#This Row],[autor_es]],autorest[autor_es],autorest[epoca_la])</f>
        <v>Medium Aevum</v>
      </c>
      <c r="Q349" t="str">
        <f>_xlfn.XLOOKUP(frasest[[#This Row],[autor_es]],autorest[autor_es],autorest[imagen])</f>
        <v>https://i.ibb.co/G38ns2JL/ockcham.png</v>
      </c>
      <c r="R349">
        <f>_xlfn.XLOOKUP(frasest[[#This Row],[autor_es]],autorest[autor_es],autorest[imagen_atr])</f>
        <v>0</v>
      </c>
    </row>
    <row r="350" spans="1:18">
      <c r="A350">
        <v>349</v>
      </c>
      <c r="B350" t="s">
        <v>1199</v>
      </c>
      <c r="C350" t="s">
        <v>1200</v>
      </c>
      <c r="D350" t="s">
        <v>1200</v>
      </c>
      <c r="E350" t="s">
        <v>1195</v>
      </c>
      <c r="F350" t="s">
        <v>1196</v>
      </c>
      <c r="G350" t="str">
        <f>_xlfn.XLOOKUP(frasest[[#This Row],[autor_es]],autorest[autor_es],autorest[autor_la])</f>
        <v>Gulielmus de Ockham</v>
      </c>
      <c r="H350" t="str">
        <f>_xlfn.XLOOKUP(frasest[[#This Row],[autor_es]],autorest[autor_es],autorest[bio_es])</f>
        <v>Filósofo y teólogo franciscano inglés. Padre del nominalismo, autor de la "navaja de Ockham" (principio de parsimonia). Defensor de la separación entre fe y razón.</v>
      </c>
      <c r="I350" t="str">
        <f>_xlfn.XLOOKUP(frasest[[#This Row],[autor_es]],autorest[autor_es],autorest[bio_la])</f>
        <v>Philosophus et theologus Franciscanus Anglicus. Pater nominalismi, auctor "novaculae Occami" (principium parsimoniae). Separationis inter fidem et rationem defensor.</v>
      </c>
      <c r="J350" t="str">
        <f>_xlfn.XLOOKUP(frasest[[#This Row],[autor_es]],autorest[autor_es],autorest[codigo])</f>
        <v>en</v>
      </c>
      <c r="K350" t="str">
        <f>_xlfn.XLOOKUP(frasest[[#This Row],[autor_es]],autorest[autor_es],autorest[idioma_es])</f>
        <v>Inglés</v>
      </c>
      <c r="L350" t="str">
        <f>_xlfn.XLOOKUP(frasest[[#This Row],[autor_es]],autorest[autor_es],autorest[idioma_la])</f>
        <v>Lingua Anglica</v>
      </c>
      <c r="M350" t="str">
        <f>_xlfn.XLOOKUP(frasest[[#This Row],[autor_es]],autorest[autor_es],autorest[nacion_es])</f>
        <v>Reino Unido</v>
      </c>
      <c r="N350" t="str">
        <f>_xlfn.XLOOKUP(frasest[[#This Row],[autor_es]],autorest[autor_es],autorest[nacion_la])</f>
        <v>Regnum Unitum</v>
      </c>
      <c r="O350" t="str">
        <f>_xlfn.XLOOKUP(frasest[[#This Row],[autor_es]],autorest[autor_es],autorest[epoca_es])</f>
        <v>Edad Media</v>
      </c>
      <c r="P350" t="str">
        <f>_xlfn.XLOOKUP(frasest[[#This Row],[autor_es]],autorest[autor_es],autorest[epoca_la])</f>
        <v>Medium Aevum</v>
      </c>
      <c r="Q350" t="str">
        <f>_xlfn.XLOOKUP(frasest[[#This Row],[autor_es]],autorest[autor_es],autorest[imagen])</f>
        <v>https://i.ibb.co/G38ns2JL/ockcham.png</v>
      </c>
      <c r="R350">
        <f>_xlfn.XLOOKUP(frasest[[#This Row],[autor_es]],autorest[autor_es],autorest[imagen_atr])</f>
        <v>0</v>
      </c>
    </row>
    <row r="351" spans="1:18">
      <c r="A351">
        <v>350</v>
      </c>
      <c r="B351" t="s">
        <v>1201</v>
      </c>
      <c r="C351" t="s">
        <v>1202</v>
      </c>
      <c r="D351" t="s">
        <v>1202</v>
      </c>
      <c r="E351" t="s">
        <v>1195</v>
      </c>
      <c r="F351" t="s">
        <v>1196</v>
      </c>
      <c r="G351" t="str">
        <f>_xlfn.XLOOKUP(frasest[[#This Row],[autor_es]],autorest[autor_es],autorest[autor_la])</f>
        <v>Gulielmus de Ockham</v>
      </c>
      <c r="H351" t="str">
        <f>_xlfn.XLOOKUP(frasest[[#This Row],[autor_es]],autorest[autor_es],autorest[bio_es])</f>
        <v>Filósofo y teólogo franciscano inglés. Padre del nominalismo, autor de la "navaja de Ockham" (principio de parsimonia). Defensor de la separación entre fe y razón.</v>
      </c>
      <c r="I351" t="str">
        <f>_xlfn.XLOOKUP(frasest[[#This Row],[autor_es]],autorest[autor_es],autorest[bio_la])</f>
        <v>Philosophus et theologus Franciscanus Anglicus. Pater nominalismi, auctor "novaculae Occami" (principium parsimoniae). Separationis inter fidem et rationem defensor.</v>
      </c>
      <c r="J351" t="str">
        <f>_xlfn.XLOOKUP(frasest[[#This Row],[autor_es]],autorest[autor_es],autorest[codigo])</f>
        <v>en</v>
      </c>
      <c r="K351" t="str">
        <f>_xlfn.XLOOKUP(frasest[[#This Row],[autor_es]],autorest[autor_es],autorest[idioma_es])</f>
        <v>Inglés</v>
      </c>
      <c r="L351" t="str">
        <f>_xlfn.XLOOKUP(frasest[[#This Row],[autor_es]],autorest[autor_es],autorest[idioma_la])</f>
        <v>Lingua Anglica</v>
      </c>
      <c r="M351" t="str">
        <f>_xlfn.XLOOKUP(frasest[[#This Row],[autor_es]],autorest[autor_es],autorest[nacion_es])</f>
        <v>Reino Unido</v>
      </c>
      <c r="N351" t="str">
        <f>_xlfn.XLOOKUP(frasest[[#This Row],[autor_es]],autorest[autor_es],autorest[nacion_la])</f>
        <v>Regnum Unitum</v>
      </c>
      <c r="O351" t="str">
        <f>_xlfn.XLOOKUP(frasest[[#This Row],[autor_es]],autorest[autor_es],autorest[epoca_es])</f>
        <v>Edad Media</v>
      </c>
      <c r="P351" t="str">
        <f>_xlfn.XLOOKUP(frasest[[#This Row],[autor_es]],autorest[autor_es],autorest[epoca_la])</f>
        <v>Medium Aevum</v>
      </c>
      <c r="Q351" t="str">
        <f>_xlfn.XLOOKUP(frasest[[#This Row],[autor_es]],autorest[autor_es],autorest[imagen])</f>
        <v>https://i.ibb.co/G38ns2JL/ockcham.png</v>
      </c>
      <c r="R351">
        <f>_xlfn.XLOOKUP(frasest[[#This Row],[autor_es]],autorest[autor_es],autorest[imagen_atr])</f>
        <v>0</v>
      </c>
    </row>
    <row r="352" spans="1:18">
      <c r="A352">
        <v>351</v>
      </c>
      <c r="B352" t="s">
        <v>1203</v>
      </c>
      <c r="C352" t="s">
        <v>1204</v>
      </c>
      <c r="D352" t="s">
        <v>1204</v>
      </c>
      <c r="E352" t="s">
        <v>1195</v>
      </c>
      <c r="F352" t="s">
        <v>1205</v>
      </c>
      <c r="G352" t="str">
        <f>_xlfn.XLOOKUP(frasest[[#This Row],[autor_es]],autorest[autor_es],autorest[autor_la])</f>
        <v>Gulielmus de Ockham</v>
      </c>
      <c r="H352" t="str">
        <f>_xlfn.XLOOKUP(frasest[[#This Row],[autor_es]],autorest[autor_es],autorest[bio_es])</f>
        <v>Filósofo y teólogo franciscano inglés. Padre del nominalismo, autor de la "navaja de Ockham" (principio de parsimonia). Defensor de la separación entre fe y razón.</v>
      </c>
      <c r="I352" t="str">
        <f>_xlfn.XLOOKUP(frasest[[#This Row],[autor_es]],autorest[autor_es],autorest[bio_la])</f>
        <v>Philosophus et theologus Franciscanus Anglicus. Pater nominalismi, auctor "novaculae Occami" (principium parsimoniae). Separationis inter fidem et rationem defensor.</v>
      </c>
      <c r="J352" t="str">
        <f>_xlfn.XLOOKUP(frasest[[#This Row],[autor_es]],autorest[autor_es],autorest[codigo])</f>
        <v>en</v>
      </c>
      <c r="K352" t="str">
        <f>_xlfn.XLOOKUP(frasest[[#This Row],[autor_es]],autorest[autor_es],autorest[idioma_es])</f>
        <v>Inglés</v>
      </c>
      <c r="L352" t="str">
        <f>_xlfn.XLOOKUP(frasest[[#This Row],[autor_es]],autorest[autor_es],autorest[idioma_la])</f>
        <v>Lingua Anglica</v>
      </c>
      <c r="M352" t="str">
        <f>_xlfn.XLOOKUP(frasest[[#This Row],[autor_es]],autorest[autor_es],autorest[nacion_es])</f>
        <v>Reino Unido</v>
      </c>
      <c r="N352" t="str">
        <f>_xlfn.XLOOKUP(frasest[[#This Row],[autor_es]],autorest[autor_es],autorest[nacion_la])</f>
        <v>Regnum Unitum</v>
      </c>
      <c r="O352" t="str">
        <f>_xlfn.XLOOKUP(frasest[[#This Row],[autor_es]],autorest[autor_es],autorest[epoca_es])</f>
        <v>Edad Media</v>
      </c>
      <c r="P352" t="str">
        <f>_xlfn.XLOOKUP(frasest[[#This Row],[autor_es]],autorest[autor_es],autorest[epoca_la])</f>
        <v>Medium Aevum</v>
      </c>
      <c r="Q352" t="str">
        <f>_xlfn.XLOOKUP(frasest[[#This Row],[autor_es]],autorest[autor_es],autorest[imagen])</f>
        <v>https://i.ibb.co/G38ns2JL/ockcham.png</v>
      </c>
      <c r="R352">
        <f>_xlfn.XLOOKUP(frasest[[#This Row],[autor_es]],autorest[autor_es],autorest[imagen_atr])</f>
        <v>0</v>
      </c>
    </row>
    <row r="353" spans="1:18">
      <c r="A353">
        <v>352</v>
      </c>
      <c r="B353" t="s">
        <v>1206</v>
      </c>
      <c r="C353" t="s">
        <v>1207</v>
      </c>
      <c r="D353" t="s">
        <v>1207</v>
      </c>
      <c r="E353" t="s">
        <v>1195</v>
      </c>
      <c r="F353" t="s">
        <v>1205</v>
      </c>
      <c r="G353" t="str">
        <f>_xlfn.XLOOKUP(frasest[[#This Row],[autor_es]],autorest[autor_es],autorest[autor_la])</f>
        <v>Gulielmus de Ockham</v>
      </c>
      <c r="H353" t="str">
        <f>_xlfn.XLOOKUP(frasest[[#This Row],[autor_es]],autorest[autor_es],autorest[bio_es])</f>
        <v>Filósofo y teólogo franciscano inglés. Padre del nominalismo, autor de la "navaja de Ockham" (principio de parsimonia). Defensor de la separación entre fe y razón.</v>
      </c>
      <c r="I353" t="str">
        <f>_xlfn.XLOOKUP(frasest[[#This Row],[autor_es]],autorest[autor_es],autorest[bio_la])</f>
        <v>Philosophus et theologus Franciscanus Anglicus. Pater nominalismi, auctor "novaculae Occami" (principium parsimoniae). Separationis inter fidem et rationem defensor.</v>
      </c>
      <c r="J353" t="str">
        <f>_xlfn.XLOOKUP(frasest[[#This Row],[autor_es]],autorest[autor_es],autorest[codigo])</f>
        <v>en</v>
      </c>
      <c r="K353" t="str">
        <f>_xlfn.XLOOKUP(frasest[[#This Row],[autor_es]],autorest[autor_es],autorest[idioma_es])</f>
        <v>Inglés</v>
      </c>
      <c r="L353" t="str">
        <f>_xlfn.XLOOKUP(frasest[[#This Row],[autor_es]],autorest[autor_es],autorest[idioma_la])</f>
        <v>Lingua Anglica</v>
      </c>
      <c r="M353" t="str">
        <f>_xlfn.XLOOKUP(frasest[[#This Row],[autor_es]],autorest[autor_es],autorest[nacion_es])</f>
        <v>Reino Unido</v>
      </c>
      <c r="N353" t="str">
        <f>_xlfn.XLOOKUP(frasest[[#This Row],[autor_es]],autorest[autor_es],autorest[nacion_la])</f>
        <v>Regnum Unitum</v>
      </c>
      <c r="O353" t="str">
        <f>_xlfn.XLOOKUP(frasest[[#This Row],[autor_es]],autorest[autor_es],autorest[epoca_es])</f>
        <v>Edad Media</v>
      </c>
      <c r="P353" t="str">
        <f>_xlfn.XLOOKUP(frasest[[#This Row],[autor_es]],autorest[autor_es],autorest[epoca_la])</f>
        <v>Medium Aevum</v>
      </c>
      <c r="Q353" t="str">
        <f>_xlfn.XLOOKUP(frasest[[#This Row],[autor_es]],autorest[autor_es],autorest[imagen])</f>
        <v>https://i.ibb.co/G38ns2JL/ockcham.png</v>
      </c>
      <c r="R353">
        <f>_xlfn.XLOOKUP(frasest[[#This Row],[autor_es]],autorest[autor_es],autorest[imagen_atr])</f>
        <v>0</v>
      </c>
    </row>
    <row r="354" spans="1:18">
      <c r="A354">
        <v>353</v>
      </c>
      <c r="B354" t="s">
        <v>1208</v>
      </c>
      <c r="C354" t="s">
        <v>1209</v>
      </c>
      <c r="D354" t="s">
        <v>1209</v>
      </c>
      <c r="E354" t="s">
        <v>1195</v>
      </c>
      <c r="F354" t="s">
        <v>1205</v>
      </c>
      <c r="G354" t="str">
        <f>_xlfn.XLOOKUP(frasest[[#This Row],[autor_es]],autorest[autor_es],autorest[autor_la])</f>
        <v>Gulielmus de Ockham</v>
      </c>
      <c r="H354" t="str">
        <f>_xlfn.XLOOKUP(frasest[[#This Row],[autor_es]],autorest[autor_es],autorest[bio_es])</f>
        <v>Filósofo y teólogo franciscano inglés. Padre del nominalismo, autor de la "navaja de Ockham" (principio de parsimonia). Defensor de la separación entre fe y razón.</v>
      </c>
      <c r="I354" t="str">
        <f>_xlfn.XLOOKUP(frasest[[#This Row],[autor_es]],autorest[autor_es],autorest[bio_la])</f>
        <v>Philosophus et theologus Franciscanus Anglicus. Pater nominalismi, auctor "novaculae Occami" (principium parsimoniae). Separationis inter fidem et rationem defensor.</v>
      </c>
      <c r="J354" t="str">
        <f>_xlfn.XLOOKUP(frasest[[#This Row],[autor_es]],autorest[autor_es],autorest[codigo])</f>
        <v>en</v>
      </c>
      <c r="K354" t="str">
        <f>_xlfn.XLOOKUP(frasest[[#This Row],[autor_es]],autorest[autor_es],autorest[idioma_es])</f>
        <v>Inglés</v>
      </c>
      <c r="L354" t="str">
        <f>_xlfn.XLOOKUP(frasest[[#This Row],[autor_es]],autorest[autor_es],autorest[idioma_la])</f>
        <v>Lingua Anglica</v>
      </c>
      <c r="M354" t="str">
        <f>_xlfn.XLOOKUP(frasest[[#This Row],[autor_es]],autorest[autor_es],autorest[nacion_es])</f>
        <v>Reino Unido</v>
      </c>
      <c r="N354" t="str">
        <f>_xlfn.XLOOKUP(frasest[[#This Row],[autor_es]],autorest[autor_es],autorest[nacion_la])</f>
        <v>Regnum Unitum</v>
      </c>
      <c r="O354" t="str">
        <f>_xlfn.XLOOKUP(frasest[[#This Row],[autor_es]],autorest[autor_es],autorest[epoca_es])</f>
        <v>Edad Media</v>
      </c>
      <c r="P354" t="str">
        <f>_xlfn.XLOOKUP(frasest[[#This Row],[autor_es]],autorest[autor_es],autorest[epoca_la])</f>
        <v>Medium Aevum</v>
      </c>
      <c r="Q354" t="str">
        <f>_xlfn.XLOOKUP(frasest[[#This Row],[autor_es]],autorest[autor_es],autorest[imagen])</f>
        <v>https://i.ibb.co/G38ns2JL/ockcham.png</v>
      </c>
      <c r="R354">
        <f>_xlfn.XLOOKUP(frasest[[#This Row],[autor_es]],autorest[autor_es],autorest[imagen_atr])</f>
        <v>0</v>
      </c>
    </row>
    <row r="355" spans="1:18">
      <c r="A355">
        <v>354</v>
      </c>
      <c r="B355" t="s">
        <v>1210</v>
      </c>
      <c r="C355" t="s">
        <v>1211</v>
      </c>
      <c r="D355" t="s">
        <v>1211</v>
      </c>
      <c r="E355" t="s">
        <v>1195</v>
      </c>
      <c r="F355" t="s">
        <v>1205</v>
      </c>
      <c r="G355" t="str">
        <f>_xlfn.XLOOKUP(frasest[[#This Row],[autor_es]],autorest[autor_es],autorest[autor_la])</f>
        <v>Gulielmus de Ockham</v>
      </c>
      <c r="H355" t="str">
        <f>_xlfn.XLOOKUP(frasest[[#This Row],[autor_es]],autorest[autor_es],autorest[bio_es])</f>
        <v>Filósofo y teólogo franciscano inglés. Padre del nominalismo, autor de la "navaja de Ockham" (principio de parsimonia). Defensor de la separación entre fe y razón.</v>
      </c>
      <c r="I355" t="str">
        <f>_xlfn.XLOOKUP(frasest[[#This Row],[autor_es]],autorest[autor_es],autorest[bio_la])</f>
        <v>Philosophus et theologus Franciscanus Anglicus. Pater nominalismi, auctor "novaculae Occami" (principium parsimoniae). Separationis inter fidem et rationem defensor.</v>
      </c>
      <c r="J355" t="str">
        <f>_xlfn.XLOOKUP(frasest[[#This Row],[autor_es]],autorest[autor_es],autorest[codigo])</f>
        <v>en</v>
      </c>
      <c r="K355" t="str">
        <f>_xlfn.XLOOKUP(frasest[[#This Row],[autor_es]],autorest[autor_es],autorest[idioma_es])</f>
        <v>Inglés</v>
      </c>
      <c r="L355" t="str">
        <f>_xlfn.XLOOKUP(frasest[[#This Row],[autor_es]],autorest[autor_es],autorest[idioma_la])</f>
        <v>Lingua Anglica</v>
      </c>
      <c r="M355" t="str">
        <f>_xlfn.XLOOKUP(frasest[[#This Row],[autor_es]],autorest[autor_es],autorest[nacion_es])</f>
        <v>Reino Unido</v>
      </c>
      <c r="N355" t="str">
        <f>_xlfn.XLOOKUP(frasest[[#This Row],[autor_es]],autorest[autor_es],autorest[nacion_la])</f>
        <v>Regnum Unitum</v>
      </c>
      <c r="O355" t="str">
        <f>_xlfn.XLOOKUP(frasest[[#This Row],[autor_es]],autorest[autor_es],autorest[epoca_es])</f>
        <v>Edad Media</v>
      </c>
      <c r="P355" t="str">
        <f>_xlfn.XLOOKUP(frasest[[#This Row],[autor_es]],autorest[autor_es],autorest[epoca_la])</f>
        <v>Medium Aevum</v>
      </c>
      <c r="Q355" t="str">
        <f>_xlfn.XLOOKUP(frasest[[#This Row],[autor_es]],autorest[autor_es],autorest[imagen])</f>
        <v>https://i.ibb.co/G38ns2JL/ockcham.png</v>
      </c>
      <c r="R355">
        <f>_xlfn.XLOOKUP(frasest[[#This Row],[autor_es]],autorest[autor_es],autorest[imagen_atr])</f>
        <v>0</v>
      </c>
    </row>
    <row r="356" spans="1:18">
      <c r="A356">
        <v>355</v>
      </c>
      <c r="B356" t="s">
        <v>1212</v>
      </c>
      <c r="C356" t="s">
        <v>1213</v>
      </c>
      <c r="D356" t="s">
        <v>1213</v>
      </c>
      <c r="E356" t="s">
        <v>1195</v>
      </c>
      <c r="F356" t="s">
        <v>1196</v>
      </c>
      <c r="G356" t="str">
        <f>_xlfn.XLOOKUP(frasest[[#This Row],[autor_es]],autorest[autor_es],autorest[autor_la])</f>
        <v>Gulielmus de Ockham</v>
      </c>
      <c r="H356" t="str">
        <f>_xlfn.XLOOKUP(frasest[[#This Row],[autor_es]],autorest[autor_es],autorest[bio_es])</f>
        <v>Filósofo y teólogo franciscano inglés. Padre del nominalismo, autor de la "navaja de Ockham" (principio de parsimonia). Defensor de la separación entre fe y razón.</v>
      </c>
      <c r="I356" t="str">
        <f>_xlfn.XLOOKUP(frasest[[#This Row],[autor_es]],autorest[autor_es],autorest[bio_la])</f>
        <v>Philosophus et theologus Franciscanus Anglicus. Pater nominalismi, auctor "novaculae Occami" (principium parsimoniae). Separationis inter fidem et rationem defensor.</v>
      </c>
      <c r="J356" t="str">
        <f>_xlfn.XLOOKUP(frasest[[#This Row],[autor_es]],autorest[autor_es],autorest[codigo])</f>
        <v>en</v>
      </c>
      <c r="K356" t="str">
        <f>_xlfn.XLOOKUP(frasest[[#This Row],[autor_es]],autorest[autor_es],autorest[idioma_es])</f>
        <v>Inglés</v>
      </c>
      <c r="L356" t="str">
        <f>_xlfn.XLOOKUP(frasest[[#This Row],[autor_es]],autorest[autor_es],autorest[idioma_la])</f>
        <v>Lingua Anglica</v>
      </c>
      <c r="M356" t="str">
        <f>_xlfn.XLOOKUP(frasest[[#This Row],[autor_es]],autorest[autor_es],autorest[nacion_es])</f>
        <v>Reino Unido</v>
      </c>
      <c r="N356" t="str">
        <f>_xlfn.XLOOKUP(frasest[[#This Row],[autor_es]],autorest[autor_es],autorest[nacion_la])</f>
        <v>Regnum Unitum</v>
      </c>
      <c r="O356" t="str">
        <f>_xlfn.XLOOKUP(frasest[[#This Row],[autor_es]],autorest[autor_es],autorest[epoca_es])</f>
        <v>Edad Media</v>
      </c>
      <c r="P356" t="str">
        <f>_xlfn.XLOOKUP(frasest[[#This Row],[autor_es]],autorest[autor_es],autorest[epoca_la])</f>
        <v>Medium Aevum</v>
      </c>
      <c r="Q356" t="str">
        <f>_xlfn.XLOOKUP(frasest[[#This Row],[autor_es]],autorest[autor_es],autorest[imagen])</f>
        <v>https://i.ibb.co/G38ns2JL/ockcham.png</v>
      </c>
      <c r="R356">
        <f>_xlfn.XLOOKUP(frasest[[#This Row],[autor_es]],autorest[autor_es],autorest[imagen_atr])</f>
        <v>0</v>
      </c>
    </row>
    <row r="357" spans="1:18">
      <c r="A357">
        <v>356</v>
      </c>
      <c r="B357" t="s">
        <v>1214</v>
      </c>
      <c r="C357" t="s">
        <v>1215</v>
      </c>
      <c r="D357" t="s">
        <v>1215</v>
      </c>
      <c r="E357" t="s">
        <v>1195</v>
      </c>
      <c r="F357" t="s">
        <v>1205</v>
      </c>
      <c r="G357" t="str">
        <f>_xlfn.XLOOKUP(frasest[[#This Row],[autor_es]],autorest[autor_es],autorest[autor_la])</f>
        <v>Gulielmus de Ockham</v>
      </c>
      <c r="H357" t="str">
        <f>_xlfn.XLOOKUP(frasest[[#This Row],[autor_es]],autorest[autor_es],autorest[bio_es])</f>
        <v>Filósofo y teólogo franciscano inglés. Padre del nominalismo, autor de la "navaja de Ockham" (principio de parsimonia). Defensor de la separación entre fe y razón.</v>
      </c>
      <c r="I357" t="str">
        <f>_xlfn.XLOOKUP(frasest[[#This Row],[autor_es]],autorest[autor_es],autorest[bio_la])</f>
        <v>Philosophus et theologus Franciscanus Anglicus. Pater nominalismi, auctor "novaculae Occami" (principium parsimoniae). Separationis inter fidem et rationem defensor.</v>
      </c>
      <c r="J357" t="str">
        <f>_xlfn.XLOOKUP(frasest[[#This Row],[autor_es]],autorest[autor_es],autorest[codigo])</f>
        <v>en</v>
      </c>
      <c r="K357" t="str">
        <f>_xlfn.XLOOKUP(frasest[[#This Row],[autor_es]],autorest[autor_es],autorest[idioma_es])</f>
        <v>Inglés</v>
      </c>
      <c r="L357" t="str">
        <f>_xlfn.XLOOKUP(frasest[[#This Row],[autor_es]],autorest[autor_es],autorest[idioma_la])</f>
        <v>Lingua Anglica</v>
      </c>
      <c r="M357" t="str">
        <f>_xlfn.XLOOKUP(frasest[[#This Row],[autor_es]],autorest[autor_es],autorest[nacion_es])</f>
        <v>Reino Unido</v>
      </c>
      <c r="N357" t="str">
        <f>_xlfn.XLOOKUP(frasest[[#This Row],[autor_es]],autorest[autor_es],autorest[nacion_la])</f>
        <v>Regnum Unitum</v>
      </c>
      <c r="O357" t="str">
        <f>_xlfn.XLOOKUP(frasest[[#This Row],[autor_es]],autorest[autor_es],autorest[epoca_es])</f>
        <v>Edad Media</v>
      </c>
      <c r="P357" t="str">
        <f>_xlfn.XLOOKUP(frasest[[#This Row],[autor_es]],autorest[autor_es],autorest[epoca_la])</f>
        <v>Medium Aevum</v>
      </c>
      <c r="Q357" t="str">
        <f>_xlfn.XLOOKUP(frasest[[#This Row],[autor_es]],autorest[autor_es],autorest[imagen])</f>
        <v>https://i.ibb.co/G38ns2JL/ockcham.png</v>
      </c>
      <c r="R357">
        <f>_xlfn.XLOOKUP(frasest[[#This Row],[autor_es]],autorest[autor_es],autorest[imagen_atr])</f>
        <v>0</v>
      </c>
    </row>
    <row r="358" spans="1:18">
      <c r="A358">
        <v>357</v>
      </c>
      <c r="B358" t="s">
        <v>1216</v>
      </c>
      <c r="C358" t="s">
        <v>1217</v>
      </c>
      <c r="D358" t="s">
        <v>1217</v>
      </c>
      <c r="E358" t="s">
        <v>57</v>
      </c>
      <c r="F358" t="s">
        <v>1218</v>
      </c>
      <c r="G358" t="str">
        <f>_xlfn.XLOOKUP(frasest[[#This Row],[autor_es]],autorest[autor_es],autorest[autor_la])</f>
        <v>Aurelius Augustinus</v>
      </c>
      <c r="H358" t="str">
        <f>_xlfn.XLOOKUP(frasest[[#This Row],[autor_es]],autorest[autor_es],autorest[bio_es])</f>
        <v>Filósofo y teólogo cristiano.</v>
      </c>
      <c r="I358" t="str">
        <f>_xlfn.XLOOKUP(frasest[[#This Row],[autor_es]],autorest[autor_es],autorest[bio_la])</f>
        <v>Philosophus et theologus Christianus.</v>
      </c>
      <c r="J358" t="str">
        <f>_xlfn.XLOOKUP(frasest[[#This Row],[autor_es]],autorest[autor_es],autorest[codigo])</f>
        <v>la</v>
      </c>
      <c r="K358" t="str">
        <f>_xlfn.XLOOKUP(frasest[[#This Row],[autor_es]],autorest[autor_es],autorest[idioma_es])</f>
        <v>Latín</v>
      </c>
      <c r="L358" t="str">
        <f>_xlfn.XLOOKUP(frasest[[#This Row],[autor_es]],autorest[autor_es],autorest[idioma_la])</f>
        <v>Lingua Latina</v>
      </c>
      <c r="M358" t="str">
        <f>_xlfn.XLOOKUP(frasest[[#This Row],[autor_es]],autorest[autor_es],autorest[nacion_es])</f>
        <v>Roma</v>
      </c>
      <c r="N358" t="str">
        <f>_xlfn.XLOOKUP(frasest[[#This Row],[autor_es]],autorest[autor_es],autorest[nacion_la])</f>
        <v>Roma</v>
      </c>
      <c r="O358" t="str">
        <f>_xlfn.XLOOKUP(frasest[[#This Row],[autor_es]],autorest[autor_es],autorest[epoca_es])</f>
        <v>Edad Antigua</v>
      </c>
      <c r="P358" t="str">
        <f>_xlfn.XLOOKUP(frasest[[#This Row],[autor_es]],autorest[autor_es],autorest[epoca_la])</f>
        <v>Antiquitas</v>
      </c>
      <c r="Q358" t="str">
        <f>_xlfn.XLOOKUP(frasest[[#This Row],[autor_es]],autorest[autor_es],autorest[imagen])</f>
        <v>https://i.ibb.co/chhLXqTZ/agustin.png</v>
      </c>
      <c r="R358">
        <f>_xlfn.XLOOKUP(frasest[[#This Row],[autor_es]],autorest[autor_es],autorest[imagen_atr])</f>
        <v>0</v>
      </c>
    </row>
    <row r="359" spans="1:18">
      <c r="A359">
        <v>358</v>
      </c>
      <c r="B359" t="s">
        <v>1219</v>
      </c>
      <c r="C359" t="s">
        <v>1220</v>
      </c>
      <c r="D359" t="s">
        <v>1220</v>
      </c>
      <c r="E359" t="s">
        <v>57</v>
      </c>
      <c r="F359" t="s">
        <v>1221</v>
      </c>
      <c r="G359" t="str">
        <f>_xlfn.XLOOKUP(frasest[[#This Row],[autor_es]],autorest[autor_es],autorest[autor_la])</f>
        <v>Aurelius Augustinus</v>
      </c>
      <c r="H359" t="str">
        <f>_xlfn.XLOOKUP(frasest[[#This Row],[autor_es]],autorest[autor_es],autorest[bio_es])</f>
        <v>Filósofo y teólogo cristiano.</v>
      </c>
      <c r="I359" t="str">
        <f>_xlfn.XLOOKUP(frasest[[#This Row],[autor_es]],autorest[autor_es],autorest[bio_la])</f>
        <v>Philosophus et theologus Christianus.</v>
      </c>
      <c r="J359" t="str">
        <f>_xlfn.XLOOKUP(frasest[[#This Row],[autor_es]],autorest[autor_es],autorest[codigo])</f>
        <v>la</v>
      </c>
      <c r="K359" t="str">
        <f>_xlfn.XLOOKUP(frasest[[#This Row],[autor_es]],autorest[autor_es],autorest[idioma_es])</f>
        <v>Latín</v>
      </c>
      <c r="L359" t="str">
        <f>_xlfn.XLOOKUP(frasest[[#This Row],[autor_es]],autorest[autor_es],autorest[idioma_la])</f>
        <v>Lingua Latina</v>
      </c>
      <c r="M359" t="str">
        <f>_xlfn.XLOOKUP(frasest[[#This Row],[autor_es]],autorest[autor_es],autorest[nacion_es])</f>
        <v>Roma</v>
      </c>
      <c r="N359" t="str">
        <f>_xlfn.XLOOKUP(frasest[[#This Row],[autor_es]],autorest[autor_es],autorest[nacion_la])</f>
        <v>Roma</v>
      </c>
      <c r="O359" t="str">
        <f>_xlfn.XLOOKUP(frasest[[#This Row],[autor_es]],autorest[autor_es],autorest[epoca_es])</f>
        <v>Edad Antigua</v>
      </c>
      <c r="P359" t="str">
        <f>_xlfn.XLOOKUP(frasest[[#This Row],[autor_es]],autorest[autor_es],autorest[epoca_la])</f>
        <v>Antiquitas</v>
      </c>
      <c r="Q359" t="str">
        <f>_xlfn.XLOOKUP(frasest[[#This Row],[autor_es]],autorest[autor_es],autorest[imagen])</f>
        <v>https://i.ibb.co/chhLXqTZ/agustin.png</v>
      </c>
      <c r="R359">
        <f>_xlfn.XLOOKUP(frasest[[#This Row],[autor_es]],autorest[autor_es],autorest[imagen_atr])</f>
        <v>0</v>
      </c>
    </row>
    <row r="360" spans="1:18">
      <c r="A360">
        <v>359</v>
      </c>
      <c r="B360" t="s">
        <v>1222</v>
      </c>
      <c r="C360" t="s">
        <v>1223</v>
      </c>
      <c r="D360" t="s">
        <v>1223</v>
      </c>
      <c r="E360" t="s">
        <v>940</v>
      </c>
      <c r="F360" t="s">
        <v>1224</v>
      </c>
      <c r="G360" t="str">
        <f>_xlfn.XLOOKUP(frasest[[#This Row],[autor_es]],autorest[autor_es],autorest[autor_la])</f>
        <v>Athanasius Alexandrinus</v>
      </c>
      <c r="H360" t="str">
        <f>_xlfn.XLOOKUP(frasest[[#This Row],[autor_es]],autorest[autor_es],autorest[bio_es])</f>
        <v>Obispo de Alejandría, Doctor de la Iglesia y defensor de la ortodoxia nicena contra el arrianismo. Autor de la "Vida de San Antonio", influyente en la espiritualidad monástica.</v>
      </c>
      <c r="I360" t="str">
        <f>_xlfn.XLOOKUP(frasest[[#This Row],[autor_es]],autorest[autor_es],autorest[bio_la])</f>
        <v>Episcopus Alexandrinus, Doctor Ecclesiae et defensor orthodoxiae Nicaenae contra arianismum. Auctor "Vita Sancti Antonii", in spiritualitate monastica influens.</v>
      </c>
      <c r="J360" t="str">
        <f>_xlfn.XLOOKUP(frasest[[#This Row],[autor_es]],autorest[autor_es],autorest[codigo])</f>
        <v>la</v>
      </c>
      <c r="K360" t="str">
        <f>_xlfn.XLOOKUP(frasest[[#This Row],[autor_es]],autorest[autor_es],autorest[idioma_es])</f>
        <v>Latín</v>
      </c>
      <c r="L360" t="str">
        <f>_xlfn.XLOOKUP(frasest[[#This Row],[autor_es]],autorest[autor_es],autorest[idioma_la])</f>
        <v>Lingua Latina</v>
      </c>
      <c r="M360" t="str">
        <f>_xlfn.XLOOKUP(frasest[[#This Row],[autor_es]],autorest[autor_es],autorest[nacion_es])</f>
        <v>Roma</v>
      </c>
      <c r="N360" t="str">
        <f>_xlfn.XLOOKUP(frasest[[#This Row],[autor_es]],autorest[autor_es],autorest[nacion_la])</f>
        <v>Roma</v>
      </c>
      <c r="O360" t="str">
        <f>_xlfn.XLOOKUP(frasest[[#This Row],[autor_es]],autorest[autor_es],autorest[epoca_es])</f>
        <v>Edad Antigua</v>
      </c>
      <c r="P360" t="str">
        <f>_xlfn.XLOOKUP(frasest[[#This Row],[autor_es]],autorest[autor_es],autorest[epoca_la])</f>
        <v>Antiquitas</v>
      </c>
      <c r="Q360" t="str">
        <f>_xlfn.XLOOKUP(frasest[[#This Row],[autor_es]],autorest[autor_es],autorest[imagen])</f>
        <v>https://i.ibb.co/N2qBhZS8/atanasio.png</v>
      </c>
      <c r="R360">
        <f>_xlfn.XLOOKUP(frasest[[#This Row],[autor_es]],autorest[autor_es],autorest[imagen_atr])</f>
        <v>0</v>
      </c>
    </row>
    <row r="361" spans="1:18">
      <c r="A361">
        <v>360</v>
      </c>
      <c r="B361" t="s">
        <v>1225</v>
      </c>
      <c r="C361" t="s">
        <v>1226</v>
      </c>
      <c r="D361" t="s">
        <v>1226</v>
      </c>
      <c r="E361" t="s">
        <v>172</v>
      </c>
      <c r="F361" t="s">
        <v>1227</v>
      </c>
      <c r="G361" t="str">
        <f>_xlfn.XLOOKUP(frasest[[#This Row],[autor_es]],autorest[autor_es],autorest[autor_la])</f>
        <v>Thomas Aquinas</v>
      </c>
      <c r="H361" t="str">
        <f>_xlfn.XLOOKUP(frasest[[#This Row],[autor_es]],autorest[autor_es],autorest[bio_es])</f>
        <v>Filósofo y teólogo italiano, representante de la Escolástica. Autor de la "Summa Theologica".</v>
      </c>
      <c r="I361" t="str">
        <f>_xlfn.XLOOKUP(frasest[[#This Row],[autor_es]],autorest[autor_es],autorest[bio_la])</f>
        <v>Philosophus et theologus Italicus, Scholasticae repraesentans. Auctor "Summa Theologica".</v>
      </c>
      <c r="J361" t="str">
        <f>_xlfn.XLOOKUP(frasest[[#This Row],[autor_es]],autorest[autor_es],autorest[codigo])</f>
        <v>la</v>
      </c>
      <c r="K361" t="str">
        <f>_xlfn.XLOOKUP(frasest[[#This Row],[autor_es]],autorest[autor_es],autorest[idioma_es])</f>
        <v>Latín</v>
      </c>
      <c r="L361" t="str">
        <f>_xlfn.XLOOKUP(frasest[[#This Row],[autor_es]],autorest[autor_es],autorest[idioma_la])</f>
        <v>Lingua Latina</v>
      </c>
      <c r="M361" t="str">
        <f>_xlfn.XLOOKUP(frasest[[#This Row],[autor_es]],autorest[autor_es],autorest[nacion_es])</f>
        <v>Italia</v>
      </c>
      <c r="N361" t="str">
        <f>_xlfn.XLOOKUP(frasest[[#This Row],[autor_es]],autorest[autor_es],autorest[nacion_la])</f>
        <v>Italia</v>
      </c>
      <c r="O361" t="str">
        <f>_xlfn.XLOOKUP(frasest[[#This Row],[autor_es]],autorest[autor_es],autorest[epoca_es])</f>
        <v>Edad Media</v>
      </c>
      <c r="P361" t="str">
        <f>_xlfn.XLOOKUP(frasest[[#This Row],[autor_es]],autorest[autor_es],autorest[epoca_la])</f>
        <v>Medium Aevum</v>
      </c>
      <c r="Q361" t="str">
        <f>_xlfn.XLOOKUP(frasest[[#This Row],[autor_es]],autorest[autor_es],autorest[imagen])</f>
        <v>https://i.ibb.co/wG8jHsv/tomasaquino.png</v>
      </c>
      <c r="R361">
        <f>_xlfn.XLOOKUP(frasest[[#This Row],[autor_es]],autorest[autor_es],autorest[imagen_atr])</f>
        <v>0</v>
      </c>
    </row>
    <row r="362" spans="1:18">
      <c r="A362">
        <v>361</v>
      </c>
      <c r="B362" t="s">
        <v>1228</v>
      </c>
      <c r="C362" t="s">
        <v>1229</v>
      </c>
      <c r="D362" t="s">
        <v>1229</v>
      </c>
      <c r="E362" t="s">
        <v>1002</v>
      </c>
      <c r="F362" t="s">
        <v>1230</v>
      </c>
      <c r="G362" t="str">
        <f>_xlfn.XLOOKUP(frasest[[#This Row],[autor_es]],autorest[autor_es],autorest[autor_la])</f>
        <v>Gregorius Nazianzenus</v>
      </c>
      <c r="H362" t="str">
        <f>_xlfn.XLOOKUP(frasest[[#This Row],[autor_es]],autorest[autor_es],autorest[bio_es])</f>
        <v>Arzobispo de Constantinopla, Doctor de la Iglesia y Padre Capadocio. Llamado "el Teólogo", gran orador y defensor de la Trinidad. Uno de los tres Padres Capadocios.</v>
      </c>
      <c r="I362" t="str">
        <f>_xlfn.XLOOKUP(frasest[[#This Row],[autor_es]],autorest[autor_es],autorest[bio_la])</f>
        <v>Archiepiscopus Constantinopolitanus, Doctor Ecclesiae et Pater Cappadocius. "Theologus" vocatus, orator magnus et defensor Trinitatis. Unus ex tribus Patribus Cappadociis.</v>
      </c>
      <c r="J362" t="str">
        <f>_xlfn.XLOOKUP(frasest[[#This Row],[autor_es]],autorest[autor_es],autorest[codigo])</f>
        <v>la</v>
      </c>
      <c r="K362" t="str">
        <f>_xlfn.XLOOKUP(frasest[[#This Row],[autor_es]],autorest[autor_es],autorest[idioma_es])</f>
        <v>Latín</v>
      </c>
      <c r="L362" t="str">
        <f>_xlfn.XLOOKUP(frasest[[#This Row],[autor_es]],autorest[autor_es],autorest[idioma_la])</f>
        <v>Lingua Latina</v>
      </c>
      <c r="M362" t="str">
        <f>_xlfn.XLOOKUP(frasest[[#This Row],[autor_es]],autorest[autor_es],autorest[nacion_es])</f>
        <v>Roma</v>
      </c>
      <c r="N362" t="str">
        <f>_xlfn.XLOOKUP(frasest[[#This Row],[autor_es]],autorest[autor_es],autorest[nacion_la])</f>
        <v>Roma</v>
      </c>
      <c r="O362" t="str">
        <f>_xlfn.XLOOKUP(frasest[[#This Row],[autor_es]],autorest[autor_es],autorest[epoca_es])</f>
        <v>Edad Antigua</v>
      </c>
      <c r="P362" t="str">
        <f>_xlfn.XLOOKUP(frasest[[#This Row],[autor_es]],autorest[autor_es],autorest[epoca_la])</f>
        <v>Antiquitas</v>
      </c>
      <c r="Q362" t="str">
        <f>_xlfn.XLOOKUP(frasest[[#This Row],[autor_es]],autorest[autor_es],autorest[imagen])</f>
        <v>https://i.ibb.co/whvy5Lhm/sangregorioana.png</v>
      </c>
      <c r="R362">
        <f>_xlfn.XLOOKUP(frasest[[#This Row],[autor_es]],autorest[autor_es],autorest[imagen_atr])</f>
        <v>0</v>
      </c>
    </row>
    <row r="363" spans="1:18">
      <c r="A363">
        <v>362</v>
      </c>
      <c r="B363" t="s">
        <v>1231</v>
      </c>
      <c r="C363" t="s">
        <v>1232</v>
      </c>
      <c r="D363" t="s">
        <v>1231</v>
      </c>
      <c r="E363" t="s">
        <v>24</v>
      </c>
      <c r="G363" t="str">
        <f>_xlfn.XLOOKUP(frasest[[#This Row],[autor_es]],autorest[autor_es],autorest[autor_la])</f>
        <v>Sententia Hispanica</v>
      </c>
      <c r="H363" t="str">
        <f>_xlfn.XLOOKUP(frasest[[#This Row],[autor_es]],autorest[autor_es],autorest[bio_es])</f>
        <v>Refranes populares de la tradición oral hispana que expresan de forma breve y ingeniosa enseñanzas prácticas sobre la vida cotidiana.</v>
      </c>
      <c r="I363" t="str">
        <f>_xlfn.XLOOKUP(frasest[[#This Row],[autor_es]],autorest[autor_es],autorest[bio_la])</f>
        <v>Collectio sententiarum Hispanicarum.</v>
      </c>
      <c r="J363" t="str">
        <f>_xlfn.XLOOKUP(frasest[[#This Row],[autor_es]],autorest[autor_es],autorest[codigo])</f>
        <v>es</v>
      </c>
      <c r="K363" t="str">
        <f>_xlfn.XLOOKUP(frasest[[#This Row],[autor_es]],autorest[autor_es],autorest[idioma_es])</f>
        <v>Español</v>
      </c>
      <c r="L363" t="str">
        <f>_xlfn.XLOOKUP(frasest[[#This Row],[autor_es]],autorest[autor_es],autorest[idioma_la])</f>
        <v>Lingua Hispanica</v>
      </c>
      <c r="M363" t="str">
        <f>_xlfn.XLOOKUP(frasest[[#This Row],[autor_es]],autorest[autor_es],autorest[nacion_es])</f>
        <v>España</v>
      </c>
      <c r="N363" t="str">
        <f>_xlfn.XLOOKUP(frasest[[#This Row],[autor_es]],autorest[autor_es],autorest[nacion_la])</f>
        <v>Hispania</v>
      </c>
      <c r="O363" t="str">
        <f>_xlfn.XLOOKUP(frasest[[#This Row],[autor_es]],autorest[autor_es],autorest[epoca_es])</f>
        <v>Epoca Desconocida</v>
      </c>
      <c r="P363" t="str">
        <f>_xlfn.XLOOKUP(frasest[[#This Row],[autor_es]],autorest[autor_es],autorest[epoca_la])</f>
        <v>Epocha Ignota</v>
      </c>
      <c r="Q363" t="str">
        <f>_xlfn.XLOOKUP(frasest[[#This Row],[autor_es]],autorest[autor_es],autorest[imagen])</f>
        <v>https://i.ibb.co/Y4f7TZWm/espa-a.png</v>
      </c>
      <c r="R363">
        <f>_xlfn.XLOOKUP(frasest[[#This Row],[autor_es]],autorest[autor_es],autorest[imagen_atr])</f>
        <v>0</v>
      </c>
    </row>
    <row r="364" spans="1:18">
      <c r="A364">
        <v>363</v>
      </c>
      <c r="B364" t="s">
        <v>1233</v>
      </c>
      <c r="C364" t="s">
        <v>1234</v>
      </c>
      <c r="D364" t="s">
        <v>1235</v>
      </c>
      <c r="E364" t="s">
        <v>1236</v>
      </c>
      <c r="G364" t="str">
        <f>_xlfn.XLOOKUP(frasest[[#This Row],[autor_es]],autorest[autor_es],autorest[autor_la])</f>
        <v>Sententia Vasconica</v>
      </c>
      <c r="H364" t="str">
        <f>_xlfn.XLOOKUP(frasest[[#This Row],[autor_es]],autorest[autor_es],autorest[bio_es])</f>
        <v>Proverbios de la tradición oral vasca que reflejan la relación con la naturaleza, el trabajo y los valores comunitarios del pueblo vasco.</v>
      </c>
      <c r="I364" t="str">
        <f>_xlfn.XLOOKUP(frasest[[#This Row],[autor_es]],autorest[autor_es],autorest[bio_la])</f>
        <v>Collectio sententiarum Vasconicarum.</v>
      </c>
      <c r="J364" t="str">
        <f>_xlfn.XLOOKUP(frasest[[#This Row],[autor_es]],autorest[autor_es],autorest[codigo])</f>
        <v>eu</v>
      </c>
      <c r="K364" t="str">
        <f>_xlfn.XLOOKUP(frasest[[#This Row],[autor_es]],autorest[autor_es],autorest[idioma_es])</f>
        <v>Euskara</v>
      </c>
      <c r="L364" t="str">
        <f>_xlfn.XLOOKUP(frasest[[#This Row],[autor_es]],autorest[autor_es],autorest[idioma_la])</f>
        <v>Lingua Vasconica</v>
      </c>
      <c r="M364" t="str">
        <f>_xlfn.XLOOKUP(frasest[[#This Row],[autor_es]],autorest[autor_es],autorest[nacion_es])</f>
        <v>España</v>
      </c>
      <c r="N364" t="str">
        <f>_xlfn.XLOOKUP(frasest[[#This Row],[autor_es]],autorest[autor_es],autorest[nacion_la])</f>
        <v>Hispania</v>
      </c>
      <c r="O364" t="str">
        <f>_xlfn.XLOOKUP(frasest[[#This Row],[autor_es]],autorest[autor_es],autorest[epoca_es])</f>
        <v>Epoca Desconocida</v>
      </c>
      <c r="P364" t="str">
        <f>_xlfn.XLOOKUP(frasest[[#This Row],[autor_es]],autorest[autor_es],autorest[epoca_la])</f>
        <v>Epocha Ignota</v>
      </c>
      <c r="Q364" t="str">
        <f>_xlfn.XLOOKUP(frasest[[#This Row],[autor_es]],autorest[autor_es],autorest[imagen])</f>
        <v>https://i.ibb.co/bjgxB3kn/euskadi.png</v>
      </c>
      <c r="R364">
        <f>_xlfn.XLOOKUP(frasest[[#This Row],[autor_es]],autorest[autor_es],autorest[imagen_atr])</f>
        <v>0</v>
      </c>
    </row>
    <row r="365" spans="1:18">
      <c r="A365">
        <v>364</v>
      </c>
      <c r="B365" t="s">
        <v>1237</v>
      </c>
      <c r="C365" t="s">
        <v>1238</v>
      </c>
      <c r="D365" t="s">
        <v>1239</v>
      </c>
      <c r="E365" t="s">
        <v>1240</v>
      </c>
      <c r="F365" t="s">
        <v>1241</v>
      </c>
      <c r="G365" t="str">
        <f>_xlfn.XLOOKUP(frasest[[#This Row],[autor_es]],autorest[autor_es],autorest[autor_la])</f>
        <v>Albertus Camus</v>
      </c>
      <c r="H365" t="str">
        <f>_xlfn.XLOOKUP(frasest[[#This Row],[autor_es]],autorest[autor_es],autorest[bio_es])</f>
        <v>Escritor, filósofo y periodista francés. Premio Nobel de Literatura en 1957, representante del existencialismo y el absurdo.</v>
      </c>
      <c r="I365" t="str">
        <f>_xlfn.XLOOKUP(frasest[[#This Row],[autor_es]],autorest[autor_es],autorest[bio_la])</f>
        <v>Scriba, philosophus et diurnarius Francogallicus. Praemium Nobel Litterarum anno 1957, existentialismus et absurdi repraesentans.</v>
      </c>
      <c r="J365" t="str">
        <f>_xlfn.XLOOKUP(frasest[[#This Row],[autor_es]],autorest[autor_es],autorest[codigo])</f>
        <v>fr</v>
      </c>
      <c r="K365" t="str">
        <f>_xlfn.XLOOKUP(frasest[[#This Row],[autor_es]],autorest[autor_es],autorest[idioma_es])</f>
        <v>Francés</v>
      </c>
      <c r="L365" t="str">
        <f>_xlfn.XLOOKUP(frasest[[#This Row],[autor_es]],autorest[autor_es],autorest[idioma_la])</f>
        <v>Lingua Gallica</v>
      </c>
      <c r="M365" t="str">
        <f>_xlfn.XLOOKUP(frasest[[#This Row],[autor_es]],autorest[autor_es],autorest[nacion_es])</f>
        <v>Francia</v>
      </c>
      <c r="N365" t="str">
        <f>_xlfn.XLOOKUP(frasest[[#This Row],[autor_es]],autorest[autor_es],autorest[nacion_la])</f>
        <v>Francia</v>
      </c>
      <c r="O365" t="str">
        <f>_xlfn.XLOOKUP(frasest[[#This Row],[autor_es]],autorest[autor_es],autorest[epoca_es])</f>
        <v>Edad Contemporánea</v>
      </c>
      <c r="P365" t="str">
        <f>_xlfn.XLOOKUP(frasest[[#This Row],[autor_es]],autorest[autor_es],autorest[epoca_la])</f>
        <v>Aetas Contemporanea</v>
      </c>
      <c r="Q365" t="str">
        <f>_xlfn.XLOOKUP(frasest[[#This Row],[autor_es]],autorest[autor_es],autorest[imagen])</f>
        <v>https://i.ibb.co/qYHNPQ2Z/camus.png</v>
      </c>
      <c r="R365">
        <f>_xlfn.XLOOKUP(frasest[[#This Row],[autor_es]],autorest[autor_es],autorest[imagen_atr])</f>
        <v>0</v>
      </c>
    </row>
    <row r="366" spans="1:18">
      <c r="A366">
        <v>365</v>
      </c>
      <c r="B366" t="s">
        <v>1242</v>
      </c>
      <c r="C366" t="s">
        <v>1243</v>
      </c>
      <c r="D366" t="s">
        <v>1244</v>
      </c>
      <c r="E366" t="s">
        <v>1245</v>
      </c>
      <c r="F366" t="s">
        <v>1246</v>
      </c>
      <c r="G366" t="str">
        <f>_xlfn.XLOOKUP(frasest[[#This Row],[autor_es]],autorest[autor_es],autorest[autor_la])</f>
        <v>Beata Teresia Calcuttensis</v>
      </c>
      <c r="H366" t="str">
        <f>_xlfn.XLOOKUP(frasest[[#This Row],[autor_es]],autorest[autor_es],autorest[bio_es])</f>
        <v>Monja católica y misionera albanesa, fundadora de las Misioneras de la Caridad. Premio Nobel de la Paz 1979 por su trabajo con los más pobres.</v>
      </c>
      <c r="I366" t="str">
        <f>_xlfn.XLOOKUP(frasest[[#This Row],[autor_es]],autorest[autor_es],autorest[bio_la])</f>
        <v>Soror catholica et missionaria Albanensis, Missionariarum Caritatis fundatrix. Praemium Nobel Pacis anno 1979 propter laborem cum pauperrimis.</v>
      </c>
      <c r="J366" t="str">
        <f>_xlfn.XLOOKUP(frasest[[#This Row],[autor_es]],autorest[autor_es],autorest[codigo])</f>
        <v>sq</v>
      </c>
      <c r="K366" t="str">
        <f>_xlfn.XLOOKUP(frasest[[#This Row],[autor_es]],autorest[autor_es],autorest[idioma_es])</f>
        <v>Albanés</v>
      </c>
      <c r="L366" t="str">
        <f>_xlfn.XLOOKUP(frasest[[#This Row],[autor_es]],autorest[autor_es],autorest[idioma_la])</f>
        <v>Lingua Albanica</v>
      </c>
      <c r="M366" t="str">
        <f>_xlfn.XLOOKUP(frasest[[#This Row],[autor_es]],autorest[autor_es],autorest[nacion_es])</f>
        <v>Albania</v>
      </c>
      <c r="N366" t="str">
        <f>_xlfn.XLOOKUP(frasest[[#This Row],[autor_es]],autorest[autor_es],autorest[nacion_la])</f>
        <v>Albania</v>
      </c>
      <c r="O366" t="str">
        <f>_xlfn.XLOOKUP(frasest[[#This Row],[autor_es]],autorest[autor_es],autorest[epoca_es])</f>
        <v>Edad Contemporánea</v>
      </c>
      <c r="P366" t="str">
        <f>_xlfn.XLOOKUP(frasest[[#This Row],[autor_es]],autorest[autor_es],autorest[epoca_la])</f>
        <v>Aetas Contemporanea</v>
      </c>
      <c r="Q366" t="str">
        <f>_xlfn.XLOOKUP(frasest[[#This Row],[autor_es]],autorest[autor_es],autorest[imagen])</f>
        <v>https://i.ibb.co/MkxqpJ6j/calcuta.png</v>
      </c>
      <c r="R366">
        <f>_xlfn.XLOOKUP(frasest[[#This Row],[autor_es]],autorest[autor_es],autorest[imagen_atr])</f>
        <v>0</v>
      </c>
    </row>
    <row r="367" spans="1:18">
      <c r="A367">
        <v>366</v>
      </c>
      <c r="B367" t="s">
        <v>1247</v>
      </c>
      <c r="C367" t="s">
        <v>1248</v>
      </c>
      <c r="D367" t="s">
        <v>1249</v>
      </c>
      <c r="E367" t="s">
        <v>1250</v>
      </c>
      <c r="F367" t="s">
        <v>1251</v>
      </c>
      <c r="G367" t="str">
        <f>_xlfn.XLOOKUP(frasest[[#This Row],[autor_es]],autorest[autor_es],autorest[autor_la])</f>
        <v>Sanctus Franciscus Assisiensis</v>
      </c>
      <c r="H367" t="str">
        <f>_xlfn.XLOOKUP(frasest[[#This Row],[autor_es]],autorest[autor_es],autorest[bio_es])</f>
        <v>Fraile católico italiano, fundador de la Orden Franciscana. Conocido por su amor a la naturaleza, la pobreza y la paz.</v>
      </c>
      <c r="I367" t="str">
        <f>_xlfn.XLOOKUP(frasest[[#This Row],[autor_es]],autorest[autor_es],autorest[bio_la])</f>
        <v>Frater catholicus Italicus, Ordinis Franciscani fundator. Notus propter amorem naturae, paupertatis et pacis.</v>
      </c>
      <c r="J367" t="str">
        <f>_xlfn.XLOOKUP(frasest[[#This Row],[autor_es]],autorest[autor_es],autorest[codigo])</f>
        <v>it</v>
      </c>
      <c r="K367" t="str">
        <f>_xlfn.XLOOKUP(frasest[[#This Row],[autor_es]],autorest[autor_es],autorest[idioma_es])</f>
        <v>Italiano</v>
      </c>
      <c r="L367" t="str">
        <f>_xlfn.XLOOKUP(frasest[[#This Row],[autor_es]],autorest[autor_es],autorest[idioma_la])</f>
        <v>Lingua Italica</v>
      </c>
      <c r="M367" t="str">
        <f>_xlfn.XLOOKUP(frasest[[#This Row],[autor_es]],autorest[autor_es],autorest[nacion_es])</f>
        <v>Italia</v>
      </c>
      <c r="N367" t="str">
        <f>_xlfn.XLOOKUP(frasest[[#This Row],[autor_es]],autorest[autor_es],autorest[nacion_la])</f>
        <v>Italia</v>
      </c>
      <c r="O367" t="str">
        <f>_xlfn.XLOOKUP(frasest[[#This Row],[autor_es]],autorest[autor_es],autorest[epoca_es])</f>
        <v>Edad Media</v>
      </c>
      <c r="P367" t="str">
        <f>_xlfn.XLOOKUP(frasest[[#This Row],[autor_es]],autorest[autor_es],autorest[epoca_la])</f>
        <v>Medium Aevum</v>
      </c>
      <c r="Q367" t="str">
        <f>_xlfn.XLOOKUP(frasest[[#This Row],[autor_es]],autorest[autor_es],autorest[imagen])</f>
        <v>https://i.ibb.co/VWvD2P4t/asis.png</v>
      </c>
      <c r="R367">
        <f>_xlfn.XLOOKUP(frasest[[#This Row],[autor_es]],autorest[autor_es],autorest[imagen_atr])</f>
        <v>0</v>
      </c>
    </row>
    <row r="368" spans="1:18">
      <c r="A368">
        <v>367</v>
      </c>
      <c r="B368" t="s">
        <v>1252</v>
      </c>
      <c r="C368" t="s">
        <v>1253</v>
      </c>
      <c r="D368" t="s">
        <v>1254</v>
      </c>
      <c r="E368" t="s">
        <v>1255</v>
      </c>
      <c r="F368" t="s">
        <v>1256</v>
      </c>
      <c r="G368" t="str">
        <f>_xlfn.XLOOKUP(frasest[[#This Row],[autor_es]],autorest[autor_es],autorest[autor_la])</f>
        <v>Leonardus Vincius</v>
      </c>
      <c r="H368" t="str">
        <f>_xlfn.XLOOKUP(frasest[[#This Row],[autor_es]],autorest[autor_es],autorest[bio_es])</f>
        <v>Artista, inventor y científico italiano del Renacimiento.</v>
      </c>
      <c r="I368" t="str">
        <f>_xlfn.XLOOKUP(frasest[[#This Row],[autor_es]],autorest[autor_es],autorest[bio_la])</f>
        <v>Artifex, inventor et physicus Italicus Renaissance.</v>
      </c>
      <c r="J368" t="str">
        <f>_xlfn.XLOOKUP(frasest[[#This Row],[autor_es]],autorest[autor_es],autorest[codigo])</f>
        <v>la</v>
      </c>
      <c r="K368" t="str">
        <f>_xlfn.XLOOKUP(frasest[[#This Row],[autor_es]],autorest[autor_es],autorest[idioma_es])</f>
        <v>Latín</v>
      </c>
      <c r="L368" t="str">
        <f>_xlfn.XLOOKUP(frasest[[#This Row],[autor_es]],autorest[autor_es],autorest[idioma_la])</f>
        <v>Lingua Latina</v>
      </c>
      <c r="M368" t="str">
        <f>_xlfn.XLOOKUP(frasest[[#This Row],[autor_es]],autorest[autor_es],autorest[nacion_es])</f>
        <v>Italia</v>
      </c>
      <c r="N368" t="str">
        <f>_xlfn.XLOOKUP(frasest[[#This Row],[autor_es]],autorest[autor_es],autorest[nacion_la])</f>
        <v>Italia</v>
      </c>
      <c r="O368" t="str">
        <f>_xlfn.XLOOKUP(frasest[[#This Row],[autor_es]],autorest[autor_es],autorest[epoca_es])</f>
        <v>Edad Media</v>
      </c>
      <c r="P368" t="str">
        <f>_xlfn.XLOOKUP(frasest[[#This Row],[autor_es]],autorest[autor_es],autorest[epoca_la])</f>
        <v>Medium Aevum</v>
      </c>
      <c r="Q368" t="str">
        <f>_xlfn.XLOOKUP(frasest[[#This Row],[autor_es]],autorest[autor_es],autorest[imagen])</f>
        <v>https://i.ibb.co/prKj8Gtz/davinci.png</v>
      </c>
      <c r="R368">
        <f>_xlfn.XLOOKUP(frasest[[#This Row],[autor_es]],autorest[autor_es],autorest[imagen_atr])</f>
        <v>0</v>
      </c>
    </row>
    <row r="369" spans="1:18">
      <c r="A369">
        <v>368</v>
      </c>
      <c r="B369" t="s">
        <v>1257</v>
      </c>
      <c r="C369" t="s">
        <v>1258</v>
      </c>
      <c r="D369" t="s">
        <v>1259</v>
      </c>
      <c r="E369" t="s">
        <v>1255</v>
      </c>
      <c r="F369" t="s">
        <v>1260</v>
      </c>
      <c r="G369" t="str">
        <f>_xlfn.XLOOKUP(frasest[[#This Row],[autor_es]],autorest[autor_es],autorest[autor_la])</f>
        <v>Leonardus Vincius</v>
      </c>
      <c r="H369" t="str">
        <f>_xlfn.XLOOKUP(frasest[[#This Row],[autor_es]],autorest[autor_es],autorest[bio_es])</f>
        <v>Artista, inventor y científico italiano del Renacimiento.</v>
      </c>
      <c r="I369" t="str">
        <f>_xlfn.XLOOKUP(frasest[[#This Row],[autor_es]],autorest[autor_es],autorest[bio_la])</f>
        <v>Artifex, inventor et physicus Italicus Renaissance.</v>
      </c>
      <c r="J369" t="str">
        <f>_xlfn.XLOOKUP(frasest[[#This Row],[autor_es]],autorest[autor_es],autorest[codigo])</f>
        <v>la</v>
      </c>
      <c r="K369" t="str">
        <f>_xlfn.XLOOKUP(frasest[[#This Row],[autor_es]],autorest[autor_es],autorest[idioma_es])</f>
        <v>Latín</v>
      </c>
      <c r="L369" t="str">
        <f>_xlfn.XLOOKUP(frasest[[#This Row],[autor_es]],autorest[autor_es],autorest[idioma_la])</f>
        <v>Lingua Latina</v>
      </c>
      <c r="M369" t="str">
        <f>_xlfn.XLOOKUP(frasest[[#This Row],[autor_es]],autorest[autor_es],autorest[nacion_es])</f>
        <v>Italia</v>
      </c>
      <c r="N369" t="str">
        <f>_xlfn.XLOOKUP(frasest[[#This Row],[autor_es]],autorest[autor_es],autorest[nacion_la])</f>
        <v>Italia</v>
      </c>
      <c r="O369" t="str">
        <f>_xlfn.XLOOKUP(frasest[[#This Row],[autor_es]],autorest[autor_es],autorest[epoca_es])</f>
        <v>Edad Media</v>
      </c>
      <c r="P369" t="str">
        <f>_xlfn.XLOOKUP(frasest[[#This Row],[autor_es]],autorest[autor_es],autorest[epoca_la])</f>
        <v>Medium Aevum</v>
      </c>
      <c r="Q369" t="str">
        <f>_xlfn.XLOOKUP(frasest[[#This Row],[autor_es]],autorest[autor_es],autorest[imagen])</f>
        <v>https://i.ibb.co/prKj8Gtz/davinci.png</v>
      </c>
      <c r="R369">
        <f>_xlfn.XLOOKUP(frasest[[#This Row],[autor_es]],autorest[autor_es],autorest[imagen_atr])</f>
        <v>0</v>
      </c>
    </row>
    <row r="370" spans="1:18">
      <c r="A370">
        <v>369</v>
      </c>
      <c r="B370" t="s">
        <v>1261</v>
      </c>
      <c r="C370" t="s">
        <v>1262</v>
      </c>
      <c r="D370" t="s">
        <v>1263</v>
      </c>
      <c r="E370" t="s">
        <v>1255</v>
      </c>
      <c r="F370" t="s">
        <v>1264</v>
      </c>
      <c r="G370" t="str">
        <f>_xlfn.XLOOKUP(frasest[[#This Row],[autor_es]],autorest[autor_es],autorest[autor_la])</f>
        <v>Leonardus Vincius</v>
      </c>
      <c r="H370" t="str">
        <f>_xlfn.XLOOKUP(frasest[[#This Row],[autor_es]],autorest[autor_es],autorest[bio_es])</f>
        <v>Artista, inventor y científico italiano del Renacimiento.</v>
      </c>
      <c r="I370" t="str">
        <f>_xlfn.XLOOKUP(frasest[[#This Row],[autor_es]],autorest[autor_es],autorest[bio_la])</f>
        <v>Artifex, inventor et physicus Italicus Renaissance.</v>
      </c>
      <c r="J370" t="str">
        <f>_xlfn.XLOOKUP(frasest[[#This Row],[autor_es]],autorest[autor_es],autorest[codigo])</f>
        <v>la</v>
      </c>
      <c r="K370" t="str">
        <f>_xlfn.XLOOKUP(frasest[[#This Row],[autor_es]],autorest[autor_es],autorest[idioma_es])</f>
        <v>Latín</v>
      </c>
      <c r="L370" t="str">
        <f>_xlfn.XLOOKUP(frasest[[#This Row],[autor_es]],autorest[autor_es],autorest[idioma_la])</f>
        <v>Lingua Latina</v>
      </c>
      <c r="M370" t="str">
        <f>_xlfn.XLOOKUP(frasest[[#This Row],[autor_es]],autorest[autor_es],autorest[nacion_es])</f>
        <v>Italia</v>
      </c>
      <c r="N370" t="str">
        <f>_xlfn.XLOOKUP(frasest[[#This Row],[autor_es]],autorest[autor_es],autorest[nacion_la])</f>
        <v>Italia</v>
      </c>
      <c r="O370" t="str">
        <f>_xlfn.XLOOKUP(frasest[[#This Row],[autor_es]],autorest[autor_es],autorest[epoca_es])</f>
        <v>Edad Media</v>
      </c>
      <c r="P370" t="str">
        <f>_xlfn.XLOOKUP(frasest[[#This Row],[autor_es]],autorest[autor_es],autorest[epoca_la])</f>
        <v>Medium Aevum</v>
      </c>
      <c r="Q370" t="str">
        <f>_xlfn.XLOOKUP(frasest[[#This Row],[autor_es]],autorest[autor_es],autorest[imagen])</f>
        <v>https://i.ibb.co/prKj8Gtz/davinci.png</v>
      </c>
      <c r="R370">
        <f>_xlfn.XLOOKUP(frasest[[#This Row],[autor_es]],autorest[autor_es],autorest[imagen_atr])</f>
        <v>0</v>
      </c>
    </row>
    <row r="371" spans="1:18">
      <c r="A371">
        <v>370</v>
      </c>
      <c r="B371" t="s">
        <v>1265</v>
      </c>
      <c r="C371" t="s">
        <v>1266</v>
      </c>
      <c r="D371" t="s">
        <v>1267</v>
      </c>
      <c r="E371" t="s">
        <v>1255</v>
      </c>
      <c r="F371" t="s">
        <v>1268</v>
      </c>
      <c r="G371" t="str">
        <f>_xlfn.XLOOKUP(frasest[[#This Row],[autor_es]],autorest[autor_es],autorest[autor_la])</f>
        <v>Leonardus Vincius</v>
      </c>
      <c r="H371" t="str">
        <f>_xlfn.XLOOKUP(frasest[[#This Row],[autor_es]],autorest[autor_es],autorest[bio_es])</f>
        <v>Artista, inventor y científico italiano del Renacimiento.</v>
      </c>
      <c r="I371" t="str">
        <f>_xlfn.XLOOKUP(frasest[[#This Row],[autor_es]],autorest[autor_es],autorest[bio_la])</f>
        <v>Artifex, inventor et physicus Italicus Renaissance.</v>
      </c>
      <c r="J371" t="str">
        <f>_xlfn.XLOOKUP(frasest[[#This Row],[autor_es]],autorest[autor_es],autorest[codigo])</f>
        <v>la</v>
      </c>
      <c r="K371" t="str">
        <f>_xlfn.XLOOKUP(frasest[[#This Row],[autor_es]],autorest[autor_es],autorest[idioma_es])</f>
        <v>Latín</v>
      </c>
      <c r="L371" t="str">
        <f>_xlfn.XLOOKUP(frasest[[#This Row],[autor_es]],autorest[autor_es],autorest[idioma_la])</f>
        <v>Lingua Latina</v>
      </c>
      <c r="M371" t="str">
        <f>_xlfn.XLOOKUP(frasest[[#This Row],[autor_es]],autorest[autor_es],autorest[nacion_es])</f>
        <v>Italia</v>
      </c>
      <c r="N371" t="str">
        <f>_xlfn.XLOOKUP(frasest[[#This Row],[autor_es]],autorest[autor_es],autorest[nacion_la])</f>
        <v>Italia</v>
      </c>
      <c r="O371" t="str">
        <f>_xlfn.XLOOKUP(frasest[[#This Row],[autor_es]],autorest[autor_es],autorest[epoca_es])</f>
        <v>Edad Media</v>
      </c>
      <c r="P371" t="str">
        <f>_xlfn.XLOOKUP(frasest[[#This Row],[autor_es]],autorest[autor_es],autorest[epoca_la])</f>
        <v>Medium Aevum</v>
      </c>
      <c r="Q371" t="str">
        <f>_xlfn.XLOOKUP(frasest[[#This Row],[autor_es]],autorest[autor_es],autorest[imagen])</f>
        <v>https://i.ibb.co/prKj8Gtz/davinci.png</v>
      </c>
      <c r="R371">
        <f>_xlfn.XLOOKUP(frasest[[#This Row],[autor_es]],autorest[autor_es],autorest[imagen_atr])</f>
        <v>0</v>
      </c>
    </row>
    <row r="372" spans="1:18">
      <c r="A372">
        <v>371</v>
      </c>
      <c r="B372" t="s">
        <v>1269</v>
      </c>
      <c r="C372" t="s">
        <v>1270</v>
      </c>
      <c r="D372" t="s">
        <v>1271</v>
      </c>
      <c r="E372" t="s">
        <v>1255</v>
      </c>
      <c r="F372" t="s">
        <v>1272</v>
      </c>
      <c r="G372" t="str">
        <f>_xlfn.XLOOKUP(frasest[[#This Row],[autor_es]],autorest[autor_es],autorest[autor_la])</f>
        <v>Leonardus Vincius</v>
      </c>
      <c r="H372" t="str">
        <f>_xlfn.XLOOKUP(frasest[[#This Row],[autor_es]],autorest[autor_es],autorest[bio_es])</f>
        <v>Artista, inventor y científico italiano del Renacimiento.</v>
      </c>
      <c r="I372" t="str">
        <f>_xlfn.XLOOKUP(frasest[[#This Row],[autor_es]],autorest[autor_es],autorest[bio_la])</f>
        <v>Artifex, inventor et physicus Italicus Renaissance.</v>
      </c>
      <c r="J372" t="str">
        <f>_xlfn.XLOOKUP(frasest[[#This Row],[autor_es]],autorest[autor_es],autorest[codigo])</f>
        <v>la</v>
      </c>
      <c r="K372" t="str">
        <f>_xlfn.XLOOKUP(frasest[[#This Row],[autor_es]],autorest[autor_es],autorest[idioma_es])</f>
        <v>Latín</v>
      </c>
      <c r="L372" t="str">
        <f>_xlfn.XLOOKUP(frasest[[#This Row],[autor_es]],autorest[autor_es],autorest[idioma_la])</f>
        <v>Lingua Latina</v>
      </c>
      <c r="M372" t="str">
        <f>_xlfn.XLOOKUP(frasest[[#This Row],[autor_es]],autorest[autor_es],autorest[nacion_es])</f>
        <v>Italia</v>
      </c>
      <c r="N372" t="str">
        <f>_xlfn.XLOOKUP(frasest[[#This Row],[autor_es]],autorest[autor_es],autorest[nacion_la])</f>
        <v>Italia</v>
      </c>
      <c r="O372" t="str">
        <f>_xlfn.XLOOKUP(frasest[[#This Row],[autor_es]],autorest[autor_es],autorest[epoca_es])</f>
        <v>Edad Media</v>
      </c>
      <c r="P372" t="str">
        <f>_xlfn.XLOOKUP(frasest[[#This Row],[autor_es]],autorest[autor_es],autorest[epoca_la])</f>
        <v>Medium Aevum</v>
      </c>
      <c r="Q372" t="str">
        <f>_xlfn.XLOOKUP(frasest[[#This Row],[autor_es]],autorest[autor_es],autorest[imagen])</f>
        <v>https://i.ibb.co/prKj8Gtz/davinci.png</v>
      </c>
      <c r="R372">
        <f>_xlfn.XLOOKUP(frasest[[#This Row],[autor_es]],autorest[autor_es],autorest[imagen_atr])</f>
        <v>0</v>
      </c>
    </row>
    <row r="373" spans="1:18">
      <c r="A373">
        <v>372</v>
      </c>
      <c r="B373" t="s">
        <v>1273</v>
      </c>
      <c r="C373" t="s">
        <v>1274</v>
      </c>
      <c r="D373" s="1" t="s">
        <v>148</v>
      </c>
      <c r="E373" t="s">
        <v>36</v>
      </c>
      <c r="G373" t="str">
        <f>_xlfn.XLOOKUP(frasest[[#This Row],[autor_es]],autorest[autor_es],autorest[autor_la])</f>
        <v>Proverbium Sinense</v>
      </c>
      <c r="H373" t="str">
        <f>_xlfn.XLOOKUP(frasest[[#This Row],[autor_es]],autorest[autor_es],autorest[bio_es])</f>
        <v>Conjunto de proverbios tradicionales de la cultura china que transmiten sabiduría popular, valores morales y enseñanzas prácticas transmitidas oralmente durante siglos.</v>
      </c>
      <c r="I373" t="str">
        <f>_xlfn.XLOOKUP(frasest[[#This Row],[autor_es]],autorest[autor_es],autorest[bio_la])</f>
        <v>Collectio sententiarum Sinensium, magnopere in cultura tradita.</v>
      </c>
      <c r="J373" t="str">
        <f>_xlfn.XLOOKUP(frasest[[#This Row],[autor_es]],autorest[autor_es],autorest[codigo])</f>
        <v>zh</v>
      </c>
      <c r="K373" t="str">
        <f>_xlfn.XLOOKUP(frasest[[#This Row],[autor_es]],autorest[autor_es],autorest[idioma_es])</f>
        <v>Chino</v>
      </c>
      <c r="L373" t="str">
        <f>_xlfn.XLOOKUP(frasest[[#This Row],[autor_es]],autorest[autor_es],autorest[idioma_la])</f>
        <v>Lingua Sinica</v>
      </c>
      <c r="M373" t="str">
        <f>_xlfn.XLOOKUP(frasest[[#This Row],[autor_es]],autorest[autor_es],autorest[nacion_es])</f>
        <v>China</v>
      </c>
      <c r="N373" t="str">
        <f>_xlfn.XLOOKUP(frasest[[#This Row],[autor_es]],autorest[autor_es],autorest[nacion_la])</f>
        <v>Sinae</v>
      </c>
      <c r="O373" t="str">
        <f>_xlfn.XLOOKUP(frasest[[#This Row],[autor_es]],autorest[autor_es],autorest[epoca_es])</f>
        <v>Epoca Desconocida</v>
      </c>
      <c r="P373" t="str">
        <f>_xlfn.XLOOKUP(frasest[[#This Row],[autor_es]],autorest[autor_es],autorest[epoca_la])</f>
        <v>Epocha Ignota</v>
      </c>
      <c r="Q373" t="str">
        <f>_xlfn.XLOOKUP(frasest[[#This Row],[autor_es]],autorest[autor_es],autorest[imagen])</f>
        <v>https://i.ibb.co/qLfpZm6h/china.png</v>
      </c>
      <c r="R373">
        <f>_xlfn.XLOOKUP(frasest[[#This Row],[autor_es]],autorest[autor_es],autorest[imagen_atr])</f>
        <v>0</v>
      </c>
    </row>
    <row r="374" spans="1:18">
      <c r="A374">
        <v>373</v>
      </c>
      <c r="B374" t="s">
        <v>1275</v>
      </c>
      <c r="C374" t="s">
        <v>1276</v>
      </c>
      <c r="D374" s="1" t="s">
        <v>1277</v>
      </c>
      <c r="E374" t="s">
        <v>36</v>
      </c>
      <c r="G374" t="str">
        <f>_xlfn.XLOOKUP(frasest[[#This Row],[autor_es]],autorest[autor_es],autorest[autor_la])</f>
        <v>Proverbium Sinense</v>
      </c>
      <c r="H374" t="str">
        <f>_xlfn.XLOOKUP(frasest[[#This Row],[autor_es]],autorest[autor_es],autorest[bio_es])</f>
        <v>Conjunto de proverbios tradicionales de la cultura china que transmiten sabiduría popular, valores morales y enseñanzas prácticas transmitidas oralmente durante siglos.</v>
      </c>
      <c r="I374" t="str">
        <f>_xlfn.XLOOKUP(frasest[[#This Row],[autor_es]],autorest[autor_es],autorest[bio_la])</f>
        <v>Collectio sententiarum Sinensium, magnopere in cultura tradita.</v>
      </c>
      <c r="J374" t="str">
        <f>_xlfn.XLOOKUP(frasest[[#This Row],[autor_es]],autorest[autor_es],autorest[codigo])</f>
        <v>zh</v>
      </c>
      <c r="K374" t="str">
        <f>_xlfn.XLOOKUP(frasest[[#This Row],[autor_es]],autorest[autor_es],autorest[idioma_es])</f>
        <v>Chino</v>
      </c>
      <c r="L374" t="str">
        <f>_xlfn.XLOOKUP(frasest[[#This Row],[autor_es]],autorest[autor_es],autorest[idioma_la])</f>
        <v>Lingua Sinica</v>
      </c>
      <c r="M374" t="str">
        <f>_xlfn.XLOOKUP(frasest[[#This Row],[autor_es]],autorest[autor_es],autorest[nacion_es])</f>
        <v>China</v>
      </c>
      <c r="N374" t="str">
        <f>_xlfn.XLOOKUP(frasest[[#This Row],[autor_es]],autorest[autor_es],autorest[nacion_la])</f>
        <v>Sinae</v>
      </c>
      <c r="O374" t="str">
        <f>_xlfn.XLOOKUP(frasest[[#This Row],[autor_es]],autorest[autor_es],autorest[epoca_es])</f>
        <v>Epoca Desconocida</v>
      </c>
      <c r="P374" t="str">
        <f>_xlfn.XLOOKUP(frasest[[#This Row],[autor_es]],autorest[autor_es],autorest[epoca_la])</f>
        <v>Epocha Ignota</v>
      </c>
      <c r="Q374" t="str">
        <f>_xlfn.XLOOKUP(frasest[[#This Row],[autor_es]],autorest[autor_es],autorest[imagen])</f>
        <v>https://i.ibb.co/qLfpZm6h/china.png</v>
      </c>
      <c r="R374">
        <f>_xlfn.XLOOKUP(frasest[[#This Row],[autor_es]],autorest[autor_es],autorest[imagen_atr])</f>
        <v>0</v>
      </c>
    </row>
    <row r="375" spans="1:18">
      <c r="A375">
        <v>374</v>
      </c>
      <c r="B375" t="s">
        <v>1278</v>
      </c>
      <c r="C375" t="s">
        <v>1279</v>
      </c>
      <c r="D375" s="1" t="s">
        <v>1280</v>
      </c>
      <c r="E375" t="s">
        <v>36</v>
      </c>
      <c r="G375" t="str">
        <f>_xlfn.XLOOKUP(frasest[[#This Row],[autor_es]],autorest[autor_es],autorest[autor_la])</f>
        <v>Proverbium Sinense</v>
      </c>
      <c r="H375" t="str">
        <f>_xlfn.XLOOKUP(frasest[[#This Row],[autor_es]],autorest[autor_es],autorest[bio_es])</f>
        <v>Conjunto de proverbios tradicionales de la cultura china que transmiten sabiduría popular, valores morales y enseñanzas prácticas transmitidas oralmente durante siglos.</v>
      </c>
      <c r="I375" t="str">
        <f>_xlfn.XLOOKUP(frasest[[#This Row],[autor_es]],autorest[autor_es],autorest[bio_la])</f>
        <v>Collectio sententiarum Sinensium, magnopere in cultura tradita.</v>
      </c>
      <c r="J375" t="str">
        <f>_xlfn.XLOOKUP(frasest[[#This Row],[autor_es]],autorest[autor_es],autorest[codigo])</f>
        <v>zh</v>
      </c>
      <c r="K375" t="str">
        <f>_xlfn.XLOOKUP(frasest[[#This Row],[autor_es]],autorest[autor_es],autorest[idioma_es])</f>
        <v>Chino</v>
      </c>
      <c r="L375" t="str">
        <f>_xlfn.XLOOKUP(frasest[[#This Row],[autor_es]],autorest[autor_es],autorest[idioma_la])</f>
        <v>Lingua Sinica</v>
      </c>
      <c r="M375" t="str">
        <f>_xlfn.XLOOKUP(frasest[[#This Row],[autor_es]],autorest[autor_es],autorest[nacion_es])</f>
        <v>China</v>
      </c>
      <c r="N375" t="str">
        <f>_xlfn.XLOOKUP(frasest[[#This Row],[autor_es]],autorest[autor_es],autorest[nacion_la])</f>
        <v>Sinae</v>
      </c>
      <c r="O375" t="str">
        <f>_xlfn.XLOOKUP(frasest[[#This Row],[autor_es]],autorest[autor_es],autorest[epoca_es])</f>
        <v>Epoca Desconocida</v>
      </c>
      <c r="P375" t="str">
        <f>_xlfn.XLOOKUP(frasest[[#This Row],[autor_es]],autorest[autor_es],autorest[epoca_la])</f>
        <v>Epocha Ignota</v>
      </c>
      <c r="Q375" t="str">
        <f>_xlfn.XLOOKUP(frasest[[#This Row],[autor_es]],autorest[autor_es],autorest[imagen])</f>
        <v>https://i.ibb.co/qLfpZm6h/china.png</v>
      </c>
      <c r="R375">
        <f>_xlfn.XLOOKUP(frasest[[#This Row],[autor_es]],autorest[autor_es],autorest[imagen_atr])</f>
        <v>0</v>
      </c>
    </row>
    <row r="376" spans="1:18">
      <c r="A376">
        <v>375</v>
      </c>
      <c r="B376" t="s">
        <v>1281</v>
      </c>
      <c r="C376" t="s">
        <v>1282</v>
      </c>
      <c r="D376" s="1" t="s">
        <v>1283</v>
      </c>
      <c r="E376" t="s">
        <v>36</v>
      </c>
      <c r="G376" t="str">
        <f>_xlfn.XLOOKUP(frasest[[#This Row],[autor_es]],autorest[autor_es],autorest[autor_la])</f>
        <v>Proverbium Sinense</v>
      </c>
      <c r="H376" t="str">
        <f>_xlfn.XLOOKUP(frasest[[#This Row],[autor_es]],autorest[autor_es],autorest[bio_es])</f>
        <v>Conjunto de proverbios tradicionales de la cultura china que transmiten sabiduría popular, valores morales y enseñanzas prácticas transmitidas oralmente durante siglos.</v>
      </c>
      <c r="I376" t="str">
        <f>_xlfn.XLOOKUP(frasest[[#This Row],[autor_es]],autorest[autor_es],autorest[bio_la])</f>
        <v>Collectio sententiarum Sinensium, magnopere in cultura tradita.</v>
      </c>
      <c r="J376" t="str">
        <f>_xlfn.XLOOKUP(frasest[[#This Row],[autor_es]],autorest[autor_es],autorest[codigo])</f>
        <v>zh</v>
      </c>
      <c r="K376" t="str">
        <f>_xlfn.XLOOKUP(frasest[[#This Row],[autor_es]],autorest[autor_es],autorest[idioma_es])</f>
        <v>Chino</v>
      </c>
      <c r="L376" t="str">
        <f>_xlfn.XLOOKUP(frasest[[#This Row],[autor_es]],autorest[autor_es],autorest[idioma_la])</f>
        <v>Lingua Sinica</v>
      </c>
      <c r="M376" t="str">
        <f>_xlfn.XLOOKUP(frasest[[#This Row],[autor_es]],autorest[autor_es],autorest[nacion_es])</f>
        <v>China</v>
      </c>
      <c r="N376" t="str">
        <f>_xlfn.XLOOKUP(frasest[[#This Row],[autor_es]],autorest[autor_es],autorest[nacion_la])</f>
        <v>Sinae</v>
      </c>
      <c r="O376" t="str">
        <f>_xlfn.XLOOKUP(frasest[[#This Row],[autor_es]],autorest[autor_es],autorest[epoca_es])</f>
        <v>Epoca Desconocida</v>
      </c>
      <c r="P376" t="str">
        <f>_xlfn.XLOOKUP(frasest[[#This Row],[autor_es]],autorest[autor_es],autorest[epoca_la])</f>
        <v>Epocha Ignota</v>
      </c>
      <c r="Q376" t="str">
        <f>_xlfn.XLOOKUP(frasest[[#This Row],[autor_es]],autorest[autor_es],autorest[imagen])</f>
        <v>https://i.ibb.co/qLfpZm6h/china.png</v>
      </c>
      <c r="R376">
        <f>_xlfn.XLOOKUP(frasest[[#This Row],[autor_es]],autorest[autor_es],autorest[imagen_atr])</f>
        <v>0</v>
      </c>
    </row>
    <row r="377" spans="1:18">
      <c r="A377">
        <v>376</v>
      </c>
      <c r="B377" t="s">
        <v>1284</v>
      </c>
      <c r="C377" t="s">
        <v>1285</v>
      </c>
      <c r="D377" s="1" t="s">
        <v>1286</v>
      </c>
      <c r="E377" t="s">
        <v>36</v>
      </c>
      <c r="G377" t="str">
        <f>_xlfn.XLOOKUP(frasest[[#This Row],[autor_es]],autorest[autor_es],autorest[autor_la])</f>
        <v>Proverbium Sinense</v>
      </c>
      <c r="H377" t="str">
        <f>_xlfn.XLOOKUP(frasest[[#This Row],[autor_es]],autorest[autor_es],autorest[bio_es])</f>
        <v>Conjunto de proverbios tradicionales de la cultura china que transmiten sabiduría popular, valores morales y enseñanzas prácticas transmitidas oralmente durante siglos.</v>
      </c>
      <c r="I377" t="str">
        <f>_xlfn.XLOOKUP(frasest[[#This Row],[autor_es]],autorest[autor_es],autorest[bio_la])</f>
        <v>Collectio sententiarum Sinensium, magnopere in cultura tradita.</v>
      </c>
      <c r="J377" t="str">
        <f>_xlfn.XLOOKUP(frasest[[#This Row],[autor_es]],autorest[autor_es],autorest[codigo])</f>
        <v>zh</v>
      </c>
      <c r="K377" t="str">
        <f>_xlfn.XLOOKUP(frasest[[#This Row],[autor_es]],autorest[autor_es],autorest[idioma_es])</f>
        <v>Chino</v>
      </c>
      <c r="L377" t="str">
        <f>_xlfn.XLOOKUP(frasest[[#This Row],[autor_es]],autorest[autor_es],autorest[idioma_la])</f>
        <v>Lingua Sinica</v>
      </c>
      <c r="M377" t="str">
        <f>_xlfn.XLOOKUP(frasest[[#This Row],[autor_es]],autorest[autor_es],autorest[nacion_es])</f>
        <v>China</v>
      </c>
      <c r="N377" t="str">
        <f>_xlfn.XLOOKUP(frasest[[#This Row],[autor_es]],autorest[autor_es],autorest[nacion_la])</f>
        <v>Sinae</v>
      </c>
      <c r="O377" t="str">
        <f>_xlfn.XLOOKUP(frasest[[#This Row],[autor_es]],autorest[autor_es],autorest[epoca_es])</f>
        <v>Epoca Desconocida</v>
      </c>
      <c r="P377" t="str">
        <f>_xlfn.XLOOKUP(frasest[[#This Row],[autor_es]],autorest[autor_es],autorest[epoca_la])</f>
        <v>Epocha Ignota</v>
      </c>
      <c r="Q377" t="str">
        <f>_xlfn.XLOOKUP(frasest[[#This Row],[autor_es]],autorest[autor_es],autorest[imagen])</f>
        <v>https://i.ibb.co/qLfpZm6h/china.png</v>
      </c>
      <c r="R377">
        <f>_xlfn.XLOOKUP(frasest[[#This Row],[autor_es]],autorest[autor_es],autorest[imagen_atr])</f>
        <v>0</v>
      </c>
    </row>
    <row r="378" spans="1:18">
      <c r="A378">
        <v>377</v>
      </c>
      <c r="B378" t="s">
        <v>1287</v>
      </c>
      <c r="C378" t="s">
        <v>1288</v>
      </c>
      <c r="D378" s="1" t="s">
        <v>1289</v>
      </c>
      <c r="E378" t="s">
        <v>36</v>
      </c>
      <c r="G378" t="str">
        <f>_xlfn.XLOOKUP(frasest[[#This Row],[autor_es]],autorest[autor_es],autorest[autor_la])</f>
        <v>Proverbium Sinense</v>
      </c>
      <c r="H378" t="str">
        <f>_xlfn.XLOOKUP(frasest[[#This Row],[autor_es]],autorest[autor_es],autorest[bio_es])</f>
        <v>Conjunto de proverbios tradicionales de la cultura china que transmiten sabiduría popular, valores morales y enseñanzas prácticas transmitidas oralmente durante siglos.</v>
      </c>
      <c r="I378" t="str">
        <f>_xlfn.XLOOKUP(frasest[[#This Row],[autor_es]],autorest[autor_es],autorest[bio_la])</f>
        <v>Collectio sententiarum Sinensium, magnopere in cultura tradita.</v>
      </c>
      <c r="J378" t="str">
        <f>_xlfn.XLOOKUP(frasest[[#This Row],[autor_es]],autorest[autor_es],autorest[codigo])</f>
        <v>zh</v>
      </c>
      <c r="K378" t="str">
        <f>_xlfn.XLOOKUP(frasest[[#This Row],[autor_es]],autorest[autor_es],autorest[idioma_es])</f>
        <v>Chino</v>
      </c>
      <c r="L378" t="str">
        <f>_xlfn.XLOOKUP(frasest[[#This Row],[autor_es]],autorest[autor_es],autorest[idioma_la])</f>
        <v>Lingua Sinica</v>
      </c>
      <c r="M378" t="str">
        <f>_xlfn.XLOOKUP(frasest[[#This Row],[autor_es]],autorest[autor_es],autorest[nacion_es])</f>
        <v>China</v>
      </c>
      <c r="N378" t="str">
        <f>_xlfn.XLOOKUP(frasest[[#This Row],[autor_es]],autorest[autor_es],autorest[nacion_la])</f>
        <v>Sinae</v>
      </c>
      <c r="O378" t="str">
        <f>_xlfn.XLOOKUP(frasest[[#This Row],[autor_es]],autorest[autor_es],autorest[epoca_es])</f>
        <v>Epoca Desconocida</v>
      </c>
      <c r="P378" t="str">
        <f>_xlfn.XLOOKUP(frasest[[#This Row],[autor_es]],autorest[autor_es],autorest[epoca_la])</f>
        <v>Epocha Ignota</v>
      </c>
      <c r="Q378" t="str">
        <f>_xlfn.XLOOKUP(frasest[[#This Row],[autor_es]],autorest[autor_es],autorest[imagen])</f>
        <v>https://i.ibb.co/qLfpZm6h/china.png</v>
      </c>
      <c r="R378">
        <f>_xlfn.XLOOKUP(frasest[[#This Row],[autor_es]],autorest[autor_es],autorest[imagen_atr])</f>
        <v>0</v>
      </c>
    </row>
    <row r="379" spans="1:18">
      <c r="A379">
        <v>378</v>
      </c>
      <c r="B379" t="s">
        <v>1290</v>
      </c>
      <c r="C379" t="s">
        <v>1291</v>
      </c>
      <c r="D379" s="1" t="s">
        <v>1292</v>
      </c>
      <c r="E379" t="s">
        <v>36</v>
      </c>
      <c r="G379" t="str">
        <f>_xlfn.XLOOKUP(frasest[[#This Row],[autor_es]],autorest[autor_es],autorest[autor_la])</f>
        <v>Proverbium Sinense</v>
      </c>
      <c r="H379" t="str">
        <f>_xlfn.XLOOKUP(frasest[[#This Row],[autor_es]],autorest[autor_es],autorest[bio_es])</f>
        <v>Conjunto de proverbios tradicionales de la cultura china que transmiten sabiduría popular, valores morales y enseñanzas prácticas transmitidas oralmente durante siglos.</v>
      </c>
      <c r="I379" t="str">
        <f>_xlfn.XLOOKUP(frasest[[#This Row],[autor_es]],autorest[autor_es],autorest[bio_la])</f>
        <v>Collectio sententiarum Sinensium, magnopere in cultura tradita.</v>
      </c>
      <c r="J379" t="str">
        <f>_xlfn.XLOOKUP(frasest[[#This Row],[autor_es]],autorest[autor_es],autorest[codigo])</f>
        <v>zh</v>
      </c>
      <c r="K379" t="str">
        <f>_xlfn.XLOOKUP(frasest[[#This Row],[autor_es]],autorest[autor_es],autorest[idioma_es])</f>
        <v>Chino</v>
      </c>
      <c r="L379" t="str">
        <f>_xlfn.XLOOKUP(frasest[[#This Row],[autor_es]],autorest[autor_es],autorest[idioma_la])</f>
        <v>Lingua Sinica</v>
      </c>
      <c r="M379" t="str">
        <f>_xlfn.XLOOKUP(frasest[[#This Row],[autor_es]],autorest[autor_es],autorest[nacion_es])</f>
        <v>China</v>
      </c>
      <c r="N379" t="str">
        <f>_xlfn.XLOOKUP(frasest[[#This Row],[autor_es]],autorest[autor_es],autorest[nacion_la])</f>
        <v>Sinae</v>
      </c>
      <c r="O379" t="str">
        <f>_xlfn.XLOOKUP(frasest[[#This Row],[autor_es]],autorest[autor_es],autorest[epoca_es])</f>
        <v>Epoca Desconocida</v>
      </c>
      <c r="P379" t="str">
        <f>_xlfn.XLOOKUP(frasest[[#This Row],[autor_es]],autorest[autor_es],autorest[epoca_la])</f>
        <v>Epocha Ignota</v>
      </c>
      <c r="Q379" t="str">
        <f>_xlfn.XLOOKUP(frasest[[#This Row],[autor_es]],autorest[autor_es],autorest[imagen])</f>
        <v>https://i.ibb.co/qLfpZm6h/china.png</v>
      </c>
      <c r="R379">
        <f>_xlfn.XLOOKUP(frasest[[#This Row],[autor_es]],autorest[autor_es],autorest[imagen_atr])</f>
        <v>0</v>
      </c>
    </row>
    <row r="380" spans="1:18">
      <c r="A380">
        <v>379</v>
      </c>
      <c r="B380" t="s">
        <v>1293</v>
      </c>
      <c r="C380" t="s">
        <v>1294</v>
      </c>
      <c r="D380" s="1" t="s">
        <v>1295</v>
      </c>
      <c r="E380" t="s">
        <v>36</v>
      </c>
      <c r="G380" t="str">
        <f>_xlfn.XLOOKUP(frasest[[#This Row],[autor_es]],autorest[autor_es],autorest[autor_la])</f>
        <v>Proverbium Sinense</v>
      </c>
      <c r="H380" t="str">
        <f>_xlfn.XLOOKUP(frasest[[#This Row],[autor_es]],autorest[autor_es],autorest[bio_es])</f>
        <v>Conjunto de proverbios tradicionales de la cultura china que transmiten sabiduría popular, valores morales y enseñanzas prácticas transmitidas oralmente durante siglos.</v>
      </c>
      <c r="I380" t="str">
        <f>_xlfn.XLOOKUP(frasest[[#This Row],[autor_es]],autorest[autor_es],autorest[bio_la])</f>
        <v>Collectio sententiarum Sinensium, magnopere in cultura tradita.</v>
      </c>
      <c r="J380" t="str">
        <f>_xlfn.XLOOKUP(frasest[[#This Row],[autor_es]],autorest[autor_es],autorest[codigo])</f>
        <v>zh</v>
      </c>
      <c r="K380" t="str">
        <f>_xlfn.XLOOKUP(frasest[[#This Row],[autor_es]],autorest[autor_es],autorest[idioma_es])</f>
        <v>Chino</v>
      </c>
      <c r="L380" t="str">
        <f>_xlfn.XLOOKUP(frasest[[#This Row],[autor_es]],autorest[autor_es],autorest[idioma_la])</f>
        <v>Lingua Sinica</v>
      </c>
      <c r="M380" t="str">
        <f>_xlfn.XLOOKUP(frasest[[#This Row],[autor_es]],autorest[autor_es],autorest[nacion_es])</f>
        <v>China</v>
      </c>
      <c r="N380" t="str">
        <f>_xlfn.XLOOKUP(frasest[[#This Row],[autor_es]],autorest[autor_es],autorest[nacion_la])</f>
        <v>Sinae</v>
      </c>
      <c r="O380" t="str">
        <f>_xlfn.XLOOKUP(frasest[[#This Row],[autor_es]],autorest[autor_es],autorest[epoca_es])</f>
        <v>Epoca Desconocida</v>
      </c>
      <c r="P380" t="str">
        <f>_xlfn.XLOOKUP(frasest[[#This Row],[autor_es]],autorest[autor_es],autorest[epoca_la])</f>
        <v>Epocha Ignota</v>
      </c>
      <c r="Q380" t="str">
        <f>_xlfn.XLOOKUP(frasest[[#This Row],[autor_es]],autorest[autor_es],autorest[imagen])</f>
        <v>https://i.ibb.co/qLfpZm6h/china.png</v>
      </c>
      <c r="R380">
        <f>_xlfn.XLOOKUP(frasest[[#This Row],[autor_es]],autorest[autor_es],autorest[imagen_atr])</f>
        <v>0</v>
      </c>
    </row>
    <row r="381" spans="1:18">
      <c r="A381">
        <v>380</v>
      </c>
      <c r="B381" t="s">
        <v>1296</v>
      </c>
      <c r="C381" t="s">
        <v>1297</v>
      </c>
      <c r="D381" t="s">
        <v>1298</v>
      </c>
      <c r="E381" t="s">
        <v>1299</v>
      </c>
      <c r="F381" t="s">
        <v>1300</v>
      </c>
      <c r="G381" t="str">
        <f>_xlfn.XLOOKUP(frasest[[#This Row],[autor_es]],autorest[autor_es],autorest[autor_la])</f>
        <v>Sanctus Ioannes a Cruce</v>
      </c>
      <c r="H381" t="str">
        <f>_xlfn.XLOOKUP(frasest[[#This Row],[autor_es]],autorest[autor_es],autorest[bio_es])</f>
        <v>Místico y poeta español, Doctor de la Iglesia. Reformador del Carmelo junto a Santa Teresa de Jesús, autor de obras cumbre de la mística cristiana como Noche oscura del alma, Cántico espiritual y Llama de amor viva. Maestro de la vida espiritual y el amor divino.</v>
      </c>
      <c r="I381" t="str">
        <f>_xlfn.XLOOKUP(frasest[[#This Row],[autor_es]],autorest[autor_es],autorest[bio_la])</f>
        <v>Mysticus et poeta Hispanicus, Doctor Ecclesiae. Carmeli reformator cum Sancta Theresia ab Iesu, auctor operum mysticae Christianae ut Nox obscura animae, Canticum spirituale et Flamma amoris vivae. Magister vitae spiritualis et amoris divini.</v>
      </c>
      <c r="J381" t="str">
        <f>_xlfn.XLOOKUP(frasest[[#This Row],[autor_es]],autorest[autor_es],autorest[codigo])</f>
        <v>es</v>
      </c>
      <c r="K381" t="str">
        <f>_xlfn.XLOOKUP(frasest[[#This Row],[autor_es]],autorest[autor_es],autorest[idioma_es])</f>
        <v>Español</v>
      </c>
      <c r="L381" t="str">
        <f>_xlfn.XLOOKUP(frasest[[#This Row],[autor_es]],autorest[autor_es],autorest[idioma_la])</f>
        <v>Lingua Hispanica</v>
      </c>
      <c r="M381" t="str">
        <f>_xlfn.XLOOKUP(frasest[[#This Row],[autor_es]],autorest[autor_es],autorest[nacion_es])</f>
        <v>España</v>
      </c>
      <c r="N381" t="str">
        <f>_xlfn.XLOOKUP(frasest[[#This Row],[autor_es]],autorest[autor_es],autorest[nacion_la])</f>
        <v>Hispania</v>
      </c>
      <c r="O381" t="str">
        <f>_xlfn.XLOOKUP(frasest[[#This Row],[autor_es]],autorest[autor_es],autorest[epoca_es])</f>
        <v>Edad Moderna</v>
      </c>
      <c r="P381" t="str">
        <f>_xlfn.XLOOKUP(frasest[[#This Row],[autor_es]],autorest[autor_es],autorest[epoca_la])</f>
        <v>Nova Aetas</v>
      </c>
      <c r="Q381" t="str">
        <f>_xlfn.XLOOKUP(frasest[[#This Row],[autor_es]],autorest[autor_es],autorest[imagen])</f>
        <v>https://i.ibb.co/ynPqYx5K/sanjuandelacruz.png</v>
      </c>
      <c r="R381">
        <f>_xlfn.XLOOKUP(frasest[[#This Row],[autor_es]],autorest[autor_es],autorest[imagen_atr])</f>
        <v>0</v>
      </c>
    </row>
    <row r="382" spans="1:18">
      <c r="A382">
        <v>381</v>
      </c>
      <c r="B382" t="s">
        <v>1301</v>
      </c>
      <c r="C382" t="s">
        <v>1302</v>
      </c>
      <c r="D382" t="s">
        <v>1303</v>
      </c>
      <c r="E382" t="s">
        <v>1299</v>
      </c>
      <c r="F382" t="s">
        <v>1304</v>
      </c>
      <c r="G382" t="str">
        <f>_xlfn.XLOOKUP(frasest[[#This Row],[autor_es]],autorest[autor_es],autorest[autor_la])</f>
        <v>Sanctus Ioannes a Cruce</v>
      </c>
      <c r="H382" t="str">
        <f>_xlfn.XLOOKUP(frasest[[#This Row],[autor_es]],autorest[autor_es],autorest[bio_es])</f>
        <v>Místico y poeta español, Doctor de la Iglesia. Reformador del Carmelo junto a Santa Teresa de Jesús, autor de obras cumbre de la mística cristiana como Noche oscura del alma, Cántico espiritual y Llama de amor viva. Maestro de la vida espiritual y el amor divino.</v>
      </c>
      <c r="I382" t="str">
        <f>_xlfn.XLOOKUP(frasest[[#This Row],[autor_es]],autorest[autor_es],autorest[bio_la])</f>
        <v>Mysticus et poeta Hispanicus, Doctor Ecclesiae. Carmeli reformator cum Sancta Theresia ab Iesu, auctor operum mysticae Christianae ut Nox obscura animae, Canticum spirituale et Flamma amoris vivae. Magister vitae spiritualis et amoris divini.</v>
      </c>
      <c r="J382" t="str">
        <f>_xlfn.XLOOKUP(frasest[[#This Row],[autor_es]],autorest[autor_es],autorest[codigo])</f>
        <v>es</v>
      </c>
      <c r="K382" t="str">
        <f>_xlfn.XLOOKUP(frasest[[#This Row],[autor_es]],autorest[autor_es],autorest[idioma_es])</f>
        <v>Español</v>
      </c>
      <c r="L382" t="str">
        <f>_xlfn.XLOOKUP(frasest[[#This Row],[autor_es]],autorest[autor_es],autorest[idioma_la])</f>
        <v>Lingua Hispanica</v>
      </c>
      <c r="M382" t="str">
        <f>_xlfn.XLOOKUP(frasest[[#This Row],[autor_es]],autorest[autor_es],autorest[nacion_es])</f>
        <v>España</v>
      </c>
      <c r="N382" t="str">
        <f>_xlfn.XLOOKUP(frasest[[#This Row],[autor_es]],autorest[autor_es],autorest[nacion_la])</f>
        <v>Hispania</v>
      </c>
      <c r="O382" t="str">
        <f>_xlfn.XLOOKUP(frasest[[#This Row],[autor_es]],autorest[autor_es],autorest[epoca_es])</f>
        <v>Edad Moderna</v>
      </c>
      <c r="P382" t="str">
        <f>_xlfn.XLOOKUP(frasest[[#This Row],[autor_es]],autorest[autor_es],autorest[epoca_la])</f>
        <v>Nova Aetas</v>
      </c>
      <c r="Q382" t="str">
        <f>_xlfn.XLOOKUP(frasest[[#This Row],[autor_es]],autorest[autor_es],autorest[imagen])</f>
        <v>https://i.ibb.co/ynPqYx5K/sanjuandelacruz.png</v>
      </c>
      <c r="R382">
        <f>_xlfn.XLOOKUP(frasest[[#This Row],[autor_es]],autorest[autor_es],autorest[imagen_atr])</f>
        <v>0</v>
      </c>
    </row>
    <row r="383" spans="1:18">
      <c r="A383">
        <v>382</v>
      </c>
      <c r="B383" t="s">
        <v>1305</v>
      </c>
      <c r="C383" t="s">
        <v>1306</v>
      </c>
      <c r="D383" t="s">
        <v>1307</v>
      </c>
      <c r="E383" t="s">
        <v>1299</v>
      </c>
      <c r="F383" t="s">
        <v>1308</v>
      </c>
      <c r="G383" t="str">
        <f>_xlfn.XLOOKUP(frasest[[#This Row],[autor_es]],autorest[autor_es],autorest[autor_la])</f>
        <v>Sanctus Ioannes a Cruce</v>
      </c>
      <c r="H383" t="str">
        <f>_xlfn.XLOOKUP(frasest[[#This Row],[autor_es]],autorest[autor_es],autorest[bio_es])</f>
        <v>Místico y poeta español, Doctor de la Iglesia. Reformador del Carmelo junto a Santa Teresa de Jesús, autor de obras cumbre de la mística cristiana como Noche oscura del alma, Cántico espiritual y Llama de amor viva. Maestro de la vida espiritual y el amor divino.</v>
      </c>
      <c r="I383" t="str">
        <f>_xlfn.XLOOKUP(frasest[[#This Row],[autor_es]],autorest[autor_es],autorest[bio_la])</f>
        <v>Mysticus et poeta Hispanicus, Doctor Ecclesiae. Carmeli reformator cum Sancta Theresia ab Iesu, auctor operum mysticae Christianae ut Nox obscura animae, Canticum spirituale et Flamma amoris vivae. Magister vitae spiritualis et amoris divini.</v>
      </c>
      <c r="J383" t="str">
        <f>_xlfn.XLOOKUP(frasest[[#This Row],[autor_es]],autorest[autor_es],autorest[codigo])</f>
        <v>es</v>
      </c>
      <c r="K383" t="str">
        <f>_xlfn.XLOOKUP(frasest[[#This Row],[autor_es]],autorest[autor_es],autorest[idioma_es])</f>
        <v>Español</v>
      </c>
      <c r="L383" t="str">
        <f>_xlfn.XLOOKUP(frasest[[#This Row],[autor_es]],autorest[autor_es],autorest[idioma_la])</f>
        <v>Lingua Hispanica</v>
      </c>
      <c r="M383" t="str">
        <f>_xlfn.XLOOKUP(frasest[[#This Row],[autor_es]],autorest[autor_es],autorest[nacion_es])</f>
        <v>España</v>
      </c>
      <c r="N383" t="str">
        <f>_xlfn.XLOOKUP(frasest[[#This Row],[autor_es]],autorest[autor_es],autorest[nacion_la])</f>
        <v>Hispania</v>
      </c>
      <c r="O383" t="str">
        <f>_xlfn.XLOOKUP(frasest[[#This Row],[autor_es]],autorest[autor_es],autorest[epoca_es])</f>
        <v>Edad Moderna</v>
      </c>
      <c r="P383" t="str">
        <f>_xlfn.XLOOKUP(frasest[[#This Row],[autor_es]],autorest[autor_es],autorest[epoca_la])</f>
        <v>Nova Aetas</v>
      </c>
      <c r="Q383" t="str">
        <f>_xlfn.XLOOKUP(frasest[[#This Row],[autor_es]],autorest[autor_es],autorest[imagen])</f>
        <v>https://i.ibb.co/ynPqYx5K/sanjuandelacruz.png</v>
      </c>
      <c r="R383">
        <f>_xlfn.XLOOKUP(frasest[[#This Row],[autor_es]],autorest[autor_es],autorest[imagen_atr])</f>
        <v>0</v>
      </c>
    </row>
    <row r="384" spans="1:18">
      <c r="A384">
        <v>383</v>
      </c>
      <c r="B384" t="s">
        <v>1309</v>
      </c>
      <c r="C384" t="s">
        <v>1310</v>
      </c>
      <c r="D384" t="s">
        <v>1309</v>
      </c>
      <c r="E384" t="s">
        <v>1299</v>
      </c>
      <c r="F384" t="s">
        <v>1311</v>
      </c>
      <c r="G384" t="str">
        <f>_xlfn.XLOOKUP(frasest[[#This Row],[autor_es]],autorest[autor_es],autorest[autor_la])</f>
        <v>Sanctus Ioannes a Cruce</v>
      </c>
      <c r="H384" t="str">
        <f>_xlfn.XLOOKUP(frasest[[#This Row],[autor_es]],autorest[autor_es],autorest[bio_es])</f>
        <v>Místico y poeta español, Doctor de la Iglesia. Reformador del Carmelo junto a Santa Teresa de Jesús, autor de obras cumbre de la mística cristiana como Noche oscura del alma, Cántico espiritual y Llama de amor viva. Maestro de la vida espiritual y el amor divino.</v>
      </c>
      <c r="I384" t="str">
        <f>_xlfn.XLOOKUP(frasest[[#This Row],[autor_es]],autorest[autor_es],autorest[bio_la])</f>
        <v>Mysticus et poeta Hispanicus, Doctor Ecclesiae. Carmeli reformator cum Sancta Theresia ab Iesu, auctor operum mysticae Christianae ut Nox obscura animae, Canticum spirituale et Flamma amoris vivae. Magister vitae spiritualis et amoris divini.</v>
      </c>
      <c r="J384" t="str">
        <f>_xlfn.XLOOKUP(frasest[[#This Row],[autor_es]],autorest[autor_es],autorest[codigo])</f>
        <v>es</v>
      </c>
      <c r="K384" t="str">
        <f>_xlfn.XLOOKUP(frasest[[#This Row],[autor_es]],autorest[autor_es],autorest[idioma_es])</f>
        <v>Español</v>
      </c>
      <c r="L384" t="str">
        <f>_xlfn.XLOOKUP(frasest[[#This Row],[autor_es]],autorest[autor_es],autorest[idioma_la])</f>
        <v>Lingua Hispanica</v>
      </c>
      <c r="M384" t="str">
        <f>_xlfn.XLOOKUP(frasest[[#This Row],[autor_es]],autorest[autor_es],autorest[nacion_es])</f>
        <v>España</v>
      </c>
      <c r="N384" t="str">
        <f>_xlfn.XLOOKUP(frasest[[#This Row],[autor_es]],autorest[autor_es],autorest[nacion_la])</f>
        <v>Hispania</v>
      </c>
      <c r="O384" t="str">
        <f>_xlfn.XLOOKUP(frasest[[#This Row],[autor_es]],autorest[autor_es],autorest[epoca_es])</f>
        <v>Edad Moderna</v>
      </c>
      <c r="P384" t="str">
        <f>_xlfn.XLOOKUP(frasest[[#This Row],[autor_es]],autorest[autor_es],autorest[epoca_la])</f>
        <v>Nova Aetas</v>
      </c>
      <c r="Q384" t="str">
        <f>_xlfn.XLOOKUP(frasest[[#This Row],[autor_es]],autorest[autor_es],autorest[imagen])</f>
        <v>https://i.ibb.co/ynPqYx5K/sanjuandelacruz.png</v>
      </c>
      <c r="R384">
        <f>_xlfn.XLOOKUP(frasest[[#This Row],[autor_es]],autorest[autor_es],autorest[imagen_atr])</f>
        <v>0</v>
      </c>
    </row>
    <row r="385" spans="1:18">
      <c r="A385">
        <v>384</v>
      </c>
      <c r="B385" t="s">
        <v>1312</v>
      </c>
      <c r="C385" t="s">
        <v>1313</v>
      </c>
      <c r="D385" t="s">
        <v>1314</v>
      </c>
      <c r="E385" t="s">
        <v>1299</v>
      </c>
      <c r="F385" t="s">
        <v>1315</v>
      </c>
      <c r="G385" t="str">
        <f>_xlfn.XLOOKUP(frasest[[#This Row],[autor_es]],autorest[autor_es],autorest[autor_la])</f>
        <v>Sanctus Ioannes a Cruce</v>
      </c>
      <c r="H385" t="str">
        <f>_xlfn.XLOOKUP(frasest[[#This Row],[autor_es]],autorest[autor_es],autorest[bio_es])</f>
        <v>Místico y poeta español, Doctor de la Iglesia. Reformador del Carmelo junto a Santa Teresa de Jesús, autor de obras cumbre de la mística cristiana como Noche oscura del alma, Cántico espiritual y Llama de amor viva. Maestro de la vida espiritual y el amor divino.</v>
      </c>
      <c r="I385" t="str">
        <f>_xlfn.XLOOKUP(frasest[[#This Row],[autor_es]],autorest[autor_es],autorest[bio_la])</f>
        <v>Mysticus et poeta Hispanicus, Doctor Ecclesiae. Carmeli reformator cum Sancta Theresia ab Iesu, auctor operum mysticae Christianae ut Nox obscura animae, Canticum spirituale et Flamma amoris vivae. Magister vitae spiritualis et amoris divini.</v>
      </c>
      <c r="J385" t="str">
        <f>_xlfn.XLOOKUP(frasest[[#This Row],[autor_es]],autorest[autor_es],autorest[codigo])</f>
        <v>es</v>
      </c>
      <c r="K385" t="str">
        <f>_xlfn.XLOOKUP(frasest[[#This Row],[autor_es]],autorest[autor_es],autorest[idioma_es])</f>
        <v>Español</v>
      </c>
      <c r="L385" t="str">
        <f>_xlfn.XLOOKUP(frasest[[#This Row],[autor_es]],autorest[autor_es],autorest[idioma_la])</f>
        <v>Lingua Hispanica</v>
      </c>
      <c r="M385" t="str">
        <f>_xlfn.XLOOKUP(frasest[[#This Row],[autor_es]],autorest[autor_es],autorest[nacion_es])</f>
        <v>España</v>
      </c>
      <c r="N385" t="str">
        <f>_xlfn.XLOOKUP(frasest[[#This Row],[autor_es]],autorest[autor_es],autorest[nacion_la])</f>
        <v>Hispania</v>
      </c>
      <c r="O385" t="str">
        <f>_xlfn.XLOOKUP(frasest[[#This Row],[autor_es]],autorest[autor_es],autorest[epoca_es])</f>
        <v>Edad Moderna</v>
      </c>
      <c r="P385" t="str">
        <f>_xlfn.XLOOKUP(frasest[[#This Row],[autor_es]],autorest[autor_es],autorest[epoca_la])</f>
        <v>Nova Aetas</v>
      </c>
      <c r="Q385" t="str">
        <f>_xlfn.XLOOKUP(frasest[[#This Row],[autor_es]],autorest[autor_es],autorest[imagen])</f>
        <v>https://i.ibb.co/ynPqYx5K/sanjuandelacruz.png</v>
      </c>
      <c r="R385">
        <f>_xlfn.XLOOKUP(frasest[[#This Row],[autor_es]],autorest[autor_es],autorest[imagen_atr])</f>
        <v>0</v>
      </c>
    </row>
    <row r="386" spans="1:18">
      <c r="A386">
        <v>385</v>
      </c>
      <c r="B386" t="s">
        <v>1316</v>
      </c>
      <c r="C386" t="s">
        <v>1317</v>
      </c>
      <c r="D386" t="s">
        <v>1316</v>
      </c>
      <c r="E386" t="s">
        <v>1318</v>
      </c>
      <c r="F386" t="s">
        <v>1319</v>
      </c>
      <c r="G386" t="str">
        <f>_xlfn.XLOOKUP(frasest[[#This Row],[autor_es]],autorest[autor_es],autorest[autor_la])</f>
        <v>Sancta Theresia ab Iesu</v>
      </c>
      <c r="H386" t="str">
        <f>_xlfn.XLOOKUP(frasest[[#This Row],[autor_es]],autorest[autor_es],autorest[bio_es])</f>
        <v>Mística y escritora española, Doctora de la Iglesia. Fundadora de las Carmelitas Descalzas, reformadora del Carmelo. Autora de obras maestras como El Castillo Interior y Camino de Perfección. Cumbre de la mística experimental cristiana junto a San Juan de la Cruz.</v>
      </c>
      <c r="I386" t="str">
        <f>_xlfn.XLOOKUP(frasest[[#This Row],[autor_es]],autorest[autor_es],autorest[bio_la])</f>
        <v>Mystica et scriptrix Hispanica, Doctor Ecclesiae. Carmelitarum Discalceatarum fundatrix, Carmeli reformatrix. Auctor operum ut Castellum Interius et Via Perfectionis. Culmen mysticae experimentalis Christianae cum Sancto Ioanne a Cruce.</v>
      </c>
      <c r="J386" t="str">
        <f>_xlfn.XLOOKUP(frasest[[#This Row],[autor_es]],autorest[autor_es],autorest[codigo])</f>
        <v>es</v>
      </c>
      <c r="K386" t="str">
        <f>_xlfn.XLOOKUP(frasest[[#This Row],[autor_es]],autorest[autor_es],autorest[idioma_es])</f>
        <v>Español</v>
      </c>
      <c r="L386" t="str">
        <f>_xlfn.XLOOKUP(frasest[[#This Row],[autor_es]],autorest[autor_es],autorest[idioma_la])</f>
        <v>Lingua Hispanica</v>
      </c>
      <c r="M386" t="str">
        <f>_xlfn.XLOOKUP(frasest[[#This Row],[autor_es]],autorest[autor_es],autorest[nacion_es])</f>
        <v>España</v>
      </c>
      <c r="N386" t="str">
        <f>_xlfn.XLOOKUP(frasest[[#This Row],[autor_es]],autorest[autor_es],autorest[nacion_la])</f>
        <v>Hispania</v>
      </c>
      <c r="O386" t="str">
        <f>_xlfn.XLOOKUP(frasest[[#This Row],[autor_es]],autorest[autor_es],autorest[epoca_es])</f>
        <v>Edad Moderna</v>
      </c>
      <c r="P386" t="str">
        <f>_xlfn.XLOOKUP(frasest[[#This Row],[autor_es]],autorest[autor_es],autorest[epoca_la])</f>
        <v>Nova Aetas</v>
      </c>
      <c r="Q386" t="str">
        <f>_xlfn.XLOOKUP(frasest[[#This Row],[autor_es]],autorest[autor_es],autorest[imagen])</f>
        <v>https://i.ibb.co/nqTZx8JJ/santateresadejesus.png</v>
      </c>
      <c r="R386">
        <f>_xlfn.XLOOKUP(frasest[[#This Row],[autor_es]],autorest[autor_es],autorest[imagen_atr])</f>
        <v>0</v>
      </c>
    </row>
    <row r="387" spans="1:18">
      <c r="A387">
        <v>386</v>
      </c>
      <c r="B387" t="s">
        <v>1320</v>
      </c>
      <c r="C387" t="s">
        <v>1321</v>
      </c>
      <c r="D387" t="s">
        <v>1320</v>
      </c>
      <c r="E387" t="s">
        <v>1318</v>
      </c>
      <c r="F387" t="s">
        <v>1322</v>
      </c>
      <c r="G387" t="str">
        <f>_xlfn.XLOOKUP(frasest[[#This Row],[autor_es]],autorest[autor_es],autorest[autor_la])</f>
        <v>Sancta Theresia ab Iesu</v>
      </c>
      <c r="H387" t="str">
        <f>_xlfn.XLOOKUP(frasest[[#This Row],[autor_es]],autorest[autor_es],autorest[bio_es])</f>
        <v>Mística y escritora española, Doctora de la Iglesia. Fundadora de las Carmelitas Descalzas, reformadora del Carmelo. Autora de obras maestras como El Castillo Interior y Camino de Perfección. Cumbre de la mística experimental cristiana junto a San Juan de la Cruz.</v>
      </c>
      <c r="I387" t="str">
        <f>_xlfn.XLOOKUP(frasest[[#This Row],[autor_es]],autorest[autor_es],autorest[bio_la])</f>
        <v>Mystica et scriptrix Hispanica, Doctor Ecclesiae. Carmelitarum Discalceatarum fundatrix, Carmeli reformatrix. Auctor operum ut Castellum Interius et Via Perfectionis. Culmen mysticae experimentalis Christianae cum Sancto Ioanne a Cruce.</v>
      </c>
      <c r="J387" t="str">
        <f>_xlfn.XLOOKUP(frasest[[#This Row],[autor_es]],autorest[autor_es],autorest[codigo])</f>
        <v>es</v>
      </c>
      <c r="K387" t="str">
        <f>_xlfn.XLOOKUP(frasest[[#This Row],[autor_es]],autorest[autor_es],autorest[idioma_es])</f>
        <v>Español</v>
      </c>
      <c r="L387" t="str">
        <f>_xlfn.XLOOKUP(frasest[[#This Row],[autor_es]],autorest[autor_es],autorest[idioma_la])</f>
        <v>Lingua Hispanica</v>
      </c>
      <c r="M387" t="str">
        <f>_xlfn.XLOOKUP(frasest[[#This Row],[autor_es]],autorest[autor_es],autorest[nacion_es])</f>
        <v>España</v>
      </c>
      <c r="N387" t="str">
        <f>_xlfn.XLOOKUP(frasest[[#This Row],[autor_es]],autorest[autor_es],autorest[nacion_la])</f>
        <v>Hispania</v>
      </c>
      <c r="O387" t="str">
        <f>_xlfn.XLOOKUP(frasest[[#This Row],[autor_es]],autorest[autor_es],autorest[epoca_es])</f>
        <v>Edad Moderna</v>
      </c>
      <c r="P387" t="str">
        <f>_xlfn.XLOOKUP(frasest[[#This Row],[autor_es]],autorest[autor_es],autorest[epoca_la])</f>
        <v>Nova Aetas</v>
      </c>
      <c r="Q387" t="str">
        <f>_xlfn.XLOOKUP(frasest[[#This Row],[autor_es]],autorest[autor_es],autorest[imagen])</f>
        <v>https://i.ibb.co/nqTZx8JJ/santateresadejesus.png</v>
      </c>
      <c r="R387">
        <f>_xlfn.XLOOKUP(frasest[[#This Row],[autor_es]],autorest[autor_es],autorest[imagen_atr])</f>
        <v>0</v>
      </c>
    </row>
    <row r="388" spans="1:18">
      <c r="A388">
        <v>387</v>
      </c>
      <c r="B388" t="s">
        <v>1323</v>
      </c>
      <c r="C388" t="s">
        <v>1324</v>
      </c>
      <c r="D388" t="s">
        <v>1323</v>
      </c>
      <c r="E388" t="s">
        <v>1318</v>
      </c>
      <c r="F388" t="s">
        <v>1325</v>
      </c>
      <c r="G388" t="str">
        <f>_xlfn.XLOOKUP(frasest[[#This Row],[autor_es]],autorest[autor_es],autorest[autor_la])</f>
        <v>Sancta Theresia ab Iesu</v>
      </c>
      <c r="H388" t="str">
        <f>_xlfn.XLOOKUP(frasest[[#This Row],[autor_es]],autorest[autor_es],autorest[bio_es])</f>
        <v>Mística y escritora española, Doctora de la Iglesia. Fundadora de las Carmelitas Descalzas, reformadora del Carmelo. Autora de obras maestras como El Castillo Interior y Camino de Perfección. Cumbre de la mística experimental cristiana junto a San Juan de la Cruz.</v>
      </c>
      <c r="I388" t="str">
        <f>_xlfn.XLOOKUP(frasest[[#This Row],[autor_es]],autorest[autor_es],autorest[bio_la])</f>
        <v>Mystica et scriptrix Hispanica, Doctor Ecclesiae. Carmelitarum Discalceatarum fundatrix, Carmeli reformatrix. Auctor operum ut Castellum Interius et Via Perfectionis. Culmen mysticae experimentalis Christianae cum Sancto Ioanne a Cruce.</v>
      </c>
      <c r="J388" t="str">
        <f>_xlfn.XLOOKUP(frasest[[#This Row],[autor_es]],autorest[autor_es],autorest[codigo])</f>
        <v>es</v>
      </c>
      <c r="K388" t="str">
        <f>_xlfn.XLOOKUP(frasest[[#This Row],[autor_es]],autorest[autor_es],autorest[idioma_es])</f>
        <v>Español</v>
      </c>
      <c r="L388" t="str">
        <f>_xlfn.XLOOKUP(frasest[[#This Row],[autor_es]],autorest[autor_es],autorest[idioma_la])</f>
        <v>Lingua Hispanica</v>
      </c>
      <c r="M388" t="str">
        <f>_xlfn.XLOOKUP(frasest[[#This Row],[autor_es]],autorest[autor_es],autorest[nacion_es])</f>
        <v>España</v>
      </c>
      <c r="N388" t="str">
        <f>_xlfn.XLOOKUP(frasest[[#This Row],[autor_es]],autorest[autor_es],autorest[nacion_la])</f>
        <v>Hispania</v>
      </c>
      <c r="O388" t="str">
        <f>_xlfn.XLOOKUP(frasest[[#This Row],[autor_es]],autorest[autor_es],autorest[epoca_es])</f>
        <v>Edad Moderna</v>
      </c>
      <c r="P388" t="str">
        <f>_xlfn.XLOOKUP(frasest[[#This Row],[autor_es]],autorest[autor_es],autorest[epoca_la])</f>
        <v>Nova Aetas</v>
      </c>
      <c r="Q388" t="str">
        <f>_xlfn.XLOOKUP(frasest[[#This Row],[autor_es]],autorest[autor_es],autorest[imagen])</f>
        <v>https://i.ibb.co/nqTZx8JJ/santateresadejesus.png</v>
      </c>
      <c r="R388">
        <f>_xlfn.XLOOKUP(frasest[[#This Row],[autor_es]],autorest[autor_es],autorest[imagen_atr])</f>
        <v>0</v>
      </c>
    </row>
    <row r="389" spans="1:18">
      <c r="A389">
        <v>388</v>
      </c>
      <c r="B389" t="s">
        <v>1326</v>
      </c>
      <c r="C389" t="s">
        <v>1327</v>
      </c>
      <c r="D389" t="s">
        <v>1328</v>
      </c>
      <c r="E389" t="s">
        <v>1318</v>
      </c>
      <c r="F389" t="s">
        <v>1329</v>
      </c>
      <c r="G389" t="str">
        <f>_xlfn.XLOOKUP(frasest[[#This Row],[autor_es]],autorest[autor_es],autorest[autor_la])</f>
        <v>Sancta Theresia ab Iesu</v>
      </c>
      <c r="H389" t="str">
        <f>_xlfn.XLOOKUP(frasest[[#This Row],[autor_es]],autorest[autor_es],autorest[bio_es])</f>
        <v>Mística y escritora española, Doctora de la Iglesia. Fundadora de las Carmelitas Descalzas, reformadora del Carmelo. Autora de obras maestras como El Castillo Interior y Camino de Perfección. Cumbre de la mística experimental cristiana junto a San Juan de la Cruz.</v>
      </c>
      <c r="I389" t="str">
        <f>_xlfn.XLOOKUP(frasest[[#This Row],[autor_es]],autorest[autor_es],autorest[bio_la])</f>
        <v>Mystica et scriptrix Hispanica, Doctor Ecclesiae. Carmelitarum Discalceatarum fundatrix, Carmeli reformatrix. Auctor operum ut Castellum Interius et Via Perfectionis. Culmen mysticae experimentalis Christianae cum Sancto Ioanne a Cruce.</v>
      </c>
      <c r="J389" t="str">
        <f>_xlfn.XLOOKUP(frasest[[#This Row],[autor_es]],autorest[autor_es],autorest[codigo])</f>
        <v>es</v>
      </c>
      <c r="K389" t="str">
        <f>_xlfn.XLOOKUP(frasest[[#This Row],[autor_es]],autorest[autor_es],autorest[idioma_es])</f>
        <v>Español</v>
      </c>
      <c r="L389" t="str">
        <f>_xlfn.XLOOKUP(frasest[[#This Row],[autor_es]],autorest[autor_es],autorest[idioma_la])</f>
        <v>Lingua Hispanica</v>
      </c>
      <c r="M389" t="str">
        <f>_xlfn.XLOOKUP(frasest[[#This Row],[autor_es]],autorest[autor_es],autorest[nacion_es])</f>
        <v>España</v>
      </c>
      <c r="N389" t="str">
        <f>_xlfn.XLOOKUP(frasest[[#This Row],[autor_es]],autorest[autor_es],autorest[nacion_la])</f>
        <v>Hispania</v>
      </c>
      <c r="O389" t="str">
        <f>_xlfn.XLOOKUP(frasest[[#This Row],[autor_es]],autorest[autor_es],autorest[epoca_es])</f>
        <v>Edad Moderna</v>
      </c>
      <c r="P389" t="str">
        <f>_xlfn.XLOOKUP(frasest[[#This Row],[autor_es]],autorest[autor_es],autorest[epoca_la])</f>
        <v>Nova Aetas</v>
      </c>
      <c r="Q389" t="str">
        <f>_xlfn.XLOOKUP(frasest[[#This Row],[autor_es]],autorest[autor_es],autorest[imagen])</f>
        <v>https://i.ibb.co/nqTZx8JJ/santateresadejesus.png</v>
      </c>
      <c r="R389">
        <f>_xlfn.XLOOKUP(frasest[[#This Row],[autor_es]],autorest[autor_es],autorest[imagen_atr])</f>
        <v>0</v>
      </c>
    </row>
    <row r="390" spans="1:18">
      <c r="A390">
        <v>389</v>
      </c>
      <c r="B390" t="s">
        <v>1330</v>
      </c>
      <c r="C390" t="s">
        <v>1331</v>
      </c>
      <c r="D390" t="s">
        <v>1330</v>
      </c>
      <c r="E390" t="s">
        <v>1318</v>
      </c>
      <c r="F390" t="s">
        <v>1325</v>
      </c>
      <c r="G390" t="str">
        <f>_xlfn.XLOOKUP(frasest[[#This Row],[autor_es]],autorest[autor_es],autorest[autor_la])</f>
        <v>Sancta Theresia ab Iesu</v>
      </c>
      <c r="H390" t="str">
        <f>_xlfn.XLOOKUP(frasest[[#This Row],[autor_es]],autorest[autor_es],autorest[bio_es])</f>
        <v>Mística y escritora española, Doctora de la Iglesia. Fundadora de las Carmelitas Descalzas, reformadora del Carmelo. Autora de obras maestras como El Castillo Interior y Camino de Perfección. Cumbre de la mística experimental cristiana junto a San Juan de la Cruz.</v>
      </c>
      <c r="I390" t="str">
        <f>_xlfn.XLOOKUP(frasest[[#This Row],[autor_es]],autorest[autor_es],autorest[bio_la])</f>
        <v>Mystica et scriptrix Hispanica, Doctor Ecclesiae. Carmelitarum Discalceatarum fundatrix, Carmeli reformatrix. Auctor operum ut Castellum Interius et Via Perfectionis. Culmen mysticae experimentalis Christianae cum Sancto Ioanne a Cruce.</v>
      </c>
      <c r="J390" t="str">
        <f>_xlfn.XLOOKUP(frasest[[#This Row],[autor_es]],autorest[autor_es],autorest[codigo])</f>
        <v>es</v>
      </c>
      <c r="K390" t="str">
        <f>_xlfn.XLOOKUP(frasest[[#This Row],[autor_es]],autorest[autor_es],autorest[idioma_es])</f>
        <v>Español</v>
      </c>
      <c r="L390" t="str">
        <f>_xlfn.XLOOKUP(frasest[[#This Row],[autor_es]],autorest[autor_es],autorest[idioma_la])</f>
        <v>Lingua Hispanica</v>
      </c>
      <c r="M390" t="str">
        <f>_xlfn.XLOOKUP(frasest[[#This Row],[autor_es]],autorest[autor_es],autorest[nacion_es])</f>
        <v>España</v>
      </c>
      <c r="N390" t="str">
        <f>_xlfn.XLOOKUP(frasest[[#This Row],[autor_es]],autorest[autor_es],autorest[nacion_la])</f>
        <v>Hispania</v>
      </c>
      <c r="O390" t="str">
        <f>_xlfn.XLOOKUP(frasest[[#This Row],[autor_es]],autorest[autor_es],autorest[epoca_es])</f>
        <v>Edad Moderna</v>
      </c>
      <c r="P390" t="str">
        <f>_xlfn.XLOOKUP(frasest[[#This Row],[autor_es]],autorest[autor_es],autorest[epoca_la])</f>
        <v>Nova Aetas</v>
      </c>
      <c r="Q390" t="str">
        <f>_xlfn.XLOOKUP(frasest[[#This Row],[autor_es]],autorest[autor_es],autorest[imagen])</f>
        <v>https://i.ibb.co/nqTZx8JJ/santateresadejesus.png</v>
      </c>
      <c r="R390">
        <f>_xlfn.XLOOKUP(frasest[[#This Row],[autor_es]],autorest[autor_es],autorest[imagen_atr])</f>
        <v>0</v>
      </c>
    </row>
    <row r="391" spans="1:18">
      <c r="A391">
        <v>390</v>
      </c>
      <c r="B391" t="s">
        <v>1332</v>
      </c>
      <c r="C391" t="s">
        <v>1333</v>
      </c>
      <c r="D391" t="s">
        <v>1332</v>
      </c>
      <c r="E391" t="s">
        <v>1318</v>
      </c>
      <c r="F391" t="s">
        <v>1322</v>
      </c>
      <c r="G391" t="str">
        <f>_xlfn.XLOOKUP(frasest[[#This Row],[autor_es]],autorest[autor_es],autorest[autor_la])</f>
        <v>Sancta Theresia ab Iesu</v>
      </c>
      <c r="H391" t="str">
        <f>_xlfn.XLOOKUP(frasest[[#This Row],[autor_es]],autorest[autor_es],autorest[bio_es])</f>
        <v>Mística y escritora española, Doctora de la Iglesia. Fundadora de las Carmelitas Descalzas, reformadora del Carmelo. Autora de obras maestras como El Castillo Interior y Camino de Perfección. Cumbre de la mística experimental cristiana junto a San Juan de la Cruz.</v>
      </c>
      <c r="I391" t="str">
        <f>_xlfn.XLOOKUP(frasest[[#This Row],[autor_es]],autorest[autor_es],autorest[bio_la])</f>
        <v>Mystica et scriptrix Hispanica, Doctor Ecclesiae. Carmelitarum Discalceatarum fundatrix, Carmeli reformatrix. Auctor operum ut Castellum Interius et Via Perfectionis. Culmen mysticae experimentalis Christianae cum Sancto Ioanne a Cruce.</v>
      </c>
      <c r="J391" t="str">
        <f>_xlfn.XLOOKUP(frasest[[#This Row],[autor_es]],autorest[autor_es],autorest[codigo])</f>
        <v>es</v>
      </c>
      <c r="K391" t="str">
        <f>_xlfn.XLOOKUP(frasest[[#This Row],[autor_es]],autorest[autor_es],autorest[idioma_es])</f>
        <v>Español</v>
      </c>
      <c r="L391" t="str">
        <f>_xlfn.XLOOKUP(frasest[[#This Row],[autor_es]],autorest[autor_es],autorest[idioma_la])</f>
        <v>Lingua Hispanica</v>
      </c>
      <c r="M391" t="str">
        <f>_xlfn.XLOOKUP(frasest[[#This Row],[autor_es]],autorest[autor_es],autorest[nacion_es])</f>
        <v>España</v>
      </c>
      <c r="N391" t="str">
        <f>_xlfn.XLOOKUP(frasest[[#This Row],[autor_es]],autorest[autor_es],autorest[nacion_la])</f>
        <v>Hispania</v>
      </c>
      <c r="O391" t="str">
        <f>_xlfn.XLOOKUP(frasest[[#This Row],[autor_es]],autorest[autor_es],autorest[epoca_es])</f>
        <v>Edad Moderna</v>
      </c>
      <c r="P391" t="str">
        <f>_xlfn.XLOOKUP(frasest[[#This Row],[autor_es]],autorest[autor_es],autorest[epoca_la])</f>
        <v>Nova Aetas</v>
      </c>
      <c r="Q391" t="str">
        <f>_xlfn.XLOOKUP(frasest[[#This Row],[autor_es]],autorest[autor_es],autorest[imagen])</f>
        <v>https://i.ibb.co/nqTZx8JJ/santateresadejesus.png</v>
      </c>
      <c r="R391">
        <f>_xlfn.XLOOKUP(frasest[[#This Row],[autor_es]],autorest[autor_es],autorest[imagen_atr])</f>
        <v>0</v>
      </c>
    </row>
    <row r="392" spans="1:18">
      <c r="A392">
        <v>391</v>
      </c>
      <c r="B392" t="s">
        <v>1334</v>
      </c>
      <c r="C392" t="s">
        <v>1335</v>
      </c>
      <c r="D392" t="s">
        <v>1336</v>
      </c>
      <c r="E392" t="s">
        <v>1337</v>
      </c>
      <c r="F392" t="s">
        <v>1338</v>
      </c>
      <c r="G392" t="str">
        <f>_xlfn.XLOOKUP(frasest[[#This Row],[autor_es]],autorest[autor_es],autorest[autor_la])</f>
        <v>Sanctus Ioannes Bosco</v>
      </c>
      <c r="H392" t="str">
        <f>_xlfn.XLOOKUP(frasest[[#This Row],[autor_es]],autorest[autor_es],autorest[bio_es])</f>
        <v>Sacerdote italiano fundador de la Congregación Salesiana y de las Hijas de María Auxiliadora. Padre y maestro de la juventud, dedicó su vida a la educación y formación de los jóvenes pobres. Su pedagogía se basaba en la alegría, la piedad y el estudio.</v>
      </c>
      <c r="I392" t="str">
        <f>_xlfn.XLOOKUP(frasest[[#This Row],[autor_es]],autorest[autor_es],autorest[bio_la])</f>
        <v>Sacerdos Italicus Congregationis Salesianae et Filiarum Mariae Auxiliatricis fundator. Pater et magister iuventutis, vitam suam educationi et formationi iuvenum pauperum dedicavit. Paedagogia eius in laetitia, pietate et studio fundata erat.</v>
      </c>
      <c r="J392" t="str">
        <f>_xlfn.XLOOKUP(frasest[[#This Row],[autor_es]],autorest[autor_es],autorest[codigo])</f>
        <v>it</v>
      </c>
      <c r="K392" t="str">
        <f>_xlfn.XLOOKUP(frasest[[#This Row],[autor_es]],autorest[autor_es],autorest[idioma_es])</f>
        <v>Italiano</v>
      </c>
      <c r="L392" t="str">
        <f>_xlfn.XLOOKUP(frasest[[#This Row],[autor_es]],autorest[autor_es],autorest[idioma_la])</f>
        <v>Lingua Italica</v>
      </c>
      <c r="M392" t="str">
        <f>_xlfn.XLOOKUP(frasest[[#This Row],[autor_es]],autorest[autor_es],autorest[nacion_es])</f>
        <v>Italia</v>
      </c>
      <c r="N392" t="str">
        <f>_xlfn.XLOOKUP(frasest[[#This Row],[autor_es]],autorest[autor_es],autorest[nacion_la])</f>
        <v>Italia</v>
      </c>
      <c r="O392" t="str">
        <f>_xlfn.XLOOKUP(frasest[[#This Row],[autor_es]],autorest[autor_es],autorest[epoca_es])</f>
        <v>Edad Contemporánea</v>
      </c>
      <c r="P392" t="str">
        <f>_xlfn.XLOOKUP(frasest[[#This Row],[autor_es]],autorest[autor_es],autorest[epoca_la])</f>
        <v>Aetas Contemporanea</v>
      </c>
      <c r="Q392" t="str">
        <f>_xlfn.XLOOKUP(frasest[[#This Row],[autor_es]],autorest[autor_es],autorest[imagen])</f>
        <v>https://i.ibb.co/hRrvF9Vk/sanjuanbosco.png</v>
      </c>
      <c r="R392">
        <f>_xlfn.XLOOKUP(frasest[[#This Row],[autor_es]],autorest[autor_es],autorest[imagen_atr])</f>
        <v>0</v>
      </c>
    </row>
    <row r="393" spans="1:18">
      <c r="A393">
        <v>392</v>
      </c>
      <c r="B393" t="s">
        <v>1339</v>
      </c>
      <c r="C393" t="s">
        <v>1340</v>
      </c>
      <c r="D393" t="s">
        <v>1341</v>
      </c>
      <c r="E393" t="s">
        <v>1337</v>
      </c>
      <c r="F393" t="s">
        <v>1342</v>
      </c>
      <c r="G393" t="str">
        <f>_xlfn.XLOOKUP(frasest[[#This Row],[autor_es]],autorest[autor_es],autorest[autor_la])</f>
        <v>Sanctus Ioannes Bosco</v>
      </c>
      <c r="H393" t="str">
        <f>_xlfn.XLOOKUP(frasest[[#This Row],[autor_es]],autorest[autor_es],autorest[bio_es])</f>
        <v>Sacerdote italiano fundador de la Congregación Salesiana y de las Hijas de María Auxiliadora. Padre y maestro de la juventud, dedicó su vida a la educación y formación de los jóvenes pobres. Su pedagogía se basaba en la alegría, la piedad y el estudio.</v>
      </c>
      <c r="I393" t="str">
        <f>_xlfn.XLOOKUP(frasest[[#This Row],[autor_es]],autorest[autor_es],autorest[bio_la])</f>
        <v>Sacerdos Italicus Congregationis Salesianae et Filiarum Mariae Auxiliatricis fundator. Pater et magister iuventutis, vitam suam educationi et formationi iuvenum pauperum dedicavit. Paedagogia eius in laetitia, pietate et studio fundata erat.</v>
      </c>
      <c r="J393" t="str">
        <f>_xlfn.XLOOKUP(frasest[[#This Row],[autor_es]],autorest[autor_es],autorest[codigo])</f>
        <v>it</v>
      </c>
      <c r="K393" t="str">
        <f>_xlfn.XLOOKUP(frasest[[#This Row],[autor_es]],autorest[autor_es],autorest[idioma_es])</f>
        <v>Italiano</v>
      </c>
      <c r="L393" t="str">
        <f>_xlfn.XLOOKUP(frasest[[#This Row],[autor_es]],autorest[autor_es],autorest[idioma_la])</f>
        <v>Lingua Italica</v>
      </c>
      <c r="M393" t="str">
        <f>_xlfn.XLOOKUP(frasest[[#This Row],[autor_es]],autorest[autor_es],autorest[nacion_es])</f>
        <v>Italia</v>
      </c>
      <c r="N393" t="str">
        <f>_xlfn.XLOOKUP(frasest[[#This Row],[autor_es]],autorest[autor_es],autorest[nacion_la])</f>
        <v>Italia</v>
      </c>
      <c r="O393" t="str">
        <f>_xlfn.XLOOKUP(frasest[[#This Row],[autor_es]],autorest[autor_es],autorest[epoca_es])</f>
        <v>Edad Contemporánea</v>
      </c>
      <c r="P393" t="str">
        <f>_xlfn.XLOOKUP(frasest[[#This Row],[autor_es]],autorest[autor_es],autorest[epoca_la])</f>
        <v>Aetas Contemporanea</v>
      </c>
      <c r="Q393" t="str">
        <f>_xlfn.XLOOKUP(frasest[[#This Row],[autor_es]],autorest[autor_es],autorest[imagen])</f>
        <v>https://i.ibb.co/hRrvF9Vk/sanjuanbosco.png</v>
      </c>
      <c r="R393">
        <f>_xlfn.XLOOKUP(frasest[[#This Row],[autor_es]],autorest[autor_es],autorest[imagen_atr])</f>
        <v>0</v>
      </c>
    </row>
    <row r="394" spans="1:18">
      <c r="A394">
        <v>393</v>
      </c>
      <c r="B394" t="s">
        <v>1343</v>
      </c>
      <c r="C394" t="s">
        <v>1344</v>
      </c>
      <c r="D394" t="s">
        <v>1345</v>
      </c>
      <c r="E394" t="s">
        <v>1337</v>
      </c>
      <c r="F394" t="s">
        <v>1346</v>
      </c>
      <c r="G394" t="str">
        <f>_xlfn.XLOOKUP(frasest[[#This Row],[autor_es]],autorest[autor_es],autorest[autor_la])</f>
        <v>Sanctus Ioannes Bosco</v>
      </c>
      <c r="H394" t="str">
        <f>_xlfn.XLOOKUP(frasest[[#This Row],[autor_es]],autorest[autor_es],autorest[bio_es])</f>
        <v>Sacerdote italiano fundador de la Congregación Salesiana y de las Hijas de María Auxiliadora. Padre y maestro de la juventud, dedicó su vida a la educación y formación de los jóvenes pobres. Su pedagogía se basaba en la alegría, la piedad y el estudio.</v>
      </c>
      <c r="I394" t="str">
        <f>_xlfn.XLOOKUP(frasest[[#This Row],[autor_es]],autorest[autor_es],autorest[bio_la])</f>
        <v>Sacerdos Italicus Congregationis Salesianae et Filiarum Mariae Auxiliatricis fundator. Pater et magister iuventutis, vitam suam educationi et formationi iuvenum pauperum dedicavit. Paedagogia eius in laetitia, pietate et studio fundata erat.</v>
      </c>
      <c r="J394" t="str">
        <f>_xlfn.XLOOKUP(frasest[[#This Row],[autor_es]],autorest[autor_es],autorest[codigo])</f>
        <v>it</v>
      </c>
      <c r="K394" t="str">
        <f>_xlfn.XLOOKUP(frasest[[#This Row],[autor_es]],autorest[autor_es],autorest[idioma_es])</f>
        <v>Italiano</v>
      </c>
      <c r="L394" t="str">
        <f>_xlfn.XLOOKUP(frasest[[#This Row],[autor_es]],autorest[autor_es],autorest[idioma_la])</f>
        <v>Lingua Italica</v>
      </c>
      <c r="M394" t="str">
        <f>_xlfn.XLOOKUP(frasest[[#This Row],[autor_es]],autorest[autor_es],autorest[nacion_es])</f>
        <v>Italia</v>
      </c>
      <c r="N394" t="str">
        <f>_xlfn.XLOOKUP(frasest[[#This Row],[autor_es]],autorest[autor_es],autorest[nacion_la])</f>
        <v>Italia</v>
      </c>
      <c r="O394" t="str">
        <f>_xlfn.XLOOKUP(frasest[[#This Row],[autor_es]],autorest[autor_es],autorest[epoca_es])</f>
        <v>Edad Contemporánea</v>
      </c>
      <c r="P394" t="str">
        <f>_xlfn.XLOOKUP(frasest[[#This Row],[autor_es]],autorest[autor_es],autorest[epoca_la])</f>
        <v>Aetas Contemporanea</v>
      </c>
      <c r="Q394" t="str">
        <f>_xlfn.XLOOKUP(frasest[[#This Row],[autor_es]],autorest[autor_es],autorest[imagen])</f>
        <v>https://i.ibb.co/hRrvF9Vk/sanjuanbosco.png</v>
      </c>
      <c r="R394">
        <f>_xlfn.XLOOKUP(frasest[[#This Row],[autor_es]],autorest[autor_es],autorest[imagen_atr])</f>
        <v>0</v>
      </c>
    </row>
    <row r="395" spans="1:18">
      <c r="A395">
        <v>394</v>
      </c>
      <c r="B395" t="s">
        <v>1347</v>
      </c>
      <c r="C395" t="s">
        <v>1348</v>
      </c>
      <c r="D395" t="s">
        <v>1349</v>
      </c>
      <c r="E395" t="s">
        <v>1337</v>
      </c>
      <c r="F395" t="s">
        <v>1350</v>
      </c>
      <c r="G395" t="str">
        <f>_xlfn.XLOOKUP(frasest[[#This Row],[autor_es]],autorest[autor_es],autorest[autor_la])</f>
        <v>Sanctus Ioannes Bosco</v>
      </c>
      <c r="H395" t="str">
        <f>_xlfn.XLOOKUP(frasest[[#This Row],[autor_es]],autorest[autor_es],autorest[bio_es])</f>
        <v>Sacerdote italiano fundador de la Congregación Salesiana y de las Hijas de María Auxiliadora. Padre y maestro de la juventud, dedicó su vida a la educación y formación de los jóvenes pobres. Su pedagogía se basaba en la alegría, la piedad y el estudio.</v>
      </c>
      <c r="I395" t="str">
        <f>_xlfn.XLOOKUP(frasest[[#This Row],[autor_es]],autorest[autor_es],autorest[bio_la])</f>
        <v>Sacerdos Italicus Congregationis Salesianae et Filiarum Mariae Auxiliatricis fundator. Pater et magister iuventutis, vitam suam educationi et formationi iuvenum pauperum dedicavit. Paedagogia eius in laetitia, pietate et studio fundata erat.</v>
      </c>
      <c r="J395" t="str">
        <f>_xlfn.XLOOKUP(frasest[[#This Row],[autor_es]],autorest[autor_es],autorest[codigo])</f>
        <v>it</v>
      </c>
      <c r="K395" t="str">
        <f>_xlfn.XLOOKUP(frasest[[#This Row],[autor_es]],autorest[autor_es],autorest[idioma_es])</f>
        <v>Italiano</v>
      </c>
      <c r="L395" t="str">
        <f>_xlfn.XLOOKUP(frasest[[#This Row],[autor_es]],autorest[autor_es],autorest[idioma_la])</f>
        <v>Lingua Italica</v>
      </c>
      <c r="M395" t="str">
        <f>_xlfn.XLOOKUP(frasest[[#This Row],[autor_es]],autorest[autor_es],autorest[nacion_es])</f>
        <v>Italia</v>
      </c>
      <c r="N395" t="str">
        <f>_xlfn.XLOOKUP(frasest[[#This Row],[autor_es]],autorest[autor_es],autorest[nacion_la])</f>
        <v>Italia</v>
      </c>
      <c r="O395" t="str">
        <f>_xlfn.XLOOKUP(frasest[[#This Row],[autor_es]],autorest[autor_es],autorest[epoca_es])</f>
        <v>Edad Contemporánea</v>
      </c>
      <c r="P395" t="str">
        <f>_xlfn.XLOOKUP(frasest[[#This Row],[autor_es]],autorest[autor_es],autorest[epoca_la])</f>
        <v>Aetas Contemporanea</v>
      </c>
      <c r="Q395" t="str">
        <f>_xlfn.XLOOKUP(frasest[[#This Row],[autor_es]],autorest[autor_es],autorest[imagen])</f>
        <v>https://i.ibb.co/hRrvF9Vk/sanjuanbosco.png</v>
      </c>
      <c r="R395">
        <f>_xlfn.XLOOKUP(frasest[[#This Row],[autor_es]],autorest[autor_es],autorest[imagen_atr])</f>
        <v>0</v>
      </c>
    </row>
    <row r="396" spans="1:18">
      <c r="A396">
        <v>395</v>
      </c>
      <c r="B396" t="s">
        <v>1351</v>
      </c>
      <c r="C396" t="s">
        <v>1352</v>
      </c>
      <c r="D396" t="s">
        <v>1353</v>
      </c>
      <c r="E396" t="s">
        <v>1337</v>
      </c>
      <c r="F396" t="s">
        <v>1354</v>
      </c>
      <c r="G396" t="str">
        <f>_xlfn.XLOOKUP(frasest[[#This Row],[autor_es]],autorest[autor_es],autorest[autor_la])</f>
        <v>Sanctus Ioannes Bosco</v>
      </c>
      <c r="H396" t="str">
        <f>_xlfn.XLOOKUP(frasest[[#This Row],[autor_es]],autorest[autor_es],autorest[bio_es])</f>
        <v>Sacerdote italiano fundador de la Congregación Salesiana y de las Hijas de María Auxiliadora. Padre y maestro de la juventud, dedicó su vida a la educación y formación de los jóvenes pobres. Su pedagogía se basaba en la alegría, la piedad y el estudio.</v>
      </c>
      <c r="I396" t="str">
        <f>_xlfn.XLOOKUP(frasest[[#This Row],[autor_es]],autorest[autor_es],autorest[bio_la])</f>
        <v>Sacerdos Italicus Congregationis Salesianae et Filiarum Mariae Auxiliatricis fundator. Pater et magister iuventutis, vitam suam educationi et formationi iuvenum pauperum dedicavit. Paedagogia eius in laetitia, pietate et studio fundata erat.</v>
      </c>
      <c r="J396" t="str">
        <f>_xlfn.XLOOKUP(frasest[[#This Row],[autor_es]],autorest[autor_es],autorest[codigo])</f>
        <v>it</v>
      </c>
      <c r="K396" t="str">
        <f>_xlfn.XLOOKUP(frasest[[#This Row],[autor_es]],autorest[autor_es],autorest[idioma_es])</f>
        <v>Italiano</v>
      </c>
      <c r="L396" t="str">
        <f>_xlfn.XLOOKUP(frasest[[#This Row],[autor_es]],autorest[autor_es],autorest[idioma_la])</f>
        <v>Lingua Italica</v>
      </c>
      <c r="M396" t="str">
        <f>_xlfn.XLOOKUP(frasest[[#This Row],[autor_es]],autorest[autor_es],autorest[nacion_es])</f>
        <v>Italia</v>
      </c>
      <c r="N396" t="str">
        <f>_xlfn.XLOOKUP(frasest[[#This Row],[autor_es]],autorest[autor_es],autorest[nacion_la])</f>
        <v>Italia</v>
      </c>
      <c r="O396" t="str">
        <f>_xlfn.XLOOKUP(frasest[[#This Row],[autor_es]],autorest[autor_es],autorest[epoca_es])</f>
        <v>Edad Contemporánea</v>
      </c>
      <c r="P396" t="str">
        <f>_xlfn.XLOOKUP(frasest[[#This Row],[autor_es]],autorest[autor_es],autorest[epoca_la])</f>
        <v>Aetas Contemporanea</v>
      </c>
      <c r="Q396" t="str">
        <f>_xlfn.XLOOKUP(frasest[[#This Row],[autor_es]],autorest[autor_es],autorest[imagen])</f>
        <v>https://i.ibb.co/hRrvF9Vk/sanjuanbosco.png</v>
      </c>
      <c r="R396">
        <f>_xlfn.XLOOKUP(frasest[[#This Row],[autor_es]],autorest[autor_es],autorest[imagen_atr])</f>
        <v>0</v>
      </c>
    </row>
    <row r="397" spans="1:18">
      <c r="A397">
        <v>396</v>
      </c>
      <c r="B397" t="s">
        <v>1355</v>
      </c>
      <c r="C397" t="s">
        <v>1356</v>
      </c>
      <c r="D397" t="s">
        <v>1357</v>
      </c>
      <c r="E397" t="s">
        <v>1337</v>
      </c>
      <c r="F397" t="s">
        <v>1338</v>
      </c>
      <c r="G397" t="str">
        <f>_xlfn.XLOOKUP(frasest[[#This Row],[autor_es]],autorest[autor_es],autorest[autor_la])</f>
        <v>Sanctus Ioannes Bosco</v>
      </c>
      <c r="H397" t="str">
        <f>_xlfn.XLOOKUP(frasest[[#This Row],[autor_es]],autorest[autor_es],autorest[bio_es])</f>
        <v>Sacerdote italiano fundador de la Congregación Salesiana y de las Hijas de María Auxiliadora. Padre y maestro de la juventud, dedicó su vida a la educación y formación de los jóvenes pobres. Su pedagogía se basaba en la alegría, la piedad y el estudio.</v>
      </c>
      <c r="I397" t="str">
        <f>_xlfn.XLOOKUP(frasest[[#This Row],[autor_es]],autorest[autor_es],autorest[bio_la])</f>
        <v>Sacerdos Italicus Congregationis Salesianae et Filiarum Mariae Auxiliatricis fundator. Pater et magister iuventutis, vitam suam educationi et formationi iuvenum pauperum dedicavit. Paedagogia eius in laetitia, pietate et studio fundata erat.</v>
      </c>
      <c r="J397" t="str">
        <f>_xlfn.XLOOKUP(frasest[[#This Row],[autor_es]],autorest[autor_es],autorest[codigo])</f>
        <v>it</v>
      </c>
      <c r="K397" t="str">
        <f>_xlfn.XLOOKUP(frasest[[#This Row],[autor_es]],autorest[autor_es],autorest[idioma_es])</f>
        <v>Italiano</v>
      </c>
      <c r="L397" t="str">
        <f>_xlfn.XLOOKUP(frasest[[#This Row],[autor_es]],autorest[autor_es],autorest[idioma_la])</f>
        <v>Lingua Italica</v>
      </c>
      <c r="M397" t="str">
        <f>_xlfn.XLOOKUP(frasest[[#This Row],[autor_es]],autorest[autor_es],autorest[nacion_es])</f>
        <v>Italia</v>
      </c>
      <c r="N397" t="str">
        <f>_xlfn.XLOOKUP(frasest[[#This Row],[autor_es]],autorest[autor_es],autorest[nacion_la])</f>
        <v>Italia</v>
      </c>
      <c r="O397" t="str">
        <f>_xlfn.XLOOKUP(frasest[[#This Row],[autor_es]],autorest[autor_es],autorest[epoca_es])</f>
        <v>Edad Contemporánea</v>
      </c>
      <c r="P397" t="str">
        <f>_xlfn.XLOOKUP(frasest[[#This Row],[autor_es]],autorest[autor_es],autorest[epoca_la])</f>
        <v>Aetas Contemporanea</v>
      </c>
      <c r="Q397" t="str">
        <f>_xlfn.XLOOKUP(frasest[[#This Row],[autor_es]],autorest[autor_es],autorest[imagen])</f>
        <v>https://i.ibb.co/hRrvF9Vk/sanjuanbosco.png</v>
      </c>
      <c r="R397">
        <f>_xlfn.XLOOKUP(frasest[[#This Row],[autor_es]],autorest[autor_es],autorest[imagen_atr])</f>
        <v>0</v>
      </c>
    </row>
    <row r="398" spans="1:18">
      <c r="A398">
        <v>397</v>
      </c>
      <c r="B398" t="s">
        <v>1358</v>
      </c>
      <c r="C398" t="s">
        <v>1359</v>
      </c>
      <c r="D398" t="s">
        <v>1358</v>
      </c>
      <c r="E398" t="s">
        <v>1360</v>
      </c>
      <c r="F398" t="s">
        <v>1361</v>
      </c>
      <c r="G398" t="str">
        <f>_xlfn.XLOOKUP(frasest[[#This Row],[autor_es]],autorest[autor_es],autorest[autor_la])</f>
        <v>Benedictus XVI</v>
      </c>
      <c r="H398" t="str">
        <f>_xlfn.XLOOKUP(frasest[[#This Row],[autor_es]],autorest[autor_es],autorest[bio_es])</f>
        <v>Papa emérito de la Iglesia Católica desde 2005 hasta 2013, primer pontífice en renunciar al papado en casi 600 años. Teólogo brillante, Prefecto de la Congregación para la Doctrina de la Fe durante 24 años. Autor de numerosas obras teológicas sobre fe, razón, verdad y amor.</v>
      </c>
      <c r="I398" t="str">
        <f>_xlfn.XLOOKUP(frasest[[#This Row],[autor_es]],autorest[autor_es],autorest[bio_la])</f>
        <v>Papa emeritus Ecclesiae Catholicae ab anno 2005 usque 2013, primus pontifex qui papatu renuntiavit in fere 600 annis. Theologus praeclarus, Praefectus Congregationis pro Doctrina Fidei per 24 annos. Auctor numerosarum operum theologicarum de fide, ratione, veritate et amore.</v>
      </c>
      <c r="J398" t="str">
        <f>_xlfn.XLOOKUP(frasest[[#This Row],[autor_es]],autorest[autor_es],autorest[codigo])</f>
        <v>de</v>
      </c>
      <c r="K398" t="str">
        <f>_xlfn.XLOOKUP(frasest[[#This Row],[autor_es]],autorest[autor_es],autorest[idioma_es])</f>
        <v>Alemán</v>
      </c>
      <c r="L398" t="str">
        <f>_xlfn.XLOOKUP(frasest[[#This Row],[autor_es]],autorest[autor_es],autorest[idioma_la])</f>
        <v>Lingua Germanica</v>
      </c>
      <c r="M398" t="str">
        <f>_xlfn.XLOOKUP(frasest[[#This Row],[autor_es]],autorest[autor_es],autorest[nacion_es])</f>
        <v>Alemania</v>
      </c>
      <c r="N398" t="str">
        <f>_xlfn.XLOOKUP(frasest[[#This Row],[autor_es]],autorest[autor_es],autorest[nacion_la])</f>
        <v>Germania</v>
      </c>
      <c r="O398" t="str">
        <f>_xlfn.XLOOKUP(frasest[[#This Row],[autor_es]],autorest[autor_es],autorest[epoca_es])</f>
        <v>Edad Contemporánea</v>
      </c>
      <c r="P398" t="str">
        <f>_xlfn.XLOOKUP(frasest[[#This Row],[autor_es]],autorest[autor_es],autorest[epoca_la])</f>
        <v>Aetas Contemporanea</v>
      </c>
      <c r="Q398" t="str">
        <f>_xlfn.XLOOKUP(frasest[[#This Row],[autor_es]],autorest[autor_es],autorest[imagen])</f>
        <v>https://i.ibb.co/4nL3Mpnc/benedictoxvi.png</v>
      </c>
      <c r="R398">
        <f>_xlfn.XLOOKUP(frasest[[#This Row],[autor_es]],autorest[autor_es],autorest[imagen_atr])</f>
        <v>0</v>
      </c>
    </row>
    <row r="399" spans="1:18">
      <c r="A399">
        <v>398</v>
      </c>
      <c r="B399" t="s">
        <v>1362</v>
      </c>
      <c r="C399" t="s">
        <v>1363</v>
      </c>
      <c r="D399" t="s">
        <v>1362</v>
      </c>
      <c r="E399" t="s">
        <v>1360</v>
      </c>
      <c r="F399" t="s">
        <v>1364</v>
      </c>
      <c r="G399" t="str">
        <f>_xlfn.XLOOKUP(frasest[[#This Row],[autor_es]],autorest[autor_es],autorest[autor_la])</f>
        <v>Benedictus XVI</v>
      </c>
      <c r="H399" t="str">
        <f>_xlfn.XLOOKUP(frasest[[#This Row],[autor_es]],autorest[autor_es],autorest[bio_es])</f>
        <v>Papa emérito de la Iglesia Católica desde 2005 hasta 2013, primer pontífice en renunciar al papado en casi 600 años. Teólogo brillante, Prefecto de la Congregación para la Doctrina de la Fe durante 24 años. Autor de numerosas obras teológicas sobre fe, razón, verdad y amor.</v>
      </c>
      <c r="I399" t="str">
        <f>_xlfn.XLOOKUP(frasest[[#This Row],[autor_es]],autorest[autor_es],autorest[bio_la])</f>
        <v>Papa emeritus Ecclesiae Catholicae ab anno 2005 usque 2013, primus pontifex qui papatu renuntiavit in fere 600 annis. Theologus praeclarus, Praefectus Congregationis pro Doctrina Fidei per 24 annos. Auctor numerosarum operum theologicarum de fide, ratione, veritate et amore.</v>
      </c>
      <c r="J399" t="str">
        <f>_xlfn.XLOOKUP(frasest[[#This Row],[autor_es]],autorest[autor_es],autorest[codigo])</f>
        <v>de</v>
      </c>
      <c r="K399" t="str">
        <f>_xlfn.XLOOKUP(frasest[[#This Row],[autor_es]],autorest[autor_es],autorest[idioma_es])</f>
        <v>Alemán</v>
      </c>
      <c r="L399" t="str">
        <f>_xlfn.XLOOKUP(frasest[[#This Row],[autor_es]],autorest[autor_es],autorest[idioma_la])</f>
        <v>Lingua Germanica</v>
      </c>
      <c r="M399" t="str">
        <f>_xlfn.XLOOKUP(frasest[[#This Row],[autor_es]],autorest[autor_es],autorest[nacion_es])</f>
        <v>Alemania</v>
      </c>
      <c r="N399" t="str">
        <f>_xlfn.XLOOKUP(frasest[[#This Row],[autor_es]],autorest[autor_es],autorest[nacion_la])</f>
        <v>Germania</v>
      </c>
      <c r="O399" t="str">
        <f>_xlfn.XLOOKUP(frasest[[#This Row],[autor_es]],autorest[autor_es],autorest[epoca_es])</f>
        <v>Edad Contemporánea</v>
      </c>
      <c r="P399" t="str">
        <f>_xlfn.XLOOKUP(frasest[[#This Row],[autor_es]],autorest[autor_es],autorest[epoca_la])</f>
        <v>Aetas Contemporanea</v>
      </c>
      <c r="Q399" t="str">
        <f>_xlfn.XLOOKUP(frasest[[#This Row],[autor_es]],autorest[autor_es],autorest[imagen])</f>
        <v>https://i.ibb.co/4nL3Mpnc/benedictoxvi.png</v>
      </c>
      <c r="R399">
        <f>_xlfn.XLOOKUP(frasest[[#This Row],[autor_es]],autorest[autor_es],autorest[imagen_atr])</f>
        <v>0</v>
      </c>
    </row>
    <row r="400" spans="1:18">
      <c r="A400">
        <v>399</v>
      </c>
      <c r="B400" t="s">
        <v>1365</v>
      </c>
      <c r="C400" t="s">
        <v>1366</v>
      </c>
      <c r="D400" t="s">
        <v>1365</v>
      </c>
      <c r="E400" t="s">
        <v>1360</v>
      </c>
      <c r="F400" t="s">
        <v>1367</v>
      </c>
      <c r="G400" t="str">
        <f>_xlfn.XLOOKUP(frasest[[#This Row],[autor_es]],autorest[autor_es],autorest[autor_la])</f>
        <v>Benedictus XVI</v>
      </c>
      <c r="H400" t="str">
        <f>_xlfn.XLOOKUP(frasest[[#This Row],[autor_es]],autorest[autor_es],autorest[bio_es])</f>
        <v>Papa emérito de la Iglesia Católica desde 2005 hasta 2013, primer pontífice en renunciar al papado en casi 600 años. Teólogo brillante, Prefecto de la Congregación para la Doctrina de la Fe durante 24 años. Autor de numerosas obras teológicas sobre fe, razón, verdad y amor.</v>
      </c>
      <c r="I400" t="str">
        <f>_xlfn.XLOOKUP(frasest[[#This Row],[autor_es]],autorest[autor_es],autorest[bio_la])</f>
        <v>Papa emeritus Ecclesiae Catholicae ab anno 2005 usque 2013, primus pontifex qui papatu renuntiavit in fere 600 annis. Theologus praeclarus, Praefectus Congregationis pro Doctrina Fidei per 24 annos. Auctor numerosarum operum theologicarum de fide, ratione, veritate et amore.</v>
      </c>
      <c r="J400" t="str">
        <f>_xlfn.XLOOKUP(frasest[[#This Row],[autor_es]],autorest[autor_es],autorest[codigo])</f>
        <v>de</v>
      </c>
      <c r="K400" t="str">
        <f>_xlfn.XLOOKUP(frasest[[#This Row],[autor_es]],autorest[autor_es],autorest[idioma_es])</f>
        <v>Alemán</v>
      </c>
      <c r="L400" t="str">
        <f>_xlfn.XLOOKUP(frasest[[#This Row],[autor_es]],autorest[autor_es],autorest[idioma_la])</f>
        <v>Lingua Germanica</v>
      </c>
      <c r="M400" t="str">
        <f>_xlfn.XLOOKUP(frasest[[#This Row],[autor_es]],autorest[autor_es],autorest[nacion_es])</f>
        <v>Alemania</v>
      </c>
      <c r="N400" t="str">
        <f>_xlfn.XLOOKUP(frasest[[#This Row],[autor_es]],autorest[autor_es],autorest[nacion_la])</f>
        <v>Germania</v>
      </c>
      <c r="O400" t="str">
        <f>_xlfn.XLOOKUP(frasest[[#This Row],[autor_es]],autorest[autor_es],autorest[epoca_es])</f>
        <v>Edad Contemporánea</v>
      </c>
      <c r="P400" t="str">
        <f>_xlfn.XLOOKUP(frasest[[#This Row],[autor_es]],autorest[autor_es],autorest[epoca_la])</f>
        <v>Aetas Contemporanea</v>
      </c>
      <c r="Q400" t="str">
        <f>_xlfn.XLOOKUP(frasest[[#This Row],[autor_es]],autorest[autor_es],autorest[imagen])</f>
        <v>https://i.ibb.co/4nL3Mpnc/benedictoxvi.png</v>
      </c>
      <c r="R400">
        <f>_xlfn.XLOOKUP(frasest[[#This Row],[autor_es]],autorest[autor_es],autorest[imagen_atr])</f>
        <v>0</v>
      </c>
    </row>
    <row r="401" spans="1:18">
      <c r="A401">
        <v>400</v>
      </c>
      <c r="B401" t="s">
        <v>1368</v>
      </c>
      <c r="C401" t="s">
        <v>1369</v>
      </c>
      <c r="D401" t="s">
        <v>1368</v>
      </c>
      <c r="E401" t="s">
        <v>1360</v>
      </c>
      <c r="F401" t="s">
        <v>1370</v>
      </c>
      <c r="G401" t="str">
        <f>_xlfn.XLOOKUP(frasest[[#This Row],[autor_es]],autorest[autor_es],autorest[autor_la])</f>
        <v>Benedictus XVI</v>
      </c>
      <c r="H401" t="str">
        <f>_xlfn.XLOOKUP(frasest[[#This Row],[autor_es]],autorest[autor_es],autorest[bio_es])</f>
        <v>Papa emérito de la Iglesia Católica desde 2005 hasta 2013, primer pontífice en renunciar al papado en casi 600 años. Teólogo brillante, Prefecto de la Congregación para la Doctrina de la Fe durante 24 años. Autor de numerosas obras teológicas sobre fe, razón, verdad y amor.</v>
      </c>
      <c r="I401" t="str">
        <f>_xlfn.XLOOKUP(frasest[[#This Row],[autor_es]],autorest[autor_es],autorest[bio_la])</f>
        <v>Papa emeritus Ecclesiae Catholicae ab anno 2005 usque 2013, primus pontifex qui papatu renuntiavit in fere 600 annis. Theologus praeclarus, Praefectus Congregationis pro Doctrina Fidei per 24 annos. Auctor numerosarum operum theologicarum de fide, ratione, veritate et amore.</v>
      </c>
      <c r="J401" t="str">
        <f>_xlfn.XLOOKUP(frasest[[#This Row],[autor_es]],autorest[autor_es],autorest[codigo])</f>
        <v>de</v>
      </c>
      <c r="K401" t="str">
        <f>_xlfn.XLOOKUP(frasest[[#This Row],[autor_es]],autorest[autor_es],autorest[idioma_es])</f>
        <v>Alemán</v>
      </c>
      <c r="L401" t="str">
        <f>_xlfn.XLOOKUP(frasest[[#This Row],[autor_es]],autorest[autor_es],autorest[idioma_la])</f>
        <v>Lingua Germanica</v>
      </c>
      <c r="M401" t="str">
        <f>_xlfn.XLOOKUP(frasest[[#This Row],[autor_es]],autorest[autor_es],autorest[nacion_es])</f>
        <v>Alemania</v>
      </c>
      <c r="N401" t="str">
        <f>_xlfn.XLOOKUP(frasest[[#This Row],[autor_es]],autorest[autor_es],autorest[nacion_la])</f>
        <v>Germania</v>
      </c>
      <c r="O401" t="str">
        <f>_xlfn.XLOOKUP(frasest[[#This Row],[autor_es]],autorest[autor_es],autorest[epoca_es])</f>
        <v>Edad Contemporánea</v>
      </c>
      <c r="P401" t="str">
        <f>_xlfn.XLOOKUP(frasest[[#This Row],[autor_es]],autorest[autor_es],autorest[epoca_la])</f>
        <v>Aetas Contemporanea</v>
      </c>
      <c r="Q401" t="str">
        <f>_xlfn.XLOOKUP(frasest[[#This Row],[autor_es]],autorest[autor_es],autorest[imagen])</f>
        <v>https://i.ibb.co/4nL3Mpnc/benedictoxvi.png</v>
      </c>
      <c r="R401">
        <f>_xlfn.XLOOKUP(frasest[[#This Row],[autor_es]],autorest[autor_es],autorest[imagen_atr])</f>
        <v>0</v>
      </c>
    </row>
    <row r="402" spans="1:18">
      <c r="A402">
        <v>401</v>
      </c>
      <c r="B402" t="s">
        <v>1371</v>
      </c>
      <c r="C402" t="s">
        <v>1372</v>
      </c>
      <c r="D402" t="s">
        <v>1371</v>
      </c>
      <c r="E402" t="s">
        <v>1360</v>
      </c>
      <c r="F402" t="s">
        <v>1373</v>
      </c>
      <c r="G402" t="str">
        <f>_xlfn.XLOOKUP(frasest[[#This Row],[autor_es]],autorest[autor_es],autorest[autor_la])</f>
        <v>Benedictus XVI</v>
      </c>
      <c r="H402" t="str">
        <f>_xlfn.XLOOKUP(frasest[[#This Row],[autor_es]],autorest[autor_es],autorest[bio_es])</f>
        <v>Papa emérito de la Iglesia Católica desde 2005 hasta 2013, primer pontífice en renunciar al papado en casi 600 años. Teólogo brillante, Prefecto de la Congregación para la Doctrina de la Fe durante 24 años. Autor de numerosas obras teológicas sobre fe, razón, verdad y amor.</v>
      </c>
      <c r="I402" t="str">
        <f>_xlfn.XLOOKUP(frasest[[#This Row],[autor_es]],autorest[autor_es],autorest[bio_la])</f>
        <v>Papa emeritus Ecclesiae Catholicae ab anno 2005 usque 2013, primus pontifex qui papatu renuntiavit in fere 600 annis. Theologus praeclarus, Praefectus Congregationis pro Doctrina Fidei per 24 annos. Auctor numerosarum operum theologicarum de fide, ratione, veritate et amore.</v>
      </c>
      <c r="J402" t="str">
        <f>_xlfn.XLOOKUP(frasest[[#This Row],[autor_es]],autorest[autor_es],autorest[codigo])</f>
        <v>de</v>
      </c>
      <c r="K402" t="str">
        <f>_xlfn.XLOOKUP(frasest[[#This Row],[autor_es]],autorest[autor_es],autorest[idioma_es])</f>
        <v>Alemán</v>
      </c>
      <c r="L402" t="str">
        <f>_xlfn.XLOOKUP(frasest[[#This Row],[autor_es]],autorest[autor_es],autorest[idioma_la])</f>
        <v>Lingua Germanica</v>
      </c>
      <c r="M402" t="str">
        <f>_xlfn.XLOOKUP(frasest[[#This Row],[autor_es]],autorest[autor_es],autorest[nacion_es])</f>
        <v>Alemania</v>
      </c>
      <c r="N402" t="str">
        <f>_xlfn.XLOOKUP(frasest[[#This Row],[autor_es]],autorest[autor_es],autorest[nacion_la])</f>
        <v>Germania</v>
      </c>
      <c r="O402" t="str">
        <f>_xlfn.XLOOKUP(frasest[[#This Row],[autor_es]],autorest[autor_es],autorest[epoca_es])</f>
        <v>Edad Contemporánea</v>
      </c>
      <c r="P402" t="str">
        <f>_xlfn.XLOOKUP(frasest[[#This Row],[autor_es]],autorest[autor_es],autorest[epoca_la])</f>
        <v>Aetas Contemporanea</v>
      </c>
      <c r="Q402" t="str">
        <f>_xlfn.XLOOKUP(frasest[[#This Row],[autor_es]],autorest[autor_es],autorest[imagen])</f>
        <v>https://i.ibb.co/4nL3Mpnc/benedictoxvi.png</v>
      </c>
      <c r="R402">
        <f>_xlfn.XLOOKUP(frasest[[#This Row],[autor_es]],autorest[autor_es],autorest[imagen_atr])</f>
        <v>0</v>
      </c>
    </row>
    <row r="403" spans="1:18">
      <c r="A403">
        <v>402</v>
      </c>
      <c r="B403" t="s">
        <v>1374</v>
      </c>
      <c r="C403" t="s">
        <v>1375</v>
      </c>
      <c r="D403" t="s">
        <v>1374</v>
      </c>
      <c r="E403" t="s">
        <v>1360</v>
      </c>
      <c r="F403" t="s">
        <v>1376</v>
      </c>
      <c r="G403" t="str">
        <f>_xlfn.XLOOKUP(frasest[[#This Row],[autor_es]],autorest[autor_es],autorest[autor_la])</f>
        <v>Benedictus XVI</v>
      </c>
      <c r="H403" t="str">
        <f>_xlfn.XLOOKUP(frasest[[#This Row],[autor_es]],autorest[autor_es],autorest[bio_es])</f>
        <v>Papa emérito de la Iglesia Católica desde 2005 hasta 2013, primer pontífice en renunciar al papado en casi 600 años. Teólogo brillante, Prefecto de la Congregación para la Doctrina de la Fe durante 24 años. Autor de numerosas obras teológicas sobre fe, razón, verdad y amor.</v>
      </c>
      <c r="I403" t="str">
        <f>_xlfn.XLOOKUP(frasest[[#This Row],[autor_es]],autorest[autor_es],autorest[bio_la])</f>
        <v>Papa emeritus Ecclesiae Catholicae ab anno 2005 usque 2013, primus pontifex qui papatu renuntiavit in fere 600 annis. Theologus praeclarus, Praefectus Congregationis pro Doctrina Fidei per 24 annos. Auctor numerosarum operum theologicarum de fide, ratione, veritate et amore.</v>
      </c>
      <c r="J403" t="str">
        <f>_xlfn.XLOOKUP(frasest[[#This Row],[autor_es]],autorest[autor_es],autorest[codigo])</f>
        <v>de</v>
      </c>
      <c r="K403" t="str">
        <f>_xlfn.XLOOKUP(frasest[[#This Row],[autor_es]],autorest[autor_es],autorest[idioma_es])</f>
        <v>Alemán</v>
      </c>
      <c r="L403" t="str">
        <f>_xlfn.XLOOKUP(frasest[[#This Row],[autor_es]],autorest[autor_es],autorest[idioma_la])</f>
        <v>Lingua Germanica</v>
      </c>
      <c r="M403" t="str">
        <f>_xlfn.XLOOKUP(frasest[[#This Row],[autor_es]],autorest[autor_es],autorest[nacion_es])</f>
        <v>Alemania</v>
      </c>
      <c r="N403" t="str">
        <f>_xlfn.XLOOKUP(frasest[[#This Row],[autor_es]],autorest[autor_es],autorest[nacion_la])</f>
        <v>Germania</v>
      </c>
      <c r="O403" t="str">
        <f>_xlfn.XLOOKUP(frasest[[#This Row],[autor_es]],autorest[autor_es],autorest[epoca_es])</f>
        <v>Edad Contemporánea</v>
      </c>
      <c r="P403" t="str">
        <f>_xlfn.XLOOKUP(frasest[[#This Row],[autor_es]],autorest[autor_es],autorest[epoca_la])</f>
        <v>Aetas Contemporanea</v>
      </c>
      <c r="Q403" t="str">
        <f>_xlfn.XLOOKUP(frasest[[#This Row],[autor_es]],autorest[autor_es],autorest[imagen])</f>
        <v>https://i.ibb.co/4nL3Mpnc/benedictoxvi.png</v>
      </c>
      <c r="R403">
        <f>_xlfn.XLOOKUP(frasest[[#This Row],[autor_es]],autorest[autor_es],autorest[imagen_atr])</f>
        <v>0</v>
      </c>
    </row>
    <row r="404" spans="1:18">
      <c r="A404">
        <v>403</v>
      </c>
      <c r="B404" t="s">
        <v>1377</v>
      </c>
      <c r="C404" t="s">
        <v>1378</v>
      </c>
      <c r="D404" t="s">
        <v>1379</v>
      </c>
      <c r="E404" t="s">
        <v>1380</v>
      </c>
      <c r="F404" t="s">
        <v>1381</v>
      </c>
      <c r="G404" t="str">
        <f>_xlfn.XLOOKUP(frasest[[#This Row],[autor_es]],autorest[autor_es],autorest[autor_la])</f>
        <v>Sancta Theresia a Lisieux</v>
      </c>
      <c r="H404" t="str">
        <f>_xlfn.XLOOKUP(frasest[[#This Row],[autor_es]],autorest[autor_es],autorest[bio_es])</f>
        <v>Monja carmelita francesa, Doctora de la Iglesia. Desarrolló el Caminito de infancia espiritual, la teología de la pequeñez. Autora de Historia de un alma. Patrona de las misiones y de Francia. Prometió pasar su cielo haciendo el bien en la tierra.</v>
      </c>
      <c r="I404" t="str">
        <f>_xlfn.XLOOKUP(frasest[[#This Row],[autor_es]],autorest[autor_es],autorest[bio_la])</f>
        <v>Soror Carmelita Francogallica, Doctor Ecclesiae. Viam parvam infantiae spiritualis, theologiam parvitatis elaboravit. Auctor Historiae animae. Patrona missionum et Galliae. Promisit se caelum transacturam bonum in terra faciens.</v>
      </c>
      <c r="J404" t="str">
        <f>_xlfn.XLOOKUP(frasest[[#This Row],[autor_es]],autorest[autor_es],autorest[codigo])</f>
        <v>fr</v>
      </c>
      <c r="K404" t="str">
        <f>_xlfn.XLOOKUP(frasest[[#This Row],[autor_es]],autorest[autor_es],autorest[idioma_es])</f>
        <v>Francés</v>
      </c>
      <c r="L404" t="str">
        <f>_xlfn.XLOOKUP(frasest[[#This Row],[autor_es]],autorest[autor_es],autorest[idioma_la])</f>
        <v>Lingua Gallica</v>
      </c>
      <c r="M404" t="str">
        <f>_xlfn.XLOOKUP(frasest[[#This Row],[autor_es]],autorest[autor_es],autorest[nacion_es])</f>
        <v>Francia</v>
      </c>
      <c r="N404" t="str">
        <f>_xlfn.XLOOKUP(frasest[[#This Row],[autor_es]],autorest[autor_es],autorest[nacion_la])</f>
        <v>Francia</v>
      </c>
      <c r="O404" t="str">
        <f>_xlfn.XLOOKUP(frasest[[#This Row],[autor_es]],autorest[autor_es],autorest[epoca_es])</f>
        <v>Edad Contemporánea</v>
      </c>
      <c r="P404" t="str">
        <f>_xlfn.XLOOKUP(frasest[[#This Row],[autor_es]],autorest[autor_es],autorest[epoca_la])</f>
        <v>Aetas Contemporanea</v>
      </c>
      <c r="Q404" t="str">
        <f>_xlfn.XLOOKUP(frasest[[#This Row],[autor_es]],autorest[autor_es],autorest[imagen])</f>
        <v>https://i.ibb.co/jNM8XWz/santateresitadelissieux.png</v>
      </c>
      <c r="R404">
        <f>_xlfn.XLOOKUP(frasest[[#This Row],[autor_es]],autorest[autor_es],autorest[imagen_atr])</f>
        <v>0</v>
      </c>
    </row>
    <row r="405" spans="1:18">
      <c r="A405">
        <v>404</v>
      </c>
      <c r="B405" t="s">
        <v>1382</v>
      </c>
      <c r="C405" t="s">
        <v>1383</v>
      </c>
      <c r="D405" t="s">
        <v>1384</v>
      </c>
      <c r="E405" t="s">
        <v>1380</v>
      </c>
      <c r="F405" t="s">
        <v>1385</v>
      </c>
      <c r="G405" t="str">
        <f>_xlfn.XLOOKUP(frasest[[#This Row],[autor_es]],autorest[autor_es],autorest[autor_la])</f>
        <v>Sancta Theresia a Lisieux</v>
      </c>
      <c r="H405" t="str">
        <f>_xlfn.XLOOKUP(frasest[[#This Row],[autor_es]],autorest[autor_es],autorest[bio_es])</f>
        <v>Monja carmelita francesa, Doctora de la Iglesia. Desarrolló el Caminito de infancia espiritual, la teología de la pequeñez. Autora de Historia de un alma. Patrona de las misiones y de Francia. Prometió pasar su cielo haciendo el bien en la tierra.</v>
      </c>
      <c r="I405" t="str">
        <f>_xlfn.XLOOKUP(frasest[[#This Row],[autor_es]],autorest[autor_es],autorest[bio_la])</f>
        <v>Soror Carmelita Francogallica, Doctor Ecclesiae. Viam parvam infantiae spiritualis, theologiam parvitatis elaboravit. Auctor Historiae animae. Patrona missionum et Galliae. Promisit se caelum transacturam bonum in terra faciens.</v>
      </c>
      <c r="J405" t="str">
        <f>_xlfn.XLOOKUP(frasest[[#This Row],[autor_es]],autorest[autor_es],autorest[codigo])</f>
        <v>fr</v>
      </c>
      <c r="K405" t="str">
        <f>_xlfn.XLOOKUP(frasest[[#This Row],[autor_es]],autorest[autor_es],autorest[idioma_es])</f>
        <v>Francés</v>
      </c>
      <c r="L405" t="str">
        <f>_xlfn.XLOOKUP(frasest[[#This Row],[autor_es]],autorest[autor_es],autorest[idioma_la])</f>
        <v>Lingua Gallica</v>
      </c>
      <c r="M405" t="str">
        <f>_xlfn.XLOOKUP(frasest[[#This Row],[autor_es]],autorest[autor_es],autorest[nacion_es])</f>
        <v>Francia</v>
      </c>
      <c r="N405" t="str">
        <f>_xlfn.XLOOKUP(frasest[[#This Row],[autor_es]],autorest[autor_es],autorest[nacion_la])</f>
        <v>Francia</v>
      </c>
      <c r="O405" t="str">
        <f>_xlfn.XLOOKUP(frasest[[#This Row],[autor_es]],autorest[autor_es],autorest[epoca_es])</f>
        <v>Edad Contemporánea</v>
      </c>
      <c r="P405" t="str">
        <f>_xlfn.XLOOKUP(frasest[[#This Row],[autor_es]],autorest[autor_es],autorest[epoca_la])</f>
        <v>Aetas Contemporanea</v>
      </c>
      <c r="Q405" t="str">
        <f>_xlfn.XLOOKUP(frasest[[#This Row],[autor_es]],autorest[autor_es],autorest[imagen])</f>
        <v>https://i.ibb.co/jNM8XWz/santateresitadelissieux.png</v>
      </c>
      <c r="R405">
        <f>_xlfn.XLOOKUP(frasest[[#This Row],[autor_es]],autorest[autor_es],autorest[imagen_atr])</f>
        <v>0</v>
      </c>
    </row>
    <row r="406" spans="1:18">
      <c r="A406">
        <v>405</v>
      </c>
      <c r="B406" t="s">
        <v>1386</v>
      </c>
      <c r="C406" t="s">
        <v>1387</v>
      </c>
      <c r="D406" t="s">
        <v>1388</v>
      </c>
      <c r="E406" t="s">
        <v>1380</v>
      </c>
      <c r="F406" t="s">
        <v>1389</v>
      </c>
      <c r="G406" t="str">
        <f>_xlfn.XLOOKUP(frasest[[#This Row],[autor_es]],autorest[autor_es],autorest[autor_la])</f>
        <v>Sancta Theresia a Lisieux</v>
      </c>
      <c r="H406" t="str">
        <f>_xlfn.XLOOKUP(frasest[[#This Row],[autor_es]],autorest[autor_es],autorest[bio_es])</f>
        <v>Monja carmelita francesa, Doctora de la Iglesia. Desarrolló el Caminito de infancia espiritual, la teología de la pequeñez. Autora de Historia de un alma. Patrona de las misiones y de Francia. Prometió pasar su cielo haciendo el bien en la tierra.</v>
      </c>
      <c r="I406" t="str">
        <f>_xlfn.XLOOKUP(frasest[[#This Row],[autor_es]],autorest[autor_es],autorest[bio_la])</f>
        <v>Soror Carmelita Francogallica, Doctor Ecclesiae. Viam parvam infantiae spiritualis, theologiam parvitatis elaboravit. Auctor Historiae animae. Patrona missionum et Galliae. Promisit se caelum transacturam bonum in terra faciens.</v>
      </c>
      <c r="J406" t="str">
        <f>_xlfn.XLOOKUP(frasest[[#This Row],[autor_es]],autorest[autor_es],autorest[codigo])</f>
        <v>fr</v>
      </c>
      <c r="K406" t="str">
        <f>_xlfn.XLOOKUP(frasest[[#This Row],[autor_es]],autorest[autor_es],autorest[idioma_es])</f>
        <v>Francés</v>
      </c>
      <c r="L406" t="str">
        <f>_xlfn.XLOOKUP(frasest[[#This Row],[autor_es]],autorest[autor_es],autorest[idioma_la])</f>
        <v>Lingua Gallica</v>
      </c>
      <c r="M406" t="str">
        <f>_xlfn.XLOOKUP(frasest[[#This Row],[autor_es]],autorest[autor_es],autorest[nacion_es])</f>
        <v>Francia</v>
      </c>
      <c r="N406" t="str">
        <f>_xlfn.XLOOKUP(frasest[[#This Row],[autor_es]],autorest[autor_es],autorest[nacion_la])</f>
        <v>Francia</v>
      </c>
      <c r="O406" t="str">
        <f>_xlfn.XLOOKUP(frasest[[#This Row],[autor_es]],autorest[autor_es],autorest[epoca_es])</f>
        <v>Edad Contemporánea</v>
      </c>
      <c r="P406" t="str">
        <f>_xlfn.XLOOKUP(frasest[[#This Row],[autor_es]],autorest[autor_es],autorest[epoca_la])</f>
        <v>Aetas Contemporanea</v>
      </c>
      <c r="Q406" t="str">
        <f>_xlfn.XLOOKUP(frasest[[#This Row],[autor_es]],autorest[autor_es],autorest[imagen])</f>
        <v>https://i.ibb.co/jNM8XWz/santateresitadelissieux.png</v>
      </c>
      <c r="R406">
        <f>_xlfn.XLOOKUP(frasest[[#This Row],[autor_es]],autorest[autor_es],autorest[imagen_atr])</f>
        <v>0</v>
      </c>
    </row>
    <row r="407" spans="1:18">
      <c r="A407">
        <v>406</v>
      </c>
      <c r="B407" t="s">
        <v>1390</v>
      </c>
      <c r="C407" t="s">
        <v>1391</v>
      </c>
      <c r="D407" t="s">
        <v>1392</v>
      </c>
      <c r="E407" t="s">
        <v>1380</v>
      </c>
      <c r="F407" t="s">
        <v>1393</v>
      </c>
      <c r="G407" t="str">
        <f>_xlfn.XLOOKUP(frasest[[#This Row],[autor_es]],autorest[autor_es],autorest[autor_la])</f>
        <v>Sancta Theresia a Lisieux</v>
      </c>
      <c r="H407" t="str">
        <f>_xlfn.XLOOKUP(frasest[[#This Row],[autor_es]],autorest[autor_es],autorest[bio_es])</f>
        <v>Monja carmelita francesa, Doctora de la Iglesia. Desarrolló el Caminito de infancia espiritual, la teología de la pequeñez. Autora de Historia de un alma. Patrona de las misiones y de Francia. Prometió pasar su cielo haciendo el bien en la tierra.</v>
      </c>
      <c r="I407" t="str">
        <f>_xlfn.XLOOKUP(frasest[[#This Row],[autor_es]],autorest[autor_es],autorest[bio_la])</f>
        <v>Soror Carmelita Francogallica, Doctor Ecclesiae. Viam parvam infantiae spiritualis, theologiam parvitatis elaboravit. Auctor Historiae animae. Patrona missionum et Galliae. Promisit se caelum transacturam bonum in terra faciens.</v>
      </c>
      <c r="J407" t="str">
        <f>_xlfn.XLOOKUP(frasest[[#This Row],[autor_es]],autorest[autor_es],autorest[codigo])</f>
        <v>fr</v>
      </c>
      <c r="K407" t="str">
        <f>_xlfn.XLOOKUP(frasest[[#This Row],[autor_es]],autorest[autor_es],autorest[idioma_es])</f>
        <v>Francés</v>
      </c>
      <c r="L407" t="str">
        <f>_xlfn.XLOOKUP(frasest[[#This Row],[autor_es]],autorest[autor_es],autorest[idioma_la])</f>
        <v>Lingua Gallica</v>
      </c>
      <c r="M407" t="str">
        <f>_xlfn.XLOOKUP(frasest[[#This Row],[autor_es]],autorest[autor_es],autorest[nacion_es])</f>
        <v>Francia</v>
      </c>
      <c r="N407" t="str">
        <f>_xlfn.XLOOKUP(frasest[[#This Row],[autor_es]],autorest[autor_es],autorest[nacion_la])</f>
        <v>Francia</v>
      </c>
      <c r="O407" t="str">
        <f>_xlfn.XLOOKUP(frasest[[#This Row],[autor_es]],autorest[autor_es],autorest[epoca_es])</f>
        <v>Edad Contemporánea</v>
      </c>
      <c r="P407" t="str">
        <f>_xlfn.XLOOKUP(frasest[[#This Row],[autor_es]],autorest[autor_es],autorest[epoca_la])</f>
        <v>Aetas Contemporanea</v>
      </c>
      <c r="Q407" t="str">
        <f>_xlfn.XLOOKUP(frasest[[#This Row],[autor_es]],autorest[autor_es],autorest[imagen])</f>
        <v>https://i.ibb.co/jNM8XWz/santateresitadelissieux.png</v>
      </c>
      <c r="R407">
        <f>_xlfn.XLOOKUP(frasest[[#This Row],[autor_es]],autorest[autor_es],autorest[imagen_atr])</f>
        <v>0</v>
      </c>
    </row>
    <row r="408" spans="1:18">
      <c r="A408">
        <v>407</v>
      </c>
      <c r="B408" t="s">
        <v>1394</v>
      </c>
      <c r="C408" t="s">
        <v>1395</v>
      </c>
      <c r="D408" t="s">
        <v>1396</v>
      </c>
      <c r="E408" t="s">
        <v>1380</v>
      </c>
      <c r="F408" t="s">
        <v>1397</v>
      </c>
      <c r="G408" t="str">
        <f>_xlfn.XLOOKUP(frasest[[#This Row],[autor_es]],autorest[autor_es],autorest[autor_la])</f>
        <v>Sancta Theresia a Lisieux</v>
      </c>
      <c r="H408" t="str">
        <f>_xlfn.XLOOKUP(frasest[[#This Row],[autor_es]],autorest[autor_es],autorest[bio_es])</f>
        <v>Monja carmelita francesa, Doctora de la Iglesia. Desarrolló el Caminito de infancia espiritual, la teología de la pequeñez. Autora de Historia de un alma. Patrona de las misiones y de Francia. Prometió pasar su cielo haciendo el bien en la tierra.</v>
      </c>
      <c r="I408" t="str">
        <f>_xlfn.XLOOKUP(frasest[[#This Row],[autor_es]],autorest[autor_es],autorest[bio_la])</f>
        <v>Soror Carmelita Francogallica, Doctor Ecclesiae. Viam parvam infantiae spiritualis, theologiam parvitatis elaboravit. Auctor Historiae animae. Patrona missionum et Galliae. Promisit se caelum transacturam bonum in terra faciens.</v>
      </c>
      <c r="J408" t="str">
        <f>_xlfn.XLOOKUP(frasest[[#This Row],[autor_es]],autorest[autor_es],autorest[codigo])</f>
        <v>fr</v>
      </c>
      <c r="K408" t="str">
        <f>_xlfn.XLOOKUP(frasest[[#This Row],[autor_es]],autorest[autor_es],autorest[idioma_es])</f>
        <v>Francés</v>
      </c>
      <c r="L408" t="str">
        <f>_xlfn.XLOOKUP(frasest[[#This Row],[autor_es]],autorest[autor_es],autorest[idioma_la])</f>
        <v>Lingua Gallica</v>
      </c>
      <c r="M408" t="str">
        <f>_xlfn.XLOOKUP(frasest[[#This Row],[autor_es]],autorest[autor_es],autorest[nacion_es])</f>
        <v>Francia</v>
      </c>
      <c r="N408" t="str">
        <f>_xlfn.XLOOKUP(frasest[[#This Row],[autor_es]],autorest[autor_es],autorest[nacion_la])</f>
        <v>Francia</v>
      </c>
      <c r="O408" t="str">
        <f>_xlfn.XLOOKUP(frasest[[#This Row],[autor_es]],autorest[autor_es],autorest[epoca_es])</f>
        <v>Edad Contemporánea</v>
      </c>
      <c r="P408" t="str">
        <f>_xlfn.XLOOKUP(frasest[[#This Row],[autor_es]],autorest[autor_es],autorest[epoca_la])</f>
        <v>Aetas Contemporanea</v>
      </c>
      <c r="Q408" t="str">
        <f>_xlfn.XLOOKUP(frasest[[#This Row],[autor_es]],autorest[autor_es],autorest[imagen])</f>
        <v>https://i.ibb.co/jNM8XWz/santateresitadelissieux.png</v>
      </c>
      <c r="R408">
        <f>_xlfn.XLOOKUP(frasest[[#This Row],[autor_es]],autorest[autor_es],autorest[imagen_atr])</f>
        <v>0</v>
      </c>
    </row>
    <row r="409" spans="1:18">
      <c r="A409">
        <v>408</v>
      </c>
      <c r="B409" t="s">
        <v>1398</v>
      </c>
      <c r="C409" t="s">
        <v>1399</v>
      </c>
      <c r="D409" t="s">
        <v>1400</v>
      </c>
      <c r="E409" t="s">
        <v>1380</v>
      </c>
      <c r="F409" t="s">
        <v>1401</v>
      </c>
      <c r="G409" t="str">
        <f>_xlfn.XLOOKUP(frasest[[#This Row],[autor_es]],autorest[autor_es],autorest[autor_la])</f>
        <v>Sancta Theresia a Lisieux</v>
      </c>
      <c r="H409" t="str">
        <f>_xlfn.XLOOKUP(frasest[[#This Row],[autor_es]],autorest[autor_es],autorest[bio_es])</f>
        <v>Monja carmelita francesa, Doctora de la Iglesia. Desarrolló el Caminito de infancia espiritual, la teología de la pequeñez. Autora de Historia de un alma. Patrona de las misiones y de Francia. Prometió pasar su cielo haciendo el bien en la tierra.</v>
      </c>
      <c r="I409" t="str">
        <f>_xlfn.XLOOKUP(frasest[[#This Row],[autor_es]],autorest[autor_es],autorest[bio_la])</f>
        <v>Soror Carmelita Francogallica, Doctor Ecclesiae. Viam parvam infantiae spiritualis, theologiam parvitatis elaboravit. Auctor Historiae animae. Patrona missionum et Galliae. Promisit se caelum transacturam bonum in terra faciens.</v>
      </c>
      <c r="J409" t="str">
        <f>_xlfn.XLOOKUP(frasest[[#This Row],[autor_es]],autorest[autor_es],autorest[codigo])</f>
        <v>fr</v>
      </c>
      <c r="K409" t="str">
        <f>_xlfn.XLOOKUP(frasest[[#This Row],[autor_es]],autorest[autor_es],autorest[idioma_es])</f>
        <v>Francés</v>
      </c>
      <c r="L409" t="str">
        <f>_xlfn.XLOOKUP(frasest[[#This Row],[autor_es]],autorest[autor_es],autorest[idioma_la])</f>
        <v>Lingua Gallica</v>
      </c>
      <c r="M409" t="str">
        <f>_xlfn.XLOOKUP(frasest[[#This Row],[autor_es]],autorest[autor_es],autorest[nacion_es])</f>
        <v>Francia</v>
      </c>
      <c r="N409" t="str">
        <f>_xlfn.XLOOKUP(frasest[[#This Row],[autor_es]],autorest[autor_es],autorest[nacion_la])</f>
        <v>Francia</v>
      </c>
      <c r="O409" t="str">
        <f>_xlfn.XLOOKUP(frasest[[#This Row],[autor_es]],autorest[autor_es],autorest[epoca_es])</f>
        <v>Edad Contemporánea</v>
      </c>
      <c r="P409" t="str">
        <f>_xlfn.XLOOKUP(frasest[[#This Row],[autor_es]],autorest[autor_es],autorest[epoca_la])</f>
        <v>Aetas Contemporanea</v>
      </c>
      <c r="Q409" t="str">
        <f>_xlfn.XLOOKUP(frasest[[#This Row],[autor_es]],autorest[autor_es],autorest[imagen])</f>
        <v>https://i.ibb.co/jNM8XWz/santateresitadelissieux.png</v>
      </c>
      <c r="R409">
        <f>_xlfn.XLOOKUP(frasest[[#This Row],[autor_es]],autorest[autor_es],autorest[imagen_atr])</f>
        <v>0</v>
      </c>
    </row>
    <row r="410" spans="1:18">
      <c r="A410">
        <v>409</v>
      </c>
      <c r="B410" t="s">
        <v>1402</v>
      </c>
      <c r="C410" t="s">
        <v>1403</v>
      </c>
      <c r="D410" t="s">
        <v>1404</v>
      </c>
      <c r="E410" t="s">
        <v>1405</v>
      </c>
      <c r="F410" t="s">
        <v>1406</v>
      </c>
      <c r="G410" t="str">
        <f>_xlfn.XLOOKUP(frasest[[#This Row],[autor_es]],autorest[autor_es],autorest[autor_la])</f>
        <v>Maria Montessori</v>
      </c>
      <c r="H410" t="str">
        <f>_xlfn.XLOOKUP(frasest[[#This Row],[autor_es]],autorest[autor_es],autorest[bio_es])</f>
        <v>Médica y pedagoga italiana, creadora del Método Montessori. Primera mujer médica de Italia, desarrolló una innovadora filosofía educativa centrada en el respeto al niño, su libertad, autonomía e independencia. Su método revolucionó la educación infantil mundial enfatizando el aprendizaje natural y sensorial.</v>
      </c>
      <c r="I410" t="str">
        <f>_xlfn.XLOOKUP(frasest[[#This Row],[autor_es]],autorest[autor_es],autorest[bio_la])</f>
        <v>Medica et paedagoga Italica, creatrix Methodi Montessori. Prima femina medica Italiae, philosophiam educativam innovativam elaboravit in respectu pueri, libertate, autonomia et independentia fundatam. Methodus eius educationem infantilem mundialem transformavit emphasim in apprehensione naturali et sensoriali ponens.</v>
      </c>
      <c r="J410" t="str">
        <f>_xlfn.XLOOKUP(frasest[[#This Row],[autor_es]],autorest[autor_es],autorest[codigo])</f>
        <v>it</v>
      </c>
      <c r="K410" t="str">
        <f>_xlfn.XLOOKUP(frasest[[#This Row],[autor_es]],autorest[autor_es],autorest[idioma_es])</f>
        <v>Italiano</v>
      </c>
      <c r="L410" t="str">
        <f>_xlfn.XLOOKUP(frasest[[#This Row],[autor_es]],autorest[autor_es],autorest[idioma_la])</f>
        <v>Lingua Italica</v>
      </c>
      <c r="M410" t="str">
        <f>_xlfn.XLOOKUP(frasest[[#This Row],[autor_es]],autorest[autor_es],autorest[nacion_es])</f>
        <v>Italia</v>
      </c>
      <c r="N410" t="str">
        <f>_xlfn.XLOOKUP(frasest[[#This Row],[autor_es]],autorest[autor_es],autorest[nacion_la])</f>
        <v>Italia</v>
      </c>
      <c r="O410" t="str">
        <f>_xlfn.XLOOKUP(frasest[[#This Row],[autor_es]],autorest[autor_es],autorest[epoca_es])</f>
        <v>Edad Contemporánea</v>
      </c>
      <c r="P410" t="str">
        <f>_xlfn.XLOOKUP(frasest[[#This Row],[autor_es]],autorest[autor_es],autorest[epoca_la])</f>
        <v>Aetas Contemporanea</v>
      </c>
      <c r="Q410" t="str">
        <f>_xlfn.XLOOKUP(frasest[[#This Row],[autor_es]],autorest[autor_es],autorest[imagen])</f>
        <v>https://i.ibb.co/XfpNXLtH/mariamontessori.png</v>
      </c>
      <c r="R410">
        <f>_xlfn.XLOOKUP(frasest[[#This Row],[autor_es]],autorest[autor_es],autorest[imagen_atr])</f>
        <v>0</v>
      </c>
    </row>
    <row r="411" spans="1:18">
      <c r="A411">
        <v>410</v>
      </c>
      <c r="B411" t="s">
        <v>1407</v>
      </c>
      <c r="C411" t="s">
        <v>1408</v>
      </c>
      <c r="D411" t="s">
        <v>1409</v>
      </c>
      <c r="E411" t="s">
        <v>1405</v>
      </c>
      <c r="F411" t="s">
        <v>1410</v>
      </c>
      <c r="G411" t="str">
        <f>_xlfn.XLOOKUP(frasest[[#This Row],[autor_es]],autorest[autor_es],autorest[autor_la])</f>
        <v>Maria Montessori</v>
      </c>
      <c r="H411" t="str">
        <f>_xlfn.XLOOKUP(frasest[[#This Row],[autor_es]],autorest[autor_es],autorest[bio_es])</f>
        <v>Médica y pedagoga italiana, creadora del Método Montessori. Primera mujer médica de Italia, desarrolló una innovadora filosofía educativa centrada en el respeto al niño, su libertad, autonomía e independencia. Su método revolucionó la educación infantil mundial enfatizando el aprendizaje natural y sensorial.</v>
      </c>
      <c r="I411" t="str">
        <f>_xlfn.XLOOKUP(frasest[[#This Row],[autor_es]],autorest[autor_es],autorest[bio_la])</f>
        <v>Medica et paedagoga Italica, creatrix Methodi Montessori. Prima femina medica Italiae, philosophiam educativam innovativam elaboravit in respectu pueri, libertate, autonomia et independentia fundatam. Methodus eius educationem infantilem mundialem transformavit emphasim in apprehensione naturali et sensoriali ponens.</v>
      </c>
      <c r="J411" t="str">
        <f>_xlfn.XLOOKUP(frasest[[#This Row],[autor_es]],autorest[autor_es],autorest[codigo])</f>
        <v>it</v>
      </c>
      <c r="K411" t="str">
        <f>_xlfn.XLOOKUP(frasest[[#This Row],[autor_es]],autorest[autor_es],autorest[idioma_es])</f>
        <v>Italiano</v>
      </c>
      <c r="L411" t="str">
        <f>_xlfn.XLOOKUP(frasest[[#This Row],[autor_es]],autorest[autor_es],autorest[idioma_la])</f>
        <v>Lingua Italica</v>
      </c>
      <c r="M411" t="str">
        <f>_xlfn.XLOOKUP(frasest[[#This Row],[autor_es]],autorest[autor_es],autorest[nacion_es])</f>
        <v>Italia</v>
      </c>
      <c r="N411" t="str">
        <f>_xlfn.XLOOKUP(frasest[[#This Row],[autor_es]],autorest[autor_es],autorest[nacion_la])</f>
        <v>Italia</v>
      </c>
      <c r="O411" t="str">
        <f>_xlfn.XLOOKUP(frasest[[#This Row],[autor_es]],autorest[autor_es],autorest[epoca_es])</f>
        <v>Edad Contemporánea</v>
      </c>
      <c r="P411" t="str">
        <f>_xlfn.XLOOKUP(frasest[[#This Row],[autor_es]],autorest[autor_es],autorest[epoca_la])</f>
        <v>Aetas Contemporanea</v>
      </c>
      <c r="Q411" t="str">
        <f>_xlfn.XLOOKUP(frasest[[#This Row],[autor_es]],autorest[autor_es],autorest[imagen])</f>
        <v>https://i.ibb.co/XfpNXLtH/mariamontessori.png</v>
      </c>
      <c r="R411">
        <f>_xlfn.XLOOKUP(frasest[[#This Row],[autor_es]],autorest[autor_es],autorest[imagen_atr])</f>
        <v>0</v>
      </c>
    </row>
    <row r="412" spans="1:18">
      <c r="A412">
        <v>411</v>
      </c>
      <c r="B412" t="s">
        <v>1411</v>
      </c>
      <c r="C412" t="s">
        <v>1412</v>
      </c>
      <c r="D412" t="s">
        <v>1413</v>
      </c>
      <c r="E412" t="s">
        <v>1405</v>
      </c>
      <c r="F412" t="s">
        <v>1414</v>
      </c>
      <c r="G412" t="str">
        <f>_xlfn.XLOOKUP(frasest[[#This Row],[autor_es]],autorest[autor_es],autorest[autor_la])</f>
        <v>Maria Montessori</v>
      </c>
      <c r="H412" t="str">
        <f>_xlfn.XLOOKUP(frasest[[#This Row],[autor_es]],autorest[autor_es],autorest[bio_es])</f>
        <v>Médica y pedagoga italiana, creadora del Método Montessori. Primera mujer médica de Italia, desarrolló una innovadora filosofía educativa centrada en el respeto al niño, su libertad, autonomía e independencia. Su método revolucionó la educación infantil mundial enfatizando el aprendizaje natural y sensorial.</v>
      </c>
      <c r="I412" t="str">
        <f>_xlfn.XLOOKUP(frasest[[#This Row],[autor_es]],autorest[autor_es],autorest[bio_la])</f>
        <v>Medica et paedagoga Italica, creatrix Methodi Montessori. Prima femina medica Italiae, philosophiam educativam innovativam elaboravit in respectu pueri, libertate, autonomia et independentia fundatam. Methodus eius educationem infantilem mundialem transformavit emphasim in apprehensione naturali et sensoriali ponens.</v>
      </c>
      <c r="J412" t="str">
        <f>_xlfn.XLOOKUP(frasest[[#This Row],[autor_es]],autorest[autor_es],autorest[codigo])</f>
        <v>it</v>
      </c>
      <c r="K412" t="str">
        <f>_xlfn.XLOOKUP(frasest[[#This Row],[autor_es]],autorest[autor_es],autorest[idioma_es])</f>
        <v>Italiano</v>
      </c>
      <c r="L412" t="str">
        <f>_xlfn.XLOOKUP(frasest[[#This Row],[autor_es]],autorest[autor_es],autorest[idioma_la])</f>
        <v>Lingua Italica</v>
      </c>
      <c r="M412" t="str">
        <f>_xlfn.XLOOKUP(frasest[[#This Row],[autor_es]],autorest[autor_es],autorest[nacion_es])</f>
        <v>Italia</v>
      </c>
      <c r="N412" t="str">
        <f>_xlfn.XLOOKUP(frasest[[#This Row],[autor_es]],autorest[autor_es],autorest[nacion_la])</f>
        <v>Italia</v>
      </c>
      <c r="O412" t="str">
        <f>_xlfn.XLOOKUP(frasest[[#This Row],[autor_es]],autorest[autor_es],autorest[epoca_es])</f>
        <v>Edad Contemporánea</v>
      </c>
      <c r="P412" t="str">
        <f>_xlfn.XLOOKUP(frasest[[#This Row],[autor_es]],autorest[autor_es],autorest[epoca_la])</f>
        <v>Aetas Contemporanea</v>
      </c>
      <c r="Q412" t="str">
        <f>_xlfn.XLOOKUP(frasest[[#This Row],[autor_es]],autorest[autor_es],autorest[imagen])</f>
        <v>https://i.ibb.co/XfpNXLtH/mariamontessori.png</v>
      </c>
      <c r="R412">
        <f>_xlfn.XLOOKUP(frasest[[#This Row],[autor_es]],autorest[autor_es],autorest[imagen_atr])</f>
        <v>0</v>
      </c>
    </row>
    <row r="413" spans="1:18">
      <c r="A413">
        <v>412</v>
      </c>
      <c r="B413" t="s">
        <v>1415</v>
      </c>
      <c r="C413" t="s">
        <v>1416</v>
      </c>
      <c r="D413" t="s">
        <v>1417</v>
      </c>
      <c r="E413" t="s">
        <v>1405</v>
      </c>
      <c r="F413" t="s">
        <v>1418</v>
      </c>
      <c r="G413" t="str">
        <f>_xlfn.XLOOKUP(frasest[[#This Row],[autor_es]],autorest[autor_es],autorest[autor_la])</f>
        <v>Maria Montessori</v>
      </c>
      <c r="H413" t="str">
        <f>_xlfn.XLOOKUP(frasest[[#This Row],[autor_es]],autorest[autor_es],autorest[bio_es])</f>
        <v>Médica y pedagoga italiana, creadora del Método Montessori. Primera mujer médica de Italia, desarrolló una innovadora filosofía educativa centrada en el respeto al niño, su libertad, autonomía e independencia. Su método revolucionó la educación infantil mundial enfatizando el aprendizaje natural y sensorial.</v>
      </c>
      <c r="I413" t="str">
        <f>_xlfn.XLOOKUP(frasest[[#This Row],[autor_es]],autorest[autor_es],autorest[bio_la])</f>
        <v>Medica et paedagoga Italica, creatrix Methodi Montessori. Prima femina medica Italiae, philosophiam educativam innovativam elaboravit in respectu pueri, libertate, autonomia et independentia fundatam. Methodus eius educationem infantilem mundialem transformavit emphasim in apprehensione naturali et sensoriali ponens.</v>
      </c>
      <c r="J413" t="str">
        <f>_xlfn.XLOOKUP(frasest[[#This Row],[autor_es]],autorest[autor_es],autorest[codigo])</f>
        <v>it</v>
      </c>
      <c r="K413" t="str">
        <f>_xlfn.XLOOKUP(frasest[[#This Row],[autor_es]],autorest[autor_es],autorest[idioma_es])</f>
        <v>Italiano</v>
      </c>
      <c r="L413" t="str">
        <f>_xlfn.XLOOKUP(frasest[[#This Row],[autor_es]],autorest[autor_es],autorest[idioma_la])</f>
        <v>Lingua Italica</v>
      </c>
      <c r="M413" t="str">
        <f>_xlfn.XLOOKUP(frasest[[#This Row],[autor_es]],autorest[autor_es],autorest[nacion_es])</f>
        <v>Italia</v>
      </c>
      <c r="N413" t="str">
        <f>_xlfn.XLOOKUP(frasest[[#This Row],[autor_es]],autorest[autor_es],autorest[nacion_la])</f>
        <v>Italia</v>
      </c>
      <c r="O413" t="str">
        <f>_xlfn.XLOOKUP(frasest[[#This Row],[autor_es]],autorest[autor_es],autorest[epoca_es])</f>
        <v>Edad Contemporánea</v>
      </c>
      <c r="P413" t="str">
        <f>_xlfn.XLOOKUP(frasest[[#This Row],[autor_es]],autorest[autor_es],autorest[epoca_la])</f>
        <v>Aetas Contemporanea</v>
      </c>
      <c r="Q413" t="str">
        <f>_xlfn.XLOOKUP(frasest[[#This Row],[autor_es]],autorest[autor_es],autorest[imagen])</f>
        <v>https://i.ibb.co/XfpNXLtH/mariamontessori.png</v>
      </c>
      <c r="R413">
        <f>_xlfn.XLOOKUP(frasest[[#This Row],[autor_es]],autorest[autor_es],autorest[imagen_atr])</f>
        <v>0</v>
      </c>
    </row>
    <row r="414" spans="1:18">
      <c r="A414">
        <v>413</v>
      </c>
      <c r="B414" t="s">
        <v>1419</v>
      </c>
      <c r="C414" t="s">
        <v>1420</v>
      </c>
      <c r="D414" t="s">
        <v>1421</v>
      </c>
      <c r="E414" t="s">
        <v>1405</v>
      </c>
      <c r="F414" t="s">
        <v>1422</v>
      </c>
      <c r="G414" t="str">
        <f>_xlfn.XLOOKUP(frasest[[#This Row],[autor_es]],autorest[autor_es],autorest[autor_la])</f>
        <v>Maria Montessori</v>
      </c>
      <c r="H414" t="str">
        <f>_xlfn.XLOOKUP(frasest[[#This Row],[autor_es]],autorest[autor_es],autorest[bio_es])</f>
        <v>Médica y pedagoga italiana, creadora del Método Montessori. Primera mujer médica de Italia, desarrolló una innovadora filosofía educativa centrada en el respeto al niño, su libertad, autonomía e independencia. Su método revolucionó la educación infantil mundial enfatizando el aprendizaje natural y sensorial.</v>
      </c>
      <c r="I414" t="str">
        <f>_xlfn.XLOOKUP(frasest[[#This Row],[autor_es]],autorest[autor_es],autorest[bio_la])</f>
        <v>Medica et paedagoga Italica, creatrix Methodi Montessori. Prima femina medica Italiae, philosophiam educativam innovativam elaboravit in respectu pueri, libertate, autonomia et independentia fundatam. Methodus eius educationem infantilem mundialem transformavit emphasim in apprehensione naturali et sensoriali ponens.</v>
      </c>
      <c r="J414" t="str">
        <f>_xlfn.XLOOKUP(frasest[[#This Row],[autor_es]],autorest[autor_es],autorest[codigo])</f>
        <v>it</v>
      </c>
      <c r="K414" t="str">
        <f>_xlfn.XLOOKUP(frasest[[#This Row],[autor_es]],autorest[autor_es],autorest[idioma_es])</f>
        <v>Italiano</v>
      </c>
      <c r="L414" t="str">
        <f>_xlfn.XLOOKUP(frasest[[#This Row],[autor_es]],autorest[autor_es],autorest[idioma_la])</f>
        <v>Lingua Italica</v>
      </c>
      <c r="M414" t="str">
        <f>_xlfn.XLOOKUP(frasest[[#This Row],[autor_es]],autorest[autor_es],autorest[nacion_es])</f>
        <v>Italia</v>
      </c>
      <c r="N414" t="str">
        <f>_xlfn.XLOOKUP(frasest[[#This Row],[autor_es]],autorest[autor_es],autorest[nacion_la])</f>
        <v>Italia</v>
      </c>
      <c r="O414" t="str">
        <f>_xlfn.XLOOKUP(frasest[[#This Row],[autor_es]],autorest[autor_es],autorest[epoca_es])</f>
        <v>Edad Contemporánea</v>
      </c>
      <c r="P414" t="str">
        <f>_xlfn.XLOOKUP(frasest[[#This Row],[autor_es]],autorest[autor_es],autorest[epoca_la])</f>
        <v>Aetas Contemporanea</v>
      </c>
      <c r="Q414" t="str">
        <f>_xlfn.XLOOKUP(frasest[[#This Row],[autor_es]],autorest[autor_es],autorest[imagen])</f>
        <v>https://i.ibb.co/XfpNXLtH/mariamontessori.png</v>
      </c>
      <c r="R414">
        <f>_xlfn.XLOOKUP(frasest[[#This Row],[autor_es]],autorest[autor_es],autorest[imagen_atr])</f>
        <v>0</v>
      </c>
    </row>
    <row r="415" spans="1:18">
      <c r="A415">
        <v>414</v>
      </c>
      <c r="B415" t="s">
        <v>1423</v>
      </c>
      <c r="C415" t="s">
        <v>1424</v>
      </c>
      <c r="D415" t="s">
        <v>1425</v>
      </c>
      <c r="E415" t="s">
        <v>1405</v>
      </c>
      <c r="F415" t="s">
        <v>1426</v>
      </c>
      <c r="G415" t="str">
        <f>_xlfn.XLOOKUP(frasest[[#This Row],[autor_es]],autorest[autor_es],autorest[autor_la])</f>
        <v>Maria Montessori</v>
      </c>
      <c r="H415" t="str">
        <f>_xlfn.XLOOKUP(frasest[[#This Row],[autor_es]],autorest[autor_es],autorest[bio_es])</f>
        <v>Médica y pedagoga italiana, creadora del Método Montessori. Primera mujer médica de Italia, desarrolló una innovadora filosofía educativa centrada en el respeto al niño, su libertad, autonomía e independencia. Su método revolucionó la educación infantil mundial enfatizando el aprendizaje natural y sensorial.</v>
      </c>
      <c r="I415" t="str">
        <f>_xlfn.XLOOKUP(frasest[[#This Row],[autor_es]],autorest[autor_es],autorest[bio_la])</f>
        <v>Medica et paedagoga Italica, creatrix Methodi Montessori. Prima femina medica Italiae, philosophiam educativam innovativam elaboravit in respectu pueri, libertate, autonomia et independentia fundatam. Methodus eius educationem infantilem mundialem transformavit emphasim in apprehensione naturali et sensoriali ponens.</v>
      </c>
      <c r="J415" t="str">
        <f>_xlfn.XLOOKUP(frasest[[#This Row],[autor_es]],autorest[autor_es],autorest[codigo])</f>
        <v>it</v>
      </c>
      <c r="K415" t="str">
        <f>_xlfn.XLOOKUP(frasest[[#This Row],[autor_es]],autorest[autor_es],autorest[idioma_es])</f>
        <v>Italiano</v>
      </c>
      <c r="L415" t="str">
        <f>_xlfn.XLOOKUP(frasest[[#This Row],[autor_es]],autorest[autor_es],autorest[idioma_la])</f>
        <v>Lingua Italica</v>
      </c>
      <c r="M415" t="str">
        <f>_xlfn.XLOOKUP(frasest[[#This Row],[autor_es]],autorest[autor_es],autorest[nacion_es])</f>
        <v>Italia</v>
      </c>
      <c r="N415" t="str">
        <f>_xlfn.XLOOKUP(frasest[[#This Row],[autor_es]],autorest[autor_es],autorest[nacion_la])</f>
        <v>Italia</v>
      </c>
      <c r="O415" t="str">
        <f>_xlfn.XLOOKUP(frasest[[#This Row],[autor_es]],autorest[autor_es],autorest[epoca_es])</f>
        <v>Edad Contemporánea</v>
      </c>
      <c r="P415" t="str">
        <f>_xlfn.XLOOKUP(frasest[[#This Row],[autor_es]],autorest[autor_es],autorest[epoca_la])</f>
        <v>Aetas Contemporanea</v>
      </c>
      <c r="Q415" t="str">
        <f>_xlfn.XLOOKUP(frasest[[#This Row],[autor_es]],autorest[autor_es],autorest[imagen])</f>
        <v>https://i.ibb.co/XfpNXLtH/mariamontessori.png</v>
      </c>
      <c r="R415">
        <f>_xlfn.XLOOKUP(frasest[[#This Row],[autor_es]],autorest[autor_es],autorest[imagen_atr])</f>
        <v>0</v>
      </c>
    </row>
    <row r="416" spans="1:18">
      <c r="A416">
        <v>415</v>
      </c>
      <c r="B416" t="s">
        <v>1427</v>
      </c>
      <c r="C416" t="s">
        <v>1428</v>
      </c>
      <c r="D416" t="s">
        <v>1429</v>
      </c>
      <c r="E416" t="s">
        <v>1430</v>
      </c>
      <c r="F416" t="s">
        <v>1431</v>
      </c>
      <c r="G416" t="str">
        <f>_xlfn.XLOOKUP(frasest[[#This Row],[autor_es]],autorest[autor_es],autorest[autor_la])</f>
        <v>Paulus Freire</v>
      </c>
      <c r="H416" t="str">
        <f>_xlfn.XLOOKUP(frasest[[#This Row],[autor_es]],autorest[autor_es],autorest[bio_es])</f>
        <v>Pedagogo brasileño, creador de la Pedagogía del Oprimido y la educación liberadora. Desarrolló un revolucionario método de alfabetización crítica que entiende la educación como práctica de libertad y transformación social. Figura fundamental de la pedagogía crítica mundial.</v>
      </c>
      <c r="I416" t="str">
        <f>_xlfn.XLOOKUP(frasest[[#This Row],[autor_es]],autorest[autor_es],autorest[bio_la])</f>
        <v>Paedagogus Brasilianus, creator Paedagogiae Oppressorum et educationis liberatricis. Methodum revolutionarium alphabetizationis criticae elaboravit qui educationem ut praxim libertatis et transformationis socialis intelligit. Figura fundamentalis paedagogiae criticae mundialis.</v>
      </c>
      <c r="J416" t="str">
        <f>_xlfn.XLOOKUP(frasest[[#This Row],[autor_es]],autorest[autor_es],autorest[codigo])</f>
        <v>pt</v>
      </c>
      <c r="K416" t="str">
        <f>_xlfn.XLOOKUP(frasest[[#This Row],[autor_es]],autorest[autor_es],autorest[idioma_es])</f>
        <v>Portugués</v>
      </c>
      <c r="L416" t="str">
        <f>_xlfn.XLOOKUP(frasest[[#This Row],[autor_es]],autorest[autor_es],autorest[idioma_la])</f>
        <v>Lingua Lusitanica</v>
      </c>
      <c r="M416" t="str">
        <f>_xlfn.XLOOKUP(frasest[[#This Row],[autor_es]],autorest[autor_es],autorest[nacion_es])</f>
        <v>Brasil</v>
      </c>
      <c r="N416" t="str">
        <f>_xlfn.XLOOKUP(frasest[[#This Row],[autor_es]],autorest[autor_es],autorest[nacion_la])</f>
        <v>Brasilia</v>
      </c>
      <c r="O416" t="str">
        <f>_xlfn.XLOOKUP(frasest[[#This Row],[autor_es]],autorest[autor_es],autorest[epoca_es])</f>
        <v>Edad Contemporánea</v>
      </c>
      <c r="P416" t="str">
        <f>_xlfn.XLOOKUP(frasest[[#This Row],[autor_es]],autorest[autor_es],autorest[epoca_la])</f>
        <v>Aetas Contemporanea</v>
      </c>
      <c r="Q416" t="str">
        <f>_xlfn.XLOOKUP(frasest[[#This Row],[autor_es]],autorest[autor_es],autorest[imagen])</f>
        <v>https://i.ibb.co/8g9CdD0p/paulofreire.png</v>
      </c>
      <c r="R416">
        <f>_xlfn.XLOOKUP(frasest[[#This Row],[autor_es]],autorest[autor_es],autorest[imagen_atr])</f>
        <v>0</v>
      </c>
    </row>
    <row r="417" spans="1:18">
      <c r="A417">
        <v>416</v>
      </c>
      <c r="B417" t="s">
        <v>1432</v>
      </c>
      <c r="C417" t="s">
        <v>1433</v>
      </c>
      <c r="D417" t="s">
        <v>1434</v>
      </c>
      <c r="E417" t="s">
        <v>1430</v>
      </c>
      <c r="F417" t="s">
        <v>1435</v>
      </c>
      <c r="G417" t="str">
        <f>_xlfn.XLOOKUP(frasest[[#This Row],[autor_es]],autorest[autor_es],autorest[autor_la])</f>
        <v>Paulus Freire</v>
      </c>
      <c r="H417" t="str">
        <f>_xlfn.XLOOKUP(frasest[[#This Row],[autor_es]],autorest[autor_es],autorest[bio_es])</f>
        <v>Pedagogo brasileño, creador de la Pedagogía del Oprimido y la educación liberadora. Desarrolló un revolucionario método de alfabetización crítica que entiende la educación como práctica de libertad y transformación social. Figura fundamental de la pedagogía crítica mundial.</v>
      </c>
      <c r="I417" t="str">
        <f>_xlfn.XLOOKUP(frasest[[#This Row],[autor_es]],autorest[autor_es],autorest[bio_la])</f>
        <v>Paedagogus Brasilianus, creator Paedagogiae Oppressorum et educationis liberatricis. Methodum revolutionarium alphabetizationis criticae elaboravit qui educationem ut praxim libertatis et transformationis socialis intelligit. Figura fundamentalis paedagogiae criticae mundialis.</v>
      </c>
      <c r="J417" t="str">
        <f>_xlfn.XLOOKUP(frasest[[#This Row],[autor_es]],autorest[autor_es],autorest[codigo])</f>
        <v>pt</v>
      </c>
      <c r="K417" t="str">
        <f>_xlfn.XLOOKUP(frasest[[#This Row],[autor_es]],autorest[autor_es],autorest[idioma_es])</f>
        <v>Portugués</v>
      </c>
      <c r="L417" t="str">
        <f>_xlfn.XLOOKUP(frasest[[#This Row],[autor_es]],autorest[autor_es],autorest[idioma_la])</f>
        <v>Lingua Lusitanica</v>
      </c>
      <c r="M417" t="str">
        <f>_xlfn.XLOOKUP(frasest[[#This Row],[autor_es]],autorest[autor_es],autorest[nacion_es])</f>
        <v>Brasil</v>
      </c>
      <c r="N417" t="str">
        <f>_xlfn.XLOOKUP(frasest[[#This Row],[autor_es]],autorest[autor_es],autorest[nacion_la])</f>
        <v>Brasilia</v>
      </c>
      <c r="O417" t="str">
        <f>_xlfn.XLOOKUP(frasest[[#This Row],[autor_es]],autorest[autor_es],autorest[epoca_es])</f>
        <v>Edad Contemporánea</v>
      </c>
      <c r="P417" t="str">
        <f>_xlfn.XLOOKUP(frasest[[#This Row],[autor_es]],autorest[autor_es],autorest[epoca_la])</f>
        <v>Aetas Contemporanea</v>
      </c>
      <c r="Q417" t="str">
        <f>_xlfn.XLOOKUP(frasest[[#This Row],[autor_es]],autorest[autor_es],autorest[imagen])</f>
        <v>https://i.ibb.co/8g9CdD0p/paulofreire.png</v>
      </c>
      <c r="R417">
        <f>_xlfn.XLOOKUP(frasest[[#This Row],[autor_es]],autorest[autor_es],autorest[imagen_atr])</f>
        <v>0</v>
      </c>
    </row>
    <row r="418" spans="1:18">
      <c r="A418">
        <v>417</v>
      </c>
      <c r="B418" t="s">
        <v>1436</v>
      </c>
      <c r="C418" t="s">
        <v>1437</v>
      </c>
      <c r="D418" t="s">
        <v>1438</v>
      </c>
      <c r="E418" t="s">
        <v>1430</v>
      </c>
      <c r="F418" t="s">
        <v>1439</v>
      </c>
      <c r="G418" t="str">
        <f>_xlfn.XLOOKUP(frasest[[#This Row],[autor_es]],autorest[autor_es],autorest[autor_la])</f>
        <v>Paulus Freire</v>
      </c>
      <c r="H418" t="str">
        <f>_xlfn.XLOOKUP(frasest[[#This Row],[autor_es]],autorest[autor_es],autorest[bio_es])</f>
        <v>Pedagogo brasileño, creador de la Pedagogía del Oprimido y la educación liberadora. Desarrolló un revolucionario método de alfabetización crítica que entiende la educación como práctica de libertad y transformación social. Figura fundamental de la pedagogía crítica mundial.</v>
      </c>
      <c r="I418" t="str">
        <f>_xlfn.XLOOKUP(frasest[[#This Row],[autor_es]],autorest[autor_es],autorest[bio_la])</f>
        <v>Paedagogus Brasilianus, creator Paedagogiae Oppressorum et educationis liberatricis. Methodum revolutionarium alphabetizationis criticae elaboravit qui educationem ut praxim libertatis et transformationis socialis intelligit. Figura fundamentalis paedagogiae criticae mundialis.</v>
      </c>
      <c r="J418" t="str">
        <f>_xlfn.XLOOKUP(frasest[[#This Row],[autor_es]],autorest[autor_es],autorest[codigo])</f>
        <v>pt</v>
      </c>
      <c r="K418" t="str">
        <f>_xlfn.XLOOKUP(frasest[[#This Row],[autor_es]],autorest[autor_es],autorest[idioma_es])</f>
        <v>Portugués</v>
      </c>
      <c r="L418" t="str">
        <f>_xlfn.XLOOKUP(frasest[[#This Row],[autor_es]],autorest[autor_es],autorest[idioma_la])</f>
        <v>Lingua Lusitanica</v>
      </c>
      <c r="M418" t="str">
        <f>_xlfn.XLOOKUP(frasest[[#This Row],[autor_es]],autorest[autor_es],autorest[nacion_es])</f>
        <v>Brasil</v>
      </c>
      <c r="N418" t="str">
        <f>_xlfn.XLOOKUP(frasest[[#This Row],[autor_es]],autorest[autor_es],autorest[nacion_la])</f>
        <v>Brasilia</v>
      </c>
      <c r="O418" t="str">
        <f>_xlfn.XLOOKUP(frasest[[#This Row],[autor_es]],autorest[autor_es],autorest[epoca_es])</f>
        <v>Edad Contemporánea</v>
      </c>
      <c r="P418" t="str">
        <f>_xlfn.XLOOKUP(frasest[[#This Row],[autor_es]],autorest[autor_es],autorest[epoca_la])</f>
        <v>Aetas Contemporanea</v>
      </c>
      <c r="Q418" t="str">
        <f>_xlfn.XLOOKUP(frasest[[#This Row],[autor_es]],autorest[autor_es],autorest[imagen])</f>
        <v>https://i.ibb.co/8g9CdD0p/paulofreire.png</v>
      </c>
      <c r="R418">
        <f>_xlfn.XLOOKUP(frasest[[#This Row],[autor_es]],autorest[autor_es],autorest[imagen_atr])</f>
        <v>0</v>
      </c>
    </row>
    <row r="419" spans="1:18">
      <c r="A419">
        <v>418</v>
      </c>
      <c r="B419" t="s">
        <v>1440</v>
      </c>
      <c r="C419" t="s">
        <v>1441</v>
      </c>
      <c r="D419" t="s">
        <v>1442</v>
      </c>
      <c r="E419" t="s">
        <v>1430</v>
      </c>
      <c r="F419" t="s">
        <v>1443</v>
      </c>
      <c r="G419" t="str">
        <f>_xlfn.XLOOKUP(frasest[[#This Row],[autor_es]],autorest[autor_es],autorest[autor_la])</f>
        <v>Paulus Freire</v>
      </c>
      <c r="H419" t="str">
        <f>_xlfn.XLOOKUP(frasest[[#This Row],[autor_es]],autorest[autor_es],autorest[bio_es])</f>
        <v>Pedagogo brasileño, creador de la Pedagogía del Oprimido y la educación liberadora. Desarrolló un revolucionario método de alfabetización crítica que entiende la educación como práctica de libertad y transformación social. Figura fundamental de la pedagogía crítica mundial.</v>
      </c>
      <c r="I419" t="str">
        <f>_xlfn.XLOOKUP(frasest[[#This Row],[autor_es]],autorest[autor_es],autorest[bio_la])</f>
        <v>Paedagogus Brasilianus, creator Paedagogiae Oppressorum et educationis liberatricis. Methodum revolutionarium alphabetizationis criticae elaboravit qui educationem ut praxim libertatis et transformationis socialis intelligit. Figura fundamentalis paedagogiae criticae mundialis.</v>
      </c>
      <c r="J419" t="str">
        <f>_xlfn.XLOOKUP(frasest[[#This Row],[autor_es]],autorest[autor_es],autorest[codigo])</f>
        <v>pt</v>
      </c>
      <c r="K419" t="str">
        <f>_xlfn.XLOOKUP(frasest[[#This Row],[autor_es]],autorest[autor_es],autorest[idioma_es])</f>
        <v>Portugués</v>
      </c>
      <c r="L419" t="str">
        <f>_xlfn.XLOOKUP(frasest[[#This Row],[autor_es]],autorest[autor_es],autorest[idioma_la])</f>
        <v>Lingua Lusitanica</v>
      </c>
      <c r="M419" t="str">
        <f>_xlfn.XLOOKUP(frasest[[#This Row],[autor_es]],autorest[autor_es],autorest[nacion_es])</f>
        <v>Brasil</v>
      </c>
      <c r="N419" t="str">
        <f>_xlfn.XLOOKUP(frasest[[#This Row],[autor_es]],autorest[autor_es],autorest[nacion_la])</f>
        <v>Brasilia</v>
      </c>
      <c r="O419" t="str">
        <f>_xlfn.XLOOKUP(frasest[[#This Row],[autor_es]],autorest[autor_es],autorest[epoca_es])</f>
        <v>Edad Contemporánea</v>
      </c>
      <c r="P419" t="str">
        <f>_xlfn.XLOOKUP(frasest[[#This Row],[autor_es]],autorest[autor_es],autorest[epoca_la])</f>
        <v>Aetas Contemporanea</v>
      </c>
      <c r="Q419" t="str">
        <f>_xlfn.XLOOKUP(frasest[[#This Row],[autor_es]],autorest[autor_es],autorest[imagen])</f>
        <v>https://i.ibb.co/8g9CdD0p/paulofreire.png</v>
      </c>
      <c r="R419">
        <f>_xlfn.XLOOKUP(frasest[[#This Row],[autor_es]],autorest[autor_es],autorest[imagen_atr])</f>
        <v>0</v>
      </c>
    </row>
    <row r="420" spans="1:18">
      <c r="A420">
        <v>419</v>
      </c>
      <c r="B420" t="s">
        <v>1444</v>
      </c>
      <c r="C420" t="s">
        <v>1445</v>
      </c>
      <c r="D420" t="s">
        <v>1446</v>
      </c>
      <c r="E420" t="s">
        <v>1430</v>
      </c>
      <c r="F420" t="s">
        <v>1447</v>
      </c>
      <c r="G420" t="str">
        <f>_xlfn.XLOOKUP(frasest[[#This Row],[autor_es]],autorest[autor_es],autorest[autor_la])</f>
        <v>Paulus Freire</v>
      </c>
      <c r="H420" t="str">
        <f>_xlfn.XLOOKUP(frasest[[#This Row],[autor_es]],autorest[autor_es],autorest[bio_es])</f>
        <v>Pedagogo brasileño, creador de la Pedagogía del Oprimido y la educación liberadora. Desarrolló un revolucionario método de alfabetización crítica que entiende la educación como práctica de libertad y transformación social. Figura fundamental de la pedagogía crítica mundial.</v>
      </c>
      <c r="I420" t="str">
        <f>_xlfn.XLOOKUP(frasest[[#This Row],[autor_es]],autorest[autor_es],autorest[bio_la])</f>
        <v>Paedagogus Brasilianus, creator Paedagogiae Oppressorum et educationis liberatricis. Methodum revolutionarium alphabetizationis criticae elaboravit qui educationem ut praxim libertatis et transformationis socialis intelligit. Figura fundamentalis paedagogiae criticae mundialis.</v>
      </c>
      <c r="J420" t="str">
        <f>_xlfn.XLOOKUP(frasest[[#This Row],[autor_es]],autorest[autor_es],autorest[codigo])</f>
        <v>pt</v>
      </c>
      <c r="K420" t="str">
        <f>_xlfn.XLOOKUP(frasest[[#This Row],[autor_es]],autorest[autor_es],autorest[idioma_es])</f>
        <v>Portugués</v>
      </c>
      <c r="L420" t="str">
        <f>_xlfn.XLOOKUP(frasest[[#This Row],[autor_es]],autorest[autor_es],autorest[idioma_la])</f>
        <v>Lingua Lusitanica</v>
      </c>
      <c r="M420" t="str">
        <f>_xlfn.XLOOKUP(frasest[[#This Row],[autor_es]],autorest[autor_es],autorest[nacion_es])</f>
        <v>Brasil</v>
      </c>
      <c r="N420" t="str">
        <f>_xlfn.XLOOKUP(frasest[[#This Row],[autor_es]],autorest[autor_es],autorest[nacion_la])</f>
        <v>Brasilia</v>
      </c>
      <c r="O420" t="str">
        <f>_xlfn.XLOOKUP(frasest[[#This Row],[autor_es]],autorest[autor_es],autorest[epoca_es])</f>
        <v>Edad Contemporánea</v>
      </c>
      <c r="P420" t="str">
        <f>_xlfn.XLOOKUP(frasest[[#This Row],[autor_es]],autorest[autor_es],autorest[epoca_la])</f>
        <v>Aetas Contemporanea</v>
      </c>
      <c r="Q420" t="str">
        <f>_xlfn.XLOOKUP(frasest[[#This Row],[autor_es]],autorest[autor_es],autorest[imagen])</f>
        <v>https://i.ibb.co/8g9CdD0p/paulofreire.png</v>
      </c>
      <c r="R420">
        <f>_xlfn.XLOOKUP(frasest[[#This Row],[autor_es]],autorest[autor_es],autorest[imagen_atr])</f>
        <v>0</v>
      </c>
    </row>
    <row r="421" spans="1:18">
      <c r="A421">
        <v>420</v>
      </c>
      <c r="B421" t="s">
        <v>1448</v>
      </c>
      <c r="C421" t="s">
        <v>1449</v>
      </c>
      <c r="D421" t="s">
        <v>1450</v>
      </c>
      <c r="E421" t="s">
        <v>1430</v>
      </c>
      <c r="F421" t="s">
        <v>1451</v>
      </c>
      <c r="G421" t="str">
        <f>_xlfn.XLOOKUP(frasest[[#This Row],[autor_es]],autorest[autor_es],autorest[autor_la])</f>
        <v>Paulus Freire</v>
      </c>
      <c r="H421" t="str">
        <f>_xlfn.XLOOKUP(frasest[[#This Row],[autor_es]],autorest[autor_es],autorest[bio_es])</f>
        <v>Pedagogo brasileño, creador de la Pedagogía del Oprimido y la educación liberadora. Desarrolló un revolucionario método de alfabetización crítica que entiende la educación como práctica de libertad y transformación social. Figura fundamental de la pedagogía crítica mundial.</v>
      </c>
      <c r="I421" t="str">
        <f>_xlfn.XLOOKUP(frasest[[#This Row],[autor_es]],autorest[autor_es],autorest[bio_la])</f>
        <v>Paedagogus Brasilianus, creator Paedagogiae Oppressorum et educationis liberatricis. Methodum revolutionarium alphabetizationis criticae elaboravit qui educationem ut praxim libertatis et transformationis socialis intelligit. Figura fundamentalis paedagogiae criticae mundialis.</v>
      </c>
      <c r="J421" t="str">
        <f>_xlfn.XLOOKUP(frasest[[#This Row],[autor_es]],autorest[autor_es],autorest[codigo])</f>
        <v>pt</v>
      </c>
      <c r="K421" t="str">
        <f>_xlfn.XLOOKUP(frasest[[#This Row],[autor_es]],autorest[autor_es],autorest[idioma_es])</f>
        <v>Portugués</v>
      </c>
      <c r="L421" t="str">
        <f>_xlfn.XLOOKUP(frasest[[#This Row],[autor_es]],autorest[autor_es],autorest[idioma_la])</f>
        <v>Lingua Lusitanica</v>
      </c>
      <c r="M421" t="str">
        <f>_xlfn.XLOOKUP(frasest[[#This Row],[autor_es]],autorest[autor_es],autorest[nacion_es])</f>
        <v>Brasil</v>
      </c>
      <c r="N421" t="str">
        <f>_xlfn.XLOOKUP(frasest[[#This Row],[autor_es]],autorest[autor_es],autorest[nacion_la])</f>
        <v>Brasilia</v>
      </c>
      <c r="O421" t="str">
        <f>_xlfn.XLOOKUP(frasest[[#This Row],[autor_es]],autorest[autor_es],autorest[epoca_es])</f>
        <v>Edad Contemporánea</v>
      </c>
      <c r="P421" t="str">
        <f>_xlfn.XLOOKUP(frasest[[#This Row],[autor_es]],autorest[autor_es],autorest[epoca_la])</f>
        <v>Aetas Contemporanea</v>
      </c>
      <c r="Q421" t="str">
        <f>_xlfn.XLOOKUP(frasest[[#This Row],[autor_es]],autorest[autor_es],autorest[imagen])</f>
        <v>https://i.ibb.co/8g9CdD0p/paulofreire.png</v>
      </c>
      <c r="R421">
        <f>_xlfn.XLOOKUP(frasest[[#This Row],[autor_es]],autorest[autor_es],autorest[imagen_atr])</f>
        <v>0</v>
      </c>
    </row>
    <row r="422" spans="1:18">
      <c r="A422">
        <v>421</v>
      </c>
      <c r="B422" t="s">
        <v>1452</v>
      </c>
      <c r="C422" t="s">
        <v>1453</v>
      </c>
      <c r="D422" t="s">
        <v>1453</v>
      </c>
      <c r="E422" t="s">
        <v>1454</v>
      </c>
      <c r="F422" t="s">
        <v>1453</v>
      </c>
      <c r="G422" t="str">
        <f>_xlfn.XLOOKUP(frasest[[#This Row],[autor_es]],autorest[autor_es],autorest[autor_la])</f>
        <v>Sanctus Iosephus Calasanctius</v>
      </c>
      <c r="H422" t="str">
        <f>_xlfn.XLOOKUP(frasest[[#This Row],[autor_es]],autorest[autor_es],autorest[bio_es])</f>
        <v>Sacerdote español fundador de las Escuelas Pías y de la Orden de los Escolapios. Pionero de la educación popular gratuita y universal en Europa, abrió la primera escuela pública gratuita en 1597 en Roma. Su lema educativo fue Piedad y Letras, defendiendo la educación integral para todos sin distinción.</v>
      </c>
      <c r="I422" t="str">
        <f>_xlfn.XLOOKUP(frasest[[#This Row],[autor_es]],autorest[autor_es],autorest[bio_la])</f>
        <v>Sacerdos Hispanicus Scholarum Piarum et Ordinis Clericorum Regularium Pauperum Matris Dei Scholarum Piarum fundator. Pionarius educationis popularis gratuitae et universalis in Europa, primam scholam publicam gratuitam anno 1597 Romae aperuit. Lemma educativum eius fuit Pietas et Litterae, educationem integralem pro omnibus sine distinctione defendens.</v>
      </c>
      <c r="J422" t="str">
        <f>_xlfn.XLOOKUP(frasest[[#This Row],[autor_es]],autorest[autor_es],autorest[codigo])</f>
        <v>la</v>
      </c>
      <c r="K422" t="str">
        <f>_xlfn.XLOOKUP(frasest[[#This Row],[autor_es]],autorest[autor_es],autorest[idioma_es])</f>
        <v>Latín</v>
      </c>
      <c r="L422" t="str">
        <f>_xlfn.XLOOKUP(frasest[[#This Row],[autor_es]],autorest[autor_es],autorest[idioma_la])</f>
        <v>Lingua Latina</v>
      </c>
      <c r="M422" t="str">
        <f>_xlfn.XLOOKUP(frasest[[#This Row],[autor_es]],autorest[autor_es],autorest[nacion_es])</f>
        <v>España</v>
      </c>
      <c r="N422" t="str">
        <f>_xlfn.XLOOKUP(frasest[[#This Row],[autor_es]],autorest[autor_es],autorest[nacion_la])</f>
        <v>Hispania</v>
      </c>
      <c r="O422" t="str">
        <f>_xlfn.XLOOKUP(frasest[[#This Row],[autor_es]],autorest[autor_es],autorest[epoca_es])</f>
        <v>Edad Moderna</v>
      </c>
      <c r="P422" t="str">
        <f>_xlfn.XLOOKUP(frasest[[#This Row],[autor_es]],autorest[autor_es],autorest[epoca_la])</f>
        <v>Nova Aetas</v>
      </c>
      <c r="Q422" t="str">
        <f>_xlfn.XLOOKUP(frasest[[#This Row],[autor_es]],autorest[autor_es],autorest[imagen])</f>
        <v>https://i.ibb.co/C5vjn9Hz/sanjosedecalasanz.png</v>
      </c>
      <c r="R422">
        <f>_xlfn.XLOOKUP(frasest[[#This Row],[autor_es]],autorest[autor_es],autorest[imagen_atr])</f>
        <v>0</v>
      </c>
    </row>
    <row r="423" spans="1:18">
      <c r="A423">
        <v>422</v>
      </c>
      <c r="B423" t="s">
        <v>1455</v>
      </c>
      <c r="C423" t="s">
        <v>1456</v>
      </c>
      <c r="D423" t="s">
        <v>1456</v>
      </c>
      <c r="E423" t="s">
        <v>1454</v>
      </c>
      <c r="F423" t="s">
        <v>1457</v>
      </c>
      <c r="G423" t="str">
        <f>_xlfn.XLOOKUP(frasest[[#This Row],[autor_es]],autorest[autor_es],autorest[autor_la])</f>
        <v>Sanctus Iosephus Calasanctius</v>
      </c>
      <c r="H423" t="str">
        <f>_xlfn.XLOOKUP(frasest[[#This Row],[autor_es]],autorest[autor_es],autorest[bio_es])</f>
        <v>Sacerdote español fundador de las Escuelas Pías y de la Orden de los Escolapios. Pionero de la educación popular gratuita y universal en Europa, abrió la primera escuela pública gratuita en 1597 en Roma. Su lema educativo fue Piedad y Letras, defendiendo la educación integral para todos sin distinción.</v>
      </c>
      <c r="I423" t="str">
        <f>_xlfn.XLOOKUP(frasest[[#This Row],[autor_es]],autorest[autor_es],autorest[bio_la])</f>
        <v>Sacerdos Hispanicus Scholarum Piarum et Ordinis Clericorum Regularium Pauperum Matris Dei Scholarum Piarum fundator. Pionarius educationis popularis gratuitae et universalis in Europa, primam scholam publicam gratuitam anno 1597 Romae aperuit. Lemma educativum eius fuit Pietas et Litterae, educationem integralem pro omnibus sine distinctione defendens.</v>
      </c>
      <c r="J423" t="str">
        <f>_xlfn.XLOOKUP(frasest[[#This Row],[autor_es]],autorest[autor_es],autorest[codigo])</f>
        <v>la</v>
      </c>
      <c r="K423" t="str">
        <f>_xlfn.XLOOKUP(frasest[[#This Row],[autor_es]],autorest[autor_es],autorest[idioma_es])</f>
        <v>Latín</v>
      </c>
      <c r="L423" t="str">
        <f>_xlfn.XLOOKUP(frasest[[#This Row],[autor_es]],autorest[autor_es],autorest[idioma_la])</f>
        <v>Lingua Latina</v>
      </c>
      <c r="M423" t="str">
        <f>_xlfn.XLOOKUP(frasest[[#This Row],[autor_es]],autorest[autor_es],autorest[nacion_es])</f>
        <v>España</v>
      </c>
      <c r="N423" t="str">
        <f>_xlfn.XLOOKUP(frasest[[#This Row],[autor_es]],autorest[autor_es],autorest[nacion_la])</f>
        <v>Hispania</v>
      </c>
      <c r="O423" t="str">
        <f>_xlfn.XLOOKUP(frasest[[#This Row],[autor_es]],autorest[autor_es],autorest[epoca_es])</f>
        <v>Edad Moderna</v>
      </c>
      <c r="P423" t="str">
        <f>_xlfn.XLOOKUP(frasest[[#This Row],[autor_es]],autorest[autor_es],autorest[epoca_la])</f>
        <v>Nova Aetas</v>
      </c>
      <c r="Q423" t="str">
        <f>_xlfn.XLOOKUP(frasest[[#This Row],[autor_es]],autorest[autor_es],autorest[imagen])</f>
        <v>https://i.ibb.co/C5vjn9Hz/sanjosedecalasanz.png</v>
      </c>
      <c r="R423">
        <f>_xlfn.XLOOKUP(frasest[[#This Row],[autor_es]],autorest[autor_es],autorest[imagen_atr])</f>
        <v>0</v>
      </c>
    </row>
    <row r="424" spans="1:18">
      <c r="A424">
        <v>423</v>
      </c>
      <c r="B424" t="s">
        <v>1458</v>
      </c>
      <c r="C424" t="s">
        <v>1459</v>
      </c>
      <c r="D424" t="s">
        <v>1459</v>
      </c>
      <c r="E424" t="s">
        <v>1454</v>
      </c>
      <c r="F424" t="s">
        <v>1457</v>
      </c>
      <c r="G424" t="str">
        <f>_xlfn.XLOOKUP(frasest[[#This Row],[autor_es]],autorest[autor_es],autorest[autor_la])</f>
        <v>Sanctus Iosephus Calasanctius</v>
      </c>
      <c r="H424" t="str">
        <f>_xlfn.XLOOKUP(frasest[[#This Row],[autor_es]],autorest[autor_es],autorest[bio_es])</f>
        <v>Sacerdote español fundador de las Escuelas Pías y de la Orden de los Escolapios. Pionero de la educación popular gratuita y universal en Europa, abrió la primera escuela pública gratuita en 1597 en Roma. Su lema educativo fue Piedad y Letras, defendiendo la educación integral para todos sin distinción.</v>
      </c>
      <c r="I424" t="str">
        <f>_xlfn.XLOOKUP(frasest[[#This Row],[autor_es]],autorest[autor_es],autorest[bio_la])</f>
        <v>Sacerdos Hispanicus Scholarum Piarum et Ordinis Clericorum Regularium Pauperum Matris Dei Scholarum Piarum fundator. Pionarius educationis popularis gratuitae et universalis in Europa, primam scholam publicam gratuitam anno 1597 Romae aperuit. Lemma educativum eius fuit Pietas et Litterae, educationem integralem pro omnibus sine distinctione defendens.</v>
      </c>
      <c r="J424" t="str">
        <f>_xlfn.XLOOKUP(frasest[[#This Row],[autor_es]],autorest[autor_es],autorest[codigo])</f>
        <v>la</v>
      </c>
      <c r="K424" t="str">
        <f>_xlfn.XLOOKUP(frasest[[#This Row],[autor_es]],autorest[autor_es],autorest[idioma_es])</f>
        <v>Latín</v>
      </c>
      <c r="L424" t="str">
        <f>_xlfn.XLOOKUP(frasest[[#This Row],[autor_es]],autorest[autor_es],autorest[idioma_la])</f>
        <v>Lingua Latina</v>
      </c>
      <c r="M424" t="str">
        <f>_xlfn.XLOOKUP(frasest[[#This Row],[autor_es]],autorest[autor_es],autorest[nacion_es])</f>
        <v>España</v>
      </c>
      <c r="N424" t="str">
        <f>_xlfn.XLOOKUP(frasest[[#This Row],[autor_es]],autorest[autor_es],autorest[nacion_la])</f>
        <v>Hispania</v>
      </c>
      <c r="O424" t="str">
        <f>_xlfn.XLOOKUP(frasest[[#This Row],[autor_es]],autorest[autor_es],autorest[epoca_es])</f>
        <v>Edad Moderna</v>
      </c>
      <c r="P424" t="str">
        <f>_xlfn.XLOOKUP(frasest[[#This Row],[autor_es]],autorest[autor_es],autorest[epoca_la])</f>
        <v>Nova Aetas</v>
      </c>
      <c r="Q424" t="str">
        <f>_xlfn.XLOOKUP(frasest[[#This Row],[autor_es]],autorest[autor_es],autorest[imagen])</f>
        <v>https://i.ibb.co/C5vjn9Hz/sanjosedecalasanz.png</v>
      </c>
      <c r="R424">
        <f>_xlfn.XLOOKUP(frasest[[#This Row],[autor_es]],autorest[autor_es],autorest[imagen_atr])</f>
        <v>0</v>
      </c>
    </row>
    <row r="425" spans="1:18">
      <c r="A425">
        <v>424</v>
      </c>
      <c r="B425" t="s">
        <v>1460</v>
      </c>
      <c r="C425" t="s">
        <v>1461</v>
      </c>
      <c r="D425" t="s">
        <v>1461</v>
      </c>
      <c r="E425" t="s">
        <v>1454</v>
      </c>
      <c r="F425" t="s">
        <v>1457</v>
      </c>
      <c r="G425" t="str">
        <f>_xlfn.XLOOKUP(frasest[[#This Row],[autor_es]],autorest[autor_es],autorest[autor_la])</f>
        <v>Sanctus Iosephus Calasanctius</v>
      </c>
      <c r="H425" t="str">
        <f>_xlfn.XLOOKUP(frasest[[#This Row],[autor_es]],autorest[autor_es],autorest[bio_es])</f>
        <v>Sacerdote español fundador de las Escuelas Pías y de la Orden de los Escolapios. Pionero de la educación popular gratuita y universal en Europa, abrió la primera escuela pública gratuita en 1597 en Roma. Su lema educativo fue Piedad y Letras, defendiendo la educación integral para todos sin distinción.</v>
      </c>
      <c r="I425" t="str">
        <f>_xlfn.XLOOKUP(frasest[[#This Row],[autor_es]],autorest[autor_es],autorest[bio_la])</f>
        <v>Sacerdos Hispanicus Scholarum Piarum et Ordinis Clericorum Regularium Pauperum Matris Dei Scholarum Piarum fundator. Pionarius educationis popularis gratuitae et universalis in Europa, primam scholam publicam gratuitam anno 1597 Romae aperuit. Lemma educativum eius fuit Pietas et Litterae, educationem integralem pro omnibus sine distinctione defendens.</v>
      </c>
      <c r="J425" t="str">
        <f>_xlfn.XLOOKUP(frasest[[#This Row],[autor_es]],autorest[autor_es],autorest[codigo])</f>
        <v>la</v>
      </c>
      <c r="K425" t="str">
        <f>_xlfn.XLOOKUP(frasest[[#This Row],[autor_es]],autorest[autor_es],autorest[idioma_es])</f>
        <v>Latín</v>
      </c>
      <c r="L425" t="str">
        <f>_xlfn.XLOOKUP(frasest[[#This Row],[autor_es]],autorest[autor_es],autorest[idioma_la])</f>
        <v>Lingua Latina</v>
      </c>
      <c r="M425" t="str">
        <f>_xlfn.XLOOKUP(frasest[[#This Row],[autor_es]],autorest[autor_es],autorest[nacion_es])</f>
        <v>España</v>
      </c>
      <c r="N425" t="str">
        <f>_xlfn.XLOOKUP(frasest[[#This Row],[autor_es]],autorest[autor_es],autorest[nacion_la])</f>
        <v>Hispania</v>
      </c>
      <c r="O425" t="str">
        <f>_xlfn.XLOOKUP(frasest[[#This Row],[autor_es]],autorest[autor_es],autorest[epoca_es])</f>
        <v>Edad Moderna</v>
      </c>
      <c r="P425" t="str">
        <f>_xlfn.XLOOKUP(frasest[[#This Row],[autor_es]],autorest[autor_es],autorest[epoca_la])</f>
        <v>Nova Aetas</v>
      </c>
      <c r="Q425" t="str">
        <f>_xlfn.XLOOKUP(frasest[[#This Row],[autor_es]],autorest[autor_es],autorest[imagen])</f>
        <v>https://i.ibb.co/C5vjn9Hz/sanjosedecalasanz.png</v>
      </c>
      <c r="R425">
        <f>_xlfn.XLOOKUP(frasest[[#This Row],[autor_es]],autorest[autor_es],autorest[imagen_atr])</f>
        <v>0</v>
      </c>
    </row>
    <row r="426" spans="1:18">
      <c r="A426">
        <v>425</v>
      </c>
      <c r="B426" t="s">
        <v>1462</v>
      </c>
      <c r="C426" t="s">
        <v>1463</v>
      </c>
      <c r="D426" t="s">
        <v>1463</v>
      </c>
      <c r="E426" t="s">
        <v>1454</v>
      </c>
      <c r="F426" t="s">
        <v>1457</v>
      </c>
      <c r="G426" t="str">
        <f>_xlfn.XLOOKUP(frasest[[#This Row],[autor_es]],autorest[autor_es],autorest[autor_la])</f>
        <v>Sanctus Iosephus Calasanctius</v>
      </c>
      <c r="H426" t="str">
        <f>_xlfn.XLOOKUP(frasest[[#This Row],[autor_es]],autorest[autor_es],autorest[bio_es])</f>
        <v>Sacerdote español fundador de las Escuelas Pías y de la Orden de los Escolapios. Pionero de la educación popular gratuita y universal en Europa, abrió la primera escuela pública gratuita en 1597 en Roma. Su lema educativo fue Piedad y Letras, defendiendo la educación integral para todos sin distinción.</v>
      </c>
      <c r="I426" t="str">
        <f>_xlfn.XLOOKUP(frasest[[#This Row],[autor_es]],autorest[autor_es],autorest[bio_la])</f>
        <v>Sacerdos Hispanicus Scholarum Piarum et Ordinis Clericorum Regularium Pauperum Matris Dei Scholarum Piarum fundator. Pionarius educationis popularis gratuitae et universalis in Europa, primam scholam publicam gratuitam anno 1597 Romae aperuit. Lemma educativum eius fuit Pietas et Litterae, educationem integralem pro omnibus sine distinctione defendens.</v>
      </c>
      <c r="J426" t="str">
        <f>_xlfn.XLOOKUP(frasest[[#This Row],[autor_es]],autorest[autor_es],autorest[codigo])</f>
        <v>la</v>
      </c>
      <c r="K426" t="str">
        <f>_xlfn.XLOOKUP(frasest[[#This Row],[autor_es]],autorest[autor_es],autorest[idioma_es])</f>
        <v>Latín</v>
      </c>
      <c r="L426" t="str">
        <f>_xlfn.XLOOKUP(frasest[[#This Row],[autor_es]],autorest[autor_es],autorest[idioma_la])</f>
        <v>Lingua Latina</v>
      </c>
      <c r="M426" t="str">
        <f>_xlfn.XLOOKUP(frasest[[#This Row],[autor_es]],autorest[autor_es],autorest[nacion_es])</f>
        <v>España</v>
      </c>
      <c r="N426" t="str">
        <f>_xlfn.XLOOKUP(frasest[[#This Row],[autor_es]],autorest[autor_es],autorest[nacion_la])</f>
        <v>Hispania</v>
      </c>
      <c r="O426" t="str">
        <f>_xlfn.XLOOKUP(frasest[[#This Row],[autor_es]],autorest[autor_es],autorest[epoca_es])</f>
        <v>Edad Moderna</v>
      </c>
      <c r="P426" t="str">
        <f>_xlfn.XLOOKUP(frasest[[#This Row],[autor_es]],autorest[autor_es],autorest[epoca_la])</f>
        <v>Nova Aetas</v>
      </c>
      <c r="Q426" t="str">
        <f>_xlfn.XLOOKUP(frasest[[#This Row],[autor_es]],autorest[autor_es],autorest[imagen])</f>
        <v>https://i.ibb.co/C5vjn9Hz/sanjosedecalasanz.png</v>
      </c>
      <c r="R426">
        <f>_xlfn.XLOOKUP(frasest[[#This Row],[autor_es]],autorest[autor_es],autorest[imagen_atr])</f>
        <v>0</v>
      </c>
    </row>
    <row r="427" spans="1:18">
      <c r="A427">
        <v>426</v>
      </c>
      <c r="B427" t="s">
        <v>1464</v>
      </c>
      <c r="C427" t="s">
        <v>1465</v>
      </c>
      <c r="D427" t="s">
        <v>1465</v>
      </c>
      <c r="E427" t="s">
        <v>1454</v>
      </c>
      <c r="F427" t="s">
        <v>1457</v>
      </c>
      <c r="G427" t="str">
        <f>_xlfn.XLOOKUP(frasest[[#This Row],[autor_es]],autorest[autor_es],autorest[autor_la])</f>
        <v>Sanctus Iosephus Calasanctius</v>
      </c>
      <c r="H427" t="str">
        <f>_xlfn.XLOOKUP(frasest[[#This Row],[autor_es]],autorest[autor_es],autorest[bio_es])</f>
        <v>Sacerdote español fundador de las Escuelas Pías y de la Orden de los Escolapios. Pionero de la educación popular gratuita y universal en Europa, abrió la primera escuela pública gratuita en 1597 en Roma. Su lema educativo fue Piedad y Letras, defendiendo la educación integral para todos sin distinción.</v>
      </c>
      <c r="I427" t="str">
        <f>_xlfn.XLOOKUP(frasest[[#This Row],[autor_es]],autorest[autor_es],autorest[bio_la])</f>
        <v>Sacerdos Hispanicus Scholarum Piarum et Ordinis Clericorum Regularium Pauperum Matris Dei Scholarum Piarum fundator. Pionarius educationis popularis gratuitae et universalis in Europa, primam scholam publicam gratuitam anno 1597 Romae aperuit. Lemma educativum eius fuit Pietas et Litterae, educationem integralem pro omnibus sine distinctione defendens.</v>
      </c>
      <c r="J427" t="str">
        <f>_xlfn.XLOOKUP(frasest[[#This Row],[autor_es]],autorest[autor_es],autorest[codigo])</f>
        <v>la</v>
      </c>
      <c r="K427" t="str">
        <f>_xlfn.XLOOKUP(frasest[[#This Row],[autor_es]],autorest[autor_es],autorest[idioma_es])</f>
        <v>Latín</v>
      </c>
      <c r="L427" t="str">
        <f>_xlfn.XLOOKUP(frasest[[#This Row],[autor_es]],autorest[autor_es],autorest[idioma_la])</f>
        <v>Lingua Latina</v>
      </c>
      <c r="M427" t="str">
        <f>_xlfn.XLOOKUP(frasest[[#This Row],[autor_es]],autorest[autor_es],autorest[nacion_es])</f>
        <v>España</v>
      </c>
      <c r="N427" t="str">
        <f>_xlfn.XLOOKUP(frasest[[#This Row],[autor_es]],autorest[autor_es],autorest[nacion_la])</f>
        <v>Hispania</v>
      </c>
      <c r="O427" t="str">
        <f>_xlfn.XLOOKUP(frasest[[#This Row],[autor_es]],autorest[autor_es],autorest[epoca_es])</f>
        <v>Edad Moderna</v>
      </c>
      <c r="P427" t="str">
        <f>_xlfn.XLOOKUP(frasest[[#This Row],[autor_es]],autorest[autor_es],autorest[epoca_la])</f>
        <v>Nova Aetas</v>
      </c>
      <c r="Q427" t="str">
        <f>_xlfn.XLOOKUP(frasest[[#This Row],[autor_es]],autorest[autor_es],autorest[imagen])</f>
        <v>https://i.ibb.co/C5vjn9Hz/sanjosedecalasanz.png</v>
      </c>
      <c r="R427">
        <f>_xlfn.XLOOKUP(frasest[[#This Row],[autor_es]],autorest[autor_es],autorest[imagen_atr])</f>
        <v>0</v>
      </c>
    </row>
    <row r="428" spans="1:18">
      <c r="A428">
        <v>427</v>
      </c>
      <c r="B428" t="s">
        <v>1466</v>
      </c>
      <c r="C428" t="s">
        <v>1467</v>
      </c>
      <c r="D428" t="s">
        <v>1467</v>
      </c>
      <c r="E428" t="s">
        <v>1468</v>
      </c>
      <c r="F428" t="s">
        <v>1469</v>
      </c>
      <c r="G428" t="str">
        <f>_xlfn.XLOOKUP(frasest[[#This Row],[autor_es]],autorest[autor_es],autorest[autor_la])</f>
        <v>Desiderius Erasmus Roterodamus</v>
      </c>
      <c r="H428" t="str">
        <f>_xlfn.XLOOKUP(frasest[[#This Row],[autor_es]],autorest[autor_es],autorest[bio_es])</f>
        <v>Humanista, filósofo y teólogo neerlandés, figura cumbre del Renacimiento europeo. Crítico de la Iglesia desde dentro, defensor de la reforma educativa y moral. Amigo de Tomás Moro, editor del Nuevo Testamento griego y las obras de San Jerónimo. Autor del Elogio de la locura y precursor del pensamiento moderno.</v>
      </c>
      <c r="I428" t="str">
        <f>_xlfn.XLOOKUP(frasest[[#This Row],[autor_es]],autorest[autor_es],autorest[bio_la])</f>
        <v>Humanista, philosophus et theologus Batavus, figura culmen Renascentiae Europaeae. Criticus Ecclesiae ab intra, defensor reformae educativae et moralis. Amicus Thomae Mori, editor Novi Testamenti Graeci et operum Sancti Hieronymi. Auctor Moriae Encomii et praecursor cogitationis modernae.</v>
      </c>
      <c r="J428" t="str">
        <f>_xlfn.XLOOKUP(frasest[[#This Row],[autor_es]],autorest[autor_es],autorest[codigo])</f>
        <v>la</v>
      </c>
      <c r="K428" t="str">
        <f>_xlfn.XLOOKUP(frasest[[#This Row],[autor_es]],autorest[autor_es],autorest[idioma_es])</f>
        <v>Latín</v>
      </c>
      <c r="L428" t="str">
        <f>_xlfn.XLOOKUP(frasest[[#This Row],[autor_es]],autorest[autor_es],autorest[idioma_la])</f>
        <v>Lingua Latina</v>
      </c>
      <c r="M428" t="str">
        <f>_xlfn.XLOOKUP(frasest[[#This Row],[autor_es]],autorest[autor_es],autorest[nacion_es])</f>
        <v>Países Bajos</v>
      </c>
      <c r="N428" t="str">
        <f>_xlfn.XLOOKUP(frasest[[#This Row],[autor_es]],autorest[autor_es],autorest[nacion_la])</f>
        <v>Nederlandia</v>
      </c>
      <c r="O428" t="str">
        <f>_xlfn.XLOOKUP(frasest[[#This Row],[autor_es]],autorest[autor_es],autorest[epoca_es])</f>
        <v>Edad Media</v>
      </c>
      <c r="P428" t="str">
        <f>_xlfn.XLOOKUP(frasest[[#This Row],[autor_es]],autorest[autor_es],autorest[epoca_la])</f>
        <v>Medium Aevum</v>
      </c>
      <c r="Q428" t="str">
        <f>_xlfn.XLOOKUP(frasest[[#This Row],[autor_es]],autorest[autor_es],autorest[imagen])</f>
        <v>https://i.ibb.co/7d7hCTQ3/erasmo.png</v>
      </c>
      <c r="R428">
        <f>_xlfn.XLOOKUP(frasest[[#This Row],[autor_es]],autorest[autor_es],autorest[imagen_atr])</f>
        <v>0</v>
      </c>
    </row>
    <row r="429" spans="1:18">
      <c r="A429">
        <v>428</v>
      </c>
      <c r="B429" t="s">
        <v>1470</v>
      </c>
      <c r="C429" t="s">
        <v>1471</v>
      </c>
      <c r="D429" t="s">
        <v>1471</v>
      </c>
      <c r="E429" t="s">
        <v>1468</v>
      </c>
      <c r="F429" t="s">
        <v>1472</v>
      </c>
      <c r="G429" t="str">
        <f>_xlfn.XLOOKUP(frasest[[#This Row],[autor_es]],autorest[autor_es],autorest[autor_la])</f>
        <v>Desiderius Erasmus Roterodamus</v>
      </c>
      <c r="H429" t="str">
        <f>_xlfn.XLOOKUP(frasest[[#This Row],[autor_es]],autorest[autor_es],autorest[bio_es])</f>
        <v>Humanista, filósofo y teólogo neerlandés, figura cumbre del Renacimiento europeo. Crítico de la Iglesia desde dentro, defensor de la reforma educativa y moral. Amigo de Tomás Moro, editor del Nuevo Testamento griego y las obras de San Jerónimo. Autor del Elogio de la locura y precursor del pensamiento moderno.</v>
      </c>
      <c r="I429" t="str">
        <f>_xlfn.XLOOKUP(frasest[[#This Row],[autor_es]],autorest[autor_es],autorest[bio_la])</f>
        <v>Humanista, philosophus et theologus Batavus, figura culmen Renascentiae Europaeae. Criticus Ecclesiae ab intra, defensor reformae educativae et moralis. Amicus Thomae Mori, editor Novi Testamenti Graeci et operum Sancti Hieronymi. Auctor Moriae Encomii et praecursor cogitationis modernae.</v>
      </c>
      <c r="J429" t="str">
        <f>_xlfn.XLOOKUP(frasest[[#This Row],[autor_es]],autorest[autor_es],autorest[codigo])</f>
        <v>la</v>
      </c>
      <c r="K429" t="str">
        <f>_xlfn.XLOOKUP(frasest[[#This Row],[autor_es]],autorest[autor_es],autorest[idioma_es])</f>
        <v>Latín</v>
      </c>
      <c r="L429" t="str">
        <f>_xlfn.XLOOKUP(frasest[[#This Row],[autor_es]],autorest[autor_es],autorest[idioma_la])</f>
        <v>Lingua Latina</v>
      </c>
      <c r="M429" t="str">
        <f>_xlfn.XLOOKUP(frasest[[#This Row],[autor_es]],autorest[autor_es],autorest[nacion_es])</f>
        <v>Países Bajos</v>
      </c>
      <c r="N429" t="str">
        <f>_xlfn.XLOOKUP(frasest[[#This Row],[autor_es]],autorest[autor_es],autorest[nacion_la])</f>
        <v>Nederlandia</v>
      </c>
      <c r="O429" t="str">
        <f>_xlfn.XLOOKUP(frasest[[#This Row],[autor_es]],autorest[autor_es],autorest[epoca_es])</f>
        <v>Edad Media</v>
      </c>
      <c r="P429" t="str">
        <f>_xlfn.XLOOKUP(frasest[[#This Row],[autor_es]],autorest[autor_es],autorest[epoca_la])</f>
        <v>Medium Aevum</v>
      </c>
      <c r="Q429" t="str">
        <f>_xlfn.XLOOKUP(frasest[[#This Row],[autor_es]],autorest[autor_es],autorest[imagen])</f>
        <v>https://i.ibb.co/7d7hCTQ3/erasmo.png</v>
      </c>
      <c r="R429">
        <f>_xlfn.XLOOKUP(frasest[[#This Row],[autor_es]],autorest[autor_es],autorest[imagen_atr])</f>
        <v>0</v>
      </c>
    </row>
    <row r="430" spans="1:18">
      <c r="A430">
        <v>429</v>
      </c>
      <c r="B430" t="s">
        <v>1473</v>
      </c>
      <c r="C430" t="s">
        <v>1474</v>
      </c>
      <c r="D430" t="s">
        <v>1474</v>
      </c>
      <c r="E430" t="s">
        <v>1468</v>
      </c>
      <c r="F430" t="s">
        <v>1475</v>
      </c>
      <c r="G430" t="str">
        <f>_xlfn.XLOOKUP(frasest[[#This Row],[autor_es]],autorest[autor_es],autorest[autor_la])</f>
        <v>Desiderius Erasmus Roterodamus</v>
      </c>
      <c r="H430" t="str">
        <f>_xlfn.XLOOKUP(frasest[[#This Row],[autor_es]],autorest[autor_es],autorest[bio_es])</f>
        <v>Humanista, filósofo y teólogo neerlandés, figura cumbre del Renacimiento europeo. Crítico de la Iglesia desde dentro, defensor de la reforma educativa y moral. Amigo de Tomás Moro, editor del Nuevo Testamento griego y las obras de San Jerónimo. Autor del Elogio de la locura y precursor del pensamiento moderno.</v>
      </c>
      <c r="I430" t="str">
        <f>_xlfn.XLOOKUP(frasest[[#This Row],[autor_es]],autorest[autor_es],autorest[bio_la])</f>
        <v>Humanista, philosophus et theologus Batavus, figura culmen Renascentiae Europaeae. Criticus Ecclesiae ab intra, defensor reformae educativae et moralis. Amicus Thomae Mori, editor Novi Testamenti Graeci et operum Sancti Hieronymi. Auctor Moriae Encomii et praecursor cogitationis modernae.</v>
      </c>
      <c r="J430" t="str">
        <f>_xlfn.XLOOKUP(frasest[[#This Row],[autor_es]],autorest[autor_es],autorest[codigo])</f>
        <v>la</v>
      </c>
      <c r="K430" t="str">
        <f>_xlfn.XLOOKUP(frasest[[#This Row],[autor_es]],autorest[autor_es],autorest[idioma_es])</f>
        <v>Latín</v>
      </c>
      <c r="L430" t="str">
        <f>_xlfn.XLOOKUP(frasest[[#This Row],[autor_es]],autorest[autor_es],autorest[idioma_la])</f>
        <v>Lingua Latina</v>
      </c>
      <c r="M430" t="str">
        <f>_xlfn.XLOOKUP(frasest[[#This Row],[autor_es]],autorest[autor_es],autorest[nacion_es])</f>
        <v>Países Bajos</v>
      </c>
      <c r="N430" t="str">
        <f>_xlfn.XLOOKUP(frasest[[#This Row],[autor_es]],autorest[autor_es],autorest[nacion_la])</f>
        <v>Nederlandia</v>
      </c>
      <c r="O430" t="str">
        <f>_xlfn.XLOOKUP(frasest[[#This Row],[autor_es]],autorest[autor_es],autorest[epoca_es])</f>
        <v>Edad Media</v>
      </c>
      <c r="P430" t="str">
        <f>_xlfn.XLOOKUP(frasest[[#This Row],[autor_es]],autorest[autor_es],autorest[epoca_la])</f>
        <v>Medium Aevum</v>
      </c>
      <c r="Q430" t="str">
        <f>_xlfn.XLOOKUP(frasest[[#This Row],[autor_es]],autorest[autor_es],autorest[imagen])</f>
        <v>https://i.ibb.co/7d7hCTQ3/erasmo.png</v>
      </c>
      <c r="R430">
        <f>_xlfn.XLOOKUP(frasest[[#This Row],[autor_es]],autorest[autor_es],autorest[imagen_atr])</f>
        <v>0</v>
      </c>
    </row>
    <row r="431" spans="1:18">
      <c r="A431">
        <v>430</v>
      </c>
      <c r="B431" t="s">
        <v>1476</v>
      </c>
      <c r="C431" t="s">
        <v>1477</v>
      </c>
      <c r="D431" t="s">
        <v>1477</v>
      </c>
      <c r="E431" t="s">
        <v>1468</v>
      </c>
      <c r="F431" t="s">
        <v>1478</v>
      </c>
      <c r="G431" t="str">
        <f>_xlfn.XLOOKUP(frasest[[#This Row],[autor_es]],autorest[autor_es],autorest[autor_la])</f>
        <v>Desiderius Erasmus Roterodamus</v>
      </c>
      <c r="H431" t="str">
        <f>_xlfn.XLOOKUP(frasest[[#This Row],[autor_es]],autorest[autor_es],autorest[bio_es])</f>
        <v>Humanista, filósofo y teólogo neerlandés, figura cumbre del Renacimiento europeo. Crítico de la Iglesia desde dentro, defensor de la reforma educativa y moral. Amigo de Tomás Moro, editor del Nuevo Testamento griego y las obras de San Jerónimo. Autor del Elogio de la locura y precursor del pensamiento moderno.</v>
      </c>
      <c r="I431" t="str">
        <f>_xlfn.XLOOKUP(frasest[[#This Row],[autor_es]],autorest[autor_es],autorest[bio_la])</f>
        <v>Humanista, philosophus et theologus Batavus, figura culmen Renascentiae Europaeae. Criticus Ecclesiae ab intra, defensor reformae educativae et moralis. Amicus Thomae Mori, editor Novi Testamenti Graeci et operum Sancti Hieronymi. Auctor Moriae Encomii et praecursor cogitationis modernae.</v>
      </c>
      <c r="J431" t="str">
        <f>_xlfn.XLOOKUP(frasest[[#This Row],[autor_es]],autorest[autor_es],autorest[codigo])</f>
        <v>la</v>
      </c>
      <c r="K431" t="str">
        <f>_xlfn.XLOOKUP(frasest[[#This Row],[autor_es]],autorest[autor_es],autorest[idioma_es])</f>
        <v>Latín</v>
      </c>
      <c r="L431" t="str">
        <f>_xlfn.XLOOKUP(frasest[[#This Row],[autor_es]],autorest[autor_es],autorest[idioma_la])</f>
        <v>Lingua Latina</v>
      </c>
      <c r="M431" t="str">
        <f>_xlfn.XLOOKUP(frasest[[#This Row],[autor_es]],autorest[autor_es],autorest[nacion_es])</f>
        <v>Países Bajos</v>
      </c>
      <c r="N431" t="str">
        <f>_xlfn.XLOOKUP(frasest[[#This Row],[autor_es]],autorest[autor_es],autorest[nacion_la])</f>
        <v>Nederlandia</v>
      </c>
      <c r="O431" t="str">
        <f>_xlfn.XLOOKUP(frasest[[#This Row],[autor_es]],autorest[autor_es],autorest[epoca_es])</f>
        <v>Edad Media</v>
      </c>
      <c r="P431" t="str">
        <f>_xlfn.XLOOKUP(frasest[[#This Row],[autor_es]],autorest[autor_es],autorest[epoca_la])</f>
        <v>Medium Aevum</v>
      </c>
      <c r="Q431" t="str">
        <f>_xlfn.XLOOKUP(frasest[[#This Row],[autor_es]],autorest[autor_es],autorest[imagen])</f>
        <v>https://i.ibb.co/7d7hCTQ3/erasmo.png</v>
      </c>
      <c r="R431">
        <f>_xlfn.XLOOKUP(frasest[[#This Row],[autor_es]],autorest[autor_es],autorest[imagen_atr])</f>
        <v>0</v>
      </c>
    </row>
    <row r="432" spans="1:18">
      <c r="A432">
        <v>431</v>
      </c>
      <c r="B432" t="s">
        <v>1479</v>
      </c>
      <c r="C432" t="s">
        <v>1480</v>
      </c>
      <c r="D432" t="s">
        <v>1480</v>
      </c>
      <c r="E432" t="s">
        <v>1468</v>
      </c>
      <c r="F432" t="s">
        <v>1481</v>
      </c>
      <c r="G432" t="str">
        <f>_xlfn.XLOOKUP(frasest[[#This Row],[autor_es]],autorest[autor_es],autorest[autor_la])</f>
        <v>Desiderius Erasmus Roterodamus</v>
      </c>
      <c r="H432" t="str">
        <f>_xlfn.XLOOKUP(frasest[[#This Row],[autor_es]],autorest[autor_es],autorest[bio_es])</f>
        <v>Humanista, filósofo y teólogo neerlandés, figura cumbre del Renacimiento europeo. Crítico de la Iglesia desde dentro, defensor de la reforma educativa y moral. Amigo de Tomás Moro, editor del Nuevo Testamento griego y las obras de San Jerónimo. Autor del Elogio de la locura y precursor del pensamiento moderno.</v>
      </c>
      <c r="I432" t="str">
        <f>_xlfn.XLOOKUP(frasest[[#This Row],[autor_es]],autorest[autor_es],autorest[bio_la])</f>
        <v>Humanista, philosophus et theologus Batavus, figura culmen Renascentiae Europaeae. Criticus Ecclesiae ab intra, defensor reformae educativae et moralis. Amicus Thomae Mori, editor Novi Testamenti Graeci et operum Sancti Hieronymi. Auctor Moriae Encomii et praecursor cogitationis modernae.</v>
      </c>
      <c r="J432" t="str">
        <f>_xlfn.XLOOKUP(frasest[[#This Row],[autor_es]],autorest[autor_es],autorest[codigo])</f>
        <v>la</v>
      </c>
      <c r="K432" t="str">
        <f>_xlfn.XLOOKUP(frasest[[#This Row],[autor_es]],autorest[autor_es],autorest[idioma_es])</f>
        <v>Latín</v>
      </c>
      <c r="L432" t="str">
        <f>_xlfn.XLOOKUP(frasest[[#This Row],[autor_es]],autorest[autor_es],autorest[idioma_la])</f>
        <v>Lingua Latina</v>
      </c>
      <c r="M432" t="str">
        <f>_xlfn.XLOOKUP(frasest[[#This Row],[autor_es]],autorest[autor_es],autorest[nacion_es])</f>
        <v>Países Bajos</v>
      </c>
      <c r="N432" t="str">
        <f>_xlfn.XLOOKUP(frasest[[#This Row],[autor_es]],autorest[autor_es],autorest[nacion_la])</f>
        <v>Nederlandia</v>
      </c>
      <c r="O432" t="str">
        <f>_xlfn.XLOOKUP(frasest[[#This Row],[autor_es]],autorest[autor_es],autorest[epoca_es])</f>
        <v>Edad Media</v>
      </c>
      <c r="P432" t="str">
        <f>_xlfn.XLOOKUP(frasest[[#This Row],[autor_es]],autorest[autor_es],autorest[epoca_la])</f>
        <v>Medium Aevum</v>
      </c>
      <c r="Q432" t="str">
        <f>_xlfn.XLOOKUP(frasest[[#This Row],[autor_es]],autorest[autor_es],autorest[imagen])</f>
        <v>https://i.ibb.co/7d7hCTQ3/erasmo.png</v>
      </c>
      <c r="R432">
        <f>_xlfn.XLOOKUP(frasest[[#This Row],[autor_es]],autorest[autor_es],autorest[imagen_atr])</f>
        <v>0</v>
      </c>
    </row>
    <row r="433" spans="1:18">
      <c r="A433">
        <v>432</v>
      </c>
      <c r="B433" t="s">
        <v>1482</v>
      </c>
      <c r="C433" t="s">
        <v>1483</v>
      </c>
      <c r="D433" t="s">
        <v>1483</v>
      </c>
      <c r="E433" t="s">
        <v>1468</v>
      </c>
      <c r="F433" t="s">
        <v>1481</v>
      </c>
      <c r="G433" t="str">
        <f>_xlfn.XLOOKUP(frasest[[#This Row],[autor_es]],autorest[autor_es],autorest[autor_la])</f>
        <v>Desiderius Erasmus Roterodamus</v>
      </c>
      <c r="H433" t="str">
        <f>_xlfn.XLOOKUP(frasest[[#This Row],[autor_es]],autorest[autor_es],autorest[bio_es])</f>
        <v>Humanista, filósofo y teólogo neerlandés, figura cumbre del Renacimiento europeo. Crítico de la Iglesia desde dentro, defensor de la reforma educativa y moral. Amigo de Tomás Moro, editor del Nuevo Testamento griego y las obras de San Jerónimo. Autor del Elogio de la locura y precursor del pensamiento moderno.</v>
      </c>
      <c r="I433" t="str">
        <f>_xlfn.XLOOKUP(frasest[[#This Row],[autor_es]],autorest[autor_es],autorest[bio_la])</f>
        <v>Humanista, philosophus et theologus Batavus, figura culmen Renascentiae Europaeae. Criticus Ecclesiae ab intra, defensor reformae educativae et moralis. Amicus Thomae Mori, editor Novi Testamenti Graeci et operum Sancti Hieronymi. Auctor Moriae Encomii et praecursor cogitationis modernae.</v>
      </c>
      <c r="J433" t="str">
        <f>_xlfn.XLOOKUP(frasest[[#This Row],[autor_es]],autorest[autor_es],autorest[codigo])</f>
        <v>la</v>
      </c>
      <c r="K433" t="str">
        <f>_xlfn.XLOOKUP(frasest[[#This Row],[autor_es]],autorest[autor_es],autorest[idioma_es])</f>
        <v>Latín</v>
      </c>
      <c r="L433" t="str">
        <f>_xlfn.XLOOKUP(frasest[[#This Row],[autor_es]],autorest[autor_es],autorest[idioma_la])</f>
        <v>Lingua Latina</v>
      </c>
      <c r="M433" t="str">
        <f>_xlfn.XLOOKUP(frasest[[#This Row],[autor_es]],autorest[autor_es],autorest[nacion_es])</f>
        <v>Países Bajos</v>
      </c>
      <c r="N433" t="str">
        <f>_xlfn.XLOOKUP(frasest[[#This Row],[autor_es]],autorest[autor_es],autorest[nacion_la])</f>
        <v>Nederlandia</v>
      </c>
      <c r="O433" t="str">
        <f>_xlfn.XLOOKUP(frasest[[#This Row],[autor_es]],autorest[autor_es],autorest[epoca_es])</f>
        <v>Edad Media</v>
      </c>
      <c r="P433" t="str">
        <f>_xlfn.XLOOKUP(frasest[[#This Row],[autor_es]],autorest[autor_es],autorest[epoca_la])</f>
        <v>Medium Aevum</v>
      </c>
      <c r="Q433" t="str">
        <f>_xlfn.XLOOKUP(frasest[[#This Row],[autor_es]],autorest[autor_es],autorest[imagen])</f>
        <v>https://i.ibb.co/7d7hCTQ3/erasmo.png</v>
      </c>
      <c r="R433">
        <f>_xlfn.XLOOKUP(frasest[[#This Row],[autor_es]],autorest[autor_es],autorest[imagen_atr])</f>
        <v>0</v>
      </c>
    </row>
    <row r="434" spans="1:18">
      <c r="A434">
        <v>433</v>
      </c>
      <c r="B434" t="s">
        <v>1484</v>
      </c>
      <c r="C434" t="s">
        <v>1485</v>
      </c>
      <c r="D434" t="s">
        <v>1486</v>
      </c>
      <c r="E434" t="s">
        <v>1487</v>
      </c>
      <c r="F434" t="s">
        <v>1488</v>
      </c>
      <c r="G434" t="str">
        <f>_xlfn.XLOOKUP(frasest[[#This Row],[autor_es]],autorest[autor_es],autorest[autor_la])</f>
        <v>Arthurus Schopenhauer</v>
      </c>
      <c r="H434" t="str">
        <f>_xlfn.XLOOKUP(frasest[[#This Row],[autor_es]],autorest[autor_es],autorest[bio_es])</f>
        <v>Filósofo alemán, considerado uno de los más brillantes del siglo XIX. Máximo representante del pesimismo filosófico, autor de El mundo como voluntad y representación. Influyó profundamente en Nietzsche, Freud, Wagner y el existencialismo. Pionero en declararse abiertamente ateo y en integrar el pensamiento oriental en la filosofía occidental.</v>
      </c>
      <c r="I434" t="str">
        <f>_xlfn.XLOOKUP(frasest[[#This Row],[autor_es]],autorest[autor_es],autorest[bio_la])</f>
        <v>Philosophus Germanicus, unus ex clarissimis saeculi XIX. Maximus repraesentans pessimismi philosophici, auctor Mundi ut Voluntatis et Repraesentationis. In Nietzsche, Freud, Wagner et existentialismum profunde influxit. Pionarius in aperte atheum se declarare et in cogitationem orientalem in philosophiam occidentalem integrare.</v>
      </c>
      <c r="J434" t="str">
        <f>_xlfn.XLOOKUP(frasest[[#This Row],[autor_es]],autorest[autor_es],autorest[codigo])</f>
        <v>de</v>
      </c>
      <c r="K434" t="str">
        <f>_xlfn.XLOOKUP(frasest[[#This Row],[autor_es]],autorest[autor_es],autorest[idioma_es])</f>
        <v>Alemán</v>
      </c>
      <c r="L434" t="str">
        <f>_xlfn.XLOOKUP(frasest[[#This Row],[autor_es]],autorest[autor_es],autorest[idioma_la])</f>
        <v>Lingua Germanica</v>
      </c>
      <c r="M434" t="str">
        <f>_xlfn.XLOOKUP(frasest[[#This Row],[autor_es]],autorest[autor_es],autorest[nacion_es])</f>
        <v>Alemania</v>
      </c>
      <c r="N434" t="str">
        <f>_xlfn.XLOOKUP(frasest[[#This Row],[autor_es]],autorest[autor_es],autorest[nacion_la])</f>
        <v>Germania</v>
      </c>
      <c r="O434" t="str">
        <f>_xlfn.XLOOKUP(frasest[[#This Row],[autor_es]],autorest[autor_es],autorest[epoca_es])</f>
        <v>Edad Moderna</v>
      </c>
      <c r="P434" t="str">
        <f>_xlfn.XLOOKUP(frasest[[#This Row],[autor_es]],autorest[autor_es],autorest[epoca_la])</f>
        <v>Nova Aetas</v>
      </c>
      <c r="Q434" t="str">
        <f>_xlfn.XLOOKUP(frasest[[#This Row],[autor_es]],autorest[autor_es],autorest[imagen])</f>
        <v>https://i.ibb.co/1B16KyZ/shopenhauer.png</v>
      </c>
      <c r="R434">
        <f>_xlfn.XLOOKUP(frasest[[#This Row],[autor_es]],autorest[autor_es],autorest[imagen_atr])</f>
        <v>0</v>
      </c>
    </row>
    <row r="435" spans="1:18">
      <c r="A435">
        <v>434</v>
      </c>
      <c r="B435" t="s">
        <v>1489</v>
      </c>
      <c r="C435" t="s">
        <v>1490</v>
      </c>
      <c r="D435" t="s">
        <v>1491</v>
      </c>
      <c r="E435" t="s">
        <v>1487</v>
      </c>
      <c r="F435" t="s">
        <v>1492</v>
      </c>
      <c r="G435" t="str">
        <f>_xlfn.XLOOKUP(frasest[[#This Row],[autor_es]],autorest[autor_es],autorest[autor_la])</f>
        <v>Arthurus Schopenhauer</v>
      </c>
      <c r="H435" t="str">
        <f>_xlfn.XLOOKUP(frasest[[#This Row],[autor_es]],autorest[autor_es],autorest[bio_es])</f>
        <v>Filósofo alemán, considerado uno de los más brillantes del siglo XIX. Máximo representante del pesimismo filosófico, autor de El mundo como voluntad y representación. Influyó profundamente en Nietzsche, Freud, Wagner y el existencialismo. Pionero en declararse abiertamente ateo y en integrar el pensamiento oriental en la filosofía occidental.</v>
      </c>
      <c r="I435" t="str">
        <f>_xlfn.XLOOKUP(frasest[[#This Row],[autor_es]],autorest[autor_es],autorest[bio_la])</f>
        <v>Philosophus Germanicus, unus ex clarissimis saeculi XIX. Maximus repraesentans pessimismi philosophici, auctor Mundi ut Voluntatis et Repraesentationis. In Nietzsche, Freud, Wagner et existentialismum profunde influxit. Pionarius in aperte atheum se declarare et in cogitationem orientalem in philosophiam occidentalem integrare.</v>
      </c>
      <c r="J435" t="str">
        <f>_xlfn.XLOOKUP(frasest[[#This Row],[autor_es]],autorest[autor_es],autorest[codigo])</f>
        <v>de</v>
      </c>
      <c r="K435" t="str">
        <f>_xlfn.XLOOKUP(frasest[[#This Row],[autor_es]],autorest[autor_es],autorest[idioma_es])</f>
        <v>Alemán</v>
      </c>
      <c r="L435" t="str">
        <f>_xlfn.XLOOKUP(frasest[[#This Row],[autor_es]],autorest[autor_es],autorest[idioma_la])</f>
        <v>Lingua Germanica</v>
      </c>
      <c r="M435" t="str">
        <f>_xlfn.XLOOKUP(frasest[[#This Row],[autor_es]],autorest[autor_es],autorest[nacion_es])</f>
        <v>Alemania</v>
      </c>
      <c r="N435" t="str">
        <f>_xlfn.XLOOKUP(frasest[[#This Row],[autor_es]],autorest[autor_es],autorest[nacion_la])</f>
        <v>Germania</v>
      </c>
      <c r="O435" t="str">
        <f>_xlfn.XLOOKUP(frasest[[#This Row],[autor_es]],autorest[autor_es],autorest[epoca_es])</f>
        <v>Edad Moderna</v>
      </c>
      <c r="P435" t="str">
        <f>_xlfn.XLOOKUP(frasest[[#This Row],[autor_es]],autorest[autor_es],autorest[epoca_la])</f>
        <v>Nova Aetas</v>
      </c>
      <c r="Q435" t="str">
        <f>_xlfn.XLOOKUP(frasest[[#This Row],[autor_es]],autorest[autor_es],autorest[imagen])</f>
        <v>https://i.ibb.co/1B16KyZ/shopenhauer.png</v>
      </c>
      <c r="R435">
        <f>_xlfn.XLOOKUP(frasest[[#This Row],[autor_es]],autorest[autor_es],autorest[imagen_atr])</f>
        <v>0</v>
      </c>
    </row>
    <row r="436" spans="1:18">
      <c r="A436">
        <v>435</v>
      </c>
      <c r="B436" t="s">
        <v>1493</v>
      </c>
      <c r="C436" t="s">
        <v>1494</v>
      </c>
      <c r="D436" t="s">
        <v>1495</v>
      </c>
      <c r="E436" t="s">
        <v>1487</v>
      </c>
      <c r="F436" t="s">
        <v>1496</v>
      </c>
      <c r="G436" t="str">
        <f>_xlfn.XLOOKUP(frasest[[#This Row],[autor_es]],autorest[autor_es],autorest[autor_la])</f>
        <v>Arthurus Schopenhauer</v>
      </c>
      <c r="H436" t="str">
        <f>_xlfn.XLOOKUP(frasest[[#This Row],[autor_es]],autorest[autor_es],autorest[bio_es])</f>
        <v>Filósofo alemán, considerado uno de los más brillantes del siglo XIX. Máximo representante del pesimismo filosófico, autor de El mundo como voluntad y representación. Influyó profundamente en Nietzsche, Freud, Wagner y el existencialismo. Pionero en declararse abiertamente ateo y en integrar el pensamiento oriental en la filosofía occidental.</v>
      </c>
      <c r="I436" t="str">
        <f>_xlfn.XLOOKUP(frasest[[#This Row],[autor_es]],autorest[autor_es],autorest[bio_la])</f>
        <v>Philosophus Germanicus, unus ex clarissimis saeculi XIX. Maximus repraesentans pessimismi philosophici, auctor Mundi ut Voluntatis et Repraesentationis. In Nietzsche, Freud, Wagner et existentialismum profunde influxit. Pionarius in aperte atheum se declarare et in cogitationem orientalem in philosophiam occidentalem integrare.</v>
      </c>
      <c r="J436" t="str">
        <f>_xlfn.XLOOKUP(frasest[[#This Row],[autor_es]],autorest[autor_es],autorest[codigo])</f>
        <v>de</v>
      </c>
      <c r="K436" t="str">
        <f>_xlfn.XLOOKUP(frasest[[#This Row],[autor_es]],autorest[autor_es],autorest[idioma_es])</f>
        <v>Alemán</v>
      </c>
      <c r="L436" t="str">
        <f>_xlfn.XLOOKUP(frasest[[#This Row],[autor_es]],autorest[autor_es],autorest[idioma_la])</f>
        <v>Lingua Germanica</v>
      </c>
      <c r="M436" t="str">
        <f>_xlfn.XLOOKUP(frasest[[#This Row],[autor_es]],autorest[autor_es],autorest[nacion_es])</f>
        <v>Alemania</v>
      </c>
      <c r="N436" t="str">
        <f>_xlfn.XLOOKUP(frasest[[#This Row],[autor_es]],autorest[autor_es],autorest[nacion_la])</f>
        <v>Germania</v>
      </c>
      <c r="O436" t="str">
        <f>_xlfn.XLOOKUP(frasest[[#This Row],[autor_es]],autorest[autor_es],autorest[epoca_es])</f>
        <v>Edad Moderna</v>
      </c>
      <c r="P436" t="str">
        <f>_xlfn.XLOOKUP(frasest[[#This Row],[autor_es]],autorest[autor_es],autorest[epoca_la])</f>
        <v>Nova Aetas</v>
      </c>
      <c r="Q436" t="str">
        <f>_xlfn.XLOOKUP(frasest[[#This Row],[autor_es]],autorest[autor_es],autorest[imagen])</f>
        <v>https://i.ibb.co/1B16KyZ/shopenhauer.png</v>
      </c>
      <c r="R436">
        <f>_xlfn.XLOOKUP(frasest[[#This Row],[autor_es]],autorest[autor_es],autorest[imagen_atr])</f>
        <v>0</v>
      </c>
    </row>
    <row r="437" spans="1:18">
      <c r="A437">
        <v>436</v>
      </c>
      <c r="B437" t="s">
        <v>1497</v>
      </c>
      <c r="C437" t="s">
        <v>1498</v>
      </c>
      <c r="D437" t="s">
        <v>1499</v>
      </c>
      <c r="E437" t="s">
        <v>1487</v>
      </c>
      <c r="F437" t="s">
        <v>1500</v>
      </c>
      <c r="G437" t="str">
        <f>_xlfn.XLOOKUP(frasest[[#This Row],[autor_es]],autorest[autor_es],autorest[autor_la])</f>
        <v>Arthurus Schopenhauer</v>
      </c>
      <c r="H437" t="str">
        <f>_xlfn.XLOOKUP(frasest[[#This Row],[autor_es]],autorest[autor_es],autorest[bio_es])</f>
        <v>Filósofo alemán, considerado uno de los más brillantes del siglo XIX. Máximo representante del pesimismo filosófico, autor de El mundo como voluntad y representación. Influyó profundamente en Nietzsche, Freud, Wagner y el existencialismo. Pionero en declararse abiertamente ateo y en integrar el pensamiento oriental en la filosofía occidental.</v>
      </c>
      <c r="I437" t="str">
        <f>_xlfn.XLOOKUP(frasest[[#This Row],[autor_es]],autorest[autor_es],autorest[bio_la])</f>
        <v>Philosophus Germanicus, unus ex clarissimis saeculi XIX. Maximus repraesentans pessimismi philosophici, auctor Mundi ut Voluntatis et Repraesentationis. In Nietzsche, Freud, Wagner et existentialismum profunde influxit. Pionarius in aperte atheum se declarare et in cogitationem orientalem in philosophiam occidentalem integrare.</v>
      </c>
      <c r="J437" t="str">
        <f>_xlfn.XLOOKUP(frasest[[#This Row],[autor_es]],autorest[autor_es],autorest[codigo])</f>
        <v>de</v>
      </c>
      <c r="K437" t="str">
        <f>_xlfn.XLOOKUP(frasest[[#This Row],[autor_es]],autorest[autor_es],autorest[idioma_es])</f>
        <v>Alemán</v>
      </c>
      <c r="L437" t="str">
        <f>_xlfn.XLOOKUP(frasest[[#This Row],[autor_es]],autorest[autor_es],autorest[idioma_la])</f>
        <v>Lingua Germanica</v>
      </c>
      <c r="M437" t="str">
        <f>_xlfn.XLOOKUP(frasest[[#This Row],[autor_es]],autorest[autor_es],autorest[nacion_es])</f>
        <v>Alemania</v>
      </c>
      <c r="N437" t="str">
        <f>_xlfn.XLOOKUP(frasest[[#This Row],[autor_es]],autorest[autor_es],autorest[nacion_la])</f>
        <v>Germania</v>
      </c>
      <c r="O437" t="str">
        <f>_xlfn.XLOOKUP(frasest[[#This Row],[autor_es]],autorest[autor_es],autorest[epoca_es])</f>
        <v>Edad Moderna</v>
      </c>
      <c r="P437" t="str">
        <f>_xlfn.XLOOKUP(frasest[[#This Row],[autor_es]],autorest[autor_es],autorest[epoca_la])</f>
        <v>Nova Aetas</v>
      </c>
      <c r="Q437" t="str">
        <f>_xlfn.XLOOKUP(frasest[[#This Row],[autor_es]],autorest[autor_es],autorest[imagen])</f>
        <v>https://i.ibb.co/1B16KyZ/shopenhauer.png</v>
      </c>
      <c r="R437">
        <f>_xlfn.XLOOKUP(frasest[[#This Row],[autor_es]],autorest[autor_es],autorest[imagen_atr])</f>
        <v>0</v>
      </c>
    </row>
    <row r="438" spans="1:18">
      <c r="A438">
        <v>437</v>
      </c>
      <c r="B438" t="s">
        <v>1501</v>
      </c>
      <c r="C438" t="s">
        <v>1502</v>
      </c>
      <c r="D438" t="s">
        <v>1503</v>
      </c>
      <c r="E438" t="s">
        <v>1487</v>
      </c>
      <c r="F438" t="s">
        <v>1504</v>
      </c>
      <c r="G438" t="str">
        <f>_xlfn.XLOOKUP(frasest[[#This Row],[autor_es]],autorest[autor_es],autorest[autor_la])</f>
        <v>Arthurus Schopenhauer</v>
      </c>
      <c r="H438" t="str">
        <f>_xlfn.XLOOKUP(frasest[[#This Row],[autor_es]],autorest[autor_es],autorest[bio_es])</f>
        <v>Filósofo alemán, considerado uno de los más brillantes del siglo XIX. Máximo representante del pesimismo filosófico, autor de El mundo como voluntad y representación. Influyó profundamente en Nietzsche, Freud, Wagner y el existencialismo. Pionero en declararse abiertamente ateo y en integrar el pensamiento oriental en la filosofía occidental.</v>
      </c>
      <c r="I438" t="str">
        <f>_xlfn.XLOOKUP(frasest[[#This Row],[autor_es]],autorest[autor_es],autorest[bio_la])</f>
        <v>Philosophus Germanicus, unus ex clarissimis saeculi XIX. Maximus repraesentans pessimismi philosophici, auctor Mundi ut Voluntatis et Repraesentationis. In Nietzsche, Freud, Wagner et existentialismum profunde influxit. Pionarius in aperte atheum se declarare et in cogitationem orientalem in philosophiam occidentalem integrare.</v>
      </c>
      <c r="J438" t="str">
        <f>_xlfn.XLOOKUP(frasest[[#This Row],[autor_es]],autorest[autor_es],autorest[codigo])</f>
        <v>de</v>
      </c>
      <c r="K438" t="str">
        <f>_xlfn.XLOOKUP(frasest[[#This Row],[autor_es]],autorest[autor_es],autorest[idioma_es])</f>
        <v>Alemán</v>
      </c>
      <c r="L438" t="str">
        <f>_xlfn.XLOOKUP(frasest[[#This Row],[autor_es]],autorest[autor_es],autorest[idioma_la])</f>
        <v>Lingua Germanica</v>
      </c>
      <c r="M438" t="str">
        <f>_xlfn.XLOOKUP(frasest[[#This Row],[autor_es]],autorest[autor_es],autorest[nacion_es])</f>
        <v>Alemania</v>
      </c>
      <c r="N438" t="str">
        <f>_xlfn.XLOOKUP(frasest[[#This Row],[autor_es]],autorest[autor_es],autorest[nacion_la])</f>
        <v>Germania</v>
      </c>
      <c r="O438" t="str">
        <f>_xlfn.XLOOKUP(frasest[[#This Row],[autor_es]],autorest[autor_es],autorest[epoca_es])</f>
        <v>Edad Moderna</v>
      </c>
      <c r="P438" t="str">
        <f>_xlfn.XLOOKUP(frasest[[#This Row],[autor_es]],autorest[autor_es],autorest[epoca_la])</f>
        <v>Nova Aetas</v>
      </c>
      <c r="Q438" t="str">
        <f>_xlfn.XLOOKUP(frasest[[#This Row],[autor_es]],autorest[autor_es],autorest[imagen])</f>
        <v>https://i.ibb.co/1B16KyZ/shopenhauer.png</v>
      </c>
      <c r="R438">
        <f>_xlfn.XLOOKUP(frasest[[#This Row],[autor_es]],autorest[autor_es],autorest[imagen_atr])</f>
        <v>0</v>
      </c>
    </row>
    <row r="439" spans="1:18">
      <c r="A439">
        <v>438</v>
      </c>
      <c r="B439" t="s">
        <v>1505</v>
      </c>
      <c r="C439" t="s">
        <v>1506</v>
      </c>
      <c r="D439" t="s">
        <v>1507</v>
      </c>
      <c r="E439" t="s">
        <v>1487</v>
      </c>
      <c r="F439" t="s">
        <v>1508</v>
      </c>
      <c r="G439" t="str">
        <f>_xlfn.XLOOKUP(frasest[[#This Row],[autor_es]],autorest[autor_es],autorest[autor_la])</f>
        <v>Arthurus Schopenhauer</v>
      </c>
      <c r="H439" t="str">
        <f>_xlfn.XLOOKUP(frasest[[#This Row],[autor_es]],autorest[autor_es],autorest[bio_es])</f>
        <v>Filósofo alemán, considerado uno de los más brillantes del siglo XIX. Máximo representante del pesimismo filosófico, autor de El mundo como voluntad y representación. Influyó profundamente en Nietzsche, Freud, Wagner y el existencialismo. Pionero en declararse abiertamente ateo y en integrar el pensamiento oriental en la filosofía occidental.</v>
      </c>
      <c r="I439" t="str">
        <f>_xlfn.XLOOKUP(frasest[[#This Row],[autor_es]],autorest[autor_es],autorest[bio_la])</f>
        <v>Philosophus Germanicus, unus ex clarissimis saeculi XIX. Maximus repraesentans pessimismi philosophici, auctor Mundi ut Voluntatis et Repraesentationis. In Nietzsche, Freud, Wagner et existentialismum profunde influxit. Pionarius in aperte atheum se declarare et in cogitationem orientalem in philosophiam occidentalem integrare.</v>
      </c>
      <c r="J439" t="str">
        <f>_xlfn.XLOOKUP(frasest[[#This Row],[autor_es]],autorest[autor_es],autorest[codigo])</f>
        <v>de</v>
      </c>
      <c r="K439" t="str">
        <f>_xlfn.XLOOKUP(frasest[[#This Row],[autor_es]],autorest[autor_es],autorest[idioma_es])</f>
        <v>Alemán</v>
      </c>
      <c r="L439" t="str">
        <f>_xlfn.XLOOKUP(frasest[[#This Row],[autor_es]],autorest[autor_es],autorest[idioma_la])</f>
        <v>Lingua Germanica</v>
      </c>
      <c r="M439" t="str">
        <f>_xlfn.XLOOKUP(frasest[[#This Row],[autor_es]],autorest[autor_es],autorest[nacion_es])</f>
        <v>Alemania</v>
      </c>
      <c r="N439" t="str">
        <f>_xlfn.XLOOKUP(frasest[[#This Row],[autor_es]],autorest[autor_es],autorest[nacion_la])</f>
        <v>Germania</v>
      </c>
      <c r="O439" t="str">
        <f>_xlfn.XLOOKUP(frasest[[#This Row],[autor_es]],autorest[autor_es],autorest[epoca_es])</f>
        <v>Edad Moderna</v>
      </c>
      <c r="P439" t="str">
        <f>_xlfn.XLOOKUP(frasest[[#This Row],[autor_es]],autorest[autor_es],autorest[epoca_la])</f>
        <v>Nova Aetas</v>
      </c>
      <c r="Q439" t="str">
        <f>_xlfn.XLOOKUP(frasest[[#This Row],[autor_es]],autorest[autor_es],autorest[imagen])</f>
        <v>https://i.ibb.co/1B16KyZ/shopenhauer.png</v>
      </c>
      <c r="R439">
        <f>_xlfn.XLOOKUP(frasest[[#This Row],[autor_es]],autorest[autor_es],autorest[imagen_atr])</f>
        <v>0</v>
      </c>
    </row>
    <row r="440" spans="1:18">
      <c r="A440">
        <v>439</v>
      </c>
      <c r="B440" t="s">
        <v>1509</v>
      </c>
      <c r="C440" t="s">
        <v>1510</v>
      </c>
      <c r="D440" t="s">
        <v>1511</v>
      </c>
      <c r="E440" t="s">
        <v>1512</v>
      </c>
      <c r="F440" t="s">
        <v>1513</v>
      </c>
      <c r="G440" t="str">
        <f>_xlfn.XLOOKUP(frasest[[#This Row],[autor_es]],autorest[autor_es],autorest[autor_la])</f>
        <v>Hannah Arendt</v>
      </c>
      <c r="H440" t="str">
        <f>_xlfn.XLOOKUP(frasest[[#This Row],[autor_es]],autorest[autor_es],autorest[bio_es])</f>
        <v>Filósofa política alemana de origen judío, una de las pensadoras más influyentes del siglo XX. Autora de Los orígenes del totalitarismo, La condición humana y Eichmann en Jerusalén. Desarrolló conceptos fundamentales sobre la libertad, la acción política, el totalitarismo y la banalidad del mal. Discípula de Heidegger y Jaspers.</v>
      </c>
      <c r="I440" t="str">
        <f>_xlfn.XLOOKUP(frasest[[#This Row],[autor_es]],autorest[autor_es],autorest[bio_la])</f>
        <v>Philosopha politica Germanica originis Iudaicae, una ex cogitatoribus maxime influentibus saeculi XX. Auctor Originum Totalitarismi, Conditionis Humanae et Eichmann in Ierusalem. Conceptus fundamentales de libertate, actione politica, totalitarismo et banalitate mali elaboravit. Discipula Heideggeri et Jaspers.</v>
      </c>
      <c r="J440" t="str">
        <f>_xlfn.XLOOKUP(frasest[[#This Row],[autor_es]],autorest[autor_es],autorest[codigo])</f>
        <v>de</v>
      </c>
      <c r="K440" t="str">
        <f>_xlfn.XLOOKUP(frasest[[#This Row],[autor_es]],autorest[autor_es],autorest[idioma_es])</f>
        <v>Alemán</v>
      </c>
      <c r="L440" t="str">
        <f>_xlfn.XLOOKUP(frasest[[#This Row],[autor_es]],autorest[autor_es],autorest[idioma_la])</f>
        <v>Lingua Germanica</v>
      </c>
      <c r="M440" t="str">
        <f>_xlfn.XLOOKUP(frasest[[#This Row],[autor_es]],autorest[autor_es],autorest[nacion_es])</f>
        <v>Alemania</v>
      </c>
      <c r="N440" t="str">
        <f>_xlfn.XLOOKUP(frasest[[#This Row],[autor_es]],autorest[autor_es],autorest[nacion_la])</f>
        <v>Germania</v>
      </c>
      <c r="O440" t="str">
        <f>_xlfn.XLOOKUP(frasest[[#This Row],[autor_es]],autorest[autor_es],autorest[epoca_es])</f>
        <v>Edad Contemporánea</v>
      </c>
      <c r="P440" t="str">
        <f>_xlfn.XLOOKUP(frasest[[#This Row],[autor_es]],autorest[autor_es],autorest[epoca_la])</f>
        <v>Aetas Contemporanea</v>
      </c>
      <c r="Q440" t="str">
        <f>_xlfn.XLOOKUP(frasest[[#This Row],[autor_es]],autorest[autor_es],autorest[imagen])</f>
        <v>https://i.ibb.co/spVH8Jj1/hannaharendt.png</v>
      </c>
      <c r="R440">
        <f>_xlfn.XLOOKUP(frasest[[#This Row],[autor_es]],autorest[autor_es],autorest[imagen_atr])</f>
        <v>0</v>
      </c>
    </row>
    <row r="441" spans="1:18">
      <c r="A441">
        <v>440</v>
      </c>
      <c r="B441" t="s">
        <v>1514</v>
      </c>
      <c r="C441" t="s">
        <v>1515</v>
      </c>
      <c r="D441" t="s">
        <v>1516</v>
      </c>
      <c r="E441" t="s">
        <v>1512</v>
      </c>
      <c r="F441" t="s">
        <v>1517</v>
      </c>
      <c r="G441" t="str">
        <f>_xlfn.XLOOKUP(frasest[[#This Row],[autor_es]],autorest[autor_es],autorest[autor_la])</f>
        <v>Hannah Arendt</v>
      </c>
      <c r="H441" t="str">
        <f>_xlfn.XLOOKUP(frasest[[#This Row],[autor_es]],autorest[autor_es],autorest[bio_es])</f>
        <v>Filósofa política alemana de origen judío, una de las pensadoras más influyentes del siglo XX. Autora de Los orígenes del totalitarismo, La condición humana y Eichmann en Jerusalén. Desarrolló conceptos fundamentales sobre la libertad, la acción política, el totalitarismo y la banalidad del mal. Discípula de Heidegger y Jaspers.</v>
      </c>
      <c r="I441" t="str">
        <f>_xlfn.XLOOKUP(frasest[[#This Row],[autor_es]],autorest[autor_es],autorest[bio_la])</f>
        <v>Philosopha politica Germanica originis Iudaicae, una ex cogitatoribus maxime influentibus saeculi XX. Auctor Originum Totalitarismi, Conditionis Humanae et Eichmann in Ierusalem. Conceptus fundamentales de libertate, actione politica, totalitarismo et banalitate mali elaboravit. Discipula Heideggeri et Jaspers.</v>
      </c>
      <c r="J441" t="str">
        <f>_xlfn.XLOOKUP(frasest[[#This Row],[autor_es]],autorest[autor_es],autorest[codigo])</f>
        <v>de</v>
      </c>
      <c r="K441" t="str">
        <f>_xlfn.XLOOKUP(frasest[[#This Row],[autor_es]],autorest[autor_es],autorest[idioma_es])</f>
        <v>Alemán</v>
      </c>
      <c r="L441" t="str">
        <f>_xlfn.XLOOKUP(frasest[[#This Row],[autor_es]],autorest[autor_es],autorest[idioma_la])</f>
        <v>Lingua Germanica</v>
      </c>
      <c r="M441" t="str">
        <f>_xlfn.XLOOKUP(frasest[[#This Row],[autor_es]],autorest[autor_es],autorest[nacion_es])</f>
        <v>Alemania</v>
      </c>
      <c r="N441" t="str">
        <f>_xlfn.XLOOKUP(frasest[[#This Row],[autor_es]],autorest[autor_es],autorest[nacion_la])</f>
        <v>Germania</v>
      </c>
      <c r="O441" t="str">
        <f>_xlfn.XLOOKUP(frasest[[#This Row],[autor_es]],autorest[autor_es],autorest[epoca_es])</f>
        <v>Edad Contemporánea</v>
      </c>
      <c r="P441" t="str">
        <f>_xlfn.XLOOKUP(frasest[[#This Row],[autor_es]],autorest[autor_es],autorest[epoca_la])</f>
        <v>Aetas Contemporanea</v>
      </c>
      <c r="Q441" t="str">
        <f>_xlfn.XLOOKUP(frasest[[#This Row],[autor_es]],autorest[autor_es],autorest[imagen])</f>
        <v>https://i.ibb.co/spVH8Jj1/hannaharendt.png</v>
      </c>
      <c r="R441">
        <f>_xlfn.XLOOKUP(frasest[[#This Row],[autor_es]],autorest[autor_es],autorest[imagen_atr])</f>
        <v>0</v>
      </c>
    </row>
    <row r="442" spans="1:18">
      <c r="A442">
        <v>441</v>
      </c>
      <c r="B442" t="s">
        <v>1518</v>
      </c>
      <c r="C442" t="s">
        <v>1519</v>
      </c>
      <c r="D442" t="s">
        <v>1520</v>
      </c>
      <c r="E442" t="s">
        <v>1512</v>
      </c>
      <c r="F442" t="s">
        <v>1521</v>
      </c>
      <c r="G442" t="str">
        <f>_xlfn.XLOOKUP(frasest[[#This Row],[autor_es]],autorest[autor_es],autorest[autor_la])</f>
        <v>Hannah Arendt</v>
      </c>
      <c r="H442" t="str">
        <f>_xlfn.XLOOKUP(frasest[[#This Row],[autor_es]],autorest[autor_es],autorest[bio_es])</f>
        <v>Filósofa política alemana de origen judío, una de las pensadoras más influyentes del siglo XX. Autora de Los orígenes del totalitarismo, La condición humana y Eichmann en Jerusalén. Desarrolló conceptos fundamentales sobre la libertad, la acción política, el totalitarismo y la banalidad del mal. Discípula de Heidegger y Jaspers.</v>
      </c>
      <c r="I442" t="str">
        <f>_xlfn.XLOOKUP(frasest[[#This Row],[autor_es]],autorest[autor_es],autorest[bio_la])</f>
        <v>Philosopha politica Germanica originis Iudaicae, una ex cogitatoribus maxime influentibus saeculi XX. Auctor Originum Totalitarismi, Conditionis Humanae et Eichmann in Ierusalem. Conceptus fundamentales de libertate, actione politica, totalitarismo et banalitate mali elaboravit. Discipula Heideggeri et Jaspers.</v>
      </c>
      <c r="J442" t="str">
        <f>_xlfn.XLOOKUP(frasest[[#This Row],[autor_es]],autorest[autor_es],autorest[codigo])</f>
        <v>de</v>
      </c>
      <c r="K442" t="str">
        <f>_xlfn.XLOOKUP(frasest[[#This Row],[autor_es]],autorest[autor_es],autorest[idioma_es])</f>
        <v>Alemán</v>
      </c>
      <c r="L442" t="str">
        <f>_xlfn.XLOOKUP(frasest[[#This Row],[autor_es]],autorest[autor_es],autorest[idioma_la])</f>
        <v>Lingua Germanica</v>
      </c>
      <c r="M442" t="str">
        <f>_xlfn.XLOOKUP(frasest[[#This Row],[autor_es]],autorest[autor_es],autorest[nacion_es])</f>
        <v>Alemania</v>
      </c>
      <c r="N442" t="str">
        <f>_xlfn.XLOOKUP(frasest[[#This Row],[autor_es]],autorest[autor_es],autorest[nacion_la])</f>
        <v>Germania</v>
      </c>
      <c r="O442" t="str">
        <f>_xlfn.XLOOKUP(frasest[[#This Row],[autor_es]],autorest[autor_es],autorest[epoca_es])</f>
        <v>Edad Contemporánea</v>
      </c>
      <c r="P442" t="str">
        <f>_xlfn.XLOOKUP(frasest[[#This Row],[autor_es]],autorest[autor_es],autorest[epoca_la])</f>
        <v>Aetas Contemporanea</v>
      </c>
      <c r="Q442" t="str">
        <f>_xlfn.XLOOKUP(frasest[[#This Row],[autor_es]],autorest[autor_es],autorest[imagen])</f>
        <v>https://i.ibb.co/spVH8Jj1/hannaharendt.png</v>
      </c>
      <c r="R442">
        <f>_xlfn.XLOOKUP(frasest[[#This Row],[autor_es]],autorest[autor_es],autorest[imagen_atr])</f>
        <v>0</v>
      </c>
    </row>
    <row r="443" spans="1:18">
      <c r="A443">
        <v>442</v>
      </c>
      <c r="B443" t="s">
        <v>1522</v>
      </c>
      <c r="C443" t="s">
        <v>1523</v>
      </c>
      <c r="D443" t="s">
        <v>1524</v>
      </c>
      <c r="E443" t="s">
        <v>1512</v>
      </c>
      <c r="F443" t="s">
        <v>1525</v>
      </c>
      <c r="G443" t="str">
        <f>_xlfn.XLOOKUP(frasest[[#This Row],[autor_es]],autorest[autor_es],autorest[autor_la])</f>
        <v>Hannah Arendt</v>
      </c>
      <c r="H443" t="str">
        <f>_xlfn.XLOOKUP(frasest[[#This Row],[autor_es]],autorest[autor_es],autorest[bio_es])</f>
        <v>Filósofa política alemana de origen judío, una de las pensadoras más influyentes del siglo XX. Autora de Los orígenes del totalitarismo, La condición humana y Eichmann en Jerusalén. Desarrolló conceptos fundamentales sobre la libertad, la acción política, el totalitarismo y la banalidad del mal. Discípula de Heidegger y Jaspers.</v>
      </c>
      <c r="I443" t="str">
        <f>_xlfn.XLOOKUP(frasest[[#This Row],[autor_es]],autorest[autor_es],autorest[bio_la])</f>
        <v>Philosopha politica Germanica originis Iudaicae, una ex cogitatoribus maxime influentibus saeculi XX. Auctor Originum Totalitarismi, Conditionis Humanae et Eichmann in Ierusalem. Conceptus fundamentales de libertate, actione politica, totalitarismo et banalitate mali elaboravit. Discipula Heideggeri et Jaspers.</v>
      </c>
      <c r="J443" t="str">
        <f>_xlfn.XLOOKUP(frasest[[#This Row],[autor_es]],autorest[autor_es],autorest[codigo])</f>
        <v>de</v>
      </c>
      <c r="K443" t="str">
        <f>_xlfn.XLOOKUP(frasest[[#This Row],[autor_es]],autorest[autor_es],autorest[idioma_es])</f>
        <v>Alemán</v>
      </c>
      <c r="L443" t="str">
        <f>_xlfn.XLOOKUP(frasest[[#This Row],[autor_es]],autorest[autor_es],autorest[idioma_la])</f>
        <v>Lingua Germanica</v>
      </c>
      <c r="M443" t="str">
        <f>_xlfn.XLOOKUP(frasest[[#This Row],[autor_es]],autorest[autor_es],autorest[nacion_es])</f>
        <v>Alemania</v>
      </c>
      <c r="N443" t="str">
        <f>_xlfn.XLOOKUP(frasest[[#This Row],[autor_es]],autorest[autor_es],autorest[nacion_la])</f>
        <v>Germania</v>
      </c>
      <c r="O443" t="str">
        <f>_xlfn.XLOOKUP(frasest[[#This Row],[autor_es]],autorest[autor_es],autorest[epoca_es])</f>
        <v>Edad Contemporánea</v>
      </c>
      <c r="P443" t="str">
        <f>_xlfn.XLOOKUP(frasest[[#This Row],[autor_es]],autorest[autor_es],autorest[epoca_la])</f>
        <v>Aetas Contemporanea</v>
      </c>
      <c r="Q443" t="str">
        <f>_xlfn.XLOOKUP(frasest[[#This Row],[autor_es]],autorest[autor_es],autorest[imagen])</f>
        <v>https://i.ibb.co/spVH8Jj1/hannaharendt.png</v>
      </c>
      <c r="R443">
        <f>_xlfn.XLOOKUP(frasest[[#This Row],[autor_es]],autorest[autor_es],autorest[imagen_atr])</f>
        <v>0</v>
      </c>
    </row>
    <row r="444" spans="1:18">
      <c r="A444">
        <v>443</v>
      </c>
      <c r="B444" t="s">
        <v>1526</v>
      </c>
      <c r="C444" t="s">
        <v>1527</v>
      </c>
      <c r="D444" t="s">
        <v>1528</v>
      </c>
      <c r="E444" t="s">
        <v>1512</v>
      </c>
      <c r="F444" t="s">
        <v>1529</v>
      </c>
      <c r="G444" t="str">
        <f>_xlfn.XLOOKUP(frasest[[#This Row],[autor_es]],autorest[autor_es],autorest[autor_la])</f>
        <v>Hannah Arendt</v>
      </c>
      <c r="H444" t="str">
        <f>_xlfn.XLOOKUP(frasest[[#This Row],[autor_es]],autorest[autor_es],autorest[bio_es])</f>
        <v>Filósofa política alemana de origen judío, una de las pensadoras más influyentes del siglo XX. Autora de Los orígenes del totalitarismo, La condición humana y Eichmann en Jerusalén. Desarrolló conceptos fundamentales sobre la libertad, la acción política, el totalitarismo y la banalidad del mal. Discípula de Heidegger y Jaspers.</v>
      </c>
      <c r="I444" t="str">
        <f>_xlfn.XLOOKUP(frasest[[#This Row],[autor_es]],autorest[autor_es],autorest[bio_la])</f>
        <v>Philosopha politica Germanica originis Iudaicae, una ex cogitatoribus maxime influentibus saeculi XX. Auctor Originum Totalitarismi, Conditionis Humanae et Eichmann in Ierusalem. Conceptus fundamentales de libertate, actione politica, totalitarismo et banalitate mali elaboravit. Discipula Heideggeri et Jaspers.</v>
      </c>
      <c r="J444" t="str">
        <f>_xlfn.XLOOKUP(frasest[[#This Row],[autor_es]],autorest[autor_es],autorest[codigo])</f>
        <v>de</v>
      </c>
      <c r="K444" t="str">
        <f>_xlfn.XLOOKUP(frasest[[#This Row],[autor_es]],autorest[autor_es],autorest[idioma_es])</f>
        <v>Alemán</v>
      </c>
      <c r="L444" t="str">
        <f>_xlfn.XLOOKUP(frasest[[#This Row],[autor_es]],autorest[autor_es],autorest[idioma_la])</f>
        <v>Lingua Germanica</v>
      </c>
      <c r="M444" t="str">
        <f>_xlfn.XLOOKUP(frasest[[#This Row],[autor_es]],autorest[autor_es],autorest[nacion_es])</f>
        <v>Alemania</v>
      </c>
      <c r="N444" t="str">
        <f>_xlfn.XLOOKUP(frasest[[#This Row],[autor_es]],autorest[autor_es],autorest[nacion_la])</f>
        <v>Germania</v>
      </c>
      <c r="O444" t="str">
        <f>_xlfn.XLOOKUP(frasest[[#This Row],[autor_es]],autorest[autor_es],autorest[epoca_es])</f>
        <v>Edad Contemporánea</v>
      </c>
      <c r="P444" t="str">
        <f>_xlfn.XLOOKUP(frasest[[#This Row],[autor_es]],autorest[autor_es],autorest[epoca_la])</f>
        <v>Aetas Contemporanea</v>
      </c>
      <c r="Q444" t="str">
        <f>_xlfn.XLOOKUP(frasest[[#This Row],[autor_es]],autorest[autor_es],autorest[imagen])</f>
        <v>https://i.ibb.co/spVH8Jj1/hannaharendt.png</v>
      </c>
      <c r="R444">
        <f>_xlfn.XLOOKUP(frasest[[#This Row],[autor_es]],autorest[autor_es],autorest[imagen_atr])</f>
        <v>0</v>
      </c>
    </row>
    <row r="445" spans="1:18">
      <c r="A445">
        <v>444</v>
      </c>
      <c r="B445" t="s">
        <v>1530</v>
      </c>
      <c r="C445" t="s">
        <v>1531</v>
      </c>
      <c r="D445" t="s">
        <v>1532</v>
      </c>
      <c r="E445" t="s">
        <v>1512</v>
      </c>
      <c r="F445" t="s">
        <v>1533</v>
      </c>
      <c r="G445" t="str">
        <f>_xlfn.XLOOKUP(frasest[[#This Row],[autor_es]],autorest[autor_es],autorest[autor_la])</f>
        <v>Hannah Arendt</v>
      </c>
      <c r="H445" t="str">
        <f>_xlfn.XLOOKUP(frasest[[#This Row],[autor_es]],autorest[autor_es],autorest[bio_es])</f>
        <v>Filósofa política alemana de origen judío, una de las pensadoras más influyentes del siglo XX. Autora de Los orígenes del totalitarismo, La condición humana y Eichmann en Jerusalén. Desarrolló conceptos fundamentales sobre la libertad, la acción política, el totalitarismo y la banalidad del mal. Discípula de Heidegger y Jaspers.</v>
      </c>
      <c r="I445" t="str">
        <f>_xlfn.XLOOKUP(frasest[[#This Row],[autor_es]],autorest[autor_es],autorest[bio_la])</f>
        <v>Philosopha politica Germanica originis Iudaicae, una ex cogitatoribus maxime influentibus saeculi XX. Auctor Originum Totalitarismi, Conditionis Humanae et Eichmann in Ierusalem. Conceptus fundamentales de libertate, actione politica, totalitarismo et banalitate mali elaboravit. Discipula Heideggeri et Jaspers.</v>
      </c>
      <c r="J445" t="str">
        <f>_xlfn.XLOOKUP(frasest[[#This Row],[autor_es]],autorest[autor_es],autorest[codigo])</f>
        <v>de</v>
      </c>
      <c r="K445" t="str">
        <f>_xlfn.XLOOKUP(frasest[[#This Row],[autor_es]],autorest[autor_es],autorest[idioma_es])</f>
        <v>Alemán</v>
      </c>
      <c r="L445" t="str">
        <f>_xlfn.XLOOKUP(frasest[[#This Row],[autor_es]],autorest[autor_es],autorest[idioma_la])</f>
        <v>Lingua Germanica</v>
      </c>
      <c r="M445" t="str">
        <f>_xlfn.XLOOKUP(frasest[[#This Row],[autor_es]],autorest[autor_es],autorest[nacion_es])</f>
        <v>Alemania</v>
      </c>
      <c r="N445" t="str">
        <f>_xlfn.XLOOKUP(frasest[[#This Row],[autor_es]],autorest[autor_es],autorest[nacion_la])</f>
        <v>Germania</v>
      </c>
      <c r="O445" t="str">
        <f>_xlfn.XLOOKUP(frasest[[#This Row],[autor_es]],autorest[autor_es],autorest[epoca_es])</f>
        <v>Edad Contemporánea</v>
      </c>
      <c r="P445" t="str">
        <f>_xlfn.XLOOKUP(frasest[[#This Row],[autor_es]],autorest[autor_es],autorest[epoca_la])</f>
        <v>Aetas Contemporanea</v>
      </c>
      <c r="Q445" t="str">
        <f>_xlfn.XLOOKUP(frasest[[#This Row],[autor_es]],autorest[autor_es],autorest[imagen])</f>
        <v>https://i.ibb.co/spVH8Jj1/hannaharendt.png</v>
      </c>
      <c r="R445">
        <f>_xlfn.XLOOKUP(frasest[[#This Row],[autor_es]],autorest[autor_es],autorest[imagen_atr])</f>
        <v>0</v>
      </c>
    </row>
    <row r="446" spans="1:18">
      <c r="A446">
        <v>445</v>
      </c>
      <c r="B446" t="s">
        <v>1534</v>
      </c>
      <c r="C446" t="s">
        <v>1535</v>
      </c>
      <c r="D446" t="s">
        <v>1536</v>
      </c>
      <c r="E446" t="s">
        <v>1537</v>
      </c>
      <c r="F446" t="s">
        <v>1538</v>
      </c>
      <c r="G446" t="str">
        <f>_xlfn.XLOOKUP(frasest[[#This Row],[autor_es]],autorest[autor_es],autorest[autor_la])</f>
        <v>Immanuel Kant</v>
      </c>
      <c r="H446" t="str">
        <f>_xlfn.XLOOKUP(frasest[[#This Row],[autor_es]],autorest[autor_es],autorest[bio_es])</f>
        <v>Filósofo alemán de la Ilustración, figura central de la filosofía moderna. Autor de la Crítica de la razón pura, Crítica de la razón práctica y Crítica del juicio. Desarrolló el imperativo categórico como fundamento de la ética universal. Revolucionó la epistemología, la ética y la estética, estableciendo los límites del conocimiento humano.</v>
      </c>
      <c r="I446" t="str">
        <f>_xlfn.XLOOKUP(frasest[[#This Row],[autor_es]],autorest[autor_es],autorest[bio_la])</f>
        <v>Philosophus Germanicus Illuminationis, figura centralis philosophiae modernae. Auctor Criticae Rationis Purae, Criticae Rationis Practicae et Criticae Iudicii. Imperativum categoricum ut fundamentum ethicae universalis elaboravit. Epistemologiam, ethicam et aestheticam revolutionavit, limites cognitionis humanae constituens.</v>
      </c>
      <c r="J446" t="str">
        <f>_xlfn.XLOOKUP(frasest[[#This Row],[autor_es]],autorest[autor_es],autorest[codigo])</f>
        <v>de</v>
      </c>
      <c r="K446" t="str">
        <f>_xlfn.XLOOKUP(frasest[[#This Row],[autor_es]],autorest[autor_es],autorest[idioma_es])</f>
        <v>Alemán</v>
      </c>
      <c r="L446" t="str">
        <f>_xlfn.XLOOKUP(frasest[[#This Row],[autor_es]],autorest[autor_es],autorest[idioma_la])</f>
        <v>Lingua Germanica</v>
      </c>
      <c r="M446" t="str">
        <f>_xlfn.XLOOKUP(frasest[[#This Row],[autor_es]],autorest[autor_es],autorest[nacion_es])</f>
        <v>Alemania</v>
      </c>
      <c r="N446" t="str">
        <f>_xlfn.XLOOKUP(frasest[[#This Row],[autor_es]],autorest[autor_es],autorest[nacion_la])</f>
        <v>Germania</v>
      </c>
      <c r="O446" t="str">
        <f>_xlfn.XLOOKUP(frasest[[#This Row],[autor_es]],autorest[autor_es],autorest[epoca_es])</f>
        <v>Edad Moderna</v>
      </c>
      <c r="P446" t="str">
        <f>_xlfn.XLOOKUP(frasest[[#This Row],[autor_es]],autorest[autor_es],autorest[epoca_la])</f>
        <v>Nova Aetas</v>
      </c>
      <c r="Q446" t="str">
        <f>_xlfn.XLOOKUP(frasest[[#This Row],[autor_es]],autorest[autor_es],autorest[imagen])</f>
        <v>https://i.ibb.co/MkNPjK5r/kant.png</v>
      </c>
      <c r="R446">
        <f>_xlfn.XLOOKUP(frasest[[#This Row],[autor_es]],autorest[autor_es],autorest[imagen_atr])</f>
        <v>0</v>
      </c>
    </row>
    <row r="447" spans="1:18">
      <c r="A447">
        <v>446</v>
      </c>
      <c r="B447" t="s">
        <v>1539</v>
      </c>
      <c r="C447" t="s">
        <v>1540</v>
      </c>
      <c r="D447" t="s">
        <v>1541</v>
      </c>
      <c r="E447" t="s">
        <v>1537</v>
      </c>
      <c r="F447" t="s">
        <v>1538</v>
      </c>
      <c r="G447" t="str">
        <f>_xlfn.XLOOKUP(frasest[[#This Row],[autor_es]],autorest[autor_es],autorest[autor_la])</f>
        <v>Immanuel Kant</v>
      </c>
      <c r="H447" t="str">
        <f>_xlfn.XLOOKUP(frasest[[#This Row],[autor_es]],autorest[autor_es],autorest[bio_es])</f>
        <v>Filósofo alemán de la Ilustración, figura central de la filosofía moderna. Autor de la Crítica de la razón pura, Crítica de la razón práctica y Crítica del juicio. Desarrolló el imperativo categórico como fundamento de la ética universal. Revolucionó la epistemología, la ética y la estética, estableciendo los límites del conocimiento humano.</v>
      </c>
      <c r="I447" t="str">
        <f>_xlfn.XLOOKUP(frasest[[#This Row],[autor_es]],autorest[autor_es],autorest[bio_la])</f>
        <v>Philosophus Germanicus Illuminationis, figura centralis philosophiae modernae. Auctor Criticae Rationis Purae, Criticae Rationis Practicae et Criticae Iudicii. Imperativum categoricum ut fundamentum ethicae universalis elaboravit. Epistemologiam, ethicam et aestheticam revolutionavit, limites cognitionis humanae constituens.</v>
      </c>
      <c r="J447" t="str">
        <f>_xlfn.XLOOKUP(frasest[[#This Row],[autor_es]],autorest[autor_es],autorest[codigo])</f>
        <v>de</v>
      </c>
      <c r="K447" t="str">
        <f>_xlfn.XLOOKUP(frasest[[#This Row],[autor_es]],autorest[autor_es],autorest[idioma_es])</f>
        <v>Alemán</v>
      </c>
      <c r="L447" t="str">
        <f>_xlfn.XLOOKUP(frasest[[#This Row],[autor_es]],autorest[autor_es],autorest[idioma_la])</f>
        <v>Lingua Germanica</v>
      </c>
      <c r="M447" t="str">
        <f>_xlfn.XLOOKUP(frasest[[#This Row],[autor_es]],autorest[autor_es],autorest[nacion_es])</f>
        <v>Alemania</v>
      </c>
      <c r="N447" t="str">
        <f>_xlfn.XLOOKUP(frasest[[#This Row],[autor_es]],autorest[autor_es],autorest[nacion_la])</f>
        <v>Germania</v>
      </c>
      <c r="O447" t="str">
        <f>_xlfn.XLOOKUP(frasest[[#This Row],[autor_es]],autorest[autor_es],autorest[epoca_es])</f>
        <v>Edad Moderna</v>
      </c>
      <c r="P447" t="str">
        <f>_xlfn.XLOOKUP(frasest[[#This Row],[autor_es]],autorest[autor_es],autorest[epoca_la])</f>
        <v>Nova Aetas</v>
      </c>
      <c r="Q447" t="str">
        <f>_xlfn.XLOOKUP(frasest[[#This Row],[autor_es]],autorest[autor_es],autorest[imagen])</f>
        <v>https://i.ibb.co/MkNPjK5r/kant.png</v>
      </c>
      <c r="R447">
        <f>_xlfn.XLOOKUP(frasest[[#This Row],[autor_es]],autorest[autor_es],autorest[imagen_atr])</f>
        <v>0</v>
      </c>
    </row>
    <row r="448" spans="1:18">
      <c r="A448">
        <v>447</v>
      </c>
      <c r="B448" t="s">
        <v>1542</v>
      </c>
      <c r="C448" t="s">
        <v>1543</v>
      </c>
      <c r="D448" t="s">
        <v>1544</v>
      </c>
      <c r="E448" t="s">
        <v>1537</v>
      </c>
      <c r="F448" t="s">
        <v>1545</v>
      </c>
      <c r="G448" t="str">
        <f>_xlfn.XLOOKUP(frasest[[#This Row],[autor_es]],autorest[autor_es],autorest[autor_la])</f>
        <v>Immanuel Kant</v>
      </c>
      <c r="H448" t="str">
        <f>_xlfn.XLOOKUP(frasest[[#This Row],[autor_es]],autorest[autor_es],autorest[bio_es])</f>
        <v>Filósofo alemán de la Ilustración, figura central de la filosofía moderna. Autor de la Crítica de la razón pura, Crítica de la razón práctica y Crítica del juicio. Desarrolló el imperativo categórico como fundamento de la ética universal. Revolucionó la epistemología, la ética y la estética, estableciendo los límites del conocimiento humano.</v>
      </c>
      <c r="I448" t="str">
        <f>_xlfn.XLOOKUP(frasest[[#This Row],[autor_es]],autorest[autor_es],autorest[bio_la])</f>
        <v>Philosophus Germanicus Illuminationis, figura centralis philosophiae modernae. Auctor Criticae Rationis Purae, Criticae Rationis Practicae et Criticae Iudicii. Imperativum categoricum ut fundamentum ethicae universalis elaboravit. Epistemologiam, ethicam et aestheticam revolutionavit, limites cognitionis humanae constituens.</v>
      </c>
      <c r="J448" t="str">
        <f>_xlfn.XLOOKUP(frasest[[#This Row],[autor_es]],autorest[autor_es],autorest[codigo])</f>
        <v>de</v>
      </c>
      <c r="K448" t="str">
        <f>_xlfn.XLOOKUP(frasest[[#This Row],[autor_es]],autorest[autor_es],autorest[idioma_es])</f>
        <v>Alemán</v>
      </c>
      <c r="L448" t="str">
        <f>_xlfn.XLOOKUP(frasest[[#This Row],[autor_es]],autorest[autor_es],autorest[idioma_la])</f>
        <v>Lingua Germanica</v>
      </c>
      <c r="M448" t="str">
        <f>_xlfn.XLOOKUP(frasest[[#This Row],[autor_es]],autorest[autor_es],autorest[nacion_es])</f>
        <v>Alemania</v>
      </c>
      <c r="N448" t="str">
        <f>_xlfn.XLOOKUP(frasest[[#This Row],[autor_es]],autorest[autor_es],autorest[nacion_la])</f>
        <v>Germania</v>
      </c>
      <c r="O448" t="str">
        <f>_xlfn.XLOOKUP(frasest[[#This Row],[autor_es]],autorest[autor_es],autorest[epoca_es])</f>
        <v>Edad Moderna</v>
      </c>
      <c r="P448" t="str">
        <f>_xlfn.XLOOKUP(frasest[[#This Row],[autor_es]],autorest[autor_es],autorest[epoca_la])</f>
        <v>Nova Aetas</v>
      </c>
      <c r="Q448" t="str">
        <f>_xlfn.XLOOKUP(frasest[[#This Row],[autor_es]],autorest[autor_es],autorest[imagen])</f>
        <v>https://i.ibb.co/MkNPjK5r/kant.png</v>
      </c>
      <c r="R448">
        <f>_xlfn.XLOOKUP(frasest[[#This Row],[autor_es]],autorest[autor_es],autorest[imagen_atr])</f>
        <v>0</v>
      </c>
    </row>
    <row r="449" spans="1:18">
      <c r="A449">
        <v>448</v>
      </c>
      <c r="B449" t="s">
        <v>1546</v>
      </c>
      <c r="C449" t="s">
        <v>1547</v>
      </c>
      <c r="D449" t="s">
        <v>1548</v>
      </c>
      <c r="E449" t="s">
        <v>1537</v>
      </c>
      <c r="F449" t="s">
        <v>1549</v>
      </c>
      <c r="G449" t="str">
        <f>_xlfn.XLOOKUP(frasest[[#This Row],[autor_es]],autorest[autor_es],autorest[autor_la])</f>
        <v>Immanuel Kant</v>
      </c>
      <c r="H449" t="str">
        <f>_xlfn.XLOOKUP(frasest[[#This Row],[autor_es]],autorest[autor_es],autorest[bio_es])</f>
        <v>Filósofo alemán de la Ilustración, figura central de la filosofía moderna. Autor de la Crítica de la razón pura, Crítica de la razón práctica y Crítica del juicio. Desarrolló el imperativo categórico como fundamento de la ética universal. Revolucionó la epistemología, la ética y la estética, estableciendo los límites del conocimiento humano.</v>
      </c>
      <c r="I449" t="str">
        <f>_xlfn.XLOOKUP(frasest[[#This Row],[autor_es]],autorest[autor_es],autorest[bio_la])</f>
        <v>Philosophus Germanicus Illuminationis, figura centralis philosophiae modernae. Auctor Criticae Rationis Purae, Criticae Rationis Practicae et Criticae Iudicii. Imperativum categoricum ut fundamentum ethicae universalis elaboravit. Epistemologiam, ethicam et aestheticam revolutionavit, limites cognitionis humanae constituens.</v>
      </c>
      <c r="J449" t="str">
        <f>_xlfn.XLOOKUP(frasest[[#This Row],[autor_es]],autorest[autor_es],autorest[codigo])</f>
        <v>de</v>
      </c>
      <c r="K449" t="str">
        <f>_xlfn.XLOOKUP(frasest[[#This Row],[autor_es]],autorest[autor_es],autorest[idioma_es])</f>
        <v>Alemán</v>
      </c>
      <c r="L449" t="str">
        <f>_xlfn.XLOOKUP(frasest[[#This Row],[autor_es]],autorest[autor_es],autorest[idioma_la])</f>
        <v>Lingua Germanica</v>
      </c>
      <c r="M449" t="str">
        <f>_xlfn.XLOOKUP(frasest[[#This Row],[autor_es]],autorest[autor_es],autorest[nacion_es])</f>
        <v>Alemania</v>
      </c>
      <c r="N449" t="str">
        <f>_xlfn.XLOOKUP(frasest[[#This Row],[autor_es]],autorest[autor_es],autorest[nacion_la])</f>
        <v>Germania</v>
      </c>
      <c r="O449" t="str">
        <f>_xlfn.XLOOKUP(frasest[[#This Row],[autor_es]],autorest[autor_es],autorest[epoca_es])</f>
        <v>Edad Moderna</v>
      </c>
      <c r="P449" t="str">
        <f>_xlfn.XLOOKUP(frasest[[#This Row],[autor_es]],autorest[autor_es],autorest[epoca_la])</f>
        <v>Nova Aetas</v>
      </c>
      <c r="Q449" t="str">
        <f>_xlfn.XLOOKUP(frasest[[#This Row],[autor_es]],autorest[autor_es],autorest[imagen])</f>
        <v>https://i.ibb.co/MkNPjK5r/kant.png</v>
      </c>
      <c r="R449">
        <f>_xlfn.XLOOKUP(frasest[[#This Row],[autor_es]],autorest[autor_es],autorest[imagen_atr])</f>
        <v>0</v>
      </c>
    </row>
    <row r="450" spans="1:18">
      <c r="A450">
        <v>449</v>
      </c>
      <c r="B450" t="s">
        <v>1550</v>
      </c>
      <c r="C450" t="s">
        <v>1551</v>
      </c>
      <c r="D450" t="s">
        <v>1552</v>
      </c>
      <c r="E450" t="s">
        <v>1537</v>
      </c>
      <c r="F450" t="s">
        <v>1549</v>
      </c>
      <c r="G450" t="str">
        <f>_xlfn.XLOOKUP(frasest[[#This Row],[autor_es]],autorest[autor_es],autorest[autor_la])</f>
        <v>Immanuel Kant</v>
      </c>
      <c r="H450" t="str">
        <f>_xlfn.XLOOKUP(frasest[[#This Row],[autor_es]],autorest[autor_es],autorest[bio_es])</f>
        <v>Filósofo alemán de la Ilustración, figura central de la filosofía moderna. Autor de la Crítica de la razón pura, Crítica de la razón práctica y Crítica del juicio. Desarrolló el imperativo categórico como fundamento de la ética universal. Revolucionó la epistemología, la ética y la estética, estableciendo los límites del conocimiento humano.</v>
      </c>
      <c r="I450" t="str">
        <f>_xlfn.XLOOKUP(frasest[[#This Row],[autor_es]],autorest[autor_es],autorest[bio_la])</f>
        <v>Philosophus Germanicus Illuminationis, figura centralis philosophiae modernae. Auctor Criticae Rationis Purae, Criticae Rationis Practicae et Criticae Iudicii. Imperativum categoricum ut fundamentum ethicae universalis elaboravit. Epistemologiam, ethicam et aestheticam revolutionavit, limites cognitionis humanae constituens.</v>
      </c>
      <c r="J450" t="str">
        <f>_xlfn.XLOOKUP(frasest[[#This Row],[autor_es]],autorest[autor_es],autorest[codigo])</f>
        <v>de</v>
      </c>
      <c r="K450" t="str">
        <f>_xlfn.XLOOKUP(frasest[[#This Row],[autor_es]],autorest[autor_es],autorest[idioma_es])</f>
        <v>Alemán</v>
      </c>
      <c r="L450" t="str">
        <f>_xlfn.XLOOKUP(frasest[[#This Row],[autor_es]],autorest[autor_es],autorest[idioma_la])</f>
        <v>Lingua Germanica</v>
      </c>
      <c r="M450" t="str">
        <f>_xlfn.XLOOKUP(frasest[[#This Row],[autor_es]],autorest[autor_es],autorest[nacion_es])</f>
        <v>Alemania</v>
      </c>
      <c r="N450" t="str">
        <f>_xlfn.XLOOKUP(frasest[[#This Row],[autor_es]],autorest[autor_es],autorest[nacion_la])</f>
        <v>Germania</v>
      </c>
      <c r="O450" t="str">
        <f>_xlfn.XLOOKUP(frasest[[#This Row],[autor_es]],autorest[autor_es],autorest[epoca_es])</f>
        <v>Edad Moderna</v>
      </c>
      <c r="P450" t="str">
        <f>_xlfn.XLOOKUP(frasest[[#This Row],[autor_es]],autorest[autor_es],autorest[epoca_la])</f>
        <v>Nova Aetas</v>
      </c>
      <c r="Q450" t="str">
        <f>_xlfn.XLOOKUP(frasest[[#This Row],[autor_es]],autorest[autor_es],autorest[imagen])</f>
        <v>https://i.ibb.co/MkNPjK5r/kant.png</v>
      </c>
      <c r="R450">
        <f>_xlfn.XLOOKUP(frasest[[#This Row],[autor_es]],autorest[autor_es],autorest[imagen_atr])</f>
        <v>0</v>
      </c>
    </row>
    <row r="451" spans="1:18">
      <c r="A451">
        <v>450</v>
      </c>
      <c r="B451" t="s">
        <v>1553</v>
      </c>
      <c r="C451" t="s">
        <v>1554</v>
      </c>
      <c r="D451" t="s">
        <v>1555</v>
      </c>
      <c r="E451" t="s">
        <v>1537</v>
      </c>
      <c r="F451" t="s">
        <v>1556</v>
      </c>
      <c r="G451" t="str">
        <f>_xlfn.XLOOKUP(frasest[[#This Row],[autor_es]],autorest[autor_es],autorest[autor_la])</f>
        <v>Immanuel Kant</v>
      </c>
      <c r="H451" t="str">
        <f>_xlfn.XLOOKUP(frasest[[#This Row],[autor_es]],autorest[autor_es],autorest[bio_es])</f>
        <v>Filósofo alemán de la Ilustración, figura central de la filosofía moderna. Autor de la Crítica de la razón pura, Crítica de la razón práctica y Crítica del juicio. Desarrolló el imperativo categórico como fundamento de la ética universal. Revolucionó la epistemología, la ética y la estética, estableciendo los límites del conocimiento humano.</v>
      </c>
      <c r="I451" t="str">
        <f>_xlfn.XLOOKUP(frasest[[#This Row],[autor_es]],autorest[autor_es],autorest[bio_la])</f>
        <v>Philosophus Germanicus Illuminationis, figura centralis philosophiae modernae. Auctor Criticae Rationis Purae, Criticae Rationis Practicae et Criticae Iudicii. Imperativum categoricum ut fundamentum ethicae universalis elaboravit. Epistemologiam, ethicam et aestheticam revolutionavit, limites cognitionis humanae constituens.</v>
      </c>
      <c r="J451" t="str">
        <f>_xlfn.XLOOKUP(frasest[[#This Row],[autor_es]],autorest[autor_es],autorest[codigo])</f>
        <v>de</v>
      </c>
      <c r="K451" t="str">
        <f>_xlfn.XLOOKUP(frasest[[#This Row],[autor_es]],autorest[autor_es],autorest[idioma_es])</f>
        <v>Alemán</v>
      </c>
      <c r="L451" t="str">
        <f>_xlfn.XLOOKUP(frasest[[#This Row],[autor_es]],autorest[autor_es],autorest[idioma_la])</f>
        <v>Lingua Germanica</v>
      </c>
      <c r="M451" t="str">
        <f>_xlfn.XLOOKUP(frasest[[#This Row],[autor_es]],autorest[autor_es],autorest[nacion_es])</f>
        <v>Alemania</v>
      </c>
      <c r="N451" t="str">
        <f>_xlfn.XLOOKUP(frasest[[#This Row],[autor_es]],autorest[autor_es],autorest[nacion_la])</f>
        <v>Germania</v>
      </c>
      <c r="O451" t="str">
        <f>_xlfn.XLOOKUP(frasest[[#This Row],[autor_es]],autorest[autor_es],autorest[epoca_es])</f>
        <v>Edad Moderna</v>
      </c>
      <c r="P451" t="str">
        <f>_xlfn.XLOOKUP(frasest[[#This Row],[autor_es]],autorest[autor_es],autorest[epoca_la])</f>
        <v>Nova Aetas</v>
      </c>
      <c r="Q451" t="str">
        <f>_xlfn.XLOOKUP(frasest[[#This Row],[autor_es]],autorest[autor_es],autorest[imagen])</f>
        <v>https://i.ibb.co/MkNPjK5r/kant.png</v>
      </c>
      <c r="R451">
        <f>_xlfn.XLOOKUP(frasest[[#This Row],[autor_es]],autorest[autor_es],autorest[imagen_atr])</f>
        <v>0</v>
      </c>
    </row>
    <row r="452" spans="1:18">
      <c r="A452">
        <v>451</v>
      </c>
      <c r="B452" t="s">
        <v>1557</v>
      </c>
      <c r="C452" t="s">
        <v>1558</v>
      </c>
      <c r="D452" t="s">
        <v>1557</v>
      </c>
      <c r="E452" t="s">
        <v>1559</v>
      </c>
      <c r="F452" t="s">
        <v>1560</v>
      </c>
      <c r="G452" t="str">
        <f>_xlfn.XLOOKUP(frasest[[#This Row],[autor_es]],autorest[autor_es],autorest[autor_la])</f>
        <v>Iosephus Ortega y Gasset</v>
      </c>
      <c r="H452" t="str">
        <f>_xlfn.XLOOKUP(frasest[[#This Row],[autor_es]],autorest[autor_es],autorest[bio_es])</f>
        <v>Filósofo y ensayista español, figura cumbre del pensamiento hispánico del siglo XX. Creador del raciovitalismo y la razón histórica. Autor de La rebelión de las masas, Meditaciones del Quijote y El tema de nuestro tiempo. Su frase Yo soy yo y mi circunstancia resume su filosofía de la vida como realidad radical.</v>
      </c>
      <c r="I452" t="str">
        <f>_xlfn.XLOOKUP(frasest[[#This Row],[autor_es]],autorest[autor_es],autorest[bio_la])</f>
        <v>Philosophus et scriptor Hispanicus, figura culmen cogitationis Hispanicae saeculi XX. Creator ratiovitalismi et rationis historicae. Auctor Rebellionis Massarum, Meditationum de Quixote et Thematis Temporis Nostri. Sententia eius Ego sum ego et circumstantia mea philosophiam vitae ut realitatis radicalis compendit.</v>
      </c>
      <c r="J452" t="str">
        <f>_xlfn.XLOOKUP(frasest[[#This Row],[autor_es]],autorest[autor_es],autorest[codigo])</f>
        <v>es</v>
      </c>
      <c r="K452" t="str">
        <f>_xlfn.XLOOKUP(frasest[[#This Row],[autor_es]],autorest[autor_es],autorest[idioma_es])</f>
        <v>Español</v>
      </c>
      <c r="L452" t="str">
        <f>_xlfn.XLOOKUP(frasest[[#This Row],[autor_es]],autorest[autor_es],autorest[idioma_la])</f>
        <v>Lingua Hispanica</v>
      </c>
      <c r="M452" t="str">
        <f>_xlfn.XLOOKUP(frasest[[#This Row],[autor_es]],autorest[autor_es],autorest[nacion_es])</f>
        <v>España</v>
      </c>
      <c r="N452" t="str">
        <f>_xlfn.XLOOKUP(frasest[[#This Row],[autor_es]],autorest[autor_es],autorest[nacion_la])</f>
        <v>Hispania</v>
      </c>
      <c r="O452" t="str">
        <f>_xlfn.XLOOKUP(frasest[[#This Row],[autor_es]],autorest[autor_es],autorest[epoca_es])</f>
        <v>Edad Contemporánea</v>
      </c>
      <c r="P452" t="str">
        <f>_xlfn.XLOOKUP(frasest[[#This Row],[autor_es]],autorest[autor_es],autorest[epoca_la])</f>
        <v>Aetas Contemporanea</v>
      </c>
      <c r="Q452" t="str">
        <f>_xlfn.XLOOKUP(frasest[[#This Row],[autor_es]],autorest[autor_es],autorest[imagen])</f>
        <v>https://i.ibb.co/xtYX3S7h/ortega.png</v>
      </c>
      <c r="R452">
        <f>_xlfn.XLOOKUP(frasest[[#This Row],[autor_es]],autorest[autor_es],autorest[imagen_atr])</f>
        <v>0</v>
      </c>
    </row>
    <row r="453" spans="1:18">
      <c r="A453">
        <v>452</v>
      </c>
      <c r="B453" t="s">
        <v>1561</v>
      </c>
      <c r="C453" t="s">
        <v>1562</v>
      </c>
      <c r="D453" t="s">
        <v>1561</v>
      </c>
      <c r="E453" t="s">
        <v>1559</v>
      </c>
      <c r="F453" t="s">
        <v>1563</v>
      </c>
      <c r="G453" t="str">
        <f>_xlfn.XLOOKUP(frasest[[#This Row],[autor_es]],autorest[autor_es],autorest[autor_la])</f>
        <v>Iosephus Ortega y Gasset</v>
      </c>
      <c r="H453" t="str">
        <f>_xlfn.XLOOKUP(frasest[[#This Row],[autor_es]],autorest[autor_es],autorest[bio_es])</f>
        <v>Filósofo y ensayista español, figura cumbre del pensamiento hispánico del siglo XX. Creador del raciovitalismo y la razón histórica. Autor de La rebelión de las masas, Meditaciones del Quijote y El tema de nuestro tiempo. Su frase Yo soy yo y mi circunstancia resume su filosofía de la vida como realidad radical.</v>
      </c>
      <c r="I453" t="str">
        <f>_xlfn.XLOOKUP(frasest[[#This Row],[autor_es]],autorest[autor_es],autorest[bio_la])</f>
        <v>Philosophus et scriptor Hispanicus, figura culmen cogitationis Hispanicae saeculi XX. Creator ratiovitalismi et rationis historicae. Auctor Rebellionis Massarum, Meditationum de Quixote et Thematis Temporis Nostri. Sententia eius Ego sum ego et circumstantia mea philosophiam vitae ut realitatis radicalis compendit.</v>
      </c>
      <c r="J453" t="str">
        <f>_xlfn.XLOOKUP(frasest[[#This Row],[autor_es]],autorest[autor_es],autorest[codigo])</f>
        <v>es</v>
      </c>
      <c r="K453" t="str">
        <f>_xlfn.XLOOKUP(frasest[[#This Row],[autor_es]],autorest[autor_es],autorest[idioma_es])</f>
        <v>Español</v>
      </c>
      <c r="L453" t="str">
        <f>_xlfn.XLOOKUP(frasest[[#This Row],[autor_es]],autorest[autor_es],autorest[idioma_la])</f>
        <v>Lingua Hispanica</v>
      </c>
      <c r="M453" t="str">
        <f>_xlfn.XLOOKUP(frasest[[#This Row],[autor_es]],autorest[autor_es],autorest[nacion_es])</f>
        <v>España</v>
      </c>
      <c r="N453" t="str">
        <f>_xlfn.XLOOKUP(frasest[[#This Row],[autor_es]],autorest[autor_es],autorest[nacion_la])</f>
        <v>Hispania</v>
      </c>
      <c r="O453" t="str">
        <f>_xlfn.XLOOKUP(frasest[[#This Row],[autor_es]],autorest[autor_es],autorest[epoca_es])</f>
        <v>Edad Contemporánea</v>
      </c>
      <c r="P453" t="str">
        <f>_xlfn.XLOOKUP(frasest[[#This Row],[autor_es]],autorest[autor_es],autorest[epoca_la])</f>
        <v>Aetas Contemporanea</v>
      </c>
      <c r="Q453" t="str">
        <f>_xlfn.XLOOKUP(frasest[[#This Row],[autor_es]],autorest[autor_es],autorest[imagen])</f>
        <v>https://i.ibb.co/xtYX3S7h/ortega.png</v>
      </c>
      <c r="R453">
        <f>_xlfn.XLOOKUP(frasest[[#This Row],[autor_es]],autorest[autor_es],autorest[imagen_atr])</f>
        <v>0</v>
      </c>
    </row>
    <row r="454" spans="1:18">
      <c r="A454">
        <v>453</v>
      </c>
      <c r="B454" t="s">
        <v>1564</v>
      </c>
      <c r="C454" t="s">
        <v>1565</v>
      </c>
      <c r="D454" t="s">
        <v>1564</v>
      </c>
      <c r="E454" t="s">
        <v>1559</v>
      </c>
      <c r="F454" t="s">
        <v>1566</v>
      </c>
      <c r="G454" t="str">
        <f>_xlfn.XLOOKUP(frasest[[#This Row],[autor_es]],autorest[autor_es],autorest[autor_la])</f>
        <v>Iosephus Ortega y Gasset</v>
      </c>
      <c r="H454" t="str">
        <f>_xlfn.XLOOKUP(frasest[[#This Row],[autor_es]],autorest[autor_es],autorest[bio_es])</f>
        <v>Filósofo y ensayista español, figura cumbre del pensamiento hispánico del siglo XX. Creador del raciovitalismo y la razón histórica. Autor de La rebelión de las masas, Meditaciones del Quijote y El tema de nuestro tiempo. Su frase Yo soy yo y mi circunstancia resume su filosofía de la vida como realidad radical.</v>
      </c>
      <c r="I454" t="str">
        <f>_xlfn.XLOOKUP(frasest[[#This Row],[autor_es]],autorest[autor_es],autorest[bio_la])</f>
        <v>Philosophus et scriptor Hispanicus, figura culmen cogitationis Hispanicae saeculi XX. Creator ratiovitalismi et rationis historicae. Auctor Rebellionis Massarum, Meditationum de Quixote et Thematis Temporis Nostri. Sententia eius Ego sum ego et circumstantia mea philosophiam vitae ut realitatis radicalis compendit.</v>
      </c>
      <c r="J454" t="str">
        <f>_xlfn.XLOOKUP(frasest[[#This Row],[autor_es]],autorest[autor_es],autorest[codigo])</f>
        <v>es</v>
      </c>
      <c r="K454" t="str">
        <f>_xlfn.XLOOKUP(frasest[[#This Row],[autor_es]],autorest[autor_es],autorest[idioma_es])</f>
        <v>Español</v>
      </c>
      <c r="L454" t="str">
        <f>_xlfn.XLOOKUP(frasest[[#This Row],[autor_es]],autorest[autor_es],autorest[idioma_la])</f>
        <v>Lingua Hispanica</v>
      </c>
      <c r="M454" t="str">
        <f>_xlfn.XLOOKUP(frasest[[#This Row],[autor_es]],autorest[autor_es],autorest[nacion_es])</f>
        <v>España</v>
      </c>
      <c r="N454" t="str">
        <f>_xlfn.XLOOKUP(frasest[[#This Row],[autor_es]],autorest[autor_es],autorest[nacion_la])</f>
        <v>Hispania</v>
      </c>
      <c r="O454" t="str">
        <f>_xlfn.XLOOKUP(frasest[[#This Row],[autor_es]],autorest[autor_es],autorest[epoca_es])</f>
        <v>Edad Contemporánea</v>
      </c>
      <c r="P454" t="str">
        <f>_xlfn.XLOOKUP(frasest[[#This Row],[autor_es]],autorest[autor_es],autorest[epoca_la])</f>
        <v>Aetas Contemporanea</v>
      </c>
      <c r="Q454" t="str">
        <f>_xlfn.XLOOKUP(frasest[[#This Row],[autor_es]],autorest[autor_es],autorest[imagen])</f>
        <v>https://i.ibb.co/xtYX3S7h/ortega.png</v>
      </c>
      <c r="R454">
        <f>_xlfn.XLOOKUP(frasest[[#This Row],[autor_es]],autorest[autor_es],autorest[imagen_atr])</f>
        <v>0</v>
      </c>
    </row>
    <row r="455" spans="1:18">
      <c r="A455">
        <v>454</v>
      </c>
      <c r="B455" t="s">
        <v>1567</v>
      </c>
      <c r="C455" t="s">
        <v>1568</v>
      </c>
      <c r="D455" t="s">
        <v>1567</v>
      </c>
      <c r="E455" t="s">
        <v>1559</v>
      </c>
      <c r="F455" t="s">
        <v>1563</v>
      </c>
      <c r="G455" t="str">
        <f>_xlfn.XLOOKUP(frasest[[#This Row],[autor_es]],autorest[autor_es],autorest[autor_la])</f>
        <v>Iosephus Ortega y Gasset</v>
      </c>
      <c r="H455" t="str">
        <f>_xlfn.XLOOKUP(frasest[[#This Row],[autor_es]],autorest[autor_es],autorest[bio_es])</f>
        <v>Filósofo y ensayista español, figura cumbre del pensamiento hispánico del siglo XX. Creador del raciovitalismo y la razón histórica. Autor de La rebelión de las masas, Meditaciones del Quijote y El tema de nuestro tiempo. Su frase Yo soy yo y mi circunstancia resume su filosofía de la vida como realidad radical.</v>
      </c>
      <c r="I455" t="str">
        <f>_xlfn.XLOOKUP(frasest[[#This Row],[autor_es]],autorest[autor_es],autorest[bio_la])</f>
        <v>Philosophus et scriptor Hispanicus, figura culmen cogitationis Hispanicae saeculi XX. Creator ratiovitalismi et rationis historicae. Auctor Rebellionis Massarum, Meditationum de Quixote et Thematis Temporis Nostri. Sententia eius Ego sum ego et circumstantia mea philosophiam vitae ut realitatis radicalis compendit.</v>
      </c>
      <c r="J455" t="str">
        <f>_xlfn.XLOOKUP(frasest[[#This Row],[autor_es]],autorest[autor_es],autorest[codigo])</f>
        <v>es</v>
      </c>
      <c r="K455" t="str">
        <f>_xlfn.XLOOKUP(frasest[[#This Row],[autor_es]],autorest[autor_es],autorest[idioma_es])</f>
        <v>Español</v>
      </c>
      <c r="L455" t="str">
        <f>_xlfn.XLOOKUP(frasest[[#This Row],[autor_es]],autorest[autor_es],autorest[idioma_la])</f>
        <v>Lingua Hispanica</v>
      </c>
      <c r="M455" t="str">
        <f>_xlfn.XLOOKUP(frasest[[#This Row],[autor_es]],autorest[autor_es],autorest[nacion_es])</f>
        <v>España</v>
      </c>
      <c r="N455" t="str">
        <f>_xlfn.XLOOKUP(frasest[[#This Row],[autor_es]],autorest[autor_es],autorest[nacion_la])</f>
        <v>Hispania</v>
      </c>
      <c r="O455" t="str">
        <f>_xlfn.XLOOKUP(frasest[[#This Row],[autor_es]],autorest[autor_es],autorest[epoca_es])</f>
        <v>Edad Contemporánea</v>
      </c>
      <c r="P455" t="str">
        <f>_xlfn.XLOOKUP(frasest[[#This Row],[autor_es]],autorest[autor_es],autorest[epoca_la])</f>
        <v>Aetas Contemporanea</v>
      </c>
      <c r="Q455" t="str">
        <f>_xlfn.XLOOKUP(frasest[[#This Row],[autor_es]],autorest[autor_es],autorest[imagen])</f>
        <v>https://i.ibb.co/xtYX3S7h/ortega.png</v>
      </c>
      <c r="R455">
        <f>_xlfn.XLOOKUP(frasest[[#This Row],[autor_es]],autorest[autor_es],autorest[imagen_atr])</f>
        <v>0</v>
      </c>
    </row>
    <row r="456" spans="1:18">
      <c r="A456">
        <v>455</v>
      </c>
      <c r="B456" t="s">
        <v>1569</v>
      </c>
      <c r="C456" t="s">
        <v>1570</v>
      </c>
      <c r="D456" t="s">
        <v>1569</v>
      </c>
      <c r="E456" t="s">
        <v>1559</v>
      </c>
      <c r="F456" t="s">
        <v>1571</v>
      </c>
      <c r="G456" t="str">
        <f>_xlfn.XLOOKUP(frasest[[#This Row],[autor_es]],autorest[autor_es],autorest[autor_la])</f>
        <v>Iosephus Ortega y Gasset</v>
      </c>
      <c r="H456" t="str">
        <f>_xlfn.XLOOKUP(frasest[[#This Row],[autor_es]],autorest[autor_es],autorest[bio_es])</f>
        <v>Filósofo y ensayista español, figura cumbre del pensamiento hispánico del siglo XX. Creador del raciovitalismo y la razón histórica. Autor de La rebelión de las masas, Meditaciones del Quijote y El tema de nuestro tiempo. Su frase Yo soy yo y mi circunstancia resume su filosofía de la vida como realidad radical.</v>
      </c>
      <c r="I456" t="str">
        <f>_xlfn.XLOOKUP(frasest[[#This Row],[autor_es]],autorest[autor_es],autorest[bio_la])</f>
        <v>Philosophus et scriptor Hispanicus, figura culmen cogitationis Hispanicae saeculi XX. Creator ratiovitalismi et rationis historicae. Auctor Rebellionis Massarum, Meditationum de Quixote et Thematis Temporis Nostri. Sententia eius Ego sum ego et circumstantia mea philosophiam vitae ut realitatis radicalis compendit.</v>
      </c>
      <c r="J456" t="str">
        <f>_xlfn.XLOOKUP(frasest[[#This Row],[autor_es]],autorest[autor_es],autorest[codigo])</f>
        <v>es</v>
      </c>
      <c r="K456" t="str">
        <f>_xlfn.XLOOKUP(frasest[[#This Row],[autor_es]],autorest[autor_es],autorest[idioma_es])</f>
        <v>Español</v>
      </c>
      <c r="L456" t="str">
        <f>_xlfn.XLOOKUP(frasest[[#This Row],[autor_es]],autorest[autor_es],autorest[idioma_la])</f>
        <v>Lingua Hispanica</v>
      </c>
      <c r="M456" t="str">
        <f>_xlfn.XLOOKUP(frasest[[#This Row],[autor_es]],autorest[autor_es],autorest[nacion_es])</f>
        <v>España</v>
      </c>
      <c r="N456" t="str">
        <f>_xlfn.XLOOKUP(frasest[[#This Row],[autor_es]],autorest[autor_es],autorest[nacion_la])</f>
        <v>Hispania</v>
      </c>
      <c r="O456" t="str">
        <f>_xlfn.XLOOKUP(frasest[[#This Row],[autor_es]],autorest[autor_es],autorest[epoca_es])</f>
        <v>Edad Contemporánea</v>
      </c>
      <c r="P456" t="str">
        <f>_xlfn.XLOOKUP(frasest[[#This Row],[autor_es]],autorest[autor_es],autorest[epoca_la])</f>
        <v>Aetas Contemporanea</v>
      </c>
      <c r="Q456" t="str">
        <f>_xlfn.XLOOKUP(frasest[[#This Row],[autor_es]],autorest[autor_es],autorest[imagen])</f>
        <v>https://i.ibb.co/xtYX3S7h/ortega.png</v>
      </c>
      <c r="R456">
        <f>_xlfn.XLOOKUP(frasest[[#This Row],[autor_es]],autorest[autor_es],autorest[imagen_atr])</f>
        <v>0</v>
      </c>
    </row>
    <row r="457" spans="1:18">
      <c r="A457">
        <v>456</v>
      </c>
      <c r="B457" t="s">
        <v>1572</v>
      </c>
      <c r="C457" t="s">
        <v>1573</v>
      </c>
      <c r="D457" t="s">
        <v>1572</v>
      </c>
      <c r="E457" t="s">
        <v>1559</v>
      </c>
      <c r="F457" t="s">
        <v>1563</v>
      </c>
      <c r="G457" t="str">
        <f>_xlfn.XLOOKUP(frasest[[#This Row],[autor_es]],autorest[autor_es],autorest[autor_la])</f>
        <v>Iosephus Ortega y Gasset</v>
      </c>
      <c r="H457" t="str">
        <f>_xlfn.XLOOKUP(frasest[[#This Row],[autor_es]],autorest[autor_es],autorest[bio_es])</f>
        <v>Filósofo y ensayista español, figura cumbre del pensamiento hispánico del siglo XX. Creador del raciovitalismo y la razón histórica. Autor de La rebelión de las masas, Meditaciones del Quijote y El tema de nuestro tiempo. Su frase Yo soy yo y mi circunstancia resume su filosofía de la vida como realidad radical.</v>
      </c>
      <c r="I457" t="str">
        <f>_xlfn.XLOOKUP(frasest[[#This Row],[autor_es]],autorest[autor_es],autorest[bio_la])</f>
        <v>Philosophus et scriptor Hispanicus, figura culmen cogitationis Hispanicae saeculi XX. Creator ratiovitalismi et rationis historicae. Auctor Rebellionis Massarum, Meditationum de Quixote et Thematis Temporis Nostri. Sententia eius Ego sum ego et circumstantia mea philosophiam vitae ut realitatis radicalis compendit.</v>
      </c>
      <c r="J457" t="str">
        <f>_xlfn.XLOOKUP(frasest[[#This Row],[autor_es]],autorest[autor_es],autorest[codigo])</f>
        <v>es</v>
      </c>
      <c r="K457" t="str">
        <f>_xlfn.XLOOKUP(frasest[[#This Row],[autor_es]],autorest[autor_es],autorest[idioma_es])</f>
        <v>Español</v>
      </c>
      <c r="L457" t="str">
        <f>_xlfn.XLOOKUP(frasest[[#This Row],[autor_es]],autorest[autor_es],autorest[idioma_la])</f>
        <v>Lingua Hispanica</v>
      </c>
      <c r="M457" t="str">
        <f>_xlfn.XLOOKUP(frasest[[#This Row],[autor_es]],autorest[autor_es],autorest[nacion_es])</f>
        <v>España</v>
      </c>
      <c r="N457" t="str">
        <f>_xlfn.XLOOKUP(frasest[[#This Row],[autor_es]],autorest[autor_es],autorest[nacion_la])</f>
        <v>Hispania</v>
      </c>
      <c r="O457" t="str">
        <f>_xlfn.XLOOKUP(frasest[[#This Row],[autor_es]],autorest[autor_es],autorest[epoca_es])</f>
        <v>Edad Contemporánea</v>
      </c>
      <c r="P457" t="str">
        <f>_xlfn.XLOOKUP(frasest[[#This Row],[autor_es]],autorest[autor_es],autorest[epoca_la])</f>
        <v>Aetas Contemporanea</v>
      </c>
      <c r="Q457" t="str">
        <f>_xlfn.XLOOKUP(frasest[[#This Row],[autor_es]],autorest[autor_es],autorest[imagen])</f>
        <v>https://i.ibb.co/xtYX3S7h/ortega.png</v>
      </c>
      <c r="R457">
        <f>_xlfn.XLOOKUP(frasest[[#This Row],[autor_es]],autorest[autor_es],autorest[imagen_atr])</f>
        <v>0</v>
      </c>
    </row>
    <row r="458" spans="1:18">
      <c r="A458">
        <v>457</v>
      </c>
      <c r="B458" t="s">
        <v>1574</v>
      </c>
      <c r="C458" t="s">
        <v>1575</v>
      </c>
      <c r="D458" t="s">
        <v>1576</v>
      </c>
      <c r="E458" t="s">
        <v>1577</v>
      </c>
      <c r="F458" t="s">
        <v>1578</v>
      </c>
      <c r="G458" t="str">
        <f>_xlfn.XLOOKUP(frasest[[#This Row],[autor_es]],autorest[autor_es],autorest[autor_la])</f>
        <v>Soren Kierkegaard</v>
      </c>
      <c r="H458" t="str">
        <f>_xlfn.XLOOKUP(frasest[[#This Row],[autor_es]],autorest[autor_es],autorest[bio_es])</f>
        <v>Filósofo y teólogo danés, considerado el padre del existencialismo. Crítico del racionalismo hegeliano y de la cristiandad institucionalizada. Autor de Temor y temblor, El concepto de la angustia y La enfermedad mortal. Desarrolló los tres estadios de la existencia: estético, ético y religioso. Enfatizó la subjetividad, la fe como salto y la angustia existencial.</v>
      </c>
      <c r="I458" t="str">
        <f>_xlfn.XLOOKUP(frasest[[#This Row],[autor_es]],autorest[autor_es],autorest[bio_la])</f>
        <v>Philosophus et theologus Danicus, pater existentialismi consideratus. Criticus rationalismi Hegeliani et Christianitatis institutionalizatae. Auctor Timoris et Tremoris, Conceptus Angustiae et Morbi ad Mortem. Tria stadia existentiae elaboravit: aestheticum, ethicum et religiosum. Subiectivitatem, fidem ut saltum et angustiam existentialem emphasizavit.</v>
      </c>
      <c r="J458" t="str">
        <f>_xlfn.XLOOKUP(frasest[[#This Row],[autor_es]],autorest[autor_es],autorest[codigo])</f>
        <v>da</v>
      </c>
      <c r="K458" t="str">
        <f>_xlfn.XLOOKUP(frasest[[#This Row],[autor_es]],autorest[autor_es],autorest[idioma_es])</f>
        <v>Danés</v>
      </c>
      <c r="L458" t="str">
        <f>_xlfn.XLOOKUP(frasest[[#This Row],[autor_es]],autorest[autor_es],autorest[idioma_la])</f>
        <v>Lingua Danica</v>
      </c>
      <c r="M458" t="str">
        <f>_xlfn.XLOOKUP(frasest[[#This Row],[autor_es]],autorest[autor_es],autorest[nacion_es])</f>
        <v>Dinamarca</v>
      </c>
      <c r="N458" t="str">
        <f>_xlfn.XLOOKUP(frasest[[#This Row],[autor_es]],autorest[autor_es],autorest[nacion_la])</f>
        <v>Dania</v>
      </c>
      <c r="O458" t="str">
        <f>_xlfn.XLOOKUP(frasest[[#This Row],[autor_es]],autorest[autor_es],autorest[epoca_es])</f>
        <v>Edad Contemporánea</v>
      </c>
      <c r="P458" t="str">
        <f>_xlfn.XLOOKUP(frasest[[#This Row],[autor_es]],autorest[autor_es],autorest[epoca_la])</f>
        <v>Aetas Contemporanea</v>
      </c>
      <c r="Q458" t="str">
        <f>_xlfn.XLOOKUP(frasest[[#This Row],[autor_es]],autorest[autor_es],autorest[imagen])</f>
        <v>https://i.ibb.co/h0XxRwM/kiekergard.png</v>
      </c>
      <c r="R458">
        <f>_xlfn.XLOOKUP(frasest[[#This Row],[autor_es]],autorest[autor_es],autorest[imagen_atr])</f>
        <v>0</v>
      </c>
    </row>
    <row r="459" spans="1:18">
      <c r="A459">
        <v>458</v>
      </c>
      <c r="B459" t="s">
        <v>1579</v>
      </c>
      <c r="C459" t="s">
        <v>1580</v>
      </c>
      <c r="D459" t="s">
        <v>1581</v>
      </c>
      <c r="E459" t="s">
        <v>1577</v>
      </c>
      <c r="F459" t="s">
        <v>1582</v>
      </c>
      <c r="G459" t="str">
        <f>_xlfn.XLOOKUP(frasest[[#This Row],[autor_es]],autorest[autor_es],autorest[autor_la])</f>
        <v>Soren Kierkegaard</v>
      </c>
      <c r="H459" t="str">
        <f>_xlfn.XLOOKUP(frasest[[#This Row],[autor_es]],autorest[autor_es],autorest[bio_es])</f>
        <v>Filósofo y teólogo danés, considerado el padre del existencialismo. Crítico del racionalismo hegeliano y de la cristiandad institucionalizada. Autor de Temor y temblor, El concepto de la angustia y La enfermedad mortal. Desarrolló los tres estadios de la existencia: estético, ético y religioso. Enfatizó la subjetividad, la fe como salto y la angustia existencial.</v>
      </c>
      <c r="I459" t="str">
        <f>_xlfn.XLOOKUP(frasest[[#This Row],[autor_es]],autorest[autor_es],autorest[bio_la])</f>
        <v>Philosophus et theologus Danicus, pater existentialismi consideratus. Criticus rationalismi Hegeliani et Christianitatis institutionalizatae. Auctor Timoris et Tremoris, Conceptus Angustiae et Morbi ad Mortem. Tria stadia existentiae elaboravit: aestheticum, ethicum et religiosum. Subiectivitatem, fidem ut saltum et angustiam existentialem emphasizavit.</v>
      </c>
      <c r="J459" t="str">
        <f>_xlfn.XLOOKUP(frasest[[#This Row],[autor_es]],autorest[autor_es],autorest[codigo])</f>
        <v>da</v>
      </c>
      <c r="K459" t="str">
        <f>_xlfn.XLOOKUP(frasest[[#This Row],[autor_es]],autorest[autor_es],autorest[idioma_es])</f>
        <v>Danés</v>
      </c>
      <c r="L459" t="str">
        <f>_xlfn.XLOOKUP(frasest[[#This Row],[autor_es]],autorest[autor_es],autorest[idioma_la])</f>
        <v>Lingua Danica</v>
      </c>
      <c r="M459" t="str">
        <f>_xlfn.XLOOKUP(frasest[[#This Row],[autor_es]],autorest[autor_es],autorest[nacion_es])</f>
        <v>Dinamarca</v>
      </c>
      <c r="N459" t="str">
        <f>_xlfn.XLOOKUP(frasest[[#This Row],[autor_es]],autorest[autor_es],autorest[nacion_la])</f>
        <v>Dania</v>
      </c>
      <c r="O459" t="str">
        <f>_xlfn.XLOOKUP(frasest[[#This Row],[autor_es]],autorest[autor_es],autorest[epoca_es])</f>
        <v>Edad Contemporánea</v>
      </c>
      <c r="P459" t="str">
        <f>_xlfn.XLOOKUP(frasest[[#This Row],[autor_es]],autorest[autor_es],autorest[epoca_la])</f>
        <v>Aetas Contemporanea</v>
      </c>
      <c r="Q459" t="str">
        <f>_xlfn.XLOOKUP(frasest[[#This Row],[autor_es]],autorest[autor_es],autorest[imagen])</f>
        <v>https://i.ibb.co/h0XxRwM/kiekergard.png</v>
      </c>
      <c r="R459">
        <f>_xlfn.XLOOKUP(frasest[[#This Row],[autor_es]],autorest[autor_es],autorest[imagen_atr])</f>
        <v>0</v>
      </c>
    </row>
    <row r="460" spans="1:18">
      <c r="A460">
        <v>459</v>
      </c>
      <c r="B460" t="s">
        <v>1583</v>
      </c>
      <c r="C460" t="s">
        <v>1584</v>
      </c>
      <c r="D460" t="s">
        <v>1585</v>
      </c>
      <c r="E460" t="s">
        <v>1577</v>
      </c>
      <c r="F460" t="s">
        <v>1586</v>
      </c>
      <c r="G460" t="str">
        <f>_xlfn.XLOOKUP(frasest[[#This Row],[autor_es]],autorest[autor_es],autorest[autor_la])</f>
        <v>Soren Kierkegaard</v>
      </c>
      <c r="H460" t="str">
        <f>_xlfn.XLOOKUP(frasest[[#This Row],[autor_es]],autorest[autor_es],autorest[bio_es])</f>
        <v>Filósofo y teólogo danés, considerado el padre del existencialismo. Crítico del racionalismo hegeliano y de la cristiandad institucionalizada. Autor de Temor y temblor, El concepto de la angustia y La enfermedad mortal. Desarrolló los tres estadios de la existencia: estético, ético y religioso. Enfatizó la subjetividad, la fe como salto y la angustia existencial.</v>
      </c>
      <c r="I460" t="str">
        <f>_xlfn.XLOOKUP(frasest[[#This Row],[autor_es]],autorest[autor_es],autorest[bio_la])</f>
        <v>Philosophus et theologus Danicus, pater existentialismi consideratus. Criticus rationalismi Hegeliani et Christianitatis institutionalizatae. Auctor Timoris et Tremoris, Conceptus Angustiae et Morbi ad Mortem. Tria stadia existentiae elaboravit: aestheticum, ethicum et religiosum. Subiectivitatem, fidem ut saltum et angustiam existentialem emphasizavit.</v>
      </c>
      <c r="J460" t="str">
        <f>_xlfn.XLOOKUP(frasest[[#This Row],[autor_es]],autorest[autor_es],autorest[codigo])</f>
        <v>da</v>
      </c>
      <c r="K460" t="str">
        <f>_xlfn.XLOOKUP(frasest[[#This Row],[autor_es]],autorest[autor_es],autorest[idioma_es])</f>
        <v>Danés</v>
      </c>
      <c r="L460" t="str">
        <f>_xlfn.XLOOKUP(frasest[[#This Row],[autor_es]],autorest[autor_es],autorest[idioma_la])</f>
        <v>Lingua Danica</v>
      </c>
      <c r="M460" t="str">
        <f>_xlfn.XLOOKUP(frasest[[#This Row],[autor_es]],autorest[autor_es],autorest[nacion_es])</f>
        <v>Dinamarca</v>
      </c>
      <c r="N460" t="str">
        <f>_xlfn.XLOOKUP(frasest[[#This Row],[autor_es]],autorest[autor_es],autorest[nacion_la])</f>
        <v>Dania</v>
      </c>
      <c r="O460" t="str">
        <f>_xlfn.XLOOKUP(frasest[[#This Row],[autor_es]],autorest[autor_es],autorest[epoca_es])</f>
        <v>Edad Contemporánea</v>
      </c>
      <c r="P460" t="str">
        <f>_xlfn.XLOOKUP(frasest[[#This Row],[autor_es]],autorest[autor_es],autorest[epoca_la])</f>
        <v>Aetas Contemporanea</v>
      </c>
      <c r="Q460" t="str">
        <f>_xlfn.XLOOKUP(frasest[[#This Row],[autor_es]],autorest[autor_es],autorest[imagen])</f>
        <v>https://i.ibb.co/h0XxRwM/kiekergard.png</v>
      </c>
      <c r="R460">
        <f>_xlfn.XLOOKUP(frasest[[#This Row],[autor_es]],autorest[autor_es],autorest[imagen_atr])</f>
        <v>0</v>
      </c>
    </row>
    <row r="461" spans="1:18">
      <c r="A461">
        <v>460</v>
      </c>
      <c r="B461" t="s">
        <v>1587</v>
      </c>
      <c r="C461" t="s">
        <v>1588</v>
      </c>
      <c r="D461" t="s">
        <v>1589</v>
      </c>
      <c r="E461" t="s">
        <v>1577</v>
      </c>
      <c r="F461" t="s">
        <v>1578</v>
      </c>
      <c r="G461" t="str">
        <f>_xlfn.XLOOKUP(frasest[[#This Row],[autor_es]],autorest[autor_es],autorest[autor_la])</f>
        <v>Soren Kierkegaard</v>
      </c>
      <c r="H461" t="str">
        <f>_xlfn.XLOOKUP(frasest[[#This Row],[autor_es]],autorest[autor_es],autorest[bio_es])</f>
        <v>Filósofo y teólogo danés, considerado el padre del existencialismo. Crítico del racionalismo hegeliano y de la cristiandad institucionalizada. Autor de Temor y temblor, El concepto de la angustia y La enfermedad mortal. Desarrolló los tres estadios de la existencia: estético, ético y religioso. Enfatizó la subjetividad, la fe como salto y la angustia existencial.</v>
      </c>
      <c r="I461" t="str">
        <f>_xlfn.XLOOKUP(frasest[[#This Row],[autor_es]],autorest[autor_es],autorest[bio_la])</f>
        <v>Philosophus et theologus Danicus, pater existentialismi consideratus. Criticus rationalismi Hegeliani et Christianitatis institutionalizatae. Auctor Timoris et Tremoris, Conceptus Angustiae et Morbi ad Mortem. Tria stadia existentiae elaboravit: aestheticum, ethicum et religiosum. Subiectivitatem, fidem ut saltum et angustiam existentialem emphasizavit.</v>
      </c>
      <c r="J461" t="str">
        <f>_xlfn.XLOOKUP(frasest[[#This Row],[autor_es]],autorest[autor_es],autorest[codigo])</f>
        <v>da</v>
      </c>
      <c r="K461" t="str">
        <f>_xlfn.XLOOKUP(frasest[[#This Row],[autor_es]],autorest[autor_es],autorest[idioma_es])</f>
        <v>Danés</v>
      </c>
      <c r="L461" t="str">
        <f>_xlfn.XLOOKUP(frasest[[#This Row],[autor_es]],autorest[autor_es],autorest[idioma_la])</f>
        <v>Lingua Danica</v>
      </c>
      <c r="M461" t="str">
        <f>_xlfn.XLOOKUP(frasest[[#This Row],[autor_es]],autorest[autor_es],autorest[nacion_es])</f>
        <v>Dinamarca</v>
      </c>
      <c r="N461" t="str">
        <f>_xlfn.XLOOKUP(frasest[[#This Row],[autor_es]],autorest[autor_es],autorest[nacion_la])</f>
        <v>Dania</v>
      </c>
      <c r="O461" t="str">
        <f>_xlfn.XLOOKUP(frasest[[#This Row],[autor_es]],autorest[autor_es],autorest[epoca_es])</f>
        <v>Edad Contemporánea</v>
      </c>
      <c r="P461" t="str">
        <f>_xlfn.XLOOKUP(frasest[[#This Row],[autor_es]],autorest[autor_es],autorest[epoca_la])</f>
        <v>Aetas Contemporanea</v>
      </c>
      <c r="Q461" t="str">
        <f>_xlfn.XLOOKUP(frasest[[#This Row],[autor_es]],autorest[autor_es],autorest[imagen])</f>
        <v>https://i.ibb.co/h0XxRwM/kiekergard.png</v>
      </c>
      <c r="R461">
        <f>_xlfn.XLOOKUP(frasest[[#This Row],[autor_es]],autorest[autor_es],autorest[imagen_atr])</f>
        <v>0</v>
      </c>
    </row>
    <row r="462" spans="1:18">
      <c r="A462">
        <v>461</v>
      </c>
      <c r="B462" t="s">
        <v>1590</v>
      </c>
      <c r="C462" t="s">
        <v>1591</v>
      </c>
      <c r="D462" t="s">
        <v>1592</v>
      </c>
      <c r="E462" t="s">
        <v>1577</v>
      </c>
      <c r="F462" t="s">
        <v>1593</v>
      </c>
      <c r="G462" t="str">
        <f>_xlfn.XLOOKUP(frasest[[#This Row],[autor_es]],autorest[autor_es],autorest[autor_la])</f>
        <v>Soren Kierkegaard</v>
      </c>
      <c r="H462" t="str">
        <f>_xlfn.XLOOKUP(frasest[[#This Row],[autor_es]],autorest[autor_es],autorest[bio_es])</f>
        <v>Filósofo y teólogo danés, considerado el padre del existencialismo. Crítico del racionalismo hegeliano y de la cristiandad institucionalizada. Autor de Temor y temblor, El concepto de la angustia y La enfermedad mortal. Desarrolló los tres estadios de la existencia: estético, ético y religioso. Enfatizó la subjetividad, la fe como salto y la angustia existencial.</v>
      </c>
      <c r="I462" t="str">
        <f>_xlfn.XLOOKUP(frasest[[#This Row],[autor_es]],autorest[autor_es],autorest[bio_la])</f>
        <v>Philosophus et theologus Danicus, pater existentialismi consideratus. Criticus rationalismi Hegeliani et Christianitatis institutionalizatae. Auctor Timoris et Tremoris, Conceptus Angustiae et Morbi ad Mortem. Tria stadia existentiae elaboravit: aestheticum, ethicum et religiosum. Subiectivitatem, fidem ut saltum et angustiam existentialem emphasizavit.</v>
      </c>
      <c r="J462" t="str">
        <f>_xlfn.XLOOKUP(frasest[[#This Row],[autor_es]],autorest[autor_es],autorest[codigo])</f>
        <v>da</v>
      </c>
      <c r="K462" t="str">
        <f>_xlfn.XLOOKUP(frasest[[#This Row],[autor_es]],autorest[autor_es],autorest[idioma_es])</f>
        <v>Danés</v>
      </c>
      <c r="L462" t="str">
        <f>_xlfn.XLOOKUP(frasest[[#This Row],[autor_es]],autorest[autor_es],autorest[idioma_la])</f>
        <v>Lingua Danica</v>
      </c>
      <c r="M462" t="str">
        <f>_xlfn.XLOOKUP(frasest[[#This Row],[autor_es]],autorest[autor_es],autorest[nacion_es])</f>
        <v>Dinamarca</v>
      </c>
      <c r="N462" t="str">
        <f>_xlfn.XLOOKUP(frasest[[#This Row],[autor_es]],autorest[autor_es],autorest[nacion_la])</f>
        <v>Dania</v>
      </c>
      <c r="O462" t="str">
        <f>_xlfn.XLOOKUP(frasest[[#This Row],[autor_es]],autorest[autor_es],autorest[epoca_es])</f>
        <v>Edad Contemporánea</v>
      </c>
      <c r="P462" t="str">
        <f>_xlfn.XLOOKUP(frasest[[#This Row],[autor_es]],autorest[autor_es],autorest[epoca_la])</f>
        <v>Aetas Contemporanea</v>
      </c>
      <c r="Q462" t="str">
        <f>_xlfn.XLOOKUP(frasest[[#This Row],[autor_es]],autorest[autor_es],autorest[imagen])</f>
        <v>https://i.ibb.co/h0XxRwM/kiekergard.png</v>
      </c>
      <c r="R462">
        <f>_xlfn.XLOOKUP(frasest[[#This Row],[autor_es]],autorest[autor_es],autorest[imagen_atr])</f>
        <v>0</v>
      </c>
    </row>
    <row r="463" spans="1:18">
      <c r="A463">
        <v>462</v>
      </c>
      <c r="B463" t="s">
        <v>1594</v>
      </c>
      <c r="C463" t="s">
        <v>1595</v>
      </c>
      <c r="D463" t="s">
        <v>1596</v>
      </c>
      <c r="E463" t="s">
        <v>1577</v>
      </c>
      <c r="F463" t="s">
        <v>1597</v>
      </c>
      <c r="G463" t="str">
        <f>_xlfn.XLOOKUP(frasest[[#This Row],[autor_es]],autorest[autor_es],autorest[autor_la])</f>
        <v>Soren Kierkegaard</v>
      </c>
      <c r="H463" t="str">
        <f>_xlfn.XLOOKUP(frasest[[#This Row],[autor_es]],autorest[autor_es],autorest[bio_es])</f>
        <v>Filósofo y teólogo danés, considerado el padre del existencialismo. Crítico del racionalismo hegeliano y de la cristiandad institucionalizada. Autor de Temor y temblor, El concepto de la angustia y La enfermedad mortal. Desarrolló los tres estadios de la existencia: estético, ético y religioso. Enfatizó la subjetividad, la fe como salto y la angustia existencial.</v>
      </c>
      <c r="I463" t="str">
        <f>_xlfn.XLOOKUP(frasest[[#This Row],[autor_es]],autorest[autor_es],autorest[bio_la])</f>
        <v>Philosophus et theologus Danicus, pater existentialismi consideratus. Criticus rationalismi Hegeliani et Christianitatis institutionalizatae. Auctor Timoris et Tremoris, Conceptus Angustiae et Morbi ad Mortem. Tria stadia existentiae elaboravit: aestheticum, ethicum et religiosum. Subiectivitatem, fidem ut saltum et angustiam existentialem emphasizavit.</v>
      </c>
      <c r="J463" t="str">
        <f>_xlfn.XLOOKUP(frasest[[#This Row],[autor_es]],autorest[autor_es],autorest[codigo])</f>
        <v>da</v>
      </c>
      <c r="K463" t="str">
        <f>_xlfn.XLOOKUP(frasest[[#This Row],[autor_es]],autorest[autor_es],autorest[idioma_es])</f>
        <v>Danés</v>
      </c>
      <c r="L463" t="str">
        <f>_xlfn.XLOOKUP(frasest[[#This Row],[autor_es]],autorest[autor_es],autorest[idioma_la])</f>
        <v>Lingua Danica</v>
      </c>
      <c r="M463" t="str">
        <f>_xlfn.XLOOKUP(frasest[[#This Row],[autor_es]],autorest[autor_es],autorest[nacion_es])</f>
        <v>Dinamarca</v>
      </c>
      <c r="N463" t="str">
        <f>_xlfn.XLOOKUP(frasest[[#This Row],[autor_es]],autorest[autor_es],autorest[nacion_la])</f>
        <v>Dania</v>
      </c>
      <c r="O463" t="str">
        <f>_xlfn.XLOOKUP(frasest[[#This Row],[autor_es]],autorest[autor_es],autorest[epoca_es])</f>
        <v>Edad Contemporánea</v>
      </c>
      <c r="P463" t="str">
        <f>_xlfn.XLOOKUP(frasest[[#This Row],[autor_es]],autorest[autor_es],autorest[epoca_la])</f>
        <v>Aetas Contemporanea</v>
      </c>
      <c r="Q463" t="str">
        <f>_xlfn.XLOOKUP(frasest[[#This Row],[autor_es]],autorest[autor_es],autorest[imagen])</f>
        <v>https://i.ibb.co/h0XxRwM/kiekergard.png</v>
      </c>
      <c r="R463">
        <f>_xlfn.XLOOKUP(frasest[[#This Row],[autor_es]],autorest[autor_es],autorest[imagen_atr])</f>
        <v>0</v>
      </c>
    </row>
    <row r="464" spans="1:18">
      <c r="A464">
        <v>463</v>
      </c>
      <c r="B464" t="s">
        <v>1598</v>
      </c>
      <c r="C464" t="s">
        <v>1599</v>
      </c>
      <c r="D464" t="s">
        <v>1599</v>
      </c>
      <c r="E464" t="s">
        <v>1600</v>
      </c>
      <c r="F464" t="s">
        <v>1601</v>
      </c>
      <c r="G464" t="str">
        <f>_xlfn.XLOOKUP(frasest[[#This Row],[autor_es]],autorest[autor_es],autorest[autor_la])</f>
        <v>Iohannes Amos Comenius</v>
      </c>
      <c r="H464" t="str">
        <f>_xlfn.XLOOKUP(frasest[[#This Row],[autor_es]],autorest[autor_es],autorest[bio_es])</f>
        <v>Pedagogo filósofo y teólogo checo considerado el padre de la pedagogía moderna. Autor de la Didáctica Magna donde propone el ideal pansófico de enseñar todo a todos. Creó el primer libro ilustrado para niños Orbis Pictus. Pionero de métodos educativos que respetan el desarrollo natural del niño y defensor de la educación universal.</v>
      </c>
      <c r="I464" t="str">
        <f>_xlfn.XLOOKUP(frasest[[#This Row],[autor_es]],autorest[autor_es],autorest[bio_la])</f>
        <v>Paedagogus philosophus et theologus Bohemicus pater paedagogiae modernae consideratus. Auctor Didacticae Magnae ubi ideal pansophicum docere omnia omnibus proponit. Primum librum illustratum pro pueris Orbis Pictus creavit. Pionarius methodorum educativarum quae progressum naturalem pueri respectant et defensor educationis universalis.</v>
      </c>
      <c r="J464" t="str">
        <f>_xlfn.XLOOKUP(frasest[[#This Row],[autor_es]],autorest[autor_es],autorest[codigo])</f>
        <v>la</v>
      </c>
      <c r="K464" t="str">
        <f>_xlfn.XLOOKUP(frasest[[#This Row],[autor_es]],autorest[autor_es],autorest[idioma_es])</f>
        <v>Latín</v>
      </c>
      <c r="L464" t="str">
        <f>_xlfn.XLOOKUP(frasest[[#This Row],[autor_es]],autorest[autor_es],autorest[idioma_la])</f>
        <v>Lingua Latina</v>
      </c>
      <c r="M464" t="str">
        <f>_xlfn.XLOOKUP(frasest[[#This Row],[autor_es]],autorest[autor_es],autorest[nacion_es])</f>
        <v>Chequia</v>
      </c>
      <c r="N464" t="str">
        <f>_xlfn.XLOOKUP(frasest[[#This Row],[autor_es]],autorest[autor_es],autorest[nacion_la])</f>
        <v>Cechia</v>
      </c>
      <c r="O464" t="str">
        <f>_xlfn.XLOOKUP(frasest[[#This Row],[autor_es]],autorest[autor_es],autorest[epoca_es])</f>
        <v>Edad Moderna</v>
      </c>
      <c r="P464" t="str">
        <f>_xlfn.XLOOKUP(frasest[[#This Row],[autor_es]],autorest[autor_es],autorest[epoca_la])</f>
        <v>Nova Aetas</v>
      </c>
      <c r="Q464" t="str">
        <f>_xlfn.XLOOKUP(frasest[[#This Row],[autor_es]],autorest[autor_es],autorest[imagen])</f>
        <v>https://i.ibb.co/fzJrNW0W/comenio.png</v>
      </c>
      <c r="R464">
        <f>_xlfn.XLOOKUP(frasest[[#This Row],[autor_es]],autorest[autor_es],autorest[imagen_atr])</f>
        <v>0</v>
      </c>
    </row>
    <row r="465" spans="1:18">
      <c r="A465">
        <v>464</v>
      </c>
      <c r="B465" t="s">
        <v>1602</v>
      </c>
      <c r="C465" t="s">
        <v>1603</v>
      </c>
      <c r="D465" t="s">
        <v>1603</v>
      </c>
      <c r="E465" t="s">
        <v>1600</v>
      </c>
      <c r="F465" t="s">
        <v>1604</v>
      </c>
      <c r="G465" t="str">
        <f>_xlfn.XLOOKUP(frasest[[#This Row],[autor_es]],autorest[autor_es],autorest[autor_la])</f>
        <v>Iohannes Amos Comenius</v>
      </c>
      <c r="H465" t="str">
        <f>_xlfn.XLOOKUP(frasest[[#This Row],[autor_es]],autorest[autor_es],autorest[bio_es])</f>
        <v>Pedagogo filósofo y teólogo checo considerado el padre de la pedagogía moderna. Autor de la Didáctica Magna donde propone el ideal pansófico de enseñar todo a todos. Creó el primer libro ilustrado para niños Orbis Pictus. Pionero de métodos educativos que respetan el desarrollo natural del niño y defensor de la educación universal.</v>
      </c>
      <c r="I465" t="str">
        <f>_xlfn.XLOOKUP(frasest[[#This Row],[autor_es]],autorest[autor_es],autorest[bio_la])</f>
        <v>Paedagogus philosophus et theologus Bohemicus pater paedagogiae modernae consideratus. Auctor Didacticae Magnae ubi ideal pansophicum docere omnia omnibus proponit. Primum librum illustratum pro pueris Orbis Pictus creavit. Pionarius methodorum educativarum quae progressum naturalem pueri respectant et defensor educationis universalis.</v>
      </c>
      <c r="J465" t="str">
        <f>_xlfn.XLOOKUP(frasest[[#This Row],[autor_es]],autorest[autor_es],autorest[codigo])</f>
        <v>la</v>
      </c>
      <c r="K465" t="str">
        <f>_xlfn.XLOOKUP(frasest[[#This Row],[autor_es]],autorest[autor_es],autorest[idioma_es])</f>
        <v>Latín</v>
      </c>
      <c r="L465" t="str">
        <f>_xlfn.XLOOKUP(frasest[[#This Row],[autor_es]],autorest[autor_es],autorest[idioma_la])</f>
        <v>Lingua Latina</v>
      </c>
      <c r="M465" t="str">
        <f>_xlfn.XLOOKUP(frasest[[#This Row],[autor_es]],autorest[autor_es],autorest[nacion_es])</f>
        <v>Chequia</v>
      </c>
      <c r="N465" t="str">
        <f>_xlfn.XLOOKUP(frasest[[#This Row],[autor_es]],autorest[autor_es],autorest[nacion_la])</f>
        <v>Cechia</v>
      </c>
      <c r="O465" t="str">
        <f>_xlfn.XLOOKUP(frasest[[#This Row],[autor_es]],autorest[autor_es],autorest[epoca_es])</f>
        <v>Edad Moderna</v>
      </c>
      <c r="P465" t="str">
        <f>_xlfn.XLOOKUP(frasest[[#This Row],[autor_es]],autorest[autor_es],autorest[epoca_la])</f>
        <v>Nova Aetas</v>
      </c>
      <c r="Q465" t="str">
        <f>_xlfn.XLOOKUP(frasest[[#This Row],[autor_es]],autorest[autor_es],autorest[imagen])</f>
        <v>https://i.ibb.co/fzJrNW0W/comenio.png</v>
      </c>
      <c r="R465">
        <f>_xlfn.XLOOKUP(frasest[[#This Row],[autor_es]],autorest[autor_es],autorest[imagen_atr])</f>
        <v>0</v>
      </c>
    </row>
    <row r="466" spans="1:18">
      <c r="A466">
        <v>465</v>
      </c>
      <c r="B466" t="s">
        <v>1605</v>
      </c>
      <c r="C466" t="s">
        <v>1606</v>
      </c>
      <c r="D466" t="s">
        <v>1606</v>
      </c>
      <c r="E466" t="s">
        <v>1600</v>
      </c>
      <c r="F466" t="s">
        <v>1607</v>
      </c>
      <c r="G466" t="str">
        <f>_xlfn.XLOOKUP(frasest[[#This Row],[autor_es]],autorest[autor_es],autorest[autor_la])</f>
        <v>Iohannes Amos Comenius</v>
      </c>
      <c r="H466" t="str">
        <f>_xlfn.XLOOKUP(frasest[[#This Row],[autor_es]],autorest[autor_es],autorest[bio_es])</f>
        <v>Pedagogo filósofo y teólogo checo considerado el padre de la pedagogía moderna. Autor de la Didáctica Magna donde propone el ideal pansófico de enseñar todo a todos. Creó el primer libro ilustrado para niños Orbis Pictus. Pionero de métodos educativos que respetan el desarrollo natural del niño y defensor de la educación universal.</v>
      </c>
      <c r="I466" t="str">
        <f>_xlfn.XLOOKUP(frasest[[#This Row],[autor_es]],autorest[autor_es],autorest[bio_la])</f>
        <v>Paedagogus philosophus et theologus Bohemicus pater paedagogiae modernae consideratus. Auctor Didacticae Magnae ubi ideal pansophicum docere omnia omnibus proponit. Primum librum illustratum pro pueris Orbis Pictus creavit. Pionarius methodorum educativarum quae progressum naturalem pueri respectant et defensor educationis universalis.</v>
      </c>
      <c r="J466" t="str">
        <f>_xlfn.XLOOKUP(frasest[[#This Row],[autor_es]],autorest[autor_es],autorest[codigo])</f>
        <v>la</v>
      </c>
      <c r="K466" t="str">
        <f>_xlfn.XLOOKUP(frasest[[#This Row],[autor_es]],autorest[autor_es],autorest[idioma_es])</f>
        <v>Latín</v>
      </c>
      <c r="L466" t="str">
        <f>_xlfn.XLOOKUP(frasest[[#This Row],[autor_es]],autorest[autor_es],autorest[idioma_la])</f>
        <v>Lingua Latina</v>
      </c>
      <c r="M466" t="str">
        <f>_xlfn.XLOOKUP(frasest[[#This Row],[autor_es]],autorest[autor_es],autorest[nacion_es])</f>
        <v>Chequia</v>
      </c>
      <c r="N466" t="str">
        <f>_xlfn.XLOOKUP(frasest[[#This Row],[autor_es]],autorest[autor_es],autorest[nacion_la])</f>
        <v>Cechia</v>
      </c>
      <c r="O466" t="str">
        <f>_xlfn.XLOOKUP(frasest[[#This Row],[autor_es]],autorest[autor_es],autorest[epoca_es])</f>
        <v>Edad Moderna</v>
      </c>
      <c r="P466" t="str">
        <f>_xlfn.XLOOKUP(frasest[[#This Row],[autor_es]],autorest[autor_es],autorest[epoca_la])</f>
        <v>Nova Aetas</v>
      </c>
      <c r="Q466" t="str">
        <f>_xlfn.XLOOKUP(frasest[[#This Row],[autor_es]],autorest[autor_es],autorest[imagen])</f>
        <v>https://i.ibb.co/fzJrNW0W/comenio.png</v>
      </c>
      <c r="R466">
        <f>_xlfn.XLOOKUP(frasest[[#This Row],[autor_es]],autorest[autor_es],autorest[imagen_atr])</f>
        <v>0</v>
      </c>
    </row>
    <row r="467" spans="1:18">
      <c r="A467">
        <v>466</v>
      </c>
      <c r="B467" t="s">
        <v>1608</v>
      </c>
      <c r="C467" t="s">
        <v>1609</v>
      </c>
      <c r="D467" t="s">
        <v>1609</v>
      </c>
      <c r="E467" t="s">
        <v>1600</v>
      </c>
      <c r="F467" t="s">
        <v>1610</v>
      </c>
      <c r="G467" t="str">
        <f>_xlfn.XLOOKUP(frasest[[#This Row],[autor_es]],autorest[autor_es],autorest[autor_la])</f>
        <v>Iohannes Amos Comenius</v>
      </c>
      <c r="H467" t="str">
        <f>_xlfn.XLOOKUP(frasest[[#This Row],[autor_es]],autorest[autor_es],autorest[bio_es])</f>
        <v>Pedagogo filósofo y teólogo checo considerado el padre de la pedagogía moderna. Autor de la Didáctica Magna donde propone el ideal pansófico de enseñar todo a todos. Creó el primer libro ilustrado para niños Orbis Pictus. Pionero de métodos educativos que respetan el desarrollo natural del niño y defensor de la educación universal.</v>
      </c>
      <c r="I467" t="str">
        <f>_xlfn.XLOOKUP(frasest[[#This Row],[autor_es]],autorest[autor_es],autorest[bio_la])</f>
        <v>Paedagogus philosophus et theologus Bohemicus pater paedagogiae modernae consideratus. Auctor Didacticae Magnae ubi ideal pansophicum docere omnia omnibus proponit. Primum librum illustratum pro pueris Orbis Pictus creavit. Pionarius methodorum educativarum quae progressum naturalem pueri respectant et defensor educationis universalis.</v>
      </c>
      <c r="J467" t="str">
        <f>_xlfn.XLOOKUP(frasest[[#This Row],[autor_es]],autorest[autor_es],autorest[codigo])</f>
        <v>la</v>
      </c>
      <c r="K467" t="str">
        <f>_xlfn.XLOOKUP(frasest[[#This Row],[autor_es]],autorest[autor_es],autorest[idioma_es])</f>
        <v>Latín</v>
      </c>
      <c r="L467" t="str">
        <f>_xlfn.XLOOKUP(frasest[[#This Row],[autor_es]],autorest[autor_es],autorest[idioma_la])</f>
        <v>Lingua Latina</v>
      </c>
      <c r="M467" t="str">
        <f>_xlfn.XLOOKUP(frasest[[#This Row],[autor_es]],autorest[autor_es],autorest[nacion_es])</f>
        <v>Chequia</v>
      </c>
      <c r="N467" t="str">
        <f>_xlfn.XLOOKUP(frasest[[#This Row],[autor_es]],autorest[autor_es],autorest[nacion_la])</f>
        <v>Cechia</v>
      </c>
      <c r="O467" t="str">
        <f>_xlfn.XLOOKUP(frasest[[#This Row],[autor_es]],autorest[autor_es],autorest[epoca_es])</f>
        <v>Edad Moderna</v>
      </c>
      <c r="P467" t="str">
        <f>_xlfn.XLOOKUP(frasest[[#This Row],[autor_es]],autorest[autor_es],autorest[epoca_la])</f>
        <v>Nova Aetas</v>
      </c>
      <c r="Q467" t="str">
        <f>_xlfn.XLOOKUP(frasest[[#This Row],[autor_es]],autorest[autor_es],autorest[imagen])</f>
        <v>https://i.ibb.co/fzJrNW0W/comenio.png</v>
      </c>
      <c r="R467">
        <f>_xlfn.XLOOKUP(frasest[[#This Row],[autor_es]],autorest[autor_es],autorest[imagen_atr])</f>
        <v>0</v>
      </c>
    </row>
    <row r="468" spans="1:18">
      <c r="A468">
        <v>467</v>
      </c>
      <c r="B468" t="s">
        <v>1611</v>
      </c>
      <c r="C468" t="s">
        <v>1612</v>
      </c>
      <c r="D468" t="s">
        <v>1612</v>
      </c>
      <c r="E468" t="s">
        <v>1600</v>
      </c>
      <c r="F468" t="s">
        <v>1613</v>
      </c>
      <c r="G468" t="str">
        <f>_xlfn.XLOOKUP(frasest[[#This Row],[autor_es]],autorest[autor_es],autorest[autor_la])</f>
        <v>Iohannes Amos Comenius</v>
      </c>
      <c r="H468" t="str">
        <f>_xlfn.XLOOKUP(frasest[[#This Row],[autor_es]],autorest[autor_es],autorest[bio_es])</f>
        <v>Pedagogo filósofo y teólogo checo considerado el padre de la pedagogía moderna. Autor de la Didáctica Magna donde propone el ideal pansófico de enseñar todo a todos. Creó el primer libro ilustrado para niños Orbis Pictus. Pionero de métodos educativos que respetan el desarrollo natural del niño y defensor de la educación universal.</v>
      </c>
      <c r="I468" t="str">
        <f>_xlfn.XLOOKUP(frasest[[#This Row],[autor_es]],autorest[autor_es],autorest[bio_la])</f>
        <v>Paedagogus philosophus et theologus Bohemicus pater paedagogiae modernae consideratus. Auctor Didacticae Magnae ubi ideal pansophicum docere omnia omnibus proponit. Primum librum illustratum pro pueris Orbis Pictus creavit. Pionarius methodorum educativarum quae progressum naturalem pueri respectant et defensor educationis universalis.</v>
      </c>
      <c r="J468" t="str">
        <f>_xlfn.XLOOKUP(frasest[[#This Row],[autor_es]],autorest[autor_es],autorest[codigo])</f>
        <v>la</v>
      </c>
      <c r="K468" t="str">
        <f>_xlfn.XLOOKUP(frasest[[#This Row],[autor_es]],autorest[autor_es],autorest[idioma_es])</f>
        <v>Latín</v>
      </c>
      <c r="L468" t="str">
        <f>_xlfn.XLOOKUP(frasest[[#This Row],[autor_es]],autorest[autor_es],autorest[idioma_la])</f>
        <v>Lingua Latina</v>
      </c>
      <c r="M468" t="str">
        <f>_xlfn.XLOOKUP(frasest[[#This Row],[autor_es]],autorest[autor_es],autorest[nacion_es])</f>
        <v>Chequia</v>
      </c>
      <c r="N468" t="str">
        <f>_xlfn.XLOOKUP(frasest[[#This Row],[autor_es]],autorest[autor_es],autorest[nacion_la])</f>
        <v>Cechia</v>
      </c>
      <c r="O468" t="str">
        <f>_xlfn.XLOOKUP(frasest[[#This Row],[autor_es]],autorest[autor_es],autorest[epoca_es])</f>
        <v>Edad Moderna</v>
      </c>
      <c r="P468" t="str">
        <f>_xlfn.XLOOKUP(frasest[[#This Row],[autor_es]],autorest[autor_es],autorest[epoca_la])</f>
        <v>Nova Aetas</v>
      </c>
      <c r="Q468" t="str">
        <f>_xlfn.XLOOKUP(frasest[[#This Row],[autor_es]],autorest[autor_es],autorest[imagen])</f>
        <v>https://i.ibb.co/fzJrNW0W/comenio.png</v>
      </c>
      <c r="R468">
        <f>_xlfn.XLOOKUP(frasest[[#This Row],[autor_es]],autorest[autor_es],autorest[imagen_atr])</f>
        <v>0</v>
      </c>
    </row>
    <row r="469" spans="1:18">
      <c r="A469">
        <v>468</v>
      </c>
      <c r="B469" t="s">
        <v>1614</v>
      </c>
      <c r="C469" t="s">
        <v>1615</v>
      </c>
      <c r="D469" t="s">
        <v>1615</v>
      </c>
      <c r="E469" t="s">
        <v>1600</v>
      </c>
      <c r="F469" t="s">
        <v>1616</v>
      </c>
      <c r="G469" t="str">
        <f>_xlfn.XLOOKUP(frasest[[#This Row],[autor_es]],autorest[autor_es],autorest[autor_la])</f>
        <v>Iohannes Amos Comenius</v>
      </c>
      <c r="H469" t="str">
        <f>_xlfn.XLOOKUP(frasest[[#This Row],[autor_es]],autorest[autor_es],autorest[bio_es])</f>
        <v>Pedagogo filósofo y teólogo checo considerado el padre de la pedagogía moderna. Autor de la Didáctica Magna donde propone el ideal pansófico de enseñar todo a todos. Creó el primer libro ilustrado para niños Orbis Pictus. Pionero de métodos educativos que respetan el desarrollo natural del niño y defensor de la educación universal.</v>
      </c>
      <c r="I469" t="str">
        <f>_xlfn.XLOOKUP(frasest[[#This Row],[autor_es]],autorest[autor_es],autorest[bio_la])</f>
        <v>Paedagogus philosophus et theologus Bohemicus pater paedagogiae modernae consideratus. Auctor Didacticae Magnae ubi ideal pansophicum docere omnia omnibus proponit. Primum librum illustratum pro pueris Orbis Pictus creavit. Pionarius methodorum educativarum quae progressum naturalem pueri respectant et defensor educationis universalis.</v>
      </c>
      <c r="J469" t="str">
        <f>_xlfn.XLOOKUP(frasest[[#This Row],[autor_es]],autorest[autor_es],autorest[codigo])</f>
        <v>la</v>
      </c>
      <c r="K469" t="str">
        <f>_xlfn.XLOOKUP(frasest[[#This Row],[autor_es]],autorest[autor_es],autorest[idioma_es])</f>
        <v>Latín</v>
      </c>
      <c r="L469" t="str">
        <f>_xlfn.XLOOKUP(frasest[[#This Row],[autor_es]],autorest[autor_es],autorest[idioma_la])</f>
        <v>Lingua Latina</v>
      </c>
      <c r="M469" t="str">
        <f>_xlfn.XLOOKUP(frasest[[#This Row],[autor_es]],autorest[autor_es],autorest[nacion_es])</f>
        <v>Chequia</v>
      </c>
      <c r="N469" t="str">
        <f>_xlfn.XLOOKUP(frasest[[#This Row],[autor_es]],autorest[autor_es],autorest[nacion_la])</f>
        <v>Cechia</v>
      </c>
      <c r="O469" t="str">
        <f>_xlfn.XLOOKUP(frasest[[#This Row],[autor_es]],autorest[autor_es],autorest[epoca_es])</f>
        <v>Edad Moderna</v>
      </c>
      <c r="P469" t="str">
        <f>_xlfn.XLOOKUP(frasest[[#This Row],[autor_es]],autorest[autor_es],autorest[epoca_la])</f>
        <v>Nova Aetas</v>
      </c>
      <c r="Q469" t="str">
        <f>_xlfn.XLOOKUP(frasest[[#This Row],[autor_es]],autorest[autor_es],autorest[imagen])</f>
        <v>https://i.ibb.co/fzJrNW0W/comenio.png</v>
      </c>
      <c r="R469">
        <f>_xlfn.XLOOKUP(frasest[[#This Row],[autor_es]],autorest[autor_es],autorest[imagen_atr])</f>
        <v>0</v>
      </c>
    </row>
    <row r="470" spans="1:18">
      <c r="A470">
        <v>469</v>
      </c>
      <c r="B470" t="s">
        <v>1617</v>
      </c>
      <c r="C470" t="s">
        <v>1618</v>
      </c>
      <c r="D470" t="s">
        <v>1619</v>
      </c>
      <c r="E470" t="s">
        <v>1620</v>
      </c>
      <c r="F470" t="s">
        <v>1621</v>
      </c>
      <c r="G470" t="str">
        <f>_xlfn.XLOOKUP(frasest[[#This Row],[autor_es]],autorest[autor_es],autorest[autor_la])</f>
        <v>Ioannes Iacobus Rousseau</v>
      </c>
      <c r="H470" t="str">
        <f>_xlfn.XLOOKUP(frasest[[#This Row],[autor_es]],autorest[autor_es],autorest[bio_es])</f>
        <v>Filósofo escritor y pedagogo suizo de la Ilustración. Autor de El Emilio obra fundamental de la pedagogía moderna que propone una educación basada en la naturaleza y la libertad del niño. Defensor del aprendizaje experiencial y del juego como método educativo. Influyó profundamente en Pestalozzi y toda la pedagogía posterior.</v>
      </c>
      <c r="I470" t="str">
        <f>_xlfn.XLOOKUP(frasest[[#This Row],[autor_es]],autorest[autor_es],autorest[bio_la])</f>
        <v>Philosophus scriptor et paedagogus Helveticus Illuminationis. Auctor Emilii operis fundamentalis paedagogiae modernae quod educationem in natura et libertate pueri fundatam proponit. Defensor apprenhesionis experientiatis et ludi ut methodi educativae. In Pestalozzi et omnem paedagogiam posteriorem profunde influxit.</v>
      </c>
      <c r="J470" t="str">
        <f>_xlfn.XLOOKUP(frasest[[#This Row],[autor_es]],autorest[autor_es],autorest[codigo])</f>
        <v>fr</v>
      </c>
      <c r="K470" t="str">
        <f>_xlfn.XLOOKUP(frasest[[#This Row],[autor_es]],autorest[autor_es],autorest[idioma_es])</f>
        <v>Francés</v>
      </c>
      <c r="L470" t="str">
        <f>_xlfn.XLOOKUP(frasest[[#This Row],[autor_es]],autorest[autor_es],autorest[idioma_la])</f>
        <v>Lingua Gallica</v>
      </c>
      <c r="M470" t="str">
        <f>_xlfn.XLOOKUP(frasest[[#This Row],[autor_es]],autorest[autor_es],autorest[nacion_es])</f>
        <v>Suiza</v>
      </c>
      <c r="N470" t="str">
        <f>_xlfn.XLOOKUP(frasest[[#This Row],[autor_es]],autorest[autor_es],autorest[nacion_la])</f>
        <v>Helvetia</v>
      </c>
      <c r="O470" t="str">
        <f>_xlfn.XLOOKUP(frasest[[#This Row],[autor_es]],autorest[autor_es],autorest[epoca_es])</f>
        <v>Edad Moderna</v>
      </c>
      <c r="P470" t="str">
        <f>_xlfn.XLOOKUP(frasest[[#This Row],[autor_es]],autorest[autor_es],autorest[epoca_la])</f>
        <v>Nova Aetas</v>
      </c>
      <c r="Q470" t="str">
        <f>_xlfn.XLOOKUP(frasest[[#This Row],[autor_es]],autorest[autor_es],autorest[imagen])</f>
        <v>https://i.ibb.co/3yBzY0N8/rousseau.png</v>
      </c>
      <c r="R470">
        <f>_xlfn.XLOOKUP(frasest[[#This Row],[autor_es]],autorest[autor_es],autorest[imagen_atr])</f>
        <v>0</v>
      </c>
    </row>
    <row r="471" spans="1:18">
      <c r="A471">
        <v>470</v>
      </c>
      <c r="B471" t="s">
        <v>1622</v>
      </c>
      <c r="C471" t="s">
        <v>1623</v>
      </c>
      <c r="D471" t="s">
        <v>1624</v>
      </c>
      <c r="E471" t="s">
        <v>1620</v>
      </c>
      <c r="F471" t="s">
        <v>1621</v>
      </c>
      <c r="G471" t="str">
        <f>_xlfn.XLOOKUP(frasest[[#This Row],[autor_es]],autorest[autor_es],autorest[autor_la])</f>
        <v>Ioannes Iacobus Rousseau</v>
      </c>
      <c r="H471" t="str">
        <f>_xlfn.XLOOKUP(frasest[[#This Row],[autor_es]],autorest[autor_es],autorest[bio_es])</f>
        <v>Filósofo escritor y pedagogo suizo de la Ilustración. Autor de El Emilio obra fundamental de la pedagogía moderna que propone una educación basada en la naturaleza y la libertad del niño. Defensor del aprendizaje experiencial y del juego como método educativo. Influyó profundamente en Pestalozzi y toda la pedagogía posterior.</v>
      </c>
      <c r="I471" t="str">
        <f>_xlfn.XLOOKUP(frasest[[#This Row],[autor_es]],autorest[autor_es],autorest[bio_la])</f>
        <v>Philosophus scriptor et paedagogus Helveticus Illuminationis. Auctor Emilii operis fundamentalis paedagogiae modernae quod educationem in natura et libertate pueri fundatam proponit. Defensor apprenhesionis experientiatis et ludi ut methodi educativae. In Pestalozzi et omnem paedagogiam posteriorem profunde influxit.</v>
      </c>
      <c r="J471" t="str">
        <f>_xlfn.XLOOKUP(frasest[[#This Row],[autor_es]],autorest[autor_es],autorest[codigo])</f>
        <v>fr</v>
      </c>
      <c r="K471" t="str">
        <f>_xlfn.XLOOKUP(frasest[[#This Row],[autor_es]],autorest[autor_es],autorest[idioma_es])</f>
        <v>Francés</v>
      </c>
      <c r="L471" t="str">
        <f>_xlfn.XLOOKUP(frasest[[#This Row],[autor_es]],autorest[autor_es],autorest[idioma_la])</f>
        <v>Lingua Gallica</v>
      </c>
      <c r="M471" t="str">
        <f>_xlfn.XLOOKUP(frasest[[#This Row],[autor_es]],autorest[autor_es],autorest[nacion_es])</f>
        <v>Suiza</v>
      </c>
      <c r="N471" t="str">
        <f>_xlfn.XLOOKUP(frasest[[#This Row],[autor_es]],autorest[autor_es],autorest[nacion_la])</f>
        <v>Helvetia</v>
      </c>
      <c r="O471" t="str">
        <f>_xlfn.XLOOKUP(frasest[[#This Row],[autor_es]],autorest[autor_es],autorest[epoca_es])</f>
        <v>Edad Moderna</v>
      </c>
      <c r="P471" t="str">
        <f>_xlfn.XLOOKUP(frasest[[#This Row],[autor_es]],autorest[autor_es],autorest[epoca_la])</f>
        <v>Nova Aetas</v>
      </c>
      <c r="Q471" t="str">
        <f>_xlfn.XLOOKUP(frasest[[#This Row],[autor_es]],autorest[autor_es],autorest[imagen])</f>
        <v>https://i.ibb.co/3yBzY0N8/rousseau.png</v>
      </c>
      <c r="R471">
        <f>_xlfn.XLOOKUP(frasest[[#This Row],[autor_es]],autorest[autor_es],autorest[imagen_atr])</f>
        <v>0</v>
      </c>
    </row>
    <row r="472" spans="1:18">
      <c r="A472">
        <v>471</v>
      </c>
      <c r="B472" t="s">
        <v>1625</v>
      </c>
      <c r="C472" t="s">
        <v>1626</v>
      </c>
      <c r="D472" t="s">
        <v>1627</v>
      </c>
      <c r="E472" t="s">
        <v>1620</v>
      </c>
      <c r="F472" t="s">
        <v>1621</v>
      </c>
      <c r="G472" t="str">
        <f>_xlfn.XLOOKUP(frasest[[#This Row],[autor_es]],autorest[autor_es],autorest[autor_la])</f>
        <v>Ioannes Iacobus Rousseau</v>
      </c>
      <c r="H472" t="str">
        <f>_xlfn.XLOOKUP(frasest[[#This Row],[autor_es]],autorest[autor_es],autorest[bio_es])</f>
        <v>Filósofo escritor y pedagogo suizo de la Ilustración. Autor de El Emilio obra fundamental de la pedagogía moderna que propone una educación basada en la naturaleza y la libertad del niño. Defensor del aprendizaje experiencial y del juego como método educativo. Influyó profundamente en Pestalozzi y toda la pedagogía posterior.</v>
      </c>
      <c r="I472" t="str">
        <f>_xlfn.XLOOKUP(frasest[[#This Row],[autor_es]],autorest[autor_es],autorest[bio_la])</f>
        <v>Philosophus scriptor et paedagogus Helveticus Illuminationis. Auctor Emilii operis fundamentalis paedagogiae modernae quod educationem in natura et libertate pueri fundatam proponit. Defensor apprenhesionis experientiatis et ludi ut methodi educativae. In Pestalozzi et omnem paedagogiam posteriorem profunde influxit.</v>
      </c>
      <c r="J472" t="str">
        <f>_xlfn.XLOOKUP(frasest[[#This Row],[autor_es]],autorest[autor_es],autorest[codigo])</f>
        <v>fr</v>
      </c>
      <c r="K472" t="str">
        <f>_xlfn.XLOOKUP(frasest[[#This Row],[autor_es]],autorest[autor_es],autorest[idioma_es])</f>
        <v>Francés</v>
      </c>
      <c r="L472" t="str">
        <f>_xlfn.XLOOKUP(frasest[[#This Row],[autor_es]],autorest[autor_es],autorest[idioma_la])</f>
        <v>Lingua Gallica</v>
      </c>
      <c r="M472" t="str">
        <f>_xlfn.XLOOKUP(frasest[[#This Row],[autor_es]],autorest[autor_es],autorest[nacion_es])</f>
        <v>Suiza</v>
      </c>
      <c r="N472" t="str">
        <f>_xlfn.XLOOKUP(frasest[[#This Row],[autor_es]],autorest[autor_es],autorest[nacion_la])</f>
        <v>Helvetia</v>
      </c>
      <c r="O472" t="str">
        <f>_xlfn.XLOOKUP(frasest[[#This Row],[autor_es]],autorest[autor_es],autorest[epoca_es])</f>
        <v>Edad Moderna</v>
      </c>
      <c r="P472" t="str">
        <f>_xlfn.XLOOKUP(frasest[[#This Row],[autor_es]],autorest[autor_es],autorest[epoca_la])</f>
        <v>Nova Aetas</v>
      </c>
      <c r="Q472" t="str">
        <f>_xlfn.XLOOKUP(frasest[[#This Row],[autor_es]],autorest[autor_es],autorest[imagen])</f>
        <v>https://i.ibb.co/3yBzY0N8/rousseau.png</v>
      </c>
      <c r="R472">
        <f>_xlfn.XLOOKUP(frasest[[#This Row],[autor_es]],autorest[autor_es],autorest[imagen_atr])</f>
        <v>0</v>
      </c>
    </row>
    <row r="473" spans="1:18">
      <c r="A473">
        <v>472</v>
      </c>
      <c r="B473" t="s">
        <v>1628</v>
      </c>
      <c r="C473" t="s">
        <v>1629</v>
      </c>
      <c r="D473" t="s">
        <v>1630</v>
      </c>
      <c r="E473" t="s">
        <v>1620</v>
      </c>
      <c r="F473" t="s">
        <v>1621</v>
      </c>
      <c r="G473" t="str">
        <f>_xlfn.XLOOKUP(frasest[[#This Row],[autor_es]],autorest[autor_es],autorest[autor_la])</f>
        <v>Ioannes Iacobus Rousseau</v>
      </c>
      <c r="H473" t="str">
        <f>_xlfn.XLOOKUP(frasest[[#This Row],[autor_es]],autorest[autor_es],autorest[bio_es])</f>
        <v>Filósofo escritor y pedagogo suizo de la Ilustración. Autor de El Emilio obra fundamental de la pedagogía moderna que propone una educación basada en la naturaleza y la libertad del niño. Defensor del aprendizaje experiencial y del juego como método educativo. Influyó profundamente en Pestalozzi y toda la pedagogía posterior.</v>
      </c>
      <c r="I473" t="str">
        <f>_xlfn.XLOOKUP(frasest[[#This Row],[autor_es]],autorest[autor_es],autorest[bio_la])</f>
        <v>Philosophus scriptor et paedagogus Helveticus Illuminationis. Auctor Emilii operis fundamentalis paedagogiae modernae quod educationem in natura et libertate pueri fundatam proponit. Defensor apprenhesionis experientiatis et ludi ut methodi educativae. In Pestalozzi et omnem paedagogiam posteriorem profunde influxit.</v>
      </c>
      <c r="J473" t="str">
        <f>_xlfn.XLOOKUP(frasest[[#This Row],[autor_es]],autorest[autor_es],autorest[codigo])</f>
        <v>fr</v>
      </c>
      <c r="K473" t="str">
        <f>_xlfn.XLOOKUP(frasest[[#This Row],[autor_es]],autorest[autor_es],autorest[idioma_es])</f>
        <v>Francés</v>
      </c>
      <c r="L473" t="str">
        <f>_xlfn.XLOOKUP(frasest[[#This Row],[autor_es]],autorest[autor_es],autorest[idioma_la])</f>
        <v>Lingua Gallica</v>
      </c>
      <c r="M473" t="str">
        <f>_xlfn.XLOOKUP(frasest[[#This Row],[autor_es]],autorest[autor_es],autorest[nacion_es])</f>
        <v>Suiza</v>
      </c>
      <c r="N473" t="str">
        <f>_xlfn.XLOOKUP(frasest[[#This Row],[autor_es]],autorest[autor_es],autorest[nacion_la])</f>
        <v>Helvetia</v>
      </c>
      <c r="O473" t="str">
        <f>_xlfn.XLOOKUP(frasest[[#This Row],[autor_es]],autorest[autor_es],autorest[epoca_es])</f>
        <v>Edad Moderna</v>
      </c>
      <c r="P473" t="str">
        <f>_xlfn.XLOOKUP(frasest[[#This Row],[autor_es]],autorest[autor_es],autorest[epoca_la])</f>
        <v>Nova Aetas</v>
      </c>
      <c r="Q473" t="str">
        <f>_xlfn.XLOOKUP(frasest[[#This Row],[autor_es]],autorest[autor_es],autorest[imagen])</f>
        <v>https://i.ibb.co/3yBzY0N8/rousseau.png</v>
      </c>
      <c r="R473">
        <f>_xlfn.XLOOKUP(frasest[[#This Row],[autor_es]],autorest[autor_es],autorest[imagen_atr])</f>
        <v>0</v>
      </c>
    </row>
    <row r="474" spans="1:18">
      <c r="A474">
        <v>473</v>
      </c>
      <c r="B474" t="s">
        <v>1631</v>
      </c>
      <c r="C474" t="s">
        <v>1632</v>
      </c>
      <c r="D474" t="s">
        <v>1633</v>
      </c>
      <c r="E474" t="s">
        <v>1620</v>
      </c>
      <c r="F474" t="s">
        <v>1621</v>
      </c>
      <c r="G474" t="str">
        <f>_xlfn.XLOOKUP(frasest[[#This Row],[autor_es]],autorest[autor_es],autorest[autor_la])</f>
        <v>Ioannes Iacobus Rousseau</v>
      </c>
      <c r="H474" t="str">
        <f>_xlfn.XLOOKUP(frasest[[#This Row],[autor_es]],autorest[autor_es],autorest[bio_es])</f>
        <v>Filósofo escritor y pedagogo suizo de la Ilustración. Autor de El Emilio obra fundamental de la pedagogía moderna que propone una educación basada en la naturaleza y la libertad del niño. Defensor del aprendizaje experiencial y del juego como método educativo. Influyó profundamente en Pestalozzi y toda la pedagogía posterior.</v>
      </c>
      <c r="I474" t="str">
        <f>_xlfn.XLOOKUP(frasest[[#This Row],[autor_es]],autorest[autor_es],autorest[bio_la])</f>
        <v>Philosophus scriptor et paedagogus Helveticus Illuminationis. Auctor Emilii operis fundamentalis paedagogiae modernae quod educationem in natura et libertate pueri fundatam proponit. Defensor apprenhesionis experientiatis et ludi ut methodi educativae. In Pestalozzi et omnem paedagogiam posteriorem profunde influxit.</v>
      </c>
      <c r="J474" t="str">
        <f>_xlfn.XLOOKUP(frasest[[#This Row],[autor_es]],autorest[autor_es],autorest[codigo])</f>
        <v>fr</v>
      </c>
      <c r="K474" t="str">
        <f>_xlfn.XLOOKUP(frasest[[#This Row],[autor_es]],autorest[autor_es],autorest[idioma_es])</f>
        <v>Francés</v>
      </c>
      <c r="L474" t="str">
        <f>_xlfn.XLOOKUP(frasest[[#This Row],[autor_es]],autorest[autor_es],autorest[idioma_la])</f>
        <v>Lingua Gallica</v>
      </c>
      <c r="M474" t="str">
        <f>_xlfn.XLOOKUP(frasest[[#This Row],[autor_es]],autorest[autor_es],autorest[nacion_es])</f>
        <v>Suiza</v>
      </c>
      <c r="N474" t="str">
        <f>_xlfn.XLOOKUP(frasest[[#This Row],[autor_es]],autorest[autor_es],autorest[nacion_la])</f>
        <v>Helvetia</v>
      </c>
      <c r="O474" t="str">
        <f>_xlfn.XLOOKUP(frasest[[#This Row],[autor_es]],autorest[autor_es],autorest[epoca_es])</f>
        <v>Edad Moderna</v>
      </c>
      <c r="P474" t="str">
        <f>_xlfn.XLOOKUP(frasest[[#This Row],[autor_es]],autorest[autor_es],autorest[epoca_la])</f>
        <v>Nova Aetas</v>
      </c>
      <c r="Q474" t="str">
        <f>_xlfn.XLOOKUP(frasest[[#This Row],[autor_es]],autorest[autor_es],autorest[imagen])</f>
        <v>https://i.ibb.co/3yBzY0N8/rousseau.png</v>
      </c>
      <c r="R474">
        <f>_xlfn.XLOOKUP(frasest[[#This Row],[autor_es]],autorest[autor_es],autorest[imagen_atr])</f>
        <v>0</v>
      </c>
    </row>
    <row r="475" spans="1:18">
      <c r="A475">
        <v>474</v>
      </c>
      <c r="B475" t="s">
        <v>1634</v>
      </c>
      <c r="C475" t="s">
        <v>1635</v>
      </c>
      <c r="D475" t="s">
        <v>1636</v>
      </c>
      <c r="E475" t="s">
        <v>1620</v>
      </c>
      <c r="F475" t="s">
        <v>1637</v>
      </c>
      <c r="G475" t="str">
        <f>_xlfn.XLOOKUP(frasest[[#This Row],[autor_es]],autorest[autor_es],autorest[autor_la])</f>
        <v>Ioannes Iacobus Rousseau</v>
      </c>
      <c r="H475" t="str">
        <f>_xlfn.XLOOKUP(frasest[[#This Row],[autor_es]],autorest[autor_es],autorest[bio_es])</f>
        <v>Filósofo escritor y pedagogo suizo de la Ilustración. Autor de El Emilio obra fundamental de la pedagogía moderna que propone una educación basada en la naturaleza y la libertad del niño. Defensor del aprendizaje experiencial y del juego como método educativo. Influyó profundamente en Pestalozzi y toda la pedagogía posterior.</v>
      </c>
      <c r="I475" t="str">
        <f>_xlfn.XLOOKUP(frasest[[#This Row],[autor_es]],autorest[autor_es],autorest[bio_la])</f>
        <v>Philosophus scriptor et paedagogus Helveticus Illuminationis. Auctor Emilii operis fundamentalis paedagogiae modernae quod educationem in natura et libertate pueri fundatam proponit. Defensor apprenhesionis experientiatis et ludi ut methodi educativae. In Pestalozzi et omnem paedagogiam posteriorem profunde influxit.</v>
      </c>
      <c r="J475" t="str">
        <f>_xlfn.XLOOKUP(frasest[[#This Row],[autor_es]],autorest[autor_es],autorest[codigo])</f>
        <v>fr</v>
      </c>
      <c r="K475" t="str">
        <f>_xlfn.XLOOKUP(frasest[[#This Row],[autor_es]],autorest[autor_es],autorest[idioma_es])</f>
        <v>Francés</v>
      </c>
      <c r="L475" t="str">
        <f>_xlfn.XLOOKUP(frasest[[#This Row],[autor_es]],autorest[autor_es],autorest[idioma_la])</f>
        <v>Lingua Gallica</v>
      </c>
      <c r="M475" t="str">
        <f>_xlfn.XLOOKUP(frasest[[#This Row],[autor_es]],autorest[autor_es],autorest[nacion_es])</f>
        <v>Suiza</v>
      </c>
      <c r="N475" t="str">
        <f>_xlfn.XLOOKUP(frasest[[#This Row],[autor_es]],autorest[autor_es],autorest[nacion_la])</f>
        <v>Helvetia</v>
      </c>
      <c r="O475" t="str">
        <f>_xlfn.XLOOKUP(frasest[[#This Row],[autor_es]],autorest[autor_es],autorest[epoca_es])</f>
        <v>Edad Moderna</v>
      </c>
      <c r="P475" t="str">
        <f>_xlfn.XLOOKUP(frasest[[#This Row],[autor_es]],autorest[autor_es],autorest[epoca_la])</f>
        <v>Nova Aetas</v>
      </c>
      <c r="Q475" t="str">
        <f>_xlfn.XLOOKUP(frasest[[#This Row],[autor_es]],autorest[autor_es],autorest[imagen])</f>
        <v>https://i.ibb.co/3yBzY0N8/rousseau.png</v>
      </c>
      <c r="R475">
        <f>_xlfn.XLOOKUP(frasest[[#This Row],[autor_es]],autorest[autor_es],autorest[imagen_atr])</f>
        <v>0</v>
      </c>
    </row>
    <row r="476" spans="1:18">
      <c r="A476">
        <v>475</v>
      </c>
      <c r="B476" t="s">
        <v>1638</v>
      </c>
      <c r="C476" t="s">
        <v>1639</v>
      </c>
      <c r="D476" t="s">
        <v>1640</v>
      </c>
      <c r="E476" t="s">
        <v>1641</v>
      </c>
      <c r="F476" t="s">
        <v>1642</v>
      </c>
      <c r="G476" t="str">
        <f>_xlfn.XLOOKUP(frasest[[#This Row],[autor_es]],autorest[autor_es],autorest[autor_la])</f>
        <v>Iohannes Henricus Pestalozzi</v>
      </c>
      <c r="H476" t="str">
        <f>_xlfn.XLOOKUP(frasest[[#This Row],[autor_es]],autorest[autor_es],autorest[bio_es])</f>
        <v>Pedagogo y reformador educativo suizo que aplicó los ideales de la Ilustración a la educación. Defensor de la educación integral basada en la intuición la experiencia y el desarrollo natural del niño. Fundó escuelas para niños pobres. Su lema fue la cabeza el corazón y las manos. Influyó decisivamente en Froebel Herbart y la pedagogía moderna.</v>
      </c>
      <c r="I476" t="str">
        <f>_xlfn.XLOOKUP(frasest[[#This Row],[autor_es]],autorest[autor_es],autorest[bio_la])</f>
        <v>Paedagogus et reformator educativus Helveticus qui idealia Illuminationis ad educationem applicavit. Defensor educationis integralis in intuitione experientia et progressu naturali pueri fundatae. Scholas pro pueris pauperibus fundavit. Lemma eius fuit caput cor et manus. In Froebel Herbart et paedagogiam modernam decisive influxit.</v>
      </c>
      <c r="J476" t="str">
        <f>_xlfn.XLOOKUP(frasest[[#This Row],[autor_es]],autorest[autor_es],autorest[codigo])</f>
        <v>de</v>
      </c>
      <c r="K476" t="str">
        <f>_xlfn.XLOOKUP(frasest[[#This Row],[autor_es]],autorest[autor_es],autorest[idioma_es])</f>
        <v>Alemán</v>
      </c>
      <c r="L476" t="str">
        <f>_xlfn.XLOOKUP(frasest[[#This Row],[autor_es]],autorest[autor_es],autorest[idioma_la])</f>
        <v>Lingua Germanica</v>
      </c>
      <c r="M476" t="str">
        <f>_xlfn.XLOOKUP(frasest[[#This Row],[autor_es]],autorest[autor_es],autorest[nacion_es])</f>
        <v>Suiza</v>
      </c>
      <c r="N476" t="str">
        <f>_xlfn.XLOOKUP(frasest[[#This Row],[autor_es]],autorest[autor_es],autorest[nacion_la])</f>
        <v>Helvetia</v>
      </c>
      <c r="O476" t="str">
        <f>_xlfn.XLOOKUP(frasest[[#This Row],[autor_es]],autorest[autor_es],autorest[epoca_es])</f>
        <v>Edad Moderna</v>
      </c>
      <c r="P476" t="str">
        <f>_xlfn.XLOOKUP(frasest[[#This Row],[autor_es]],autorest[autor_es],autorest[epoca_la])</f>
        <v>Nova Aetas</v>
      </c>
      <c r="Q476" t="str">
        <f>_xlfn.XLOOKUP(frasest[[#This Row],[autor_es]],autorest[autor_es],autorest[imagen])</f>
        <v>https://i.ibb.co/nNjVdCkf/pestalozzi.png</v>
      </c>
      <c r="R476">
        <f>_xlfn.XLOOKUP(frasest[[#This Row],[autor_es]],autorest[autor_es],autorest[imagen_atr])</f>
        <v>0</v>
      </c>
    </row>
    <row r="477" spans="1:18">
      <c r="A477">
        <v>476</v>
      </c>
      <c r="B477" t="s">
        <v>1643</v>
      </c>
      <c r="C477" t="s">
        <v>1644</v>
      </c>
      <c r="D477" t="s">
        <v>1645</v>
      </c>
      <c r="E477" t="s">
        <v>1641</v>
      </c>
      <c r="F477" t="s">
        <v>1642</v>
      </c>
      <c r="G477" t="str">
        <f>_xlfn.XLOOKUP(frasest[[#This Row],[autor_es]],autorest[autor_es],autorest[autor_la])</f>
        <v>Iohannes Henricus Pestalozzi</v>
      </c>
      <c r="H477" t="str">
        <f>_xlfn.XLOOKUP(frasest[[#This Row],[autor_es]],autorest[autor_es],autorest[bio_es])</f>
        <v>Pedagogo y reformador educativo suizo que aplicó los ideales de la Ilustración a la educación. Defensor de la educación integral basada en la intuición la experiencia y el desarrollo natural del niño. Fundó escuelas para niños pobres. Su lema fue la cabeza el corazón y las manos. Influyó decisivamente en Froebel Herbart y la pedagogía moderna.</v>
      </c>
      <c r="I477" t="str">
        <f>_xlfn.XLOOKUP(frasest[[#This Row],[autor_es]],autorest[autor_es],autorest[bio_la])</f>
        <v>Paedagogus et reformator educativus Helveticus qui idealia Illuminationis ad educationem applicavit. Defensor educationis integralis in intuitione experientia et progressu naturali pueri fundatae. Scholas pro pueris pauperibus fundavit. Lemma eius fuit caput cor et manus. In Froebel Herbart et paedagogiam modernam decisive influxit.</v>
      </c>
      <c r="J477" t="str">
        <f>_xlfn.XLOOKUP(frasest[[#This Row],[autor_es]],autorest[autor_es],autorest[codigo])</f>
        <v>de</v>
      </c>
      <c r="K477" t="str">
        <f>_xlfn.XLOOKUP(frasest[[#This Row],[autor_es]],autorest[autor_es],autorest[idioma_es])</f>
        <v>Alemán</v>
      </c>
      <c r="L477" t="str">
        <f>_xlfn.XLOOKUP(frasest[[#This Row],[autor_es]],autorest[autor_es],autorest[idioma_la])</f>
        <v>Lingua Germanica</v>
      </c>
      <c r="M477" t="str">
        <f>_xlfn.XLOOKUP(frasest[[#This Row],[autor_es]],autorest[autor_es],autorest[nacion_es])</f>
        <v>Suiza</v>
      </c>
      <c r="N477" t="str">
        <f>_xlfn.XLOOKUP(frasest[[#This Row],[autor_es]],autorest[autor_es],autorest[nacion_la])</f>
        <v>Helvetia</v>
      </c>
      <c r="O477" t="str">
        <f>_xlfn.XLOOKUP(frasest[[#This Row],[autor_es]],autorest[autor_es],autorest[epoca_es])</f>
        <v>Edad Moderna</v>
      </c>
      <c r="P477" t="str">
        <f>_xlfn.XLOOKUP(frasest[[#This Row],[autor_es]],autorest[autor_es],autorest[epoca_la])</f>
        <v>Nova Aetas</v>
      </c>
      <c r="Q477" t="str">
        <f>_xlfn.XLOOKUP(frasest[[#This Row],[autor_es]],autorest[autor_es],autorest[imagen])</f>
        <v>https://i.ibb.co/nNjVdCkf/pestalozzi.png</v>
      </c>
      <c r="R477">
        <f>_xlfn.XLOOKUP(frasest[[#This Row],[autor_es]],autorest[autor_es],autorest[imagen_atr])</f>
        <v>0</v>
      </c>
    </row>
    <row r="478" spans="1:18">
      <c r="A478">
        <v>477</v>
      </c>
      <c r="B478" t="s">
        <v>1646</v>
      </c>
      <c r="C478" t="s">
        <v>1647</v>
      </c>
      <c r="D478" t="s">
        <v>1648</v>
      </c>
      <c r="E478" t="s">
        <v>1641</v>
      </c>
      <c r="F478" t="s">
        <v>1642</v>
      </c>
      <c r="G478" t="str">
        <f>_xlfn.XLOOKUP(frasest[[#This Row],[autor_es]],autorest[autor_es],autorest[autor_la])</f>
        <v>Iohannes Henricus Pestalozzi</v>
      </c>
      <c r="H478" t="str">
        <f>_xlfn.XLOOKUP(frasest[[#This Row],[autor_es]],autorest[autor_es],autorest[bio_es])</f>
        <v>Pedagogo y reformador educativo suizo que aplicó los ideales de la Ilustración a la educación. Defensor de la educación integral basada en la intuición la experiencia y el desarrollo natural del niño. Fundó escuelas para niños pobres. Su lema fue la cabeza el corazón y las manos. Influyó decisivamente en Froebel Herbart y la pedagogía moderna.</v>
      </c>
      <c r="I478" t="str">
        <f>_xlfn.XLOOKUP(frasest[[#This Row],[autor_es]],autorest[autor_es],autorest[bio_la])</f>
        <v>Paedagogus et reformator educativus Helveticus qui idealia Illuminationis ad educationem applicavit. Defensor educationis integralis in intuitione experientia et progressu naturali pueri fundatae. Scholas pro pueris pauperibus fundavit. Lemma eius fuit caput cor et manus. In Froebel Herbart et paedagogiam modernam decisive influxit.</v>
      </c>
      <c r="J478" t="str">
        <f>_xlfn.XLOOKUP(frasest[[#This Row],[autor_es]],autorest[autor_es],autorest[codigo])</f>
        <v>de</v>
      </c>
      <c r="K478" t="str">
        <f>_xlfn.XLOOKUP(frasest[[#This Row],[autor_es]],autorest[autor_es],autorest[idioma_es])</f>
        <v>Alemán</v>
      </c>
      <c r="L478" t="str">
        <f>_xlfn.XLOOKUP(frasest[[#This Row],[autor_es]],autorest[autor_es],autorest[idioma_la])</f>
        <v>Lingua Germanica</v>
      </c>
      <c r="M478" t="str">
        <f>_xlfn.XLOOKUP(frasest[[#This Row],[autor_es]],autorest[autor_es],autorest[nacion_es])</f>
        <v>Suiza</v>
      </c>
      <c r="N478" t="str">
        <f>_xlfn.XLOOKUP(frasest[[#This Row],[autor_es]],autorest[autor_es],autorest[nacion_la])</f>
        <v>Helvetia</v>
      </c>
      <c r="O478" t="str">
        <f>_xlfn.XLOOKUP(frasest[[#This Row],[autor_es]],autorest[autor_es],autorest[epoca_es])</f>
        <v>Edad Moderna</v>
      </c>
      <c r="P478" t="str">
        <f>_xlfn.XLOOKUP(frasest[[#This Row],[autor_es]],autorest[autor_es],autorest[epoca_la])</f>
        <v>Nova Aetas</v>
      </c>
      <c r="Q478" t="str">
        <f>_xlfn.XLOOKUP(frasest[[#This Row],[autor_es]],autorest[autor_es],autorest[imagen])</f>
        <v>https://i.ibb.co/nNjVdCkf/pestalozzi.png</v>
      </c>
      <c r="R478">
        <f>_xlfn.XLOOKUP(frasest[[#This Row],[autor_es]],autorest[autor_es],autorest[imagen_atr])</f>
        <v>0</v>
      </c>
    </row>
    <row r="479" spans="1:18">
      <c r="A479">
        <v>478</v>
      </c>
      <c r="B479" t="s">
        <v>1649</v>
      </c>
      <c r="C479" t="s">
        <v>1650</v>
      </c>
      <c r="D479" t="s">
        <v>1651</v>
      </c>
      <c r="E479" t="s">
        <v>1641</v>
      </c>
      <c r="F479" t="s">
        <v>1642</v>
      </c>
      <c r="G479" t="str">
        <f>_xlfn.XLOOKUP(frasest[[#This Row],[autor_es]],autorest[autor_es],autorest[autor_la])</f>
        <v>Iohannes Henricus Pestalozzi</v>
      </c>
      <c r="H479" t="str">
        <f>_xlfn.XLOOKUP(frasest[[#This Row],[autor_es]],autorest[autor_es],autorest[bio_es])</f>
        <v>Pedagogo y reformador educativo suizo que aplicó los ideales de la Ilustración a la educación. Defensor de la educación integral basada en la intuición la experiencia y el desarrollo natural del niño. Fundó escuelas para niños pobres. Su lema fue la cabeza el corazón y las manos. Influyó decisivamente en Froebel Herbart y la pedagogía moderna.</v>
      </c>
      <c r="I479" t="str">
        <f>_xlfn.XLOOKUP(frasest[[#This Row],[autor_es]],autorest[autor_es],autorest[bio_la])</f>
        <v>Paedagogus et reformator educativus Helveticus qui idealia Illuminationis ad educationem applicavit. Defensor educationis integralis in intuitione experientia et progressu naturali pueri fundatae. Scholas pro pueris pauperibus fundavit. Lemma eius fuit caput cor et manus. In Froebel Herbart et paedagogiam modernam decisive influxit.</v>
      </c>
      <c r="J479" t="str">
        <f>_xlfn.XLOOKUP(frasest[[#This Row],[autor_es]],autorest[autor_es],autorest[codigo])</f>
        <v>de</v>
      </c>
      <c r="K479" t="str">
        <f>_xlfn.XLOOKUP(frasest[[#This Row],[autor_es]],autorest[autor_es],autorest[idioma_es])</f>
        <v>Alemán</v>
      </c>
      <c r="L479" t="str">
        <f>_xlfn.XLOOKUP(frasest[[#This Row],[autor_es]],autorest[autor_es],autorest[idioma_la])</f>
        <v>Lingua Germanica</v>
      </c>
      <c r="M479" t="str">
        <f>_xlfn.XLOOKUP(frasest[[#This Row],[autor_es]],autorest[autor_es],autorest[nacion_es])</f>
        <v>Suiza</v>
      </c>
      <c r="N479" t="str">
        <f>_xlfn.XLOOKUP(frasest[[#This Row],[autor_es]],autorest[autor_es],autorest[nacion_la])</f>
        <v>Helvetia</v>
      </c>
      <c r="O479" t="str">
        <f>_xlfn.XLOOKUP(frasest[[#This Row],[autor_es]],autorest[autor_es],autorest[epoca_es])</f>
        <v>Edad Moderna</v>
      </c>
      <c r="P479" t="str">
        <f>_xlfn.XLOOKUP(frasest[[#This Row],[autor_es]],autorest[autor_es],autorest[epoca_la])</f>
        <v>Nova Aetas</v>
      </c>
      <c r="Q479" t="str">
        <f>_xlfn.XLOOKUP(frasest[[#This Row],[autor_es]],autorest[autor_es],autorest[imagen])</f>
        <v>https://i.ibb.co/nNjVdCkf/pestalozzi.png</v>
      </c>
      <c r="R479">
        <f>_xlfn.XLOOKUP(frasest[[#This Row],[autor_es]],autorest[autor_es],autorest[imagen_atr])</f>
        <v>0</v>
      </c>
    </row>
    <row r="480" spans="1:18">
      <c r="A480">
        <v>479</v>
      </c>
      <c r="B480" t="s">
        <v>1652</v>
      </c>
      <c r="C480" t="s">
        <v>1653</v>
      </c>
      <c r="D480" t="s">
        <v>1654</v>
      </c>
      <c r="E480" t="s">
        <v>1641</v>
      </c>
      <c r="F480" t="s">
        <v>1642</v>
      </c>
      <c r="G480" t="str">
        <f>_xlfn.XLOOKUP(frasest[[#This Row],[autor_es]],autorest[autor_es],autorest[autor_la])</f>
        <v>Iohannes Henricus Pestalozzi</v>
      </c>
      <c r="H480" t="str">
        <f>_xlfn.XLOOKUP(frasest[[#This Row],[autor_es]],autorest[autor_es],autorest[bio_es])</f>
        <v>Pedagogo y reformador educativo suizo que aplicó los ideales de la Ilustración a la educación. Defensor de la educación integral basada en la intuición la experiencia y el desarrollo natural del niño. Fundó escuelas para niños pobres. Su lema fue la cabeza el corazón y las manos. Influyó decisivamente en Froebel Herbart y la pedagogía moderna.</v>
      </c>
      <c r="I480" t="str">
        <f>_xlfn.XLOOKUP(frasest[[#This Row],[autor_es]],autorest[autor_es],autorest[bio_la])</f>
        <v>Paedagogus et reformator educativus Helveticus qui idealia Illuminationis ad educationem applicavit. Defensor educationis integralis in intuitione experientia et progressu naturali pueri fundatae. Scholas pro pueris pauperibus fundavit. Lemma eius fuit caput cor et manus. In Froebel Herbart et paedagogiam modernam decisive influxit.</v>
      </c>
      <c r="J480" t="str">
        <f>_xlfn.XLOOKUP(frasest[[#This Row],[autor_es]],autorest[autor_es],autorest[codigo])</f>
        <v>de</v>
      </c>
      <c r="K480" t="str">
        <f>_xlfn.XLOOKUP(frasest[[#This Row],[autor_es]],autorest[autor_es],autorest[idioma_es])</f>
        <v>Alemán</v>
      </c>
      <c r="L480" t="str">
        <f>_xlfn.XLOOKUP(frasest[[#This Row],[autor_es]],autorest[autor_es],autorest[idioma_la])</f>
        <v>Lingua Germanica</v>
      </c>
      <c r="M480" t="str">
        <f>_xlfn.XLOOKUP(frasest[[#This Row],[autor_es]],autorest[autor_es],autorest[nacion_es])</f>
        <v>Suiza</v>
      </c>
      <c r="N480" t="str">
        <f>_xlfn.XLOOKUP(frasest[[#This Row],[autor_es]],autorest[autor_es],autorest[nacion_la])</f>
        <v>Helvetia</v>
      </c>
      <c r="O480" t="str">
        <f>_xlfn.XLOOKUP(frasest[[#This Row],[autor_es]],autorest[autor_es],autorest[epoca_es])</f>
        <v>Edad Moderna</v>
      </c>
      <c r="P480" t="str">
        <f>_xlfn.XLOOKUP(frasest[[#This Row],[autor_es]],autorest[autor_es],autorest[epoca_la])</f>
        <v>Nova Aetas</v>
      </c>
      <c r="Q480" t="str">
        <f>_xlfn.XLOOKUP(frasest[[#This Row],[autor_es]],autorest[autor_es],autorest[imagen])</f>
        <v>https://i.ibb.co/nNjVdCkf/pestalozzi.png</v>
      </c>
      <c r="R480">
        <f>_xlfn.XLOOKUP(frasest[[#This Row],[autor_es]],autorest[autor_es],autorest[imagen_atr])</f>
        <v>0</v>
      </c>
    </row>
    <row r="481" spans="1:18">
      <c r="A481">
        <v>480</v>
      </c>
      <c r="B481" t="s">
        <v>1655</v>
      </c>
      <c r="C481" t="s">
        <v>1656</v>
      </c>
      <c r="D481" t="s">
        <v>1657</v>
      </c>
      <c r="E481" t="s">
        <v>1641</v>
      </c>
      <c r="F481" t="s">
        <v>1642</v>
      </c>
      <c r="G481" t="str">
        <f>_xlfn.XLOOKUP(frasest[[#This Row],[autor_es]],autorest[autor_es],autorest[autor_la])</f>
        <v>Iohannes Henricus Pestalozzi</v>
      </c>
      <c r="H481" t="str">
        <f>_xlfn.XLOOKUP(frasest[[#This Row],[autor_es]],autorest[autor_es],autorest[bio_es])</f>
        <v>Pedagogo y reformador educativo suizo que aplicó los ideales de la Ilustración a la educación. Defensor de la educación integral basada en la intuición la experiencia y el desarrollo natural del niño. Fundó escuelas para niños pobres. Su lema fue la cabeza el corazón y las manos. Influyó decisivamente en Froebel Herbart y la pedagogía moderna.</v>
      </c>
      <c r="I481" t="str">
        <f>_xlfn.XLOOKUP(frasest[[#This Row],[autor_es]],autorest[autor_es],autorest[bio_la])</f>
        <v>Paedagogus et reformator educativus Helveticus qui idealia Illuminationis ad educationem applicavit. Defensor educationis integralis in intuitione experientia et progressu naturali pueri fundatae. Scholas pro pueris pauperibus fundavit. Lemma eius fuit caput cor et manus. In Froebel Herbart et paedagogiam modernam decisive influxit.</v>
      </c>
      <c r="J481" t="str">
        <f>_xlfn.XLOOKUP(frasest[[#This Row],[autor_es]],autorest[autor_es],autorest[codigo])</f>
        <v>de</v>
      </c>
      <c r="K481" t="str">
        <f>_xlfn.XLOOKUP(frasest[[#This Row],[autor_es]],autorest[autor_es],autorest[idioma_es])</f>
        <v>Alemán</v>
      </c>
      <c r="L481" t="str">
        <f>_xlfn.XLOOKUP(frasest[[#This Row],[autor_es]],autorest[autor_es],autorest[idioma_la])</f>
        <v>Lingua Germanica</v>
      </c>
      <c r="M481" t="str">
        <f>_xlfn.XLOOKUP(frasest[[#This Row],[autor_es]],autorest[autor_es],autorest[nacion_es])</f>
        <v>Suiza</v>
      </c>
      <c r="N481" t="str">
        <f>_xlfn.XLOOKUP(frasest[[#This Row],[autor_es]],autorest[autor_es],autorest[nacion_la])</f>
        <v>Helvetia</v>
      </c>
      <c r="O481" t="str">
        <f>_xlfn.XLOOKUP(frasest[[#This Row],[autor_es]],autorest[autor_es],autorest[epoca_es])</f>
        <v>Edad Moderna</v>
      </c>
      <c r="P481" t="str">
        <f>_xlfn.XLOOKUP(frasest[[#This Row],[autor_es]],autorest[autor_es],autorest[epoca_la])</f>
        <v>Nova Aetas</v>
      </c>
      <c r="Q481" t="str">
        <f>_xlfn.XLOOKUP(frasest[[#This Row],[autor_es]],autorest[autor_es],autorest[imagen])</f>
        <v>https://i.ibb.co/nNjVdCkf/pestalozzi.png</v>
      </c>
      <c r="R481">
        <f>_xlfn.XLOOKUP(frasest[[#This Row],[autor_es]],autorest[autor_es],autorest[imagen_atr])</f>
        <v>0</v>
      </c>
    </row>
    <row r="482" spans="1:18">
      <c r="A482">
        <v>481</v>
      </c>
      <c r="B482" t="s">
        <v>1658</v>
      </c>
      <c r="C482" t="s">
        <v>1659</v>
      </c>
      <c r="D482" t="s">
        <v>1660</v>
      </c>
      <c r="E482" t="s">
        <v>1661</v>
      </c>
      <c r="F482" t="s">
        <v>1662</v>
      </c>
      <c r="G482" t="str">
        <f>_xlfn.XLOOKUP(frasest[[#This Row],[autor_es]],autorest[autor_es],autorest[autor_la])</f>
        <v>Ioannes Piaget</v>
      </c>
      <c r="H482" t="str">
        <f>_xlfn.XLOOKUP(frasest[[#This Row],[autor_es]],autorest[autor_es],autorest[bio_es])</f>
        <v>Psicólogo y epistemólogo suizo creador de la teoría del desarrollo cognitivo. Revolucionó la comprensión del pensamiento infantil describiendo cuatro estadios del desarrollo sensoriomotor preoperacional operaciones concretas y operaciones formales. Defendió que el niño construye activamente su conocimiento mediante la interacción con el entorno.</v>
      </c>
      <c r="I482" t="str">
        <f>_xlfn.XLOOKUP(frasest[[#This Row],[autor_es]],autorest[autor_es],autorest[bio_la])</f>
        <v>Psychologus et epistemologus Helveticus creator theoriae progressus cognitivi. Intellectionem cogitationis infantilis revolutionavit describens quattuor stadia progressus sensoriomotorem praeoperationalem operationes concretas et operationes formales. Defendit puerum active cognitionem suam construere mediante interactione cum ambitu.</v>
      </c>
      <c r="J482" t="str">
        <f>_xlfn.XLOOKUP(frasest[[#This Row],[autor_es]],autorest[autor_es],autorest[codigo])</f>
        <v>fr</v>
      </c>
      <c r="K482" t="str">
        <f>_xlfn.XLOOKUP(frasest[[#This Row],[autor_es]],autorest[autor_es],autorest[idioma_es])</f>
        <v>Francés</v>
      </c>
      <c r="L482" t="str">
        <f>_xlfn.XLOOKUP(frasest[[#This Row],[autor_es]],autorest[autor_es],autorest[idioma_la])</f>
        <v>Lingua Gallica</v>
      </c>
      <c r="M482" t="str">
        <f>_xlfn.XLOOKUP(frasest[[#This Row],[autor_es]],autorest[autor_es],autorest[nacion_es])</f>
        <v>Suiza</v>
      </c>
      <c r="N482" t="str">
        <f>_xlfn.XLOOKUP(frasest[[#This Row],[autor_es]],autorest[autor_es],autorest[nacion_la])</f>
        <v>Helvetia</v>
      </c>
      <c r="O482" t="str">
        <f>_xlfn.XLOOKUP(frasest[[#This Row],[autor_es]],autorest[autor_es],autorest[epoca_es])</f>
        <v>Edad Contemporánea</v>
      </c>
      <c r="P482" t="str">
        <f>_xlfn.XLOOKUP(frasest[[#This Row],[autor_es]],autorest[autor_es],autorest[epoca_la])</f>
        <v>Aetas Contemporanea</v>
      </c>
      <c r="Q482" t="str">
        <f>_xlfn.XLOOKUP(frasest[[#This Row],[autor_es]],autorest[autor_es],autorest[imagen])</f>
        <v>https://i.ibb.co/5xBrX10s/jeanpiaget.png</v>
      </c>
      <c r="R482">
        <f>_xlfn.XLOOKUP(frasest[[#This Row],[autor_es]],autorest[autor_es],autorest[imagen_atr])</f>
        <v>0</v>
      </c>
    </row>
    <row r="483" spans="1:18">
      <c r="A483">
        <v>482</v>
      </c>
      <c r="B483" t="s">
        <v>1663</v>
      </c>
      <c r="C483" t="s">
        <v>1664</v>
      </c>
      <c r="D483" t="s">
        <v>1665</v>
      </c>
      <c r="E483" t="s">
        <v>1661</v>
      </c>
      <c r="F483" t="s">
        <v>1662</v>
      </c>
      <c r="G483" t="str">
        <f>_xlfn.XLOOKUP(frasest[[#This Row],[autor_es]],autorest[autor_es],autorest[autor_la])</f>
        <v>Ioannes Piaget</v>
      </c>
      <c r="H483" t="str">
        <f>_xlfn.XLOOKUP(frasest[[#This Row],[autor_es]],autorest[autor_es],autorest[bio_es])</f>
        <v>Psicólogo y epistemólogo suizo creador de la teoría del desarrollo cognitivo. Revolucionó la comprensión del pensamiento infantil describiendo cuatro estadios del desarrollo sensoriomotor preoperacional operaciones concretas y operaciones formales. Defendió que el niño construye activamente su conocimiento mediante la interacción con el entorno.</v>
      </c>
      <c r="I483" t="str">
        <f>_xlfn.XLOOKUP(frasest[[#This Row],[autor_es]],autorest[autor_es],autorest[bio_la])</f>
        <v>Psychologus et epistemologus Helveticus creator theoriae progressus cognitivi. Intellectionem cogitationis infantilis revolutionavit describens quattuor stadia progressus sensoriomotorem praeoperationalem operationes concretas et operationes formales. Defendit puerum active cognitionem suam construere mediante interactione cum ambitu.</v>
      </c>
      <c r="J483" t="str">
        <f>_xlfn.XLOOKUP(frasest[[#This Row],[autor_es]],autorest[autor_es],autorest[codigo])</f>
        <v>fr</v>
      </c>
      <c r="K483" t="str">
        <f>_xlfn.XLOOKUP(frasest[[#This Row],[autor_es]],autorest[autor_es],autorest[idioma_es])</f>
        <v>Francés</v>
      </c>
      <c r="L483" t="str">
        <f>_xlfn.XLOOKUP(frasest[[#This Row],[autor_es]],autorest[autor_es],autorest[idioma_la])</f>
        <v>Lingua Gallica</v>
      </c>
      <c r="M483" t="str">
        <f>_xlfn.XLOOKUP(frasest[[#This Row],[autor_es]],autorest[autor_es],autorest[nacion_es])</f>
        <v>Suiza</v>
      </c>
      <c r="N483" t="str">
        <f>_xlfn.XLOOKUP(frasest[[#This Row],[autor_es]],autorest[autor_es],autorest[nacion_la])</f>
        <v>Helvetia</v>
      </c>
      <c r="O483" t="str">
        <f>_xlfn.XLOOKUP(frasest[[#This Row],[autor_es]],autorest[autor_es],autorest[epoca_es])</f>
        <v>Edad Contemporánea</v>
      </c>
      <c r="P483" t="str">
        <f>_xlfn.XLOOKUP(frasest[[#This Row],[autor_es]],autorest[autor_es],autorest[epoca_la])</f>
        <v>Aetas Contemporanea</v>
      </c>
      <c r="Q483" t="str">
        <f>_xlfn.XLOOKUP(frasest[[#This Row],[autor_es]],autorest[autor_es],autorest[imagen])</f>
        <v>https://i.ibb.co/5xBrX10s/jeanpiaget.png</v>
      </c>
      <c r="R483">
        <f>_xlfn.XLOOKUP(frasest[[#This Row],[autor_es]],autorest[autor_es],autorest[imagen_atr])</f>
        <v>0</v>
      </c>
    </row>
    <row r="484" spans="1:18">
      <c r="A484">
        <v>483</v>
      </c>
      <c r="B484" t="s">
        <v>1666</v>
      </c>
      <c r="C484" t="s">
        <v>1667</v>
      </c>
      <c r="D484" t="s">
        <v>1668</v>
      </c>
      <c r="E484" t="s">
        <v>1661</v>
      </c>
      <c r="F484" t="s">
        <v>1662</v>
      </c>
      <c r="G484" t="str">
        <f>_xlfn.XLOOKUP(frasest[[#This Row],[autor_es]],autorest[autor_es],autorest[autor_la])</f>
        <v>Ioannes Piaget</v>
      </c>
      <c r="H484" t="str">
        <f>_xlfn.XLOOKUP(frasest[[#This Row],[autor_es]],autorest[autor_es],autorest[bio_es])</f>
        <v>Psicólogo y epistemólogo suizo creador de la teoría del desarrollo cognitivo. Revolucionó la comprensión del pensamiento infantil describiendo cuatro estadios del desarrollo sensoriomotor preoperacional operaciones concretas y operaciones formales. Defendió que el niño construye activamente su conocimiento mediante la interacción con el entorno.</v>
      </c>
      <c r="I484" t="str">
        <f>_xlfn.XLOOKUP(frasest[[#This Row],[autor_es]],autorest[autor_es],autorest[bio_la])</f>
        <v>Psychologus et epistemologus Helveticus creator theoriae progressus cognitivi. Intellectionem cogitationis infantilis revolutionavit describens quattuor stadia progressus sensoriomotorem praeoperationalem operationes concretas et operationes formales. Defendit puerum active cognitionem suam construere mediante interactione cum ambitu.</v>
      </c>
      <c r="J484" t="str">
        <f>_xlfn.XLOOKUP(frasest[[#This Row],[autor_es]],autorest[autor_es],autorest[codigo])</f>
        <v>fr</v>
      </c>
      <c r="K484" t="str">
        <f>_xlfn.XLOOKUP(frasest[[#This Row],[autor_es]],autorest[autor_es],autorest[idioma_es])</f>
        <v>Francés</v>
      </c>
      <c r="L484" t="str">
        <f>_xlfn.XLOOKUP(frasest[[#This Row],[autor_es]],autorest[autor_es],autorest[idioma_la])</f>
        <v>Lingua Gallica</v>
      </c>
      <c r="M484" t="str">
        <f>_xlfn.XLOOKUP(frasest[[#This Row],[autor_es]],autorest[autor_es],autorest[nacion_es])</f>
        <v>Suiza</v>
      </c>
      <c r="N484" t="str">
        <f>_xlfn.XLOOKUP(frasest[[#This Row],[autor_es]],autorest[autor_es],autorest[nacion_la])</f>
        <v>Helvetia</v>
      </c>
      <c r="O484" t="str">
        <f>_xlfn.XLOOKUP(frasest[[#This Row],[autor_es]],autorest[autor_es],autorest[epoca_es])</f>
        <v>Edad Contemporánea</v>
      </c>
      <c r="P484" t="str">
        <f>_xlfn.XLOOKUP(frasest[[#This Row],[autor_es]],autorest[autor_es],autorest[epoca_la])</f>
        <v>Aetas Contemporanea</v>
      </c>
      <c r="Q484" t="str">
        <f>_xlfn.XLOOKUP(frasest[[#This Row],[autor_es]],autorest[autor_es],autorest[imagen])</f>
        <v>https://i.ibb.co/5xBrX10s/jeanpiaget.png</v>
      </c>
      <c r="R484">
        <f>_xlfn.XLOOKUP(frasest[[#This Row],[autor_es]],autorest[autor_es],autorest[imagen_atr])</f>
        <v>0</v>
      </c>
    </row>
    <row r="485" spans="1:18">
      <c r="A485">
        <v>484</v>
      </c>
      <c r="B485" t="s">
        <v>1669</v>
      </c>
      <c r="C485" t="s">
        <v>1670</v>
      </c>
      <c r="D485" t="s">
        <v>1671</v>
      </c>
      <c r="E485" t="s">
        <v>1661</v>
      </c>
      <c r="F485" t="s">
        <v>1662</v>
      </c>
      <c r="G485" t="str">
        <f>_xlfn.XLOOKUP(frasest[[#This Row],[autor_es]],autorest[autor_es],autorest[autor_la])</f>
        <v>Ioannes Piaget</v>
      </c>
      <c r="H485" t="str">
        <f>_xlfn.XLOOKUP(frasest[[#This Row],[autor_es]],autorest[autor_es],autorest[bio_es])</f>
        <v>Psicólogo y epistemólogo suizo creador de la teoría del desarrollo cognitivo. Revolucionó la comprensión del pensamiento infantil describiendo cuatro estadios del desarrollo sensoriomotor preoperacional operaciones concretas y operaciones formales. Defendió que el niño construye activamente su conocimiento mediante la interacción con el entorno.</v>
      </c>
      <c r="I485" t="str">
        <f>_xlfn.XLOOKUP(frasest[[#This Row],[autor_es]],autorest[autor_es],autorest[bio_la])</f>
        <v>Psychologus et epistemologus Helveticus creator theoriae progressus cognitivi. Intellectionem cogitationis infantilis revolutionavit describens quattuor stadia progressus sensoriomotorem praeoperationalem operationes concretas et operationes formales. Defendit puerum active cognitionem suam construere mediante interactione cum ambitu.</v>
      </c>
      <c r="J485" t="str">
        <f>_xlfn.XLOOKUP(frasest[[#This Row],[autor_es]],autorest[autor_es],autorest[codigo])</f>
        <v>fr</v>
      </c>
      <c r="K485" t="str">
        <f>_xlfn.XLOOKUP(frasest[[#This Row],[autor_es]],autorest[autor_es],autorest[idioma_es])</f>
        <v>Francés</v>
      </c>
      <c r="L485" t="str">
        <f>_xlfn.XLOOKUP(frasest[[#This Row],[autor_es]],autorest[autor_es],autorest[idioma_la])</f>
        <v>Lingua Gallica</v>
      </c>
      <c r="M485" t="str">
        <f>_xlfn.XLOOKUP(frasest[[#This Row],[autor_es]],autorest[autor_es],autorest[nacion_es])</f>
        <v>Suiza</v>
      </c>
      <c r="N485" t="str">
        <f>_xlfn.XLOOKUP(frasest[[#This Row],[autor_es]],autorest[autor_es],autorest[nacion_la])</f>
        <v>Helvetia</v>
      </c>
      <c r="O485" t="str">
        <f>_xlfn.XLOOKUP(frasest[[#This Row],[autor_es]],autorest[autor_es],autorest[epoca_es])</f>
        <v>Edad Contemporánea</v>
      </c>
      <c r="P485" t="str">
        <f>_xlfn.XLOOKUP(frasest[[#This Row],[autor_es]],autorest[autor_es],autorest[epoca_la])</f>
        <v>Aetas Contemporanea</v>
      </c>
      <c r="Q485" t="str">
        <f>_xlfn.XLOOKUP(frasest[[#This Row],[autor_es]],autorest[autor_es],autorest[imagen])</f>
        <v>https://i.ibb.co/5xBrX10s/jeanpiaget.png</v>
      </c>
      <c r="R485">
        <f>_xlfn.XLOOKUP(frasest[[#This Row],[autor_es]],autorest[autor_es],autorest[imagen_atr])</f>
        <v>0</v>
      </c>
    </row>
    <row r="486" spans="1:18">
      <c r="A486">
        <v>485</v>
      </c>
      <c r="B486" t="s">
        <v>1672</v>
      </c>
      <c r="C486" t="s">
        <v>1673</v>
      </c>
      <c r="D486" t="s">
        <v>1674</v>
      </c>
      <c r="E486" t="s">
        <v>1661</v>
      </c>
      <c r="F486" t="s">
        <v>1662</v>
      </c>
      <c r="G486" t="str">
        <f>_xlfn.XLOOKUP(frasest[[#This Row],[autor_es]],autorest[autor_es],autorest[autor_la])</f>
        <v>Ioannes Piaget</v>
      </c>
      <c r="H486" t="str">
        <f>_xlfn.XLOOKUP(frasest[[#This Row],[autor_es]],autorest[autor_es],autorest[bio_es])</f>
        <v>Psicólogo y epistemólogo suizo creador de la teoría del desarrollo cognitivo. Revolucionó la comprensión del pensamiento infantil describiendo cuatro estadios del desarrollo sensoriomotor preoperacional operaciones concretas y operaciones formales. Defendió que el niño construye activamente su conocimiento mediante la interacción con el entorno.</v>
      </c>
      <c r="I486" t="str">
        <f>_xlfn.XLOOKUP(frasest[[#This Row],[autor_es]],autorest[autor_es],autorest[bio_la])</f>
        <v>Psychologus et epistemologus Helveticus creator theoriae progressus cognitivi. Intellectionem cogitationis infantilis revolutionavit describens quattuor stadia progressus sensoriomotorem praeoperationalem operationes concretas et operationes formales. Defendit puerum active cognitionem suam construere mediante interactione cum ambitu.</v>
      </c>
      <c r="J486" t="str">
        <f>_xlfn.XLOOKUP(frasest[[#This Row],[autor_es]],autorest[autor_es],autorest[codigo])</f>
        <v>fr</v>
      </c>
      <c r="K486" t="str">
        <f>_xlfn.XLOOKUP(frasest[[#This Row],[autor_es]],autorest[autor_es],autorest[idioma_es])</f>
        <v>Francés</v>
      </c>
      <c r="L486" t="str">
        <f>_xlfn.XLOOKUP(frasest[[#This Row],[autor_es]],autorest[autor_es],autorest[idioma_la])</f>
        <v>Lingua Gallica</v>
      </c>
      <c r="M486" t="str">
        <f>_xlfn.XLOOKUP(frasest[[#This Row],[autor_es]],autorest[autor_es],autorest[nacion_es])</f>
        <v>Suiza</v>
      </c>
      <c r="N486" t="str">
        <f>_xlfn.XLOOKUP(frasest[[#This Row],[autor_es]],autorest[autor_es],autorest[nacion_la])</f>
        <v>Helvetia</v>
      </c>
      <c r="O486" t="str">
        <f>_xlfn.XLOOKUP(frasest[[#This Row],[autor_es]],autorest[autor_es],autorest[epoca_es])</f>
        <v>Edad Contemporánea</v>
      </c>
      <c r="P486" t="str">
        <f>_xlfn.XLOOKUP(frasest[[#This Row],[autor_es]],autorest[autor_es],autorest[epoca_la])</f>
        <v>Aetas Contemporanea</v>
      </c>
      <c r="Q486" t="str">
        <f>_xlfn.XLOOKUP(frasest[[#This Row],[autor_es]],autorest[autor_es],autorest[imagen])</f>
        <v>https://i.ibb.co/5xBrX10s/jeanpiaget.png</v>
      </c>
      <c r="R486">
        <f>_xlfn.XLOOKUP(frasest[[#This Row],[autor_es]],autorest[autor_es],autorest[imagen_atr])</f>
        <v>0</v>
      </c>
    </row>
    <row r="487" spans="1:18">
      <c r="A487">
        <v>486</v>
      </c>
      <c r="B487" t="s">
        <v>1675</v>
      </c>
      <c r="C487" t="s">
        <v>1676</v>
      </c>
      <c r="D487" t="s">
        <v>1677</v>
      </c>
      <c r="E487" t="s">
        <v>1661</v>
      </c>
      <c r="F487" t="s">
        <v>1662</v>
      </c>
      <c r="G487" t="str">
        <f>_xlfn.XLOOKUP(frasest[[#This Row],[autor_es]],autorest[autor_es],autorest[autor_la])</f>
        <v>Ioannes Piaget</v>
      </c>
      <c r="H487" t="str">
        <f>_xlfn.XLOOKUP(frasest[[#This Row],[autor_es]],autorest[autor_es],autorest[bio_es])</f>
        <v>Psicólogo y epistemólogo suizo creador de la teoría del desarrollo cognitivo. Revolucionó la comprensión del pensamiento infantil describiendo cuatro estadios del desarrollo sensoriomotor preoperacional operaciones concretas y operaciones formales. Defendió que el niño construye activamente su conocimiento mediante la interacción con el entorno.</v>
      </c>
      <c r="I487" t="str">
        <f>_xlfn.XLOOKUP(frasest[[#This Row],[autor_es]],autorest[autor_es],autorest[bio_la])</f>
        <v>Psychologus et epistemologus Helveticus creator theoriae progressus cognitivi. Intellectionem cogitationis infantilis revolutionavit describens quattuor stadia progressus sensoriomotorem praeoperationalem operationes concretas et operationes formales. Defendit puerum active cognitionem suam construere mediante interactione cum ambitu.</v>
      </c>
      <c r="J487" t="str">
        <f>_xlfn.XLOOKUP(frasest[[#This Row],[autor_es]],autorest[autor_es],autorest[codigo])</f>
        <v>fr</v>
      </c>
      <c r="K487" t="str">
        <f>_xlfn.XLOOKUP(frasest[[#This Row],[autor_es]],autorest[autor_es],autorest[idioma_es])</f>
        <v>Francés</v>
      </c>
      <c r="L487" t="str">
        <f>_xlfn.XLOOKUP(frasest[[#This Row],[autor_es]],autorest[autor_es],autorest[idioma_la])</f>
        <v>Lingua Gallica</v>
      </c>
      <c r="M487" t="str">
        <f>_xlfn.XLOOKUP(frasest[[#This Row],[autor_es]],autorest[autor_es],autorest[nacion_es])</f>
        <v>Suiza</v>
      </c>
      <c r="N487" t="str">
        <f>_xlfn.XLOOKUP(frasest[[#This Row],[autor_es]],autorest[autor_es],autorest[nacion_la])</f>
        <v>Helvetia</v>
      </c>
      <c r="O487" t="str">
        <f>_xlfn.XLOOKUP(frasest[[#This Row],[autor_es]],autorest[autor_es],autorest[epoca_es])</f>
        <v>Edad Contemporánea</v>
      </c>
      <c r="P487" t="str">
        <f>_xlfn.XLOOKUP(frasest[[#This Row],[autor_es]],autorest[autor_es],autorest[epoca_la])</f>
        <v>Aetas Contemporanea</v>
      </c>
      <c r="Q487" t="str">
        <f>_xlfn.XLOOKUP(frasest[[#This Row],[autor_es]],autorest[autor_es],autorest[imagen])</f>
        <v>https://i.ibb.co/5xBrX10s/jeanpiaget.png</v>
      </c>
      <c r="R487">
        <f>_xlfn.XLOOKUP(frasest[[#This Row],[autor_es]],autorest[autor_es],autorest[imagen_atr])</f>
        <v>0</v>
      </c>
    </row>
    <row r="488" spans="1:18">
      <c r="A488">
        <v>487</v>
      </c>
      <c r="B488" t="s">
        <v>1678</v>
      </c>
      <c r="C488" t="s">
        <v>1679</v>
      </c>
      <c r="D488" t="s">
        <v>1680</v>
      </c>
      <c r="E488" t="s">
        <v>1681</v>
      </c>
      <c r="F488" t="s">
        <v>1682</v>
      </c>
      <c r="G488" t="str">
        <f>_xlfn.XLOOKUP(frasest[[#This Row],[autor_es]],autorest[autor_es],autorest[autor_la])</f>
        <v>Lev Vygotsky</v>
      </c>
      <c r="H488" t="str">
        <f>_xlfn.XLOOKUP(frasest[[#This Row],[autor_es]],autorest[autor_es],autorest[bio_es])</f>
        <v>Psicólogo y pedagogo soviético fundador de la psicología histórico-cultural. Creador del concepto de Zona de Desarrollo Próximo que explica cómo el aprendizaje social precede al desarrollo individual. Enfatizó la importancia del lenguaje la cultura y la interacción social en el desarrollo cognitivo. Pionero de la pedagogía sociocultural.</v>
      </c>
      <c r="I488" t="str">
        <f>_xlfn.XLOOKUP(frasest[[#This Row],[autor_es]],autorest[autor_es],autorest[bio_la])</f>
        <v>Psychologus et paedagogus Sovieticus fundator psychologiae historico-culturalis. Creator conceptus Zonae Progressus Proximi qui explicat quomodo apprehensio socialis progressum individualem praecedit. Importantiam linguae culturae et interactionis socialis in progressu cognitivo emphasizavit. Pionarius paedagogiae socioculturalis.</v>
      </c>
      <c r="J488" t="str">
        <f>_xlfn.XLOOKUP(frasest[[#This Row],[autor_es]],autorest[autor_es],autorest[codigo])</f>
        <v>ru</v>
      </c>
      <c r="K488" t="str">
        <f>_xlfn.XLOOKUP(frasest[[#This Row],[autor_es]],autorest[autor_es],autorest[idioma_es])</f>
        <v>Ruso</v>
      </c>
      <c r="L488" t="str">
        <f>_xlfn.XLOOKUP(frasest[[#This Row],[autor_es]],autorest[autor_es],autorest[idioma_la])</f>
        <v>Lingua Russica</v>
      </c>
      <c r="M488" t="str">
        <f>_xlfn.XLOOKUP(frasest[[#This Row],[autor_es]],autorest[autor_es],autorest[nacion_es])</f>
        <v>Rusia</v>
      </c>
      <c r="N488" t="str">
        <f>_xlfn.XLOOKUP(frasest[[#This Row],[autor_es]],autorest[autor_es],autorest[nacion_la])</f>
        <v>Russia</v>
      </c>
      <c r="O488" t="str">
        <f>_xlfn.XLOOKUP(frasest[[#This Row],[autor_es]],autorest[autor_es],autorest[epoca_es])</f>
        <v>Edad Contemporánea</v>
      </c>
      <c r="P488" t="str">
        <f>_xlfn.XLOOKUP(frasest[[#This Row],[autor_es]],autorest[autor_es],autorest[epoca_la])</f>
        <v>Aetas Contemporanea</v>
      </c>
      <c r="Q488" t="str">
        <f>_xlfn.XLOOKUP(frasest[[#This Row],[autor_es]],autorest[autor_es],autorest[imagen])</f>
        <v>https://i.ibb.co/60c7p4y9/vigotsky.png</v>
      </c>
      <c r="R488">
        <f>_xlfn.XLOOKUP(frasest[[#This Row],[autor_es]],autorest[autor_es],autorest[imagen_atr])</f>
        <v>0</v>
      </c>
    </row>
    <row r="489" spans="1:18">
      <c r="A489">
        <v>488</v>
      </c>
      <c r="B489" t="s">
        <v>1683</v>
      </c>
      <c r="C489" t="s">
        <v>1684</v>
      </c>
      <c r="D489" t="s">
        <v>1685</v>
      </c>
      <c r="E489" t="s">
        <v>1681</v>
      </c>
      <c r="F489" t="s">
        <v>1682</v>
      </c>
      <c r="G489" t="str">
        <f>_xlfn.XLOOKUP(frasest[[#This Row],[autor_es]],autorest[autor_es],autorest[autor_la])</f>
        <v>Lev Vygotsky</v>
      </c>
      <c r="H489" t="str">
        <f>_xlfn.XLOOKUP(frasest[[#This Row],[autor_es]],autorest[autor_es],autorest[bio_es])</f>
        <v>Psicólogo y pedagogo soviético fundador de la psicología histórico-cultural. Creador del concepto de Zona de Desarrollo Próximo que explica cómo el aprendizaje social precede al desarrollo individual. Enfatizó la importancia del lenguaje la cultura y la interacción social en el desarrollo cognitivo. Pionero de la pedagogía sociocultural.</v>
      </c>
      <c r="I489" t="str">
        <f>_xlfn.XLOOKUP(frasest[[#This Row],[autor_es]],autorest[autor_es],autorest[bio_la])</f>
        <v>Psychologus et paedagogus Sovieticus fundator psychologiae historico-culturalis. Creator conceptus Zonae Progressus Proximi qui explicat quomodo apprehensio socialis progressum individualem praecedit. Importantiam linguae culturae et interactionis socialis in progressu cognitivo emphasizavit. Pionarius paedagogiae socioculturalis.</v>
      </c>
      <c r="J489" t="str">
        <f>_xlfn.XLOOKUP(frasest[[#This Row],[autor_es]],autorest[autor_es],autorest[codigo])</f>
        <v>ru</v>
      </c>
      <c r="K489" t="str">
        <f>_xlfn.XLOOKUP(frasest[[#This Row],[autor_es]],autorest[autor_es],autorest[idioma_es])</f>
        <v>Ruso</v>
      </c>
      <c r="L489" t="str">
        <f>_xlfn.XLOOKUP(frasest[[#This Row],[autor_es]],autorest[autor_es],autorest[idioma_la])</f>
        <v>Lingua Russica</v>
      </c>
      <c r="M489" t="str">
        <f>_xlfn.XLOOKUP(frasest[[#This Row],[autor_es]],autorest[autor_es],autorest[nacion_es])</f>
        <v>Rusia</v>
      </c>
      <c r="N489" t="str">
        <f>_xlfn.XLOOKUP(frasest[[#This Row],[autor_es]],autorest[autor_es],autorest[nacion_la])</f>
        <v>Russia</v>
      </c>
      <c r="O489" t="str">
        <f>_xlfn.XLOOKUP(frasest[[#This Row],[autor_es]],autorest[autor_es],autorest[epoca_es])</f>
        <v>Edad Contemporánea</v>
      </c>
      <c r="P489" t="str">
        <f>_xlfn.XLOOKUP(frasest[[#This Row],[autor_es]],autorest[autor_es],autorest[epoca_la])</f>
        <v>Aetas Contemporanea</v>
      </c>
      <c r="Q489" t="str">
        <f>_xlfn.XLOOKUP(frasest[[#This Row],[autor_es]],autorest[autor_es],autorest[imagen])</f>
        <v>https://i.ibb.co/60c7p4y9/vigotsky.png</v>
      </c>
      <c r="R489">
        <f>_xlfn.XLOOKUP(frasest[[#This Row],[autor_es]],autorest[autor_es],autorest[imagen_atr])</f>
        <v>0</v>
      </c>
    </row>
    <row r="490" spans="1:18">
      <c r="A490">
        <v>489</v>
      </c>
      <c r="B490" t="s">
        <v>1686</v>
      </c>
      <c r="C490" t="s">
        <v>1687</v>
      </c>
      <c r="D490" t="s">
        <v>1688</v>
      </c>
      <c r="E490" t="s">
        <v>1681</v>
      </c>
      <c r="F490" t="s">
        <v>1682</v>
      </c>
      <c r="G490" t="str">
        <f>_xlfn.XLOOKUP(frasest[[#This Row],[autor_es]],autorest[autor_es],autorest[autor_la])</f>
        <v>Lev Vygotsky</v>
      </c>
      <c r="H490" t="str">
        <f>_xlfn.XLOOKUP(frasest[[#This Row],[autor_es]],autorest[autor_es],autorest[bio_es])</f>
        <v>Psicólogo y pedagogo soviético fundador de la psicología histórico-cultural. Creador del concepto de Zona de Desarrollo Próximo que explica cómo el aprendizaje social precede al desarrollo individual. Enfatizó la importancia del lenguaje la cultura y la interacción social en el desarrollo cognitivo. Pionero de la pedagogía sociocultural.</v>
      </c>
      <c r="I490" t="str">
        <f>_xlfn.XLOOKUP(frasest[[#This Row],[autor_es]],autorest[autor_es],autorest[bio_la])</f>
        <v>Psychologus et paedagogus Sovieticus fundator psychologiae historico-culturalis. Creator conceptus Zonae Progressus Proximi qui explicat quomodo apprehensio socialis progressum individualem praecedit. Importantiam linguae culturae et interactionis socialis in progressu cognitivo emphasizavit. Pionarius paedagogiae socioculturalis.</v>
      </c>
      <c r="J490" t="str">
        <f>_xlfn.XLOOKUP(frasest[[#This Row],[autor_es]],autorest[autor_es],autorest[codigo])</f>
        <v>ru</v>
      </c>
      <c r="K490" t="str">
        <f>_xlfn.XLOOKUP(frasest[[#This Row],[autor_es]],autorest[autor_es],autorest[idioma_es])</f>
        <v>Ruso</v>
      </c>
      <c r="L490" t="str">
        <f>_xlfn.XLOOKUP(frasest[[#This Row],[autor_es]],autorest[autor_es],autorest[idioma_la])</f>
        <v>Lingua Russica</v>
      </c>
      <c r="M490" t="str">
        <f>_xlfn.XLOOKUP(frasest[[#This Row],[autor_es]],autorest[autor_es],autorest[nacion_es])</f>
        <v>Rusia</v>
      </c>
      <c r="N490" t="str">
        <f>_xlfn.XLOOKUP(frasest[[#This Row],[autor_es]],autorest[autor_es],autorest[nacion_la])</f>
        <v>Russia</v>
      </c>
      <c r="O490" t="str">
        <f>_xlfn.XLOOKUP(frasest[[#This Row],[autor_es]],autorest[autor_es],autorest[epoca_es])</f>
        <v>Edad Contemporánea</v>
      </c>
      <c r="P490" t="str">
        <f>_xlfn.XLOOKUP(frasest[[#This Row],[autor_es]],autorest[autor_es],autorest[epoca_la])</f>
        <v>Aetas Contemporanea</v>
      </c>
      <c r="Q490" t="str">
        <f>_xlfn.XLOOKUP(frasest[[#This Row],[autor_es]],autorest[autor_es],autorest[imagen])</f>
        <v>https://i.ibb.co/60c7p4y9/vigotsky.png</v>
      </c>
      <c r="R490">
        <f>_xlfn.XLOOKUP(frasest[[#This Row],[autor_es]],autorest[autor_es],autorest[imagen_atr])</f>
        <v>0</v>
      </c>
    </row>
    <row r="491" spans="1:18">
      <c r="A491">
        <v>490</v>
      </c>
      <c r="B491" t="s">
        <v>1689</v>
      </c>
      <c r="C491" t="s">
        <v>1690</v>
      </c>
      <c r="D491" t="s">
        <v>1691</v>
      </c>
      <c r="E491" t="s">
        <v>1681</v>
      </c>
      <c r="F491" t="s">
        <v>1682</v>
      </c>
      <c r="G491" t="str">
        <f>_xlfn.XLOOKUP(frasest[[#This Row],[autor_es]],autorest[autor_es],autorest[autor_la])</f>
        <v>Lev Vygotsky</v>
      </c>
      <c r="H491" t="str">
        <f>_xlfn.XLOOKUP(frasest[[#This Row],[autor_es]],autorest[autor_es],autorest[bio_es])</f>
        <v>Psicólogo y pedagogo soviético fundador de la psicología histórico-cultural. Creador del concepto de Zona de Desarrollo Próximo que explica cómo el aprendizaje social precede al desarrollo individual. Enfatizó la importancia del lenguaje la cultura y la interacción social en el desarrollo cognitivo. Pionero de la pedagogía sociocultural.</v>
      </c>
      <c r="I491" t="str">
        <f>_xlfn.XLOOKUP(frasest[[#This Row],[autor_es]],autorest[autor_es],autorest[bio_la])</f>
        <v>Psychologus et paedagogus Sovieticus fundator psychologiae historico-culturalis. Creator conceptus Zonae Progressus Proximi qui explicat quomodo apprehensio socialis progressum individualem praecedit. Importantiam linguae culturae et interactionis socialis in progressu cognitivo emphasizavit. Pionarius paedagogiae socioculturalis.</v>
      </c>
      <c r="J491" t="str">
        <f>_xlfn.XLOOKUP(frasest[[#This Row],[autor_es]],autorest[autor_es],autorest[codigo])</f>
        <v>ru</v>
      </c>
      <c r="K491" t="str">
        <f>_xlfn.XLOOKUP(frasest[[#This Row],[autor_es]],autorest[autor_es],autorest[idioma_es])</f>
        <v>Ruso</v>
      </c>
      <c r="L491" t="str">
        <f>_xlfn.XLOOKUP(frasest[[#This Row],[autor_es]],autorest[autor_es],autorest[idioma_la])</f>
        <v>Lingua Russica</v>
      </c>
      <c r="M491" t="str">
        <f>_xlfn.XLOOKUP(frasest[[#This Row],[autor_es]],autorest[autor_es],autorest[nacion_es])</f>
        <v>Rusia</v>
      </c>
      <c r="N491" t="str">
        <f>_xlfn.XLOOKUP(frasest[[#This Row],[autor_es]],autorest[autor_es],autorest[nacion_la])</f>
        <v>Russia</v>
      </c>
      <c r="O491" t="str">
        <f>_xlfn.XLOOKUP(frasest[[#This Row],[autor_es]],autorest[autor_es],autorest[epoca_es])</f>
        <v>Edad Contemporánea</v>
      </c>
      <c r="P491" t="str">
        <f>_xlfn.XLOOKUP(frasest[[#This Row],[autor_es]],autorest[autor_es],autorest[epoca_la])</f>
        <v>Aetas Contemporanea</v>
      </c>
      <c r="Q491" t="str">
        <f>_xlfn.XLOOKUP(frasest[[#This Row],[autor_es]],autorest[autor_es],autorest[imagen])</f>
        <v>https://i.ibb.co/60c7p4y9/vigotsky.png</v>
      </c>
      <c r="R491">
        <f>_xlfn.XLOOKUP(frasest[[#This Row],[autor_es]],autorest[autor_es],autorest[imagen_atr])</f>
        <v>0</v>
      </c>
    </row>
    <row r="492" spans="1:18">
      <c r="A492">
        <v>491</v>
      </c>
      <c r="B492" t="s">
        <v>1692</v>
      </c>
      <c r="C492" t="s">
        <v>1693</v>
      </c>
      <c r="D492" t="s">
        <v>1694</v>
      </c>
      <c r="E492" t="s">
        <v>1681</v>
      </c>
      <c r="F492" t="s">
        <v>1682</v>
      </c>
      <c r="G492" t="str">
        <f>_xlfn.XLOOKUP(frasest[[#This Row],[autor_es]],autorest[autor_es],autorest[autor_la])</f>
        <v>Lev Vygotsky</v>
      </c>
      <c r="H492" t="str">
        <f>_xlfn.XLOOKUP(frasest[[#This Row],[autor_es]],autorest[autor_es],autorest[bio_es])</f>
        <v>Psicólogo y pedagogo soviético fundador de la psicología histórico-cultural. Creador del concepto de Zona de Desarrollo Próximo que explica cómo el aprendizaje social precede al desarrollo individual. Enfatizó la importancia del lenguaje la cultura y la interacción social en el desarrollo cognitivo. Pionero de la pedagogía sociocultural.</v>
      </c>
      <c r="I492" t="str">
        <f>_xlfn.XLOOKUP(frasest[[#This Row],[autor_es]],autorest[autor_es],autorest[bio_la])</f>
        <v>Psychologus et paedagogus Sovieticus fundator psychologiae historico-culturalis. Creator conceptus Zonae Progressus Proximi qui explicat quomodo apprehensio socialis progressum individualem praecedit. Importantiam linguae culturae et interactionis socialis in progressu cognitivo emphasizavit. Pionarius paedagogiae socioculturalis.</v>
      </c>
      <c r="J492" t="str">
        <f>_xlfn.XLOOKUP(frasest[[#This Row],[autor_es]],autorest[autor_es],autorest[codigo])</f>
        <v>ru</v>
      </c>
      <c r="K492" t="str">
        <f>_xlfn.XLOOKUP(frasest[[#This Row],[autor_es]],autorest[autor_es],autorest[idioma_es])</f>
        <v>Ruso</v>
      </c>
      <c r="L492" t="str">
        <f>_xlfn.XLOOKUP(frasest[[#This Row],[autor_es]],autorest[autor_es],autorest[idioma_la])</f>
        <v>Lingua Russica</v>
      </c>
      <c r="M492" t="str">
        <f>_xlfn.XLOOKUP(frasest[[#This Row],[autor_es]],autorest[autor_es],autorest[nacion_es])</f>
        <v>Rusia</v>
      </c>
      <c r="N492" t="str">
        <f>_xlfn.XLOOKUP(frasest[[#This Row],[autor_es]],autorest[autor_es],autorest[nacion_la])</f>
        <v>Russia</v>
      </c>
      <c r="O492" t="str">
        <f>_xlfn.XLOOKUP(frasest[[#This Row],[autor_es]],autorest[autor_es],autorest[epoca_es])</f>
        <v>Edad Contemporánea</v>
      </c>
      <c r="P492" t="str">
        <f>_xlfn.XLOOKUP(frasest[[#This Row],[autor_es]],autorest[autor_es],autorest[epoca_la])</f>
        <v>Aetas Contemporanea</v>
      </c>
      <c r="Q492" t="str">
        <f>_xlfn.XLOOKUP(frasest[[#This Row],[autor_es]],autorest[autor_es],autorest[imagen])</f>
        <v>https://i.ibb.co/60c7p4y9/vigotsky.png</v>
      </c>
      <c r="R492">
        <f>_xlfn.XLOOKUP(frasest[[#This Row],[autor_es]],autorest[autor_es],autorest[imagen_atr])</f>
        <v>0</v>
      </c>
    </row>
    <row r="493" spans="1:18">
      <c r="A493">
        <v>492</v>
      </c>
      <c r="B493" t="s">
        <v>1695</v>
      </c>
      <c r="C493" t="s">
        <v>1696</v>
      </c>
      <c r="D493" t="s">
        <v>1697</v>
      </c>
      <c r="E493" t="s">
        <v>1681</v>
      </c>
      <c r="F493" t="s">
        <v>1682</v>
      </c>
      <c r="G493" t="str">
        <f>_xlfn.XLOOKUP(frasest[[#This Row],[autor_es]],autorest[autor_es],autorest[autor_la])</f>
        <v>Lev Vygotsky</v>
      </c>
      <c r="H493" t="str">
        <f>_xlfn.XLOOKUP(frasest[[#This Row],[autor_es]],autorest[autor_es],autorest[bio_es])</f>
        <v>Psicólogo y pedagogo soviético fundador de la psicología histórico-cultural. Creador del concepto de Zona de Desarrollo Próximo que explica cómo el aprendizaje social precede al desarrollo individual. Enfatizó la importancia del lenguaje la cultura y la interacción social en el desarrollo cognitivo. Pionero de la pedagogía sociocultural.</v>
      </c>
      <c r="I493" t="str">
        <f>_xlfn.XLOOKUP(frasest[[#This Row],[autor_es]],autorest[autor_es],autorest[bio_la])</f>
        <v>Psychologus et paedagogus Sovieticus fundator psychologiae historico-culturalis. Creator conceptus Zonae Progressus Proximi qui explicat quomodo apprehensio socialis progressum individualem praecedit. Importantiam linguae culturae et interactionis socialis in progressu cognitivo emphasizavit. Pionarius paedagogiae socioculturalis.</v>
      </c>
      <c r="J493" t="str">
        <f>_xlfn.XLOOKUP(frasest[[#This Row],[autor_es]],autorest[autor_es],autorest[codigo])</f>
        <v>ru</v>
      </c>
      <c r="K493" t="str">
        <f>_xlfn.XLOOKUP(frasest[[#This Row],[autor_es]],autorest[autor_es],autorest[idioma_es])</f>
        <v>Ruso</v>
      </c>
      <c r="L493" t="str">
        <f>_xlfn.XLOOKUP(frasest[[#This Row],[autor_es]],autorest[autor_es],autorest[idioma_la])</f>
        <v>Lingua Russica</v>
      </c>
      <c r="M493" t="str">
        <f>_xlfn.XLOOKUP(frasest[[#This Row],[autor_es]],autorest[autor_es],autorest[nacion_es])</f>
        <v>Rusia</v>
      </c>
      <c r="N493" t="str">
        <f>_xlfn.XLOOKUP(frasest[[#This Row],[autor_es]],autorest[autor_es],autorest[nacion_la])</f>
        <v>Russia</v>
      </c>
      <c r="O493" t="str">
        <f>_xlfn.XLOOKUP(frasest[[#This Row],[autor_es]],autorest[autor_es],autorest[epoca_es])</f>
        <v>Edad Contemporánea</v>
      </c>
      <c r="P493" t="str">
        <f>_xlfn.XLOOKUP(frasest[[#This Row],[autor_es]],autorest[autor_es],autorest[epoca_la])</f>
        <v>Aetas Contemporanea</v>
      </c>
      <c r="Q493" t="str">
        <f>_xlfn.XLOOKUP(frasest[[#This Row],[autor_es]],autorest[autor_es],autorest[imagen])</f>
        <v>https://i.ibb.co/60c7p4y9/vigotsky.png</v>
      </c>
      <c r="R493">
        <f>_xlfn.XLOOKUP(frasest[[#This Row],[autor_es]],autorest[autor_es],autorest[imagen_atr])</f>
        <v>0</v>
      </c>
    </row>
    <row r="494" spans="1:18">
      <c r="A494">
        <v>493</v>
      </c>
      <c r="B494" t="s">
        <v>1698</v>
      </c>
      <c r="C494" t="s">
        <v>1699</v>
      </c>
      <c r="D494" t="s">
        <v>1700</v>
      </c>
      <c r="E494" t="s">
        <v>1701</v>
      </c>
      <c r="F494" t="s">
        <v>1702</v>
      </c>
      <c r="G494" t="str">
        <f>_xlfn.XLOOKUP(frasest[[#This Row],[autor_es]],autorest[autor_es],autorest[autor_la])</f>
        <v>Fridericus Froebel</v>
      </c>
      <c r="H494" t="str">
        <f>_xlfn.XLOOKUP(frasest[[#This Row],[autor_es]],autorest[autor_es],autorest[bio_es])</f>
        <v>Pedagogo alemán fundador del primer kindergarten jardín de infancia del mundo en 1840. Desarrolló una pedagogía centrada en el juego la actividad espontánea y la creatividad infantil. Creó los dones de Froebel materiales didácticos para el desarrollo sensorial y cognitivo. Discípulo de Pestalozzi revolucionó la educación infantil.</v>
      </c>
      <c r="I494" t="str">
        <f>_xlfn.XLOOKUP(frasest[[#This Row],[autor_es]],autorest[autor_es],autorest[bio_la])</f>
        <v>Paedagogus Germanicus fundator primi kindergarten horti infantium mundi anno 1840. Paedagogiam in ludo activitate spontanea et creativitate infantili fundatam elaboravit. Dona Froebelii materias didacticas pro progressu sensoriali et cognitivo creavit. Discipulus Pestalozzi educationem infantilem revolutionavit.</v>
      </c>
      <c r="J494" t="str">
        <f>_xlfn.XLOOKUP(frasest[[#This Row],[autor_es]],autorest[autor_es],autorest[codigo])</f>
        <v>de</v>
      </c>
      <c r="K494" t="str">
        <f>_xlfn.XLOOKUP(frasest[[#This Row],[autor_es]],autorest[autor_es],autorest[idioma_es])</f>
        <v>Alemán</v>
      </c>
      <c r="L494" t="str">
        <f>_xlfn.XLOOKUP(frasest[[#This Row],[autor_es]],autorest[autor_es],autorest[idioma_la])</f>
        <v>Lingua Germanica</v>
      </c>
      <c r="M494" t="str">
        <f>_xlfn.XLOOKUP(frasest[[#This Row],[autor_es]],autorest[autor_es],autorest[nacion_es])</f>
        <v>Alemania</v>
      </c>
      <c r="N494" t="str">
        <f>_xlfn.XLOOKUP(frasest[[#This Row],[autor_es]],autorest[autor_es],autorest[nacion_la])</f>
        <v>Germania</v>
      </c>
      <c r="O494" t="str">
        <f>_xlfn.XLOOKUP(frasest[[#This Row],[autor_es]],autorest[autor_es],autorest[epoca_es])</f>
        <v>Edad Moderna</v>
      </c>
      <c r="P494" t="str">
        <f>_xlfn.XLOOKUP(frasest[[#This Row],[autor_es]],autorest[autor_es],autorest[epoca_la])</f>
        <v>Nova Aetas</v>
      </c>
      <c r="Q494" t="str">
        <f>_xlfn.XLOOKUP(frasest[[#This Row],[autor_es]],autorest[autor_es],autorest[imagen])</f>
        <v>https://i.ibb.co/0jwMS3vT/froebel.png</v>
      </c>
      <c r="R494">
        <f>_xlfn.XLOOKUP(frasest[[#This Row],[autor_es]],autorest[autor_es],autorest[imagen_atr])</f>
        <v>0</v>
      </c>
    </row>
    <row r="495" spans="1:18">
      <c r="A495">
        <v>494</v>
      </c>
      <c r="B495" t="s">
        <v>1703</v>
      </c>
      <c r="C495" t="s">
        <v>1704</v>
      </c>
      <c r="D495" t="s">
        <v>1705</v>
      </c>
      <c r="E495" t="s">
        <v>1701</v>
      </c>
      <c r="F495" t="s">
        <v>1702</v>
      </c>
      <c r="G495" t="str">
        <f>_xlfn.XLOOKUP(frasest[[#This Row],[autor_es]],autorest[autor_es],autorest[autor_la])</f>
        <v>Fridericus Froebel</v>
      </c>
      <c r="H495" t="str">
        <f>_xlfn.XLOOKUP(frasest[[#This Row],[autor_es]],autorest[autor_es],autorest[bio_es])</f>
        <v>Pedagogo alemán fundador del primer kindergarten jardín de infancia del mundo en 1840. Desarrolló una pedagogía centrada en el juego la actividad espontánea y la creatividad infantil. Creó los dones de Froebel materiales didácticos para el desarrollo sensorial y cognitivo. Discípulo de Pestalozzi revolucionó la educación infantil.</v>
      </c>
      <c r="I495" t="str">
        <f>_xlfn.XLOOKUP(frasest[[#This Row],[autor_es]],autorest[autor_es],autorest[bio_la])</f>
        <v>Paedagogus Germanicus fundator primi kindergarten horti infantium mundi anno 1840. Paedagogiam in ludo activitate spontanea et creativitate infantili fundatam elaboravit. Dona Froebelii materias didacticas pro progressu sensoriali et cognitivo creavit. Discipulus Pestalozzi educationem infantilem revolutionavit.</v>
      </c>
      <c r="J495" t="str">
        <f>_xlfn.XLOOKUP(frasest[[#This Row],[autor_es]],autorest[autor_es],autorest[codigo])</f>
        <v>de</v>
      </c>
      <c r="K495" t="str">
        <f>_xlfn.XLOOKUP(frasest[[#This Row],[autor_es]],autorest[autor_es],autorest[idioma_es])</f>
        <v>Alemán</v>
      </c>
      <c r="L495" t="str">
        <f>_xlfn.XLOOKUP(frasest[[#This Row],[autor_es]],autorest[autor_es],autorest[idioma_la])</f>
        <v>Lingua Germanica</v>
      </c>
      <c r="M495" t="str">
        <f>_xlfn.XLOOKUP(frasest[[#This Row],[autor_es]],autorest[autor_es],autorest[nacion_es])</f>
        <v>Alemania</v>
      </c>
      <c r="N495" t="str">
        <f>_xlfn.XLOOKUP(frasest[[#This Row],[autor_es]],autorest[autor_es],autorest[nacion_la])</f>
        <v>Germania</v>
      </c>
      <c r="O495" t="str">
        <f>_xlfn.XLOOKUP(frasest[[#This Row],[autor_es]],autorest[autor_es],autorest[epoca_es])</f>
        <v>Edad Moderna</v>
      </c>
      <c r="P495" t="str">
        <f>_xlfn.XLOOKUP(frasest[[#This Row],[autor_es]],autorest[autor_es],autorest[epoca_la])</f>
        <v>Nova Aetas</v>
      </c>
      <c r="Q495" t="str">
        <f>_xlfn.XLOOKUP(frasest[[#This Row],[autor_es]],autorest[autor_es],autorest[imagen])</f>
        <v>https://i.ibb.co/0jwMS3vT/froebel.png</v>
      </c>
      <c r="R495">
        <f>_xlfn.XLOOKUP(frasest[[#This Row],[autor_es]],autorest[autor_es],autorest[imagen_atr])</f>
        <v>0</v>
      </c>
    </row>
    <row r="496" spans="1:18">
      <c r="A496">
        <v>495</v>
      </c>
      <c r="B496" t="s">
        <v>1706</v>
      </c>
      <c r="C496" t="s">
        <v>1707</v>
      </c>
      <c r="D496" t="s">
        <v>1708</v>
      </c>
      <c r="E496" t="s">
        <v>1701</v>
      </c>
      <c r="F496" t="s">
        <v>1702</v>
      </c>
      <c r="G496" t="str">
        <f>_xlfn.XLOOKUP(frasest[[#This Row],[autor_es]],autorest[autor_es],autorest[autor_la])</f>
        <v>Fridericus Froebel</v>
      </c>
      <c r="H496" t="str">
        <f>_xlfn.XLOOKUP(frasest[[#This Row],[autor_es]],autorest[autor_es],autorest[bio_es])</f>
        <v>Pedagogo alemán fundador del primer kindergarten jardín de infancia del mundo en 1840. Desarrolló una pedagogía centrada en el juego la actividad espontánea y la creatividad infantil. Creó los dones de Froebel materiales didácticos para el desarrollo sensorial y cognitivo. Discípulo de Pestalozzi revolucionó la educación infantil.</v>
      </c>
      <c r="I496" t="str">
        <f>_xlfn.XLOOKUP(frasest[[#This Row],[autor_es]],autorest[autor_es],autorest[bio_la])</f>
        <v>Paedagogus Germanicus fundator primi kindergarten horti infantium mundi anno 1840. Paedagogiam in ludo activitate spontanea et creativitate infantili fundatam elaboravit. Dona Froebelii materias didacticas pro progressu sensoriali et cognitivo creavit. Discipulus Pestalozzi educationem infantilem revolutionavit.</v>
      </c>
      <c r="J496" t="str">
        <f>_xlfn.XLOOKUP(frasest[[#This Row],[autor_es]],autorest[autor_es],autorest[codigo])</f>
        <v>de</v>
      </c>
      <c r="K496" t="str">
        <f>_xlfn.XLOOKUP(frasest[[#This Row],[autor_es]],autorest[autor_es],autorest[idioma_es])</f>
        <v>Alemán</v>
      </c>
      <c r="L496" t="str">
        <f>_xlfn.XLOOKUP(frasest[[#This Row],[autor_es]],autorest[autor_es],autorest[idioma_la])</f>
        <v>Lingua Germanica</v>
      </c>
      <c r="M496" t="str">
        <f>_xlfn.XLOOKUP(frasest[[#This Row],[autor_es]],autorest[autor_es],autorest[nacion_es])</f>
        <v>Alemania</v>
      </c>
      <c r="N496" t="str">
        <f>_xlfn.XLOOKUP(frasest[[#This Row],[autor_es]],autorest[autor_es],autorest[nacion_la])</f>
        <v>Germania</v>
      </c>
      <c r="O496" t="str">
        <f>_xlfn.XLOOKUP(frasest[[#This Row],[autor_es]],autorest[autor_es],autorest[epoca_es])</f>
        <v>Edad Moderna</v>
      </c>
      <c r="P496" t="str">
        <f>_xlfn.XLOOKUP(frasest[[#This Row],[autor_es]],autorest[autor_es],autorest[epoca_la])</f>
        <v>Nova Aetas</v>
      </c>
      <c r="Q496" t="str">
        <f>_xlfn.XLOOKUP(frasest[[#This Row],[autor_es]],autorest[autor_es],autorest[imagen])</f>
        <v>https://i.ibb.co/0jwMS3vT/froebel.png</v>
      </c>
      <c r="R496">
        <f>_xlfn.XLOOKUP(frasest[[#This Row],[autor_es]],autorest[autor_es],autorest[imagen_atr])</f>
        <v>0</v>
      </c>
    </row>
    <row r="497" spans="1:18">
      <c r="A497">
        <v>496</v>
      </c>
      <c r="B497" t="s">
        <v>1709</v>
      </c>
      <c r="C497" t="s">
        <v>1710</v>
      </c>
      <c r="D497" t="s">
        <v>1711</v>
      </c>
      <c r="E497" t="s">
        <v>1701</v>
      </c>
      <c r="F497" t="s">
        <v>1702</v>
      </c>
      <c r="G497" t="str">
        <f>_xlfn.XLOOKUP(frasest[[#This Row],[autor_es]],autorest[autor_es],autorest[autor_la])</f>
        <v>Fridericus Froebel</v>
      </c>
      <c r="H497" t="str">
        <f>_xlfn.XLOOKUP(frasest[[#This Row],[autor_es]],autorest[autor_es],autorest[bio_es])</f>
        <v>Pedagogo alemán fundador del primer kindergarten jardín de infancia del mundo en 1840. Desarrolló una pedagogía centrada en el juego la actividad espontánea y la creatividad infantil. Creó los dones de Froebel materiales didácticos para el desarrollo sensorial y cognitivo. Discípulo de Pestalozzi revolucionó la educación infantil.</v>
      </c>
      <c r="I497" t="str">
        <f>_xlfn.XLOOKUP(frasest[[#This Row],[autor_es]],autorest[autor_es],autorest[bio_la])</f>
        <v>Paedagogus Germanicus fundator primi kindergarten horti infantium mundi anno 1840. Paedagogiam in ludo activitate spontanea et creativitate infantili fundatam elaboravit. Dona Froebelii materias didacticas pro progressu sensoriali et cognitivo creavit. Discipulus Pestalozzi educationem infantilem revolutionavit.</v>
      </c>
      <c r="J497" t="str">
        <f>_xlfn.XLOOKUP(frasest[[#This Row],[autor_es]],autorest[autor_es],autorest[codigo])</f>
        <v>de</v>
      </c>
      <c r="K497" t="str">
        <f>_xlfn.XLOOKUP(frasest[[#This Row],[autor_es]],autorest[autor_es],autorest[idioma_es])</f>
        <v>Alemán</v>
      </c>
      <c r="L497" t="str">
        <f>_xlfn.XLOOKUP(frasest[[#This Row],[autor_es]],autorest[autor_es],autorest[idioma_la])</f>
        <v>Lingua Germanica</v>
      </c>
      <c r="M497" t="str">
        <f>_xlfn.XLOOKUP(frasest[[#This Row],[autor_es]],autorest[autor_es],autorest[nacion_es])</f>
        <v>Alemania</v>
      </c>
      <c r="N497" t="str">
        <f>_xlfn.XLOOKUP(frasest[[#This Row],[autor_es]],autorest[autor_es],autorest[nacion_la])</f>
        <v>Germania</v>
      </c>
      <c r="O497" t="str">
        <f>_xlfn.XLOOKUP(frasest[[#This Row],[autor_es]],autorest[autor_es],autorest[epoca_es])</f>
        <v>Edad Moderna</v>
      </c>
      <c r="P497" t="str">
        <f>_xlfn.XLOOKUP(frasest[[#This Row],[autor_es]],autorest[autor_es],autorest[epoca_la])</f>
        <v>Nova Aetas</v>
      </c>
      <c r="Q497" t="str">
        <f>_xlfn.XLOOKUP(frasest[[#This Row],[autor_es]],autorest[autor_es],autorest[imagen])</f>
        <v>https://i.ibb.co/0jwMS3vT/froebel.png</v>
      </c>
      <c r="R497">
        <f>_xlfn.XLOOKUP(frasest[[#This Row],[autor_es]],autorest[autor_es],autorest[imagen_atr])</f>
        <v>0</v>
      </c>
    </row>
    <row r="498" spans="1:18">
      <c r="A498">
        <v>497</v>
      </c>
      <c r="B498" t="s">
        <v>1712</v>
      </c>
      <c r="C498" t="s">
        <v>1713</v>
      </c>
      <c r="D498" t="s">
        <v>1714</v>
      </c>
      <c r="E498" t="s">
        <v>1701</v>
      </c>
      <c r="F498" t="s">
        <v>1702</v>
      </c>
      <c r="G498" t="str">
        <f>_xlfn.XLOOKUP(frasest[[#This Row],[autor_es]],autorest[autor_es],autorest[autor_la])</f>
        <v>Fridericus Froebel</v>
      </c>
      <c r="H498" t="str">
        <f>_xlfn.XLOOKUP(frasest[[#This Row],[autor_es]],autorest[autor_es],autorest[bio_es])</f>
        <v>Pedagogo alemán fundador del primer kindergarten jardín de infancia del mundo en 1840. Desarrolló una pedagogía centrada en el juego la actividad espontánea y la creatividad infantil. Creó los dones de Froebel materiales didácticos para el desarrollo sensorial y cognitivo. Discípulo de Pestalozzi revolucionó la educación infantil.</v>
      </c>
      <c r="I498" t="str">
        <f>_xlfn.XLOOKUP(frasest[[#This Row],[autor_es]],autorest[autor_es],autorest[bio_la])</f>
        <v>Paedagogus Germanicus fundator primi kindergarten horti infantium mundi anno 1840. Paedagogiam in ludo activitate spontanea et creativitate infantili fundatam elaboravit. Dona Froebelii materias didacticas pro progressu sensoriali et cognitivo creavit. Discipulus Pestalozzi educationem infantilem revolutionavit.</v>
      </c>
      <c r="J498" t="str">
        <f>_xlfn.XLOOKUP(frasest[[#This Row],[autor_es]],autorest[autor_es],autorest[codigo])</f>
        <v>de</v>
      </c>
      <c r="K498" t="str">
        <f>_xlfn.XLOOKUP(frasest[[#This Row],[autor_es]],autorest[autor_es],autorest[idioma_es])</f>
        <v>Alemán</v>
      </c>
      <c r="L498" t="str">
        <f>_xlfn.XLOOKUP(frasest[[#This Row],[autor_es]],autorest[autor_es],autorest[idioma_la])</f>
        <v>Lingua Germanica</v>
      </c>
      <c r="M498" t="str">
        <f>_xlfn.XLOOKUP(frasest[[#This Row],[autor_es]],autorest[autor_es],autorest[nacion_es])</f>
        <v>Alemania</v>
      </c>
      <c r="N498" t="str">
        <f>_xlfn.XLOOKUP(frasest[[#This Row],[autor_es]],autorest[autor_es],autorest[nacion_la])</f>
        <v>Germania</v>
      </c>
      <c r="O498" t="str">
        <f>_xlfn.XLOOKUP(frasest[[#This Row],[autor_es]],autorest[autor_es],autorest[epoca_es])</f>
        <v>Edad Moderna</v>
      </c>
      <c r="P498" t="str">
        <f>_xlfn.XLOOKUP(frasest[[#This Row],[autor_es]],autorest[autor_es],autorest[epoca_la])</f>
        <v>Nova Aetas</v>
      </c>
      <c r="Q498" t="str">
        <f>_xlfn.XLOOKUP(frasest[[#This Row],[autor_es]],autorest[autor_es],autorest[imagen])</f>
        <v>https://i.ibb.co/0jwMS3vT/froebel.png</v>
      </c>
      <c r="R498">
        <f>_xlfn.XLOOKUP(frasest[[#This Row],[autor_es]],autorest[autor_es],autorest[imagen_atr])</f>
        <v>0</v>
      </c>
    </row>
    <row r="499" spans="1:18">
      <c r="A499">
        <v>498</v>
      </c>
      <c r="B499" t="s">
        <v>1715</v>
      </c>
      <c r="C499" t="s">
        <v>1716</v>
      </c>
      <c r="D499" t="s">
        <v>1717</v>
      </c>
      <c r="E499" t="s">
        <v>1701</v>
      </c>
      <c r="F499" t="s">
        <v>1702</v>
      </c>
      <c r="G499" t="str">
        <f>_xlfn.XLOOKUP(frasest[[#This Row],[autor_es]],autorest[autor_es],autorest[autor_la])</f>
        <v>Fridericus Froebel</v>
      </c>
      <c r="H499" t="str">
        <f>_xlfn.XLOOKUP(frasest[[#This Row],[autor_es]],autorest[autor_es],autorest[bio_es])</f>
        <v>Pedagogo alemán fundador del primer kindergarten jardín de infancia del mundo en 1840. Desarrolló una pedagogía centrada en el juego la actividad espontánea y la creatividad infantil. Creó los dones de Froebel materiales didácticos para el desarrollo sensorial y cognitivo. Discípulo de Pestalozzi revolucionó la educación infantil.</v>
      </c>
      <c r="I499" t="str">
        <f>_xlfn.XLOOKUP(frasest[[#This Row],[autor_es]],autorest[autor_es],autorest[bio_la])</f>
        <v>Paedagogus Germanicus fundator primi kindergarten horti infantium mundi anno 1840. Paedagogiam in ludo activitate spontanea et creativitate infantili fundatam elaboravit. Dona Froebelii materias didacticas pro progressu sensoriali et cognitivo creavit. Discipulus Pestalozzi educationem infantilem revolutionavit.</v>
      </c>
      <c r="J499" t="str">
        <f>_xlfn.XLOOKUP(frasest[[#This Row],[autor_es]],autorest[autor_es],autorest[codigo])</f>
        <v>de</v>
      </c>
      <c r="K499" t="str">
        <f>_xlfn.XLOOKUP(frasest[[#This Row],[autor_es]],autorest[autor_es],autorest[idioma_es])</f>
        <v>Alemán</v>
      </c>
      <c r="L499" t="str">
        <f>_xlfn.XLOOKUP(frasest[[#This Row],[autor_es]],autorest[autor_es],autorest[idioma_la])</f>
        <v>Lingua Germanica</v>
      </c>
      <c r="M499" t="str">
        <f>_xlfn.XLOOKUP(frasest[[#This Row],[autor_es]],autorest[autor_es],autorest[nacion_es])</f>
        <v>Alemania</v>
      </c>
      <c r="N499" t="str">
        <f>_xlfn.XLOOKUP(frasest[[#This Row],[autor_es]],autorest[autor_es],autorest[nacion_la])</f>
        <v>Germania</v>
      </c>
      <c r="O499" t="str">
        <f>_xlfn.XLOOKUP(frasest[[#This Row],[autor_es]],autorest[autor_es],autorest[epoca_es])</f>
        <v>Edad Moderna</v>
      </c>
      <c r="P499" t="str">
        <f>_xlfn.XLOOKUP(frasest[[#This Row],[autor_es]],autorest[autor_es],autorest[epoca_la])</f>
        <v>Nova Aetas</v>
      </c>
      <c r="Q499" t="str">
        <f>_xlfn.XLOOKUP(frasest[[#This Row],[autor_es]],autorest[autor_es],autorest[imagen])</f>
        <v>https://i.ibb.co/0jwMS3vT/froebel.png</v>
      </c>
      <c r="R499">
        <f>_xlfn.XLOOKUP(frasest[[#This Row],[autor_es]],autorest[autor_es],autorest[imagen_atr])</f>
        <v>0</v>
      </c>
    </row>
    <row r="500" spans="1:18">
      <c r="A500">
        <v>499</v>
      </c>
      <c r="B500" t="s">
        <v>1718</v>
      </c>
      <c r="C500" t="s">
        <v>1719</v>
      </c>
      <c r="D500" t="s">
        <v>1720</v>
      </c>
      <c r="E500" t="s">
        <v>1721</v>
      </c>
      <c r="F500" t="s">
        <v>1722</v>
      </c>
      <c r="G500" t="str">
        <f>_xlfn.XLOOKUP(frasest[[#This Row],[autor_es]],autorest[autor_es],autorest[autor_la])</f>
        <v>Ovidius Decroly</v>
      </c>
      <c r="H500" t="str">
        <f>_xlfn.XLOOKUP(frasest[[#This Row],[autor_es]],autorest[autor_es],autorest[bio_es])</f>
        <v>Médico psicólogo y pedagogo belga creador del método Decroly basado en los centros de interés del niño. Propuso una educación globalizada que parte de las necesidades e intereses infantiles. Fundó la Escuela de l'Ermitage en Bruselas. Defensor de la observación directa la naturaleza y el aprendizaje significativo mediante la vida para la vida.</v>
      </c>
      <c r="I500" t="str">
        <f>_xlfn.XLOOKUP(frasest[[#This Row],[autor_es]],autorest[autor_es],autorest[bio_la])</f>
        <v>Medicus psychologus et paedagogus Belgicus creator methodi Decroly in centris interesse pueri fundati. Educationem globalizatam quae a necessitatibus et interessibus infantilibus procedit proposuit. Scholam de l'Ermitage Bruxellis fundavit. Defensor observationis directae naturae et apprenhesionis significativae mediante vita pro vita.</v>
      </c>
      <c r="J500" t="str">
        <f>_xlfn.XLOOKUP(frasest[[#This Row],[autor_es]],autorest[autor_es],autorest[codigo])</f>
        <v>fr</v>
      </c>
      <c r="K500" t="str">
        <f>_xlfn.XLOOKUP(frasest[[#This Row],[autor_es]],autorest[autor_es],autorest[idioma_es])</f>
        <v>Francés</v>
      </c>
      <c r="L500" t="str">
        <f>_xlfn.XLOOKUP(frasest[[#This Row],[autor_es]],autorest[autor_es],autorest[idioma_la])</f>
        <v>Lingua Gallica</v>
      </c>
      <c r="M500" t="str">
        <f>_xlfn.XLOOKUP(frasest[[#This Row],[autor_es]],autorest[autor_es],autorest[nacion_es])</f>
        <v>Bélgica</v>
      </c>
      <c r="N500" t="str">
        <f>_xlfn.XLOOKUP(frasest[[#This Row],[autor_es]],autorest[autor_es],autorest[nacion_la])</f>
        <v>Belgica</v>
      </c>
      <c r="O500" t="str">
        <f>_xlfn.XLOOKUP(frasest[[#This Row],[autor_es]],autorest[autor_es],autorest[epoca_es])</f>
        <v>Edad Contemporánea</v>
      </c>
      <c r="P500" t="str">
        <f>_xlfn.XLOOKUP(frasest[[#This Row],[autor_es]],autorest[autor_es],autorest[epoca_la])</f>
        <v>Aetas Contemporanea</v>
      </c>
      <c r="Q500" t="str">
        <f>_xlfn.XLOOKUP(frasest[[#This Row],[autor_es]],autorest[autor_es],autorest[imagen])</f>
        <v>https://i.ibb.co/C5S7WqXv/decroly.png</v>
      </c>
      <c r="R500">
        <f>_xlfn.XLOOKUP(frasest[[#This Row],[autor_es]],autorest[autor_es],autorest[imagen_atr])</f>
        <v>0</v>
      </c>
    </row>
    <row r="501" spans="1:18">
      <c r="A501">
        <v>500</v>
      </c>
      <c r="B501" t="s">
        <v>1723</v>
      </c>
      <c r="C501" t="s">
        <v>1724</v>
      </c>
      <c r="D501" t="s">
        <v>1725</v>
      </c>
      <c r="E501" t="s">
        <v>1721</v>
      </c>
      <c r="F501" t="s">
        <v>1722</v>
      </c>
      <c r="G501" t="str">
        <f>_xlfn.XLOOKUP(frasest[[#This Row],[autor_es]],autorest[autor_es],autorest[autor_la])</f>
        <v>Ovidius Decroly</v>
      </c>
      <c r="H501" t="str">
        <f>_xlfn.XLOOKUP(frasest[[#This Row],[autor_es]],autorest[autor_es],autorest[bio_es])</f>
        <v>Médico psicólogo y pedagogo belga creador del método Decroly basado en los centros de interés del niño. Propuso una educación globalizada que parte de las necesidades e intereses infantiles. Fundó la Escuela de l'Ermitage en Bruselas. Defensor de la observación directa la naturaleza y el aprendizaje significativo mediante la vida para la vida.</v>
      </c>
      <c r="I501" t="str">
        <f>_xlfn.XLOOKUP(frasest[[#This Row],[autor_es]],autorest[autor_es],autorest[bio_la])</f>
        <v>Medicus psychologus et paedagogus Belgicus creator methodi Decroly in centris interesse pueri fundati. Educationem globalizatam quae a necessitatibus et interessibus infantilibus procedit proposuit. Scholam de l'Ermitage Bruxellis fundavit. Defensor observationis directae naturae et apprenhesionis significativae mediante vita pro vita.</v>
      </c>
      <c r="J501" t="str">
        <f>_xlfn.XLOOKUP(frasest[[#This Row],[autor_es]],autorest[autor_es],autorest[codigo])</f>
        <v>fr</v>
      </c>
      <c r="K501" t="str">
        <f>_xlfn.XLOOKUP(frasest[[#This Row],[autor_es]],autorest[autor_es],autorest[idioma_es])</f>
        <v>Francés</v>
      </c>
      <c r="L501" t="str">
        <f>_xlfn.XLOOKUP(frasest[[#This Row],[autor_es]],autorest[autor_es],autorest[idioma_la])</f>
        <v>Lingua Gallica</v>
      </c>
      <c r="M501" t="str">
        <f>_xlfn.XLOOKUP(frasest[[#This Row],[autor_es]],autorest[autor_es],autorest[nacion_es])</f>
        <v>Bélgica</v>
      </c>
      <c r="N501" t="str">
        <f>_xlfn.XLOOKUP(frasest[[#This Row],[autor_es]],autorest[autor_es],autorest[nacion_la])</f>
        <v>Belgica</v>
      </c>
      <c r="O501" t="str">
        <f>_xlfn.XLOOKUP(frasest[[#This Row],[autor_es]],autorest[autor_es],autorest[epoca_es])</f>
        <v>Edad Contemporánea</v>
      </c>
      <c r="P501" t="str">
        <f>_xlfn.XLOOKUP(frasest[[#This Row],[autor_es]],autorest[autor_es],autorest[epoca_la])</f>
        <v>Aetas Contemporanea</v>
      </c>
      <c r="Q501" t="str">
        <f>_xlfn.XLOOKUP(frasest[[#This Row],[autor_es]],autorest[autor_es],autorest[imagen])</f>
        <v>https://i.ibb.co/C5S7WqXv/decroly.png</v>
      </c>
      <c r="R501">
        <f>_xlfn.XLOOKUP(frasest[[#This Row],[autor_es]],autorest[autor_es],autorest[imagen_atr])</f>
        <v>0</v>
      </c>
    </row>
    <row r="502" spans="1:18">
      <c r="A502">
        <v>501</v>
      </c>
      <c r="B502" t="s">
        <v>1726</v>
      </c>
      <c r="C502" t="s">
        <v>1727</v>
      </c>
      <c r="D502" t="s">
        <v>1728</v>
      </c>
      <c r="E502" t="s">
        <v>1721</v>
      </c>
      <c r="F502" t="s">
        <v>1722</v>
      </c>
      <c r="G502" t="str">
        <f>_xlfn.XLOOKUP(frasest[[#This Row],[autor_es]],autorest[autor_es],autorest[autor_la])</f>
        <v>Ovidius Decroly</v>
      </c>
      <c r="H502" t="str">
        <f>_xlfn.XLOOKUP(frasest[[#This Row],[autor_es]],autorest[autor_es],autorest[bio_es])</f>
        <v>Médico psicólogo y pedagogo belga creador del método Decroly basado en los centros de interés del niño. Propuso una educación globalizada que parte de las necesidades e intereses infantiles. Fundó la Escuela de l'Ermitage en Bruselas. Defensor de la observación directa la naturaleza y el aprendizaje significativo mediante la vida para la vida.</v>
      </c>
      <c r="I502" t="str">
        <f>_xlfn.XLOOKUP(frasest[[#This Row],[autor_es]],autorest[autor_es],autorest[bio_la])</f>
        <v>Medicus psychologus et paedagogus Belgicus creator methodi Decroly in centris interesse pueri fundati. Educationem globalizatam quae a necessitatibus et interessibus infantilibus procedit proposuit. Scholam de l'Ermitage Bruxellis fundavit. Defensor observationis directae naturae et apprenhesionis significativae mediante vita pro vita.</v>
      </c>
      <c r="J502" t="str">
        <f>_xlfn.XLOOKUP(frasest[[#This Row],[autor_es]],autorest[autor_es],autorest[codigo])</f>
        <v>fr</v>
      </c>
      <c r="K502" t="str">
        <f>_xlfn.XLOOKUP(frasest[[#This Row],[autor_es]],autorest[autor_es],autorest[idioma_es])</f>
        <v>Francés</v>
      </c>
      <c r="L502" t="str">
        <f>_xlfn.XLOOKUP(frasest[[#This Row],[autor_es]],autorest[autor_es],autorest[idioma_la])</f>
        <v>Lingua Gallica</v>
      </c>
      <c r="M502" t="str">
        <f>_xlfn.XLOOKUP(frasest[[#This Row],[autor_es]],autorest[autor_es],autorest[nacion_es])</f>
        <v>Bélgica</v>
      </c>
      <c r="N502" t="str">
        <f>_xlfn.XLOOKUP(frasest[[#This Row],[autor_es]],autorest[autor_es],autorest[nacion_la])</f>
        <v>Belgica</v>
      </c>
      <c r="O502" t="str">
        <f>_xlfn.XLOOKUP(frasest[[#This Row],[autor_es]],autorest[autor_es],autorest[epoca_es])</f>
        <v>Edad Contemporánea</v>
      </c>
      <c r="P502" t="str">
        <f>_xlfn.XLOOKUP(frasest[[#This Row],[autor_es]],autorest[autor_es],autorest[epoca_la])</f>
        <v>Aetas Contemporanea</v>
      </c>
      <c r="Q502" t="str">
        <f>_xlfn.XLOOKUP(frasest[[#This Row],[autor_es]],autorest[autor_es],autorest[imagen])</f>
        <v>https://i.ibb.co/C5S7WqXv/decroly.png</v>
      </c>
      <c r="R502">
        <f>_xlfn.XLOOKUP(frasest[[#This Row],[autor_es]],autorest[autor_es],autorest[imagen_atr])</f>
        <v>0</v>
      </c>
    </row>
    <row r="503" spans="1:18">
      <c r="A503">
        <v>502</v>
      </c>
      <c r="B503" t="s">
        <v>1729</v>
      </c>
      <c r="C503" t="s">
        <v>1730</v>
      </c>
      <c r="D503" t="s">
        <v>1731</v>
      </c>
      <c r="E503" t="s">
        <v>1721</v>
      </c>
      <c r="F503" t="s">
        <v>1722</v>
      </c>
      <c r="G503" t="str">
        <f>_xlfn.XLOOKUP(frasest[[#This Row],[autor_es]],autorest[autor_es],autorest[autor_la])</f>
        <v>Ovidius Decroly</v>
      </c>
      <c r="H503" t="str">
        <f>_xlfn.XLOOKUP(frasest[[#This Row],[autor_es]],autorest[autor_es],autorest[bio_es])</f>
        <v>Médico psicólogo y pedagogo belga creador del método Decroly basado en los centros de interés del niño. Propuso una educación globalizada que parte de las necesidades e intereses infantiles. Fundó la Escuela de l'Ermitage en Bruselas. Defensor de la observación directa la naturaleza y el aprendizaje significativo mediante la vida para la vida.</v>
      </c>
      <c r="I503" t="str">
        <f>_xlfn.XLOOKUP(frasest[[#This Row],[autor_es]],autorest[autor_es],autorest[bio_la])</f>
        <v>Medicus psychologus et paedagogus Belgicus creator methodi Decroly in centris interesse pueri fundati. Educationem globalizatam quae a necessitatibus et interessibus infantilibus procedit proposuit. Scholam de l'Ermitage Bruxellis fundavit. Defensor observationis directae naturae et apprenhesionis significativae mediante vita pro vita.</v>
      </c>
      <c r="J503" t="str">
        <f>_xlfn.XLOOKUP(frasest[[#This Row],[autor_es]],autorest[autor_es],autorest[codigo])</f>
        <v>fr</v>
      </c>
      <c r="K503" t="str">
        <f>_xlfn.XLOOKUP(frasest[[#This Row],[autor_es]],autorest[autor_es],autorest[idioma_es])</f>
        <v>Francés</v>
      </c>
      <c r="L503" t="str">
        <f>_xlfn.XLOOKUP(frasest[[#This Row],[autor_es]],autorest[autor_es],autorest[idioma_la])</f>
        <v>Lingua Gallica</v>
      </c>
      <c r="M503" t="str">
        <f>_xlfn.XLOOKUP(frasest[[#This Row],[autor_es]],autorest[autor_es],autorest[nacion_es])</f>
        <v>Bélgica</v>
      </c>
      <c r="N503" t="str">
        <f>_xlfn.XLOOKUP(frasest[[#This Row],[autor_es]],autorest[autor_es],autorest[nacion_la])</f>
        <v>Belgica</v>
      </c>
      <c r="O503" t="str">
        <f>_xlfn.XLOOKUP(frasest[[#This Row],[autor_es]],autorest[autor_es],autorest[epoca_es])</f>
        <v>Edad Contemporánea</v>
      </c>
      <c r="P503" t="str">
        <f>_xlfn.XLOOKUP(frasest[[#This Row],[autor_es]],autorest[autor_es],autorest[epoca_la])</f>
        <v>Aetas Contemporanea</v>
      </c>
      <c r="Q503" t="str">
        <f>_xlfn.XLOOKUP(frasest[[#This Row],[autor_es]],autorest[autor_es],autorest[imagen])</f>
        <v>https://i.ibb.co/C5S7WqXv/decroly.png</v>
      </c>
      <c r="R503">
        <f>_xlfn.XLOOKUP(frasest[[#This Row],[autor_es]],autorest[autor_es],autorest[imagen_atr])</f>
        <v>0</v>
      </c>
    </row>
    <row r="504" spans="1:18">
      <c r="A504">
        <v>503</v>
      </c>
      <c r="B504" t="s">
        <v>1732</v>
      </c>
      <c r="C504" t="s">
        <v>1733</v>
      </c>
      <c r="D504" t="s">
        <v>1734</v>
      </c>
      <c r="E504" t="s">
        <v>1721</v>
      </c>
      <c r="F504" t="s">
        <v>1722</v>
      </c>
      <c r="G504" t="str">
        <f>_xlfn.XLOOKUP(frasest[[#This Row],[autor_es]],autorest[autor_es],autorest[autor_la])</f>
        <v>Ovidius Decroly</v>
      </c>
      <c r="H504" t="str">
        <f>_xlfn.XLOOKUP(frasest[[#This Row],[autor_es]],autorest[autor_es],autorest[bio_es])</f>
        <v>Médico psicólogo y pedagogo belga creador del método Decroly basado en los centros de interés del niño. Propuso una educación globalizada que parte de las necesidades e intereses infantiles. Fundó la Escuela de l'Ermitage en Bruselas. Defensor de la observación directa la naturaleza y el aprendizaje significativo mediante la vida para la vida.</v>
      </c>
      <c r="I504" t="str">
        <f>_xlfn.XLOOKUP(frasest[[#This Row],[autor_es]],autorest[autor_es],autorest[bio_la])</f>
        <v>Medicus psychologus et paedagogus Belgicus creator methodi Decroly in centris interesse pueri fundati. Educationem globalizatam quae a necessitatibus et interessibus infantilibus procedit proposuit. Scholam de l'Ermitage Bruxellis fundavit. Defensor observationis directae naturae et apprenhesionis significativae mediante vita pro vita.</v>
      </c>
      <c r="J504" t="str">
        <f>_xlfn.XLOOKUP(frasest[[#This Row],[autor_es]],autorest[autor_es],autorest[codigo])</f>
        <v>fr</v>
      </c>
      <c r="K504" t="str">
        <f>_xlfn.XLOOKUP(frasest[[#This Row],[autor_es]],autorest[autor_es],autorest[idioma_es])</f>
        <v>Francés</v>
      </c>
      <c r="L504" t="str">
        <f>_xlfn.XLOOKUP(frasest[[#This Row],[autor_es]],autorest[autor_es],autorest[idioma_la])</f>
        <v>Lingua Gallica</v>
      </c>
      <c r="M504" t="str">
        <f>_xlfn.XLOOKUP(frasest[[#This Row],[autor_es]],autorest[autor_es],autorest[nacion_es])</f>
        <v>Bélgica</v>
      </c>
      <c r="N504" t="str">
        <f>_xlfn.XLOOKUP(frasest[[#This Row],[autor_es]],autorest[autor_es],autorest[nacion_la])</f>
        <v>Belgica</v>
      </c>
      <c r="O504" t="str">
        <f>_xlfn.XLOOKUP(frasest[[#This Row],[autor_es]],autorest[autor_es],autorest[epoca_es])</f>
        <v>Edad Contemporánea</v>
      </c>
      <c r="P504" t="str">
        <f>_xlfn.XLOOKUP(frasest[[#This Row],[autor_es]],autorest[autor_es],autorest[epoca_la])</f>
        <v>Aetas Contemporanea</v>
      </c>
      <c r="Q504" t="str">
        <f>_xlfn.XLOOKUP(frasest[[#This Row],[autor_es]],autorest[autor_es],autorest[imagen])</f>
        <v>https://i.ibb.co/C5S7WqXv/decroly.png</v>
      </c>
      <c r="R504">
        <f>_xlfn.XLOOKUP(frasest[[#This Row],[autor_es]],autorest[autor_es],autorest[imagen_atr])</f>
        <v>0</v>
      </c>
    </row>
    <row r="505" spans="1:18">
      <c r="A505">
        <v>504</v>
      </c>
      <c r="B505" t="s">
        <v>1735</v>
      </c>
      <c r="C505" t="s">
        <v>1736</v>
      </c>
      <c r="D505" t="s">
        <v>1737</v>
      </c>
      <c r="E505" t="s">
        <v>1721</v>
      </c>
      <c r="F505" t="s">
        <v>1722</v>
      </c>
      <c r="G505" t="str">
        <f>_xlfn.XLOOKUP(frasest[[#This Row],[autor_es]],autorest[autor_es],autorest[autor_la])</f>
        <v>Ovidius Decroly</v>
      </c>
      <c r="H505" t="str">
        <f>_xlfn.XLOOKUP(frasest[[#This Row],[autor_es]],autorest[autor_es],autorest[bio_es])</f>
        <v>Médico psicólogo y pedagogo belga creador del método Decroly basado en los centros de interés del niño. Propuso una educación globalizada que parte de las necesidades e intereses infantiles. Fundó la Escuela de l'Ermitage en Bruselas. Defensor de la observación directa la naturaleza y el aprendizaje significativo mediante la vida para la vida.</v>
      </c>
      <c r="I505" t="str">
        <f>_xlfn.XLOOKUP(frasest[[#This Row],[autor_es]],autorest[autor_es],autorest[bio_la])</f>
        <v>Medicus psychologus et paedagogus Belgicus creator methodi Decroly in centris interesse pueri fundati. Educationem globalizatam quae a necessitatibus et interessibus infantilibus procedit proposuit. Scholam de l'Ermitage Bruxellis fundavit. Defensor observationis directae naturae et apprenhesionis significativae mediante vita pro vita.</v>
      </c>
      <c r="J505" t="str">
        <f>_xlfn.XLOOKUP(frasest[[#This Row],[autor_es]],autorest[autor_es],autorest[codigo])</f>
        <v>fr</v>
      </c>
      <c r="K505" t="str">
        <f>_xlfn.XLOOKUP(frasest[[#This Row],[autor_es]],autorest[autor_es],autorest[idioma_es])</f>
        <v>Francés</v>
      </c>
      <c r="L505" t="str">
        <f>_xlfn.XLOOKUP(frasest[[#This Row],[autor_es]],autorest[autor_es],autorest[idioma_la])</f>
        <v>Lingua Gallica</v>
      </c>
      <c r="M505" t="str">
        <f>_xlfn.XLOOKUP(frasest[[#This Row],[autor_es]],autorest[autor_es],autorest[nacion_es])</f>
        <v>Bélgica</v>
      </c>
      <c r="N505" t="str">
        <f>_xlfn.XLOOKUP(frasest[[#This Row],[autor_es]],autorest[autor_es],autorest[nacion_la])</f>
        <v>Belgica</v>
      </c>
      <c r="O505" t="str">
        <f>_xlfn.XLOOKUP(frasest[[#This Row],[autor_es]],autorest[autor_es],autorest[epoca_es])</f>
        <v>Edad Contemporánea</v>
      </c>
      <c r="P505" t="str">
        <f>_xlfn.XLOOKUP(frasest[[#This Row],[autor_es]],autorest[autor_es],autorest[epoca_la])</f>
        <v>Aetas Contemporanea</v>
      </c>
      <c r="Q505" t="str">
        <f>_xlfn.XLOOKUP(frasest[[#This Row],[autor_es]],autorest[autor_es],autorest[imagen])</f>
        <v>https://i.ibb.co/C5S7WqXv/decroly.png</v>
      </c>
      <c r="R505">
        <f>_xlfn.XLOOKUP(frasest[[#This Row],[autor_es]],autorest[autor_es],autorest[imagen_atr])</f>
        <v>0</v>
      </c>
    </row>
    <row r="506" spans="1:18">
      <c r="A506">
        <v>505</v>
      </c>
      <c r="B506" t="s">
        <v>1738</v>
      </c>
      <c r="C506" t="s">
        <v>1739</v>
      </c>
      <c r="D506" t="s">
        <v>1740</v>
      </c>
      <c r="E506" t="s">
        <v>1741</v>
      </c>
      <c r="F506" t="s">
        <v>1742</v>
      </c>
      <c r="G506" t="str">
        <f>_xlfn.XLOOKUP(frasest[[#This Row],[autor_es]],autorest[autor_es],autorest[autor_la])</f>
        <v>Sanctus Philippus Nerius</v>
      </c>
      <c r="H506" t="str">
        <f>_xlfn.XLOOKUP(frasest[[#This Row],[autor_es]],autorest[autor_es],autorest[bio_es])</f>
        <v>Sacerdote italiano fundador de la Congregación del Oratorio conocido como el Apóstol de Roma. Revolucionó la educación juvenil mediante la alegría el buen humor la música y el afecto. Promovió una espiritualidad accesible basada en la alegría como signo de la presencia de Dios. Su lema era Estad alegres en el Señor siempre.</v>
      </c>
      <c r="I506" t="str">
        <f>_xlfn.XLOOKUP(frasest[[#This Row],[autor_es]],autorest[autor_es],autorest[bio_la])</f>
        <v>Sacerdos Italicus Congregationis Oratorii fundator Apostolus Romae cognitus. Educationem iuvenum per laetitiam bonum humorem musicam et affectum revolutionavit. Spiritualitatem accessibilem in laetitia ut signo praesentiae Dei fundatam promovit. Lemma eius erat State laeti in Domino semper.</v>
      </c>
      <c r="J506" t="str">
        <f>_xlfn.XLOOKUP(frasest[[#This Row],[autor_es]],autorest[autor_es],autorest[codigo])</f>
        <v>it</v>
      </c>
      <c r="K506" t="str">
        <f>_xlfn.XLOOKUP(frasest[[#This Row],[autor_es]],autorest[autor_es],autorest[idioma_es])</f>
        <v>Italiano</v>
      </c>
      <c r="L506" t="str">
        <f>_xlfn.XLOOKUP(frasest[[#This Row],[autor_es]],autorest[autor_es],autorest[idioma_la])</f>
        <v>Lingua Italica</v>
      </c>
      <c r="M506" t="str">
        <f>_xlfn.XLOOKUP(frasest[[#This Row],[autor_es]],autorest[autor_es],autorest[nacion_es])</f>
        <v>Italia</v>
      </c>
      <c r="N506" t="str">
        <f>_xlfn.XLOOKUP(frasest[[#This Row],[autor_es]],autorest[autor_es],autorest[nacion_la])</f>
        <v>Italia</v>
      </c>
      <c r="O506" t="str">
        <f>_xlfn.XLOOKUP(frasest[[#This Row],[autor_es]],autorest[autor_es],autorest[epoca_es])</f>
        <v>Edad Moderna</v>
      </c>
      <c r="P506" t="str">
        <f>_xlfn.XLOOKUP(frasest[[#This Row],[autor_es]],autorest[autor_es],autorest[epoca_la])</f>
        <v>Nova Aetas</v>
      </c>
      <c r="Q506" t="str">
        <f>_xlfn.XLOOKUP(frasest[[#This Row],[autor_es]],autorest[autor_es],autorest[imagen])</f>
        <v>https://i.ibb.co/60VT5xTj/sanfelipeneri.png</v>
      </c>
      <c r="R506">
        <f>_xlfn.XLOOKUP(frasest[[#This Row],[autor_es]],autorest[autor_es],autorest[imagen_atr])</f>
        <v>0</v>
      </c>
    </row>
    <row r="507" spans="1:18">
      <c r="A507">
        <v>506</v>
      </c>
      <c r="B507" t="s">
        <v>1743</v>
      </c>
      <c r="C507" t="s">
        <v>1744</v>
      </c>
      <c r="D507" t="s">
        <v>1745</v>
      </c>
      <c r="E507" t="s">
        <v>1741</v>
      </c>
      <c r="F507" t="s">
        <v>1742</v>
      </c>
      <c r="G507" t="str">
        <f>_xlfn.XLOOKUP(frasest[[#This Row],[autor_es]],autorest[autor_es],autorest[autor_la])</f>
        <v>Sanctus Philippus Nerius</v>
      </c>
      <c r="H507" t="str">
        <f>_xlfn.XLOOKUP(frasest[[#This Row],[autor_es]],autorest[autor_es],autorest[bio_es])</f>
        <v>Sacerdote italiano fundador de la Congregación del Oratorio conocido como el Apóstol de Roma. Revolucionó la educación juvenil mediante la alegría el buen humor la música y el afecto. Promovió una espiritualidad accesible basada en la alegría como signo de la presencia de Dios. Su lema era Estad alegres en el Señor siempre.</v>
      </c>
      <c r="I507" t="str">
        <f>_xlfn.XLOOKUP(frasest[[#This Row],[autor_es]],autorest[autor_es],autorest[bio_la])</f>
        <v>Sacerdos Italicus Congregationis Oratorii fundator Apostolus Romae cognitus. Educationem iuvenum per laetitiam bonum humorem musicam et affectum revolutionavit. Spiritualitatem accessibilem in laetitia ut signo praesentiae Dei fundatam promovit. Lemma eius erat State laeti in Domino semper.</v>
      </c>
      <c r="J507" t="str">
        <f>_xlfn.XLOOKUP(frasest[[#This Row],[autor_es]],autorest[autor_es],autorest[codigo])</f>
        <v>it</v>
      </c>
      <c r="K507" t="str">
        <f>_xlfn.XLOOKUP(frasest[[#This Row],[autor_es]],autorest[autor_es],autorest[idioma_es])</f>
        <v>Italiano</v>
      </c>
      <c r="L507" t="str">
        <f>_xlfn.XLOOKUP(frasest[[#This Row],[autor_es]],autorest[autor_es],autorest[idioma_la])</f>
        <v>Lingua Italica</v>
      </c>
      <c r="M507" t="str">
        <f>_xlfn.XLOOKUP(frasest[[#This Row],[autor_es]],autorest[autor_es],autorest[nacion_es])</f>
        <v>Italia</v>
      </c>
      <c r="N507" t="str">
        <f>_xlfn.XLOOKUP(frasest[[#This Row],[autor_es]],autorest[autor_es],autorest[nacion_la])</f>
        <v>Italia</v>
      </c>
      <c r="O507" t="str">
        <f>_xlfn.XLOOKUP(frasest[[#This Row],[autor_es]],autorest[autor_es],autorest[epoca_es])</f>
        <v>Edad Moderna</v>
      </c>
      <c r="P507" t="str">
        <f>_xlfn.XLOOKUP(frasest[[#This Row],[autor_es]],autorest[autor_es],autorest[epoca_la])</f>
        <v>Nova Aetas</v>
      </c>
      <c r="Q507" t="str">
        <f>_xlfn.XLOOKUP(frasest[[#This Row],[autor_es]],autorest[autor_es],autorest[imagen])</f>
        <v>https://i.ibb.co/60VT5xTj/sanfelipeneri.png</v>
      </c>
      <c r="R507">
        <f>_xlfn.XLOOKUP(frasest[[#This Row],[autor_es]],autorest[autor_es],autorest[imagen_atr])</f>
        <v>0</v>
      </c>
    </row>
    <row r="508" spans="1:18">
      <c r="A508">
        <v>507</v>
      </c>
      <c r="B508" t="s">
        <v>1746</v>
      </c>
      <c r="C508" t="s">
        <v>1747</v>
      </c>
      <c r="D508" t="s">
        <v>1748</v>
      </c>
      <c r="E508" t="s">
        <v>1741</v>
      </c>
      <c r="F508" t="s">
        <v>1742</v>
      </c>
      <c r="G508" t="str">
        <f>_xlfn.XLOOKUP(frasest[[#This Row],[autor_es]],autorest[autor_es],autorest[autor_la])</f>
        <v>Sanctus Philippus Nerius</v>
      </c>
      <c r="H508" t="str">
        <f>_xlfn.XLOOKUP(frasest[[#This Row],[autor_es]],autorest[autor_es],autorest[bio_es])</f>
        <v>Sacerdote italiano fundador de la Congregación del Oratorio conocido como el Apóstol de Roma. Revolucionó la educación juvenil mediante la alegría el buen humor la música y el afecto. Promovió una espiritualidad accesible basada en la alegría como signo de la presencia de Dios. Su lema era Estad alegres en el Señor siempre.</v>
      </c>
      <c r="I508" t="str">
        <f>_xlfn.XLOOKUP(frasest[[#This Row],[autor_es]],autorest[autor_es],autorest[bio_la])</f>
        <v>Sacerdos Italicus Congregationis Oratorii fundator Apostolus Romae cognitus. Educationem iuvenum per laetitiam bonum humorem musicam et affectum revolutionavit. Spiritualitatem accessibilem in laetitia ut signo praesentiae Dei fundatam promovit. Lemma eius erat State laeti in Domino semper.</v>
      </c>
      <c r="J508" t="str">
        <f>_xlfn.XLOOKUP(frasest[[#This Row],[autor_es]],autorest[autor_es],autorest[codigo])</f>
        <v>it</v>
      </c>
      <c r="K508" t="str">
        <f>_xlfn.XLOOKUP(frasest[[#This Row],[autor_es]],autorest[autor_es],autorest[idioma_es])</f>
        <v>Italiano</v>
      </c>
      <c r="L508" t="str">
        <f>_xlfn.XLOOKUP(frasest[[#This Row],[autor_es]],autorest[autor_es],autorest[idioma_la])</f>
        <v>Lingua Italica</v>
      </c>
      <c r="M508" t="str">
        <f>_xlfn.XLOOKUP(frasest[[#This Row],[autor_es]],autorest[autor_es],autorest[nacion_es])</f>
        <v>Italia</v>
      </c>
      <c r="N508" t="str">
        <f>_xlfn.XLOOKUP(frasest[[#This Row],[autor_es]],autorest[autor_es],autorest[nacion_la])</f>
        <v>Italia</v>
      </c>
      <c r="O508" t="str">
        <f>_xlfn.XLOOKUP(frasest[[#This Row],[autor_es]],autorest[autor_es],autorest[epoca_es])</f>
        <v>Edad Moderna</v>
      </c>
      <c r="P508" t="str">
        <f>_xlfn.XLOOKUP(frasest[[#This Row],[autor_es]],autorest[autor_es],autorest[epoca_la])</f>
        <v>Nova Aetas</v>
      </c>
      <c r="Q508" t="str">
        <f>_xlfn.XLOOKUP(frasest[[#This Row],[autor_es]],autorest[autor_es],autorest[imagen])</f>
        <v>https://i.ibb.co/60VT5xTj/sanfelipeneri.png</v>
      </c>
      <c r="R508">
        <f>_xlfn.XLOOKUP(frasest[[#This Row],[autor_es]],autorest[autor_es],autorest[imagen_atr])</f>
        <v>0</v>
      </c>
    </row>
    <row r="509" spans="1:18">
      <c r="A509">
        <v>508</v>
      </c>
      <c r="B509" t="s">
        <v>1749</v>
      </c>
      <c r="C509" t="s">
        <v>1750</v>
      </c>
      <c r="D509" t="s">
        <v>1751</v>
      </c>
      <c r="E509" t="s">
        <v>1741</v>
      </c>
      <c r="F509" t="s">
        <v>1742</v>
      </c>
      <c r="G509" t="str">
        <f>_xlfn.XLOOKUP(frasest[[#This Row],[autor_es]],autorest[autor_es],autorest[autor_la])</f>
        <v>Sanctus Philippus Nerius</v>
      </c>
      <c r="H509" t="str">
        <f>_xlfn.XLOOKUP(frasest[[#This Row],[autor_es]],autorest[autor_es],autorest[bio_es])</f>
        <v>Sacerdote italiano fundador de la Congregación del Oratorio conocido como el Apóstol de Roma. Revolucionó la educación juvenil mediante la alegría el buen humor la música y el afecto. Promovió una espiritualidad accesible basada en la alegría como signo de la presencia de Dios. Su lema era Estad alegres en el Señor siempre.</v>
      </c>
      <c r="I509" t="str">
        <f>_xlfn.XLOOKUP(frasest[[#This Row],[autor_es]],autorest[autor_es],autorest[bio_la])</f>
        <v>Sacerdos Italicus Congregationis Oratorii fundator Apostolus Romae cognitus. Educationem iuvenum per laetitiam bonum humorem musicam et affectum revolutionavit. Spiritualitatem accessibilem in laetitia ut signo praesentiae Dei fundatam promovit. Lemma eius erat State laeti in Domino semper.</v>
      </c>
      <c r="J509" t="str">
        <f>_xlfn.XLOOKUP(frasest[[#This Row],[autor_es]],autorest[autor_es],autorest[codigo])</f>
        <v>it</v>
      </c>
      <c r="K509" t="str">
        <f>_xlfn.XLOOKUP(frasest[[#This Row],[autor_es]],autorest[autor_es],autorest[idioma_es])</f>
        <v>Italiano</v>
      </c>
      <c r="L509" t="str">
        <f>_xlfn.XLOOKUP(frasest[[#This Row],[autor_es]],autorest[autor_es],autorest[idioma_la])</f>
        <v>Lingua Italica</v>
      </c>
      <c r="M509" t="str">
        <f>_xlfn.XLOOKUP(frasest[[#This Row],[autor_es]],autorest[autor_es],autorest[nacion_es])</f>
        <v>Italia</v>
      </c>
      <c r="N509" t="str">
        <f>_xlfn.XLOOKUP(frasest[[#This Row],[autor_es]],autorest[autor_es],autorest[nacion_la])</f>
        <v>Italia</v>
      </c>
      <c r="O509" t="str">
        <f>_xlfn.XLOOKUP(frasest[[#This Row],[autor_es]],autorest[autor_es],autorest[epoca_es])</f>
        <v>Edad Moderna</v>
      </c>
      <c r="P509" t="str">
        <f>_xlfn.XLOOKUP(frasest[[#This Row],[autor_es]],autorest[autor_es],autorest[epoca_la])</f>
        <v>Nova Aetas</v>
      </c>
      <c r="Q509" t="str">
        <f>_xlfn.XLOOKUP(frasest[[#This Row],[autor_es]],autorest[autor_es],autorest[imagen])</f>
        <v>https://i.ibb.co/60VT5xTj/sanfelipeneri.png</v>
      </c>
      <c r="R509">
        <f>_xlfn.XLOOKUP(frasest[[#This Row],[autor_es]],autorest[autor_es],autorest[imagen_atr])</f>
        <v>0</v>
      </c>
    </row>
    <row r="510" spans="1:18">
      <c r="A510">
        <v>509</v>
      </c>
      <c r="B510" t="s">
        <v>1752</v>
      </c>
      <c r="C510" t="s">
        <v>1753</v>
      </c>
      <c r="D510" t="s">
        <v>1754</v>
      </c>
      <c r="E510" t="s">
        <v>1741</v>
      </c>
      <c r="F510" t="s">
        <v>1742</v>
      </c>
      <c r="G510" t="str">
        <f>_xlfn.XLOOKUP(frasest[[#This Row],[autor_es]],autorest[autor_es],autorest[autor_la])</f>
        <v>Sanctus Philippus Nerius</v>
      </c>
      <c r="H510" t="str">
        <f>_xlfn.XLOOKUP(frasest[[#This Row],[autor_es]],autorest[autor_es],autorest[bio_es])</f>
        <v>Sacerdote italiano fundador de la Congregación del Oratorio conocido como el Apóstol de Roma. Revolucionó la educación juvenil mediante la alegría el buen humor la música y el afecto. Promovió una espiritualidad accesible basada en la alegría como signo de la presencia de Dios. Su lema era Estad alegres en el Señor siempre.</v>
      </c>
      <c r="I510" t="str">
        <f>_xlfn.XLOOKUP(frasest[[#This Row],[autor_es]],autorest[autor_es],autorest[bio_la])</f>
        <v>Sacerdos Italicus Congregationis Oratorii fundator Apostolus Romae cognitus. Educationem iuvenum per laetitiam bonum humorem musicam et affectum revolutionavit. Spiritualitatem accessibilem in laetitia ut signo praesentiae Dei fundatam promovit. Lemma eius erat State laeti in Domino semper.</v>
      </c>
      <c r="J510" t="str">
        <f>_xlfn.XLOOKUP(frasest[[#This Row],[autor_es]],autorest[autor_es],autorest[codigo])</f>
        <v>it</v>
      </c>
      <c r="K510" t="str">
        <f>_xlfn.XLOOKUP(frasest[[#This Row],[autor_es]],autorest[autor_es],autorest[idioma_es])</f>
        <v>Italiano</v>
      </c>
      <c r="L510" t="str">
        <f>_xlfn.XLOOKUP(frasest[[#This Row],[autor_es]],autorest[autor_es],autorest[idioma_la])</f>
        <v>Lingua Italica</v>
      </c>
      <c r="M510" t="str">
        <f>_xlfn.XLOOKUP(frasest[[#This Row],[autor_es]],autorest[autor_es],autorest[nacion_es])</f>
        <v>Italia</v>
      </c>
      <c r="N510" t="str">
        <f>_xlfn.XLOOKUP(frasest[[#This Row],[autor_es]],autorest[autor_es],autorest[nacion_la])</f>
        <v>Italia</v>
      </c>
      <c r="O510" t="str">
        <f>_xlfn.XLOOKUP(frasest[[#This Row],[autor_es]],autorest[autor_es],autorest[epoca_es])</f>
        <v>Edad Moderna</v>
      </c>
      <c r="P510" t="str">
        <f>_xlfn.XLOOKUP(frasest[[#This Row],[autor_es]],autorest[autor_es],autorest[epoca_la])</f>
        <v>Nova Aetas</v>
      </c>
      <c r="Q510" t="str">
        <f>_xlfn.XLOOKUP(frasest[[#This Row],[autor_es]],autorest[autor_es],autorest[imagen])</f>
        <v>https://i.ibb.co/60VT5xTj/sanfelipeneri.png</v>
      </c>
      <c r="R510">
        <f>_xlfn.XLOOKUP(frasest[[#This Row],[autor_es]],autorest[autor_es],autorest[imagen_atr])</f>
        <v>0</v>
      </c>
    </row>
    <row r="511" spans="1:18">
      <c r="A511">
        <v>510</v>
      </c>
      <c r="B511" t="s">
        <v>1755</v>
      </c>
      <c r="C511" t="s">
        <v>1756</v>
      </c>
      <c r="D511" t="s">
        <v>1757</v>
      </c>
      <c r="E511" t="s">
        <v>1741</v>
      </c>
      <c r="F511" t="s">
        <v>1742</v>
      </c>
      <c r="G511" t="str">
        <f>_xlfn.XLOOKUP(frasest[[#This Row],[autor_es]],autorest[autor_es],autorest[autor_la])</f>
        <v>Sanctus Philippus Nerius</v>
      </c>
      <c r="H511" t="str">
        <f>_xlfn.XLOOKUP(frasest[[#This Row],[autor_es]],autorest[autor_es],autorest[bio_es])</f>
        <v>Sacerdote italiano fundador de la Congregación del Oratorio conocido como el Apóstol de Roma. Revolucionó la educación juvenil mediante la alegría el buen humor la música y el afecto. Promovió una espiritualidad accesible basada en la alegría como signo de la presencia de Dios. Su lema era Estad alegres en el Señor siempre.</v>
      </c>
      <c r="I511" t="str">
        <f>_xlfn.XLOOKUP(frasest[[#This Row],[autor_es]],autorest[autor_es],autorest[bio_la])</f>
        <v>Sacerdos Italicus Congregationis Oratorii fundator Apostolus Romae cognitus. Educationem iuvenum per laetitiam bonum humorem musicam et affectum revolutionavit. Spiritualitatem accessibilem in laetitia ut signo praesentiae Dei fundatam promovit. Lemma eius erat State laeti in Domino semper.</v>
      </c>
      <c r="J511" t="str">
        <f>_xlfn.XLOOKUP(frasest[[#This Row],[autor_es]],autorest[autor_es],autorest[codigo])</f>
        <v>it</v>
      </c>
      <c r="K511" t="str">
        <f>_xlfn.XLOOKUP(frasest[[#This Row],[autor_es]],autorest[autor_es],autorest[idioma_es])</f>
        <v>Italiano</v>
      </c>
      <c r="L511" t="str">
        <f>_xlfn.XLOOKUP(frasest[[#This Row],[autor_es]],autorest[autor_es],autorest[idioma_la])</f>
        <v>Lingua Italica</v>
      </c>
      <c r="M511" t="str">
        <f>_xlfn.XLOOKUP(frasest[[#This Row],[autor_es]],autorest[autor_es],autorest[nacion_es])</f>
        <v>Italia</v>
      </c>
      <c r="N511" t="str">
        <f>_xlfn.XLOOKUP(frasest[[#This Row],[autor_es]],autorest[autor_es],autorest[nacion_la])</f>
        <v>Italia</v>
      </c>
      <c r="O511" t="str">
        <f>_xlfn.XLOOKUP(frasest[[#This Row],[autor_es]],autorest[autor_es],autorest[epoca_es])</f>
        <v>Edad Moderna</v>
      </c>
      <c r="P511" t="str">
        <f>_xlfn.XLOOKUP(frasest[[#This Row],[autor_es]],autorest[autor_es],autorest[epoca_la])</f>
        <v>Nova Aetas</v>
      </c>
      <c r="Q511" t="str">
        <f>_xlfn.XLOOKUP(frasest[[#This Row],[autor_es]],autorest[autor_es],autorest[imagen])</f>
        <v>https://i.ibb.co/60VT5xTj/sanfelipeneri.png</v>
      </c>
      <c r="R511">
        <f>_xlfn.XLOOKUP(frasest[[#This Row],[autor_es]],autorest[autor_es],autorest[imagen_atr])</f>
        <v>0</v>
      </c>
    </row>
    <row r="512" spans="1:18">
      <c r="A512">
        <v>511</v>
      </c>
      <c r="B512" t="s">
        <v>1758</v>
      </c>
      <c r="C512" t="s">
        <v>1759</v>
      </c>
      <c r="D512" t="s">
        <v>1760</v>
      </c>
      <c r="E512" t="s">
        <v>1741</v>
      </c>
      <c r="F512" t="s">
        <v>1742</v>
      </c>
      <c r="G512" t="str">
        <f>_xlfn.XLOOKUP(frasest[[#This Row],[autor_es]],autorest[autor_es],autorest[autor_la])</f>
        <v>Sanctus Philippus Nerius</v>
      </c>
      <c r="H512" t="str">
        <f>_xlfn.XLOOKUP(frasest[[#This Row],[autor_es]],autorest[autor_es],autorest[bio_es])</f>
        <v>Sacerdote italiano fundador de la Congregación del Oratorio conocido como el Apóstol de Roma. Revolucionó la educación juvenil mediante la alegría el buen humor la música y el afecto. Promovió una espiritualidad accesible basada en la alegría como signo de la presencia de Dios. Su lema era Estad alegres en el Señor siempre.</v>
      </c>
      <c r="I512" t="str">
        <f>_xlfn.XLOOKUP(frasest[[#This Row],[autor_es]],autorest[autor_es],autorest[bio_la])</f>
        <v>Sacerdos Italicus Congregationis Oratorii fundator Apostolus Romae cognitus. Educationem iuvenum per laetitiam bonum humorem musicam et affectum revolutionavit. Spiritualitatem accessibilem in laetitia ut signo praesentiae Dei fundatam promovit. Lemma eius erat State laeti in Domino semper.</v>
      </c>
      <c r="J512" t="str">
        <f>_xlfn.XLOOKUP(frasest[[#This Row],[autor_es]],autorest[autor_es],autorest[codigo])</f>
        <v>it</v>
      </c>
      <c r="K512" t="str">
        <f>_xlfn.XLOOKUP(frasest[[#This Row],[autor_es]],autorest[autor_es],autorest[idioma_es])</f>
        <v>Italiano</v>
      </c>
      <c r="L512" t="str">
        <f>_xlfn.XLOOKUP(frasest[[#This Row],[autor_es]],autorest[autor_es],autorest[idioma_la])</f>
        <v>Lingua Italica</v>
      </c>
      <c r="M512" t="str">
        <f>_xlfn.XLOOKUP(frasest[[#This Row],[autor_es]],autorest[autor_es],autorest[nacion_es])</f>
        <v>Italia</v>
      </c>
      <c r="N512" t="str">
        <f>_xlfn.XLOOKUP(frasest[[#This Row],[autor_es]],autorest[autor_es],autorest[nacion_la])</f>
        <v>Italia</v>
      </c>
      <c r="O512" t="str">
        <f>_xlfn.XLOOKUP(frasest[[#This Row],[autor_es]],autorest[autor_es],autorest[epoca_es])</f>
        <v>Edad Moderna</v>
      </c>
      <c r="P512" t="str">
        <f>_xlfn.XLOOKUP(frasest[[#This Row],[autor_es]],autorest[autor_es],autorest[epoca_la])</f>
        <v>Nova Aetas</v>
      </c>
      <c r="Q512" t="str">
        <f>_xlfn.XLOOKUP(frasest[[#This Row],[autor_es]],autorest[autor_es],autorest[imagen])</f>
        <v>https://i.ibb.co/60VT5xTj/sanfelipeneri.png</v>
      </c>
      <c r="R512">
        <f>_xlfn.XLOOKUP(frasest[[#This Row],[autor_es]],autorest[autor_es],autorest[imagen_atr])</f>
        <v>0</v>
      </c>
    </row>
    <row r="513" spans="1:18">
      <c r="A513">
        <v>512</v>
      </c>
      <c r="B513" t="s">
        <v>1761</v>
      </c>
      <c r="C513" t="s">
        <v>1762</v>
      </c>
      <c r="D513" t="s">
        <v>1763</v>
      </c>
      <c r="E513" t="s">
        <v>1741</v>
      </c>
      <c r="F513" t="s">
        <v>1742</v>
      </c>
      <c r="G513" t="str">
        <f>_xlfn.XLOOKUP(frasest[[#This Row],[autor_es]],autorest[autor_es],autorest[autor_la])</f>
        <v>Sanctus Philippus Nerius</v>
      </c>
      <c r="H513" t="str">
        <f>_xlfn.XLOOKUP(frasest[[#This Row],[autor_es]],autorest[autor_es],autorest[bio_es])</f>
        <v>Sacerdote italiano fundador de la Congregación del Oratorio conocido como el Apóstol de Roma. Revolucionó la educación juvenil mediante la alegría el buen humor la música y el afecto. Promovió una espiritualidad accesible basada en la alegría como signo de la presencia de Dios. Su lema era Estad alegres en el Señor siempre.</v>
      </c>
      <c r="I513" t="str">
        <f>_xlfn.XLOOKUP(frasest[[#This Row],[autor_es]],autorest[autor_es],autorest[bio_la])</f>
        <v>Sacerdos Italicus Congregationis Oratorii fundator Apostolus Romae cognitus. Educationem iuvenum per laetitiam bonum humorem musicam et affectum revolutionavit. Spiritualitatem accessibilem in laetitia ut signo praesentiae Dei fundatam promovit. Lemma eius erat State laeti in Domino semper.</v>
      </c>
      <c r="J513" t="str">
        <f>_xlfn.XLOOKUP(frasest[[#This Row],[autor_es]],autorest[autor_es],autorest[codigo])</f>
        <v>it</v>
      </c>
      <c r="K513" t="str">
        <f>_xlfn.XLOOKUP(frasest[[#This Row],[autor_es]],autorest[autor_es],autorest[idioma_es])</f>
        <v>Italiano</v>
      </c>
      <c r="L513" t="str">
        <f>_xlfn.XLOOKUP(frasest[[#This Row],[autor_es]],autorest[autor_es],autorest[idioma_la])</f>
        <v>Lingua Italica</v>
      </c>
      <c r="M513" t="str">
        <f>_xlfn.XLOOKUP(frasest[[#This Row],[autor_es]],autorest[autor_es],autorest[nacion_es])</f>
        <v>Italia</v>
      </c>
      <c r="N513" t="str">
        <f>_xlfn.XLOOKUP(frasest[[#This Row],[autor_es]],autorest[autor_es],autorest[nacion_la])</f>
        <v>Italia</v>
      </c>
      <c r="O513" t="str">
        <f>_xlfn.XLOOKUP(frasest[[#This Row],[autor_es]],autorest[autor_es],autorest[epoca_es])</f>
        <v>Edad Moderna</v>
      </c>
      <c r="P513" t="str">
        <f>_xlfn.XLOOKUP(frasest[[#This Row],[autor_es]],autorest[autor_es],autorest[epoca_la])</f>
        <v>Nova Aetas</v>
      </c>
      <c r="Q513" t="str">
        <f>_xlfn.XLOOKUP(frasest[[#This Row],[autor_es]],autorest[autor_es],autorest[imagen])</f>
        <v>https://i.ibb.co/60VT5xTj/sanfelipeneri.png</v>
      </c>
      <c r="R513">
        <f>_xlfn.XLOOKUP(frasest[[#This Row],[autor_es]],autorest[autor_es],autorest[imagen_atr])</f>
        <v>0</v>
      </c>
    </row>
    <row r="514" spans="1:18">
      <c r="A514">
        <v>513</v>
      </c>
      <c r="B514" t="s">
        <v>1764</v>
      </c>
      <c r="C514" t="s">
        <v>1765</v>
      </c>
      <c r="D514" t="s">
        <v>1766</v>
      </c>
      <c r="E514" t="s">
        <v>1767</v>
      </c>
      <c r="F514" t="s">
        <v>1768</v>
      </c>
      <c r="G514" t="str">
        <f>_xlfn.XLOOKUP(frasest[[#This Row],[autor_es]],autorest[autor_es],autorest[autor_la])</f>
        <v xml:space="preserve">Teresia Benedicta a Cruce </v>
      </c>
      <c r="H514" t="str">
        <f>_xlfn.XLOOKUP(frasest[[#This Row],[autor_es]],autorest[autor_es],autorest[bio_es])</f>
        <v>Filósofa mística y monja carmelita alemana de origen judío con nombre religioso Santa Teresa Benedicta de la Cruz. Discípula de Husserl experta en fenomenología desarrolló una profunda antropología cristiana y escritos sobre la formación de la mujer. Mártir del Holocausto asesinada en Auschwitz. Doctora de la Iglesia patrona de Europa.</v>
      </c>
      <c r="I514" t="str">
        <f>_xlfn.XLOOKUP(frasest[[#This Row],[autor_es]],autorest[autor_es],autorest[bio_la])</f>
        <v>Philosopha mystica et monacha Carmelita Germanica originis Iudaicae nomine religioso Sancta Teresia Benedicta a Cruce. Discipula Husserl experta in phenomenologia anthropologiam Christianam profundam et scripta de formatione mulieris elaboravit. Martyr Holocausti in Auschwitz interfecta. Doctor Ecclesiae patrona Europae.</v>
      </c>
      <c r="J514" t="str">
        <f>_xlfn.XLOOKUP(frasest[[#This Row],[autor_es]],autorest[autor_es],autorest[codigo])</f>
        <v>de</v>
      </c>
      <c r="K514" t="str">
        <f>_xlfn.XLOOKUP(frasest[[#This Row],[autor_es]],autorest[autor_es],autorest[idioma_es])</f>
        <v>Alemán</v>
      </c>
      <c r="L514" t="str">
        <f>_xlfn.XLOOKUP(frasest[[#This Row],[autor_es]],autorest[autor_es],autorest[idioma_la])</f>
        <v>Lingua Germanica</v>
      </c>
      <c r="M514" t="str">
        <f>_xlfn.XLOOKUP(frasest[[#This Row],[autor_es]],autorest[autor_es],autorest[nacion_es])</f>
        <v>Alemania</v>
      </c>
      <c r="N514" t="str">
        <f>_xlfn.XLOOKUP(frasest[[#This Row],[autor_es]],autorest[autor_es],autorest[nacion_la])</f>
        <v>Germania</v>
      </c>
      <c r="O514" t="str">
        <f>_xlfn.XLOOKUP(frasest[[#This Row],[autor_es]],autorest[autor_es],autorest[epoca_es])</f>
        <v>Edad Contemporánea</v>
      </c>
      <c r="P514" t="str">
        <f>_xlfn.XLOOKUP(frasest[[#This Row],[autor_es]],autorest[autor_es],autorest[epoca_la])</f>
        <v>Aetas Contemporanea</v>
      </c>
      <c r="Q514" t="str">
        <f>_xlfn.XLOOKUP(frasest[[#This Row],[autor_es]],autorest[autor_es],autorest[imagen])</f>
        <v>https://i.ibb.co/sdgNknh0/santateresadelacruz.png</v>
      </c>
      <c r="R514">
        <f>_xlfn.XLOOKUP(frasest[[#This Row],[autor_es]],autorest[autor_es],autorest[imagen_atr])</f>
        <v>0</v>
      </c>
    </row>
    <row r="515" spans="1:18">
      <c r="A515">
        <v>514</v>
      </c>
      <c r="B515" t="s">
        <v>1769</v>
      </c>
      <c r="C515" t="s">
        <v>1770</v>
      </c>
      <c r="D515" t="s">
        <v>1771</v>
      </c>
      <c r="E515" t="s">
        <v>1767</v>
      </c>
      <c r="F515" t="s">
        <v>1768</v>
      </c>
      <c r="G515" t="str">
        <f>_xlfn.XLOOKUP(frasest[[#This Row],[autor_es]],autorest[autor_es],autorest[autor_la])</f>
        <v xml:space="preserve">Teresia Benedicta a Cruce </v>
      </c>
      <c r="H515" t="str">
        <f>_xlfn.XLOOKUP(frasest[[#This Row],[autor_es]],autorest[autor_es],autorest[bio_es])</f>
        <v>Filósofa mística y monja carmelita alemana de origen judío con nombre religioso Santa Teresa Benedicta de la Cruz. Discípula de Husserl experta en fenomenología desarrolló una profunda antropología cristiana y escritos sobre la formación de la mujer. Mártir del Holocausto asesinada en Auschwitz. Doctora de la Iglesia patrona de Europa.</v>
      </c>
      <c r="I515" t="str">
        <f>_xlfn.XLOOKUP(frasest[[#This Row],[autor_es]],autorest[autor_es],autorest[bio_la])</f>
        <v>Philosopha mystica et monacha Carmelita Germanica originis Iudaicae nomine religioso Sancta Teresia Benedicta a Cruce. Discipula Husserl experta in phenomenologia anthropologiam Christianam profundam et scripta de formatione mulieris elaboravit. Martyr Holocausti in Auschwitz interfecta. Doctor Ecclesiae patrona Europae.</v>
      </c>
      <c r="J515" t="str">
        <f>_xlfn.XLOOKUP(frasest[[#This Row],[autor_es]],autorest[autor_es],autorest[codigo])</f>
        <v>de</v>
      </c>
      <c r="K515" t="str">
        <f>_xlfn.XLOOKUP(frasest[[#This Row],[autor_es]],autorest[autor_es],autorest[idioma_es])</f>
        <v>Alemán</v>
      </c>
      <c r="L515" t="str">
        <f>_xlfn.XLOOKUP(frasest[[#This Row],[autor_es]],autorest[autor_es],autorest[idioma_la])</f>
        <v>Lingua Germanica</v>
      </c>
      <c r="M515" t="str">
        <f>_xlfn.XLOOKUP(frasest[[#This Row],[autor_es]],autorest[autor_es],autorest[nacion_es])</f>
        <v>Alemania</v>
      </c>
      <c r="N515" t="str">
        <f>_xlfn.XLOOKUP(frasest[[#This Row],[autor_es]],autorest[autor_es],autorest[nacion_la])</f>
        <v>Germania</v>
      </c>
      <c r="O515" t="str">
        <f>_xlfn.XLOOKUP(frasest[[#This Row],[autor_es]],autorest[autor_es],autorest[epoca_es])</f>
        <v>Edad Contemporánea</v>
      </c>
      <c r="P515" t="str">
        <f>_xlfn.XLOOKUP(frasest[[#This Row],[autor_es]],autorest[autor_es],autorest[epoca_la])</f>
        <v>Aetas Contemporanea</v>
      </c>
      <c r="Q515" t="str">
        <f>_xlfn.XLOOKUP(frasest[[#This Row],[autor_es]],autorest[autor_es],autorest[imagen])</f>
        <v>https://i.ibb.co/sdgNknh0/santateresadelacruz.png</v>
      </c>
      <c r="R515">
        <f>_xlfn.XLOOKUP(frasest[[#This Row],[autor_es]],autorest[autor_es],autorest[imagen_atr])</f>
        <v>0</v>
      </c>
    </row>
    <row r="516" spans="1:18">
      <c r="A516">
        <v>515</v>
      </c>
      <c r="B516" t="s">
        <v>1772</v>
      </c>
      <c r="C516" t="s">
        <v>1773</v>
      </c>
      <c r="D516" t="s">
        <v>1774</v>
      </c>
      <c r="E516" t="s">
        <v>1767</v>
      </c>
      <c r="F516" t="s">
        <v>1768</v>
      </c>
      <c r="G516" t="str">
        <f>_xlfn.XLOOKUP(frasest[[#This Row],[autor_es]],autorest[autor_es],autorest[autor_la])</f>
        <v xml:space="preserve">Teresia Benedicta a Cruce </v>
      </c>
      <c r="H516" t="str">
        <f>_xlfn.XLOOKUP(frasest[[#This Row],[autor_es]],autorest[autor_es],autorest[bio_es])</f>
        <v>Filósofa mística y monja carmelita alemana de origen judío con nombre religioso Santa Teresa Benedicta de la Cruz. Discípula de Husserl experta en fenomenología desarrolló una profunda antropología cristiana y escritos sobre la formación de la mujer. Mártir del Holocausto asesinada en Auschwitz. Doctora de la Iglesia patrona de Europa.</v>
      </c>
      <c r="I516" t="str">
        <f>_xlfn.XLOOKUP(frasest[[#This Row],[autor_es]],autorest[autor_es],autorest[bio_la])</f>
        <v>Philosopha mystica et monacha Carmelita Germanica originis Iudaicae nomine religioso Sancta Teresia Benedicta a Cruce. Discipula Husserl experta in phenomenologia anthropologiam Christianam profundam et scripta de formatione mulieris elaboravit. Martyr Holocausti in Auschwitz interfecta. Doctor Ecclesiae patrona Europae.</v>
      </c>
      <c r="J516" t="str">
        <f>_xlfn.XLOOKUP(frasest[[#This Row],[autor_es]],autorest[autor_es],autorest[codigo])</f>
        <v>de</v>
      </c>
      <c r="K516" t="str">
        <f>_xlfn.XLOOKUP(frasest[[#This Row],[autor_es]],autorest[autor_es],autorest[idioma_es])</f>
        <v>Alemán</v>
      </c>
      <c r="L516" t="str">
        <f>_xlfn.XLOOKUP(frasest[[#This Row],[autor_es]],autorest[autor_es],autorest[idioma_la])</f>
        <v>Lingua Germanica</v>
      </c>
      <c r="M516" t="str">
        <f>_xlfn.XLOOKUP(frasest[[#This Row],[autor_es]],autorest[autor_es],autorest[nacion_es])</f>
        <v>Alemania</v>
      </c>
      <c r="N516" t="str">
        <f>_xlfn.XLOOKUP(frasest[[#This Row],[autor_es]],autorest[autor_es],autorest[nacion_la])</f>
        <v>Germania</v>
      </c>
      <c r="O516" t="str">
        <f>_xlfn.XLOOKUP(frasest[[#This Row],[autor_es]],autorest[autor_es],autorest[epoca_es])</f>
        <v>Edad Contemporánea</v>
      </c>
      <c r="P516" t="str">
        <f>_xlfn.XLOOKUP(frasest[[#This Row],[autor_es]],autorest[autor_es],autorest[epoca_la])</f>
        <v>Aetas Contemporanea</v>
      </c>
      <c r="Q516" t="str">
        <f>_xlfn.XLOOKUP(frasest[[#This Row],[autor_es]],autorest[autor_es],autorest[imagen])</f>
        <v>https://i.ibb.co/sdgNknh0/santateresadelacruz.png</v>
      </c>
      <c r="R516">
        <f>_xlfn.XLOOKUP(frasest[[#This Row],[autor_es]],autorest[autor_es],autorest[imagen_atr])</f>
        <v>0</v>
      </c>
    </row>
    <row r="517" spans="1:18">
      <c r="A517">
        <v>516</v>
      </c>
      <c r="B517" t="s">
        <v>1775</v>
      </c>
      <c r="C517" t="s">
        <v>1776</v>
      </c>
      <c r="D517" t="s">
        <v>1777</v>
      </c>
      <c r="E517" t="s">
        <v>1767</v>
      </c>
      <c r="F517" t="s">
        <v>1768</v>
      </c>
      <c r="G517" t="str">
        <f>_xlfn.XLOOKUP(frasest[[#This Row],[autor_es]],autorest[autor_es],autorest[autor_la])</f>
        <v xml:space="preserve">Teresia Benedicta a Cruce </v>
      </c>
      <c r="H517" t="str">
        <f>_xlfn.XLOOKUP(frasest[[#This Row],[autor_es]],autorest[autor_es],autorest[bio_es])</f>
        <v>Filósofa mística y monja carmelita alemana de origen judío con nombre religioso Santa Teresa Benedicta de la Cruz. Discípula de Husserl experta en fenomenología desarrolló una profunda antropología cristiana y escritos sobre la formación de la mujer. Mártir del Holocausto asesinada en Auschwitz. Doctora de la Iglesia patrona de Europa.</v>
      </c>
      <c r="I517" t="str">
        <f>_xlfn.XLOOKUP(frasest[[#This Row],[autor_es]],autorest[autor_es],autorest[bio_la])</f>
        <v>Philosopha mystica et monacha Carmelita Germanica originis Iudaicae nomine religioso Sancta Teresia Benedicta a Cruce. Discipula Husserl experta in phenomenologia anthropologiam Christianam profundam et scripta de formatione mulieris elaboravit. Martyr Holocausti in Auschwitz interfecta. Doctor Ecclesiae patrona Europae.</v>
      </c>
      <c r="J517" t="str">
        <f>_xlfn.XLOOKUP(frasest[[#This Row],[autor_es]],autorest[autor_es],autorest[codigo])</f>
        <v>de</v>
      </c>
      <c r="K517" t="str">
        <f>_xlfn.XLOOKUP(frasest[[#This Row],[autor_es]],autorest[autor_es],autorest[idioma_es])</f>
        <v>Alemán</v>
      </c>
      <c r="L517" t="str">
        <f>_xlfn.XLOOKUP(frasest[[#This Row],[autor_es]],autorest[autor_es],autorest[idioma_la])</f>
        <v>Lingua Germanica</v>
      </c>
      <c r="M517" t="str">
        <f>_xlfn.XLOOKUP(frasest[[#This Row],[autor_es]],autorest[autor_es],autorest[nacion_es])</f>
        <v>Alemania</v>
      </c>
      <c r="N517" t="str">
        <f>_xlfn.XLOOKUP(frasest[[#This Row],[autor_es]],autorest[autor_es],autorest[nacion_la])</f>
        <v>Germania</v>
      </c>
      <c r="O517" t="str">
        <f>_xlfn.XLOOKUP(frasest[[#This Row],[autor_es]],autorest[autor_es],autorest[epoca_es])</f>
        <v>Edad Contemporánea</v>
      </c>
      <c r="P517" t="str">
        <f>_xlfn.XLOOKUP(frasest[[#This Row],[autor_es]],autorest[autor_es],autorest[epoca_la])</f>
        <v>Aetas Contemporanea</v>
      </c>
      <c r="Q517" t="str">
        <f>_xlfn.XLOOKUP(frasest[[#This Row],[autor_es]],autorest[autor_es],autorest[imagen])</f>
        <v>https://i.ibb.co/sdgNknh0/santateresadelacruz.png</v>
      </c>
      <c r="R517">
        <f>_xlfn.XLOOKUP(frasest[[#This Row],[autor_es]],autorest[autor_es],autorest[imagen_atr])</f>
        <v>0</v>
      </c>
    </row>
    <row r="518" spans="1:18">
      <c r="A518">
        <v>517</v>
      </c>
      <c r="B518" t="s">
        <v>1778</v>
      </c>
      <c r="C518" t="s">
        <v>1779</v>
      </c>
      <c r="D518" t="s">
        <v>1780</v>
      </c>
      <c r="E518" t="s">
        <v>1767</v>
      </c>
      <c r="F518" t="s">
        <v>1768</v>
      </c>
      <c r="G518" t="str">
        <f>_xlfn.XLOOKUP(frasest[[#This Row],[autor_es]],autorest[autor_es],autorest[autor_la])</f>
        <v xml:space="preserve">Teresia Benedicta a Cruce </v>
      </c>
      <c r="H518" t="str">
        <f>_xlfn.XLOOKUP(frasest[[#This Row],[autor_es]],autorest[autor_es],autorest[bio_es])</f>
        <v>Filósofa mística y monja carmelita alemana de origen judío con nombre religioso Santa Teresa Benedicta de la Cruz. Discípula de Husserl experta en fenomenología desarrolló una profunda antropología cristiana y escritos sobre la formación de la mujer. Mártir del Holocausto asesinada en Auschwitz. Doctora de la Iglesia patrona de Europa.</v>
      </c>
      <c r="I518" t="str">
        <f>_xlfn.XLOOKUP(frasest[[#This Row],[autor_es]],autorest[autor_es],autorest[bio_la])</f>
        <v>Philosopha mystica et monacha Carmelita Germanica originis Iudaicae nomine religioso Sancta Teresia Benedicta a Cruce. Discipula Husserl experta in phenomenologia anthropologiam Christianam profundam et scripta de formatione mulieris elaboravit. Martyr Holocausti in Auschwitz interfecta. Doctor Ecclesiae patrona Europae.</v>
      </c>
      <c r="J518" t="str">
        <f>_xlfn.XLOOKUP(frasest[[#This Row],[autor_es]],autorest[autor_es],autorest[codigo])</f>
        <v>de</v>
      </c>
      <c r="K518" t="str">
        <f>_xlfn.XLOOKUP(frasest[[#This Row],[autor_es]],autorest[autor_es],autorest[idioma_es])</f>
        <v>Alemán</v>
      </c>
      <c r="L518" t="str">
        <f>_xlfn.XLOOKUP(frasest[[#This Row],[autor_es]],autorest[autor_es],autorest[idioma_la])</f>
        <v>Lingua Germanica</v>
      </c>
      <c r="M518" t="str">
        <f>_xlfn.XLOOKUP(frasest[[#This Row],[autor_es]],autorest[autor_es],autorest[nacion_es])</f>
        <v>Alemania</v>
      </c>
      <c r="N518" t="str">
        <f>_xlfn.XLOOKUP(frasest[[#This Row],[autor_es]],autorest[autor_es],autorest[nacion_la])</f>
        <v>Germania</v>
      </c>
      <c r="O518" t="str">
        <f>_xlfn.XLOOKUP(frasest[[#This Row],[autor_es]],autorest[autor_es],autorest[epoca_es])</f>
        <v>Edad Contemporánea</v>
      </c>
      <c r="P518" t="str">
        <f>_xlfn.XLOOKUP(frasest[[#This Row],[autor_es]],autorest[autor_es],autorest[epoca_la])</f>
        <v>Aetas Contemporanea</v>
      </c>
      <c r="Q518" t="str">
        <f>_xlfn.XLOOKUP(frasest[[#This Row],[autor_es]],autorest[autor_es],autorest[imagen])</f>
        <v>https://i.ibb.co/sdgNknh0/santateresadelacruz.png</v>
      </c>
      <c r="R518">
        <f>_xlfn.XLOOKUP(frasest[[#This Row],[autor_es]],autorest[autor_es],autorest[imagen_atr])</f>
        <v>0</v>
      </c>
    </row>
    <row r="519" spans="1:18">
      <c r="A519">
        <v>518</v>
      </c>
      <c r="B519" t="s">
        <v>1781</v>
      </c>
      <c r="C519" t="s">
        <v>1782</v>
      </c>
      <c r="D519" t="s">
        <v>1783</v>
      </c>
      <c r="E519" t="s">
        <v>1767</v>
      </c>
      <c r="F519" t="s">
        <v>1768</v>
      </c>
      <c r="G519" t="str">
        <f>_xlfn.XLOOKUP(frasest[[#This Row],[autor_es]],autorest[autor_es],autorest[autor_la])</f>
        <v xml:space="preserve">Teresia Benedicta a Cruce </v>
      </c>
      <c r="H519" t="str">
        <f>_xlfn.XLOOKUP(frasest[[#This Row],[autor_es]],autorest[autor_es],autorest[bio_es])</f>
        <v>Filósofa mística y monja carmelita alemana de origen judío con nombre religioso Santa Teresa Benedicta de la Cruz. Discípula de Husserl experta en fenomenología desarrolló una profunda antropología cristiana y escritos sobre la formación de la mujer. Mártir del Holocausto asesinada en Auschwitz. Doctora de la Iglesia patrona de Europa.</v>
      </c>
      <c r="I519" t="str">
        <f>_xlfn.XLOOKUP(frasest[[#This Row],[autor_es]],autorest[autor_es],autorest[bio_la])</f>
        <v>Philosopha mystica et monacha Carmelita Germanica originis Iudaicae nomine religioso Sancta Teresia Benedicta a Cruce. Discipula Husserl experta in phenomenologia anthropologiam Christianam profundam et scripta de formatione mulieris elaboravit. Martyr Holocausti in Auschwitz interfecta. Doctor Ecclesiae patrona Europae.</v>
      </c>
      <c r="J519" t="str">
        <f>_xlfn.XLOOKUP(frasest[[#This Row],[autor_es]],autorest[autor_es],autorest[codigo])</f>
        <v>de</v>
      </c>
      <c r="K519" t="str">
        <f>_xlfn.XLOOKUP(frasest[[#This Row],[autor_es]],autorest[autor_es],autorest[idioma_es])</f>
        <v>Alemán</v>
      </c>
      <c r="L519" t="str">
        <f>_xlfn.XLOOKUP(frasest[[#This Row],[autor_es]],autorest[autor_es],autorest[idioma_la])</f>
        <v>Lingua Germanica</v>
      </c>
      <c r="M519" t="str">
        <f>_xlfn.XLOOKUP(frasest[[#This Row],[autor_es]],autorest[autor_es],autorest[nacion_es])</f>
        <v>Alemania</v>
      </c>
      <c r="N519" t="str">
        <f>_xlfn.XLOOKUP(frasest[[#This Row],[autor_es]],autorest[autor_es],autorest[nacion_la])</f>
        <v>Germania</v>
      </c>
      <c r="O519" t="str">
        <f>_xlfn.XLOOKUP(frasest[[#This Row],[autor_es]],autorest[autor_es],autorest[epoca_es])</f>
        <v>Edad Contemporánea</v>
      </c>
      <c r="P519" t="str">
        <f>_xlfn.XLOOKUP(frasest[[#This Row],[autor_es]],autorest[autor_es],autorest[epoca_la])</f>
        <v>Aetas Contemporanea</v>
      </c>
      <c r="Q519" t="str">
        <f>_xlfn.XLOOKUP(frasest[[#This Row],[autor_es]],autorest[autor_es],autorest[imagen])</f>
        <v>https://i.ibb.co/sdgNknh0/santateresadelacruz.png</v>
      </c>
      <c r="R519">
        <f>_xlfn.XLOOKUP(frasest[[#This Row],[autor_es]],autorest[autor_es],autorest[imagen_atr])</f>
        <v>0</v>
      </c>
    </row>
    <row r="520" spans="1:18">
      <c r="A520">
        <v>519</v>
      </c>
      <c r="B520" t="s">
        <v>1784</v>
      </c>
      <c r="C520" t="s">
        <v>1785</v>
      </c>
      <c r="D520" t="s">
        <v>1786</v>
      </c>
      <c r="E520" t="s">
        <v>1767</v>
      </c>
      <c r="F520" t="s">
        <v>1768</v>
      </c>
      <c r="G520" t="str">
        <f>_xlfn.XLOOKUP(frasest[[#This Row],[autor_es]],autorest[autor_es],autorest[autor_la])</f>
        <v xml:space="preserve">Teresia Benedicta a Cruce </v>
      </c>
      <c r="H520" t="str">
        <f>_xlfn.XLOOKUP(frasest[[#This Row],[autor_es]],autorest[autor_es],autorest[bio_es])</f>
        <v>Filósofa mística y monja carmelita alemana de origen judío con nombre religioso Santa Teresa Benedicta de la Cruz. Discípula de Husserl experta en fenomenología desarrolló una profunda antropología cristiana y escritos sobre la formación de la mujer. Mártir del Holocausto asesinada en Auschwitz. Doctora de la Iglesia patrona de Europa.</v>
      </c>
      <c r="I520" t="str">
        <f>_xlfn.XLOOKUP(frasest[[#This Row],[autor_es]],autorest[autor_es],autorest[bio_la])</f>
        <v>Philosopha mystica et monacha Carmelita Germanica originis Iudaicae nomine religioso Sancta Teresia Benedicta a Cruce. Discipula Husserl experta in phenomenologia anthropologiam Christianam profundam et scripta de formatione mulieris elaboravit. Martyr Holocausti in Auschwitz interfecta. Doctor Ecclesiae patrona Europae.</v>
      </c>
      <c r="J520" t="str">
        <f>_xlfn.XLOOKUP(frasest[[#This Row],[autor_es]],autorest[autor_es],autorest[codigo])</f>
        <v>de</v>
      </c>
      <c r="K520" t="str">
        <f>_xlfn.XLOOKUP(frasest[[#This Row],[autor_es]],autorest[autor_es],autorest[idioma_es])</f>
        <v>Alemán</v>
      </c>
      <c r="L520" t="str">
        <f>_xlfn.XLOOKUP(frasest[[#This Row],[autor_es]],autorest[autor_es],autorest[idioma_la])</f>
        <v>Lingua Germanica</v>
      </c>
      <c r="M520" t="str">
        <f>_xlfn.XLOOKUP(frasest[[#This Row],[autor_es]],autorest[autor_es],autorest[nacion_es])</f>
        <v>Alemania</v>
      </c>
      <c r="N520" t="str">
        <f>_xlfn.XLOOKUP(frasest[[#This Row],[autor_es]],autorest[autor_es],autorest[nacion_la])</f>
        <v>Germania</v>
      </c>
      <c r="O520" t="str">
        <f>_xlfn.XLOOKUP(frasest[[#This Row],[autor_es]],autorest[autor_es],autorest[epoca_es])</f>
        <v>Edad Contemporánea</v>
      </c>
      <c r="P520" t="str">
        <f>_xlfn.XLOOKUP(frasest[[#This Row],[autor_es]],autorest[autor_es],autorest[epoca_la])</f>
        <v>Aetas Contemporanea</v>
      </c>
      <c r="Q520" t="str">
        <f>_xlfn.XLOOKUP(frasest[[#This Row],[autor_es]],autorest[autor_es],autorest[imagen])</f>
        <v>https://i.ibb.co/sdgNknh0/santateresadelacruz.png</v>
      </c>
      <c r="R520">
        <f>_xlfn.XLOOKUP(frasest[[#This Row],[autor_es]],autorest[autor_es],autorest[imagen_atr])</f>
        <v>0</v>
      </c>
    </row>
    <row r="521" spans="1:18">
      <c r="A521">
        <v>520</v>
      </c>
      <c r="B521" t="s">
        <v>1787</v>
      </c>
      <c r="C521" t="s">
        <v>1788</v>
      </c>
      <c r="D521" t="s">
        <v>1789</v>
      </c>
      <c r="E521" t="s">
        <v>1767</v>
      </c>
      <c r="F521" t="s">
        <v>1768</v>
      </c>
      <c r="G521" t="str">
        <f>_xlfn.XLOOKUP(frasest[[#This Row],[autor_es]],autorest[autor_es],autorest[autor_la])</f>
        <v xml:space="preserve">Teresia Benedicta a Cruce </v>
      </c>
      <c r="H521" t="str">
        <f>_xlfn.XLOOKUP(frasest[[#This Row],[autor_es]],autorest[autor_es],autorest[bio_es])</f>
        <v>Filósofa mística y monja carmelita alemana de origen judío con nombre religioso Santa Teresa Benedicta de la Cruz. Discípula de Husserl experta en fenomenología desarrolló una profunda antropología cristiana y escritos sobre la formación de la mujer. Mártir del Holocausto asesinada en Auschwitz. Doctora de la Iglesia patrona de Europa.</v>
      </c>
      <c r="I521" t="str">
        <f>_xlfn.XLOOKUP(frasest[[#This Row],[autor_es]],autorest[autor_es],autorest[bio_la])</f>
        <v>Philosopha mystica et monacha Carmelita Germanica originis Iudaicae nomine religioso Sancta Teresia Benedicta a Cruce. Discipula Husserl experta in phenomenologia anthropologiam Christianam profundam et scripta de formatione mulieris elaboravit. Martyr Holocausti in Auschwitz interfecta. Doctor Ecclesiae patrona Europae.</v>
      </c>
      <c r="J521" t="str">
        <f>_xlfn.XLOOKUP(frasest[[#This Row],[autor_es]],autorest[autor_es],autorest[codigo])</f>
        <v>de</v>
      </c>
      <c r="K521" t="str">
        <f>_xlfn.XLOOKUP(frasest[[#This Row],[autor_es]],autorest[autor_es],autorest[idioma_es])</f>
        <v>Alemán</v>
      </c>
      <c r="L521" t="str">
        <f>_xlfn.XLOOKUP(frasest[[#This Row],[autor_es]],autorest[autor_es],autorest[idioma_la])</f>
        <v>Lingua Germanica</v>
      </c>
      <c r="M521" t="str">
        <f>_xlfn.XLOOKUP(frasest[[#This Row],[autor_es]],autorest[autor_es],autorest[nacion_es])</f>
        <v>Alemania</v>
      </c>
      <c r="N521" t="str">
        <f>_xlfn.XLOOKUP(frasest[[#This Row],[autor_es]],autorest[autor_es],autorest[nacion_la])</f>
        <v>Germania</v>
      </c>
      <c r="O521" t="str">
        <f>_xlfn.XLOOKUP(frasest[[#This Row],[autor_es]],autorest[autor_es],autorest[epoca_es])</f>
        <v>Edad Contemporánea</v>
      </c>
      <c r="P521" t="str">
        <f>_xlfn.XLOOKUP(frasest[[#This Row],[autor_es]],autorest[autor_es],autorest[epoca_la])</f>
        <v>Aetas Contemporanea</v>
      </c>
      <c r="Q521" t="str">
        <f>_xlfn.XLOOKUP(frasest[[#This Row],[autor_es]],autorest[autor_es],autorest[imagen])</f>
        <v>https://i.ibb.co/sdgNknh0/santateresadelacruz.png</v>
      </c>
      <c r="R521">
        <f>_xlfn.XLOOKUP(frasest[[#This Row],[autor_es]],autorest[autor_es],autorest[imagen_atr])</f>
        <v>0</v>
      </c>
    </row>
    <row r="522" spans="1:18">
      <c r="A522">
        <v>521</v>
      </c>
      <c r="B522" t="s">
        <v>1790</v>
      </c>
      <c r="C522" t="s">
        <v>1791</v>
      </c>
      <c r="D522" t="s">
        <v>1792</v>
      </c>
      <c r="E522" t="s">
        <v>1793</v>
      </c>
      <c r="F522" t="s">
        <v>1794</v>
      </c>
      <c r="G522" t="str">
        <f>_xlfn.XLOOKUP(frasest[[#This Row],[autor_es]],autorest[autor_es],autorest[autor_la])</f>
        <v>Beatus Carolus Acutis</v>
      </c>
      <c r="H522" t="str">
        <f>_xlfn.XLOOKUP(frasest[[#This Row],[autor_es]],autorest[autor_es],autorest[bio_es])</f>
        <v>Joven italiano beatificado conocido como el ciberapóstol de la Eucaristía y patrono de internet. Utilizó sus conocimientos informáticos para evangelizar creando una exposición virtual de milagros eucarísticos. Ejemplo de santidad juvenil en la era digital vivió una profunda devoción eucarística y mariana. Su lema era Todos nacen como originales pero muchos mueren como fotocopias.</v>
      </c>
      <c r="I522" t="str">
        <f>_xlfn.XLOOKUP(frasest[[#This Row],[autor_es]],autorest[autor_es],autorest[bio_la])</f>
        <v>Iuvenis Italicus beatificatus ut ciberapostolus Eucharistiae et patronus interretis cognitus. Cognitionem informaticam ad evangelizandum adhibuit expositionem virtualem miraculorum eucharisticorum creans. Exemplum sanctitatis iuvenilis in aetate digitali devotionem eucharisticam et marianam profundam vixit. Lemma eius erat Omnes ut originales nascuntur sed multi ut photocopiae moriuntur.</v>
      </c>
      <c r="J522" t="str">
        <f>_xlfn.XLOOKUP(frasest[[#This Row],[autor_es]],autorest[autor_es],autorest[codigo])</f>
        <v>it</v>
      </c>
      <c r="K522" t="str">
        <f>_xlfn.XLOOKUP(frasest[[#This Row],[autor_es]],autorest[autor_es],autorest[idioma_es])</f>
        <v>Italiano</v>
      </c>
      <c r="L522" t="str">
        <f>_xlfn.XLOOKUP(frasest[[#This Row],[autor_es]],autorest[autor_es],autorest[idioma_la])</f>
        <v>Lingua Italica</v>
      </c>
      <c r="M522" t="str">
        <f>_xlfn.XLOOKUP(frasest[[#This Row],[autor_es]],autorest[autor_es],autorest[nacion_es])</f>
        <v>Italia</v>
      </c>
      <c r="N522" t="str">
        <f>_xlfn.XLOOKUP(frasest[[#This Row],[autor_es]],autorest[autor_es],autorest[nacion_la])</f>
        <v>Italia</v>
      </c>
      <c r="O522" t="str">
        <f>_xlfn.XLOOKUP(frasest[[#This Row],[autor_es]],autorest[autor_es],autorest[epoca_es])</f>
        <v>Edad Contemporánea</v>
      </c>
      <c r="P522" t="str">
        <f>_xlfn.XLOOKUP(frasest[[#This Row],[autor_es]],autorest[autor_es],autorest[epoca_la])</f>
        <v>Aetas Contemporanea</v>
      </c>
      <c r="Q522" t="str">
        <f>_xlfn.XLOOKUP(frasest[[#This Row],[autor_es]],autorest[autor_es],autorest[imagen])</f>
        <v>https://i.ibb.co/Xxv42TMM/carloacutis.png</v>
      </c>
      <c r="R522">
        <f>_xlfn.XLOOKUP(frasest[[#This Row],[autor_es]],autorest[autor_es],autorest[imagen_atr])</f>
        <v>0</v>
      </c>
    </row>
    <row r="523" spans="1:18">
      <c r="A523">
        <v>522</v>
      </c>
      <c r="B523" t="s">
        <v>1795</v>
      </c>
      <c r="C523" t="s">
        <v>1796</v>
      </c>
      <c r="D523" t="s">
        <v>1797</v>
      </c>
      <c r="E523" t="s">
        <v>1793</v>
      </c>
      <c r="F523" t="s">
        <v>1794</v>
      </c>
      <c r="G523" t="str">
        <f>_xlfn.XLOOKUP(frasest[[#This Row],[autor_es]],autorest[autor_es],autorest[autor_la])</f>
        <v>Beatus Carolus Acutis</v>
      </c>
      <c r="H523" t="str">
        <f>_xlfn.XLOOKUP(frasest[[#This Row],[autor_es]],autorest[autor_es],autorest[bio_es])</f>
        <v>Joven italiano beatificado conocido como el ciberapóstol de la Eucaristía y patrono de internet. Utilizó sus conocimientos informáticos para evangelizar creando una exposición virtual de milagros eucarísticos. Ejemplo de santidad juvenil en la era digital vivió una profunda devoción eucarística y mariana. Su lema era Todos nacen como originales pero muchos mueren como fotocopias.</v>
      </c>
      <c r="I523" t="str">
        <f>_xlfn.XLOOKUP(frasest[[#This Row],[autor_es]],autorest[autor_es],autorest[bio_la])</f>
        <v>Iuvenis Italicus beatificatus ut ciberapostolus Eucharistiae et patronus interretis cognitus. Cognitionem informaticam ad evangelizandum adhibuit expositionem virtualem miraculorum eucharisticorum creans. Exemplum sanctitatis iuvenilis in aetate digitali devotionem eucharisticam et marianam profundam vixit. Lemma eius erat Omnes ut originales nascuntur sed multi ut photocopiae moriuntur.</v>
      </c>
      <c r="J523" t="str">
        <f>_xlfn.XLOOKUP(frasest[[#This Row],[autor_es]],autorest[autor_es],autorest[codigo])</f>
        <v>it</v>
      </c>
      <c r="K523" t="str">
        <f>_xlfn.XLOOKUP(frasest[[#This Row],[autor_es]],autorest[autor_es],autorest[idioma_es])</f>
        <v>Italiano</v>
      </c>
      <c r="L523" t="str">
        <f>_xlfn.XLOOKUP(frasest[[#This Row],[autor_es]],autorest[autor_es],autorest[idioma_la])</f>
        <v>Lingua Italica</v>
      </c>
      <c r="M523" t="str">
        <f>_xlfn.XLOOKUP(frasest[[#This Row],[autor_es]],autorest[autor_es],autorest[nacion_es])</f>
        <v>Italia</v>
      </c>
      <c r="N523" t="str">
        <f>_xlfn.XLOOKUP(frasest[[#This Row],[autor_es]],autorest[autor_es],autorest[nacion_la])</f>
        <v>Italia</v>
      </c>
      <c r="O523" t="str">
        <f>_xlfn.XLOOKUP(frasest[[#This Row],[autor_es]],autorest[autor_es],autorest[epoca_es])</f>
        <v>Edad Contemporánea</v>
      </c>
      <c r="P523" t="str">
        <f>_xlfn.XLOOKUP(frasest[[#This Row],[autor_es]],autorest[autor_es],autorest[epoca_la])</f>
        <v>Aetas Contemporanea</v>
      </c>
      <c r="Q523" t="str">
        <f>_xlfn.XLOOKUP(frasest[[#This Row],[autor_es]],autorest[autor_es],autorest[imagen])</f>
        <v>https://i.ibb.co/Xxv42TMM/carloacutis.png</v>
      </c>
      <c r="R523">
        <f>_xlfn.XLOOKUP(frasest[[#This Row],[autor_es]],autorest[autor_es],autorest[imagen_atr])</f>
        <v>0</v>
      </c>
    </row>
    <row r="524" spans="1:18">
      <c r="A524">
        <v>523</v>
      </c>
      <c r="B524" t="s">
        <v>1798</v>
      </c>
      <c r="C524" t="s">
        <v>1799</v>
      </c>
      <c r="D524" t="s">
        <v>1800</v>
      </c>
      <c r="E524" t="s">
        <v>1793</v>
      </c>
      <c r="F524" t="s">
        <v>1794</v>
      </c>
      <c r="G524" t="str">
        <f>_xlfn.XLOOKUP(frasest[[#This Row],[autor_es]],autorest[autor_es],autorest[autor_la])</f>
        <v>Beatus Carolus Acutis</v>
      </c>
      <c r="H524" t="str">
        <f>_xlfn.XLOOKUP(frasest[[#This Row],[autor_es]],autorest[autor_es],autorest[bio_es])</f>
        <v>Joven italiano beatificado conocido como el ciberapóstol de la Eucaristía y patrono de internet. Utilizó sus conocimientos informáticos para evangelizar creando una exposición virtual de milagros eucarísticos. Ejemplo de santidad juvenil en la era digital vivió una profunda devoción eucarística y mariana. Su lema era Todos nacen como originales pero muchos mueren como fotocopias.</v>
      </c>
      <c r="I524" t="str">
        <f>_xlfn.XLOOKUP(frasest[[#This Row],[autor_es]],autorest[autor_es],autorest[bio_la])</f>
        <v>Iuvenis Italicus beatificatus ut ciberapostolus Eucharistiae et patronus interretis cognitus. Cognitionem informaticam ad evangelizandum adhibuit expositionem virtualem miraculorum eucharisticorum creans. Exemplum sanctitatis iuvenilis in aetate digitali devotionem eucharisticam et marianam profundam vixit. Lemma eius erat Omnes ut originales nascuntur sed multi ut photocopiae moriuntur.</v>
      </c>
      <c r="J524" t="str">
        <f>_xlfn.XLOOKUP(frasest[[#This Row],[autor_es]],autorest[autor_es],autorest[codigo])</f>
        <v>it</v>
      </c>
      <c r="K524" t="str">
        <f>_xlfn.XLOOKUP(frasest[[#This Row],[autor_es]],autorest[autor_es],autorest[idioma_es])</f>
        <v>Italiano</v>
      </c>
      <c r="L524" t="str">
        <f>_xlfn.XLOOKUP(frasest[[#This Row],[autor_es]],autorest[autor_es],autorest[idioma_la])</f>
        <v>Lingua Italica</v>
      </c>
      <c r="M524" t="str">
        <f>_xlfn.XLOOKUP(frasest[[#This Row],[autor_es]],autorest[autor_es],autorest[nacion_es])</f>
        <v>Italia</v>
      </c>
      <c r="N524" t="str">
        <f>_xlfn.XLOOKUP(frasest[[#This Row],[autor_es]],autorest[autor_es],autorest[nacion_la])</f>
        <v>Italia</v>
      </c>
      <c r="O524" t="str">
        <f>_xlfn.XLOOKUP(frasest[[#This Row],[autor_es]],autorest[autor_es],autorest[epoca_es])</f>
        <v>Edad Contemporánea</v>
      </c>
      <c r="P524" t="str">
        <f>_xlfn.XLOOKUP(frasest[[#This Row],[autor_es]],autorest[autor_es],autorest[epoca_la])</f>
        <v>Aetas Contemporanea</v>
      </c>
      <c r="Q524" t="str">
        <f>_xlfn.XLOOKUP(frasest[[#This Row],[autor_es]],autorest[autor_es],autorest[imagen])</f>
        <v>https://i.ibb.co/Xxv42TMM/carloacutis.png</v>
      </c>
      <c r="R524">
        <f>_xlfn.XLOOKUP(frasest[[#This Row],[autor_es]],autorest[autor_es],autorest[imagen_atr])</f>
        <v>0</v>
      </c>
    </row>
    <row r="525" spans="1:18">
      <c r="A525">
        <v>524</v>
      </c>
      <c r="B525" t="s">
        <v>1801</v>
      </c>
      <c r="C525" t="s">
        <v>1802</v>
      </c>
      <c r="D525" t="s">
        <v>1803</v>
      </c>
      <c r="E525" t="s">
        <v>1793</v>
      </c>
      <c r="F525" t="s">
        <v>1794</v>
      </c>
      <c r="G525" t="str">
        <f>_xlfn.XLOOKUP(frasest[[#This Row],[autor_es]],autorest[autor_es],autorest[autor_la])</f>
        <v>Beatus Carolus Acutis</v>
      </c>
      <c r="H525" t="str">
        <f>_xlfn.XLOOKUP(frasest[[#This Row],[autor_es]],autorest[autor_es],autorest[bio_es])</f>
        <v>Joven italiano beatificado conocido como el ciberapóstol de la Eucaristía y patrono de internet. Utilizó sus conocimientos informáticos para evangelizar creando una exposición virtual de milagros eucarísticos. Ejemplo de santidad juvenil en la era digital vivió una profunda devoción eucarística y mariana. Su lema era Todos nacen como originales pero muchos mueren como fotocopias.</v>
      </c>
      <c r="I525" t="str">
        <f>_xlfn.XLOOKUP(frasest[[#This Row],[autor_es]],autorest[autor_es],autorest[bio_la])</f>
        <v>Iuvenis Italicus beatificatus ut ciberapostolus Eucharistiae et patronus interretis cognitus. Cognitionem informaticam ad evangelizandum adhibuit expositionem virtualem miraculorum eucharisticorum creans. Exemplum sanctitatis iuvenilis in aetate digitali devotionem eucharisticam et marianam profundam vixit. Lemma eius erat Omnes ut originales nascuntur sed multi ut photocopiae moriuntur.</v>
      </c>
      <c r="J525" t="str">
        <f>_xlfn.XLOOKUP(frasest[[#This Row],[autor_es]],autorest[autor_es],autorest[codigo])</f>
        <v>it</v>
      </c>
      <c r="K525" t="str">
        <f>_xlfn.XLOOKUP(frasest[[#This Row],[autor_es]],autorest[autor_es],autorest[idioma_es])</f>
        <v>Italiano</v>
      </c>
      <c r="L525" t="str">
        <f>_xlfn.XLOOKUP(frasest[[#This Row],[autor_es]],autorest[autor_es],autorest[idioma_la])</f>
        <v>Lingua Italica</v>
      </c>
      <c r="M525" t="str">
        <f>_xlfn.XLOOKUP(frasest[[#This Row],[autor_es]],autorest[autor_es],autorest[nacion_es])</f>
        <v>Italia</v>
      </c>
      <c r="N525" t="str">
        <f>_xlfn.XLOOKUP(frasest[[#This Row],[autor_es]],autorest[autor_es],autorest[nacion_la])</f>
        <v>Italia</v>
      </c>
      <c r="O525" t="str">
        <f>_xlfn.XLOOKUP(frasest[[#This Row],[autor_es]],autorest[autor_es],autorest[epoca_es])</f>
        <v>Edad Contemporánea</v>
      </c>
      <c r="P525" t="str">
        <f>_xlfn.XLOOKUP(frasest[[#This Row],[autor_es]],autorest[autor_es],autorest[epoca_la])</f>
        <v>Aetas Contemporanea</v>
      </c>
      <c r="Q525" t="str">
        <f>_xlfn.XLOOKUP(frasest[[#This Row],[autor_es]],autorest[autor_es],autorest[imagen])</f>
        <v>https://i.ibb.co/Xxv42TMM/carloacutis.png</v>
      </c>
      <c r="R525">
        <f>_xlfn.XLOOKUP(frasest[[#This Row],[autor_es]],autorest[autor_es],autorest[imagen_atr])</f>
        <v>0</v>
      </c>
    </row>
    <row r="526" spans="1:18">
      <c r="A526">
        <v>525</v>
      </c>
      <c r="B526" t="s">
        <v>1804</v>
      </c>
      <c r="C526" t="s">
        <v>1805</v>
      </c>
      <c r="D526" t="s">
        <v>1806</v>
      </c>
      <c r="E526" t="s">
        <v>1793</v>
      </c>
      <c r="F526" t="s">
        <v>1794</v>
      </c>
      <c r="G526" t="str">
        <f>_xlfn.XLOOKUP(frasest[[#This Row],[autor_es]],autorest[autor_es],autorest[autor_la])</f>
        <v>Beatus Carolus Acutis</v>
      </c>
      <c r="H526" t="str">
        <f>_xlfn.XLOOKUP(frasest[[#This Row],[autor_es]],autorest[autor_es],autorest[bio_es])</f>
        <v>Joven italiano beatificado conocido como el ciberapóstol de la Eucaristía y patrono de internet. Utilizó sus conocimientos informáticos para evangelizar creando una exposición virtual de milagros eucarísticos. Ejemplo de santidad juvenil en la era digital vivió una profunda devoción eucarística y mariana. Su lema era Todos nacen como originales pero muchos mueren como fotocopias.</v>
      </c>
      <c r="I526" t="str">
        <f>_xlfn.XLOOKUP(frasest[[#This Row],[autor_es]],autorest[autor_es],autorest[bio_la])</f>
        <v>Iuvenis Italicus beatificatus ut ciberapostolus Eucharistiae et patronus interretis cognitus. Cognitionem informaticam ad evangelizandum adhibuit expositionem virtualem miraculorum eucharisticorum creans. Exemplum sanctitatis iuvenilis in aetate digitali devotionem eucharisticam et marianam profundam vixit. Lemma eius erat Omnes ut originales nascuntur sed multi ut photocopiae moriuntur.</v>
      </c>
      <c r="J526" t="str">
        <f>_xlfn.XLOOKUP(frasest[[#This Row],[autor_es]],autorest[autor_es],autorest[codigo])</f>
        <v>it</v>
      </c>
      <c r="K526" t="str">
        <f>_xlfn.XLOOKUP(frasest[[#This Row],[autor_es]],autorest[autor_es],autorest[idioma_es])</f>
        <v>Italiano</v>
      </c>
      <c r="L526" t="str">
        <f>_xlfn.XLOOKUP(frasest[[#This Row],[autor_es]],autorest[autor_es],autorest[idioma_la])</f>
        <v>Lingua Italica</v>
      </c>
      <c r="M526" t="str">
        <f>_xlfn.XLOOKUP(frasest[[#This Row],[autor_es]],autorest[autor_es],autorest[nacion_es])</f>
        <v>Italia</v>
      </c>
      <c r="N526" t="str">
        <f>_xlfn.XLOOKUP(frasest[[#This Row],[autor_es]],autorest[autor_es],autorest[nacion_la])</f>
        <v>Italia</v>
      </c>
      <c r="O526" t="str">
        <f>_xlfn.XLOOKUP(frasest[[#This Row],[autor_es]],autorest[autor_es],autorest[epoca_es])</f>
        <v>Edad Contemporánea</v>
      </c>
      <c r="P526" t="str">
        <f>_xlfn.XLOOKUP(frasest[[#This Row],[autor_es]],autorest[autor_es],autorest[epoca_la])</f>
        <v>Aetas Contemporanea</v>
      </c>
      <c r="Q526" t="str">
        <f>_xlfn.XLOOKUP(frasest[[#This Row],[autor_es]],autorest[autor_es],autorest[imagen])</f>
        <v>https://i.ibb.co/Xxv42TMM/carloacutis.png</v>
      </c>
      <c r="R526">
        <f>_xlfn.XLOOKUP(frasest[[#This Row],[autor_es]],autorest[autor_es],autorest[imagen_atr])</f>
        <v>0</v>
      </c>
    </row>
    <row r="527" spans="1:18">
      <c r="A527">
        <v>526</v>
      </c>
      <c r="B527" t="s">
        <v>1807</v>
      </c>
      <c r="C527" t="s">
        <v>1808</v>
      </c>
      <c r="D527" t="s">
        <v>1809</v>
      </c>
      <c r="E527" t="s">
        <v>1793</v>
      </c>
      <c r="F527" t="s">
        <v>1794</v>
      </c>
      <c r="G527" t="str">
        <f>_xlfn.XLOOKUP(frasest[[#This Row],[autor_es]],autorest[autor_es],autorest[autor_la])</f>
        <v>Beatus Carolus Acutis</v>
      </c>
      <c r="H527" t="str">
        <f>_xlfn.XLOOKUP(frasest[[#This Row],[autor_es]],autorest[autor_es],autorest[bio_es])</f>
        <v>Joven italiano beatificado conocido como el ciberapóstol de la Eucaristía y patrono de internet. Utilizó sus conocimientos informáticos para evangelizar creando una exposición virtual de milagros eucarísticos. Ejemplo de santidad juvenil en la era digital vivió una profunda devoción eucarística y mariana. Su lema era Todos nacen como originales pero muchos mueren como fotocopias.</v>
      </c>
      <c r="I527" t="str">
        <f>_xlfn.XLOOKUP(frasest[[#This Row],[autor_es]],autorest[autor_es],autorest[bio_la])</f>
        <v>Iuvenis Italicus beatificatus ut ciberapostolus Eucharistiae et patronus interretis cognitus. Cognitionem informaticam ad evangelizandum adhibuit expositionem virtualem miraculorum eucharisticorum creans. Exemplum sanctitatis iuvenilis in aetate digitali devotionem eucharisticam et marianam profundam vixit. Lemma eius erat Omnes ut originales nascuntur sed multi ut photocopiae moriuntur.</v>
      </c>
      <c r="J527" t="str">
        <f>_xlfn.XLOOKUP(frasest[[#This Row],[autor_es]],autorest[autor_es],autorest[codigo])</f>
        <v>it</v>
      </c>
      <c r="K527" t="str">
        <f>_xlfn.XLOOKUP(frasest[[#This Row],[autor_es]],autorest[autor_es],autorest[idioma_es])</f>
        <v>Italiano</v>
      </c>
      <c r="L527" t="str">
        <f>_xlfn.XLOOKUP(frasest[[#This Row],[autor_es]],autorest[autor_es],autorest[idioma_la])</f>
        <v>Lingua Italica</v>
      </c>
      <c r="M527" t="str">
        <f>_xlfn.XLOOKUP(frasest[[#This Row],[autor_es]],autorest[autor_es],autorest[nacion_es])</f>
        <v>Italia</v>
      </c>
      <c r="N527" t="str">
        <f>_xlfn.XLOOKUP(frasest[[#This Row],[autor_es]],autorest[autor_es],autorest[nacion_la])</f>
        <v>Italia</v>
      </c>
      <c r="O527" t="str">
        <f>_xlfn.XLOOKUP(frasest[[#This Row],[autor_es]],autorest[autor_es],autorest[epoca_es])</f>
        <v>Edad Contemporánea</v>
      </c>
      <c r="P527" t="str">
        <f>_xlfn.XLOOKUP(frasest[[#This Row],[autor_es]],autorest[autor_es],autorest[epoca_la])</f>
        <v>Aetas Contemporanea</v>
      </c>
      <c r="Q527" t="str">
        <f>_xlfn.XLOOKUP(frasest[[#This Row],[autor_es]],autorest[autor_es],autorest[imagen])</f>
        <v>https://i.ibb.co/Xxv42TMM/carloacutis.png</v>
      </c>
      <c r="R527">
        <f>_xlfn.XLOOKUP(frasest[[#This Row],[autor_es]],autorest[autor_es],autorest[imagen_atr])</f>
        <v>0</v>
      </c>
    </row>
    <row r="528" spans="1:18">
      <c r="A528">
        <v>527</v>
      </c>
      <c r="B528" t="s">
        <v>1810</v>
      </c>
      <c r="C528" t="s">
        <v>1811</v>
      </c>
      <c r="D528" t="s">
        <v>1812</v>
      </c>
      <c r="E528" t="s">
        <v>1793</v>
      </c>
      <c r="F528" t="s">
        <v>1794</v>
      </c>
      <c r="G528" t="str">
        <f>_xlfn.XLOOKUP(frasest[[#This Row],[autor_es]],autorest[autor_es],autorest[autor_la])</f>
        <v>Beatus Carolus Acutis</v>
      </c>
      <c r="H528" t="str">
        <f>_xlfn.XLOOKUP(frasest[[#This Row],[autor_es]],autorest[autor_es],autorest[bio_es])</f>
        <v>Joven italiano beatificado conocido como el ciberapóstol de la Eucaristía y patrono de internet. Utilizó sus conocimientos informáticos para evangelizar creando una exposición virtual de milagros eucarísticos. Ejemplo de santidad juvenil en la era digital vivió una profunda devoción eucarística y mariana. Su lema era Todos nacen como originales pero muchos mueren como fotocopias.</v>
      </c>
      <c r="I528" t="str">
        <f>_xlfn.XLOOKUP(frasest[[#This Row],[autor_es]],autorest[autor_es],autorest[bio_la])</f>
        <v>Iuvenis Italicus beatificatus ut ciberapostolus Eucharistiae et patronus interretis cognitus. Cognitionem informaticam ad evangelizandum adhibuit expositionem virtualem miraculorum eucharisticorum creans. Exemplum sanctitatis iuvenilis in aetate digitali devotionem eucharisticam et marianam profundam vixit. Lemma eius erat Omnes ut originales nascuntur sed multi ut photocopiae moriuntur.</v>
      </c>
      <c r="J528" t="str">
        <f>_xlfn.XLOOKUP(frasest[[#This Row],[autor_es]],autorest[autor_es],autorest[codigo])</f>
        <v>it</v>
      </c>
      <c r="K528" t="str">
        <f>_xlfn.XLOOKUP(frasest[[#This Row],[autor_es]],autorest[autor_es],autorest[idioma_es])</f>
        <v>Italiano</v>
      </c>
      <c r="L528" t="str">
        <f>_xlfn.XLOOKUP(frasest[[#This Row],[autor_es]],autorest[autor_es],autorest[idioma_la])</f>
        <v>Lingua Italica</v>
      </c>
      <c r="M528" t="str">
        <f>_xlfn.XLOOKUP(frasest[[#This Row],[autor_es]],autorest[autor_es],autorest[nacion_es])</f>
        <v>Italia</v>
      </c>
      <c r="N528" t="str">
        <f>_xlfn.XLOOKUP(frasest[[#This Row],[autor_es]],autorest[autor_es],autorest[nacion_la])</f>
        <v>Italia</v>
      </c>
      <c r="O528" t="str">
        <f>_xlfn.XLOOKUP(frasest[[#This Row],[autor_es]],autorest[autor_es],autorest[epoca_es])</f>
        <v>Edad Contemporánea</v>
      </c>
      <c r="P528" t="str">
        <f>_xlfn.XLOOKUP(frasest[[#This Row],[autor_es]],autorest[autor_es],autorest[epoca_la])</f>
        <v>Aetas Contemporanea</v>
      </c>
      <c r="Q528" t="str">
        <f>_xlfn.XLOOKUP(frasest[[#This Row],[autor_es]],autorest[autor_es],autorest[imagen])</f>
        <v>https://i.ibb.co/Xxv42TMM/carloacutis.png</v>
      </c>
      <c r="R528">
        <f>_xlfn.XLOOKUP(frasest[[#This Row],[autor_es]],autorest[autor_es],autorest[imagen_atr])</f>
        <v>0</v>
      </c>
    </row>
    <row r="529" spans="1:18">
      <c r="A529">
        <v>528</v>
      </c>
      <c r="B529" t="s">
        <v>1813</v>
      </c>
      <c r="C529" t="s">
        <v>1814</v>
      </c>
      <c r="D529" t="s">
        <v>1815</v>
      </c>
      <c r="E529" t="s">
        <v>1793</v>
      </c>
      <c r="F529" t="s">
        <v>1794</v>
      </c>
      <c r="G529" t="str">
        <f>_xlfn.XLOOKUP(frasest[[#This Row],[autor_es]],autorest[autor_es],autorest[autor_la])</f>
        <v>Beatus Carolus Acutis</v>
      </c>
      <c r="H529" t="str">
        <f>_xlfn.XLOOKUP(frasest[[#This Row],[autor_es]],autorest[autor_es],autorest[bio_es])</f>
        <v>Joven italiano beatificado conocido como el ciberapóstol de la Eucaristía y patrono de internet. Utilizó sus conocimientos informáticos para evangelizar creando una exposición virtual de milagros eucarísticos. Ejemplo de santidad juvenil en la era digital vivió una profunda devoción eucarística y mariana. Su lema era Todos nacen como originales pero muchos mueren como fotocopias.</v>
      </c>
      <c r="I529" t="str">
        <f>_xlfn.XLOOKUP(frasest[[#This Row],[autor_es]],autorest[autor_es],autorest[bio_la])</f>
        <v>Iuvenis Italicus beatificatus ut ciberapostolus Eucharistiae et patronus interretis cognitus. Cognitionem informaticam ad evangelizandum adhibuit expositionem virtualem miraculorum eucharisticorum creans. Exemplum sanctitatis iuvenilis in aetate digitali devotionem eucharisticam et marianam profundam vixit. Lemma eius erat Omnes ut originales nascuntur sed multi ut photocopiae moriuntur.</v>
      </c>
      <c r="J529" t="str">
        <f>_xlfn.XLOOKUP(frasest[[#This Row],[autor_es]],autorest[autor_es],autorest[codigo])</f>
        <v>it</v>
      </c>
      <c r="K529" t="str">
        <f>_xlfn.XLOOKUP(frasest[[#This Row],[autor_es]],autorest[autor_es],autorest[idioma_es])</f>
        <v>Italiano</v>
      </c>
      <c r="L529" t="str">
        <f>_xlfn.XLOOKUP(frasest[[#This Row],[autor_es]],autorest[autor_es],autorest[idioma_la])</f>
        <v>Lingua Italica</v>
      </c>
      <c r="M529" t="str">
        <f>_xlfn.XLOOKUP(frasest[[#This Row],[autor_es]],autorest[autor_es],autorest[nacion_es])</f>
        <v>Italia</v>
      </c>
      <c r="N529" t="str">
        <f>_xlfn.XLOOKUP(frasest[[#This Row],[autor_es]],autorest[autor_es],autorest[nacion_la])</f>
        <v>Italia</v>
      </c>
      <c r="O529" t="str">
        <f>_xlfn.XLOOKUP(frasest[[#This Row],[autor_es]],autorest[autor_es],autorest[epoca_es])</f>
        <v>Edad Contemporánea</v>
      </c>
      <c r="P529" t="str">
        <f>_xlfn.XLOOKUP(frasest[[#This Row],[autor_es]],autorest[autor_es],autorest[epoca_la])</f>
        <v>Aetas Contemporanea</v>
      </c>
      <c r="Q529" t="str">
        <f>_xlfn.XLOOKUP(frasest[[#This Row],[autor_es]],autorest[autor_es],autorest[imagen])</f>
        <v>https://i.ibb.co/Xxv42TMM/carloacutis.png</v>
      </c>
      <c r="R529">
        <f>_xlfn.XLOOKUP(frasest[[#This Row],[autor_es]],autorest[autor_es],autorest[imagen_atr])</f>
        <v>0</v>
      </c>
    </row>
    <row r="530" spans="1:18">
      <c r="A530">
        <v>529</v>
      </c>
      <c r="B530" t="s">
        <v>1816</v>
      </c>
      <c r="C530" t="s">
        <v>1699</v>
      </c>
      <c r="D530" t="s">
        <v>1700</v>
      </c>
      <c r="E530" t="s">
        <v>1701</v>
      </c>
      <c r="F530" t="s">
        <v>1817</v>
      </c>
      <c r="G530" t="str">
        <f>_xlfn.XLOOKUP(frasest[[#This Row],[autor_es]],autorest[autor_es],autorest[autor_la])</f>
        <v>Fridericus Froebel</v>
      </c>
      <c r="H530" t="str">
        <f>_xlfn.XLOOKUP(frasest[[#This Row],[autor_es]],autorest[autor_es],autorest[bio_es])</f>
        <v>Pedagogo alemán fundador del primer kindergarten jardín de infancia del mundo en 1840. Desarrolló una pedagogía centrada en el juego la actividad espontánea y la creatividad infantil. Creó los dones de Froebel materiales didácticos para el desarrollo sensorial y cognitivo. Discípulo de Pestalozzi revolucionó la educación infantil.</v>
      </c>
      <c r="I530" t="str">
        <f>_xlfn.XLOOKUP(frasest[[#This Row],[autor_es]],autorest[autor_es],autorest[bio_la])</f>
        <v>Paedagogus Germanicus fundator primi kindergarten horti infantium mundi anno 1840. Paedagogiam in ludo activitate spontanea et creativitate infantili fundatam elaboravit. Dona Froebelii materias didacticas pro progressu sensoriali et cognitivo creavit. Discipulus Pestalozzi educationem infantilem revolutionavit.</v>
      </c>
      <c r="J530" t="str">
        <f>_xlfn.XLOOKUP(frasest[[#This Row],[autor_es]],autorest[autor_es],autorest[codigo])</f>
        <v>de</v>
      </c>
      <c r="K530" t="str">
        <f>_xlfn.XLOOKUP(frasest[[#This Row],[autor_es]],autorest[autor_es],autorest[idioma_es])</f>
        <v>Alemán</v>
      </c>
      <c r="L530" t="str">
        <f>_xlfn.XLOOKUP(frasest[[#This Row],[autor_es]],autorest[autor_es],autorest[idioma_la])</f>
        <v>Lingua Germanica</v>
      </c>
      <c r="M530" t="str">
        <f>_xlfn.XLOOKUP(frasest[[#This Row],[autor_es]],autorest[autor_es],autorest[nacion_es])</f>
        <v>Alemania</v>
      </c>
      <c r="N530" t="str">
        <f>_xlfn.XLOOKUP(frasest[[#This Row],[autor_es]],autorest[autor_es],autorest[nacion_la])</f>
        <v>Germania</v>
      </c>
      <c r="O530" t="str">
        <f>_xlfn.XLOOKUP(frasest[[#This Row],[autor_es]],autorest[autor_es],autorest[epoca_es])</f>
        <v>Edad Moderna</v>
      </c>
      <c r="P530" t="str">
        <f>_xlfn.XLOOKUP(frasest[[#This Row],[autor_es]],autorest[autor_es],autorest[epoca_la])</f>
        <v>Nova Aetas</v>
      </c>
      <c r="Q530" t="str">
        <f>_xlfn.XLOOKUP(frasest[[#This Row],[autor_es]],autorest[autor_es],autorest[imagen])</f>
        <v>https://i.ibb.co/0jwMS3vT/froebel.png</v>
      </c>
      <c r="R530">
        <f>_xlfn.XLOOKUP(frasest[[#This Row],[autor_es]],autorest[autor_es],autorest[imagen_atr])</f>
        <v>0</v>
      </c>
    </row>
    <row r="531" spans="1:18">
      <c r="A531">
        <v>530</v>
      </c>
      <c r="B531" t="s">
        <v>1703</v>
      </c>
      <c r="C531" t="s">
        <v>1704</v>
      </c>
      <c r="D531" t="s">
        <v>1705</v>
      </c>
      <c r="E531" t="s">
        <v>1701</v>
      </c>
      <c r="F531" t="s">
        <v>1817</v>
      </c>
      <c r="G531" t="str">
        <f>_xlfn.XLOOKUP(frasest[[#This Row],[autor_es]],autorest[autor_es],autorest[autor_la])</f>
        <v>Fridericus Froebel</v>
      </c>
      <c r="H531" t="str">
        <f>_xlfn.XLOOKUP(frasest[[#This Row],[autor_es]],autorest[autor_es],autorest[bio_es])</f>
        <v>Pedagogo alemán fundador del primer kindergarten jardín de infancia del mundo en 1840. Desarrolló una pedagogía centrada en el juego la actividad espontánea y la creatividad infantil. Creó los dones de Froebel materiales didácticos para el desarrollo sensorial y cognitivo. Discípulo de Pestalozzi revolucionó la educación infantil.</v>
      </c>
      <c r="I531" t="str">
        <f>_xlfn.XLOOKUP(frasest[[#This Row],[autor_es]],autorest[autor_es],autorest[bio_la])</f>
        <v>Paedagogus Germanicus fundator primi kindergarten horti infantium mundi anno 1840. Paedagogiam in ludo activitate spontanea et creativitate infantili fundatam elaboravit. Dona Froebelii materias didacticas pro progressu sensoriali et cognitivo creavit. Discipulus Pestalozzi educationem infantilem revolutionavit.</v>
      </c>
      <c r="J531" t="str">
        <f>_xlfn.XLOOKUP(frasest[[#This Row],[autor_es]],autorest[autor_es],autorest[codigo])</f>
        <v>de</v>
      </c>
      <c r="K531" t="str">
        <f>_xlfn.XLOOKUP(frasest[[#This Row],[autor_es]],autorest[autor_es],autorest[idioma_es])</f>
        <v>Alemán</v>
      </c>
      <c r="L531" t="str">
        <f>_xlfn.XLOOKUP(frasest[[#This Row],[autor_es]],autorest[autor_es],autorest[idioma_la])</f>
        <v>Lingua Germanica</v>
      </c>
      <c r="M531" t="str">
        <f>_xlfn.XLOOKUP(frasest[[#This Row],[autor_es]],autorest[autor_es],autorest[nacion_es])</f>
        <v>Alemania</v>
      </c>
      <c r="N531" t="str">
        <f>_xlfn.XLOOKUP(frasest[[#This Row],[autor_es]],autorest[autor_es],autorest[nacion_la])</f>
        <v>Germania</v>
      </c>
      <c r="O531" t="str">
        <f>_xlfn.XLOOKUP(frasest[[#This Row],[autor_es]],autorest[autor_es],autorest[epoca_es])</f>
        <v>Edad Moderna</v>
      </c>
      <c r="P531" t="str">
        <f>_xlfn.XLOOKUP(frasest[[#This Row],[autor_es]],autorest[autor_es],autorest[epoca_la])</f>
        <v>Nova Aetas</v>
      </c>
      <c r="Q531" t="str">
        <f>_xlfn.XLOOKUP(frasest[[#This Row],[autor_es]],autorest[autor_es],autorest[imagen])</f>
        <v>https://i.ibb.co/0jwMS3vT/froebel.png</v>
      </c>
      <c r="R531">
        <f>_xlfn.XLOOKUP(frasest[[#This Row],[autor_es]],autorest[autor_es],autorest[imagen_atr])</f>
        <v>0</v>
      </c>
    </row>
    <row r="532" spans="1:18">
      <c r="A532">
        <v>531</v>
      </c>
      <c r="B532" t="s">
        <v>1818</v>
      </c>
      <c r="C532" t="s">
        <v>1819</v>
      </c>
      <c r="D532" t="s">
        <v>1820</v>
      </c>
      <c r="E532" t="s">
        <v>1701</v>
      </c>
      <c r="F532" t="s">
        <v>1817</v>
      </c>
      <c r="G532" t="str">
        <f>_xlfn.XLOOKUP(frasest[[#This Row],[autor_es]],autorest[autor_es],autorest[autor_la])</f>
        <v>Fridericus Froebel</v>
      </c>
      <c r="H532" t="str">
        <f>_xlfn.XLOOKUP(frasest[[#This Row],[autor_es]],autorest[autor_es],autorest[bio_es])</f>
        <v>Pedagogo alemán fundador del primer kindergarten jardín de infancia del mundo en 1840. Desarrolló una pedagogía centrada en el juego la actividad espontánea y la creatividad infantil. Creó los dones de Froebel materiales didácticos para el desarrollo sensorial y cognitivo. Discípulo de Pestalozzi revolucionó la educación infantil.</v>
      </c>
      <c r="I532" t="str">
        <f>_xlfn.XLOOKUP(frasest[[#This Row],[autor_es]],autorest[autor_es],autorest[bio_la])</f>
        <v>Paedagogus Germanicus fundator primi kindergarten horti infantium mundi anno 1840. Paedagogiam in ludo activitate spontanea et creativitate infantili fundatam elaboravit. Dona Froebelii materias didacticas pro progressu sensoriali et cognitivo creavit. Discipulus Pestalozzi educationem infantilem revolutionavit.</v>
      </c>
      <c r="J532" t="str">
        <f>_xlfn.XLOOKUP(frasest[[#This Row],[autor_es]],autorest[autor_es],autorest[codigo])</f>
        <v>de</v>
      </c>
      <c r="K532" t="str">
        <f>_xlfn.XLOOKUP(frasest[[#This Row],[autor_es]],autorest[autor_es],autorest[idioma_es])</f>
        <v>Alemán</v>
      </c>
      <c r="L532" t="str">
        <f>_xlfn.XLOOKUP(frasest[[#This Row],[autor_es]],autorest[autor_es],autorest[idioma_la])</f>
        <v>Lingua Germanica</v>
      </c>
      <c r="M532" t="str">
        <f>_xlfn.XLOOKUP(frasest[[#This Row],[autor_es]],autorest[autor_es],autorest[nacion_es])</f>
        <v>Alemania</v>
      </c>
      <c r="N532" t="str">
        <f>_xlfn.XLOOKUP(frasest[[#This Row],[autor_es]],autorest[autor_es],autorest[nacion_la])</f>
        <v>Germania</v>
      </c>
      <c r="O532" t="str">
        <f>_xlfn.XLOOKUP(frasest[[#This Row],[autor_es]],autorest[autor_es],autorest[epoca_es])</f>
        <v>Edad Moderna</v>
      </c>
      <c r="P532" t="str">
        <f>_xlfn.XLOOKUP(frasest[[#This Row],[autor_es]],autorest[autor_es],autorest[epoca_la])</f>
        <v>Nova Aetas</v>
      </c>
      <c r="Q532" t="str">
        <f>_xlfn.XLOOKUP(frasest[[#This Row],[autor_es]],autorest[autor_es],autorest[imagen])</f>
        <v>https://i.ibb.co/0jwMS3vT/froebel.png</v>
      </c>
      <c r="R532">
        <f>_xlfn.XLOOKUP(frasest[[#This Row],[autor_es]],autorest[autor_es],autorest[imagen_atr])</f>
        <v>0</v>
      </c>
    </row>
    <row r="533" spans="1:18">
      <c r="A533">
        <v>532</v>
      </c>
      <c r="B533" t="s">
        <v>1709</v>
      </c>
      <c r="C533" t="s">
        <v>1821</v>
      </c>
      <c r="D533" t="s">
        <v>1711</v>
      </c>
      <c r="E533" t="s">
        <v>1701</v>
      </c>
      <c r="F533" t="s">
        <v>1817</v>
      </c>
      <c r="G533" t="str">
        <f>_xlfn.XLOOKUP(frasest[[#This Row],[autor_es]],autorest[autor_es],autorest[autor_la])</f>
        <v>Fridericus Froebel</v>
      </c>
      <c r="H533" t="str">
        <f>_xlfn.XLOOKUP(frasest[[#This Row],[autor_es]],autorest[autor_es],autorest[bio_es])</f>
        <v>Pedagogo alemán fundador del primer kindergarten jardín de infancia del mundo en 1840. Desarrolló una pedagogía centrada en el juego la actividad espontánea y la creatividad infantil. Creó los dones de Froebel materiales didácticos para el desarrollo sensorial y cognitivo. Discípulo de Pestalozzi revolucionó la educación infantil.</v>
      </c>
      <c r="I533" t="str">
        <f>_xlfn.XLOOKUP(frasest[[#This Row],[autor_es]],autorest[autor_es],autorest[bio_la])</f>
        <v>Paedagogus Germanicus fundator primi kindergarten horti infantium mundi anno 1840. Paedagogiam in ludo activitate spontanea et creativitate infantili fundatam elaboravit. Dona Froebelii materias didacticas pro progressu sensoriali et cognitivo creavit. Discipulus Pestalozzi educationem infantilem revolutionavit.</v>
      </c>
      <c r="J533" t="str">
        <f>_xlfn.XLOOKUP(frasest[[#This Row],[autor_es]],autorest[autor_es],autorest[codigo])</f>
        <v>de</v>
      </c>
      <c r="K533" t="str">
        <f>_xlfn.XLOOKUP(frasest[[#This Row],[autor_es]],autorest[autor_es],autorest[idioma_es])</f>
        <v>Alemán</v>
      </c>
      <c r="L533" t="str">
        <f>_xlfn.XLOOKUP(frasest[[#This Row],[autor_es]],autorest[autor_es],autorest[idioma_la])</f>
        <v>Lingua Germanica</v>
      </c>
      <c r="M533" t="str">
        <f>_xlfn.XLOOKUP(frasest[[#This Row],[autor_es]],autorest[autor_es],autorest[nacion_es])</f>
        <v>Alemania</v>
      </c>
      <c r="N533" t="str">
        <f>_xlfn.XLOOKUP(frasest[[#This Row],[autor_es]],autorest[autor_es],autorest[nacion_la])</f>
        <v>Germania</v>
      </c>
      <c r="O533" t="str">
        <f>_xlfn.XLOOKUP(frasest[[#This Row],[autor_es]],autorest[autor_es],autorest[epoca_es])</f>
        <v>Edad Moderna</v>
      </c>
      <c r="P533" t="str">
        <f>_xlfn.XLOOKUP(frasest[[#This Row],[autor_es]],autorest[autor_es],autorest[epoca_la])</f>
        <v>Nova Aetas</v>
      </c>
      <c r="Q533" t="str">
        <f>_xlfn.XLOOKUP(frasest[[#This Row],[autor_es]],autorest[autor_es],autorest[imagen])</f>
        <v>https://i.ibb.co/0jwMS3vT/froebel.png</v>
      </c>
      <c r="R533">
        <f>_xlfn.XLOOKUP(frasest[[#This Row],[autor_es]],autorest[autor_es],autorest[imagen_atr])</f>
        <v>0</v>
      </c>
    </row>
    <row r="534" spans="1:18">
      <c r="A534">
        <v>533</v>
      </c>
      <c r="B534" t="s">
        <v>1712</v>
      </c>
      <c r="C534" t="s">
        <v>1713</v>
      </c>
      <c r="D534" t="s">
        <v>1714</v>
      </c>
      <c r="E534" t="s">
        <v>1701</v>
      </c>
      <c r="F534" t="s">
        <v>1817</v>
      </c>
      <c r="G534" t="str">
        <f>_xlfn.XLOOKUP(frasest[[#This Row],[autor_es]],autorest[autor_es],autorest[autor_la])</f>
        <v>Fridericus Froebel</v>
      </c>
      <c r="H534" t="str">
        <f>_xlfn.XLOOKUP(frasest[[#This Row],[autor_es]],autorest[autor_es],autorest[bio_es])</f>
        <v>Pedagogo alemán fundador del primer kindergarten jardín de infancia del mundo en 1840. Desarrolló una pedagogía centrada en el juego la actividad espontánea y la creatividad infantil. Creó los dones de Froebel materiales didácticos para el desarrollo sensorial y cognitivo. Discípulo de Pestalozzi revolucionó la educación infantil.</v>
      </c>
      <c r="I534" t="str">
        <f>_xlfn.XLOOKUP(frasest[[#This Row],[autor_es]],autorest[autor_es],autorest[bio_la])</f>
        <v>Paedagogus Germanicus fundator primi kindergarten horti infantium mundi anno 1840. Paedagogiam in ludo activitate spontanea et creativitate infantili fundatam elaboravit. Dona Froebelii materias didacticas pro progressu sensoriali et cognitivo creavit. Discipulus Pestalozzi educationem infantilem revolutionavit.</v>
      </c>
      <c r="J534" t="str">
        <f>_xlfn.XLOOKUP(frasest[[#This Row],[autor_es]],autorest[autor_es],autorest[codigo])</f>
        <v>de</v>
      </c>
      <c r="K534" t="str">
        <f>_xlfn.XLOOKUP(frasest[[#This Row],[autor_es]],autorest[autor_es],autorest[idioma_es])</f>
        <v>Alemán</v>
      </c>
      <c r="L534" t="str">
        <f>_xlfn.XLOOKUP(frasest[[#This Row],[autor_es]],autorest[autor_es],autorest[idioma_la])</f>
        <v>Lingua Germanica</v>
      </c>
      <c r="M534" t="str">
        <f>_xlfn.XLOOKUP(frasest[[#This Row],[autor_es]],autorest[autor_es],autorest[nacion_es])</f>
        <v>Alemania</v>
      </c>
      <c r="N534" t="str">
        <f>_xlfn.XLOOKUP(frasest[[#This Row],[autor_es]],autorest[autor_es],autorest[nacion_la])</f>
        <v>Germania</v>
      </c>
      <c r="O534" t="str">
        <f>_xlfn.XLOOKUP(frasest[[#This Row],[autor_es]],autorest[autor_es],autorest[epoca_es])</f>
        <v>Edad Moderna</v>
      </c>
      <c r="P534" t="str">
        <f>_xlfn.XLOOKUP(frasest[[#This Row],[autor_es]],autorest[autor_es],autorest[epoca_la])</f>
        <v>Nova Aetas</v>
      </c>
      <c r="Q534" t="str">
        <f>_xlfn.XLOOKUP(frasest[[#This Row],[autor_es]],autorest[autor_es],autorest[imagen])</f>
        <v>https://i.ibb.co/0jwMS3vT/froebel.png</v>
      </c>
      <c r="R534">
        <f>_xlfn.XLOOKUP(frasest[[#This Row],[autor_es]],autorest[autor_es],autorest[imagen_atr])</f>
        <v>0</v>
      </c>
    </row>
    <row r="535" spans="1:18">
      <c r="A535">
        <v>534</v>
      </c>
      <c r="B535" t="s">
        <v>1715</v>
      </c>
      <c r="C535" t="s">
        <v>1716</v>
      </c>
      <c r="D535" t="s">
        <v>1717</v>
      </c>
      <c r="E535" t="s">
        <v>1701</v>
      </c>
      <c r="F535" t="s">
        <v>1817</v>
      </c>
      <c r="G535" t="str">
        <f>_xlfn.XLOOKUP(frasest[[#This Row],[autor_es]],autorest[autor_es],autorest[autor_la])</f>
        <v>Fridericus Froebel</v>
      </c>
      <c r="H535" t="str">
        <f>_xlfn.XLOOKUP(frasest[[#This Row],[autor_es]],autorest[autor_es],autorest[bio_es])</f>
        <v>Pedagogo alemán fundador del primer kindergarten jardín de infancia del mundo en 1840. Desarrolló una pedagogía centrada en el juego la actividad espontánea y la creatividad infantil. Creó los dones de Froebel materiales didácticos para el desarrollo sensorial y cognitivo. Discípulo de Pestalozzi revolucionó la educación infantil.</v>
      </c>
      <c r="I535" t="str">
        <f>_xlfn.XLOOKUP(frasest[[#This Row],[autor_es]],autorest[autor_es],autorest[bio_la])</f>
        <v>Paedagogus Germanicus fundator primi kindergarten horti infantium mundi anno 1840. Paedagogiam in ludo activitate spontanea et creativitate infantili fundatam elaboravit. Dona Froebelii materias didacticas pro progressu sensoriali et cognitivo creavit. Discipulus Pestalozzi educationem infantilem revolutionavit.</v>
      </c>
      <c r="J535" t="str">
        <f>_xlfn.XLOOKUP(frasest[[#This Row],[autor_es]],autorest[autor_es],autorest[codigo])</f>
        <v>de</v>
      </c>
      <c r="K535" t="str">
        <f>_xlfn.XLOOKUP(frasest[[#This Row],[autor_es]],autorest[autor_es],autorest[idioma_es])</f>
        <v>Alemán</v>
      </c>
      <c r="L535" t="str">
        <f>_xlfn.XLOOKUP(frasest[[#This Row],[autor_es]],autorest[autor_es],autorest[idioma_la])</f>
        <v>Lingua Germanica</v>
      </c>
      <c r="M535" t="str">
        <f>_xlfn.XLOOKUP(frasest[[#This Row],[autor_es]],autorest[autor_es],autorest[nacion_es])</f>
        <v>Alemania</v>
      </c>
      <c r="N535" t="str">
        <f>_xlfn.XLOOKUP(frasest[[#This Row],[autor_es]],autorest[autor_es],autorest[nacion_la])</f>
        <v>Germania</v>
      </c>
      <c r="O535" t="str">
        <f>_xlfn.XLOOKUP(frasest[[#This Row],[autor_es]],autorest[autor_es],autorest[epoca_es])</f>
        <v>Edad Moderna</v>
      </c>
      <c r="P535" t="str">
        <f>_xlfn.XLOOKUP(frasest[[#This Row],[autor_es]],autorest[autor_es],autorest[epoca_la])</f>
        <v>Nova Aetas</v>
      </c>
      <c r="Q535" t="str">
        <f>_xlfn.XLOOKUP(frasest[[#This Row],[autor_es]],autorest[autor_es],autorest[imagen])</f>
        <v>https://i.ibb.co/0jwMS3vT/froebel.png</v>
      </c>
      <c r="R535">
        <f>_xlfn.XLOOKUP(frasest[[#This Row],[autor_es]],autorest[autor_es],autorest[imagen_atr])</f>
        <v>0</v>
      </c>
    </row>
    <row r="536" spans="1:18">
      <c r="A536">
        <v>535</v>
      </c>
      <c r="B536" t="s">
        <v>1822</v>
      </c>
      <c r="C536" t="s">
        <v>1823</v>
      </c>
      <c r="D536" t="s">
        <v>1824</v>
      </c>
      <c r="E536" t="s">
        <v>1825</v>
      </c>
      <c r="F536" t="s">
        <v>1826</v>
      </c>
      <c r="G536" t="str">
        <f>_xlfn.XLOOKUP(frasest[[#This Row],[autor_es]],autorest[autor_es],autorest[autor_la])</f>
        <v>Rudolphus Steiner</v>
      </c>
      <c r="H536" t="str">
        <f>_xlfn.XLOOKUP(frasest[[#This Row],[autor_es]],autorest[autor_es],autorest[bio_es])</f>
        <v>Filósofo educador y esoterista austriaco fundador de la Antroposofía y la pedagogía Waldorf. Creó en 1919 la primera escuela Waldorf en Stuttgart basada en una educación artística y espiritual del ser humano completo cuerpo alma y espíritu. Desarrolló la teoría de los septenios tres etapas de siete años en el desarrollo infantil. Revolucionó la educación enfatizando el arte la imaginación y el desarrollo integral.</v>
      </c>
      <c r="I536" t="str">
        <f>_xlfn.XLOOKUP(frasest[[#This Row],[autor_es]],autorest[autor_es],autorest[bio_la])</f>
        <v>Philosophus educator et esotericus Austriacus fundator Anthroposophiae et paedagogiae Waldorf. Anno 1919 primam scholam Waldorf Stuttgartiae creavit in educatione artistica et spirituali hominis completi corporis animae et spiritus fundatam. Theoriam septenniorum trium stadiorum septem annorum in progressu infantili elaboravit. Educationem revolutionavit artem imaginationem et progressum integralem emphasizans.</v>
      </c>
      <c r="J536" t="str">
        <f>_xlfn.XLOOKUP(frasest[[#This Row],[autor_es]],autorest[autor_es],autorest[codigo])</f>
        <v>de</v>
      </c>
      <c r="K536" t="str">
        <f>_xlfn.XLOOKUP(frasest[[#This Row],[autor_es]],autorest[autor_es],autorest[idioma_es])</f>
        <v>Alemán</v>
      </c>
      <c r="L536" t="str">
        <f>_xlfn.XLOOKUP(frasest[[#This Row],[autor_es]],autorest[autor_es],autorest[idioma_la])</f>
        <v>Lingua Germanica</v>
      </c>
      <c r="M536" t="str">
        <f>_xlfn.XLOOKUP(frasest[[#This Row],[autor_es]],autorest[autor_es],autorest[nacion_es])</f>
        <v>Austria</v>
      </c>
      <c r="N536" t="str">
        <f>_xlfn.XLOOKUP(frasest[[#This Row],[autor_es]],autorest[autor_es],autorest[nacion_la])</f>
        <v>Austria</v>
      </c>
      <c r="O536" t="str">
        <f>_xlfn.XLOOKUP(frasest[[#This Row],[autor_es]],autorest[autor_es],autorest[epoca_es])</f>
        <v>Edad Contemporánea</v>
      </c>
      <c r="P536" t="str">
        <f>_xlfn.XLOOKUP(frasest[[#This Row],[autor_es]],autorest[autor_es],autorest[epoca_la])</f>
        <v>Aetas Contemporanea</v>
      </c>
      <c r="Q536" t="str">
        <f>_xlfn.XLOOKUP(frasest[[#This Row],[autor_es]],autorest[autor_es],autorest[imagen])</f>
        <v>https://i.ibb.co/S7Bw3Wgz/steiner.png</v>
      </c>
      <c r="R536">
        <f>_xlfn.XLOOKUP(frasest[[#This Row],[autor_es]],autorest[autor_es],autorest[imagen_atr])</f>
        <v>0</v>
      </c>
    </row>
    <row r="537" spans="1:18">
      <c r="A537">
        <v>536</v>
      </c>
      <c r="B537" t="s">
        <v>1827</v>
      </c>
      <c r="C537" t="s">
        <v>1828</v>
      </c>
      <c r="D537" t="s">
        <v>1829</v>
      </c>
      <c r="E537" t="s">
        <v>1825</v>
      </c>
      <c r="F537" t="s">
        <v>1826</v>
      </c>
      <c r="G537" t="str">
        <f>_xlfn.XLOOKUP(frasest[[#This Row],[autor_es]],autorest[autor_es],autorest[autor_la])</f>
        <v>Rudolphus Steiner</v>
      </c>
      <c r="H537" t="str">
        <f>_xlfn.XLOOKUP(frasest[[#This Row],[autor_es]],autorest[autor_es],autorest[bio_es])</f>
        <v>Filósofo educador y esoterista austriaco fundador de la Antroposofía y la pedagogía Waldorf. Creó en 1919 la primera escuela Waldorf en Stuttgart basada en una educación artística y espiritual del ser humano completo cuerpo alma y espíritu. Desarrolló la teoría de los septenios tres etapas de siete años en el desarrollo infantil. Revolucionó la educación enfatizando el arte la imaginación y el desarrollo integral.</v>
      </c>
      <c r="I537" t="str">
        <f>_xlfn.XLOOKUP(frasest[[#This Row],[autor_es]],autorest[autor_es],autorest[bio_la])</f>
        <v>Philosophus educator et esotericus Austriacus fundator Anthroposophiae et paedagogiae Waldorf. Anno 1919 primam scholam Waldorf Stuttgartiae creavit in educatione artistica et spirituali hominis completi corporis animae et spiritus fundatam. Theoriam septenniorum trium stadiorum septem annorum in progressu infantili elaboravit. Educationem revolutionavit artem imaginationem et progressum integralem emphasizans.</v>
      </c>
      <c r="J537" t="str">
        <f>_xlfn.XLOOKUP(frasest[[#This Row],[autor_es]],autorest[autor_es],autorest[codigo])</f>
        <v>de</v>
      </c>
      <c r="K537" t="str">
        <f>_xlfn.XLOOKUP(frasest[[#This Row],[autor_es]],autorest[autor_es],autorest[idioma_es])</f>
        <v>Alemán</v>
      </c>
      <c r="L537" t="str">
        <f>_xlfn.XLOOKUP(frasest[[#This Row],[autor_es]],autorest[autor_es],autorest[idioma_la])</f>
        <v>Lingua Germanica</v>
      </c>
      <c r="M537" t="str">
        <f>_xlfn.XLOOKUP(frasest[[#This Row],[autor_es]],autorest[autor_es],autorest[nacion_es])</f>
        <v>Austria</v>
      </c>
      <c r="N537" t="str">
        <f>_xlfn.XLOOKUP(frasest[[#This Row],[autor_es]],autorest[autor_es],autorest[nacion_la])</f>
        <v>Austria</v>
      </c>
      <c r="O537" t="str">
        <f>_xlfn.XLOOKUP(frasest[[#This Row],[autor_es]],autorest[autor_es],autorest[epoca_es])</f>
        <v>Edad Contemporánea</v>
      </c>
      <c r="P537" t="str">
        <f>_xlfn.XLOOKUP(frasest[[#This Row],[autor_es]],autorest[autor_es],autorest[epoca_la])</f>
        <v>Aetas Contemporanea</v>
      </c>
      <c r="Q537" t="str">
        <f>_xlfn.XLOOKUP(frasest[[#This Row],[autor_es]],autorest[autor_es],autorest[imagen])</f>
        <v>https://i.ibb.co/S7Bw3Wgz/steiner.png</v>
      </c>
      <c r="R537">
        <f>_xlfn.XLOOKUP(frasest[[#This Row],[autor_es]],autorest[autor_es],autorest[imagen_atr])</f>
        <v>0</v>
      </c>
    </row>
    <row r="538" spans="1:18">
      <c r="A538">
        <v>537</v>
      </c>
      <c r="B538" t="s">
        <v>1830</v>
      </c>
      <c r="C538" t="s">
        <v>1831</v>
      </c>
      <c r="D538" t="s">
        <v>1832</v>
      </c>
      <c r="E538" t="s">
        <v>1825</v>
      </c>
      <c r="F538" t="s">
        <v>1826</v>
      </c>
      <c r="G538" t="str">
        <f>_xlfn.XLOOKUP(frasest[[#This Row],[autor_es]],autorest[autor_es],autorest[autor_la])</f>
        <v>Rudolphus Steiner</v>
      </c>
      <c r="H538" t="str">
        <f>_xlfn.XLOOKUP(frasest[[#This Row],[autor_es]],autorest[autor_es],autorest[bio_es])</f>
        <v>Filósofo educador y esoterista austriaco fundador de la Antroposofía y la pedagogía Waldorf. Creó en 1919 la primera escuela Waldorf en Stuttgart basada en una educación artística y espiritual del ser humano completo cuerpo alma y espíritu. Desarrolló la teoría de los septenios tres etapas de siete años en el desarrollo infantil. Revolucionó la educación enfatizando el arte la imaginación y el desarrollo integral.</v>
      </c>
      <c r="I538" t="str">
        <f>_xlfn.XLOOKUP(frasest[[#This Row],[autor_es]],autorest[autor_es],autorest[bio_la])</f>
        <v>Philosophus educator et esotericus Austriacus fundator Anthroposophiae et paedagogiae Waldorf. Anno 1919 primam scholam Waldorf Stuttgartiae creavit in educatione artistica et spirituali hominis completi corporis animae et spiritus fundatam. Theoriam septenniorum trium stadiorum septem annorum in progressu infantili elaboravit. Educationem revolutionavit artem imaginationem et progressum integralem emphasizans.</v>
      </c>
      <c r="J538" t="str">
        <f>_xlfn.XLOOKUP(frasest[[#This Row],[autor_es]],autorest[autor_es],autorest[codigo])</f>
        <v>de</v>
      </c>
      <c r="K538" t="str">
        <f>_xlfn.XLOOKUP(frasest[[#This Row],[autor_es]],autorest[autor_es],autorest[idioma_es])</f>
        <v>Alemán</v>
      </c>
      <c r="L538" t="str">
        <f>_xlfn.XLOOKUP(frasest[[#This Row],[autor_es]],autorest[autor_es],autorest[idioma_la])</f>
        <v>Lingua Germanica</v>
      </c>
      <c r="M538" t="str">
        <f>_xlfn.XLOOKUP(frasest[[#This Row],[autor_es]],autorest[autor_es],autorest[nacion_es])</f>
        <v>Austria</v>
      </c>
      <c r="N538" t="str">
        <f>_xlfn.XLOOKUP(frasest[[#This Row],[autor_es]],autorest[autor_es],autorest[nacion_la])</f>
        <v>Austria</v>
      </c>
      <c r="O538" t="str">
        <f>_xlfn.XLOOKUP(frasest[[#This Row],[autor_es]],autorest[autor_es],autorest[epoca_es])</f>
        <v>Edad Contemporánea</v>
      </c>
      <c r="P538" t="str">
        <f>_xlfn.XLOOKUP(frasest[[#This Row],[autor_es]],autorest[autor_es],autorest[epoca_la])</f>
        <v>Aetas Contemporanea</v>
      </c>
      <c r="Q538" t="str">
        <f>_xlfn.XLOOKUP(frasest[[#This Row],[autor_es]],autorest[autor_es],autorest[imagen])</f>
        <v>https://i.ibb.co/S7Bw3Wgz/steiner.png</v>
      </c>
      <c r="R538">
        <f>_xlfn.XLOOKUP(frasest[[#This Row],[autor_es]],autorest[autor_es],autorest[imagen_atr])</f>
        <v>0</v>
      </c>
    </row>
    <row r="539" spans="1:18">
      <c r="A539">
        <v>538</v>
      </c>
      <c r="B539" t="s">
        <v>1833</v>
      </c>
      <c r="C539" t="s">
        <v>1834</v>
      </c>
      <c r="D539" t="s">
        <v>1835</v>
      </c>
      <c r="E539" t="s">
        <v>1825</v>
      </c>
      <c r="F539" t="s">
        <v>1826</v>
      </c>
      <c r="G539" t="str">
        <f>_xlfn.XLOOKUP(frasest[[#This Row],[autor_es]],autorest[autor_es],autorest[autor_la])</f>
        <v>Rudolphus Steiner</v>
      </c>
      <c r="H539" t="str">
        <f>_xlfn.XLOOKUP(frasest[[#This Row],[autor_es]],autorest[autor_es],autorest[bio_es])</f>
        <v>Filósofo educador y esoterista austriaco fundador de la Antroposofía y la pedagogía Waldorf. Creó en 1919 la primera escuela Waldorf en Stuttgart basada en una educación artística y espiritual del ser humano completo cuerpo alma y espíritu. Desarrolló la teoría de los septenios tres etapas de siete años en el desarrollo infantil. Revolucionó la educación enfatizando el arte la imaginación y el desarrollo integral.</v>
      </c>
      <c r="I539" t="str">
        <f>_xlfn.XLOOKUP(frasest[[#This Row],[autor_es]],autorest[autor_es],autorest[bio_la])</f>
        <v>Philosophus educator et esotericus Austriacus fundator Anthroposophiae et paedagogiae Waldorf. Anno 1919 primam scholam Waldorf Stuttgartiae creavit in educatione artistica et spirituali hominis completi corporis animae et spiritus fundatam. Theoriam septenniorum trium stadiorum septem annorum in progressu infantili elaboravit. Educationem revolutionavit artem imaginationem et progressum integralem emphasizans.</v>
      </c>
      <c r="J539" t="str">
        <f>_xlfn.XLOOKUP(frasest[[#This Row],[autor_es]],autorest[autor_es],autorest[codigo])</f>
        <v>de</v>
      </c>
      <c r="K539" t="str">
        <f>_xlfn.XLOOKUP(frasest[[#This Row],[autor_es]],autorest[autor_es],autorest[idioma_es])</f>
        <v>Alemán</v>
      </c>
      <c r="L539" t="str">
        <f>_xlfn.XLOOKUP(frasest[[#This Row],[autor_es]],autorest[autor_es],autorest[idioma_la])</f>
        <v>Lingua Germanica</v>
      </c>
      <c r="M539" t="str">
        <f>_xlfn.XLOOKUP(frasest[[#This Row],[autor_es]],autorest[autor_es],autorest[nacion_es])</f>
        <v>Austria</v>
      </c>
      <c r="N539" t="str">
        <f>_xlfn.XLOOKUP(frasest[[#This Row],[autor_es]],autorest[autor_es],autorest[nacion_la])</f>
        <v>Austria</v>
      </c>
      <c r="O539" t="str">
        <f>_xlfn.XLOOKUP(frasest[[#This Row],[autor_es]],autorest[autor_es],autorest[epoca_es])</f>
        <v>Edad Contemporánea</v>
      </c>
      <c r="P539" t="str">
        <f>_xlfn.XLOOKUP(frasest[[#This Row],[autor_es]],autorest[autor_es],autorest[epoca_la])</f>
        <v>Aetas Contemporanea</v>
      </c>
      <c r="Q539" t="str">
        <f>_xlfn.XLOOKUP(frasest[[#This Row],[autor_es]],autorest[autor_es],autorest[imagen])</f>
        <v>https://i.ibb.co/S7Bw3Wgz/steiner.png</v>
      </c>
      <c r="R539">
        <f>_xlfn.XLOOKUP(frasest[[#This Row],[autor_es]],autorest[autor_es],autorest[imagen_atr])</f>
        <v>0</v>
      </c>
    </row>
    <row r="540" spans="1:18">
      <c r="A540">
        <v>539</v>
      </c>
      <c r="B540" t="s">
        <v>1836</v>
      </c>
      <c r="C540" t="s">
        <v>1837</v>
      </c>
      <c r="D540" t="s">
        <v>1838</v>
      </c>
      <c r="E540" t="s">
        <v>1825</v>
      </c>
      <c r="F540" t="s">
        <v>1826</v>
      </c>
      <c r="G540" t="str">
        <f>_xlfn.XLOOKUP(frasest[[#This Row],[autor_es]],autorest[autor_es],autorest[autor_la])</f>
        <v>Rudolphus Steiner</v>
      </c>
      <c r="H540" t="str">
        <f>_xlfn.XLOOKUP(frasest[[#This Row],[autor_es]],autorest[autor_es],autorest[bio_es])</f>
        <v>Filósofo educador y esoterista austriaco fundador de la Antroposofía y la pedagogía Waldorf. Creó en 1919 la primera escuela Waldorf en Stuttgart basada en una educación artística y espiritual del ser humano completo cuerpo alma y espíritu. Desarrolló la teoría de los septenios tres etapas de siete años en el desarrollo infantil. Revolucionó la educación enfatizando el arte la imaginación y el desarrollo integral.</v>
      </c>
      <c r="I540" t="str">
        <f>_xlfn.XLOOKUP(frasest[[#This Row],[autor_es]],autorest[autor_es],autorest[bio_la])</f>
        <v>Philosophus educator et esotericus Austriacus fundator Anthroposophiae et paedagogiae Waldorf. Anno 1919 primam scholam Waldorf Stuttgartiae creavit in educatione artistica et spirituali hominis completi corporis animae et spiritus fundatam. Theoriam septenniorum trium stadiorum septem annorum in progressu infantili elaboravit. Educationem revolutionavit artem imaginationem et progressum integralem emphasizans.</v>
      </c>
      <c r="J540" t="str">
        <f>_xlfn.XLOOKUP(frasest[[#This Row],[autor_es]],autorest[autor_es],autorest[codigo])</f>
        <v>de</v>
      </c>
      <c r="K540" t="str">
        <f>_xlfn.XLOOKUP(frasest[[#This Row],[autor_es]],autorest[autor_es],autorest[idioma_es])</f>
        <v>Alemán</v>
      </c>
      <c r="L540" t="str">
        <f>_xlfn.XLOOKUP(frasest[[#This Row],[autor_es]],autorest[autor_es],autorest[idioma_la])</f>
        <v>Lingua Germanica</v>
      </c>
      <c r="M540" t="str">
        <f>_xlfn.XLOOKUP(frasest[[#This Row],[autor_es]],autorest[autor_es],autorest[nacion_es])</f>
        <v>Austria</v>
      </c>
      <c r="N540" t="str">
        <f>_xlfn.XLOOKUP(frasest[[#This Row],[autor_es]],autorest[autor_es],autorest[nacion_la])</f>
        <v>Austria</v>
      </c>
      <c r="O540" t="str">
        <f>_xlfn.XLOOKUP(frasest[[#This Row],[autor_es]],autorest[autor_es],autorest[epoca_es])</f>
        <v>Edad Contemporánea</v>
      </c>
      <c r="P540" t="str">
        <f>_xlfn.XLOOKUP(frasest[[#This Row],[autor_es]],autorest[autor_es],autorest[epoca_la])</f>
        <v>Aetas Contemporanea</v>
      </c>
      <c r="Q540" t="str">
        <f>_xlfn.XLOOKUP(frasest[[#This Row],[autor_es]],autorest[autor_es],autorest[imagen])</f>
        <v>https://i.ibb.co/S7Bw3Wgz/steiner.png</v>
      </c>
      <c r="R540">
        <f>_xlfn.XLOOKUP(frasest[[#This Row],[autor_es]],autorest[autor_es],autorest[imagen_atr])</f>
        <v>0</v>
      </c>
    </row>
    <row r="541" spans="1:18">
      <c r="A541">
        <v>540</v>
      </c>
      <c r="B541" t="s">
        <v>1839</v>
      </c>
      <c r="C541" t="s">
        <v>1840</v>
      </c>
      <c r="D541" t="s">
        <v>1841</v>
      </c>
      <c r="E541" t="s">
        <v>1825</v>
      </c>
      <c r="F541" t="s">
        <v>1826</v>
      </c>
      <c r="G541" t="str">
        <f>_xlfn.XLOOKUP(frasest[[#This Row],[autor_es]],autorest[autor_es],autorest[autor_la])</f>
        <v>Rudolphus Steiner</v>
      </c>
      <c r="H541" t="str">
        <f>_xlfn.XLOOKUP(frasest[[#This Row],[autor_es]],autorest[autor_es],autorest[bio_es])</f>
        <v>Filósofo educador y esoterista austriaco fundador de la Antroposofía y la pedagogía Waldorf. Creó en 1919 la primera escuela Waldorf en Stuttgart basada en una educación artística y espiritual del ser humano completo cuerpo alma y espíritu. Desarrolló la teoría de los septenios tres etapas de siete años en el desarrollo infantil. Revolucionó la educación enfatizando el arte la imaginación y el desarrollo integral.</v>
      </c>
      <c r="I541" t="str">
        <f>_xlfn.XLOOKUP(frasest[[#This Row],[autor_es]],autorest[autor_es],autorest[bio_la])</f>
        <v>Philosophus educator et esotericus Austriacus fundator Anthroposophiae et paedagogiae Waldorf. Anno 1919 primam scholam Waldorf Stuttgartiae creavit in educatione artistica et spirituali hominis completi corporis animae et spiritus fundatam. Theoriam septenniorum trium stadiorum septem annorum in progressu infantili elaboravit. Educationem revolutionavit artem imaginationem et progressum integralem emphasizans.</v>
      </c>
      <c r="J541" t="str">
        <f>_xlfn.XLOOKUP(frasest[[#This Row],[autor_es]],autorest[autor_es],autorest[codigo])</f>
        <v>de</v>
      </c>
      <c r="K541" t="str">
        <f>_xlfn.XLOOKUP(frasest[[#This Row],[autor_es]],autorest[autor_es],autorest[idioma_es])</f>
        <v>Alemán</v>
      </c>
      <c r="L541" t="str">
        <f>_xlfn.XLOOKUP(frasest[[#This Row],[autor_es]],autorest[autor_es],autorest[idioma_la])</f>
        <v>Lingua Germanica</v>
      </c>
      <c r="M541" t="str">
        <f>_xlfn.XLOOKUP(frasest[[#This Row],[autor_es]],autorest[autor_es],autorest[nacion_es])</f>
        <v>Austria</v>
      </c>
      <c r="N541" t="str">
        <f>_xlfn.XLOOKUP(frasest[[#This Row],[autor_es]],autorest[autor_es],autorest[nacion_la])</f>
        <v>Austria</v>
      </c>
      <c r="O541" t="str">
        <f>_xlfn.XLOOKUP(frasest[[#This Row],[autor_es]],autorest[autor_es],autorest[epoca_es])</f>
        <v>Edad Contemporánea</v>
      </c>
      <c r="P541" t="str">
        <f>_xlfn.XLOOKUP(frasest[[#This Row],[autor_es]],autorest[autor_es],autorest[epoca_la])</f>
        <v>Aetas Contemporanea</v>
      </c>
      <c r="Q541" t="str">
        <f>_xlfn.XLOOKUP(frasest[[#This Row],[autor_es]],autorest[autor_es],autorest[imagen])</f>
        <v>https://i.ibb.co/S7Bw3Wgz/steiner.png</v>
      </c>
      <c r="R541">
        <f>_xlfn.XLOOKUP(frasest[[#This Row],[autor_es]],autorest[autor_es],autorest[imagen_atr])</f>
        <v>0</v>
      </c>
    </row>
    <row r="542" spans="1:18">
      <c r="A542">
        <v>541</v>
      </c>
      <c r="B542" t="s">
        <v>1842</v>
      </c>
      <c r="C542" t="s">
        <v>1843</v>
      </c>
      <c r="D542" t="s">
        <v>1844</v>
      </c>
      <c r="E542" t="s">
        <v>1825</v>
      </c>
      <c r="F542" t="s">
        <v>1826</v>
      </c>
      <c r="G542" t="str">
        <f>_xlfn.XLOOKUP(frasest[[#This Row],[autor_es]],autorest[autor_es],autorest[autor_la])</f>
        <v>Rudolphus Steiner</v>
      </c>
      <c r="H542" t="str">
        <f>_xlfn.XLOOKUP(frasest[[#This Row],[autor_es]],autorest[autor_es],autorest[bio_es])</f>
        <v>Filósofo educador y esoterista austriaco fundador de la Antroposofía y la pedagogía Waldorf. Creó en 1919 la primera escuela Waldorf en Stuttgart basada en una educación artística y espiritual del ser humano completo cuerpo alma y espíritu. Desarrolló la teoría de los septenios tres etapas de siete años en el desarrollo infantil. Revolucionó la educación enfatizando el arte la imaginación y el desarrollo integral.</v>
      </c>
      <c r="I542" t="str">
        <f>_xlfn.XLOOKUP(frasest[[#This Row],[autor_es]],autorest[autor_es],autorest[bio_la])</f>
        <v>Philosophus educator et esotericus Austriacus fundator Anthroposophiae et paedagogiae Waldorf. Anno 1919 primam scholam Waldorf Stuttgartiae creavit in educatione artistica et spirituali hominis completi corporis animae et spiritus fundatam. Theoriam septenniorum trium stadiorum septem annorum in progressu infantili elaboravit. Educationem revolutionavit artem imaginationem et progressum integralem emphasizans.</v>
      </c>
      <c r="J542" t="str">
        <f>_xlfn.XLOOKUP(frasest[[#This Row],[autor_es]],autorest[autor_es],autorest[codigo])</f>
        <v>de</v>
      </c>
      <c r="K542" t="str">
        <f>_xlfn.XLOOKUP(frasest[[#This Row],[autor_es]],autorest[autor_es],autorest[idioma_es])</f>
        <v>Alemán</v>
      </c>
      <c r="L542" t="str">
        <f>_xlfn.XLOOKUP(frasest[[#This Row],[autor_es]],autorest[autor_es],autorest[idioma_la])</f>
        <v>Lingua Germanica</v>
      </c>
      <c r="M542" t="str">
        <f>_xlfn.XLOOKUP(frasest[[#This Row],[autor_es]],autorest[autor_es],autorest[nacion_es])</f>
        <v>Austria</v>
      </c>
      <c r="N542" t="str">
        <f>_xlfn.XLOOKUP(frasest[[#This Row],[autor_es]],autorest[autor_es],autorest[nacion_la])</f>
        <v>Austria</v>
      </c>
      <c r="O542" t="str">
        <f>_xlfn.XLOOKUP(frasest[[#This Row],[autor_es]],autorest[autor_es],autorest[epoca_es])</f>
        <v>Edad Contemporánea</v>
      </c>
      <c r="P542" t="str">
        <f>_xlfn.XLOOKUP(frasest[[#This Row],[autor_es]],autorest[autor_es],autorest[epoca_la])</f>
        <v>Aetas Contemporanea</v>
      </c>
      <c r="Q542" t="str">
        <f>_xlfn.XLOOKUP(frasest[[#This Row],[autor_es]],autorest[autor_es],autorest[imagen])</f>
        <v>https://i.ibb.co/S7Bw3Wgz/steiner.png</v>
      </c>
      <c r="R542">
        <f>_xlfn.XLOOKUP(frasest[[#This Row],[autor_es]],autorest[autor_es],autorest[imagen_atr])</f>
        <v>0</v>
      </c>
    </row>
    <row r="543" spans="1:18">
      <c r="A543">
        <v>542</v>
      </c>
      <c r="B543" t="s">
        <v>1845</v>
      </c>
      <c r="C543" t="s">
        <v>1846</v>
      </c>
      <c r="D543" t="s">
        <v>1847</v>
      </c>
      <c r="E543" t="s">
        <v>1825</v>
      </c>
      <c r="F543" t="s">
        <v>1826</v>
      </c>
      <c r="G543" t="str">
        <f>_xlfn.XLOOKUP(frasest[[#This Row],[autor_es]],autorest[autor_es],autorest[autor_la])</f>
        <v>Rudolphus Steiner</v>
      </c>
      <c r="H543" t="str">
        <f>_xlfn.XLOOKUP(frasest[[#This Row],[autor_es]],autorest[autor_es],autorest[bio_es])</f>
        <v>Filósofo educador y esoterista austriaco fundador de la Antroposofía y la pedagogía Waldorf. Creó en 1919 la primera escuela Waldorf en Stuttgart basada en una educación artística y espiritual del ser humano completo cuerpo alma y espíritu. Desarrolló la teoría de los septenios tres etapas de siete años en el desarrollo infantil. Revolucionó la educación enfatizando el arte la imaginación y el desarrollo integral.</v>
      </c>
      <c r="I543" t="str">
        <f>_xlfn.XLOOKUP(frasest[[#This Row],[autor_es]],autorest[autor_es],autorest[bio_la])</f>
        <v>Philosophus educator et esotericus Austriacus fundator Anthroposophiae et paedagogiae Waldorf. Anno 1919 primam scholam Waldorf Stuttgartiae creavit in educatione artistica et spirituali hominis completi corporis animae et spiritus fundatam. Theoriam septenniorum trium stadiorum septem annorum in progressu infantili elaboravit. Educationem revolutionavit artem imaginationem et progressum integralem emphasizans.</v>
      </c>
      <c r="J543" t="str">
        <f>_xlfn.XLOOKUP(frasest[[#This Row],[autor_es]],autorest[autor_es],autorest[codigo])</f>
        <v>de</v>
      </c>
      <c r="K543" t="str">
        <f>_xlfn.XLOOKUP(frasest[[#This Row],[autor_es]],autorest[autor_es],autorest[idioma_es])</f>
        <v>Alemán</v>
      </c>
      <c r="L543" t="str">
        <f>_xlfn.XLOOKUP(frasest[[#This Row],[autor_es]],autorest[autor_es],autorest[idioma_la])</f>
        <v>Lingua Germanica</v>
      </c>
      <c r="M543" t="str">
        <f>_xlfn.XLOOKUP(frasest[[#This Row],[autor_es]],autorest[autor_es],autorest[nacion_es])</f>
        <v>Austria</v>
      </c>
      <c r="N543" t="str">
        <f>_xlfn.XLOOKUP(frasest[[#This Row],[autor_es]],autorest[autor_es],autorest[nacion_la])</f>
        <v>Austria</v>
      </c>
      <c r="O543" t="str">
        <f>_xlfn.XLOOKUP(frasest[[#This Row],[autor_es]],autorest[autor_es],autorest[epoca_es])</f>
        <v>Edad Contemporánea</v>
      </c>
      <c r="P543" t="str">
        <f>_xlfn.XLOOKUP(frasest[[#This Row],[autor_es]],autorest[autor_es],autorest[epoca_la])</f>
        <v>Aetas Contemporanea</v>
      </c>
      <c r="Q543" t="str">
        <f>_xlfn.XLOOKUP(frasest[[#This Row],[autor_es]],autorest[autor_es],autorest[imagen])</f>
        <v>https://i.ibb.co/S7Bw3Wgz/steiner.png</v>
      </c>
      <c r="R543">
        <f>_xlfn.XLOOKUP(frasest[[#This Row],[autor_es]],autorest[autor_es],autorest[imagen_atr])</f>
        <v>0</v>
      </c>
    </row>
    <row r="544" spans="1:18">
      <c r="A544">
        <v>543</v>
      </c>
      <c r="B544" t="s">
        <v>1848</v>
      </c>
      <c r="C544" t="s">
        <v>1849</v>
      </c>
      <c r="D544" t="s">
        <v>1848</v>
      </c>
      <c r="E544" t="s">
        <v>1850</v>
      </c>
      <c r="F544" t="s">
        <v>1851</v>
      </c>
      <c r="G544" t="str">
        <f>_xlfn.XLOOKUP(frasest[[#This Row],[autor_es]],autorest[autor_es],autorest[autor_la])</f>
        <v>Gabriela Mistral</v>
      </c>
      <c r="H544" t="str">
        <f>_xlfn.XLOOKUP(frasest[[#This Row],[autor_es]],autorest[autor_es],autorest[bio_es])</f>
        <v>Poetisa pedagoga diplomática y activista chilena. Primera mujer hispanoamericana en recibir el Premio Nobel de Literatura en 1945. Maestra rural devota dedicó su vida a la educación de los niños pobres. Su obra pedagógica enfatiza el amor maternal en la enseñanza y la responsabilidad social del maestro. Autora de la célebre Oración de la Maestra y numerosos pensamientos pedagógicos de extraordinaria belleza lírica.</v>
      </c>
      <c r="I544" t="str">
        <f>_xlfn.XLOOKUP(frasest[[#This Row],[autor_es]],autorest[autor_es],autorest[bio_la])</f>
        <v>Poetisa paedagoga diplomatica et activista Chilensis. Prima mulier Hispane Americana Praemium Nobel Litterarum anno 1945 recepit. Magistra ruralis devota vitam suam educationi puerorum pauperum dedicavit. Opus paedagogicum eius amorem maternum in docendo et responsabilitatem socialem magistri emphasizat. Auctor celebris Orationis Magistrae et numerosorum cogitationum paedagogicarum extraordinariae pulchritudinis lyricae.</v>
      </c>
      <c r="J544" t="str">
        <f>_xlfn.XLOOKUP(frasest[[#This Row],[autor_es]],autorest[autor_es],autorest[codigo])</f>
        <v>es</v>
      </c>
      <c r="K544" t="str">
        <f>_xlfn.XLOOKUP(frasest[[#This Row],[autor_es]],autorest[autor_es],autorest[idioma_es])</f>
        <v>Español</v>
      </c>
      <c r="L544" t="str">
        <f>_xlfn.XLOOKUP(frasest[[#This Row],[autor_es]],autorest[autor_es],autorest[idioma_la])</f>
        <v>Lingua Hispanica</v>
      </c>
      <c r="M544" t="str">
        <f>_xlfn.XLOOKUP(frasest[[#This Row],[autor_es]],autorest[autor_es],autorest[nacion_es])</f>
        <v>Chile</v>
      </c>
      <c r="N544" t="str">
        <f>_xlfn.XLOOKUP(frasest[[#This Row],[autor_es]],autorest[autor_es],autorest[nacion_la])</f>
        <v>Chili</v>
      </c>
      <c r="O544" t="str">
        <f>_xlfn.XLOOKUP(frasest[[#This Row],[autor_es]],autorest[autor_es],autorest[epoca_es])</f>
        <v>Edad Contemporánea</v>
      </c>
      <c r="P544" t="str">
        <f>_xlfn.XLOOKUP(frasest[[#This Row],[autor_es]],autorest[autor_es],autorest[epoca_la])</f>
        <v>Aetas Contemporanea</v>
      </c>
      <c r="Q544" t="str">
        <f>_xlfn.XLOOKUP(frasest[[#This Row],[autor_es]],autorest[autor_es],autorest[imagen])</f>
        <v>https://i.ibb.co/XTz1rHj/gabrielamistral.png</v>
      </c>
      <c r="R544">
        <f>_xlfn.XLOOKUP(frasest[[#This Row],[autor_es]],autorest[autor_es],autorest[imagen_atr])</f>
        <v>0</v>
      </c>
    </row>
    <row r="545" spans="1:18">
      <c r="A545">
        <v>544</v>
      </c>
      <c r="B545" t="s">
        <v>1852</v>
      </c>
      <c r="C545" t="s">
        <v>1853</v>
      </c>
      <c r="D545" t="s">
        <v>1852</v>
      </c>
      <c r="E545" t="s">
        <v>1850</v>
      </c>
      <c r="F545" t="s">
        <v>1854</v>
      </c>
      <c r="G545" t="str">
        <f>_xlfn.XLOOKUP(frasest[[#This Row],[autor_es]],autorest[autor_es],autorest[autor_la])</f>
        <v>Gabriela Mistral</v>
      </c>
      <c r="H545" t="str">
        <f>_xlfn.XLOOKUP(frasest[[#This Row],[autor_es]],autorest[autor_es],autorest[bio_es])</f>
        <v>Poetisa pedagoga diplomática y activista chilena. Primera mujer hispanoamericana en recibir el Premio Nobel de Literatura en 1945. Maestra rural devota dedicó su vida a la educación de los niños pobres. Su obra pedagógica enfatiza el amor maternal en la enseñanza y la responsabilidad social del maestro. Autora de la célebre Oración de la Maestra y numerosos pensamientos pedagógicos de extraordinaria belleza lírica.</v>
      </c>
      <c r="I545" t="str">
        <f>_xlfn.XLOOKUP(frasest[[#This Row],[autor_es]],autorest[autor_es],autorest[bio_la])</f>
        <v>Poetisa paedagoga diplomatica et activista Chilensis. Prima mulier Hispane Americana Praemium Nobel Litterarum anno 1945 recepit. Magistra ruralis devota vitam suam educationi puerorum pauperum dedicavit. Opus paedagogicum eius amorem maternum in docendo et responsabilitatem socialem magistri emphasizat. Auctor celebris Orationis Magistrae et numerosorum cogitationum paedagogicarum extraordinariae pulchritudinis lyricae.</v>
      </c>
      <c r="J545" t="str">
        <f>_xlfn.XLOOKUP(frasest[[#This Row],[autor_es]],autorest[autor_es],autorest[codigo])</f>
        <v>es</v>
      </c>
      <c r="K545" t="str">
        <f>_xlfn.XLOOKUP(frasest[[#This Row],[autor_es]],autorest[autor_es],autorest[idioma_es])</f>
        <v>Español</v>
      </c>
      <c r="L545" t="str">
        <f>_xlfn.XLOOKUP(frasest[[#This Row],[autor_es]],autorest[autor_es],autorest[idioma_la])</f>
        <v>Lingua Hispanica</v>
      </c>
      <c r="M545" t="str">
        <f>_xlfn.XLOOKUP(frasest[[#This Row],[autor_es]],autorest[autor_es],autorest[nacion_es])</f>
        <v>Chile</v>
      </c>
      <c r="N545" t="str">
        <f>_xlfn.XLOOKUP(frasest[[#This Row],[autor_es]],autorest[autor_es],autorest[nacion_la])</f>
        <v>Chili</v>
      </c>
      <c r="O545" t="str">
        <f>_xlfn.XLOOKUP(frasest[[#This Row],[autor_es]],autorest[autor_es],autorest[epoca_es])</f>
        <v>Edad Contemporánea</v>
      </c>
      <c r="P545" t="str">
        <f>_xlfn.XLOOKUP(frasest[[#This Row],[autor_es]],autorest[autor_es],autorest[epoca_la])</f>
        <v>Aetas Contemporanea</v>
      </c>
      <c r="Q545" t="str">
        <f>_xlfn.XLOOKUP(frasest[[#This Row],[autor_es]],autorest[autor_es],autorest[imagen])</f>
        <v>https://i.ibb.co/XTz1rHj/gabrielamistral.png</v>
      </c>
      <c r="R545">
        <f>_xlfn.XLOOKUP(frasest[[#This Row],[autor_es]],autorest[autor_es],autorest[imagen_atr])</f>
        <v>0</v>
      </c>
    </row>
    <row r="546" spans="1:18">
      <c r="A546">
        <v>545</v>
      </c>
      <c r="B546" t="s">
        <v>1855</v>
      </c>
      <c r="C546" t="s">
        <v>1856</v>
      </c>
      <c r="D546" t="s">
        <v>1855</v>
      </c>
      <c r="E546" t="s">
        <v>1850</v>
      </c>
      <c r="F546" t="s">
        <v>1857</v>
      </c>
      <c r="G546" t="str">
        <f>_xlfn.XLOOKUP(frasest[[#This Row],[autor_es]],autorest[autor_es],autorest[autor_la])</f>
        <v>Gabriela Mistral</v>
      </c>
      <c r="H546" t="str">
        <f>_xlfn.XLOOKUP(frasest[[#This Row],[autor_es]],autorest[autor_es],autorest[bio_es])</f>
        <v>Poetisa pedagoga diplomática y activista chilena. Primera mujer hispanoamericana en recibir el Premio Nobel de Literatura en 1945. Maestra rural devota dedicó su vida a la educación de los niños pobres. Su obra pedagógica enfatiza el amor maternal en la enseñanza y la responsabilidad social del maestro. Autora de la célebre Oración de la Maestra y numerosos pensamientos pedagógicos de extraordinaria belleza lírica.</v>
      </c>
      <c r="I546" t="str">
        <f>_xlfn.XLOOKUP(frasest[[#This Row],[autor_es]],autorest[autor_es],autorest[bio_la])</f>
        <v>Poetisa paedagoga diplomatica et activista Chilensis. Prima mulier Hispane Americana Praemium Nobel Litterarum anno 1945 recepit. Magistra ruralis devota vitam suam educationi puerorum pauperum dedicavit. Opus paedagogicum eius amorem maternum in docendo et responsabilitatem socialem magistri emphasizat. Auctor celebris Orationis Magistrae et numerosorum cogitationum paedagogicarum extraordinariae pulchritudinis lyricae.</v>
      </c>
      <c r="J546" t="str">
        <f>_xlfn.XLOOKUP(frasest[[#This Row],[autor_es]],autorest[autor_es],autorest[codigo])</f>
        <v>es</v>
      </c>
      <c r="K546" t="str">
        <f>_xlfn.XLOOKUP(frasest[[#This Row],[autor_es]],autorest[autor_es],autorest[idioma_es])</f>
        <v>Español</v>
      </c>
      <c r="L546" t="str">
        <f>_xlfn.XLOOKUP(frasest[[#This Row],[autor_es]],autorest[autor_es],autorest[idioma_la])</f>
        <v>Lingua Hispanica</v>
      </c>
      <c r="M546" t="str">
        <f>_xlfn.XLOOKUP(frasest[[#This Row],[autor_es]],autorest[autor_es],autorest[nacion_es])</f>
        <v>Chile</v>
      </c>
      <c r="N546" t="str">
        <f>_xlfn.XLOOKUP(frasest[[#This Row],[autor_es]],autorest[autor_es],autorest[nacion_la])</f>
        <v>Chili</v>
      </c>
      <c r="O546" t="str">
        <f>_xlfn.XLOOKUP(frasest[[#This Row],[autor_es]],autorest[autor_es],autorest[epoca_es])</f>
        <v>Edad Contemporánea</v>
      </c>
      <c r="P546" t="str">
        <f>_xlfn.XLOOKUP(frasest[[#This Row],[autor_es]],autorest[autor_es],autorest[epoca_la])</f>
        <v>Aetas Contemporanea</v>
      </c>
      <c r="Q546" t="str">
        <f>_xlfn.XLOOKUP(frasest[[#This Row],[autor_es]],autorest[autor_es],autorest[imagen])</f>
        <v>https://i.ibb.co/XTz1rHj/gabrielamistral.png</v>
      </c>
      <c r="R546">
        <f>_xlfn.XLOOKUP(frasest[[#This Row],[autor_es]],autorest[autor_es],autorest[imagen_atr])</f>
        <v>0</v>
      </c>
    </row>
    <row r="547" spans="1:18">
      <c r="A547">
        <v>546</v>
      </c>
      <c r="B547" t="s">
        <v>1858</v>
      </c>
      <c r="C547" t="s">
        <v>1859</v>
      </c>
      <c r="D547" t="s">
        <v>1858</v>
      </c>
      <c r="E547" t="s">
        <v>1850</v>
      </c>
      <c r="F547" t="s">
        <v>1860</v>
      </c>
      <c r="G547" t="str">
        <f>_xlfn.XLOOKUP(frasest[[#This Row],[autor_es]],autorest[autor_es],autorest[autor_la])</f>
        <v>Gabriela Mistral</v>
      </c>
      <c r="H547" t="str">
        <f>_xlfn.XLOOKUP(frasest[[#This Row],[autor_es]],autorest[autor_es],autorest[bio_es])</f>
        <v>Poetisa pedagoga diplomática y activista chilena. Primera mujer hispanoamericana en recibir el Premio Nobel de Literatura en 1945. Maestra rural devota dedicó su vida a la educación de los niños pobres. Su obra pedagógica enfatiza el amor maternal en la enseñanza y la responsabilidad social del maestro. Autora de la célebre Oración de la Maestra y numerosos pensamientos pedagógicos de extraordinaria belleza lírica.</v>
      </c>
      <c r="I547" t="str">
        <f>_xlfn.XLOOKUP(frasest[[#This Row],[autor_es]],autorest[autor_es],autorest[bio_la])</f>
        <v>Poetisa paedagoga diplomatica et activista Chilensis. Prima mulier Hispane Americana Praemium Nobel Litterarum anno 1945 recepit. Magistra ruralis devota vitam suam educationi puerorum pauperum dedicavit. Opus paedagogicum eius amorem maternum in docendo et responsabilitatem socialem magistri emphasizat. Auctor celebris Orationis Magistrae et numerosorum cogitationum paedagogicarum extraordinariae pulchritudinis lyricae.</v>
      </c>
      <c r="J547" t="str">
        <f>_xlfn.XLOOKUP(frasest[[#This Row],[autor_es]],autorest[autor_es],autorest[codigo])</f>
        <v>es</v>
      </c>
      <c r="K547" t="str">
        <f>_xlfn.XLOOKUP(frasest[[#This Row],[autor_es]],autorest[autor_es],autorest[idioma_es])</f>
        <v>Español</v>
      </c>
      <c r="L547" t="str">
        <f>_xlfn.XLOOKUP(frasest[[#This Row],[autor_es]],autorest[autor_es],autorest[idioma_la])</f>
        <v>Lingua Hispanica</v>
      </c>
      <c r="M547" t="str">
        <f>_xlfn.XLOOKUP(frasest[[#This Row],[autor_es]],autorest[autor_es],autorest[nacion_es])</f>
        <v>Chile</v>
      </c>
      <c r="N547" t="str">
        <f>_xlfn.XLOOKUP(frasest[[#This Row],[autor_es]],autorest[autor_es],autorest[nacion_la])</f>
        <v>Chili</v>
      </c>
      <c r="O547" t="str">
        <f>_xlfn.XLOOKUP(frasest[[#This Row],[autor_es]],autorest[autor_es],autorest[epoca_es])</f>
        <v>Edad Contemporánea</v>
      </c>
      <c r="P547" t="str">
        <f>_xlfn.XLOOKUP(frasest[[#This Row],[autor_es]],autorest[autor_es],autorest[epoca_la])</f>
        <v>Aetas Contemporanea</v>
      </c>
      <c r="Q547" t="str">
        <f>_xlfn.XLOOKUP(frasest[[#This Row],[autor_es]],autorest[autor_es],autorest[imagen])</f>
        <v>https://i.ibb.co/XTz1rHj/gabrielamistral.png</v>
      </c>
      <c r="R547">
        <f>_xlfn.XLOOKUP(frasest[[#This Row],[autor_es]],autorest[autor_es],autorest[imagen_atr])</f>
        <v>0</v>
      </c>
    </row>
    <row r="548" spans="1:18">
      <c r="A548">
        <v>547</v>
      </c>
      <c r="B548" t="s">
        <v>1861</v>
      </c>
      <c r="C548" t="s">
        <v>1862</v>
      </c>
      <c r="D548" t="s">
        <v>1861</v>
      </c>
      <c r="E548" t="s">
        <v>1850</v>
      </c>
      <c r="F548" t="s">
        <v>1863</v>
      </c>
      <c r="G548" t="str">
        <f>_xlfn.XLOOKUP(frasest[[#This Row],[autor_es]],autorest[autor_es],autorest[autor_la])</f>
        <v>Gabriela Mistral</v>
      </c>
      <c r="H548" t="str">
        <f>_xlfn.XLOOKUP(frasest[[#This Row],[autor_es]],autorest[autor_es],autorest[bio_es])</f>
        <v>Poetisa pedagoga diplomática y activista chilena. Primera mujer hispanoamericana en recibir el Premio Nobel de Literatura en 1945. Maestra rural devota dedicó su vida a la educación de los niños pobres. Su obra pedagógica enfatiza el amor maternal en la enseñanza y la responsabilidad social del maestro. Autora de la célebre Oración de la Maestra y numerosos pensamientos pedagógicos de extraordinaria belleza lírica.</v>
      </c>
      <c r="I548" t="str">
        <f>_xlfn.XLOOKUP(frasest[[#This Row],[autor_es]],autorest[autor_es],autorest[bio_la])</f>
        <v>Poetisa paedagoga diplomatica et activista Chilensis. Prima mulier Hispane Americana Praemium Nobel Litterarum anno 1945 recepit. Magistra ruralis devota vitam suam educationi puerorum pauperum dedicavit. Opus paedagogicum eius amorem maternum in docendo et responsabilitatem socialem magistri emphasizat. Auctor celebris Orationis Magistrae et numerosorum cogitationum paedagogicarum extraordinariae pulchritudinis lyricae.</v>
      </c>
      <c r="J548" t="str">
        <f>_xlfn.XLOOKUP(frasest[[#This Row],[autor_es]],autorest[autor_es],autorest[codigo])</f>
        <v>es</v>
      </c>
      <c r="K548" t="str">
        <f>_xlfn.XLOOKUP(frasest[[#This Row],[autor_es]],autorest[autor_es],autorest[idioma_es])</f>
        <v>Español</v>
      </c>
      <c r="L548" t="str">
        <f>_xlfn.XLOOKUP(frasest[[#This Row],[autor_es]],autorest[autor_es],autorest[idioma_la])</f>
        <v>Lingua Hispanica</v>
      </c>
      <c r="M548" t="str">
        <f>_xlfn.XLOOKUP(frasest[[#This Row],[autor_es]],autorest[autor_es],autorest[nacion_es])</f>
        <v>Chile</v>
      </c>
      <c r="N548" t="str">
        <f>_xlfn.XLOOKUP(frasest[[#This Row],[autor_es]],autorest[autor_es],autorest[nacion_la])</f>
        <v>Chili</v>
      </c>
      <c r="O548" t="str">
        <f>_xlfn.XLOOKUP(frasest[[#This Row],[autor_es]],autorest[autor_es],autorest[epoca_es])</f>
        <v>Edad Contemporánea</v>
      </c>
      <c r="P548" t="str">
        <f>_xlfn.XLOOKUP(frasest[[#This Row],[autor_es]],autorest[autor_es],autorest[epoca_la])</f>
        <v>Aetas Contemporanea</v>
      </c>
      <c r="Q548" t="str">
        <f>_xlfn.XLOOKUP(frasest[[#This Row],[autor_es]],autorest[autor_es],autorest[imagen])</f>
        <v>https://i.ibb.co/XTz1rHj/gabrielamistral.png</v>
      </c>
      <c r="R548">
        <f>_xlfn.XLOOKUP(frasest[[#This Row],[autor_es]],autorest[autor_es],autorest[imagen_atr])</f>
        <v>0</v>
      </c>
    </row>
    <row r="549" spans="1:18">
      <c r="A549">
        <v>548</v>
      </c>
      <c r="B549" t="s">
        <v>1864</v>
      </c>
      <c r="C549" t="s">
        <v>1865</v>
      </c>
      <c r="D549" t="s">
        <v>1864</v>
      </c>
      <c r="E549" t="s">
        <v>1850</v>
      </c>
      <c r="F549" t="s">
        <v>1866</v>
      </c>
      <c r="G549" t="str">
        <f>_xlfn.XLOOKUP(frasest[[#This Row],[autor_es]],autorest[autor_es],autorest[autor_la])</f>
        <v>Gabriela Mistral</v>
      </c>
      <c r="H549" t="str">
        <f>_xlfn.XLOOKUP(frasest[[#This Row],[autor_es]],autorest[autor_es],autorest[bio_es])</f>
        <v>Poetisa pedagoga diplomática y activista chilena. Primera mujer hispanoamericana en recibir el Premio Nobel de Literatura en 1945. Maestra rural devota dedicó su vida a la educación de los niños pobres. Su obra pedagógica enfatiza el amor maternal en la enseñanza y la responsabilidad social del maestro. Autora de la célebre Oración de la Maestra y numerosos pensamientos pedagógicos de extraordinaria belleza lírica.</v>
      </c>
      <c r="I549" t="str">
        <f>_xlfn.XLOOKUP(frasest[[#This Row],[autor_es]],autorest[autor_es],autorest[bio_la])</f>
        <v>Poetisa paedagoga diplomatica et activista Chilensis. Prima mulier Hispane Americana Praemium Nobel Litterarum anno 1945 recepit. Magistra ruralis devota vitam suam educationi puerorum pauperum dedicavit. Opus paedagogicum eius amorem maternum in docendo et responsabilitatem socialem magistri emphasizat. Auctor celebris Orationis Magistrae et numerosorum cogitationum paedagogicarum extraordinariae pulchritudinis lyricae.</v>
      </c>
      <c r="J549" t="str">
        <f>_xlfn.XLOOKUP(frasest[[#This Row],[autor_es]],autorest[autor_es],autorest[codigo])</f>
        <v>es</v>
      </c>
      <c r="K549" t="str">
        <f>_xlfn.XLOOKUP(frasest[[#This Row],[autor_es]],autorest[autor_es],autorest[idioma_es])</f>
        <v>Español</v>
      </c>
      <c r="L549" t="str">
        <f>_xlfn.XLOOKUP(frasest[[#This Row],[autor_es]],autorest[autor_es],autorest[idioma_la])</f>
        <v>Lingua Hispanica</v>
      </c>
      <c r="M549" t="str">
        <f>_xlfn.XLOOKUP(frasest[[#This Row],[autor_es]],autorest[autor_es],autorest[nacion_es])</f>
        <v>Chile</v>
      </c>
      <c r="N549" t="str">
        <f>_xlfn.XLOOKUP(frasest[[#This Row],[autor_es]],autorest[autor_es],autorest[nacion_la])</f>
        <v>Chili</v>
      </c>
      <c r="O549" t="str">
        <f>_xlfn.XLOOKUP(frasest[[#This Row],[autor_es]],autorest[autor_es],autorest[epoca_es])</f>
        <v>Edad Contemporánea</v>
      </c>
      <c r="P549" t="str">
        <f>_xlfn.XLOOKUP(frasest[[#This Row],[autor_es]],autorest[autor_es],autorest[epoca_la])</f>
        <v>Aetas Contemporanea</v>
      </c>
      <c r="Q549" t="str">
        <f>_xlfn.XLOOKUP(frasest[[#This Row],[autor_es]],autorest[autor_es],autorest[imagen])</f>
        <v>https://i.ibb.co/XTz1rHj/gabrielamistral.png</v>
      </c>
      <c r="R549">
        <f>_xlfn.XLOOKUP(frasest[[#This Row],[autor_es]],autorest[autor_es],autorest[imagen_atr])</f>
        <v>0</v>
      </c>
    </row>
    <row r="550" spans="1:18">
      <c r="A550">
        <v>549</v>
      </c>
      <c r="B550" t="s">
        <v>1867</v>
      </c>
      <c r="C550" t="s">
        <v>1868</v>
      </c>
      <c r="D550" t="s">
        <v>1867</v>
      </c>
      <c r="E550" t="s">
        <v>1850</v>
      </c>
      <c r="F550" t="s">
        <v>1869</v>
      </c>
      <c r="G550" t="str">
        <f>_xlfn.XLOOKUP(frasest[[#This Row],[autor_es]],autorest[autor_es],autorest[autor_la])</f>
        <v>Gabriela Mistral</v>
      </c>
      <c r="H550" t="str">
        <f>_xlfn.XLOOKUP(frasest[[#This Row],[autor_es]],autorest[autor_es],autorest[bio_es])</f>
        <v>Poetisa pedagoga diplomática y activista chilena. Primera mujer hispanoamericana en recibir el Premio Nobel de Literatura en 1945. Maestra rural devota dedicó su vida a la educación de los niños pobres. Su obra pedagógica enfatiza el amor maternal en la enseñanza y la responsabilidad social del maestro. Autora de la célebre Oración de la Maestra y numerosos pensamientos pedagógicos de extraordinaria belleza lírica.</v>
      </c>
      <c r="I550" t="str">
        <f>_xlfn.XLOOKUP(frasest[[#This Row],[autor_es]],autorest[autor_es],autorest[bio_la])</f>
        <v>Poetisa paedagoga diplomatica et activista Chilensis. Prima mulier Hispane Americana Praemium Nobel Litterarum anno 1945 recepit. Magistra ruralis devota vitam suam educationi puerorum pauperum dedicavit. Opus paedagogicum eius amorem maternum in docendo et responsabilitatem socialem magistri emphasizat. Auctor celebris Orationis Magistrae et numerosorum cogitationum paedagogicarum extraordinariae pulchritudinis lyricae.</v>
      </c>
      <c r="J550" t="str">
        <f>_xlfn.XLOOKUP(frasest[[#This Row],[autor_es]],autorest[autor_es],autorest[codigo])</f>
        <v>es</v>
      </c>
      <c r="K550" t="str">
        <f>_xlfn.XLOOKUP(frasest[[#This Row],[autor_es]],autorest[autor_es],autorest[idioma_es])</f>
        <v>Español</v>
      </c>
      <c r="L550" t="str">
        <f>_xlfn.XLOOKUP(frasest[[#This Row],[autor_es]],autorest[autor_es],autorest[idioma_la])</f>
        <v>Lingua Hispanica</v>
      </c>
      <c r="M550" t="str">
        <f>_xlfn.XLOOKUP(frasest[[#This Row],[autor_es]],autorest[autor_es],autorest[nacion_es])</f>
        <v>Chile</v>
      </c>
      <c r="N550" t="str">
        <f>_xlfn.XLOOKUP(frasest[[#This Row],[autor_es]],autorest[autor_es],autorest[nacion_la])</f>
        <v>Chili</v>
      </c>
      <c r="O550" t="str">
        <f>_xlfn.XLOOKUP(frasest[[#This Row],[autor_es]],autorest[autor_es],autorest[epoca_es])</f>
        <v>Edad Contemporánea</v>
      </c>
      <c r="P550" t="str">
        <f>_xlfn.XLOOKUP(frasest[[#This Row],[autor_es]],autorest[autor_es],autorest[epoca_la])</f>
        <v>Aetas Contemporanea</v>
      </c>
      <c r="Q550" t="str">
        <f>_xlfn.XLOOKUP(frasest[[#This Row],[autor_es]],autorest[autor_es],autorest[imagen])</f>
        <v>https://i.ibb.co/XTz1rHj/gabrielamistral.png</v>
      </c>
      <c r="R550">
        <f>_xlfn.XLOOKUP(frasest[[#This Row],[autor_es]],autorest[autor_es],autorest[imagen_atr])</f>
        <v>0</v>
      </c>
    </row>
    <row r="551" spans="1:18">
      <c r="A551">
        <v>550</v>
      </c>
      <c r="B551" t="s">
        <v>1870</v>
      </c>
      <c r="C551" t="s">
        <v>1871</v>
      </c>
      <c r="D551" t="s">
        <v>1870</v>
      </c>
      <c r="E551" t="s">
        <v>1850</v>
      </c>
      <c r="F551" t="s">
        <v>1872</v>
      </c>
      <c r="G551" t="str">
        <f>_xlfn.XLOOKUP(frasest[[#This Row],[autor_es]],autorest[autor_es],autorest[autor_la])</f>
        <v>Gabriela Mistral</v>
      </c>
      <c r="H551" t="str">
        <f>_xlfn.XLOOKUP(frasest[[#This Row],[autor_es]],autorest[autor_es],autorest[bio_es])</f>
        <v>Poetisa pedagoga diplomática y activista chilena. Primera mujer hispanoamericana en recibir el Premio Nobel de Literatura en 1945. Maestra rural devota dedicó su vida a la educación de los niños pobres. Su obra pedagógica enfatiza el amor maternal en la enseñanza y la responsabilidad social del maestro. Autora de la célebre Oración de la Maestra y numerosos pensamientos pedagógicos de extraordinaria belleza lírica.</v>
      </c>
      <c r="I551" t="str">
        <f>_xlfn.XLOOKUP(frasest[[#This Row],[autor_es]],autorest[autor_es],autorest[bio_la])</f>
        <v>Poetisa paedagoga diplomatica et activista Chilensis. Prima mulier Hispane Americana Praemium Nobel Litterarum anno 1945 recepit. Magistra ruralis devota vitam suam educationi puerorum pauperum dedicavit. Opus paedagogicum eius amorem maternum in docendo et responsabilitatem socialem magistri emphasizat. Auctor celebris Orationis Magistrae et numerosorum cogitationum paedagogicarum extraordinariae pulchritudinis lyricae.</v>
      </c>
      <c r="J551" t="str">
        <f>_xlfn.XLOOKUP(frasest[[#This Row],[autor_es]],autorest[autor_es],autorest[codigo])</f>
        <v>es</v>
      </c>
      <c r="K551" t="str">
        <f>_xlfn.XLOOKUP(frasest[[#This Row],[autor_es]],autorest[autor_es],autorest[idioma_es])</f>
        <v>Español</v>
      </c>
      <c r="L551" t="str">
        <f>_xlfn.XLOOKUP(frasest[[#This Row],[autor_es]],autorest[autor_es],autorest[idioma_la])</f>
        <v>Lingua Hispanica</v>
      </c>
      <c r="M551" t="str">
        <f>_xlfn.XLOOKUP(frasest[[#This Row],[autor_es]],autorest[autor_es],autorest[nacion_es])</f>
        <v>Chile</v>
      </c>
      <c r="N551" t="str">
        <f>_xlfn.XLOOKUP(frasest[[#This Row],[autor_es]],autorest[autor_es],autorest[nacion_la])</f>
        <v>Chili</v>
      </c>
      <c r="O551" t="str">
        <f>_xlfn.XLOOKUP(frasest[[#This Row],[autor_es]],autorest[autor_es],autorest[epoca_es])</f>
        <v>Edad Contemporánea</v>
      </c>
      <c r="P551" t="str">
        <f>_xlfn.XLOOKUP(frasest[[#This Row],[autor_es]],autorest[autor_es],autorest[epoca_la])</f>
        <v>Aetas Contemporanea</v>
      </c>
      <c r="Q551" t="str">
        <f>_xlfn.XLOOKUP(frasest[[#This Row],[autor_es]],autorest[autor_es],autorest[imagen])</f>
        <v>https://i.ibb.co/XTz1rHj/gabrielamistral.png</v>
      </c>
      <c r="R551">
        <f>_xlfn.XLOOKUP(frasest[[#This Row],[autor_es]],autorest[autor_es],autorest[imagen_atr])</f>
        <v>0</v>
      </c>
    </row>
    <row r="552" spans="1:18">
      <c r="A552">
        <v>551</v>
      </c>
      <c r="B552" t="s">
        <v>1873</v>
      </c>
      <c r="C552" t="s">
        <v>1874</v>
      </c>
      <c r="D552" t="s">
        <v>1873</v>
      </c>
      <c r="E552" t="s">
        <v>1850</v>
      </c>
      <c r="F552" t="s">
        <v>1875</v>
      </c>
      <c r="G552" t="str">
        <f>_xlfn.XLOOKUP(frasest[[#This Row],[autor_es]],autorest[autor_es],autorest[autor_la])</f>
        <v>Gabriela Mistral</v>
      </c>
      <c r="H552" t="str">
        <f>_xlfn.XLOOKUP(frasest[[#This Row],[autor_es]],autorest[autor_es],autorest[bio_es])</f>
        <v>Poetisa pedagoga diplomática y activista chilena. Primera mujer hispanoamericana en recibir el Premio Nobel de Literatura en 1945. Maestra rural devota dedicó su vida a la educación de los niños pobres. Su obra pedagógica enfatiza el amor maternal en la enseñanza y la responsabilidad social del maestro. Autora de la célebre Oración de la Maestra y numerosos pensamientos pedagógicos de extraordinaria belleza lírica.</v>
      </c>
      <c r="I552" t="str">
        <f>_xlfn.XLOOKUP(frasest[[#This Row],[autor_es]],autorest[autor_es],autorest[bio_la])</f>
        <v>Poetisa paedagoga diplomatica et activista Chilensis. Prima mulier Hispane Americana Praemium Nobel Litterarum anno 1945 recepit. Magistra ruralis devota vitam suam educationi puerorum pauperum dedicavit. Opus paedagogicum eius amorem maternum in docendo et responsabilitatem socialem magistri emphasizat. Auctor celebris Orationis Magistrae et numerosorum cogitationum paedagogicarum extraordinariae pulchritudinis lyricae.</v>
      </c>
      <c r="J552" t="str">
        <f>_xlfn.XLOOKUP(frasest[[#This Row],[autor_es]],autorest[autor_es],autorest[codigo])</f>
        <v>es</v>
      </c>
      <c r="K552" t="str">
        <f>_xlfn.XLOOKUP(frasest[[#This Row],[autor_es]],autorest[autor_es],autorest[idioma_es])</f>
        <v>Español</v>
      </c>
      <c r="L552" t="str">
        <f>_xlfn.XLOOKUP(frasest[[#This Row],[autor_es]],autorest[autor_es],autorest[idioma_la])</f>
        <v>Lingua Hispanica</v>
      </c>
      <c r="M552" t="str">
        <f>_xlfn.XLOOKUP(frasest[[#This Row],[autor_es]],autorest[autor_es],autorest[nacion_es])</f>
        <v>Chile</v>
      </c>
      <c r="N552" t="str">
        <f>_xlfn.XLOOKUP(frasest[[#This Row],[autor_es]],autorest[autor_es],autorest[nacion_la])</f>
        <v>Chili</v>
      </c>
      <c r="O552" t="str">
        <f>_xlfn.XLOOKUP(frasest[[#This Row],[autor_es]],autorest[autor_es],autorest[epoca_es])</f>
        <v>Edad Contemporánea</v>
      </c>
      <c r="P552" t="str">
        <f>_xlfn.XLOOKUP(frasest[[#This Row],[autor_es]],autorest[autor_es],autorest[epoca_la])</f>
        <v>Aetas Contemporanea</v>
      </c>
      <c r="Q552" t="str">
        <f>_xlfn.XLOOKUP(frasest[[#This Row],[autor_es]],autorest[autor_es],autorest[imagen])</f>
        <v>https://i.ibb.co/XTz1rHj/gabrielamistral.png</v>
      </c>
      <c r="R552">
        <f>_xlfn.XLOOKUP(frasest[[#This Row],[autor_es]],autorest[autor_es],autorest[imagen_atr])</f>
        <v>0</v>
      </c>
    </row>
    <row r="553" spans="1:18">
      <c r="A553">
        <v>552</v>
      </c>
      <c r="B553" t="s">
        <v>1876</v>
      </c>
      <c r="C553" t="s">
        <v>1877</v>
      </c>
      <c r="D553" t="s">
        <v>1876</v>
      </c>
      <c r="E553" t="s">
        <v>1850</v>
      </c>
      <c r="F553" t="s">
        <v>1878</v>
      </c>
      <c r="G553" t="str">
        <f>_xlfn.XLOOKUP(frasest[[#This Row],[autor_es]],autorest[autor_es],autorest[autor_la])</f>
        <v>Gabriela Mistral</v>
      </c>
      <c r="H553" t="str">
        <f>_xlfn.XLOOKUP(frasest[[#This Row],[autor_es]],autorest[autor_es],autorest[bio_es])</f>
        <v>Poetisa pedagoga diplomática y activista chilena. Primera mujer hispanoamericana en recibir el Premio Nobel de Literatura en 1945. Maestra rural devota dedicó su vida a la educación de los niños pobres. Su obra pedagógica enfatiza el amor maternal en la enseñanza y la responsabilidad social del maestro. Autora de la célebre Oración de la Maestra y numerosos pensamientos pedagógicos de extraordinaria belleza lírica.</v>
      </c>
      <c r="I553" t="str">
        <f>_xlfn.XLOOKUP(frasest[[#This Row],[autor_es]],autorest[autor_es],autorest[bio_la])</f>
        <v>Poetisa paedagoga diplomatica et activista Chilensis. Prima mulier Hispane Americana Praemium Nobel Litterarum anno 1945 recepit. Magistra ruralis devota vitam suam educationi puerorum pauperum dedicavit. Opus paedagogicum eius amorem maternum in docendo et responsabilitatem socialem magistri emphasizat. Auctor celebris Orationis Magistrae et numerosorum cogitationum paedagogicarum extraordinariae pulchritudinis lyricae.</v>
      </c>
      <c r="J553" t="str">
        <f>_xlfn.XLOOKUP(frasest[[#This Row],[autor_es]],autorest[autor_es],autorest[codigo])</f>
        <v>es</v>
      </c>
      <c r="K553" t="str">
        <f>_xlfn.XLOOKUP(frasest[[#This Row],[autor_es]],autorest[autor_es],autorest[idioma_es])</f>
        <v>Español</v>
      </c>
      <c r="L553" t="str">
        <f>_xlfn.XLOOKUP(frasest[[#This Row],[autor_es]],autorest[autor_es],autorest[idioma_la])</f>
        <v>Lingua Hispanica</v>
      </c>
      <c r="M553" t="str">
        <f>_xlfn.XLOOKUP(frasest[[#This Row],[autor_es]],autorest[autor_es],autorest[nacion_es])</f>
        <v>Chile</v>
      </c>
      <c r="N553" t="str">
        <f>_xlfn.XLOOKUP(frasest[[#This Row],[autor_es]],autorest[autor_es],autorest[nacion_la])</f>
        <v>Chili</v>
      </c>
      <c r="O553" t="str">
        <f>_xlfn.XLOOKUP(frasest[[#This Row],[autor_es]],autorest[autor_es],autorest[epoca_es])</f>
        <v>Edad Contemporánea</v>
      </c>
      <c r="P553" t="str">
        <f>_xlfn.XLOOKUP(frasest[[#This Row],[autor_es]],autorest[autor_es],autorest[epoca_la])</f>
        <v>Aetas Contemporanea</v>
      </c>
      <c r="Q553" t="str">
        <f>_xlfn.XLOOKUP(frasest[[#This Row],[autor_es]],autorest[autor_es],autorest[imagen])</f>
        <v>https://i.ibb.co/XTz1rHj/gabrielamistral.png</v>
      </c>
      <c r="R553">
        <f>_xlfn.XLOOKUP(frasest[[#This Row],[autor_es]],autorest[autor_es],autorest[imagen_atr])</f>
        <v>0</v>
      </c>
    </row>
    <row r="554" spans="1:18">
      <c r="A554">
        <v>553</v>
      </c>
      <c r="B554" t="s">
        <v>1879</v>
      </c>
      <c r="C554" t="s">
        <v>1880</v>
      </c>
      <c r="D554" t="s">
        <v>1881</v>
      </c>
      <c r="E554" t="s">
        <v>1882</v>
      </c>
      <c r="F554" t="s">
        <v>1883</v>
      </c>
      <c r="G554" t="str">
        <f>_xlfn.XLOOKUP(frasest[[#This Row],[autor_es]],autorest[autor_es],autorest[autor_la])</f>
        <v>Howardus Gardner</v>
      </c>
      <c r="H554" t="str">
        <f>_xlfn.XLOOKUP(frasest[[#This Row],[autor_es]],autorest[autor_es],autorest[bio_es])</f>
        <v>Psicólogo y pedagogo estadounidense creador de la Teoría de las Inteligencias Múltiples publicada en 1983. Revolucionó el concepto tradicional de inteligencia proponiendo que existen al menos ocho tipos de inteligencia lingüística lógico-matemática espacial musical corporal-kinestésica interpersonal intrapersonal y naturalista. Cofundador del Proyecto Cero en Harvard transformó la comprensión del aprendizaje y la evaluación educativa.</v>
      </c>
      <c r="I554" t="str">
        <f>_xlfn.XLOOKUP(frasest[[#This Row],[autor_es]],autorest[autor_es],autorest[bio_la])</f>
        <v>Psychologus et paedagogus Americanus creator Theoriae Intelligentiarum Multiplicium anno 1983 publicatae. Conceptum traditionalem intelligentiae revolutionavit proponens octo saltem species intelligentiae linguisticam logico-mathematicam spatialem musicalem corporeo-kinaestheticam interpersonalem intrapersonalem et naturalisticam existere. Cofundator Projecti Zero in Harvard intellectionem apprenhesionis et aestimationis educativae transformavit.</v>
      </c>
      <c r="J554" t="str">
        <f>_xlfn.XLOOKUP(frasest[[#This Row],[autor_es]],autorest[autor_es],autorest[codigo])</f>
        <v>en</v>
      </c>
      <c r="K554" t="str">
        <f>_xlfn.XLOOKUP(frasest[[#This Row],[autor_es]],autorest[autor_es],autorest[idioma_es])</f>
        <v>Inglés</v>
      </c>
      <c r="L554" t="str">
        <f>_xlfn.XLOOKUP(frasest[[#This Row],[autor_es]],autorest[autor_es],autorest[idioma_la])</f>
        <v>Lingua Anglica</v>
      </c>
      <c r="M554" t="str">
        <f>_xlfn.XLOOKUP(frasest[[#This Row],[autor_es]],autorest[autor_es],autorest[nacion_es])</f>
        <v>Estados Unidos</v>
      </c>
      <c r="N554" t="str">
        <f>_xlfn.XLOOKUP(frasest[[#This Row],[autor_es]],autorest[autor_es],autorest[nacion_la])</f>
        <v>Civitates Foederatae Americae</v>
      </c>
      <c r="O554" t="str">
        <f>_xlfn.XLOOKUP(frasest[[#This Row],[autor_es]],autorest[autor_es],autorest[epoca_es])</f>
        <v>Edad Contemporánea</v>
      </c>
      <c r="P554" t="str">
        <f>_xlfn.XLOOKUP(frasest[[#This Row],[autor_es]],autorest[autor_es],autorest[epoca_la])</f>
        <v>Aetas Contemporanea</v>
      </c>
      <c r="Q554" t="str">
        <f>_xlfn.XLOOKUP(frasest[[#This Row],[autor_es]],autorest[autor_es],autorest[imagen])</f>
        <v>https://i.ibb.co/6c49K80z/gardner.png</v>
      </c>
      <c r="R554">
        <f>_xlfn.XLOOKUP(frasest[[#This Row],[autor_es]],autorest[autor_es],autorest[imagen_atr])</f>
        <v>0</v>
      </c>
    </row>
    <row r="555" spans="1:18">
      <c r="A555">
        <v>554</v>
      </c>
      <c r="B555" t="s">
        <v>1884</v>
      </c>
      <c r="C555" t="s">
        <v>1885</v>
      </c>
      <c r="D555" t="s">
        <v>1886</v>
      </c>
      <c r="E555" t="s">
        <v>1882</v>
      </c>
      <c r="F555" t="s">
        <v>1887</v>
      </c>
      <c r="G555" t="str">
        <f>_xlfn.XLOOKUP(frasest[[#This Row],[autor_es]],autorest[autor_es],autorest[autor_la])</f>
        <v>Howardus Gardner</v>
      </c>
      <c r="H555" t="str">
        <f>_xlfn.XLOOKUP(frasest[[#This Row],[autor_es]],autorest[autor_es],autorest[bio_es])</f>
        <v>Psicólogo y pedagogo estadounidense creador de la Teoría de las Inteligencias Múltiples publicada en 1983. Revolucionó el concepto tradicional de inteligencia proponiendo que existen al menos ocho tipos de inteligencia lingüística lógico-matemática espacial musical corporal-kinestésica interpersonal intrapersonal y naturalista. Cofundador del Proyecto Cero en Harvard transformó la comprensión del aprendizaje y la evaluación educativa.</v>
      </c>
      <c r="I555" t="str">
        <f>_xlfn.XLOOKUP(frasest[[#This Row],[autor_es]],autorest[autor_es],autorest[bio_la])</f>
        <v>Psychologus et paedagogus Americanus creator Theoriae Intelligentiarum Multiplicium anno 1983 publicatae. Conceptum traditionalem intelligentiae revolutionavit proponens octo saltem species intelligentiae linguisticam logico-mathematicam spatialem musicalem corporeo-kinaestheticam interpersonalem intrapersonalem et naturalisticam existere. Cofundator Projecti Zero in Harvard intellectionem apprenhesionis et aestimationis educativae transformavit.</v>
      </c>
      <c r="J555" t="str">
        <f>_xlfn.XLOOKUP(frasest[[#This Row],[autor_es]],autorest[autor_es],autorest[codigo])</f>
        <v>en</v>
      </c>
      <c r="K555" t="str">
        <f>_xlfn.XLOOKUP(frasest[[#This Row],[autor_es]],autorest[autor_es],autorest[idioma_es])</f>
        <v>Inglés</v>
      </c>
      <c r="L555" t="str">
        <f>_xlfn.XLOOKUP(frasest[[#This Row],[autor_es]],autorest[autor_es],autorest[idioma_la])</f>
        <v>Lingua Anglica</v>
      </c>
      <c r="M555" t="str">
        <f>_xlfn.XLOOKUP(frasest[[#This Row],[autor_es]],autorest[autor_es],autorest[nacion_es])</f>
        <v>Estados Unidos</v>
      </c>
      <c r="N555" t="str">
        <f>_xlfn.XLOOKUP(frasest[[#This Row],[autor_es]],autorest[autor_es],autorest[nacion_la])</f>
        <v>Civitates Foederatae Americae</v>
      </c>
      <c r="O555" t="str">
        <f>_xlfn.XLOOKUP(frasest[[#This Row],[autor_es]],autorest[autor_es],autorest[epoca_es])</f>
        <v>Edad Contemporánea</v>
      </c>
      <c r="P555" t="str">
        <f>_xlfn.XLOOKUP(frasest[[#This Row],[autor_es]],autorest[autor_es],autorest[epoca_la])</f>
        <v>Aetas Contemporanea</v>
      </c>
      <c r="Q555" t="str">
        <f>_xlfn.XLOOKUP(frasest[[#This Row],[autor_es]],autorest[autor_es],autorest[imagen])</f>
        <v>https://i.ibb.co/6c49K80z/gardner.png</v>
      </c>
      <c r="R555">
        <f>_xlfn.XLOOKUP(frasest[[#This Row],[autor_es]],autorest[autor_es],autorest[imagen_atr])</f>
        <v>0</v>
      </c>
    </row>
    <row r="556" spans="1:18">
      <c r="A556">
        <v>555</v>
      </c>
      <c r="B556" t="s">
        <v>1888</v>
      </c>
      <c r="C556" t="s">
        <v>1889</v>
      </c>
      <c r="D556" t="s">
        <v>1890</v>
      </c>
      <c r="E556" t="s">
        <v>1882</v>
      </c>
      <c r="F556" t="s">
        <v>1891</v>
      </c>
      <c r="G556" t="str">
        <f>_xlfn.XLOOKUP(frasest[[#This Row],[autor_es]],autorest[autor_es],autorest[autor_la])</f>
        <v>Howardus Gardner</v>
      </c>
      <c r="H556" t="str">
        <f>_xlfn.XLOOKUP(frasest[[#This Row],[autor_es]],autorest[autor_es],autorest[bio_es])</f>
        <v>Psicólogo y pedagogo estadounidense creador de la Teoría de las Inteligencias Múltiples publicada en 1983. Revolucionó el concepto tradicional de inteligencia proponiendo que existen al menos ocho tipos de inteligencia lingüística lógico-matemática espacial musical corporal-kinestésica interpersonal intrapersonal y naturalista. Cofundador del Proyecto Cero en Harvard transformó la comprensión del aprendizaje y la evaluación educativa.</v>
      </c>
      <c r="I556" t="str">
        <f>_xlfn.XLOOKUP(frasest[[#This Row],[autor_es]],autorest[autor_es],autorest[bio_la])</f>
        <v>Psychologus et paedagogus Americanus creator Theoriae Intelligentiarum Multiplicium anno 1983 publicatae. Conceptum traditionalem intelligentiae revolutionavit proponens octo saltem species intelligentiae linguisticam logico-mathematicam spatialem musicalem corporeo-kinaestheticam interpersonalem intrapersonalem et naturalisticam existere. Cofundator Projecti Zero in Harvard intellectionem apprenhesionis et aestimationis educativae transformavit.</v>
      </c>
      <c r="J556" t="str">
        <f>_xlfn.XLOOKUP(frasest[[#This Row],[autor_es]],autorest[autor_es],autorest[codigo])</f>
        <v>en</v>
      </c>
      <c r="K556" t="str">
        <f>_xlfn.XLOOKUP(frasest[[#This Row],[autor_es]],autorest[autor_es],autorest[idioma_es])</f>
        <v>Inglés</v>
      </c>
      <c r="L556" t="str">
        <f>_xlfn.XLOOKUP(frasest[[#This Row],[autor_es]],autorest[autor_es],autorest[idioma_la])</f>
        <v>Lingua Anglica</v>
      </c>
      <c r="M556" t="str">
        <f>_xlfn.XLOOKUP(frasest[[#This Row],[autor_es]],autorest[autor_es],autorest[nacion_es])</f>
        <v>Estados Unidos</v>
      </c>
      <c r="N556" t="str">
        <f>_xlfn.XLOOKUP(frasest[[#This Row],[autor_es]],autorest[autor_es],autorest[nacion_la])</f>
        <v>Civitates Foederatae Americae</v>
      </c>
      <c r="O556" t="str">
        <f>_xlfn.XLOOKUP(frasest[[#This Row],[autor_es]],autorest[autor_es],autorest[epoca_es])</f>
        <v>Edad Contemporánea</v>
      </c>
      <c r="P556" t="str">
        <f>_xlfn.XLOOKUP(frasest[[#This Row],[autor_es]],autorest[autor_es],autorest[epoca_la])</f>
        <v>Aetas Contemporanea</v>
      </c>
      <c r="Q556" t="str">
        <f>_xlfn.XLOOKUP(frasest[[#This Row],[autor_es]],autorest[autor_es],autorest[imagen])</f>
        <v>https://i.ibb.co/6c49K80z/gardner.png</v>
      </c>
      <c r="R556">
        <f>_xlfn.XLOOKUP(frasest[[#This Row],[autor_es]],autorest[autor_es],autorest[imagen_atr])</f>
        <v>0</v>
      </c>
    </row>
    <row r="557" spans="1:18">
      <c r="A557">
        <v>556</v>
      </c>
      <c r="B557" t="s">
        <v>1892</v>
      </c>
      <c r="C557" t="s">
        <v>1893</v>
      </c>
      <c r="D557" t="s">
        <v>1894</v>
      </c>
      <c r="E557" t="s">
        <v>1882</v>
      </c>
      <c r="F557" t="s">
        <v>1895</v>
      </c>
      <c r="G557" t="str">
        <f>_xlfn.XLOOKUP(frasest[[#This Row],[autor_es]],autorest[autor_es],autorest[autor_la])</f>
        <v>Howardus Gardner</v>
      </c>
      <c r="H557" t="str">
        <f>_xlfn.XLOOKUP(frasest[[#This Row],[autor_es]],autorest[autor_es],autorest[bio_es])</f>
        <v>Psicólogo y pedagogo estadounidense creador de la Teoría de las Inteligencias Múltiples publicada en 1983. Revolucionó el concepto tradicional de inteligencia proponiendo que existen al menos ocho tipos de inteligencia lingüística lógico-matemática espacial musical corporal-kinestésica interpersonal intrapersonal y naturalista. Cofundador del Proyecto Cero en Harvard transformó la comprensión del aprendizaje y la evaluación educativa.</v>
      </c>
      <c r="I557" t="str">
        <f>_xlfn.XLOOKUP(frasest[[#This Row],[autor_es]],autorest[autor_es],autorest[bio_la])</f>
        <v>Psychologus et paedagogus Americanus creator Theoriae Intelligentiarum Multiplicium anno 1983 publicatae. Conceptum traditionalem intelligentiae revolutionavit proponens octo saltem species intelligentiae linguisticam logico-mathematicam spatialem musicalem corporeo-kinaestheticam interpersonalem intrapersonalem et naturalisticam existere. Cofundator Projecti Zero in Harvard intellectionem apprenhesionis et aestimationis educativae transformavit.</v>
      </c>
      <c r="J557" t="str">
        <f>_xlfn.XLOOKUP(frasest[[#This Row],[autor_es]],autorest[autor_es],autorest[codigo])</f>
        <v>en</v>
      </c>
      <c r="K557" t="str">
        <f>_xlfn.XLOOKUP(frasest[[#This Row],[autor_es]],autorest[autor_es],autorest[idioma_es])</f>
        <v>Inglés</v>
      </c>
      <c r="L557" t="str">
        <f>_xlfn.XLOOKUP(frasest[[#This Row],[autor_es]],autorest[autor_es],autorest[idioma_la])</f>
        <v>Lingua Anglica</v>
      </c>
      <c r="M557" t="str">
        <f>_xlfn.XLOOKUP(frasest[[#This Row],[autor_es]],autorest[autor_es],autorest[nacion_es])</f>
        <v>Estados Unidos</v>
      </c>
      <c r="N557" t="str">
        <f>_xlfn.XLOOKUP(frasest[[#This Row],[autor_es]],autorest[autor_es],autorest[nacion_la])</f>
        <v>Civitates Foederatae Americae</v>
      </c>
      <c r="O557" t="str">
        <f>_xlfn.XLOOKUP(frasest[[#This Row],[autor_es]],autorest[autor_es],autorest[epoca_es])</f>
        <v>Edad Contemporánea</v>
      </c>
      <c r="P557" t="str">
        <f>_xlfn.XLOOKUP(frasest[[#This Row],[autor_es]],autorest[autor_es],autorest[epoca_la])</f>
        <v>Aetas Contemporanea</v>
      </c>
      <c r="Q557" t="str">
        <f>_xlfn.XLOOKUP(frasest[[#This Row],[autor_es]],autorest[autor_es],autorest[imagen])</f>
        <v>https://i.ibb.co/6c49K80z/gardner.png</v>
      </c>
      <c r="R557">
        <f>_xlfn.XLOOKUP(frasest[[#This Row],[autor_es]],autorest[autor_es],autorest[imagen_atr])</f>
        <v>0</v>
      </c>
    </row>
    <row r="558" spans="1:18">
      <c r="A558">
        <v>557</v>
      </c>
      <c r="B558" t="s">
        <v>1896</v>
      </c>
      <c r="C558" t="s">
        <v>1897</v>
      </c>
      <c r="D558" t="s">
        <v>1898</v>
      </c>
      <c r="E558" t="s">
        <v>1882</v>
      </c>
      <c r="F558" t="s">
        <v>1899</v>
      </c>
      <c r="G558" t="str">
        <f>_xlfn.XLOOKUP(frasest[[#This Row],[autor_es]],autorest[autor_es],autorest[autor_la])</f>
        <v>Howardus Gardner</v>
      </c>
      <c r="H558" t="str">
        <f>_xlfn.XLOOKUP(frasest[[#This Row],[autor_es]],autorest[autor_es],autorest[bio_es])</f>
        <v>Psicólogo y pedagogo estadounidense creador de la Teoría de las Inteligencias Múltiples publicada en 1983. Revolucionó el concepto tradicional de inteligencia proponiendo que existen al menos ocho tipos de inteligencia lingüística lógico-matemática espacial musical corporal-kinestésica interpersonal intrapersonal y naturalista. Cofundador del Proyecto Cero en Harvard transformó la comprensión del aprendizaje y la evaluación educativa.</v>
      </c>
      <c r="I558" t="str">
        <f>_xlfn.XLOOKUP(frasest[[#This Row],[autor_es]],autorest[autor_es],autorest[bio_la])</f>
        <v>Psychologus et paedagogus Americanus creator Theoriae Intelligentiarum Multiplicium anno 1983 publicatae. Conceptum traditionalem intelligentiae revolutionavit proponens octo saltem species intelligentiae linguisticam logico-mathematicam spatialem musicalem corporeo-kinaestheticam interpersonalem intrapersonalem et naturalisticam existere. Cofundator Projecti Zero in Harvard intellectionem apprenhesionis et aestimationis educativae transformavit.</v>
      </c>
      <c r="J558" t="str">
        <f>_xlfn.XLOOKUP(frasest[[#This Row],[autor_es]],autorest[autor_es],autorest[codigo])</f>
        <v>en</v>
      </c>
      <c r="K558" t="str">
        <f>_xlfn.XLOOKUP(frasest[[#This Row],[autor_es]],autorest[autor_es],autorest[idioma_es])</f>
        <v>Inglés</v>
      </c>
      <c r="L558" t="str">
        <f>_xlfn.XLOOKUP(frasest[[#This Row],[autor_es]],autorest[autor_es],autorest[idioma_la])</f>
        <v>Lingua Anglica</v>
      </c>
      <c r="M558" t="str">
        <f>_xlfn.XLOOKUP(frasest[[#This Row],[autor_es]],autorest[autor_es],autorest[nacion_es])</f>
        <v>Estados Unidos</v>
      </c>
      <c r="N558" t="str">
        <f>_xlfn.XLOOKUP(frasest[[#This Row],[autor_es]],autorest[autor_es],autorest[nacion_la])</f>
        <v>Civitates Foederatae Americae</v>
      </c>
      <c r="O558" t="str">
        <f>_xlfn.XLOOKUP(frasest[[#This Row],[autor_es]],autorest[autor_es],autorest[epoca_es])</f>
        <v>Edad Contemporánea</v>
      </c>
      <c r="P558" t="str">
        <f>_xlfn.XLOOKUP(frasest[[#This Row],[autor_es]],autorest[autor_es],autorest[epoca_la])</f>
        <v>Aetas Contemporanea</v>
      </c>
      <c r="Q558" t="str">
        <f>_xlfn.XLOOKUP(frasest[[#This Row],[autor_es]],autorest[autor_es],autorest[imagen])</f>
        <v>https://i.ibb.co/6c49K80z/gardner.png</v>
      </c>
      <c r="R558">
        <f>_xlfn.XLOOKUP(frasest[[#This Row],[autor_es]],autorest[autor_es],autorest[imagen_atr])</f>
        <v>0</v>
      </c>
    </row>
    <row r="559" spans="1:18">
      <c r="A559">
        <v>558</v>
      </c>
      <c r="B559" t="s">
        <v>1900</v>
      </c>
      <c r="C559" t="s">
        <v>1901</v>
      </c>
      <c r="D559" t="s">
        <v>1902</v>
      </c>
      <c r="E559" t="s">
        <v>1882</v>
      </c>
      <c r="F559" t="s">
        <v>1903</v>
      </c>
      <c r="G559" t="str">
        <f>_xlfn.XLOOKUP(frasest[[#This Row],[autor_es]],autorest[autor_es],autorest[autor_la])</f>
        <v>Howardus Gardner</v>
      </c>
      <c r="H559" t="str">
        <f>_xlfn.XLOOKUP(frasest[[#This Row],[autor_es]],autorest[autor_es],autorest[bio_es])</f>
        <v>Psicólogo y pedagogo estadounidense creador de la Teoría de las Inteligencias Múltiples publicada en 1983. Revolucionó el concepto tradicional de inteligencia proponiendo que existen al menos ocho tipos de inteligencia lingüística lógico-matemática espacial musical corporal-kinestésica interpersonal intrapersonal y naturalista. Cofundador del Proyecto Cero en Harvard transformó la comprensión del aprendizaje y la evaluación educativa.</v>
      </c>
      <c r="I559" t="str">
        <f>_xlfn.XLOOKUP(frasest[[#This Row],[autor_es]],autorest[autor_es],autorest[bio_la])</f>
        <v>Psychologus et paedagogus Americanus creator Theoriae Intelligentiarum Multiplicium anno 1983 publicatae. Conceptum traditionalem intelligentiae revolutionavit proponens octo saltem species intelligentiae linguisticam logico-mathematicam spatialem musicalem corporeo-kinaestheticam interpersonalem intrapersonalem et naturalisticam existere. Cofundator Projecti Zero in Harvard intellectionem apprenhesionis et aestimationis educativae transformavit.</v>
      </c>
      <c r="J559" t="str">
        <f>_xlfn.XLOOKUP(frasest[[#This Row],[autor_es]],autorest[autor_es],autorest[codigo])</f>
        <v>en</v>
      </c>
      <c r="K559" t="str">
        <f>_xlfn.XLOOKUP(frasest[[#This Row],[autor_es]],autorest[autor_es],autorest[idioma_es])</f>
        <v>Inglés</v>
      </c>
      <c r="L559" t="str">
        <f>_xlfn.XLOOKUP(frasest[[#This Row],[autor_es]],autorest[autor_es],autorest[idioma_la])</f>
        <v>Lingua Anglica</v>
      </c>
      <c r="M559" t="str">
        <f>_xlfn.XLOOKUP(frasest[[#This Row],[autor_es]],autorest[autor_es],autorest[nacion_es])</f>
        <v>Estados Unidos</v>
      </c>
      <c r="N559" t="str">
        <f>_xlfn.XLOOKUP(frasest[[#This Row],[autor_es]],autorest[autor_es],autorest[nacion_la])</f>
        <v>Civitates Foederatae Americae</v>
      </c>
      <c r="O559" t="str">
        <f>_xlfn.XLOOKUP(frasest[[#This Row],[autor_es]],autorest[autor_es],autorest[epoca_es])</f>
        <v>Edad Contemporánea</v>
      </c>
      <c r="P559" t="str">
        <f>_xlfn.XLOOKUP(frasest[[#This Row],[autor_es]],autorest[autor_es],autorest[epoca_la])</f>
        <v>Aetas Contemporanea</v>
      </c>
      <c r="Q559" t="str">
        <f>_xlfn.XLOOKUP(frasest[[#This Row],[autor_es]],autorest[autor_es],autorest[imagen])</f>
        <v>https://i.ibb.co/6c49K80z/gardner.png</v>
      </c>
      <c r="R559">
        <f>_xlfn.XLOOKUP(frasest[[#This Row],[autor_es]],autorest[autor_es],autorest[imagen_atr])</f>
        <v>0</v>
      </c>
    </row>
    <row r="560" spans="1:18">
      <c r="A560">
        <v>559</v>
      </c>
      <c r="B560" t="s">
        <v>1904</v>
      </c>
      <c r="C560" t="s">
        <v>1905</v>
      </c>
      <c r="D560" t="s">
        <v>1906</v>
      </c>
      <c r="E560" t="s">
        <v>1907</v>
      </c>
      <c r="F560" t="s">
        <v>1908</v>
      </c>
      <c r="G560" t="str">
        <f>_xlfn.XLOOKUP(frasest[[#This Row],[autor_es]],autorest[autor_es],autorest[autor_la])</f>
        <v>Ken Robinson</v>
      </c>
      <c r="H560" t="str">
        <f>_xlfn.XLOOKUP(frasest[[#This Row],[autor_es]],autorest[autor_es],autorest[bio_es])</f>
        <v>Educador escritor y conferencista británico líder mundial en desarrollo de la creatividad y la innovación educativa. Su charla TED Las escuelas matan la creatividad es la más vista de la historia. Crítico del sistema educativo industrial defendió una transformación radical que priorice la creatividad la imaginación y la diversidad de talentos. Autor de El Elemento y otros libros sobre educación y creatividad.</v>
      </c>
      <c r="I560" t="str">
        <f>_xlfn.XLOOKUP(frasest[[#This Row],[autor_es]],autorest[autor_es],autorest[bio_la])</f>
        <v>Educator scriptor et concionator Britannicus dux mundialis in progressu creativitatis et innovationis educativae. Allocutio eius TED Scholae creativitatem necant maxime visa in historia est. Criticus systematis educativi industrialis transformationem radicalem defendit quae creativitatem imaginationem et diversitatem talentorum prioritatem habeat. Auctor libri Elementum et aliorum de educatione et creativitate.</v>
      </c>
      <c r="J560" t="str">
        <f>_xlfn.XLOOKUP(frasest[[#This Row],[autor_es]],autorest[autor_es],autorest[codigo])</f>
        <v>en</v>
      </c>
      <c r="K560" t="str">
        <f>_xlfn.XLOOKUP(frasest[[#This Row],[autor_es]],autorest[autor_es],autorest[idioma_es])</f>
        <v>Inglés</v>
      </c>
      <c r="L560" t="str">
        <f>_xlfn.XLOOKUP(frasest[[#This Row],[autor_es]],autorest[autor_es],autorest[idioma_la])</f>
        <v>Lingua Anglica</v>
      </c>
      <c r="M560" t="str">
        <f>_xlfn.XLOOKUP(frasest[[#This Row],[autor_es]],autorest[autor_es],autorest[nacion_es])</f>
        <v>Reino Unido</v>
      </c>
      <c r="N560" t="str">
        <f>_xlfn.XLOOKUP(frasest[[#This Row],[autor_es]],autorest[autor_es],autorest[nacion_la])</f>
        <v>Regnum Unitum</v>
      </c>
      <c r="O560" t="str">
        <f>_xlfn.XLOOKUP(frasest[[#This Row],[autor_es]],autorest[autor_es],autorest[epoca_es])</f>
        <v>Edad Contemporánea</v>
      </c>
      <c r="P560" t="str">
        <f>_xlfn.XLOOKUP(frasest[[#This Row],[autor_es]],autorest[autor_es],autorest[epoca_la])</f>
        <v>Aetas Contemporanea</v>
      </c>
      <c r="Q560" t="str">
        <f>_xlfn.XLOOKUP(frasest[[#This Row],[autor_es]],autorest[autor_es],autorest[imagen])</f>
        <v>https://i.ibb.co/pBt9Ty7Z/kenrobinson.png</v>
      </c>
      <c r="R560">
        <f>_xlfn.XLOOKUP(frasest[[#This Row],[autor_es]],autorest[autor_es],autorest[imagen_atr])</f>
        <v>0</v>
      </c>
    </row>
    <row r="561" spans="1:18">
      <c r="A561">
        <v>560</v>
      </c>
      <c r="B561" t="s">
        <v>1909</v>
      </c>
      <c r="C561" t="s">
        <v>1910</v>
      </c>
      <c r="D561" t="s">
        <v>1911</v>
      </c>
      <c r="E561" t="s">
        <v>1907</v>
      </c>
      <c r="F561" t="s">
        <v>1912</v>
      </c>
      <c r="G561" t="str">
        <f>_xlfn.XLOOKUP(frasest[[#This Row],[autor_es]],autorest[autor_es],autorest[autor_la])</f>
        <v>Ken Robinson</v>
      </c>
      <c r="H561" t="str">
        <f>_xlfn.XLOOKUP(frasest[[#This Row],[autor_es]],autorest[autor_es],autorest[bio_es])</f>
        <v>Educador escritor y conferencista británico líder mundial en desarrollo de la creatividad y la innovación educativa. Su charla TED Las escuelas matan la creatividad es la más vista de la historia. Crítico del sistema educativo industrial defendió una transformación radical que priorice la creatividad la imaginación y la diversidad de talentos. Autor de El Elemento y otros libros sobre educación y creatividad.</v>
      </c>
      <c r="I561" t="str">
        <f>_xlfn.XLOOKUP(frasest[[#This Row],[autor_es]],autorest[autor_es],autorest[bio_la])</f>
        <v>Educator scriptor et concionator Britannicus dux mundialis in progressu creativitatis et innovationis educativae. Allocutio eius TED Scholae creativitatem necant maxime visa in historia est. Criticus systematis educativi industrialis transformationem radicalem defendit quae creativitatem imaginationem et diversitatem talentorum prioritatem habeat. Auctor libri Elementum et aliorum de educatione et creativitate.</v>
      </c>
      <c r="J561" t="str">
        <f>_xlfn.XLOOKUP(frasest[[#This Row],[autor_es]],autorest[autor_es],autorest[codigo])</f>
        <v>en</v>
      </c>
      <c r="K561" t="str">
        <f>_xlfn.XLOOKUP(frasest[[#This Row],[autor_es]],autorest[autor_es],autorest[idioma_es])</f>
        <v>Inglés</v>
      </c>
      <c r="L561" t="str">
        <f>_xlfn.XLOOKUP(frasest[[#This Row],[autor_es]],autorest[autor_es],autorest[idioma_la])</f>
        <v>Lingua Anglica</v>
      </c>
      <c r="M561" t="str">
        <f>_xlfn.XLOOKUP(frasest[[#This Row],[autor_es]],autorest[autor_es],autorest[nacion_es])</f>
        <v>Reino Unido</v>
      </c>
      <c r="N561" t="str">
        <f>_xlfn.XLOOKUP(frasest[[#This Row],[autor_es]],autorest[autor_es],autorest[nacion_la])</f>
        <v>Regnum Unitum</v>
      </c>
      <c r="O561" t="str">
        <f>_xlfn.XLOOKUP(frasest[[#This Row],[autor_es]],autorest[autor_es],autorest[epoca_es])</f>
        <v>Edad Contemporánea</v>
      </c>
      <c r="P561" t="str">
        <f>_xlfn.XLOOKUP(frasest[[#This Row],[autor_es]],autorest[autor_es],autorest[epoca_la])</f>
        <v>Aetas Contemporanea</v>
      </c>
      <c r="Q561" t="str">
        <f>_xlfn.XLOOKUP(frasest[[#This Row],[autor_es]],autorest[autor_es],autorest[imagen])</f>
        <v>https://i.ibb.co/pBt9Ty7Z/kenrobinson.png</v>
      </c>
      <c r="R561">
        <f>_xlfn.XLOOKUP(frasest[[#This Row],[autor_es]],autorest[autor_es],autorest[imagen_atr])</f>
        <v>0</v>
      </c>
    </row>
    <row r="562" spans="1:18">
      <c r="A562">
        <v>561</v>
      </c>
      <c r="B562" t="s">
        <v>1913</v>
      </c>
      <c r="C562" t="s">
        <v>1914</v>
      </c>
      <c r="D562" t="s">
        <v>1915</v>
      </c>
      <c r="E562" t="s">
        <v>1907</v>
      </c>
      <c r="F562" t="s">
        <v>1912</v>
      </c>
      <c r="G562" t="str">
        <f>_xlfn.XLOOKUP(frasest[[#This Row],[autor_es]],autorest[autor_es],autorest[autor_la])</f>
        <v>Ken Robinson</v>
      </c>
      <c r="H562" t="str">
        <f>_xlfn.XLOOKUP(frasest[[#This Row],[autor_es]],autorest[autor_es],autorest[bio_es])</f>
        <v>Educador escritor y conferencista británico líder mundial en desarrollo de la creatividad y la innovación educativa. Su charla TED Las escuelas matan la creatividad es la más vista de la historia. Crítico del sistema educativo industrial defendió una transformación radical que priorice la creatividad la imaginación y la diversidad de talentos. Autor de El Elemento y otros libros sobre educación y creatividad.</v>
      </c>
      <c r="I562" t="str">
        <f>_xlfn.XLOOKUP(frasest[[#This Row],[autor_es]],autorest[autor_es],autorest[bio_la])</f>
        <v>Educator scriptor et concionator Britannicus dux mundialis in progressu creativitatis et innovationis educativae. Allocutio eius TED Scholae creativitatem necant maxime visa in historia est. Criticus systematis educativi industrialis transformationem radicalem defendit quae creativitatem imaginationem et diversitatem talentorum prioritatem habeat. Auctor libri Elementum et aliorum de educatione et creativitate.</v>
      </c>
      <c r="J562" t="str">
        <f>_xlfn.XLOOKUP(frasest[[#This Row],[autor_es]],autorest[autor_es],autorest[codigo])</f>
        <v>en</v>
      </c>
      <c r="K562" t="str">
        <f>_xlfn.XLOOKUP(frasest[[#This Row],[autor_es]],autorest[autor_es],autorest[idioma_es])</f>
        <v>Inglés</v>
      </c>
      <c r="L562" t="str">
        <f>_xlfn.XLOOKUP(frasest[[#This Row],[autor_es]],autorest[autor_es],autorest[idioma_la])</f>
        <v>Lingua Anglica</v>
      </c>
      <c r="M562" t="str">
        <f>_xlfn.XLOOKUP(frasest[[#This Row],[autor_es]],autorest[autor_es],autorest[nacion_es])</f>
        <v>Reino Unido</v>
      </c>
      <c r="N562" t="str">
        <f>_xlfn.XLOOKUP(frasest[[#This Row],[autor_es]],autorest[autor_es],autorest[nacion_la])</f>
        <v>Regnum Unitum</v>
      </c>
      <c r="O562" t="str">
        <f>_xlfn.XLOOKUP(frasest[[#This Row],[autor_es]],autorest[autor_es],autorest[epoca_es])</f>
        <v>Edad Contemporánea</v>
      </c>
      <c r="P562" t="str">
        <f>_xlfn.XLOOKUP(frasest[[#This Row],[autor_es]],autorest[autor_es],autorest[epoca_la])</f>
        <v>Aetas Contemporanea</v>
      </c>
      <c r="Q562" t="str">
        <f>_xlfn.XLOOKUP(frasest[[#This Row],[autor_es]],autorest[autor_es],autorest[imagen])</f>
        <v>https://i.ibb.co/pBt9Ty7Z/kenrobinson.png</v>
      </c>
      <c r="R562">
        <f>_xlfn.XLOOKUP(frasest[[#This Row],[autor_es]],autorest[autor_es],autorest[imagen_atr])</f>
        <v>0</v>
      </c>
    </row>
    <row r="563" spans="1:18">
      <c r="A563">
        <v>562</v>
      </c>
      <c r="B563" t="s">
        <v>1916</v>
      </c>
      <c r="C563" t="s">
        <v>1917</v>
      </c>
      <c r="D563" t="s">
        <v>1918</v>
      </c>
      <c r="E563" t="s">
        <v>1907</v>
      </c>
      <c r="F563" t="s">
        <v>1919</v>
      </c>
      <c r="G563" t="str">
        <f>_xlfn.XLOOKUP(frasest[[#This Row],[autor_es]],autorest[autor_es],autorest[autor_la])</f>
        <v>Ken Robinson</v>
      </c>
      <c r="H563" t="str">
        <f>_xlfn.XLOOKUP(frasest[[#This Row],[autor_es]],autorest[autor_es],autorest[bio_es])</f>
        <v>Educador escritor y conferencista británico líder mundial en desarrollo de la creatividad y la innovación educativa. Su charla TED Las escuelas matan la creatividad es la más vista de la historia. Crítico del sistema educativo industrial defendió una transformación radical que priorice la creatividad la imaginación y la diversidad de talentos. Autor de El Elemento y otros libros sobre educación y creatividad.</v>
      </c>
      <c r="I563" t="str">
        <f>_xlfn.XLOOKUP(frasest[[#This Row],[autor_es]],autorest[autor_es],autorest[bio_la])</f>
        <v>Educator scriptor et concionator Britannicus dux mundialis in progressu creativitatis et innovationis educativae. Allocutio eius TED Scholae creativitatem necant maxime visa in historia est. Criticus systematis educativi industrialis transformationem radicalem defendit quae creativitatem imaginationem et diversitatem talentorum prioritatem habeat. Auctor libri Elementum et aliorum de educatione et creativitate.</v>
      </c>
      <c r="J563" t="str">
        <f>_xlfn.XLOOKUP(frasest[[#This Row],[autor_es]],autorest[autor_es],autorest[codigo])</f>
        <v>en</v>
      </c>
      <c r="K563" t="str">
        <f>_xlfn.XLOOKUP(frasest[[#This Row],[autor_es]],autorest[autor_es],autorest[idioma_es])</f>
        <v>Inglés</v>
      </c>
      <c r="L563" t="str">
        <f>_xlfn.XLOOKUP(frasest[[#This Row],[autor_es]],autorest[autor_es],autorest[idioma_la])</f>
        <v>Lingua Anglica</v>
      </c>
      <c r="M563" t="str">
        <f>_xlfn.XLOOKUP(frasest[[#This Row],[autor_es]],autorest[autor_es],autorest[nacion_es])</f>
        <v>Reino Unido</v>
      </c>
      <c r="N563" t="str">
        <f>_xlfn.XLOOKUP(frasest[[#This Row],[autor_es]],autorest[autor_es],autorest[nacion_la])</f>
        <v>Regnum Unitum</v>
      </c>
      <c r="O563" t="str">
        <f>_xlfn.XLOOKUP(frasest[[#This Row],[autor_es]],autorest[autor_es],autorest[epoca_es])</f>
        <v>Edad Contemporánea</v>
      </c>
      <c r="P563" t="str">
        <f>_xlfn.XLOOKUP(frasest[[#This Row],[autor_es]],autorest[autor_es],autorest[epoca_la])</f>
        <v>Aetas Contemporanea</v>
      </c>
      <c r="Q563" t="str">
        <f>_xlfn.XLOOKUP(frasest[[#This Row],[autor_es]],autorest[autor_es],autorest[imagen])</f>
        <v>https://i.ibb.co/pBt9Ty7Z/kenrobinson.png</v>
      </c>
      <c r="R563">
        <f>_xlfn.XLOOKUP(frasest[[#This Row],[autor_es]],autorest[autor_es],autorest[imagen_atr])</f>
        <v>0</v>
      </c>
    </row>
    <row r="564" spans="1:18">
      <c r="A564">
        <v>563</v>
      </c>
      <c r="B564" t="s">
        <v>1920</v>
      </c>
      <c r="C564" t="s">
        <v>1921</v>
      </c>
      <c r="D564" t="s">
        <v>1922</v>
      </c>
      <c r="E564" t="s">
        <v>1907</v>
      </c>
      <c r="F564" t="s">
        <v>1923</v>
      </c>
      <c r="G564" t="str">
        <f>_xlfn.XLOOKUP(frasest[[#This Row],[autor_es]],autorest[autor_es],autorest[autor_la])</f>
        <v>Ken Robinson</v>
      </c>
      <c r="H564" t="str">
        <f>_xlfn.XLOOKUP(frasest[[#This Row],[autor_es]],autorest[autor_es],autorest[bio_es])</f>
        <v>Educador escritor y conferencista británico líder mundial en desarrollo de la creatividad y la innovación educativa. Su charla TED Las escuelas matan la creatividad es la más vista de la historia. Crítico del sistema educativo industrial defendió una transformación radical que priorice la creatividad la imaginación y la diversidad de talentos. Autor de El Elemento y otros libros sobre educación y creatividad.</v>
      </c>
      <c r="I564" t="str">
        <f>_xlfn.XLOOKUP(frasest[[#This Row],[autor_es]],autorest[autor_es],autorest[bio_la])</f>
        <v>Educator scriptor et concionator Britannicus dux mundialis in progressu creativitatis et innovationis educativae. Allocutio eius TED Scholae creativitatem necant maxime visa in historia est. Criticus systematis educativi industrialis transformationem radicalem defendit quae creativitatem imaginationem et diversitatem talentorum prioritatem habeat. Auctor libri Elementum et aliorum de educatione et creativitate.</v>
      </c>
      <c r="J564" t="str">
        <f>_xlfn.XLOOKUP(frasest[[#This Row],[autor_es]],autorest[autor_es],autorest[codigo])</f>
        <v>en</v>
      </c>
      <c r="K564" t="str">
        <f>_xlfn.XLOOKUP(frasest[[#This Row],[autor_es]],autorest[autor_es],autorest[idioma_es])</f>
        <v>Inglés</v>
      </c>
      <c r="L564" t="str">
        <f>_xlfn.XLOOKUP(frasest[[#This Row],[autor_es]],autorest[autor_es],autorest[idioma_la])</f>
        <v>Lingua Anglica</v>
      </c>
      <c r="M564" t="str">
        <f>_xlfn.XLOOKUP(frasest[[#This Row],[autor_es]],autorest[autor_es],autorest[nacion_es])</f>
        <v>Reino Unido</v>
      </c>
      <c r="N564" t="str">
        <f>_xlfn.XLOOKUP(frasest[[#This Row],[autor_es]],autorest[autor_es],autorest[nacion_la])</f>
        <v>Regnum Unitum</v>
      </c>
      <c r="O564" t="str">
        <f>_xlfn.XLOOKUP(frasest[[#This Row],[autor_es]],autorest[autor_es],autorest[epoca_es])</f>
        <v>Edad Contemporánea</v>
      </c>
      <c r="P564" t="str">
        <f>_xlfn.XLOOKUP(frasest[[#This Row],[autor_es]],autorest[autor_es],autorest[epoca_la])</f>
        <v>Aetas Contemporanea</v>
      </c>
      <c r="Q564" t="str">
        <f>_xlfn.XLOOKUP(frasest[[#This Row],[autor_es]],autorest[autor_es],autorest[imagen])</f>
        <v>https://i.ibb.co/pBt9Ty7Z/kenrobinson.png</v>
      </c>
      <c r="R564">
        <f>_xlfn.XLOOKUP(frasest[[#This Row],[autor_es]],autorest[autor_es],autorest[imagen_atr])</f>
        <v>0</v>
      </c>
    </row>
    <row r="565" spans="1:18">
      <c r="A565">
        <v>564</v>
      </c>
      <c r="B565" t="s">
        <v>1924</v>
      </c>
      <c r="C565" t="s">
        <v>1925</v>
      </c>
      <c r="D565" t="s">
        <v>1926</v>
      </c>
      <c r="E565" t="s">
        <v>1907</v>
      </c>
      <c r="F565" t="s">
        <v>1927</v>
      </c>
      <c r="G565" t="str">
        <f>_xlfn.XLOOKUP(frasest[[#This Row],[autor_es]],autorest[autor_es],autorest[autor_la])</f>
        <v>Ken Robinson</v>
      </c>
      <c r="H565" t="str">
        <f>_xlfn.XLOOKUP(frasest[[#This Row],[autor_es]],autorest[autor_es],autorest[bio_es])</f>
        <v>Educador escritor y conferencista británico líder mundial en desarrollo de la creatividad y la innovación educativa. Su charla TED Las escuelas matan la creatividad es la más vista de la historia. Crítico del sistema educativo industrial defendió una transformación radical que priorice la creatividad la imaginación y la diversidad de talentos. Autor de El Elemento y otros libros sobre educación y creatividad.</v>
      </c>
      <c r="I565" t="str">
        <f>_xlfn.XLOOKUP(frasest[[#This Row],[autor_es]],autorest[autor_es],autorest[bio_la])</f>
        <v>Educator scriptor et concionator Britannicus dux mundialis in progressu creativitatis et innovationis educativae. Allocutio eius TED Scholae creativitatem necant maxime visa in historia est. Criticus systematis educativi industrialis transformationem radicalem defendit quae creativitatem imaginationem et diversitatem talentorum prioritatem habeat. Auctor libri Elementum et aliorum de educatione et creativitate.</v>
      </c>
      <c r="J565" t="str">
        <f>_xlfn.XLOOKUP(frasest[[#This Row],[autor_es]],autorest[autor_es],autorest[codigo])</f>
        <v>en</v>
      </c>
      <c r="K565" t="str">
        <f>_xlfn.XLOOKUP(frasest[[#This Row],[autor_es]],autorest[autor_es],autorest[idioma_es])</f>
        <v>Inglés</v>
      </c>
      <c r="L565" t="str">
        <f>_xlfn.XLOOKUP(frasest[[#This Row],[autor_es]],autorest[autor_es],autorest[idioma_la])</f>
        <v>Lingua Anglica</v>
      </c>
      <c r="M565" t="str">
        <f>_xlfn.XLOOKUP(frasest[[#This Row],[autor_es]],autorest[autor_es],autorest[nacion_es])</f>
        <v>Reino Unido</v>
      </c>
      <c r="N565" t="str">
        <f>_xlfn.XLOOKUP(frasest[[#This Row],[autor_es]],autorest[autor_es],autorest[nacion_la])</f>
        <v>Regnum Unitum</v>
      </c>
      <c r="O565" t="str">
        <f>_xlfn.XLOOKUP(frasest[[#This Row],[autor_es]],autorest[autor_es],autorest[epoca_es])</f>
        <v>Edad Contemporánea</v>
      </c>
      <c r="P565" t="str">
        <f>_xlfn.XLOOKUP(frasest[[#This Row],[autor_es]],autorest[autor_es],autorest[epoca_la])</f>
        <v>Aetas Contemporanea</v>
      </c>
      <c r="Q565" t="str">
        <f>_xlfn.XLOOKUP(frasest[[#This Row],[autor_es]],autorest[autor_es],autorest[imagen])</f>
        <v>https://i.ibb.co/pBt9Ty7Z/kenrobinson.png</v>
      </c>
      <c r="R565">
        <f>_xlfn.XLOOKUP(frasest[[#This Row],[autor_es]],autorest[autor_es],autorest[imagen_atr])</f>
        <v>0</v>
      </c>
    </row>
    <row r="566" spans="1:18">
      <c r="A566">
        <v>565</v>
      </c>
      <c r="B566" t="s">
        <v>1928</v>
      </c>
      <c r="C566" t="s">
        <v>1929</v>
      </c>
      <c r="D566" t="s">
        <v>1930</v>
      </c>
      <c r="E566" t="s">
        <v>1907</v>
      </c>
      <c r="F566" t="s">
        <v>1912</v>
      </c>
      <c r="G566" t="str">
        <f>_xlfn.XLOOKUP(frasest[[#This Row],[autor_es]],autorest[autor_es],autorest[autor_la])</f>
        <v>Ken Robinson</v>
      </c>
      <c r="H566" t="str">
        <f>_xlfn.XLOOKUP(frasest[[#This Row],[autor_es]],autorest[autor_es],autorest[bio_es])</f>
        <v>Educador escritor y conferencista británico líder mundial en desarrollo de la creatividad y la innovación educativa. Su charla TED Las escuelas matan la creatividad es la más vista de la historia. Crítico del sistema educativo industrial defendió una transformación radical que priorice la creatividad la imaginación y la diversidad de talentos. Autor de El Elemento y otros libros sobre educación y creatividad.</v>
      </c>
      <c r="I566" t="str">
        <f>_xlfn.XLOOKUP(frasest[[#This Row],[autor_es]],autorest[autor_es],autorest[bio_la])</f>
        <v>Educator scriptor et concionator Britannicus dux mundialis in progressu creativitatis et innovationis educativae. Allocutio eius TED Scholae creativitatem necant maxime visa in historia est. Criticus systematis educativi industrialis transformationem radicalem defendit quae creativitatem imaginationem et diversitatem talentorum prioritatem habeat. Auctor libri Elementum et aliorum de educatione et creativitate.</v>
      </c>
      <c r="J566" t="str">
        <f>_xlfn.XLOOKUP(frasest[[#This Row],[autor_es]],autorest[autor_es],autorest[codigo])</f>
        <v>en</v>
      </c>
      <c r="K566" t="str">
        <f>_xlfn.XLOOKUP(frasest[[#This Row],[autor_es]],autorest[autor_es],autorest[idioma_es])</f>
        <v>Inglés</v>
      </c>
      <c r="L566" t="str">
        <f>_xlfn.XLOOKUP(frasest[[#This Row],[autor_es]],autorest[autor_es],autorest[idioma_la])</f>
        <v>Lingua Anglica</v>
      </c>
      <c r="M566" t="str">
        <f>_xlfn.XLOOKUP(frasest[[#This Row],[autor_es]],autorest[autor_es],autorest[nacion_es])</f>
        <v>Reino Unido</v>
      </c>
      <c r="N566" t="str">
        <f>_xlfn.XLOOKUP(frasest[[#This Row],[autor_es]],autorest[autor_es],autorest[nacion_la])</f>
        <v>Regnum Unitum</v>
      </c>
      <c r="O566" t="str">
        <f>_xlfn.XLOOKUP(frasest[[#This Row],[autor_es]],autorest[autor_es],autorest[epoca_es])</f>
        <v>Edad Contemporánea</v>
      </c>
      <c r="P566" t="str">
        <f>_xlfn.XLOOKUP(frasest[[#This Row],[autor_es]],autorest[autor_es],autorest[epoca_la])</f>
        <v>Aetas Contemporanea</v>
      </c>
      <c r="Q566" t="str">
        <f>_xlfn.XLOOKUP(frasest[[#This Row],[autor_es]],autorest[autor_es],autorest[imagen])</f>
        <v>https://i.ibb.co/pBt9Ty7Z/kenrobinson.png</v>
      </c>
      <c r="R566">
        <f>_xlfn.XLOOKUP(frasest[[#This Row],[autor_es]],autorest[autor_es],autorest[imagen_atr])</f>
        <v>0</v>
      </c>
    </row>
    <row r="567" spans="1:18">
      <c r="A567">
        <v>566</v>
      </c>
      <c r="B567" t="s">
        <v>1931</v>
      </c>
      <c r="C567" t="s">
        <v>1932</v>
      </c>
      <c r="D567" t="s">
        <v>1933</v>
      </c>
      <c r="E567" t="s">
        <v>1907</v>
      </c>
      <c r="F567" t="s">
        <v>1934</v>
      </c>
      <c r="G567" t="str">
        <f>_xlfn.XLOOKUP(frasest[[#This Row],[autor_es]],autorest[autor_es],autorest[autor_la])</f>
        <v>Ken Robinson</v>
      </c>
      <c r="H567" t="str">
        <f>_xlfn.XLOOKUP(frasest[[#This Row],[autor_es]],autorest[autor_es],autorest[bio_es])</f>
        <v>Educador escritor y conferencista británico líder mundial en desarrollo de la creatividad y la innovación educativa. Su charla TED Las escuelas matan la creatividad es la más vista de la historia. Crítico del sistema educativo industrial defendió una transformación radical que priorice la creatividad la imaginación y la diversidad de talentos. Autor de El Elemento y otros libros sobre educación y creatividad.</v>
      </c>
      <c r="I567" t="str">
        <f>_xlfn.XLOOKUP(frasest[[#This Row],[autor_es]],autorest[autor_es],autorest[bio_la])</f>
        <v>Educator scriptor et concionator Britannicus dux mundialis in progressu creativitatis et innovationis educativae. Allocutio eius TED Scholae creativitatem necant maxime visa in historia est. Criticus systematis educativi industrialis transformationem radicalem defendit quae creativitatem imaginationem et diversitatem talentorum prioritatem habeat. Auctor libri Elementum et aliorum de educatione et creativitate.</v>
      </c>
      <c r="J567" t="str">
        <f>_xlfn.XLOOKUP(frasest[[#This Row],[autor_es]],autorest[autor_es],autorest[codigo])</f>
        <v>en</v>
      </c>
      <c r="K567" t="str">
        <f>_xlfn.XLOOKUP(frasest[[#This Row],[autor_es]],autorest[autor_es],autorest[idioma_es])</f>
        <v>Inglés</v>
      </c>
      <c r="L567" t="str">
        <f>_xlfn.XLOOKUP(frasest[[#This Row],[autor_es]],autorest[autor_es],autorest[idioma_la])</f>
        <v>Lingua Anglica</v>
      </c>
      <c r="M567" t="str">
        <f>_xlfn.XLOOKUP(frasest[[#This Row],[autor_es]],autorest[autor_es],autorest[nacion_es])</f>
        <v>Reino Unido</v>
      </c>
      <c r="N567" t="str">
        <f>_xlfn.XLOOKUP(frasest[[#This Row],[autor_es]],autorest[autor_es],autorest[nacion_la])</f>
        <v>Regnum Unitum</v>
      </c>
      <c r="O567" t="str">
        <f>_xlfn.XLOOKUP(frasest[[#This Row],[autor_es]],autorest[autor_es],autorest[epoca_es])</f>
        <v>Edad Contemporánea</v>
      </c>
      <c r="P567" t="str">
        <f>_xlfn.XLOOKUP(frasest[[#This Row],[autor_es]],autorest[autor_es],autorest[epoca_la])</f>
        <v>Aetas Contemporanea</v>
      </c>
      <c r="Q567" t="str">
        <f>_xlfn.XLOOKUP(frasest[[#This Row],[autor_es]],autorest[autor_es],autorest[imagen])</f>
        <v>https://i.ibb.co/pBt9Ty7Z/kenrobinson.png</v>
      </c>
      <c r="R567">
        <f>_xlfn.XLOOKUP(frasest[[#This Row],[autor_es]],autorest[autor_es],autorest[imagen_atr])</f>
        <v>0</v>
      </c>
    </row>
    <row r="568" spans="1:18">
      <c r="A568">
        <v>567</v>
      </c>
      <c r="B568" t="s">
        <v>1935</v>
      </c>
      <c r="C568" t="s">
        <v>1936</v>
      </c>
      <c r="D568" t="s">
        <v>1937</v>
      </c>
      <c r="E568" t="s">
        <v>1938</v>
      </c>
      <c r="F568" t="s">
        <v>1939</v>
      </c>
      <c r="G568" t="str">
        <f>_xlfn.XLOOKUP(frasest[[#This Row],[autor_es]],autorest[autor_es],autorest[autor_la])</f>
        <v>Albertus Bandura</v>
      </c>
      <c r="H568" t="str">
        <f>_xlfn.XLOOKUP(frasest[[#This Row],[autor_es]],autorest[autor_es],autorest[bio_es])</f>
        <v>Psicólogo canadiense-estadounidense creador de la Teoría del Aprendizaje Social. Demostró que los niños aprenden por observación e imitación mediante su famoso experimento del muñeco Bobo. Desarrolló el concepto de autoeficacia la creencia en las propias capacidades. Puente entre el conductismo y el cognitivismo su teoría es pilar fundamental de la psicología educativa moderna sobre el rol del maestro como modelo.</v>
      </c>
      <c r="I568" t="str">
        <f>_xlfn.XLOOKUP(frasest[[#This Row],[autor_es]],autorest[autor_es],autorest[bio_la])</f>
        <v>Psychologus Canadensis-Americanus creator Theoriae Apprenhesionis Socialis. Demonstravit pueros per observationem et imitationem discere mediante celebri experimento bamboli Bobo. Conceptum autoeficaciae credentiam in facultatibus propriis elaboravit. Pons inter conductismum et cognitivismum theoria eius fundamentum est psychologiae educativae modernae de munere magistri ut exemplaris.</v>
      </c>
      <c r="J568" t="str">
        <f>_xlfn.XLOOKUP(frasest[[#This Row],[autor_es]],autorest[autor_es],autorest[codigo])</f>
        <v>en</v>
      </c>
      <c r="K568" t="str">
        <f>_xlfn.XLOOKUP(frasest[[#This Row],[autor_es]],autorest[autor_es],autorest[idioma_es])</f>
        <v>Inglés</v>
      </c>
      <c r="L568" t="str">
        <f>_xlfn.XLOOKUP(frasest[[#This Row],[autor_es]],autorest[autor_es],autorest[idioma_la])</f>
        <v>Lingua Anglica</v>
      </c>
      <c r="M568" t="str">
        <f>_xlfn.XLOOKUP(frasest[[#This Row],[autor_es]],autorest[autor_es],autorest[nacion_es])</f>
        <v>Canadá</v>
      </c>
      <c r="N568" t="str">
        <f>_xlfn.XLOOKUP(frasest[[#This Row],[autor_es]],autorest[autor_es],autorest[nacion_la])</f>
        <v>Canada</v>
      </c>
      <c r="O568" t="str">
        <f>_xlfn.XLOOKUP(frasest[[#This Row],[autor_es]],autorest[autor_es],autorest[epoca_es])</f>
        <v>Edad Contemporánea</v>
      </c>
      <c r="P568" t="str">
        <f>_xlfn.XLOOKUP(frasest[[#This Row],[autor_es]],autorest[autor_es],autorest[epoca_la])</f>
        <v>Aetas Contemporanea</v>
      </c>
      <c r="Q568" t="str">
        <f>_xlfn.XLOOKUP(frasest[[#This Row],[autor_es]],autorest[autor_es],autorest[imagen])</f>
        <v>https://i.ibb.co/21zkG8D5/albertbandura.png</v>
      </c>
      <c r="R568">
        <f>_xlfn.XLOOKUP(frasest[[#This Row],[autor_es]],autorest[autor_es],autorest[imagen_atr])</f>
        <v>0</v>
      </c>
    </row>
    <row r="569" spans="1:18">
      <c r="A569">
        <v>568</v>
      </c>
      <c r="B569" t="s">
        <v>1940</v>
      </c>
      <c r="C569" t="s">
        <v>1941</v>
      </c>
      <c r="D569" t="s">
        <v>1942</v>
      </c>
      <c r="E569" t="s">
        <v>1938</v>
      </c>
      <c r="F569" t="s">
        <v>1943</v>
      </c>
      <c r="G569" t="str">
        <f>_xlfn.XLOOKUP(frasest[[#This Row],[autor_es]],autorest[autor_es],autorest[autor_la])</f>
        <v>Albertus Bandura</v>
      </c>
      <c r="H569" t="str">
        <f>_xlfn.XLOOKUP(frasest[[#This Row],[autor_es]],autorest[autor_es],autorest[bio_es])</f>
        <v>Psicólogo canadiense-estadounidense creador de la Teoría del Aprendizaje Social. Demostró que los niños aprenden por observación e imitación mediante su famoso experimento del muñeco Bobo. Desarrolló el concepto de autoeficacia la creencia en las propias capacidades. Puente entre el conductismo y el cognitivismo su teoría es pilar fundamental de la psicología educativa moderna sobre el rol del maestro como modelo.</v>
      </c>
      <c r="I569" t="str">
        <f>_xlfn.XLOOKUP(frasest[[#This Row],[autor_es]],autorest[autor_es],autorest[bio_la])</f>
        <v>Psychologus Canadensis-Americanus creator Theoriae Apprenhesionis Socialis. Demonstravit pueros per observationem et imitationem discere mediante celebri experimento bamboli Bobo. Conceptum autoeficaciae credentiam in facultatibus propriis elaboravit. Pons inter conductismum et cognitivismum theoria eius fundamentum est psychologiae educativae modernae de munere magistri ut exemplaris.</v>
      </c>
      <c r="J569" t="str">
        <f>_xlfn.XLOOKUP(frasest[[#This Row],[autor_es]],autorest[autor_es],autorest[codigo])</f>
        <v>en</v>
      </c>
      <c r="K569" t="str">
        <f>_xlfn.XLOOKUP(frasest[[#This Row],[autor_es]],autorest[autor_es],autorest[idioma_es])</f>
        <v>Inglés</v>
      </c>
      <c r="L569" t="str">
        <f>_xlfn.XLOOKUP(frasest[[#This Row],[autor_es]],autorest[autor_es],autorest[idioma_la])</f>
        <v>Lingua Anglica</v>
      </c>
      <c r="M569" t="str">
        <f>_xlfn.XLOOKUP(frasest[[#This Row],[autor_es]],autorest[autor_es],autorest[nacion_es])</f>
        <v>Canadá</v>
      </c>
      <c r="N569" t="str">
        <f>_xlfn.XLOOKUP(frasest[[#This Row],[autor_es]],autorest[autor_es],autorest[nacion_la])</f>
        <v>Canada</v>
      </c>
      <c r="O569" t="str">
        <f>_xlfn.XLOOKUP(frasest[[#This Row],[autor_es]],autorest[autor_es],autorest[epoca_es])</f>
        <v>Edad Contemporánea</v>
      </c>
      <c r="P569" t="str">
        <f>_xlfn.XLOOKUP(frasest[[#This Row],[autor_es]],autorest[autor_es],autorest[epoca_la])</f>
        <v>Aetas Contemporanea</v>
      </c>
      <c r="Q569" t="str">
        <f>_xlfn.XLOOKUP(frasest[[#This Row],[autor_es]],autorest[autor_es],autorest[imagen])</f>
        <v>https://i.ibb.co/21zkG8D5/albertbandura.png</v>
      </c>
      <c r="R569">
        <f>_xlfn.XLOOKUP(frasest[[#This Row],[autor_es]],autorest[autor_es],autorest[imagen_atr])</f>
        <v>0</v>
      </c>
    </row>
    <row r="570" spans="1:18">
      <c r="A570">
        <v>569</v>
      </c>
      <c r="B570" t="s">
        <v>1944</v>
      </c>
      <c r="C570" t="s">
        <v>1945</v>
      </c>
      <c r="D570" t="s">
        <v>1946</v>
      </c>
      <c r="E570" t="s">
        <v>1938</v>
      </c>
      <c r="F570" t="s">
        <v>1947</v>
      </c>
      <c r="G570" t="str">
        <f>_xlfn.XLOOKUP(frasest[[#This Row],[autor_es]],autorest[autor_es],autorest[autor_la])</f>
        <v>Albertus Bandura</v>
      </c>
      <c r="H570" t="str">
        <f>_xlfn.XLOOKUP(frasest[[#This Row],[autor_es]],autorest[autor_es],autorest[bio_es])</f>
        <v>Psicólogo canadiense-estadounidense creador de la Teoría del Aprendizaje Social. Demostró que los niños aprenden por observación e imitación mediante su famoso experimento del muñeco Bobo. Desarrolló el concepto de autoeficacia la creencia en las propias capacidades. Puente entre el conductismo y el cognitivismo su teoría es pilar fundamental de la psicología educativa moderna sobre el rol del maestro como modelo.</v>
      </c>
      <c r="I570" t="str">
        <f>_xlfn.XLOOKUP(frasest[[#This Row],[autor_es]],autorest[autor_es],autorest[bio_la])</f>
        <v>Psychologus Canadensis-Americanus creator Theoriae Apprenhesionis Socialis. Demonstravit pueros per observationem et imitationem discere mediante celebri experimento bamboli Bobo. Conceptum autoeficaciae credentiam in facultatibus propriis elaboravit. Pons inter conductismum et cognitivismum theoria eius fundamentum est psychologiae educativae modernae de munere magistri ut exemplaris.</v>
      </c>
      <c r="J570" t="str">
        <f>_xlfn.XLOOKUP(frasest[[#This Row],[autor_es]],autorest[autor_es],autorest[codigo])</f>
        <v>en</v>
      </c>
      <c r="K570" t="str">
        <f>_xlfn.XLOOKUP(frasest[[#This Row],[autor_es]],autorest[autor_es],autorest[idioma_es])</f>
        <v>Inglés</v>
      </c>
      <c r="L570" t="str">
        <f>_xlfn.XLOOKUP(frasest[[#This Row],[autor_es]],autorest[autor_es],autorest[idioma_la])</f>
        <v>Lingua Anglica</v>
      </c>
      <c r="M570" t="str">
        <f>_xlfn.XLOOKUP(frasest[[#This Row],[autor_es]],autorest[autor_es],autorest[nacion_es])</f>
        <v>Canadá</v>
      </c>
      <c r="N570" t="str">
        <f>_xlfn.XLOOKUP(frasest[[#This Row],[autor_es]],autorest[autor_es],autorest[nacion_la])</f>
        <v>Canada</v>
      </c>
      <c r="O570" t="str">
        <f>_xlfn.XLOOKUP(frasest[[#This Row],[autor_es]],autorest[autor_es],autorest[epoca_es])</f>
        <v>Edad Contemporánea</v>
      </c>
      <c r="P570" t="str">
        <f>_xlfn.XLOOKUP(frasest[[#This Row],[autor_es]],autorest[autor_es],autorest[epoca_la])</f>
        <v>Aetas Contemporanea</v>
      </c>
      <c r="Q570" t="str">
        <f>_xlfn.XLOOKUP(frasest[[#This Row],[autor_es]],autorest[autor_es],autorest[imagen])</f>
        <v>https://i.ibb.co/21zkG8D5/albertbandura.png</v>
      </c>
      <c r="R570">
        <f>_xlfn.XLOOKUP(frasest[[#This Row],[autor_es]],autorest[autor_es],autorest[imagen_atr])</f>
        <v>0</v>
      </c>
    </row>
    <row r="571" spans="1:18">
      <c r="A571">
        <v>570</v>
      </c>
      <c r="B571" t="s">
        <v>1948</v>
      </c>
      <c r="C571" t="s">
        <v>1949</v>
      </c>
      <c r="D571" t="s">
        <v>1950</v>
      </c>
      <c r="E571" t="s">
        <v>1938</v>
      </c>
      <c r="F571" t="s">
        <v>1951</v>
      </c>
      <c r="G571" t="str">
        <f>_xlfn.XLOOKUP(frasest[[#This Row],[autor_es]],autorest[autor_es],autorest[autor_la])</f>
        <v>Albertus Bandura</v>
      </c>
      <c r="H571" t="str">
        <f>_xlfn.XLOOKUP(frasest[[#This Row],[autor_es]],autorest[autor_es],autorest[bio_es])</f>
        <v>Psicólogo canadiense-estadounidense creador de la Teoría del Aprendizaje Social. Demostró que los niños aprenden por observación e imitación mediante su famoso experimento del muñeco Bobo. Desarrolló el concepto de autoeficacia la creencia en las propias capacidades. Puente entre el conductismo y el cognitivismo su teoría es pilar fundamental de la psicología educativa moderna sobre el rol del maestro como modelo.</v>
      </c>
      <c r="I571" t="str">
        <f>_xlfn.XLOOKUP(frasest[[#This Row],[autor_es]],autorest[autor_es],autorest[bio_la])</f>
        <v>Psychologus Canadensis-Americanus creator Theoriae Apprenhesionis Socialis. Demonstravit pueros per observationem et imitationem discere mediante celebri experimento bamboli Bobo. Conceptum autoeficaciae credentiam in facultatibus propriis elaboravit. Pons inter conductismum et cognitivismum theoria eius fundamentum est psychologiae educativae modernae de munere magistri ut exemplaris.</v>
      </c>
      <c r="J571" t="str">
        <f>_xlfn.XLOOKUP(frasest[[#This Row],[autor_es]],autorest[autor_es],autorest[codigo])</f>
        <v>en</v>
      </c>
      <c r="K571" t="str">
        <f>_xlfn.XLOOKUP(frasest[[#This Row],[autor_es]],autorest[autor_es],autorest[idioma_es])</f>
        <v>Inglés</v>
      </c>
      <c r="L571" t="str">
        <f>_xlfn.XLOOKUP(frasest[[#This Row],[autor_es]],autorest[autor_es],autorest[idioma_la])</f>
        <v>Lingua Anglica</v>
      </c>
      <c r="M571" t="str">
        <f>_xlfn.XLOOKUP(frasest[[#This Row],[autor_es]],autorest[autor_es],autorest[nacion_es])</f>
        <v>Canadá</v>
      </c>
      <c r="N571" t="str">
        <f>_xlfn.XLOOKUP(frasest[[#This Row],[autor_es]],autorest[autor_es],autorest[nacion_la])</f>
        <v>Canada</v>
      </c>
      <c r="O571" t="str">
        <f>_xlfn.XLOOKUP(frasest[[#This Row],[autor_es]],autorest[autor_es],autorest[epoca_es])</f>
        <v>Edad Contemporánea</v>
      </c>
      <c r="P571" t="str">
        <f>_xlfn.XLOOKUP(frasest[[#This Row],[autor_es]],autorest[autor_es],autorest[epoca_la])</f>
        <v>Aetas Contemporanea</v>
      </c>
      <c r="Q571" t="str">
        <f>_xlfn.XLOOKUP(frasest[[#This Row],[autor_es]],autorest[autor_es],autorest[imagen])</f>
        <v>https://i.ibb.co/21zkG8D5/albertbandura.png</v>
      </c>
      <c r="R571">
        <f>_xlfn.XLOOKUP(frasest[[#This Row],[autor_es]],autorest[autor_es],autorest[imagen_atr])</f>
        <v>0</v>
      </c>
    </row>
    <row r="572" spans="1:18">
      <c r="A572">
        <v>571</v>
      </c>
      <c r="B572" t="s">
        <v>1952</v>
      </c>
      <c r="C572" t="s">
        <v>1953</v>
      </c>
      <c r="D572" t="s">
        <v>1954</v>
      </c>
      <c r="E572" t="s">
        <v>1938</v>
      </c>
      <c r="F572" t="s">
        <v>1939</v>
      </c>
      <c r="G572" t="str">
        <f>_xlfn.XLOOKUP(frasest[[#This Row],[autor_es]],autorest[autor_es],autorest[autor_la])</f>
        <v>Albertus Bandura</v>
      </c>
      <c r="H572" t="str">
        <f>_xlfn.XLOOKUP(frasest[[#This Row],[autor_es]],autorest[autor_es],autorest[bio_es])</f>
        <v>Psicólogo canadiense-estadounidense creador de la Teoría del Aprendizaje Social. Demostró que los niños aprenden por observación e imitación mediante su famoso experimento del muñeco Bobo. Desarrolló el concepto de autoeficacia la creencia en las propias capacidades. Puente entre el conductismo y el cognitivismo su teoría es pilar fundamental de la psicología educativa moderna sobre el rol del maestro como modelo.</v>
      </c>
      <c r="I572" t="str">
        <f>_xlfn.XLOOKUP(frasest[[#This Row],[autor_es]],autorest[autor_es],autorest[bio_la])</f>
        <v>Psychologus Canadensis-Americanus creator Theoriae Apprenhesionis Socialis. Demonstravit pueros per observationem et imitationem discere mediante celebri experimento bamboli Bobo. Conceptum autoeficaciae credentiam in facultatibus propriis elaboravit. Pons inter conductismum et cognitivismum theoria eius fundamentum est psychologiae educativae modernae de munere magistri ut exemplaris.</v>
      </c>
      <c r="J572" t="str">
        <f>_xlfn.XLOOKUP(frasest[[#This Row],[autor_es]],autorest[autor_es],autorest[codigo])</f>
        <v>en</v>
      </c>
      <c r="K572" t="str">
        <f>_xlfn.XLOOKUP(frasest[[#This Row],[autor_es]],autorest[autor_es],autorest[idioma_es])</f>
        <v>Inglés</v>
      </c>
      <c r="L572" t="str">
        <f>_xlfn.XLOOKUP(frasest[[#This Row],[autor_es]],autorest[autor_es],autorest[idioma_la])</f>
        <v>Lingua Anglica</v>
      </c>
      <c r="M572" t="str">
        <f>_xlfn.XLOOKUP(frasest[[#This Row],[autor_es]],autorest[autor_es],autorest[nacion_es])</f>
        <v>Canadá</v>
      </c>
      <c r="N572" t="str">
        <f>_xlfn.XLOOKUP(frasest[[#This Row],[autor_es]],autorest[autor_es],autorest[nacion_la])</f>
        <v>Canada</v>
      </c>
      <c r="O572" t="str">
        <f>_xlfn.XLOOKUP(frasest[[#This Row],[autor_es]],autorest[autor_es],autorest[epoca_es])</f>
        <v>Edad Contemporánea</v>
      </c>
      <c r="P572" t="str">
        <f>_xlfn.XLOOKUP(frasest[[#This Row],[autor_es]],autorest[autor_es],autorest[epoca_la])</f>
        <v>Aetas Contemporanea</v>
      </c>
      <c r="Q572" t="str">
        <f>_xlfn.XLOOKUP(frasest[[#This Row],[autor_es]],autorest[autor_es],autorest[imagen])</f>
        <v>https://i.ibb.co/21zkG8D5/albertbandura.png</v>
      </c>
      <c r="R572">
        <f>_xlfn.XLOOKUP(frasest[[#This Row],[autor_es]],autorest[autor_es],autorest[imagen_atr])</f>
        <v>0</v>
      </c>
    </row>
    <row r="573" spans="1:18">
      <c r="A573">
        <v>572</v>
      </c>
      <c r="B573" t="s">
        <v>1955</v>
      </c>
      <c r="C573" t="s">
        <v>1956</v>
      </c>
      <c r="D573" t="s">
        <v>1957</v>
      </c>
      <c r="E573" t="s">
        <v>1938</v>
      </c>
      <c r="F573" t="s">
        <v>1958</v>
      </c>
      <c r="G573" t="str">
        <f>_xlfn.XLOOKUP(frasest[[#This Row],[autor_es]],autorest[autor_es],autorest[autor_la])</f>
        <v>Albertus Bandura</v>
      </c>
      <c r="H573" t="str">
        <f>_xlfn.XLOOKUP(frasest[[#This Row],[autor_es]],autorest[autor_es],autorest[bio_es])</f>
        <v>Psicólogo canadiense-estadounidense creador de la Teoría del Aprendizaje Social. Demostró que los niños aprenden por observación e imitación mediante su famoso experimento del muñeco Bobo. Desarrolló el concepto de autoeficacia la creencia en las propias capacidades. Puente entre el conductismo y el cognitivismo su teoría es pilar fundamental de la psicología educativa moderna sobre el rol del maestro como modelo.</v>
      </c>
      <c r="I573" t="str">
        <f>_xlfn.XLOOKUP(frasest[[#This Row],[autor_es]],autorest[autor_es],autorest[bio_la])</f>
        <v>Psychologus Canadensis-Americanus creator Theoriae Apprenhesionis Socialis. Demonstravit pueros per observationem et imitationem discere mediante celebri experimento bamboli Bobo. Conceptum autoeficaciae credentiam in facultatibus propriis elaboravit. Pons inter conductismum et cognitivismum theoria eius fundamentum est psychologiae educativae modernae de munere magistri ut exemplaris.</v>
      </c>
      <c r="J573" t="str">
        <f>_xlfn.XLOOKUP(frasest[[#This Row],[autor_es]],autorest[autor_es],autorest[codigo])</f>
        <v>en</v>
      </c>
      <c r="K573" t="str">
        <f>_xlfn.XLOOKUP(frasest[[#This Row],[autor_es]],autorest[autor_es],autorest[idioma_es])</f>
        <v>Inglés</v>
      </c>
      <c r="L573" t="str">
        <f>_xlfn.XLOOKUP(frasest[[#This Row],[autor_es]],autorest[autor_es],autorest[idioma_la])</f>
        <v>Lingua Anglica</v>
      </c>
      <c r="M573" t="str">
        <f>_xlfn.XLOOKUP(frasest[[#This Row],[autor_es]],autorest[autor_es],autorest[nacion_es])</f>
        <v>Canadá</v>
      </c>
      <c r="N573" t="str">
        <f>_xlfn.XLOOKUP(frasest[[#This Row],[autor_es]],autorest[autor_es],autorest[nacion_la])</f>
        <v>Canada</v>
      </c>
      <c r="O573" t="str">
        <f>_xlfn.XLOOKUP(frasest[[#This Row],[autor_es]],autorest[autor_es],autorest[epoca_es])</f>
        <v>Edad Contemporánea</v>
      </c>
      <c r="P573" t="str">
        <f>_xlfn.XLOOKUP(frasest[[#This Row],[autor_es]],autorest[autor_es],autorest[epoca_la])</f>
        <v>Aetas Contemporanea</v>
      </c>
      <c r="Q573" t="str">
        <f>_xlfn.XLOOKUP(frasest[[#This Row],[autor_es]],autorest[autor_es],autorest[imagen])</f>
        <v>https://i.ibb.co/21zkG8D5/albertbandura.png</v>
      </c>
      <c r="R573">
        <f>_xlfn.XLOOKUP(frasest[[#This Row],[autor_es]],autorest[autor_es],autorest[imagen_atr])</f>
        <v>0</v>
      </c>
    </row>
    <row r="574" spans="1:18">
      <c r="A574">
        <v>573</v>
      </c>
      <c r="B574" t="s">
        <v>1959</v>
      </c>
      <c r="C574" t="s">
        <v>1960</v>
      </c>
      <c r="D574" t="s">
        <v>1961</v>
      </c>
      <c r="E574" t="s">
        <v>1962</v>
      </c>
      <c r="F574" t="s">
        <v>1963</v>
      </c>
      <c r="G574" t="str">
        <f>_xlfn.XLOOKUP(frasest[[#This Row],[autor_es]],autorest[autor_es],autorest[autor_la])</f>
        <v>Burrhus Frederic Skinner</v>
      </c>
      <c r="H574" t="str">
        <f>_xlfn.XLOOKUP(frasest[[#This Row],[autor_es]],autorest[autor_es],autorest[bio_es])</f>
        <v>Psicólogo estadounidense máximo exponente del conductismo. Creador de la teoría del condicionamiento operante basada en refuerzos y castigos que revolucionó la comprensión del aprendizaje. Desarrolló la caja de Skinner para estudiar el comportamiento animal. Aunque polémico su trabajo sobre el refuerzo positivo y negativo es pilar de la psicología del aprendizaje y las técnicas de modificación de conducta en educación.</v>
      </c>
      <c r="I574" t="str">
        <f>_xlfn.XLOOKUP(frasest[[#This Row],[autor_es]],autorest[autor_es],autorest[bio_la])</f>
        <v>Psychologus Americanus maximus exponent conductismi. Creator theoriae conditionamenti operantis in reinfortiis et punitionibus fundatae quae intellectionem apprenhesionis revolutionavit. Capsulam Skinner ad studendum comportamentum animalium elaboravit. Quamvis controversus opus eius de reinfortio positivo et negativo fundamentum est psychologiae apprenhesionis et technicarum modificationis conductus in educatione.</v>
      </c>
      <c r="J574" t="str">
        <f>_xlfn.XLOOKUP(frasest[[#This Row],[autor_es]],autorest[autor_es],autorest[codigo])</f>
        <v>en</v>
      </c>
      <c r="K574" t="str">
        <f>_xlfn.XLOOKUP(frasest[[#This Row],[autor_es]],autorest[autor_es],autorest[idioma_es])</f>
        <v>Inglés</v>
      </c>
      <c r="L574" t="str">
        <f>_xlfn.XLOOKUP(frasest[[#This Row],[autor_es]],autorest[autor_es],autorest[idioma_la])</f>
        <v>Lingua Anglica</v>
      </c>
      <c r="M574" t="str">
        <f>_xlfn.XLOOKUP(frasest[[#This Row],[autor_es]],autorest[autor_es],autorest[nacion_es])</f>
        <v>Estados Unidos</v>
      </c>
      <c r="N574" t="str">
        <f>_xlfn.XLOOKUP(frasest[[#This Row],[autor_es]],autorest[autor_es],autorest[nacion_la])</f>
        <v>Civitates Foederatae Americae</v>
      </c>
      <c r="O574" t="str">
        <f>_xlfn.XLOOKUP(frasest[[#This Row],[autor_es]],autorest[autor_es],autorest[epoca_es])</f>
        <v>Edad Contemporánea</v>
      </c>
      <c r="P574" t="str">
        <f>_xlfn.XLOOKUP(frasest[[#This Row],[autor_es]],autorest[autor_es],autorest[epoca_la])</f>
        <v>Aetas Contemporanea</v>
      </c>
      <c r="Q574" t="str">
        <f>_xlfn.XLOOKUP(frasest[[#This Row],[autor_es]],autorest[autor_es],autorest[imagen])</f>
        <v>https://i.ibb.co/QFcznP4m/skinner.png</v>
      </c>
      <c r="R574">
        <f>_xlfn.XLOOKUP(frasest[[#This Row],[autor_es]],autorest[autor_es],autorest[imagen_atr])</f>
        <v>0</v>
      </c>
    </row>
    <row r="575" spans="1:18">
      <c r="A575">
        <v>574</v>
      </c>
      <c r="B575" t="s">
        <v>1964</v>
      </c>
      <c r="C575" t="s">
        <v>1965</v>
      </c>
      <c r="D575" t="s">
        <v>1966</v>
      </c>
      <c r="E575" t="s">
        <v>1962</v>
      </c>
      <c r="F575" t="s">
        <v>1967</v>
      </c>
      <c r="G575" t="str">
        <f>_xlfn.XLOOKUP(frasest[[#This Row],[autor_es]],autorest[autor_es],autorest[autor_la])</f>
        <v>Burrhus Frederic Skinner</v>
      </c>
      <c r="H575" t="str">
        <f>_xlfn.XLOOKUP(frasest[[#This Row],[autor_es]],autorest[autor_es],autorest[bio_es])</f>
        <v>Psicólogo estadounidense máximo exponente del conductismo. Creador de la teoría del condicionamiento operante basada en refuerzos y castigos que revolucionó la comprensión del aprendizaje. Desarrolló la caja de Skinner para estudiar el comportamiento animal. Aunque polémico su trabajo sobre el refuerzo positivo y negativo es pilar de la psicología del aprendizaje y las técnicas de modificación de conducta en educación.</v>
      </c>
      <c r="I575" t="str">
        <f>_xlfn.XLOOKUP(frasest[[#This Row],[autor_es]],autorest[autor_es],autorest[bio_la])</f>
        <v>Psychologus Americanus maximus exponent conductismi. Creator theoriae conditionamenti operantis in reinfortiis et punitionibus fundatae quae intellectionem apprenhesionis revolutionavit. Capsulam Skinner ad studendum comportamentum animalium elaboravit. Quamvis controversus opus eius de reinfortio positivo et negativo fundamentum est psychologiae apprenhesionis et technicarum modificationis conductus in educatione.</v>
      </c>
      <c r="J575" t="str">
        <f>_xlfn.XLOOKUP(frasest[[#This Row],[autor_es]],autorest[autor_es],autorest[codigo])</f>
        <v>en</v>
      </c>
      <c r="K575" t="str">
        <f>_xlfn.XLOOKUP(frasest[[#This Row],[autor_es]],autorest[autor_es],autorest[idioma_es])</f>
        <v>Inglés</v>
      </c>
      <c r="L575" t="str">
        <f>_xlfn.XLOOKUP(frasest[[#This Row],[autor_es]],autorest[autor_es],autorest[idioma_la])</f>
        <v>Lingua Anglica</v>
      </c>
      <c r="M575" t="str">
        <f>_xlfn.XLOOKUP(frasest[[#This Row],[autor_es]],autorest[autor_es],autorest[nacion_es])</f>
        <v>Estados Unidos</v>
      </c>
      <c r="N575" t="str">
        <f>_xlfn.XLOOKUP(frasest[[#This Row],[autor_es]],autorest[autor_es],autorest[nacion_la])</f>
        <v>Civitates Foederatae Americae</v>
      </c>
      <c r="O575" t="str">
        <f>_xlfn.XLOOKUP(frasest[[#This Row],[autor_es]],autorest[autor_es],autorest[epoca_es])</f>
        <v>Edad Contemporánea</v>
      </c>
      <c r="P575" t="str">
        <f>_xlfn.XLOOKUP(frasest[[#This Row],[autor_es]],autorest[autor_es],autorest[epoca_la])</f>
        <v>Aetas Contemporanea</v>
      </c>
      <c r="Q575" t="str">
        <f>_xlfn.XLOOKUP(frasest[[#This Row],[autor_es]],autorest[autor_es],autorest[imagen])</f>
        <v>https://i.ibb.co/QFcznP4m/skinner.png</v>
      </c>
      <c r="R575">
        <f>_xlfn.XLOOKUP(frasest[[#This Row],[autor_es]],autorest[autor_es],autorest[imagen_atr])</f>
        <v>0</v>
      </c>
    </row>
    <row r="576" spans="1:18">
      <c r="A576">
        <v>575</v>
      </c>
      <c r="B576" t="s">
        <v>1968</v>
      </c>
      <c r="C576" t="s">
        <v>1969</v>
      </c>
      <c r="D576" t="s">
        <v>1970</v>
      </c>
      <c r="E576" t="s">
        <v>1962</v>
      </c>
      <c r="F576" t="s">
        <v>1971</v>
      </c>
      <c r="G576" t="str">
        <f>_xlfn.XLOOKUP(frasest[[#This Row],[autor_es]],autorest[autor_es],autorest[autor_la])</f>
        <v>Burrhus Frederic Skinner</v>
      </c>
      <c r="H576" t="str">
        <f>_xlfn.XLOOKUP(frasest[[#This Row],[autor_es]],autorest[autor_es],autorest[bio_es])</f>
        <v>Psicólogo estadounidense máximo exponente del conductismo. Creador de la teoría del condicionamiento operante basada en refuerzos y castigos que revolucionó la comprensión del aprendizaje. Desarrolló la caja de Skinner para estudiar el comportamiento animal. Aunque polémico su trabajo sobre el refuerzo positivo y negativo es pilar de la psicología del aprendizaje y las técnicas de modificación de conducta en educación.</v>
      </c>
      <c r="I576" t="str">
        <f>_xlfn.XLOOKUP(frasest[[#This Row],[autor_es]],autorest[autor_es],autorest[bio_la])</f>
        <v>Psychologus Americanus maximus exponent conductismi. Creator theoriae conditionamenti operantis in reinfortiis et punitionibus fundatae quae intellectionem apprenhesionis revolutionavit. Capsulam Skinner ad studendum comportamentum animalium elaboravit. Quamvis controversus opus eius de reinfortio positivo et negativo fundamentum est psychologiae apprenhesionis et technicarum modificationis conductus in educatione.</v>
      </c>
      <c r="J576" t="str">
        <f>_xlfn.XLOOKUP(frasest[[#This Row],[autor_es]],autorest[autor_es],autorest[codigo])</f>
        <v>en</v>
      </c>
      <c r="K576" t="str">
        <f>_xlfn.XLOOKUP(frasest[[#This Row],[autor_es]],autorest[autor_es],autorest[idioma_es])</f>
        <v>Inglés</v>
      </c>
      <c r="L576" t="str">
        <f>_xlfn.XLOOKUP(frasest[[#This Row],[autor_es]],autorest[autor_es],autorest[idioma_la])</f>
        <v>Lingua Anglica</v>
      </c>
      <c r="M576" t="str">
        <f>_xlfn.XLOOKUP(frasest[[#This Row],[autor_es]],autorest[autor_es],autorest[nacion_es])</f>
        <v>Estados Unidos</v>
      </c>
      <c r="N576" t="str">
        <f>_xlfn.XLOOKUP(frasest[[#This Row],[autor_es]],autorest[autor_es],autorest[nacion_la])</f>
        <v>Civitates Foederatae Americae</v>
      </c>
      <c r="O576" t="str">
        <f>_xlfn.XLOOKUP(frasest[[#This Row],[autor_es]],autorest[autor_es],autorest[epoca_es])</f>
        <v>Edad Contemporánea</v>
      </c>
      <c r="P576" t="str">
        <f>_xlfn.XLOOKUP(frasest[[#This Row],[autor_es]],autorest[autor_es],autorest[epoca_la])</f>
        <v>Aetas Contemporanea</v>
      </c>
      <c r="Q576" t="str">
        <f>_xlfn.XLOOKUP(frasest[[#This Row],[autor_es]],autorest[autor_es],autorest[imagen])</f>
        <v>https://i.ibb.co/QFcznP4m/skinner.png</v>
      </c>
      <c r="R576">
        <f>_xlfn.XLOOKUP(frasest[[#This Row],[autor_es]],autorest[autor_es],autorest[imagen_atr])</f>
        <v>0</v>
      </c>
    </row>
    <row r="577" spans="1:18">
      <c r="A577">
        <v>576</v>
      </c>
      <c r="B577" t="s">
        <v>1972</v>
      </c>
      <c r="C577" t="s">
        <v>1973</v>
      </c>
      <c r="D577" t="s">
        <v>1974</v>
      </c>
      <c r="E577" t="s">
        <v>1962</v>
      </c>
      <c r="F577" t="s">
        <v>1975</v>
      </c>
      <c r="G577" t="str">
        <f>_xlfn.XLOOKUP(frasest[[#This Row],[autor_es]],autorest[autor_es],autorest[autor_la])</f>
        <v>Burrhus Frederic Skinner</v>
      </c>
      <c r="H577" t="str">
        <f>_xlfn.XLOOKUP(frasest[[#This Row],[autor_es]],autorest[autor_es],autorest[bio_es])</f>
        <v>Psicólogo estadounidense máximo exponente del conductismo. Creador de la teoría del condicionamiento operante basada en refuerzos y castigos que revolucionó la comprensión del aprendizaje. Desarrolló la caja de Skinner para estudiar el comportamiento animal. Aunque polémico su trabajo sobre el refuerzo positivo y negativo es pilar de la psicología del aprendizaje y las técnicas de modificación de conducta en educación.</v>
      </c>
      <c r="I577" t="str">
        <f>_xlfn.XLOOKUP(frasest[[#This Row],[autor_es]],autorest[autor_es],autorest[bio_la])</f>
        <v>Psychologus Americanus maximus exponent conductismi. Creator theoriae conditionamenti operantis in reinfortiis et punitionibus fundatae quae intellectionem apprenhesionis revolutionavit. Capsulam Skinner ad studendum comportamentum animalium elaboravit. Quamvis controversus opus eius de reinfortio positivo et negativo fundamentum est psychologiae apprenhesionis et technicarum modificationis conductus in educatione.</v>
      </c>
      <c r="J577" t="str">
        <f>_xlfn.XLOOKUP(frasest[[#This Row],[autor_es]],autorest[autor_es],autorest[codigo])</f>
        <v>en</v>
      </c>
      <c r="K577" t="str">
        <f>_xlfn.XLOOKUP(frasest[[#This Row],[autor_es]],autorest[autor_es],autorest[idioma_es])</f>
        <v>Inglés</v>
      </c>
      <c r="L577" t="str">
        <f>_xlfn.XLOOKUP(frasest[[#This Row],[autor_es]],autorest[autor_es],autorest[idioma_la])</f>
        <v>Lingua Anglica</v>
      </c>
      <c r="M577" t="str">
        <f>_xlfn.XLOOKUP(frasest[[#This Row],[autor_es]],autorest[autor_es],autorest[nacion_es])</f>
        <v>Estados Unidos</v>
      </c>
      <c r="N577" t="str">
        <f>_xlfn.XLOOKUP(frasest[[#This Row],[autor_es]],autorest[autor_es],autorest[nacion_la])</f>
        <v>Civitates Foederatae Americae</v>
      </c>
      <c r="O577" t="str">
        <f>_xlfn.XLOOKUP(frasest[[#This Row],[autor_es]],autorest[autor_es],autorest[epoca_es])</f>
        <v>Edad Contemporánea</v>
      </c>
      <c r="P577" t="str">
        <f>_xlfn.XLOOKUP(frasest[[#This Row],[autor_es]],autorest[autor_es],autorest[epoca_la])</f>
        <v>Aetas Contemporanea</v>
      </c>
      <c r="Q577" t="str">
        <f>_xlfn.XLOOKUP(frasest[[#This Row],[autor_es]],autorest[autor_es],autorest[imagen])</f>
        <v>https://i.ibb.co/QFcznP4m/skinner.png</v>
      </c>
      <c r="R577">
        <f>_xlfn.XLOOKUP(frasest[[#This Row],[autor_es]],autorest[autor_es],autorest[imagen_atr])</f>
        <v>0</v>
      </c>
    </row>
    <row r="578" spans="1:18">
      <c r="A578">
        <v>577</v>
      </c>
      <c r="B578" t="s">
        <v>1976</v>
      </c>
      <c r="C578" t="s">
        <v>1977</v>
      </c>
      <c r="D578" t="s">
        <v>1978</v>
      </c>
      <c r="E578" t="s">
        <v>1962</v>
      </c>
      <c r="F578" t="s">
        <v>1979</v>
      </c>
      <c r="G578" t="str">
        <f>_xlfn.XLOOKUP(frasest[[#This Row],[autor_es]],autorest[autor_es],autorest[autor_la])</f>
        <v>Burrhus Frederic Skinner</v>
      </c>
      <c r="H578" t="str">
        <f>_xlfn.XLOOKUP(frasest[[#This Row],[autor_es]],autorest[autor_es],autorest[bio_es])</f>
        <v>Psicólogo estadounidense máximo exponente del conductismo. Creador de la teoría del condicionamiento operante basada en refuerzos y castigos que revolucionó la comprensión del aprendizaje. Desarrolló la caja de Skinner para estudiar el comportamiento animal. Aunque polémico su trabajo sobre el refuerzo positivo y negativo es pilar de la psicología del aprendizaje y las técnicas de modificación de conducta en educación.</v>
      </c>
      <c r="I578" t="str">
        <f>_xlfn.XLOOKUP(frasest[[#This Row],[autor_es]],autorest[autor_es],autorest[bio_la])</f>
        <v>Psychologus Americanus maximus exponent conductismi. Creator theoriae conditionamenti operantis in reinfortiis et punitionibus fundatae quae intellectionem apprenhesionis revolutionavit. Capsulam Skinner ad studendum comportamentum animalium elaboravit. Quamvis controversus opus eius de reinfortio positivo et negativo fundamentum est psychologiae apprenhesionis et technicarum modificationis conductus in educatione.</v>
      </c>
      <c r="J578" t="str">
        <f>_xlfn.XLOOKUP(frasest[[#This Row],[autor_es]],autorest[autor_es],autorest[codigo])</f>
        <v>en</v>
      </c>
      <c r="K578" t="str">
        <f>_xlfn.XLOOKUP(frasest[[#This Row],[autor_es]],autorest[autor_es],autorest[idioma_es])</f>
        <v>Inglés</v>
      </c>
      <c r="L578" t="str">
        <f>_xlfn.XLOOKUP(frasest[[#This Row],[autor_es]],autorest[autor_es],autorest[idioma_la])</f>
        <v>Lingua Anglica</v>
      </c>
      <c r="M578" t="str">
        <f>_xlfn.XLOOKUP(frasest[[#This Row],[autor_es]],autorest[autor_es],autorest[nacion_es])</f>
        <v>Estados Unidos</v>
      </c>
      <c r="N578" t="str">
        <f>_xlfn.XLOOKUP(frasest[[#This Row],[autor_es]],autorest[autor_es],autorest[nacion_la])</f>
        <v>Civitates Foederatae Americae</v>
      </c>
      <c r="O578" t="str">
        <f>_xlfn.XLOOKUP(frasest[[#This Row],[autor_es]],autorest[autor_es],autorest[epoca_es])</f>
        <v>Edad Contemporánea</v>
      </c>
      <c r="P578" t="str">
        <f>_xlfn.XLOOKUP(frasest[[#This Row],[autor_es]],autorest[autor_es],autorest[epoca_la])</f>
        <v>Aetas Contemporanea</v>
      </c>
      <c r="Q578" t="str">
        <f>_xlfn.XLOOKUP(frasest[[#This Row],[autor_es]],autorest[autor_es],autorest[imagen])</f>
        <v>https://i.ibb.co/QFcznP4m/skinner.png</v>
      </c>
      <c r="R578">
        <f>_xlfn.XLOOKUP(frasest[[#This Row],[autor_es]],autorest[autor_es],autorest[imagen_atr])</f>
        <v>0</v>
      </c>
    </row>
    <row r="579" spans="1:18">
      <c r="A579">
        <v>578</v>
      </c>
      <c r="B579" t="s">
        <v>1980</v>
      </c>
      <c r="C579" t="s">
        <v>1981</v>
      </c>
      <c r="D579" t="s">
        <v>1982</v>
      </c>
      <c r="E579" t="s">
        <v>1962</v>
      </c>
      <c r="F579" t="s">
        <v>1983</v>
      </c>
      <c r="G579" t="str">
        <f>_xlfn.XLOOKUP(frasest[[#This Row],[autor_es]],autorest[autor_es],autorest[autor_la])</f>
        <v>Burrhus Frederic Skinner</v>
      </c>
      <c r="H579" t="str">
        <f>_xlfn.XLOOKUP(frasest[[#This Row],[autor_es]],autorest[autor_es],autorest[bio_es])</f>
        <v>Psicólogo estadounidense máximo exponente del conductismo. Creador de la teoría del condicionamiento operante basada en refuerzos y castigos que revolucionó la comprensión del aprendizaje. Desarrolló la caja de Skinner para estudiar el comportamiento animal. Aunque polémico su trabajo sobre el refuerzo positivo y negativo es pilar de la psicología del aprendizaje y las técnicas de modificación de conducta en educación.</v>
      </c>
      <c r="I579" t="str">
        <f>_xlfn.XLOOKUP(frasest[[#This Row],[autor_es]],autorest[autor_es],autorest[bio_la])</f>
        <v>Psychologus Americanus maximus exponent conductismi. Creator theoriae conditionamenti operantis in reinfortiis et punitionibus fundatae quae intellectionem apprenhesionis revolutionavit. Capsulam Skinner ad studendum comportamentum animalium elaboravit. Quamvis controversus opus eius de reinfortio positivo et negativo fundamentum est psychologiae apprenhesionis et technicarum modificationis conductus in educatione.</v>
      </c>
      <c r="J579" t="str">
        <f>_xlfn.XLOOKUP(frasest[[#This Row],[autor_es]],autorest[autor_es],autorest[codigo])</f>
        <v>en</v>
      </c>
      <c r="K579" t="str">
        <f>_xlfn.XLOOKUP(frasest[[#This Row],[autor_es]],autorest[autor_es],autorest[idioma_es])</f>
        <v>Inglés</v>
      </c>
      <c r="L579" t="str">
        <f>_xlfn.XLOOKUP(frasest[[#This Row],[autor_es]],autorest[autor_es],autorest[idioma_la])</f>
        <v>Lingua Anglica</v>
      </c>
      <c r="M579" t="str">
        <f>_xlfn.XLOOKUP(frasest[[#This Row],[autor_es]],autorest[autor_es],autorest[nacion_es])</f>
        <v>Estados Unidos</v>
      </c>
      <c r="N579" t="str">
        <f>_xlfn.XLOOKUP(frasest[[#This Row],[autor_es]],autorest[autor_es],autorest[nacion_la])</f>
        <v>Civitates Foederatae Americae</v>
      </c>
      <c r="O579" t="str">
        <f>_xlfn.XLOOKUP(frasest[[#This Row],[autor_es]],autorest[autor_es],autorest[epoca_es])</f>
        <v>Edad Contemporánea</v>
      </c>
      <c r="P579" t="str">
        <f>_xlfn.XLOOKUP(frasest[[#This Row],[autor_es]],autorest[autor_es],autorest[epoca_la])</f>
        <v>Aetas Contemporanea</v>
      </c>
      <c r="Q579" t="str">
        <f>_xlfn.XLOOKUP(frasest[[#This Row],[autor_es]],autorest[autor_es],autorest[imagen])</f>
        <v>https://i.ibb.co/QFcznP4m/skinner.png</v>
      </c>
      <c r="R579">
        <f>_xlfn.XLOOKUP(frasest[[#This Row],[autor_es]],autorest[autor_es],autorest[imagen_atr])</f>
        <v>0</v>
      </c>
    </row>
    <row r="580" spans="1:18">
      <c r="A580">
        <v>579</v>
      </c>
      <c r="B580" t="s">
        <v>1984</v>
      </c>
      <c r="C580" t="s">
        <v>1985</v>
      </c>
      <c r="D580" t="s">
        <v>1986</v>
      </c>
      <c r="E580" t="s">
        <v>1987</v>
      </c>
      <c r="F580" t="s">
        <v>1988</v>
      </c>
      <c r="G580" t="str">
        <f>_xlfn.XLOOKUP(frasest[[#This Row],[autor_es]],autorest[autor_es],autorest[autor_la])</f>
        <v>Iacobus Maritain</v>
      </c>
      <c r="H580" t="str">
        <f>_xlfn.XLOOKUP(frasest[[#This Row],[autor_es]],autorest[autor_es],autorest[bio_es])</f>
        <v>Filósofo católico francés máximo exponente del tomismo y del humanismo cristiano. Autor de Los fines de la educación y La educación en la encrucijada donde desarrolló una filosofía educativa centrada en la formación integral de la persona humana cuerpo alma y espíritu. Defendió que el fin primario de la educación es la conquista de la libertad interior y espiritual no solo la preparación técnica o profesional. Influyó en la Declaración Universal de Derechos Humanos.</v>
      </c>
      <c r="I580" t="str">
        <f>_xlfn.XLOOKUP(frasest[[#This Row],[autor_es]],autorest[autor_es],autorest[bio_la])</f>
        <v>Philosophus catholicus Francogallicus maximus exponent thomismi et humanismi Christiani. Auctor Finium Educationis et Educationis in Cruciviis ubi philosophiam educativam in formatione integrali personae humanae corporis animae et spiritus fundatam elaboravit. Defendit finem primarium educationis esse conquestum libertatis interioris et spiritualis non solum praeparationem technicam aut professionalem. In Declarationem Universalem Iurium Humanorum influxit.</v>
      </c>
      <c r="J580" t="str">
        <f>_xlfn.XLOOKUP(frasest[[#This Row],[autor_es]],autorest[autor_es],autorest[codigo])</f>
        <v>fr</v>
      </c>
      <c r="K580" t="str">
        <f>_xlfn.XLOOKUP(frasest[[#This Row],[autor_es]],autorest[autor_es],autorest[idioma_es])</f>
        <v>Francés</v>
      </c>
      <c r="L580" t="str">
        <f>_xlfn.XLOOKUP(frasest[[#This Row],[autor_es]],autorest[autor_es],autorest[idioma_la])</f>
        <v>Lingua Gallica</v>
      </c>
      <c r="M580" t="str">
        <f>_xlfn.XLOOKUP(frasest[[#This Row],[autor_es]],autorest[autor_es],autorest[nacion_es])</f>
        <v>Francia</v>
      </c>
      <c r="N580" t="str">
        <f>_xlfn.XLOOKUP(frasest[[#This Row],[autor_es]],autorest[autor_es],autorest[nacion_la])</f>
        <v>Francia</v>
      </c>
      <c r="O580" t="str">
        <f>_xlfn.XLOOKUP(frasest[[#This Row],[autor_es]],autorest[autor_es],autorest[epoca_es])</f>
        <v>Edad Contemporánea</v>
      </c>
      <c r="P580" t="str">
        <f>_xlfn.XLOOKUP(frasest[[#This Row],[autor_es]],autorest[autor_es],autorest[epoca_la])</f>
        <v>Aetas Contemporanea</v>
      </c>
      <c r="Q580" t="str">
        <f>_xlfn.XLOOKUP(frasest[[#This Row],[autor_es]],autorest[autor_es],autorest[imagen])</f>
        <v>https://i.ibb.co/tMwzk5gg/maritain.png</v>
      </c>
      <c r="R580">
        <f>_xlfn.XLOOKUP(frasest[[#This Row],[autor_es]],autorest[autor_es],autorest[imagen_atr])</f>
        <v>0</v>
      </c>
    </row>
    <row r="581" spans="1:18">
      <c r="A581">
        <v>580</v>
      </c>
      <c r="B581" t="s">
        <v>1989</v>
      </c>
      <c r="C581" t="s">
        <v>1990</v>
      </c>
      <c r="D581" t="s">
        <v>1991</v>
      </c>
      <c r="E581" t="s">
        <v>1987</v>
      </c>
      <c r="F581" t="s">
        <v>1992</v>
      </c>
      <c r="G581" t="str">
        <f>_xlfn.XLOOKUP(frasest[[#This Row],[autor_es]],autorest[autor_es],autorest[autor_la])</f>
        <v>Iacobus Maritain</v>
      </c>
      <c r="H581" t="str">
        <f>_xlfn.XLOOKUP(frasest[[#This Row],[autor_es]],autorest[autor_es],autorest[bio_es])</f>
        <v>Filósofo católico francés máximo exponente del tomismo y del humanismo cristiano. Autor de Los fines de la educación y La educación en la encrucijada donde desarrolló una filosofía educativa centrada en la formación integral de la persona humana cuerpo alma y espíritu. Defendió que el fin primario de la educación es la conquista de la libertad interior y espiritual no solo la preparación técnica o profesional. Influyó en la Declaración Universal de Derechos Humanos.</v>
      </c>
      <c r="I581" t="str">
        <f>_xlfn.XLOOKUP(frasest[[#This Row],[autor_es]],autorest[autor_es],autorest[bio_la])</f>
        <v>Philosophus catholicus Francogallicus maximus exponent thomismi et humanismi Christiani. Auctor Finium Educationis et Educationis in Cruciviis ubi philosophiam educativam in formatione integrali personae humanae corporis animae et spiritus fundatam elaboravit. Defendit finem primarium educationis esse conquestum libertatis interioris et spiritualis non solum praeparationem technicam aut professionalem. In Declarationem Universalem Iurium Humanorum influxit.</v>
      </c>
      <c r="J581" t="str">
        <f>_xlfn.XLOOKUP(frasest[[#This Row],[autor_es]],autorest[autor_es],autorest[codigo])</f>
        <v>fr</v>
      </c>
      <c r="K581" t="str">
        <f>_xlfn.XLOOKUP(frasest[[#This Row],[autor_es]],autorest[autor_es],autorest[idioma_es])</f>
        <v>Francés</v>
      </c>
      <c r="L581" t="str">
        <f>_xlfn.XLOOKUP(frasest[[#This Row],[autor_es]],autorest[autor_es],autorest[idioma_la])</f>
        <v>Lingua Gallica</v>
      </c>
      <c r="M581" t="str">
        <f>_xlfn.XLOOKUP(frasest[[#This Row],[autor_es]],autorest[autor_es],autorest[nacion_es])</f>
        <v>Francia</v>
      </c>
      <c r="N581" t="str">
        <f>_xlfn.XLOOKUP(frasest[[#This Row],[autor_es]],autorest[autor_es],autorest[nacion_la])</f>
        <v>Francia</v>
      </c>
      <c r="O581" t="str">
        <f>_xlfn.XLOOKUP(frasest[[#This Row],[autor_es]],autorest[autor_es],autorest[epoca_es])</f>
        <v>Edad Contemporánea</v>
      </c>
      <c r="P581" t="str">
        <f>_xlfn.XLOOKUP(frasest[[#This Row],[autor_es]],autorest[autor_es],autorest[epoca_la])</f>
        <v>Aetas Contemporanea</v>
      </c>
      <c r="Q581" t="str">
        <f>_xlfn.XLOOKUP(frasest[[#This Row],[autor_es]],autorest[autor_es],autorest[imagen])</f>
        <v>https://i.ibb.co/tMwzk5gg/maritain.png</v>
      </c>
      <c r="R581">
        <f>_xlfn.XLOOKUP(frasest[[#This Row],[autor_es]],autorest[autor_es],autorest[imagen_atr])</f>
        <v>0</v>
      </c>
    </row>
    <row r="582" spans="1:18">
      <c r="A582">
        <v>581</v>
      </c>
      <c r="B582" t="s">
        <v>1993</v>
      </c>
      <c r="C582" t="s">
        <v>1994</v>
      </c>
      <c r="D582" t="s">
        <v>1995</v>
      </c>
      <c r="E582" t="s">
        <v>1987</v>
      </c>
      <c r="F582" t="s">
        <v>1996</v>
      </c>
      <c r="G582" t="str">
        <f>_xlfn.XLOOKUP(frasest[[#This Row],[autor_es]],autorest[autor_es],autorest[autor_la])</f>
        <v>Iacobus Maritain</v>
      </c>
      <c r="H582" t="str">
        <f>_xlfn.XLOOKUP(frasest[[#This Row],[autor_es]],autorest[autor_es],autorest[bio_es])</f>
        <v>Filósofo católico francés máximo exponente del tomismo y del humanismo cristiano. Autor de Los fines de la educación y La educación en la encrucijada donde desarrolló una filosofía educativa centrada en la formación integral de la persona humana cuerpo alma y espíritu. Defendió que el fin primario de la educación es la conquista de la libertad interior y espiritual no solo la preparación técnica o profesional. Influyó en la Declaración Universal de Derechos Humanos.</v>
      </c>
      <c r="I582" t="str">
        <f>_xlfn.XLOOKUP(frasest[[#This Row],[autor_es]],autorest[autor_es],autorest[bio_la])</f>
        <v>Philosophus catholicus Francogallicus maximus exponent thomismi et humanismi Christiani. Auctor Finium Educationis et Educationis in Cruciviis ubi philosophiam educativam in formatione integrali personae humanae corporis animae et spiritus fundatam elaboravit. Defendit finem primarium educationis esse conquestum libertatis interioris et spiritualis non solum praeparationem technicam aut professionalem. In Declarationem Universalem Iurium Humanorum influxit.</v>
      </c>
      <c r="J582" t="str">
        <f>_xlfn.XLOOKUP(frasest[[#This Row],[autor_es]],autorest[autor_es],autorest[codigo])</f>
        <v>fr</v>
      </c>
      <c r="K582" t="str">
        <f>_xlfn.XLOOKUP(frasest[[#This Row],[autor_es]],autorest[autor_es],autorest[idioma_es])</f>
        <v>Francés</v>
      </c>
      <c r="L582" t="str">
        <f>_xlfn.XLOOKUP(frasest[[#This Row],[autor_es]],autorest[autor_es],autorest[idioma_la])</f>
        <v>Lingua Gallica</v>
      </c>
      <c r="M582" t="str">
        <f>_xlfn.XLOOKUP(frasest[[#This Row],[autor_es]],autorest[autor_es],autorest[nacion_es])</f>
        <v>Francia</v>
      </c>
      <c r="N582" t="str">
        <f>_xlfn.XLOOKUP(frasest[[#This Row],[autor_es]],autorest[autor_es],autorest[nacion_la])</f>
        <v>Francia</v>
      </c>
      <c r="O582" t="str">
        <f>_xlfn.XLOOKUP(frasest[[#This Row],[autor_es]],autorest[autor_es],autorest[epoca_es])</f>
        <v>Edad Contemporánea</v>
      </c>
      <c r="P582" t="str">
        <f>_xlfn.XLOOKUP(frasest[[#This Row],[autor_es]],autorest[autor_es],autorest[epoca_la])</f>
        <v>Aetas Contemporanea</v>
      </c>
      <c r="Q582" t="str">
        <f>_xlfn.XLOOKUP(frasest[[#This Row],[autor_es]],autorest[autor_es],autorest[imagen])</f>
        <v>https://i.ibb.co/tMwzk5gg/maritain.png</v>
      </c>
      <c r="R582">
        <f>_xlfn.XLOOKUP(frasest[[#This Row],[autor_es]],autorest[autor_es],autorest[imagen_atr])</f>
        <v>0</v>
      </c>
    </row>
    <row r="583" spans="1:18">
      <c r="A583">
        <v>582</v>
      </c>
      <c r="B583" t="s">
        <v>1997</v>
      </c>
      <c r="C583" t="s">
        <v>1998</v>
      </c>
      <c r="D583" t="s">
        <v>1999</v>
      </c>
      <c r="E583" t="s">
        <v>1987</v>
      </c>
      <c r="F583" t="s">
        <v>2000</v>
      </c>
      <c r="G583" t="str">
        <f>_xlfn.XLOOKUP(frasest[[#This Row],[autor_es]],autorest[autor_es],autorest[autor_la])</f>
        <v>Iacobus Maritain</v>
      </c>
      <c r="H583" t="str">
        <f>_xlfn.XLOOKUP(frasest[[#This Row],[autor_es]],autorest[autor_es],autorest[bio_es])</f>
        <v>Filósofo católico francés máximo exponente del tomismo y del humanismo cristiano. Autor de Los fines de la educación y La educación en la encrucijada donde desarrolló una filosofía educativa centrada en la formación integral de la persona humana cuerpo alma y espíritu. Defendió que el fin primario de la educación es la conquista de la libertad interior y espiritual no solo la preparación técnica o profesional. Influyó en la Declaración Universal de Derechos Humanos.</v>
      </c>
      <c r="I583" t="str">
        <f>_xlfn.XLOOKUP(frasest[[#This Row],[autor_es]],autorest[autor_es],autorest[bio_la])</f>
        <v>Philosophus catholicus Francogallicus maximus exponent thomismi et humanismi Christiani. Auctor Finium Educationis et Educationis in Cruciviis ubi philosophiam educativam in formatione integrali personae humanae corporis animae et spiritus fundatam elaboravit. Defendit finem primarium educationis esse conquestum libertatis interioris et spiritualis non solum praeparationem technicam aut professionalem. In Declarationem Universalem Iurium Humanorum influxit.</v>
      </c>
      <c r="J583" t="str">
        <f>_xlfn.XLOOKUP(frasest[[#This Row],[autor_es]],autorest[autor_es],autorest[codigo])</f>
        <v>fr</v>
      </c>
      <c r="K583" t="str">
        <f>_xlfn.XLOOKUP(frasest[[#This Row],[autor_es]],autorest[autor_es],autorest[idioma_es])</f>
        <v>Francés</v>
      </c>
      <c r="L583" t="str">
        <f>_xlfn.XLOOKUP(frasest[[#This Row],[autor_es]],autorest[autor_es],autorest[idioma_la])</f>
        <v>Lingua Gallica</v>
      </c>
      <c r="M583" t="str">
        <f>_xlfn.XLOOKUP(frasest[[#This Row],[autor_es]],autorest[autor_es],autorest[nacion_es])</f>
        <v>Francia</v>
      </c>
      <c r="N583" t="str">
        <f>_xlfn.XLOOKUP(frasest[[#This Row],[autor_es]],autorest[autor_es],autorest[nacion_la])</f>
        <v>Francia</v>
      </c>
      <c r="O583" t="str">
        <f>_xlfn.XLOOKUP(frasest[[#This Row],[autor_es]],autorest[autor_es],autorest[epoca_es])</f>
        <v>Edad Contemporánea</v>
      </c>
      <c r="P583" t="str">
        <f>_xlfn.XLOOKUP(frasest[[#This Row],[autor_es]],autorest[autor_es],autorest[epoca_la])</f>
        <v>Aetas Contemporanea</v>
      </c>
      <c r="Q583" t="str">
        <f>_xlfn.XLOOKUP(frasest[[#This Row],[autor_es]],autorest[autor_es],autorest[imagen])</f>
        <v>https://i.ibb.co/tMwzk5gg/maritain.png</v>
      </c>
      <c r="R583">
        <f>_xlfn.XLOOKUP(frasest[[#This Row],[autor_es]],autorest[autor_es],autorest[imagen_atr])</f>
        <v>0</v>
      </c>
    </row>
    <row r="584" spans="1:18">
      <c r="A584">
        <v>583</v>
      </c>
      <c r="B584" t="s">
        <v>2001</v>
      </c>
      <c r="C584" t="s">
        <v>2002</v>
      </c>
      <c r="D584" t="s">
        <v>2003</v>
      </c>
      <c r="E584" t="s">
        <v>1987</v>
      </c>
      <c r="F584" t="s">
        <v>2004</v>
      </c>
      <c r="G584" t="str">
        <f>_xlfn.XLOOKUP(frasest[[#This Row],[autor_es]],autorest[autor_es],autorest[autor_la])</f>
        <v>Iacobus Maritain</v>
      </c>
      <c r="H584" t="str">
        <f>_xlfn.XLOOKUP(frasest[[#This Row],[autor_es]],autorest[autor_es],autorest[bio_es])</f>
        <v>Filósofo católico francés máximo exponente del tomismo y del humanismo cristiano. Autor de Los fines de la educación y La educación en la encrucijada donde desarrolló una filosofía educativa centrada en la formación integral de la persona humana cuerpo alma y espíritu. Defendió que el fin primario de la educación es la conquista de la libertad interior y espiritual no solo la preparación técnica o profesional. Influyó en la Declaración Universal de Derechos Humanos.</v>
      </c>
      <c r="I584" t="str">
        <f>_xlfn.XLOOKUP(frasest[[#This Row],[autor_es]],autorest[autor_es],autorest[bio_la])</f>
        <v>Philosophus catholicus Francogallicus maximus exponent thomismi et humanismi Christiani. Auctor Finium Educationis et Educationis in Cruciviis ubi philosophiam educativam in formatione integrali personae humanae corporis animae et spiritus fundatam elaboravit. Defendit finem primarium educationis esse conquestum libertatis interioris et spiritualis non solum praeparationem technicam aut professionalem. In Declarationem Universalem Iurium Humanorum influxit.</v>
      </c>
      <c r="J584" t="str">
        <f>_xlfn.XLOOKUP(frasest[[#This Row],[autor_es]],autorest[autor_es],autorest[codigo])</f>
        <v>fr</v>
      </c>
      <c r="K584" t="str">
        <f>_xlfn.XLOOKUP(frasest[[#This Row],[autor_es]],autorest[autor_es],autorest[idioma_es])</f>
        <v>Francés</v>
      </c>
      <c r="L584" t="str">
        <f>_xlfn.XLOOKUP(frasest[[#This Row],[autor_es]],autorest[autor_es],autorest[idioma_la])</f>
        <v>Lingua Gallica</v>
      </c>
      <c r="M584" t="str">
        <f>_xlfn.XLOOKUP(frasest[[#This Row],[autor_es]],autorest[autor_es],autorest[nacion_es])</f>
        <v>Francia</v>
      </c>
      <c r="N584" t="str">
        <f>_xlfn.XLOOKUP(frasest[[#This Row],[autor_es]],autorest[autor_es],autorest[nacion_la])</f>
        <v>Francia</v>
      </c>
      <c r="O584" t="str">
        <f>_xlfn.XLOOKUP(frasest[[#This Row],[autor_es]],autorest[autor_es],autorest[epoca_es])</f>
        <v>Edad Contemporánea</v>
      </c>
      <c r="P584" t="str">
        <f>_xlfn.XLOOKUP(frasest[[#This Row],[autor_es]],autorest[autor_es],autorest[epoca_la])</f>
        <v>Aetas Contemporanea</v>
      </c>
      <c r="Q584" t="str">
        <f>_xlfn.XLOOKUP(frasest[[#This Row],[autor_es]],autorest[autor_es],autorest[imagen])</f>
        <v>https://i.ibb.co/tMwzk5gg/maritain.png</v>
      </c>
      <c r="R584">
        <f>_xlfn.XLOOKUP(frasest[[#This Row],[autor_es]],autorest[autor_es],autorest[imagen_atr])</f>
        <v>0</v>
      </c>
    </row>
    <row r="585" spans="1:18">
      <c r="A585">
        <v>584</v>
      </c>
      <c r="B585" t="s">
        <v>2005</v>
      </c>
      <c r="C585" t="s">
        <v>2006</v>
      </c>
      <c r="D585" t="s">
        <v>2007</v>
      </c>
      <c r="E585" t="s">
        <v>1987</v>
      </c>
      <c r="F585" t="s">
        <v>2008</v>
      </c>
      <c r="G585" t="str">
        <f>_xlfn.XLOOKUP(frasest[[#This Row],[autor_es]],autorest[autor_es],autorest[autor_la])</f>
        <v>Iacobus Maritain</v>
      </c>
      <c r="H585" t="str">
        <f>_xlfn.XLOOKUP(frasest[[#This Row],[autor_es]],autorest[autor_es],autorest[bio_es])</f>
        <v>Filósofo católico francés máximo exponente del tomismo y del humanismo cristiano. Autor de Los fines de la educación y La educación en la encrucijada donde desarrolló una filosofía educativa centrada en la formación integral de la persona humana cuerpo alma y espíritu. Defendió que el fin primario de la educación es la conquista de la libertad interior y espiritual no solo la preparación técnica o profesional. Influyó en la Declaración Universal de Derechos Humanos.</v>
      </c>
      <c r="I585" t="str">
        <f>_xlfn.XLOOKUP(frasest[[#This Row],[autor_es]],autorest[autor_es],autorest[bio_la])</f>
        <v>Philosophus catholicus Francogallicus maximus exponent thomismi et humanismi Christiani. Auctor Finium Educationis et Educationis in Cruciviis ubi philosophiam educativam in formatione integrali personae humanae corporis animae et spiritus fundatam elaboravit. Defendit finem primarium educationis esse conquestum libertatis interioris et spiritualis non solum praeparationem technicam aut professionalem. In Declarationem Universalem Iurium Humanorum influxit.</v>
      </c>
      <c r="J585" t="str">
        <f>_xlfn.XLOOKUP(frasest[[#This Row],[autor_es]],autorest[autor_es],autorest[codigo])</f>
        <v>fr</v>
      </c>
      <c r="K585" t="str">
        <f>_xlfn.XLOOKUP(frasest[[#This Row],[autor_es]],autorest[autor_es],autorest[idioma_es])</f>
        <v>Francés</v>
      </c>
      <c r="L585" t="str">
        <f>_xlfn.XLOOKUP(frasest[[#This Row],[autor_es]],autorest[autor_es],autorest[idioma_la])</f>
        <v>Lingua Gallica</v>
      </c>
      <c r="M585" t="str">
        <f>_xlfn.XLOOKUP(frasest[[#This Row],[autor_es]],autorest[autor_es],autorest[nacion_es])</f>
        <v>Francia</v>
      </c>
      <c r="N585" t="str">
        <f>_xlfn.XLOOKUP(frasest[[#This Row],[autor_es]],autorest[autor_es],autorest[nacion_la])</f>
        <v>Francia</v>
      </c>
      <c r="O585" t="str">
        <f>_xlfn.XLOOKUP(frasest[[#This Row],[autor_es]],autorest[autor_es],autorest[epoca_es])</f>
        <v>Edad Contemporánea</v>
      </c>
      <c r="P585" t="str">
        <f>_xlfn.XLOOKUP(frasest[[#This Row],[autor_es]],autorest[autor_es],autorest[epoca_la])</f>
        <v>Aetas Contemporanea</v>
      </c>
      <c r="Q585" t="str">
        <f>_xlfn.XLOOKUP(frasest[[#This Row],[autor_es]],autorest[autor_es],autorest[imagen])</f>
        <v>https://i.ibb.co/tMwzk5gg/maritain.png</v>
      </c>
      <c r="R585">
        <f>_xlfn.XLOOKUP(frasest[[#This Row],[autor_es]],autorest[autor_es],autorest[imagen_atr])</f>
        <v>0</v>
      </c>
    </row>
    <row r="586" spans="1:18">
      <c r="A586">
        <v>585</v>
      </c>
      <c r="B586" t="s">
        <v>2009</v>
      </c>
      <c r="C586" t="s">
        <v>2010</v>
      </c>
      <c r="D586" t="s">
        <v>2011</v>
      </c>
      <c r="E586" t="s">
        <v>2012</v>
      </c>
      <c r="F586" t="s">
        <v>2013</v>
      </c>
      <c r="G586" t="str">
        <f>_xlfn.XLOOKUP(frasest[[#This Row],[autor_es]],autorest[autor_es],autorest[autor_la])</f>
        <v>Clive Staples Lewis</v>
      </c>
      <c r="H586" t="str">
        <f>_xlfn.XLOOKUP(frasest[[#This Row],[autor_es]],autorest[autor_es],autorest[bio_es])</f>
        <v>Escritor académico y apologista cristiano irlandés-británico. Profesor en Oxford y Cambridge autor de Las Crónicas de Narnia y obras apologéticas como Mero Cristianismo. Su libro La abolición del hombre es fundamental en filosofía de la educación defendiendo que educar no es solo instruir la mente sino formar el corazón cultivando sentimientos justos y afectos ordenados. Crítico de la manipulación educativa sin valores objetivos.</v>
      </c>
      <c r="I586" t="str">
        <f>_xlfn.XLOOKUP(frasest[[#This Row],[autor_es]],autorest[autor_es],autorest[bio_la])</f>
        <v>Scriba academicus et apologista Christianus Hibernicus-Britannicus. Professor Oxonii et Cantabrigiae auctor Chronicarum Narniae et operum apologeticarum ut Mere Christianitas. Liber eius Abolitio Hominis fundamentalis est in philosophia educationis defendens educare non esse solum mentem instruere sed cor formare sentimenta iusta et affectus ordinatos colendo. Criticus manipulationis educativae sine valoribus obiectis.</v>
      </c>
      <c r="J586" t="str">
        <f>_xlfn.XLOOKUP(frasest[[#This Row],[autor_es]],autorest[autor_es],autorest[codigo])</f>
        <v>en</v>
      </c>
      <c r="K586" t="str">
        <f>_xlfn.XLOOKUP(frasest[[#This Row],[autor_es]],autorest[autor_es],autorest[idioma_es])</f>
        <v>Inglés</v>
      </c>
      <c r="L586" t="str">
        <f>_xlfn.XLOOKUP(frasest[[#This Row],[autor_es]],autorest[autor_es],autorest[idioma_la])</f>
        <v>Lingua Anglica</v>
      </c>
      <c r="M586" t="str">
        <f>_xlfn.XLOOKUP(frasest[[#This Row],[autor_es]],autorest[autor_es],autorest[nacion_es])</f>
        <v>Reino Unido</v>
      </c>
      <c r="N586" t="str">
        <f>_xlfn.XLOOKUP(frasest[[#This Row],[autor_es]],autorest[autor_es],autorest[nacion_la])</f>
        <v>Regnum Unitum</v>
      </c>
      <c r="O586" t="str">
        <f>_xlfn.XLOOKUP(frasest[[#This Row],[autor_es]],autorest[autor_es],autorest[epoca_es])</f>
        <v>Edad Contemporánea</v>
      </c>
      <c r="P586" t="str">
        <f>_xlfn.XLOOKUP(frasest[[#This Row],[autor_es]],autorest[autor_es],autorest[epoca_la])</f>
        <v>Aetas Contemporanea</v>
      </c>
      <c r="Q586" t="str">
        <f>_xlfn.XLOOKUP(frasest[[#This Row],[autor_es]],autorest[autor_es],autorest[imagen])</f>
        <v>https://i.ibb.co/VY2H7VMM/cslewis.png</v>
      </c>
      <c r="R586">
        <f>_xlfn.XLOOKUP(frasest[[#This Row],[autor_es]],autorest[autor_es],autorest[imagen_atr])</f>
        <v>0</v>
      </c>
    </row>
    <row r="587" spans="1:18">
      <c r="A587">
        <v>586</v>
      </c>
      <c r="B587" t="s">
        <v>2014</v>
      </c>
      <c r="C587" t="s">
        <v>2015</v>
      </c>
      <c r="D587" t="s">
        <v>2016</v>
      </c>
      <c r="E587" t="s">
        <v>2012</v>
      </c>
      <c r="F587" t="s">
        <v>2017</v>
      </c>
      <c r="G587" t="str">
        <f>_xlfn.XLOOKUP(frasest[[#This Row],[autor_es]],autorest[autor_es],autorest[autor_la])</f>
        <v>Clive Staples Lewis</v>
      </c>
      <c r="H587" t="str">
        <f>_xlfn.XLOOKUP(frasest[[#This Row],[autor_es]],autorest[autor_es],autorest[bio_es])</f>
        <v>Escritor académico y apologista cristiano irlandés-británico. Profesor en Oxford y Cambridge autor de Las Crónicas de Narnia y obras apologéticas como Mero Cristianismo. Su libro La abolición del hombre es fundamental en filosofía de la educación defendiendo que educar no es solo instruir la mente sino formar el corazón cultivando sentimientos justos y afectos ordenados. Crítico de la manipulación educativa sin valores objetivos.</v>
      </c>
      <c r="I587" t="str">
        <f>_xlfn.XLOOKUP(frasest[[#This Row],[autor_es]],autorest[autor_es],autorest[bio_la])</f>
        <v>Scriba academicus et apologista Christianus Hibernicus-Britannicus. Professor Oxonii et Cantabrigiae auctor Chronicarum Narniae et operum apologeticarum ut Mere Christianitas. Liber eius Abolitio Hominis fundamentalis est in philosophia educationis defendens educare non esse solum mentem instruere sed cor formare sentimenta iusta et affectus ordinatos colendo. Criticus manipulationis educativae sine valoribus obiectis.</v>
      </c>
      <c r="J587" t="str">
        <f>_xlfn.XLOOKUP(frasest[[#This Row],[autor_es]],autorest[autor_es],autorest[codigo])</f>
        <v>en</v>
      </c>
      <c r="K587" t="str">
        <f>_xlfn.XLOOKUP(frasest[[#This Row],[autor_es]],autorest[autor_es],autorest[idioma_es])</f>
        <v>Inglés</v>
      </c>
      <c r="L587" t="str">
        <f>_xlfn.XLOOKUP(frasest[[#This Row],[autor_es]],autorest[autor_es],autorest[idioma_la])</f>
        <v>Lingua Anglica</v>
      </c>
      <c r="M587" t="str">
        <f>_xlfn.XLOOKUP(frasest[[#This Row],[autor_es]],autorest[autor_es],autorest[nacion_es])</f>
        <v>Reino Unido</v>
      </c>
      <c r="N587" t="str">
        <f>_xlfn.XLOOKUP(frasest[[#This Row],[autor_es]],autorest[autor_es],autorest[nacion_la])</f>
        <v>Regnum Unitum</v>
      </c>
      <c r="O587" t="str">
        <f>_xlfn.XLOOKUP(frasest[[#This Row],[autor_es]],autorest[autor_es],autorest[epoca_es])</f>
        <v>Edad Contemporánea</v>
      </c>
      <c r="P587" t="str">
        <f>_xlfn.XLOOKUP(frasest[[#This Row],[autor_es]],autorest[autor_es],autorest[epoca_la])</f>
        <v>Aetas Contemporanea</v>
      </c>
      <c r="Q587" t="str">
        <f>_xlfn.XLOOKUP(frasest[[#This Row],[autor_es]],autorest[autor_es],autorest[imagen])</f>
        <v>https://i.ibb.co/VY2H7VMM/cslewis.png</v>
      </c>
      <c r="R587">
        <f>_xlfn.XLOOKUP(frasest[[#This Row],[autor_es]],autorest[autor_es],autorest[imagen_atr])</f>
        <v>0</v>
      </c>
    </row>
    <row r="588" spans="1:18">
      <c r="A588">
        <v>587</v>
      </c>
      <c r="B588" t="s">
        <v>2018</v>
      </c>
      <c r="C588" t="s">
        <v>2019</v>
      </c>
      <c r="D588" t="s">
        <v>2020</v>
      </c>
      <c r="E588" t="s">
        <v>2012</v>
      </c>
      <c r="F588" t="s">
        <v>2021</v>
      </c>
      <c r="G588" t="str">
        <f>_xlfn.XLOOKUP(frasest[[#This Row],[autor_es]],autorest[autor_es],autorest[autor_la])</f>
        <v>Clive Staples Lewis</v>
      </c>
      <c r="H588" t="str">
        <f>_xlfn.XLOOKUP(frasest[[#This Row],[autor_es]],autorest[autor_es],autorest[bio_es])</f>
        <v>Escritor académico y apologista cristiano irlandés-británico. Profesor en Oxford y Cambridge autor de Las Crónicas de Narnia y obras apologéticas como Mero Cristianismo. Su libro La abolición del hombre es fundamental en filosofía de la educación defendiendo que educar no es solo instruir la mente sino formar el corazón cultivando sentimientos justos y afectos ordenados. Crítico de la manipulación educativa sin valores objetivos.</v>
      </c>
      <c r="I588" t="str">
        <f>_xlfn.XLOOKUP(frasest[[#This Row],[autor_es]],autorest[autor_es],autorest[bio_la])</f>
        <v>Scriba academicus et apologista Christianus Hibernicus-Britannicus. Professor Oxonii et Cantabrigiae auctor Chronicarum Narniae et operum apologeticarum ut Mere Christianitas. Liber eius Abolitio Hominis fundamentalis est in philosophia educationis defendens educare non esse solum mentem instruere sed cor formare sentimenta iusta et affectus ordinatos colendo. Criticus manipulationis educativae sine valoribus obiectis.</v>
      </c>
      <c r="J588" t="str">
        <f>_xlfn.XLOOKUP(frasest[[#This Row],[autor_es]],autorest[autor_es],autorest[codigo])</f>
        <v>en</v>
      </c>
      <c r="K588" t="str">
        <f>_xlfn.XLOOKUP(frasest[[#This Row],[autor_es]],autorest[autor_es],autorest[idioma_es])</f>
        <v>Inglés</v>
      </c>
      <c r="L588" t="str">
        <f>_xlfn.XLOOKUP(frasest[[#This Row],[autor_es]],autorest[autor_es],autorest[idioma_la])</f>
        <v>Lingua Anglica</v>
      </c>
      <c r="M588" t="str">
        <f>_xlfn.XLOOKUP(frasest[[#This Row],[autor_es]],autorest[autor_es],autorest[nacion_es])</f>
        <v>Reino Unido</v>
      </c>
      <c r="N588" t="str">
        <f>_xlfn.XLOOKUP(frasest[[#This Row],[autor_es]],autorest[autor_es],autorest[nacion_la])</f>
        <v>Regnum Unitum</v>
      </c>
      <c r="O588" t="str">
        <f>_xlfn.XLOOKUP(frasest[[#This Row],[autor_es]],autorest[autor_es],autorest[epoca_es])</f>
        <v>Edad Contemporánea</v>
      </c>
      <c r="P588" t="str">
        <f>_xlfn.XLOOKUP(frasest[[#This Row],[autor_es]],autorest[autor_es],autorest[epoca_la])</f>
        <v>Aetas Contemporanea</v>
      </c>
      <c r="Q588" t="str">
        <f>_xlfn.XLOOKUP(frasest[[#This Row],[autor_es]],autorest[autor_es],autorest[imagen])</f>
        <v>https://i.ibb.co/VY2H7VMM/cslewis.png</v>
      </c>
      <c r="R588">
        <f>_xlfn.XLOOKUP(frasest[[#This Row],[autor_es]],autorest[autor_es],autorest[imagen_atr])</f>
        <v>0</v>
      </c>
    </row>
    <row r="589" spans="1:18">
      <c r="A589">
        <v>588</v>
      </c>
      <c r="B589" t="s">
        <v>2022</v>
      </c>
      <c r="C589" t="s">
        <v>2023</v>
      </c>
      <c r="D589" t="s">
        <v>2024</v>
      </c>
      <c r="E589" t="s">
        <v>2012</v>
      </c>
      <c r="F589" t="s">
        <v>2021</v>
      </c>
      <c r="G589" t="str">
        <f>_xlfn.XLOOKUP(frasest[[#This Row],[autor_es]],autorest[autor_es],autorest[autor_la])</f>
        <v>Clive Staples Lewis</v>
      </c>
      <c r="H589" t="str">
        <f>_xlfn.XLOOKUP(frasest[[#This Row],[autor_es]],autorest[autor_es],autorest[bio_es])</f>
        <v>Escritor académico y apologista cristiano irlandés-británico. Profesor en Oxford y Cambridge autor de Las Crónicas de Narnia y obras apologéticas como Mero Cristianismo. Su libro La abolición del hombre es fundamental en filosofía de la educación defendiendo que educar no es solo instruir la mente sino formar el corazón cultivando sentimientos justos y afectos ordenados. Crítico de la manipulación educativa sin valores objetivos.</v>
      </c>
      <c r="I589" t="str">
        <f>_xlfn.XLOOKUP(frasest[[#This Row],[autor_es]],autorest[autor_es],autorest[bio_la])</f>
        <v>Scriba academicus et apologista Christianus Hibernicus-Britannicus. Professor Oxonii et Cantabrigiae auctor Chronicarum Narniae et operum apologeticarum ut Mere Christianitas. Liber eius Abolitio Hominis fundamentalis est in philosophia educationis defendens educare non esse solum mentem instruere sed cor formare sentimenta iusta et affectus ordinatos colendo. Criticus manipulationis educativae sine valoribus obiectis.</v>
      </c>
      <c r="J589" t="str">
        <f>_xlfn.XLOOKUP(frasest[[#This Row],[autor_es]],autorest[autor_es],autorest[codigo])</f>
        <v>en</v>
      </c>
      <c r="K589" t="str">
        <f>_xlfn.XLOOKUP(frasest[[#This Row],[autor_es]],autorest[autor_es],autorest[idioma_es])</f>
        <v>Inglés</v>
      </c>
      <c r="L589" t="str">
        <f>_xlfn.XLOOKUP(frasest[[#This Row],[autor_es]],autorest[autor_es],autorest[idioma_la])</f>
        <v>Lingua Anglica</v>
      </c>
      <c r="M589" t="str">
        <f>_xlfn.XLOOKUP(frasest[[#This Row],[autor_es]],autorest[autor_es],autorest[nacion_es])</f>
        <v>Reino Unido</v>
      </c>
      <c r="N589" t="str">
        <f>_xlfn.XLOOKUP(frasest[[#This Row],[autor_es]],autorest[autor_es],autorest[nacion_la])</f>
        <v>Regnum Unitum</v>
      </c>
      <c r="O589" t="str">
        <f>_xlfn.XLOOKUP(frasest[[#This Row],[autor_es]],autorest[autor_es],autorest[epoca_es])</f>
        <v>Edad Contemporánea</v>
      </c>
      <c r="P589" t="str">
        <f>_xlfn.XLOOKUP(frasest[[#This Row],[autor_es]],autorest[autor_es],autorest[epoca_la])</f>
        <v>Aetas Contemporanea</v>
      </c>
      <c r="Q589" t="str">
        <f>_xlfn.XLOOKUP(frasest[[#This Row],[autor_es]],autorest[autor_es],autorest[imagen])</f>
        <v>https://i.ibb.co/VY2H7VMM/cslewis.png</v>
      </c>
      <c r="R589">
        <f>_xlfn.XLOOKUP(frasest[[#This Row],[autor_es]],autorest[autor_es],autorest[imagen_atr])</f>
        <v>0</v>
      </c>
    </row>
    <row r="590" spans="1:18">
      <c r="A590">
        <v>589</v>
      </c>
      <c r="B590" t="s">
        <v>2025</v>
      </c>
      <c r="C590" t="s">
        <v>2026</v>
      </c>
      <c r="D590" t="s">
        <v>2027</v>
      </c>
      <c r="E590" t="s">
        <v>2012</v>
      </c>
      <c r="F590" t="s">
        <v>2028</v>
      </c>
      <c r="G590" t="str">
        <f>_xlfn.XLOOKUP(frasest[[#This Row],[autor_es]],autorest[autor_es],autorest[autor_la])</f>
        <v>Clive Staples Lewis</v>
      </c>
      <c r="H590" t="str">
        <f>_xlfn.XLOOKUP(frasest[[#This Row],[autor_es]],autorest[autor_es],autorest[bio_es])</f>
        <v>Escritor académico y apologista cristiano irlandés-británico. Profesor en Oxford y Cambridge autor de Las Crónicas de Narnia y obras apologéticas como Mero Cristianismo. Su libro La abolición del hombre es fundamental en filosofía de la educación defendiendo que educar no es solo instruir la mente sino formar el corazón cultivando sentimientos justos y afectos ordenados. Crítico de la manipulación educativa sin valores objetivos.</v>
      </c>
      <c r="I590" t="str">
        <f>_xlfn.XLOOKUP(frasest[[#This Row],[autor_es]],autorest[autor_es],autorest[bio_la])</f>
        <v>Scriba academicus et apologista Christianus Hibernicus-Britannicus. Professor Oxonii et Cantabrigiae auctor Chronicarum Narniae et operum apologeticarum ut Mere Christianitas. Liber eius Abolitio Hominis fundamentalis est in philosophia educationis defendens educare non esse solum mentem instruere sed cor formare sentimenta iusta et affectus ordinatos colendo. Criticus manipulationis educativae sine valoribus obiectis.</v>
      </c>
      <c r="J590" t="str">
        <f>_xlfn.XLOOKUP(frasest[[#This Row],[autor_es]],autorest[autor_es],autorest[codigo])</f>
        <v>en</v>
      </c>
      <c r="K590" t="str">
        <f>_xlfn.XLOOKUP(frasest[[#This Row],[autor_es]],autorest[autor_es],autorest[idioma_es])</f>
        <v>Inglés</v>
      </c>
      <c r="L590" t="str">
        <f>_xlfn.XLOOKUP(frasest[[#This Row],[autor_es]],autorest[autor_es],autorest[idioma_la])</f>
        <v>Lingua Anglica</v>
      </c>
      <c r="M590" t="str">
        <f>_xlfn.XLOOKUP(frasest[[#This Row],[autor_es]],autorest[autor_es],autorest[nacion_es])</f>
        <v>Reino Unido</v>
      </c>
      <c r="N590" t="str">
        <f>_xlfn.XLOOKUP(frasest[[#This Row],[autor_es]],autorest[autor_es],autorest[nacion_la])</f>
        <v>Regnum Unitum</v>
      </c>
      <c r="O590" t="str">
        <f>_xlfn.XLOOKUP(frasest[[#This Row],[autor_es]],autorest[autor_es],autorest[epoca_es])</f>
        <v>Edad Contemporánea</v>
      </c>
      <c r="P590" t="str">
        <f>_xlfn.XLOOKUP(frasest[[#This Row],[autor_es]],autorest[autor_es],autorest[epoca_la])</f>
        <v>Aetas Contemporanea</v>
      </c>
      <c r="Q590" t="str">
        <f>_xlfn.XLOOKUP(frasest[[#This Row],[autor_es]],autorest[autor_es],autorest[imagen])</f>
        <v>https://i.ibb.co/VY2H7VMM/cslewis.png</v>
      </c>
      <c r="R590">
        <f>_xlfn.XLOOKUP(frasest[[#This Row],[autor_es]],autorest[autor_es],autorest[imagen_atr])</f>
        <v>0</v>
      </c>
    </row>
    <row r="591" spans="1:18">
      <c r="A591">
        <v>590</v>
      </c>
      <c r="B591" t="s">
        <v>2029</v>
      </c>
      <c r="C591" t="s">
        <v>2030</v>
      </c>
      <c r="D591" t="s">
        <v>2031</v>
      </c>
      <c r="E591" t="s">
        <v>2012</v>
      </c>
      <c r="F591" t="s">
        <v>2032</v>
      </c>
      <c r="G591" t="str">
        <f>_xlfn.XLOOKUP(frasest[[#This Row],[autor_es]],autorest[autor_es],autorest[autor_la])</f>
        <v>Clive Staples Lewis</v>
      </c>
      <c r="H591" t="str">
        <f>_xlfn.XLOOKUP(frasest[[#This Row],[autor_es]],autorest[autor_es],autorest[bio_es])</f>
        <v>Escritor académico y apologista cristiano irlandés-británico. Profesor en Oxford y Cambridge autor de Las Crónicas de Narnia y obras apologéticas como Mero Cristianismo. Su libro La abolición del hombre es fundamental en filosofía de la educación defendiendo que educar no es solo instruir la mente sino formar el corazón cultivando sentimientos justos y afectos ordenados. Crítico de la manipulación educativa sin valores objetivos.</v>
      </c>
      <c r="I591" t="str">
        <f>_xlfn.XLOOKUP(frasest[[#This Row],[autor_es]],autorest[autor_es],autorest[bio_la])</f>
        <v>Scriba academicus et apologista Christianus Hibernicus-Britannicus. Professor Oxonii et Cantabrigiae auctor Chronicarum Narniae et operum apologeticarum ut Mere Christianitas. Liber eius Abolitio Hominis fundamentalis est in philosophia educationis defendens educare non esse solum mentem instruere sed cor formare sentimenta iusta et affectus ordinatos colendo. Criticus manipulationis educativae sine valoribus obiectis.</v>
      </c>
      <c r="J591" t="str">
        <f>_xlfn.XLOOKUP(frasest[[#This Row],[autor_es]],autorest[autor_es],autorest[codigo])</f>
        <v>en</v>
      </c>
      <c r="K591" t="str">
        <f>_xlfn.XLOOKUP(frasest[[#This Row],[autor_es]],autorest[autor_es],autorest[idioma_es])</f>
        <v>Inglés</v>
      </c>
      <c r="L591" t="str">
        <f>_xlfn.XLOOKUP(frasest[[#This Row],[autor_es]],autorest[autor_es],autorest[idioma_la])</f>
        <v>Lingua Anglica</v>
      </c>
      <c r="M591" t="str">
        <f>_xlfn.XLOOKUP(frasest[[#This Row],[autor_es]],autorest[autor_es],autorest[nacion_es])</f>
        <v>Reino Unido</v>
      </c>
      <c r="N591" t="str">
        <f>_xlfn.XLOOKUP(frasest[[#This Row],[autor_es]],autorest[autor_es],autorest[nacion_la])</f>
        <v>Regnum Unitum</v>
      </c>
      <c r="O591" t="str">
        <f>_xlfn.XLOOKUP(frasest[[#This Row],[autor_es]],autorest[autor_es],autorest[epoca_es])</f>
        <v>Edad Contemporánea</v>
      </c>
      <c r="P591" t="str">
        <f>_xlfn.XLOOKUP(frasest[[#This Row],[autor_es]],autorest[autor_es],autorest[epoca_la])</f>
        <v>Aetas Contemporanea</v>
      </c>
      <c r="Q591" t="str">
        <f>_xlfn.XLOOKUP(frasest[[#This Row],[autor_es]],autorest[autor_es],autorest[imagen])</f>
        <v>https://i.ibb.co/VY2H7VMM/cslewis.png</v>
      </c>
      <c r="R591">
        <f>_xlfn.XLOOKUP(frasest[[#This Row],[autor_es]],autorest[autor_es],autorest[imagen_atr])</f>
        <v>0</v>
      </c>
    </row>
    <row r="592" spans="1:18">
      <c r="A592">
        <v>591</v>
      </c>
      <c r="B592" t="s">
        <v>2033</v>
      </c>
      <c r="C592" t="s">
        <v>2034</v>
      </c>
      <c r="D592" t="s">
        <v>2033</v>
      </c>
      <c r="E592" t="s">
        <v>2035</v>
      </c>
      <c r="F592" t="s">
        <v>2036</v>
      </c>
      <c r="G592" t="str">
        <f>_xlfn.XLOOKUP(frasest[[#This Row],[autor_es]],autorest[autor_es],autorest[autor_la])</f>
        <v>Gregorius Luri</v>
      </c>
      <c r="H592" t="str">
        <f>_xlfn.XLOOKUP(frasest[[#This Row],[autor_es]],autorest[autor_es],autorest[bio_es])</f>
        <v>Filósofo pedagogo y maestro español uno de los mayores expertos en educación de España. Crítico de las modas pedagógicas sin rigor defiende una escuela centrada en el conocimiento riguroso y la transmisión cultural. Autor de La escuela no es un parque de atracciones y Por una educación republicana. Enfatiza que el saber riguroso es intrínsecamente educador emocional y que sin instrucción no hay pensamiento crítico. Defensor de la memoria la exigencia y el papel del maestro como magister.</v>
      </c>
      <c r="I592" t="str">
        <f>_xlfn.XLOOKUP(frasest[[#This Row],[autor_es]],autorest[autor_es],autorest[bio_la])</f>
        <v>Philosophus paedagogus et magister Hispanicus unus ex maximis expertis educationis Hispaniae. Criticus modorum paedagogicarum sine rigore scholam in cognitione rigorosa et transmissione culturali fundatam defendit. Auctor Schola non est locus oblectationis et Pro educatione republicana. Emphasizat cognitionem rigorosam intrinsece educatorem emotionalem esse et sine instructione non esse cogitationem criticam. Defensor memoriae exigentiae et muneris magistri ut magister.</v>
      </c>
      <c r="J592" t="str">
        <f>_xlfn.XLOOKUP(frasest[[#This Row],[autor_es]],autorest[autor_es],autorest[codigo])</f>
        <v>es</v>
      </c>
      <c r="K592" t="str">
        <f>_xlfn.XLOOKUP(frasest[[#This Row],[autor_es]],autorest[autor_es],autorest[idioma_es])</f>
        <v>Español</v>
      </c>
      <c r="L592" t="str">
        <f>_xlfn.XLOOKUP(frasest[[#This Row],[autor_es]],autorest[autor_es],autorest[idioma_la])</f>
        <v>Lingua Hispanica</v>
      </c>
      <c r="M592" t="str">
        <f>_xlfn.XLOOKUP(frasest[[#This Row],[autor_es]],autorest[autor_es],autorest[nacion_es])</f>
        <v>España</v>
      </c>
      <c r="N592" t="str">
        <f>_xlfn.XLOOKUP(frasest[[#This Row],[autor_es]],autorest[autor_es],autorest[nacion_la])</f>
        <v>Hispania</v>
      </c>
      <c r="O592" t="str">
        <f>_xlfn.XLOOKUP(frasest[[#This Row],[autor_es]],autorest[autor_es],autorest[epoca_es])</f>
        <v>Edad Contemporánea</v>
      </c>
      <c r="P592" t="str">
        <f>_xlfn.XLOOKUP(frasest[[#This Row],[autor_es]],autorest[autor_es],autorest[epoca_la])</f>
        <v>Aetas Contemporanea</v>
      </c>
      <c r="Q592" t="str">
        <f>_xlfn.XLOOKUP(frasest[[#This Row],[autor_es]],autorest[autor_es],autorest[imagen])</f>
        <v>https://i.ibb.co/WvdGWZ6r/gregorioluri.png</v>
      </c>
      <c r="R592">
        <f>_xlfn.XLOOKUP(frasest[[#This Row],[autor_es]],autorest[autor_es],autorest[imagen_atr])</f>
        <v>0</v>
      </c>
    </row>
    <row r="593" spans="1:18">
      <c r="A593">
        <v>592</v>
      </c>
      <c r="B593" t="s">
        <v>2037</v>
      </c>
      <c r="C593" t="s">
        <v>2038</v>
      </c>
      <c r="D593" t="s">
        <v>2037</v>
      </c>
      <c r="E593" t="s">
        <v>2035</v>
      </c>
      <c r="F593" t="s">
        <v>2039</v>
      </c>
      <c r="G593" t="str">
        <f>_xlfn.XLOOKUP(frasest[[#This Row],[autor_es]],autorest[autor_es],autorest[autor_la])</f>
        <v>Gregorius Luri</v>
      </c>
      <c r="H593" t="str">
        <f>_xlfn.XLOOKUP(frasest[[#This Row],[autor_es]],autorest[autor_es],autorest[bio_es])</f>
        <v>Filósofo pedagogo y maestro español uno de los mayores expertos en educación de España. Crítico de las modas pedagógicas sin rigor defiende una escuela centrada en el conocimiento riguroso y la transmisión cultural. Autor de La escuela no es un parque de atracciones y Por una educación republicana. Enfatiza que el saber riguroso es intrínsecamente educador emocional y que sin instrucción no hay pensamiento crítico. Defensor de la memoria la exigencia y el papel del maestro como magister.</v>
      </c>
      <c r="I593" t="str">
        <f>_xlfn.XLOOKUP(frasest[[#This Row],[autor_es]],autorest[autor_es],autorest[bio_la])</f>
        <v>Philosophus paedagogus et magister Hispanicus unus ex maximis expertis educationis Hispaniae. Criticus modorum paedagogicarum sine rigore scholam in cognitione rigorosa et transmissione culturali fundatam defendit. Auctor Schola non est locus oblectationis et Pro educatione republicana. Emphasizat cognitionem rigorosam intrinsece educatorem emotionalem esse et sine instructione non esse cogitationem criticam. Defensor memoriae exigentiae et muneris magistri ut magister.</v>
      </c>
      <c r="J593" t="str">
        <f>_xlfn.XLOOKUP(frasest[[#This Row],[autor_es]],autorest[autor_es],autorest[codigo])</f>
        <v>es</v>
      </c>
      <c r="K593" t="str">
        <f>_xlfn.XLOOKUP(frasest[[#This Row],[autor_es]],autorest[autor_es],autorest[idioma_es])</f>
        <v>Español</v>
      </c>
      <c r="L593" t="str">
        <f>_xlfn.XLOOKUP(frasest[[#This Row],[autor_es]],autorest[autor_es],autorest[idioma_la])</f>
        <v>Lingua Hispanica</v>
      </c>
      <c r="M593" t="str">
        <f>_xlfn.XLOOKUP(frasest[[#This Row],[autor_es]],autorest[autor_es],autorest[nacion_es])</f>
        <v>España</v>
      </c>
      <c r="N593" t="str">
        <f>_xlfn.XLOOKUP(frasest[[#This Row],[autor_es]],autorest[autor_es],autorest[nacion_la])</f>
        <v>Hispania</v>
      </c>
      <c r="O593" t="str">
        <f>_xlfn.XLOOKUP(frasest[[#This Row],[autor_es]],autorest[autor_es],autorest[epoca_es])</f>
        <v>Edad Contemporánea</v>
      </c>
      <c r="P593" t="str">
        <f>_xlfn.XLOOKUP(frasest[[#This Row],[autor_es]],autorest[autor_es],autorest[epoca_la])</f>
        <v>Aetas Contemporanea</v>
      </c>
      <c r="Q593" t="str">
        <f>_xlfn.XLOOKUP(frasest[[#This Row],[autor_es]],autorest[autor_es],autorest[imagen])</f>
        <v>https://i.ibb.co/WvdGWZ6r/gregorioluri.png</v>
      </c>
      <c r="R593">
        <f>_xlfn.XLOOKUP(frasest[[#This Row],[autor_es]],autorest[autor_es],autorest[imagen_atr])</f>
        <v>0</v>
      </c>
    </row>
    <row r="594" spans="1:18">
      <c r="A594">
        <v>593</v>
      </c>
      <c r="B594" t="s">
        <v>2040</v>
      </c>
      <c r="C594" t="s">
        <v>2041</v>
      </c>
      <c r="D594" t="s">
        <v>2040</v>
      </c>
      <c r="E594" t="s">
        <v>2035</v>
      </c>
      <c r="F594" t="s">
        <v>2042</v>
      </c>
      <c r="G594" t="str">
        <f>_xlfn.XLOOKUP(frasest[[#This Row],[autor_es]],autorest[autor_es],autorest[autor_la])</f>
        <v>Gregorius Luri</v>
      </c>
      <c r="H594" t="str">
        <f>_xlfn.XLOOKUP(frasest[[#This Row],[autor_es]],autorest[autor_es],autorest[bio_es])</f>
        <v>Filósofo pedagogo y maestro español uno de los mayores expertos en educación de España. Crítico de las modas pedagógicas sin rigor defiende una escuela centrada en el conocimiento riguroso y la transmisión cultural. Autor de La escuela no es un parque de atracciones y Por una educación republicana. Enfatiza que el saber riguroso es intrínsecamente educador emocional y que sin instrucción no hay pensamiento crítico. Defensor de la memoria la exigencia y el papel del maestro como magister.</v>
      </c>
      <c r="I594" t="str">
        <f>_xlfn.XLOOKUP(frasest[[#This Row],[autor_es]],autorest[autor_es],autorest[bio_la])</f>
        <v>Philosophus paedagogus et magister Hispanicus unus ex maximis expertis educationis Hispaniae. Criticus modorum paedagogicarum sine rigore scholam in cognitione rigorosa et transmissione culturali fundatam defendit. Auctor Schola non est locus oblectationis et Pro educatione republicana. Emphasizat cognitionem rigorosam intrinsece educatorem emotionalem esse et sine instructione non esse cogitationem criticam. Defensor memoriae exigentiae et muneris magistri ut magister.</v>
      </c>
      <c r="J594" t="str">
        <f>_xlfn.XLOOKUP(frasest[[#This Row],[autor_es]],autorest[autor_es],autorest[codigo])</f>
        <v>es</v>
      </c>
      <c r="K594" t="str">
        <f>_xlfn.XLOOKUP(frasest[[#This Row],[autor_es]],autorest[autor_es],autorest[idioma_es])</f>
        <v>Español</v>
      </c>
      <c r="L594" t="str">
        <f>_xlfn.XLOOKUP(frasest[[#This Row],[autor_es]],autorest[autor_es],autorest[idioma_la])</f>
        <v>Lingua Hispanica</v>
      </c>
      <c r="M594" t="str">
        <f>_xlfn.XLOOKUP(frasest[[#This Row],[autor_es]],autorest[autor_es],autorest[nacion_es])</f>
        <v>España</v>
      </c>
      <c r="N594" t="str">
        <f>_xlfn.XLOOKUP(frasest[[#This Row],[autor_es]],autorest[autor_es],autorest[nacion_la])</f>
        <v>Hispania</v>
      </c>
      <c r="O594" t="str">
        <f>_xlfn.XLOOKUP(frasest[[#This Row],[autor_es]],autorest[autor_es],autorest[epoca_es])</f>
        <v>Edad Contemporánea</v>
      </c>
      <c r="P594" t="str">
        <f>_xlfn.XLOOKUP(frasest[[#This Row],[autor_es]],autorest[autor_es],autorest[epoca_la])</f>
        <v>Aetas Contemporanea</v>
      </c>
      <c r="Q594" t="str">
        <f>_xlfn.XLOOKUP(frasest[[#This Row],[autor_es]],autorest[autor_es],autorest[imagen])</f>
        <v>https://i.ibb.co/WvdGWZ6r/gregorioluri.png</v>
      </c>
      <c r="R594">
        <f>_xlfn.XLOOKUP(frasest[[#This Row],[autor_es]],autorest[autor_es],autorest[imagen_atr])</f>
        <v>0</v>
      </c>
    </row>
    <row r="595" spans="1:18">
      <c r="A595">
        <v>594</v>
      </c>
      <c r="B595" t="s">
        <v>2043</v>
      </c>
      <c r="C595" t="s">
        <v>2044</v>
      </c>
      <c r="D595" t="s">
        <v>2043</v>
      </c>
      <c r="E595" t="s">
        <v>2035</v>
      </c>
      <c r="F595" t="s">
        <v>2045</v>
      </c>
      <c r="G595" t="str">
        <f>_xlfn.XLOOKUP(frasest[[#This Row],[autor_es]],autorest[autor_es],autorest[autor_la])</f>
        <v>Gregorius Luri</v>
      </c>
      <c r="H595" t="str">
        <f>_xlfn.XLOOKUP(frasest[[#This Row],[autor_es]],autorest[autor_es],autorest[bio_es])</f>
        <v>Filósofo pedagogo y maestro español uno de los mayores expertos en educación de España. Crítico de las modas pedagógicas sin rigor defiende una escuela centrada en el conocimiento riguroso y la transmisión cultural. Autor de La escuela no es un parque de atracciones y Por una educación republicana. Enfatiza que el saber riguroso es intrínsecamente educador emocional y que sin instrucción no hay pensamiento crítico. Defensor de la memoria la exigencia y el papel del maestro como magister.</v>
      </c>
      <c r="I595" t="str">
        <f>_xlfn.XLOOKUP(frasest[[#This Row],[autor_es]],autorest[autor_es],autorest[bio_la])</f>
        <v>Philosophus paedagogus et magister Hispanicus unus ex maximis expertis educationis Hispaniae. Criticus modorum paedagogicarum sine rigore scholam in cognitione rigorosa et transmissione culturali fundatam defendit. Auctor Schola non est locus oblectationis et Pro educatione republicana. Emphasizat cognitionem rigorosam intrinsece educatorem emotionalem esse et sine instructione non esse cogitationem criticam. Defensor memoriae exigentiae et muneris magistri ut magister.</v>
      </c>
      <c r="J595" t="str">
        <f>_xlfn.XLOOKUP(frasest[[#This Row],[autor_es]],autorest[autor_es],autorest[codigo])</f>
        <v>es</v>
      </c>
      <c r="K595" t="str">
        <f>_xlfn.XLOOKUP(frasest[[#This Row],[autor_es]],autorest[autor_es],autorest[idioma_es])</f>
        <v>Español</v>
      </c>
      <c r="L595" t="str">
        <f>_xlfn.XLOOKUP(frasest[[#This Row],[autor_es]],autorest[autor_es],autorest[idioma_la])</f>
        <v>Lingua Hispanica</v>
      </c>
      <c r="M595" t="str">
        <f>_xlfn.XLOOKUP(frasest[[#This Row],[autor_es]],autorest[autor_es],autorest[nacion_es])</f>
        <v>España</v>
      </c>
      <c r="N595" t="str">
        <f>_xlfn.XLOOKUP(frasest[[#This Row],[autor_es]],autorest[autor_es],autorest[nacion_la])</f>
        <v>Hispania</v>
      </c>
      <c r="O595" t="str">
        <f>_xlfn.XLOOKUP(frasest[[#This Row],[autor_es]],autorest[autor_es],autorest[epoca_es])</f>
        <v>Edad Contemporánea</v>
      </c>
      <c r="P595" t="str">
        <f>_xlfn.XLOOKUP(frasest[[#This Row],[autor_es]],autorest[autor_es],autorest[epoca_la])</f>
        <v>Aetas Contemporanea</v>
      </c>
      <c r="Q595" t="str">
        <f>_xlfn.XLOOKUP(frasest[[#This Row],[autor_es]],autorest[autor_es],autorest[imagen])</f>
        <v>https://i.ibb.co/WvdGWZ6r/gregorioluri.png</v>
      </c>
      <c r="R595">
        <f>_xlfn.XLOOKUP(frasest[[#This Row],[autor_es]],autorest[autor_es],autorest[imagen_atr])</f>
        <v>0</v>
      </c>
    </row>
    <row r="596" spans="1:18">
      <c r="A596">
        <v>595</v>
      </c>
      <c r="B596" t="s">
        <v>2046</v>
      </c>
      <c r="C596" t="s">
        <v>2047</v>
      </c>
      <c r="D596" t="s">
        <v>2046</v>
      </c>
      <c r="E596" t="s">
        <v>2035</v>
      </c>
      <c r="F596" t="s">
        <v>2048</v>
      </c>
      <c r="G596" t="str">
        <f>_xlfn.XLOOKUP(frasest[[#This Row],[autor_es]],autorest[autor_es],autorest[autor_la])</f>
        <v>Gregorius Luri</v>
      </c>
      <c r="H596" t="str">
        <f>_xlfn.XLOOKUP(frasest[[#This Row],[autor_es]],autorest[autor_es],autorest[bio_es])</f>
        <v>Filósofo pedagogo y maestro español uno de los mayores expertos en educación de España. Crítico de las modas pedagógicas sin rigor defiende una escuela centrada en el conocimiento riguroso y la transmisión cultural. Autor de La escuela no es un parque de atracciones y Por una educación republicana. Enfatiza que el saber riguroso es intrínsecamente educador emocional y que sin instrucción no hay pensamiento crítico. Defensor de la memoria la exigencia y el papel del maestro como magister.</v>
      </c>
      <c r="I596" t="str">
        <f>_xlfn.XLOOKUP(frasest[[#This Row],[autor_es]],autorest[autor_es],autorest[bio_la])</f>
        <v>Philosophus paedagogus et magister Hispanicus unus ex maximis expertis educationis Hispaniae. Criticus modorum paedagogicarum sine rigore scholam in cognitione rigorosa et transmissione culturali fundatam defendit. Auctor Schola non est locus oblectationis et Pro educatione republicana. Emphasizat cognitionem rigorosam intrinsece educatorem emotionalem esse et sine instructione non esse cogitationem criticam. Defensor memoriae exigentiae et muneris magistri ut magister.</v>
      </c>
      <c r="J596" t="str">
        <f>_xlfn.XLOOKUP(frasest[[#This Row],[autor_es]],autorest[autor_es],autorest[codigo])</f>
        <v>es</v>
      </c>
      <c r="K596" t="str">
        <f>_xlfn.XLOOKUP(frasest[[#This Row],[autor_es]],autorest[autor_es],autorest[idioma_es])</f>
        <v>Español</v>
      </c>
      <c r="L596" t="str">
        <f>_xlfn.XLOOKUP(frasest[[#This Row],[autor_es]],autorest[autor_es],autorest[idioma_la])</f>
        <v>Lingua Hispanica</v>
      </c>
      <c r="M596" t="str">
        <f>_xlfn.XLOOKUP(frasest[[#This Row],[autor_es]],autorest[autor_es],autorest[nacion_es])</f>
        <v>España</v>
      </c>
      <c r="N596" t="str">
        <f>_xlfn.XLOOKUP(frasest[[#This Row],[autor_es]],autorest[autor_es],autorest[nacion_la])</f>
        <v>Hispania</v>
      </c>
      <c r="O596" t="str">
        <f>_xlfn.XLOOKUP(frasest[[#This Row],[autor_es]],autorest[autor_es],autorest[epoca_es])</f>
        <v>Edad Contemporánea</v>
      </c>
      <c r="P596" t="str">
        <f>_xlfn.XLOOKUP(frasest[[#This Row],[autor_es]],autorest[autor_es],autorest[epoca_la])</f>
        <v>Aetas Contemporanea</v>
      </c>
      <c r="Q596" t="str">
        <f>_xlfn.XLOOKUP(frasest[[#This Row],[autor_es]],autorest[autor_es],autorest[imagen])</f>
        <v>https://i.ibb.co/WvdGWZ6r/gregorioluri.png</v>
      </c>
      <c r="R596">
        <f>_xlfn.XLOOKUP(frasest[[#This Row],[autor_es]],autorest[autor_es],autorest[imagen_atr])</f>
        <v>0</v>
      </c>
    </row>
    <row r="597" spans="1:18">
      <c r="A597">
        <v>596</v>
      </c>
      <c r="B597" t="s">
        <v>2049</v>
      </c>
      <c r="C597" t="s">
        <v>2050</v>
      </c>
      <c r="D597" t="s">
        <v>2049</v>
      </c>
      <c r="E597" t="s">
        <v>2035</v>
      </c>
      <c r="F597" t="s">
        <v>2051</v>
      </c>
      <c r="G597" t="str">
        <f>_xlfn.XLOOKUP(frasest[[#This Row],[autor_es]],autorest[autor_es],autorest[autor_la])</f>
        <v>Gregorius Luri</v>
      </c>
      <c r="H597" t="str">
        <f>_xlfn.XLOOKUP(frasest[[#This Row],[autor_es]],autorest[autor_es],autorest[bio_es])</f>
        <v>Filósofo pedagogo y maestro español uno de los mayores expertos en educación de España. Crítico de las modas pedagógicas sin rigor defiende una escuela centrada en el conocimiento riguroso y la transmisión cultural. Autor de La escuela no es un parque de atracciones y Por una educación republicana. Enfatiza que el saber riguroso es intrínsecamente educador emocional y que sin instrucción no hay pensamiento crítico. Defensor de la memoria la exigencia y el papel del maestro como magister.</v>
      </c>
      <c r="I597" t="str">
        <f>_xlfn.XLOOKUP(frasest[[#This Row],[autor_es]],autorest[autor_es],autorest[bio_la])</f>
        <v>Philosophus paedagogus et magister Hispanicus unus ex maximis expertis educationis Hispaniae. Criticus modorum paedagogicarum sine rigore scholam in cognitione rigorosa et transmissione culturali fundatam defendit. Auctor Schola non est locus oblectationis et Pro educatione republicana. Emphasizat cognitionem rigorosam intrinsece educatorem emotionalem esse et sine instructione non esse cogitationem criticam. Defensor memoriae exigentiae et muneris magistri ut magister.</v>
      </c>
      <c r="J597" t="str">
        <f>_xlfn.XLOOKUP(frasest[[#This Row],[autor_es]],autorest[autor_es],autorest[codigo])</f>
        <v>es</v>
      </c>
      <c r="K597" t="str">
        <f>_xlfn.XLOOKUP(frasest[[#This Row],[autor_es]],autorest[autor_es],autorest[idioma_es])</f>
        <v>Español</v>
      </c>
      <c r="L597" t="str">
        <f>_xlfn.XLOOKUP(frasest[[#This Row],[autor_es]],autorest[autor_es],autorest[idioma_la])</f>
        <v>Lingua Hispanica</v>
      </c>
      <c r="M597" t="str">
        <f>_xlfn.XLOOKUP(frasest[[#This Row],[autor_es]],autorest[autor_es],autorest[nacion_es])</f>
        <v>España</v>
      </c>
      <c r="N597" t="str">
        <f>_xlfn.XLOOKUP(frasest[[#This Row],[autor_es]],autorest[autor_es],autorest[nacion_la])</f>
        <v>Hispania</v>
      </c>
      <c r="O597" t="str">
        <f>_xlfn.XLOOKUP(frasest[[#This Row],[autor_es]],autorest[autor_es],autorest[epoca_es])</f>
        <v>Edad Contemporánea</v>
      </c>
      <c r="P597" t="str">
        <f>_xlfn.XLOOKUP(frasest[[#This Row],[autor_es]],autorest[autor_es],autorest[epoca_la])</f>
        <v>Aetas Contemporanea</v>
      </c>
      <c r="Q597" t="str">
        <f>_xlfn.XLOOKUP(frasest[[#This Row],[autor_es]],autorest[autor_es],autorest[imagen])</f>
        <v>https://i.ibb.co/WvdGWZ6r/gregorioluri.png</v>
      </c>
      <c r="R597">
        <f>_xlfn.XLOOKUP(frasest[[#This Row],[autor_es]],autorest[autor_es],autorest[imagen_atr])</f>
        <v>0</v>
      </c>
    </row>
    <row r="598" spans="1:18">
      <c r="A598">
        <v>597</v>
      </c>
      <c r="B598" t="s">
        <v>2052</v>
      </c>
      <c r="C598" t="s">
        <v>2053</v>
      </c>
      <c r="D598" t="s">
        <v>2054</v>
      </c>
      <c r="E598" t="s">
        <v>2055</v>
      </c>
      <c r="F598" t="s">
        <v>2056</v>
      </c>
      <c r="G598" t="str">
        <f>_xlfn.XLOOKUP(frasest[[#This Row],[autor_es]],autorest[autor_es],autorest[autor_la])</f>
        <v>Ioannes Hattie</v>
      </c>
      <c r="H598" t="str">
        <f>_xlfn.XLOOKUP(frasest[[#This Row],[autor_es]],autorest[autor_es],autorest[bio_es])</f>
        <v>Investigador educativo neozelandés creador del concepto de Aprendizaje Visible. Realizó el mayor meta-análisis de la historia de la educación analizando más de 1400 estudios con datos de 300 millones de estudiantes para identificar qué estrategias docentes tienen mayor impacto en el aprendizaje. Demostró que el factor más importante es la calidad del maestro y su capacidad de evaluar el progreso. Sus trabajos basados en evidencia transformaron la comprensión de la efectividad educativa.</v>
      </c>
      <c r="I598" t="str">
        <f>_xlfn.XLOOKUP(frasest[[#This Row],[autor_es]],autorest[autor_es],autorest[bio_la])</f>
        <v>Investigator educativus Novae Zelandiae creator conceptus Apprenhesionis Visibilis. Maximam meta-analysem historiae educationis perfecit plus quam 1400 studia cum datis 300 millionibus discipulorum analysans ut strategias docentes maioris impactus in apprehensione identificaret. Demonstravit factorem gravissimum esse qualitatem magistri et facultatem eius progressum aestimandi. Opera eius in evidentia fundata intellectionem effectivitatis educativae transformaverunt.</v>
      </c>
      <c r="J598" t="str">
        <f>_xlfn.XLOOKUP(frasest[[#This Row],[autor_es]],autorest[autor_es],autorest[codigo])</f>
        <v>en</v>
      </c>
      <c r="K598" t="str">
        <f>_xlfn.XLOOKUP(frasest[[#This Row],[autor_es]],autorest[autor_es],autorest[idioma_es])</f>
        <v>Inglés</v>
      </c>
      <c r="L598" t="str">
        <f>_xlfn.XLOOKUP(frasest[[#This Row],[autor_es]],autorest[autor_es],autorest[idioma_la])</f>
        <v>Lingua Anglica</v>
      </c>
      <c r="M598" t="str">
        <f>_xlfn.XLOOKUP(frasest[[#This Row],[autor_es]],autorest[autor_es],autorest[nacion_es])</f>
        <v>Nueva Zelanda</v>
      </c>
      <c r="N598" t="str">
        <f>_xlfn.XLOOKUP(frasest[[#This Row],[autor_es]],autorest[autor_es],autorest[nacion_la])</f>
        <v>Nova Zelandia</v>
      </c>
      <c r="O598" t="str">
        <f>_xlfn.XLOOKUP(frasest[[#This Row],[autor_es]],autorest[autor_es],autorest[epoca_es])</f>
        <v>Edad Contemporánea</v>
      </c>
      <c r="P598" t="str">
        <f>_xlfn.XLOOKUP(frasest[[#This Row],[autor_es]],autorest[autor_es],autorest[epoca_la])</f>
        <v>Aetas Contemporanea</v>
      </c>
      <c r="Q598" t="str">
        <f>_xlfn.XLOOKUP(frasest[[#This Row],[autor_es]],autorest[autor_es],autorest[imagen])</f>
        <v>https://i.ibb.co/20HTMSQF/johnhattie.png</v>
      </c>
      <c r="R598">
        <f>_xlfn.XLOOKUP(frasest[[#This Row],[autor_es]],autorest[autor_es],autorest[imagen_atr])</f>
        <v>0</v>
      </c>
    </row>
    <row r="599" spans="1:18">
      <c r="A599">
        <v>598</v>
      </c>
      <c r="B599" t="s">
        <v>2057</v>
      </c>
      <c r="C599" t="s">
        <v>2058</v>
      </c>
      <c r="D599" t="s">
        <v>2059</v>
      </c>
      <c r="E599" t="s">
        <v>2055</v>
      </c>
      <c r="F599" t="s">
        <v>2056</v>
      </c>
      <c r="G599" t="str">
        <f>_xlfn.XLOOKUP(frasest[[#This Row],[autor_es]],autorest[autor_es],autorest[autor_la])</f>
        <v>Ioannes Hattie</v>
      </c>
      <c r="H599" t="str">
        <f>_xlfn.XLOOKUP(frasest[[#This Row],[autor_es]],autorest[autor_es],autorest[bio_es])</f>
        <v>Investigador educativo neozelandés creador del concepto de Aprendizaje Visible. Realizó el mayor meta-análisis de la historia de la educación analizando más de 1400 estudios con datos de 300 millones de estudiantes para identificar qué estrategias docentes tienen mayor impacto en el aprendizaje. Demostró que el factor más importante es la calidad del maestro y su capacidad de evaluar el progreso. Sus trabajos basados en evidencia transformaron la comprensión de la efectividad educativa.</v>
      </c>
      <c r="I599" t="str">
        <f>_xlfn.XLOOKUP(frasest[[#This Row],[autor_es]],autorest[autor_es],autorest[bio_la])</f>
        <v>Investigator educativus Novae Zelandiae creator conceptus Apprenhesionis Visibilis. Maximam meta-analysem historiae educationis perfecit plus quam 1400 studia cum datis 300 millionibus discipulorum analysans ut strategias docentes maioris impactus in apprehensione identificaret. Demonstravit factorem gravissimum esse qualitatem magistri et facultatem eius progressum aestimandi. Opera eius in evidentia fundata intellectionem effectivitatis educativae transformaverunt.</v>
      </c>
      <c r="J599" t="str">
        <f>_xlfn.XLOOKUP(frasest[[#This Row],[autor_es]],autorest[autor_es],autorest[codigo])</f>
        <v>en</v>
      </c>
      <c r="K599" t="str">
        <f>_xlfn.XLOOKUP(frasest[[#This Row],[autor_es]],autorest[autor_es],autorest[idioma_es])</f>
        <v>Inglés</v>
      </c>
      <c r="L599" t="str">
        <f>_xlfn.XLOOKUP(frasest[[#This Row],[autor_es]],autorest[autor_es],autorest[idioma_la])</f>
        <v>Lingua Anglica</v>
      </c>
      <c r="M599" t="str">
        <f>_xlfn.XLOOKUP(frasest[[#This Row],[autor_es]],autorest[autor_es],autorest[nacion_es])</f>
        <v>Nueva Zelanda</v>
      </c>
      <c r="N599" t="str">
        <f>_xlfn.XLOOKUP(frasest[[#This Row],[autor_es]],autorest[autor_es],autorest[nacion_la])</f>
        <v>Nova Zelandia</v>
      </c>
      <c r="O599" t="str">
        <f>_xlfn.XLOOKUP(frasest[[#This Row],[autor_es]],autorest[autor_es],autorest[epoca_es])</f>
        <v>Edad Contemporánea</v>
      </c>
      <c r="P599" t="str">
        <f>_xlfn.XLOOKUP(frasest[[#This Row],[autor_es]],autorest[autor_es],autorest[epoca_la])</f>
        <v>Aetas Contemporanea</v>
      </c>
      <c r="Q599" t="str">
        <f>_xlfn.XLOOKUP(frasest[[#This Row],[autor_es]],autorest[autor_es],autorest[imagen])</f>
        <v>https://i.ibb.co/20HTMSQF/johnhattie.png</v>
      </c>
      <c r="R599">
        <f>_xlfn.XLOOKUP(frasest[[#This Row],[autor_es]],autorest[autor_es],autorest[imagen_atr])</f>
        <v>0</v>
      </c>
    </row>
    <row r="600" spans="1:18">
      <c r="A600">
        <v>599</v>
      </c>
      <c r="B600" t="s">
        <v>2060</v>
      </c>
      <c r="C600" t="s">
        <v>2061</v>
      </c>
      <c r="D600" t="s">
        <v>2062</v>
      </c>
      <c r="E600" t="s">
        <v>2055</v>
      </c>
      <c r="F600" t="s">
        <v>2056</v>
      </c>
      <c r="G600" t="str">
        <f>_xlfn.XLOOKUP(frasest[[#This Row],[autor_es]],autorest[autor_es],autorest[autor_la])</f>
        <v>Ioannes Hattie</v>
      </c>
      <c r="H600" t="str">
        <f>_xlfn.XLOOKUP(frasest[[#This Row],[autor_es]],autorest[autor_es],autorest[bio_es])</f>
        <v>Investigador educativo neozelandés creador del concepto de Aprendizaje Visible. Realizó el mayor meta-análisis de la historia de la educación analizando más de 1400 estudios con datos de 300 millones de estudiantes para identificar qué estrategias docentes tienen mayor impacto en el aprendizaje. Demostró que el factor más importante es la calidad del maestro y su capacidad de evaluar el progreso. Sus trabajos basados en evidencia transformaron la comprensión de la efectividad educativa.</v>
      </c>
      <c r="I600" t="str">
        <f>_xlfn.XLOOKUP(frasest[[#This Row],[autor_es]],autorest[autor_es],autorest[bio_la])</f>
        <v>Investigator educativus Novae Zelandiae creator conceptus Apprenhesionis Visibilis. Maximam meta-analysem historiae educationis perfecit plus quam 1400 studia cum datis 300 millionibus discipulorum analysans ut strategias docentes maioris impactus in apprehensione identificaret. Demonstravit factorem gravissimum esse qualitatem magistri et facultatem eius progressum aestimandi. Opera eius in evidentia fundata intellectionem effectivitatis educativae transformaverunt.</v>
      </c>
      <c r="J600" t="str">
        <f>_xlfn.XLOOKUP(frasest[[#This Row],[autor_es]],autorest[autor_es],autorest[codigo])</f>
        <v>en</v>
      </c>
      <c r="K600" t="str">
        <f>_xlfn.XLOOKUP(frasest[[#This Row],[autor_es]],autorest[autor_es],autorest[idioma_es])</f>
        <v>Inglés</v>
      </c>
      <c r="L600" t="str">
        <f>_xlfn.XLOOKUP(frasest[[#This Row],[autor_es]],autorest[autor_es],autorest[idioma_la])</f>
        <v>Lingua Anglica</v>
      </c>
      <c r="M600" t="str">
        <f>_xlfn.XLOOKUP(frasest[[#This Row],[autor_es]],autorest[autor_es],autorest[nacion_es])</f>
        <v>Nueva Zelanda</v>
      </c>
      <c r="N600" t="str">
        <f>_xlfn.XLOOKUP(frasest[[#This Row],[autor_es]],autorest[autor_es],autorest[nacion_la])</f>
        <v>Nova Zelandia</v>
      </c>
      <c r="O600" t="str">
        <f>_xlfn.XLOOKUP(frasest[[#This Row],[autor_es]],autorest[autor_es],autorest[epoca_es])</f>
        <v>Edad Contemporánea</v>
      </c>
      <c r="P600" t="str">
        <f>_xlfn.XLOOKUP(frasest[[#This Row],[autor_es]],autorest[autor_es],autorest[epoca_la])</f>
        <v>Aetas Contemporanea</v>
      </c>
      <c r="Q600" t="str">
        <f>_xlfn.XLOOKUP(frasest[[#This Row],[autor_es]],autorest[autor_es],autorest[imagen])</f>
        <v>https://i.ibb.co/20HTMSQF/johnhattie.png</v>
      </c>
      <c r="R600">
        <f>_xlfn.XLOOKUP(frasest[[#This Row],[autor_es]],autorest[autor_es],autorest[imagen_atr])</f>
        <v>0</v>
      </c>
    </row>
    <row r="601" spans="1:18">
      <c r="A601">
        <v>600</v>
      </c>
      <c r="B601" t="s">
        <v>2063</v>
      </c>
      <c r="C601" t="s">
        <v>2064</v>
      </c>
      <c r="D601" t="s">
        <v>2065</v>
      </c>
      <c r="E601" t="s">
        <v>2055</v>
      </c>
      <c r="F601" t="s">
        <v>2066</v>
      </c>
      <c r="G601" t="str">
        <f>_xlfn.XLOOKUP(frasest[[#This Row],[autor_es]],autorest[autor_es],autorest[autor_la])</f>
        <v>Ioannes Hattie</v>
      </c>
      <c r="H601" t="str">
        <f>_xlfn.XLOOKUP(frasest[[#This Row],[autor_es]],autorest[autor_es],autorest[bio_es])</f>
        <v>Investigador educativo neozelandés creador del concepto de Aprendizaje Visible. Realizó el mayor meta-análisis de la historia de la educación analizando más de 1400 estudios con datos de 300 millones de estudiantes para identificar qué estrategias docentes tienen mayor impacto en el aprendizaje. Demostró que el factor más importante es la calidad del maestro y su capacidad de evaluar el progreso. Sus trabajos basados en evidencia transformaron la comprensión de la efectividad educativa.</v>
      </c>
      <c r="I601" t="str">
        <f>_xlfn.XLOOKUP(frasest[[#This Row],[autor_es]],autorest[autor_es],autorest[bio_la])</f>
        <v>Investigator educativus Novae Zelandiae creator conceptus Apprenhesionis Visibilis. Maximam meta-analysem historiae educationis perfecit plus quam 1400 studia cum datis 300 millionibus discipulorum analysans ut strategias docentes maioris impactus in apprehensione identificaret. Demonstravit factorem gravissimum esse qualitatem magistri et facultatem eius progressum aestimandi. Opera eius in evidentia fundata intellectionem effectivitatis educativae transformaverunt.</v>
      </c>
      <c r="J601" t="str">
        <f>_xlfn.XLOOKUP(frasest[[#This Row],[autor_es]],autorest[autor_es],autorest[codigo])</f>
        <v>en</v>
      </c>
      <c r="K601" t="str">
        <f>_xlfn.XLOOKUP(frasest[[#This Row],[autor_es]],autorest[autor_es],autorest[idioma_es])</f>
        <v>Inglés</v>
      </c>
      <c r="L601" t="str">
        <f>_xlfn.XLOOKUP(frasest[[#This Row],[autor_es]],autorest[autor_es],autorest[idioma_la])</f>
        <v>Lingua Anglica</v>
      </c>
      <c r="M601" t="str">
        <f>_xlfn.XLOOKUP(frasest[[#This Row],[autor_es]],autorest[autor_es],autorest[nacion_es])</f>
        <v>Nueva Zelanda</v>
      </c>
      <c r="N601" t="str">
        <f>_xlfn.XLOOKUP(frasest[[#This Row],[autor_es]],autorest[autor_es],autorest[nacion_la])</f>
        <v>Nova Zelandia</v>
      </c>
      <c r="O601" t="str">
        <f>_xlfn.XLOOKUP(frasest[[#This Row],[autor_es]],autorest[autor_es],autorest[epoca_es])</f>
        <v>Edad Contemporánea</v>
      </c>
      <c r="P601" t="str">
        <f>_xlfn.XLOOKUP(frasest[[#This Row],[autor_es]],autorest[autor_es],autorest[epoca_la])</f>
        <v>Aetas Contemporanea</v>
      </c>
      <c r="Q601" t="str">
        <f>_xlfn.XLOOKUP(frasest[[#This Row],[autor_es]],autorest[autor_es],autorest[imagen])</f>
        <v>https://i.ibb.co/20HTMSQF/johnhattie.png</v>
      </c>
      <c r="R601">
        <f>_xlfn.XLOOKUP(frasest[[#This Row],[autor_es]],autorest[autor_es],autorest[imagen_atr])</f>
        <v>0</v>
      </c>
    </row>
    <row r="602" spans="1:18">
      <c r="A602">
        <v>601</v>
      </c>
      <c r="B602" t="s">
        <v>2067</v>
      </c>
      <c r="C602" t="s">
        <v>2068</v>
      </c>
      <c r="D602" t="s">
        <v>2069</v>
      </c>
      <c r="E602" t="s">
        <v>2055</v>
      </c>
      <c r="F602" t="s">
        <v>2056</v>
      </c>
      <c r="G602" t="str">
        <f>_xlfn.XLOOKUP(frasest[[#This Row],[autor_es]],autorest[autor_es],autorest[autor_la])</f>
        <v>Ioannes Hattie</v>
      </c>
      <c r="H602" t="str">
        <f>_xlfn.XLOOKUP(frasest[[#This Row],[autor_es]],autorest[autor_es],autorest[bio_es])</f>
        <v>Investigador educativo neozelandés creador del concepto de Aprendizaje Visible. Realizó el mayor meta-análisis de la historia de la educación analizando más de 1400 estudios con datos de 300 millones de estudiantes para identificar qué estrategias docentes tienen mayor impacto en el aprendizaje. Demostró que el factor más importante es la calidad del maestro y su capacidad de evaluar el progreso. Sus trabajos basados en evidencia transformaron la comprensión de la efectividad educativa.</v>
      </c>
      <c r="I602" t="str">
        <f>_xlfn.XLOOKUP(frasest[[#This Row],[autor_es]],autorest[autor_es],autorest[bio_la])</f>
        <v>Investigator educativus Novae Zelandiae creator conceptus Apprenhesionis Visibilis. Maximam meta-analysem historiae educationis perfecit plus quam 1400 studia cum datis 300 millionibus discipulorum analysans ut strategias docentes maioris impactus in apprehensione identificaret. Demonstravit factorem gravissimum esse qualitatem magistri et facultatem eius progressum aestimandi. Opera eius in evidentia fundata intellectionem effectivitatis educativae transformaverunt.</v>
      </c>
      <c r="J602" t="str">
        <f>_xlfn.XLOOKUP(frasest[[#This Row],[autor_es]],autorest[autor_es],autorest[codigo])</f>
        <v>en</v>
      </c>
      <c r="K602" t="str">
        <f>_xlfn.XLOOKUP(frasest[[#This Row],[autor_es]],autorest[autor_es],autorest[idioma_es])</f>
        <v>Inglés</v>
      </c>
      <c r="L602" t="str">
        <f>_xlfn.XLOOKUP(frasest[[#This Row],[autor_es]],autorest[autor_es],autorest[idioma_la])</f>
        <v>Lingua Anglica</v>
      </c>
      <c r="M602" t="str">
        <f>_xlfn.XLOOKUP(frasest[[#This Row],[autor_es]],autorest[autor_es],autorest[nacion_es])</f>
        <v>Nueva Zelanda</v>
      </c>
      <c r="N602" t="str">
        <f>_xlfn.XLOOKUP(frasest[[#This Row],[autor_es]],autorest[autor_es],autorest[nacion_la])</f>
        <v>Nova Zelandia</v>
      </c>
      <c r="O602" t="str">
        <f>_xlfn.XLOOKUP(frasest[[#This Row],[autor_es]],autorest[autor_es],autorest[epoca_es])</f>
        <v>Edad Contemporánea</v>
      </c>
      <c r="P602" t="str">
        <f>_xlfn.XLOOKUP(frasest[[#This Row],[autor_es]],autorest[autor_es],autorest[epoca_la])</f>
        <v>Aetas Contemporanea</v>
      </c>
      <c r="Q602" t="str">
        <f>_xlfn.XLOOKUP(frasest[[#This Row],[autor_es]],autorest[autor_es],autorest[imagen])</f>
        <v>https://i.ibb.co/20HTMSQF/johnhattie.png</v>
      </c>
      <c r="R602">
        <f>_xlfn.XLOOKUP(frasest[[#This Row],[autor_es]],autorest[autor_es],autorest[imagen_atr])</f>
        <v>0</v>
      </c>
    </row>
    <row r="603" spans="1:18">
      <c r="A603">
        <v>602</v>
      </c>
      <c r="B603" t="s">
        <v>2070</v>
      </c>
      <c r="C603" t="s">
        <v>2071</v>
      </c>
      <c r="D603" t="s">
        <v>2072</v>
      </c>
      <c r="E603" t="s">
        <v>2055</v>
      </c>
      <c r="F603" t="s">
        <v>2073</v>
      </c>
      <c r="G603" t="str">
        <f>_xlfn.XLOOKUP(frasest[[#This Row],[autor_es]],autorest[autor_es],autorest[autor_la])</f>
        <v>Ioannes Hattie</v>
      </c>
      <c r="H603" t="str">
        <f>_xlfn.XLOOKUP(frasest[[#This Row],[autor_es]],autorest[autor_es],autorest[bio_es])</f>
        <v>Investigador educativo neozelandés creador del concepto de Aprendizaje Visible. Realizó el mayor meta-análisis de la historia de la educación analizando más de 1400 estudios con datos de 300 millones de estudiantes para identificar qué estrategias docentes tienen mayor impacto en el aprendizaje. Demostró que el factor más importante es la calidad del maestro y su capacidad de evaluar el progreso. Sus trabajos basados en evidencia transformaron la comprensión de la efectividad educativa.</v>
      </c>
      <c r="I603" t="str">
        <f>_xlfn.XLOOKUP(frasest[[#This Row],[autor_es]],autorest[autor_es],autorest[bio_la])</f>
        <v>Investigator educativus Novae Zelandiae creator conceptus Apprenhesionis Visibilis. Maximam meta-analysem historiae educationis perfecit plus quam 1400 studia cum datis 300 millionibus discipulorum analysans ut strategias docentes maioris impactus in apprehensione identificaret. Demonstravit factorem gravissimum esse qualitatem magistri et facultatem eius progressum aestimandi. Opera eius in evidentia fundata intellectionem effectivitatis educativae transformaverunt.</v>
      </c>
      <c r="J603" t="str">
        <f>_xlfn.XLOOKUP(frasest[[#This Row],[autor_es]],autorest[autor_es],autorest[codigo])</f>
        <v>en</v>
      </c>
      <c r="K603" t="str">
        <f>_xlfn.XLOOKUP(frasest[[#This Row],[autor_es]],autorest[autor_es],autorest[idioma_es])</f>
        <v>Inglés</v>
      </c>
      <c r="L603" t="str">
        <f>_xlfn.XLOOKUP(frasest[[#This Row],[autor_es]],autorest[autor_es],autorest[idioma_la])</f>
        <v>Lingua Anglica</v>
      </c>
      <c r="M603" t="str">
        <f>_xlfn.XLOOKUP(frasest[[#This Row],[autor_es]],autorest[autor_es],autorest[nacion_es])</f>
        <v>Nueva Zelanda</v>
      </c>
      <c r="N603" t="str">
        <f>_xlfn.XLOOKUP(frasest[[#This Row],[autor_es]],autorest[autor_es],autorest[nacion_la])</f>
        <v>Nova Zelandia</v>
      </c>
      <c r="O603" t="str">
        <f>_xlfn.XLOOKUP(frasest[[#This Row],[autor_es]],autorest[autor_es],autorest[epoca_es])</f>
        <v>Edad Contemporánea</v>
      </c>
      <c r="P603" t="str">
        <f>_xlfn.XLOOKUP(frasest[[#This Row],[autor_es]],autorest[autor_es],autorest[epoca_la])</f>
        <v>Aetas Contemporanea</v>
      </c>
      <c r="Q603" t="str">
        <f>_xlfn.XLOOKUP(frasest[[#This Row],[autor_es]],autorest[autor_es],autorest[imagen])</f>
        <v>https://i.ibb.co/20HTMSQF/johnhattie.png</v>
      </c>
      <c r="R603">
        <f>_xlfn.XLOOKUP(frasest[[#This Row],[autor_es]],autorest[autor_es],autorest[imagen_atr])</f>
        <v>0</v>
      </c>
    </row>
    <row r="604" spans="1:18">
      <c r="A604">
        <v>603</v>
      </c>
      <c r="B604" t="s">
        <v>2074</v>
      </c>
      <c r="C604" t="s">
        <v>2075</v>
      </c>
      <c r="D604" t="s">
        <v>2076</v>
      </c>
      <c r="E604" t="s">
        <v>2077</v>
      </c>
      <c r="F604" t="s">
        <v>2078</v>
      </c>
      <c r="G604" t="str">
        <f>_xlfn.XLOOKUP(frasest[[#This Row],[autor_es]],autorest[autor_es],autorest[autor_la])</f>
        <v>Ioannes Locke</v>
      </c>
      <c r="H604" t="str">
        <f>_xlfn.XLOOKUP(frasest[[#This Row],[autor_es]],autorest[autor_es],autorest[bio_es])</f>
        <v>Filósofo y médico inglés padre del empirismo y del liberalismo político. Autor del Ensayo sobre el entendimiento humano donde propuso la teoría de la tabula rasa la mente como pizarra en blanco al nacer que se llena mediante la experiencia sensorial. En Algunos pensamientos sobre la educación defendió que la educación moldea al individuo siendo el ambiente y la experiencia fundamentales. Influyó profundamente en la pedagogía moderna y el conductismo.</v>
      </c>
      <c r="I604" t="str">
        <f>_xlfn.XLOOKUP(frasest[[#This Row],[autor_es]],autorest[autor_es],autorest[bio_la])</f>
        <v>Philosophus et medicus Anglicus pater empirismi et liberalismi politici. Auctor Tractatus de Intellectu Humano ubi theoriam tabulae rasae mentem ut tabulam albam in nascendo quae per experientiam sensorialem impletur proposuit. In Cogitationibus de Educatione defendit educationem individuum formare ambiente et experientia fundamentalibus. In paedagogiam modernam et conductismum profunde influxit.</v>
      </c>
      <c r="J604" t="str">
        <f>_xlfn.XLOOKUP(frasest[[#This Row],[autor_es]],autorest[autor_es],autorest[codigo])</f>
        <v>en</v>
      </c>
      <c r="K604" t="str">
        <f>_xlfn.XLOOKUP(frasest[[#This Row],[autor_es]],autorest[autor_es],autorest[idioma_es])</f>
        <v>Inglés</v>
      </c>
      <c r="L604" t="str">
        <f>_xlfn.XLOOKUP(frasest[[#This Row],[autor_es]],autorest[autor_es],autorest[idioma_la])</f>
        <v>Lingua Anglica</v>
      </c>
      <c r="M604" t="str">
        <f>_xlfn.XLOOKUP(frasest[[#This Row],[autor_es]],autorest[autor_es],autorest[nacion_es])</f>
        <v>Reino Unido</v>
      </c>
      <c r="N604" t="str">
        <f>_xlfn.XLOOKUP(frasest[[#This Row],[autor_es]],autorest[autor_es],autorest[nacion_la])</f>
        <v>Regnum Unitum</v>
      </c>
      <c r="O604" t="str">
        <f>_xlfn.XLOOKUP(frasest[[#This Row],[autor_es]],autorest[autor_es],autorest[epoca_es])</f>
        <v>Edad Moderna</v>
      </c>
      <c r="P604" t="str">
        <f>_xlfn.XLOOKUP(frasest[[#This Row],[autor_es]],autorest[autor_es],autorest[epoca_la])</f>
        <v>Nova Aetas</v>
      </c>
      <c r="Q604" t="str">
        <f>_xlfn.XLOOKUP(frasest[[#This Row],[autor_es]],autorest[autor_es],autorest[imagen])</f>
        <v>https://i.ibb.co/9HRt5j9n/johnlocke.png</v>
      </c>
      <c r="R604">
        <f>_xlfn.XLOOKUP(frasest[[#This Row],[autor_es]],autorest[autor_es],autorest[imagen_atr])</f>
        <v>0</v>
      </c>
    </row>
    <row r="605" spans="1:18">
      <c r="A605">
        <v>604</v>
      </c>
      <c r="B605" t="s">
        <v>2079</v>
      </c>
      <c r="C605" t="s">
        <v>2080</v>
      </c>
      <c r="D605" t="s">
        <v>2081</v>
      </c>
      <c r="E605" t="s">
        <v>2077</v>
      </c>
      <c r="F605" t="s">
        <v>2082</v>
      </c>
      <c r="G605" t="str">
        <f>_xlfn.XLOOKUP(frasest[[#This Row],[autor_es]],autorest[autor_es],autorest[autor_la])</f>
        <v>Ioannes Locke</v>
      </c>
      <c r="H605" t="str">
        <f>_xlfn.XLOOKUP(frasest[[#This Row],[autor_es]],autorest[autor_es],autorest[bio_es])</f>
        <v>Filósofo y médico inglés padre del empirismo y del liberalismo político. Autor del Ensayo sobre el entendimiento humano donde propuso la teoría de la tabula rasa la mente como pizarra en blanco al nacer que se llena mediante la experiencia sensorial. En Algunos pensamientos sobre la educación defendió que la educación moldea al individuo siendo el ambiente y la experiencia fundamentales. Influyó profundamente en la pedagogía moderna y el conductismo.</v>
      </c>
      <c r="I605" t="str">
        <f>_xlfn.XLOOKUP(frasest[[#This Row],[autor_es]],autorest[autor_es],autorest[bio_la])</f>
        <v>Philosophus et medicus Anglicus pater empirismi et liberalismi politici. Auctor Tractatus de Intellectu Humano ubi theoriam tabulae rasae mentem ut tabulam albam in nascendo quae per experientiam sensorialem impletur proposuit. In Cogitationibus de Educatione defendit educationem individuum formare ambiente et experientia fundamentalibus. In paedagogiam modernam et conductismum profunde influxit.</v>
      </c>
      <c r="J605" t="str">
        <f>_xlfn.XLOOKUP(frasest[[#This Row],[autor_es]],autorest[autor_es],autorest[codigo])</f>
        <v>en</v>
      </c>
      <c r="K605" t="str">
        <f>_xlfn.XLOOKUP(frasest[[#This Row],[autor_es]],autorest[autor_es],autorest[idioma_es])</f>
        <v>Inglés</v>
      </c>
      <c r="L605" t="str">
        <f>_xlfn.XLOOKUP(frasest[[#This Row],[autor_es]],autorest[autor_es],autorest[idioma_la])</f>
        <v>Lingua Anglica</v>
      </c>
      <c r="M605" t="str">
        <f>_xlfn.XLOOKUP(frasest[[#This Row],[autor_es]],autorest[autor_es],autorest[nacion_es])</f>
        <v>Reino Unido</v>
      </c>
      <c r="N605" t="str">
        <f>_xlfn.XLOOKUP(frasest[[#This Row],[autor_es]],autorest[autor_es],autorest[nacion_la])</f>
        <v>Regnum Unitum</v>
      </c>
      <c r="O605" t="str">
        <f>_xlfn.XLOOKUP(frasest[[#This Row],[autor_es]],autorest[autor_es],autorest[epoca_es])</f>
        <v>Edad Moderna</v>
      </c>
      <c r="P605" t="str">
        <f>_xlfn.XLOOKUP(frasest[[#This Row],[autor_es]],autorest[autor_es],autorest[epoca_la])</f>
        <v>Nova Aetas</v>
      </c>
      <c r="Q605" t="str">
        <f>_xlfn.XLOOKUP(frasest[[#This Row],[autor_es]],autorest[autor_es],autorest[imagen])</f>
        <v>https://i.ibb.co/9HRt5j9n/johnlocke.png</v>
      </c>
      <c r="R605">
        <f>_xlfn.XLOOKUP(frasest[[#This Row],[autor_es]],autorest[autor_es],autorest[imagen_atr])</f>
        <v>0</v>
      </c>
    </row>
    <row r="606" spans="1:18">
      <c r="A606">
        <v>605</v>
      </c>
      <c r="B606" t="s">
        <v>2083</v>
      </c>
      <c r="C606" t="s">
        <v>597</v>
      </c>
      <c r="D606" t="s">
        <v>2084</v>
      </c>
      <c r="E606" t="s">
        <v>2077</v>
      </c>
      <c r="F606" t="s">
        <v>2085</v>
      </c>
      <c r="G606" t="str">
        <f>_xlfn.XLOOKUP(frasest[[#This Row],[autor_es]],autorest[autor_es],autorest[autor_la])</f>
        <v>Ioannes Locke</v>
      </c>
      <c r="H606" t="str">
        <f>_xlfn.XLOOKUP(frasest[[#This Row],[autor_es]],autorest[autor_es],autorest[bio_es])</f>
        <v>Filósofo y médico inglés padre del empirismo y del liberalismo político. Autor del Ensayo sobre el entendimiento humano donde propuso la teoría de la tabula rasa la mente como pizarra en blanco al nacer que se llena mediante la experiencia sensorial. En Algunos pensamientos sobre la educación defendió que la educación moldea al individuo siendo el ambiente y la experiencia fundamentales. Influyó profundamente en la pedagogía moderna y el conductismo.</v>
      </c>
      <c r="I606" t="str">
        <f>_xlfn.XLOOKUP(frasest[[#This Row],[autor_es]],autorest[autor_es],autorest[bio_la])</f>
        <v>Philosophus et medicus Anglicus pater empirismi et liberalismi politici. Auctor Tractatus de Intellectu Humano ubi theoriam tabulae rasae mentem ut tabulam albam in nascendo quae per experientiam sensorialem impletur proposuit. In Cogitationibus de Educatione defendit educationem individuum formare ambiente et experientia fundamentalibus. In paedagogiam modernam et conductismum profunde influxit.</v>
      </c>
      <c r="J606" t="str">
        <f>_xlfn.XLOOKUP(frasest[[#This Row],[autor_es]],autorest[autor_es],autorest[codigo])</f>
        <v>en</v>
      </c>
      <c r="K606" t="str">
        <f>_xlfn.XLOOKUP(frasest[[#This Row],[autor_es]],autorest[autor_es],autorest[idioma_es])</f>
        <v>Inglés</v>
      </c>
      <c r="L606" t="str">
        <f>_xlfn.XLOOKUP(frasest[[#This Row],[autor_es]],autorest[autor_es],autorest[idioma_la])</f>
        <v>Lingua Anglica</v>
      </c>
      <c r="M606" t="str">
        <f>_xlfn.XLOOKUP(frasest[[#This Row],[autor_es]],autorest[autor_es],autorest[nacion_es])</f>
        <v>Reino Unido</v>
      </c>
      <c r="N606" t="str">
        <f>_xlfn.XLOOKUP(frasest[[#This Row],[autor_es]],autorest[autor_es],autorest[nacion_la])</f>
        <v>Regnum Unitum</v>
      </c>
      <c r="O606" t="str">
        <f>_xlfn.XLOOKUP(frasest[[#This Row],[autor_es]],autorest[autor_es],autorest[epoca_es])</f>
        <v>Edad Moderna</v>
      </c>
      <c r="P606" t="str">
        <f>_xlfn.XLOOKUP(frasest[[#This Row],[autor_es]],autorest[autor_es],autorest[epoca_la])</f>
        <v>Nova Aetas</v>
      </c>
      <c r="Q606" t="str">
        <f>_xlfn.XLOOKUP(frasest[[#This Row],[autor_es]],autorest[autor_es],autorest[imagen])</f>
        <v>https://i.ibb.co/9HRt5j9n/johnlocke.png</v>
      </c>
      <c r="R606">
        <f>_xlfn.XLOOKUP(frasest[[#This Row],[autor_es]],autorest[autor_es],autorest[imagen_atr])</f>
        <v>0</v>
      </c>
    </row>
    <row r="607" spans="1:18">
      <c r="A607">
        <v>606</v>
      </c>
      <c r="B607" t="s">
        <v>2086</v>
      </c>
      <c r="C607" t="s">
        <v>2087</v>
      </c>
      <c r="D607" t="s">
        <v>2088</v>
      </c>
      <c r="E607" t="s">
        <v>2077</v>
      </c>
      <c r="F607" t="s">
        <v>2089</v>
      </c>
      <c r="G607" t="str">
        <f>_xlfn.XLOOKUP(frasest[[#This Row],[autor_es]],autorest[autor_es],autorest[autor_la])</f>
        <v>Ioannes Locke</v>
      </c>
      <c r="H607" t="str">
        <f>_xlfn.XLOOKUP(frasest[[#This Row],[autor_es]],autorest[autor_es],autorest[bio_es])</f>
        <v>Filósofo y médico inglés padre del empirismo y del liberalismo político. Autor del Ensayo sobre el entendimiento humano donde propuso la teoría de la tabula rasa la mente como pizarra en blanco al nacer que se llena mediante la experiencia sensorial. En Algunos pensamientos sobre la educación defendió que la educación moldea al individuo siendo el ambiente y la experiencia fundamentales. Influyó profundamente en la pedagogía moderna y el conductismo.</v>
      </c>
      <c r="I607" t="str">
        <f>_xlfn.XLOOKUP(frasest[[#This Row],[autor_es]],autorest[autor_es],autorest[bio_la])</f>
        <v>Philosophus et medicus Anglicus pater empirismi et liberalismi politici. Auctor Tractatus de Intellectu Humano ubi theoriam tabulae rasae mentem ut tabulam albam in nascendo quae per experientiam sensorialem impletur proposuit. In Cogitationibus de Educatione defendit educationem individuum formare ambiente et experientia fundamentalibus. In paedagogiam modernam et conductismum profunde influxit.</v>
      </c>
      <c r="J607" t="str">
        <f>_xlfn.XLOOKUP(frasest[[#This Row],[autor_es]],autorest[autor_es],autorest[codigo])</f>
        <v>en</v>
      </c>
      <c r="K607" t="str">
        <f>_xlfn.XLOOKUP(frasest[[#This Row],[autor_es]],autorest[autor_es],autorest[idioma_es])</f>
        <v>Inglés</v>
      </c>
      <c r="L607" t="str">
        <f>_xlfn.XLOOKUP(frasest[[#This Row],[autor_es]],autorest[autor_es],autorest[idioma_la])</f>
        <v>Lingua Anglica</v>
      </c>
      <c r="M607" t="str">
        <f>_xlfn.XLOOKUP(frasest[[#This Row],[autor_es]],autorest[autor_es],autorest[nacion_es])</f>
        <v>Reino Unido</v>
      </c>
      <c r="N607" t="str">
        <f>_xlfn.XLOOKUP(frasest[[#This Row],[autor_es]],autorest[autor_es],autorest[nacion_la])</f>
        <v>Regnum Unitum</v>
      </c>
      <c r="O607" t="str">
        <f>_xlfn.XLOOKUP(frasest[[#This Row],[autor_es]],autorest[autor_es],autorest[epoca_es])</f>
        <v>Edad Moderna</v>
      </c>
      <c r="P607" t="str">
        <f>_xlfn.XLOOKUP(frasest[[#This Row],[autor_es]],autorest[autor_es],autorest[epoca_la])</f>
        <v>Nova Aetas</v>
      </c>
      <c r="Q607" t="str">
        <f>_xlfn.XLOOKUP(frasest[[#This Row],[autor_es]],autorest[autor_es],autorest[imagen])</f>
        <v>https://i.ibb.co/9HRt5j9n/johnlocke.png</v>
      </c>
      <c r="R607">
        <f>_xlfn.XLOOKUP(frasest[[#This Row],[autor_es]],autorest[autor_es],autorest[imagen_atr])</f>
        <v>0</v>
      </c>
    </row>
    <row r="608" spans="1:18">
      <c r="A608">
        <v>607</v>
      </c>
      <c r="B608" t="s">
        <v>2090</v>
      </c>
      <c r="C608" t="s">
        <v>2091</v>
      </c>
      <c r="D608" t="s">
        <v>2092</v>
      </c>
      <c r="E608" t="s">
        <v>2077</v>
      </c>
      <c r="F608" t="s">
        <v>2093</v>
      </c>
      <c r="G608" t="str">
        <f>_xlfn.XLOOKUP(frasest[[#This Row],[autor_es]],autorest[autor_es],autorest[autor_la])</f>
        <v>Ioannes Locke</v>
      </c>
      <c r="H608" t="str">
        <f>_xlfn.XLOOKUP(frasest[[#This Row],[autor_es]],autorest[autor_es],autorest[bio_es])</f>
        <v>Filósofo y médico inglés padre del empirismo y del liberalismo político. Autor del Ensayo sobre el entendimiento humano donde propuso la teoría de la tabula rasa la mente como pizarra en blanco al nacer que se llena mediante la experiencia sensorial. En Algunos pensamientos sobre la educación defendió que la educación moldea al individuo siendo el ambiente y la experiencia fundamentales. Influyó profundamente en la pedagogía moderna y el conductismo.</v>
      </c>
      <c r="I608" t="str">
        <f>_xlfn.XLOOKUP(frasest[[#This Row],[autor_es]],autorest[autor_es],autorest[bio_la])</f>
        <v>Philosophus et medicus Anglicus pater empirismi et liberalismi politici. Auctor Tractatus de Intellectu Humano ubi theoriam tabulae rasae mentem ut tabulam albam in nascendo quae per experientiam sensorialem impletur proposuit. In Cogitationibus de Educatione defendit educationem individuum formare ambiente et experientia fundamentalibus. In paedagogiam modernam et conductismum profunde influxit.</v>
      </c>
      <c r="J608" t="str">
        <f>_xlfn.XLOOKUP(frasest[[#This Row],[autor_es]],autorest[autor_es],autorest[codigo])</f>
        <v>en</v>
      </c>
      <c r="K608" t="str">
        <f>_xlfn.XLOOKUP(frasest[[#This Row],[autor_es]],autorest[autor_es],autorest[idioma_es])</f>
        <v>Inglés</v>
      </c>
      <c r="L608" t="str">
        <f>_xlfn.XLOOKUP(frasest[[#This Row],[autor_es]],autorest[autor_es],autorest[idioma_la])</f>
        <v>Lingua Anglica</v>
      </c>
      <c r="M608" t="str">
        <f>_xlfn.XLOOKUP(frasest[[#This Row],[autor_es]],autorest[autor_es],autorest[nacion_es])</f>
        <v>Reino Unido</v>
      </c>
      <c r="N608" t="str">
        <f>_xlfn.XLOOKUP(frasest[[#This Row],[autor_es]],autorest[autor_es],autorest[nacion_la])</f>
        <v>Regnum Unitum</v>
      </c>
      <c r="O608" t="str">
        <f>_xlfn.XLOOKUP(frasest[[#This Row],[autor_es]],autorest[autor_es],autorest[epoca_es])</f>
        <v>Edad Moderna</v>
      </c>
      <c r="P608" t="str">
        <f>_xlfn.XLOOKUP(frasest[[#This Row],[autor_es]],autorest[autor_es],autorest[epoca_la])</f>
        <v>Nova Aetas</v>
      </c>
      <c r="Q608" t="str">
        <f>_xlfn.XLOOKUP(frasest[[#This Row],[autor_es]],autorest[autor_es],autorest[imagen])</f>
        <v>https://i.ibb.co/9HRt5j9n/johnlocke.png</v>
      </c>
      <c r="R608">
        <f>_xlfn.XLOOKUP(frasest[[#This Row],[autor_es]],autorest[autor_es],autorest[imagen_atr])</f>
        <v>0</v>
      </c>
    </row>
    <row r="609" spans="1:18">
      <c r="A609">
        <v>608</v>
      </c>
      <c r="B609" t="s">
        <v>2094</v>
      </c>
      <c r="C609" t="s">
        <v>2095</v>
      </c>
      <c r="D609" t="s">
        <v>2096</v>
      </c>
      <c r="E609" t="s">
        <v>2077</v>
      </c>
      <c r="F609" t="s">
        <v>2097</v>
      </c>
      <c r="G609" t="str">
        <f>_xlfn.XLOOKUP(frasest[[#This Row],[autor_es]],autorest[autor_es],autorest[autor_la])</f>
        <v>Ioannes Locke</v>
      </c>
      <c r="H609" t="str">
        <f>_xlfn.XLOOKUP(frasest[[#This Row],[autor_es]],autorest[autor_es],autorest[bio_es])</f>
        <v>Filósofo y médico inglés padre del empirismo y del liberalismo político. Autor del Ensayo sobre el entendimiento humano donde propuso la teoría de la tabula rasa la mente como pizarra en blanco al nacer que se llena mediante la experiencia sensorial. En Algunos pensamientos sobre la educación defendió que la educación moldea al individuo siendo el ambiente y la experiencia fundamentales. Influyó profundamente en la pedagogía moderna y el conductismo.</v>
      </c>
      <c r="I609" t="str">
        <f>_xlfn.XLOOKUP(frasest[[#This Row],[autor_es]],autorest[autor_es],autorest[bio_la])</f>
        <v>Philosophus et medicus Anglicus pater empirismi et liberalismi politici. Auctor Tractatus de Intellectu Humano ubi theoriam tabulae rasae mentem ut tabulam albam in nascendo quae per experientiam sensorialem impletur proposuit. In Cogitationibus de Educatione defendit educationem individuum formare ambiente et experientia fundamentalibus. In paedagogiam modernam et conductismum profunde influxit.</v>
      </c>
      <c r="J609" t="str">
        <f>_xlfn.XLOOKUP(frasest[[#This Row],[autor_es]],autorest[autor_es],autorest[codigo])</f>
        <v>en</v>
      </c>
      <c r="K609" t="str">
        <f>_xlfn.XLOOKUP(frasest[[#This Row],[autor_es]],autorest[autor_es],autorest[idioma_es])</f>
        <v>Inglés</v>
      </c>
      <c r="L609" t="str">
        <f>_xlfn.XLOOKUP(frasest[[#This Row],[autor_es]],autorest[autor_es],autorest[idioma_la])</f>
        <v>Lingua Anglica</v>
      </c>
      <c r="M609" t="str">
        <f>_xlfn.XLOOKUP(frasest[[#This Row],[autor_es]],autorest[autor_es],autorest[nacion_es])</f>
        <v>Reino Unido</v>
      </c>
      <c r="N609" t="str">
        <f>_xlfn.XLOOKUP(frasest[[#This Row],[autor_es]],autorest[autor_es],autorest[nacion_la])</f>
        <v>Regnum Unitum</v>
      </c>
      <c r="O609" t="str">
        <f>_xlfn.XLOOKUP(frasest[[#This Row],[autor_es]],autorest[autor_es],autorest[epoca_es])</f>
        <v>Edad Moderna</v>
      </c>
      <c r="P609" t="str">
        <f>_xlfn.XLOOKUP(frasest[[#This Row],[autor_es]],autorest[autor_es],autorest[epoca_la])</f>
        <v>Nova Aetas</v>
      </c>
      <c r="Q609" t="str">
        <f>_xlfn.XLOOKUP(frasest[[#This Row],[autor_es]],autorest[autor_es],autorest[imagen])</f>
        <v>https://i.ibb.co/9HRt5j9n/johnlocke.png</v>
      </c>
      <c r="R609">
        <f>_xlfn.XLOOKUP(frasest[[#This Row],[autor_es]],autorest[autor_es],autorest[imagen_atr])</f>
        <v>0</v>
      </c>
    </row>
    <row r="610" spans="1:18">
      <c r="A610">
        <v>609</v>
      </c>
      <c r="B610" t="s">
        <v>2098</v>
      </c>
      <c r="C610" t="s">
        <v>2099</v>
      </c>
      <c r="D610" t="s">
        <v>2100</v>
      </c>
      <c r="E610" t="s">
        <v>2101</v>
      </c>
      <c r="F610" t="s">
        <v>2102</v>
      </c>
      <c r="G610" t="str">
        <f>_xlfn.XLOOKUP(frasest[[#This Row],[autor_es]],autorest[autor_es],autorest[autor_la])</f>
        <v>Rabindranath Tagore</v>
      </c>
      <c r="H610" t="str">
        <f>_xlfn.XLOOKUP(frasest[[#This Row],[autor_es]],autorest[autor_es],autorest[bio_es])</f>
        <v>Poeta filósofo músico y pedagogo indio primer no europeo en recibir el Premio Nobel de Literatura en 1913. Fundó la escuela Santiniketan basada en una educación integral que une naturaleza arte espiritualidad y libertad. Defendió una educación poética y humanista que armoniza al hombre con la naturaleza y Dios rechazando el sistema educativo colonial. Su pedagogía enfatiza la creatividad el amor y la conexión con el cosmos.</v>
      </c>
      <c r="I610" t="str">
        <f>_xlfn.XLOOKUP(frasest[[#This Row],[autor_es]],autorest[autor_es],autorest[bio_la])</f>
        <v>Poeta philosophus musicus et paedagogus Indicus primus non Europaeus Praemium Nobel Litterarum anno 1913 recipere. Scholam Santiniketan fundavit in educatione integrali quae naturam artem spiritualitatem et libertatem coniungit fundatam. Educationem poeticam et humanisticam quae hominem cum natura et Deo harmonizat defendit systema educativum coloniale repudians. Paedagogia eius creativitatem amorem et conexionem cum cosmo emphasizat.</v>
      </c>
      <c r="J610" t="str">
        <f>_xlfn.XLOOKUP(frasest[[#This Row],[autor_es]],autorest[autor_es],autorest[codigo])</f>
        <v>bn</v>
      </c>
      <c r="K610" t="str">
        <f>_xlfn.XLOOKUP(frasest[[#This Row],[autor_es]],autorest[autor_es],autorest[idioma_es])</f>
        <v>Bengalí</v>
      </c>
      <c r="L610" t="str">
        <f>_xlfn.XLOOKUP(frasest[[#This Row],[autor_es]],autorest[autor_es],autorest[idioma_la])</f>
        <v>Lingua Bengalice</v>
      </c>
      <c r="M610" t="str">
        <f>_xlfn.XLOOKUP(frasest[[#This Row],[autor_es]],autorest[autor_es],autorest[nacion_es])</f>
        <v>India</v>
      </c>
      <c r="N610" t="str">
        <f>_xlfn.XLOOKUP(frasest[[#This Row],[autor_es]],autorest[autor_es],autorest[nacion_la])</f>
        <v>India</v>
      </c>
      <c r="O610" t="str">
        <f>_xlfn.XLOOKUP(frasest[[#This Row],[autor_es]],autorest[autor_es],autorest[epoca_es])</f>
        <v>Edad Contemporánea</v>
      </c>
      <c r="P610" t="str">
        <f>_xlfn.XLOOKUP(frasest[[#This Row],[autor_es]],autorest[autor_es],autorest[epoca_la])</f>
        <v>Aetas Contemporanea</v>
      </c>
      <c r="Q610" t="str">
        <f>_xlfn.XLOOKUP(frasest[[#This Row],[autor_es]],autorest[autor_es],autorest[imagen])</f>
        <v>https://i.ibb.co/kgbszCVd/tagore.png</v>
      </c>
      <c r="R610">
        <f>_xlfn.XLOOKUP(frasest[[#This Row],[autor_es]],autorest[autor_es],autorest[imagen_atr])</f>
        <v>0</v>
      </c>
    </row>
    <row r="611" spans="1:18">
      <c r="A611">
        <v>610</v>
      </c>
      <c r="B611" t="s">
        <v>2103</v>
      </c>
      <c r="C611" t="s">
        <v>2104</v>
      </c>
      <c r="D611" t="s">
        <v>2105</v>
      </c>
      <c r="E611" t="s">
        <v>2101</v>
      </c>
      <c r="F611" t="s">
        <v>2106</v>
      </c>
      <c r="G611" t="str">
        <f>_xlfn.XLOOKUP(frasest[[#This Row],[autor_es]],autorest[autor_es],autorest[autor_la])</f>
        <v>Rabindranath Tagore</v>
      </c>
      <c r="H611" t="str">
        <f>_xlfn.XLOOKUP(frasest[[#This Row],[autor_es]],autorest[autor_es],autorest[bio_es])</f>
        <v>Poeta filósofo músico y pedagogo indio primer no europeo en recibir el Premio Nobel de Literatura en 1913. Fundó la escuela Santiniketan basada en una educación integral que une naturaleza arte espiritualidad y libertad. Defendió una educación poética y humanista que armoniza al hombre con la naturaleza y Dios rechazando el sistema educativo colonial. Su pedagogía enfatiza la creatividad el amor y la conexión con el cosmos.</v>
      </c>
      <c r="I611" t="str">
        <f>_xlfn.XLOOKUP(frasest[[#This Row],[autor_es]],autorest[autor_es],autorest[bio_la])</f>
        <v>Poeta philosophus musicus et paedagogus Indicus primus non Europaeus Praemium Nobel Litterarum anno 1913 recipere. Scholam Santiniketan fundavit in educatione integrali quae naturam artem spiritualitatem et libertatem coniungit fundatam. Educationem poeticam et humanisticam quae hominem cum natura et Deo harmonizat defendit systema educativum coloniale repudians. Paedagogia eius creativitatem amorem et conexionem cum cosmo emphasizat.</v>
      </c>
      <c r="J611" t="str">
        <f>_xlfn.XLOOKUP(frasest[[#This Row],[autor_es]],autorest[autor_es],autorest[codigo])</f>
        <v>bn</v>
      </c>
      <c r="K611" t="str">
        <f>_xlfn.XLOOKUP(frasest[[#This Row],[autor_es]],autorest[autor_es],autorest[idioma_es])</f>
        <v>Bengalí</v>
      </c>
      <c r="L611" t="str">
        <f>_xlfn.XLOOKUP(frasest[[#This Row],[autor_es]],autorest[autor_es],autorest[idioma_la])</f>
        <v>Lingua Bengalice</v>
      </c>
      <c r="M611" t="str">
        <f>_xlfn.XLOOKUP(frasest[[#This Row],[autor_es]],autorest[autor_es],autorest[nacion_es])</f>
        <v>India</v>
      </c>
      <c r="N611" t="str">
        <f>_xlfn.XLOOKUP(frasest[[#This Row],[autor_es]],autorest[autor_es],autorest[nacion_la])</f>
        <v>India</v>
      </c>
      <c r="O611" t="str">
        <f>_xlfn.XLOOKUP(frasest[[#This Row],[autor_es]],autorest[autor_es],autorest[epoca_es])</f>
        <v>Edad Contemporánea</v>
      </c>
      <c r="P611" t="str">
        <f>_xlfn.XLOOKUP(frasest[[#This Row],[autor_es]],autorest[autor_es],autorest[epoca_la])</f>
        <v>Aetas Contemporanea</v>
      </c>
      <c r="Q611" t="str">
        <f>_xlfn.XLOOKUP(frasest[[#This Row],[autor_es]],autorest[autor_es],autorest[imagen])</f>
        <v>https://i.ibb.co/kgbszCVd/tagore.png</v>
      </c>
      <c r="R611">
        <f>_xlfn.XLOOKUP(frasest[[#This Row],[autor_es]],autorest[autor_es],autorest[imagen_atr])</f>
        <v>0</v>
      </c>
    </row>
    <row r="612" spans="1:18">
      <c r="A612">
        <v>611</v>
      </c>
      <c r="B612" t="s">
        <v>2107</v>
      </c>
      <c r="C612" t="s">
        <v>2108</v>
      </c>
      <c r="D612" t="s">
        <v>2109</v>
      </c>
      <c r="E612" t="s">
        <v>2101</v>
      </c>
      <c r="F612" t="s">
        <v>2110</v>
      </c>
      <c r="G612" t="str">
        <f>_xlfn.XLOOKUP(frasest[[#This Row],[autor_es]],autorest[autor_es],autorest[autor_la])</f>
        <v>Rabindranath Tagore</v>
      </c>
      <c r="H612" t="str">
        <f>_xlfn.XLOOKUP(frasest[[#This Row],[autor_es]],autorest[autor_es],autorest[bio_es])</f>
        <v>Poeta filósofo músico y pedagogo indio primer no europeo en recibir el Premio Nobel de Literatura en 1913. Fundó la escuela Santiniketan basada en una educación integral que une naturaleza arte espiritualidad y libertad. Defendió una educación poética y humanista que armoniza al hombre con la naturaleza y Dios rechazando el sistema educativo colonial. Su pedagogía enfatiza la creatividad el amor y la conexión con el cosmos.</v>
      </c>
      <c r="I612" t="str">
        <f>_xlfn.XLOOKUP(frasest[[#This Row],[autor_es]],autorest[autor_es],autorest[bio_la])</f>
        <v>Poeta philosophus musicus et paedagogus Indicus primus non Europaeus Praemium Nobel Litterarum anno 1913 recipere. Scholam Santiniketan fundavit in educatione integrali quae naturam artem spiritualitatem et libertatem coniungit fundatam. Educationem poeticam et humanisticam quae hominem cum natura et Deo harmonizat defendit systema educativum coloniale repudians. Paedagogia eius creativitatem amorem et conexionem cum cosmo emphasizat.</v>
      </c>
      <c r="J612" t="str">
        <f>_xlfn.XLOOKUP(frasest[[#This Row],[autor_es]],autorest[autor_es],autorest[codigo])</f>
        <v>bn</v>
      </c>
      <c r="K612" t="str">
        <f>_xlfn.XLOOKUP(frasest[[#This Row],[autor_es]],autorest[autor_es],autorest[idioma_es])</f>
        <v>Bengalí</v>
      </c>
      <c r="L612" t="str">
        <f>_xlfn.XLOOKUP(frasest[[#This Row],[autor_es]],autorest[autor_es],autorest[idioma_la])</f>
        <v>Lingua Bengalice</v>
      </c>
      <c r="M612" t="str">
        <f>_xlfn.XLOOKUP(frasest[[#This Row],[autor_es]],autorest[autor_es],autorest[nacion_es])</f>
        <v>India</v>
      </c>
      <c r="N612" t="str">
        <f>_xlfn.XLOOKUP(frasest[[#This Row],[autor_es]],autorest[autor_es],autorest[nacion_la])</f>
        <v>India</v>
      </c>
      <c r="O612" t="str">
        <f>_xlfn.XLOOKUP(frasest[[#This Row],[autor_es]],autorest[autor_es],autorest[epoca_es])</f>
        <v>Edad Contemporánea</v>
      </c>
      <c r="P612" t="str">
        <f>_xlfn.XLOOKUP(frasest[[#This Row],[autor_es]],autorest[autor_es],autorest[epoca_la])</f>
        <v>Aetas Contemporanea</v>
      </c>
      <c r="Q612" t="str">
        <f>_xlfn.XLOOKUP(frasest[[#This Row],[autor_es]],autorest[autor_es],autorest[imagen])</f>
        <v>https://i.ibb.co/kgbszCVd/tagore.png</v>
      </c>
      <c r="R612">
        <f>_xlfn.XLOOKUP(frasest[[#This Row],[autor_es]],autorest[autor_es],autorest[imagen_atr])</f>
        <v>0</v>
      </c>
    </row>
    <row r="613" spans="1:18">
      <c r="A613">
        <v>612</v>
      </c>
      <c r="B613" t="s">
        <v>2111</v>
      </c>
      <c r="C613" t="s">
        <v>2112</v>
      </c>
      <c r="D613" t="s">
        <v>2113</v>
      </c>
      <c r="E613" t="s">
        <v>2101</v>
      </c>
      <c r="F613" t="s">
        <v>2114</v>
      </c>
      <c r="G613" t="str">
        <f>_xlfn.XLOOKUP(frasest[[#This Row],[autor_es]],autorest[autor_es],autorest[autor_la])</f>
        <v>Rabindranath Tagore</v>
      </c>
      <c r="H613" t="str">
        <f>_xlfn.XLOOKUP(frasest[[#This Row],[autor_es]],autorest[autor_es],autorest[bio_es])</f>
        <v>Poeta filósofo músico y pedagogo indio primer no europeo en recibir el Premio Nobel de Literatura en 1913. Fundó la escuela Santiniketan basada en una educación integral que une naturaleza arte espiritualidad y libertad. Defendió una educación poética y humanista que armoniza al hombre con la naturaleza y Dios rechazando el sistema educativo colonial. Su pedagogía enfatiza la creatividad el amor y la conexión con el cosmos.</v>
      </c>
      <c r="I613" t="str">
        <f>_xlfn.XLOOKUP(frasest[[#This Row],[autor_es]],autorest[autor_es],autorest[bio_la])</f>
        <v>Poeta philosophus musicus et paedagogus Indicus primus non Europaeus Praemium Nobel Litterarum anno 1913 recipere. Scholam Santiniketan fundavit in educatione integrali quae naturam artem spiritualitatem et libertatem coniungit fundatam. Educationem poeticam et humanisticam quae hominem cum natura et Deo harmonizat defendit systema educativum coloniale repudians. Paedagogia eius creativitatem amorem et conexionem cum cosmo emphasizat.</v>
      </c>
      <c r="J613" t="str">
        <f>_xlfn.XLOOKUP(frasest[[#This Row],[autor_es]],autorest[autor_es],autorest[codigo])</f>
        <v>bn</v>
      </c>
      <c r="K613" t="str">
        <f>_xlfn.XLOOKUP(frasest[[#This Row],[autor_es]],autorest[autor_es],autorest[idioma_es])</f>
        <v>Bengalí</v>
      </c>
      <c r="L613" t="str">
        <f>_xlfn.XLOOKUP(frasest[[#This Row],[autor_es]],autorest[autor_es],autorest[idioma_la])</f>
        <v>Lingua Bengalice</v>
      </c>
      <c r="M613" t="str">
        <f>_xlfn.XLOOKUP(frasest[[#This Row],[autor_es]],autorest[autor_es],autorest[nacion_es])</f>
        <v>India</v>
      </c>
      <c r="N613" t="str">
        <f>_xlfn.XLOOKUP(frasest[[#This Row],[autor_es]],autorest[autor_es],autorest[nacion_la])</f>
        <v>India</v>
      </c>
      <c r="O613" t="str">
        <f>_xlfn.XLOOKUP(frasest[[#This Row],[autor_es]],autorest[autor_es],autorest[epoca_es])</f>
        <v>Edad Contemporánea</v>
      </c>
      <c r="P613" t="str">
        <f>_xlfn.XLOOKUP(frasest[[#This Row],[autor_es]],autorest[autor_es],autorest[epoca_la])</f>
        <v>Aetas Contemporanea</v>
      </c>
      <c r="Q613" t="str">
        <f>_xlfn.XLOOKUP(frasest[[#This Row],[autor_es]],autorest[autor_es],autorest[imagen])</f>
        <v>https://i.ibb.co/kgbszCVd/tagore.png</v>
      </c>
      <c r="R613">
        <f>_xlfn.XLOOKUP(frasest[[#This Row],[autor_es]],autorest[autor_es],autorest[imagen_atr])</f>
        <v>0</v>
      </c>
    </row>
    <row r="614" spans="1:18">
      <c r="A614">
        <v>613</v>
      </c>
      <c r="B614" t="s">
        <v>2115</v>
      </c>
      <c r="C614" t="s">
        <v>2116</v>
      </c>
      <c r="D614" t="s">
        <v>2117</v>
      </c>
      <c r="E614" t="s">
        <v>2101</v>
      </c>
      <c r="F614" t="s">
        <v>2118</v>
      </c>
      <c r="G614" t="str">
        <f>_xlfn.XLOOKUP(frasest[[#This Row],[autor_es]],autorest[autor_es],autorest[autor_la])</f>
        <v>Rabindranath Tagore</v>
      </c>
      <c r="H614" t="str">
        <f>_xlfn.XLOOKUP(frasest[[#This Row],[autor_es]],autorest[autor_es],autorest[bio_es])</f>
        <v>Poeta filósofo músico y pedagogo indio primer no europeo en recibir el Premio Nobel de Literatura en 1913. Fundó la escuela Santiniketan basada en una educación integral que une naturaleza arte espiritualidad y libertad. Defendió una educación poética y humanista que armoniza al hombre con la naturaleza y Dios rechazando el sistema educativo colonial. Su pedagogía enfatiza la creatividad el amor y la conexión con el cosmos.</v>
      </c>
      <c r="I614" t="str">
        <f>_xlfn.XLOOKUP(frasest[[#This Row],[autor_es]],autorest[autor_es],autorest[bio_la])</f>
        <v>Poeta philosophus musicus et paedagogus Indicus primus non Europaeus Praemium Nobel Litterarum anno 1913 recipere. Scholam Santiniketan fundavit in educatione integrali quae naturam artem spiritualitatem et libertatem coniungit fundatam. Educationem poeticam et humanisticam quae hominem cum natura et Deo harmonizat defendit systema educativum coloniale repudians. Paedagogia eius creativitatem amorem et conexionem cum cosmo emphasizat.</v>
      </c>
      <c r="J614" t="str">
        <f>_xlfn.XLOOKUP(frasest[[#This Row],[autor_es]],autorest[autor_es],autorest[codigo])</f>
        <v>bn</v>
      </c>
      <c r="K614" t="str">
        <f>_xlfn.XLOOKUP(frasest[[#This Row],[autor_es]],autorest[autor_es],autorest[idioma_es])</f>
        <v>Bengalí</v>
      </c>
      <c r="L614" t="str">
        <f>_xlfn.XLOOKUP(frasest[[#This Row],[autor_es]],autorest[autor_es],autorest[idioma_la])</f>
        <v>Lingua Bengalice</v>
      </c>
      <c r="M614" t="str">
        <f>_xlfn.XLOOKUP(frasest[[#This Row],[autor_es]],autorest[autor_es],autorest[nacion_es])</f>
        <v>India</v>
      </c>
      <c r="N614" t="str">
        <f>_xlfn.XLOOKUP(frasest[[#This Row],[autor_es]],autorest[autor_es],autorest[nacion_la])</f>
        <v>India</v>
      </c>
      <c r="O614" t="str">
        <f>_xlfn.XLOOKUP(frasest[[#This Row],[autor_es]],autorest[autor_es],autorest[epoca_es])</f>
        <v>Edad Contemporánea</v>
      </c>
      <c r="P614" t="str">
        <f>_xlfn.XLOOKUP(frasest[[#This Row],[autor_es]],autorest[autor_es],autorest[epoca_la])</f>
        <v>Aetas Contemporanea</v>
      </c>
      <c r="Q614" t="str">
        <f>_xlfn.XLOOKUP(frasest[[#This Row],[autor_es]],autorest[autor_es],autorest[imagen])</f>
        <v>https://i.ibb.co/kgbszCVd/tagore.png</v>
      </c>
      <c r="R614">
        <f>_xlfn.XLOOKUP(frasest[[#This Row],[autor_es]],autorest[autor_es],autorest[imagen_atr])</f>
        <v>0</v>
      </c>
    </row>
    <row r="615" spans="1:18">
      <c r="A615">
        <v>614</v>
      </c>
      <c r="B615" t="s">
        <v>2119</v>
      </c>
      <c r="C615" t="s">
        <v>2120</v>
      </c>
      <c r="D615" t="s">
        <v>2121</v>
      </c>
      <c r="E615" t="s">
        <v>2122</v>
      </c>
      <c r="F615" t="s">
        <v>2123</v>
      </c>
      <c r="G615" t="str">
        <f>_xlfn.XLOOKUP(frasest[[#This Row],[autor_es]],autorest[autor_es],autorest[autor_la])</f>
        <v>Iosephus D. Novak</v>
      </c>
      <c r="H615" t="str">
        <f>_xlfn.XLOOKUP(frasest[[#This Row],[autor_es]],autorest[autor_es],autorest[bio_es])</f>
        <v>Educador e investigador estadounidense creador de los Mapas Conceptuales en 1972. Trabajando sobre la teoría del aprendizaje significativo de David Ausubel desarrolló esta poderosa herramienta de representación gráfica del conocimiento. Profesor emérito de Cornell e investigador senior del IHMC revolucionó la forma de enseñar y evaluar demostrando que el aprendizaje significativo supera al memorístico. Su objetivo es liberar el potencial de aprendizaje desarrollando pensamiento creativo.</v>
      </c>
      <c r="I615" t="str">
        <f>_xlfn.XLOOKUP(frasest[[#This Row],[autor_es]],autorest[autor_es],autorest[bio_la])</f>
        <v>Educator et investigator Americanus creator Mapparum Conceptualium anno 1972. Super theoriam apprenhesionis significativae David Ausubel laborans hanc potentem instrumentum repraesentationis graphicae cognitionis elaboravit. Professor emeritus Cornell et investigator senior IHMC modum docendi et aestimandi revolutionavit demonstrans apprenhensionem significativam memoristicam superare. Scopus eius est potentiale apprenhesionis liberare cogitationem creativam evolventem.</v>
      </c>
      <c r="J615" t="str">
        <f>_xlfn.XLOOKUP(frasest[[#This Row],[autor_es]],autorest[autor_es],autorest[codigo])</f>
        <v>en</v>
      </c>
      <c r="K615" t="str">
        <f>_xlfn.XLOOKUP(frasest[[#This Row],[autor_es]],autorest[autor_es],autorest[idioma_es])</f>
        <v>Inglés</v>
      </c>
      <c r="L615" t="str">
        <f>_xlfn.XLOOKUP(frasest[[#This Row],[autor_es]],autorest[autor_es],autorest[idioma_la])</f>
        <v>Lingua Anglica</v>
      </c>
      <c r="M615" t="str">
        <f>_xlfn.XLOOKUP(frasest[[#This Row],[autor_es]],autorest[autor_es],autorest[nacion_es])</f>
        <v>Estados Unidos</v>
      </c>
      <c r="N615" t="str">
        <f>_xlfn.XLOOKUP(frasest[[#This Row],[autor_es]],autorest[autor_es],autorest[nacion_la])</f>
        <v>Civitates Foederatae Americae</v>
      </c>
      <c r="O615" t="str">
        <f>_xlfn.XLOOKUP(frasest[[#This Row],[autor_es]],autorest[autor_es],autorest[epoca_es])</f>
        <v>Edad Contemporánea</v>
      </c>
      <c r="P615" t="str">
        <f>_xlfn.XLOOKUP(frasest[[#This Row],[autor_es]],autorest[autor_es],autorest[epoca_la])</f>
        <v>Aetas Contemporanea</v>
      </c>
      <c r="Q615" t="str">
        <f>_xlfn.XLOOKUP(frasest[[#This Row],[autor_es]],autorest[autor_es],autorest[imagen])</f>
        <v>https://i.ibb.co/sdL6mZws/novak.png</v>
      </c>
      <c r="R615">
        <f>_xlfn.XLOOKUP(frasest[[#This Row],[autor_es]],autorest[autor_es],autorest[imagen_atr])</f>
        <v>0</v>
      </c>
    </row>
    <row r="616" spans="1:18">
      <c r="A616">
        <v>615</v>
      </c>
      <c r="B616" t="s">
        <v>2124</v>
      </c>
      <c r="C616" t="s">
        <v>2125</v>
      </c>
      <c r="D616" t="s">
        <v>2126</v>
      </c>
      <c r="E616" t="s">
        <v>2122</v>
      </c>
      <c r="F616" t="s">
        <v>2127</v>
      </c>
      <c r="G616" t="str">
        <f>_xlfn.XLOOKUP(frasest[[#This Row],[autor_es]],autorest[autor_es],autorest[autor_la])</f>
        <v>Iosephus D. Novak</v>
      </c>
      <c r="H616" t="str">
        <f>_xlfn.XLOOKUP(frasest[[#This Row],[autor_es]],autorest[autor_es],autorest[bio_es])</f>
        <v>Educador e investigador estadounidense creador de los Mapas Conceptuales en 1972. Trabajando sobre la teoría del aprendizaje significativo de David Ausubel desarrolló esta poderosa herramienta de representación gráfica del conocimiento. Profesor emérito de Cornell e investigador senior del IHMC revolucionó la forma de enseñar y evaluar demostrando que el aprendizaje significativo supera al memorístico. Su objetivo es liberar el potencial de aprendizaje desarrollando pensamiento creativo.</v>
      </c>
      <c r="I616" t="str">
        <f>_xlfn.XLOOKUP(frasest[[#This Row],[autor_es]],autorest[autor_es],autorest[bio_la])</f>
        <v>Educator et investigator Americanus creator Mapparum Conceptualium anno 1972. Super theoriam apprenhesionis significativae David Ausubel laborans hanc potentem instrumentum repraesentationis graphicae cognitionis elaboravit. Professor emeritus Cornell et investigator senior IHMC modum docendi et aestimandi revolutionavit demonstrans apprenhensionem significativam memoristicam superare. Scopus eius est potentiale apprenhesionis liberare cogitationem creativam evolventem.</v>
      </c>
      <c r="J616" t="str">
        <f>_xlfn.XLOOKUP(frasest[[#This Row],[autor_es]],autorest[autor_es],autorest[codigo])</f>
        <v>en</v>
      </c>
      <c r="K616" t="str">
        <f>_xlfn.XLOOKUP(frasest[[#This Row],[autor_es]],autorest[autor_es],autorest[idioma_es])</f>
        <v>Inglés</v>
      </c>
      <c r="L616" t="str">
        <f>_xlfn.XLOOKUP(frasest[[#This Row],[autor_es]],autorest[autor_es],autorest[idioma_la])</f>
        <v>Lingua Anglica</v>
      </c>
      <c r="M616" t="str">
        <f>_xlfn.XLOOKUP(frasest[[#This Row],[autor_es]],autorest[autor_es],autorest[nacion_es])</f>
        <v>Estados Unidos</v>
      </c>
      <c r="N616" t="str">
        <f>_xlfn.XLOOKUP(frasest[[#This Row],[autor_es]],autorest[autor_es],autorest[nacion_la])</f>
        <v>Civitates Foederatae Americae</v>
      </c>
      <c r="O616" t="str">
        <f>_xlfn.XLOOKUP(frasest[[#This Row],[autor_es]],autorest[autor_es],autorest[epoca_es])</f>
        <v>Edad Contemporánea</v>
      </c>
      <c r="P616" t="str">
        <f>_xlfn.XLOOKUP(frasest[[#This Row],[autor_es]],autorest[autor_es],autorest[epoca_la])</f>
        <v>Aetas Contemporanea</v>
      </c>
      <c r="Q616" t="str">
        <f>_xlfn.XLOOKUP(frasest[[#This Row],[autor_es]],autorest[autor_es],autorest[imagen])</f>
        <v>https://i.ibb.co/sdL6mZws/novak.png</v>
      </c>
      <c r="R616">
        <f>_xlfn.XLOOKUP(frasest[[#This Row],[autor_es]],autorest[autor_es],autorest[imagen_atr])</f>
        <v>0</v>
      </c>
    </row>
    <row r="617" spans="1:18">
      <c r="A617">
        <v>616</v>
      </c>
      <c r="B617" t="s">
        <v>2128</v>
      </c>
      <c r="C617" t="s">
        <v>2129</v>
      </c>
      <c r="D617" t="s">
        <v>2130</v>
      </c>
      <c r="E617" t="s">
        <v>2122</v>
      </c>
      <c r="F617" t="s">
        <v>2131</v>
      </c>
      <c r="G617" t="str">
        <f>_xlfn.XLOOKUP(frasest[[#This Row],[autor_es]],autorest[autor_es],autorest[autor_la])</f>
        <v>Iosephus D. Novak</v>
      </c>
      <c r="H617" t="str">
        <f>_xlfn.XLOOKUP(frasest[[#This Row],[autor_es]],autorest[autor_es],autorest[bio_es])</f>
        <v>Educador e investigador estadounidense creador de los Mapas Conceptuales en 1972. Trabajando sobre la teoría del aprendizaje significativo de David Ausubel desarrolló esta poderosa herramienta de representación gráfica del conocimiento. Profesor emérito de Cornell e investigador senior del IHMC revolucionó la forma de enseñar y evaluar demostrando que el aprendizaje significativo supera al memorístico. Su objetivo es liberar el potencial de aprendizaje desarrollando pensamiento creativo.</v>
      </c>
      <c r="I617" t="str">
        <f>_xlfn.XLOOKUP(frasest[[#This Row],[autor_es]],autorest[autor_es],autorest[bio_la])</f>
        <v>Educator et investigator Americanus creator Mapparum Conceptualium anno 1972. Super theoriam apprenhesionis significativae David Ausubel laborans hanc potentem instrumentum repraesentationis graphicae cognitionis elaboravit. Professor emeritus Cornell et investigator senior IHMC modum docendi et aestimandi revolutionavit demonstrans apprenhensionem significativam memoristicam superare. Scopus eius est potentiale apprenhesionis liberare cogitationem creativam evolventem.</v>
      </c>
      <c r="J617" t="str">
        <f>_xlfn.XLOOKUP(frasest[[#This Row],[autor_es]],autorest[autor_es],autorest[codigo])</f>
        <v>en</v>
      </c>
      <c r="K617" t="str">
        <f>_xlfn.XLOOKUP(frasest[[#This Row],[autor_es]],autorest[autor_es],autorest[idioma_es])</f>
        <v>Inglés</v>
      </c>
      <c r="L617" t="str">
        <f>_xlfn.XLOOKUP(frasest[[#This Row],[autor_es]],autorest[autor_es],autorest[idioma_la])</f>
        <v>Lingua Anglica</v>
      </c>
      <c r="M617" t="str">
        <f>_xlfn.XLOOKUP(frasest[[#This Row],[autor_es]],autorest[autor_es],autorest[nacion_es])</f>
        <v>Estados Unidos</v>
      </c>
      <c r="N617" t="str">
        <f>_xlfn.XLOOKUP(frasest[[#This Row],[autor_es]],autorest[autor_es],autorest[nacion_la])</f>
        <v>Civitates Foederatae Americae</v>
      </c>
      <c r="O617" t="str">
        <f>_xlfn.XLOOKUP(frasest[[#This Row],[autor_es]],autorest[autor_es],autorest[epoca_es])</f>
        <v>Edad Contemporánea</v>
      </c>
      <c r="P617" t="str">
        <f>_xlfn.XLOOKUP(frasest[[#This Row],[autor_es]],autorest[autor_es],autorest[epoca_la])</f>
        <v>Aetas Contemporanea</v>
      </c>
      <c r="Q617" t="str">
        <f>_xlfn.XLOOKUP(frasest[[#This Row],[autor_es]],autorest[autor_es],autorest[imagen])</f>
        <v>https://i.ibb.co/sdL6mZws/novak.png</v>
      </c>
      <c r="R617">
        <f>_xlfn.XLOOKUP(frasest[[#This Row],[autor_es]],autorest[autor_es],autorest[imagen_atr])</f>
        <v>0</v>
      </c>
    </row>
    <row r="618" spans="1:18">
      <c r="A618">
        <v>617</v>
      </c>
      <c r="B618" t="s">
        <v>2132</v>
      </c>
      <c r="C618" t="s">
        <v>2133</v>
      </c>
      <c r="D618" t="s">
        <v>2134</v>
      </c>
      <c r="E618" t="s">
        <v>2122</v>
      </c>
      <c r="F618" t="s">
        <v>2123</v>
      </c>
      <c r="G618" t="str">
        <f>_xlfn.XLOOKUP(frasest[[#This Row],[autor_es]],autorest[autor_es],autorest[autor_la])</f>
        <v>Iosephus D. Novak</v>
      </c>
      <c r="H618" t="str">
        <f>_xlfn.XLOOKUP(frasest[[#This Row],[autor_es]],autorest[autor_es],autorest[bio_es])</f>
        <v>Educador e investigador estadounidense creador de los Mapas Conceptuales en 1972. Trabajando sobre la teoría del aprendizaje significativo de David Ausubel desarrolló esta poderosa herramienta de representación gráfica del conocimiento. Profesor emérito de Cornell e investigador senior del IHMC revolucionó la forma de enseñar y evaluar demostrando que el aprendizaje significativo supera al memorístico. Su objetivo es liberar el potencial de aprendizaje desarrollando pensamiento creativo.</v>
      </c>
      <c r="I618" t="str">
        <f>_xlfn.XLOOKUP(frasest[[#This Row],[autor_es]],autorest[autor_es],autorest[bio_la])</f>
        <v>Educator et investigator Americanus creator Mapparum Conceptualium anno 1972. Super theoriam apprenhesionis significativae David Ausubel laborans hanc potentem instrumentum repraesentationis graphicae cognitionis elaboravit. Professor emeritus Cornell et investigator senior IHMC modum docendi et aestimandi revolutionavit demonstrans apprenhensionem significativam memoristicam superare. Scopus eius est potentiale apprenhesionis liberare cogitationem creativam evolventem.</v>
      </c>
      <c r="J618" t="str">
        <f>_xlfn.XLOOKUP(frasest[[#This Row],[autor_es]],autorest[autor_es],autorest[codigo])</f>
        <v>en</v>
      </c>
      <c r="K618" t="str">
        <f>_xlfn.XLOOKUP(frasest[[#This Row],[autor_es]],autorest[autor_es],autorest[idioma_es])</f>
        <v>Inglés</v>
      </c>
      <c r="L618" t="str">
        <f>_xlfn.XLOOKUP(frasest[[#This Row],[autor_es]],autorest[autor_es],autorest[idioma_la])</f>
        <v>Lingua Anglica</v>
      </c>
      <c r="M618" t="str">
        <f>_xlfn.XLOOKUP(frasest[[#This Row],[autor_es]],autorest[autor_es],autorest[nacion_es])</f>
        <v>Estados Unidos</v>
      </c>
      <c r="N618" t="str">
        <f>_xlfn.XLOOKUP(frasest[[#This Row],[autor_es]],autorest[autor_es],autorest[nacion_la])</f>
        <v>Civitates Foederatae Americae</v>
      </c>
      <c r="O618" t="str">
        <f>_xlfn.XLOOKUP(frasest[[#This Row],[autor_es]],autorest[autor_es],autorest[epoca_es])</f>
        <v>Edad Contemporánea</v>
      </c>
      <c r="P618" t="str">
        <f>_xlfn.XLOOKUP(frasest[[#This Row],[autor_es]],autorest[autor_es],autorest[epoca_la])</f>
        <v>Aetas Contemporanea</v>
      </c>
      <c r="Q618" t="str">
        <f>_xlfn.XLOOKUP(frasest[[#This Row],[autor_es]],autorest[autor_es],autorest[imagen])</f>
        <v>https://i.ibb.co/sdL6mZws/novak.png</v>
      </c>
      <c r="R618">
        <f>_xlfn.XLOOKUP(frasest[[#This Row],[autor_es]],autorest[autor_es],autorest[imagen_atr])</f>
        <v>0</v>
      </c>
    </row>
    <row r="619" spans="1:18">
      <c r="A619">
        <v>618</v>
      </c>
      <c r="B619" t="s">
        <v>2135</v>
      </c>
      <c r="C619" t="s">
        <v>2136</v>
      </c>
      <c r="D619" t="s">
        <v>2137</v>
      </c>
      <c r="E619" t="s">
        <v>2122</v>
      </c>
      <c r="F619" t="s">
        <v>2127</v>
      </c>
      <c r="G619" t="str">
        <f>_xlfn.XLOOKUP(frasest[[#This Row],[autor_es]],autorest[autor_es],autorest[autor_la])</f>
        <v>Iosephus D. Novak</v>
      </c>
      <c r="H619" t="str">
        <f>_xlfn.XLOOKUP(frasest[[#This Row],[autor_es]],autorest[autor_es],autorest[bio_es])</f>
        <v>Educador e investigador estadounidense creador de los Mapas Conceptuales en 1972. Trabajando sobre la teoría del aprendizaje significativo de David Ausubel desarrolló esta poderosa herramienta de representación gráfica del conocimiento. Profesor emérito de Cornell e investigador senior del IHMC revolucionó la forma de enseñar y evaluar demostrando que el aprendizaje significativo supera al memorístico. Su objetivo es liberar el potencial de aprendizaje desarrollando pensamiento creativo.</v>
      </c>
      <c r="I619" t="str">
        <f>_xlfn.XLOOKUP(frasest[[#This Row],[autor_es]],autorest[autor_es],autorest[bio_la])</f>
        <v>Educator et investigator Americanus creator Mapparum Conceptualium anno 1972. Super theoriam apprenhesionis significativae David Ausubel laborans hanc potentem instrumentum repraesentationis graphicae cognitionis elaboravit. Professor emeritus Cornell et investigator senior IHMC modum docendi et aestimandi revolutionavit demonstrans apprenhensionem significativam memoristicam superare. Scopus eius est potentiale apprenhesionis liberare cogitationem creativam evolventem.</v>
      </c>
      <c r="J619" t="str">
        <f>_xlfn.XLOOKUP(frasest[[#This Row],[autor_es]],autorest[autor_es],autorest[codigo])</f>
        <v>en</v>
      </c>
      <c r="K619" t="str">
        <f>_xlfn.XLOOKUP(frasest[[#This Row],[autor_es]],autorest[autor_es],autorest[idioma_es])</f>
        <v>Inglés</v>
      </c>
      <c r="L619" t="str">
        <f>_xlfn.XLOOKUP(frasest[[#This Row],[autor_es]],autorest[autor_es],autorest[idioma_la])</f>
        <v>Lingua Anglica</v>
      </c>
      <c r="M619" t="str">
        <f>_xlfn.XLOOKUP(frasest[[#This Row],[autor_es]],autorest[autor_es],autorest[nacion_es])</f>
        <v>Estados Unidos</v>
      </c>
      <c r="N619" t="str">
        <f>_xlfn.XLOOKUP(frasest[[#This Row],[autor_es]],autorest[autor_es],autorest[nacion_la])</f>
        <v>Civitates Foederatae Americae</v>
      </c>
      <c r="O619" t="str">
        <f>_xlfn.XLOOKUP(frasest[[#This Row],[autor_es]],autorest[autor_es],autorest[epoca_es])</f>
        <v>Edad Contemporánea</v>
      </c>
      <c r="P619" t="str">
        <f>_xlfn.XLOOKUP(frasest[[#This Row],[autor_es]],autorest[autor_es],autorest[epoca_la])</f>
        <v>Aetas Contemporanea</v>
      </c>
      <c r="Q619" t="str">
        <f>_xlfn.XLOOKUP(frasest[[#This Row],[autor_es]],autorest[autor_es],autorest[imagen])</f>
        <v>https://i.ibb.co/sdL6mZws/novak.png</v>
      </c>
      <c r="R619">
        <f>_xlfn.XLOOKUP(frasest[[#This Row],[autor_es]],autorest[autor_es],autorest[imagen_atr])</f>
        <v>0</v>
      </c>
    </row>
    <row r="620" spans="1:18">
      <c r="A620">
        <v>619</v>
      </c>
      <c r="B620" t="s">
        <v>2138</v>
      </c>
      <c r="C620" t="s">
        <v>2139</v>
      </c>
      <c r="D620" t="s">
        <v>2140</v>
      </c>
      <c r="E620" t="s">
        <v>2141</v>
      </c>
      <c r="F620" t="s">
        <v>2142</v>
      </c>
      <c r="G620" t="str">
        <f>_xlfn.XLOOKUP(frasest[[#This Row],[autor_es]],autorest[autor_es],autorest[autor_la])</f>
        <v>David Paulus Ausubel</v>
      </c>
      <c r="H620" t="str">
        <f>_xlfn.XLOOKUP(frasest[[#This Row],[autor_es]],autorest[autor_es],autorest[bio_es])</f>
        <v>Psicólogo y pedagogo estadounidense creador de la Teoría del Aprendizaje Significativo. Revolucionó la comprensión del proceso de aprendizaje al demostrar que el conocimiento verdadero solo nace cuando los nuevos contenidos tienen significado a la luz de los conocimientos previos. Desarrolló el concepto de organizadores previos herramientas que ayudan a conectar el nuevo material con la estructura cognitiva existente. Su frase más célebre es Si tuviese que reducir toda la psicología educativa a un solo principio enunciaría este El factor más importante que influye en el aprendizaje es lo que el alumno ya sabe Averígüese esto y enséñese consecuentemente.</v>
      </c>
      <c r="I620" t="str">
        <f>_xlfn.XLOOKUP(frasest[[#This Row],[autor_es]],autorest[autor_es],autorest[bio_la])</f>
        <v>Psychologus et paedagogus Americanus creator Theoriae Apprenhesionis Significativae. Intellectionem processus apprenhesionis revolutionavit demonstrans cognitionem veram solum nasci cum nova contenta significationem habeant ad lucem cognitionum praeviarum. Conceptum organizatorum praeviarum instrumenta quae adiuvant novum material cum structura cognitiva existente conectere elaboravit. Sententia eius celeberrima est Si totam psychologiam educativam ad unum principium reducere deberem hoc enuntiarem Factor gravissimus qui in apprenhensionem influit est quod discipulus iam scit Hoc investigetur et consequenter doceatur.</v>
      </c>
      <c r="J620" t="str">
        <f>_xlfn.XLOOKUP(frasest[[#This Row],[autor_es]],autorest[autor_es],autorest[codigo])</f>
        <v>en</v>
      </c>
      <c r="K620" t="str">
        <f>_xlfn.XLOOKUP(frasest[[#This Row],[autor_es]],autorest[autor_es],autorest[idioma_es])</f>
        <v>Inglés</v>
      </c>
      <c r="L620" t="str">
        <f>_xlfn.XLOOKUP(frasest[[#This Row],[autor_es]],autorest[autor_es],autorest[idioma_la])</f>
        <v>Lingua Anglica</v>
      </c>
      <c r="M620" t="str">
        <f>_xlfn.XLOOKUP(frasest[[#This Row],[autor_es]],autorest[autor_es],autorest[nacion_es])</f>
        <v>Estados Unidos</v>
      </c>
      <c r="N620" t="str">
        <f>_xlfn.XLOOKUP(frasest[[#This Row],[autor_es]],autorest[autor_es],autorest[nacion_la])</f>
        <v>Civitates Foederatae Americae</v>
      </c>
      <c r="O620" t="str">
        <f>_xlfn.XLOOKUP(frasest[[#This Row],[autor_es]],autorest[autor_es],autorest[epoca_es])</f>
        <v>Edad Contemporánea</v>
      </c>
      <c r="P620" t="str">
        <f>_xlfn.XLOOKUP(frasest[[#This Row],[autor_es]],autorest[autor_es],autorest[epoca_la])</f>
        <v>Aetas Contemporanea</v>
      </c>
      <c r="Q620" t="str">
        <f>_xlfn.XLOOKUP(frasest[[#This Row],[autor_es]],autorest[autor_es],autorest[imagen])</f>
        <v>https://i.ibb.co/s9xMVWJK/ausubel.png</v>
      </c>
      <c r="R620">
        <f>_xlfn.XLOOKUP(frasest[[#This Row],[autor_es]],autorest[autor_es],autorest[imagen_atr])</f>
        <v>0</v>
      </c>
    </row>
    <row r="621" spans="1:18">
      <c r="A621">
        <v>620</v>
      </c>
      <c r="B621" t="s">
        <v>2143</v>
      </c>
      <c r="C621" t="s">
        <v>2144</v>
      </c>
      <c r="D621" t="s">
        <v>2145</v>
      </c>
      <c r="E621" t="s">
        <v>2141</v>
      </c>
      <c r="F621" t="s">
        <v>2146</v>
      </c>
      <c r="G621" t="str">
        <f>_xlfn.XLOOKUP(frasest[[#This Row],[autor_es]],autorest[autor_es],autorest[autor_la])</f>
        <v>David Paulus Ausubel</v>
      </c>
      <c r="H621" t="str">
        <f>_xlfn.XLOOKUP(frasest[[#This Row],[autor_es]],autorest[autor_es],autorest[bio_es])</f>
        <v>Psicólogo y pedagogo estadounidense creador de la Teoría del Aprendizaje Significativo. Revolucionó la comprensión del proceso de aprendizaje al demostrar que el conocimiento verdadero solo nace cuando los nuevos contenidos tienen significado a la luz de los conocimientos previos. Desarrolló el concepto de organizadores previos herramientas que ayudan a conectar el nuevo material con la estructura cognitiva existente. Su frase más célebre es Si tuviese que reducir toda la psicología educativa a un solo principio enunciaría este El factor más importante que influye en el aprendizaje es lo que el alumno ya sabe Averígüese esto y enséñese consecuentemente.</v>
      </c>
      <c r="I621" t="str">
        <f>_xlfn.XLOOKUP(frasest[[#This Row],[autor_es]],autorest[autor_es],autorest[bio_la])</f>
        <v>Psychologus et paedagogus Americanus creator Theoriae Apprenhesionis Significativae. Intellectionem processus apprenhesionis revolutionavit demonstrans cognitionem veram solum nasci cum nova contenta significationem habeant ad lucem cognitionum praeviarum. Conceptum organizatorum praeviarum instrumenta quae adiuvant novum material cum structura cognitiva existente conectere elaboravit. Sententia eius celeberrima est Si totam psychologiam educativam ad unum principium reducere deberem hoc enuntiarem Factor gravissimus qui in apprenhensionem influit est quod discipulus iam scit Hoc investigetur et consequenter doceatur.</v>
      </c>
      <c r="J621" t="str">
        <f>_xlfn.XLOOKUP(frasest[[#This Row],[autor_es]],autorest[autor_es],autorest[codigo])</f>
        <v>en</v>
      </c>
      <c r="K621" t="str">
        <f>_xlfn.XLOOKUP(frasest[[#This Row],[autor_es]],autorest[autor_es],autorest[idioma_es])</f>
        <v>Inglés</v>
      </c>
      <c r="L621" t="str">
        <f>_xlfn.XLOOKUP(frasest[[#This Row],[autor_es]],autorest[autor_es],autorest[idioma_la])</f>
        <v>Lingua Anglica</v>
      </c>
      <c r="M621" t="str">
        <f>_xlfn.XLOOKUP(frasest[[#This Row],[autor_es]],autorest[autor_es],autorest[nacion_es])</f>
        <v>Estados Unidos</v>
      </c>
      <c r="N621" t="str">
        <f>_xlfn.XLOOKUP(frasest[[#This Row],[autor_es]],autorest[autor_es],autorest[nacion_la])</f>
        <v>Civitates Foederatae Americae</v>
      </c>
      <c r="O621" t="str">
        <f>_xlfn.XLOOKUP(frasest[[#This Row],[autor_es]],autorest[autor_es],autorest[epoca_es])</f>
        <v>Edad Contemporánea</v>
      </c>
      <c r="P621" t="str">
        <f>_xlfn.XLOOKUP(frasest[[#This Row],[autor_es]],autorest[autor_es],autorest[epoca_la])</f>
        <v>Aetas Contemporanea</v>
      </c>
      <c r="Q621" t="str">
        <f>_xlfn.XLOOKUP(frasest[[#This Row],[autor_es]],autorest[autor_es],autorest[imagen])</f>
        <v>https://i.ibb.co/s9xMVWJK/ausubel.png</v>
      </c>
      <c r="R621">
        <f>_xlfn.XLOOKUP(frasest[[#This Row],[autor_es]],autorest[autor_es],autorest[imagen_atr])</f>
        <v>0</v>
      </c>
    </row>
    <row r="622" spans="1:18">
      <c r="A622">
        <v>621</v>
      </c>
      <c r="B622" t="s">
        <v>2147</v>
      </c>
      <c r="C622" t="s">
        <v>2148</v>
      </c>
      <c r="D622" t="s">
        <v>2149</v>
      </c>
      <c r="E622" t="s">
        <v>2141</v>
      </c>
      <c r="F622" t="s">
        <v>2150</v>
      </c>
      <c r="G622" t="str">
        <f>_xlfn.XLOOKUP(frasest[[#This Row],[autor_es]],autorest[autor_es],autorest[autor_la])</f>
        <v>David Paulus Ausubel</v>
      </c>
      <c r="H622" t="str">
        <f>_xlfn.XLOOKUP(frasest[[#This Row],[autor_es]],autorest[autor_es],autorest[bio_es])</f>
        <v>Psicólogo y pedagogo estadounidense creador de la Teoría del Aprendizaje Significativo. Revolucionó la comprensión del proceso de aprendizaje al demostrar que el conocimiento verdadero solo nace cuando los nuevos contenidos tienen significado a la luz de los conocimientos previos. Desarrolló el concepto de organizadores previos herramientas que ayudan a conectar el nuevo material con la estructura cognitiva existente. Su frase más célebre es Si tuviese que reducir toda la psicología educativa a un solo principio enunciaría este El factor más importante que influye en el aprendizaje es lo que el alumno ya sabe Averígüese esto y enséñese consecuentemente.</v>
      </c>
      <c r="I622" t="str">
        <f>_xlfn.XLOOKUP(frasest[[#This Row],[autor_es]],autorest[autor_es],autorest[bio_la])</f>
        <v>Psychologus et paedagogus Americanus creator Theoriae Apprenhesionis Significativae. Intellectionem processus apprenhesionis revolutionavit demonstrans cognitionem veram solum nasci cum nova contenta significationem habeant ad lucem cognitionum praeviarum. Conceptum organizatorum praeviarum instrumenta quae adiuvant novum material cum structura cognitiva existente conectere elaboravit. Sententia eius celeberrima est Si totam psychologiam educativam ad unum principium reducere deberem hoc enuntiarem Factor gravissimus qui in apprenhensionem influit est quod discipulus iam scit Hoc investigetur et consequenter doceatur.</v>
      </c>
      <c r="J622" t="str">
        <f>_xlfn.XLOOKUP(frasest[[#This Row],[autor_es]],autorest[autor_es],autorest[codigo])</f>
        <v>en</v>
      </c>
      <c r="K622" t="str">
        <f>_xlfn.XLOOKUP(frasest[[#This Row],[autor_es]],autorest[autor_es],autorest[idioma_es])</f>
        <v>Inglés</v>
      </c>
      <c r="L622" t="str">
        <f>_xlfn.XLOOKUP(frasest[[#This Row],[autor_es]],autorest[autor_es],autorest[idioma_la])</f>
        <v>Lingua Anglica</v>
      </c>
      <c r="M622" t="str">
        <f>_xlfn.XLOOKUP(frasest[[#This Row],[autor_es]],autorest[autor_es],autorest[nacion_es])</f>
        <v>Estados Unidos</v>
      </c>
      <c r="N622" t="str">
        <f>_xlfn.XLOOKUP(frasest[[#This Row],[autor_es]],autorest[autor_es],autorest[nacion_la])</f>
        <v>Civitates Foederatae Americae</v>
      </c>
      <c r="O622" t="str">
        <f>_xlfn.XLOOKUP(frasest[[#This Row],[autor_es]],autorest[autor_es],autorest[epoca_es])</f>
        <v>Edad Contemporánea</v>
      </c>
      <c r="P622" t="str">
        <f>_xlfn.XLOOKUP(frasest[[#This Row],[autor_es]],autorest[autor_es],autorest[epoca_la])</f>
        <v>Aetas Contemporanea</v>
      </c>
      <c r="Q622" t="str">
        <f>_xlfn.XLOOKUP(frasest[[#This Row],[autor_es]],autorest[autor_es],autorest[imagen])</f>
        <v>https://i.ibb.co/s9xMVWJK/ausubel.png</v>
      </c>
      <c r="R622">
        <f>_xlfn.XLOOKUP(frasest[[#This Row],[autor_es]],autorest[autor_es],autorest[imagen_atr])</f>
        <v>0</v>
      </c>
    </row>
    <row r="623" spans="1:18">
      <c r="A623">
        <v>622</v>
      </c>
      <c r="B623" t="s">
        <v>2151</v>
      </c>
      <c r="C623" t="s">
        <v>2152</v>
      </c>
      <c r="D623" t="s">
        <v>2153</v>
      </c>
      <c r="E623" t="s">
        <v>2141</v>
      </c>
      <c r="F623" t="s">
        <v>2154</v>
      </c>
      <c r="G623" t="str">
        <f>_xlfn.XLOOKUP(frasest[[#This Row],[autor_es]],autorest[autor_es],autorest[autor_la])</f>
        <v>David Paulus Ausubel</v>
      </c>
      <c r="H623" t="str">
        <f>_xlfn.XLOOKUP(frasest[[#This Row],[autor_es]],autorest[autor_es],autorest[bio_es])</f>
        <v>Psicólogo y pedagogo estadounidense creador de la Teoría del Aprendizaje Significativo. Revolucionó la comprensión del proceso de aprendizaje al demostrar que el conocimiento verdadero solo nace cuando los nuevos contenidos tienen significado a la luz de los conocimientos previos. Desarrolló el concepto de organizadores previos herramientas que ayudan a conectar el nuevo material con la estructura cognitiva existente. Su frase más célebre es Si tuviese que reducir toda la psicología educativa a un solo principio enunciaría este El factor más importante que influye en el aprendizaje es lo que el alumno ya sabe Averígüese esto y enséñese consecuentemente.</v>
      </c>
      <c r="I623" t="str">
        <f>_xlfn.XLOOKUP(frasest[[#This Row],[autor_es]],autorest[autor_es],autorest[bio_la])</f>
        <v>Psychologus et paedagogus Americanus creator Theoriae Apprenhesionis Significativae. Intellectionem processus apprenhesionis revolutionavit demonstrans cognitionem veram solum nasci cum nova contenta significationem habeant ad lucem cognitionum praeviarum. Conceptum organizatorum praeviarum instrumenta quae adiuvant novum material cum structura cognitiva existente conectere elaboravit. Sententia eius celeberrima est Si totam psychologiam educativam ad unum principium reducere deberem hoc enuntiarem Factor gravissimus qui in apprenhensionem influit est quod discipulus iam scit Hoc investigetur et consequenter doceatur.</v>
      </c>
      <c r="J623" t="str">
        <f>_xlfn.XLOOKUP(frasest[[#This Row],[autor_es]],autorest[autor_es],autorest[codigo])</f>
        <v>en</v>
      </c>
      <c r="K623" t="str">
        <f>_xlfn.XLOOKUP(frasest[[#This Row],[autor_es]],autorest[autor_es],autorest[idioma_es])</f>
        <v>Inglés</v>
      </c>
      <c r="L623" t="str">
        <f>_xlfn.XLOOKUP(frasest[[#This Row],[autor_es]],autorest[autor_es],autorest[idioma_la])</f>
        <v>Lingua Anglica</v>
      </c>
      <c r="M623" t="str">
        <f>_xlfn.XLOOKUP(frasest[[#This Row],[autor_es]],autorest[autor_es],autorest[nacion_es])</f>
        <v>Estados Unidos</v>
      </c>
      <c r="N623" t="str">
        <f>_xlfn.XLOOKUP(frasest[[#This Row],[autor_es]],autorest[autor_es],autorest[nacion_la])</f>
        <v>Civitates Foederatae Americae</v>
      </c>
      <c r="O623" t="str">
        <f>_xlfn.XLOOKUP(frasest[[#This Row],[autor_es]],autorest[autor_es],autorest[epoca_es])</f>
        <v>Edad Contemporánea</v>
      </c>
      <c r="P623" t="str">
        <f>_xlfn.XLOOKUP(frasest[[#This Row],[autor_es]],autorest[autor_es],autorest[epoca_la])</f>
        <v>Aetas Contemporanea</v>
      </c>
      <c r="Q623" t="str">
        <f>_xlfn.XLOOKUP(frasest[[#This Row],[autor_es]],autorest[autor_es],autorest[imagen])</f>
        <v>https://i.ibb.co/s9xMVWJK/ausubel.png</v>
      </c>
      <c r="R623">
        <f>_xlfn.XLOOKUP(frasest[[#This Row],[autor_es]],autorest[autor_es],autorest[imagen_atr])</f>
        <v>0</v>
      </c>
    </row>
    <row r="624" spans="1:18">
      <c r="A624">
        <v>623</v>
      </c>
      <c r="B624" t="s">
        <v>2155</v>
      </c>
      <c r="C624" t="s">
        <v>2156</v>
      </c>
      <c r="D624" t="s">
        <v>2157</v>
      </c>
      <c r="E624" t="s">
        <v>2141</v>
      </c>
      <c r="F624" t="s">
        <v>2158</v>
      </c>
      <c r="G624" t="str">
        <f>_xlfn.XLOOKUP(frasest[[#This Row],[autor_es]],autorest[autor_es],autorest[autor_la])</f>
        <v>David Paulus Ausubel</v>
      </c>
      <c r="H624" t="str">
        <f>_xlfn.XLOOKUP(frasest[[#This Row],[autor_es]],autorest[autor_es],autorest[bio_es])</f>
        <v>Psicólogo y pedagogo estadounidense creador de la Teoría del Aprendizaje Significativo. Revolucionó la comprensión del proceso de aprendizaje al demostrar que el conocimiento verdadero solo nace cuando los nuevos contenidos tienen significado a la luz de los conocimientos previos. Desarrolló el concepto de organizadores previos herramientas que ayudan a conectar el nuevo material con la estructura cognitiva existente. Su frase más célebre es Si tuviese que reducir toda la psicología educativa a un solo principio enunciaría este El factor más importante que influye en el aprendizaje es lo que el alumno ya sabe Averígüese esto y enséñese consecuentemente.</v>
      </c>
      <c r="I624" t="str">
        <f>_xlfn.XLOOKUP(frasest[[#This Row],[autor_es]],autorest[autor_es],autorest[bio_la])</f>
        <v>Psychologus et paedagogus Americanus creator Theoriae Apprenhesionis Significativae. Intellectionem processus apprenhesionis revolutionavit demonstrans cognitionem veram solum nasci cum nova contenta significationem habeant ad lucem cognitionum praeviarum. Conceptum organizatorum praeviarum instrumenta quae adiuvant novum material cum structura cognitiva existente conectere elaboravit. Sententia eius celeberrima est Si totam psychologiam educativam ad unum principium reducere deberem hoc enuntiarem Factor gravissimus qui in apprenhensionem influit est quod discipulus iam scit Hoc investigetur et consequenter doceatur.</v>
      </c>
      <c r="J624" t="str">
        <f>_xlfn.XLOOKUP(frasest[[#This Row],[autor_es]],autorest[autor_es],autorest[codigo])</f>
        <v>en</v>
      </c>
      <c r="K624" t="str">
        <f>_xlfn.XLOOKUP(frasest[[#This Row],[autor_es]],autorest[autor_es],autorest[idioma_es])</f>
        <v>Inglés</v>
      </c>
      <c r="L624" t="str">
        <f>_xlfn.XLOOKUP(frasest[[#This Row],[autor_es]],autorest[autor_es],autorest[idioma_la])</f>
        <v>Lingua Anglica</v>
      </c>
      <c r="M624" t="str">
        <f>_xlfn.XLOOKUP(frasest[[#This Row],[autor_es]],autorest[autor_es],autorest[nacion_es])</f>
        <v>Estados Unidos</v>
      </c>
      <c r="N624" t="str">
        <f>_xlfn.XLOOKUP(frasest[[#This Row],[autor_es]],autorest[autor_es],autorest[nacion_la])</f>
        <v>Civitates Foederatae Americae</v>
      </c>
      <c r="O624" t="str">
        <f>_xlfn.XLOOKUP(frasest[[#This Row],[autor_es]],autorest[autor_es],autorest[epoca_es])</f>
        <v>Edad Contemporánea</v>
      </c>
      <c r="P624" t="str">
        <f>_xlfn.XLOOKUP(frasest[[#This Row],[autor_es]],autorest[autor_es],autorest[epoca_la])</f>
        <v>Aetas Contemporanea</v>
      </c>
      <c r="Q624" t="str">
        <f>_xlfn.XLOOKUP(frasest[[#This Row],[autor_es]],autorest[autor_es],autorest[imagen])</f>
        <v>https://i.ibb.co/s9xMVWJK/ausubel.png</v>
      </c>
      <c r="R624">
        <f>_xlfn.XLOOKUP(frasest[[#This Row],[autor_es]],autorest[autor_es],autorest[imagen_atr])</f>
        <v>0</v>
      </c>
    </row>
    <row r="625" spans="1:18">
      <c r="A625">
        <v>624</v>
      </c>
      <c r="B625" t="s">
        <v>2159</v>
      </c>
      <c r="C625" t="s">
        <v>2160</v>
      </c>
      <c r="D625" t="s">
        <v>2161</v>
      </c>
      <c r="E625" t="s">
        <v>2141</v>
      </c>
      <c r="F625" t="s">
        <v>2162</v>
      </c>
      <c r="G625" t="str">
        <f>_xlfn.XLOOKUP(frasest[[#This Row],[autor_es]],autorest[autor_es],autorest[autor_la])</f>
        <v>David Paulus Ausubel</v>
      </c>
      <c r="H625" t="str">
        <f>_xlfn.XLOOKUP(frasest[[#This Row],[autor_es]],autorest[autor_es],autorest[bio_es])</f>
        <v>Psicólogo y pedagogo estadounidense creador de la Teoría del Aprendizaje Significativo. Revolucionó la comprensión del proceso de aprendizaje al demostrar que el conocimiento verdadero solo nace cuando los nuevos contenidos tienen significado a la luz de los conocimientos previos. Desarrolló el concepto de organizadores previos herramientas que ayudan a conectar el nuevo material con la estructura cognitiva existente. Su frase más célebre es Si tuviese que reducir toda la psicología educativa a un solo principio enunciaría este El factor más importante que influye en el aprendizaje es lo que el alumno ya sabe Averígüese esto y enséñese consecuentemente.</v>
      </c>
      <c r="I625" t="str">
        <f>_xlfn.XLOOKUP(frasest[[#This Row],[autor_es]],autorest[autor_es],autorest[bio_la])</f>
        <v>Psychologus et paedagogus Americanus creator Theoriae Apprenhesionis Significativae. Intellectionem processus apprenhesionis revolutionavit demonstrans cognitionem veram solum nasci cum nova contenta significationem habeant ad lucem cognitionum praeviarum. Conceptum organizatorum praeviarum instrumenta quae adiuvant novum material cum structura cognitiva existente conectere elaboravit. Sententia eius celeberrima est Si totam psychologiam educativam ad unum principium reducere deberem hoc enuntiarem Factor gravissimus qui in apprenhensionem influit est quod discipulus iam scit Hoc investigetur et consequenter doceatur.</v>
      </c>
      <c r="J625" t="str">
        <f>_xlfn.XLOOKUP(frasest[[#This Row],[autor_es]],autorest[autor_es],autorest[codigo])</f>
        <v>en</v>
      </c>
      <c r="K625" t="str">
        <f>_xlfn.XLOOKUP(frasest[[#This Row],[autor_es]],autorest[autor_es],autorest[idioma_es])</f>
        <v>Inglés</v>
      </c>
      <c r="L625" t="str">
        <f>_xlfn.XLOOKUP(frasest[[#This Row],[autor_es]],autorest[autor_es],autorest[idioma_la])</f>
        <v>Lingua Anglica</v>
      </c>
      <c r="M625" t="str">
        <f>_xlfn.XLOOKUP(frasest[[#This Row],[autor_es]],autorest[autor_es],autorest[nacion_es])</f>
        <v>Estados Unidos</v>
      </c>
      <c r="N625" t="str">
        <f>_xlfn.XLOOKUP(frasest[[#This Row],[autor_es]],autorest[autor_es],autorest[nacion_la])</f>
        <v>Civitates Foederatae Americae</v>
      </c>
      <c r="O625" t="str">
        <f>_xlfn.XLOOKUP(frasest[[#This Row],[autor_es]],autorest[autor_es],autorest[epoca_es])</f>
        <v>Edad Contemporánea</v>
      </c>
      <c r="P625" t="str">
        <f>_xlfn.XLOOKUP(frasest[[#This Row],[autor_es]],autorest[autor_es],autorest[epoca_la])</f>
        <v>Aetas Contemporanea</v>
      </c>
      <c r="Q625" t="str">
        <f>_xlfn.XLOOKUP(frasest[[#This Row],[autor_es]],autorest[autor_es],autorest[imagen])</f>
        <v>https://i.ibb.co/s9xMVWJK/ausubel.png</v>
      </c>
      <c r="R625">
        <f>_xlfn.XLOOKUP(frasest[[#This Row],[autor_es]],autorest[autor_es],autorest[imagen_atr])</f>
        <v>0</v>
      </c>
    </row>
    <row r="626" spans="1:18">
      <c r="A626">
        <v>625</v>
      </c>
      <c r="B626" t="s">
        <v>2163</v>
      </c>
      <c r="C626" t="s">
        <v>2164</v>
      </c>
      <c r="D626" t="s">
        <v>2165</v>
      </c>
      <c r="E626" t="s">
        <v>2141</v>
      </c>
      <c r="F626" t="s">
        <v>2142</v>
      </c>
      <c r="G626" t="str">
        <f>_xlfn.XLOOKUP(frasest[[#This Row],[autor_es]],autorest[autor_es],autorest[autor_la])</f>
        <v>David Paulus Ausubel</v>
      </c>
      <c r="H626" t="str">
        <f>_xlfn.XLOOKUP(frasest[[#This Row],[autor_es]],autorest[autor_es],autorest[bio_es])</f>
        <v>Psicólogo y pedagogo estadounidense creador de la Teoría del Aprendizaje Significativo. Revolucionó la comprensión del proceso de aprendizaje al demostrar que el conocimiento verdadero solo nace cuando los nuevos contenidos tienen significado a la luz de los conocimientos previos. Desarrolló el concepto de organizadores previos herramientas que ayudan a conectar el nuevo material con la estructura cognitiva existente. Su frase más célebre es Si tuviese que reducir toda la psicología educativa a un solo principio enunciaría este El factor más importante que influye en el aprendizaje es lo que el alumno ya sabe Averígüese esto y enséñese consecuentemente.</v>
      </c>
      <c r="I626" t="str">
        <f>_xlfn.XLOOKUP(frasest[[#This Row],[autor_es]],autorest[autor_es],autorest[bio_la])</f>
        <v>Psychologus et paedagogus Americanus creator Theoriae Apprenhesionis Significativae. Intellectionem processus apprenhesionis revolutionavit demonstrans cognitionem veram solum nasci cum nova contenta significationem habeant ad lucem cognitionum praeviarum. Conceptum organizatorum praeviarum instrumenta quae adiuvant novum material cum structura cognitiva existente conectere elaboravit. Sententia eius celeberrima est Si totam psychologiam educativam ad unum principium reducere deberem hoc enuntiarem Factor gravissimus qui in apprenhensionem influit est quod discipulus iam scit Hoc investigetur et consequenter doceatur.</v>
      </c>
      <c r="J626" t="str">
        <f>_xlfn.XLOOKUP(frasest[[#This Row],[autor_es]],autorest[autor_es],autorest[codigo])</f>
        <v>en</v>
      </c>
      <c r="K626" t="str">
        <f>_xlfn.XLOOKUP(frasest[[#This Row],[autor_es]],autorest[autor_es],autorest[idioma_es])</f>
        <v>Inglés</v>
      </c>
      <c r="L626" t="str">
        <f>_xlfn.XLOOKUP(frasest[[#This Row],[autor_es]],autorest[autor_es],autorest[idioma_la])</f>
        <v>Lingua Anglica</v>
      </c>
      <c r="M626" t="str">
        <f>_xlfn.XLOOKUP(frasest[[#This Row],[autor_es]],autorest[autor_es],autorest[nacion_es])</f>
        <v>Estados Unidos</v>
      </c>
      <c r="N626" t="str">
        <f>_xlfn.XLOOKUP(frasest[[#This Row],[autor_es]],autorest[autor_es],autorest[nacion_la])</f>
        <v>Civitates Foederatae Americae</v>
      </c>
      <c r="O626" t="str">
        <f>_xlfn.XLOOKUP(frasest[[#This Row],[autor_es]],autorest[autor_es],autorest[epoca_es])</f>
        <v>Edad Contemporánea</v>
      </c>
      <c r="P626" t="str">
        <f>_xlfn.XLOOKUP(frasest[[#This Row],[autor_es]],autorest[autor_es],autorest[epoca_la])</f>
        <v>Aetas Contemporanea</v>
      </c>
      <c r="Q626" t="str">
        <f>_xlfn.XLOOKUP(frasest[[#This Row],[autor_es]],autorest[autor_es],autorest[imagen])</f>
        <v>https://i.ibb.co/s9xMVWJK/ausubel.png</v>
      </c>
      <c r="R626">
        <f>_xlfn.XLOOKUP(frasest[[#This Row],[autor_es]],autorest[autor_es],autorest[imagen_atr])</f>
        <v>0</v>
      </c>
    </row>
    <row r="627" spans="1:18">
      <c r="A627">
        <v>626</v>
      </c>
      <c r="B627" t="s">
        <v>2166</v>
      </c>
      <c r="C627" t="s">
        <v>2167</v>
      </c>
      <c r="D627" t="s">
        <v>2166</v>
      </c>
      <c r="E627" t="s">
        <v>2168</v>
      </c>
      <c r="G627" t="str">
        <f>_xlfn.XLOOKUP(frasest[[#This Row],[autor_es]],autorest[autor_es],autorest[autor_la])</f>
        <v>Proverbium Africanum</v>
      </c>
      <c r="H627" t="str">
        <f>_xlfn.XLOOKUP(frasest[[#This Row],[autor_es]],autorest[autor_es],autorest[bio_es])</f>
        <v>Sabiduría tradicional de las diversas culturas y pueblos africanos que transmite valores comunitarios sobre la cooperación la solidaridad familiar la importancia de la comunidad y la educación colectiva. Destaca la visión africana de que la crianza y educación de los niños es responsabilidad de toda la comunidad no solo de los padres.</v>
      </c>
      <c r="I627" t="str">
        <f>_xlfn.XLOOKUP(frasest[[#This Row],[autor_es]],autorest[autor_es],autorest[bio_la])</f>
        <v>Sapientia traditionalis diversarum culturarum et populorum Africanorum quae valores communitarios de cooperatione solidaritate familiari importantia communitatis et educatione collectiva transmittit. Visionem Africanam emphasizat educationem et curam puerorum responsabilitatem totius communitatis esse non solum parentum.</v>
      </c>
      <c r="J627" t="e">
        <f>_xlfn.XLOOKUP(frasest[[#This Row],[autor_es]],autorest[autor_es],autorest[codigo])</f>
        <v>#N/A</v>
      </c>
      <c r="K627">
        <f>_xlfn.XLOOKUP(frasest[[#This Row],[autor_es]],autorest[autor_es],autorest[idioma_es])</f>
        <v>0</v>
      </c>
      <c r="L627" t="e">
        <f>_xlfn.XLOOKUP(frasest[[#This Row],[autor_es]],autorest[autor_es],autorest[idioma_la])</f>
        <v>#N/A</v>
      </c>
      <c r="M627">
        <f>_xlfn.XLOOKUP(frasest[[#This Row],[autor_es]],autorest[autor_es],autorest[nacion_es])</f>
        <v>0</v>
      </c>
      <c r="N627" t="e">
        <f>_xlfn.XLOOKUP(frasest[[#This Row],[autor_es]],autorest[autor_es],autorest[nacion_la])</f>
        <v>#N/A</v>
      </c>
      <c r="O627" t="str">
        <f>_xlfn.XLOOKUP(frasest[[#This Row],[autor_es]],autorest[autor_es],autorest[epoca_es])</f>
        <v>Epoca Desconocida</v>
      </c>
      <c r="P627" t="str">
        <f>_xlfn.XLOOKUP(frasest[[#This Row],[autor_es]],autorest[autor_es],autorest[epoca_la])</f>
        <v>Epocha Ignota</v>
      </c>
      <c r="Q627" t="str">
        <f>_xlfn.XLOOKUP(frasest[[#This Row],[autor_es]],autorest[autor_es],autorest[imagen])</f>
        <v>https://i.ibb.co/BKdVkDB2/africa.png</v>
      </c>
      <c r="R627">
        <f>_xlfn.XLOOKUP(frasest[[#This Row],[autor_es]],autorest[autor_es],autorest[imagen_atr])</f>
        <v>0</v>
      </c>
    </row>
    <row r="628" spans="1:18">
      <c r="A628">
        <v>627</v>
      </c>
      <c r="B628" t="s">
        <v>2169</v>
      </c>
      <c r="C628" t="s">
        <v>2170</v>
      </c>
      <c r="D628" t="s">
        <v>2171</v>
      </c>
      <c r="E628" t="s">
        <v>2172</v>
      </c>
      <c r="G628" t="str">
        <f>_xlfn.XLOOKUP(frasest[[#This Row],[autor_es]],autorest[autor_es],autorest[autor_la])</f>
        <v>Proverbium Iudaicum</v>
      </c>
      <c r="H628" t="str">
        <f>_xlfn.XLOOKUP(frasest[[#This Row],[autor_es]],autorest[autor_es],autorest[bio_es])</f>
        <v>Máximas de la tradición judía transmitidas a través de generaciones que condensan la sabiduría rabínica talmúdica y popular sobre la educación el estudio la familia y la vida. Reflejan la profunda valoración del conocimiento el aprendizaje continuo y la necesidad de adaptar la educación a cada época y generación respetando la singularidad de cada niño.</v>
      </c>
      <c r="I628" t="str">
        <f>_xlfn.XLOOKUP(frasest[[#This Row],[autor_es]],autorest[autor_es],autorest[bio_la])</f>
        <v>Maximae traditionis Iudaicae per generationes transmissae quae sapientiam rabbinicam talmudicum et popularem de educatione studio familia et vita condensant. Profundam aestimationem cognitionis apprenhesionis continuae et necessitatem educationem ad singulam epocham et generationem adaptandi singularitatem uniuscuiusque pueri respectando reflectunt.</v>
      </c>
      <c r="J628" t="str">
        <f>_xlfn.XLOOKUP(frasest[[#This Row],[autor_es]],autorest[autor_es],autorest[codigo])</f>
        <v>he</v>
      </c>
      <c r="K628" t="str">
        <f>_xlfn.XLOOKUP(frasest[[#This Row],[autor_es]],autorest[autor_es],autorest[idioma_es])</f>
        <v>Hebreo</v>
      </c>
      <c r="L628" t="str">
        <f>_xlfn.XLOOKUP(frasest[[#This Row],[autor_es]],autorest[autor_es],autorest[idioma_la])</f>
        <v>Lingua Hebraica</v>
      </c>
      <c r="M628" t="str">
        <f>_xlfn.XLOOKUP(frasest[[#This Row],[autor_es]],autorest[autor_es],autorest[nacion_es])</f>
        <v>Israel</v>
      </c>
      <c r="N628" t="str">
        <f>_xlfn.XLOOKUP(frasest[[#This Row],[autor_es]],autorest[autor_es],autorest[nacion_la])</f>
        <v>Israel</v>
      </c>
      <c r="O628" t="str">
        <f>_xlfn.XLOOKUP(frasest[[#This Row],[autor_es]],autorest[autor_es],autorest[epoca_es])</f>
        <v>Epoca Desconocida</v>
      </c>
      <c r="P628" t="str">
        <f>_xlfn.XLOOKUP(frasest[[#This Row],[autor_es]],autorest[autor_es],autorest[epoca_la])</f>
        <v>Epocha Ignota</v>
      </c>
      <c r="Q628" t="str">
        <f>_xlfn.XLOOKUP(frasest[[#This Row],[autor_es]],autorest[autor_es],autorest[imagen])</f>
        <v>https://i.ibb.co/HDXxrpfv/israel.png</v>
      </c>
      <c r="R628">
        <f>_xlfn.XLOOKUP(frasest[[#This Row],[autor_es]],autorest[autor_es],autorest[imagen_atr])</f>
        <v>0</v>
      </c>
    </row>
    <row r="629" spans="1:18">
      <c r="A629">
        <v>628</v>
      </c>
      <c r="B629" t="s">
        <v>2173</v>
      </c>
      <c r="C629" t="s">
        <v>2174</v>
      </c>
      <c r="D629" t="s">
        <v>2175</v>
      </c>
      <c r="E629" t="s">
        <v>2172</v>
      </c>
      <c r="G629" t="str">
        <f>_xlfn.XLOOKUP(frasest[[#This Row],[autor_es]],autorest[autor_es],autorest[autor_la])</f>
        <v>Proverbium Iudaicum</v>
      </c>
      <c r="H629" t="str">
        <f>_xlfn.XLOOKUP(frasest[[#This Row],[autor_es]],autorest[autor_es],autorest[bio_es])</f>
        <v>Máximas de la tradición judía transmitidas a través de generaciones que condensan la sabiduría rabínica talmúdica y popular sobre la educación el estudio la familia y la vida. Reflejan la profunda valoración del conocimiento el aprendizaje continuo y la necesidad de adaptar la educación a cada época y generación respetando la singularidad de cada niño.</v>
      </c>
      <c r="I629" t="str">
        <f>_xlfn.XLOOKUP(frasest[[#This Row],[autor_es]],autorest[autor_es],autorest[bio_la])</f>
        <v>Maximae traditionis Iudaicae per generationes transmissae quae sapientiam rabbinicam talmudicum et popularem de educatione studio familia et vita condensant. Profundam aestimationem cognitionis apprenhesionis continuae et necessitatem educationem ad singulam epocham et generationem adaptandi singularitatem uniuscuiusque pueri respectando reflectunt.</v>
      </c>
      <c r="J629" t="str">
        <f>_xlfn.XLOOKUP(frasest[[#This Row],[autor_es]],autorest[autor_es],autorest[codigo])</f>
        <v>he</v>
      </c>
      <c r="K629" t="str">
        <f>_xlfn.XLOOKUP(frasest[[#This Row],[autor_es]],autorest[autor_es],autorest[idioma_es])</f>
        <v>Hebreo</v>
      </c>
      <c r="L629" t="str">
        <f>_xlfn.XLOOKUP(frasest[[#This Row],[autor_es]],autorest[autor_es],autorest[idioma_la])</f>
        <v>Lingua Hebraica</v>
      </c>
      <c r="M629" t="str">
        <f>_xlfn.XLOOKUP(frasest[[#This Row],[autor_es]],autorest[autor_es],autorest[nacion_es])</f>
        <v>Israel</v>
      </c>
      <c r="N629" t="str">
        <f>_xlfn.XLOOKUP(frasest[[#This Row],[autor_es]],autorest[autor_es],autorest[nacion_la])</f>
        <v>Israel</v>
      </c>
      <c r="O629" t="str">
        <f>_xlfn.XLOOKUP(frasest[[#This Row],[autor_es]],autorest[autor_es],autorest[epoca_es])</f>
        <v>Epoca Desconocida</v>
      </c>
      <c r="P629" t="str">
        <f>_xlfn.XLOOKUP(frasest[[#This Row],[autor_es]],autorest[autor_es],autorest[epoca_la])</f>
        <v>Epocha Ignota</v>
      </c>
      <c r="Q629" t="str">
        <f>_xlfn.XLOOKUP(frasest[[#This Row],[autor_es]],autorest[autor_es],autorest[imagen])</f>
        <v>https://i.ibb.co/HDXxrpfv/israel.png</v>
      </c>
      <c r="R629">
        <f>_xlfn.XLOOKUP(frasest[[#This Row],[autor_es]],autorest[autor_es],autorest[imagen_atr])</f>
        <v>0</v>
      </c>
    </row>
    <row r="630" spans="1:18">
      <c r="A630">
        <v>629</v>
      </c>
      <c r="B630" t="s">
        <v>2176</v>
      </c>
      <c r="C630" t="s">
        <v>2177</v>
      </c>
      <c r="D630" t="s">
        <v>2176</v>
      </c>
      <c r="E630" t="s">
        <v>2168</v>
      </c>
      <c r="G630" t="str">
        <f>_xlfn.XLOOKUP(frasest[[#This Row],[autor_es]],autorest[autor_es],autorest[autor_la])</f>
        <v>Proverbium Africanum</v>
      </c>
      <c r="H630" t="str">
        <f>_xlfn.XLOOKUP(frasest[[#This Row],[autor_es]],autorest[autor_es],autorest[bio_es])</f>
        <v>Sabiduría tradicional de las diversas culturas y pueblos africanos que transmite valores comunitarios sobre la cooperación la solidaridad familiar la importancia de la comunidad y la educación colectiva. Destaca la visión africana de que la crianza y educación de los niños es responsabilidad de toda la comunidad no solo de los padres.</v>
      </c>
      <c r="I630" t="str">
        <f>_xlfn.XLOOKUP(frasest[[#This Row],[autor_es]],autorest[autor_es],autorest[bio_la])</f>
        <v>Sapientia traditionalis diversarum culturarum et populorum Africanorum quae valores communitarios de cooperatione solidaritate familiari importantia communitatis et educatione collectiva transmittit. Visionem Africanam emphasizat educationem et curam puerorum responsabilitatem totius communitatis esse non solum parentum.</v>
      </c>
      <c r="J630" t="e">
        <f>_xlfn.XLOOKUP(frasest[[#This Row],[autor_es]],autorest[autor_es],autorest[codigo])</f>
        <v>#N/A</v>
      </c>
      <c r="K630">
        <f>_xlfn.XLOOKUP(frasest[[#This Row],[autor_es]],autorest[autor_es],autorest[idioma_es])</f>
        <v>0</v>
      </c>
      <c r="L630" t="e">
        <f>_xlfn.XLOOKUP(frasest[[#This Row],[autor_es]],autorest[autor_es],autorest[idioma_la])</f>
        <v>#N/A</v>
      </c>
      <c r="M630">
        <f>_xlfn.XLOOKUP(frasest[[#This Row],[autor_es]],autorest[autor_es],autorest[nacion_es])</f>
        <v>0</v>
      </c>
      <c r="N630" t="e">
        <f>_xlfn.XLOOKUP(frasest[[#This Row],[autor_es]],autorest[autor_es],autorest[nacion_la])</f>
        <v>#N/A</v>
      </c>
      <c r="O630" t="str">
        <f>_xlfn.XLOOKUP(frasest[[#This Row],[autor_es]],autorest[autor_es],autorest[epoca_es])</f>
        <v>Epoca Desconocida</v>
      </c>
      <c r="P630" t="str">
        <f>_xlfn.XLOOKUP(frasest[[#This Row],[autor_es]],autorest[autor_es],autorest[epoca_la])</f>
        <v>Epocha Ignota</v>
      </c>
      <c r="Q630" t="str">
        <f>_xlfn.XLOOKUP(frasest[[#This Row],[autor_es]],autorest[autor_es],autorest[imagen])</f>
        <v>https://i.ibb.co/BKdVkDB2/africa.png</v>
      </c>
      <c r="R630">
        <f>_xlfn.XLOOKUP(frasest[[#This Row],[autor_es]],autorest[autor_es],autorest[imagen_atr])</f>
        <v>0</v>
      </c>
    </row>
    <row r="631" spans="1:18">
      <c r="A631">
        <v>630</v>
      </c>
      <c r="B631" t="s">
        <v>2178</v>
      </c>
      <c r="C631" t="s">
        <v>2179</v>
      </c>
      <c r="D631" t="s">
        <v>2178</v>
      </c>
      <c r="E631" t="s">
        <v>2168</v>
      </c>
      <c r="G631" t="str">
        <f>_xlfn.XLOOKUP(frasest[[#This Row],[autor_es]],autorest[autor_es],autorest[autor_la])</f>
        <v>Proverbium Africanum</v>
      </c>
      <c r="H631" t="str">
        <f>_xlfn.XLOOKUP(frasest[[#This Row],[autor_es]],autorest[autor_es],autorest[bio_es])</f>
        <v>Sabiduría tradicional de las diversas culturas y pueblos africanos que transmite valores comunitarios sobre la cooperación la solidaridad familiar la importancia de la comunidad y la educación colectiva. Destaca la visión africana de que la crianza y educación de los niños es responsabilidad de toda la comunidad no solo de los padres.</v>
      </c>
      <c r="I631" t="str">
        <f>_xlfn.XLOOKUP(frasest[[#This Row],[autor_es]],autorest[autor_es],autorest[bio_la])</f>
        <v>Sapientia traditionalis diversarum culturarum et populorum Africanorum quae valores communitarios de cooperatione solidaritate familiari importantia communitatis et educatione collectiva transmittit. Visionem Africanam emphasizat educationem et curam puerorum responsabilitatem totius communitatis esse non solum parentum.</v>
      </c>
      <c r="J631" t="e">
        <f>_xlfn.XLOOKUP(frasest[[#This Row],[autor_es]],autorest[autor_es],autorest[codigo])</f>
        <v>#N/A</v>
      </c>
      <c r="K631">
        <f>_xlfn.XLOOKUP(frasest[[#This Row],[autor_es]],autorest[autor_es],autorest[idioma_es])</f>
        <v>0</v>
      </c>
      <c r="L631" t="e">
        <f>_xlfn.XLOOKUP(frasest[[#This Row],[autor_es]],autorest[autor_es],autorest[idioma_la])</f>
        <v>#N/A</v>
      </c>
      <c r="M631">
        <f>_xlfn.XLOOKUP(frasest[[#This Row],[autor_es]],autorest[autor_es],autorest[nacion_es])</f>
        <v>0</v>
      </c>
      <c r="N631" t="e">
        <f>_xlfn.XLOOKUP(frasest[[#This Row],[autor_es]],autorest[autor_es],autorest[nacion_la])</f>
        <v>#N/A</v>
      </c>
      <c r="O631" t="str">
        <f>_xlfn.XLOOKUP(frasest[[#This Row],[autor_es]],autorest[autor_es],autorest[epoca_es])</f>
        <v>Epoca Desconocida</v>
      </c>
      <c r="P631" t="str">
        <f>_xlfn.XLOOKUP(frasest[[#This Row],[autor_es]],autorest[autor_es],autorest[epoca_la])</f>
        <v>Epocha Ignota</v>
      </c>
      <c r="Q631" t="str">
        <f>_xlfn.XLOOKUP(frasest[[#This Row],[autor_es]],autorest[autor_es],autorest[imagen])</f>
        <v>https://i.ibb.co/BKdVkDB2/africa.png</v>
      </c>
      <c r="R631">
        <f>_xlfn.XLOOKUP(frasest[[#This Row],[autor_es]],autorest[autor_es],autorest[imagen_atr])</f>
        <v>0</v>
      </c>
    </row>
    <row r="632" spans="1:18">
      <c r="A632">
        <v>631</v>
      </c>
      <c r="B632" t="s">
        <v>2180</v>
      </c>
      <c r="C632" t="s">
        <v>2181</v>
      </c>
      <c r="D632" t="s">
        <v>2180</v>
      </c>
      <c r="E632" t="s">
        <v>2168</v>
      </c>
      <c r="G632" t="str">
        <f>_xlfn.XLOOKUP(frasest[[#This Row],[autor_es]],autorest[autor_es],autorest[autor_la])</f>
        <v>Proverbium Africanum</v>
      </c>
      <c r="H632" t="str">
        <f>_xlfn.XLOOKUP(frasest[[#This Row],[autor_es]],autorest[autor_es],autorest[bio_es])</f>
        <v>Sabiduría tradicional de las diversas culturas y pueblos africanos que transmite valores comunitarios sobre la cooperación la solidaridad familiar la importancia de la comunidad y la educación colectiva. Destaca la visión africana de que la crianza y educación de los niños es responsabilidad de toda la comunidad no solo de los padres.</v>
      </c>
      <c r="I632" t="str">
        <f>_xlfn.XLOOKUP(frasest[[#This Row],[autor_es]],autorest[autor_es],autorest[bio_la])</f>
        <v>Sapientia traditionalis diversarum culturarum et populorum Africanorum quae valores communitarios de cooperatione solidaritate familiari importantia communitatis et educatione collectiva transmittit. Visionem Africanam emphasizat educationem et curam puerorum responsabilitatem totius communitatis esse non solum parentum.</v>
      </c>
      <c r="J632" t="e">
        <f>_xlfn.XLOOKUP(frasest[[#This Row],[autor_es]],autorest[autor_es],autorest[codigo])</f>
        <v>#N/A</v>
      </c>
      <c r="K632">
        <f>_xlfn.XLOOKUP(frasest[[#This Row],[autor_es]],autorest[autor_es],autorest[idioma_es])</f>
        <v>0</v>
      </c>
      <c r="L632" t="e">
        <f>_xlfn.XLOOKUP(frasest[[#This Row],[autor_es]],autorest[autor_es],autorest[idioma_la])</f>
        <v>#N/A</v>
      </c>
      <c r="M632">
        <f>_xlfn.XLOOKUP(frasest[[#This Row],[autor_es]],autorest[autor_es],autorest[nacion_es])</f>
        <v>0</v>
      </c>
      <c r="N632" t="e">
        <f>_xlfn.XLOOKUP(frasest[[#This Row],[autor_es]],autorest[autor_es],autorest[nacion_la])</f>
        <v>#N/A</v>
      </c>
      <c r="O632" t="str">
        <f>_xlfn.XLOOKUP(frasest[[#This Row],[autor_es]],autorest[autor_es],autorest[epoca_es])</f>
        <v>Epoca Desconocida</v>
      </c>
      <c r="P632" t="str">
        <f>_xlfn.XLOOKUP(frasest[[#This Row],[autor_es]],autorest[autor_es],autorest[epoca_la])</f>
        <v>Epocha Ignota</v>
      </c>
      <c r="Q632" t="str">
        <f>_xlfn.XLOOKUP(frasest[[#This Row],[autor_es]],autorest[autor_es],autorest[imagen])</f>
        <v>https://i.ibb.co/BKdVkDB2/africa.png</v>
      </c>
      <c r="R632">
        <f>_xlfn.XLOOKUP(frasest[[#This Row],[autor_es]],autorest[autor_es],autorest[imagen_atr])</f>
        <v>0</v>
      </c>
    </row>
    <row r="633" spans="1:18">
      <c r="A633">
        <v>632</v>
      </c>
      <c r="B633" t="s">
        <v>2182</v>
      </c>
      <c r="C633" t="s">
        <v>2183</v>
      </c>
      <c r="D633" t="s">
        <v>2182</v>
      </c>
      <c r="E633" t="s">
        <v>2168</v>
      </c>
      <c r="G633" t="str">
        <f>_xlfn.XLOOKUP(frasest[[#This Row],[autor_es]],autorest[autor_es],autorest[autor_la])</f>
        <v>Proverbium Africanum</v>
      </c>
      <c r="H633" t="str">
        <f>_xlfn.XLOOKUP(frasest[[#This Row],[autor_es]],autorest[autor_es],autorest[bio_es])</f>
        <v>Sabiduría tradicional de las diversas culturas y pueblos africanos que transmite valores comunitarios sobre la cooperación la solidaridad familiar la importancia de la comunidad y la educación colectiva. Destaca la visión africana de que la crianza y educación de los niños es responsabilidad de toda la comunidad no solo de los padres.</v>
      </c>
      <c r="I633" t="str">
        <f>_xlfn.XLOOKUP(frasest[[#This Row],[autor_es]],autorest[autor_es],autorest[bio_la])</f>
        <v>Sapientia traditionalis diversarum culturarum et populorum Africanorum quae valores communitarios de cooperatione solidaritate familiari importantia communitatis et educatione collectiva transmittit. Visionem Africanam emphasizat educationem et curam puerorum responsabilitatem totius communitatis esse non solum parentum.</v>
      </c>
      <c r="J633" t="e">
        <f>_xlfn.XLOOKUP(frasest[[#This Row],[autor_es]],autorest[autor_es],autorest[codigo])</f>
        <v>#N/A</v>
      </c>
      <c r="K633">
        <f>_xlfn.XLOOKUP(frasest[[#This Row],[autor_es]],autorest[autor_es],autorest[idioma_es])</f>
        <v>0</v>
      </c>
      <c r="L633" t="e">
        <f>_xlfn.XLOOKUP(frasest[[#This Row],[autor_es]],autorest[autor_es],autorest[idioma_la])</f>
        <v>#N/A</v>
      </c>
      <c r="M633">
        <f>_xlfn.XLOOKUP(frasest[[#This Row],[autor_es]],autorest[autor_es],autorest[nacion_es])</f>
        <v>0</v>
      </c>
      <c r="N633" t="e">
        <f>_xlfn.XLOOKUP(frasest[[#This Row],[autor_es]],autorest[autor_es],autorest[nacion_la])</f>
        <v>#N/A</v>
      </c>
      <c r="O633" t="str">
        <f>_xlfn.XLOOKUP(frasest[[#This Row],[autor_es]],autorest[autor_es],autorest[epoca_es])</f>
        <v>Epoca Desconocida</v>
      </c>
      <c r="P633" t="str">
        <f>_xlfn.XLOOKUP(frasest[[#This Row],[autor_es]],autorest[autor_es],autorest[epoca_la])</f>
        <v>Epocha Ignota</v>
      </c>
      <c r="Q633" t="str">
        <f>_xlfn.XLOOKUP(frasest[[#This Row],[autor_es]],autorest[autor_es],autorest[imagen])</f>
        <v>https://i.ibb.co/BKdVkDB2/africa.png</v>
      </c>
      <c r="R633">
        <f>_xlfn.XLOOKUP(frasest[[#This Row],[autor_es]],autorest[autor_es],autorest[imagen_atr])</f>
        <v>0</v>
      </c>
    </row>
    <row r="634" spans="1:18">
      <c r="A634">
        <v>633</v>
      </c>
      <c r="B634" t="s">
        <v>2184</v>
      </c>
      <c r="C634" t="s">
        <v>2185</v>
      </c>
      <c r="D634" t="s">
        <v>2184</v>
      </c>
      <c r="E634" t="s">
        <v>2168</v>
      </c>
      <c r="G634" t="str">
        <f>_xlfn.XLOOKUP(frasest[[#This Row],[autor_es]],autorest[autor_es],autorest[autor_la])</f>
        <v>Proverbium Africanum</v>
      </c>
      <c r="H634" t="str">
        <f>_xlfn.XLOOKUP(frasest[[#This Row],[autor_es]],autorest[autor_es],autorest[bio_es])</f>
        <v>Sabiduría tradicional de las diversas culturas y pueblos africanos que transmite valores comunitarios sobre la cooperación la solidaridad familiar la importancia de la comunidad y la educación colectiva. Destaca la visión africana de que la crianza y educación de los niños es responsabilidad de toda la comunidad no solo de los padres.</v>
      </c>
      <c r="I634" t="str">
        <f>_xlfn.XLOOKUP(frasest[[#This Row],[autor_es]],autorest[autor_es],autorest[bio_la])</f>
        <v>Sapientia traditionalis diversarum culturarum et populorum Africanorum quae valores communitarios de cooperatione solidaritate familiari importantia communitatis et educatione collectiva transmittit. Visionem Africanam emphasizat educationem et curam puerorum responsabilitatem totius communitatis esse non solum parentum.</v>
      </c>
      <c r="J634" t="e">
        <f>_xlfn.XLOOKUP(frasest[[#This Row],[autor_es]],autorest[autor_es],autorest[codigo])</f>
        <v>#N/A</v>
      </c>
      <c r="K634">
        <f>_xlfn.XLOOKUP(frasest[[#This Row],[autor_es]],autorest[autor_es],autorest[idioma_es])</f>
        <v>0</v>
      </c>
      <c r="L634" t="e">
        <f>_xlfn.XLOOKUP(frasest[[#This Row],[autor_es]],autorest[autor_es],autorest[idioma_la])</f>
        <v>#N/A</v>
      </c>
      <c r="M634">
        <f>_xlfn.XLOOKUP(frasest[[#This Row],[autor_es]],autorest[autor_es],autorest[nacion_es])</f>
        <v>0</v>
      </c>
      <c r="N634" t="e">
        <f>_xlfn.XLOOKUP(frasest[[#This Row],[autor_es]],autorest[autor_es],autorest[nacion_la])</f>
        <v>#N/A</v>
      </c>
      <c r="O634" t="str">
        <f>_xlfn.XLOOKUP(frasest[[#This Row],[autor_es]],autorest[autor_es],autorest[epoca_es])</f>
        <v>Epoca Desconocida</v>
      </c>
      <c r="P634" t="str">
        <f>_xlfn.XLOOKUP(frasest[[#This Row],[autor_es]],autorest[autor_es],autorest[epoca_la])</f>
        <v>Epocha Ignota</v>
      </c>
      <c r="Q634" t="str">
        <f>_xlfn.XLOOKUP(frasest[[#This Row],[autor_es]],autorest[autor_es],autorest[imagen])</f>
        <v>https://i.ibb.co/BKdVkDB2/africa.png</v>
      </c>
      <c r="R634">
        <f>_xlfn.XLOOKUP(frasest[[#This Row],[autor_es]],autorest[autor_es],autorest[imagen_atr])</f>
        <v>0</v>
      </c>
    </row>
    <row r="635" spans="1:18">
      <c r="A635">
        <v>634</v>
      </c>
      <c r="B635" t="s">
        <v>2186</v>
      </c>
      <c r="C635" t="s">
        <v>2187</v>
      </c>
      <c r="D635" t="s">
        <v>2186</v>
      </c>
      <c r="E635" t="s">
        <v>2168</v>
      </c>
      <c r="G635" t="str">
        <f>_xlfn.XLOOKUP(frasest[[#This Row],[autor_es]],autorest[autor_es],autorest[autor_la])</f>
        <v>Proverbium Africanum</v>
      </c>
      <c r="H635" t="str">
        <f>_xlfn.XLOOKUP(frasest[[#This Row],[autor_es]],autorest[autor_es],autorest[bio_es])</f>
        <v>Sabiduría tradicional de las diversas culturas y pueblos africanos que transmite valores comunitarios sobre la cooperación la solidaridad familiar la importancia de la comunidad y la educación colectiva. Destaca la visión africana de que la crianza y educación de los niños es responsabilidad de toda la comunidad no solo de los padres.</v>
      </c>
      <c r="I635" t="str">
        <f>_xlfn.XLOOKUP(frasest[[#This Row],[autor_es]],autorest[autor_es],autorest[bio_la])</f>
        <v>Sapientia traditionalis diversarum culturarum et populorum Africanorum quae valores communitarios de cooperatione solidaritate familiari importantia communitatis et educatione collectiva transmittit. Visionem Africanam emphasizat educationem et curam puerorum responsabilitatem totius communitatis esse non solum parentum.</v>
      </c>
      <c r="J635" t="e">
        <f>_xlfn.XLOOKUP(frasest[[#This Row],[autor_es]],autorest[autor_es],autorest[codigo])</f>
        <v>#N/A</v>
      </c>
      <c r="K635">
        <f>_xlfn.XLOOKUP(frasest[[#This Row],[autor_es]],autorest[autor_es],autorest[idioma_es])</f>
        <v>0</v>
      </c>
      <c r="L635" t="e">
        <f>_xlfn.XLOOKUP(frasest[[#This Row],[autor_es]],autorest[autor_es],autorest[idioma_la])</f>
        <v>#N/A</v>
      </c>
      <c r="M635">
        <f>_xlfn.XLOOKUP(frasest[[#This Row],[autor_es]],autorest[autor_es],autorest[nacion_es])</f>
        <v>0</v>
      </c>
      <c r="N635" t="e">
        <f>_xlfn.XLOOKUP(frasest[[#This Row],[autor_es]],autorest[autor_es],autorest[nacion_la])</f>
        <v>#N/A</v>
      </c>
      <c r="O635" t="str">
        <f>_xlfn.XLOOKUP(frasest[[#This Row],[autor_es]],autorest[autor_es],autorest[epoca_es])</f>
        <v>Epoca Desconocida</v>
      </c>
      <c r="P635" t="str">
        <f>_xlfn.XLOOKUP(frasest[[#This Row],[autor_es]],autorest[autor_es],autorest[epoca_la])</f>
        <v>Epocha Ignota</v>
      </c>
      <c r="Q635" t="str">
        <f>_xlfn.XLOOKUP(frasest[[#This Row],[autor_es]],autorest[autor_es],autorest[imagen])</f>
        <v>https://i.ibb.co/BKdVkDB2/africa.png</v>
      </c>
      <c r="R635">
        <f>_xlfn.XLOOKUP(frasest[[#This Row],[autor_es]],autorest[autor_es],autorest[imagen_atr])</f>
        <v>0</v>
      </c>
    </row>
    <row r="636" spans="1:18">
      <c r="A636">
        <v>635</v>
      </c>
      <c r="B636" t="s">
        <v>2188</v>
      </c>
      <c r="C636" t="s">
        <v>2189</v>
      </c>
      <c r="D636" t="s">
        <v>2188</v>
      </c>
      <c r="E636" t="s">
        <v>2168</v>
      </c>
      <c r="G636" t="str">
        <f>_xlfn.XLOOKUP(frasest[[#This Row],[autor_es]],autorest[autor_es],autorest[autor_la])</f>
        <v>Proverbium Africanum</v>
      </c>
      <c r="H636" t="str">
        <f>_xlfn.XLOOKUP(frasest[[#This Row],[autor_es]],autorest[autor_es],autorest[bio_es])</f>
        <v>Sabiduría tradicional de las diversas culturas y pueblos africanos que transmite valores comunitarios sobre la cooperación la solidaridad familiar la importancia de la comunidad y la educación colectiva. Destaca la visión africana de que la crianza y educación de los niños es responsabilidad de toda la comunidad no solo de los padres.</v>
      </c>
      <c r="I636" t="str">
        <f>_xlfn.XLOOKUP(frasest[[#This Row],[autor_es]],autorest[autor_es],autorest[bio_la])</f>
        <v>Sapientia traditionalis diversarum culturarum et populorum Africanorum quae valores communitarios de cooperatione solidaritate familiari importantia communitatis et educatione collectiva transmittit. Visionem Africanam emphasizat educationem et curam puerorum responsabilitatem totius communitatis esse non solum parentum.</v>
      </c>
      <c r="J636" t="e">
        <f>_xlfn.XLOOKUP(frasest[[#This Row],[autor_es]],autorest[autor_es],autorest[codigo])</f>
        <v>#N/A</v>
      </c>
      <c r="K636">
        <f>_xlfn.XLOOKUP(frasest[[#This Row],[autor_es]],autorest[autor_es],autorest[idioma_es])</f>
        <v>0</v>
      </c>
      <c r="L636" t="e">
        <f>_xlfn.XLOOKUP(frasest[[#This Row],[autor_es]],autorest[autor_es],autorest[idioma_la])</f>
        <v>#N/A</v>
      </c>
      <c r="M636">
        <f>_xlfn.XLOOKUP(frasest[[#This Row],[autor_es]],autorest[autor_es],autorest[nacion_es])</f>
        <v>0</v>
      </c>
      <c r="N636" t="e">
        <f>_xlfn.XLOOKUP(frasest[[#This Row],[autor_es]],autorest[autor_es],autorest[nacion_la])</f>
        <v>#N/A</v>
      </c>
      <c r="O636" t="str">
        <f>_xlfn.XLOOKUP(frasest[[#This Row],[autor_es]],autorest[autor_es],autorest[epoca_es])</f>
        <v>Epoca Desconocida</v>
      </c>
      <c r="P636" t="str">
        <f>_xlfn.XLOOKUP(frasest[[#This Row],[autor_es]],autorest[autor_es],autorest[epoca_la])</f>
        <v>Epocha Ignota</v>
      </c>
      <c r="Q636" t="str">
        <f>_xlfn.XLOOKUP(frasest[[#This Row],[autor_es]],autorest[autor_es],autorest[imagen])</f>
        <v>https://i.ibb.co/BKdVkDB2/africa.png</v>
      </c>
      <c r="R636">
        <f>_xlfn.XLOOKUP(frasest[[#This Row],[autor_es]],autorest[autor_es],autorest[imagen_atr])</f>
        <v>0</v>
      </c>
    </row>
    <row r="637" spans="1:18">
      <c r="A637">
        <v>636</v>
      </c>
      <c r="B637" t="s">
        <v>2190</v>
      </c>
      <c r="C637" t="s">
        <v>2191</v>
      </c>
      <c r="D637" t="s">
        <v>2190</v>
      </c>
      <c r="E637" t="s">
        <v>2168</v>
      </c>
      <c r="G637" t="str">
        <f>_xlfn.XLOOKUP(frasest[[#This Row],[autor_es]],autorest[autor_es],autorest[autor_la])</f>
        <v>Proverbium Africanum</v>
      </c>
      <c r="H637" t="str">
        <f>_xlfn.XLOOKUP(frasest[[#This Row],[autor_es]],autorest[autor_es],autorest[bio_es])</f>
        <v>Sabiduría tradicional de las diversas culturas y pueblos africanos que transmite valores comunitarios sobre la cooperación la solidaridad familiar la importancia de la comunidad y la educación colectiva. Destaca la visión africana de que la crianza y educación de los niños es responsabilidad de toda la comunidad no solo de los padres.</v>
      </c>
      <c r="I637" t="str">
        <f>_xlfn.XLOOKUP(frasest[[#This Row],[autor_es]],autorest[autor_es],autorest[bio_la])</f>
        <v>Sapientia traditionalis diversarum culturarum et populorum Africanorum quae valores communitarios de cooperatione solidaritate familiari importantia communitatis et educatione collectiva transmittit. Visionem Africanam emphasizat educationem et curam puerorum responsabilitatem totius communitatis esse non solum parentum.</v>
      </c>
      <c r="J637" t="e">
        <f>_xlfn.XLOOKUP(frasest[[#This Row],[autor_es]],autorest[autor_es],autorest[codigo])</f>
        <v>#N/A</v>
      </c>
      <c r="K637">
        <f>_xlfn.XLOOKUP(frasest[[#This Row],[autor_es]],autorest[autor_es],autorest[idioma_es])</f>
        <v>0</v>
      </c>
      <c r="L637" t="e">
        <f>_xlfn.XLOOKUP(frasest[[#This Row],[autor_es]],autorest[autor_es],autorest[idioma_la])</f>
        <v>#N/A</v>
      </c>
      <c r="M637">
        <f>_xlfn.XLOOKUP(frasest[[#This Row],[autor_es]],autorest[autor_es],autorest[nacion_es])</f>
        <v>0</v>
      </c>
      <c r="N637" t="e">
        <f>_xlfn.XLOOKUP(frasest[[#This Row],[autor_es]],autorest[autor_es],autorest[nacion_la])</f>
        <v>#N/A</v>
      </c>
      <c r="O637" t="str">
        <f>_xlfn.XLOOKUP(frasest[[#This Row],[autor_es]],autorest[autor_es],autorest[epoca_es])</f>
        <v>Epoca Desconocida</v>
      </c>
      <c r="P637" t="str">
        <f>_xlfn.XLOOKUP(frasest[[#This Row],[autor_es]],autorest[autor_es],autorest[epoca_la])</f>
        <v>Epocha Ignota</v>
      </c>
      <c r="Q637" t="str">
        <f>_xlfn.XLOOKUP(frasest[[#This Row],[autor_es]],autorest[autor_es],autorest[imagen])</f>
        <v>https://i.ibb.co/BKdVkDB2/africa.png</v>
      </c>
      <c r="R637">
        <f>_xlfn.XLOOKUP(frasest[[#This Row],[autor_es]],autorest[autor_es],autorest[imagen_atr])</f>
        <v>0</v>
      </c>
    </row>
    <row r="638" spans="1:18">
      <c r="A638">
        <v>637</v>
      </c>
      <c r="B638" t="s">
        <v>2192</v>
      </c>
      <c r="C638" t="s">
        <v>2193</v>
      </c>
      <c r="D638" t="s">
        <v>2194</v>
      </c>
      <c r="E638" t="s">
        <v>2172</v>
      </c>
      <c r="G638" t="str">
        <f>_xlfn.XLOOKUP(frasest[[#This Row],[autor_es]],autorest[autor_es],autorest[autor_la])</f>
        <v>Proverbium Iudaicum</v>
      </c>
      <c r="H638" t="str">
        <f>_xlfn.XLOOKUP(frasest[[#This Row],[autor_es]],autorest[autor_es],autorest[bio_es])</f>
        <v>Máximas de la tradición judía transmitidas a través de generaciones que condensan la sabiduría rabínica talmúdica y popular sobre la educación el estudio la familia y la vida. Reflejan la profunda valoración del conocimiento el aprendizaje continuo y la necesidad de adaptar la educación a cada época y generación respetando la singularidad de cada niño.</v>
      </c>
      <c r="I638" t="str">
        <f>_xlfn.XLOOKUP(frasest[[#This Row],[autor_es]],autorest[autor_es],autorest[bio_la])</f>
        <v>Maximae traditionis Iudaicae per generationes transmissae quae sapientiam rabbinicam talmudicum et popularem de educatione studio familia et vita condensant. Profundam aestimationem cognitionis apprenhesionis continuae et necessitatem educationem ad singulam epocham et generationem adaptandi singularitatem uniuscuiusque pueri respectando reflectunt.</v>
      </c>
      <c r="J638" t="str">
        <f>_xlfn.XLOOKUP(frasest[[#This Row],[autor_es]],autorest[autor_es],autorest[codigo])</f>
        <v>he</v>
      </c>
      <c r="K638" t="str">
        <f>_xlfn.XLOOKUP(frasest[[#This Row],[autor_es]],autorest[autor_es],autorest[idioma_es])</f>
        <v>Hebreo</v>
      </c>
      <c r="L638" t="str">
        <f>_xlfn.XLOOKUP(frasest[[#This Row],[autor_es]],autorest[autor_es],autorest[idioma_la])</f>
        <v>Lingua Hebraica</v>
      </c>
      <c r="M638" t="str">
        <f>_xlfn.XLOOKUP(frasest[[#This Row],[autor_es]],autorest[autor_es],autorest[nacion_es])</f>
        <v>Israel</v>
      </c>
      <c r="N638" t="str">
        <f>_xlfn.XLOOKUP(frasest[[#This Row],[autor_es]],autorest[autor_es],autorest[nacion_la])</f>
        <v>Israel</v>
      </c>
      <c r="O638" t="str">
        <f>_xlfn.XLOOKUP(frasest[[#This Row],[autor_es]],autorest[autor_es],autorest[epoca_es])</f>
        <v>Epoca Desconocida</v>
      </c>
      <c r="P638" t="str">
        <f>_xlfn.XLOOKUP(frasest[[#This Row],[autor_es]],autorest[autor_es],autorest[epoca_la])</f>
        <v>Epocha Ignota</v>
      </c>
      <c r="Q638" t="str">
        <f>_xlfn.XLOOKUP(frasest[[#This Row],[autor_es]],autorest[autor_es],autorest[imagen])</f>
        <v>https://i.ibb.co/HDXxrpfv/israel.png</v>
      </c>
      <c r="R638">
        <f>_xlfn.XLOOKUP(frasest[[#This Row],[autor_es]],autorest[autor_es],autorest[imagen_atr])</f>
        <v>0</v>
      </c>
    </row>
    <row r="639" spans="1:18">
      <c r="A639">
        <v>638</v>
      </c>
      <c r="B639" t="s">
        <v>2195</v>
      </c>
      <c r="C639" t="s">
        <v>2196</v>
      </c>
      <c r="D639" t="s">
        <v>2197</v>
      </c>
      <c r="E639" t="s">
        <v>2172</v>
      </c>
      <c r="G639" t="str">
        <f>_xlfn.XLOOKUP(frasest[[#This Row],[autor_es]],autorest[autor_es],autorest[autor_la])</f>
        <v>Proverbium Iudaicum</v>
      </c>
      <c r="H639" t="str">
        <f>_xlfn.XLOOKUP(frasest[[#This Row],[autor_es]],autorest[autor_es],autorest[bio_es])</f>
        <v>Máximas de la tradición judía transmitidas a través de generaciones que condensan la sabiduría rabínica talmúdica y popular sobre la educación el estudio la familia y la vida. Reflejan la profunda valoración del conocimiento el aprendizaje continuo y la necesidad de adaptar la educación a cada época y generación respetando la singularidad de cada niño.</v>
      </c>
      <c r="I639" t="str">
        <f>_xlfn.XLOOKUP(frasest[[#This Row],[autor_es]],autorest[autor_es],autorest[bio_la])</f>
        <v>Maximae traditionis Iudaicae per generationes transmissae quae sapientiam rabbinicam talmudicum et popularem de educatione studio familia et vita condensant. Profundam aestimationem cognitionis apprenhesionis continuae et necessitatem educationem ad singulam epocham et generationem adaptandi singularitatem uniuscuiusque pueri respectando reflectunt.</v>
      </c>
      <c r="J639" t="str">
        <f>_xlfn.XLOOKUP(frasest[[#This Row],[autor_es]],autorest[autor_es],autorest[codigo])</f>
        <v>he</v>
      </c>
      <c r="K639" t="str">
        <f>_xlfn.XLOOKUP(frasest[[#This Row],[autor_es]],autorest[autor_es],autorest[idioma_es])</f>
        <v>Hebreo</v>
      </c>
      <c r="L639" t="str">
        <f>_xlfn.XLOOKUP(frasest[[#This Row],[autor_es]],autorest[autor_es],autorest[idioma_la])</f>
        <v>Lingua Hebraica</v>
      </c>
      <c r="M639" t="str">
        <f>_xlfn.XLOOKUP(frasest[[#This Row],[autor_es]],autorest[autor_es],autorest[nacion_es])</f>
        <v>Israel</v>
      </c>
      <c r="N639" t="str">
        <f>_xlfn.XLOOKUP(frasest[[#This Row],[autor_es]],autorest[autor_es],autorest[nacion_la])</f>
        <v>Israel</v>
      </c>
      <c r="O639" t="str">
        <f>_xlfn.XLOOKUP(frasest[[#This Row],[autor_es]],autorest[autor_es],autorest[epoca_es])</f>
        <v>Epoca Desconocida</v>
      </c>
      <c r="P639" t="str">
        <f>_xlfn.XLOOKUP(frasest[[#This Row],[autor_es]],autorest[autor_es],autorest[epoca_la])</f>
        <v>Epocha Ignota</v>
      </c>
      <c r="Q639" t="str">
        <f>_xlfn.XLOOKUP(frasest[[#This Row],[autor_es]],autorest[autor_es],autorest[imagen])</f>
        <v>https://i.ibb.co/HDXxrpfv/israel.png</v>
      </c>
      <c r="R639">
        <f>_xlfn.XLOOKUP(frasest[[#This Row],[autor_es]],autorest[autor_es],autorest[imagen_atr])</f>
        <v>0</v>
      </c>
    </row>
    <row r="640" spans="1:18">
      <c r="A640">
        <v>639</v>
      </c>
      <c r="B640" t="s">
        <v>2198</v>
      </c>
      <c r="C640" t="s">
        <v>2199</v>
      </c>
      <c r="D640" t="s">
        <v>2200</v>
      </c>
      <c r="E640" t="s">
        <v>2172</v>
      </c>
      <c r="G640" t="str">
        <f>_xlfn.XLOOKUP(frasest[[#This Row],[autor_es]],autorest[autor_es],autorest[autor_la])</f>
        <v>Proverbium Iudaicum</v>
      </c>
      <c r="H640" t="str">
        <f>_xlfn.XLOOKUP(frasest[[#This Row],[autor_es]],autorest[autor_es],autorest[bio_es])</f>
        <v>Máximas de la tradición judía transmitidas a través de generaciones que condensan la sabiduría rabínica talmúdica y popular sobre la educación el estudio la familia y la vida. Reflejan la profunda valoración del conocimiento el aprendizaje continuo y la necesidad de adaptar la educación a cada época y generación respetando la singularidad de cada niño.</v>
      </c>
      <c r="I640" t="str">
        <f>_xlfn.XLOOKUP(frasest[[#This Row],[autor_es]],autorest[autor_es],autorest[bio_la])</f>
        <v>Maximae traditionis Iudaicae per generationes transmissae quae sapientiam rabbinicam talmudicum et popularem de educatione studio familia et vita condensant. Profundam aestimationem cognitionis apprenhesionis continuae et necessitatem educationem ad singulam epocham et generationem adaptandi singularitatem uniuscuiusque pueri respectando reflectunt.</v>
      </c>
      <c r="J640" t="str">
        <f>_xlfn.XLOOKUP(frasest[[#This Row],[autor_es]],autorest[autor_es],autorest[codigo])</f>
        <v>he</v>
      </c>
      <c r="K640" t="str">
        <f>_xlfn.XLOOKUP(frasest[[#This Row],[autor_es]],autorest[autor_es],autorest[idioma_es])</f>
        <v>Hebreo</v>
      </c>
      <c r="L640" t="str">
        <f>_xlfn.XLOOKUP(frasest[[#This Row],[autor_es]],autorest[autor_es],autorest[idioma_la])</f>
        <v>Lingua Hebraica</v>
      </c>
      <c r="M640" t="str">
        <f>_xlfn.XLOOKUP(frasest[[#This Row],[autor_es]],autorest[autor_es],autorest[nacion_es])</f>
        <v>Israel</v>
      </c>
      <c r="N640" t="str">
        <f>_xlfn.XLOOKUP(frasest[[#This Row],[autor_es]],autorest[autor_es],autorest[nacion_la])</f>
        <v>Israel</v>
      </c>
      <c r="O640" t="str">
        <f>_xlfn.XLOOKUP(frasest[[#This Row],[autor_es]],autorest[autor_es],autorest[epoca_es])</f>
        <v>Epoca Desconocida</v>
      </c>
      <c r="P640" t="str">
        <f>_xlfn.XLOOKUP(frasest[[#This Row],[autor_es]],autorest[autor_es],autorest[epoca_la])</f>
        <v>Epocha Ignota</v>
      </c>
      <c r="Q640" t="str">
        <f>_xlfn.XLOOKUP(frasest[[#This Row],[autor_es]],autorest[autor_es],autorest[imagen])</f>
        <v>https://i.ibb.co/HDXxrpfv/israel.png</v>
      </c>
      <c r="R640">
        <f>_xlfn.XLOOKUP(frasest[[#This Row],[autor_es]],autorest[autor_es],autorest[imagen_atr])</f>
        <v>0</v>
      </c>
    </row>
    <row r="641" spans="1:18">
      <c r="A641">
        <v>640</v>
      </c>
      <c r="B641" t="s">
        <v>2201</v>
      </c>
      <c r="C641" t="s">
        <v>2202</v>
      </c>
      <c r="D641" t="s">
        <v>2203</v>
      </c>
      <c r="E641" t="s">
        <v>2172</v>
      </c>
      <c r="G641" t="str">
        <f>_xlfn.XLOOKUP(frasest[[#This Row],[autor_es]],autorest[autor_es],autorest[autor_la])</f>
        <v>Proverbium Iudaicum</v>
      </c>
      <c r="H641" t="str">
        <f>_xlfn.XLOOKUP(frasest[[#This Row],[autor_es]],autorest[autor_es],autorest[bio_es])</f>
        <v>Máximas de la tradición judía transmitidas a través de generaciones que condensan la sabiduría rabínica talmúdica y popular sobre la educación el estudio la familia y la vida. Reflejan la profunda valoración del conocimiento el aprendizaje continuo y la necesidad de adaptar la educación a cada época y generación respetando la singularidad de cada niño.</v>
      </c>
      <c r="I641" t="str">
        <f>_xlfn.XLOOKUP(frasest[[#This Row],[autor_es]],autorest[autor_es],autorest[bio_la])</f>
        <v>Maximae traditionis Iudaicae per generationes transmissae quae sapientiam rabbinicam talmudicum et popularem de educatione studio familia et vita condensant. Profundam aestimationem cognitionis apprenhesionis continuae et necessitatem educationem ad singulam epocham et generationem adaptandi singularitatem uniuscuiusque pueri respectando reflectunt.</v>
      </c>
      <c r="J641" t="str">
        <f>_xlfn.XLOOKUP(frasest[[#This Row],[autor_es]],autorest[autor_es],autorest[codigo])</f>
        <v>he</v>
      </c>
      <c r="K641" t="str">
        <f>_xlfn.XLOOKUP(frasest[[#This Row],[autor_es]],autorest[autor_es],autorest[idioma_es])</f>
        <v>Hebreo</v>
      </c>
      <c r="L641" t="str">
        <f>_xlfn.XLOOKUP(frasest[[#This Row],[autor_es]],autorest[autor_es],autorest[idioma_la])</f>
        <v>Lingua Hebraica</v>
      </c>
      <c r="M641" t="str">
        <f>_xlfn.XLOOKUP(frasest[[#This Row],[autor_es]],autorest[autor_es],autorest[nacion_es])</f>
        <v>Israel</v>
      </c>
      <c r="N641" t="str">
        <f>_xlfn.XLOOKUP(frasest[[#This Row],[autor_es]],autorest[autor_es],autorest[nacion_la])</f>
        <v>Israel</v>
      </c>
      <c r="O641" t="str">
        <f>_xlfn.XLOOKUP(frasest[[#This Row],[autor_es]],autorest[autor_es],autorest[epoca_es])</f>
        <v>Epoca Desconocida</v>
      </c>
      <c r="P641" t="str">
        <f>_xlfn.XLOOKUP(frasest[[#This Row],[autor_es]],autorest[autor_es],autorest[epoca_la])</f>
        <v>Epocha Ignota</v>
      </c>
      <c r="Q641" t="str">
        <f>_xlfn.XLOOKUP(frasest[[#This Row],[autor_es]],autorest[autor_es],autorest[imagen])</f>
        <v>https://i.ibb.co/HDXxrpfv/israel.png</v>
      </c>
      <c r="R641">
        <f>_xlfn.XLOOKUP(frasest[[#This Row],[autor_es]],autorest[autor_es],autorest[imagen_atr])</f>
        <v>0</v>
      </c>
    </row>
    <row r="642" spans="1:18">
      <c r="A642">
        <v>641</v>
      </c>
      <c r="B642" t="s">
        <v>2204</v>
      </c>
      <c r="C642" t="s">
        <v>2205</v>
      </c>
      <c r="D642" t="s">
        <v>2206</v>
      </c>
      <c r="E642" t="s">
        <v>2172</v>
      </c>
      <c r="G642" t="str">
        <f>_xlfn.XLOOKUP(frasest[[#This Row],[autor_es]],autorest[autor_es],autorest[autor_la])</f>
        <v>Proverbium Iudaicum</v>
      </c>
      <c r="H642" t="str">
        <f>_xlfn.XLOOKUP(frasest[[#This Row],[autor_es]],autorest[autor_es],autorest[bio_es])</f>
        <v>Máximas de la tradición judía transmitidas a través de generaciones que condensan la sabiduría rabínica talmúdica y popular sobre la educación el estudio la familia y la vida. Reflejan la profunda valoración del conocimiento el aprendizaje continuo y la necesidad de adaptar la educación a cada época y generación respetando la singularidad de cada niño.</v>
      </c>
      <c r="I642" t="str">
        <f>_xlfn.XLOOKUP(frasest[[#This Row],[autor_es]],autorest[autor_es],autorest[bio_la])</f>
        <v>Maximae traditionis Iudaicae per generationes transmissae quae sapientiam rabbinicam talmudicum et popularem de educatione studio familia et vita condensant. Profundam aestimationem cognitionis apprenhesionis continuae et necessitatem educationem ad singulam epocham et generationem adaptandi singularitatem uniuscuiusque pueri respectando reflectunt.</v>
      </c>
      <c r="J642" t="str">
        <f>_xlfn.XLOOKUP(frasest[[#This Row],[autor_es]],autorest[autor_es],autorest[codigo])</f>
        <v>he</v>
      </c>
      <c r="K642" t="str">
        <f>_xlfn.XLOOKUP(frasest[[#This Row],[autor_es]],autorest[autor_es],autorest[idioma_es])</f>
        <v>Hebreo</v>
      </c>
      <c r="L642" t="str">
        <f>_xlfn.XLOOKUP(frasest[[#This Row],[autor_es]],autorest[autor_es],autorest[idioma_la])</f>
        <v>Lingua Hebraica</v>
      </c>
      <c r="M642" t="str">
        <f>_xlfn.XLOOKUP(frasest[[#This Row],[autor_es]],autorest[autor_es],autorest[nacion_es])</f>
        <v>Israel</v>
      </c>
      <c r="N642" t="str">
        <f>_xlfn.XLOOKUP(frasest[[#This Row],[autor_es]],autorest[autor_es],autorest[nacion_la])</f>
        <v>Israel</v>
      </c>
      <c r="O642" t="str">
        <f>_xlfn.XLOOKUP(frasest[[#This Row],[autor_es]],autorest[autor_es],autorest[epoca_es])</f>
        <v>Epoca Desconocida</v>
      </c>
      <c r="P642" t="str">
        <f>_xlfn.XLOOKUP(frasest[[#This Row],[autor_es]],autorest[autor_es],autorest[epoca_la])</f>
        <v>Epocha Ignota</v>
      </c>
      <c r="Q642" t="str">
        <f>_xlfn.XLOOKUP(frasest[[#This Row],[autor_es]],autorest[autor_es],autorest[imagen])</f>
        <v>https://i.ibb.co/HDXxrpfv/israel.png</v>
      </c>
      <c r="R642">
        <f>_xlfn.XLOOKUP(frasest[[#This Row],[autor_es]],autorest[autor_es],autorest[imagen_atr])</f>
        <v>0</v>
      </c>
    </row>
    <row r="643" spans="1:18">
      <c r="A643">
        <v>642</v>
      </c>
      <c r="B643" t="s">
        <v>2207</v>
      </c>
      <c r="C643" t="s">
        <v>2208</v>
      </c>
      <c r="D643" t="s">
        <v>2209</v>
      </c>
      <c r="E643" t="s">
        <v>2172</v>
      </c>
      <c r="G643" t="str">
        <f>_xlfn.XLOOKUP(frasest[[#This Row],[autor_es]],autorest[autor_es],autorest[autor_la])</f>
        <v>Proverbium Iudaicum</v>
      </c>
      <c r="H643" t="str">
        <f>_xlfn.XLOOKUP(frasest[[#This Row],[autor_es]],autorest[autor_es],autorest[bio_es])</f>
        <v>Máximas de la tradición judía transmitidas a través de generaciones que condensan la sabiduría rabínica talmúdica y popular sobre la educación el estudio la familia y la vida. Reflejan la profunda valoración del conocimiento el aprendizaje continuo y la necesidad de adaptar la educación a cada época y generación respetando la singularidad de cada niño.</v>
      </c>
      <c r="I643" t="str">
        <f>_xlfn.XLOOKUP(frasest[[#This Row],[autor_es]],autorest[autor_es],autorest[bio_la])</f>
        <v>Maximae traditionis Iudaicae per generationes transmissae quae sapientiam rabbinicam talmudicum et popularem de educatione studio familia et vita condensant. Profundam aestimationem cognitionis apprenhesionis continuae et necessitatem educationem ad singulam epocham et generationem adaptandi singularitatem uniuscuiusque pueri respectando reflectunt.</v>
      </c>
      <c r="J643" t="str">
        <f>_xlfn.XLOOKUP(frasest[[#This Row],[autor_es]],autorest[autor_es],autorest[codigo])</f>
        <v>he</v>
      </c>
      <c r="K643" t="str">
        <f>_xlfn.XLOOKUP(frasest[[#This Row],[autor_es]],autorest[autor_es],autorest[idioma_es])</f>
        <v>Hebreo</v>
      </c>
      <c r="L643" t="str">
        <f>_xlfn.XLOOKUP(frasest[[#This Row],[autor_es]],autorest[autor_es],autorest[idioma_la])</f>
        <v>Lingua Hebraica</v>
      </c>
      <c r="M643" t="str">
        <f>_xlfn.XLOOKUP(frasest[[#This Row],[autor_es]],autorest[autor_es],autorest[nacion_es])</f>
        <v>Israel</v>
      </c>
      <c r="N643" t="str">
        <f>_xlfn.XLOOKUP(frasest[[#This Row],[autor_es]],autorest[autor_es],autorest[nacion_la])</f>
        <v>Israel</v>
      </c>
      <c r="O643" t="str">
        <f>_xlfn.XLOOKUP(frasest[[#This Row],[autor_es]],autorest[autor_es],autorest[epoca_es])</f>
        <v>Epoca Desconocida</v>
      </c>
      <c r="P643" t="str">
        <f>_xlfn.XLOOKUP(frasest[[#This Row],[autor_es]],autorest[autor_es],autorest[epoca_la])</f>
        <v>Epocha Ignota</v>
      </c>
      <c r="Q643" t="str">
        <f>_xlfn.XLOOKUP(frasest[[#This Row],[autor_es]],autorest[autor_es],autorest[imagen])</f>
        <v>https://i.ibb.co/HDXxrpfv/israel.png</v>
      </c>
      <c r="R643">
        <f>_xlfn.XLOOKUP(frasest[[#This Row],[autor_es]],autorest[autor_es],autorest[imagen_atr])</f>
        <v>0</v>
      </c>
    </row>
    <row r="644" spans="1:18">
      <c r="A644">
        <v>643</v>
      </c>
      <c r="B644" t="s">
        <v>2210</v>
      </c>
      <c r="C644" t="s">
        <v>2211</v>
      </c>
      <c r="D644" t="s">
        <v>2212</v>
      </c>
      <c r="E644" t="s">
        <v>2172</v>
      </c>
      <c r="G644" t="str">
        <f>_xlfn.XLOOKUP(frasest[[#This Row],[autor_es]],autorest[autor_es],autorest[autor_la])</f>
        <v>Proverbium Iudaicum</v>
      </c>
      <c r="H644" t="str">
        <f>_xlfn.XLOOKUP(frasest[[#This Row],[autor_es]],autorest[autor_es],autorest[bio_es])</f>
        <v>Máximas de la tradición judía transmitidas a través de generaciones que condensan la sabiduría rabínica talmúdica y popular sobre la educación el estudio la familia y la vida. Reflejan la profunda valoración del conocimiento el aprendizaje continuo y la necesidad de adaptar la educación a cada época y generación respetando la singularidad de cada niño.</v>
      </c>
      <c r="I644" t="str">
        <f>_xlfn.XLOOKUP(frasest[[#This Row],[autor_es]],autorest[autor_es],autorest[bio_la])</f>
        <v>Maximae traditionis Iudaicae per generationes transmissae quae sapientiam rabbinicam talmudicum et popularem de educatione studio familia et vita condensant. Profundam aestimationem cognitionis apprenhesionis continuae et necessitatem educationem ad singulam epocham et generationem adaptandi singularitatem uniuscuiusque pueri respectando reflectunt.</v>
      </c>
      <c r="J644" t="str">
        <f>_xlfn.XLOOKUP(frasest[[#This Row],[autor_es]],autorest[autor_es],autorest[codigo])</f>
        <v>he</v>
      </c>
      <c r="K644" t="str">
        <f>_xlfn.XLOOKUP(frasest[[#This Row],[autor_es]],autorest[autor_es],autorest[idioma_es])</f>
        <v>Hebreo</v>
      </c>
      <c r="L644" t="str">
        <f>_xlfn.XLOOKUP(frasest[[#This Row],[autor_es]],autorest[autor_es],autorest[idioma_la])</f>
        <v>Lingua Hebraica</v>
      </c>
      <c r="M644" t="str">
        <f>_xlfn.XLOOKUP(frasest[[#This Row],[autor_es]],autorest[autor_es],autorest[nacion_es])</f>
        <v>Israel</v>
      </c>
      <c r="N644" t="str">
        <f>_xlfn.XLOOKUP(frasest[[#This Row],[autor_es]],autorest[autor_es],autorest[nacion_la])</f>
        <v>Israel</v>
      </c>
      <c r="O644" t="str">
        <f>_xlfn.XLOOKUP(frasest[[#This Row],[autor_es]],autorest[autor_es],autorest[epoca_es])</f>
        <v>Epoca Desconocida</v>
      </c>
      <c r="P644" t="str">
        <f>_xlfn.XLOOKUP(frasest[[#This Row],[autor_es]],autorest[autor_es],autorest[epoca_la])</f>
        <v>Epocha Ignota</v>
      </c>
      <c r="Q644" t="str">
        <f>_xlfn.XLOOKUP(frasest[[#This Row],[autor_es]],autorest[autor_es],autorest[imagen])</f>
        <v>https://i.ibb.co/HDXxrpfv/israel.png</v>
      </c>
      <c r="R644">
        <f>_xlfn.XLOOKUP(frasest[[#This Row],[autor_es]],autorest[autor_es],autorest[imagen_atr])</f>
        <v>0</v>
      </c>
    </row>
    <row r="645" spans="1:18">
      <c r="A645">
        <v>644</v>
      </c>
      <c r="B645" t="s">
        <v>2213</v>
      </c>
      <c r="C645" t="s">
        <v>2214</v>
      </c>
      <c r="D645" t="s">
        <v>2215</v>
      </c>
      <c r="E645" t="s">
        <v>2172</v>
      </c>
      <c r="G645" t="str">
        <f>_xlfn.XLOOKUP(frasest[[#This Row],[autor_es]],autorest[autor_es],autorest[autor_la])</f>
        <v>Proverbium Iudaicum</v>
      </c>
      <c r="H645" t="str">
        <f>_xlfn.XLOOKUP(frasest[[#This Row],[autor_es]],autorest[autor_es],autorest[bio_es])</f>
        <v>Máximas de la tradición judía transmitidas a través de generaciones que condensan la sabiduría rabínica talmúdica y popular sobre la educación el estudio la familia y la vida. Reflejan la profunda valoración del conocimiento el aprendizaje continuo y la necesidad de adaptar la educación a cada época y generación respetando la singularidad de cada niño.</v>
      </c>
      <c r="I645" t="str">
        <f>_xlfn.XLOOKUP(frasest[[#This Row],[autor_es]],autorest[autor_es],autorest[bio_la])</f>
        <v>Maximae traditionis Iudaicae per generationes transmissae quae sapientiam rabbinicam talmudicum et popularem de educatione studio familia et vita condensant. Profundam aestimationem cognitionis apprenhesionis continuae et necessitatem educationem ad singulam epocham et generationem adaptandi singularitatem uniuscuiusque pueri respectando reflectunt.</v>
      </c>
      <c r="J645" t="str">
        <f>_xlfn.XLOOKUP(frasest[[#This Row],[autor_es]],autorest[autor_es],autorest[codigo])</f>
        <v>he</v>
      </c>
      <c r="K645" t="str">
        <f>_xlfn.XLOOKUP(frasest[[#This Row],[autor_es]],autorest[autor_es],autorest[idioma_es])</f>
        <v>Hebreo</v>
      </c>
      <c r="L645" t="str">
        <f>_xlfn.XLOOKUP(frasest[[#This Row],[autor_es]],autorest[autor_es],autorest[idioma_la])</f>
        <v>Lingua Hebraica</v>
      </c>
      <c r="M645" t="str">
        <f>_xlfn.XLOOKUP(frasest[[#This Row],[autor_es]],autorest[autor_es],autorest[nacion_es])</f>
        <v>Israel</v>
      </c>
      <c r="N645" t="str">
        <f>_xlfn.XLOOKUP(frasest[[#This Row],[autor_es]],autorest[autor_es],autorest[nacion_la])</f>
        <v>Israel</v>
      </c>
      <c r="O645" t="str">
        <f>_xlfn.XLOOKUP(frasest[[#This Row],[autor_es]],autorest[autor_es],autorest[epoca_es])</f>
        <v>Epoca Desconocida</v>
      </c>
      <c r="P645" t="str">
        <f>_xlfn.XLOOKUP(frasest[[#This Row],[autor_es]],autorest[autor_es],autorest[epoca_la])</f>
        <v>Epocha Ignota</v>
      </c>
      <c r="Q645" t="str">
        <f>_xlfn.XLOOKUP(frasest[[#This Row],[autor_es]],autorest[autor_es],autorest[imagen])</f>
        <v>https://i.ibb.co/HDXxrpfv/israel.png</v>
      </c>
      <c r="R645">
        <f>_xlfn.XLOOKUP(frasest[[#This Row],[autor_es]],autorest[autor_es],autorest[imagen_atr])</f>
        <v>0</v>
      </c>
    </row>
    <row r="646" spans="1:18">
      <c r="A646">
        <v>645</v>
      </c>
      <c r="B646" t="s">
        <v>2216</v>
      </c>
      <c r="C646" t="s">
        <v>2217</v>
      </c>
      <c r="D646" t="s">
        <v>2218</v>
      </c>
      <c r="E646" t="s">
        <v>1236</v>
      </c>
      <c r="G646" t="str">
        <f>_xlfn.XLOOKUP(frasest[[#This Row],[autor_es]],autorest[autor_es],autorest[autor_la])</f>
        <v>Sententia Vasconica</v>
      </c>
      <c r="H646" t="str">
        <f>_xlfn.XLOOKUP(frasest[[#This Row],[autor_es]],autorest[autor_es],autorest[bio_es])</f>
        <v>Proverbios de la tradición oral vasca que reflejan la relación con la naturaleza, el trabajo y los valores comunitarios del pueblo vasco.</v>
      </c>
      <c r="I646" t="str">
        <f>_xlfn.XLOOKUP(frasest[[#This Row],[autor_es]],autorest[autor_es],autorest[bio_la])</f>
        <v>Collectio sententiarum Vasconicarum.</v>
      </c>
      <c r="J646" t="str">
        <f>_xlfn.XLOOKUP(frasest[[#This Row],[autor_es]],autorest[autor_es],autorest[codigo])</f>
        <v>eu</v>
      </c>
      <c r="K646" t="str">
        <f>_xlfn.XLOOKUP(frasest[[#This Row],[autor_es]],autorest[autor_es],autorest[idioma_es])</f>
        <v>Euskara</v>
      </c>
      <c r="L646" t="str">
        <f>_xlfn.XLOOKUP(frasest[[#This Row],[autor_es]],autorest[autor_es],autorest[idioma_la])</f>
        <v>Lingua Vasconica</v>
      </c>
      <c r="M646" t="str">
        <f>_xlfn.XLOOKUP(frasest[[#This Row],[autor_es]],autorest[autor_es],autorest[nacion_es])</f>
        <v>España</v>
      </c>
      <c r="N646" t="str">
        <f>_xlfn.XLOOKUP(frasest[[#This Row],[autor_es]],autorest[autor_es],autorest[nacion_la])</f>
        <v>Hispania</v>
      </c>
      <c r="O646" t="str">
        <f>_xlfn.XLOOKUP(frasest[[#This Row],[autor_es]],autorest[autor_es],autorest[epoca_es])</f>
        <v>Epoca Desconocida</v>
      </c>
      <c r="P646" t="str">
        <f>_xlfn.XLOOKUP(frasest[[#This Row],[autor_es]],autorest[autor_es],autorest[epoca_la])</f>
        <v>Epocha Ignota</v>
      </c>
      <c r="Q646" t="str">
        <f>_xlfn.XLOOKUP(frasest[[#This Row],[autor_es]],autorest[autor_es],autorest[imagen])</f>
        <v>https://i.ibb.co/bjgxB3kn/euskadi.png</v>
      </c>
      <c r="R646">
        <f>_xlfn.XLOOKUP(frasest[[#This Row],[autor_es]],autorest[autor_es],autorest[imagen_atr])</f>
        <v>0</v>
      </c>
    </row>
    <row r="647" spans="1:18">
      <c r="A647">
        <v>646</v>
      </c>
      <c r="B647" t="s">
        <v>2219</v>
      </c>
      <c r="C647" t="s">
        <v>2220</v>
      </c>
      <c r="D647" t="s">
        <v>2221</v>
      </c>
      <c r="E647" t="s">
        <v>1236</v>
      </c>
      <c r="G647" t="str">
        <f>_xlfn.XLOOKUP(frasest[[#This Row],[autor_es]],autorest[autor_es],autorest[autor_la])</f>
        <v>Sententia Vasconica</v>
      </c>
      <c r="H647" t="str">
        <f>_xlfn.XLOOKUP(frasest[[#This Row],[autor_es]],autorest[autor_es],autorest[bio_es])</f>
        <v>Proverbios de la tradición oral vasca que reflejan la relación con la naturaleza, el trabajo y los valores comunitarios del pueblo vasco.</v>
      </c>
      <c r="I647" t="str">
        <f>_xlfn.XLOOKUP(frasest[[#This Row],[autor_es]],autorest[autor_es],autorest[bio_la])</f>
        <v>Collectio sententiarum Vasconicarum.</v>
      </c>
      <c r="J647" t="str">
        <f>_xlfn.XLOOKUP(frasest[[#This Row],[autor_es]],autorest[autor_es],autorest[codigo])</f>
        <v>eu</v>
      </c>
      <c r="K647" t="str">
        <f>_xlfn.XLOOKUP(frasest[[#This Row],[autor_es]],autorest[autor_es],autorest[idioma_es])</f>
        <v>Euskara</v>
      </c>
      <c r="L647" t="str">
        <f>_xlfn.XLOOKUP(frasest[[#This Row],[autor_es]],autorest[autor_es],autorest[idioma_la])</f>
        <v>Lingua Vasconica</v>
      </c>
      <c r="M647" t="str">
        <f>_xlfn.XLOOKUP(frasest[[#This Row],[autor_es]],autorest[autor_es],autorest[nacion_es])</f>
        <v>España</v>
      </c>
      <c r="N647" t="str">
        <f>_xlfn.XLOOKUP(frasest[[#This Row],[autor_es]],autorest[autor_es],autorest[nacion_la])</f>
        <v>Hispania</v>
      </c>
      <c r="O647" t="str">
        <f>_xlfn.XLOOKUP(frasest[[#This Row],[autor_es]],autorest[autor_es],autorest[epoca_es])</f>
        <v>Epoca Desconocida</v>
      </c>
      <c r="P647" t="str">
        <f>_xlfn.XLOOKUP(frasest[[#This Row],[autor_es]],autorest[autor_es],autorest[epoca_la])</f>
        <v>Epocha Ignota</v>
      </c>
      <c r="Q647" t="str">
        <f>_xlfn.XLOOKUP(frasest[[#This Row],[autor_es]],autorest[autor_es],autorest[imagen])</f>
        <v>https://i.ibb.co/bjgxB3kn/euskadi.png</v>
      </c>
      <c r="R647">
        <f>_xlfn.XLOOKUP(frasest[[#This Row],[autor_es]],autorest[autor_es],autorest[imagen_atr])</f>
        <v>0</v>
      </c>
    </row>
    <row r="648" spans="1:18">
      <c r="A648">
        <v>647</v>
      </c>
      <c r="B648" t="s">
        <v>2222</v>
      </c>
      <c r="C648" t="s">
        <v>2223</v>
      </c>
      <c r="D648" t="s">
        <v>2224</v>
      </c>
      <c r="E648" t="s">
        <v>1236</v>
      </c>
      <c r="G648" t="str">
        <f>_xlfn.XLOOKUP(frasest[[#This Row],[autor_es]],autorest[autor_es],autorest[autor_la])</f>
        <v>Sententia Vasconica</v>
      </c>
      <c r="H648" t="str">
        <f>_xlfn.XLOOKUP(frasest[[#This Row],[autor_es]],autorest[autor_es],autorest[bio_es])</f>
        <v>Proverbios de la tradición oral vasca que reflejan la relación con la naturaleza, el trabajo y los valores comunitarios del pueblo vasco.</v>
      </c>
      <c r="I648" t="str">
        <f>_xlfn.XLOOKUP(frasest[[#This Row],[autor_es]],autorest[autor_es],autorest[bio_la])</f>
        <v>Collectio sententiarum Vasconicarum.</v>
      </c>
      <c r="J648" t="str">
        <f>_xlfn.XLOOKUP(frasest[[#This Row],[autor_es]],autorest[autor_es],autorest[codigo])</f>
        <v>eu</v>
      </c>
      <c r="K648" t="str">
        <f>_xlfn.XLOOKUP(frasest[[#This Row],[autor_es]],autorest[autor_es],autorest[idioma_es])</f>
        <v>Euskara</v>
      </c>
      <c r="L648" t="str">
        <f>_xlfn.XLOOKUP(frasest[[#This Row],[autor_es]],autorest[autor_es],autorest[idioma_la])</f>
        <v>Lingua Vasconica</v>
      </c>
      <c r="M648" t="str">
        <f>_xlfn.XLOOKUP(frasest[[#This Row],[autor_es]],autorest[autor_es],autorest[nacion_es])</f>
        <v>España</v>
      </c>
      <c r="N648" t="str">
        <f>_xlfn.XLOOKUP(frasest[[#This Row],[autor_es]],autorest[autor_es],autorest[nacion_la])</f>
        <v>Hispania</v>
      </c>
      <c r="O648" t="str">
        <f>_xlfn.XLOOKUP(frasest[[#This Row],[autor_es]],autorest[autor_es],autorest[epoca_es])</f>
        <v>Epoca Desconocida</v>
      </c>
      <c r="P648" t="str">
        <f>_xlfn.XLOOKUP(frasest[[#This Row],[autor_es]],autorest[autor_es],autorest[epoca_la])</f>
        <v>Epocha Ignota</v>
      </c>
      <c r="Q648" t="str">
        <f>_xlfn.XLOOKUP(frasest[[#This Row],[autor_es]],autorest[autor_es],autorest[imagen])</f>
        <v>https://i.ibb.co/bjgxB3kn/euskadi.png</v>
      </c>
      <c r="R648">
        <f>_xlfn.XLOOKUP(frasest[[#This Row],[autor_es]],autorest[autor_es],autorest[imagen_atr])</f>
        <v>0</v>
      </c>
    </row>
    <row r="649" spans="1:18">
      <c r="A649">
        <v>648</v>
      </c>
      <c r="B649" t="s">
        <v>2225</v>
      </c>
      <c r="C649" t="s">
        <v>2226</v>
      </c>
      <c r="D649" t="s">
        <v>2227</v>
      </c>
      <c r="E649" t="s">
        <v>1236</v>
      </c>
      <c r="G649" t="str">
        <f>_xlfn.XLOOKUP(frasest[[#This Row],[autor_es]],autorest[autor_es],autorest[autor_la])</f>
        <v>Sententia Vasconica</v>
      </c>
      <c r="H649" t="str">
        <f>_xlfn.XLOOKUP(frasest[[#This Row],[autor_es]],autorest[autor_es],autorest[bio_es])</f>
        <v>Proverbios de la tradición oral vasca que reflejan la relación con la naturaleza, el trabajo y los valores comunitarios del pueblo vasco.</v>
      </c>
      <c r="I649" t="str">
        <f>_xlfn.XLOOKUP(frasest[[#This Row],[autor_es]],autorest[autor_es],autorest[bio_la])</f>
        <v>Collectio sententiarum Vasconicarum.</v>
      </c>
      <c r="J649" t="str">
        <f>_xlfn.XLOOKUP(frasest[[#This Row],[autor_es]],autorest[autor_es],autorest[codigo])</f>
        <v>eu</v>
      </c>
      <c r="K649" t="str">
        <f>_xlfn.XLOOKUP(frasest[[#This Row],[autor_es]],autorest[autor_es],autorest[idioma_es])</f>
        <v>Euskara</v>
      </c>
      <c r="L649" t="str">
        <f>_xlfn.XLOOKUP(frasest[[#This Row],[autor_es]],autorest[autor_es],autorest[idioma_la])</f>
        <v>Lingua Vasconica</v>
      </c>
      <c r="M649" t="str">
        <f>_xlfn.XLOOKUP(frasest[[#This Row],[autor_es]],autorest[autor_es],autorest[nacion_es])</f>
        <v>España</v>
      </c>
      <c r="N649" t="str">
        <f>_xlfn.XLOOKUP(frasest[[#This Row],[autor_es]],autorest[autor_es],autorest[nacion_la])</f>
        <v>Hispania</v>
      </c>
      <c r="O649" t="str">
        <f>_xlfn.XLOOKUP(frasest[[#This Row],[autor_es]],autorest[autor_es],autorest[epoca_es])</f>
        <v>Epoca Desconocida</v>
      </c>
      <c r="P649" t="str">
        <f>_xlfn.XLOOKUP(frasest[[#This Row],[autor_es]],autorest[autor_es],autorest[epoca_la])</f>
        <v>Epocha Ignota</v>
      </c>
      <c r="Q649" t="str">
        <f>_xlfn.XLOOKUP(frasest[[#This Row],[autor_es]],autorest[autor_es],autorest[imagen])</f>
        <v>https://i.ibb.co/bjgxB3kn/euskadi.png</v>
      </c>
      <c r="R649">
        <f>_xlfn.XLOOKUP(frasest[[#This Row],[autor_es]],autorest[autor_es],autorest[imagen_atr])</f>
        <v>0</v>
      </c>
    </row>
    <row r="650" spans="1:18">
      <c r="A650">
        <v>649</v>
      </c>
      <c r="B650" t="s">
        <v>2228</v>
      </c>
      <c r="C650" t="s">
        <v>2229</v>
      </c>
      <c r="D650" t="s">
        <v>2230</v>
      </c>
      <c r="E650" t="s">
        <v>1236</v>
      </c>
      <c r="G650" t="str">
        <f>_xlfn.XLOOKUP(frasest[[#This Row],[autor_es]],autorest[autor_es],autorest[autor_la])</f>
        <v>Sententia Vasconica</v>
      </c>
      <c r="H650" t="str">
        <f>_xlfn.XLOOKUP(frasest[[#This Row],[autor_es]],autorest[autor_es],autorest[bio_es])</f>
        <v>Proverbios de la tradición oral vasca que reflejan la relación con la naturaleza, el trabajo y los valores comunitarios del pueblo vasco.</v>
      </c>
      <c r="I650" t="str">
        <f>_xlfn.XLOOKUP(frasest[[#This Row],[autor_es]],autorest[autor_es],autorest[bio_la])</f>
        <v>Collectio sententiarum Vasconicarum.</v>
      </c>
      <c r="J650" t="str">
        <f>_xlfn.XLOOKUP(frasest[[#This Row],[autor_es]],autorest[autor_es],autorest[codigo])</f>
        <v>eu</v>
      </c>
      <c r="K650" t="str">
        <f>_xlfn.XLOOKUP(frasest[[#This Row],[autor_es]],autorest[autor_es],autorest[idioma_es])</f>
        <v>Euskara</v>
      </c>
      <c r="L650" t="str">
        <f>_xlfn.XLOOKUP(frasest[[#This Row],[autor_es]],autorest[autor_es],autorest[idioma_la])</f>
        <v>Lingua Vasconica</v>
      </c>
      <c r="M650" t="str">
        <f>_xlfn.XLOOKUP(frasest[[#This Row],[autor_es]],autorest[autor_es],autorest[nacion_es])</f>
        <v>España</v>
      </c>
      <c r="N650" t="str">
        <f>_xlfn.XLOOKUP(frasest[[#This Row],[autor_es]],autorest[autor_es],autorest[nacion_la])</f>
        <v>Hispania</v>
      </c>
      <c r="O650" t="str">
        <f>_xlfn.XLOOKUP(frasest[[#This Row],[autor_es]],autorest[autor_es],autorest[epoca_es])</f>
        <v>Epoca Desconocida</v>
      </c>
      <c r="P650" t="str">
        <f>_xlfn.XLOOKUP(frasest[[#This Row],[autor_es]],autorest[autor_es],autorest[epoca_la])</f>
        <v>Epocha Ignota</v>
      </c>
      <c r="Q650" t="str">
        <f>_xlfn.XLOOKUP(frasest[[#This Row],[autor_es]],autorest[autor_es],autorest[imagen])</f>
        <v>https://i.ibb.co/bjgxB3kn/euskadi.png</v>
      </c>
      <c r="R650">
        <f>_xlfn.XLOOKUP(frasest[[#This Row],[autor_es]],autorest[autor_es],autorest[imagen_atr])</f>
        <v>0</v>
      </c>
    </row>
    <row r="651" spans="1:18">
      <c r="A651">
        <v>650</v>
      </c>
      <c r="B651" t="s">
        <v>2231</v>
      </c>
      <c r="C651" t="s">
        <v>2232</v>
      </c>
      <c r="D651" t="s">
        <v>2233</v>
      </c>
      <c r="E651" t="s">
        <v>1236</v>
      </c>
      <c r="G651" t="str">
        <f>_xlfn.XLOOKUP(frasest[[#This Row],[autor_es]],autorest[autor_es],autorest[autor_la])</f>
        <v>Sententia Vasconica</v>
      </c>
      <c r="H651" t="str">
        <f>_xlfn.XLOOKUP(frasest[[#This Row],[autor_es]],autorest[autor_es],autorest[bio_es])</f>
        <v>Proverbios de la tradición oral vasca que reflejan la relación con la naturaleza, el trabajo y los valores comunitarios del pueblo vasco.</v>
      </c>
      <c r="I651" t="str">
        <f>_xlfn.XLOOKUP(frasest[[#This Row],[autor_es]],autorest[autor_es],autorest[bio_la])</f>
        <v>Collectio sententiarum Vasconicarum.</v>
      </c>
      <c r="J651" t="str">
        <f>_xlfn.XLOOKUP(frasest[[#This Row],[autor_es]],autorest[autor_es],autorest[codigo])</f>
        <v>eu</v>
      </c>
      <c r="K651" t="str">
        <f>_xlfn.XLOOKUP(frasest[[#This Row],[autor_es]],autorest[autor_es],autorest[idioma_es])</f>
        <v>Euskara</v>
      </c>
      <c r="L651" t="str">
        <f>_xlfn.XLOOKUP(frasest[[#This Row],[autor_es]],autorest[autor_es],autorest[idioma_la])</f>
        <v>Lingua Vasconica</v>
      </c>
      <c r="M651" t="str">
        <f>_xlfn.XLOOKUP(frasest[[#This Row],[autor_es]],autorest[autor_es],autorest[nacion_es])</f>
        <v>España</v>
      </c>
      <c r="N651" t="str">
        <f>_xlfn.XLOOKUP(frasest[[#This Row],[autor_es]],autorest[autor_es],autorest[nacion_la])</f>
        <v>Hispania</v>
      </c>
      <c r="O651" t="str">
        <f>_xlfn.XLOOKUP(frasest[[#This Row],[autor_es]],autorest[autor_es],autorest[epoca_es])</f>
        <v>Epoca Desconocida</v>
      </c>
      <c r="P651" t="str">
        <f>_xlfn.XLOOKUP(frasest[[#This Row],[autor_es]],autorest[autor_es],autorest[epoca_la])</f>
        <v>Epocha Ignota</v>
      </c>
      <c r="Q651" t="str">
        <f>_xlfn.XLOOKUP(frasest[[#This Row],[autor_es]],autorest[autor_es],autorest[imagen])</f>
        <v>https://i.ibb.co/bjgxB3kn/euskadi.png</v>
      </c>
      <c r="R651">
        <f>_xlfn.XLOOKUP(frasest[[#This Row],[autor_es]],autorest[autor_es],autorest[imagen_atr])</f>
        <v>0</v>
      </c>
    </row>
    <row r="652" spans="1:18">
      <c r="A652">
        <v>651</v>
      </c>
      <c r="B652" t="s">
        <v>2234</v>
      </c>
      <c r="C652" t="s">
        <v>2235</v>
      </c>
      <c r="D652" t="s">
        <v>2236</v>
      </c>
      <c r="E652" t="s">
        <v>1236</v>
      </c>
      <c r="G652" t="str">
        <f>_xlfn.XLOOKUP(frasest[[#This Row],[autor_es]],autorest[autor_es],autorest[autor_la])</f>
        <v>Sententia Vasconica</v>
      </c>
      <c r="H652" t="str">
        <f>_xlfn.XLOOKUP(frasest[[#This Row],[autor_es]],autorest[autor_es],autorest[bio_es])</f>
        <v>Proverbios de la tradición oral vasca que reflejan la relación con la naturaleza, el trabajo y los valores comunitarios del pueblo vasco.</v>
      </c>
      <c r="I652" t="str">
        <f>_xlfn.XLOOKUP(frasest[[#This Row],[autor_es]],autorest[autor_es],autorest[bio_la])</f>
        <v>Collectio sententiarum Vasconicarum.</v>
      </c>
      <c r="J652" t="str">
        <f>_xlfn.XLOOKUP(frasest[[#This Row],[autor_es]],autorest[autor_es],autorest[codigo])</f>
        <v>eu</v>
      </c>
      <c r="K652" t="str">
        <f>_xlfn.XLOOKUP(frasest[[#This Row],[autor_es]],autorest[autor_es],autorest[idioma_es])</f>
        <v>Euskara</v>
      </c>
      <c r="L652" t="str">
        <f>_xlfn.XLOOKUP(frasest[[#This Row],[autor_es]],autorest[autor_es],autorest[idioma_la])</f>
        <v>Lingua Vasconica</v>
      </c>
      <c r="M652" t="str">
        <f>_xlfn.XLOOKUP(frasest[[#This Row],[autor_es]],autorest[autor_es],autorest[nacion_es])</f>
        <v>España</v>
      </c>
      <c r="N652" t="str">
        <f>_xlfn.XLOOKUP(frasest[[#This Row],[autor_es]],autorest[autor_es],autorest[nacion_la])</f>
        <v>Hispania</v>
      </c>
      <c r="O652" t="str">
        <f>_xlfn.XLOOKUP(frasest[[#This Row],[autor_es]],autorest[autor_es],autorest[epoca_es])</f>
        <v>Epoca Desconocida</v>
      </c>
      <c r="P652" t="str">
        <f>_xlfn.XLOOKUP(frasest[[#This Row],[autor_es]],autorest[autor_es],autorest[epoca_la])</f>
        <v>Epocha Ignota</v>
      </c>
      <c r="Q652" t="str">
        <f>_xlfn.XLOOKUP(frasest[[#This Row],[autor_es]],autorest[autor_es],autorest[imagen])</f>
        <v>https://i.ibb.co/bjgxB3kn/euskadi.png</v>
      </c>
      <c r="R652">
        <f>_xlfn.XLOOKUP(frasest[[#This Row],[autor_es]],autorest[autor_es],autorest[imagen_atr])</f>
        <v>0</v>
      </c>
    </row>
    <row r="653" spans="1:18">
      <c r="A653">
        <v>652</v>
      </c>
      <c r="B653" t="s">
        <v>2237</v>
      </c>
      <c r="C653" t="s">
        <v>2238</v>
      </c>
      <c r="D653" t="s">
        <v>2239</v>
      </c>
      <c r="E653" t="s">
        <v>1236</v>
      </c>
      <c r="G653" t="str">
        <f>_xlfn.XLOOKUP(frasest[[#This Row],[autor_es]],autorest[autor_es],autorest[autor_la])</f>
        <v>Sententia Vasconica</v>
      </c>
      <c r="H653" t="str">
        <f>_xlfn.XLOOKUP(frasest[[#This Row],[autor_es]],autorest[autor_es],autorest[bio_es])</f>
        <v>Proverbios de la tradición oral vasca que reflejan la relación con la naturaleza, el trabajo y los valores comunitarios del pueblo vasco.</v>
      </c>
      <c r="I653" t="str">
        <f>_xlfn.XLOOKUP(frasest[[#This Row],[autor_es]],autorest[autor_es],autorest[bio_la])</f>
        <v>Collectio sententiarum Vasconicarum.</v>
      </c>
      <c r="J653" t="str">
        <f>_xlfn.XLOOKUP(frasest[[#This Row],[autor_es]],autorest[autor_es],autorest[codigo])</f>
        <v>eu</v>
      </c>
      <c r="K653" t="str">
        <f>_xlfn.XLOOKUP(frasest[[#This Row],[autor_es]],autorest[autor_es],autorest[idioma_es])</f>
        <v>Euskara</v>
      </c>
      <c r="L653" t="str">
        <f>_xlfn.XLOOKUP(frasest[[#This Row],[autor_es]],autorest[autor_es],autorest[idioma_la])</f>
        <v>Lingua Vasconica</v>
      </c>
      <c r="M653" t="str">
        <f>_xlfn.XLOOKUP(frasest[[#This Row],[autor_es]],autorest[autor_es],autorest[nacion_es])</f>
        <v>España</v>
      </c>
      <c r="N653" t="str">
        <f>_xlfn.XLOOKUP(frasest[[#This Row],[autor_es]],autorest[autor_es],autorest[nacion_la])</f>
        <v>Hispania</v>
      </c>
      <c r="O653" t="str">
        <f>_xlfn.XLOOKUP(frasest[[#This Row],[autor_es]],autorest[autor_es],autorest[epoca_es])</f>
        <v>Epoca Desconocida</v>
      </c>
      <c r="P653" t="str">
        <f>_xlfn.XLOOKUP(frasest[[#This Row],[autor_es]],autorest[autor_es],autorest[epoca_la])</f>
        <v>Epocha Ignota</v>
      </c>
      <c r="Q653" t="str">
        <f>_xlfn.XLOOKUP(frasest[[#This Row],[autor_es]],autorest[autor_es],autorest[imagen])</f>
        <v>https://i.ibb.co/bjgxB3kn/euskadi.png</v>
      </c>
      <c r="R653">
        <f>_xlfn.XLOOKUP(frasest[[#This Row],[autor_es]],autorest[autor_es],autorest[imagen_atr])</f>
        <v>0</v>
      </c>
    </row>
    <row r="654" spans="1:18">
      <c r="A654">
        <v>653</v>
      </c>
      <c r="B654" t="s">
        <v>2240</v>
      </c>
      <c r="C654" t="s">
        <v>2241</v>
      </c>
      <c r="D654" t="s">
        <v>2242</v>
      </c>
      <c r="E654" t="s">
        <v>1236</v>
      </c>
      <c r="G654" t="str">
        <f>_xlfn.XLOOKUP(frasest[[#This Row],[autor_es]],autorest[autor_es],autorest[autor_la])</f>
        <v>Sententia Vasconica</v>
      </c>
      <c r="H654" t="str">
        <f>_xlfn.XLOOKUP(frasest[[#This Row],[autor_es]],autorest[autor_es],autorest[bio_es])</f>
        <v>Proverbios de la tradición oral vasca que reflejan la relación con la naturaleza, el trabajo y los valores comunitarios del pueblo vasco.</v>
      </c>
      <c r="I654" t="str">
        <f>_xlfn.XLOOKUP(frasest[[#This Row],[autor_es]],autorest[autor_es],autorest[bio_la])</f>
        <v>Collectio sententiarum Vasconicarum.</v>
      </c>
      <c r="J654" t="str">
        <f>_xlfn.XLOOKUP(frasest[[#This Row],[autor_es]],autorest[autor_es],autorest[codigo])</f>
        <v>eu</v>
      </c>
      <c r="K654" t="str">
        <f>_xlfn.XLOOKUP(frasest[[#This Row],[autor_es]],autorest[autor_es],autorest[idioma_es])</f>
        <v>Euskara</v>
      </c>
      <c r="L654" t="str">
        <f>_xlfn.XLOOKUP(frasest[[#This Row],[autor_es]],autorest[autor_es],autorest[idioma_la])</f>
        <v>Lingua Vasconica</v>
      </c>
      <c r="M654" t="str">
        <f>_xlfn.XLOOKUP(frasest[[#This Row],[autor_es]],autorest[autor_es],autorest[nacion_es])</f>
        <v>España</v>
      </c>
      <c r="N654" t="str">
        <f>_xlfn.XLOOKUP(frasest[[#This Row],[autor_es]],autorest[autor_es],autorest[nacion_la])</f>
        <v>Hispania</v>
      </c>
      <c r="O654" t="str">
        <f>_xlfn.XLOOKUP(frasest[[#This Row],[autor_es]],autorest[autor_es],autorest[epoca_es])</f>
        <v>Epoca Desconocida</v>
      </c>
      <c r="P654" t="str">
        <f>_xlfn.XLOOKUP(frasest[[#This Row],[autor_es]],autorest[autor_es],autorest[epoca_la])</f>
        <v>Epocha Ignota</v>
      </c>
      <c r="Q654" t="str">
        <f>_xlfn.XLOOKUP(frasest[[#This Row],[autor_es]],autorest[autor_es],autorest[imagen])</f>
        <v>https://i.ibb.co/bjgxB3kn/euskadi.png</v>
      </c>
      <c r="R654">
        <f>_xlfn.XLOOKUP(frasest[[#This Row],[autor_es]],autorest[autor_es],autorest[imagen_atr])</f>
        <v>0</v>
      </c>
    </row>
    <row r="655" spans="1:18">
      <c r="A655">
        <v>654</v>
      </c>
      <c r="B655" t="s">
        <v>2243</v>
      </c>
      <c r="C655" t="s">
        <v>2244</v>
      </c>
      <c r="D655" t="s">
        <v>2245</v>
      </c>
      <c r="E655" t="s">
        <v>1236</v>
      </c>
      <c r="G655" t="str">
        <f>_xlfn.XLOOKUP(frasest[[#This Row],[autor_es]],autorest[autor_es],autorest[autor_la])</f>
        <v>Sententia Vasconica</v>
      </c>
      <c r="H655" t="str">
        <f>_xlfn.XLOOKUP(frasest[[#This Row],[autor_es]],autorest[autor_es],autorest[bio_es])</f>
        <v>Proverbios de la tradición oral vasca que reflejan la relación con la naturaleza, el trabajo y los valores comunitarios del pueblo vasco.</v>
      </c>
      <c r="I655" t="str">
        <f>_xlfn.XLOOKUP(frasest[[#This Row],[autor_es]],autorest[autor_es],autorest[bio_la])</f>
        <v>Collectio sententiarum Vasconicarum.</v>
      </c>
      <c r="J655" t="str">
        <f>_xlfn.XLOOKUP(frasest[[#This Row],[autor_es]],autorest[autor_es],autorest[codigo])</f>
        <v>eu</v>
      </c>
      <c r="K655" t="str">
        <f>_xlfn.XLOOKUP(frasest[[#This Row],[autor_es]],autorest[autor_es],autorest[idioma_es])</f>
        <v>Euskara</v>
      </c>
      <c r="L655" t="str">
        <f>_xlfn.XLOOKUP(frasest[[#This Row],[autor_es]],autorest[autor_es],autorest[idioma_la])</f>
        <v>Lingua Vasconica</v>
      </c>
      <c r="M655" t="str">
        <f>_xlfn.XLOOKUP(frasest[[#This Row],[autor_es]],autorest[autor_es],autorest[nacion_es])</f>
        <v>España</v>
      </c>
      <c r="N655" t="str">
        <f>_xlfn.XLOOKUP(frasest[[#This Row],[autor_es]],autorest[autor_es],autorest[nacion_la])</f>
        <v>Hispania</v>
      </c>
      <c r="O655" t="str">
        <f>_xlfn.XLOOKUP(frasest[[#This Row],[autor_es]],autorest[autor_es],autorest[epoca_es])</f>
        <v>Epoca Desconocida</v>
      </c>
      <c r="P655" t="str">
        <f>_xlfn.XLOOKUP(frasest[[#This Row],[autor_es]],autorest[autor_es],autorest[epoca_la])</f>
        <v>Epocha Ignota</v>
      </c>
      <c r="Q655" t="str">
        <f>_xlfn.XLOOKUP(frasest[[#This Row],[autor_es]],autorest[autor_es],autorest[imagen])</f>
        <v>https://i.ibb.co/bjgxB3kn/euskadi.png</v>
      </c>
      <c r="R655">
        <f>_xlfn.XLOOKUP(frasest[[#This Row],[autor_es]],autorest[autor_es],autorest[imagen_atr])</f>
        <v>0</v>
      </c>
    </row>
    <row r="656" spans="1:18">
      <c r="A656">
        <v>655</v>
      </c>
      <c r="B656" t="s">
        <v>2246</v>
      </c>
      <c r="C656" t="s">
        <v>2247</v>
      </c>
      <c r="D656" t="s">
        <v>2248</v>
      </c>
      <c r="E656" t="s">
        <v>1236</v>
      </c>
      <c r="G656" t="str">
        <f>_xlfn.XLOOKUP(frasest[[#This Row],[autor_es]],autorest[autor_es],autorest[autor_la])</f>
        <v>Sententia Vasconica</v>
      </c>
      <c r="H656" t="str">
        <f>_xlfn.XLOOKUP(frasest[[#This Row],[autor_es]],autorest[autor_es],autorest[bio_es])</f>
        <v>Proverbios de la tradición oral vasca que reflejan la relación con la naturaleza, el trabajo y los valores comunitarios del pueblo vasco.</v>
      </c>
      <c r="I656" t="str">
        <f>_xlfn.XLOOKUP(frasest[[#This Row],[autor_es]],autorest[autor_es],autorest[bio_la])</f>
        <v>Collectio sententiarum Vasconicarum.</v>
      </c>
      <c r="J656" t="str">
        <f>_xlfn.XLOOKUP(frasest[[#This Row],[autor_es]],autorest[autor_es],autorest[codigo])</f>
        <v>eu</v>
      </c>
      <c r="K656" t="str">
        <f>_xlfn.XLOOKUP(frasest[[#This Row],[autor_es]],autorest[autor_es],autorest[idioma_es])</f>
        <v>Euskara</v>
      </c>
      <c r="L656" t="str">
        <f>_xlfn.XLOOKUP(frasest[[#This Row],[autor_es]],autorest[autor_es],autorest[idioma_la])</f>
        <v>Lingua Vasconica</v>
      </c>
      <c r="M656" t="str">
        <f>_xlfn.XLOOKUP(frasest[[#This Row],[autor_es]],autorest[autor_es],autorest[nacion_es])</f>
        <v>España</v>
      </c>
      <c r="N656" t="str">
        <f>_xlfn.XLOOKUP(frasest[[#This Row],[autor_es]],autorest[autor_es],autorest[nacion_la])</f>
        <v>Hispania</v>
      </c>
      <c r="O656" t="str">
        <f>_xlfn.XLOOKUP(frasest[[#This Row],[autor_es]],autorest[autor_es],autorest[epoca_es])</f>
        <v>Epoca Desconocida</v>
      </c>
      <c r="P656" t="str">
        <f>_xlfn.XLOOKUP(frasest[[#This Row],[autor_es]],autorest[autor_es],autorest[epoca_la])</f>
        <v>Epocha Ignota</v>
      </c>
      <c r="Q656" t="str">
        <f>_xlfn.XLOOKUP(frasest[[#This Row],[autor_es]],autorest[autor_es],autorest[imagen])</f>
        <v>https://i.ibb.co/bjgxB3kn/euskadi.png</v>
      </c>
      <c r="R656">
        <f>_xlfn.XLOOKUP(frasest[[#This Row],[autor_es]],autorest[autor_es],autorest[imagen_atr])</f>
        <v>0</v>
      </c>
    </row>
    <row r="657" spans="1:18">
      <c r="A657">
        <v>656</v>
      </c>
      <c r="B657" t="s">
        <v>2249</v>
      </c>
      <c r="C657" t="s">
        <v>2250</v>
      </c>
      <c r="D657" t="s">
        <v>2251</v>
      </c>
      <c r="E657" t="s">
        <v>1236</v>
      </c>
      <c r="G657" t="str">
        <f>_xlfn.XLOOKUP(frasest[[#This Row],[autor_es]],autorest[autor_es],autorest[autor_la])</f>
        <v>Sententia Vasconica</v>
      </c>
      <c r="H657" t="str">
        <f>_xlfn.XLOOKUP(frasest[[#This Row],[autor_es]],autorest[autor_es],autorest[bio_es])</f>
        <v>Proverbios de la tradición oral vasca que reflejan la relación con la naturaleza, el trabajo y los valores comunitarios del pueblo vasco.</v>
      </c>
      <c r="I657" t="str">
        <f>_xlfn.XLOOKUP(frasest[[#This Row],[autor_es]],autorest[autor_es],autorest[bio_la])</f>
        <v>Collectio sententiarum Vasconicarum.</v>
      </c>
      <c r="J657" t="str">
        <f>_xlfn.XLOOKUP(frasest[[#This Row],[autor_es]],autorest[autor_es],autorest[codigo])</f>
        <v>eu</v>
      </c>
      <c r="K657" t="str">
        <f>_xlfn.XLOOKUP(frasest[[#This Row],[autor_es]],autorest[autor_es],autorest[idioma_es])</f>
        <v>Euskara</v>
      </c>
      <c r="L657" t="str">
        <f>_xlfn.XLOOKUP(frasest[[#This Row],[autor_es]],autorest[autor_es],autorest[idioma_la])</f>
        <v>Lingua Vasconica</v>
      </c>
      <c r="M657" t="str">
        <f>_xlfn.XLOOKUP(frasest[[#This Row],[autor_es]],autorest[autor_es],autorest[nacion_es])</f>
        <v>España</v>
      </c>
      <c r="N657" t="str">
        <f>_xlfn.XLOOKUP(frasest[[#This Row],[autor_es]],autorest[autor_es],autorest[nacion_la])</f>
        <v>Hispania</v>
      </c>
      <c r="O657" t="str">
        <f>_xlfn.XLOOKUP(frasest[[#This Row],[autor_es]],autorest[autor_es],autorest[epoca_es])</f>
        <v>Epoca Desconocida</v>
      </c>
      <c r="P657" t="str">
        <f>_xlfn.XLOOKUP(frasest[[#This Row],[autor_es]],autorest[autor_es],autorest[epoca_la])</f>
        <v>Epocha Ignota</v>
      </c>
      <c r="Q657" t="str">
        <f>_xlfn.XLOOKUP(frasest[[#This Row],[autor_es]],autorest[autor_es],autorest[imagen])</f>
        <v>https://i.ibb.co/bjgxB3kn/euskadi.png</v>
      </c>
      <c r="R657">
        <f>_xlfn.XLOOKUP(frasest[[#This Row],[autor_es]],autorest[autor_es],autorest[imagen_atr])</f>
        <v>0</v>
      </c>
    </row>
    <row r="658" spans="1:18">
      <c r="A658">
        <v>657</v>
      </c>
      <c r="B658" t="s">
        <v>2252</v>
      </c>
      <c r="C658" t="s">
        <v>2253</v>
      </c>
      <c r="D658" t="s">
        <v>2254</v>
      </c>
      <c r="E658" t="s">
        <v>1236</v>
      </c>
      <c r="G658" t="str">
        <f>_xlfn.XLOOKUP(frasest[[#This Row],[autor_es]],autorest[autor_es],autorest[autor_la])</f>
        <v>Sententia Vasconica</v>
      </c>
      <c r="H658" t="str">
        <f>_xlfn.XLOOKUP(frasest[[#This Row],[autor_es]],autorest[autor_es],autorest[bio_es])</f>
        <v>Proverbios de la tradición oral vasca que reflejan la relación con la naturaleza, el trabajo y los valores comunitarios del pueblo vasco.</v>
      </c>
      <c r="I658" t="str">
        <f>_xlfn.XLOOKUP(frasest[[#This Row],[autor_es]],autorest[autor_es],autorest[bio_la])</f>
        <v>Collectio sententiarum Vasconicarum.</v>
      </c>
      <c r="J658" t="str">
        <f>_xlfn.XLOOKUP(frasest[[#This Row],[autor_es]],autorest[autor_es],autorest[codigo])</f>
        <v>eu</v>
      </c>
      <c r="K658" t="str">
        <f>_xlfn.XLOOKUP(frasest[[#This Row],[autor_es]],autorest[autor_es],autorest[idioma_es])</f>
        <v>Euskara</v>
      </c>
      <c r="L658" t="str">
        <f>_xlfn.XLOOKUP(frasest[[#This Row],[autor_es]],autorest[autor_es],autorest[idioma_la])</f>
        <v>Lingua Vasconica</v>
      </c>
      <c r="M658" t="str">
        <f>_xlfn.XLOOKUP(frasest[[#This Row],[autor_es]],autorest[autor_es],autorest[nacion_es])</f>
        <v>España</v>
      </c>
      <c r="N658" t="str">
        <f>_xlfn.XLOOKUP(frasest[[#This Row],[autor_es]],autorest[autor_es],autorest[nacion_la])</f>
        <v>Hispania</v>
      </c>
      <c r="O658" t="str">
        <f>_xlfn.XLOOKUP(frasest[[#This Row],[autor_es]],autorest[autor_es],autorest[epoca_es])</f>
        <v>Epoca Desconocida</v>
      </c>
      <c r="P658" t="str">
        <f>_xlfn.XLOOKUP(frasest[[#This Row],[autor_es]],autorest[autor_es],autorest[epoca_la])</f>
        <v>Epocha Ignota</v>
      </c>
      <c r="Q658" t="str">
        <f>_xlfn.XLOOKUP(frasest[[#This Row],[autor_es]],autorest[autor_es],autorest[imagen])</f>
        <v>https://i.ibb.co/bjgxB3kn/euskadi.png</v>
      </c>
      <c r="R658">
        <f>_xlfn.XLOOKUP(frasest[[#This Row],[autor_es]],autorest[autor_es],autorest[imagen_atr])</f>
        <v>0</v>
      </c>
    </row>
    <row r="659" spans="1:18">
      <c r="A659">
        <v>658</v>
      </c>
      <c r="B659" t="s">
        <v>2255</v>
      </c>
      <c r="C659" t="s">
        <v>2256</v>
      </c>
      <c r="D659" t="s">
        <v>2257</v>
      </c>
      <c r="E659" t="s">
        <v>1236</v>
      </c>
      <c r="G659" t="str">
        <f>_xlfn.XLOOKUP(frasest[[#This Row],[autor_es]],autorest[autor_es],autorest[autor_la])</f>
        <v>Sententia Vasconica</v>
      </c>
      <c r="H659" t="str">
        <f>_xlfn.XLOOKUP(frasest[[#This Row],[autor_es]],autorest[autor_es],autorest[bio_es])</f>
        <v>Proverbios de la tradición oral vasca que reflejan la relación con la naturaleza, el trabajo y los valores comunitarios del pueblo vasco.</v>
      </c>
      <c r="I659" t="str">
        <f>_xlfn.XLOOKUP(frasest[[#This Row],[autor_es]],autorest[autor_es],autorest[bio_la])</f>
        <v>Collectio sententiarum Vasconicarum.</v>
      </c>
      <c r="J659" t="str">
        <f>_xlfn.XLOOKUP(frasest[[#This Row],[autor_es]],autorest[autor_es],autorest[codigo])</f>
        <v>eu</v>
      </c>
      <c r="K659" t="str">
        <f>_xlfn.XLOOKUP(frasest[[#This Row],[autor_es]],autorest[autor_es],autorest[idioma_es])</f>
        <v>Euskara</v>
      </c>
      <c r="L659" t="str">
        <f>_xlfn.XLOOKUP(frasest[[#This Row],[autor_es]],autorest[autor_es],autorest[idioma_la])</f>
        <v>Lingua Vasconica</v>
      </c>
      <c r="M659" t="str">
        <f>_xlfn.XLOOKUP(frasest[[#This Row],[autor_es]],autorest[autor_es],autorest[nacion_es])</f>
        <v>España</v>
      </c>
      <c r="N659" t="str">
        <f>_xlfn.XLOOKUP(frasest[[#This Row],[autor_es]],autorest[autor_es],autorest[nacion_la])</f>
        <v>Hispania</v>
      </c>
      <c r="O659" t="str">
        <f>_xlfn.XLOOKUP(frasest[[#This Row],[autor_es]],autorest[autor_es],autorest[epoca_es])</f>
        <v>Epoca Desconocida</v>
      </c>
      <c r="P659" t="str">
        <f>_xlfn.XLOOKUP(frasest[[#This Row],[autor_es]],autorest[autor_es],autorest[epoca_la])</f>
        <v>Epocha Ignota</v>
      </c>
      <c r="Q659" t="str">
        <f>_xlfn.XLOOKUP(frasest[[#This Row],[autor_es]],autorest[autor_es],autorest[imagen])</f>
        <v>https://i.ibb.co/bjgxB3kn/euskadi.png</v>
      </c>
      <c r="R659">
        <f>_xlfn.XLOOKUP(frasest[[#This Row],[autor_es]],autorest[autor_es],autorest[imagen_atr])</f>
        <v>0</v>
      </c>
    </row>
    <row r="660" spans="1:18">
      <c r="A660">
        <v>659</v>
      </c>
      <c r="B660" t="s">
        <v>2258</v>
      </c>
      <c r="C660" t="s">
        <v>2259</v>
      </c>
      <c r="D660" t="s">
        <v>2260</v>
      </c>
      <c r="E660" t="s">
        <v>1236</v>
      </c>
      <c r="G660" t="str">
        <f>_xlfn.XLOOKUP(frasest[[#This Row],[autor_es]],autorest[autor_es],autorest[autor_la])</f>
        <v>Sententia Vasconica</v>
      </c>
      <c r="H660" t="str">
        <f>_xlfn.XLOOKUP(frasest[[#This Row],[autor_es]],autorest[autor_es],autorest[bio_es])</f>
        <v>Proverbios de la tradición oral vasca que reflejan la relación con la naturaleza, el trabajo y los valores comunitarios del pueblo vasco.</v>
      </c>
      <c r="I660" t="str">
        <f>_xlfn.XLOOKUP(frasest[[#This Row],[autor_es]],autorest[autor_es],autorest[bio_la])</f>
        <v>Collectio sententiarum Vasconicarum.</v>
      </c>
      <c r="J660" t="str">
        <f>_xlfn.XLOOKUP(frasest[[#This Row],[autor_es]],autorest[autor_es],autorest[codigo])</f>
        <v>eu</v>
      </c>
      <c r="K660" t="str">
        <f>_xlfn.XLOOKUP(frasest[[#This Row],[autor_es]],autorest[autor_es],autorest[idioma_es])</f>
        <v>Euskara</v>
      </c>
      <c r="L660" t="str">
        <f>_xlfn.XLOOKUP(frasest[[#This Row],[autor_es]],autorest[autor_es],autorest[idioma_la])</f>
        <v>Lingua Vasconica</v>
      </c>
      <c r="M660" t="str">
        <f>_xlfn.XLOOKUP(frasest[[#This Row],[autor_es]],autorest[autor_es],autorest[nacion_es])</f>
        <v>España</v>
      </c>
      <c r="N660" t="str">
        <f>_xlfn.XLOOKUP(frasest[[#This Row],[autor_es]],autorest[autor_es],autorest[nacion_la])</f>
        <v>Hispania</v>
      </c>
      <c r="O660" t="str">
        <f>_xlfn.XLOOKUP(frasest[[#This Row],[autor_es]],autorest[autor_es],autorest[epoca_es])</f>
        <v>Epoca Desconocida</v>
      </c>
      <c r="P660" t="str">
        <f>_xlfn.XLOOKUP(frasest[[#This Row],[autor_es]],autorest[autor_es],autorest[epoca_la])</f>
        <v>Epocha Ignota</v>
      </c>
      <c r="Q660" t="str">
        <f>_xlfn.XLOOKUP(frasest[[#This Row],[autor_es]],autorest[autor_es],autorest[imagen])</f>
        <v>https://i.ibb.co/bjgxB3kn/euskadi.png</v>
      </c>
      <c r="R660">
        <f>_xlfn.XLOOKUP(frasest[[#This Row],[autor_es]],autorest[autor_es],autorest[imagen_atr])</f>
        <v>0</v>
      </c>
    </row>
    <row r="661" spans="1:18">
      <c r="A661">
        <v>660</v>
      </c>
      <c r="B661" t="s">
        <v>2261</v>
      </c>
      <c r="C661" t="s">
        <v>2262</v>
      </c>
      <c r="D661" t="s">
        <v>2263</v>
      </c>
      <c r="E661" t="s">
        <v>1236</v>
      </c>
      <c r="G661" t="str">
        <f>_xlfn.XLOOKUP(frasest[[#This Row],[autor_es]],autorest[autor_es],autorest[autor_la])</f>
        <v>Sententia Vasconica</v>
      </c>
      <c r="H661" t="str">
        <f>_xlfn.XLOOKUP(frasest[[#This Row],[autor_es]],autorest[autor_es],autorest[bio_es])</f>
        <v>Proverbios de la tradición oral vasca que reflejan la relación con la naturaleza, el trabajo y los valores comunitarios del pueblo vasco.</v>
      </c>
      <c r="I661" t="str">
        <f>_xlfn.XLOOKUP(frasest[[#This Row],[autor_es]],autorest[autor_es],autorest[bio_la])</f>
        <v>Collectio sententiarum Vasconicarum.</v>
      </c>
      <c r="J661" t="str">
        <f>_xlfn.XLOOKUP(frasest[[#This Row],[autor_es]],autorest[autor_es],autorest[codigo])</f>
        <v>eu</v>
      </c>
      <c r="K661" t="str">
        <f>_xlfn.XLOOKUP(frasest[[#This Row],[autor_es]],autorest[autor_es],autorest[idioma_es])</f>
        <v>Euskara</v>
      </c>
      <c r="L661" t="str">
        <f>_xlfn.XLOOKUP(frasest[[#This Row],[autor_es]],autorest[autor_es],autorest[idioma_la])</f>
        <v>Lingua Vasconica</v>
      </c>
      <c r="M661" t="str">
        <f>_xlfn.XLOOKUP(frasest[[#This Row],[autor_es]],autorest[autor_es],autorest[nacion_es])</f>
        <v>España</v>
      </c>
      <c r="N661" t="str">
        <f>_xlfn.XLOOKUP(frasest[[#This Row],[autor_es]],autorest[autor_es],autorest[nacion_la])</f>
        <v>Hispania</v>
      </c>
      <c r="O661" t="str">
        <f>_xlfn.XLOOKUP(frasest[[#This Row],[autor_es]],autorest[autor_es],autorest[epoca_es])</f>
        <v>Epoca Desconocida</v>
      </c>
      <c r="P661" t="str">
        <f>_xlfn.XLOOKUP(frasest[[#This Row],[autor_es]],autorest[autor_es],autorest[epoca_la])</f>
        <v>Epocha Ignota</v>
      </c>
      <c r="Q661" t="str">
        <f>_xlfn.XLOOKUP(frasest[[#This Row],[autor_es]],autorest[autor_es],autorest[imagen])</f>
        <v>https://i.ibb.co/bjgxB3kn/euskadi.png</v>
      </c>
      <c r="R661">
        <f>_xlfn.XLOOKUP(frasest[[#This Row],[autor_es]],autorest[autor_es],autorest[imagen_atr])</f>
        <v>0</v>
      </c>
    </row>
    <row r="662" spans="1:18">
      <c r="A662">
        <v>661</v>
      </c>
      <c r="B662" t="s">
        <v>2264</v>
      </c>
      <c r="C662" t="s">
        <v>2265</v>
      </c>
      <c r="D662" t="s">
        <v>2266</v>
      </c>
      <c r="E662" t="s">
        <v>1236</v>
      </c>
      <c r="G662" t="str">
        <f>_xlfn.XLOOKUP(frasest[[#This Row],[autor_es]],autorest[autor_es],autorest[autor_la])</f>
        <v>Sententia Vasconica</v>
      </c>
      <c r="H662" t="str">
        <f>_xlfn.XLOOKUP(frasest[[#This Row],[autor_es]],autorest[autor_es],autorest[bio_es])</f>
        <v>Proverbios de la tradición oral vasca que reflejan la relación con la naturaleza, el trabajo y los valores comunitarios del pueblo vasco.</v>
      </c>
      <c r="I662" t="str">
        <f>_xlfn.XLOOKUP(frasest[[#This Row],[autor_es]],autorest[autor_es],autorest[bio_la])</f>
        <v>Collectio sententiarum Vasconicarum.</v>
      </c>
      <c r="J662" t="str">
        <f>_xlfn.XLOOKUP(frasest[[#This Row],[autor_es]],autorest[autor_es],autorest[codigo])</f>
        <v>eu</v>
      </c>
      <c r="K662" t="str">
        <f>_xlfn.XLOOKUP(frasest[[#This Row],[autor_es]],autorest[autor_es],autorest[idioma_es])</f>
        <v>Euskara</v>
      </c>
      <c r="L662" t="str">
        <f>_xlfn.XLOOKUP(frasest[[#This Row],[autor_es]],autorest[autor_es],autorest[idioma_la])</f>
        <v>Lingua Vasconica</v>
      </c>
      <c r="M662" t="str">
        <f>_xlfn.XLOOKUP(frasest[[#This Row],[autor_es]],autorest[autor_es],autorest[nacion_es])</f>
        <v>España</v>
      </c>
      <c r="N662" t="str">
        <f>_xlfn.XLOOKUP(frasest[[#This Row],[autor_es]],autorest[autor_es],autorest[nacion_la])</f>
        <v>Hispania</v>
      </c>
      <c r="O662" t="str">
        <f>_xlfn.XLOOKUP(frasest[[#This Row],[autor_es]],autorest[autor_es],autorest[epoca_es])</f>
        <v>Epoca Desconocida</v>
      </c>
      <c r="P662" t="str">
        <f>_xlfn.XLOOKUP(frasest[[#This Row],[autor_es]],autorest[autor_es],autorest[epoca_la])</f>
        <v>Epocha Ignota</v>
      </c>
      <c r="Q662" t="str">
        <f>_xlfn.XLOOKUP(frasest[[#This Row],[autor_es]],autorest[autor_es],autorest[imagen])</f>
        <v>https://i.ibb.co/bjgxB3kn/euskadi.png</v>
      </c>
      <c r="R662">
        <f>_xlfn.XLOOKUP(frasest[[#This Row],[autor_es]],autorest[autor_es],autorest[imagen_atr])</f>
        <v>0</v>
      </c>
    </row>
    <row r="663" spans="1:18">
      <c r="A663">
        <v>662</v>
      </c>
      <c r="B663" t="s">
        <v>2267</v>
      </c>
      <c r="C663" t="s">
        <v>2268</v>
      </c>
      <c r="D663" t="s">
        <v>2269</v>
      </c>
      <c r="E663" t="s">
        <v>1236</v>
      </c>
      <c r="G663" t="str">
        <f>_xlfn.XLOOKUP(frasest[[#This Row],[autor_es]],autorest[autor_es],autorest[autor_la])</f>
        <v>Sententia Vasconica</v>
      </c>
      <c r="H663" t="str">
        <f>_xlfn.XLOOKUP(frasest[[#This Row],[autor_es]],autorest[autor_es],autorest[bio_es])</f>
        <v>Proverbios de la tradición oral vasca que reflejan la relación con la naturaleza, el trabajo y los valores comunitarios del pueblo vasco.</v>
      </c>
      <c r="I663" t="str">
        <f>_xlfn.XLOOKUP(frasest[[#This Row],[autor_es]],autorest[autor_es],autorest[bio_la])</f>
        <v>Collectio sententiarum Vasconicarum.</v>
      </c>
      <c r="J663" t="str">
        <f>_xlfn.XLOOKUP(frasest[[#This Row],[autor_es]],autorest[autor_es],autorest[codigo])</f>
        <v>eu</v>
      </c>
      <c r="K663" t="str">
        <f>_xlfn.XLOOKUP(frasest[[#This Row],[autor_es]],autorest[autor_es],autorest[idioma_es])</f>
        <v>Euskara</v>
      </c>
      <c r="L663" t="str">
        <f>_xlfn.XLOOKUP(frasest[[#This Row],[autor_es]],autorest[autor_es],autorest[idioma_la])</f>
        <v>Lingua Vasconica</v>
      </c>
      <c r="M663" t="str">
        <f>_xlfn.XLOOKUP(frasest[[#This Row],[autor_es]],autorest[autor_es],autorest[nacion_es])</f>
        <v>España</v>
      </c>
      <c r="N663" t="str">
        <f>_xlfn.XLOOKUP(frasest[[#This Row],[autor_es]],autorest[autor_es],autorest[nacion_la])</f>
        <v>Hispania</v>
      </c>
      <c r="O663" t="str">
        <f>_xlfn.XLOOKUP(frasest[[#This Row],[autor_es]],autorest[autor_es],autorest[epoca_es])</f>
        <v>Epoca Desconocida</v>
      </c>
      <c r="P663" t="str">
        <f>_xlfn.XLOOKUP(frasest[[#This Row],[autor_es]],autorest[autor_es],autorest[epoca_la])</f>
        <v>Epocha Ignota</v>
      </c>
      <c r="Q663" t="str">
        <f>_xlfn.XLOOKUP(frasest[[#This Row],[autor_es]],autorest[autor_es],autorest[imagen])</f>
        <v>https://i.ibb.co/bjgxB3kn/euskadi.png</v>
      </c>
      <c r="R663">
        <f>_xlfn.XLOOKUP(frasest[[#This Row],[autor_es]],autorest[autor_es],autorest[imagen_atr])</f>
        <v>0</v>
      </c>
    </row>
    <row r="664" spans="1:18">
      <c r="A664">
        <v>663</v>
      </c>
      <c r="B664" t="s">
        <v>2270</v>
      </c>
      <c r="C664" t="s">
        <v>2271</v>
      </c>
      <c r="D664" t="s">
        <v>2272</v>
      </c>
      <c r="E664" t="s">
        <v>1236</v>
      </c>
      <c r="G664" t="str">
        <f>_xlfn.XLOOKUP(frasest[[#This Row],[autor_es]],autorest[autor_es],autorest[autor_la])</f>
        <v>Sententia Vasconica</v>
      </c>
      <c r="H664" t="str">
        <f>_xlfn.XLOOKUP(frasest[[#This Row],[autor_es]],autorest[autor_es],autorest[bio_es])</f>
        <v>Proverbios de la tradición oral vasca que reflejan la relación con la naturaleza, el trabajo y los valores comunitarios del pueblo vasco.</v>
      </c>
      <c r="I664" t="str">
        <f>_xlfn.XLOOKUP(frasest[[#This Row],[autor_es]],autorest[autor_es],autorest[bio_la])</f>
        <v>Collectio sententiarum Vasconicarum.</v>
      </c>
      <c r="J664" t="str">
        <f>_xlfn.XLOOKUP(frasest[[#This Row],[autor_es]],autorest[autor_es],autorest[codigo])</f>
        <v>eu</v>
      </c>
      <c r="K664" t="str">
        <f>_xlfn.XLOOKUP(frasest[[#This Row],[autor_es]],autorest[autor_es],autorest[idioma_es])</f>
        <v>Euskara</v>
      </c>
      <c r="L664" t="str">
        <f>_xlfn.XLOOKUP(frasest[[#This Row],[autor_es]],autorest[autor_es],autorest[idioma_la])</f>
        <v>Lingua Vasconica</v>
      </c>
      <c r="M664" t="str">
        <f>_xlfn.XLOOKUP(frasest[[#This Row],[autor_es]],autorest[autor_es],autorest[nacion_es])</f>
        <v>España</v>
      </c>
      <c r="N664" t="str">
        <f>_xlfn.XLOOKUP(frasest[[#This Row],[autor_es]],autorest[autor_es],autorest[nacion_la])</f>
        <v>Hispania</v>
      </c>
      <c r="O664" t="str">
        <f>_xlfn.XLOOKUP(frasest[[#This Row],[autor_es]],autorest[autor_es],autorest[epoca_es])</f>
        <v>Epoca Desconocida</v>
      </c>
      <c r="P664" t="str">
        <f>_xlfn.XLOOKUP(frasest[[#This Row],[autor_es]],autorest[autor_es],autorest[epoca_la])</f>
        <v>Epocha Ignota</v>
      </c>
      <c r="Q664" t="str">
        <f>_xlfn.XLOOKUP(frasest[[#This Row],[autor_es]],autorest[autor_es],autorest[imagen])</f>
        <v>https://i.ibb.co/bjgxB3kn/euskadi.png</v>
      </c>
      <c r="R664">
        <f>_xlfn.XLOOKUP(frasest[[#This Row],[autor_es]],autorest[autor_es],autorest[imagen_atr])</f>
        <v>0</v>
      </c>
    </row>
    <row r="665" spans="1:18">
      <c r="A665">
        <v>664</v>
      </c>
      <c r="B665" t="s">
        <v>2273</v>
      </c>
      <c r="C665" t="s">
        <v>2274</v>
      </c>
      <c r="D665" t="s">
        <v>2275</v>
      </c>
      <c r="E665" t="s">
        <v>1236</v>
      </c>
      <c r="G665" t="str">
        <f>_xlfn.XLOOKUP(frasest[[#This Row],[autor_es]],autorest[autor_es],autorest[autor_la])</f>
        <v>Sententia Vasconica</v>
      </c>
      <c r="H665" t="str">
        <f>_xlfn.XLOOKUP(frasest[[#This Row],[autor_es]],autorest[autor_es],autorest[bio_es])</f>
        <v>Proverbios de la tradición oral vasca que reflejan la relación con la naturaleza, el trabajo y los valores comunitarios del pueblo vasco.</v>
      </c>
      <c r="I665" t="str">
        <f>_xlfn.XLOOKUP(frasest[[#This Row],[autor_es]],autorest[autor_es],autorest[bio_la])</f>
        <v>Collectio sententiarum Vasconicarum.</v>
      </c>
      <c r="J665" t="str">
        <f>_xlfn.XLOOKUP(frasest[[#This Row],[autor_es]],autorest[autor_es],autorest[codigo])</f>
        <v>eu</v>
      </c>
      <c r="K665" t="str">
        <f>_xlfn.XLOOKUP(frasest[[#This Row],[autor_es]],autorest[autor_es],autorest[idioma_es])</f>
        <v>Euskara</v>
      </c>
      <c r="L665" t="str">
        <f>_xlfn.XLOOKUP(frasest[[#This Row],[autor_es]],autorest[autor_es],autorest[idioma_la])</f>
        <v>Lingua Vasconica</v>
      </c>
      <c r="M665" t="str">
        <f>_xlfn.XLOOKUP(frasest[[#This Row],[autor_es]],autorest[autor_es],autorest[nacion_es])</f>
        <v>España</v>
      </c>
      <c r="N665" t="str">
        <f>_xlfn.XLOOKUP(frasest[[#This Row],[autor_es]],autorest[autor_es],autorest[nacion_la])</f>
        <v>Hispania</v>
      </c>
      <c r="O665" t="str">
        <f>_xlfn.XLOOKUP(frasest[[#This Row],[autor_es]],autorest[autor_es],autorest[epoca_es])</f>
        <v>Epoca Desconocida</v>
      </c>
      <c r="P665" t="str">
        <f>_xlfn.XLOOKUP(frasest[[#This Row],[autor_es]],autorest[autor_es],autorest[epoca_la])</f>
        <v>Epocha Ignota</v>
      </c>
      <c r="Q665" t="str">
        <f>_xlfn.XLOOKUP(frasest[[#This Row],[autor_es]],autorest[autor_es],autorest[imagen])</f>
        <v>https://i.ibb.co/bjgxB3kn/euskadi.png</v>
      </c>
      <c r="R665">
        <f>_xlfn.XLOOKUP(frasest[[#This Row],[autor_es]],autorest[autor_es],autorest[imagen_atr])</f>
        <v>0</v>
      </c>
    </row>
    <row r="666" spans="1:18">
      <c r="A666">
        <v>665</v>
      </c>
      <c r="B666" t="s">
        <v>2276</v>
      </c>
      <c r="C666" t="s">
        <v>2277</v>
      </c>
      <c r="D666" t="s">
        <v>2278</v>
      </c>
      <c r="E666" t="s">
        <v>1236</v>
      </c>
      <c r="G666" t="str">
        <f>_xlfn.XLOOKUP(frasest[[#This Row],[autor_es]],autorest[autor_es],autorest[autor_la])</f>
        <v>Sententia Vasconica</v>
      </c>
      <c r="H666" t="str">
        <f>_xlfn.XLOOKUP(frasest[[#This Row],[autor_es]],autorest[autor_es],autorest[bio_es])</f>
        <v>Proverbios de la tradición oral vasca que reflejan la relación con la naturaleza, el trabajo y los valores comunitarios del pueblo vasco.</v>
      </c>
      <c r="I666" t="str">
        <f>_xlfn.XLOOKUP(frasest[[#This Row],[autor_es]],autorest[autor_es],autorest[bio_la])</f>
        <v>Collectio sententiarum Vasconicarum.</v>
      </c>
      <c r="J666" t="str">
        <f>_xlfn.XLOOKUP(frasest[[#This Row],[autor_es]],autorest[autor_es],autorest[codigo])</f>
        <v>eu</v>
      </c>
      <c r="K666" t="str">
        <f>_xlfn.XLOOKUP(frasest[[#This Row],[autor_es]],autorest[autor_es],autorest[idioma_es])</f>
        <v>Euskara</v>
      </c>
      <c r="L666" t="str">
        <f>_xlfn.XLOOKUP(frasest[[#This Row],[autor_es]],autorest[autor_es],autorest[idioma_la])</f>
        <v>Lingua Vasconica</v>
      </c>
      <c r="M666" t="str">
        <f>_xlfn.XLOOKUP(frasest[[#This Row],[autor_es]],autorest[autor_es],autorest[nacion_es])</f>
        <v>España</v>
      </c>
      <c r="N666" t="str">
        <f>_xlfn.XLOOKUP(frasest[[#This Row],[autor_es]],autorest[autor_es],autorest[nacion_la])</f>
        <v>Hispania</v>
      </c>
      <c r="O666" t="str">
        <f>_xlfn.XLOOKUP(frasest[[#This Row],[autor_es]],autorest[autor_es],autorest[epoca_es])</f>
        <v>Epoca Desconocida</v>
      </c>
      <c r="P666" t="str">
        <f>_xlfn.XLOOKUP(frasest[[#This Row],[autor_es]],autorest[autor_es],autorest[epoca_la])</f>
        <v>Epocha Ignota</v>
      </c>
      <c r="Q666" t="str">
        <f>_xlfn.XLOOKUP(frasest[[#This Row],[autor_es]],autorest[autor_es],autorest[imagen])</f>
        <v>https://i.ibb.co/bjgxB3kn/euskadi.png</v>
      </c>
      <c r="R666">
        <f>_xlfn.XLOOKUP(frasest[[#This Row],[autor_es]],autorest[autor_es],autorest[imagen_atr])</f>
        <v>0</v>
      </c>
    </row>
    <row r="667" spans="1:18">
      <c r="A667">
        <v>666</v>
      </c>
      <c r="B667" t="s">
        <v>2279</v>
      </c>
      <c r="C667" t="s">
        <v>2280</v>
      </c>
      <c r="D667" t="s">
        <v>2281</v>
      </c>
      <c r="E667" t="s">
        <v>1236</v>
      </c>
      <c r="G667" t="str">
        <f>_xlfn.XLOOKUP(frasest[[#This Row],[autor_es]],autorest[autor_es],autorest[autor_la])</f>
        <v>Sententia Vasconica</v>
      </c>
      <c r="H667" t="str">
        <f>_xlfn.XLOOKUP(frasest[[#This Row],[autor_es]],autorest[autor_es],autorest[bio_es])</f>
        <v>Proverbios de la tradición oral vasca que reflejan la relación con la naturaleza, el trabajo y los valores comunitarios del pueblo vasco.</v>
      </c>
      <c r="I667" t="str">
        <f>_xlfn.XLOOKUP(frasest[[#This Row],[autor_es]],autorest[autor_es],autorest[bio_la])</f>
        <v>Collectio sententiarum Vasconicarum.</v>
      </c>
      <c r="J667" t="str">
        <f>_xlfn.XLOOKUP(frasest[[#This Row],[autor_es]],autorest[autor_es],autorest[codigo])</f>
        <v>eu</v>
      </c>
      <c r="K667" t="str">
        <f>_xlfn.XLOOKUP(frasest[[#This Row],[autor_es]],autorest[autor_es],autorest[idioma_es])</f>
        <v>Euskara</v>
      </c>
      <c r="L667" t="str">
        <f>_xlfn.XLOOKUP(frasest[[#This Row],[autor_es]],autorest[autor_es],autorest[idioma_la])</f>
        <v>Lingua Vasconica</v>
      </c>
      <c r="M667" t="str">
        <f>_xlfn.XLOOKUP(frasest[[#This Row],[autor_es]],autorest[autor_es],autorest[nacion_es])</f>
        <v>España</v>
      </c>
      <c r="N667" t="str">
        <f>_xlfn.XLOOKUP(frasest[[#This Row],[autor_es]],autorest[autor_es],autorest[nacion_la])</f>
        <v>Hispania</v>
      </c>
      <c r="O667" t="str">
        <f>_xlfn.XLOOKUP(frasest[[#This Row],[autor_es]],autorest[autor_es],autorest[epoca_es])</f>
        <v>Epoca Desconocida</v>
      </c>
      <c r="P667" t="str">
        <f>_xlfn.XLOOKUP(frasest[[#This Row],[autor_es]],autorest[autor_es],autorest[epoca_la])</f>
        <v>Epocha Ignota</v>
      </c>
      <c r="Q667" t="str">
        <f>_xlfn.XLOOKUP(frasest[[#This Row],[autor_es]],autorest[autor_es],autorest[imagen])</f>
        <v>https://i.ibb.co/bjgxB3kn/euskadi.png</v>
      </c>
      <c r="R667">
        <f>_xlfn.XLOOKUP(frasest[[#This Row],[autor_es]],autorest[autor_es],autorest[imagen_atr])</f>
        <v>0</v>
      </c>
    </row>
    <row r="668" spans="1:18">
      <c r="A668">
        <v>667</v>
      </c>
      <c r="B668" t="s">
        <v>2282</v>
      </c>
      <c r="C668" t="s">
        <v>2283</v>
      </c>
      <c r="D668" t="s">
        <v>2284</v>
      </c>
      <c r="E668" t="s">
        <v>1236</v>
      </c>
      <c r="G668" t="str">
        <f>_xlfn.XLOOKUP(frasest[[#This Row],[autor_es]],autorest[autor_es],autorest[autor_la])</f>
        <v>Sententia Vasconica</v>
      </c>
      <c r="H668" t="str">
        <f>_xlfn.XLOOKUP(frasest[[#This Row],[autor_es]],autorest[autor_es],autorest[bio_es])</f>
        <v>Proverbios de la tradición oral vasca que reflejan la relación con la naturaleza, el trabajo y los valores comunitarios del pueblo vasco.</v>
      </c>
      <c r="I668" t="str">
        <f>_xlfn.XLOOKUP(frasest[[#This Row],[autor_es]],autorest[autor_es],autorest[bio_la])</f>
        <v>Collectio sententiarum Vasconicarum.</v>
      </c>
      <c r="J668" t="str">
        <f>_xlfn.XLOOKUP(frasest[[#This Row],[autor_es]],autorest[autor_es],autorest[codigo])</f>
        <v>eu</v>
      </c>
      <c r="K668" t="str">
        <f>_xlfn.XLOOKUP(frasest[[#This Row],[autor_es]],autorest[autor_es],autorest[idioma_es])</f>
        <v>Euskara</v>
      </c>
      <c r="L668" t="str">
        <f>_xlfn.XLOOKUP(frasest[[#This Row],[autor_es]],autorest[autor_es],autorest[idioma_la])</f>
        <v>Lingua Vasconica</v>
      </c>
      <c r="M668" t="str">
        <f>_xlfn.XLOOKUP(frasest[[#This Row],[autor_es]],autorest[autor_es],autorest[nacion_es])</f>
        <v>España</v>
      </c>
      <c r="N668" t="str">
        <f>_xlfn.XLOOKUP(frasest[[#This Row],[autor_es]],autorest[autor_es],autorest[nacion_la])</f>
        <v>Hispania</v>
      </c>
      <c r="O668" t="str">
        <f>_xlfn.XLOOKUP(frasest[[#This Row],[autor_es]],autorest[autor_es],autorest[epoca_es])</f>
        <v>Epoca Desconocida</v>
      </c>
      <c r="P668" t="str">
        <f>_xlfn.XLOOKUP(frasest[[#This Row],[autor_es]],autorest[autor_es],autorest[epoca_la])</f>
        <v>Epocha Ignota</v>
      </c>
      <c r="Q668" t="str">
        <f>_xlfn.XLOOKUP(frasest[[#This Row],[autor_es]],autorest[autor_es],autorest[imagen])</f>
        <v>https://i.ibb.co/bjgxB3kn/euskadi.png</v>
      </c>
      <c r="R668">
        <f>_xlfn.XLOOKUP(frasest[[#This Row],[autor_es]],autorest[autor_es],autorest[imagen_atr])</f>
        <v>0</v>
      </c>
    </row>
    <row r="669" spans="1:18">
      <c r="A669">
        <v>668</v>
      </c>
      <c r="B669" t="s">
        <v>2285</v>
      </c>
      <c r="C669" t="s">
        <v>2286</v>
      </c>
      <c r="D669" t="s">
        <v>2287</v>
      </c>
      <c r="E669" t="s">
        <v>1236</v>
      </c>
      <c r="G669" t="str">
        <f>_xlfn.XLOOKUP(frasest[[#This Row],[autor_es]],autorest[autor_es],autorest[autor_la])</f>
        <v>Sententia Vasconica</v>
      </c>
      <c r="H669" t="str">
        <f>_xlfn.XLOOKUP(frasest[[#This Row],[autor_es]],autorest[autor_es],autorest[bio_es])</f>
        <v>Proverbios de la tradición oral vasca que reflejan la relación con la naturaleza, el trabajo y los valores comunitarios del pueblo vasco.</v>
      </c>
      <c r="I669" t="str">
        <f>_xlfn.XLOOKUP(frasest[[#This Row],[autor_es]],autorest[autor_es],autorest[bio_la])</f>
        <v>Collectio sententiarum Vasconicarum.</v>
      </c>
      <c r="J669" t="str">
        <f>_xlfn.XLOOKUP(frasest[[#This Row],[autor_es]],autorest[autor_es],autorest[codigo])</f>
        <v>eu</v>
      </c>
      <c r="K669" t="str">
        <f>_xlfn.XLOOKUP(frasest[[#This Row],[autor_es]],autorest[autor_es],autorest[idioma_es])</f>
        <v>Euskara</v>
      </c>
      <c r="L669" t="str">
        <f>_xlfn.XLOOKUP(frasest[[#This Row],[autor_es]],autorest[autor_es],autorest[idioma_la])</f>
        <v>Lingua Vasconica</v>
      </c>
      <c r="M669" t="str">
        <f>_xlfn.XLOOKUP(frasest[[#This Row],[autor_es]],autorest[autor_es],autorest[nacion_es])</f>
        <v>España</v>
      </c>
      <c r="N669" t="str">
        <f>_xlfn.XLOOKUP(frasest[[#This Row],[autor_es]],autorest[autor_es],autorest[nacion_la])</f>
        <v>Hispania</v>
      </c>
      <c r="O669" t="str">
        <f>_xlfn.XLOOKUP(frasest[[#This Row],[autor_es]],autorest[autor_es],autorest[epoca_es])</f>
        <v>Epoca Desconocida</v>
      </c>
      <c r="P669" t="str">
        <f>_xlfn.XLOOKUP(frasest[[#This Row],[autor_es]],autorest[autor_es],autorest[epoca_la])</f>
        <v>Epocha Ignota</v>
      </c>
      <c r="Q669" t="str">
        <f>_xlfn.XLOOKUP(frasest[[#This Row],[autor_es]],autorest[autor_es],autorest[imagen])</f>
        <v>https://i.ibb.co/bjgxB3kn/euskadi.png</v>
      </c>
      <c r="R669">
        <f>_xlfn.XLOOKUP(frasest[[#This Row],[autor_es]],autorest[autor_es],autorest[imagen_atr])</f>
        <v>0</v>
      </c>
    </row>
    <row r="670" spans="1:18">
      <c r="A670">
        <v>669</v>
      </c>
      <c r="B670" t="s">
        <v>2288</v>
      </c>
      <c r="C670" t="s">
        <v>2289</v>
      </c>
      <c r="D670" t="s">
        <v>2290</v>
      </c>
      <c r="E670" t="s">
        <v>1236</v>
      </c>
      <c r="G670" t="str">
        <f>_xlfn.XLOOKUP(frasest[[#This Row],[autor_es]],autorest[autor_es],autorest[autor_la])</f>
        <v>Sententia Vasconica</v>
      </c>
      <c r="H670" t="str">
        <f>_xlfn.XLOOKUP(frasest[[#This Row],[autor_es]],autorest[autor_es],autorest[bio_es])</f>
        <v>Proverbios de la tradición oral vasca que reflejan la relación con la naturaleza, el trabajo y los valores comunitarios del pueblo vasco.</v>
      </c>
      <c r="I670" t="str">
        <f>_xlfn.XLOOKUP(frasest[[#This Row],[autor_es]],autorest[autor_es],autorest[bio_la])</f>
        <v>Collectio sententiarum Vasconicarum.</v>
      </c>
      <c r="J670" t="str">
        <f>_xlfn.XLOOKUP(frasest[[#This Row],[autor_es]],autorest[autor_es],autorest[codigo])</f>
        <v>eu</v>
      </c>
      <c r="K670" t="str">
        <f>_xlfn.XLOOKUP(frasest[[#This Row],[autor_es]],autorest[autor_es],autorest[idioma_es])</f>
        <v>Euskara</v>
      </c>
      <c r="L670" t="str">
        <f>_xlfn.XLOOKUP(frasest[[#This Row],[autor_es]],autorest[autor_es],autorest[idioma_la])</f>
        <v>Lingua Vasconica</v>
      </c>
      <c r="M670" t="str">
        <f>_xlfn.XLOOKUP(frasest[[#This Row],[autor_es]],autorest[autor_es],autorest[nacion_es])</f>
        <v>España</v>
      </c>
      <c r="N670" t="str">
        <f>_xlfn.XLOOKUP(frasest[[#This Row],[autor_es]],autorest[autor_es],autorest[nacion_la])</f>
        <v>Hispania</v>
      </c>
      <c r="O670" t="str">
        <f>_xlfn.XLOOKUP(frasest[[#This Row],[autor_es]],autorest[autor_es],autorest[epoca_es])</f>
        <v>Epoca Desconocida</v>
      </c>
      <c r="P670" t="str">
        <f>_xlfn.XLOOKUP(frasest[[#This Row],[autor_es]],autorest[autor_es],autorest[epoca_la])</f>
        <v>Epocha Ignota</v>
      </c>
      <c r="Q670" t="str">
        <f>_xlfn.XLOOKUP(frasest[[#This Row],[autor_es]],autorest[autor_es],autorest[imagen])</f>
        <v>https://i.ibb.co/bjgxB3kn/euskadi.png</v>
      </c>
      <c r="R670">
        <f>_xlfn.XLOOKUP(frasest[[#This Row],[autor_es]],autorest[autor_es],autorest[imagen_atr])</f>
        <v>0</v>
      </c>
    </row>
    <row r="671" spans="1:18">
      <c r="A671">
        <v>670</v>
      </c>
      <c r="B671" t="s">
        <v>2291</v>
      </c>
      <c r="C671" t="s">
        <v>2292</v>
      </c>
      <c r="D671" t="s">
        <v>2293</v>
      </c>
      <c r="E671" t="s">
        <v>1236</v>
      </c>
      <c r="G671" t="str">
        <f>_xlfn.XLOOKUP(frasest[[#This Row],[autor_es]],autorest[autor_es],autorest[autor_la])</f>
        <v>Sententia Vasconica</v>
      </c>
      <c r="H671" t="str">
        <f>_xlfn.XLOOKUP(frasest[[#This Row],[autor_es]],autorest[autor_es],autorest[bio_es])</f>
        <v>Proverbios de la tradición oral vasca que reflejan la relación con la naturaleza, el trabajo y los valores comunitarios del pueblo vasco.</v>
      </c>
      <c r="I671" t="str">
        <f>_xlfn.XLOOKUP(frasest[[#This Row],[autor_es]],autorest[autor_es],autorest[bio_la])</f>
        <v>Collectio sententiarum Vasconicarum.</v>
      </c>
      <c r="J671" t="str">
        <f>_xlfn.XLOOKUP(frasest[[#This Row],[autor_es]],autorest[autor_es],autorest[codigo])</f>
        <v>eu</v>
      </c>
      <c r="K671" t="str">
        <f>_xlfn.XLOOKUP(frasest[[#This Row],[autor_es]],autorest[autor_es],autorest[idioma_es])</f>
        <v>Euskara</v>
      </c>
      <c r="L671" t="str">
        <f>_xlfn.XLOOKUP(frasest[[#This Row],[autor_es]],autorest[autor_es],autorest[idioma_la])</f>
        <v>Lingua Vasconica</v>
      </c>
      <c r="M671" t="str">
        <f>_xlfn.XLOOKUP(frasest[[#This Row],[autor_es]],autorest[autor_es],autorest[nacion_es])</f>
        <v>España</v>
      </c>
      <c r="N671" t="str">
        <f>_xlfn.XLOOKUP(frasest[[#This Row],[autor_es]],autorest[autor_es],autorest[nacion_la])</f>
        <v>Hispania</v>
      </c>
      <c r="O671" t="str">
        <f>_xlfn.XLOOKUP(frasest[[#This Row],[autor_es]],autorest[autor_es],autorest[epoca_es])</f>
        <v>Epoca Desconocida</v>
      </c>
      <c r="P671" t="str">
        <f>_xlfn.XLOOKUP(frasest[[#This Row],[autor_es]],autorest[autor_es],autorest[epoca_la])</f>
        <v>Epocha Ignota</v>
      </c>
      <c r="Q671" t="str">
        <f>_xlfn.XLOOKUP(frasest[[#This Row],[autor_es]],autorest[autor_es],autorest[imagen])</f>
        <v>https://i.ibb.co/bjgxB3kn/euskadi.png</v>
      </c>
      <c r="R671">
        <f>_xlfn.XLOOKUP(frasest[[#This Row],[autor_es]],autorest[autor_es],autorest[imagen_atr])</f>
        <v>0</v>
      </c>
    </row>
    <row r="672" spans="1:18">
      <c r="A672">
        <v>671</v>
      </c>
      <c r="B672" t="s">
        <v>2294</v>
      </c>
      <c r="C672" t="s">
        <v>2295</v>
      </c>
      <c r="D672" t="s">
        <v>2296</v>
      </c>
      <c r="E672" t="s">
        <v>1236</v>
      </c>
      <c r="G672" t="str">
        <f>_xlfn.XLOOKUP(frasest[[#This Row],[autor_es]],autorest[autor_es],autorest[autor_la])</f>
        <v>Sententia Vasconica</v>
      </c>
      <c r="H672" t="str">
        <f>_xlfn.XLOOKUP(frasest[[#This Row],[autor_es]],autorest[autor_es],autorest[bio_es])</f>
        <v>Proverbios de la tradición oral vasca que reflejan la relación con la naturaleza, el trabajo y los valores comunitarios del pueblo vasco.</v>
      </c>
      <c r="I672" t="str">
        <f>_xlfn.XLOOKUP(frasest[[#This Row],[autor_es]],autorest[autor_es],autorest[bio_la])</f>
        <v>Collectio sententiarum Vasconicarum.</v>
      </c>
      <c r="J672" t="str">
        <f>_xlfn.XLOOKUP(frasest[[#This Row],[autor_es]],autorest[autor_es],autorest[codigo])</f>
        <v>eu</v>
      </c>
      <c r="K672" t="str">
        <f>_xlfn.XLOOKUP(frasest[[#This Row],[autor_es]],autorest[autor_es],autorest[idioma_es])</f>
        <v>Euskara</v>
      </c>
      <c r="L672" t="str">
        <f>_xlfn.XLOOKUP(frasest[[#This Row],[autor_es]],autorest[autor_es],autorest[idioma_la])</f>
        <v>Lingua Vasconica</v>
      </c>
      <c r="M672" t="str">
        <f>_xlfn.XLOOKUP(frasest[[#This Row],[autor_es]],autorest[autor_es],autorest[nacion_es])</f>
        <v>España</v>
      </c>
      <c r="N672" t="str">
        <f>_xlfn.XLOOKUP(frasest[[#This Row],[autor_es]],autorest[autor_es],autorest[nacion_la])</f>
        <v>Hispania</v>
      </c>
      <c r="O672" t="str">
        <f>_xlfn.XLOOKUP(frasest[[#This Row],[autor_es]],autorest[autor_es],autorest[epoca_es])</f>
        <v>Epoca Desconocida</v>
      </c>
      <c r="P672" t="str">
        <f>_xlfn.XLOOKUP(frasest[[#This Row],[autor_es]],autorest[autor_es],autorest[epoca_la])</f>
        <v>Epocha Ignota</v>
      </c>
      <c r="Q672" t="str">
        <f>_xlfn.XLOOKUP(frasest[[#This Row],[autor_es]],autorest[autor_es],autorest[imagen])</f>
        <v>https://i.ibb.co/bjgxB3kn/euskadi.png</v>
      </c>
      <c r="R672">
        <f>_xlfn.XLOOKUP(frasest[[#This Row],[autor_es]],autorest[autor_es],autorest[imagen_atr])</f>
        <v>0</v>
      </c>
    </row>
    <row r="673" spans="1:18">
      <c r="A673">
        <v>672</v>
      </c>
      <c r="B673" t="s">
        <v>2297</v>
      </c>
      <c r="C673" t="s">
        <v>2298</v>
      </c>
      <c r="D673" t="s">
        <v>2299</v>
      </c>
      <c r="E673" t="s">
        <v>1236</v>
      </c>
      <c r="G673" t="str">
        <f>_xlfn.XLOOKUP(frasest[[#This Row],[autor_es]],autorest[autor_es],autorest[autor_la])</f>
        <v>Sententia Vasconica</v>
      </c>
      <c r="H673" t="str">
        <f>_xlfn.XLOOKUP(frasest[[#This Row],[autor_es]],autorest[autor_es],autorest[bio_es])</f>
        <v>Proverbios de la tradición oral vasca que reflejan la relación con la naturaleza, el trabajo y los valores comunitarios del pueblo vasco.</v>
      </c>
      <c r="I673" t="str">
        <f>_xlfn.XLOOKUP(frasest[[#This Row],[autor_es]],autorest[autor_es],autorest[bio_la])</f>
        <v>Collectio sententiarum Vasconicarum.</v>
      </c>
      <c r="J673" t="str">
        <f>_xlfn.XLOOKUP(frasest[[#This Row],[autor_es]],autorest[autor_es],autorest[codigo])</f>
        <v>eu</v>
      </c>
      <c r="K673" t="str">
        <f>_xlfn.XLOOKUP(frasest[[#This Row],[autor_es]],autorest[autor_es],autorest[idioma_es])</f>
        <v>Euskara</v>
      </c>
      <c r="L673" t="str">
        <f>_xlfn.XLOOKUP(frasest[[#This Row],[autor_es]],autorest[autor_es],autorest[idioma_la])</f>
        <v>Lingua Vasconica</v>
      </c>
      <c r="M673" t="str">
        <f>_xlfn.XLOOKUP(frasest[[#This Row],[autor_es]],autorest[autor_es],autorest[nacion_es])</f>
        <v>España</v>
      </c>
      <c r="N673" t="str">
        <f>_xlfn.XLOOKUP(frasest[[#This Row],[autor_es]],autorest[autor_es],autorest[nacion_la])</f>
        <v>Hispania</v>
      </c>
      <c r="O673" t="str">
        <f>_xlfn.XLOOKUP(frasest[[#This Row],[autor_es]],autorest[autor_es],autorest[epoca_es])</f>
        <v>Epoca Desconocida</v>
      </c>
      <c r="P673" t="str">
        <f>_xlfn.XLOOKUP(frasest[[#This Row],[autor_es]],autorest[autor_es],autorest[epoca_la])</f>
        <v>Epocha Ignota</v>
      </c>
      <c r="Q673" t="str">
        <f>_xlfn.XLOOKUP(frasest[[#This Row],[autor_es]],autorest[autor_es],autorest[imagen])</f>
        <v>https://i.ibb.co/bjgxB3kn/euskadi.png</v>
      </c>
      <c r="R673">
        <f>_xlfn.XLOOKUP(frasest[[#This Row],[autor_es]],autorest[autor_es],autorest[imagen_atr])</f>
        <v>0</v>
      </c>
    </row>
    <row r="674" spans="1:18">
      <c r="A674">
        <v>673</v>
      </c>
      <c r="B674" t="s">
        <v>2300</v>
      </c>
      <c r="C674" t="s">
        <v>2301</v>
      </c>
      <c r="D674" t="s">
        <v>2302</v>
      </c>
      <c r="E674" t="s">
        <v>1236</v>
      </c>
      <c r="G674" t="str">
        <f>_xlfn.XLOOKUP(frasest[[#This Row],[autor_es]],autorest[autor_es],autorest[autor_la])</f>
        <v>Sententia Vasconica</v>
      </c>
      <c r="H674" t="str">
        <f>_xlfn.XLOOKUP(frasest[[#This Row],[autor_es]],autorest[autor_es],autorest[bio_es])</f>
        <v>Proverbios de la tradición oral vasca que reflejan la relación con la naturaleza, el trabajo y los valores comunitarios del pueblo vasco.</v>
      </c>
      <c r="I674" t="str">
        <f>_xlfn.XLOOKUP(frasest[[#This Row],[autor_es]],autorest[autor_es],autorest[bio_la])</f>
        <v>Collectio sententiarum Vasconicarum.</v>
      </c>
      <c r="J674" t="str">
        <f>_xlfn.XLOOKUP(frasest[[#This Row],[autor_es]],autorest[autor_es],autorest[codigo])</f>
        <v>eu</v>
      </c>
      <c r="K674" t="str">
        <f>_xlfn.XLOOKUP(frasest[[#This Row],[autor_es]],autorest[autor_es],autorest[idioma_es])</f>
        <v>Euskara</v>
      </c>
      <c r="L674" t="str">
        <f>_xlfn.XLOOKUP(frasest[[#This Row],[autor_es]],autorest[autor_es],autorest[idioma_la])</f>
        <v>Lingua Vasconica</v>
      </c>
      <c r="M674" t="str">
        <f>_xlfn.XLOOKUP(frasest[[#This Row],[autor_es]],autorest[autor_es],autorest[nacion_es])</f>
        <v>España</v>
      </c>
      <c r="N674" t="str">
        <f>_xlfn.XLOOKUP(frasest[[#This Row],[autor_es]],autorest[autor_es],autorest[nacion_la])</f>
        <v>Hispania</v>
      </c>
      <c r="O674" t="str">
        <f>_xlfn.XLOOKUP(frasest[[#This Row],[autor_es]],autorest[autor_es],autorest[epoca_es])</f>
        <v>Epoca Desconocida</v>
      </c>
      <c r="P674" t="str">
        <f>_xlfn.XLOOKUP(frasest[[#This Row],[autor_es]],autorest[autor_es],autorest[epoca_la])</f>
        <v>Epocha Ignota</v>
      </c>
      <c r="Q674" t="str">
        <f>_xlfn.XLOOKUP(frasest[[#This Row],[autor_es]],autorest[autor_es],autorest[imagen])</f>
        <v>https://i.ibb.co/bjgxB3kn/euskadi.png</v>
      </c>
      <c r="R674">
        <f>_xlfn.XLOOKUP(frasest[[#This Row],[autor_es]],autorest[autor_es],autorest[imagen_atr])</f>
        <v>0</v>
      </c>
    </row>
    <row r="675" spans="1:18">
      <c r="A675">
        <v>674</v>
      </c>
      <c r="B675" t="s">
        <v>2303</v>
      </c>
      <c r="C675" t="s">
        <v>2304</v>
      </c>
      <c r="D675" t="s">
        <v>2305</v>
      </c>
      <c r="E675" t="s">
        <v>1236</v>
      </c>
      <c r="G675" t="str">
        <f>_xlfn.XLOOKUP(frasest[[#This Row],[autor_es]],autorest[autor_es],autorest[autor_la])</f>
        <v>Sententia Vasconica</v>
      </c>
      <c r="H675" t="str">
        <f>_xlfn.XLOOKUP(frasest[[#This Row],[autor_es]],autorest[autor_es],autorest[bio_es])</f>
        <v>Proverbios de la tradición oral vasca que reflejan la relación con la naturaleza, el trabajo y los valores comunitarios del pueblo vasco.</v>
      </c>
      <c r="I675" t="str">
        <f>_xlfn.XLOOKUP(frasest[[#This Row],[autor_es]],autorest[autor_es],autorest[bio_la])</f>
        <v>Collectio sententiarum Vasconicarum.</v>
      </c>
      <c r="J675" t="str">
        <f>_xlfn.XLOOKUP(frasest[[#This Row],[autor_es]],autorest[autor_es],autorest[codigo])</f>
        <v>eu</v>
      </c>
      <c r="K675" t="str">
        <f>_xlfn.XLOOKUP(frasest[[#This Row],[autor_es]],autorest[autor_es],autorest[idioma_es])</f>
        <v>Euskara</v>
      </c>
      <c r="L675" t="str">
        <f>_xlfn.XLOOKUP(frasest[[#This Row],[autor_es]],autorest[autor_es],autorest[idioma_la])</f>
        <v>Lingua Vasconica</v>
      </c>
      <c r="M675" t="str">
        <f>_xlfn.XLOOKUP(frasest[[#This Row],[autor_es]],autorest[autor_es],autorest[nacion_es])</f>
        <v>España</v>
      </c>
      <c r="N675" t="str">
        <f>_xlfn.XLOOKUP(frasest[[#This Row],[autor_es]],autorest[autor_es],autorest[nacion_la])</f>
        <v>Hispania</v>
      </c>
      <c r="O675" t="str">
        <f>_xlfn.XLOOKUP(frasest[[#This Row],[autor_es]],autorest[autor_es],autorest[epoca_es])</f>
        <v>Epoca Desconocida</v>
      </c>
      <c r="P675" t="str">
        <f>_xlfn.XLOOKUP(frasest[[#This Row],[autor_es]],autorest[autor_es],autorest[epoca_la])</f>
        <v>Epocha Ignota</v>
      </c>
      <c r="Q675" t="str">
        <f>_xlfn.XLOOKUP(frasest[[#This Row],[autor_es]],autorest[autor_es],autorest[imagen])</f>
        <v>https://i.ibb.co/bjgxB3kn/euskadi.png</v>
      </c>
      <c r="R675">
        <f>_xlfn.XLOOKUP(frasest[[#This Row],[autor_es]],autorest[autor_es],autorest[imagen_atr])</f>
        <v>0</v>
      </c>
    </row>
    <row r="676" spans="1:18">
      <c r="A676">
        <v>675</v>
      </c>
      <c r="B676" t="s">
        <v>2306</v>
      </c>
      <c r="C676" t="s">
        <v>2307</v>
      </c>
      <c r="D676" t="s">
        <v>2308</v>
      </c>
      <c r="E676" t="s">
        <v>1236</v>
      </c>
      <c r="G676" t="str">
        <f>_xlfn.XLOOKUP(frasest[[#This Row],[autor_es]],autorest[autor_es],autorest[autor_la])</f>
        <v>Sententia Vasconica</v>
      </c>
      <c r="H676" t="str">
        <f>_xlfn.XLOOKUP(frasest[[#This Row],[autor_es]],autorest[autor_es],autorest[bio_es])</f>
        <v>Proverbios de la tradición oral vasca que reflejan la relación con la naturaleza, el trabajo y los valores comunitarios del pueblo vasco.</v>
      </c>
      <c r="I676" t="str">
        <f>_xlfn.XLOOKUP(frasest[[#This Row],[autor_es]],autorest[autor_es],autorest[bio_la])</f>
        <v>Collectio sententiarum Vasconicarum.</v>
      </c>
      <c r="J676" t="str">
        <f>_xlfn.XLOOKUP(frasest[[#This Row],[autor_es]],autorest[autor_es],autorest[codigo])</f>
        <v>eu</v>
      </c>
      <c r="K676" t="str">
        <f>_xlfn.XLOOKUP(frasest[[#This Row],[autor_es]],autorest[autor_es],autorest[idioma_es])</f>
        <v>Euskara</v>
      </c>
      <c r="L676" t="str">
        <f>_xlfn.XLOOKUP(frasest[[#This Row],[autor_es]],autorest[autor_es],autorest[idioma_la])</f>
        <v>Lingua Vasconica</v>
      </c>
      <c r="M676" t="str">
        <f>_xlfn.XLOOKUP(frasest[[#This Row],[autor_es]],autorest[autor_es],autorest[nacion_es])</f>
        <v>España</v>
      </c>
      <c r="N676" t="str">
        <f>_xlfn.XLOOKUP(frasest[[#This Row],[autor_es]],autorest[autor_es],autorest[nacion_la])</f>
        <v>Hispania</v>
      </c>
      <c r="O676" t="str">
        <f>_xlfn.XLOOKUP(frasest[[#This Row],[autor_es]],autorest[autor_es],autorest[epoca_es])</f>
        <v>Epoca Desconocida</v>
      </c>
      <c r="P676" t="str">
        <f>_xlfn.XLOOKUP(frasest[[#This Row],[autor_es]],autorest[autor_es],autorest[epoca_la])</f>
        <v>Epocha Ignota</v>
      </c>
      <c r="Q676" t="str">
        <f>_xlfn.XLOOKUP(frasest[[#This Row],[autor_es]],autorest[autor_es],autorest[imagen])</f>
        <v>https://i.ibb.co/bjgxB3kn/euskadi.png</v>
      </c>
      <c r="R676">
        <f>_xlfn.XLOOKUP(frasest[[#This Row],[autor_es]],autorest[autor_es],autorest[imagen_atr])</f>
        <v>0</v>
      </c>
    </row>
    <row r="677" spans="1:18">
      <c r="A677">
        <v>676</v>
      </c>
      <c r="B677" t="s">
        <v>2309</v>
      </c>
      <c r="C677" t="s">
        <v>2310</v>
      </c>
      <c r="D677" t="s">
        <v>2311</v>
      </c>
      <c r="E677" t="s">
        <v>1236</v>
      </c>
      <c r="G677" t="str">
        <f>_xlfn.XLOOKUP(frasest[[#This Row],[autor_es]],autorest[autor_es],autorest[autor_la])</f>
        <v>Sententia Vasconica</v>
      </c>
      <c r="H677" t="str">
        <f>_xlfn.XLOOKUP(frasest[[#This Row],[autor_es]],autorest[autor_es],autorest[bio_es])</f>
        <v>Proverbios de la tradición oral vasca que reflejan la relación con la naturaleza, el trabajo y los valores comunitarios del pueblo vasco.</v>
      </c>
      <c r="I677" t="str">
        <f>_xlfn.XLOOKUP(frasest[[#This Row],[autor_es]],autorest[autor_es],autorest[bio_la])</f>
        <v>Collectio sententiarum Vasconicarum.</v>
      </c>
      <c r="J677" t="str">
        <f>_xlfn.XLOOKUP(frasest[[#This Row],[autor_es]],autorest[autor_es],autorest[codigo])</f>
        <v>eu</v>
      </c>
      <c r="K677" t="str">
        <f>_xlfn.XLOOKUP(frasest[[#This Row],[autor_es]],autorest[autor_es],autorest[idioma_es])</f>
        <v>Euskara</v>
      </c>
      <c r="L677" t="str">
        <f>_xlfn.XLOOKUP(frasest[[#This Row],[autor_es]],autorest[autor_es],autorest[idioma_la])</f>
        <v>Lingua Vasconica</v>
      </c>
      <c r="M677" t="str">
        <f>_xlfn.XLOOKUP(frasest[[#This Row],[autor_es]],autorest[autor_es],autorest[nacion_es])</f>
        <v>España</v>
      </c>
      <c r="N677" t="str">
        <f>_xlfn.XLOOKUP(frasest[[#This Row],[autor_es]],autorest[autor_es],autorest[nacion_la])</f>
        <v>Hispania</v>
      </c>
      <c r="O677" t="str">
        <f>_xlfn.XLOOKUP(frasest[[#This Row],[autor_es]],autorest[autor_es],autorest[epoca_es])</f>
        <v>Epoca Desconocida</v>
      </c>
      <c r="P677" t="str">
        <f>_xlfn.XLOOKUP(frasest[[#This Row],[autor_es]],autorest[autor_es],autorest[epoca_la])</f>
        <v>Epocha Ignota</v>
      </c>
      <c r="Q677" t="str">
        <f>_xlfn.XLOOKUP(frasest[[#This Row],[autor_es]],autorest[autor_es],autorest[imagen])</f>
        <v>https://i.ibb.co/bjgxB3kn/euskadi.png</v>
      </c>
      <c r="R677">
        <f>_xlfn.XLOOKUP(frasest[[#This Row],[autor_es]],autorest[autor_es],autorest[imagen_atr])</f>
        <v>0</v>
      </c>
    </row>
    <row r="678" spans="1:18">
      <c r="A678">
        <v>677</v>
      </c>
      <c r="B678" t="s">
        <v>2312</v>
      </c>
      <c r="C678" t="s">
        <v>2313</v>
      </c>
      <c r="D678" t="s">
        <v>2314</v>
      </c>
      <c r="E678" t="s">
        <v>1236</v>
      </c>
      <c r="G678" t="str">
        <f>_xlfn.XLOOKUP(frasest[[#This Row],[autor_es]],autorest[autor_es],autorest[autor_la])</f>
        <v>Sententia Vasconica</v>
      </c>
      <c r="H678" t="str">
        <f>_xlfn.XLOOKUP(frasest[[#This Row],[autor_es]],autorest[autor_es],autorest[bio_es])</f>
        <v>Proverbios de la tradición oral vasca que reflejan la relación con la naturaleza, el trabajo y los valores comunitarios del pueblo vasco.</v>
      </c>
      <c r="I678" t="str">
        <f>_xlfn.XLOOKUP(frasest[[#This Row],[autor_es]],autorest[autor_es],autorest[bio_la])</f>
        <v>Collectio sententiarum Vasconicarum.</v>
      </c>
      <c r="J678" t="str">
        <f>_xlfn.XLOOKUP(frasest[[#This Row],[autor_es]],autorest[autor_es],autorest[codigo])</f>
        <v>eu</v>
      </c>
      <c r="K678" t="str">
        <f>_xlfn.XLOOKUP(frasest[[#This Row],[autor_es]],autorest[autor_es],autorest[idioma_es])</f>
        <v>Euskara</v>
      </c>
      <c r="L678" t="str">
        <f>_xlfn.XLOOKUP(frasest[[#This Row],[autor_es]],autorest[autor_es],autorest[idioma_la])</f>
        <v>Lingua Vasconica</v>
      </c>
      <c r="M678" t="str">
        <f>_xlfn.XLOOKUP(frasest[[#This Row],[autor_es]],autorest[autor_es],autorest[nacion_es])</f>
        <v>España</v>
      </c>
      <c r="N678" t="str">
        <f>_xlfn.XLOOKUP(frasest[[#This Row],[autor_es]],autorest[autor_es],autorest[nacion_la])</f>
        <v>Hispania</v>
      </c>
      <c r="O678" t="str">
        <f>_xlfn.XLOOKUP(frasest[[#This Row],[autor_es]],autorest[autor_es],autorest[epoca_es])</f>
        <v>Epoca Desconocida</v>
      </c>
      <c r="P678" t="str">
        <f>_xlfn.XLOOKUP(frasest[[#This Row],[autor_es]],autorest[autor_es],autorest[epoca_la])</f>
        <v>Epocha Ignota</v>
      </c>
      <c r="Q678" t="str">
        <f>_xlfn.XLOOKUP(frasest[[#This Row],[autor_es]],autorest[autor_es],autorest[imagen])</f>
        <v>https://i.ibb.co/bjgxB3kn/euskadi.png</v>
      </c>
      <c r="R678">
        <f>_xlfn.XLOOKUP(frasest[[#This Row],[autor_es]],autorest[autor_es],autorest[imagen_atr])</f>
        <v>0</v>
      </c>
    </row>
    <row r="679" spans="1:18">
      <c r="A679">
        <v>678</v>
      </c>
      <c r="B679" t="s">
        <v>2315</v>
      </c>
      <c r="C679" t="s">
        <v>2316</v>
      </c>
      <c r="D679" t="s">
        <v>2317</v>
      </c>
      <c r="E679" t="s">
        <v>1236</v>
      </c>
      <c r="G679" t="str">
        <f>_xlfn.XLOOKUP(frasest[[#This Row],[autor_es]],autorest[autor_es],autorest[autor_la])</f>
        <v>Sententia Vasconica</v>
      </c>
      <c r="H679" t="str">
        <f>_xlfn.XLOOKUP(frasest[[#This Row],[autor_es]],autorest[autor_es],autorest[bio_es])</f>
        <v>Proverbios de la tradición oral vasca que reflejan la relación con la naturaleza, el trabajo y los valores comunitarios del pueblo vasco.</v>
      </c>
      <c r="I679" t="str">
        <f>_xlfn.XLOOKUP(frasest[[#This Row],[autor_es]],autorest[autor_es],autorest[bio_la])</f>
        <v>Collectio sententiarum Vasconicarum.</v>
      </c>
      <c r="J679" t="str">
        <f>_xlfn.XLOOKUP(frasest[[#This Row],[autor_es]],autorest[autor_es],autorest[codigo])</f>
        <v>eu</v>
      </c>
      <c r="K679" t="str">
        <f>_xlfn.XLOOKUP(frasest[[#This Row],[autor_es]],autorest[autor_es],autorest[idioma_es])</f>
        <v>Euskara</v>
      </c>
      <c r="L679" t="str">
        <f>_xlfn.XLOOKUP(frasest[[#This Row],[autor_es]],autorest[autor_es],autorest[idioma_la])</f>
        <v>Lingua Vasconica</v>
      </c>
      <c r="M679" t="str">
        <f>_xlfn.XLOOKUP(frasest[[#This Row],[autor_es]],autorest[autor_es],autorest[nacion_es])</f>
        <v>España</v>
      </c>
      <c r="N679" t="str">
        <f>_xlfn.XLOOKUP(frasest[[#This Row],[autor_es]],autorest[autor_es],autorest[nacion_la])</f>
        <v>Hispania</v>
      </c>
      <c r="O679" t="str">
        <f>_xlfn.XLOOKUP(frasest[[#This Row],[autor_es]],autorest[autor_es],autorest[epoca_es])</f>
        <v>Epoca Desconocida</v>
      </c>
      <c r="P679" t="str">
        <f>_xlfn.XLOOKUP(frasest[[#This Row],[autor_es]],autorest[autor_es],autorest[epoca_la])</f>
        <v>Epocha Ignota</v>
      </c>
      <c r="Q679" t="str">
        <f>_xlfn.XLOOKUP(frasest[[#This Row],[autor_es]],autorest[autor_es],autorest[imagen])</f>
        <v>https://i.ibb.co/bjgxB3kn/euskadi.png</v>
      </c>
      <c r="R679">
        <f>_xlfn.XLOOKUP(frasest[[#This Row],[autor_es]],autorest[autor_es],autorest[imagen_atr])</f>
        <v>0</v>
      </c>
    </row>
    <row r="680" spans="1:18">
      <c r="A680">
        <v>679</v>
      </c>
      <c r="B680" t="s">
        <v>2318</v>
      </c>
      <c r="C680" t="s">
        <v>2319</v>
      </c>
      <c r="D680" t="s">
        <v>2320</v>
      </c>
      <c r="E680" t="s">
        <v>1236</v>
      </c>
      <c r="G680" t="str">
        <f>_xlfn.XLOOKUP(frasest[[#This Row],[autor_es]],autorest[autor_es],autorest[autor_la])</f>
        <v>Sententia Vasconica</v>
      </c>
      <c r="H680" t="str">
        <f>_xlfn.XLOOKUP(frasest[[#This Row],[autor_es]],autorest[autor_es],autorest[bio_es])</f>
        <v>Proverbios de la tradición oral vasca que reflejan la relación con la naturaleza, el trabajo y los valores comunitarios del pueblo vasco.</v>
      </c>
      <c r="I680" t="str">
        <f>_xlfn.XLOOKUP(frasest[[#This Row],[autor_es]],autorest[autor_es],autorest[bio_la])</f>
        <v>Collectio sententiarum Vasconicarum.</v>
      </c>
      <c r="J680" t="str">
        <f>_xlfn.XLOOKUP(frasest[[#This Row],[autor_es]],autorest[autor_es],autorest[codigo])</f>
        <v>eu</v>
      </c>
      <c r="K680" t="str">
        <f>_xlfn.XLOOKUP(frasest[[#This Row],[autor_es]],autorest[autor_es],autorest[idioma_es])</f>
        <v>Euskara</v>
      </c>
      <c r="L680" t="str">
        <f>_xlfn.XLOOKUP(frasest[[#This Row],[autor_es]],autorest[autor_es],autorest[idioma_la])</f>
        <v>Lingua Vasconica</v>
      </c>
      <c r="M680" t="str">
        <f>_xlfn.XLOOKUP(frasest[[#This Row],[autor_es]],autorest[autor_es],autorest[nacion_es])</f>
        <v>España</v>
      </c>
      <c r="N680" t="str">
        <f>_xlfn.XLOOKUP(frasest[[#This Row],[autor_es]],autorest[autor_es],autorest[nacion_la])</f>
        <v>Hispania</v>
      </c>
      <c r="O680" t="str">
        <f>_xlfn.XLOOKUP(frasest[[#This Row],[autor_es]],autorest[autor_es],autorest[epoca_es])</f>
        <v>Epoca Desconocida</v>
      </c>
      <c r="P680" t="str">
        <f>_xlfn.XLOOKUP(frasest[[#This Row],[autor_es]],autorest[autor_es],autorest[epoca_la])</f>
        <v>Epocha Ignota</v>
      </c>
      <c r="Q680" t="str">
        <f>_xlfn.XLOOKUP(frasest[[#This Row],[autor_es]],autorest[autor_es],autorest[imagen])</f>
        <v>https://i.ibb.co/bjgxB3kn/euskadi.png</v>
      </c>
      <c r="R680">
        <f>_xlfn.XLOOKUP(frasest[[#This Row],[autor_es]],autorest[autor_es],autorest[imagen_atr])</f>
        <v>0</v>
      </c>
    </row>
    <row r="681" spans="1:18">
      <c r="A681">
        <v>680</v>
      </c>
      <c r="B681" t="s">
        <v>2321</v>
      </c>
      <c r="C681" t="s">
        <v>2322</v>
      </c>
      <c r="D681" t="s">
        <v>2323</v>
      </c>
      <c r="E681" t="s">
        <v>1236</v>
      </c>
      <c r="G681" t="str">
        <f>_xlfn.XLOOKUP(frasest[[#This Row],[autor_es]],autorest[autor_es],autorest[autor_la])</f>
        <v>Sententia Vasconica</v>
      </c>
      <c r="H681" t="str">
        <f>_xlfn.XLOOKUP(frasest[[#This Row],[autor_es]],autorest[autor_es],autorest[bio_es])</f>
        <v>Proverbios de la tradición oral vasca que reflejan la relación con la naturaleza, el trabajo y los valores comunitarios del pueblo vasco.</v>
      </c>
      <c r="I681" t="str">
        <f>_xlfn.XLOOKUP(frasest[[#This Row],[autor_es]],autorest[autor_es],autorest[bio_la])</f>
        <v>Collectio sententiarum Vasconicarum.</v>
      </c>
      <c r="J681" t="str">
        <f>_xlfn.XLOOKUP(frasest[[#This Row],[autor_es]],autorest[autor_es],autorest[codigo])</f>
        <v>eu</v>
      </c>
      <c r="K681" t="str">
        <f>_xlfn.XLOOKUP(frasest[[#This Row],[autor_es]],autorest[autor_es],autorest[idioma_es])</f>
        <v>Euskara</v>
      </c>
      <c r="L681" t="str">
        <f>_xlfn.XLOOKUP(frasest[[#This Row],[autor_es]],autorest[autor_es],autorest[idioma_la])</f>
        <v>Lingua Vasconica</v>
      </c>
      <c r="M681" t="str">
        <f>_xlfn.XLOOKUP(frasest[[#This Row],[autor_es]],autorest[autor_es],autorest[nacion_es])</f>
        <v>España</v>
      </c>
      <c r="N681" t="str">
        <f>_xlfn.XLOOKUP(frasest[[#This Row],[autor_es]],autorest[autor_es],autorest[nacion_la])</f>
        <v>Hispania</v>
      </c>
      <c r="O681" t="str">
        <f>_xlfn.XLOOKUP(frasest[[#This Row],[autor_es]],autorest[autor_es],autorest[epoca_es])</f>
        <v>Epoca Desconocida</v>
      </c>
      <c r="P681" t="str">
        <f>_xlfn.XLOOKUP(frasest[[#This Row],[autor_es]],autorest[autor_es],autorest[epoca_la])</f>
        <v>Epocha Ignota</v>
      </c>
      <c r="Q681" t="str">
        <f>_xlfn.XLOOKUP(frasest[[#This Row],[autor_es]],autorest[autor_es],autorest[imagen])</f>
        <v>https://i.ibb.co/bjgxB3kn/euskadi.png</v>
      </c>
      <c r="R681">
        <f>_xlfn.XLOOKUP(frasest[[#This Row],[autor_es]],autorest[autor_es],autorest[imagen_atr])</f>
        <v>0</v>
      </c>
    </row>
    <row r="682" spans="1:18">
      <c r="A682">
        <v>681</v>
      </c>
      <c r="B682" t="s">
        <v>2324</v>
      </c>
      <c r="C682" t="s">
        <v>2325</v>
      </c>
      <c r="D682" t="s">
        <v>2326</v>
      </c>
      <c r="E682" t="s">
        <v>1236</v>
      </c>
      <c r="G682" t="str">
        <f>_xlfn.XLOOKUP(frasest[[#This Row],[autor_es]],autorest[autor_es],autorest[autor_la])</f>
        <v>Sententia Vasconica</v>
      </c>
      <c r="H682" t="str">
        <f>_xlfn.XLOOKUP(frasest[[#This Row],[autor_es]],autorest[autor_es],autorest[bio_es])</f>
        <v>Proverbios de la tradición oral vasca que reflejan la relación con la naturaleza, el trabajo y los valores comunitarios del pueblo vasco.</v>
      </c>
      <c r="I682" t="str">
        <f>_xlfn.XLOOKUP(frasest[[#This Row],[autor_es]],autorest[autor_es],autorest[bio_la])</f>
        <v>Collectio sententiarum Vasconicarum.</v>
      </c>
      <c r="J682" t="str">
        <f>_xlfn.XLOOKUP(frasest[[#This Row],[autor_es]],autorest[autor_es],autorest[codigo])</f>
        <v>eu</v>
      </c>
      <c r="K682" t="str">
        <f>_xlfn.XLOOKUP(frasest[[#This Row],[autor_es]],autorest[autor_es],autorest[idioma_es])</f>
        <v>Euskara</v>
      </c>
      <c r="L682" t="str">
        <f>_xlfn.XLOOKUP(frasest[[#This Row],[autor_es]],autorest[autor_es],autorest[idioma_la])</f>
        <v>Lingua Vasconica</v>
      </c>
      <c r="M682" t="str">
        <f>_xlfn.XLOOKUP(frasest[[#This Row],[autor_es]],autorest[autor_es],autorest[nacion_es])</f>
        <v>España</v>
      </c>
      <c r="N682" t="str">
        <f>_xlfn.XLOOKUP(frasest[[#This Row],[autor_es]],autorest[autor_es],autorest[nacion_la])</f>
        <v>Hispania</v>
      </c>
      <c r="O682" t="str">
        <f>_xlfn.XLOOKUP(frasest[[#This Row],[autor_es]],autorest[autor_es],autorest[epoca_es])</f>
        <v>Epoca Desconocida</v>
      </c>
      <c r="P682" t="str">
        <f>_xlfn.XLOOKUP(frasest[[#This Row],[autor_es]],autorest[autor_es],autorest[epoca_la])</f>
        <v>Epocha Ignota</v>
      </c>
      <c r="Q682" t="str">
        <f>_xlfn.XLOOKUP(frasest[[#This Row],[autor_es]],autorest[autor_es],autorest[imagen])</f>
        <v>https://i.ibb.co/bjgxB3kn/euskadi.png</v>
      </c>
      <c r="R682">
        <f>_xlfn.XLOOKUP(frasest[[#This Row],[autor_es]],autorest[autor_es],autorest[imagen_atr])</f>
        <v>0</v>
      </c>
    </row>
    <row r="683" spans="1:18">
      <c r="A683">
        <v>682</v>
      </c>
      <c r="B683" t="s">
        <v>2327</v>
      </c>
      <c r="C683" t="s">
        <v>2328</v>
      </c>
      <c r="D683" t="s">
        <v>2329</v>
      </c>
      <c r="E683" t="s">
        <v>1236</v>
      </c>
      <c r="G683" t="str">
        <f>_xlfn.XLOOKUP(frasest[[#This Row],[autor_es]],autorest[autor_es],autorest[autor_la])</f>
        <v>Sententia Vasconica</v>
      </c>
      <c r="H683" t="str">
        <f>_xlfn.XLOOKUP(frasest[[#This Row],[autor_es]],autorest[autor_es],autorest[bio_es])</f>
        <v>Proverbios de la tradición oral vasca que reflejan la relación con la naturaleza, el trabajo y los valores comunitarios del pueblo vasco.</v>
      </c>
      <c r="I683" t="str">
        <f>_xlfn.XLOOKUP(frasest[[#This Row],[autor_es]],autorest[autor_es],autorest[bio_la])</f>
        <v>Collectio sententiarum Vasconicarum.</v>
      </c>
      <c r="J683" t="str">
        <f>_xlfn.XLOOKUP(frasest[[#This Row],[autor_es]],autorest[autor_es],autorest[codigo])</f>
        <v>eu</v>
      </c>
      <c r="K683" t="str">
        <f>_xlfn.XLOOKUP(frasest[[#This Row],[autor_es]],autorest[autor_es],autorest[idioma_es])</f>
        <v>Euskara</v>
      </c>
      <c r="L683" t="str">
        <f>_xlfn.XLOOKUP(frasest[[#This Row],[autor_es]],autorest[autor_es],autorest[idioma_la])</f>
        <v>Lingua Vasconica</v>
      </c>
      <c r="M683" t="str">
        <f>_xlfn.XLOOKUP(frasest[[#This Row],[autor_es]],autorest[autor_es],autorest[nacion_es])</f>
        <v>España</v>
      </c>
      <c r="N683" t="str">
        <f>_xlfn.XLOOKUP(frasest[[#This Row],[autor_es]],autorest[autor_es],autorest[nacion_la])</f>
        <v>Hispania</v>
      </c>
      <c r="O683" t="str">
        <f>_xlfn.XLOOKUP(frasest[[#This Row],[autor_es]],autorest[autor_es],autorest[epoca_es])</f>
        <v>Epoca Desconocida</v>
      </c>
      <c r="P683" t="str">
        <f>_xlfn.XLOOKUP(frasest[[#This Row],[autor_es]],autorest[autor_es],autorest[epoca_la])</f>
        <v>Epocha Ignota</v>
      </c>
      <c r="Q683" t="str">
        <f>_xlfn.XLOOKUP(frasest[[#This Row],[autor_es]],autorest[autor_es],autorest[imagen])</f>
        <v>https://i.ibb.co/bjgxB3kn/euskadi.png</v>
      </c>
      <c r="R683">
        <f>_xlfn.XLOOKUP(frasest[[#This Row],[autor_es]],autorest[autor_es],autorest[imagen_atr])</f>
        <v>0</v>
      </c>
    </row>
    <row r="684" spans="1:18">
      <c r="A684">
        <v>683</v>
      </c>
      <c r="B684" t="s">
        <v>2330</v>
      </c>
      <c r="C684" t="s">
        <v>2331</v>
      </c>
      <c r="D684" t="s">
        <v>2332</v>
      </c>
      <c r="E684" t="s">
        <v>1236</v>
      </c>
      <c r="G684" t="str">
        <f>_xlfn.XLOOKUP(frasest[[#This Row],[autor_es]],autorest[autor_es],autorest[autor_la])</f>
        <v>Sententia Vasconica</v>
      </c>
      <c r="H684" t="str">
        <f>_xlfn.XLOOKUP(frasest[[#This Row],[autor_es]],autorest[autor_es],autorest[bio_es])</f>
        <v>Proverbios de la tradición oral vasca que reflejan la relación con la naturaleza, el trabajo y los valores comunitarios del pueblo vasco.</v>
      </c>
      <c r="I684" t="str">
        <f>_xlfn.XLOOKUP(frasest[[#This Row],[autor_es]],autorest[autor_es],autorest[bio_la])</f>
        <v>Collectio sententiarum Vasconicarum.</v>
      </c>
      <c r="J684" t="str">
        <f>_xlfn.XLOOKUP(frasest[[#This Row],[autor_es]],autorest[autor_es],autorest[codigo])</f>
        <v>eu</v>
      </c>
      <c r="K684" t="str">
        <f>_xlfn.XLOOKUP(frasest[[#This Row],[autor_es]],autorest[autor_es],autorest[idioma_es])</f>
        <v>Euskara</v>
      </c>
      <c r="L684" t="str">
        <f>_xlfn.XLOOKUP(frasest[[#This Row],[autor_es]],autorest[autor_es],autorest[idioma_la])</f>
        <v>Lingua Vasconica</v>
      </c>
      <c r="M684" t="str">
        <f>_xlfn.XLOOKUP(frasest[[#This Row],[autor_es]],autorest[autor_es],autorest[nacion_es])</f>
        <v>España</v>
      </c>
      <c r="N684" t="str">
        <f>_xlfn.XLOOKUP(frasest[[#This Row],[autor_es]],autorest[autor_es],autorest[nacion_la])</f>
        <v>Hispania</v>
      </c>
      <c r="O684" t="str">
        <f>_xlfn.XLOOKUP(frasest[[#This Row],[autor_es]],autorest[autor_es],autorest[epoca_es])</f>
        <v>Epoca Desconocida</v>
      </c>
      <c r="P684" t="str">
        <f>_xlfn.XLOOKUP(frasest[[#This Row],[autor_es]],autorest[autor_es],autorest[epoca_la])</f>
        <v>Epocha Ignota</v>
      </c>
      <c r="Q684" t="str">
        <f>_xlfn.XLOOKUP(frasest[[#This Row],[autor_es]],autorest[autor_es],autorest[imagen])</f>
        <v>https://i.ibb.co/bjgxB3kn/euskadi.png</v>
      </c>
      <c r="R684">
        <f>_xlfn.XLOOKUP(frasest[[#This Row],[autor_es]],autorest[autor_es],autorest[imagen_atr])</f>
        <v>0</v>
      </c>
    </row>
    <row r="685" spans="1:18">
      <c r="A685">
        <v>684</v>
      </c>
      <c r="B685" t="s">
        <v>2333</v>
      </c>
      <c r="C685" t="s">
        <v>2334</v>
      </c>
      <c r="D685" t="s">
        <v>2335</v>
      </c>
      <c r="E685" t="s">
        <v>1236</v>
      </c>
      <c r="G685" t="str">
        <f>_xlfn.XLOOKUP(frasest[[#This Row],[autor_es]],autorest[autor_es],autorest[autor_la])</f>
        <v>Sententia Vasconica</v>
      </c>
      <c r="H685" t="str">
        <f>_xlfn.XLOOKUP(frasest[[#This Row],[autor_es]],autorest[autor_es],autorest[bio_es])</f>
        <v>Proverbios de la tradición oral vasca que reflejan la relación con la naturaleza, el trabajo y los valores comunitarios del pueblo vasco.</v>
      </c>
      <c r="I685" t="str">
        <f>_xlfn.XLOOKUP(frasest[[#This Row],[autor_es]],autorest[autor_es],autorest[bio_la])</f>
        <v>Collectio sententiarum Vasconicarum.</v>
      </c>
      <c r="J685" t="str">
        <f>_xlfn.XLOOKUP(frasest[[#This Row],[autor_es]],autorest[autor_es],autorest[codigo])</f>
        <v>eu</v>
      </c>
      <c r="K685" t="str">
        <f>_xlfn.XLOOKUP(frasest[[#This Row],[autor_es]],autorest[autor_es],autorest[idioma_es])</f>
        <v>Euskara</v>
      </c>
      <c r="L685" t="str">
        <f>_xlfn.XLOOKUP(frasest[[#This Row],[autor_es]],autorest[autor_es],autorest[idioma_la])</f>
        <v>Lingua Vasconica</v>
      </c>
      <c r="M685" t="str">
        <f>_xlfn.XLOOKUP(frasest[[#This Row],[autor_es]],autorest[autor_es],autorest[nacion_es])</f>
        <v>España</v>
      </c>
      <c r="N685" t="str">
        <f>_xlfn.XLOOKUP(frasest[[#This Row],[autor_es]],autorest[autor_es],autorest[nacion_la])</f>
        <v>Hispania</v>
      </c>
      <c r="O685" t="str">
        <f>_xlfn.XLOOKUP(frasest[[#This Row],[autor_es]],autorest[autor_es],autorest[epoca_es])</f>
        <v>Epoca Desconocida</v>
      </c>
      <c r="P685" t="str">
        <f>_xlfn.XLOOKUP(frasest[[#This Row],[autor_es]],autorest[autor_es],autorest[epoca_la])</f>
        <v>Epocha Ignota</v>
      </c>
      <c r="Q685" t="str">
        <f>_xlfn.XLOOKUP(frasest[[#This Row],[autor_es]],autorest[autor_es],autorest[imagen])</f>
        <v>https://i.ibb.co/bjgxB3kn/euskadi.png</v>
      </c>
      <c r="R685">
        <f>_xlfn.XLOOKUP(frasest[[#This Row],[autor_es]],autorest[autor_es],autorest[imagen_atr])</f>
        <v>0</v>
      </c>
    </row>
    <row r="686" spans="1:18">
      <c r="A686">
        <v>685</v>
      </c>
      <c r="B686" t="s">
        <v>64</v>
      </c>
      <c r="C686" t="s">
        <v>2336</v>
      </c>
      <c r="D686" t="s">
        <v>2337</v>
      </c>
      <c r="E686" t="s">
        <v>1236</v>
      </c>
      <c r="G686" t="str">
        <f>_xlfn.XLOOKUP(frasest[[#This Row],[autor_es]],autorest[autor_es],autorest[autor_la])</f>
        <v>Sententia Vasconica</v>
      </c>
      <c r="H686" t="str">
        <f>_xlfn.XLOOKUP(frasest[[#This Row],[autor_es]],autorest[autor_es],autorest[bio_es])</f>
        <v>Proverbios de la tradición oral vasca que reflejan la relación con la naturaleza, el trabajo y los valores comunitarios del pueblo vasco.</v>
      </c>
      <c r="I686" t="str">
        <f>_xlfn.XLOOKUP(frasest[[#This Row],[autor_es]],autorest[autor_es],autorest[bio_la])</f>
        <v>Collectio sententiarum Vasconicarum.</v>
      </c>
      <c r="J686" t="str">
        <f>_xlfn.XLOOKUP(frasest[[#This Row],[autor_es]],autorest[autor_es],autorest[codigo])</f>
        <v>eu</v>
      </c>
      <c r="K686" t="str">
        <f>_xlfn.XLOOKUP(frasest[[#This Row],[autor_es]],autorest[autor_es],autorest[idioma_es])</f>
        <v>Euskara</v>
      </c>
      <c r="L686" t="str">
        <f>_xlfn.XLOOKUP(frasest[[#This Row],[autor_es]],autorest[autor_es],autorest[idioma_la])</f>
        <v>Lingua Vasconica</v>
      </c>
      <c r="M686" t="str">
        <f>_xlfn.XLOOKUP(frasest[[#This Row],[autor_es]],autorest[autor_es],autorest[nacion_es])</f>
        <v>España</v>
      </c>
      <c r="N686" t="str">
        <f>_xlfn.XLOOKUP(frasest[[#This Row],[autor_es]],autorest[autor_es],autorest[nacion_la])</f>
        <v>Hispania</v>
      </c>
      <c r="O686" t="str">
        <f>_xlfn.XLOOKUP(frasest[[#This Row],[autor_es]],autorest[autor_es],autorest[epoca_es])</f>
        <v>Epoca Desconocida</v>
      </c>
      <c r="P686" t="str">
        <f>_xlfn.XLOOKUP(frasest[[#This Row],[autor_es]],autorest[autor_es],autorest[epoca_la])</f>
        <v>Epocha Ignota</v>
      </c>
      <c r="Q686" t="str">
        <f>_xlfn.XLOOKUP(frasest[[#This Row],[autor_es]],autorest[autor_es],autorest[imagen])</f>
        <v>https://i.ibb.co/bjgxB3kn/euskadi.png</v>
      </c>
      <c r="R686">
        <f>_xlfn.XLOOKUP(frasest[[#This Row],[autor_es]],autorest[autor_es],autorest[imagen_atr])</f>
        <v>0</v>
      </c>
    </row>
    <row r="687" spans="1:18">
      <c r="A687">
        <v>686</v>
      </c>
      <c r="B687" t="s">
        <v>2338</v>
      </c>
      <c r="C687" t="s">
        <v>2339</v>
      </c>
      <c r="D687" t="s">
        <v>2340</v>
      </c>
      <c r="E687" t="s">
        <v>1236</v>
      </c>
      <c r="G687" t="str">
        <f>_xlfn.XLOOKUP(frasest[[#This Row],[autor_es]],autorest[autor_es],autorest[autor_la])</f>
        <v>Sententia Vasconica</v>
      </c>
      <c r="H687" t="str">
        <f>_xlfn.XLOOKUP(frasest[[#This Row],[autor_es]],autorest[autor_es],autorest[bio_es])</f>
        <v>Proverbios de la tradición oral vasca que reflejan la relación con la naturaleza, el trabajo y los valores comunitarios del pueblo vasco.</v>
      </c>
      <c r="I687" t="str">
        <f>_xlfn.XLOOKUP(frasest[[#This Row],[autor_es]],autorest[autor_es],autorest[bio_la])</f>
        <v>Collectio sententiarum Vasconicarum.</v>
      </c>
      <c r="J687" t="str">
        <f>_xlfn.XLOOKUP(frasest[[#This Row],[autor_es]],autorest[autor_es],autorest[codigo])</f>
        <v>eu</v>
      </c>
      <c r="K687" t="str">
        <f>_xlfn.XLOOKUP(frasest[[#This Row],[autor_es]],autorest[autor_es],autorest[idioma_es])</f>
        <v>Euskara</v>
      </c>
      <c r="L687" t="str">
        <f>_xlfn.XLOOKUP(frasest[[#This Row],[autor_es]],autorest[autor_es],autorest[idioma_la])</f>
        <v>Lingua Vasconica</v>
      </c>
      <c r="M687" t="str">
        <f>_xlfn.XLOOKUP(frasest[[#This Row],[autor_es]],autorest[autor_es],autorest[nacion_es])</f>
        <v>España</v>
      </c>
      <c r="N687" t="str">
        <f>_xlfn.XLOOKUP(frasest[[#This Row],[autor_es]],autorest[autor_es],autorest[nacion_la])</f>
        <v>Hispania</v>
      </c>
      <c r="O687" t="str">
        <f>_xlfn.XLOOKUP(frasest[[#This Row],[autor_es]],autorest[autor_es],autorest[epoca_es])</f>
        <v>Epoca Desconocida</v>
      </c>
      <c r="P687" t="str">
        <f>_xlfn.XLOOKUP(frasest[[#This Row],[autor_es]],autorest[autor_es],autorest[epoca_la])</f>
        <v>Epocha Ignota</v>
      </c>
      <c r="Q687" t="str">
        <f>_xlfn.XLOOKUP(frasest[[#This Row],[autor_es]],autorest[autor_es],autorest[imagen])</f>
        <v>https://i.ibb.co/bjgxB3kn/euskadi.png</v>
      </c>
      <c r="R687">
        <f>_xlfn.XLOOKUP(frasest[[#This Row],[autor_es]],autorest[autor_es],autorest[imagen_atr])</f>
        <v>0</v>
      </c>
    </row>
    <row r="688" spans="1:18">
      <c r="A688">
        <v>687</v>
      </c>
      <c r="B688" t="s">
        <v>2341</v>
      </c>
      <c r="C688" t="s">
        <v>2342</v>
      </c>
      <c r="D688" t="s">
        <v>2343</v>
      </c>
      <c r="E688" t="s">
        <v>1236</v>
      </c>
      <c r="G688" t="str">
        <f>_xlfn.XLOOKUP(frasest[[#This Row],[autor_es]],autorest[autor_es],autorest[autor_la])</f>
        <v>Sententia Vasconica</v>
      </c>
      <c r="H688" t="str">
        <f>_xlfn.XLOOKUP(frasest[[#This Row],[autor_es]],autorest[autor_es],autorest[bio_es])</f>
        <v>Proverbios de la tradición oral vasca que reflejan la relación con la naturaleza, el trabajo y los valores comunitarios del pueblo vasco.</v>
      </c>
      <c r="I688" t="str">
        <f>_xlfn.XLOOKUP(frasest[[#This Row],[autor_es]],autorest[autor_es],autorest[bio_la])</f>
        <v>Collectio sententiarum Vasconicarum.</v>
      </c>
      <c r="J688" t="str">
        <f>_xlfn.XLOOKUP(frasest[[#This Row],[autor_es]],autorest[autor_es],autorest[codigo])</f>
        <v>eu</v>
      </c>
      <c r="K688" t="str">
        <f>_xlfn.XLOOKUP(frasest[[#This Row],[autor_es]],autorest[autor_es],autorest[idioma_es])</f>
        <v>Euskara</v>
      </c>
      <c r="L688" t="str">
        <f>_xlfn.XLOOKUP(frasest[[#This Row],[autor_es]],autorest[autor_es],autorest[idioma_la])</f>
        <v>Lingua Vasconica</v>
      </c>
      <c r="M688" t="str">
        <f>_xlfn.XLOOKUP(frasest[[#This Row],[autor_es]],autorest[autor_es],autorest[nacion_es])</f>
        <v>España</v>
      </c>
      <c r="N688" t="str">
        <f>_xlfn.XLOOKUP(frasest[[#This Row],[autor_es]],autorest[autor_es],autorest[nacion_la])</f>
        <v>Hispania</v>
      </c>
      <c r="O688" t="str">
        <f>_xlfn.XLOOKUP(frasest[[#This Row],[autor_es]],autorest[autor_es],autorest[epoca_es])</f>
        <v>Epoca Desconocida</v>
      </c>
      <c r="P688" t="str">
        <f>_xlfn.XLOOKUP(frasest[[#This Row],[autor_es]],autorest[autor_es],autorest[epoca_la])</f>
        <v>Epocha Ignota</v>
      </c>
      <c r="Q688" t="str">
        <f>_xlfn.XLOOKUP(frasest[[#This Row],[autor_es]],autorest[autor_es],autorest[imagen])</f>
        <v>https://i.ibb.co/bjgxB3kn/euskadi.png</v>
      </c>
      <c r="R688">
        <f>_xlfn.XLOOKUP(frasest[[#This Row],[autor_es]],autorest[autor_es],autorest[imagen_atr])</f>
        <v>0</v>
      </c>
    </row>
    <row r="689" spans="1:18">
      <c r="A689">
        <v>688</v>
      </c>
      <c r="B689" t="s">
        <v>2344</v>
      </c>
      <c r="C689" t="s">
        <v>2345</v>
      </c>
      <c r="D689" t="s">
        <v>2346</v>
      </c>
      <c r="E689" t="s">
        <v>1236</v>
      </c>
      <c r="G689" t="str">
        <f>_xlfn.XLOOKUP(frasest[[#This Row],[autor_es]],autorest[autor_es],autorest[autor_la])</f>
        <v>Sententia Vasconica</v>
      </c>
      <c r="H689" t="str">
        <f>_xlfn.XLOOKUP(frasest[[#This Row],[autor_es]],autorest[autor_es],autorest[bio_es])</f>
        <v>Proverbios de la tradición oral vasca que reflejan la relación con la naturaleza, el trabajo y los valores comunitarios del pueblo vasco.</v>
      </c>
      <c r="I689" t="str">
        <f>_xlfn.XLOOKUP(frasest[[#This Row],[autor_es]],autorest[autor_es],autorest[bio_la])</f>
        <v>Collectio sententiarum Vasconicarum.</v>
      </c>
      <c r="J689" t="str">
        <f>_xlfn.XLOOKUP(frasest[[#This Row],[autor_es]],autorest[autor_es],autorest[codigo])</f>
        <v>eu</v>
      </c>
      <c r="K689" t="str">
        <f>_xlfn.XLOOKUP(frasest[[#This Row],[autor_es]],autorest[autor_es],autorest[idioma_es])</f>
        <v>Euskara</v>
      </c>
      <c r="L689" t="str">
        <f>_xlfn.XLOOKUP(frasest[[#This Row],[autor_es]],autorest[autor_es],autorest[idioma_la])</f>
        <v>Lingua Vasconica</v>
      </c>
      <c r="M689" t="str">
        <f>_xlfn.XLOOKUP(frasest[[#This Row],[autor_es]],autorest[autor_es],autorest[nacion_es])</f>
        <v>España</v>
      </c>
      <c r="N689" t="str">
        <f>_xlfn.XLOOKUP(frasest[[#This Row],[autor_es]],autorest[autor_es],autorest[nacion_la])</f>
        <v>Hispania</v>
      </c>
      <c r="O689" t="str">
        <f>_xlfn.XLOOKUP(frasest[[#This Row],[autor_es]],autorest[autor_es],autorest[epoca_es])</f>
        <v>Epoca Desconocida</v>
      </c>
      <c r="P689" t="str">
        <f>_xlfn.XLOOKUP(frasest[[#This Row],[autor_es]],autorest[autor_es],autorest[epoca_la])</f>
        <v>Epocha Ignota</v>
      </c>
      <c r="Q689" t="str">
        <f>_xlfn.XLOOKUP(frasest[[#This Row],[autor_es]],autorest[autor_es],autorest[imagen])</f>
        <v>https://i.ibb.co/bjgxB3kn/euskadi.png</v>
      </c>
      <c r="R689">
        <f>_xlfn.XLOOKUP(frasest[[#This Row],[autor_es]],autorest[autor_es],autorest[imagen_atr])</f>
        <v>0</v>
      </c>
    </row>
    <row r="690" spans="1:18">
      <c r="A690">
        <v>689</v>
      </c>
      <c r="B690" t="s">
        <v>2347</v>
      </c>
      <c r="C690" t="s">
        <v>2348</v>
      </c>
      <c r="D690" t="s">
        <v>2349</v>
      </c>
      <c r="E690" t="s">
        <v>1236</v>
      </c>
      <c r="G690" t="str">
        <f>_xlfn.XLOOKUP(frasest[[#This Row],[autor_es]],autorest[autor_es],autorest[autor_la])</f>
        <v>Sententia Vasconica</v>
      </c>
      <c r="H690" t="str">
        <f>_xlfn.XLOOKUP(frasest[[#This Row],[autor_es]],autorest[autor_es],autorest[bio_es])</f>
        <v>Proverbios de la tradición oral vasca que reflejan la relación con la naturaleza, el trabajo y los valores comunitarios del pueblo vasco.</v>
      </c>
      <c r="I690" t="str">
        <f>_xlfn.XLOOKUP(frasest[[#This Row],[autor_es]],autorest[autor_es],autorest[bio_la])</f>
        <v>Collectio sententiarum Vasconicarum.</v>
      </c>
      <c r="J690" t="str">
        <f>_xlfn.XLOOKUP(frasest[[#This Row],[autor_es]],autorest[autor_es],autorest[codigo])</f>
        <v>eu</v>
      </c>
      <c r="K690" t="str">
        <f>_xlfn.XLOOKUP(frasest[[#This Row],[autor_es]],autorest[autor_es],autorest[idioma_es])</f>
        <v>Euskara</v>
      </c>
      <c r="L690" t="str">
        <f>_xlfn.XLOOKUP(frasest[[#This Row],[autor_es]],autorest[autor_es],autorest[idioma_la])</f>
        <v>Lingua Vasconica</v>
      </c>
      <c r="M690" t="str">
        <f>_xlfn.XLOOKUP(frasest[[#This Row],[autor_es]],autorest[autor_es],autorest[nacion_es])</f>
        <v>España</v>
      </c>
      <c r="N690" t="str">
        <f>_xlfn.XLOOKUP(frasest[[#This Row],[autor_es]],autorest[autor_es],autorest[nacion_la])</f>
        <v>Hispania</v>
      </c>
      <c r="O690" t="str">
        <f>_xlfn.XLOOKUP(frasest[[#This Row],[autor_es]],autorest[autor_es],autorest[epoca_es])</f>
        <v>Epoca Desconocida</v>
      </c>
      <c r="P690" t="str">
        <f>_xlfn.XLOOKUP(frasest[[#This Row],[autor_es]],autorest[autor_es],autorest[epoca_la])</f>
        <v>Epocha Ignota</v>
      </c>
      <c r="Q690" t="str">
        <f>_xlfn.XLOOKUP(frasest[[#This Row],[autor_es]],autorest[autor_es],autorest[imagen])</f>
        <v>https://i.ibb.co/bjgxB3kn/euskadi.png</v>
      </c>
      <c r="R690">
        <f>_xlfn.XLOOKUP(frasest[[#This Row],[autor_es]],autorest[autor_es],autorest[imagen_atr])</f>
        <v>0</v>
      </c>
    </row>
    <row r="691" spans="1:18">
      <c r="A691">
        <v>690</v>
      </c>
      <c r="B691" t="s">
        <v>2350</v>
      </c>
      <c r="C691" t="s">
        <v>2351</v>
      </c>
      <c r="D691" t="s">
        <v>2352</v>
      </c>
      <c r="E691" t="s">
        <v>1236</v>
      </c>
      <c r="G691" t="str">
        <f>_xlfn.XLOOKUP(frasest[[#This Row],[autor_es]],autorest[autor_es],autorest[autor_la])</f>
        <v>Sententia Vasconica</v>
      </c>
      <c r="H691" t="str">
        <f>_xlfn.XLOOKUP(frasest[[#This Row],[autor_es]],autorest[autor_es],autorest[bio_es])</f>
        <v>Proverbios de la tradición oral vasca que reflejan la relación con la naturaleza, el trabajo y los valores comunitarios del pueblo vasco.</v>
      </c>
      <c r="I691" t="str">
        <f>_xlfn.XLOOKUP(frasest[[#This Row],[autor_es]],autorest[autor_es],autorest[bio_la])</f>
        <v>Collectio sententiarum Vasconicarum.</v>
      </c>
      <c r="J691" t="str">
        <f>_xlfn.XLOOKUP(frasest[[#This Row],[autor_es]],autorest[autor_es],autorest[codigo])</f>
        <v>eu</v>
      </c>
      <c r="K691" t="str">
        <f>_xlfn.XLOOKUP(frasest[[#This Row],[autor_es]],autorest[autor_es],autorest[idioma_es])</f>
        <v>Euskara</v>
      </c>
      <c r="L691" t="str">
        <f>_xlfn.XLOOKUP(frasest[[#This Row],[autor_es]],autorest[autor_es],autorest[idioma_la])</f>
        <v>Lingua Vasconica</v>
      </c>
      <c r="M691" t="str">
        <f>_xlfn.XLOOKUP(frasest[[#This Row],[autor_es]],autorest[autor_es],autorest[nacion_es])</f>
        <v>España</v>
      </c>
      <c r="N691" t="str">
        <f>_xlfn.XLOOKUP(frasest[[#This Row],[autor_es]],autorest[autor_es],autorest[nacion_la])</f>
        <v>Hispania</v>
      </c>
      <c r="O691" t="str">
        <f>_xlfn.XLOOKUP(frasest[[#This Row],[autor_es]],autorest[autor_es],autorest[epoca_es])</f>
        <v>Epoca Desconocida</v>
      </c>
      <c r="P691" t="str">
        <f>_xlfn.XLOOKUP(frasest[[#This Row],[autor_es]],autorest[autor_es],autorest[epoca_la])</f>
        <v>Epocha Ignota</v>
      </c>
      <c r="Q691" t="str">
        <f>_xlfn.XLOOKUP(frasest[[#This Row],[autor_es]],autorest[autor_es],autorest[imagen])</f>
        <v>https://i.ibb.co/bjgxB3kn/euskadi.png</v>
      </c>
      <c r="R691">
        <f>_xlfn.XLOOKUP(frasest[[#This Row],[autor_es]],autorest[autor_es],autorest[imagen_atr])</f>
        <v>0</v>
      </c>
    </row>
    <row r="692" spans="1:18">
      <c r="A692">
        <v>691</v>
      </c>
      <c r="B692" t="s">
        <v>2353</v>
      </c>
      <c r="C692" t="s">
        <v>2354</v>
      </c>
      <c r="D692" t="s">
        <v>2355</v>
      </c>
      <c r="E692" t="s">
        <v>1236</v>
      </c>
      <c r="G692" t="str">
        <f>_xlfn.XLOOKUP(frasest[[#This Row],[autor_es]],autorest[autor_es],autorest[autor_la])</f>
        <v>Sententia Vasconica</v>
      </c>
      <c r="H692" t="str">
        <f>_xlfn.XLOOKUP(frasest[[#This Row],[autor_es]],autorest[autor_es],autorest[bio_es])</f>
        <v>Proverbios de la tradición oral vasca que reflejan la relación con la naturaleza, el trabajo y los valores comunitarios del pueblo vasco.</v>
      </c>
      <c r="I692" t="str">
        <f>_xlfn.XLOOKUP(frasest[[#This Row],[autor_es]],autorest[autor_es],autorest[bio_la])</f>
        <v>Collectio sententiarum Vasconicarum.</v>
      </c>
      <c r="J692" t="str">
        <f>_xlfn.XLOOKUP(frasest[[#This Row],[autor_es]],autorest[autor_es],autorest[codigo])</f>
        <v>eu</v>
      </c>
      <c r="K692" t="str">
        <f>_xlfn.XLOOKUP(frasest[[#This Row],[autor_es]],autorest[autor_es],autorest[idioma_es])</f>
        <v>Euskara</v>
      </c>
      <c r="L692" t="str">
        <f>_xlfn.XLOOKUP(frasest[[#This Row],[autor_es]],autorest[autor_es],autorest[idioma_la])</f>
        <v>Lingua Vasconica</v>
      </c>
      <c r="M692" t="str">
        <f>_xlfn.XLOOKUP(frasest[[#This Row],[autor_es]],autorest[autor_es],autorest[nacion_es])</f>
        <v>España</v>
      </c>
      <c r="N692" t="str">
        <f>_xlfn.XLOOKUP(frasest[[#This Row],[autor_es]],autorest[autor_es],autorest[nacion_la])</f>
        <v>Hispania</v>
      </c>
      <c r="O692" t="str">
        <f>_xlfn.XLOOKUP(frasest[[#This Row],[autor_es]],autorest[autor_es],autorest[epoca_es])</f>
        <v>Epoca Desconocida</v>
      </c>
      <c r="P692" t="str">
        <f>_xlfn.XLOOKUP(frasest[[#This Row],[autor_es]],autorest[autor_es],autorest[epoca_la])</f>
        <v>Epocha Ignota</v>
      </c>
      <c r="Q692" t="str">
        <f>_xlfn.XLOOKUP(frasest[[#This Row],[autor_es]],autorest[autor_es],autorest[imagen])</f>
        <v>https://i.ibb.co/bjgxB3kn/euskadi.png</v>
      </c>
      <c r="R692">
        <f>_xlfn.XLOOKUP(frasest[[#This Row],[autor_es]],autorest[autor_es],autorest[imagen_atr])</f>
        <v>0</v>
      </c>
    </row>
    <row r="693" spans="1:18">
      <c r="A693">
        <v>692</v>
      </c>
      <c r="B693" t="s">
        <v>2356</v>
      </c>
      <c r="C693" t="s">
        <v>2357</v>
      </c>
      <c r="D693" t="s">
        <v>2358</v>
      </c>
      <c r="E693" t="s">
        <v>1236</v>
      </c>
      <c r="G693" t="str">
        <f>_xlfn.XLOOKUP(frasest[[#This Row],[autor_es]],autorest[autor_es],autorest[autor_la])</f>
        <v>Sententia Vasconica</v>
      </c>
      <c r="H693" t="str">
        <f>_xlfn.XLOOKUP(frasest[[#This Row],[autor_es]],autorest[autor_es],autorest[bio_es])</f>
        <v>Proverbios de la tradición oral vasca que reflejan la relación con la naturaleza, el trabajo y los valores comunitarios del pueblo vasco.</v>
      </c>
      <c r="I693" t="str">
        <f>_xlfn.XLOOKUP(frasest[[#This Row],[autor_es]],autorest[autor_es],autorest[bio_la])</f>
        <v>Collectio sententiarum Vasconicarum.</v>
      </c>
      <c r="J693" t="str">
        <f>_xlfn.XLOOKUP(frasest[[#This Row],[autor_es]],autorest[autor_es],autorest[codigo])</f>
        <v>eu</v>
      </c>
      <c r="K693" t="str">
        <f>_xlfn.XLOOKUP(frasest[[#This Row],[autor_es]],autorest[autor_es],autorest[idioma_es])</f>
        <v>Euskara</v>
      </c>
      <c r="L693" t="str">
        <f>_xlfn.XLOOKUP(frasest[[#This Row],[autor_es]],autorest[autor_es],autorest[idioma_la])</f>
        <v>Lingua Vasconica</v>
      </c>
      <c r="M693" t="str">
        <f>_xlfn.XLOOKUP(frasest[[#This Row],[autor_es]],autorest[autor_es],autorest[nacion_es])</f>
        <v>España</v>
      </c>
      <c r="N693" t="str">
        <f>_xlfn.XLOOKUP(frasest[[#This Row],[autor_es]],autorest[autor_es],autorest[nacion_la])</f>
        <v>Hispania</v>
      </c>
      <c r="O693" t="str">
        <f>_xlfn.XLOOKUP(frasest[[#This Row],[autor_es]],autorest[autor_es],autorest[epoca_es])</f>
        <v>Epoca Desconocida</v>
      </c>
      <c r="P693" t="str">
        <f>_xlfn.XLOOKUP(frasest[[#This Row],[autor_es]],autorest[autor_es],autorest[epoca_la])</f>
        <v>Epocha Ignota</v>
      </c>
      <c r="Q693" t="str">
        <f>_xlfn.XLOOKUP(frasest[[#This Row],[autor_es]],autorest[autor_es],autorest[imagen])</f>
        <v>https://i.ibb.co/bjgxB3kn/euskadi.png</v>
      </c>
      <c r="R693">
        <f>_xlfn.XLOOKUP(frasest[[#This Row],[autor_es]],autorest[autor_es],autorest[imagen_atr])</f>
        <v>0</v>
      </c>
    </row>
    <row r="694" spans="1:18">
      <c r="A694">
        <v>693</v>
      </c>
      <c r="B694" t="s">
        <v>2359</v>
      </c>
      <c r="C694" t="s">
        <v>2360</v>
      </c>
      <c r="D694" t="s">
        <v>2361</v>
      </c>
      <c r="E694" t="s">
        <v>1236</v>
      </c>
      <c r="G694" t="str">
        <f>_xlfn.XLOOKUP(frasest[[#This Row],[autor_es]],autorest[autor_es],autorest[autor_la])</f>
        <v>Sententia Vasconica</v>
      </c>
      <c r="H694" t="str">
        <f>_xlfn.XLOOKUP(frasest[[#This Row],[autor_es]],autorest[autor_es],autorest[bio_es])</f>
        <v>Proverbios de la tradición oral vasca que reflejan la relación con la naturaleza, el trabajo y los valores comunitarios del pueblo vasco.</v>
      </c>
      <c r="I694" t="str">
        <f>_xlfn.XLOOKUP(frasest[[#This Row],[autor_es]],autorest[autor_es],autorest[bio_la])</f>
        <v>Collectio sententiarum Vasconicarum.</v>
      </c>
      <c r="J694" t="str">
        <f>_xlfn.XLOOKUP(frasest[[#This Row],[autor_es]],autorest[autor_es],autorest[codigo])</f>
        <v>eu</v>
      </c>
      <c r="K694" t="str">
        <f>_xlfn.XLOOKUP(frasest[[#This Row],[autor_es]],autorest[autor_es],autorest[idioma_es])</f>
        <v>Euskara</v>
      </c>
      <c r="L694" t="str">
        <f>_xlfn.XLOOKUP(frasest[[#This Row],[autor_es]],autorest[autor_es],autorest[idioma_la])</f>
        <v>Lingua Vasconica</v>
      </c>
      <c r="M694" t="str">
        <f>_xlfn.XLOOKUP(frasest[[#This Row],[autor_es]],autorest[autor_es],autorest[nacion_es])</f>
        <v>España</v>
      </c>
      <c r="N694" t="str">
        <f>_xlfn.XLOOKUP(frasest[[#This Row],[autor_es]],autorest[autor_es],autorest[nacion_la])</f>
        <v>Hispania</v>
      </c>
      <c r="O694" t="str">
        <f>_xlfn.XLOOKUP(frasest[[#This Row],[autor_es]],autorest[autor_es],autorest[epoca_es])</f>
        <v>Epoca Desconocida</v>
      </c>
      <c r="P694" t="str">
        <f>_xlfn.XLOOKUP(frasest[[#This Row],[autor_es]],autorest[autor_es],autorest[epoca_la])</f>
        <v>Epocha Ignota</v>
      </c>
      <c r="Q694" t="str">
        <f>_xlfn.XLOOKUP(frasest[[#This Row],[autor_es]],autorest[autor_es],autorest[imagen])</f>
        <v>https://i.ibb.co/bjgxB3kn/euskadi.png</v>
      </c>
      <c r="R694">
        <f>_xlfn.XLOOKUP(frasest[[#This Row],[autor_es]],autorest[autor_es],autorest[imagen_atr])</f>
        <v>0</v>
      </c>
    </row>
    <row r="695" spans="1:18">
      <c r="A695">
        <v>694</v>
      </c>
      <c r="B695" t="s">
        <v>2362</v>
      </c>
      <c r="C695" t="s">
        <v>2363</v>
      </c>
      <c r="D695" t="s">
        <v>2364</v>
      </c>
      <c r="E695" t="s">
        <v>1236</v>
      </c>
      <c r="G695" t="str">
        <f>_xlfn.XLOOKUP(frasest[[#This Row],[autor_es]],autorest[autor_es],autorest[autor_la])</f>
        <v>Sententia Vasconica</v>
      </c>
      <c r="H695" t="str">
        <f>_xlfn.XLOOKUP(frasest[[#This Row],[autor_es]],autorest[autor_es],autorest[bio_es])</f>
        <v>Proverbios de la tradición oral vasca que reflejan la relación con la naturaleza, el trabajo y los valores comunitarios del pueblo vasco.</v>
      </c>
      <c r="I695" t="str">
        <f>_xlfn.XLOOKUP(frasest[[#This Row],[autor_es]],autorest[autor_es],autorest[bio_la])</f>
        <v>Collectio sententiarum Vasconicarum.</v>
      </c>
      <c r="J695" t="str">
        <f>_xlfn.XLOOKUP(frasest[[#This Row],[autor_es]],autorest[autor_es],autorest[codigo])</f>
        <v>eu</v>
      </c>
      <c r="K695" t="str">
        <f>_xlfn.XLOOKUP(frasest[[#This Row],[autor_es]],autorest[autor_es],autorest[idioma_es])</f>
        <v>Euskara</v>
      </c>
      <c r="L695" t="str">
        <f>_xlfn.XLOOKUP(frasest[[#This Row],[autor_es]],autorest[autor_es],autorest[idioma_la])</f>
        <v>Lingua Vasconica</v>
      </c>
      <c r="M695" t="str">
        <f>_xlfn.XLOOKUP(frasest[[#This Row],[autor_es]],autorest[autor_es],autorest[nacion_es])</f>
        <v>España</v>
      </c>
      <c r="N695" t="str">
        <f>_xlfn.XLOOKUP(frasest[[#This Row],[autor_es]],autorest[autor_es],autorest[nacion_la])</f>
        <v>Hispania</v>
      </c>
      <c r="O695" t="str">
        <f>_xlfn.XLOOKUP(frasest[[#This Row],[autor_es]],autorest[autor_es],autorest[epoca_es])</f>
        <v>Epoca Desconocida</v>
      </c>
      <c r="P695" t="str">
        <f>_xlfn.XLOOKUP(frasest[[#This Row],[autor_es]],autorest[autor_es],autorest[epoca_la])</f>
        <v>Epocha Ignota</v>
      </c>
      <c r="Q695" t="str">
        <f>_xlfn.XLOOKUP(frasest[[#This Row],[autor_es]],autorest[autor_es],autorest[imagen])</f>
        <v>https://i.ibb.co/bjgxB3kn/euskadi.png</v>
      </c>
      <c r="R695">
        <f>_xlfn.XLOOKUP(frasest[[#This Row],[autor_es]],autorest[autor_es],autorest[imagen_atr])</f>
        <v>0</v>
      </c>
    </row>
    <row r="696" spans="1:18">
      <c r="A696">
        <v>695</v>
      </c>
      <c r="B696" t="s">
        <v>2365</v>
      </c>
      <c r="C696" t="s">
        <v>2366</v>
      </c>
      <c r="D696" t="s">
        <v>2367</v>
      </c>
      <c r="E696" t="s">
        <v>1236</v>
      </c>
      <c r="G696" t="str">
        <f>_xlfn.XLOOKUP(frasest[[#This Row],[autor_es]],autorest[autor_es],autorest[autor_la])</f>
        <v>Sententia Vasconica</v>
      </c>
      <c r="H696" t="str">
        <f>_xlfn.XLOOKUP(frasest[[#This Row],[autor_es]],autorest[autor_es],autorest[bio_es])</f>
        <v>Proverbios de la tradición oral vasca que reflejan la relación con la naturaleza, el trabajo y los valores comunitarios del pueblo vasco.</v>
      </c>
      <c r="I696" t="str">
        <f>_xlfn.XLOOKUP(frasest[[#This Row],[autor_es]],autorest[autor_es],autorest[bio_la])</f>
        <v>Collectio sententiarum Vasconicarum.</v>
      </c>
      <c r="J696" t="str">
        <f>_xlfn.XLOOKUP(frasest[[#This Row],[autor_es]],autorest[autor_es],autorest[codigo])</f>
        <v>eu</v>
      </c>
      <c r="K696" t="str">
        <f>_xlfn.XLOOKUP(frasest[[#This Row],[autor_es]],autorest[autor_es],autorest[idioma_es])</f>
        <v>Euskara</v>
      </c>
      <c r="L696" t="str">
        <f>_xlfn.XLOOKUP(frasest[[#This Row],[autor_es]],autorest[autor_es],autorest[idioma_la])</f>
        <v>Lingua Vasconica</v>
      </c>
      <c r="M696" t="str">
        <f>_xlfn.XLOOKUP(frasest[[#This Row],[autor_es]],autorest[autor_es],autorest[nacion_es])</f>
        <v>España</v>
      </c>
      <c r="N696" t="str">
        <f>_xlfn.XLOOKUP(frasest[[#This Row],[autor_es]],autorest[autor_es],autorest[nacion_la])</f>
        <v>Hispania</v>
      </c>
      <c r="O696" t="str">
        <f>_xlfn.XLOOKUP(frasest[[#This Row],[autor_es]],autorest[autor_es],autorest[epoca_es])</f>
        <v>Epoca Desconocida</v>
      </c>
      <c r="P696" t="str">
        <f>_xlfn.XLOOKUP(frasest[[#This Row],[autor_es]],autorest[autor_es],autorest[epoca_la])</f>
        <v>Epocha Ignota</v>
      </c>
      <c r="Q696" t="str">
        <f>_xlfn.XLOOKUP(frasest[[#This Row],[autor_es]],autorest[autor_es],autorest[imagen])</f>
        <v>https://i.ibb.co/bjgxB3kn/euskadi.png</v>
      </c>
      <c r="R696">
        <f>_xlfn.XLOOKUP(frasest[[#This Row],[autor_es]],autorest[autor_es],autorest[imagen_atr])</f>
        <v>0</v>
      </c>
    </row>
    <row r="697" spans="1:18">
      <c r="A697">
        <v>696</v>
      </c>
      <c r="B697" t="s">
        <v>2368</v>
      </c>
      <c r="C697" t="s">
        <v>2369</v>
      </c>
      <c r="D697" t="s">
        <v>2370</v>
      </c>
      <c r="E697" t="s">
        <v>1236</v>
      </c>
      <c r="G697" t="str">
        <f>_xlfn.XLOOKUP(frasest[[#This Row],[autor_es]],autorest[autor_es],autorest[autor_la])</f>
        <v>Sententia Vasconica</v>
      </c>
      <c r="H697" t="str">
        <f>_xlfn.XLOOKUP(frasest[[#This Row],[autor_es]],autorest[autor_es],autorest[bio_es])</f>
        <v>Proverbios de la tradición oral vasca que reflejan la relación con la naturaleza, el trabajo y los valores comunitarios del pueblo vasco.</v>
      </c>
      <c r="I697" t="str">
        <f>_xlfn.XLOOKUP(frasest[[#This Row],[autor_es]],autorest[autor_es],autorest[bio_la])</f>
        <v>Collectio sententiarum Vasconicarum.</v>
      </c>
      <c r="J697" t="str">
        <f>_xlfn.XLOOKUP(frasest[[#This Row],[autor_es]],autorest[autor_es],autorest[codigo])</f>
        <v>eu</v>
      </c>
      <c r="K697" t="str">
        <f>_xlfn.XLOOKUP(frasest[[#This Row],[autor_es]],autorest[autor_es],autorest[idioma_es])</f>
        <v>Euskara</v>
      </c>
      <c r="L697" t="str">
        <f>_xlfn.XLOOKUP(frasest[[#This Row],[autor_es]],autorest[autor_es],autorest[idioma_la])</f>
        <v>Lingua Vasconica</v>
      </c>
      <c r="M697" t="str">
        <f>_xlfn.XLOOKUP(frasest[[#This Row],[autor_es]],autorest[autor_es],autorest[nacion_es])</f>
        <v>España</v>
      </c>
      <c r="N697" t="str">
        <f>_xlfn.XLOOKUP(frasest[[#This Row],[autor_es]],autorest[autor_es],autorest[nacion_la])</f>
        <v>Hispania</v>
      </c>
      <c r="O697" t="str">
        <f>_xlfn.XLOOKUP(frasest[[#This Row],[autor_es]],autorest[autor_es],autorest[epoca_es])</f>
        <v>Epoca Desconocida</v>
      </c>
      <c r="P697" t="str">
        <f>_xlfn.XLOOKUP(frasest[[#This Row],[autor_es]],autorest[autor_es],autorest[epoca_la])</f>
        <v>Epocha Ignota</v>
      </c>
      <c r="Q697" t="str">
        <f>_xlfn.XLOOKUP(frasest[[#This Row],[autor_es]],autorest[autor_es],autorest[imagen])</f>
        <v>https://i.ibb.co/bjgxB3kn/euskadi.png</v>
      </c>
      <c r="R697">
        <f>_xlfn.XLOOKUP(frasest[[#This Row],[autor_es]],autorest[autor_es],autorest[imagen_atr])</f>
        <v>0</v>
      </c>
    </row>
    <row r="698" spans="1:18">
      <c r="A698">
        <v>697</v>
      </c>
      <c r="B698" t="s">
        <v>2371</v>
      </c>
      <c r="C698" t="s">
        <v>2372</v>
      </c>
      <c r="D698" t="s">
        <v>2373</v>
      </c>
      <c r="E698" t="s">
        <v>1236</v>
      </c>
      <c r="G698" t="str">
        <f>_xlfn.XLOOKUP(frasest[[#This Row],[autor_es]],autorest[autor_es],autorest[autor_la])</f>
        <v>Sententia Vasconica</v>
      </c>
      <c r="H698" t="str">
        <f>_xlfn.XLOOKUP(frasest[[#This Row],[autor_es]],autorest[autor_es],autorest[bio_es])</f>
        <v>Proverbios de la tradición oral vasca que reflejan la relación con la naturaleza, el trabajo y los valores comunitarios del pueblo vasco.</v>
      </c>
      <c r="I698" t="str">
        <f>_xlfn.XLOOKUP(frasest[[#This Row],[autor_es]],autorest[autor_es],autorest[bio_la])</f>
        <v>Collectio sententiarum Vasconicarum.</v>
      </c>
      <c r="J698" t="str">
        <f>_xlfn.XLOOKUP(frasest[[#This Row],[autor_es]],autorest[autor_es],autorest[codigo])</f>
        <v>eu</v>
      </c>
      <c r="K698" t="str">
        <f>_xlfn.XLOOKUP(frasest[[#This Row],[autor_es]],autorest[autor_es],autorest[idioma_es])</f>
        <v>Euskara</v>
      </c>
      <c r="L698" t="str">
        <f>_xlfn.XLOOKUP(frasest[[#This Row],[autor_es]],autorest[autor_es],autorest[idioma_la])</f>
        <v>Lingua Vasconica</v>
      </c>
      <c r="M698" t="str">
        <f>_xlfn.XLOOKUP(frasest[[#This Row],[autor_es]],autorest[autor_es],autorest[nacion_es])</f>
        <v>España</v>
      </c>
      <c r="N698" t="str">
        <f>_xlfn.XLOOKUP(frasest[[#This Row],[autor_es]],autorest[autor_es],autorest[nacion_la])</f>
        <v>Hispania</v>
      </c>
      <c r="O698" t="str">
        <f>_xlfn.XLOOKUP(frasest[[#This Row],[autor_es]],autorest[autor_es],autorest[epoca_es])</f>
        <v>Epoca Desconocida</v>
      </c>
      <c r="P698" t="str">
        <f>_xlfn.XLOOKUP(frasest[[#This Row],[autor_es]],autorest[autor_es],autorest[epoca_la])</f>
        <v>Epocha Ignota</v>
      </c>
      <c r="Q698" t="str">
        <f>_xlfn.XLOOKUP(frasest[[#This Row],[autor_es]],autorest[autor_es],autorest[imagen])</f>
        <v>https://i.ibb.co/bjgxB3kn/euskadi.png</v>
      </c>
      <c r="R698">
        <f>_xlfn.XLOOKUP(frasest[[#This Row],[autor_es]],autorest[autor_es],autorest[imagen_atr])</f>
        <v>0</v>
      </c>
    </row>
    <row r="699" spans="1:18">
      <c r="A699">
        <v>698</v>
      </c>
      <c r="B699" t="s">
        <v>2374</v>
      </c>
      <c r="C699" t="s">
        <v>2375</v>
      </c>
      <c r="D699" t="s">
        <v>2376</v>
      </c>
      <c r="E699" t="s">
        <v>1236</v>
      </c>
      <c r="G699" t="str">
        <f>_xlfn.XLOOKUP(frasest[[#This Row],[autor_es]],autorest[autor_es],autorest[autor_la])</f>
        <v>Sententia Vasconica</v>
      </c>
      <c r="H699" t="str">
        <f>_xlfn.XLOOKUP(frasest[[#This Row],[autor_es]],autorest[autor_es],autorest[bio_es])</f>
        <v>Proverbios de la tradición oral vasca que reflejan la relación con la naturaleza, el trabajo y los valores comunitarios del pueblo vasco.</v>
      </c>
      <c r="I699" t="str">
        <f>_xlfn.XLOOKUP(frasest[[#This Row],[autor_es]],autorest[autor_es],autorest[bio_la])</f>
        <v>Collectio sententiarum Vasconicarum.</v>
      </c>
      <c r="J699" t="str">
        <f>_xlfn.XLOOKUP(frasest[[#This Row],[autor_es]],autorest[autor_es],autorest[codigo])</f>
        <v>eu</v>
      </c>
      <c r="K699" t="str">
        <f>_xlfn.XLOOKUP(frasest[[#This Row],[autor_es]],autorest[autor_es],autorest[idioma_es])</f>
        <v>Euskara</v>
      </c>
      <c r="L699" t="str">
        <f>_xlfn.XLOOKUP(frasest[[#This Row],[autor_es]],autorest[autor_es],autorest[idioma_la])</f>
        <v>Lingua Vasconica</v>
      </c>
      <c r="M699" t="str">
        <f>_xlfn.XLOOKUP(frasest[[#This Row],[autor_es]],autorest[autor_es],autorest[nacion_es])</f>
        <v>España</v>
      </c>
      <c r="N699" t="str">
        <f>_xlfn.XLOOKUP(frasest[[#This Row],[autor_es]],autorest[autor_es],autorest[nacion_la])</f>
        <v>Hispania</v>
      </c>
      <c r="O699" t="str">
        <f>_xlfn.XLOOKUP(frasest[[#This Row],[autor_es]],autorest[autor_es],autorest[epoca_es])</f>
        <v>Epoca Desconocida</v>
      </c>
      <c r="P699" t="str">
        <f>_xlfn.XLOOKUP(frasest[[#This Row],[autor_es]],autorest[autor_es],autorest[epoca_la])</f>
        <v>Epocha Ignota</v>
      </c>
      <c r="Q699" t="str">
        <f>_xlfn.XLOOKUP(frasest[[#This Row],[autor_es]],autorest[autor_es],autorest[imagen])</f>
        <v>https://i.ibb.co/bjgxB3kn/euskadi.png</v>
      </c>
      <c r="R699">
        <f>_xlfn.XLOOKUP(frasest[[#This Row],[autor_es]],autorest[autor_es],autorest[imagen_atr])</f>
        <v>0</v>
      </c>
    </row>
    <row r="700" spans="1:18">
      <c r="A700">
        <v>699</v>
      </c>
      <c r="B700" t="s">
        <v>2377</v>
      </c>
      <c r="C700" t="s">
        <v>2378</v>
      </c>
      <c r="D700" t="s">
        <v>2379</v>
      </c>
      <c r="E700" t="s">
        <v>1236</v>
      </c>
      <c r="G700" t="str">
        <f>_xlfn.XLOOKUP(frasest[[#This Row],[autor_es]],autorest[autor_es],autorest[autor_la])</f>
        <v>Sententia Vasconica</v>
      </c>
      <c r="H700" t="str">
        <f>_xlfn.XLOOKUP(frasest[[#This Row],[autor_es]],autorest[autor_es],autorest[bio_es])</f>
        <v>Proverbios de la tradición oral vasca que reflejan la relación con la naturaleza, el trabajo y los valores comunitarios del pueblo vasco.</v>
      </c>
      <c r="I700" t="str">
        <f>_xlfn.XLOOKUP(frasest[[#This Row],[autor_es]],autorest[autor_es],autorest[bio_la])</f>
        <v>Collectio sententiarum Vasconicarum.</v>
      </c>
      <c r="J700" t="str">
        <f>_xlfn.XLOOKUP(frasest[[#This Row],[autor_es]],autorest[autor_es],autorest[codigo])</f>
        <v>eu</v>
      </c>
      <c r="K700" t="str">
        <f>_xlfn.XLOOKUP(frasest[[#This Row],[autor_es]],autorest[autor_es],autorest[idioma_es])</f>
        <v>Euskara</v>
      </c>
      <c r="L700" t="str">
        <f>_xlfn.XLOOKUP(frasest[[#This Row],[autor_es]],autorest[autor_es],autorest[idioma_la])</f>
        <v>Lingua Vasconica</v>
      </c>
      <c r="M700" t="str">
        <f>_xlfn.XLOOKUP(frasest[[#This Row],[autor_es]],autorest[autor_es],autorest[nacion_es])</f>
        <v>España</v>
      </c>
      <c r="N700" t="str">
        <f>_xlfn.XLOOKUP(frasest[[#This Row],[autor_es]],autorest[autor_es],autorest[nacion_la])</f>
        <v>Hispania</v>
      </c>
      <c r="O700" t="str">
        <f>_xlfn.XLOOKUP(frasest[[#This Row],[autor_es]],autorest[autor_es],autorest[epoca_es])</f>
        <v>Epoca Desconocida</v>
      </c>
      <c r="P700" t="str">
        <f>_xlfn.XLOOKUP(frasest[[#This Row],[autor_es]],autorest[autor_es],autorest[epoca_la])</f>
        <v>Epocha Ignota</v>
      </c>
      <c r="Q700" t="str">
        <f>_xlfn.XLOOKUP(frasest[[#This Row],[autor_es]],autorest[autor_es],autorest[imagen])</f>
        <v>https://i.ibb.co/bjgxB3kn/euskadi.png</v>
      </c>
      <c r="R700">
        <f>_xlfn.XLOOKUP(frasest[[#This Row],[autor_es]],autorest[autor_es],autorest[imagen_atr])</f>
        <v>0</v>
      </c>
    </row>
    <row r="701" spans="1:18">
      <c r="A701">
        <v>700</v>
      </c>
      <c r="B701" t="s">
        <v>2380</v>
      </c>
      <c r="C701" t="s">
        <v>2381</v>
      </c>
      <c r="D701" t="s">
        <v>2382</v>
      </c>
      <c r="E701" t="s">
        <v>1236</v>
      </c>
      <c r="G701" t="str">
        <f>_xlfn.XLOOKUP(frasest[[#This Row],[autor_es]],autorest[autor_es],autorest[autor_la])</f>
        <v>Sententia Vasconica</v>
      </c>
      <c r="H701" t="str">
        <f>_xlfn.XLOOKUP(frasest[[#This Row],[autor_es]],autorest[autor_es],autorest[bio_es])</f>
        <v>Proverbios de la tradición oral vasca que reflejan la relación con la naturaleza, el trabajo y los valores comunitarios del pueblo vasco.</v>
      </c>
      <c r="I701" t="str">
        <f>_xlfn.XLOOKUP(frasest[[#This Row],[autor_es]],autorest[autor_es],autorest[bio_la])</f>
        <v>Collectio sententiarum Vasconicarum.</v>
      </c>
      <c r="J701" t="str">
        <f>_xlfn.XLOOKUP(frasest[[#This Row],[autor_es]],autorest[autor_es],autorest[codigo])</f>
        <v>eu</v>
      </c>
      <c r="K701" t="str">
        <f>_xlfn.XLOOKUP(frasest[[#This Row],[autor_es]],autorest[autor_es],autorest[idioma_es])</f>
        <v>Euskara</v>
      </c>
      <c r="L701" t="str">
        <f>_xlfn.XLOOKUP(frasest[[#This Row],[autor_es]],autorest[autor_es],autorest[idioma_la])</f>
        <v>Lingua Vasconica</v>
      </c>
      <c r="M701" t="str">
        <f>_xlfn.XLOOKUP(frasest[[#This Row],[autor_es]],autorest[autor_es],autorest[nacion_es])</f>
        <v>España</v>
      </c>
      <c r="N701" t="str">
        <f>_xlfn.XLOOKUP(frasest[[#This Row],[autor_es]],autorest[autor_es],autorest[nacion_la])</f>
        <v>Hispania</v>
      </c>
      <c r="O701" t="str">
        <f>_xlfn.XLOOKUP(frasest[[#This Row],[autor_es]],autorest[autor_es],autorest[epoca_es])</f>
        <v>Epoca Desconocida</v>
      </c>
      <c r="P701" t="str">
        <f>_xlfn.XLOOKUP(frasest[[#This Row],[autor_es]],autorest[autor_es],autorest[epoca_la])</f>
        <v>Epocha Ignota</v>
      </c>
      <c r="Q701" t="str">
        <f>_xlfn.XLOOKUP(frasest[[#This Row],[autor_es]],autorest[autor_es],autorest[imagen])</f>
        <v>https://i.ibb.co/bjgxB3kn/euskadi.png</v>
      </c>
      <c r="R701">
        <f>_xlfn.XLOOKUP(frasest[[#This Row],[autor_es]],autorest[autor_es],autorest[imagen_atr])</f>
        <v>0</v>
      </c>
    </row>
    <row r="702" spans="1:18">
      <c r="A702">
        <v>701</v>
      </c>
      <c r="B702" t="s">
        <v>2383</v>
      </c>
      <c r="C702" t="s">
        <v>2384</v>
      </c>
      <c r="D702" t="s">
        <v>2385</v>
      </c>
      <c r="E702" t="s">
        <v>1236</v>
      </c>
      <c r="G702" t="str">
        <f>_xlfn.XLOOKUP(frasest[[#This Row],[autor_es]],autorest[autor_es],autorest[autor_la])</f>
        <v>Sententia Vasconica</v>
      </c>
      <c r="H702" t="str">
        <f>_xlfn.XLOOKUP(frasest[[#This Row],[autor_es]],autorest[autor_es],autorest[bio_es])</f>
        <v>Proverbios de la tradición oral vasca que reflejan la relación con la naturaleza, el trabajo y los valores comunitarios del pueblo vasco.</v>
      </c>
      <c r="I702" t="str">
        <f>_xlfn.XLOOKUP(frasest[[#This Row],[autor_es]],autorest[autor_es],autorest[bio_la])</f>
        <v>Collectio sententiarum Vasconicarum.</v>
      </c>
      <c r="J702" t="str">
        <f>_xlfn.XLOOKUP(frasest[[#This Row],[autor_es]],autorest[autor_es],autorest[codigo])</f>
        <v>eu</v>
      </c>
      <c r="K702" t="str">
        <f>_xlfn.XLOOKUP(frasest[[#This Row],[autor_es]],autorest[autor_es],autorest[idioma_es])</f>
        <v>Euskara</v>
      </c>
      <c r="L702" t="str">
        <f>_xlfn.XLOOKUP(frasest[[#This Row],[autor_es]],autorest[autor_es],autorest[idioma_la])</f>
        <v>Lingua Vasconica</v>
      </c>
      <c r="M702" t="str">
        <f>_xlfn.XLOOKUP(frasest[[#This Row],[autor_es]],autorest[autor_es],autorest[nacion_es])</f>
        <v>España</v>
      </c>
      <c r="N702" t="str">
        <f>_xlfn.XLOOKUP(frasest[[#This Row],[autor_es]],autorest[autor_es],autorest[nacion_la])</f>
        <v>Hispania</v>
      </c>
      <c r="O702" t="str">
        <f>_xlfn.XLOOKUP(frasest[[#This Row],[autor_es]],autorest[autor_es],autorest[epoca_es])</f>
        <v>Epoca Desconocida</v>
      </c>
      <c r="P702" t="str">
        <f>_xlfn.XLOOKUP(frasest[[#This Row],[autor_es]],autorest[autor_es],autorest[epoca_la])</f>
        <v>Epocha Ignota</v>
      </c>
      <c r="Q702" t="str">
        <f>_xlfn.XLOOKUP(frasest[[#This Row],[autor_es]],autorest[autor_es],autorest[imagen])</f>
        <v>https://i.ibb.co/bjgxB3kn/euskadi.png</v>
      </c>
      <c r="R702">
        <f>_xlfn.XLOOKUP(frasest[[#This Row],[autor_es]],autorest[autor_es],autorest[imagen_atr])</f>
        <v>0</v>
      </c>
    </row>
    <row r="703" spans="1:18">
      <c r="A703">
        <v>702</v>
      </c>
      <c r="B703" t="s">
        <v>2386</v>
      </c>
      <c r="C703" t="s">
        <v>2387</v>
      </c>
      <c r="D703" t="s">
        <v>2388</v>
      </c>
      <c r="E703" t="s">
        <v>1236</v>
      </c>
      <c r="G703" t="str">
        <f>_xlfn.XLOOKUP(frasest[[#This Row],[autor_es]],autorest[autor_es],autorest[autor_la])</f>
        <v>Sententia Vasconica</v>
      </c>
      <c r="H703" t="str">
        <f>_xlfn.XLOOKUP(frasest[[#This Row],[autor_es]],autorest[autor_es],autorest[bio_es])</f>
        <v>Proverbios de la tradición oral vasca que reflejan la relación con la naturaleza, el trabajo y los valores comunitarios del pueblo vasco.</v>
      </c>
      <c r="I703" t="str">
        <f>_xlfn.XLOOKUP(frasest[[#This Row],[autor_es]],autorest[autor_es],autorest[bio_la])</f>
        <v>Collectio sententiarum Vasconicarum.</v>
      </c>
      <c r="J703" t="str">
        <f>_xlfn.XLOOKUP(frasest[[#This Row],[autor_es]],autorest[autor_es],autorest[codigo])</f>
        <v>eu</v>
      </c>
      <c r="K703" t="str">
        <f>_xlfn.XLOOKUP(frasest[[#This Row],[autor_es]],autorest[autor_es],autorest[idioma_es])</f>
        <v>Euskara</v>
      </c>
      <c r="L703" t="str">
        <f>_xlfn.XLOOKUP(frasest[[#This Row],[autor_es]],autorest[autor_es],autorest[idioma_la])</f>
        <v>Lingua Vasconica</v>
      </c>
      <c r="M703" t="str">
        <f>_xlfn.XLOOKUP(frasest[[#This Row],[autor_es]],autorest[autor_es],autorest[nacion_es])</f>
        <v>España</v>
      </c>
      <c r="N703" t="str">
        <f>_xlfn.XLOOKUP(frasest[[#This Row],[autor_es]],autorest[autor_es],autorest[nacion_la])</f>
        <v>Hispania</v>
      </c>
      <c r="O703" t="str">
        <f>_xlfn.XLOOKUP(frasest[[#This Row],[autor_es]],autorest[autor_es],autorest[epoca_es])</f>
        <v>Epoca Desconocida</v>
      </c>
      <c r="P703" t="str">
        <f>_xlfn.XLOOKUP(frasest[[#This Row],[autor_es]],autorest[autor_es],autorest[epoca_la])</f>
        <v>Epocha Ignota</v>
      </c>
      <c r="Q703" t="str">
        <f>_xlfn.XLOOKUP(frasest[[#This Row],[autor_es]],autorest[autor_es],autorest[imagen])</f>
        <v>https://i.ibb.co/bjgxB3kn/euskadi.png</v>
      </c>
      <c r="R703">
        <f>_xlfn.XLOOKUP(frasest[[#This Row],[autor_es]],autorest[autor_es],autorest[imagen_atr])</f>
        <v>0</v>
      </c>
    </row>
    <row r="704" spans="1:18">
      <c r="A704">
        <v>703</v>
      </c>
      <c r="B704" t="s">
        <v>2389</v>
      </c>
      <c r="C704" t="s">
        <v>2390</v>
      </c>
      <c r="D704" t="s">
        <v>2391</v>
      </c>
      <c r="E704" t="s">
        <v>1236</v>
      </c>
      <c r="G704" t="str">
        <f>_xlfn.XLOOKUP(frasest[[#This Row],[autor_es]],autorest[autor_es],autorest[autor_la])</f>
        <v>Sententia Vasconica</v>
      </c>
      <c r="H704" t="str">
        <f>_xlfn.XLOOKUP(frasest[[#This Row],[autor_es]],autorest[autor_es],autorest[bio_es])</f>
        <v>Proverbios de la tradición oral vasca que reflejan la relación con la naturaleza, el trabajo y los valores comunitarios del pueblo vasco.</v>
      </c>
      <c r="I704" t="str">
        <f>_xlfn.XLOOKUP(frasest[[#This Row],[autor_es]],autorest[autor_es],autorest[bio_la])</f>
        <v>Collectio sententiarum Vasconicarum.</v>
      </c>
      <c r="J704" t="str">
        <f>_xlfn.XLOOKUP(frasest[[#This Row],[autor_es]],autorest[autor_es],autorest[codigo])</f>
        <v>eu</v>
      </c>
      <c r="K704" t="str">
        <f>_xlfn.XLOOKUP(frasest[[#This Row],[autor_es]],autorest[autor_es],autorest[idioma_es])</f>
        <v>Euskara</v>
      </c>
      <c r="L704" t="str">
        <f>_xlfn.XLOOKUP(frasest[[#This Row],[autor_es]],autorest[autor_es],autorest[idioma_la])</f>
        <v>Lingua Vasconica</v>
      </c>
      <c r="M704" t="str">
        <f>_xlfn.XLOOKUP(frasest[[#This Row],[autor_es]],autorest[autor_es],autorest[nacion_es])</f>
        <v>España</v>
      </c>
      <c r="N704" t="str">
        <f>_xlfn.XLOOKUP(frasest[[#This Row],[autor_es]],autorest[autor_es],autorest[nacion_la])</f>
        <v>Hispania</v>
      </c>
      <c r="O704" t="str">
        <f>_xlfn.XLOOKUP(frasest[[#This Row],[autor_es]],autorest[autor_es],autorest[epoca_es])</f>
        <v>Epoca Desconocida</v>
      </c>
      <c r="P704" t="str">
        <f>_xlfn.XLOOKUP(frasest[[#This Row],[autor_es]],autorest[autor_es],autorest[epoca_la])</f>
        <v>Epocha Ignota</v>
      </c>
      <c r="Q704" t="str">
        <f>_xlfn.XLOOKUP(frasest[[#This Row],[autor_es]],autorest[autor_es],autorest[imagen])</f>
        <v>https://i.ibb.co/bjgxB3kn/euskadi.png</v>
      </c>
      <c r="R704">
        <f>_xlfn.XLOOKUP(frasest[[#This Row],[autor_es]],autorest[autor_es],autorest[imagen_atr])</f>
        <v>0</v>
      </c>
    </row>
    <row r="705" spans="1:18">
      <c r="A705">
        <v>704</v>
      </c>
      <c r="B705" t="s">
        <v>2392</v>
      </c>
      <c r="C705" t="s">
        <v>2393</v>
      </c>
      <c r="D705" t="s">
        <v>2394</v>
      </c>
      <c r="E705" t="s">
        <v>1236</v>
      </c>
      <c r="G705" t="str">
        <f>_xlfn.XLOOKUP(frasest[[#This Row],[autor_es]],autorest[autor_es],autorest[autor_la])</f>
        <v>Sententia Vasconica</v>
      </c>
      <c r="H705" t="str">
        <f>_xlfn.XLOOKUP(frasest[[#This Row],[autor_es]],autorest[autor_es],autorest[bio_es])</f>
        <v>Proverbios de la tradición oral vasca que reflejan la relación con la naturaleza, el trabajo y los valores comunitarios del pueblo vasco.</v>
      </c>
      <c r="I705" t="str">
        <f>_xlfn.XLOOKUP(frasest[[#This Row],[autor_es]],autorest[autor_es],autorest[bio_la])</f>
        <v>Collectio sententiarum Vasconicarum.</v>
      </c>
      <c r="J705" t="str">
        <f>_xlfn.XLOOKUP(frasest[[#This Row],[autor_es]],autorest[autor_es],autorest[codigo])</f>
        <v>eu</v>
      </c>
      <c r="K705" t="str">
        <f>_xlfn.XLOOKUP(frasest[[#This Row],[autor_es]],autorest[autor_es],autorest[idioma_es])</f>
        <v>Euskara</v>
      </c>
      <c r="L705" t="str">
        <f>_xlfn.XLOOKUP(frasest[[#This Row],[autor_es]],autorest[autor_es],autorest[idioma_la])</f>
        <v>Lingua Vasconica</v>
      </c>
      <c r="M705" t="str">
        <f>_xlfn.XLOOKUP(frasest[[#This Row],[autor_es]],autorest[autor_es],autorest[nacion_es])</f>
        <v>España</v>
      </c>
      <c r="N705" t="str">
        <f>_xlfn.XLOOKUP(frasest[[#This Row],[autor_es]],autorest[autor_es],autorest[nacion_la])</f>
        <v>Hispania</v>
      </c>
      <c r="O705" t="str">
        <f>_xlfn.XLOOKUP(frasest[[#This Row],[autor_es]],autorest[autor_es],autorest[epoca_es])</f>
        <v>Epoca Desconocida</v>
      </c>
      <c r="P705" t="str">
        <f>_xlfn.XLOOKUP(frasest[[#This Row],[autor_es]],autorest[autor_es],autorest[epoca_la])</f>
        <v>Epocha Ignota</v>
      </c>
      <c r="Q705" t="str">
        <f>_xlfn.XLOOKUP(frasest[[#This Row],[autor_es]],autorest[autor_es],autorest[imagen])</f>
        <v>https://i.ibb.co/bjgxB3kn/euskadi.png</v>
      </c>
      <c r="R705">
        <f>_xlfn.XLOOKUP(frasest[[#This Row],[autor_es]],autorest[autor_es],autorest[imagen_atr])</f>
        <v>0</v>
      </c>
    </row>
    <row r="706" spans="1:18">
      <c r="A706">
        <v>705</v>
      </c>
      <c r="B706" t="s">
        <v>2395</v>
      </c>
      <c r="C706" t="s">
        <v>2396</v>
      </c>
      <c r="D706" t="s">
        <v>2397</v>
      </c>
      <c r="E706" t="s">
        <v>1236</v>
      </c>
      <c r="G706" t="str">
        <f>_xlfn.XLOOKUP(frasest[[#This Row],[autor_es]],autorest[autor_es],autorest[autor_la])</f>
        <v>Sententia Vasconica</v>
      </c>
      <c r="H706" t="str">
        <f>_xlfn.XLOOKUP(frasest[[#This Row],[autor_es]],autorest[autor_es],autorest[bio_es])</f>
        <v>Proverbios de la tradición oral vasca que reflejan la relación con la naturaleza, el trabajo y los valores comunitarios del pueblo vasco.</v>
      </c>
      <c r="I706" t="str">
        <f>_xlfn.XLOOKUP(frasest[[#This Row],[autor_es]],autorest[autor_es],autorest[bio_la])</f>
        <v>Collectio sententiarum Vasconicarum.</v>
      </c>
      <c r="J706" t="str">
        <f>_xlfn.XLOOKUP(frasest[[#This Row],[autor_es]],autorest[autor_es],autorest[codigo])</f>
        <v>eu</v>
      </c>
      <c r="K706" t="str">
        <f>_xlfn.XLOOKUP(frasest[[#This Row],[autor_es]],autorest[autor_es],autorest[idioma_es])</f>
        <v>Euskara</v>
      </c>
      <c r="L706" t="str">
        <f>_xlfn.XLOOKUP(frasest[[#This Row],[autor_es]],autorest[autor_es],autorest[idioma_la])</f>
        <v>Lingua Vasconica</v>
      </c>
      <c r="M706" t="str">
        <f>_xlfn.XLOOKUP(frasest[[#This Row],[autor_es]],autorest[autor_es],autorest[nacion_es])</f>
        <v>España</v>
      </c>
      <c r="N706" t="str">
        <f>_xlfn.XLOOKUP(frasest[[#This Row],[autor_es]],autorest[autor_es],autorest[nacion_la])</f>
        <v>Hispania</v>
      </c>
      <c r="O706" t="str">
        <f>_xlfn.XLOOKUP(frasest[[#This Row],[autor_es]],autorest[autor_es],autorest[epoca_es])</f>
        <v>Epoca Desconocida</v>
      </c>
      <c r="P706" t="str">
        <f>_xlfn.XLOOKUP(frasest[[#This Row],[autor_es]],autorest[autor_es],autorest[epoca_la])</f>
        <v>Epocha Ignota</v>
      </c>
      <c r="Q706" t="str">
        <f>_xlfn.XLOOKUP(frasest[[#This Row],[autor_es]],autorest[autor_es],autorest[imagen])</f>
        <v>https://i.ibb.co/bjgxB3kn/euskadi.png</v>
      </c>
      <c r="R706">
        <f>_xlfn.XLOOKUP(frasest[[#This Row],[autor_es]],autorest[autor_es],autorest[imagen_atr])</f>
        <v>0</v>
      </c>
    </row>
    <row r="707" spans="1:18">
      <c r="A707">
        <v>706</v>
      </c>
      <c r="B707" t="s">
        <v>2398</v>
      </c>
      <c r="C707" t="s">
        <v>2399</v>
      </c>
      <c r="D707" t="s">
        <v>2400</v>
      </c>
      <c r="E707" t="s">
        <v>1236</v>
      </c>
      <c r="G707" t="str">
        <f>_xlfn.XLOOKUP(frasest[[#This Row],[autor_es]],autorest[autor_es],autorest[autor_la])</f>
        <v>Sententia Vasconica</v>
      </c>
      <c r="H707" t="str">
        <f>_xlfn.XLOOKUP(frasest[[#This Row],[autor_es]],autorest[autor_es],autorest[bio_es])</f>
        <v>Proverbios de la tradición oral vasca que reflejan la relación con la naturaleza, el trabajo y los valores comunitarios del pueblo vasco.</v>
      </c>
      <c r="I707" t="str">
        <f>_xlfn.XLOOKUP(frasest[[#This Row],[autor_es]],autorest[autor_es],autorest[bio_la])</f>
        <v>Collectio sententiarum Vasconicarum.</v>
      </c>
      <c r="J707" t="str">
        <f>_xlfn.XLOOKUP(frasest[[#This Row],[autor_es]],autorest[autor_es],autorest[codigo])</f>
        <v>eu</v>
      </c>
      <c r="K707" t="str">
        <f>_xlfn.XLOOKUP(frasest[[#This Row],[autor_es]],autorest[autor_es],autorest[idioma_es])</f>
        <v>Euskara</v>
      </c>
      <c r="L707" t="str">
        <f>_xlfn.XLOOKUP(frasest[[#This Row],[autor_es]],autorest[autor_es],autorest[idioma_la])</f>
        <v>Lingua Vasconica</v>
      </c>
      <c r="M707" t="str">
        <f>_xlfn.XLOOKUP(frasest[[#This Row],[autor_es]],autorest[autor_es],autorest[nacion_es])</f>
        <v>España</v>
      </c>
      <c r="N707" t="str">
        <f>_xlfn.XLOOKUP(frasest[[#This Row],[autor_es]],autorest[autor_es],autorest[nacion_la])</f>
        <v>Hispania</v>
      </c>
      <c r="O707" t="str">
        <f>_xlfn.XLOOKUP(frasest[[#This Row],[autor_es]],autorest[autor_es],autorest[epoca_es])</f>
        <v>Epoca Desconocida</v>
      </c>
      <c r="P707" t="str">
        <f>_xlfn.XLOOKUP(frasest[[#This Row],[autor_es]],autorest[autor_es],autorest[epoca_la])</f>
        <v>Epocha Ignota</v>
      </c>
      <c r="Q707" t="str">
        <f>_xlfn.XLOOKUP(frasest[[#This Row],[autor_es]],autorest[autor_es],autorest[imagen])</f>
        <v>https://i.ibb.co/bjgxB3kn/euskadi.png</v>
      </c>
      <c r="R707">
        <f>_xlfn.XLOOKUP(frasest[[#This Row],[autor_es]],autorest[autor_es],autorest[imagen_atr])</f>
        <v>0</v>
      </c>
    </row>
    <row r="708" spans="1:18">
      <c r="A708">
        <v>707</v>
      </c>
      <c r="B708" t="s">
        <v>2401</v>
      </c>
      <c r="C708" t="s">
        <v>2402</v>
      </c>
      <c r="D708" t="s">
        <v>2403</v>
      </c>
      <c r="E708" t="s">
        <v>1236</v>
      </c>
      <c r="G708" t="str">
        <f>_xlfn.XLOOKUP(frasest[[#This Row],[autor_es]],autorest[autor_es],autorest[autor_la])</f>
        <v>Sententia Vasconica</v>
      </c>
      <c r="H708" t="str">
        <f>_xlfn.XLOOKUP(frasest[[#This Row],[autor_es]],autorest[autor_es],autorest[bio_es])</f>
        <v>Proverbios de la tradición oral vasca que reflejan la relación con la naturaleza, el trabajo y los valores comunitarios del pueblo vasco.</v>
      </c>
      <c r="I708" t="str">
        <f>_xlfn.XLOOKUP(frasest[[#This Row],[autor_es]],autorest[autor_es],autorest[bio_la])</f>
        <v>Collectio sententiarum Vasconicarum.</v>
      </c>
      <c r="J708" t="str">
        <f>_xlfn.XLOOKUP(frasest[[#This Row],[autor_es]],autorest[autor_es],autorest[codigo])</f>
        <v>eu</v>
      </c>
      <c r="K708" t="str">
        <f>_xlfn.XLOOKUP(frasest[[#This Row],[autor_es]],autorest[autor_es],autorest[idioma_es])</f>
        <v>Euskara</v>
      </c>
      <c r="L708" t="str">
        <f>_xlfn.XLOOKUP(frasest[[#This Row],[autor_es]],autorest[autor_es],autorest[idioma_la])</f>
        <v>Lingua Vasconica</v>
      </c>
      <c r="M708" t="str">
        <f>_xlfn.XLOOKUP(frasest[[#This Row],[autor_es]],autorest[autor_es],autorest[nacion_es])</f>
        <v>España</v>
      </c>
      <c r="N708" t="str">
        <f>_xlfn.XLOOKUP(frasest[[#This Row],[autor_es]],autorest[autor_es],autorest[nacion_la])</f>
        <v>Hispania</v>
      </c>
      <c r="O708" t="str">
        <f>_xlfn.XLOOKUP(frasest[[#This Row],[autor_es]],autorest[autor_es],autorest[epoca_es])</f>
        <v>Epoca Desconocida</v>
      </c>
      <c r="P708" t="str">
        <f>_xlfn.XLOOKUP(frasest[[#This Row],[autor_es]],autorest[autor_es],autorest[epoca_la])</f>
        <v>Epocha Ignota</v>
      </c>
      <c r="Q708" t="str">
        <f>_xlfn.XLOOKUP(frasest[[#This Row],[autor_es]],autorest[autor_es],autorest[imagen])</f>
        <v>https://i.ibb.co/bjgxB3kn/euskadi.png</v>
      </c>
      <c r="R708">
        <f>_xlfn.XLOOKUP(frasest[[#This Row],[autor_es]],autorest[autor_es],autorest[imagen_atr])</f>
        <v>0</v>
      </c>
    </row>
    <row r="709" spans="1:18">
      <c r="A709">
        <v>708</v>
      </c>
      <c r="B709" t="s">
        <v>2404</v>
      </c>
      <c r="C709" t="s">
        <v>2405</v>
      </c>
      <c r="D709" t="s">
        <v>2406</v>
      </c>
      <c r="E709" t="s">
        <v>1236</v>
      </c>
      <c r="G709" t="str">
        <f>_xlfn.XLOOKUP(frasest[[#This Row],[autor_es]],autorest[autor_es],autorest[autor_la])</f>
        <v>Sententia Vasconica</v>
      </c>
      <c r="H709" t="str">
        <f>_xlfn.XLOOKUP(frasest[[#This Row],[autor_es]],autorest[autor_es],autorest[bio_es])</f>
        <v>Proverbios de la tradición oral vasca que reflejan la relación con la naturaleza, el trabajo y los valores comunitarios del pueblo vasco.</v>
      </c>
      <c r="I709" t="str">
        <f>_xlfn.XLOOKUP(frasest[[#This Row],[autor_es]],autorest[autor_es],autorest[bio_la])</f>
        <v>Collectio sententiarum Vasconicarum.</v>
      </c>
      <c r="J709" t="str">
        <f>_xlfn.XLOOKUP(frasest[[#This Row],[autor_es]],autorest[autor_es],autorest[codigo])</f>
        <v>eu</v>
      </c>
      <c r="K709" t="str">
        <f>_xlfn.XLOOKUP(frasest[[#This Row],[autor_es]],autorest[autor_es],autorest[idioma_es])</f>
        <v>Euskara</v>
      </c>
      <c r="L709" t="str">
        <f>_xlfn.XLOOKUP(frasest[[#This Row],[autor_es]],autorest[autor_es],autorest[idioma_la])</f>
        <v>Lingua Vasconica</v>
      </c>
      <c r="M709" t="str">
        <f>_xlfn.XLOOKUP(frasest[[#This Row],[autor_es]],autorest[autor_es],autorest[nacion_es])</f>
        <v>España</v>
      </c>
      <c r="N709" t="str">
        <f>_xlfn.XLOOKUP(frasest[[#This Row],[autor_es]],autorest[autor_es],autorest[nacion_la])</f>
        <v>Hispania</v>
      </c>
      <c r="O709" t="str">
        <f>_xlfn.XLOOKUP(frasest[[#This Row],[autor_es]],autorest[autor_es],autorest[epoca_es])</f>
        <v>Epoca Desconocida</v>
      </c>
      <c r="P709" t="str">
        <f>_xlfn.XLOOKUP(frasest[[#This Row],[autor_es]],autorest[autor_es],autorest[epoca_la])</f>
        <v>Epocha Ignota</v>
      </c>
      <c r="Q709" t="str">
        <f>_xlfn.XLOOKUP(frasest[[#This Row],[autor_es]],autorest[autor_es],autorest[imagen])</f>
        <v>https://i.ibb.co/bjgxB3kn/euskadi.png</v>
      </c>
      <c r="R709">
        <f>_xlfn.XLOOKUP(frasest[[#This Row],[autor_es]],autorest[autor_es],autorest[imagen_atr])</f>
        <v>0</v>
      </c>
    </row>
    <row r="710" spans="1:18">
      <c r="A710">
        <v>709</v>
      </c>
      <c r="B710" t="s">
        <v>2407</v>
      </c>
      <c r="C710" t="s">
        <v>2408</v>
      </c>
      <c r="D710" t="s">
        <v>2409</v>
      </c>
      <c r="E710" t="s">
        <v>1236</v>
      </c>
      <c r="G710" t="str">
        <f>_xlfn.XLOOKUP(frasest[[#This Row],[autor_es]],autorest[autor_es],autorest[autor_la])</f>
        <v>Sententia Vasconica</v>
      </c>
      <c r="H710" t="str">
        <f>_xlfn.XLOOKUP(frasest[[#This Row],[autor_es]],autorest[autor_es],autorest[bio_es])</f>
        <v>Proverbios de la tradición oral vasca que reflejan la relación con la naturaleza, el trabajo y los valores comunitarios del pueblo vasco.</v>
      </c>
      <c r="I710" t="str">
        <f>_xlfn.XLOOKUP(frasest[[#This Row],[autor_es]],autorest[autor_es],autorest[bio_la])</f>
        <v>Collectio sententiarum Vasconicarum.</v>
      </c>
      <c r="J710" t="str">
        <f>_xlfn.XLOOKUP(frasest[[#This Row],[autor_es]],autorest[autor_es],autorest[codigo])</f>
        <v>eu</v>
      </c>
      <c r="K710" t="str">
        <f>_xlfn.XLOOKUP(frasest[[#This Row],[autor_es]],autorest[autor_es],autorest[idioma_es])</f>
        <v>Euskara</v>
      </c>
      <c r="L710" t="str">
        <f>_xlfn.XLOOKUP(frasest[[#This Row],[autor_es]],autorest[autor_es],autorest[idioma_la])</f>
        <v>Lingua Vasconica</v>
      </c>
      <c r="M710" t="str">
        <f>_xlfn.XLOOKUP(frasest[[#This Row],[autor_es]],autorest[autor_es],autorest[nacion_es])</f>
        <v>España</v>
      </c>
      <c r="N710" t="str">
        <f>_xlfn.XLOOKUP(frasest[[#This Row],[autor_es]],autorest[autor_es],autorest[nacion_la])</f>
        <v>Hispania</v>
      </c>
      <c r="O710" t="str">
        <f>_xlfn.XLOOKUP(frasest[[#This Row],[autor_es]],autorest[autor_es],autorest[epoca_es])</f>
        <v>Epoca Desconocida</v>
      </c>
      <c r="P710" t="str">
        <f>_xlfn.XLOOKUP(frasest[[#This Row],[autor_es]],autorest[autor_es],autorest[epoca_la])</f>
        <v>Epocha Ignota</v>
      </c>
      <c r="Q710" t="str">
        <f>_xlfn.XLOOKUP(frasest[[#This Row],[autor_es]],autorest[autor_es],autorest[imagen])</f>
        <v>https://i.ibb.co/bjgxB3kn/euskadi.png</v>
      </c>
      <c r="R710">
        <f>_xlfn.XLOOKUP(frasest[[#This Row],[autor_es]],autorest[autor_es],autorest[imagen_atr])</f>
        <v>0</v>
      </c>
    </row>
    <row r="711" spans="1:18">
      <c r="A711">
        <v>710</v>
      </c>
      <c r="B711" t="s">
        <v>2410</v>
      </c>
      <c r="C711" t="s">
        <v>2411</v>
      </c>
      <c r="D711" t="s">
        <v>2412</v>
      </c>
      <c r="E711" t="s">
        <v>1236</v>
      </c>
      <c r="G711" t="str">
        <f>_xlfn.XLOOKUP(frasest[[#This Row],[autor_es]],autorest[autor_es],autorest[autor_la])</f>
        <v>Sententia Vasconica</v>
      </c>
      <c r="H711" t="str">
        <f>_xlfn.XLOOKUP(frasest[[#This Row],[autor_es]],autorest[autor_es],autorest[bio_es])</f>
        <v>Proverbios de la tradición oral vasca que reflejan la relación con la naturaleza, el trabajo y los valores comunitarios del pueblo vasco.</v>
      </c>
      <c r="I711" t="str">
        <f>_xlfn.XLOOKUP(frasest[[#This Row],[autor_es]],autorest[autor_es],autorest[bio_la])</f>
        <v>Collectio sententiarum Vasconicarum.</v>
      </c>
      <c r="J711" t="str">
        <f>_xlfn.XLOOKUP(frasest[[#This Row],[autor_es]],autorest[autor_es],autorest[codigo])</f>
        <v>eu</v>
      </c>
      <c r="K711" t="str">
        <f>_xlfn.XLOOKUP(frasest[[#This Row],[autor_es]],autorest[autor_es],autorest[idioma_es])</f>
        <v>Euskara</v>
      </c>
      <c r="L711" t="str">
        <f>_xlfn.XLOOKUP(frasest[[#This Row],[autor_es]],autorest[autor_es],autorest[idioma_la])</f>
        <v>Lingua Vasconica</v>
      </c>
      <c r="M711" t="str">
        <f>_xlfn.XLOOKUP(frasest[[#This Row],[autor_es]],autorest[autor_es],autorest[nacion_es])</f>
        <v>España</v>
      </c>
      <c r="N711" t="str">
        <f>_xlfn.XLOOKUP(frasest[[#This Row],[autor_es]],autorest[autor_es],autorest[nacion_la])</f>
        <v>Hispania</v>
      </c>
      <c r="O711" t="str">
        <f>_xlfn.XLOOKUP(frasest[[#This Row],[autor_es]],autorest[autor_es],autorest[epoca_es])</f>
        <v>Epoca Desconocida</v>
      </c>
      <c r="P711" t="str">
        <f>_xlfn.XLOOKUP(frasest[[#This Row],[autor_es]],autorest[autor_es],autorest[epoca_la])</f>
        <v>Epocha Ignota</v>
      </c>
      <c r="Q711" t="str">
        <f>_xlfn.XLOOKUP(frasest[[#This Row],[autor_es]],autorest[autor_es],autorest[imagen])</f>
        <v>https://i.ibb.co/bjgxB3kn/euskadi.png</v>
      </c>
      <c r="R711">
        <f>_xlfn.XLOOKUP(frasest[[#This Row],[autor_es]],autorest[autor_es],autorest[imagen_atr])</f>
        <v>0</v>
      </c>
    </row>
    <row r="712" spans="1:18">
      <c r="A712">
        <v>711</v>
      </c>
      <c r="B712" t="s">
        <v>2413</v>
      </c>
      <c r="C712" t="s">
        <v>2414</v>
      </c>
      <c r="D712" t="s">
        <v>2415</v>
      </c>
      <c r="E712" t="s">
        <v>1236</v>
      </c>
      <c r="G712" t="str">
        <f>_xlfn.XLOOKUP(frasest[[#This Row],[autor_es]],autorest[autor_es],autorest[autor_la])</f>
        <v>Sententia Vasconica</v>
      </c>
      <c r="H712" t="str">
        <f>_xlfn.XLOOKUP(frasest[[#This Row],[autor_es]],autorest[autor_es],autorest[bio_es])</f>
        <v>Proverbios de la tradición oral vasca que reflejan la relación con la naturaleza, el trabajo y los valores comunitarios del pueblo vasco.</v>
      </c>
      <c r="I712" t="str">
        <f>_xlfn.XLOOKUP(frasest[[#This Row],[autor_es]],autorest[autor_es],autorest[bio_la])</f>
        <v>Collectio sententiarum Vasconicarum.</v>
      </c>
      <c r="J712" t="str">
        <f>_xlfn.XLOOKUP(frasest[[#This Row],[autor_es]],autorest[autor_es],autorest[codigo])</f>
        <v>eu</v>
      </c>
      <c r="K712" t="str">
        <f>_xlfn.XLOOKUP(frasest[[#This Row],[autor_es]],autorest[autor_es],autorest[idioma_es])</f>
        <v>Euskara</v>
      </c>
      <c r="L712" t="str">
        <f>_xlfn.XLOOKUP(frasest[[#This Row],[autor_es]],autorest[autor_es],autorest[idioma_la])</f>
        <v>Lingua Vasconica</v>
      </c>
      <c r="M712" t="str">
        <f>_xlfn.XLOOKUP(frasest[[#This Row],[autor_es]],autorest[autor_es],autorest[nacion_es])</f>
        <v>España</v>
      </c>
      <c r="N712" t="str">
        <f>_xlfn.XLOOKUP(frasest[[#This Row],[autor_es]],autorest[autor_es],autorest[nacion_la])</f>
        <v>Hispania</v>
      </c>
      <c r="O712" t="str">
        <f>_xlfn.XLOOKUP(frasest[[#This Row],[autor_es]],autorest[autor_es],autorest[epoca_es])</f>
        <v>Epoca Desconocida</v>
      </c>
      <c r="P712" t="str">
        <f>_xlfn.XLOOKUP(frasest[[#This Row],[autor_es]],autorest[autor_es],autorest[epoca_la])</f>
        <v>Epocha Ignota</v>
      </c>
      <c r="Q712" t="str">
        <f>_xlfn.XLOOKUP(frasest[[#This Row],[autor_es]],autorest[autor_es],autorest[imagen])</f>
        <v>https://i.ibb.co/bjgxB3kn/euskadi.png</v>
      </c>
      <c r="R712">
        <f>_xlfn.XLOOKUP(frasest[[#This Row],[autor_es]],autorest[autor_es],autorest[imagen_atr])</f>
        <v>0</v>
      </c>
    </row>
    <row r="713" spans="1:18">
      <c r="A713">
        <v>712</v>
      </c>
      <c r="B713" t="s">
        <v>2416</v>
      </c>
      <c r="C713" t="s">
        <v>2417</v>
      </c>
      <c r="D713" t="s">
        <v>2418</v>
      </c>
      <c r="E713" t="s">
        <v>1236</v>
      </c>
      <c r="G713" t="str">
        <f>_xlfn.XLOOKUP(frasest[[#This Row],[autor_es]],autorest[autor_es],autorest[autor_la])</f>
        <v>Sententia Vasconica</v>
      </c>
      <c r="H713" t="str">
        <f>_xlfn.XLOOKUP(frasest[[#This Row],[autor_es]],autorest[autor_es],autorest[bio_es])</f>
        <v>Proverbios de la tradición oral vasca que reflejan la relación con la naturaleza, el trabajo y los valores comunitarios del pueblo vasco.</v>
      </c>
      <c r="I713" t="str">
        <f>_xlfn.XLOOKUP(frasest[[#This Row],[autor_es]],autorest[autor_es],autorest[bio_la])</f>
        <v>Collectio sententiarum Vasconicarum.</v>
      </c>
      <c r="J713" t="str">
        <f>_xlfn.XLOOKUP(frasest[[#This Row],[autor_es]],autorest[autor_es],autorest[codigo])</f>
        <v>eu</v>
      </c>
      <c r="K713" t="str">
        <f>_xlfn.XLOOKUP(frasest[[#This Row],[autor_es]],autorest[autor_es],autorest[idioma_es])</f>
        <v>Euskara</v>
      </c>
      <c r="L713" t="str">
        <f>_xlfn.XLOOKUP(frasest[[#This Row],[autor_es]],autorest[autor_es],autorest[idioma_la])</f>
        <v>Lingua Vasconica</v>
      </c>
      <c r="M713" t="str">
        <f>_xlfn.XLOOKUP(frasest[[#This Row],[autor_es]],autorest[autor_es],autorest[nacion_es])</f>
        <v>España</v>
      </c>
      <c r="N713" t="str">
        <f>_xlfn.XLOOKUP(frasest[[#This Row],[autor_es]],autorest[autor_es],autorest[nacion_la])</f>
        <v>Hispania</v>
      </c>
      <c r="O713" t="str">
        <f>_xlfn.XLOOKUP(frasest[[#This Row],[autor_es]],autorest[autor_es],autorest[epoca_es])</f>
        <v>Epoca Desconocida</v>
      </c>
      <c r="P713" t="str">
        <f>_xlfn.XLOOKUP(frasest[[#This Row],[autor_es]],autorest[autor_es],autorest[epoca_la])</f>
        <v>Epocha Ignota</v>
      </c>
      <c r="Q713" t="str">
        <f>_xlfn.XLOOKUP(frasest[[#This Row],[autor_es]],autorest[autor_es],autorest[imagen])</f>
        <v>https://i.ibb.co/bjgxB3kn/euskadi.png</v>
      </c>
      <c r="R713">
        <f>_xlfn.XLOOKUP(frasest[[#This Row],[autor_es]],autorest[autor_es],autorest[imagen_atr])</f>
        <v>0</v>
      </c>
    </row>
    <row r="714" spans="1:18">
      <c r="A714">
        <v>713</v>
      </c>
      <c r="B714" t="s">
        <v>2419</v>
      </c>
      <c r="C714" t="s">
        <v>2420</v>
      </c>
      <c r="D714" t="s">
        <v>2421</v>
      </c>
      <c r="E714" t="s">
        <v>1236</v>
      </c>
      <c r="G714" t="str">
        <f>_xlfn.XLOOKUP(frasest[[#This Row],[autor_es]],autorest[autor_es],autorest[autor_la])</f>
        <v>Sententia Vasconica</v>
      </c>
      <c r="H714" t="str">
        <f>_xlfn.XLOOKUP(frasest[[#This Row],[autor_es]],autorest[autor_es],autorest[bio_es])</f>
        <v>Proverbios de la tradición oral vasca que reflejan la relación con la naturaleza, el trabajo y los valores comunitarios del pueblo vasco.</v>
      </c>
      <c r="I714" t="str">
        <f>_xlfn.XLOOKUP(frasest[[#This Row],[autor_es]],autorest[autor_es],autorest[bio_la])</f>
        <v>Collectio sententiarum Vasconicarum.</v>
      </c>
      <c r="J714" t="str">
        <f>_xlfn.XLOOKUP(frasest[[#This Row],[autor_es]],autorest[autor_es],autorest[codigo])</f>
        <v>eu</v>
      </c>
      <c r="K714" t="str">
        <f>_xlfn.XLOOKUP(frasest[[#This Row],[autor_es]],autorest[autor_es],autorest[idioma_es])</f>
        <v>Euskara</v>
      </c>
      <c r="L714" t="str">
        <f>_xlfn.XLOOKUP(frasest[[#This Row],[autor_es]],autorest[autor_es],autorest[idioma_la])</f>
        <v>Lingua Vasconica</v>
      </c>
      <c r="M714" t="str">
        <f>_xlfn.XLOOKUP(frasest[[#This Row],[autor_es]],autorest[autor_es],autorest[nacion_es])</f>
        <v>España</v>
      </c>
      <c r="N714" t="str">
        <f>_xlfn.XLOOKUP(frasest[[#This Row],[autor_es]],autorest[autor_es],autorest[nacion_la])</f>
        <v>Hispania</v>
      </c>
      <c r="O714" t="str">
        <f>_xlfn.XLOOKUP(frasest[[#This Row],[autor_es]],autorest[autor_es],autorest[epoca_es])</f>
        <v>Epoca Desconocida</v>
      </c>
      <c r="P714" t="str">
        <f>_xlfn.XLOOKUP(frasest[[#This Row],[autor_es]],autorest[autor_es],autorest[epoca_la])</f>
        <v>Epocha Ignota</v>
      </c>
      <c r="Q714" t="str">
        <f>_xlfn.XLOOKUP(frasest[[#This Row],[autor_es]],autorest[autor_es],autorest[imagen])</f>
        <v>https://i.ibb.co/bjgxB3kn/euskadi.png</v>
      </c>
      <c r="R714">
        <f>_xlfn.XLOOKUP(frasest[[#This Row],[autor_es]],autorest[autor_es],autorest[imagen_atr])</f>
        <v>0</v>
      </c>
    </row>
    <row r="715" spans="1:18">
      <c r="A715">
        <v>714</v>
      </c>
      <c r="B715" t="s">
        <v>2422</v>
      </c>
      <c r="C715" t="s">
        <v>2423</v>
      </c>
      <c r="D715" t="s">
        <v>2424</v>
      </c>
      <c r="E715" t="s">
        <v>1236</v>
      </c>
      <c r="G715" t="str">
        <f>_xlfn.XLOOKUP(frasest[[#This Row],[autor_es]],autorest[autor_es],autorest[autor_la])</f>
        <v>Sententia Vasconica</v>
      </c>
      <c r="H715" t="str">
        <f>_xlfn.XLOOKUP(frasest[[#This Row],[autor_es]],autorest[autor_es],autorest[bio_es])</f>
        <v>Proverbios de la tradición oral vasca que reflejan la relación con la naturaleza, el trabajo y los valores comunitarios del pueblo vasco.</v>
      </c>
      <c r="I715" t="str">
        <f>_xlfn.XLOOKUP(frasest[[#This Row],[autor_es]],autorest[autor_es],autorest[bio_la])</f>
        <v>Collectio sententiarum Vasconicarum.</v>
      </c>
      <c r="J715" t="str">
        <f>_xlfn.XLOOKUP(frasest[[#This Row],[autor_es]],autorest[autor_es],autorest[codigo])</f>
        <v>eu</v>
      </c>
      <c r="K715" t="str">
        <f>_xlfn.XLOOKUP(frasest[[#This Row],[autor_es]],autorest[autor_es],autorest[idioma_es])</f>
        <v>Euskara</v>
      </c>
      <c r="L715" t="str">
        <f>_xlfn.XLOOKUP(frasest[[#This Row],[autor_es]],autorest[autor_es],autorest[idioma_la])</f>
        <v>Lingua Vasconica</v>
      </c>
      <c r="M715" t="str">
        <f>_xlfn.XLOOKUP(frasest[[#This Row],[autor_es]],autorest[autor_es],autorest[nacion_es])</f>
        <v>España</v>
      </c>
      <c r="N715" t="str">
        <f>_xlfn.XLOOKUP(frasest[[#This Row],[autor_es]],autorest[autor_es],autorest[nacion_la])</f>
        <v>Hispania</v>
      </c>
      <c r="O715" t="str">
        <f>_xlfn.XLOOKUP(frasest[[#This Row],[autor_es]],autorest[autor_es],autorest[epoca_es])</f>
        <v>Epoca Desconocida</v>
      </c>
      <c r="P715" t="str">
        <f>_xlfn.XLOOKUP(frasest[[#This Row],[autor_es]],autorest[autor_es],autorest[epoca_la])</f>
        <v>Epocha Ignota</v>
      </c>
      <c r="Q715" t="str">
        <f>_xlfn.XLOOKUP(frasest[[#This Row],[autor_es]],autorest[autor_es],autorest[imagen])</f>
        <v>https://i.ibb.co/bjgxB3kn/euskadi.png</v>
      </c>
      <c r="R715">
        <f>_xlfn.XLOOKUP(frasest[[#This Row],[autor_es]],autorest[autor_es],autorest[imagen_atr])</f>
        <v>0</v>
      </c>
    </row>
    <row r="716" spans="1:18">
      <c r="A716">
        <v>715</v>
      </c>
      <c r="B716" t="s">
        <v>2425</v>
      </c>
      <c r="C716" t="s">
        <v>2426</v>
      </c>
      <c r="D716" t="s">
        <v>2427</v>
      </c>
      <c r="E716" t="s">
        <v>1236</v>
      </c>
      <c r="G716" t="str">
        <f>_xlfn.XLOOKUP(frasest[[#This Row],[autor_es]],autorest[autor_es],autorest[autor_la])</f>
        <v>Sententia Vasconica</v>
      </c>
      <c r="H716" t="str">
        <f>_xlfn.XLOOKUP(frasest[[#This Row],[autor_es]],autorest[autor_es],autorest[bio_es])</f>
        <v>Proverbios de la tradición oral vasca que reflejan la relación con la naturaleza, el trabajo y los valores comunitarios del pueblo vasco.</v>
      </c>
      <c r="I716" t="str">
        <f>_xlfn.XLOOKUP(frasest[[#This Row],[autor_es]],autorest[autor_es],autorest[bio_la])</f>
        <v>Collectio sententiarum Vasconicarum.</v>
      </c>
      <c r="J716" t="str">
        <f>_xlfn.XLOOKUP(frasest[[#This Row],[autor_es]],autorest[autor_es],autorest[codigo])</f>
        <v>eu</v>
      </c>
      <c r="K716" t="str">
        <f>_xlfn.XLOOKUP(frasest[[#This Row],[autor_es]],autorest[autor_es],autorest[idioma_es])</f>
        <v>Euskara</v>
      </c>
      <c r="L716" t="str">
        <f>_xlfn.XLOOKUP(frasest[[#This Row],[autor_es]],autorest[autor_es],autorest[idioma_la])</f>
        <v>Lingua Vasconica</v>
      </c>
      <c r="M716" t="str">
        <f>_xlfn.XLOOKUP(frasest[[#This Row],[autor_es]],autorest[autor_es],autorest[nacion_es])</f>
        <v>España</v>
      </c>
      <c r="N716" t="str">
        <f>_xlfn.XLOOKUP(frasest[[#This Row],[autor_es]],autorest[autor_es],autorest[nacion_la])</f>
        <v>Hispania</v>
      </c>
      <c r="O716" t="str">
        <f>_xlfn.XLOOKUP(frasest[[#This Row],[autor_es]],autorest[autor_es],autorest[epoca_es])</f>
        <v>Epoca Desconocida</v>
      </c>
      <c r="P716" t="str">
        <f>_xlfn.XLOOKUP(frasest[[#This Row],[autor_es]],autorest[autor_es],autorest[epoca_la])</f>
        <v>Epocha Ignota</v>
      </c>
      <c r="Q716" t="str">
        <f>_xlfn.XLOOKUP(frasest[[#This Row],[autor_es]],autorest[autor_es],autorest[imagen])</f>
        <v>https://i.ibb.co/bjgxB3kn/euskadi.png</v>
      </c>
      <c r="R716">
        <f>_xlfn.XLOOKUP(frasest[[#This Row],[autor_es]],autorest[autor_es],autorest[imagen_atr])</f>
        <v>0</v>
      </c>
    </row>
    <row r="717" spans="1:18">
      <c r="A717">
        <v>716</v>
      </c>
      <c r="B717" t="s">
        <v>2428</v>
      </c>
      <c r="C717" t="s">
        <v>2429</v>
      </c>
      <c r="D717" t="s">
        <v>2430</v>
      </c>
      <c r="E717" t="s">
        <v>1236</v>
      </c>
      <c r="G717" t="str">
        <f>_xlfn.XLOOKUP(frasest[[#This Row],[autor_es]],autorest[autor_es],autorest[autor_la])</f>
        <v>Sententia Vasconica</v>
      </c>
      <c r="H717" t="str">
        <f>_xlfn.XLOOKUP(frasest[[#This Row],[autor_es]],autorest[autor_es],autorest[bio_es])</f>
        <v>Proverbios de la tradición oral vasca que reflejan la relación con la naturaleza, el trabajo y los valores comunitarios del pueblo vasco.</v>
      </c>
      <c r="I717" t="str">
        <f>_xlfn.XLOOKUP(frasest[[#This Row],[autor_es]],autorest[autor_es],autorest[bio_la])</f>
        <v>Collectio sententiarum Vasconicarum.</v>
      </c>
      <c r="J717" t="str">
        <f>_xlfn.XLOOKUP(frasest[[#This Row],[autor_es]],autorest[autor_es],autorest[codigo])</f>
        <v>eu</v>
      </c>
      <c r="K717" t="str">
        <f>_xlfn.XLOOKUP(frasest[[#This Row],[autor_es]],autorest[autor_es],autorest[idioma_es])</f>
        <v>Euskara</v>
      </c>
      <c r="L717" t="str">
        <f>_xlfn.XLOOKUP(frasest[[#This Row],[autor_es]],autorest[autor_es],autorest[idioma_la])</f>
        <v>Lingua Vasconica</v>
      </c>
      <c r="M717" t="str">
        <f>_xlfn.XLOOKUP(frasest[[#This Row],[autor_es]],autorest[autor_es],autorest[nacion_es])</f>
        <v>España</v>
      </c>
      <c r="N717" t="str">
        <f>_xlfn.XLOOKUP(frasest[[#This Row],[autor_es]],autorest[autor_es],autorest[nacion_la])</f>
        <v>Hispania</v>
      </c>
      <c r="O717" t="str">
        <f>_xlfn.XLOOKUP(frasest[[#This Row],[autor_es]],autorest[autor_es],autorest[epoca_es])</f>
        <v>Epoca Desconocida</v>
      </c>
      <c r="P717" t="str">
        <f>_xlfn.XLOOKUP(frasest[[#This Row],[autor_es]],autorest[autor_es],autorest[epoca_la])</f>
        <v>Epocha Ignota</v>
      </c>
      <c r="Q717" t="str">
        <f>_xlfn.XLOOKUP(frasest[[#This Row],[autor_es]],autorest[autor_es],autorest[imagen])</f>
        <v>https://i.ibb.co/bjgxB3kn/euskadi.png</v>
      </c>
      <c r="R717">
        <f>_xlfn.XLOOKUP(frasest[[#This Row],[autor_es]],autorest[autor_es],autorest[imagen_atr])</f>
        <v>0</v>
      </c>
    </row>
    <row r="718" spans="1:18">
      <c r="A718">
        <v>717</v>
      </c>
      <c r="B718" t="s">
        <v>2431</v>
      </c>
      <c r="C718" t="s">
        <v>2432</v>
      </c>
      <c r="D718" t="s">
        <v>2433</v>
      </c>
      <c r="E718" t="s">
        <v>1236</v>
      </c>
      <c r="G718" t="str">
        <f>_xlfn.XLOOKUP(frasest[[#This Row],[autor_es]],autorest[autor_es],autorest[autor_la])</f>
        <v>Sententia Vasconica</v>
      </c>
      <c r="H718" t="str">
        <f>_xlfn.XLOOKUP(frasest[[#This Row],[autor_es]],autorest[autor_es],autorest[bio_es])</f>
        <v>Proverbios de la tradición oral vasca que reflejan la relación con la naturaleza, el trabajo y los valores comunitarios del pueblo vasco.</v>
      </c>
      <c r="I718" t="str">
        <f>_xlfn.XLOOKUP(frasest[[#This Row],[autor_es]],autorest[autor_es],autorest[bio_la])</f>
        <v>Collectio sententiarum Vasconicarum.</v>
      </c>
      <c r="J718" t="str">
        <f>_xlfn.XLOOKUP(frasest[[#This Row],[autor_es]],autorest[autor_es],autorest[codigo])</f>
        <v>eu</v>
      </c>
      <c r="K718" t="str">
        <f>_xlfn.XLOOKUP(frasest[[#This Row],[autor_es]],autorest[autor_es],autorest[idioma_es])</f>
        <v>Euskara</v>
      </c>
      <c r="L718" t="str">
        <f>_xlfn.XLOOKUP(frasest[[#This Row],[autor_es]],autorest[autor_es],autorest[idioma_la])</f>
        <v>Lingua Vasconica</v>
      </c>
      <c r="M718" t="str">
        <f>_xlfn.XLOOKUP(frasest[[#This Row],[autor_es]],autorest[autor_es],autorest[nacion_es])</f>
        <v>España</v>
      </c>
      <c r="N718" t="str">
        <f>_xlfn.XLOOKUP(frasest[[#This Row],[autor_es]],autorest[autor_es],autorest[nacion_la])</f>
        <v>Hispania</v>
      </c>
      <c r="O718" t="str">
        <f>_xlfn.XLOOKUP(frasest[[#This Row],[autor_es]],autorest[autor_es],autorest[epoca_es])</f>
        <v>Epoca Desconocida</v>
      </c>
      <c r="P718" t="str">
        <f>_xlfn.XLOOKUP(frasest[[#This Row],[autor_es]],autorest[autor_es],autorest[epoca_la])</f>
        <v>Epocha Ignota</v>
      </c>
      <c r="Q718" t="str">
        <f>_xlfn.XLOOKUP(frasest[[#This Row],[autor_es]],autorest[autor_es],autorest[imagen])</f>
        <v>https://i.ibb.co/bjgxB3kn/euskadi.png</v>
      </c>
      <c r="R718">
        <f>_xlfn.XLOOKUP(frasest[[#This Row],[autor_es]],autorest[autor_es],autorest[imagen_atr])</f>
        <v>0</v>
      </c>
    </row>
    <row r="719" spans="1:18">
      <c r="A719">
        <v>718</v>
      </c>
      <c r="B719" t="s">
        <v>2434</v>
      </c>
      <c r="C719" t="s">
        <v>2435</v>
      </c>
      <c r="D719" t="s">
        <v>2436</v>
      </c>
      <c r="E719" t="s">
        <v>1236</v>
      </c>
      <c r="G719" t="str">
        <f>_xlfn.XLOOKUP(frasest[[#This Row],[autor_es]],autorest[autor_es],autorest[autor_la])</f>
        <v>Sententia Vasconica</v>
      </c>
      <c r="H719" t="str">
        <f>_xlfn.XLOOKUP(frasest[[#This Row],[autor_es]],autorest[autor_es],autorest[bio_es])</f>
        <v>Proverbios de la tradición oral vasca que reflejan la relación con la naturaleza, el trabajo y los valores comunitarios del pueblo vasco.</v>
      </c>
      <c r="I719" t="str">
        <f>_xlfn.XLOOKUP(frasest[[#This Row],[autor_es]],autorest[autor_es],autorest[bio_la])</f>
        <v>Collectio sententiarum Vasconicarum.</v>
      </c>
      <c r="J719" t="str">
        <f>_xlfn.XLOOKUP(frasest[[#This Row],[autor_es]],autorest[autor_es],autorest[codigo])</f>
        <v>eu</v>
      </c>
      <c r="K719" t="str">
        <f>_xlfn.XLOOKUP(frasest[[#This Row],[autor_es]],autorest[autor_es],autorest[idioma_es])</f>
        <v>Euskara</v>
      </c>
      <c r="L719" t="str">
        <f>_xlfn.XLOOKUP(frasest[[#This Row],[autor_es]],autorest[autor_es],autorest[idioma_la])</f>
        <v>Lingua Vasconica</v>
      </c>
      <c r="M719" t="str">
        <f>_xlfn.XLOOKUP(frasest[[#This Row],[autor_es]],autorest[autor_es],autorest[nacion_es])</f>
        <v>España</v>
      </c>
      <c r="N719" t="str">
        <f>_xlfn.XLOOKUP(frasest[[#This Row],[autor_es]],autorest[autor_es],autorest[nacion_la])</f>
        <v>Hispania</v>
      </c>
      <c r="O719" t="str">
        <f>_xlfn.XLOOKUP(frasest[[#This Row],[autor_es]],autorest[autor_es],autorest[epoca_es])</f>
        <v>Epoca Desconocida</v>
      </c>
      <c r="P719" t="str">
        <f>_xlfn.XLOOKUP(frasest[[#This Row],[autor_es]],autorest[autor_es],autorest[epoca_la])</f>
        <v>Epocha Ignota</v>
      </c>
      <c r="Q719" t="str">
        <f>_xlfn.XLOOKUP(frasest[[#This Row],[autor_es]],autorest[autor_es],autorest[imagen])</f>
        <v>https://i.ibb.co/bjgxB3kn/euskadi.png</v>
      </c>
      <c r="R719">
        <f>_xlfn.XLOOKUP(frasest[[#This Row],[autor_es]],autorest[autor_es],autorest[imagen_atr])</f>
        <v>0</v>
      </c>
    </row>
    <row r="720" spans="1:18">
      <c r="A720">
        <v>719</v>
      </c>
      <c r="B720" t="s">
        <v>2437</v>
      </c>
      <c r="C720" t="s">
        <v>2438</v>
      </c>
      <c r="D720" t="s">
        <v>2439</v>
      </c>
      <c r="E720" t="s">
        <v>1236</v>
      </c>
      <c r="G720" t="str">
        <f>_xlfn.XLOOKUP(frasest[[#This Row],[autor_es]],autorest[autor_es],autorest[autor_la])</f>
        <v>Sententia Vasconica</v>
      </c>
      <c r="H720" t="str">
        <f>_xlfn.XLOOKUP(frasest[[#This Row],[autor_es]],autorest[autor_es],autorest[bio_es])</f>
        <v>Proverbios de la tradición oral vasca que reflejan la relación con la naturaleza, el trabajo y los valores comunitarios del pueblo vasco.</v>
      </c>
      <c r="I720" t="str">
        <f>_xlfn.XLOOKUP(frasest[[#This Row],[autor_es]],autorest[autor_es],autorest[bio_la])</f>
        <v>Collectio sententiarum Vasconicarum.</v>
      </c>
      <c r="J720" t="str">
        <f>_xlfn.XLOOKUP(frasest[[#This Row],[autor_es]],autorest[autor_es],autorest[codigo])</f>
        <v>eu</v>
      </c>
      <c r="K720" t="str">
        <f>_xlfn.XLOOKUP(frasest[[#This Row],[autor_es]],autorest[autor_es],autorest[idioma_es])</f>
        <v>Euskara</v>
      </c>
      <c r="L720" t="str">
        <f>_xlfn.XLOOKUP(frasest[[#This Row],[autor_es]],autorest[autor_es],autorest[idioma_la])</f>
        <v>Lingua Vasconica</v>
      </c>
      <c r="M720" t="str">
        <f>_xlfn.XLOOKUP(frasest[[#This Row],[autor_es]],autorest[autor_es],autorest[nacion_es])</f>
        <v>España</v>
      </c>
      <c r="N720" t="str">
        <f>_xlfn.XLOOKUP(frasest[[#This Row],[autor_es]],autorest[autor_es],autorest[nacion_la])</f>
        <v>Hispania</v>
      </c>
      <c r="O720" t="str">
        <f>_xlfn.XLOOKUP(frasest[[#This Row],[autor_es]],autorest[autor_es],autorest[epoca_es])</f>
        <v>Epoca Desconocida</v>
      </c>
      <c r="P720" t="str">
        <f>_xlfn.XLOOKUP(frasest[[#This Row],[autor_es]],autorest[autor_es],autorest[epoca_la])</f>
        <v>Epocha Ignota</v>
      </c>
      <c r="Q720" t="str">
        <f>_xlfn.XLOOKUP(frasest[[#This Row],[autor_es]],autorest[autor_es],autorest[imagen])</f>
        <v>https://i.ibb.co/bjgxB3kn/euskadi.png</v>
      </c>
      <c r="R720">
        <f>_xlfn.XLOOKUP(frasest[[#This Row],[autor_es]],autorest[autor_es],autorest[imagen_atr])</f>
        <v>0</v>
      </c>
    </row>
    <row r="721" spans="1:18">
      <c r="A721">
        <v>720</v>
      </c>
      <c r="B721" t="s">
        <v>2440</v>
      </c>
      <c r="C721" t="s">
        <v>2441</v>
      </c>
      <c r="D721" t="s">
        <v>2442</v>
      </c>
      <c r="E721" t="s">
        <v>1236</v>
      </c>
      <c r="G721" t="str">
        <f>_xlfn.XLOOKUP(frasest[[#This Row],[autor_es]],autorest[autor_es],autorest[autor_la])</f>
        <v>Sententia Vasconica</v>
      </c>
      <c r="H721" t="str">
        <f>_xlfn.XLOOKUP(frasest[[#This Row],[autor_es]],autorest[autor_es],autorest[bio_es])</f>
        <v>Proverbios de la tradición oral vasca que reflejan la relación con la naturaleza, el trabajo y los valores comunitarios del pueblo vasco.</v>
      </c>
      <c r="I721" t="str">
        <f>_xlfn.XLOOKUP(frasest[[#This Row],[autor_es]],autorest[autor_es],autorest[bio_la])</f>
        <v>Collectio sententiarum Vasconicarum.</v>
      </c>
      <c r="J721" t="str">
        <f>_xlfn.XLOOKUP(frasest[[#This Row],[autor_es]],autorest[autor_es],autorest[codigo])</f>
        <v>eu</v>
      </c>
      <c r="K721" t="str">
        <f>_xlfn.XLOOKUP(frasest[[#This Row],[autor_es]],autorest[autor_es],autorest[idioma_es])</f>
        <v>Euskara</v>
      </c>
      <c r="L721" t="str">
        <f>_xlfn.XLOOKUP(frasest[[#This Row],[autor_es]],autorest[autor_es],autorest[idioma_la])</f>
        <v>Lingua Vasconica</v>
      </c>
      <c r="M721" t="str">
        <f>_xlfn.XLOOKUP(frasest[[#This Row],[autor_es]],autorest[autor_es],autorest[nacion_es])</f>
        <v>España</v>
      </c>
      <c r="N721" t="str">
        <f>_xlfn.XLOOKUP(frasest[[#This Row],[autor_es]],autorest[autor_es],autorest[nacion_la])</f>
        <v>Hispania</v>
      </c>
      <c r="O721" t="str">
        <f>_xlfn.XLOOKUP(frasest[[#This Row],[autor_es]],autorest[autor_es],autorest[epoca_es])</f>
        <v>Epoca Desconocida</v>
      </c>
      <c r="P721" t="str">
        <f>_xlfn.XLOOKUP(frasest[[#This Row],[autor_es]],autorest[autor_es],autorest[epoca_la])</f>
        <v>Epocha Ignota</v>
      </c>
      <c r="Q721" t="str">
        <f>_xlfn.XLOOKUP(frasest[[#This Row],[autor_es]],autorest[autor_es],autorest[imagen])</f>
        <v>https://i.ibb.co/bjgxB3kn/euskadi.png</v>
      </c>
      <c r="R721">
        <f>_xlfn.XLOOKUP(frasest[[#This Row],[autor_es]],autorest[autor_es],autorest[imagen_atr])</f>
        <v>0</v>
      </c>
    </row>
    <row r="722" spans="1:18">
      <c r="A722">
        <v>721</v>
      </c>
      <c r="B722" t="s">
        <v>2443</v>
      </c>
      <c r="C722" t="s">
        <v>2444</v>
      </c>
      <c r="D722" t="s">
        <v>2445</v>
      </c>
      <c r="E722" t="s">
        <v>1236</v>
      </c>
      <c r="G722" t="str">
        <f>_xlfn.XLOOKUP(frasest[[#This Row],[autor_es]],autorest[autor_es],autorest[autor_la])</f>
        <v>Sententia Vasconica</v>
      </c>
      <c r="H722" t="str">
        <f>_xlfn.XLOOKUP(frasest[[#This Row],[autor_es]],autorest[autor_es],autorest[bio_es])</f>
        <v>Proverbios de la tradición oral vasca que reflejan la relación con la naturaleza, el trabajo y los valores comunitarios del pueblo vasco.</v>
      </c>
      <c r="I722" t="str">
        <f>_xlfn.XLOOKUP(frasest[[#This Row],[autor_es]],autorest[autor_es],autorest[bio_la])</f>
        <v>Collectio sententiarum Vasconicarum.</v>
      </c>
      <c r="J722" t="str">
        <f>_xlfn.XLOOKUP(frasest[[#This Row],[autor_es]],autorest[autor_es],autorest[codigo])</f>
        <v>eu</v>
      </c>
      <c r="K722" t="str">
        <f>_xlfn.XLOOKUP(frasest[[#This Row],[autor_es]],autorest[autor_es],autorest[idioma_es])</f>
        <v>Euskara</v>
      </c>
      <c r="L722" t="str">
        <f>_xlfn.XLOOKUP(frasest[[#This Row],[autor_es]],autorest[autor_es],autorest[idioma_la])</f>
        <v>Lingua Vasconica</v>
      </c>
      <c r="M722" t="str">
        <f>_xlfn.XLOOKUP(frasest[[#This Row],[autor_es]],autorest[autor_es],autorest[nacion_es])</f>
        <v>España</v>
      </c>
      <c r="N722" t="str">
        <f>_xlfn.XLOOKUP(frasest[[#This Row],[autor_es]],autorest[autor_es],autorest[nacion_la])</f>
        <v>Hispania</v>
      </c>
      <c r="O722" t="str">
        <f>_xlfn.XLOOKUP(frasest[[#This Row],[autor_es]],autorest[autor_es],autorest[epoca_es])</f>
        <v>Epoca Desconocida</v>
      </c>
      <c r="P722" t="str">
        <f>_xlfn.XLOOKUP(frasest[[#This Row],[autor_es]],autorest[autor_es],autorest[epoca_la])</f>
        <v>Epocha Ignota</v>
      </c>
      <c r="Q722" t="str">
        <f>_xlfn.XLOOKUP(frasest[[#This Row],[autor_es]],autorest[autor_es],autorest[imagen])</f>
        <v>https://i.ibb.co/bjgxB3kn/euskadi.png</v>
      </c>
      <c r="R722">
        <f>_xlfn.XLOOKUP(frasest[[#This Row],[autor_es]],autorest[autor_es],autorest[imagen_atr])</f>
        <v>0</v>
      </c>
    </row>
    <row r="723" spans="1:18">
      <c r="A723">
        <v>722</v>
      </c>
      <c r="B723" t="s">
        <v>2446</v>
      </c>
      <c r="C723" t="s">
        <v>2447</v>
      </c>
      <c r="D723" t="s">
        <v>2448</v>
      </c>
      <c r="E723" t="s">
        <v>1236</v>
      </c>
      <c r="G723" t="str">
        <f>_xlfn.XLOOKUP(frasest[[#This Row],[autor_es]],autorest[autor_es],autorest[autor_la])</f>
        <v>Sententia Vasconica</v>
      </c>
      <c r="H723" t="str">
        <f>_xlfn.XLOOKUP(frasest[[#This Row],[autor_es]],autorest[autor_es],autorest[bio_es])</f>
        <v>Proverbios de la tradición oral vasca que reflejan la relación con la naturaleza, el trabajo y los valores comunitarios del pueblo vasco.</v>
      </c>
      <c r="I723" t="str">
        <f>_xlfn.XLOOKUP(frasest[[#This Row],[autor_es]],autorest[autor_es],autorest[bio_la])</f>
        <v>Collectio sententiarum Vasconicarum.</v>
      </c>
      <c r="J723" t="str">
        <f>_xlfn.XLOOKUP(frasest[[#This Row],[autor_es]],autorest[autor_es],autorest[codigo])</f>
        <v>eu</v>
      </c>
      <c r="K723" t="str">
        <f>_xlfn.XLOOKUP(frasest[[#This Row],[autor_es]],autorest[autor_es],autorest[idioma_es])</f>
        <v>Euskara</v>
      </c>
      <c r="L723" t="str">
        <f>_xlfn.XLOOKUP(frasest[[#This Row],[autor_es]],autorest[autor_es],autorest[idioma_la])</f>
        <v>Lingua Vasconica</v>
      </c>
      <c r="M723" t="str">
        <f>_xlfn.XLOOKUP(frasest[[#This Row],[autor_es]],autorest[autor_es],autorest[nacion_es])</f>
        <v>España</v>
      </c>
      <c r="N723" t="str">
        <f>_xlfn.XLOOKUP(frasest[[#This Row],[autor_es]],autorest[autor_es],autorest[nacion_la])</f>
        <v>Hispania</v>
      </c>
      <c r="O723" t="str">
        <f>_xlfn.XLOOKUP(frasest[[#This Row],[autor_es]],autorest[autor_es],autorest[epoca_es])</f>
        <v>Epoca Desconocida</v>
      </c>
      <c r="P723" t="str">
        <f>_xlfn.XLOOKUP(frasest[[#This Row],[autor_es]],autorest[autor_es],autorest[epoca_la])</f>
        <v>Epocha Ignota</v>
      </c>
      <c r="Q723" t="str">
        <f>_xlfn.XLOOKUP(frasest[[#This Row],[autor_es]],autorest[autor_es],autorest[imagen])</f>
        <v>https://i.ibb.co/bjgxB3kn/euskadi.png</v>
      </c>
      <c r="R723">
        <f>_xlfn.XLOOKUP(frasest[[#This Row],[autor_es]],autorest[autor_es],autorest[imagen_atr])</f>
        <v>0</v>
      </c>
    </row>
    <row r="724" spans="1:18">
      <c r="A724">
        <v>723</v>
      </c>
      <c r="B724" t="s">
        <v>2449</v>
      </c>
      <c r="C724" t="s">
        <v>2450</v>
      </c>
      <c r="D724" t="s">
        <v>2451</v>
      </c>
      <c r="E724" t="s">
        <v>1236</v>
      </c>
      <c r="G724" t="str">
        <f>_xlfn.XLOOKUP(frasest[[#This Row],[autor_es]],autorest[autor_es],autorest[autor_la])</f>
        <v>Sententia Vasconica</v>
      </c>
      <c r="H724" t="str">
        <f>_xlfn.XLOOKUP(frasest[[#This Row],[autor_es]],autorest[autor_es],autorest[bio_es])</f>
        <v>Proverbios de la tradición oral vasca que reflejan la relación con la naturaleza, el trabajo y los valores comunitarios del pueblo vasco.</v>
      </c>
      <c r="I724" t="str">
        <f>_xlfn.XLOOKUP(frasest[[#This Row],[autor_es]],autorest[autor_es],autorest[bio_la])</f>
        <v>Collectio sententiarum Vasconicarum.</v>
      </c>
      <c r="J724" t="str">
        <f>_xlfn.XLOOKUP(frasest[[#This Row],[autor_es]],autorest[autor_es],autorest[codigo])</f>
        <v>eu</v>
      </c>
      <c r="K724" t="str">
        <f>_xlfn.XLOOKUP(frasest[[#This Row],[autor_es]],autorest[autor_es],autorest[idioma_es])</f>
        <v>Euskara</v>
      </c>
      <c r="L724" t="str">
        <f>_xlfn.XLOOKUP(frasest[[#This Row],[autor_es]],autorest[autor_es],autorest[idioma_la])</f>
        <v>Lingua Vasconica</v>
      </c>
      <c r="M724" t="str">
        <f>_xlfn.XLOOKUP(frasest[[#This Row],[autor_es]],autorest[autor_es],autorest[nacion_es])</f>
        <v>España</v>
      </c>
      <c r="N724" t="str">
        <f>_xlfn.XLOOKUP(frasest[[#This Row],[autor_es]],autorest[autor_es],autorest[nacion_la])</f>
        <v>Hispania</v>
      </c>
      <c r="O724" t="str">
        <f>_xlfn.XLOOKUP(frasest[[#This Row],[autor_es]],autorest[autor_es],autorest[epoca_es])</f>
        <v>Epoca Desconocida</v>
      </c>
      <c r="P724" t="str">
        <f>_xlfn.XLOOKUP(frasest[[#This Row],[autor_es]],autorest[autor_es],autorest[epoca_la])</f>
        <v>Epocha Ignota</v>
      </c>
      <c r="Q724" t="str">
        <f>_xlfn.XLOOKUP(frasest[[#This Row],[autor_es]],autorest[autor_es],autorest[imagen])</f>
        <v>https://i.ibb.co/bjgxB3kn/euskadi.png</v>
      </c>
      <c r="R724">
        <f>_xlfn.XLOOKUP(frasest[[#This Row],[autor_es]],autorest[autor_es],autorest[imagen_atr])</f>
        <v>0</v>
      </c>
    </row>
    <row r="725" spans="1:18">
      <c r="A725">
        <v>724</v>
      </c>
      <c r="B725" t="s">
        <v>2452</v>
      </c>
      <c r="C725" t="s">
        <v>2453</v>
      </c>
      <c r="D725" t="s">
        <v>2454</v>
      </c>
      <c r="E725" t="s">
        <v>1236</v>
      </c>
      <c r="G725" t="str">
        <f>_xlfn.XLOOKUP(frasest[[#This Row],[autor_es]],autorest[autor_es],autorest[autor_la])</f>
        <v>Sententia Vasconica</v>
      </c>
      <c r="H725" t="str">
        <f>_xlfn.XLOOKUP(frasest[[#This Row],[autor_es]],autorest[autor_es],autorest[bio_es])</f>
        <v>Proverbios de la tradición oral vasca que reflejan la relación con la naturaleza, el trabajo y los valores comunitarios del pueblo vasco.</v>
      </c>
      <c r="I725" t="str">
        <f>_xlfn.XLOOKUP(frasest[[#This Row],[autor_es]],autorest[autor_es],autorest[bio_la])</f>
        <v>Collectio sententiarum Vasconicarum.</v>
      </c>
      <c r="J725" t="str">
        <f>_xlfn.XLOOKUP(frasest[[#This Row],[autor_es]],autorest[autor_es],autorest[codigo])</f>
        <v>eu</v>
      </c>
      <c r="K725" t="str">
        <f>_xlfn.XLOOKUP(frasest[[#This Row],[autor_es]],autorest[autor_es],autorest[idioma_es])</f>
        <v>Euskara</v>
      </c>
      <c r="L725" t="str">
        <f>_xlfn.XLOOKUP(frasest[[#This Row],[autor_es]],autorest[autor_es],autorest[idioma_la])</f>
        <v>Lingua Vasconica</v>
      </c>
      <c r="M725" t="str">
        <f>_xlfn.XLOOKUP(frasest[[#This Row],[autor_es]],autorest[autor_es],autorest[nacion_es])</f>
        <v>España</v>
      </c>
      <c r="N725" t="str">
        <f>_xlfn.XLOOKUP(frasest[[#This Row],[autor_es]],autorest[autor_es],autorest[nacion_la])</f>
        <v>Hispania</v>
      </c>
      <c r="O725" t="str">
        <f>_xlfn.XLOOKUP(frasest[[#This Row],[autor_es]],autorest[autor_es],autorest[epoca_es])</f>
        <v>Epoca Desconocida</v>
      </c>
      <c r="P725" t="str">
        <f>_xlfn.XLOOKUP(frasest[[#This Row],[autor_es]],autorest[autor_es],autorest[epoca_la])</f>
        <v>Epocha Ignota</v>
      </c>
      <c r="Q725" t="str">
        <f>_xlfn.XLOOKUP(frasest[[#This Row],[autor_es]],autorest[autor_es],autorest[imagen])</f>
        <v>https://i.ibb.co/bjgxB3kn/euskadi.png</v>
      </c>
      <c r="R725">
        <f>_xlfn.XLOOKUP(frasest[[#This Row],[autor_es]],autorest[autor_es],autorest[imagen_atr])</f>
        <v>0</v>
      </c>
    </row>
    <row r="726" spans="1:18">
      <c r="A726">
        <v>725</v>
      </c>
      <c r="B726" t="s">
        <v>2455</v>
      </c>
      <c r="C726" t="s">
        <v>2456</v>
      </c>
      <c r="D726" t="s">
        <v>2457</v>
      </c>
      <c r="E726" t="s">
        <v>1236</v>
      </c>
      <c r="G726" t="str">
        <f>_xlfn.XLOOKUP(frasest[[#This Row],[autor_es]],autorest[autor_es],autorest[autor_la])</f>
        <v>Sententia Vasconica</v>
      </c>
      <c r="H726" t="str">
        <f>_xlfn.XLOOKUP(frasest[[#This Row],[autor_es]],autorest[autor_es],autorest[bio_es])</f>
        <v>Proverbios de la tradición oral vasca que reflejan la relación con la naturaleza, el trabajo y los valores comunitarios del pueblo vasco.</v>
      </c>
      <c r="I726" t="str">
        <f>_xlfn.XLOOKUP(frasest[[#This Row],[autor_es]],autorest[autor_es],autorest[bio_la])</f>
        <v>Collectio sententiarum Vasconicarum.</v>
      </c>
      <c r="J726" t="str">
        <f>_xlfn.XLOOKUP(frasest[[#This Row],[autor_es]],autorest[autor_es],autorest[codigo])</f>
        <v>eu</v>
      </c>
      <c r="K726" t="str">
        <f>_xlfn.XLOOKUP(frasest[[#This Row],[autor_es]],autorest[autor_es],autorest[idioma_es])</f>
        <v>Euskara</v>
      </c>
      <c r="L726" t="str">
        <f>_xlfn.XLOOKUP(frasest[[#This Row],[autor_es]],autorest[autor_es],autorest[idioma_la])</f>
        <v>Lingua Vasconica</v>
      </c>
      <c r="M726" t="str">
        <f>_xlfn.XLOOKUP(frasest[[#This Row],[autor_es]],autorest[autor_es],autorest[nacion_es])</f>
        <v>España</v>
      </c>
      <c r="N726" t="str">
        <f>_xlfn.XLOOKUP(frasest[[#This Row],[autor_es]],autorest[autor_es],autorest[nacion_la])</f>
        <v>Hispania</v>
      </c>
      <c r="O726" t="str">
        <f>_xlfn.XLOOKUP(frasest[[#This Row],[autor_es]],autorest[autor_es],autorest[epoca_es])</f>
        <v>Epoca Desconocida</v>
      </c>
      <c r="P726" t="str">
        <f>_xlfn.XLOOKUP(frasest[[#This Row],[autor_es]],autorest[autor_es],autorest[epoca_la])</f>
        <v>Epocha Ignota</v>
      </c>
      <c r="Q726" t="str">
        <f>_xlfn.XLOOKUP(frasest[[#This Row],[autor_es]],autorest[autor_es],autorest[imagen])</f>
        <v>https://i.ibb.co/bjgxB3kn/euskadi.png</v>
      </c>
      <c r="R726">
        <f>_xlfn.XLOOKUP(frasest[[#This Row],[autor_es]],autorest[autor_es],autorest[imagen_atr])</f>
        <v>0</v>
      </c>
    </row>
    <row r="727" spans="1:18">
      <c r="A727">
        <v>726</v>
      </c>
      <c r="B727" t="s">
        <v>2458</v>
      </c>
      <c r="C727" t="s">
        <v>2459</v>
      </c>
      <c r="D727" t="s">
        <v>2460</v>
      </c>
      <c r="E727" t="s">
        <v>1236</v>
      </c>
      <c r="G727" t="str">
        <f>_xlfn.XLOOKUP(frasest[[#This Row],[autor_es]],autorest[autor_es],autorest[autor_la])</f>
        <v>Sententia Vasconica</v>
      </c>
      <c r="H727" t="str">
        <f>_xlfn.XLOOKUP(frasest[[#This Row],[autor_es]],autorest[autor_es],autorest[bio_es])</f>
        <v>Proverbios de la tradición oral vasca que reflejan la relación con la naturaleza, el trabajo y los valores comunitarios del pueblo vasco.</v>
      </c>
      <c r="I727" t="str">
        <f>_xlfn.XLOOKUP(frasest[[#This Row],[autor_es]],autorest[autor_es],autorest[bio_la])</f>
        <v>Collectio sententiarum Vasconicarum.</v>
      </c>
      <c r="J727" t="str">
        <f>_xlfn.XLOOKUP(frasest[[#This Row],[autor_es]],autorest[autor_es],autorest[codigo])</f>
        <v>eu</v>
      </c>
      <c r="K727" t="str">
        <f>_xlfn.XLOOKUP(frasest[[#This Row],[autor_es]],autorest[autor_es],autorest[idioma_es])</f>
        <v>Euskara</v>
      </c>
      <c r="L727" t="str">
        <f>_xlfn.XLOOKUP(frasest[[#This Row],[autor_es]],autorest[autor_es],autorest[idioma_la])</f>
        <v>Lingua Vasconica</v>
      </c>
      <c r="M727" t="str">
        <f>_xlfn.XLOOKUP(frasest[[#This Row],[autor_es]],autorest[autor_es],autorest[nacion_es])</f>
        <v>España</v>
      </c>
      <c r="N727" t="str">
        <f>_xlfn.XLOOKUP(frasest[[#This Row],[autor_es]],autorest[autor_es],autorest[nacion_la])</f>
        <v>Hispania</v>
      </c>
      <c r="O727" t="str">
        <f>_xlfn.XLOOKUP(frasest[[#This Row],[autor_es]],autorest[autor_es],autorest[epoca_es])</f>
        <v>Epoca Desconocida</v>
      </c>
      <c r="P727" t="str">
        <f>_xlfn.XLOOKUP(frasest[[#This Row],[autor_es]],autorest[autor_es],autorest[epoca_la])</f>
        <v>Epocha Ignota</v>
      </c>
      <c r="Q727" t="str">
        <f>_xlfn.XLOOKUP(frasest[[#This Row],[autor_es]],autorest[autor_es],autorest[imagen])</f>
        <v>https://i.ibb.co/bjgxB3kn/euskadi.png</v>
      </c>
      <c r="R727">
        <f>_xlfn.XLOOKUP(frasest[[#This Row],[autor_es]],autorest[autor_es],autorest[imagen_atr])</f>
        <v>0</v>
      </c>
    </row>
    <row r="728" spans="1:18">
      <c r="A728">
        <v>727</v>
      </c>
      <c r="B728" t="s">
        <v>2461</v>
      </c>
      <c r="C728" t="s">
        <v>2462</v>
      </c>
      <c r="D728" t="s">
        <v>2463</v>
      </c>
      <c r="E728" t="s">
        <v>1236</v>
      </c>
      <c r="G728" t="str">
        <f>_xlfn.XLOOKUP(frasest[[#This Row],[autor_es]],autorest[autor_es],autorest[autor_la])</f>
        <v>Sententia Vasconica</v>
      </c>
      <c r="H728" t="str">
        <f>_xlfn.XLOOKUP(frasest[[#This Row],[autor_es]],autorest[autor_es],autorest[bio_es])</f>
        <v>Proverbios de la tradición oral vasca que reflejan la relación con la naturaleza, el trabajo y los valores comunitarios del pueblo vasco.</v>
      </c>
      <c r="I728" t="str">
        <f>_xlfn.XLOOKUP(frasest[[#This Row],[autor_es]],autorest[autor_es],autorest[bio_la])</f>
        <v>Collectio sententiarum Vasconicarum.</v>
      </c>
      <c r="J728" t="str">
        <f>_xlfn.XLOOKUP(frasest[[#This Row],[autor_es]],autorest[autor_es],autorest[codigo])</f>
        <v>eu</v>
      </c>
      <c r="K728" t="str">
        <f>_xlfn.XLOOKUP(frasest[[#This Row],[autor_es]],autorest[autor_es],autorest[idioma_es])</f>
        <v>Euskara</v>
      </c>
      <c r="L728" t="str">
        <f>_xlfn.XLOOKUP(frasest[[#This Row],[autor_es]],autorest[autor_es],autorest[idioma_la])</f>
        <v>Lingua Vasconica</v>
      </c>
      <c r="M728" t="str">
        <f>_xlfn.XLOOKUP(frasest[[#This Row],[autor_es]],autorest[autor_es],autorest[nacion_es])</f>
        <v>España</v>
      </c>
      <c r="N728" t="str">
        <f>_xlfn.XLOOKUP(frasest[[#This Row],[autor_es]],autorest[autor_es],autorest[nacion_la])</f>
        <v>Hispania</v>
      </c>
      <c r="O728" t="str">
        <f>_xlfn.XLOOKUP(frasest[[#This Row],[autor_es]],autorest[autor_es],autorest[epoca_es])</f>
        <v>Epoca Desconocida</v>
      </c>
      <c r="P728" t="str">
        <f>_xlfn.XLOOKUP(frasest[[#This Row],[autor_es]],autorest[autor_es],autorest[epoca_la])</f>
        <v>Epocha Ignota</v>
      </c>
      <c r="Q728" t="str">
        <f>_xlfn.XLOOKUP(frasest[[#This Row],[autor_es]],autorest[autor_es],autorest[imagen])</f>
        <v>https://i.ibb.co/bjgxB3kn/euskadi.png</v>
      </c>
      <c r="R728">
        <f>_xlfn.XLOOKUP(frasest[[#This Row],[autor_es]],autorest[autor_es],autorest[imagen_atr])</f>
        <v>0</v>
      </c>
    </row>
    <row r="729" spans="1:18">
      <c r="A729">
        <v>728</v>
      </c>
      <c r="B729" t="s">
        <v>2464</v>
      </c>
      <c r="C729" t="s">
        <v>2465</v>
      </c>
      <c r="D729" t="s">
        <v>2466</v>
      </c>
      <c r="E729" t="s">
        <v>1236</v>
      </c>
      <c r="G729" t="str">
        <f>_xlfn.XLOOKUP(frasest[[#This Row],[autor_es]],autorest[autor_es],autorest[autor_la])</f>
        <v>Sententia Vasconica</v>
      </c>
      <c r="H729" t="str">
        <f>_xlfn.XLOOKUP(frasest[[#This Row],[autor_es]],autorest[autor_es],autorest[bio_es])</f>
        <v>Proverbios de la tradición oral vasca que reflejan la relación con la naturaleza, el trabajo y los valores comunitarios del pueblo vasco.</v>
      </c>
      <c r="I729" t="str">
        <f>_xlfn.XLOOKUP(frasest[[#This Row],[autor_es]],autorest[autor_es],autorest[bio_la])</f>
        <v>Collectio sententiarum Vasconicarum.</v>
      </c>
      <c r="J729" t="str">
        <f>_xlfn.XLOOKUP(frasest[[#This Row],[autor_es]],autorest[autor_es],autorest[codigo])</f>
        <v>eu</v>
      </c>
      <c r="K729" t="str">
        <f>_xlfn.XLOOKUP(frasest[[#This Row],[autor_es]],autorest[autor_es],autorest[idioma_es])</f>
        <v>Euskara</v>
      </c>
      <c r="L729" t="str">
        <f>_xlfn.XLOOKUP(frasest[[#This Row],[autor_es]],autorest[autor_es],autorest[idioma_la])</f>
        <v>Lingua Vasconica</v>
      </c>
      <c r="M729" t="str">
        <f>_xlfn.XLOOKUP(frasest[[#This Row],[autor_es]],autorest[autor_es],autorest[nacion_es])</f>
        <v>España</v>
      </c>
      <c r="N729" t="str">
        <f>_xlfn.XLOOKUP(frasest[[#This Row],[autor_es]],autorest[autor_es],autorest[nacion_la])</f>
        <v>Hispania</v>
      </c>
      <c r="O729" t="str">
        <f>_xlfn.XLOOKUP(frasest[[#This Row],[autor_es]],autorest[autor_es],autorest[epoca_es])</f>
        <v>Epoca Desconocida</v>
      </c>
      <c r="P729" t="str">
        <f>_xlfn.XLOOKUP(frasest[[#This Row],[autor_es]],autorest[autor_es],autorest[epoca_la])</f>
        <v>Epocha Ignota</v>
      </c>
      <c r="Q729" t="str">
        <f>_xlfn.XLOOKUP(frasest[[#This Row],[autor_es]],autorest[autor_es],autorest[imagen])</f>
        <v>https://i.ibb.co/bjgxB3kn/euskadi.png</v>
      </c>
      <c r="R729">
        <f>_xlfn.XLOOKUP(frasest[[#This Row],[autor_es]],autorest[autor_es],autorest[imagen_atr])</f>
        <v>0</v>
      </c>
    </row>
    <row r="730" spans="1:18">
      <c r="A730">
        <v>729</v>
      </c>
      <c r="B730" t="s">
        <v>2467</v>
      </c>
      <c r="C730" t="s">
        <v>2468</v>
      </c>
      <c r="D730" t="s">
        <v>2469</v>
      </c>
      <c r="E730" t="s">
        <v>1236</v>
      </c>
      <c r="G730" t="str">
        <f>_xlfn.XLOOKUP(frasest[[#This Row],[autor_es]],autorest[autor_es],autorest[autor_la])</f>
        <v>Sententia Vasconica</v>
      </c>
      <c r="H730" t="str">
        <f>_xlfn.XLOOKUP(frasest[[#This Row],[autor_es]],autorest[autor_es],autorest[bio_es])</f>
        <v>Proverbios de la tradición oral vasca que reflejan la relación con la naturaleza, el trabajo y los valores comunitarios del pueblo vasco.</v>
      </c>
      <c r="I730" t="str">
        <f>_xlfn.XLOOKUP(frasest[[#This Row],[autor_es]],autorest[autor_es],autorest[bio_la])</f>
        <v>Collectio sententiarum Vasconicarum.</v>
      </c>
      <c r="J730" t="str">
        <f>_xlfn.XLOOKUP(frasest[[#This Row],[autor_es]],autorest[autor_es],autorest[codigo])</f>
        <v>eu</v>
      </c>
      <c r="K730" t="str">
        <f>_xlfn.XLOOKUP(frasest[[#This Row],[autor_es]],autorest[autor_es],autorest[idioma_es])</f>
        <v>Euskara</v>
      </c>
      <c r="L730" t="str">
        <f>_xlfn.XLOOKUP(frasest[[#This Row],[autor_es]],autorest[autor_es],autorest[idioma_la])</f>
        <v>Lingua Vasconica</v>
      </c>
      <c r="M730" t="str">
        <f>_xlfn.XLOOKUP(frasest[[#This Row],[autor_es]],autorest[autor_es],autorest[nacion_es])</f>
        <v>España</v>
      </c>
      <c r="N730" t="str">
        <f>_xlfn.XLOOKUP(frasest[[#This Row],[autor_es]],autorest[autor_es],autorest[nacion_la])</f>
        <v>Hispania</v>
      </c>
      <c r="O730" t="str">
        <f>_xlfn.XLOOKUP(frasest[[#This Row],[autor_es]],autorest[autor_es],autorest[epoca_es])</f>
        <v>Epoca Desconocida</v>
      </c>
      <c r="P730" t="str">
        <f>_xlfn.XLOOKUP(frasest[[#This Row],[autor_es]],autorest[autor_es],autorest[epoca_la])</f>
        <v>Epocha Ignota</v>
      </c>
      <c r="Q730" t="str">
        <f>_xlfn.XLOOKUP(frasest[[#This Row],[autor_es]],autorest[autor_es],autorest[imagen])</f>
        <v>https://i.ibb.co/bjgxB3kn/euskadi.png</v>
      </c>
      <c r="R730">
        <f>_xlfn.XLOOKUP(frasest[[#This Row],[autor_es]],autorest[autor_es],autorest[imagen_atr])</f>
        <v>0</v>
      </c>
    </row>
    <row r="731" spans="1:18">
      <c r="A731">
        <v>730</v>
      </c>
      <c r="B731" t="s">
        <v>2470</v>
      </c>
      <c r="C731" t="s">
        <v>2471</v>
      </c>
      <c r="D731" t="s">
        <v>2472</v>
      </c>
      <c r="E731" t="s">
        <v>1236</v>
      </c>
      <c r="G731" t="str">
        <f>_xlfn.XLOOKUP(frasest[[#This Row],[autor_es]],autorest[autor_es],autorest[autor_la])</f>
        <v>Sententia Vasconica</v>
      </c>
      <c r="H731" t="str">
        <f>_xlfn.XLOOKUP(frasest[[#This Row],[autor_es]],autorest[autor_es],autorest[bio_es])</f>
        <v>Proverbios de la tradición oral vasca que reflejan la relación con la naturaleza, el trabajo y los valores comunitarios del pueblo vasco.</v>
      </c>
      <c r="I731" t="str">
        <f>_xlfn.XLOOKUP(frasest[[#This Row],[autor_es]],autorest[autor_es],autorest[bio_la])</f>
        <v>Collectio sententiarum Vasconicarum.</v>
      </c>
      <c r="J731" t="str">
        <f>_xlfn.XLOOKUP(frasest[[#This Row],[autor_es]],autorest[autor_es],autorest[codigo])</f>
        <v>eu</v>
      </c>
      <c r="K731" t="str">
        <f>_xlfn.XLOOKUP(frasest[[#This Row],[autor_es]],autorest[autor_es],autorest[idioma_es])</f>
        <v>Euskara</v>
      </c>
      <c r="L731" t="str">
        <f>_xlfn.XLOOKUP(frasest[[#This Row],[autor_es]],autorest[autor_es],autorest[idioma_la])</f>
        <v>Lingua Vasconica</v>
      </c>
      <c r="M731" t="str">
        <f>_xlfn.XLOOKUP(frasest[[#This Row],[autor_es]],autorest[autor_es],autorest[nacion_es])</f>
        <v>España</v>
      </c>
      <c r="N731" t="str">
        <f>_xlfn.XLOOKUP(frasest[[#This Row],[autor_es]],autorest[autor_es],autorest[nacion_la])</f>
        <v>Hispania</v>
      </c>
      <c r="O731" t="str">
        <f>_xlfn.XLOOKUP(frasest[[#This Row],[autor_es]],autorest[autor_es],autorest[epoca_es])</f>
        <v>Epoca Desconocida</v>
      </c>
      <c r="P731" t="str">
        <f>_xlfn.XLOOKUP(frasest[[#This Row],[autor_es]],autorest[autor_es],autorest[epoca_la])</f>
        <v>Epocha Ignota</v>
      </c>
      <c r="Q731" t="str">
        <f>_xlfn.XLOOKUP(frasest[[#This Row],[autor_es]],autorest[autor_es],autorest[imagen])</f>
        <v>https://i.ibb.co/bjgxB3kn/euskadi.png</v>
      </c>
      <c r="R731">
        <f>_xlfn.XLOOKUP(frasest[[#This Row],[autor_es]],autorest[autor_es],autorest[imagen_atr])</f>
        <v>0</v>
      </c>
    </row>
    <row r="732" spans="1:18">
      <c r="A732">
        <v>731</v>
      </c>
      <c r="B732" t="s">
        <v>2473</v>
      </c>
      <c r="C732" t="s">
        <v>2474</v>
      </c>
      <c r="D732" t="s">
        <v>2475</v>
      </c>
      <c r="E732" t="s">
        <v>1236</v>
      </c>
      <c r="G732" t="str">
        <f>_xlfn.XLOOKUP(frasest[[#This Row],[autor_es]],autorest[autor_es],autorest[autor_la])</f>
        <v>Sententia Vasconica</v>
      </c>
      <c r="H732" t="str">
        <f>_xlfn.XLOOKUP(frasest[[#This Row],[autor_es]],autorest[autor_es],autorest[bio_es])</f>
        <v>Proverbios de la tradición oral vasca que reflejan la relación con la naturaleza, el trabajo y los valores comunitarios del pueblo vasco.</v>
      </c>
      <c r="I732" t="str">
        <f>_xlfn.XLOOKUP(frasest[[#This Row],[autor_es]],autorest[autor_es],autorest[bio_la])</f>
        <v>Collectio sententiarum Vasconicarum.</v>
      </c>
      <c r="J732" t="str">
        <f>_xlfn.XLOOKUP(frasest[[#This Row],[autor_es]],autorest[autor_es],autorest[codigo])</f>
        <v>eu</v>
      </c>
      <c r="K732" t="str">
        <f>_xlfn.XLOOKUP(frasest[[#This Row],[autor_es]],autorest[autor_es],autorest[idioma_es])</f>
        <v>Euskara</v>
      </c>
      <c r="L732" t="str">
        <f>_xlfn.XLOOKUP(frasest[[#This Row],[autor_es]],autorest[autor_es],autorest[idioma_la])</f>
        <v>Lingua Vasconica</v>
      </c>
      <c r="M732" t="str">
        <f>_xlfn.XLOOKUP(frasest[[#This Row],[autor_es]],autorest[autor_es],autorest[nacion_es])</f>
        <v>España</v>
      </c>
      <c r="N732" t="str">
        <f>_xlfn.XLOOKUP(frasest[[#This Row],[autor_es]],autorest[autor_es],autorest[nacion_la])</f>
        <v>Hispania</v>
      </c>
      <c r="O732" t="str">
        <f>_xlfn.XLOOKUP(frasest[[#This Row],[autor_es]],autorest[autor_es],autorest[epoca_es])</f>
        <v>Epoca Desconocida</v>
      </c>
      <c r="P732" t="str">
        <f>_xlfn.XLOOKUP(frasest[[#This Row],[autor_es]],autorest[autor_es],autorest[epoca_la])</f>
        <v>Epocha Ignota</v>
      </c>
      <c r="Q732" t="str">
        <f>_xlfn.XLOOKUP(frasest[[#This Row],[autor_es]],autorest[autor_es],autorest[imagen])</f>
        <v>https://i.ibb.co/bjgxB3kn/euskadi.png</v>
      </c>
      <c r="R732">
        <f>_xlfn.XLOOKUP(frasest[[#This Row],[autor_es]],autorest[autor_es],autorest[imagen_atr])</f>
        <v>0</v>
      </c>
    </row>
    <row r="733" spans="1:18">
      <c r="A733">
        <v>732</v>
      </c>
      <c r="B733" t="s">
        <v>2476</v>
      </c>
      <c r="C733" t="s">
        <v>2477</v>
      </c>
      <c r="D733" t="s">
        <v>2478</v>
      </c>
      <c r="E733" t="s">
        <v>1236</v>
      </c>
      <c r="G733" t="str">
        <f>_xlfn.XLOOKUP(frasest[[#This Row],[autor_es]],autorest[autor_es],autorest[autor_la])</f>
        <v>Sententia Vasconica</v>
      </c>
      <c r="H733" t="str">
        <f>_xlfn.XLOOKUP(frasest[[#This Row],[autor_es]],autorest[autor_es],autorest[bio_es])</f>
        <v>Proverbios de la tradición oral vasca que reflejan la relación con la naturaleza, el trabajo y los valores comunitarios del pueblo vasco.</v>
      </c>
      <c r="I733" t="str">
        <f>_xlfn.XLOOKUP(frasest[[#This Row],[autor_es]],autorest[autor_es],autorest[bio_la])</f>
        <v>Collectio sententiarum Vasconicarum.</v>
      </c>
      <c r="J733" t="str">
        <f>_xlfn.XLOOKUP(frasest[[#This Row],[autor_es]],autorest[autor_es],autorest[codigo])</f>
        <v>eu</v>
      </c>
      <c r="K733" t="str">
        <f>_xlfn.XLOOKUP(frasest[[#This Row],[autor_es]],autorest[autor_es],autorest[idioma_es])</f>
        <v>Euskara</v>
      </c>
      <c r="L733" t="str">
        <f>_xlfn.XLOOKUP(frasest[[#This Row],[autor_es]],autorest[autor_es],autorest[idioma_la])</f>
        <v>Lingua Vasconica</v>
      </c>
      <c r="M733" t="str">
        <f>_xlfn.XLOOKUP(frasest[[#This Row],[autor_es]],autorest[autor_es],autorest[nacion_es])</f>
        <v>España</v>
      </c>
      <c r="N733" t="str">
        <f>_xlfn.XLOOKUP(frasest[[#This Row],[autor_es]],autorest[autor_es],autorest[nacion_la])</f>
        <v>Hispania</v>
      </c>
      <c r="O733" t="str">
        <f>_xlfn.XLOOKUP(frasest[[#This Row],[autor_es]],autorest[autor_es],autorest[epoca_es])</f>
        <v>Epoca Desconocida</v>
      </c>
      <c r="P733" t="str">
        <f>_xlfn.XLOOKUP(frasest[[#This Row],[autor_es]],autorest[autor_es],autorest[epoca_la])</f>
        <v>Epocha Ignota</v>
      </c>
      <c r="Q733" t="str">
        <f>_xlfn.XLOOKUP(frasest[[#This Row],[autor_es]],autorest[autor_es],autorest[imagen])</f>
        <v>https://i.ibb.co/bjgxB3kn/euskadi.png</v>
      </c>
      <c r="R733">
        <f>_xlfn.XLOOKUP(frasest[[#This Row],[autor_es]],autorest[autor_es],autorest[imagen_atr])</f>
        <v>0</v>
      </c>
    </row>
    <row r="734" spans="1:18">
      <c r="A734">
        <v>733</v>
      </c>
      <c r="B734" t="s">
        <v>2479</v>
      </c>
      <c r="C734" t="s">
        <v>2480</v>
      </c>
      <c r="D734" t="s">
        <v>2481</v>
      </c>
      <c r="E734" t="s">
        <v>1236</v>
      </c>
      <c r="G734" t="str">
        <f>_xlfn.XLOOKUP(frasest[[#This Row],[autor_es]],autorest[autor_es],autorest[autor_la])</f>
        <v>Sententia Vasconica</v>
      </c>
      <c r="H734" t="str">
        <f>_xlfn.XLOOKUP(frasest[[#This Row],[autor_es]],autorest[autor_es],autorest[bio_es])</f>
        <v>Proverbios de la tradición oral vasca que reflejan la relación con la naturaleza, el trabajo y los valores comunitarios del pueblo vasco.</v>
      </c>
      <c r="I734" t="str">
        <f>_xlfn.XLOOKUP(frasest[[#This Row],[autor_es]],autorest[autor_es],autorest[bio_la])</f>
        <v>Collectio sententiarum Vasconicarum.</v>
      </c>
      <c r="J734" t="str">
        <f>_xlfn.XLOOKUP(frasest[[#This Row],[autor_es]],autorest[autor_es],autorest[codigo])</f>
        <v>eu</v>
      </c>
      <c r="K734" t="str">
        <f>_xlfn.XLOOKUP(frasest[[#This Row],[autor_es]],autorest[autor_es],autorest[idioma_es])</f>
        <v>Euskara</v>
      </c>
      <c r="L734" t="str">
        <f>_xlfn.XLOOKUP(frasest[[#This Row],[autor_es]],autorest[autor_es],autorest[idioma_la])</f>
        <v>Lingua Vasconica</v>
      </c>
      <c r="M734" t="str">
        <f>_xlfn.XLOOKUP(frasest[[#This Row],[autor_es]],autorest[autor_es],autorest[nacion_es])</f>
        <v>España</v>
      </c>
      <c r="N734" t="str">
        <f>_xlfn.XLOOKUP(frasest[[#This Row],[autor_es]],autorest[autor_es],autorest[nacion_la])</f>
        <v>Hispania</v>
      </c>
      <c r="O734" t="str">
        <f>_xlfn.XLOOKUP(frasest[[#This Row],[autor_es]],autorest[autor_es],autorest[epoca_es])</f>
        <v>Epoca Desconocida</v>
      </c>
      <c r="P734" t="str">
        <f>_xlfn.XLOOKUP(frasest[[#This Row],[autor_es]],autorest[autor_es],autorest[epoca_la])</f>
        <v>Epocha Ignota</v>
      </c>
      <c r="Q734" t="str">
        <f>_xlfn.XLOOKUP(frasest[[#This Row],[autor_es]],autorest[autor_es],autorest[imagen])</f>
        <v>https://i.ibb.co/bjgxB3kn/euskadi.png</v>
      </c>
      <c r="R734">
        <f>_xlfn.XLOOKUP(frasest[[#This Row],[autor_es]],autorest[autor_es],autorest[imagen_atr])</f>
        <v>0</v>
      </c>
    </row>
    <row r="735" spans="1:18">
      <c r="A735">
        <v>734</v>
      </c>
      <c r="B735" t="s">
        <v>2482</v>
      </c>
      <c r="C735" t="s">
        <v>2483</v>
      </c>
      <c r="D735" t="s">
        <v>2484</v>
      </c>
      <c r="E735" t="s">
        <v>1236</v>
      </c>
      <c r="G735" t="str">
        <f>_xlfn.XLOOKUP(frasest[[#This Row],[autor_es]],autorest[autor_es],autorest[autor_la])</f>
        <v>Sententia Vasconica</v>
      </c>
      <c r="H735" t="str">
        <f>_xlfn.XLOOKUP(frasest[[#This Row],[autor_es]],autorest[autor_es],autorest[bio_es])</f>
        <v>Proverbios de la tradición oral vasca que reflejan la relación con la naturaleza, el trabajo y los valores comunitarios del pueblo vasco.</v>
      </c>
      <c r="I735" t="str">
        <f>_xlfn.XLOOKUP(frasest[[#This Row],[autor_es]],autorest[autor_es],autorest[bio_la])</f>
        <v>Collectio sententiarum Vasconicarum.</v>
      </c>
      <c r="J735" t="str">
        <f>_xlfn.XLOOKUP(frasest[[#This Row],[autor_es]],autorest[autor_es],autorest[codigo])</f>
        <v>eu</v>
      </c>
      <c r="K735" t="str">
        <f>_xlfn.XLOOKUP(frasest[[#This Row],[autor_es]],autorest[autor_es],autorest[idioma_es])</f>
        <v>Euskara</v>
      </c>
      <c r="L735" t="str">
        <f>_xlfn.XLOOKUP(frasest[[#This Row],[autor_es]],autorest[autor_es],autorest[idioma_la])</f>
        <v>Lingua Vasconica</v>
      </c>
      <c r="M735" t="str">
        <f>_xlfn.XLOOKUP(frasest[[#This Row],[autor_es]],autorest[autor_es],autorest[nacion_es])</f>
        <v>España</v>
      </c>
      <c r="N735" t="str">
        <f>_xlfn.XLOOKUP(frasest[[#This Row],[autor_es]],autorest[autor_es],autorest[nacion_la])</f>
        <v>Hispania</v>
      </c>
      <c r="O735" t="str">
        <f>_xlfn.XLOOKUP(frasest[[#This Row],[autor_es]],autorest[autor_es],autorest[epoca_es])</f>
        <v>Epoca Desconocida</v>
      </c>
      <c r="P735" t="str">
        <f>_xlfn.XLOOKUP(frasest[[#This Row],[autor_es]],autorest[autor_es],autorest[epoca_la])</f>
        <v>Epocha Ignota</v>
      </c>
      <c r="Q735" t="str">
        <f>_xlfn.XLOOKUP(frasest[[#This Row],[autor_es]],autorest[autor_es],autorest[imagen])</f>
        <v>https://i.ibb.co/bjgxB3kn/euskadi.png</v>
      </c>
      <c r="R735">
        <f>_xlfn.XLOOKUP(frasest[[#This Row],[autor_es]],autorest[autor_es],autorest[imagen_atr])</f>
        <v>0</v>
      </c>
    </row>
    <row r="736" spans="1:18">
      <c r="A736">
        <v>735</v>
      </c>
      <c r="B736" t="s">
        <v>2485</v>
      </c>
      <c r="C736" t="s">
        <v>2486</v>
      </c>
      <c r="D736" t="s">
        <v>2487</v>
      </c>
      <c r="E736" t="s">
        <v>1236</v>
      </c>
      <c r="G736" t="str">
        <f>_xlfn.XLOOKUP(frasest[[#This Row],[autor_es]],autorest[autor_es],autorest[autor_la])</f>
        <v>Sententia Vasconica</v>
      </c>
      <c r="H736" t="str">
        <f>_xlfn.XLOOKUP(frasest[[#This Row],[autor_es]],autorest[autor_es],autorest[bio_es])</f>
        <v>Proverbios de la tradición oral vasca que reflejan la relación con la naturaleza, el trabajo y los valores comunitarios del pueblo vasco.</v>
      </c>
      <c r="I736" t="str">
        <f>_xlfn.XLOOKUP(frasest[[#This Row],[autor_es]],autorest[autor_es],autorest[bio_la])</f>
        <v>Collectio sententiarum Vasconicarum.</v>
      </c>
      <c r="J736" t="str">
        <f>_xlfn.XLOOKUP(frasest[[#This Row],[autor_es]],autorest[autor_es],autorest[codigo])</f>
        <v>eu</v>
      </c>
      <c r="K736" t="str">
        <f>_xlfn.XLOOKUP(frasest[[#This Row],[autor_es]],autorest[autor_es],autorest[idioma_es])</f>
        <v>Euskara</v>
      </c>
      <c r="L736" t="str">
        <f>_xlfn.XLOOKUP(frasest[[#This Row],[autor_es]],autorest[autor_es],autorest[idioma_la])</f>
        <v>Lingua Vasconica</v>
      </c>
      <c r="M736" t="str">
        <f>_xlfn.XLOOKUP(frasest[[#This Row],[autor_es]],autorest[autor_es],autorest[nacion_es])</f>
        <v>España</v>
      </c>
      <c r="N736" t="str">
        <f>_xlfn.XLOOKUP(frasest[[#This Row],[autor_es]],autorest[autor_es],autorest[nacion_la])</f>
        <v>Hispania</v>
      </c>
      <c r="O736" t="str">
        <f>_xlfn.XLOOKUP(frasest[[#This Row],[autor_es]],autorest[autor_es],autorest[epoca_es])</f>
        <v>Epoca Desconocida</v>
      </c>
      <c r="P736" t="str">
        <f>_xlfn.XLOOKUP(frasest[[#This Row],[autor_es]],autorest[autor_es],autorest[epoca_la])</f>
        <v>Epocha Ignota</v>
      </c>
      <c r="Q736" t="str">
        <f>_xlfn.XLOOKUP(frasest[[#This Row],[autor_es]],autorest[autor_es],autorest[imagen])</f>
        <v>https://i.ibb.co/bjgxB3kn/euskadi.png</v>
      </c>
      <c r="R736">
        <f>_xlfn.XLOOKUP(frasest[[#This Row],[autor_es]],autorest[autor_es],autorest[imagen_atr])</f>
        <v>0</v>
      </c>
    </row>
    <row r="737" spans="1:18">
      <c r="A737">
        <v>736</v>
      </c>
      <c r="B737" t="s">
        <v>2488</v>
      </c>
      <c r="C737" t="s">
        <v>2489</v>
      </c>
      <c r="D737" t="s">
        <v>2490</v>
      </c>
      <c r="E737" t="s">
        <v>1236</v>
      </c>
      <c r="G737" t="str">
        <f>_xlfn.XLOOKUP(frasest[[#This Row],[autor_es]],autorest[autor_es],autorest[autor_la])</f>
        <v>Sententia Vasconica</v>
      </c>
      <c r="H737" t="str">
        <f>_xlfn.XLOOKUP(frasest[[#This Row],[autor_es]],autorest[autor_es],autorest[bio_es])</f>
        <v>Proverbios de la tradición oral vasca que reflejan la relación con la naturaleza, el trabajo y los valores comunitarios del pueblo vasco.</v>
      </c>
      <c r="I737" t="str">
        <f>_xlfn.XLOOKUP(frasest[[#This Row],[autor_es]],autorest[autor_es],autorest[bio_la])</f>
        <v>Collectio sententiarum Vasconicarum.</v>
      </c>
      <c r="J737" t="str">
        <f>_xlfn.XLOOKUP(frasest[[#This Row],[autor_es]],autorest[autor_es],autorest[codigo])</f>
        <v>eu</v>
      </c>
      <c r="K737" t="str">
        <f>_xlfn.XLOOKUP(frasest[[#This Row],[autor_es]],autorest[autor_es],autorest[idioma_es])</f>
        <v>Euskara</v>
      </c>
      <c r="L737" t="str">
        <f>_xlfn.XLOOKUP(frasest[[#This Row],[autor_es]],autorest[autor_es],autorest[idioma_la])</f>
        <v>Lingua Vasconica</v>
      </c>
      <c r="M737" t="str">
        <f>_xlfn.XLOOKUP(frasest[[#This Row],[autor_es]],autorest[autor_es],autorest[nacion_es])</f>
        <v>España</v>
      </c>
      <c r="N737" t="str">
        <f>_xlfn.XLOOKUP(frasest[[#This Row],[autor_es]],autorest[autor_es],autorest[nacion_la])</f>
        <v>Hispania</v>
      </c>
      <c r="O737" t="str">
        <f>_xlfn.XLOOKUP(frasest[[#This Row],[autor_es]],autorest[autor_es],autorest[epoca_es])</f>
        <v>Epoca Desconocida</v>
      </c>
      <c r="P737" t="str">
        <f>_xlfn.XLOOKUP(frasest[[#This Row],[autor_es]],autorest[autor_es],autorest[epoca_la])</f>
        <v>Epocha Ignota</v>
      </c>
      <c r="Q737" t="str">
        <f>_xlfn.XLOOKUP(frasest[[#This Row],[autor_es]],autorest[autor_es],autorest[imagen])</f>
        <v>https://i.ibb.co/bjgxB3kn/euskadi.png</v>
      </c>
      <c r="R737">
        <f>_xlfn.XLOOKUP(frasest[[#This Row],[autor_es]],autorest[autor_es],autorest[imagen_atr])</f>
        <v>0</v>
      </c>
    </row>
    <row r="738" spans="1:18">
      <c r="A738">
        <v>737</v>
      </c>
      <c r="B738" t="s">
        <v>2491</v>
      </c>
      <c r="C738" t="s">
        <v>2492</v>
      </c>
      <c r="D738" t="s">
        <v>2493</v>
      </c>
      <c r="E738" t="s">
        <v>1236</v>
      </c>
      <c r="G738" t="str">
        <f>_xlfn.XLOOKUP(frasest[[#This Row],[autor_es]],autorest[autor_es],autorest[autor_la])</f>
        <v>Sententia Vasconica</v>
      </c>
      <c r="H738" t="str">
        <f>_xlfn.XLOOKUP(frasest[[#This Row],[autor_es]],autorest[autor_es],autorest[bio_es])</f>
        <v>Proverbios de la tradición oral vasca que reflejan la relación con la naturaleza, el trabajo y los valores comunitarios del pueblo vasco.</v>
      </c>
      <c r="I738" t="str">
        <f>_xlfn.XLOOKUP(frasest[[#This Row],[autor_es]],autorest[autor_es],autorest[bio_la])</f>
        <v>Collectio sententiarum Vasconicarum.</v>
      </c>
      <c r="J738" t="str">
        <f>_xlfn.XLOOKUP(frasest[[#This Row],[autor_es]],autorest[autor_es],autorest[codigo])</f>
        <v>eu</v>
      </c>
      <c r="K738" t="str">
        <f>_xlfn.XLOOKUP(frasest[[#This Row],[autor_es]],autorest[autor_es],autorest[idioma_es])</f>
        <v>Euskara</v>
      </c>
      <c r="L738" t="str">
        <f>_xlfn.XLOOKUP(frasest[[#This Row],[autor_es]],autorest[autor_es],autorest[idioma_la])</f>
        <v>Lingua Vasconica</v>
      </c>
      <c r="M738" t="str">
        <f>_xlfn.XLOOKUP(frasest[[#This Row],[autor_es]],autorest[autor_es],autorest[nacion_es])</f>
        <v>España</v>
      </c>
      <c r="N738" t="str">
        <f>_xlfn.XLOOKUP(frasest[[#This Row],[autor_es]],autorest[autor_es],autorest[nacion_la])</f>
        <v>Hispania</v>
      </c>
      <c r="O738" t="str">
        <f>_xlfn.XLOOKUP(frasest[[#This Row],[autor_es]],autorest[autor_es],autorest[epoca_es])</f>
        <v>Epoca Desconocida</v>
      </c>
      <c r="P738" t="str">
        <f>_xlfn.XLOOKUP(frasest[[#This Row],[autor_es]],autorest[autor_es],autorest[epoca_la])</f>
        <v>Epocha Ignota</v>
      </c>
      <c r="Q738" t="str">
        <f>_xlfn.XLOOKUP(frasest[[#This Row],[autor_es]],autorest[autor_es],autorest[imagen])</f>
        <v>https://i.ibb.co/bjgxB3kn/euskadi.png</v>
      </c>
      <c r="R738">
        <f>_xlfn.XLOOKUP(frasest[[#This Row],[autor_es]],autorest[autor_es],autorest[imagen_atr])</f>
        <v>0</v>
      </c>
    </row>
    <row r="739" spans="1:18">
      <c r="A739">
        <v>738</v>
      </c>
      <c r="B739" t="s">
        <v>2494</v>
      </c>
      <c r="C739" t="s">
        <v>2495</v>
      </c>
      <c r="D739" t="s">
        <v>2496</v>
      </c>
      <c r="E739" t="s">
        <v>1236</v>
      </c>
      <c r="G739" t="str">
        <f>_xlfn.XLOOKUP(frasest[[#This Row],[autor_es]],autorest[autor_es],autorest[autor_la])</f>
        <v>Sententia Vasconica</v>
      </c>
      <c r="H739" t="str">
        <f>_xlfn.XLOOKUP(frasest[[#This Row],[autor_es]],autorest[autor_es],autorest[bio_es])</f>
        <v>Proverbios de la tradición oral vasca que reflejan la relación con la naturaleza, el trabajo y los valores comunitarios del pueblo vasco.</v>
      </c>
      <c r="I739" t="str">
        <f>_xlfn.XLOOKUP(frasest[[#This Row],[autor_es]],autorest[autor_es],autorest[bio_la])</f>
        <v>Collectio sententiarum Vasconicarum.</v>
      </c>
      <c r="J739" t="str">
        <f>_xlfn.XLOOKUP(frasest[[#This Row],[autor_es]],autorest[autor_es],autorest[codigo])</f>
        <v>eu</v>
      </c>
      <c r="K739" t="str">
        <f>_xlfn.XLOOKUP(frasest[[#This Row],[autor_es]],autorest[autor_es],autorest[idioma_es])</f>
        <v>Euskara</v>
      </c>
      <c r="L739" t="str">
        <f>_xlfn.XLOOKUP(frasest[[#This Row],[autor_es]],autorest[autor_es],autorest[idioma_la])</f>
        <v>Lingua Vasconica</v>
      </c>
      <c r="M739" t="str">
        <f>_xlfn.XLOOKUP(frasest[[#This Row],[autor_es]],autorest[autor_es],autorest[nacion_es])</f>
        <v>España</v>
      </c>
      <c r="N739" t="str">
        <f>_xlfn.XLOOKUP(frasest[[#This Row],[autor_es]],autorest[autor_es],autorest[nacion_la])</f>
        <v>Hispania</v>
      </c>
      <c r="O739" t="str">
        <f>_xlfn.XLOOKUP(frasest[[#This Row],[autor_es]],autorest[autor_es],autorest[epoca_es])</f>
        <v>Epoca Desconocida</v>
      </c>
      <c r="P739" t="str">
        <f>_xlfn.XLOOKUP(frasest[[#This Row],[autor_es]],autorest[autor_es],autorest[epoca_la])</f>
        <v>Epocha Ignota</v>
      </c>
      <c r="Q739" t="str">
        <f>_xlfn.XLOOKUP(frasest[[#This Row],[autor_es]],autorest[autor_es],autorest[imagen])</f>
        <v>https://i.ibb.co/bjgxB3kn/euskadi.png</v>
      </c>
      <c r="R739">
        <f>_xlfn.XLOOKUP(frasest[[#This Row],[autor_es]],autorest[autor_es],autorest[imagen_atr])</f>
        <v>0</v>
      </c>
    </row>
    <row r="740" spans="1:18">
      <c r="A740">
        <v>739</v>
      </c>
      <c r="B740" t="s">
        <v>2497</v>
      </c>
      <c r="C740" t="s">
        <v>2498</v>
      </c>
      <c r="D740" t="s">
        <v>2499</v>
      </c>
      <c r="E740" t="s">
        <v>1236</v>
      </c>
      <c r="G740" t="str">
        <f>_xlfn.XLOOKUP(frasest[[#This Row],[autor_es]],autorest[autor_es],autorest[autor_la])</f>
        <v>Sententia Vasconica</v>
      </c>
      <c r="H740" t="str">
        <f>_xlfn.XLOOKUP(frasest[[#This Row],[autor_es]],autorest[autor_es],autorest[bio_es])</f>
        <v>Proverbios de la tradición oral vasca que reflejan la relación con la naturaleza, el trabajo y los valores comunitarios del pueblo vasco.</v>
      </c>
      <c r="I740" t="str">
        <f>_xlfn.XLOOKUP(frasest[[#This Row],[autor_es]],autorest[autor_es],autorest[bio_la])</f>
        <v>Collectio sententiarum Vasconicarum.</v>
      </c>
      <c r="J740" t="str">
        <f>_xlfn.XLOOKUP(frasest[[#This Row],[autor_es]],autorest[autor_es],autorest[codigo])</f>
        <v>eu</v>
      </c>
      <c r="K740" t="str">
        <f>_xlfn.XLOOKUP(frasest[[#This Row],[autor_es]],autorest[autor_es],autorest[idioma_es])</f>
        <v>Euskara</v>
      </c>
      <c r="L740" t="str">
        <f>_xlfn.XLOOKUP(frasest[[#This Row],[autor_es]],autorest[autor_es],autorest[idioma_la])</f>
        <v>Lingua Vasconica</v>
      </c>
      <c r="M740" t="str">
        <f>_xlfn.XLOOKUP(frasest[[#This Row],[autor_es]],autorest[autor_es],autorest[nacion_es])</f>
        <v>España</v>
      </c>
      <c r="N740" t="str">
        <f>_xlfn.XLOOKUP(frasest[[#This Row],[autor_es]],autorest[autor_es],autorest[nacion_la])</f>
        <v>Hispania</v>
      </c>
      <c r="O740" t="str">
        <f>_xlfn.XLOOKUP(frasest[[#This Row],[autor_es]],autorest[autor_es],autorest[epoca_es])</f>
        <v>Epoca Desconocida</v>
      </c>
      <c r="P740" t="str">
        <f>_xlfn.XLOOKUP(frasest[[#This Row],[autor_es]],autorest[autor_es],autorest[epoca_la])</f>
        <v>Epocha Ignota</v>
      </c>
      <c r="Q740" t="str">
        <f>_xlfn.XLOOKUP(frasest[[#This Row],[autor_es]],autorest[autor_es],autorest[imagen])</f>
        <v>https://i.ibb.co/bjgxB3kn/euskadi.png</v>
      </c>
      <c r="R740">
        <f>_xlfn.XLOOKUP(frasest[[#This Row],[autor_es]],autorest[autor_es],autorest[imagen_atr])</f>
        <v>0</v>
      </c>
    </row>
    <row r="741" spans="1:18">
      <c r="A741">
        <v>740</v>
      </c>
      <c r="B741" t="s">
        <v>2500</v>
      </c>
      <c r="C741" t="s">
        <v>2501</v>
      </c>
      <c r="D741" t="s">
        <v>2502</v>
      </c>
      <c r="E741" t="s">
        <v>1236</v>
      </c>
      <c r="G741" t="str">
        <f>_xlfn.XLOOKUP(frasest[[#This Row],[autor_es]],autorest[autor_es],autorest[autor_la])</f>
        <v>Sententia Vasconica</v>
      </c>
      <c r="H741" t="str">
        <f>_xlfn.XLOOKUP(frasest[[#This Row],[autor_es]],autorest[autor_es],autorest[bio_es])</f>
        <v>Proverbios de la tradición oral vasca que reflejan la relación con la naturaleza, el trabajo y los valores comunitarios del pueblo vasco.</v>
      </c>
      <c r="I741" t="str">
        <f>_xlfn.XLOOKUP(frasest[[#This Row],[autor_es]],autorest[autor_es],autorest[bio_la])</f>
        <v>Collectio sententiarum Vasconicarum.</v>
      </c>
      <c r="J741" t="str">
        <f>_xlfn.XLOOKUP(frasest[[#This Row],[autor_es]],autorest[autor_es],autorest[codigo])</f>
        <v>eu</v>
      </c>
      <c r="K741" t="str">
        <f>_xlfn.XLOOKUP(frasest[[#This Row],[autor_es]],autorest[autor_es],autorest[idioma_es])</f>
        <v>Euskara</v>
      </c>
      <c r="L741" t="str">
        <f>_xlfn.XLOOKUP(frasest[[#This Row],[autor_es]],autorest[autor_es],autorest[idioma_la])</f>
        <v>Lingua Vasconica</v>
      </c>
      <c r="M741" t="str">
        <f>_xlfn.XLOOKUP(frasest[[#This Row],[autor_es]],autorest[autor_es],autorest[nacion_es])</f>
        <v>España</v>
      </c>
      <c r="N741" t="str">
        <f>_xlfn.XLOOKUP(frasest[[#This Row],[autor_es]],autorest[autor_es],autorest[nacion_la])</f>
        <v>Hispania</v>
      </c>
      <c r="O741" t="str">
        <f>_xlfn.XLOOKUP(frasest[[#This Row],[autor_es]],autorest[autor_es],autorest[epoca_es])</f>
        <v>Epoca Desconocida</v>
      </c>
      <c r="P741" t="str">
        <f>_xlfn.XLOOKUP(frasest[[#This Row],[autor_es]],autorest[autor_es],autorest[epoca_la])</f>
        <v>Epocha Ignota</v>
      </c>
      <c r="Q741" t="str">
        <f>_xlfn.XLOOKUP(frasest[[#This Row],[autor_es]],autorest[autor_es],autorest[imagen])</f>
        <v>https://i.ibb.co/bjgxB3kn/euskadi.png</v>
      </c>
      <c r="R741">
        <f>_xlfn.XLOOKUP(frasest[[#This Row],[autor_es]],autorest[autor_es],autorest[imagen_atr])</f>
        <v>0</v>
      </c>
    </row>
    <row r="742" spans="1:18">
      <c r="A742">
        <v>741</v>
      </c>
      <c r="B742" t="s">
        <v>2503</v>
      </c>
      <c r="C742" t="s">
        <v>2504</v>
      </c>
      <c r="D742" t="s">
        <v>2505</v>
      </c>
      <c r="E742" t="s">
        <v>1236</v>
      </c>
      <c r="G742" t="str">
        <f>_xlfn.XLOOKUP(frasest[[#This Row],[autor_es]],autorest[autor_es],autorest[autor_la])</f>
        <v>Sententia Vasconica</v>
      </c>
      <c r="H742" t="str">
        <f>_xlfn.XLOOKUP(frasest[[#This Row],[autor_es]],autorest[autor_es],autorest[bio_es])</f>
        <v>Proverbios de la tradición oral vasca que reflejan la relación con la naturaleza, el trabajo y los valores comunitarios del pueblo vasco.</v>
      </c>
      <c r="I742" t="str">
        <f>_xlfn.XLOOKUP(frasest[[#This Row],[autor_es]],autorest[autor_es],autorest[bio_la])</f>
        <v>Collectio sententiarum Vasconicarum.</v>
      </c>
      <c r="J742" t="str">
        <f>_xlfn.XLOOKUP(frasest[[#This Row],[autor_es]],autorest[autor_es],autorest[codigo])</f>
        <v>eu</v>
      </c>
      <c r="K742" t="str">
        <f>_xlfn.XLOOKUP(frasest[[#This Row],[autor_es]],autorest[autor_es],autorest[idioma_es])</f>
        <v>Euskara</v>
      </c>
      <c r="L742" t="str">
        <f>_xlfn.XLOOKUP(frasest[[#This Row],[autor_es]],autorest[autor_es],autorest[idioma_la])</f>
        <v>Lingua Vasconica</v>
      </c>
      <c r="M742" t="str">
        <f>_xlfn.XLOOKUP(frasest[[#This Row],[autor_es]],autorest[autor_es],autorest[nacion_es])</f>
        <v>España</v>
      </c>
      <c r="N742" t="str">
        <f>_xlfn.XLOOKUP(frasest[[#This Row],[autor_es]],autorest[autor_es],autorest[nacion_la])</f>
        <v>Hispania</v>
      </c>
      <c r="O742" t="str">
        <f>_xlfn.XLOOKUP(frasest[[#This Row],[autor_es]],autorest[autor_es],autorest[epoca_es])</f>
        <v>Epoca Desconocida</v>
      </c>
      <c r="P742" t="str">
        <f>_xlfn.XLOOKUP(frasest[[#This Row],[autor_es]],autorest[autor_es],autorest[epoca_la])</f>
        <v>Epocha Ignota</v>
      </c>
      <c r="Q742" t="str">
        <f>_xlfn.XLOOKUP(frasest[[#This Row],[autor_es]],autorest[autor_es],autorest[imagen])</f>
        <v>https://i.ibb.co/bjgxB3kn/euskadi.png</v>
      </c>
      <c r="R742">
        <f>_xlfn.XLOOKUP(frasest[[#This Row],[autor_es]],autorest[autor_es],autorest[imagen_atr])</f>
        <v>0</v>
      </c>
    </row>
    <row r="743" spans="1:18">
      <c r="A743">
        <v>742</v>
      </c>
      <c r="B743" t="s">
        <v>2506</v>
      </c>
      <c r="C743" t="s">
        <v>2507</v>
      </c>
      <c r="D743" t="s">
        <v>2508</v>
      </c>
      <c r="E743" t="s">
        <v>1236</v>
      </c>
      <c r="G743" t="str">
        <f>_xlfn.XLOOKUP(frasest[[#This Row],[autor_es]],autorest[autor_es],autorest[autor_la])</f>
        <v>Sententia Vasconica</v>
      </c>
      <c r="H743" t="str">
        <f>_xlfn.XLOOKUP(frasest[[#This Row],[autor_es]],autorest[autor_es],autorest[bio_es])</f>
        <v>Proverbios de la tradición oral vasca que reflejan la relación con la naturaleza, el trabajo y los valores comunitarios del pueblo vasco.</v>
      </c>
      <c r="I743" t="str">
        <f>_xlfn.XLOOKUP(frasest[[#This Row],[autor_es]],autorest[autor_es],autorest[bio_la])</f>
        <v>Collectio sententiarum Vasconicarum.</v>
      </c>
      <c r="J743" t="str">
        <f>_xlfn.XLOOKUP(frasest[[#This Row],[autor_es]],autorest[autor_es],autorest[codigo])</f>
        <v>eu</v>
      </c>
      <c r="K743" t="str">
        <f>_xlfn.XLOOKUP(frasest[[#This Row],[autor_es]],autorest[autor_es],autorest[idioma_es])</f>
        <v>Euskara</v>
      </c>
      <c r="L743" t="str">
        <f>_xlfn.XLOOKUP(frasest[[#This Row],[autor_es]],autorest[autor_es],autorest[idioma_la])</f>
        <v>Lingua Vasconica</v>
      </c>
      <c r="M743" t="str">
        <f>_xlfn.XLOOKUP(frasest[[#This Row],[autor_es]],autorest[autor_es],autorest[nacion_es])</f>
        <v>España</v>
      </c>
      <c r="N743" t="str">
        <f>_xlfn.XLOOKUP(frasest[[#This Row],[autor_es]],autorest[autor_es],autorest[nacion_la])</f>
        <v>Hispania</v>
      </c>
      <c r="O743" t="str">
        <f>_xlfn.XLOOKUP(frasest[[#This Row],[autor_es]],autorest[autor_es],autorest[epoca_es])</f>
        <v>Epoca Desconocida</v>
      </c>
      <c r="P743" t="str">
        <f>_xlfn.XLOOKUP(frasest[[#This Row],[autor_es]],autorest[autor_es],autorest[epoca_la])</f>
        <v>Epocha Ignota</v>
      </c>
      <c r="Q743" t="str">
        <f>_xlfn.XLOOKUP(frasest[[#This Row],[autor_es]],autorest[autor_es],autorest[imagen])</f>
        <v>https://i.ibb.co/bjgxB3kn/euskadi.png</v>
      </c>
      <c r="R743">
        <f>_xlfn.XLOOKUP(frasest[[#This Row],[autor_es]],autorest[autor_es],autorest[imagen_atr])</f>
        <v>0</v>
      </c>
    </row>
    <row r="744" spans="1:18">
      <c r="A744">
        <v>743</v>
      </c>
      <c r="B744" t="s">
        <v>2509</v>
      </c>
      <c r="C744" t="s">
        <v>2510</v>
      </c>
      <c r="D744" t="s">
        <v>2511</v>
      </c>
      <c r="E744" t="s">
        <v>1236</v>
      </c>
      <c r="G744" t="str">
        <f>_xlfn.XLOOKUP(frasest[[#This Row],[autor_es]],autorest[autor_es],autorest[autor_la])</f>
        <v>Sententia Vasconica</v>
      </c>
      <c r="H744" t="str">
        <f>_xlfn.XLOOKUP(frasest[[#This Row],[autor_es]],autorest[autor_es],autorest[bio_es])</f>
        <v>Proverbios de la tradición oral vasca que reflejan la relación con la naturaleza, el trabajo y los valores comunitarios del pueblo vasco.</v>
      </c>
      <c r="I744" t="str">
        <f>_xlfn.XLOOKUP(frasest[[#This Row],[autor_es]],autorest[autor_es],autorest[bio_la])</f>
        <v>Collectio sententiarum Vasconicarum.</v>
      </c>
      <c r="J744" t="str">
        <f>_xlfn.XLOOKUP(frasest[[#This Row],[autor_es]],autorest[autor_es],autorest[codigo])</f>
        <v>eu</v>
      </c>
      <c r="K744" t="str">
        <f>_xlfn.XLOOKUP(frasest[[#This Row],[autor_es]],autorest[autor_es],autorest[idioma_es])</f>
        <v>Euskara</v>
      </c>
      <c r="L744" t="str">
        <f>_xlfn.XLOOKUP(frasest[[#This Row],[autor_es]],autorest[autor_es],autorest[idioma_la])</f>
        <v>Lingua Vasconica</v>
      </c>
      <c r="M744" t="str">
        <f>_xlfn.XLOOKUP(frasest[[#This Row],[autor_es]],autorest[autor_es],autorest[nacion_es])</f>
        <v>España</v>
      </c>
      <c r="N744" t="str">
        <f>_xlfn.XLOOKUP(frasest[[#This Row],[autor_es]],autorest[autor_es],autorest[nacion_la])</f>
        <v>Hispania</v>
      </c>
      <c r="O744" t="str">
        <f>_xlfn.XLOOKUP(frasest[[#This Row],[autor_es]],autorest[autor_es],autorest[epoca_es])</f>
        <v>Epoca Desconocida</v>
      </c>
      <c r="P744" t="str">
        <f>_xlfn.XLOOKUP(frasest[[#This Row],[autor_es]],autorest[autor_es],autorest[epoca_la])</f>
        <v>Epocha Ignota</v>
      </c>
      <c r="Q744" t="str">
        <f>_xlfn.XLOOKUP(frasest[[#This Row],[autor_es]],autorest[autor_es],autorest[imagen])</f>
        <v>https://i.ibb.co/bjgxB3kn/euskadi.png</v>
      </c>
      <c r="R744">
        <f>_xlfn.XLOOKUP(frasest[[#This Row],[autor_es]],autorest[autor_es],autorest[imagen_atr])</f>
        <v>0</v>
      </c>
    </row>
    <row r="745" spans="1:18">
      <c r="A745">
        <v>744</v>
      </c>
      <c r="B745" t="s">
        <v>2512</v>
      </c>
      <c r="C745" t="s">
        <v>2513</v>
      </c>
      <c r="D745" t="s">
        <v>2514</v>
      </c>
      <c r="E745" t="s">
        <v>1236</v>
      </c>
      <c r="G745" t="str">
        <f>_xlfn.XLOOKUP(frasest[[#This Row],[autor_es]],autorest[autor_es],autorest[autor_la])</f>
        <v>Sententia Vasconica</v>
      </c>
      <c r="H745" t="str">
        <f>_xlfn.XLOOKUP(frasest[[#This Row],[autor_es]],autorest[autor_es],autorest[bio_es])</f>
        <v>Proverbios de la tradición oral vasca que reflejan la relación con la naturaleza, el trabajo y los valores comunitarios del pueblo vasco.</v>
      </c>
      <c r="I745" t="str">
        <f>_xlfn.XLOOKUP(frasest[[#This Row],[autor_es]],autorest[autor_es],autorest[bio_la])</f>
        <v>Collectio sententiarum Vasconicarum.</v>
      </c>
      <c r="J745" t="str">
        <f>_xlfn.XLOOKUP(frasest[[#This Row],[autor_es]],autorest[autor_es],autorest[codigo])</f>
        <v>eu</v>
      </c>
      <c r="K745" t="str">
        <f>_xlfn.XLOOKUP(frasest[[#This Row],[autor_es]],autorest[autor_es],autorest[idioma_es])</f>
        <v>Euskara</v>
      </c>
      <c r="L745" t="str">
        <f>_xlfn.XLOOKUP(frasest[[#This Row],[autor_es]],autorest[autor_es],autorest[idioma_la])</f>
        <v>Lingua Vasconica</v>
      </c>
      <c r="M745" t="str">
        <f>_xlfn.XLOOKUP(frasest[[#This Row],[autor_es]],autorest[autor_es],autorest[nacion_es])</f>
        <v>España</v>
      </c>
      <c r="N745" t="str">
        <f>_xlfn.XLOOKUP(frasest[[#This Row],[autor_es]],autorest[autor_es],autorest[nacion_la])</f>
        <v>Hispania</v>
      </c>
      <c r="O745" t="str">
        <f>_xlfn.XLOOKUP(frasest[[#This Row],[autor_es]],autorest[autor_es],autorest[epoca_es])</f>
        <v>Epoca Desconocida</v>
      </c>
      <c r="P745" t="str">
        <f>_xlfn.XLOOKUP(frasest[[#This Row],[autor_es]],autorest[autor_es],autorest[epoca_la])</f>
        <v>Epocha Ignota</v>
      </c>
      <c r="Q745" t="str">
        <f>_xlfn.XLOOKUP(frasest[[#This Row],[autor_es]],autorest[autor_es],autorest[imagen])</f>
        <v>https://i.ibb.co/bjgxB3kn/euskadi.png</v>
      </c>
      <c r="R745">
        <f>_xlfn.XLOOKUP(frasest[[#This Row],[autor_es]],autorest[autor_es],autorest[imagen_atr])</f>
        <v>0</v>
      </c>
    </row>
    <row r="746" spans="1:18">
      <c r="A746">
        <v>745</v>
      </c>
      <c r="B746" t="s">
        <v>2515</v>
      </c>
      <c r="C746" t="s">
        <v>2516</v>
      </c>
      <c r="D746" t="s">
        <v>2517</v>
      </c>
      <c r="E746" t="s">
        <v>1236</v>
      </c>
      <c r="G746" t="str">
        <f>_xlfn.XLOOKUP(frasest[[#This Row],[autor_es]],autorest[autor_es],autorest[autor_la])</f>
        <v>Sententia Vasconica</v>
      </c>
      <c r="H746" t="str">
        <f>_xlfn.XLOOKUP(frasest[[#This Row],[autor_es]],autorest[autor_es],autorest[bio_es])</f>
        <v>Proverbios de la tradición oral vasca que reflejan la relación con la naturaleza, el trabajo y los valores comunitarios del pueblo vasco.</v>
      </c>
      <c r="I746" t="str">
        <f>_xlfn.XLOOKUP(frasest[[#This Row],[autor_es]],autorest[autor_es],autorest[bio_la])</f>
        <v>Collectio sententiarum Vasconicarum.</v>
      </c>
      <c r="J746" t="str">
        <f>_xlfn.XLOOKUP(frasest[[#This Row],[autor_es]],autorest[autor_es],autorest[codigo])</f>
        <v>eu</v>
      </c>
      <c r="K746" t="str">
        <f>_xlfn.XLOOKUP(frasest[[#This Row],[autor_es]],autorest[autor_es],autorest[idioma_es])</f>
        <v>Euskara</v>
      </c>
      <c r="L746" t="str">
        <f>_xlfn.XLOOKUP(frasest[[#This Row],[autor_es]],autorest[autor_es],autorest[idioma_la])</f>
        <v>Lingua Vasconica</v>
      </c>
      <c r="M746" t="str">
        <f>_xlfn.XLOOKUP(frasest[[#This Row],[autor_es]],autorest[autor_es],autorest[nacion_es])</f>
        <v>España</v>
      </c>
      <c r="N746" t="str">
        <f>_xlfn.XLOOKUP(frasest[[#This Row],[autor_es]],autorest[autor_es],autorest[nacion_la])</f>
        <v>Hispania</v>
      </c>
      <c r="O746" t="str">
        <f>_xlfn.XLOOKUP(frasest[[#This Row],[autor_es]],autorest[autor_es],autorest[epoca_es])</f>
        <v>Epoca Desconocida</v>
      </c>
      <c r="P746" t="str">
        <f>_xlfn.XLOOKUP(frasest[[#This Row],[autor_es]],autorest[autor_es],autorest[epoca_la])</f>
        <v>Epocha Ignota</v>
      </c>
      <c r="Q746" t="str">
        <f>_xlfn.XLOOKUP(frasest[[#This Row],[autor_es]],autorest[autor_es],autorest[imagen])</f>
        <v>https://i.ibb.co/bjgxB3kn/euskadi.png</v>
      </c>
      <c r="R746">
        <f>_xlfn.XLOOKUP(frasest[[#This Row],[autor_es]],autorest[autor_es],autorest[imagen_atr])</f>
        <v>0</v>
      </c>
    </row>
    <row r="747" spans="1:18">
      <c r="A747">
        <v>746</v>
      </c>
      <c r="B747" t="s">
        <v>2518</v>
      </c>
      <c r="C747" t="s">
        <v>2519</v>
      </c>
      <c r="D747" t="s">
        <v>2520</v>
      </c>
      <c r="E747" t="s">
        <v>1236</v>
      </c>
      <c r="G747" t="str">
        <f>_xlfn.XLOOKUP(frasest[[#This Row],[autor_es]],autorest[autor_es],autorest[autor_la])</f>
        <v>Sententia Vasconica</v>
      </c>
      <c r="H747" t="str">
        <f>_xlfn.XLOOKUP(frasest[[#This Row],[autor_es]],autorest[autor_es],autorest[bio_es])</f>
        <v>Proverbios de la tradición oral vasca que reflejan la relación con la naturaleza, el trabajo y los valores comunitarios del pueblo vasco.</v>
      </c>
      <c r="I747" t="str">
        <f>_xlfn.XLOOKUP(frasest[[#This Row],[autor_es]],autorest[autor_es],autorest[bio_la])</f>
        <v>Collectio sententiarum Vasconicarum.</v>
      </c>
      <c r="J747" t="str">
        <f>_xlfn.XLOOKUP(frasest[[#This Row],[autor_es]],autorest[autor_es],autorest[codigo])</f>
        <v>eu</v>
      </c>
      <c r="K747" t="str">
        <f>_xlfn.XLOOKUP(frasest[[#This Row],[autor_es]],autorest[autor_es],autorest[idioma_es])</f>
        <v>Euskara</v>
      </c>
      <c r="L747" t="str">
        <f>_xlfn.XLOOKUP(frasest[[#This Row],[autor_es]],autorest[autor_es],autorest[idioma_la])</f>
        <v>Lingua Vasconica</v>
      </c>
      <c r="M747" t="str">
        <f>_xlfn.XLOOKUP(frasest[[#This Row],[autor_es]],autorest[autor_es],autorest[nacion_es])</f>
        <v>España</v>
      </c>
      <c r="N747" t="str">
        <f>_xlfn.XLOOKUP(frasest[[#This Row],[autor_es]],autorest[autor_es],autorest[nacion_la])</f>
        <v>Hispania</v>
      </c>
      <c r="O747" t="str">
        <f>_xlfn.XLOOKUP(frasest[[#This Row],[autor_es]],autorest[autor_es],autorest[epoca_es])</f>
        <v>Epoca Desconocida</v>
      </c>
      <c r="P747" t="str">
        <f>_xlfn.XLOOKUP(frasest[[#This Row],[autor_es]],autorest[autor_es],autorest[epoca_la])</f>
        <v>Epocha Ignota</v>
      </c>
      <c r="Q747" t="str">
        <f>_xlfn.XLOOKUP(frasest[[#This Row],[autor_es]],autorest[autor_es],autorest[imagen])</f>
        <v>https://i.ibb.co/bjgxB3kn/euskadi.png</v>
      </c>
      <c r="R747">
        <f>_xlfn.XLOOKUP(frasest[[#This Row],[autor_es]],autorest[autor_es],autorest[imagen_atr])</f>
        <v>0</v>
      </c>
    </row>
    <row r="748" spans="1:18">
      <c r="A748">
        <v>747</v>
      </c>
      <c r="B748" t="s">
        <v>2521</v>
      </c>
      <c r="C748" t="s">
        <v>2522</v>
      </c>
      <c r="D748" t="s">
        <v>2523</v>
      </c>
      <c r="E748" t="s">
        <v>1236</v>
      </c>
      <c r="G748" t="str">
        <f>_xlfn.XLOOKUP(frasest[[#This Row],[autor_es]],autorest[autor_es],autorest[autor_la])</f>
        <v>Sententia Vasconica</v>
      </c>
      <c r="H748" t="str">
        <f>_xlfn.XLOOKUP(frasest[[#This Row],[autor_es]],autorest[autor_es],autorest[bio_es])</f>
        <v>Proverbios de la tradición oral vasca que reflejan la relación con la naturaleza, el trabajo y los valores comunitarios del pueblo vasco.</v>
      </c>
      <c r="I748" t="str">
        <f>_xlfn.XLOOKUP(frasest[[#This Row],[autor_es]],autorest[autor_es],autorest[bio_la])</f>
        <v>Collectio sententiarum Vasconicarum.</v>
      </c>
      <c r="J748" t="str">
        <f>_xlfn.XLOOKUP(frasest[[#This Row],[autor_es]],autorest[autor_es],autorest[codigo])</f>
        <v>eu</v>
      </c>
      <c r="K748" t="str">
        <f>_xlfn.XLOOKUP(frasest[[#This Row],[autor_es]],autorest[autor_es],autorest[idioma_es])</f>
        <v>Euskara</v>
      </c>
      <c r="L748" t="str">
        <f>_xlfn.XLOOKUP(frasest[[#This Row],[autor_es]],autorest[autor_es],autorest[idioma_la])</f>
        <v>Lingua Vasconica</v>
      </c>
      <c r="M748" t="str">
        <f>_xlfn.XLOOKUP(frasest[[#This Row],[autor_es]],autorest[autor_es],autorest[nacion_es])</f>
        <v>España</v>
      </c>
      <c r="N748" t="str">
        <f>_xlfn.XLOOKUP(frasest[[#This Row],[autor_es]],autorest[autor_es],autorest[nacion_la])</f>
        <v>Hispania</v>
      </c>
      <c r="O748" t="str">
        <f>_xlfn.XLOOKUP(frasest[[#This Row],[autor_es]],autorest[autor_es],autorest[epoca_es])</f>
        <v>Epoca Desconocida</v>
      </c>
      <c r="P748" t="str">
        <f>_xlfn.XLOOKUP(frasest[[#This Row],[autor_es]],autorest[autor_es],autorest[epoca_la])</f>
        <v>Epocha Ignota</v>
      </c>
      <c r="Q748" t="str">
        <f>_xlfn.XLOOKUP(frasest[[#This Row],[autor_es]],autorest[autor_es],autorest[imagen])</f>
        <v>https://i.ibb.co/bjgxB3kn/euskadi.png</v>
      </c>
      <c r="R748">
        <f>_xlfn.XLOOKUP(frasest[[#This Row],[autor_es]],autorest[autor_es],autorest[imagen_atr])</f>
        <v>0</v>
      </c>
    </row>
    <row r="749" spans="1:18">
      <c r="A749">
        <v>748</v>
      </c>
      <c r="B749" t="s">
        <v>2524</v>
      </c>
      <c r="C749" t="s">
        <v>2525</v>
      </c>
      <c r="D749" t="s">
        <v>2526</v>
      </c>
      <c r="E749" t="s">
        <v>1236</v>
      </c>
      <c r="G749" t="str">
        <f>_xlfn.XLOOKUP(frasest[[#This Row],[autor_es]],autorest[autor_es],autorest[autor_la])</f>
        <v>Sententia Vasconica</v>
      </c>
      <c r="H749" t="str">
        <f>_xlfn.XLOOKUP(frasest[[#This Row],[autor_es]],autorest[autor_es],autorest[bio_es])</f>
        <v>Proverbios de la tradición oral vasca que reflejan la relación con la naturaleza, el trabajo y los valores comunitarios del pueblo vasco.</v>
      </c>
      <c r="I749" t="str">
        <f>_xlfn.XLOOKUP(frasest[[#This Row],[autor_es]],autorest[autor_es],autorest[bio_la])</f>
        <v>Collectio sententiarum Vasconicarum.</v>
      </c>
      <c r="J749" t="str">
        <f>_xlfn.XLOOKUP(frasest[[#This Row],[autor_es]],autorest[autor_es],autorest[codigo])</f>
        <v>eu</v>
      </c>
      <c r="K749" t="str">
        <f>_xlfn.XLOOKUP(frasest[[#This Row],[autor_es]],autorest[autor_es],autorest[idioma_es])</f>
        <v>Euskara</v>
      </c>
      <c r="L749" t="str">
        <f>_xlfn.XLOOKUP(frasest[[#This Row],[autor_es]],autorest[autor_es],autorest[idioma_la])</f>
        <v>Lingua Vasconica</v>
      </c>
      <c r="M749" t="str">
        <f>_xlfn.XLOOKUP(frasest[[#This Row],[autor_es]],autorest[autor_es],autorest[nacion_es])</f>
        <v>España</v>
      </c>
      <c r="N749" t="str">
        <f>_xlfn.XLOOKUP(frasest[[#This Row],[autor_es]],autorest[autor_es],autorest[nacion_la])</f>
        <v>Hispania</v>
      </c>
      <c r="O749" t="str">
        <f>_xlfn.XLOOKUP(frasest[[#This Row],[autor_es]],autorest[autor_es],autorest[epoca_es])</f>
        <v>Epoca Desconocida</v>
      </c>
      <c r="P749" t="str">
        <f>_xlfn.XLOOKUP(frasest[[#This Row],[autor_es]],autorest[autor_es],autorest[epoca_la])</f>
        <v>Epocha Ignota</v>
      </c>
      <c r="Q749" t="str">
        <f>_xlfn.XLOOKUP(frasest[[#This Row],[autor_es]],autorest[autor_es],autorest[imagen])</f>
        <v>https://i.ibb.co/bjgxB3kn/euskadi.png</v>
      </c>
      <c r="R749">
        <f>_xlfn.XLOOKUP(frasest[[#This Row],[autor_es]],autorest[autor_es],autorest[imagen_atr])</f>
        <v>0</v>
      </c>
    </row>
    <row r="750" spans="1:18">
      <c r="A750">
        <v>749</v>
      </c>
      <c r="B750" t="s">
        <v>2527</v>
      </c>
      <c r="C750" t="s">
        <v>2528</v>
      </c>
      <c r="D750" t="s">
        <v>2529</v>
      </c>
      <c r="E750" t="s">
        <v>1236</v>
      </c>
      <c r="G750" t="str">
        <f>_xlfn.XLOOKUP(frasest[[#This Row],[autor_es]],autorest[autor_es],autorest[autor_la])</f>
        <v>Sententia Vasconica</v>
      </c>
      <c r="H750" t="str">
        <f>_xlfn.XLOOKUP(frasest[[#This Row],[autor_es]],autorest[autor_es],autorest[bio_es])</f>
        <v>Proverbios de la tradición oral vasca que reflejan la relación con la naturaleza, el trabajo y los valores comunitarios del pueblo vasco.</v>
      </c>
      <c r="I750" t="str">
        <f>_xlfn.XLOOKUP(frasest[[#This Row],[autor_es]],autorest[autor_es],autorest[bio_la])</f>
        <v>Collectio sententiarum Vasconicarum.</v>
      </c>
      <c r="J750" t="str">
        <f>_xlfn.XLOOKUP(frasest[[#This Row],[autor_es]],autorest[autor_es],autorest[codigo])</f>
        <v>eu</v>
      </c>
      <c r="K750" t="str">
        <f>_xlfn.XLOOKUP(frasest[[#This Row],[autor_es]],autorest[autor_es],autorest[idioma_es])</f>
        <v>Euskara</v>
      </c>
      <c r="L750" t="str">
        <f>_xlfn.XLOOKUP(frasest[[#This Row],[autor_es]],autorest[autor_es],autorest[idioma_la])</f>
        <v>Lingua Vasconica</v>
      </c>
      <c r="M750" t="str">
        <f>_xlfn.XLOOKUP(frasest[[#This Row],[autor_es]],autorest[autor_es],autorest[nacion_es])</f>
        <v>España</v>
      </c>
      <c r="N750" t="str">
        <f>_xlfn.XLOOKUP(frasest[[#This Row],[autor_es]],autorest[autor_es],autorest[nacion_la])</f>
        <v>Hispania</v>
      </c>
      <c r="O750" t="str">
        <f>_xlfn.XLOOKUP(frasest[[#This Row],[autor_es]],autorest[autor_es],autorest[epoca_es])</f>
        <v>Epoca Desconocida</v>
      </c>
      <c r="P750" t="str">
        <f>_xlfn.XLOOKUP(frasest[[#This Row],[autor_es]],autorest[autor_es],autorest[epoca_la])</f>
        <v>Epocha Ignota</v>
      </c>
      <c r="Q750" t="str">
        <f>_xlfn.XLOOKUP(frasest[[#This Row],[autor_es]],autorest[autor_es],autorest[imagen])</f>
        <v>https://i.ibb.co/bjgxB3kn/euskadi.png</v>
      </c>
      <c r="R750">
        <f>_xlfn.XLOOKUP(frasest[[#This Row],[autor_es]],autorest[autor_es],autorest[imagen_atr])</f>
        <v>0</v>
      </c>
    </row>
    <row r="751" spans="1:18">
      <c r="A751">
        <v>750</v>
      </c>
      <c r="B751" t="s">
        <v>2530</v>
      </c>
      <c r="C751" t="s">
        <v>2531</v>
      </c>
      <c r="D751" t="s">
        <v>2532</v>
      </c>
      <c r="E751" t="s">
        <v>1236</v>
      </c>
      <c r="G751" t="str">
        <f>_xlfn.XLOOKUP(frasest[[#This Row],[autor_es]],autorest[autor_es],autorest[autor_la])</f>
        <v>Sententia Vasconica</v>
      </c>
      <c r="H751" t="str">
        <f>_xlfn.XLOOKUP(frasest[[#This Row],[autor_es]],autorest[autor_es],autorest[bio_es])</f>
        <v>Proverbios de la tradición oral vasca que reflejan la relación con la naturaleza, el trabajo y los valores comunitarios del pueblo vasco.</v>
      </c>
      <c r="I751" t="str">
        <f>_xlfn.XLOOKUP(frasest[[#This Row],[autor_es]],autorest[autor_es],autorest[bio_la])</f>
        <v>Collectio sententiarum Vasconicarum.</v>
      </c>
      <c r="J751" t="str">
        <f>_xlfn.XLOOKUP(frasest[[#This Row],[autor_es]],autorest[autor_es],autorest[codigo])</f>
        <v>eu</v>
      </c>
      <c r="K751" t="str">
        <f>_xlfn.XLOOKUP(frasest[[#This Row],[autor_es]],autorest[autor_es],autorest[idioma_es])</f>
        <v>Euskara</v>
      </c>
      <c r="L751" t="str">
        <f>_xlfn.XLOOKUP(frasest[[#This Row],[autor_es]],autorest[autor_es],autorest[idioma_la])</f>
        <v>Lingua Vasconica</v>
      </c>
      <c r="M751" t="str">
        <f>_xlfn.XLOOKUP(frasest[[#This Row],[autor_es]],autorest[autor_es],autorest[nacion_es])</f>
        <v>España</v>
      </c>
      <c r="N751" t="str">
        <f>_xlfn.XLOOKUP(frasest[[#This Row],[autor_es]],autorest[autor_es],autorest[nacion_la])</f>
        <v>Hispania</v>
      </c>
      <c r="O751" t="str">
        <f>_xlfn.XLOOKUP(frasest[[#This Row],[autor_es]],autorest[autor_es],autorest[epoca_es])</f>
        <v>Epoca Desconocida</v>
      </c>
      <c r="P751" t="str">
        <f>_xlfn.XLOOKUP(frasest[[#This Row],[autor_es]],autorest[autor_es],autorest[epoca_la])</f>
        <v>Epocha Ignota</v>
      </c>
      <c r="Q751" t="str">
        <f>_xlfn.XLOOKUP(frasest[[#This Row],[autor_es]],autorest[autor_es],autorest[imagen])</f>
        <v>https://i.ibb.co/bjgxB3kn/euskadi.png</v>
      </c>
      <c r="R751">
        <f>_xlfn.XLOOKUP(frasest[[#This Row],[autor_es]],autorest[autor_es],autorest[imagen_atr])</f>
        <v>0</v>
      </c>
    </row>
    <row r="752" spans="1:18">
      <c r="A752">
        <v>751</v>
      </c>
      <c r="B752" t="s">
        <v>2533</v>
      </c>
      <c r="C752" t="s">
        <v>2534</v>
      </c>
      <c r="D752" t="s">
        <v>2535</v>
      </c>
      <c r="E752" t="s">
        <v>1236</v>
      </c>
      <c r="G752" t="str">
        <f>_xlfn.XLOOKUP(frasest[[#This Row],[autor_es]],autorest[autor_es],autorest[autor_la])</f>
        <v>Sententia Vasconica</v>
      </c>
      <c r="H752" t="str">
        <f>_xlfn.XLOOKUP(frasest[[#This Row],[autor_es]],autorest[autor_es],autorest[bio_es])</f>
        <v>Proverbios de la tradición oral vasca que reflejan la relación con la naturaleza, el trabajo y los valores comunitarios del pueblo vasco.</v>
      </c>
      <c r="I752" t="str">
        <f>_xlfn.XLOOKUP(frasest[[#This Row],[autor_es]],autorest[autor_es],autorest[bio_la])</f>
        <v>Collectio sententiarum Vasconicarum.</v>
      </c>
      <c r="J752" t="str">
        <f>_xlfn.XLOOKUP(frasest[[#This Row],[autor_es]],autorest[autor_es],autorest[codigo])</f>
        <v>eu</v>
      </c>
      <c r="K752" t="str">
        <f>_xlfn.XLOOKUP(frasest[[#This Row],[autor_es]],autorest[autor_es],autorest[idioma_es])</f>
        <v>Euskara</v>
      </c>
      <c r="L752" t="str">
        <f>_xlfn.XLOOKUP(frasest[[#This Row],[autor_es]],autorest[autor_es],autorest[idioma_la])</f>
        <v>Lingua Vasconica</v>
      </c>
      <c r="M752" t="str">
        <f>_xlfn.XLOOKUP(frasest[[#This Row],[autor_es]],autorest[autor_es],autorest[nacion_es])</f>
        <v>España</v>
      </c>
      <c r="N752" t="str">
        <f>_xlfn.XLOOKUP(frasest[[#This Row],[autor_es]],autorest[autor_es],autorest[nacion_la])</f>
        <v>Hispania</v>
      </c>
      <c r="O752" t="str">
        <f>_xlfn.XLOOKUP(frasest[[#This Row],[autor_es]],autorest[autor_es],autorest[epoca_es])</f>
        <v>Epoca Desconocida</v>
      </c>
      <c r="P752" t="str">
        <f>_xlfn.XLOOKUP(frasest[[#This Row],[autor_es]],autorest[autor_es],autorest[epoca_la])</f>
        <v>Epocha Ignota</v>
      </c>
      <c r="Q752" t="str">
        <f>_xlfn.XLOOKUP(frasest[[#This Row],[autor_es]],autorest[autor_es],autorest[imagen])</f>
        <v>https://i.ibb.co/bjgxB3kn/euskadi.png</v>
      </c>
      <c r="R752">
        <f>_xlfn.XLOOKUP(frasest[[#This Row],[autor_es]],autorest[autor_es],autorest[imagen_atr])</f>
        <v>0</v>
      </c>
    </row>
    <row r="753" spans="1:18">
      <c r="A753">
        <v>752</v>
      </c>
      <c r="B753" t="s">
        <v>2536</v>
      </c>
      <c r="C753" t="s">
        <v>2537</v>
      </c>
      <c r="D753" t="s">
        <v>2538</v>
      </c>
      <c r="E753" t="s">
        <v>1236</v>
      </c>
      <c r="G753" t="str">
        <f>_xlfn.XLOOKUP(frasest[[#This Row],[autor_es]],autorest[autor_es],autorest[autor_la])</f>
        <v>Sententia Vasconica</v>
      </c>
      <c r="H753" t="str">
        <f>_xlfn.XLOOKUP(frasest[[#This Row],[autor_es]],autorest[autor_es],autorest[bio_es])</f>
        <v>Proverbios de la tradición oral vasca que reflejan la relación con la naturaleza, el trabajo y los valores comunitarios del pueblo vasco.</v>
      </c>
      <c r="I753" t="str">
        <f>_xlfn.XLOOKUP(frasest[[#This Row],[autor_es]],autorest[autor_es],autorest[bio_la])</f>
        <v>Collectio sententiarum Vasconicarum.</v>
      </c>
      <c r="J753" t="str">
        <f>_xlfn.XLOOKUP(frasest[[#This Row],[autor_es]],autorest[autor_es],autorest[codigo])</f>
        <v>eu</v>
      </c>
      <c r="K753" t="str">
        <f>_xlfn.XLOOKUP(frasest[[#This Row],[autor_es]],autorest[autor_es],autorest[idioma_es])</f>
        <v>Euskara</v>
      </c>
      <c r="L753" t="str">
        <f>_xlfn.XLOOKUP(frasest[[#This Row],[autor_es]],autorest[autor_es],autorest[idioma_la])</f>
        <v>Lingua Vasconica</v>
      </c>
      <c r="M753" t="str">
        <f>_xlfn.XLOOKUP(frasest[[#This Row],[autor_es]],autorest[autor_es],autorest[nacion_es])</f>
        <v>España</v>
      </c>
      <c r="N753" t="str">
        <f>_xlfn.XLOOKUP(frasest[[#This Row],[autor_es]],autorest[autor_es],autorest[nacion_la])</f>
        <v>Hispania</v>
      </c>
      <c r="O753" t="str">
        <f>_xlfn.XLOOKUP(frasest[[#This Row],[autor_es]],autorest[autor_es],autorest[epoca_es])</f>
        <v>Epoca Desconocida</v>
      </c>
      <c r="P753" t="str">
        <f>_xlfn.XLOOKUP(frasest[[#This Row],[autor_es]],autorest[autor_es],autorest[epoca_la])</f>
        <v>Epocha Ignota</v>
      </c>
      <c r="Q753" t="str">
        <f>_xlfn.XLOOKUP(frasest[[#This Row],[autor_es]],autorest[autor_es],autorest[imagen])</f>
        <v>https://i.ibb.co/bjgxB3kn/euskadi.png</v>
      </c>
      <c r="R753">
        <f>_xlfn.XLOOKUP(frasest[[#This Row],[autor_es]],autorest[autor_es],autorest[imagen_atr])</f>
        <v>0</v>
      </c>
    </row>
    <row r="754" spans="1:18">
      <c r="A754">
        <v>753</v>
      </c>
      <c r="B754" t="s">
        <v>2539</v>
      </c>
      <c r="C754" t="s">
        <v>2540</v>
      </c>
      <c r="D754" t="s">
        <v>2541</v>
      </c>
      <c r="E754" t="s">
        <v>1236</v>
      </c>
      <c r="G754" t="str">
        <f>_xlfn.XLOOKUP(frasest[[#This Row],[autor_es]],autorest[autor_es],autorest[autor_la])</f>
        <v>Sententia Vasconica</v>
      </c>
      <c r="H754" t="str">
        <f>_xlfn.XLOOKUP(frasest[[#This Row],[autor_es]],autorest[autor_es],autorest[bio_es])</f>
        <v>Proverbios de la tradición oral vasca que reflejan la relación con la naturaleza, el trabajo y los valores comunitarios del pueblo vasco.</v>
      </c>
      <c r="I754" t="str">
        <f>_xlfn.XLOOKUP(frasest[[#This Row],[autor_es]],autorest[autor_es],autorest[bio_la])</f>
        <v>Collectio sententiarum Vasconicarum.</v>
      </c>
      <c r="J754" t="str">
        <f>_xlfn.XLOOKUP(frasest[[#This Row],[autor_es]],autorest[autor_es],autorest[codigo])</f>
        <v>eu</v>
      </c>
      <c r="K754" t="str">
        <f>_xlfn.XLOOKUP(frasest[[#This Row],[autor_es]],autorest[autor_es],autorest[idioma_es])</f>
        <v>Euskara</v>
      </c>
      <c r="L754" t="str">
        <f>_xlfn.XLOOKUP(frasest[[#This Row],[autor_es]],autorest[autor_es],autorest[idioma_la])</f>
        <v>Lingua Vasconica</v>
      </c>
      <c r="M754" t="str">
        <f>_xlfn.XLOOKUP(frasest[[#This Row],[autor_es]],autorest[autor_es],autorest[nacion_es])</f>
        <v>España</v>
      </c>
      <c r="N754" t="str">
        <f>_xlfn.XLOOKUP(frasest[[#This Row],[autor_es]],autorest[autor_es],autorest[nacion_la])</f>
        <v>Hispania</v>
      </c>
      <c r="O754" t="str">
        <f>_xlfn.XLOOKUP(frasest[[#This Row],[autor_es]],autorest[autor_es],autorest[epoca_es])</f>
        <v>Epoca Desconocida</v>
      </c>
      <c r="P754" t="str">
        <f>_xlfn.XLOOKUP(frasest[[#This Row],[autor_es]],autorest[autor_es],autorest[epoca_la])</f>
        <v>Epocha Ignota</v>
      </c>
      <c r="Q754" t="str">
        <f>_xlfn.XLOOKUP(frasest[[#This Row],[autor_es]],autorest[autor_es],autorest[imagen])</f>
        <v>https://i.ibb.co/bjgxB3kn/euskadi.png</v>
      </c>
      <c r="R754">
        <f>_xlfn.XLOOKUP(frasest[[#This Row],[autor_es]],autorest[autor_es],autorest[imagen_atr])</f>
        <v>0</v>
      </c>
    </row>
    <row r="755" spans="1:18">
      <c r="A755">
        <v>754</v>
      </c>
      <c r="B755" t="s">
        <v>2542</v>
      </c>
      <c r="C755" t="s">
        <v>2543</v>
      </c>
      <c r="D755" t="s">
        <v>2544</v>
      </c>
      <c r="E755" t="s">
        <v>1236</v>
      </c>
      <c r="G755" t="str">
        <f>_xlfn.XLOOKUP(frasest[[#This Row],[autor_es]],autorest[autor_es],autorest[autor_la])</f>
        <v>Sententia Vasconica</v>
      </c>
      <c r="H755" t="str">
        <f>_xlfn.XLOOKUP(frasest[[#This Row],[autor_es]],autorest[autor_es],autorest[bio_es])</f>
        <v>Proverbios de la tradición oral vasca que reflejan la relación con la naturaleza, el trabajo y los valores comunitarios del pueblo vasco.</v>
      </c>
      <c r="I755" t="str">
        <f>_xlfn.XLOOKUP(frasest[[#This Row],[autor_es]],autorest[autor_es],autorest[bio_la])</f>
        <v>Collectio sententiarum Vasconicarum.</v>
      </c>
      <c r="J755" t="str">
        <f>_xlfn.XLOOKUP(frasest[[#This Row],[autor_es]],autorest[autor_es],autorest[codigo])</f>
        <v>eu</v>
      </c>
      <c r="K755" t="str">
        <f>_xlfn.XLOOKUP(frasest[[#This Row],[autor_es]],autorest[autor_es],autorest[idioma_es])</f>
        <v>Euskara</v>
      </c>
      <c r="L755" t="str">
        <f>_xlfn.XLOOKUP(frasest[[#This Row],[autor_es]],autorest[autor_es],autorest[idioma_la])</f>
        <v>Lingua Vasconica</v>
      </c>
      <c r="M755" t="str">
        <f>_xlfn.XLOOKUP(frasest[[#This Row],[autor_es]],autorest[autor_es],autorest[nacion_es])</f>
        <v>España</v>
      </c>
      <c r="N755" t="str">
        <f>_xlfn.XLOOKUP(frasest[[#This Row],[autor_es]],autorest[autor_es],autorest[nacion_la])</f>
        <v>Hispania</v>
      </c>
      <c r="O755" t="str">
        <f>_xlfn.XLOOKUP(frasest[[#This Row],[autor_es]],autorest[autor_es],autorest[epoca_es])</f>
        <v>Epoca Desconocida</v>
      </c>
      <c r="P755" t="str">
        <f>_xlfn.XLOOKUP(frasest[[#This Row],[autor_es]],autorest[autor_es],autorest[epoca_la])</f>
        <v>Epocha Ignota</v>
      </c>
      <c r="Q755" t="str">
        <f>_xlfn.XLOOKUP(frasest[[#This Row],[autor_es]],autorest[autor_es],autorest[imagen])</f>
        <v>https://i.ibb.co/bjgxB3kn/euskadi.png</v>
      </c>
      <c r="R755">
        <f>_xlfn.XLOOKUP(frasest[[#This Row],[autor_es]],autorest[autor_es],autorest[imagen_atr])</f>
        <v>0</v>
      </c>
    </row>
    <row r="756" spans="1:18">
      <c r="A756">
        <v>755</v>
      </c>
      <c r="B756" t="s">
        <v>2545</v>
      </c>
      <c r="C756" t="s">
        <v>2546</v>
      </c>
      <c r="D756" t="s">
        <v>2547</v>
      </c>
      <c r="E756" t="s">
        <v>1236</v>
      </c>
      <c r="G756" t="str">
        <f>_xlfn.XLOOKUP(frasest[[#This Row],[autor_es]],autorest[autor_es],autorest[autor_la])</f>
        <v>Sententia Vasconica</v>
      </c>
      <c r="H756" t="str">
        <f>_xlfn.XLOOKUP(frasest[[#This Row],[autor_es]],autorest[autor_es],autorest[bio_es])</f>
        <v>Proverbios de la tradición oral vasca que reflejan la relación con la naturaleza, el trabajo y los valores comunitarios del pueblo vasco.</v>
      </c>
      <c r="I756" t="str">
        <f>_xlfn.XLOOKUP(frasest[[#This Row],[autor_es]],autorest[autor_es],autorest[bio_la])</f>
        <v>Collectio sententiarum Vasconicarum.</v>
      </c>
      <c r="J756" t="str">
        <f>_xlfn.XLOOKUP(frasest[[#This Row],[autor_es]],autorest[autor_es],autorest[codigo])</f>
        <v>eu</v>
      </c>
      <c r="K756" t="str">
        <f>_xlfn.XLOOKUP(frasest[[#This Row],[autor_es]],autorest[autor_es],autorest[idioma_es])</f>
        <v>Euskara</v>
      </c>
      <c r="L756" t="str">
        <f>_xlfn.XLOOKUP(frasest[[#This Row],[autor_es]],autorest[autor_es],autorest[idioma_la])</f>
        <v>Lingua Vasconica</v>
      </c>
      <c r="M756" t="str">
        <f>_xlfn.XLOOKUP(frasest[[#This Row],[autor_es]],autorest[autor_es],autorest[nacion_es])</f>
        <v>España</v>
      </c>
      <c r="N756" t="str">
        <f>_xlfn.XLOOKUP(frasest[[#This Row],[autor_es]],autorest[autor_es],autorest[nacion_la])</f>
        <v>Hispania</v>
      </c>
      <c r="O756" t="str">
        <f>_xlfn.XLOOKUP(frasest[[#This Row],[autor_es]],autorest[autor_es],autorest[epoca_es])</f>
        <v>Epoca Desconocida</v>
      </c>
      <c r="P756" t="str">
        <f>_xlfn.XLOOKUP(frasest[[#This Row],[autor_es]],autorest[autor_es],autorest[epoca_la])</f>
        <v>Epocha Ignota</v>
      </c>
      <c r="Q756" t="str">
        <f>_xlfn.XLOOKUP(frasest[[#This Row],[autor_es]],autorest[autor_es],autorest[imagen])</f>
        <v>https://i.ibb.co/bjgxB3kn/euskadi.png</v>
      </c>
      <c r="R756">
        <f>_xlfn.XLOOKUP(frasest[[#This Row],[autor_es]],autorest[autor_es],autorest[imagen_atr])</f>
        <v>0</v>
      </c>
    </row>
    <row r="757" spans="1:18">
      <c r="A757">
        <v>756</v>
      </c>
      <c r="B757" t="s">
        <v>2548</v>
      </c>
      <c r="C757" t="s">
        <v>2549</v>
      </c>
      <c r="D757" t="s">
        <v>2550</v>
      </c>
      <c r="E757" t="s">
        <v>1236</v>
      </c>
      <c r="G757" t="str">
        <f>_xlfn.XLOOKUP(frasest[[#This Row],[autor_es]],autorest[autor_es],autorest[autor_la])</f>
        <v>Sententia Vasconica</v>
      </c>
      <c r="H757" t="str">
        <f>_xlfn.XLOOKUP(frasest[[#This Row],[autor_es]],autorest[autor_es],autorest[bio_es])</f>
        <v>Proverbios de la tradición oral vasca que reflejan la relación con la naturaleza, el trabajo y los valores comunitarios del pueblo vasco.</v>
      </c>
      <c r="I757" t="str">
        <f>_xlfn.XLOOKUP(frasest[[#This Row],[autor_es]],autorest[autor_es],autorest[bio_la])</f>
        <v>Collectio sententiarum Vasconicarum.</v>
      </c>
      <c r="J757" t="str">
        <f>_xlfn.XLOOKUP(frasest[[#This Row],[autor_es]],autorest[autor_es],autorest[codigo])</f>
        <v>eu</v>
      </c>
      <c r="K757" t="str">
        <f>_xlfn.XLOOKUP(frasest[[#This Row],[autor_es]],autorest[autor_es],autorest[idioma_es])</f>
        <v>Euskara</v>
      </c>
      <c r="L757" t="str">
        <f>_xlfn.XLOOKUP(frasest[[#This Row],[autor_es]],autorest[autor_es],autorest[idioma_la])</f>
        <v>Lingua Vasconica</v>
      </c>
      <c r="M757" t="str">
        <f>_xlfn.XLOOKUP(frasest[[#This Row],[autor_es]],autorest[autor_es],autorest[nacion_es])</f>
        <v>España</v>
      </c>
      <c r="N757" t="str">
        <f>_xlfn.XLOOKUP(frasest[[#This Row],[autor_es]],autorest[autor_es],autorest[nacion_la])</f>
        <v>Hispania</v>
      </c>
      <c r="O757" t="str">
        <f>_xlfn.XLOOKUP(frasest[[#This Row],[autor_es]],autorest[autor_es],autorest[epoca_es])</f>
        <v>Epoca Desconocida</v>
      </c>
      <c r="P757" t="str">
        <f>_xlfn.XLOOKUP(frasest[[#This Row],[autor_es]],autorest[autor_es],autorest[epoca_la])</f>
        <v>Epocha Ignota</v>
      </c>
      <c r="Q757" t="str">
        <f>_xlfn.XLOOKUP(frasest[[#This Row],[autor_es]],autorest[autor_es],autorest[imagen])</f>
        <v>https://i.ibb.co/bjgxB3kn/euskadi.png</v>
      </c>
      <c r="R757">
        <f>_xlfn.XLOOKUP(frasest[[#This Row],[autor_es]],autorest[autor_es],autorest[imagen_atr])</f>
        <v>0</v>
      </c>
    </row>
    <row r="758" spans="1:18">
      <c r="A758">
        <v>757</v>
      </c>
      <c r="B758" t="s">
        <v>2551</v>
      </c>
      <c r="C758" t="s">
        <v>2552</v>
      </c>
      <c r="D758" t="s">
        <v>2553</v>
      </c>
      <c r="E758" t="s">
        <v>1236</v>
      </c>
      <c r="G758" t="str">
        <f>_xlfn.XLOOKUP(frasest[[#This Row],[autor_es]],autorest[autor_es],autorest[autor_la])</f>
        <v>Sententia Vasconica</v>
      </c>
      <c r="H758" t="str">
        <f>_xlfn.XLOOKUP(frasest[[#This Row],[autor_es]],autorest[autor_es],autorest[bio_es])</f>
        <v>Proverbios de la tradición oral vasca que reflejan la relación con la naturaleza, el trabajo y los valores comunitarios del pueblo vasco.</v>
      </c>
      <c r="I758" t="str">
        <f>_xlfn.XLOOKUP(frasest[[#This Row],[autor_es]],autorest[autor_es],autorest[bio_la])</f>
        <v>Collectio sententiarum Vasconicarum.</v>
      </c>
      <c r="J758" t="str">
        <f>_xlfn.XLOOKUP(frasest[[#This Row],[autor_es]],autorest[autor_es],autorest[codigo])</f>
        <v>eu</v>
      </c>
      <c r="K758" t="str">
        <f>_xlfn.XLOOKUP(frasest[[#This Row],[autor_es]],autorest[autor_es],autorest[idioma_es])</f>
        <v>Euskara</v>
      </c>
      <c r="L758" t="str">
        <f>_xlfn.XLOOKUP(frasest[[#This Row],[autor_es]],autorest[autor_es],autorest[idioma_la])</f>
        <v>Lingua Vasconica</v>
      </c>
      <c r="M758" t="str">
        <f>_xlfn.XLOOKUP(frasest[[#This Row],[autor_es]],autorest[autor_es],autorest[nacion_es])</f>
        <v>España</v>
      </c>
      <c r="N758" t="str">
        <f>_xlfn.XLOOKUP(frasest[[#This Row],[autor_es]],autorest[autor_es],autorest[nacion_la])</f>
        <v>Hispania</v>
      </c>
      <c r="O758" t="str">
        <f>_xlfn.XLOOKUP(frasest[[#This Row],[autor_es]],autorest[autor_es],autorest[epoca_es])</f>
        <v>Epoca Desconocida</v>
      </c>
      <c r="P758" t="str">
        <f>_xlfn.XLOOKUP(frasest[[#This Row],[autor_es]],autorest[autor_es],autorest[epoca_la])</f>
        <v>Epocha Ignota</v>
      </c>
      <c r="Q758" t="str">
        <f>_xlfn.XLOOKUP(frasest[[#This Row],[autor_es]],autorest[autor_es],autorest[imagen])</f>
        <v>https://i.ibb.co/bjgxB3kn/euskadi.png</v>
      </c>
      <c r="R758">
        <f>_xlfn.XLOOKUP(frasest[[#This Row],[autor_es]],autorest[autor_es],autorest[imagen_atr])</f>
        <v>0</v>
      </c>
    </row>
    <row r="759" spans="1:18">
      <c r="A759">
        <v>758</v>
      </c>
      <c r="B759" t="s">
        <v>2554</v>
      </c>
      <c r="C759" t="s">
        <v>2555</v>
      </c>
      <c r="D759" t="s">
        <v>2556</v>
      </c>
      <c r="E759" t="s">
        <v>1236</v>
      </c>
      <c r="G759" t="str">
        <f>_xlfn.XLOOKUP(frasest[[#This Row],[autor_es]],autorest[autor_es],autorest[autor_la])</f>
        <v>Sententia Vasconica</v>
      </c>
      <c r="H759" t="str">
        <f>_xlfn.XLOOKUP(frasest[[#This Row],[autor_es]],autorest[autor_es],autorest[bio_es])</f>
        <v>Proverbios de la tradición oral vasca que reflejan la relación con la naturaleza, el trabajo y los valores comunitarios del pueblo vasco.</v>
      </c>
      <c r="I759" t="str">
        <f>_xlfn.XLOOKUP(frasest[[#This Row],[autor_es]],autorest[autor_es],autorest[bio_la])</f>
        <v>Collectio sententiarum Vasconicarum.</v>
      </c>
      <c r="J759" t="str">
        <f>_xlfn.XLOOKUP(frasest[[#This Row],[autor_es]],autorest[autor_es],autorest[codigo])</f>
        <v>eu</v>
      </c>
      <c r="K759" t="str">
        <f>_xlfn.XLOOKUP(frasest[[#This Row],[autor_es]],autorest[autor_es],autorest[idioma_es])</f>
        <v>Euskara</v>
      </c>
      <c r="L759" t="str">
        <f>_xlfn.XLOOKUP(frasest[[#This Row],[autor_es]],autorest[autor_es],autorest[idioma_la])</f>
        <v>Lingua Vasconica</v>
      </c>
      <c r="M759" t="str">
        <f>_xlfn.XLOOKUP(frasest[[#This Row],[autor_es]],autorest[autor_es],autorest[nacion_es])</f>
        <v>España</v>
      </c>
      <c r="N759" t="str">
        <f>_xlfn.XLOOKUP(frasest[[#This Row],[autor_es]],autorest[autor_es],autorest[nacion_la])</f>
        <v>Hispania</v>
      </c>
      <c r="O759" t="str">
        <f>_xlfn.XLOOKUP(frasest[[#This Row],[autor_es]],autorest[autor_es],autorest[epoca_es])</f>
        <v>Epoca Desconocida</v>
      </c>
      <c r="P759" t="str">
        <f>_xlfn.XLOOKUP(frasest[[#This Row],[autor_es]],autorest[autor_es],autorest[epoca_la])</f>
        <v>Epocha Ignota</v>
      </c>
      <c r="Q759" t="str">
        <f>_xlfn.XLOOKUP(frasest[[#This Row],[autor_es]],autorest[autor_es],autorest[imagen])</f>
        <v>https://i.ibb.co/bjgxB3kn/euskadi.png</v>
      </c>
      <c r="R759">
        <f>_xlfn.XLOOKUP(frasest[[#This Row],[autor_es]],autorest[autor_es],autorest[imagen_atr])</f>
        <v>0</v>
      </c>
    </row>
    <row r="760" spans="1:18">
      <c r="A760">
        <v>759</v>
      </c>
      <c r="B760" t="s">
        <v>2557</v>
      </c>
      <c r="C760" t="s">
        <v>2558</v>
      </c>
      <c r="D760" t="s">
        <v>2559</v>
      </c>
      <c r="E760" t="s">
        <v>1236</v>
      </c>
      <c r="G760" t="str">
        <f>_xlfn.XLOOKUP(frasest[[#This Row],[autor_es]],autorest[autor_es],autorest[autor_la])</f>
        <v>Sententia Vasconica</v>
      </c>
      <c r="H760" t="str">
        <f>_xlfn.XLOOKUP(frasest[[#This Row],[autor_es]],autorest[autor_es],autorest[bio_es])</f>
        <v>Proverbios de la tradición oral vasca que reflejan la relación con la naturaleza, el trabajo y los valores comunitarios del pueblo vasco.</v>
      </c>
      <c r="I760" t="str">
        <f>_xlfn.XLOOKUP(frasest[[#This Row],[autor_es]],autorest[autor_es],autorest[bio_la])</f>
        <v>Collectio sententiarum Vasconicarum.</v>
      </c>
      <c r="J760" t="str">
        <f>_xlfn.XLOOKUP(frasest[[#This Row],[autor_es]],autorest[autor_es],autorest[codigo])</f>
        <v>eu</v>
      </c>
      <c r="K760" t="str">
        <f>_xlfn.XLOOKUP(frasest[[#This Row],[autor_es]],autorest[autor_es],autorest[idioma_es])</f>
        <v>Euskara</v>
      </c>
      <c r="L760" t="str">
        <f>_xlfn.XLOOKUP(frasest[[#This Row],[autor_es]],autorest[autor_es],autorest[idioma_la])</f>
        <v>Lingua Vasconica</v>
      </c>
      <c r="M760" t="str">
        <f>_xlfn.XLOOKUP(frasest[[#This Row],[autor_es]],autorest[autor_es],autorest[nacion_es])</f>
        <v>España</v>
      </c>
      <c r="N760" t="str">
        <f>_xlfn.XLOOKUP(frasest[[#This Row],[autor_es]],autorest[autor_es],autorest[nacion_la])</f>
        <v>Hispania</v>
      </c>
      <c r="O760" t="str">
        <f>_xlfn.XLOOKUP(frasest[[#This Row],[autor_es]],autorest[autor_es],autorest[epoca_es])</f>
        <v>Epoca Desconocida</v>
      </c>
      <c r="P760" t="str">
        <f>_xlfn.XLOOKUP(frasest[[#This Row],[autor_es]],autorest[autor_es],autorest[epoca_la])</f>
        <v>Epocha Ignota</v>
      </c>
      <c r="Q760" t="str">
        <f>_xlfn.XLOOKUP(frasest[[#This Row],[autor_es]],autorest[autor_es],autorest[imagen])</f>
        <v>https://i.ibb.co/bjgxB3kn/euskadi.png</v>
      </c>
      <c r="R760">
        <f>_xlfn.XLOOKUP(frasest[[#This Row],[autor_es]],autorest[autor_es],autorest[imagen_atr])</f>
        <v>0</v>
      </c>
    </row>
    <row r="761" spans="1:18">
      <c r="A761">
        <v>760</v>
      </c>
      <c r="B761" t="s">
        <v>2560</v>
      </c>
      <c r="C761" t="s">
        <v>2561</v>
      </c>
      <c r="D761" t="s">
        <v>2562</v>
      </c>
      <c r="E761" t="s">
        <v>1236</v>
      </c>
      <c r="G761" t="str">
        <f>_xlfn.XLOOKUP(frasest[[#This Row],[autor_es]],autorest[autor_es],autorest[autor_la])</f>
        <v>Sententia Vasconica</v>
      </c>
      <c r="H761" t="str">
        <f>_xlfn.XLOOKUP(frasest[[#This Row],[autor_es]],autorest[autor_es],autorest[bio_es])</f>
        <v>Proverbios de la tradición oral vasca que reflejan la relación con la naturaleza, el trabajo y los valores comunitarios del pueblo vasco.</v>
      </c>
      <c r="I761" t="str">
        <f>_xlfn.XLOOKUP(frasest[[#This Row],[autor_es]],autorest[autor_es],autorest[bio_la])</f>
        <v>Collectio sententiarum Vasconicarum.</v>
      </c>
      <c r="J761" t="str">
        <f>_xlfn.XLOOKUP(frasest[[#This Row],[autor_es]],autorest[autor_es],autorest[codigo])</f>
        <v>eu</v>
      </c>
      <c r="K761" t="str">
        <f>_xlfn.XLOOKUP(frasest[[#This Row],[autor_es]],autorest[autor_es],autorest[idioma_es])</f>
        <v>Euskara</v>
      </c>
      <c r="L761" t="str">
        <f>_xlfn.XLOOKUP(frasest[[#This Row],[autor_es]],autorest[autor_es],autorest[idioma_la])</f>
        <v>Lingua Vasconica</v>
      </c>
      <c r="M761" t="str">
        <f>_xlfn.XLOOKUP(frasest[[#This Row],[autor_es]],autorest[autor_es],autorest[nacion_es])</f>
        <v>España</v>
      </c>
      <c r="N761" t="str">
        <f>_xlfn.XLOOKUP(frasest[[#This Row],[autor_es]],autorest[autor_es],autorest[nacion_la])</f>
        <v>Hispania</v>
      </c>
      <c r="O761" t="str">
        <f>_xlfn.XLOOKUP(frasest[[#This Row],[autor_es]],autorest[autor_es],autorest[epoca_es])</f>
        <v>Epoca Desconocida</v>
      </c>
      <c r="P761" t="str">
        <f>_xlfn.XLOOKUP(frasest[[#This Row],[autor_es]],autorest[autor_es],autorest[epoca_la])</f>
        <v>Epocha Ignota</v>
      </c>
      <c r="Q761" t="str">
        <f>_xlfn.XLOOKUP(frasest[[#This Row],[autor_es]],autorest[autor_es],autorest[imagen])</f>
        <v>https://i.ibb.co/bjgxB3kn/euskadi.png</v>
      </c>
      <c r="R761">
        <f>_xlfn.XLOOKUP(frasest[[#This Row],[autor_es]],autorest[autor_es],autorest[imagen_atr])</f>
        <v>0</v>
      </c>
    </row>
    <row r="762" spans="1:18">
      <c r="A762">
        <v>761</v>
      </c>
      <c r="B762" t="s">
        <v>2563</v>
      </c>
      <c r="C762" t="s">
        <v>2564</v>
      </c>
      <c r="D762" t="s">
        <v>2565</v>
      </c>
      <c r="E762" t="s">
        <v>1236</v>
      </c>
      <c r="G762" t="str">
        <f>_xlfn.XLOOKUP(frasest[[#This Row],[autor_es]],autorest[autor_es],autorest[autor_la])</f>
        <v>Sententia Vasconica</v>
      </c>
      <c r="H762" t="str">
        <f>_xlfn.XLOOKUP(frasest[[#This Row],[autor_es]],autorest[autor_es],autorest[bio_es])</f>
        <v>Proverbios de la tradición oral vasca que reflejan la relación con la naturaleza, el trabajo y los valores comunitarios del pueblo vasco.</v>
      </c>
      <c r="I762" t="str">
        <f>_xlfn.XLOOKUP(frasest[[#This Row],[autor_es]],autorest[autor_es],autorest[bio_la])</f>
        <v>Collectio sententiarum Vasconicarum.</v>
      </c>
      <c r="J762" t="str">
        <f>_xlfn.XLOOKUP(frasest[[#This Row],[autor_es]],autorest[autor_es],autorest[codigo])</f>
        <v>eu</v>
      </c>
      <c r="K762" t="str">
        <f>_xlfn.XLOOKUP(frasest[[#This Row],[autor_es]],autorest[autor_es],autorest[idioma_es])</f>
        <v>Euskara</v>
      </c>
      <c r="L762" t="str">
        <f>_xlfn.XLOOKUP(frasest[[#This Row],[autor_es]],autorest[autor_es],autorest[idioma_la])</f>
        <v>Lingua Vasconica</v>
      </c>
      <c r="M762" t="str">
        <f>_xlfn.XLOOKUP(frasest[[#This Row],[autor_es]],autorest[autor_es],autorest[nacion_es])</f>
        <v>España</v>
      </c>
      <c r="N762" t="str">
        <f>_xlfn.XLOOKUP(frasest[[#This Row],[autor_es]],autorest[autor_es],autorest[nacion_la])</f>
        <v>Hispania</v>
      </c>
      <c r="O762" t="str">
        <f>_xlfn.XLOOKUP(frasest[[#This Row],[autor_es]],autorest[autor_es],autorest[epoca_es])</f>
        <v>Epoca Desconocida</v>
      </c>
      <c r="P762" t="str">
        <f>_xlfn.XLOOKUP(frasest[[#This Row],[autor_es]],autorest[autor_es],autorest[epoca_la])</f>
        <v>Epocha Ignota</v>
      </c>
      <c r="Q762" t="str">
        <f>_xlfn.XLOOKUP(frasest[[#This Row],[autor_es]],autorest[autor_es],autorest[imagen])</f>
        <v>https://i.ibb.co/bjgxB3kn/euskadi.png</v>
      </c>
      <c r="R762">
        <f>_xlfn.XLOOKUP(frasest[[#This Row],[autor_es]],autorest[autor_es],autorest[imagen_atr])</f>
        <v>0</v>
      </c>
    </row>
    <row r="763" spans="1:18">
      <c r="A763">
        <v>762</v>
      </c>
      <c r="B763" t="s">
        <v>2566</v>
      </c>
      <c r="C763" t="s">
        <v>2567</v>
      </c>
      <c r="D763" t="s">
        <v>2568</v>
      </c>
      <c r="E763" t="s">
        <v>1236</v>
      </c>
      <c r="G763" t="str">
        <f>_xlfn.XLOOKUP(frasest[[#This Row],[autor_es]],autorest[autor_es],autorest[autor_la])</f>
        <v>Sententia Vasconica</v>
      </c>
      <c r="H763" t="str">
        <f>_xlfn.XLOOKUP(frasest[[#This Row],[autor_es]],autorest[autor_es],autorest[bio_es])</f>
        <v>Proverbios de la tradición oral vasca que reflejan la relación con la naturaleza, el trabajo y los valores comunitarios del pueblo vasco.</v>
      </c>
      <c r="I763" t="str">
        <f>_xlfn.XLOOKUP(frasest[[#This Row],[autor_es]],autorest[autor_es],autorest[bio_la])</f>
        <v>Collectio sententiarum Vasconicarum.</v>
      </c>
      <c r="J763" t="str">
        <f>_xlfn.XLOOKUP(frasest[[#This Row],[autor_es]],autorest[autor_es],autorest[codigo])</f>
        <v>eu</v>
      </c>
      <c r="K763" t="str">
        <f>_xlfn.XLOOKUP(frasest[[#This Row],[autor_es]],autorest[autor_es],autorest[idioma_es])</f>
        <v>Euskara</v>
      </c>
      <c r="L763" t="str">
        <f>_xlfn.XLOOKUP(frasest[[#This Row],[autor_es]],autorest[autor_es],autorest[idioma_la])</f>
        <v>Lingua Vasconica</v>
      </c>
      <c r="M763" t="str">
        <f>_xlfn.XLOOKUP(frasest[[#This Row],[autor_es]],autorest[autor_es],autorest[nacion_es])</f>
        <v>España</v>
      </c>
      <c r="N763" t="str">
        <f>_xlfn.XLOOKUP(frasest[[#This Row],[autor_es]],autorest[autor_es],autorest[nacion_la])</f>
        <v>Hispania</v>
      </c>
      <c r="O763" t="str">
        <f>_xlfn.XLOOKUP(frasest[[#This Row],[autor_es]],autorest[autor_es],autorest[epoca_es])</f>
        <v>Epoca Desconocida</v>
      </c>
      <c r="P763" t="str">
        <f>_xlfn.XLOOKUP(frasest[[#This Row],[autor_es]],autorest[autor_es],autorest[epoca_la])</f>
        <v>Epocha Ignota</v>
      </c>
      <c r="Q763" t="str">
        <f>_xlfn.XLOOKUP(frasest[[#This Row],[autor_es]],autorest[autor_es],autorest[imagen])</f>
        <v>https://i.ibb.co/bjgxB3kn/euskadi.png</v>
      </c>
      <c r="R763">
        <f>_xlfn.XLOOKUP(frasest[[#This Row],[autor_es]],autorest[autor_es],autorest[imagen_atr])</f>
        <v>0</v>
      </c>
    </row>
    <row r="764" spans="1:18">
      <c r="A764">
        <v>763</v>
      </c>
      <c r="B764" t="s">
        <v>2569</v>
      </c>
      <c r="C764" t="s">
        <v>2570</v>
      </c>
      <c r="D764" t="s">
        <v>2571</v>
      </c>
      <c r="E764" t="s">
        <v>1236</v>
      </c>
      <c r="G764" t="str">
        <f>_xlfn.XLOOKUP(frasest[[#This Row],[autor_es]],autorest[autor_es],autorest[autor_la])</f>
        <v>Sententia Vasconica</v>
      </c>
      <c r="H764" t="str">
        <f>_xlfn.XLOOKUP(frasest[[#This Row],[autor_es]],autorest[autor_es],autorest[bio_es])</f>
        <v>Proverbios de la tradición oral vasca que reflejan la relación con la naturaleza, el trabajo y los valores comunitarios del pueblo vasco.</v>
      </c>
      <c r="I764" t="str">
        <f>_xlfn.XLOOKUP(frasest[[#This Row],[autor_es]],autorest[autor_es],autorest[bio_la])</f>
        <v>Collectio sententiarum Vasconicarum.</v>
      </c>
      <c r="J764" t="str">
        <f>_xlfn.XLOOKUP(frasest[[#This Row],[autor_es]],autorest[autor_es],autorest[codigo])</f>
        <v>eu</v>
      </c>
      <c r="K764" t="str">
        <f>_xlfn.XLOOKUP(frasest[[#This Row],[autor_es]],autorest[autor_es],autorest[idioma_es])</f>
        <v>Euskara</v>
      </c>
      <c r="L764" t="str">
        <f>_xlfn.XLOOKUP(frasest[[#This Row],[autor_es]],autorest[autor_es],autorest[idioma_la])</f>
        <v>Lingua Vasconica</v>
      </c>
      <c r="M764" t="str">
        <f>_xlfn.XLOOKUP(frasest[[#This Row],[autor_es]],autorest[autor_es],autorest[nacion_es])</f>
        <v>España</v>
      </c>
      <c r="N764" t="str">
        <f>_xlfn.XLOOKUP(frasest[[#This Row],[autor_es]],autorest[autor_es],autorest[nacion_la])</f>
        <v>Hispania</v>
      </c>
      <c r="O764" t="str">
        <f>_xlfn.XLOOKUP(frasest[[#This Row],[autor_es]],autorest[autor_es],autorest[epoca_es])</f>
        <v>Epoca Desconocida</v>
      </c>
      <c r="P764" t="str">
        <f>_xlfn.XLOOKUP(frasest[[#This Row],[autor_es]],autorest[autor_es],autorest[epoca_la])</f>
        <v>Epocha Ignota</v>
      </c>
      <c r="Q764" t="str">
        <f>_xlfn.XLOOKUP(frasest[[#This Row],[autor_es]],autorest[autor_es],autorest[imagen])</f>
        <v>https://i.ibb.co/bjgxB3kn/euskadi.png</v>
      </c>
      <c r="R764">
        <f>_xlfn.XLOOKUP(frasest[[#This Row],[autor_es]],autorest[autor_es],autorest[imagen_atr])</f>
        <v>0</v>
      </c>
    </row>
    <row r="765" spans="1:18">
      <c r="A765">
        <v>764</v>
      </c>
      <c r="B765" t="s">
        <v>2572</v>
      </c>
      <c r="C765" t="s">
        <v>2573</v>
      </c>
      <c r="D765" t="s">
        <v>2574</v>
      </c>
      <c r="E765" t="s">
        <v>1236</v>
      </c>
      <c r="G765" t="str">
        <f>_xlfn.XLOOKUP(frasest[[#This Row],[autor_es]],autorest[autor_es],autorest[autor_la])</f>
        <v>Sententia Vasconica</v>
      </c>
      <c r="H765" t="str">
        <f>_xlfn.XLOOKUP(frasest[[#This Row],[autor_es]],autorest[autor_es],autorest[bio_es])</f>
        <v>Proverbios de la tradición oral vasca que reflejan la relación con la naturaleza, el trabajo y los valores comunitarios del pueblo vasco.</v>
      </c>
      <c r="I765" t="str">
        <f>_xlfn.XLOOKUP(frasest[[#This Row],[autor_es]],autorest[autor_es],autorest[bio_la])</f>
        <v>Collectio sententiarum Vasconicarum.</v>
      </c>
      <c r="J765" t="str">
        <f>_xlfn.XLOOKUP(frasest[[#This Row],[autor_es]],autorest[autor_es],autorest[codigo])</f>
        <v>eu</v>
      </c>
      <c r="K765" t="str">
        <f>_xlfn.XLOOKUP(frasest[[#This Row],[autor_es]],autorest[autor_es],autorest[idioma_es])</f>
        <v>Euskara</v>
      </c>
      <c r="L765" t="str">
        <f>_xlfn.XLOOKUP(frasest[[#This Row],[autor_es]],autorest[autor_es],autorest[idioma_la])</f>
        <v>Lingua Vasconica</v>
      </c>
      <c r="M765" t="str">
        <f>_xlfn.XLOOKUP(frasest[[#This Row],[autor_es]],autorest[autor_es],autorest[nacion_es])</f>
        <v>España</v>
      </c>
      <c r="N765" t="str">
        <f>_xlfn.XLOOKUP(frasest[[#This Row],[autor_es]],autorest[autor_es],autorest[nacion_la])</f>
        <v>Hispania</v>
      </c>
      <c r="O765" t="str">
        <f>_xlfn.XLOOKUP(frasest[[#This Row],[autor_es]],autorest[autor_es],autorest[epoca_es])</f>
        <v>Epoca Desconocida</v>
      </c>
      <c r="P765" t="str">
        <f>_xlfn.XLOOKUP(frasest[[#This Row],[autor_es]],autorest[autor_es],autorest[epoca_la])</f>
        <v>Epocha Ignota</v>
      </c>
      <c r="Q765" t="str">
        <f>_xlfn.XLOOKUP(frasest[[#This Row],[autor_es]],autorest[autor_es],autorest[imagen])</f>
        <v>https://i.ibb.co/bjgxB3kn/euskadi.png</v>
      </c>
      <c r="R765">
        <f>_xlfn.XLOOKUP(frasest[[#This Row],[autor_es]],autorest[autor_es],autorest[imagen_atr])</f>
        <v>0</v>
      </c>
    </row>
    <row r="766" spans="1:18">
      <c r="A766">
        <v>765</v>
      </c>
      <c r="B766" t="s">
        <v>2575</v>
      </c>
      <c r="C766" t="s">
        <v>2576</v>
      </c>
      <c r="D766" t="s">
        <v>2332</v>
      </c>
      <c r="E766" t="s">
        <v>1236</v>
      </c>
      <c r="G766" t="str">
        <f>_xlfn.XLOOKUP(frasest[[#This Row],[autor_es]],autorest[autor_es],autorest[autor_la])</f>
        <v>Sententia Vasconica</v>
      </c>
      <c r="H766" t="str">
        <f>_xlfn.XLOOKUP(frasest[[#This Row],[autor_es]],autorest[autor_es],autorest[bio_es])</f>
        <v>Proverbios de la tradición oral vasca que reflejan la relación con la naturaleza, el trabajo y los valores comunitarios del pueblo vasco.</v>
      </c>
      <c r="I766" t="str">
        <f>_xlfn.XLOOKUP(frasest[[#This Row],[autor_es]],autorest[autor_es],autorest[bio_la])</f>
        <v>Collectio sententiarum Vasconicarum.</v>
      </c>
      <c r="J766" t="str">
        <f>_xlfn.XLOOKUP(frasest[[#This Row],[autor_es]],autorest[autor_es],autorest[codigo])</f>
        <v>eu</v>
      </c>
      <c r="K766" t="str">
        <f>_xlfn.XLOOKUP(frasest[[#This Row],[autor_es]],autorest[autor_es],autorest[idioma_es])</f>
        <v>Euskara</v>
      </c>
      <c r="L766" t="str">
        <f>_xlfn.XLOOKUP(frasest[[#This Row],[autor_es]],autorest[autor_es],autorest[idioma_la])</f>
        <v>Lingua Vasconica</v>
      </c>
      <c r="M766" t="str">
        <f>_xlfn.XLOOKUP(frasest[[#This Row],[autor_es]],autorest[autor_es],autorest[nacion_es])</f>
        <v>España</v>
      </c>
      <c r="N766" t="str">
        <f>_xlfn.XLOOKUP(frasest[[#This Row],[autor_es]],autorest[autor_es],autorest[nacion_la])</f>
        <v>Hispania</v>
      </c>
      <c r="O766" t="str">
        <f>_xlfn.XLOOKUP(frasest[[#This Row],[autor_es]],autorest[autor_es],autorest[epoca_es])</f>
        <v>Epoca Desconocida</v>
      </c>
      <c r="P766" t="str">
        <f>_xlfn.XLOOKUP(frasest[[#This Row],[autor_es]],autorest[autor_es],autorest[epoca_la])</f>
        <v>Epocha Ignota</v>
      </c>
      <c r="Q766" t="str">
        <f>_xlfn.XLOOKUP(frasest[[#This Row],[autor_es]],autorest[autor_es],autorest[imagen])</f>
        <v>https://i.ibb.co/bjgxB3kn/euskadi.png</v>
      </c>
      <c r="R766">
        <f>_xlfn.XLOOKUP(frasest[[#This Row],[autor_es]],autorest[autor_es],autorest[imagen_atr])</f>
        <v>0</v>
      </c>
    </row>
    <row r="767" spans="1:18">
      <c r="A767">
        <v>766</v>
      </c>
      <c r="B767" t="s">
        <v>2577</v>
      </c>
      <c r="C767" t="s">
        <v>2578</v>
      </c>
      <c r="D767" t="s">
        <v>2579</v>
      </c>
      <c r="E767" t="s">
        <v>1236</v>
      </c>
      <c r="G767" t="str">
        <f>_xlfn.XLOOKUP(frasest[[#This Row],[autor_es]],autorest[autor_es],autorest[autor_la])</f>
        <v>Sententia Vasconica</v>
      </c>
      <c r="H767" t="str">
        <f>_xlfn.XLOOKUP(frasest[[#This Row],[autor_es]],autorest[autor_es],autorest[bio_es])</f>
        <v>Proverbios de la tradición oral vasca que reflejan la relación con la naturaleza, el trabajo y los valores comunitarios del pueblo vasco.</v>
      </c>
      <c r="I767" t="str">
        <f>_xlfn.XLOOKUP(frasest[[#This Row],[autor_es]],autorest[autor_es],autorest[bio_la])</f>
        <v>Collectio sententiarum Vasconicarum.</v>
      </c>
      <c r="J767" t="str">
        <f>_xlfn.XLOOKUP(frasest[[#This Row],[autor_es]],autorest[autor_es],autorest[codigo])</f>
        <v>eu</v>
      </c>
      <c r="K767" t="str">
        <f>_xlfn.XLOOKUP(frasest[[#This Row],[autor_es]],autorest[autor_es],autorest[idioma_es])</f>
        <v>Euskara</v>
      </c>
      <c r="L767" t="str">
        <f>_xlfn.XLOOKUP(frasest[[#This Row],[autor_es]],autorest[autor_es],autorest[idioma_la])</f>
        <v>Lingua Vasconica</v>
      </c>
      <c r="M767" t="str">
        <f>_xlfn.XLOOKUP(frasest[[#This Row],[autor_es]],autorest[autor_es],autorest[nacion_es])</f>
        <v>España</v>
      </c>
      <c r="N767" t="str">
        <f>_xlfn.XLOOKUP(frasest[[#This Row],[autor_es]],autorest[autor_es],autorest[nacion_la])</f>
        <v>Hispania</v>
      </c>
      <c r="O767" t="str">
        <f>_xlfn.XLOOKUP(frasest[[#This Row],[autor_es]],autorest[autor_es],autorest[epoca_es])</f>
        <v>Epoca Desconocida</v>
      </c>
      <c r="P767" t="str">
        <f>_xlfn.XLOOKUP(frasest[[#This Row],[autor_es]],autorest[autor_es],autorest[epoca_la])</f>
        <v>Epocha Ignota</v>
      </c>
      <c r="Q767" t="str">
        <f>_xlfn.XLOOKUP(frasest[[#This Row],[autor_es]],autorest[autor_es],autorest[imagen])</f>
        <v>https://i.ibb.co/bjgxB3kn/euskadi.png</v>
      </c>
      <c r="R767">
        <f>_xlfn.XLOOKUP(frasest[[#This Row],[autor_es]],autorest[autor_es],autorest[imagen_atr])</f>
        <v>0</v>
      </c>
    </row>
    <row r="768" spans="1:18">
      <c r="A768">
        <v>767</v>
      </c>
      <c r="B768" t="s">
        <v>2580</v>
      </c>
      <c r="C768" t="s">
        <v>2581</v>
      </c>
      <c r="D768" t="s">
        <v>2582</v>
      </c>
      <c r="E768" t="s">
        <v>1236</v>
      </c>
      <c r="G768" t="str">
        <f>_xlfn.XLOOKUP(frasest[[#This Row],[autor_es]],autorest[autor_es],autorest[autor_la])</f>
        <v>Sententia Vasconica</v>
      </c>
      <c r="H768" t="str">
        <f>_xlfn.XLOOKUP(frasest[[#This Row],[autor_es]],autorest[autor_es],autorest[bio_es])</f>
        <v>Proverbios de la tradición oral vasca que reflejan la relación con la naturaleza, el trabajo y los valores comunitarios del pueblo vasco.</v>
      </c>
      <c r="I768" t="str">
        <f>_xlfn.XLOOKUP(frasest[[#This Row],[autor_es]],autorest[autor_es],autorest[bio_la])</f>
        <v>Collectio sententiarum Vasconicarum.</v>
      </c>
      <c r="J768" t="str">
        <f>_xlfn.XLOOKUP(frasest[[#This Row],[autor_es]],autorest[autor_es],autorest[codigo])</f>
        <v>eu</v>
      </c>
      <c r="K768" t="str">
        <f>_xlfn.XLOOKUP(frasest[[#This Row],[autor_es]],autorest[autor_es],autorest[idioma_es])</f>
        <v>Euskara</v>
      </c>
      <c r="L768" t="str">
        <f>_xlfn.XLOOKUP(frasest[[#This Row],[autor_es]],autorest[autor_es],autorest[idioma_la])</f>
        <v>Lingua Vasconica</v>
      </c>
      <c r="M768" t="str">
        <f>_xlfn.XLOOKUP(frasest[[#This Row],[autor_es]],autorest[autor_es],autorest[nacion_es])</f>
        <v>España</v>
      </c>
      <c r="N768" t="str">
        <f>_xlfn.XLOOKUP(frasest[[#This Row],[autor_es]],autorest[autor_es],autorest[nacion_la])</f>
        <v>Hispania</v>
      </c>
      <c r="O768" t="str">
        <f>_xlfn.XLOOKUP(frasest[[#This Row],[autor_es]],autorest[autor_es],autorest[epoca_es])</f>
        <v>Epoca Desconocida</v>
      </c>
      <c r="P768" t="str">
        <f>_xlfn.XLOOKUP(frasest[[#This Row],[autor_es]],autorest[autor_es],autorest[epoca_la])</f>
        <v>Epocha Ignota</v>
      </c>
      <c r="Q768" t="str">
        <f>_xlfn.XLOOKUP(frasest[[#This Row],[autor_es]],autorest[autor_es],autorest[imagen])</f>
        <v>https://i.ibb.co/bjgxB3kn/euskadi.png</v>
      </c>
      <c r="R768">
        <f>_xlfn.XLOOKUP(frasest[[#This Row],[autor_es]],autorest[autor_es],autorest[imagen_atr])</f>
        <v>0</v>
      </c>
    </row>
    <row r="769" spans="1:18">
      <c r="A769">
        <v>768</v>
      </c>
      <c r="B769" t="s">
        <v>2583</v>
      </c>
      <c r="C769" t="s">
        <v>2584</v>
      </c>
      <c r="D769" t="s">
        <v>2585</v>
      </c>
      <c r="E769" t="s">
        <v>1236</v>
      </c>
      <c r="G769" t="str">
        <f>_xlfn.XLOOKUP(frasest[[#This Row],[autor_es]],autorest[autor_es],autorest[autor_la])</f>
        <v>Sententia Vasconica</v>
      </c>
      <c r="H769" t="str">
        <f>_xlfn.XLOOKUP(frasest[[#This Row],[autor_es]],autorest[autor_es],autorest[bio_es])</f>
        <v>Proverbios de la tradición oral vasca que reflejan la relación con la naturaleza, el trabajo y los valores comunitarios del pueblo vasco.</v>
      </c>
      <c r="I769" t="str">
        <f>_xlfn.XLOOKUP(frasest[[#This Row],[autor_es]],autorest[autor_es],autorest[bio_la])</f>
        <v>Collectio sententiarum Vasconicarum.</v>
      </c>
      <c r="J769" t="str">
        <f>_xlfn.XLOOKUP(frasest[[#This Row],[autor_es]],autorest[autor_es],autorest[codigo])</f>
        <v>eu</v>
      </c>
      <c r="K769" t="str">
        <f>_xlfn.XLOOKUP(frasest[[#This Row],[autor_es]],autorest[autor_es],autorest[idioma_es])</f>
        <v>Euskara</v>
      </c>
      <c r="L769" t="str">
        <f>_xlfn.XLOOKUP(frasest[[#This Row],[autor_es]],autorest[autor_es],autorest[idioma_la])</f>
        <v>Lingua Vasconica</v>
      </c>
      <c r="M769" t="str">
        <f>_xlfn.XLOOKUP(frasest[[#This Row],[autor_es]],autorest[autor_es],autorest[nacion_es])</f>
        <v>España</v>
      </c>
      <c r="N769" t="str">
        <f>_xlfn.XLOOKUP(frasest[[#This Row],[autor_es]],autorest[autor_es],autorest[nacion_la])</f>
        <v>Hispania</v>
      </c>
      <c r="O769" t="str">
        <f>_xlfn.XLOOKUP(frasest[[#This Row],[autor_es]],autorest[autor_es],autorest[epoca_es])</f>
        <v>Epoca Desconocida</v>
      </c>
      <c r="P769" t="str">
        <f>_xlfn.XLOOKUP(frasest[[#This Row],[autor_es]],autorest[autor_es],autorest[epoca_la])</f>
        <v>Epocha Ignota</v>
      </c>
      <c r="Q769" t="str">
        <f>_xlfn.XLOOKUP(frasest[[#This Row],[autor_es]],autorest[autor_es],autorest[imagen])</f>
        <v>https://i.ibb.co/bjgxB3kn/euskadi.png</v>
      </c>
      <c r="R769">
        <f>_xlfn.XLOOKUP(frasest[[#This Row],[autor_es]],autorest[autor_es],autorest[imagen_atr])</f>
        <v>0</v>
      </c>
    </row>
    <row r="770" spans="1:18">
      <c r="A770">
        <v>769</v>
      </c>
      <c r="B770" t="s">
        <v>2586</v>
      </c>
      <c r="C770" t="s">
        <v>2587</v>
      </c>
      <c r="D770" t="s">
        <v>2588</v>
      </c>
      <c r="E770" t="s">
        <v>1236</v>
      </c>
      <c r="G770" t="str">
        <f>_xlfn.XLOOKUP(frasest[[#This Row],[autor_es]],autorest[autor_es],autorest[autor_la])</f>
        <v>Sententia Vasconica</v>
      </c>
      <c r="H770" t="str">
        <f>_xlfn.XLOOKUP(frasest[[#This Row],[autor_es]],autorest[autor_es],autorest[bio_es])</f>
        <v>Proverbios de la tradición oral vasca que reflejan la relación con la naturaleza, el trabajo y los valores comunitarios del pueblo vasco.</v>
      </c>
      <c r="I770" t="str">
        <f>_xlfn.XLOOKUP(frasest[[#This Row],[autor_es]],autorest[autor_es],autorest[bio_la])</f>
        <v>Collectio sententiarum Vasconicarum.</v>
      </c>
      <c r="J770" t="str">
        <f>_xlfn.XLOOKUP(frasest[[#This Row],[autor_es]],autorest[autor_es],autorest[codigo])</f>
        <v>eu</v>
      </c>
      <c r="K770" t="str">
        <f>_xlfn.XLOOKUP(frasest[[#This Row],[autor_es]],autorest[autor_es],autorest[idioma_es])</f>
        <v>Euskara</v>
      </c>
      <c r="L770" t="str">
        <f>_xlfn.XLOOKUP(frasest[[#This Row],[autor_es]],autorest[autor_es],autorest[idioma_la])</f>
        <v>Lingua Vasconica</v>
      </c>
      <c r="M770" t="str">
        <f>_xlfn.XLOOKUP(frasest[[#This Row],[autor_es]],autorest[autor_es],autorest[nacion_es])</f>
        <v>España</v>
      </c>
      <c r="N770" t="str">
        <f>_xlfn.XLOOKUP(frasest[[#This Row],[autor_es]],autorest[autor_es],autorest[nacion_la])</f>
        <v>Hispania</v>
      </c>
      <c r="O770" t="str">
        <f>_xlfn.XLOOKUP(frasest[[#This Row],[autor_es]],autorest[autor_es],autorest[epoca_es])</f>
        <v>Epoca Desconocida</v>
      </c>
      <c r="P770" t="str">
        <f>_xlfn.XLOOKUP(frasest[[#This Row],[autor_es]],autorest[autor_es],autorest[epoca_la])</f>
        <v>Epocha Ignota</v>
      </c>
      <c r="Q770" t="str">
        <f>_xlfn.XLOOKUP(frasest[[#This Row],[autor_es]],autorest[autor_es],autorest[imagen])</f>
        <v>https://i.ibb.co/bjgxB3kn/euskadi.png</v>
      </c>
      <c r="R770">
        <f>_xlfn.XLOOKUP(frasest[[#This Row],[autor_es]],autorest[autor_es],autorest[imagen_atr])</f>
        <v>0</v>
      </c>
    </row>
    <row r="771" spans="1:18">
      <c r="A771">
        <v>770</v>
      </c>
      <c r="B771" t="s">
        <v>2589</v>
      </c>
      <c r="C771" t="s">
        <v>2590</v>
      </c>
      <c r="D771" t="s">
        <v>2591</v>
      </c>
      <c r="E771" t="s">
        <v>1236</v>
      </c>
      <c r="G771" t="str">
        <f>_xlfn.XLOOKUP(frasest[[#This Row],[autor_es]],autorest[autor_es],autorest[autor_la])</f>
        <v>Sententia Vasconica</v>
      </c>
      <c r="H771" t="str">
        <f>_xlfn.XLOOKUP(frasest[[#This Row],[autor_es]],autorest[autor_es],autorest[bio_es])</f>
        <v>Proverbios de la tradición oral vasca que reflejan la relación con la naturaleza, el trabajo y los valores comunitarios del pueblo vasco.</v>
      </c>
      <c r="I771" t="str">
        <f>_xlfn.XLOOKUP(frasest[[#This Row],[autor_es]],autorest[autor_es],autorest[bio_la])</f>
        <v>Collectio sententiarum Vasconicarum.</v>
      </c>
      <c r="J771" t="str">
        <f>_xlfn.XLOOKUP(frasest[[#This Row],[autor_es]],autorest[autor_es],autorest[codigo])</f>
        <v>eu</v>
      </c>
      <c r="K771" t="str">
        <f>_xlfn.XLOOKUP(frasest[[#This Row],[autor_es]],autorest[autor_es],autorest[idioma_es])</f>
        <v>Euskara</v>
      </c>
      <c r="L771" t="str">
        <f>_xlfn.XLOOKUP(frasest[[#This Row],[autor_es]],autorest[autor_es],autorest[idioma_la])</f>
        <v>Lingua Vasconica</v>
      </c>
      <c r="M771" t="str">
        <f>_xlfn.XLOOKUP(frasest[[#This Row],[autor_es]],autorest[autor_es],autorest[nacion_es])</f>
        <v>España</v>
      </c>
      <c r="N771" t="str">
        <f>_xlfn.XLOOKUP(frasest[[#This Row],[autor_es]],autorest[autor_es],autorest[nacion_la])</f>
        <v>Hispania</v>
      </c>
      <c r="O771" t="str">
        <f>_xlfn.XLOOKUP(frasest[[#This Row],[autor_es]],autorest[autor_es],autorest[epoca_es])</f>
        <v>Epoca Desconocida</v>
      </c>
      <c r="P771" t="str">
        <f>_xlfn.XLOOKUP(frasest[[#This Row],[autor_es]],autorest[autor_es],autorest[epoca_la])</f>
        <v>Epocha Ignota</v>
      </c>
      <c r="Q771" t="str">
        <f>_xlfn.XLOOKUP(frasest[[#This Row],[autor_es]],autorest[autor_es],autorest[imagen])</f>
        <v>https://i.ibb.co/bjgxB3kn/euskadi.png</v>
      </c>
      <c r="R771">
        <f>_xlfn.XLOOKUP(frasest[[#This Row],[autor_es]],autorest[autor_es],autorest[imagen_atr])</f>
        <v>0</v>
      </c>
    </row>
    <row r="772" spans="1:18">
      <c r="A772">
        <v>771</v>
      </c>
      <c r="B772" t="s">
        <v>2592</v>
      </c>
      <c r="C772" t="s">
        <v>2593</v>
      </c>
      <c r="D772" t="s">
        <v>2594</v>
      </c>
      <c r="E772" t="s">
        <v>1236</v>
      </c>
      <c r="G772" t="str">
        <f>_xlfn.XLOOKUP(frasest[[#This Row],[autor_es]],autorest[autor_es],autorest[autor_la])</f>
        <v>Sententia Vasconica</v>
      </c>
      <c r="H772" t="str">
        <f>_xlfn.XLOOKUP(frasest[[#This Row],[autor_es]],autorest[autor_es],autorest[bio_es])</f>
        <v>Proverbios de la tradición oral vasca que reflejan la relación con la naturaleza, el trabajo y los valores comunitarios del pueblo vasco.</v>
      </c>
      <c r="I772" t="str">
        <f>_xlfn.XLOOKUP(frasest[[#This Row],[autor_es]],autorest[autor_es],autorest[bio_la])</f>
        <v>Collectio sententiarum Vasconicarum.</v>
      </c>
      <c r="J772" t="str">
        <f>_xlfn.XLOOKUP(frasest[[#This Row],[autor_es]],autorest[autor_es],autorest[codigo])</f>
        <v>eu</v>
      </c>
      <c r="K772" t="str">
        <f>_xlfn.XLOOKUP(frasest[[#This Row],[autor_es]],autorest[autor_es],autorest[idioma_es])</f>
        <v>Euskara</v>
      </c>
      <c r="L772" t="str">
        <f>_xlfn.XLOOKUP(frasest[[#This Row],[autor_es]],autorest[autor_es],autorest[idioma_la])</f>
        <v>Lingua Vasconica</v>
      </c>
      <c r="M772" t="str">
        <f>_xlfn.XLOOKUP(frasest[[#This Row],[autor_es]],autorest[autor_es],autorest[nacion_es])</f>
        <v>España</v>
      </c>
      <c r="N772" t="str">
        <f>_xlfn.XLOOKUP(frasest[[#This Row],[autor_es]],autorest[autor_es],autorest[nacion_la])</f>
        <v>Hispania</v>
      </c>
      <c r="O772" t="str">
        <f>_xlfn.XLOOKUP(frasest[[#This Row],[autor_es]],autorest[autor_es],autorest[epoca_es])</f>
        <v>Epoca Desconocida</v>
      </c>
      <c r="P772" t="str">
        <f>_xlfn.XLOOKUP(frasest[[#This Row],[autor_es]],autorest[autor_es],autorest[epoca_la])</f>
        <v>Epocha Ignota</v>
      </c>
      <c r="Q772" t="str">
        <f>_xlfn.XLOOKUP(frasest[[#This Row],[autor_es]],autorest[autor_es],autorest[imagen])</f>
        <v>https://i.ibb.co/bjgxB3kn/euskadi.png</v>
      </c>
      <c r="R772">
        <f>_xlfn.XLOOKUP(frasest[[#This Row],[autor_es]],autorest[autor_es],autorest[imagen_atr])</f>
        <v>0</v>
      </c>
    </row>
    <row r="773" spans="1:18">
      <c r="A773">
        <v>772</v>
      </c>
      <c r="B773" t="s">
        <v>2595</v>
      </c>
      <c r="C773" t="s">
        <v>2596</v>
      </c>
      <c r="D773" t="s">
        <v>2597</v>
      </c>
      <c r="E773" t="s">
        <v>1236</v>
      </c>
      <c r="G773" t="str">
        <f>_xlfn.XLOOKUP(frasest[[#This Row],[autor_es]],autorest[autor_es],autorest[autor_la])</f>
        <v>Sententia Vasconica</v>
      </c>
      <c r="H773" t="str">
        <f>_xlfn.XLOOKUP(frasest[[#This Row],[autor_es]],autorest[autor_es],autorest[bio_es])</f>
        <v>Proverbios de la tradición oral vasca que reflejan la relación con la naturaleza, el trabajo y los valores comunitarios del pueblo vasco.</v>
      </c>
      <c r="I773" t="str">
        <f>_xlfn.XLOOKUP(frasest[[#This Row],[autor_es]],autorest[autor_es],autorest[bio_la])</f>
        <v>Collectio sententiarum Vasconicarum.</v>
      </c>
      <c r="J773" t="str">
        <f>_xlfn.XLOOKUP(frasest[[#This Row],[autor_es]],autorest[autor_es],autorest[codigo])</f>
        <v>eu</v>
      </c>
      <c r="K773" t="str">
        <f>_xlfn.XLOOKUP(frasest[[#This Row],[autor_es]],autorest[autor_es],autorest[idioma_es])</f>
        <v>Euskara</v>
      </c>
      <c r="L773" t="str">
        <f>_xlfn.XLOOKUP(frasest[[#This Row],[autor_es]],autorest[autor_es],autorest[idioma_la])</f>
        <v>Lingua Vasconica</v>
      </c>
      <c r="M773" t="str">
        <f>_xlfn.XLOOKUP(frasest[[#This Row],[autor_es]],autorest[autor_es],autorest[nacion_es])</f>
        <v>España</v>
      </c>
      <c r="N773" t="str">
        <f>_xlfn.XLOOKUP(frasest[[#This Row],[autor_es]],autorest[autor_es],autorest[nacion_la])</f>
        <v>Hispania</v>
      </c>
      <c r="O773" t="str">
        <f>_xlfn.XLOOKUP(frasest[[#This Row],[autor_es]],autorest[autor_es],autorest[epoca_es])</f>
        <v>Epoca Desconocida</v>
      </c>
      <c r="P773" t="str">
        <f>_xlfn.XLOOKUP(frasest[[#This Row],[autor_es]],autorest[autor_es],autorest[epoca_la])</f>
        <v>Epocha Ignota</v>
      </c>
      <c r="Q773" t="str">
        <f>_xlfn.XLOOKUP(frasest[[#This Row],[autor_es]],autorest[autor_es],autorest[imagen])</f>
        <v>https://i.ibb.co/bjgxB3kn/euskadi.png</v>
      </c>
      <c r="R773">
        <f>_xlfn.XLOOKUP(frasest[[#This Row],[autor_es]],autorest[autor_es],autorest[imagen_atr])</f>
        <v>0</v>
      </c>
    </row>
    <row r="774" spans="1:18">
      <c r="A774">
        <v>773</v>
      </c>
      <c r="B774" t="s">
        <v>2598</v>
      </c>
      <c r="C774" t="s">
        <v>2599</v>
      </c>
      <c r="D774" t="s">
        <v>2600</v>
      </c>
      <c r="E774" t="s">
        <v>1236</v>
      </c>
      <c r="G774" t="str">
        <f>_xlfn.XLOOKUP(frasest[[#This Row],[autor_es]],autorest[autor_es],autorest[autor_la])</f>
        <v>Sententia Vasconica</v>
      </c>
      <c r="H774" t="str">
        <f>_xlfn.XLOOKUP(frasest[[#This Row],[autor_es]],autorest[autor_es],autorest[bio_es])</f>
        <v>Proverbios de la tradición oral vasca que reflejan la relación con la naturaleza, el trabajo y los valores comunitarios del pueblo vasco.</v>
      </c>
      <c r="I774" t="str">
        <f>_xlfn.XLOOKUP(frasest[[#This Row],[autor_es]],autorest[autor_es],autorest[bio_la])</f>
        <v>Collectio sententiarum Vasconicarum.</v>
      </c>
      <c r="J774" t="str">
        <f>_xlfn.XLOOKUP(frasest[[#This Row],[autor_es]],autorest[autor_es],autorest[codigo])</f>
        <v>eu</v>
      </c>
      <c r="K774" t="str">
        <f>_xlfn.XLOOKUP(frasest[[#This Row],[autor_es]],autorest[autor_es],autorest[idioma_es])</f>
        <v>Euskara</v>
      </c>
      <c r="L774" t="str">
        <f>_xlfn.XLOOKUP(frasest[[#This Row],[autor_es]],autorest[autor_es],autorest[idioma_la])</f>
        <v>Lingua Vasconica</v>
      </c>
      <c r="M774" t="str">
        <f>_xlfn.XLOOKUP(frasest[[#This Row],[autor_es]],autorest[autor_es],autorest[nacion_es])</f>
        <v>España</v>
      </c>
      <c r="N774" t="str">
        <f>_xlfn.XLOOKUP(frasest[[#This Row],[autor_es]],autorest[autor_es],autorest[nacion_la])</f>
        <v>Hispania</v>
      </c>
      <c r="O774" t="str">
        <f>_xlfn.XLOOKUP(frasest[[#This Row],[autor_es]],autorest[autor_es],autorest[epoca_es])</f>
        <v>Epoca Desconocida</v>
      </c>
      <c r="P774" t="str">
        <f>_xlfn.XLOOKUP(frasest[[#This Row],[autor_es]],autorest[autor_es],autorest[epoca_la])</f>
        <v>Epocha Ignota</v>
      </c>
      <c r="Q774" t="str">
        <f>_xlfn.XLOOKUP(frasest[[#This Row],[autor_es]],autorest[autor_es],autorest[imagen])</f>
        <v>https://i.ibb.co/bjgxB3kn/euskadi.png</v>
      </c>
      <c r="R774">
        <f>_xlfn.XLOOKUP(frasest[[#This Row],[autor_es]],autorest[autor_es],autorest[imagen_atr])</f>
        <v>0</v>
      </c>
    </row>
    <row r="775" spans="1:18">
      <c r="A775">
        <v>774</v>
      </c>
      <c r="B775" t="s">
        <v>2601</v>
      </c>
      <c r="C775" t="s">
        <v>2602</v>
      </c>
      <c r="D775" t="s">
        <v>2603</v>
      </c>
      <c r="E775" t="s">
        <v>1236</v>
      </c>
      <c r="G775" t="str">
        <f>_xlfn.XLOOKUP(frasest[[#This Row],[autor_es]],autorest[autor_es],autorest[autor_la])</f>
        <v>Sententia Vasconica</v>
      </c>
      <c r="H775" t="str">
        <f>_xlfn.XLOOKUP(frasest[[#This Row],[autor_es]],autorest[autor_es],autorest[bio_es])</f>
        <v>Proverbios de la tradición oral vasca que reflejan la relación con la naturaleza, el trabajo y los valores comunitarios del pueblo vasco.</v>
      </c>
      <c r="I775" t="str">
        <f>_xlfn.XLOOKUP(frasest[[#This Row],[autor_es]],autorest[autor_es],autorest[bio_la])</f>
        <v>Collectio sententiarum Vasconicarum.</v>
      </c>
      <c r="J775" t="str">
        <f>_xlfn.XLOOKUP(frasest[[#This Row],[autor_es]],autorest[autor_es],autorest[codigo])</f>
        <v>eu</v>
      </c>
      <c r="K775" t="str">
        <f>_xlfn.XLOOKUP(frasest[[#This Row],[autor_es]],autorest[autor_es],autorest[idioma_es])</f>
        <v>Euskara</v>
      </c>
      <c r="L775" t="str">
        <f>_xlfn.XLOOKUP(frasest[[#This Row],[autor_es]],autorest[autor_es],autorest[idioma_la])</f>
        <v>Lingua Vasconica</v>
      </c>
      <c r="M775" t="str">
        <f>_xlfn.XLOOKUP(frasest[[#This Row],[autor_es]],autorest[autor_es],autorest[nacion_es])</f>
        <v>España</v>
      </c>
      <c r="N775" t="str">
        <f>_xlfn.XLOOKUP(frasest[[#This Row],[autor_es]],autorest[autor_es],autorest[nacion_la])</f>
        <v>Hispania</v>
      </c>
      <c r="O775" t="str">
        <f>_xlfn.XLOOKUP(frasest[[#This Row],[autor_es]],autorest[autor_es],autorest[epoca_es])</f>
        <v>Epoca Desconocida</v>
      </c>
      <c r="P775" t="str">
        <f>_xlfn.XLOOKUP(frasest[[#This Row],[autor_es]],autorest[autor_es],autorest[epoca_la])</f>
        <v>Epocha Ignota</v>
      </c>
      <c r="Q775" t="str">
        <f>_xlfn.XLOOKUP(frasest[[#This Row],[autor_es]],autorest[autor_es],autorest[imagen])</f>
        <v>https://i.ibb.co/bjgxB3kn/euskadi.png</v>
      </c>
      <c r="R775">
        <f>_xlfn.XLOOKUP(frasest[[#This Row],[autor_es]],autorest[autor_es],autorest[imagen_atr])</f>
        <v>0</v>
      </c>
    </row>
    <row r="776" spans="1:18">
      <c r="A776">
        <v>775</v>
      </c>
      <c r="B776" t="s">
        <v>2604</v>
      </c>
      <c r="C776" t="s">
        <v>2605</v>
      </c>
      <c r="D776" t="s">
        <v>2606</v>
      </c>
      <c r="E776" t="s">
        <v>1236</v>
      </c>
      <c r="G776" t="str">
        <f>_xlfn.XLOOKUP(frasest[[#This Row],[autor_es]],autorest[autor_es],autorest[autor_la])</f>
        <v>Sententia Vasconica</v>
      </c>
      <c r="H776" t="str">
        <f>_xlfn.XLOOKUP(frasest[[#This Row],[autor_es]],autorest[autor_es],autorest[bio_es])</f>
        <v>Proverbios de la tradición oral vasca que reflejan la relación con la naturaleza, el trabajo y los valores comunitarios del pueblo vasco.</v>
      </c>
      <c r="I776" t="str">
        <f>_xlfn.XLOOKUP(frasest[[#This Row],[autor_es]],autorest[autor_es],autorest[bio_la])</f>
        <v>Collectio sententiarum Vasconicarum.</v>
      </c>
      <c r="J776" t="str">
        <f>_xlfn.XLOOKUP(frasest[[#This Row],[autor_es]],autorest[autor_es],autorest[codigo])</f>
        <v>eu</v>
      </c>
      <c r="K776" t="str">
        <f>_xlfn.XLOOKUP(frasest[[#This Row],[autor_es]],autorest[autor_es],autorest[idioma_es])</f>
        <v>Euskara</v>
      </c>
      <c r="L776" t="str">
        <f>_xlfn.XLOOKUP(frasest[[#This Row],[autor_es]],autorest[autor_es],autorest[idioma_la])</f>
        <v>Lingua Vasconica</v>
      </c>
      <c r="M776" t="str">
        <f>_xlfn.XLOOKUP(frasest[[#This Row],[autor_es]],autorest[autor_es],autorest[nacion_es])</f>
        <v>España</v>
      </c>
      <c r="N776" t="str">
        <f>_xlfn.XLOOKUP(frasest[[#This Row],[autor_es]],autorest[autor_es],autorest[nacion_la])</f>
        <v>Hispania</v>
      </c>
      <c r="O776" t="str">
        <f>_xlfn.XLOOKUP(frasest[[#This Row],[autor_es]],autorest[autor_es],autorest[epoca_es])</f>
        <v>Epoca Desconocida</v>
      </c>
      <c r="P776" t="str">
        <f>_xlfn.XLOOKUP(frasest[[#This Row],[autor_es]],autorest[autor_es],autorest[epoca_la])</f>
        <v>Epocha Ignota</v>
      </c>
      <c r="Q776" t="str">
        <f>_xlfn.XLOOKUP(frasest[[#This Row],[autor_es]],autorest[autor_es],autorest[imagen])</f>
        <v>https://i.ibb.co/bjgxB3kn/euskadi.png</v>
      </c>
      <c r="R776">
        <f>_xlfn.XLOOKUP(frasest[[#This Row],[autor_es]],autorest[autor_es],autorest[imagen_atr])</f>
        <v>0</v>
      </c>
    </row>
    <row r="777" spans="1:18">
      <c r="A777">
        <v>776</v>
      </c>
      <c r="B777" t="s">
        <v>2607</v>
      </c>
      <c r="C777" t="s">
        <v>2608</v>
      </c>
      <c r="D777" t="s">
        <v>2609</v>
      </c>
      <c r="E777" t="s">
        <v>1236</v>
      </c>
      <c r="G777" t="str">
        <f>_xlfn.XLOOKUP(frasest[[#This Row],[autor_es]],autorest[autor_es],autorest[autor_la])</f>
        <v>Sententia Vasconica</v>
      </c>
      <c r="H777" t="str">
        <f>_xlfn.XLOOKUP(frasest[[#This Row],[autor_es]],autorest[autor_es],autorest[bio_es])</f>
        <v>Proverbios de la tradición oral vasca que reflejan la relación con la naturaleza, el trabajo y los valores comunitarios del pueblo vasco.</v>
      </c>
      <c r="I777" t="str">
        <f>_xlfn.XLOOKUP(frasest[[#This Row],[autor_es]],autorest[autor_es],autorest[bio_la])</f>
        <v>Collectio sententiarum Vasconicarum.</v>
      </c>
      <c r="J777" t="str">
        <f>_xlfn.XLOOKUP(frasest[[#This Row],[autor_es]],autorest[autor_es],autorest[codigo])</f>
        <v>eu</v>
      </c>
      <c r="K777" t="str">
        <f>_xlfn.XLOOKUP(frasest[[#This Row],[autor_es]],autorest[autor_es],autorest[idioma_es])</f>
        <v>Euskara</v>
      </c>
      <c r="L777" t="str">
        <f>_xlfn.XLOOKUP(frasest[[#This Row],[autor_es]],autorest[autor_es],autorest[idioma_la])</f>
        <v>Lingua Vasconica</v>
      </c>
      <c r="M777" t="str">
        <f>_xlfn.XLOOKUP(frasest[[#This Row],[autor_es]],autorest[autor_es],autorest[nacion_es])</f>
        <v>España</v>
      </c>
      <c r="N777" t="str">
        <f>_xlfn.XLOOKUP(frasest[[#This Row],[autor_es]],autorest[autor_es],autorest[nacion_la])</f>
        <v>Hispania</v>
      </c>
      <c r="O777" t="str">
        <f>_xlfn.XLOOKUP(frasest[[#This Row],[autor_es]],autorest[autor_es],autorest[epoca_es])</f>
        <v>Epoca Desconocida</v>
      </c>
      <c r="P777" t="str">
        <f>_xlfn.XLOOKUP(frasest[[#This Row],[autor_es]],autorest[autor_es],autorest[epoca_la])</f>
        <v>Epocha Ignota</v>
      </c>
      <c r="Q777" t="str">
        <f>_xlfn.XLOOKUP(frasest[[#This Row],[autor_es]],autorest[autor_es],autorest[imagen])</f>
        <v>https://i.ibb.co/bjgxB3kn/euskadi.png</v>
      </c>
      <c r="R777">
        <f>_xlfn.XLOOKUP(frasest[[#This Row],[autor_es]],autorest[autor_es],autorest[imagen_atr])</f>
        <v>0</v>
      </c>
    </row>
    <row r="778" spans="1:18">
      <c r="A778">
        <v>777</v>
      </c>
      <c r="B778" t="s">
        <v>2610</v>
      </c>
      <c r="C778" t="s">
        <v>2611</v>
      </c>
      <c r="D778" t="s">
        <v>2612</v>
      </c>
      <c r="E778" t="s">
        <v>1236</v>
      </c>
      <c r="G778" t="str">
        <f>_xlfn.XLOOKUP(frasest[[#This Row],[autor_es]],autorest[autor_es],autorest[autor_la])</f>
        <v>Sententia Vasconica</v>
      </c>
      <c r="H778" t="str">
        <f>_xlfn.XLOOKUP(frasest[[#This Row],[autor_es]],autorest[autor_es],autorest[bio_es])</f>
        <v>Proverbios de la tradición oral vasca que reflejan la relación con la naturaleza, el trabajo y los valores comunitarios del pueblo vasco.</v>
      </c>
      <c r="I778" t="str">
        <f>_xlfn.XLOOKUP(frasest[[#This Row],[autor_es]],autorest[autor_es],autorest[bio_la])</f>
        <v>Collectio sententiarum Vasconicarum.</v>
      </c>
      <c r="J778" t="str">
        <f>_xlfn.XLOOKUP(frasest[[#This Row],[autor_es]],autorest[autor_es],autorest[codigo])</f>
        <v>eu</v>
      </c>
      <c r="K778" t="str">
        <f>_xlfn.XLOOKUP(frasest[[#This Row],[autor_es]],autorest[autor_es],autorest[idioma_es])</f>
        <v>Euskara</v>
      </c>
      <c r="L778" t="str">
        <f>_xlfn.XLOOKUP(frasest[[#This Row],[autor_es]],autorest[autor_es],autorest[idioma_la])</f>
        <v>Lingua Vasconica</v>
      </c>
      <c r="M778" t="str">
        <f>_xlfn.XLOOKUP(frasest[[#This Row],[autor_es]],autorest[autor_es],autorest[nacion_es])</f>
        <v>España</v>
      </c>
      <c r="N778" t="str">
        <f>_xlfn.XLOOKUP(frasest[[#This Row],[autor_es]],autorest[autor_es],autorest[nacion_la])</f>
        <v>Hispania</v>
      </c>
      <c r="O778" t="str">
        <f>_xlfn.XLOOKUP(frasest[[#This Row],[autor_es]],autorest[autor_es],autorest[epoca_es])</f>
        <v>Epoca Desconocida</v>
      </c>
      <c r="P778" t="str">
        <f>_xlfn.XLOOKUP(frasest[[#This Row],[autor_es]],autorest[autor_es],autorest[epoca_la])</f>
        <v>Epocha Ignota</v>
      </c>
      <c r="Q778" t="str">
        <f>_xlfn.XLOOKUP(frasest[[#This Row],[autor_es]],autorest[autor_es],autorest[imagen])</f>
        <v>https://i.ibb.co/bjgxB3kn/euskadi.png</v>
      </c>
      <c r="R778">
        <f>_xlfn.XLOOKUP(frasest[[#This Row],[autor_es]],autorest[autor_es],autorest[imagen_atr])</f>
        <v>0</v>
      </c>
    </row>
    <row r="779" spans="1:18">
      <c r="A779">
        <v>778</v>
      </c>
      <c r="B779" t="s">
        <v>2613</v>
      </c>
      <c r="C779" t="s">
        <v>2614</v>
      </c>
      <c r="D779" t="s">
        <v>2615</v>
      </c>
      <c r="E779" t="s">
        <v>1236</v>
      </c>
      <c r="G779" t="str">
        <f>_xlfn.XLOOKUP(frasest[[#This Row],[autor_es]],autorest[autor_es],autorest[autor_la])</f>
        <v>Sententia Vasconica</v>
      </c>
      <c r="H779" t="str">
        <f>_xlfn.XLOOKUP(frasest[[#This Row],[autor_es]],autorest[autor_es],autorest[bio_es])</f>
        <v>Proverbios de la tradición oral vasca que reflejan la relación con la naturaleza, el trabajo y los valores comunitarios del pueblo vasco.</v>
      </c>
      <c r="I779" t="str">
        <f>_xlfn.XLOOKUP(frasest[[#This Row],[autor_es]],autorest[autor_es],autorest[bio_la])</f>
        <v>Collectio sententiarum Vasconicarum.</v>
      </c>
      <c r="J779" t="str">
        <f>_xlfn.XLOOKUP(frasest[[#This Row],[autor_es]],autorest[autor_es],autorest[codigo])</f>
        <v>eu</v>
      </c>
      <c r="K779" t="str">
        <f>_xlfn.XLOOKUP(frasest[[#This Row],[autor_es]],autorest[autor_es],autorest[idioma_es])</f>
        <v>Euskara</v>
      </c>
      <c r="L779" t="str">
        <f>_xlfn.XLOOKUP(frasest[[#This Row],[autor_es]],autorest[autor_es],autorest[idioma_la])</f>
        <v>Lingua Vasconica</v>
      </c>
      <c r="M779" t="str">
        <f>_xlfn.XLOOKUP(frasest[[#This Row],[autor_es]],autorest[autor_es],autorest[nacion_es])</f>
        <v>España</v>
      </c>
      <c r="N779" t="str">
        <f>_xlfn.XLOOKUP(frasest[[#This Row],[autor_es]],autorest[autor_es],autorest[nacion_la])</f>
        <v>Hispania</v>
      </c>
      <c r="O779" t="str">
        <f>_xlfn.XLOOKUP(frasest[[#This Row],[autor_es]],autorest[autor_es],autorest[epoca_es])</f>
        <v>Epoca Desconocida</v>
      </c>
      <c r="P779" t="str">
        <f>_xlfn.XLOOKUP(frasest[[#This Row],[autor_es]],autorest[autor_es],autorest[epoca_la])</f>
        <v>Epocha Ignota</v>
      </c>
      <c r="Q779" t="str">
        <f>_xlfn.XLOOKUP(frasest[[#This Row],[autor_es]],autorest[autor_es],autorest[imagen])</f>
        <v>https://i.ibb.co/bjgxB3kn/euskadi.png</v>
      </c>
      <c r="R779">
        <f>_xlfn.XLOOKUP(frasest[[#This Row],[autor_es]],autorest[autor_es],autorest[imagen_atr])</f>
        <v>0</v>
      </c>
    </row>
    <row r="780" spans="1:18">
      <c r="A780">
        <v>779</v>
      </c>
      <c r="B780" t="s">
        <v>2616</v>
      </c>
      <c r="C780" t="s">
        <v>2617</v>
      </c>
      <c r="D780" t="s">
        <v>2618</v>
      </c>
      <c r="E780" t="s">
        <v>1236</v>
      </c>
      <c r="G780" t="str">
        <f>_xlfn.XLOOKUP(frasest[[#This Row],[autor_es]],autorest[autor_es],autorest[autor_la])</f>
        <v>Sententia Vasconica</v>
      </c>
      <c r="H780" t="str">
        <f>_xlfn.XLOOKUP(frasest[[#This Row],[autor_es]],autorest[autor_es],autorest[bio_es])</f>
        <v>Proverbios de la tradición oral vasca que reflejan la relación con la naturaleza, el trabajo y los valores comunitarios del pueblo vasco.</v>
      </c>
      <c r="I780" t="str">
        <f>_xlfn.XLOOKUP(frasest[[#This Row],[autor_es]],autorest[autor_es],autorest[bio_la])</f>
        <v>Collectio sententiarum Vasconicarum.</v>
      </c>
      <c r="J780" t="str">
        <f>_xlfn.XLOOKUP(frasest[[#This Row],[autor_es]],autorest[autor_es],autorest[codigo])</f>
        <v>eu</v>
      </c>
      <c r="K780" t="str">
        <f>_xlfn.XLOOKUP(frasest[[#This Row],[autor_es]],autorest[autor_es],autorest[idioma_es])</f>
        <v>Euskara</v>
      </c>
      <c r="L780" t="str">
        <f>_xlfn.XLOOKUP(frasest[[#This Row],[autor_es]],autorest[autor_es],autorest[idioma_la])</f>
        <v>Lingua Vasconica</v>
      </c>
      <c r="M780" t="str">
        <f>_xlfn.XLOOKUP(frasest[[#This Row],[autor_es]],autorest[autor_es],autorest[nacion_es])</f>
        <v>España</v>
      </c>
      <c r="N780" t="str">
        <f>_xlfn.XLOOKUP(frasest[[#This Row],[autor_es]],autorest[autor_es],autorest[nacion_la])</f>
        <v>Hispania</v>
      </c>
      <c r="O780" t="str">
        <f>_xlfn.XLOOKUP(frasest[[#This Row],[autor_es]],autorest[autor_es],autorest[epoca_es])</f>
        <v>Epoca Desconocida</v>
      </c>
      <c r="P780" t="str">
        <f>_xlfn.XLOOKUP(frasest[[#This Row],[autor_es]],autorest[autor_es],autorest[epoca_la])</f>
        <v>Epocha Ignota</v>
      </c>
      <c r="Q780" t="str">
        <f>_xlfn.XLOOKUP(frasest[[#This Row],[autor_es]],autorest[autor_es],autorest[imagen])</f>
        <v>https://i.ibb.co/bjgxB3kn/euskadi.png</v>
      </c>
      <c r="R780">
        <f>_xlfn.XLOOKUP(frasest[[#This Row],[autor_es]],autorest[autor_es],autorest[imagen_atr])</f>
        <v>0</v>
      </c>
    </row>
    <row r="781" spans="1:18">
      <c r="A781">
        <v>780</v>
      </c>
      <c r="B781" t="s">
        <v>2619</v>
      </c>
      <c r="C781" t="s">
        <v>2620</v>
      </c>
      <c r="D781" t="s">
        <v>2621</v>
      </c>
      <c r="E781" t="s">
        <v>1236</v>
      </c>
      <c r="G781" t="str">
        <f>_xlfn.XLOOKUP(frasest[[#This Row],[autor_es]],autorest[autor_es],autorest[autor_la])</f>
        <v>Sententia Vasconica</v>
      </c>
      <c r="H781" t="str">
        <f>_xlfn.XLOOKUP(frasest[[#This Row],[autor_es]],autorest[autor_es],autorest[bio_es])</f>
        <v>Proverbios de la tradición oral vasca que reflejan la relación con la naturaleza, el trabajo y los valores comunitarios del pueblo vasco.</v>
      </c>
      <c r="I781" t="str">
        <f>_xlfn.XLOOKUP(frasest[[#This Row],[autor_es]],autorest[autor_es],autorest[bio_la])</f>
        <v>Collectio sententiarum Vasconicarum.</v>
      </c>
      <c r="J781" t="str">
        <f>_xlfn.XLOOKUP(frasest[[#This Row],[autor_es]],autorest[autor_es],autorest[codigo])</f>
        <v>eu</v>
      </c>
      <c r="K781" t="str">
        <f>_xlfn.XLOOKUP(frasest[[#This Row],[autor_es]],autorest[autor_es],autorest[idioma_es])</f>
        <v>Euskara</v>
      </c>
      <c r="L781" t="str">
        <f>_xlfn.XLOOKUP(frasest[[#This Row],[autor_es]],autorest[autor_es],autorest[idioma_la])</f>
        <v>Lingua Vasconica</v>
      </c>
      <c r="M781" t="str">
        <f>_xlfn.XLOOKUP(frasest[[#This Row],[autor_es]],autorest[autor_es],autorest[nacion_es])</f>
        <v>España</v>
      </c>
      <c r="N781" t="str">
        <f>_xlfn.XLOOKUP(frasest[[#This Row],[autor_es]],autorest[autor_es],autorest[nacion_la])</f>
        <v>Hispania</v>
      </c>
      <c r="O781" t="str">
        <f>_xlfn.XLOOKUP(frasest[[#This Row],[autor_es]],autorest[autor_es],autorest[epoca_es])</f>
        <v>Epoca Desconocida</v>
      </c>
      <c r="P781" t="str">
        <f>_xlfn.XLOOKUP(frasest[[#This Row],[autor_es]],autorest[autor_es],autorest[epoca_la])</f>
        <v>Epocha Ignota</v>
      </c>
      <c r="Q781" t="str">
        <f>_xlfn.XLOOKUP(frasest[[#This Row],[autor_es]],autorest[autor_es],autorest[imagen])</f>
        <v>https://i.ibb.co/bjgxB3kn/euskadi.png</v>
      </c>
      <c r="R781">
        <f>_xlfn.XLOOKUP(frasest[[#This Row],[autor_es]],autorest[autor_es],autorest[imagen_atr])</f>
        <v>0</v>
      </c>
    </row>
    <row r="782" spans="1:18">
      <c r="A782">
        <v>781</v>
      </c>
      <c r="B782" t="s">
        <v>2622</v>
      </c>
      <c r="C782" t="s">
        <v>2623</v>
      </c>
      <c r="D782" t="s">
        <v>2624</v>
      </c>
      <c r="E782" t="s">
        <v>1236</v>
      </c>
      <c r="G782" t="str">
        <f>_xlfn.XLOOKUP(frasest[[#This Row],[autor_es]],autorest[autor_es],autorest[autor_la])</f>
        <v>Sententia Vasconica</v>
      </c>
      <c r="H782" t="str">
        <f>_xlfn.XLOOKUP(frasest[[#This Row],[autor_es]],autorest[autor_es],autorest[bio_es])</f>
        <v>Proverbios de la tradición oral vasca que reflejan la relación con la naturaleza, el trabajo y los valores comunitarios del pueblo vasco.</v>
      </c>
      <c r="I782" t="str">
        <f>_xlfn.XLOOKUP(frasest[[#This Row],[autor_es]],autorest[autor_es],autorest[bio_la])</f>
        <v>Collectio sententiarum Vasconicarum.</v>
      </c>
      <c r="J782" t="str">
        <f>_xlfn.XLOOKUP(frasest[[#This Row],[autor_es]],autorest[autor_es],autorest[codigo])</f>
        <v>eu</v>
      </c>
      <c r="K782" t="str">
        <f>_xlfn.XLOOKUP(frasest[[#This Row],[autor_es]],autorest[autor_es],autorest[idioma_es])</f>
        <v>Euskara</v>
      </c>
      <c r="L782" t="str">
        <f>_xlfn.XLOOKUP(frasest[[#This Row],[autor_es]],autorest[autor_es],autorest[idioma_la])</f>
        <v>Lingua Vasconica</v>
      </c>
      <c r="M782" t="str">
        <f>_xlfn.XLOOKUP(frasest[[#This Row],[autor_es]],autorest[autor_es],autorest[nacion_es])</f>
        <v>España</v>
      </c>
      <c r="N782" t="str">
        <f>_xlfn.XLOOKUP(frasest[[#This Row],[autor_es]],autorest[autor_es],autorest[nacion_la])</f>
        <v>Hispania</v>
      </c>
      <c r="O782" t="str">
        <f>_xlfn.XLOOKUP(frasest[[#This Row],[autor_es]],autorest[autor_es],autorest[epoca_es])</f>
        <v>Epoca Desconocida</v>
      </c>
      <c r="P782" t="str">
        <f>_xlfn.XLOOKUP(frasest[[#This Row],[autor_es]],autorest[autor_es],autorest[epoca_la])</f>
        <v>Epocha Ignota</v>
      </c>
      <c r="Q782" t="str">
        <f>_xlfn.XLOOKUP(frasest[[#This Row],[autor_es]],autorest[autor_es],autorest[imagen])</f>
        <v>https://i.ibb.co/bjgxB3kn/euskadi.png</v>
      </c>
      <c r="R782">
        <f>_xlfn.XLOOKUP(frasest[[#This Row],[autor_es]],autorest[autor_es],autorest[imagen_atr])</f>
        <v>0</v>
      </c>
    </row>
    <row r="783" spans="1:18">
      <c r="A783">
        <v>782</v>
      </c>
      <c r="B783" t="s">
        <v>2625</v>
      </c>
      <c r="C783" t="s">
        <v>2626</v>
      </c>
      <c r="D783" t="s">
        <v>2627</v>
      </c>
      <c r="E783" t="s">
        <v>1236</v>
      </c>
      <c r="G783" t="str">
        <f>_xlfn.XLOOKUP(frasest[[#This Row],[autor_es]],autorest[autor_es],autorest[autor_la])</f>
        <v>Sententia Vasconica</v>
      </c>
      <c r="H783" t="str">
        <f>_xlfn.XLOOKUP(frasest[[#This Row],[autor_es]],autorest[autor_es],autorest[bio_es])</f>
        <v>Proverbios de la tradición oral vasca que reflejan la relación con la naturaleza, el trabajo y los valores comunitarios del pueblo vasco.</v>
      </c>
      <c r="I783" t="str">
        <f>_xlfn.XLOOKUP(frasest[[#This Row],[autor_es]],autorest[autor_es],autorest[bio_la])</f>
        <v>Collectio sententiarum Vasconicarum.</v>
      </c>
      <c r="J783" t="str">
        <f>_xlfn.XLOOKUP(frasest[[#This Row],[autor_es]],autorest[autor_es],autorest[codigo])</f>
        <v>eu</v>
      </c>
      <c r="K783" t="str">
        <f>_xlfn.XLOOKUP(frasest[[#This Row],[autor_es]],autorest[autor_es],autorest[idioma_es])</f>
        <v>Euskara</v>
      </c>
      <c r="L783" t="str">
        <f>_xlfn.XLOOKUP(frasest[[#This Row],[autor_es]],autorest[autor_es],autorest[idioma_la])</f>
        <v>Lingua Vasconica</v>
      </c>
      <c r="M783" t="str">
        <f>_xlfn.XLOOKUP(frasest[[#This Row],[autor_es]],autorest[autor_es],autorest[nacion_es])</f>
        <v>España</v>
      </c>
      <c r="N783" t="str">
        <f>_xlfn.XLOOKUP(frasest[[#This Row],[autor_es]],autorest[autor_es],autorest[nacion_la])</f>
        <v>Hispania</v>
      </c>
      <c r="O783" t="str">
        <f>_xlfn.XLOOKUP(frasest[[#This Row],[autor_es]],autorest[autor_es],autorest[epoca_es])</f>
        <v>Epoca Desconocida</v>
      </c>
      <c r="P783" t="str">
        <f>_xlfn.XLOOKUP(frasest[[#This Row],[autor_es]],autorest[autor_es],autorest[epoca_la])</f>
        <v>Epocha Ignota</v>
      </c>
      <c r="Q783" t="str">
        <f>_xlfn.XLOOKUP(frasest[[#This Row],[autor_es]],autorest[autor_es],autorest[imagen])</f>
        <v>https://i.ibb.co/bjgxB3kn/euskadi.png</v>
      </c>
      <c r="R783">
        <f>_xlfn.XLOOKUP(frasest[[#This Row],[autor_es]],autorest[autor_es],autorest[imagen_atr])</f>
        <v>0</v>
      </c>
    </row>
    <row r="784" spans="1:18">
      <c r="A784">
        <v>783</v>
      </c>
      <c r="B784" t="s">
        <v>2628</v>
      </c>
      <c r="C784" t="s">
        <v>2629</v>
      </c>
      <c r="D784" t="s">
        <v>2630</v>
      </c>
      <c r="E784" t="s">
        <v>1236</v>
      </c>
      <c r="G784" t="str">
        <f>_xlfn.XLOOKUP(frasest[[#This Row],[autor_es]],autorest[autor_es],autorest[autor_la])</f>
        <v>Sententia Vasconica</v>
      </c>
      <c r="H784" t="str">
        <f>_xlfn.XLOOKUP(frasest[[#This Row],[autor_es]],autorest[autor_es],autorest[bio_es])</f>
        <v>Proverbios de la tradición oral vasca que reflejan la relación con la naturaleza, el trabajo y los valores comunitarios del pueblo vasco.</v>
      </c>
      <c r="I784" t="str">
        <f>_xlfn.XLOOKUP(frasest[[#This Row],[autor_es]],autorest[autor_es],autorest[bio_la])</f>
        <v>Collectio sententiarum Vasconicarum.</v>
      </c>
      <c r="J784" t="str">
        <f>_xlfn.XLOOKUP(frasest[[#This Row],[autor_es]],autorest[autor_es],autorest[codigo])</f>
        <v>eu</v>
      </c>
      <c r="K784" t="str">
        <f>_xlfn.XLOOKUP(frasest[[#This Row],[autor_es]],autorest[autor_es],autorest[idioma_es])</f>
        <v>Euskara</v>
      </c>
      <c r="L784" t="str">
        <f>_xlfn.XLOOKUP(frasest[[#This Row],[autor_es]],autorest[autor_es],autorest[idioma_la])</f>
        <v>Lingua Vasconica</v>
      </c>
      <c r="M784" t="str">
        <f>_xlfn.XLOOKUP(frasest[[#This Row],[autor_es]],autorest[autor_es],autorest[nacion_es])</f>
        <v>España</v>
      </c>
      <c r="N784" t="str">
        <f>_xlfn.XLOOKUP(frasest[[#This Row],[autor_es]],autorest[autor_es],autorest[nacion_la])</f>
        <v>Hispania</v>
      </c>
      <c r="O784" t="str">
        <f>_xlfn.XLOOKUP(frasest[[#This Row],[autor_es]],autorest[autor_es],autorest[epoca_es])</f>
        <v>Epoca Desconocida</v>
      </c>
      <c r="P784" t="str">
        <f>_xlfn.XLOOKUP(frasest[[#This Row],[autor_es]],autorest[autor_es],autorest[epoca_la])</f>
        <v>Epocha Ignota</v>
      </c>
      <c r="Q784" t="str">
        <f>_xlfn.XLOOKUP(frasest[[#This Row],[autor_es]],autorest[autor_es],autorest[imagen])</f>
        <v>https://i.ibb.co/bjgxB3kn/euskadi.png</v>
      </c>
      <c r="R784">
        <f>_xlfn.XLOOKUP(frasest[[#This Row],[autor_es]],autorest[autor_es],autorest[imagen_atr])</f>
        <v>0</v>
      </c>
    </row>
    <row r="785" spans="1:18">
      <c r="A785">
        <v>784</v>
      </c>
      <c r="B785" t="s">
        <v>2631</v>
      </c>
      <c r="C785" t="s">
        <v>2632</v>
      </c>
      <c r="D785" t="s">
        <v>2633</v>
      </c>
      <c r="E785" t="s">
        <v>1236</v>
      </c>
      <c r="G785" t="str">
        <f>_xlfn.XLOOKUP(frasest[[#This Row],[autor_es]],autorest[autor_es],autorest[autor_la])</f>
        <v>Sententia Vasconica</v>
      </c>
      <c r="H785" t="str">
        <f>_xlfn.XLOOKUP(frasest[[#This Row],[autor_es]],autorest[autor_es],autorest[bio_es])</f>
        <v>Proverbios de la tradición oral vasca que reflejan la relación con la naturaleza, el trabajo y los valores comunitarios del pueblo vasco.</v>
      </c>
      <c r="I785" t="str">
        <f>_xlfn.XLOOKUP(frasest[[#This Row],[autor_es]],autorest[autor_es],autorest[bio_la])</f>
        <v>Collectio sententiarum Vasconicarum.</v>
      </c>
      <c r="J785" t="str">
        <f>_xlfn.XLOOKUP(frasest[[#This Row],[autor_es]],autorest[autor_es],autorest[codigo])</f>
        <v>eu</v>
      </c>
      <c r="K785" t="str">
        <f>_xlfn.XLOOKUP(frasest[[#This Row],[autor_es]],autorest[autor_es],autorest[idioma_es])</f>
        <v>Euskara</v>
      </c>
      <c r="L785" t="str">
        <f>_xlfn.XLOOKUP(frasest[[#This Row],[autor_es]],autorest[autor_es],autorest[idioma_la])</f>
        <v>Lingua Vasconica</v>
      </c>
      <c r="M785" t="str">
        <f>_xlfn.XLOOKUP(frasest[[#This Row],[autor_es]],autorest[autor_es],autorest[nacion_es])</f>
        <v>España</v>
      </c>
      <c r="N785" t="str">
        <f>_xlfn.XLOOKUP(frasest[[#This Row],[autor_es]],autorest[autor_es],autorest[nacion_la])</f>
        <v>Hispania</v>
      </c>
      <c r="O785" t="str">
        <f>_xlfn.XLOOKUP(frasest[[#This Row],[autor_es]],autorest[autor_es],autorest[epoca_es])</f>
        <v>Epoca Desconocida</v>
      </c>
      <c r="P785" t="str">
        <f>_xlfn.XLOOKUP(frasest[[#This Row],[autor_es]],autorest[autor_es],autorest[epoca_la])</f>
        <v>Epocha Ignota</v>
      </c>
      <c r="Q785" t="str">
        <f>_xlfn.XLOOKUP(frasest[[#This Row],[autor_es]],autorest[autor_es],autorest[imagen])</f>
        <v>https://i.ibb.co/bjgxB3kn/euskadi.png</v>
      </c>
      <c r="R785">
        <f>_xlfn.XLOOKUP(frasest[[#This Row],[autor_es]],autorest[autor_es],autorest[imagen_atr])</f>
        <v>0</v>
      </c>
    </row>
    <row r="786" spans="1:18">
      <c r="A786">
        <v>785</v>
      </c>
      <c r="B786" t="s">
        <v>2634</v>
      </c>
      <c r="C786" t="s">
        <v>2635</v>
      </c>
      <c r="D786" t="s">
        <v>2636</v>
      </c>
      <c r="E786" t="s">
        <v>1236</v>
      </c>
      <c r="G786" t="str">
        <f>_xlfn.XLOOKUP(frasest[[#This Row],[autor_es]],autorest[autor_es],autorest[autor_la])</f>
        <v>Sententia Vasconica</v>
      </c>
      <c r="H786" t="str">
        <f>_xlfn.XLOOKUP(frasest[[#This Row],[autor_es]],autorest[autor_es],autorest[bio_es])</f>
        <v>Proverbios de la tradición oral vasca que reflejan la relación con la naturaleza, el trabajo y los valores comunitarios del pueblo vasco.</v>
      </c>
      <c r="I786" t="str">
        <f>_xlfn.XLOOKUP(frasest[[#This Row],[autor_es]],autorest[autor_es],autorest[bio_la])</f>
        <v>Collectio sententiarum Vasconicarum.</v>
      </c>
      <c r="J786" t="str">
        <f>_xlfn.XLOOKUP(frasest[[#This Row],[autor_es]],autorest[autor_es],autorest[codigo])</f>
        <v>eu</v>
      </c>
      <c r="K786" t="str">
        <f>_xlfn.XLOOKUP(frasest[[#This Row],[autor_es]],autorest[autor_es],autorest[idioma_es])</f>
        <v>Euskara</v>
      </c>
      <c r="L786" t="str">
        <f>_xlfn.XLOOKUP(frasest[[#This Row],[autor_es]],autorest[autor_es],autorest[idioma_la])</f>
        <v>Lingua Vasconica</v>
      </c>
      <c r="M786" t="str">
        <f>_xlfn.XLOOKUP(frasest[[#This Row],[autor_es]],autorest[autor_es],autorest[nacion_es])</f>
        <v>España</v>
      </c>
      <c r="N786" t="str">
        <f>_xlfn.XLOOKUP(frasest[[#This Row],[autor_es]],autorest[autor_es],autorest[nacion_la])</f>
        <v>Hispania</v>
      </c>
      <c r="O786" t="str">
        <f>_xlfn.XLOOKUP(frasest[[#This Row],[autor_es]],autorest[autor_es],autorest[epoca_es])</f>
        <v>Epoca Desconocida</v>
      </c>
      <c r="P786" t="str">
        <f>_xlfn.XLOOKUP(frasest[[#This Row],[autor_es]],autorest[autor_es],autorest[epoca_la])</f>
        <v>Epocha Ignota</v>
      </c>
      <c r="Q786" t="str">
        <f>_xlfn.XLOOKUP(frasest[[#This Row],[autor_es]],autorest[autor_es],autorest[imagen])</f>
        <v>https://i.ibb.co/bjgxB3kn/euskadi.png</v>
      </c>
      <c r="R786">
        <f>_xlfn.XLOOKUP(frasest[[#This Row],[autor_es]],autorest[autor_es],autorest[imagen_atr])</f>
        <v>0</v>
      </c>
    </row>
    <row r="787" spans="1:18">
      <c r="A787">
        <v>786</v>
      </c>
      <c r="B787" t="s">
        <v>2637</v>
      </c>
      <c r="C787" t="s">
        <v>2638</v>
      </c>
      <c r="D787" t="s">
        <v>2639</v>
      </c>
      <c r="E787" t="s">
        <v>1236</v>
      </c>
      <c r="G787" t="str">
        <f>_xlfn.XLOOKUP(frasest[[#This Row],[autor_es]],autorest[autor_es],autorest[autor_la])</f>
        <v>Sententia Vasconica</v>
      </c>
      <c r="H787" t="str">
        <f>_xlfn.XLOOKUP(frasest[[#This Row],[autor_es]],autorest[autor_es],autorest[bio_es])</f>
        <v>Proverbios de la tradición oral vasca que reflejan la relación con la naturaleza, el trabajo y los valores comunitarios del pueblo vasco.</v>
      </c>
      <c r="I787" t="str">
        <f>_xlfn.XLOOKUP(frasest[[#This Row],[autor_es]],autorest[autor_es],autorest[bio_la])</f>
        <v>Collectio sententiarum Vasconicarum.</v>
      </c>
      <c r="J787" t="str">
        <f>_xlfn.XLOOKUP(frasest[[#This Row],[autor_es]],autorest[autor_es],autorest[codigo])</f>
        <v>eu</v>
      </c>
      <c r="K787" t="str">
        <f>_xlfn.XLOOKUP(frasest[[#This Row],[autor_es]],autorest[autor_es],autorest[idioma_es])</f>
        <v>Euskara</v>
      </c>
      <c r="L787" t="str">
        <f>_xlfn.XLOOKUP(frasest[[#This Row],[autor_es]],autorest[autor_es],autorest[idioma_la])</f>
        <v>Lingua Vasconica</v>
      </c>
      <c r="M787" t="str">
        <f>_xlfn.XLOOKUP(frasest[[#This Row],[autor_es]],autorest[autor_es],autorest[nacion_es])</f>
        <v>España</v>
      </c>
      <c r="N787" t="str">
        <f>_xlfn.XLOOKUP(frasest[[#This Row],[autor_es]],autorest[autor_es],autorest[nacion_la])</f>
        <v>Hispania</v>
      </c>
      <c r="O787" t="str">
        <f>_xlfn.XLOOKUP(frasest[[#This Row],[autor_es]],autorest[autor_es],autorest[epoca_es])</f>
        <v>Epoca Desconocida</v>
      </c>
      <c r="P787" t="str">
        <f>_xlfn.XLOOKUP(frasest[[#This Row],[autor_es]],autorest[autor_es],autorest[epoca_la])</f>
        <v>Epocha Ignota</v>
      </c>
      <c r="Q787" t="str">
        <f>_xlfn.XLOOKUP(frasest[[#This Row],[autor_es]],autorest[autor_es],autorest[imagen])</f>
        <v>https://i.ibb.co/bjgxB3kn/euskadi.png</v>
      </c>
      <c r="R787">
        <f>_xlfn.XLOOKUP(frasest[[#This Row],[autor_es]],autorest[autor_es],autorest[imagen_atr])</f>
        <v>0</v>
      </c>
    </row>
    <row r="788" spans="1:18">
      <c r="A788">
        <v>787</v>
      </c>
      <c r="B788" t="s">
        <v>2640</v>
      </c>
      <c r="C788" t="s">
        <v>2641</v>
      </c>
      <c r="D788" t="s">
        <v>2642</v>
      </c>
      <c r="E788" t="s">
        <v>1236</v>
      </c>
      <c r="G788" t="str">
        <f>_xlfn.XLOOKUP(frasest[[#This Row],[autor_es]],autorest[autor_es],autorest[autor_la])</f>
        <v>Sententia Vasconica</v>
      </c>
      <c r="H788" t="str">
        <f>_xlfn.XLOOKUP(frasest[[#This Row],[autor_es]],autorest[autor_es],autorest[bio_es])</f>
        <v>Proverbios de la tradición oral vasca que reflejan la relación con la naturaleza, el trabajo y los valores comunitarios del pueblo vasco.</v>
      </c>
      <c r="I788" t="str">
        <f>_xlfn.XLOOKUP(frasest[[#This Row],[autor_es]],autorest[autor_es],autorest[bio_la])</f>
        <v>Collectio sententiarum Vasconicarum.</v>
      </c>
      <c r="J788" t="str">
        <f>_xlfn.XLOOKUP(frasest[[#This Row],[autor_es]],autorest[autor_es],autorest[codigo])</f>
        <v>eu</v>
      </c>
      <c r="K788" t="str">
        <f>_xlfn.XLOOKUP(frasest[[#This Row],[autor_es]],autorest[autor_es],autorest[idioma_es])</f>
        <v>Euskara</v>
      </c>
      <c r="L788" t="str">
        <f>_xlfn.XLOOKUP(frasest[[#This Row],[autor_es]],autorest[autor_es],autorest[idioma_la])</f>
        <v>Lingua Vasconica</v>
      </c>
      <c r="M788" t="str">
        <f>_xlfn.XLOOKUP(frasest[[#This Row],[autor_es]],autorest[autor_es],autorest[nacion_es])</f>
        <v>España</v>
      </c>
      <c r="N788" t="str">
        <f>_xlfn.XLOOKUP(frasest[[#This Row],[autor_es]],autorest[autor_es],autorest[nacion_la])</f>
        <v>Hispania</v>
      </c>
      <c r="O788" t="str">
        <f>_xlfn.XLOOKUP(frasest[[#This Row],[autor_es]],autorest[autor_es],autorest[epoca_es])</f>
        <v>Epoca Desconocida</v>
      </c>
      <c r="P788" t="str">
        <f>_xlfn.XLOOKUP(frasest[[#This Row],[autor_es]],autorest[autor_es],autorest[epoca_la])</f>
        <v>Epocha Ignota</v>
      </c>
      <c r="Q788" t="str">
        <f>_xlfn.XLOOKUP(frasest[[#This Row],[autor_es]],autorest[autor_es],autorest[imagen])</f>
        <v>https://i.ibb.co/bjgxB3kn/euskadi.png</v>
      </c>
      <c r="R788">
        <f>_xlfn.XLOOKUP(frasest[[#This Row],[autor_es]],autorest[autor_es],autorest[imagen_atr])</f>
        <v>0</v>
      </c>
    </row>
    <row r="789" spans="1:18">
      <c r="A789">
        <v>788</v>
      </c>
      <c r="B789" t="s">
        <v>2643</v>
      </c>
      <c r="C789" t="s">
        <v>2644</v>
      </c>
      <c r="D789" t="s">
        <v>2645</v>
      </c>
      <c r="E789" t="s">
        <v>1236</v>
      </c>
      <c r="G789" t="str">
        <f>_xlfn.XLOOKUP(frasest[[#This Row],[autor_es]],autorest[autor_es],autorest[autor_la])</f>
        <v>Sententia Vasconica</v>
      </c>
      <c r="H789" t="str">
        <f>_xlfn.XLOOKUP(frasest[[#This Row],[autor_es]],autorest[autor_es],autorest[bio_es])</f>
        <v>Proverbios de la tradición oral vasca que reflejan la relación con la naturaleza, el trabajo y los valores comunitarios del pueblo vasco.</v>
      </c>
      <c r="I789" t="str">
        <f>_xlfn.XLOOKUP(frasest[[#This Row],[autor_es]],autorest[autor_es],autorest[bio_la])</f>
        <v>Collectio sententiarum Vasconicarum.</v>
      </c>
      <c r="J789" t="str">
        <f>_xlfn.XLOOKUP(frasest[[#This Row],[autor_es]],autorest[autor_es],autorest[codigo])</f>
        <v>eu</v>
      </c>
      <c r="K789" t="str">
        <f>_xlfn.XLOOKUP(frasest[[#This Row],[autor_es]],autorest[autor_es],autorest[idioma_es])</f>
        <v>Euskara</v>
      </c>
      <c r="L789" t="str">
        <f>_xlfn.XLOOKUP(frasest[[#This Row],[autor_es]],autorest[autor_es],autorest[idioma_la])</f>
        <v>Lingua Vasconica</v>
      </c>
      <c r="M789" t="str">
        <f>_xlfn.XLOOKUP(frasest[[#This Row],[autor_es]],autorest[autor_es],autorest[nacion_es])</f>
        <v>España</v>
      </c>
      <c r="N789" t="str">
        <f>_xlfn.XLOOKUP(frasest[[#This Row],[autor_es]],autorest[autor_es],autorest[nacion_la])</f>
        <v>Hispania</v>
      </c>
      <c r="O789" t="str">
        <f>_xlfn.XLOOKUP(frasest[[#This Row],[autor_es]],autorest[autor_es],autorest[epoca_es])</f>
        <v>Epoca Desconocida</v>
      </c>
      <c r="P789" t="str">
        <f>_xlfn.XLOOKUP(frasest[[#This Row],[autor_es]],autorest[autor_es],autorest[epoca_la])</f>
        <v>Epocha Ignota</v>
      </c>
      <c r="Q789" t="str">
        <f>_xlfn.XLOOKUP(frasest[[#This Row],[autor_es]],autorest[autor_es],autorest[imagen])</f>
        <v>https://i.ibb.co/bjgxB3kn/euskadi.png</v>
      </c>
      <c r="R789">
        <f>_xlfn.XLOOKUP(frasest[[#This Row],[autor_es]],autorest[autor_es],autorest[imagen_atr])</f>
        <v>0</v>
      </c>
    </row>
    <row r="790" spans="1:18">
      <c r="A790">
        <v>789</v>
      </c>
      <c r="B790" t="s">
        <v>2646</v>
      </c>
      <c r="C790" t="s">
        <v>2647</v>
      </c>
      <c r="D790" t="s">
        <v>2648</v>
      </c>
      <c r="E790" t="s">
        <v>1236</v>
      </c>
      <c r="G790" t="str">
        <f>_xlfn.XLOOKUP(frasest[[#This Row],[autor_es]],autorest[autor_es],autorest[autor_la])</f>
        <v>Sententia Vasconica</v>
      </c>
      <c r="H790" t="str">
        <f>_xlfn.XLOOKUP(frasest[[#This Row],[autor_es]],autorest[autor_es],autorest[bio_es])</f>
        <v>Proverbios de la tradición oral vasca que reflejan la relación con la naturaleza, el trabajo y los valores comunitarios del pueblo vasco.</v>
      </c>
      <c r="I790" t="str">
        <f>_xlfn.XLOOKUP(frasest[[#This Row],[autor_es]],autorest[autor_es],autorest[bio_la])</f>
        <v>Collectio sententiarum Vasconicarum.</v>
      </c>
      <c r="J790" t="str">
        <f>_xlfn.XLOOKUP(frasest[[#This Row],[autor_es]],autorest[autor_es],autorest[codigo])</f>
        <v>eu</v>
      </c>
      <c r="K790" t="str">
        <f>_xlfn.XLOOKUP(frasest[[#This Row],[autor_es]],autorest[autor_es],autorest[idioma_es])</f>
        <v>Euskara</v>
      </c>
      <c r="L790" t="str">
        <f>_xlfn.XLOOKUP(frasest[[#This Row],[autor_es]],autorest[autor_es],autorest[idioma_la])</f>
        <v>Lingua Vasconica</v>
      </c>
      <c r="M790" t="str">
        <f>_xlfn.XLOOKUP(frasest[[#This Row],[autor_es]],autorest[autor_es],autorest[nacion_es])</f>
        <v>España</v>
      </c>
      <c r="N790" t="str">
        <f>_xlfn.XLOOKUP(frasest[[#This Row],[autor_es]],autorest[autor_es],autorest[nacion_la])</f>
        <v>Hispania</v>
      </c>
      <c r="O790" t="str">
        <f>_xlfn.XLOOKUP(frasest[[#This Row],[autor_es]],autorest[autor_es],autorest[epoca_es])</f>
        <v>Epoca Desconocida</v>
      </c>
      <c r="P790" t="str">
        <f>_xlfn.XLOOKUP(frasest[[#This Row],[autor_es]],autorest[autor_es],autorest[epoca_la])</f>
        <v>Epocha Ignota</v>
      </c>
      <c r="Q790" t="str">
        <f>_xlfn.XLOOKUP(frasest[[#This Row],[autor_es]],autorest[autor_es],autorest[imagen])</f>
        <v>https://i.ibb.co/bjgxB3kn/euskadi.png</v>
      </c>
      <c r="R790">
        <f>_xlfn.XLOOKUP(frasest[[#This Row],[autor_es]],autorest[autor_es],autorest[imagen_atr])</f>
        <v>0</v>
      </c>
    </row>
    <row r="791" spans="1:18">
      <c r="A791">
        <v>790</v>
      </c>
      <c r="B791" t="s">
        <v>2649</v>
      </c>
      <c r="C791" t="s">
        <v>2650</v>
      </c>
      <c r="D791" t="s">
        <v>2651</v>
      </c>
      <c r="E791" t="s">
        <v>1236</v>
      </c>
      <c r="G791" t="str">
        <f>_xlfn.XLOOKUP(frasest[[#This Row],[autor_es]],autorest[autor_es],autorest[autor_la])</f>
        <v>Sententia Vasconica</v>
      </c>
      <c r="H791" t="str">
        <f>_xlfn.XLOOKUP(frasest[[#This Row],[autor_es]],autorest[autor_es],autorest[bio_es])</f>
        <v>Proverbios de la tradición oral vasca que reflejan la relación con la naturaleza, el trabajo y los valores comunitarios del pueblo vasco.</v>
      </c>
      <c r="I791" t="str">
        <f>_xlfn.XLOOKUP(frasest[[#This Row],[autor_es]],autorest[autor_es],autorest[bio_la])</f>
        <v>Collectio sententiarum Vasconicarum.</v>
      </c>
      <c r="J791" t="str">
        <f>_xlfn.XLOOKUP(frasest[[#This Row],[autor_es]],autorest[autor_es],autorest[codigo])</f>
        <v>eu</v>
      </c>
      <c r="K791" t="str">
        <f>_xlfn.XLOOKUP(frasest[[#This Row],[autor_es]],autorest[autor_es],autorest[idioma_es])</f>
        <v>Euskara</v>
      </c>
      <c r="L791" t="str">
        <f>_xlfn.XLOOKUP(frasest[[#This Row],[autor_es]],autorest[autor_es],autorest[idioma_la])</f>
        <v>Lingua Vasconica</v>
      </c>
      <c r="M791" t="str">
        <f>_xlfn.XLOOKUP(frasest[[#This Row],[autor_es]],autorest[autor_es],autorest[nacion_es])</f>
        <v>España</v>
      </c>
      <c r="N791" t="str">
        <f>_xlfn.XLOOKUP(frasest[[#This Row],[autor_es]],autorest[autor_es],autorest[nacion_la])</f>
        <v>Hispania</v>
      </c>
      <c r="O791" t="str">
        <f>_xlfn.XLOOKUP(frasest[[#This Row],[autor_es]],autorest[autor_es],autorest[epoca_es])</f>
        <v>Epoca Desconocida</v>
      </c>
      <c r="P791" t="str">
        <f>_xlfn.XLOOKUP(frasest[[#This Row],[autor_es]],autorest[autor_es],autorest[epoca_la])</f>
        <v>Epocha Ignota</v>
      </c>
      <c r="Q791" t="str">
        <f>_xlfn.XLOOKUP(frasest[[#This Row],[autor_es]],autorest[autor_es],autorest[imagen])</f>
        <v>https://i.ibb.co/bjgxB3kn/euskadi.png</v>
      </c>
      <c r="R791">
        <f>_xlfn.XLOOKUP(frasest[[#This Row],[autor_es]],autorest[autor_es],autorest[imagen_atr])</f>
        <v>0</v>
      </c>
    </row>
    <row r="792" spans="1:18">
      <c r="A792">
        <v>791</v>
      </c>
      <c r="B792" t="s">
        <v>2652</v>
      </c>
      <c r="C792" t="s">
        <v>2653</v>
      </c>
      <c r="D792" t="s">
        <v>2654</v>
      </c>
      <c r="E792" t="s">
        <v>1236</v>
      </c>
      <c r="G792" t="str">
        <f>_xlfn.XLOOKUP(frasest[[#This Row],[autor_es]],autorest[autor_es],autorest[autor_la])</f>
        <v>Sententia Vasconica</v>
      </c>
      <c r="H792" t="str">
        <f>_xlfn.XLOOKUP(frasest[[#This Row],[autor_es]],autorest[autor_es],autorest[bio_es])</f>
        <v>Proverbios de la tradición oral vasca que reflejan la relación con la naturaleza, el trabajo y los valores comunitarios del pueblo vasco.</v>
      </c>
      <c r="I792" t="str">
        <f>_xlfn.XLOOKUP(frasest[[#This Row],[autor_es]],autorest[autor_es],autorest[bio_la])</f>
        <v>Collectio sententiarum Vasconicarum.</v>
      </c>
      <c r="J792" t="str">
        <f>_xlfn.XLOOKUP(frasest[[#This Row],[autor_es]],autorest[autor_es],autorest[codigo])</f>
        <v>eu</v>
      </c>
      <c r="K792" t="str">
        <f>_xlfn.XLOOKUP(frasest[[#This Row],[autor_es]],autorest[autor_es],autorest[idioma_es])</f>
        <v>Euskara</v>
      </c>
      <c r="L792" t="str">
        <f>_xlfn.XLOOKUP(frasest[[#This Row],[autor_es]],autorest[autor_es],autorest[idioma_la])</f>
        <v>Lingua Vasconica</v>
      </c>
      <c r="M792" t="str">
        <f>_xlfn.XLOOKUP(frasest[[#This Row],[autor_es]],autorest[autor_es],autorest[nacion_es])</f>
        <v>España</v>
      </c>
      <c r="N792" t="str">
        <f>_xlfn.XLOOKUP(frasest[[#This Row],[autor_es]],autorest[autor_es],autorest[nacion_la])</f>
        <v>Hispania</v>
      </c>
      <c r="O792" t="str">
        <f>_xlfn.XLOOKUP(frasest[[#This Row],[autor_es]],autorest[autor_es],autorest[epoca_es])</f>
        <v>Epoca Desconocida</v>
      </c>
      <c r="P792" t="str">
        <f>_xlfn.XLOOKUP(frasest[[#This Row],[autor_es]],autorest[autor_es],autorest[epoca_la])</f>
        <v>Epocha Ignota</v>
      </c>
      <c r="Q792" t="str">
        <f>_xlfn.XLOOKUP(frasest[[#This Row],[autor_es]],autorest[autor_es],autorest[imagen])</f>
        <v>https://i.ibb.co/bjgxB3kn/euskadi.png</v>
      </c>
      <c r="R792">
        <f>_xlfn.XLOOKUP(frasest[[#This Row],[autor_es]],autorest[autor_es],autorest[imagen_atr])</f>
        <v>0</v>
      </c>
    </row>
    <row r="793" spans="1:18">
      <c r="A793">
        <v>792</v>
      </c>
      <c r="B793" t="s">
        <v>2655</v>
      </c>
      <c r="C793" t="s">
        <v>2656</v>
      </c>
      <c r="D793" t="s">
        <v>2657</v>
      </c>
      <c r="E793" t="s">
        <v>1236</v>
      </c>
      <c r="G793" t="str">
        <f>_xlfn.XLOOKUP(frasest[[#This Row],[autor_es]],autorest[autor_es],autorest[autor_la])</f>
        <v>Sententia Vasconica</v>
      </c>
      <c r="H793" t="str">
        <f>_xlfn.XLOOKUP(frasest[[#This Row],[autor_es]],autorest[autor_es],autorest[bio_es])</f>
        <v>Proverbios de la tradición oral vasca que reflejan la relación con la naturaleza, el trabajo y los valores comunitarios del pueblo vasco.</v>
      </c>
      <c r="I793" t="str">
        <f>_xlfn.XLOOKUP(frasest[[#This Row],[autor_es]],autorest[autor_es],autorest[bio_la])</f>
        <v>Collectio sententiarum Vasconicarum.</v>
      </c>
      <c r="J793" t="str">
        <f>_xlfn.XLOOKUP(frasest[[#This Row],[autor_es]],autorest[autor_es],autorest[codigo])</f>
        <v>eu</v>
      </c>
      <c r="K793" t="str">
        <f>_xlfn.XLOOKUP(frasest[[#This Row],[autor_es]],autorest[autor_es],autorest[idioma_es])</f>
        <v>Euskara</v>
      </c>
      <c r="L793" t="str">
        <f>_xlfn.XLOOKUP(frasest[[#This Row],[autor_es]],autorest[autor_es],autorest[idioma_la])</f>
        <v>Lingua Vasconica</v>
      </c>
      <c r="M793" t="str">
        <f>_xlfn.XLOOKUP(frasest[[#This Row],[autor_es]],autorest[autor_es],autorest[nacion_es])</f>
        <v>España</v>
      </c>
      <c r="N793" t="str">
        <f>_xlfn.XLOOKUP(frasest[[#This Row],[autor_es]],autorest[autor_es],autorest[nacion_la])</f>
        <v>Hispania</v>
      </c>
      <c r="O793" t="str">
        <f>_xlfn.XLOOKUP(frasest[[#This Row],[autor_es]],autorest[autor_es],autorest[epoca_es])</f>
        <v>Epoca Desconocida</v>
      </c>
      <c r="P793" t="str">
        <f>_xlfn.XLOOKUP(frasest[[#This Row],[autor_es]],autorest[autor_es],autorest[epoca_la])</f>
        <v>Epocha Ignota</v>
      </c>
      <c r="Q793" t="str">
        <f>_xlfn.XLOOKUP(frasest[[#This Row],[autor_es]],autorest[autor_es],autorest[imagen])</f>
        <v>https://i.ibb.co/bjgxB3kn/euskadi.png</v>
      </c>
      <c r="R793">
        <f>_xlfn.XLOOKUP(frasest[[#This Row],[autor_es]],autorest[autor_es],autorest[imagen_atr])</f>
        <v>0</v>
      </c>
    </row>
    <row r="794" spans="1:18">
      <c r="A794">
        <v>793</v>
      </c>
      <c r="B794" t="s">
        <v>2658</v>
      </c>
      <c r="C794" t="s">
        <v>2659</v>
      </c>
      <c r="D794" t="s">
        <v>2660</v>
      </c>
      <c r="E794" t="s">
        <v>1236</v>
      </c>
      <c r="G794" t="str">
        <f>_xlfn.XLOOKUP(frasest[[#This Row],[autor_es]],autorest[autor_es],autorest[autor_la])</f>
        <v>Sententia Vasconica</v>
      </c>
      <c r="H794" t="str">
        <f>_xlfn.XLOOKUP(frasest[[#This Row],[autor_es]],autorest[autor_es],autorest[bio_es])</f>
        <v>Proverbios de la tradición oral vasca que reflejan la relación con la naturaleza, el trabajo y los valores comunitarios del pueblo vasco.</v>
      </c>
      <c r="I794" t="str">
        <f>_xlfn.XLOOKUP(frasest[[#This Row],[autor_es]],autorest[autor_es],autorest[bio_la])</f>
        <v>Collectio sententiarum Vasconicarum.</v>
      </c>
      <c r="J794" t="str">
        <f>_xlfn.XLOOKUP(frasest[[#This Row],[autor_es]],autorest[autor_es],autorest[codigo])</f>
        <v>eu</v>
      </c>
      <c r="K794" t="str">
        <f>_xlfn.XLOOKUP(frasest[[#This Row],[autor_es]],autorest[autor_es],autorest[idioma_es])</f>
        <v>Euskara</v>
      </c>
      <c r="L794" t="str">
        <f>_xlfn.XLOOKUP(frasest[[#This Row],[autor_es]],autorest[autor_es],autorest[idioma_la])</f>
        <v>Lingua Vasconica</v>
      </c>
      <c r="M794" t="str">
        <f>_xlfn.XLOOKUP(frasest[[#This Row],[autor_es]],autorest[autor_es],autorest[nacion_es])</f>
        <v>España</v>
      </c>
      <c r="N794" t="str">
        <f>_xlfn.XLOOKUP(frasest[[#This Row],[autor_es]],autorest[autor_es],autorest[nacion_la])</f>
        <v>Hispania</v>
      </c>
      <c r="O794" t="str">
        <f>_xlfn.XLOOKUP(frasest[[#This Row],[autor_es]],autorest[autor_es],autorest[epoca_es])</f>
        <v>Epoca Desconocida</v>
      </c>
      <c r="P794" t="str">
        <f>_xlfn.XLOOKUP(frasest[[#This Row],[autor_es]],autorest[autor_es],autorest[epoca_la])</f>
        <v>Epocha Ignota</v>
      </c>
      <c r="Q794" t="str">
        <f>_xlfn.XLOOKUP(frasest[[#This Row],[autor_es]],autorest[autor_es],autorest[imagen])</f>
        <v>https://i.ibb.co/bjgxB3kn/euskadi.png</v>
      </c>
      <c r="R794">
        <f>_xlfn.XLOOKUP(frasest[[#This Row],[autor_es]],autorest[autor_es],autorest[imagen_atr])</f>
        <v>0</v>
      </c>
    </row>
    <row r="795" spans="1:18">
      <c r="A795">
        <v>794</v>
      </c>
      <c r="B795" t="s">
        <v>2661</v>
      </c>
      <c r="C795" t="s">
        <v>2662</v>
      </c>
      <c r="D795" t="s">
        <v>2663</v>
      </c>
      <c r="E795" t="s">
        <v>1236</v>
      </c>
      <c r="G795" t="str">
        <f>_xlfn.XLOOKUP(frasest[[#This Row],[autor_es]],autorest[autor_es],autorest[autor_la])</f>
        <v>Sententia Vasconica</v>
      </c>
      <c r="H795" t="str">
        <f>_xlfn.XLOOKUP(frasest[[#This Row],[autor_es]],autorest[autor_es],autorest[bio_es])</f>
        <v>Proverbios de la tradición oral vasca que reflejan la relación con la naturaleza, el trabajo y los valores comunitarios del pueblo vasco.</v>
      </c>
      <c r="I795" t="str">
        <f>_xlfn.XLOOKUP(frasest[[#This Row],[autor_es]],autorest[autor_es],autorest[bio_la])</f>
        <v>Collectio sententiarum Vasconicarum.</v>
      </c>
      <c r="J795" t="str">
        <f>_xlfn.XLOOKUP(frasest[[#This Row],[autor_es]],autorest[autor_es],autorest[codigo])</f>
        <v>eu</v>
      </c>
      <c r="K795" t="str">
        <f>_xlfn.XLOOKUP(frasest[[#This Row],[autor_es]],autorest[autor_es],autorest[idioma_es])</f>
        <v>Euskara</v>
      </c>
      <c r="L795" t="str">
        <f>_xlfn.XLOOKUP(frasest[[#This Row],[autor_es]],autorest[autor_es],autorest[idioma_la])</f>
        <v>Lingua Vasconica</v>
      </c>
      <c r="M795" t="str">
        <f>_xlfn.XLOOKUP(frasest[[#This Row],[autor_es]],autorest[autor_es],autorest[nacion_es])</f>
        <v>España</v>
      </c>
      <c r="N795" t="str">
        <f>_xlfn.XLOOKUP(frasest[[#This Row],[autor_es]],autorest[autor_es],autorest[nacion_la])</f>
        <v>Hispania</v>
      </c>
      <c r="O795" t="str">
        <f>_xlfn.XLOOKUP(frasest[[#This Row],[autor_es]],autorest[autor_es],autorest[epoca_es])</f>
        <v>Epoca Desconocida</v>
      </c>
      <c r="P795" t="str">
        <f>_xlfn.XLOOKUP(frasest[[#This Row],[autor_es]],autorest[autor_es],autorest[epoca_la])</f>
        <v>Epocha Ignota</v>
      </c>
      <c r="Q795" t="str">
        <f>_xlfn.XLOOKUP(frasest[[#This Row],[autor_es]],autorest[autor_es],autorest[imagen])</f>
        <v>https://i.ibb.co/bjgxB3kn/euskadi.png</v>
      </c>
      <c r="R795">
        <f>_xlfn.XLOOKUP(frasest[[#This Row],[autor_es]],autorest[autor_es],autorest[imagen_atr])</f>
        <v>0</v>
      </c>
    </row>
    <row r="796" spans="1:18">
      <c r="A796">
        <v>795</v>
      </c>
      <c r="B796" t="s">
        <v>2664</v>
      </c>
      <c r="C796" t="s">
        <v>2665</v>
      </c>
      <c r="D796" t="s">
        <v>2666</v>
      </c>
      <c r="E796" t="s">
        <v>1236</v>
      </c>
      <c r="G796" t="str">
        <f>_xlfn.XLOOKUP(frasest[[#This Row],[autor_es]],autorest[autor_es],autorest[autor_la])</f>
        <v>Sententia Vasconica</v>
      </c>
      <c r="H796" t="str">
        <f>_xlfn.XLOOKUP(frasest[[#This Row],[autor_es]],autorest[autor_es],autorest[bio_es])</f>
        <v>Proverbios de la tradición oral vasca que reflejan la relación con la naturaleza, el trabajo y los valores comunitarios del pueblo vasco.</v>
      </c>
      <c r="I796" t="str">
        <f>_xlfn.XLOOKUP(frasest[[#This Row],[autor_es]],autorest[autor_es],autorest[bio_la])</f>
        <v>Collectio sententiarum Vasconicarum.</v>
      </c>
      <c r="J796" t="str">
        <f>_xlfn.XLOOKUP(frasest[[#This Row],[autor_es]],autorest[autor_es],autorest[codigo])</f>
        <v>eu</v>
      </c>
      <c r="K796" t="str">
        <f>_xlfn.XLOOKUP(frasest[[#This Row],[autor_es]],autorest[autor_es],autorest[idioma_es])</f>
        <v>Euskara</v>
      </c>
      <c r="L796" t="str">
        <f>_xlfn.XLOOKUP(frasest[[#This Row],[autor_es]],autorest[autor_es],autorest[idioma_la])</f>
        <v>Lingua Vasconica</v>
      </c>
      <c r="M796" t="str">
        <f>_xlfn.XLOOKUP(frasest[[#This Row],[autor_es]],autorest[autor_es],autorest[nacion_es])</f>
        <v>España</v>
      </c>
      <c r="N796" t="str">
        <f>_xlfn.XLOOKUP(frasest[[#This Row],[autor_es]],autorest[autor_es],autorest[nacion_la])</f>
        <v>Hispania</v>
      </c>
      <c r="O796" t="str">
        <f>_xlfn.XLOOKUP(frasest[[#This Row],[autor_es]],autorest[autor_es],autorest[epoca_es])</f>
        <v>Epoca Desconocida</v>
      </c>
      <c r="P796" t="str">
        <f>_xlfn.XLOOKUP(frasest[[#This Row],[autor_es]],autorest[autor_es],autorest[epoca_la])</f>
        <v>Epocha Ignota</v>
      </c>
      <c r="Q796" t="str">
        <f>_xlfn.XLOOKUP(frasest[[#This Row],[autor_es]],autorest[autor_es],autorest[imagen])</f>
        <v>https://i.ibb.co/bjgxB3kn/euskadi.png</v>
      </c>
      <c r="R796">
        <f>_xlfn.XLOOKUP(frasest[[#This Row],[autor_es]],autorest[autor_es],autorest[imagen_atr])</f>
        <v>0</v>
      </c>
    </row>
    <row r="797" spans="1:18">
      <c r="A797">
        <v>796</v>
      </c>
      <c r="B797" t="s">
        <v>2667</v>
      </c>
      <c r="C797" t="s">
        <v>2668</v>
      </c>
      <c r="D797" t="s">
        <v>2669</v>
      </c>
      <c r="E797" t="s">
        <v>1236</v>
      </c>
      <c r="G797" t="str">
        <f>_xlfn.XLOOKUP(frasest[[#This Row],[autor_es]],autorest[autor_es],autorest[autor_la])</f>
        <v>Sententia Vasconica</v>
      </c>
      <c r="H797" t="str">
        <f>_xlfn.XLOOKUP(frasest[[#This Row],[autor_es]],autorest[autor_es],autorest[bio_es])</f>
        <v>Proverbios de la tradición oral vasca que reflejan la relación con la naturaleza, el trabajo y los valores comunitarios del pueblo vasco.</v>
      </c>
      <c r="I797" t="str">
        <f>_xlfn.XLOOKUP(frasest[[#This Row],[autor_es]],autorest[autor_es],autorest[bio_la])</f>
        <v>Collectio sententiarum Vasconicarum.</v>
      </c>
      <c r="J797" t="str">
        <f>_xlfn.XLOOKUP(frasest[[#This Row],[autor_es]],autorest[autor_es],autorest[codigo])</f>
        <v>eu</v>
      </c>
      <c r="K797" t="str">
        <f>_xlfn.XLOOKUP(frasest[[#This Row],[autor_es]],autorest[autor_es],autorest[idioma_es])</f>
        <v>Euskara</v>
      </c>
      <c r="L797" t="str">
        <f>_xlfn.XLOOKUP(frasest[[#This Row],[autor_es]],autorest[autor_es],autorest[idioma_la])</f>
        <v>Lingua Vasconica</v>
      </c>
      <c r="M797" t="str">
        <f>_xlfn.XLOOKUP(frasest[[#This Row],[autor_es]],autorest[autor_es],autorest[nacion_es])</f>
        <v>España</v>
      </c>
      <c r="N797" t="str">
        <f>_xlfn.XLOOKUP(frasest[[#This Row],[autor_es]],autorest[autor_es],autorest[nacion_la])</f>
        <v>Hispania</v>
      </c>
      <c r="O797" t="str">
        <f>_xlfn.XLOOKUP(frasest[[#This Row],[autor_es]],autorest[autor_es],autorest[epoca_es])</f>
        <v>Epoca Desconocida</v>
      </c>
      <c r="P797" t="str">
        <f>_xlfn.XLOOKUP(frasest[[#This Row],[autor_es]],autorest[autor_es],autorest[epoca_la])</f>
        <v>Epocha Ignota</v>
      </c>
      <c r="Q797" t="str">
        <f>_xlfn.XLOOKUP(frasest[[#This Row],[autor_es]],autorest[autor_es],autorest[imagen])</f>
        <v>https://i.ibb.co/bjgxB3kn/euskadi.png</v>
      </c>
      <c r="R797">
        <f>_xlfn.XLOOKUP(frasest[[#This Row],[autor_es]],autorest[autor_es],autorest[imagen_atr])</f>
        <v>0</v>
      </c>
    </row>
    <row r="798" spans="1:18">
      <c r="A798">
        <v>797</v>
      </c>
      <c r="B798" t="s">
        <v>2670</v>
      </c>
      <c r="C798" t="s">
        <v>2671</v>
      </c>
      <c r="D798" t="s">
        <v>2672</v>
      </c>
      <c r="E798" t="s">
        <v>1236</v>
      </c>
      <c r="G798" t="str">
        <f>_xlfn.XLOOKUP(frasest[[#This Row],[autor_es]],autorest[autor_es],autorest[autor_la])</f>
        <v>Sententia Vasconica</v>
      </c>
      <c r="H798" t="str">
        <f>_xlfn.XLOOKUP(frasest[[#This Row],[autor_es]],autorest[autor_es],autorest[bio_es])</f>
        <v>Proverbios de la tradición oral vasca que reflejan la relación con la naturaleza, el trabajo y los valores comunitarios del pueblo vasco.</v>
      </c>
      <c r="I798" t="str">
        <f>_xlfn.XLOOKUP(frasest[[#This Row],[autor_es]],autorest[autor_es],autorest[bio_la])</f>
        <v>Collectio sententiarum Vasconicarum.</v>
      </c>
      <c r="J798" t="str">
        <f>_xlfn.XLOOKUP(frasest[[#This Row],[autor_es]],autorest[autor_es],autorest[codigo])</f>
        <v>eu</v>
      </c>
      <c r="K798" t="str">
        <f>_xlfn.XLOOKUP(frasest[[#This Row],[autor_es]],autorest[autor_es],autorest[idioma_es])</f>
        <v>Euskara</v>
      </c>
      <c r="L798" t="str">
        <f>_xlfn.XLOOKUP(frasest[[#This Row],[autor_es]],autorest[autor_es],autorest[idioma_la])</f>
        <v>Lingua Vasconica</v>
      </c>
      <c r="M798" t="str">
        <f>_xlfn.XLOOKUP(frasest[[#This Row],[autor_es]],autorest[autor_es],autorest[nacion_es])</f>
        <v>España</v>
      </c>
      <c r="N798" t="str">
        <f>_xlfn.XLOOKUP(frasest[[#This Row],[autor_es]],autorest[autor_es],autorest[nacion_la])</f>
        <v>Hispania</v>
      </c>
      <c r="O798" t="str">
        <f>_xlfn.XLOOKUP(frasest[[#This Row],[autor_es]],autorest[autor_es],autorest[epoca_es])</f>
        <v>Epoca Desconocida</v>
      </c>
      <c r="P798" t="str">
        <f>_xlfn.XLOOKUP(frasest[[#This Row],[autor_es]],autorest[autor_es],autorest[epoca_la])</f>
        <v>Epocha Ignota</v>
      </c>
      <c r="Q798" t="str">
        <f>_xlfn.XLOOKUP(frasest[[#This Row],[autor_es]],autorest[autor_es],autorest[imagen])</f>
        <v>https://i.ibb.co/bjgxB3kn/euskadi.png</v>
      </c>
      <c r="R798">
        <f>_xlfn.XLOOKUP(frasest[[#This Row],[autor_es]],autorest[autor_es],autorest[imagen_atr])</f>
        <v>0</v>
      </c>
    </row>
    <row r="799" spans="1:18">
      <c r="A799">
        <v>798</v>
      </c>
      <c r="B799" t="s">
        <v>2673</v>
      </c>
      <c r="C799" t="s">
        <v>2674</v>
      </c>
      <c r="D799" t="s">
        <v>2675</v>
      </c>
      <c r="E799" t="s">
        <v>1236</v>
      </c>
      <c r="G799" t="str">
        <f>_xlfn.XLOOKUP(frasest[[#This Row],[autor_es]],autorest[autor_es],autorest[autor_la])</f>
        <v>Sententia Vasconica</v>
      </c>
      <c r="H799" t="str">
        <f>_xlfn.XLOOKUP(frasest[[#This Row],[autor_es]],autorest[autor_es],autorest[bio_es])</f>
        <v>Proverbios de la tradición oral vasca que reflejan la relación con la naturaleza, el trabajo y los valores comunitarios del pueblo vasco.</v>
      </c>
      <c r="I799" t="str">
        <f>_xlfn.XLOOKUP(frasest[[#This Row],[autor_es]],autorest[autor_es],autorest[bio_la])</f>
        <v>Collectio sententiarum Vasconicarum.</v>
      </c>
      <c r="J799" t="str">
        <f>_xlfn.XLOOKUP(frasest[[#This Row],[autor_es]],autorest[autor_es],autorest[codigo])</f>
        <v>eu</v>
      </c>
      <c r="K799" t="str">
        <f>_xlfn.XLOOKUP(frasest[[#This Row],[autor_es]],autorest[autor_es],autorest[idioma_es])</f>
        <v>Euskara</v>
      </c>
      <c r="L799" t="str">
        <f>_xlfn.XLOOKUP(frasest[[#This Row],[autor_es]],autorest[autor_es],autorest[idioma_la])</f>
        <v>Lingua Vasconica</v>
      </c>
      <c r="M799" t="str">
        <f>_xlfn.XLOOKUP(frasest[[#This Row],[autor_es]],autorest[autor_es],autorest[nacion_es])</f>
        <v>España</v>
      </c>
      <c r="N799" t="str">
        <f>_xlfn.XLOOKUP(frasest[[#This Row],[autor_es]],autorest[autor_es],autorest[nacion_la])</f>
        <v>Hispania</v>
      </c>
      <c r="O799" t="str">
        <f>_xlfn.XLOOKUP(frasest[[#This Row],[autor_es]],autorest[autor_es],autorest[epoca_es])</f>
        <v>Epoca Desconocida</v>
      </c>
      <c r="P799" t="str">
        <f>_xlfn.XLOOKUP(frasest[[#This Row],[autor_es]],autorest[autor_es],autorest[epoca_la])</f>
        <v>Epocha Ignota</v>
      </c>
      <c r="Q799" t="str">
        <f>_xlfn.XLOOKUP(frasest[[#This Row],[autor_es]],autorest[autor_es],autorest[imagen])</f>
        <v>https://i.ibb.co/bjgxB3kn/euskadi.png</v>
      </c>
      <c r="R799">
        <f>_xlfn.XLOOKUP(frasest[[#This Row],[autor_es]],autorest[autor_es],autorest[imagen_atr])</f>
        <v>0</v>
      </c>
    </row>
    <row r="800" spans="1:18">
      <c r="A800">
        <v>799</v>
      </c>
      <c r="B800" t="s">
        <v>2676</v>
      </c>
      <c r="C800" t="s">
        <v>2677</v>
      </c>
      <c r="D800" t="s">
        <v>2678</v>
      </c>
      <c r="E800" t="s">
        <v>1236</v>
      </c>
      <c r="G800" t="str">
        <f>_xlfn.XLOOKUP(frasest[[#This Row],[autor_es]],autorest[autor_es],autorest[autor_la])</f>
        <v>Sententia Vasconica</v>
      </c>
      <c r="H800" t="str">
        <f>_xlfn.XLOOKUP(frasest[[#This Row],[autor_es]],autorest[autor_es],autorest[bio_es])</f>
        <v>Proverbios de la tradición oral vasca que reflejan la relación con la naturaleza, el trabajo y los valores comunitarios del pueblo vasco.</v>
      </c>
      <c r="I800" t="str">
        <f>_xlfn.XLOOKUP(frasest[[#This Row],[autor_es]],autorest[autor_es],autorest[bio_la])</f>
        <v>Collectio sententiarum Vasconicarum.</v>
      </c>
      <c r="J800" t="str">
        <f>_xlfn.XLOOKUP(frasest[[#This Row],[autor_es]],autorest[autor_es],autorest[codigo])</f>
        <v>eu</v>
      </c>
      <c r="K800" t="str">
        <f>_xlfn.XLOOKUP(frasest[[#This Row],[autor_es]],autorest[autor_es],autorest[idioma_es])</f>
        <v>Euskara</v>
      </c>
      <c r="L800" t="str">
        <f>_xlfn.XLOOKUP(frasest[[#This Row],[autor_es]],autorest[autor_es],autorest[idioma_la])</f>
        <v>Lingua Vasconica</v>
      </c>
      <c r="M800" t="str">
        <f>_xlfn.XLOOKUP(frasest[[#This Row],[autor_es]],autorest[autor_es],autorest[nacion_es])</f>
        <v>España</v>
      </c>
      <c r="N800" t="str">
        <f>_xlfn.XLOOKUP(frasest[[#This Row],[autor_es]],autorest[autor_es],autorest[nacion_la])</f>
        <v>Hispania</v>
      </c>
      <c r="O800" t="str">
        <f>_xlfn.XLOOKUP(frasest[[#This Row],[autor_es]],autorest[autor_es],autorest[epoca_es])</f>
        <v>Epoca Desconocida</v>
      </c>
      <c r="P800" t="str">
        <f>_xlfn.XLOOKUP(frasest[[#This Row],[autor_es]],autorest[autor_es],autorest[epoca_la])</f>
        <v>Epocha Ignota</v>
      </c>
      <c r="Q800" t="str">
        <f>_xlfn.XLOOKUP(frasest[[#This Row],[autor_es]],autorest[autor_es],autorest[imagen])</f>
        <v>https://i.ibb.co/bjgxB3kn/euskadi.png</v>
      </c>
      <c r="R800">
        <f>_xlfn.XLOOKUP(frasest[[#This Row],[autor_es]],autorest[autor_es],autorest[imagen_atr])</f>
        <v>0</v>
      </c>
    </row>
    <row r="801" spans="1:18">
      <c r="A801">
        <v>800</v>
      </c>
      <c r="B801" t="s">
        <v>2679</v>
      </c>
      <c r="C801" t="s">
        <v>2680</v>
      </c>
      <c r="D801" t="s">
        <v>2681</v>
      </c>
      <c r="E801" t="s">
        <v>1236</v>
      </c>
      <c r="G801" t="str">
        <f>_xlfn.XLOOKUP(frasest[[#This Row],[autor_es]],autorest[autor_es],autorest[autor_la])</f>
        <v>Sententia Vasconica</v>
      </c>
      <c r="H801" t="str">
        <f>_xlfn.XLOOKUP(frasest[[#This Row],[autor_es]],autorest[autor_es],autorest[bio_es])</f>
        <v>Proverbios de la tradición oral vasca que reflejan la relación con la naturaleza, el trabajo y los valores comunitarios del pueblo vasco.</v>
      </c>
      <c r="I801" t="str">
        <f>_xlfn.XLOOKUP(frasest[[#This Row],[autor_es]],autorest[autor_es],autorest[bio_la])</f>
        <v>Collectio sententiarum Vasconicarum.</v>
      </c>
      <c r="J801" t="str">
        <f>_xlfn.XLOOKUP(frasest[[#This Row],[autor_es]],autorest[autor_es],autorest[codigo])</f>
        <v>eu</v>
      </c>
      <c r="K801" t="str">
        <f>_xlfn.XLOOKUP(frasest[[#This Row],[autor_es]],autorest[autor_es],autorest[idioma_es])</f>
        <v>Euskara</v>
      </c>
      <c r="L801" t="str">
        <f>_xlfn.XLOOKUP(frasest[[#This Row],[autor_es]],autorest[autor_es],autorest[idioma_la])</f>
        <v>Lingua Vasconica</v>
      </c>
      <c r="M801" t="str">
        <f>_xlfn.XLOOKUP(frasest[[#This Row],[autor_es]],autorest[autor_es],autorest[nacion_es])</f>
        <v>España</v>
      </c>
      <c r="N801" t="str">
        <f>_xlfn.XLOOKUP(frasest[[#This Row],[autor_es]],autorest[autor_es],autorest[nacion_la])</f>
        <v>Hispania</v>
      </c>
      <c r="O801" t="str">
        <f>_xlfn.XLOOKUP(frasest[[#This Row],[autor_es]],autorest[autor_es],autorest[epoca_es])</f>
        <v>Epoca Desconocida</v>
      </c>
      <c r="P801" t="str">
        <f>_xlfn.XLOOKUP(frasest[[#This Row],[autor_es]],autorest[autor_es],autorest[epoca_la])</f>
        <v>Epocha Ignota</v>
      </c>
      <c r="Q801" t="str">
        <f>_xlfn.XLOOKUP(frasest[[#This Row],[autor_es]],autorest[autor_es],autorest[imagen])</f>
        <v>https://i.ibb.co/bjgxB3kn/euskadi.png</v>
      </c>
      <c r="R801">
        <f>_xlfn.XLOOKUP(frasest[[#This Row],[autor_es]],autorest[autor_es],autorest[imagen_atr])</f>
        <v>0</v>
      </c>
    </row>
    <row r="802" spans="1:18">
      <c r="A802">
        <v>801</v>
      </c>
      <c r="B802" t="s">
        <v>2682</v>
      </c>
      <c r="C802" t="s">
        <v>2683</v>
      </c>
      <c r="D802" t="s">
        <v>2684</v>
      </c>
      <c r="E802" t="s">
        <v>1236</v>
      </c>
      <c r="G802" t="str">
        <f>_xlfn.XLOOKUP(frasest[[#This Row],[autor_es]],autorest[autor_es],autorest[autor_la])</f>
        <v>Sententia Vasconica</v>
      </c>
      <c r="H802" t="str">
        <f>_xlfn.XLOOKUP(frasest[[#This Row],[autor_es]],autorest[autor_es],autorest[bio_es])</f>
        <v>Proverbios de la tradición oral vasca que reflejan la relación con la naturaleza, el trabajo y los valores comunitarios del pueblo vasco.</v>
      </c>
      <c r="I802" t="str">
        <f>_xlfn.XLOOKUP(frasest[[#This Row],[autor_es]],autorest[autor_es],autorest[bio_la])</f>
        <v>Collectio sententiarum Vasconicarum.</v>
      </c>
      <c r="J802" t="str">
        <f>_xlfn.XLOOKUP(frasest[[#This Row],[autor_es]],autorest[autor_es],autorest[codigo])</f>
        <v>eu</v>
      </c>
      <c r="K802" t="str">
        <f>_xlfn.XLOOKUP(frasest[[#This Row],[autor_es]],autorest[autor_es],autorest[idioma_es])</f>
        <v>Euskara</v>
      </c>
      <c r="L802" t="str">
        <f>_xlfn.XLOOKUP(frasest[[#This Row],[autor_es]],autorest[autor_es],autorest[idioma_la])</f>
        <v>Lingua Vasconica</v>
      </c>
      <c r="M802" t="str">
        <f>_xlfn.XLOOKUP(frasest[[#This Row],[autor_es]],autorest[autor_es],autorest[nacion_es])</f>
        <v>España</v>
      </c>
      <c r="N802" t="str">
        <f>_xlfn.XLOOKUP(frasest[[#This Row],[autor_es]],autorest[autor_es],autorest[nacion_la])</f>
        <v>Hispania</v>
      </c>
      <c r="O802" t="str">
        <f>_xlfn.XLOOKUP(frasest[[#This Row],[autor_es]],autorest[autor_es],autorest[epoca_es])</f>
        <v>Epoca Desconocida</v>
      </c>
      <c r="P802" t="str">
        <f>_xlfn.XLOOKUP(frasest[[#This Row],[autor_es]],autorest[autor_es],autorest[epoca_la])</f>
        <v>Epocha Ignota</v>
      </c>
      <c r="Q802" t="str">
        <f>_xlfn.XLOOKUP(frasest[[#This Row],[autor_es]],autorest[autor_es],autorest[imagen])</f>
        <v>https://i.ibb.co/bjgxB3kn/euskadi.png</v>
      </c>
      <c r="R802">
        <f>_xlfn.XLOOKUP(frasest[[#This Row],[autor_es]],autorest[autor_es],autorest[imagen_atr])</f>
        <v>0</v>
      </c>
    </row>
    <row r="803" spans="1:18">
      <c r="A803">
        <v>802</v>
      </c>
      <c r="B803" t="s">
        <v>2685</v>
      </c>
      <c r="C803" t="s">
        <v>2686</v>
      </c>
      <c r="D803" t="s">
        <v>2687</v>
      </c>
      <c r="E803" t="s">
        <v>1236</v>
      </c>
      <c r="G803" t="str">
        <f>_xlfn.XLOOKUP(frasest[[#This Row],[autor_es]],autorest[autor_es],autorest[autor_la])</f>
        <v>Sententia Vasconica</v>
      </c>
      <c r="H803" t="str">
        <f>_xlfn.XLOOKUP(frasest[[#This Row],[autor_es]],autorest[autor_es],autorest[bio_es])</f>
        <v>Proverbios de la tradición oral vasca que reflejan la relación con la naturaleza, el trabajo y los valores comunitarios del pueblo vasco.</v>
      </c>
      <c r="I803" t="str">
        <f>_xlfn.XLOOKUP(frasest[[#This Row],[autor_es]],autorest[autor_es],autorest[bio_la])</f>
        <v>Collectio sententiarum Vasconicarum.</v>
      </c>
      <c r="J803" t="str">
        <f>_xlfn.XLOOKUP(frasest[[#This Row],[autor_es]],autorest[autor_es],autorest[codigo])</f>
        <v>eu</v>
      </c>
      <c r="K803" t="str">
        <f>_xlfn.XLOOKUP(frasest[[#This Row],[autor_es]],autorest[autor_es],autorest[idioma_es])</f>
        <v>Euskara</v>
      </c>
      <c r="L803" t="str">
        <f>_xlfn.XLOOKUP(frasest[[#This Row],[autor_es]],autorest[autor_es],autorest[idioma_la])</f>
        <v>Lingua Vasconica</v>
      </c>
      <c r="M803" t="str">
        <f>_xlfn.XLOOKUP(frasest[[#This Row],[autor_es]],autorest[autor_es],autorest[nacion_es])</f>
        <v>España</v>
      </c>
      <c r="N803" t="str">
        <f>_xlfn.XLOOKUP(frasest[[#This Row],[autor_es]],autorest[autor_es],autorest[nacion_la])</f>
        <v>Hispania</v>
      </c>
      <c r="O803" t="str">
        <f>_xlfn.XLOOKUP(frasest[[#This Row],[autor_es]],autorest[autor_es],autorest[epoca_es])</f>
        <v>Epoca Desconocida</v>
      </c>
      <c r="P803" t="str">
        <f>_xlfn.XLOOKUP(frasest[[#This Row],[autor_es]],autorest[autor_es],autorest[epoca_la])</f>
        <v>Epocha Ignota</v>
      </c>
      <c r="Q803" t="str">
        <f>_xlfn.XLOOKUP(frasest[[#This Row],[autor_es]],autorest[autor_es],autorest[imagen])</f>
        <v>https://i.ibb.co/bjgxB3kn/euskadi.png</v>
      </c>
      <c r="R803">
        <f>_xlfn.XLOOKUP(frasest[[#This Row],[autor_es]],autorest[autor_es],autorest[imagen_atr])</f>
        <v>0</v>
      </c>
    </row>
    <row r="804" spans="1:18">
      <c r="A804">
        <v>803</v>
      </c>
      <c r="B804" t="s">
        <v>2688</v>
      </c>
      <c r="C804" t="s">
        <v>2689</v>
      </c>
      <c r="D804" t="s">
        <v>2690</v>
      </c>
      <c r="E804" t="s">
        <v>1236</v>
      </c>
      <c r="G804" t="str">
        <f>_xlfn.XLOOKUP(frasest[[#This Row],[autor_es]],autorest[autor_es],autorest[autor_la])</f>
        <v>Sententia Vasconica</v>
      </c>
      <c r="H804" t="str">
        <f>_xlfn.XLOOKUP(frasest[[#This Row],[autor_es]],autorest[autor_es],autorest[bio_es])</f>
        <v>Proverbios de la tradición oral vasca que reflejan la relación con la naturaleza, el trabajo y los valores comunitarios del pueblo vasco.</v>
      </c>
      <c r="I804" t="str">
        <f>_xlfn.XLOOKUP(frasest[[#This Row],[autor_es]],autorest[autor_es],autorest[bio_la])</f>
        <v>Collectio sententiarum Vasconicarum.</v>
      </c>
      <c r="J804" t="str">
        <f>_xlfn.XLOOKUP(frasest[[#This Row],[autor_es]],autorest[autor_es],autorest[codigo])</f>
        <v>eu</v>
      </c>
      <c r="K804" t="str">
        <f>_xlfn.XLOOKUP(frasest[[#This Row],[autor_es]],autorest[autor_es],autorest[idioma_es])</f>
        <v>Euskara</v>
      </c>
      <c r="L804" t="str">
        <f>_xlfn.XLOOKUP(frasest[[#This Row],[autor_es]],autorest[autor_es],autorest[idioma_la])</f>
        <v>Lingua Vasconica</v>
      </c>
      <c r="M804" t="str">
        <f>_xlfn.XLOOKUP(frasest[[#This Row],[autor_es]],autorest[autor_es],autorest[nacion_es])</f>
        <v>España</v>
      </c>
      <c r="N804" t="str">
        <f>_xlfn.XLOOKUP(frasest[[#This Row],[autor_es]],autorest[autor_es],autorest[nacion_la])</f>
        <v>Hispania</v>
      </c>
      <c r="O804" t="str">
        <f>_xlfn.XLOOKUP(frasest[[#This Row],[autor_es]],autorest[autor_es],autorest[epoca_es])</f>
        <v>Epoca Desconocida</v>
      </c>
      <c r="P804" t="str">
        <f>_xlfn.XLOOKUP(frasest[[#This Row],[autor_es]],autorest[autor_es],autorest[epoca_la])</f>
        <v>Epocha Ignota</v>
      </c>
      <c r="Q804" t="str">
        <f>_xlfn.XLOOKUP(frasest[[#This Row],[autor_es]],autorest[autor_es],autorest[imagen])</f>
        <v>https://i.ibb.co/bjgxB3kn/euskadi.png</v>
      </c>
      <c r="R804">
        <f>_xlfn.XLOOKUP(frasest[[#This Row],[autor_es]],autorest[autor_es],autorest[imagen_atr])</f>
        <v>0</v>
      </c>
    </row>
    <row r="805" spans="1:18">
      <c r="A805">
        <v>804</v>
      </c>
      <c r="B805" t="s">
        <v>2691</v>
      </c>
      <c r="C805" t="s">
        <v>2692</v>
      </c>
      <c r="D805" t="s">
        <v>2693</v>
      </c>
      <c r="E805" t="s">
        <v>1236</v>
      </c>
      <c r="G805" t="str">
        <f>_xlfn.XLOOKUP(frasest[[#This Row],[autor_es]],autorest[autor_es],autorest[autor_la])</f>
        <v>Sententia Vasconica</v>
      </c>
      <c r="H805" t="str">
        <f>_xlfn.XLOOKUP(frasest[[#This Row],[autor_es]],autorest[autor_es],autorest[bio_es])</f>
        <v>Proverbios de la tradición oral vasca que reflejan la relación con la naturaleza, el trabajo y los valores comunitarios del pueblo vasco.</v>
      </c>
      <c r="I805" t="str">
        <f>_xlfn.XLOOKUP(frasest[[#This Row],[autor_es]],autorest[autor_es],autorest[bio_la])</f>
        <v>Collectio sententiarum Vasconicarum.</v>
      </c>
      <c r="J805" t="str">
        <f>_xlfn.XLOOKUP(frasest[[#This Row],[autor_es]],autorest[autor_es],autorest[codigo])</f>
        <v>eu</v>
      </c>
      <c r="K805" t="str">
        <f>_xlfn.XLOOKUP(frasest[[#This Row],[autor_es]],autorest[autor_es],autorest[idioma_es])</f>
        <v>Euskara</v>
      </c>
      <c r="L805" t="str">
        <f>_xlfn.XLOOKUP(frasest[[#This Row],[autor_es]],autorest[autor_es],autorest[idioma_la])</f>
        <v>Lingua Vasconica</v>
      </c>
      <c r="M805" t="str">
        <f>_xlfn.XLOOKUP(frasest[[#This Row],[autor_es]],autorest[autor_es],autorest[nacion_es])</f>
        <v>España</v>
      </c>
      <c r="N805" t="str">
        <f>_xlfn.XLOOKUP(frasest[[#This Row],[autor_es]],autorest[autor_es],autorest[nacion_la])</f>
        <v>Hispania</v>
      </c>
      <c r="O805" t="str">
        <f>_xlfn.XLOOKUP(frasest[[#This Row],[autor_es]],autorest[autor_es],autorest[epoca_es])</f>
        <v>Epoca Desconocida</v>
      </c>
      <c r="P805" t="str">
        <f>_xlfn.XLOOKUP(frasest[[#This Row],[autor_es]],autorest[autor_es],autorest[epoca_la])</f>
        <v>Epocha Ignota</v>
      </c>
      <c r="Q805" t="str">
        <f>_xlfn.XLOOKUP(frasest[[#This Row],[autor_es]],autorest[autor_es],autorest[imagen])</f>
        <v>https://i.ibb.co/bjgxB3kn/euskadi.png</v>
      </c>
      <c r="R805">
        <f>_xlfn.XLOOKUP(frasest[[#This Row],[autor_es]],autorest[autor_es],autorest[imagen_atr])</f>
        <v>0</v>
      </c>
    </row>
    <row r="806" spans="1:18">
      <c r="A806">
        <v>805</v>
      </c>
      <c r="B806" t="s">
        <v>2694</v>
      </c>
      <c r="C806" t="s">
        <v>2695</v>
      </c>
      <c r="D806" t="s">
        <v>2696</v>
      </c>
      <c r="E806" t="s">
        <v>1236</v>
      </c>
      <c r="G806" t="str">
        <f>_xlfn.XLOOKUP(frasest[[#This Row],[autor_es]],autorest[autor_es],autorest[autor_la])</f>
        <v>Sententia Vasconica</v>
      </c>
      <c r="H806" t="str">
        <f>_xlfn.XLOOKUP(frasest[[#This Row],[autor_es]],autorest[autor_es],autorest[bio_es])</f>
        <v>Proverbios de la tradición oral vasca que reflejan la relación con la naturaleza, el trabajo y los valores comunitarios del pueblo vasco.</v>
      </c>
      <c r="I806" t="str">
        <f>_xlfn.XLOOKUP(frasest[[#This Row],[autor_es]],autorest[autor_es],autorest[bio_la])</f>
        <v>Collectio sententiarum Vasconicarum.</v>
      </c>
      <c r="J806" t="str">
        <f>_xlfn.XLOOKUP(frasest[[#This Row],[autor_es]],autorest[autor_es],autorest[codigo])</f>
        <v>eu</v>
      </c>
      <c r="K806" t="str">
        <f>_xlfn.XLOOKUP(frasest[[#This Row],[autor_es]],autorest[autor_es],autorest[idioma_es])</f>
        <v>Euskara</v>
      </c>
      <c r="L806" t="str">
        <f>_xlfn.XLOOKUP(frasest[[#This Row],[autor_es]],autorest[autor_es],autorest[idioma_la])</f>
        <v>Lingua Vasconica</v>
      </c>
      <c r="M806" t="str">
        <f>_xlfn.XLOOKUP(frasest[[#This Row],[autor_es]],autorest[autor_es],autorest[nacion_es])</f>
        <v>España</v>
      </c>
      <c r="N806" t="str">
        <f>_xlfn.XLOOKUP(frasest[[#This Row],[autor_es]],autorest[autor_es],autorest[nacion_la])</f>
        <v>Hispania</v>
      </c>
      <c r="O806" t="str">
        <f>_xlfn.XLOOKUP(frasest[[#This Row],[autor_es]],autorest[autor_es],autorest[epoca_es])</f>
        <v>Epoca Desconocida</v>
      </c>
      <c r="P806" t="str">
        <f>_xlfn.XLOOKUP(frasest[[#This Row],[autor_es]],autorest[autor_es],autorest[epoca_la])</f>
        <v>Epocha Ignota</v>
      </c>
      <c r="Q806" t="str">
        <f>_xlfn.XLOOKUP(frasest[[#This Row],[autor_es]],autorest[autor_es],autorest[imagen])</f>
        <v>https://i.ibb.co/bjgxB3kn/euskadi.png</v>
      </c>
      <c r="R806">
        <f>_xlfn.XLOOKUP(frasest[[#This Row],[autor_es]],autorest[autor_es],autorest[imagen_atr])</f>
        <v>0</v>
      </c>
    </row>
    <row r="807" spans="1:18">
      <c r="A807">
        <v>806</v>
      </c>
      <c r="B807" t="s">
        <v>2697</v>
      </c>
      <c r="C807" t="s">
        <v>2698</v>
      </c>
      <c r="D807" t="s">
        <v>2699</v>
      </c>
      <c r="E807" t="s">
        <v>1236</v>
      </c>
      <c r="G807" t="str">
        <f>_xlfn.XLOOKUP(frasest[[#This Row],[autor_es]],autorest[autor_es],autorest[autor_la])</f>
        <v>Sententia Vasconica</v>
      </c>
      <c r="H807" t="str">
        <f>_xlfn.XLOOKUP(frasest[[#This Row],[autor_es]],autorest[autor_es],autorest[bio_es])</f>
        <v>Proverbios de la tradición oral vasca que reflejan la relación con la naturaleza, el trabajo y los valores comunitarios del pueblo vasco.</v>
      </c>
      <c r="I807" t="str">
        <f>_xlfn.XLOOKUP(frasest[[#This Row],[autor_es]],autorest[autor_es],autorest[bio_la])</f>
        <v>Collectio sententiarum Vasconicarum.</v>
      </c>
      <c r="J807" t="str">
        <f>_xlfn.XLOOKUP(frasest[[#This Row],[autor_es]],autorest[autor_es],autorest[codigo])</f>
        <v>eu</v>
      </c>
      <c r="K807" t="str">
        <f>_xlfn.XLOOKUP(frasest[[#This Row],[autor_es]],autorest[autor_es],autorest[idioma_es])</f>
        <v>Euskara</v>
      </c>
      <c r="L807" t="str">
        <f>_xlfn.XLOOKUP(frasest[[#This Row],[autor_es]],autorest[autor_es],autorest[idioma_la])</f>
        <v>Lingua Vasconica</v>
      </c>
      <c r="M807" t="str">
        <f>_xlfn.XLOOKUP(frasest[[#This Row],[autor_es]],autorest[autor_es],autorest[nacion_es])</f>
        <v>España</v>
      </c>
      <c r="N807" t="str">
        <f>_xlfn.XLOOKUP(frasest[[#This Row],[autor_es]],autorest[autor_es],autorest[nacion_la])</f>
        <v>Hispania</v>
      </c>
      <c r="O807" t="str">
        <f>_xlfn.XLOOKUP(frasest[[#This Row],[autor_es]],autorest[autor_es],autorest[epoca_es])</f>
        <v>Epoca Desconocida</v>
      </c>
      <c r="P807" t="str">
        <f>_xlfn.XLOOKUP(frasest[[#This Row],[autor_es]],autorest[autor_es],autorest[epoca_la])</f>
        <v>Epocha Ignota</v>
      </c>
      <c r="Q807" t="str">
        <f>_xlfn.XLOOKUP(frasest[[#This Row],[autor_es]],autorest[autor_es],autorest[imagen])</f>
        <v>https://i.ibb.co/bjgxB3kn/euskadi.png</v>
      </c>
      <c r="R807">
        <f>_xlfn.XLOOKUP(frasest[[#This Row],[autor_es]],autorest[autor_es],autorest[imagen_atr])</f>
        <v>0</v>
      </c>
    </row>
    <row r="808" spans="1:18">
      <c r="A808">
        <v>807</v>
      </c>
      <c r="B808" t="s">
        <v>2700</v>
      </c>
      <c r="C808" t="s">
        <v>2701</v>
      </c>
      <c r="D808" t="s">
        <v>2702</v>
      </c>
      <c r="E808" t="s">
        <v>1236</v>
      </c>
      <c r="G808" t="str">
        <f>_xlfn.XLOOKUP(frasest[[#This Row],[autor_es]],autorest[autor_es],autorest[autor_la])</f>
        <v>Sententia Vasconica</v>
      </c>
      <c r="H808" t="str">
        <f>_xlfn.XLOOKUP(frasest[[#This Row],[autor_es]],autorest[autor_es],autorest[bio_es])</f>
        <v>Proverbios de la tradición oral vasca que reflejan la relación con la naturaleza, el trabajo y los valores comunitarios del pueblo vasco.</v>
      </c>
      <c r="I808" t="str">
        <f>_xlfn.XLOOKUP(frasest[[#This Row],[autor_es]],autorest[autor_es],autorest[bio_la])</f>
        <v>Collectio sententiarum Vasconicarum.</v>
      </c>
      <c r="J808" t="str">
        <f>_xlfn.XLOOKUP(frasest[[#This Row],[autor_es]],autorest[autor_es],autorest[codigo])</f>
        <v>eu</v>
      </c>
      <c r="K808" t="str">
        <f>_xlfn.XLOOKUP(frasest[[#This Row],[autor_es]],autorest[autor_es],autorest[idioma_es])</f>
        <v>Euskara</v>
      </c>
      <c r="L808" t="str">
        <f>_xlfn.XLOOKUP(frasest[[#This Row],[autor_es]],autorest[autor_es],autorest[idioma_la])</f>
        <v>Lingua Vasconica</v>
      </c>
      <c r="M808" t="str">
        <f>_xlfn.XLOOKUP(frasest[[#This Row],[autor_es]],autorest[autor_es],autorest[nacion_es])</f>
        <v>España</v>
      </c>
      <c r="N808" t="str">
        <f>_xlfn.XLOOKUP(frasest[[#This Row],[autor_es]],autorest[autor_es],autorest[nacion_la])</f>
        <v>Hispania</v>
      </c>
      <c r="O808" t="str">
        <f>_xlfn.XLOOKUP(frasest[[#This Row],[autor_es]],autorest[autor_es],autorest[epoca_es])</f>
        <v>Epoca Desconocida</v>
      </c>
      <c r="P808" t="str">
        <f>_xlfn.XLOOKUP(frasest[[#This Row],[autor_es]],autorest[autor_es],autorest[epoca_la])</f>
        <v>Epocha Ignota</v>
      </c>
      <c r="Q808" t="str">
        <f>_xlfn.XLOOKUP(frasest[[#This Row],[autor_es]],autorest[autor_es],autorest[imagen])</f>
        <v>https://i.ibb.co/bjgxB3kn/euskadi.png</v>
      </c>
      <c r="R808">
        <f>_xlfn.XLOOKUP(frasest[[#This Row],[autor_es]],autorest[autor_es],autorest[imagen_atr])</f>
        <v>0</v>
      </c>
    </row>
    <row r="809" spans="1:18">
      <c r="A809">
        <v>808</v>
      </c>
      <c r="B809" t="s">
        <v>2703</v>
      </c>
      <c r="C809" t="s">
        <v>2704</v>
      </c>
      <c r="D809" t="s">
        <v>2705</v>
      </c>
      <c r="E809" t="s">
        <v>1236</v>
      </c>
      <c r="G809" t="str">
        <f>_xlfn.XLOOKUP(frasest[[#This Row],[autor_es]],autorest[autor_es],autorest[autor_la])</f>
        <v>Sententia Vasconica</v>
      </c>
      <c r="H809" t="str">
        <f>_xlfn.XLOOKUP(frasest[[#This Row],[autor_es]],autorest[autor_es],autorest[bio_es])</f>
        <v>Proverbios de la tradición oral vasca que reflejan la relación con la naturaleza, el trabajo y los valores comunitarios del pueblo vasco.</v>
      </c>
      <c r="I809" t="str">
        <f>_xlfn.XLOOKUP(frasest[[#This Row],[autor_es]],autorest[autor_es],autorest[bio_la])</f>
        <v>Collectio sententiarum Vasconicarum.</v>
      </c>
      <c r="J809" t="str">
        <f>_xlfn.XLOOKUP(frasest[[#This Row],[autor_es]],autorest[autor_es],autorest[codigo])</f>
        <v>eu</v>
      </c>
      <c r="K809" t="str">
        <f>_xlfn.XLOOKUP(frasest[[#This Row],[autor_es]],autorest[autor_es],autorest[idioma_es])</f>
        <v>Euskara</v>
      </c>
      <c r="L809" t="str">
        <f>_xlfn.XLOOKUP(frasest[[#This Row],[autor_es]],autorest[autor_es],autorest[idioma_la])</f>
        <v>Lingua Vasconica</v>
      </c>
      <c r="M809" t="str">
        <f>_xlfn.XLOOKUP(frasest[[#This Row],[autor_es]],autorest[autor_es],autorest[nacion_es])</f>
        <v>España</v>
      </c>
      <c r="N809" t="str">
        <f>_xlfn.XLOOKUP(frasest[[#This Row],[autor_es]],autorest[autor_es],autorest[nacion_la])</f>
        <v>Hispania</v>
      </c>
      <c r="O809" t="str">
        <f>_xlfn.XLOOKUP(frasest[[#This Row],[autor_es]],autorest[autor_es],autorest[epoca_es])</f>
        <v>Epoca Desconocida</v>
      </c>
      <c r="P809" t="str">
        <f>_xlfn.XLOOKUP(frasest[[#This Row],[autor_es]],autorest[autor_es],autorest[epoca_la])</f>
        <v>Epocha Ignota</v>
      </c>
      <c r="Q809" t="str">
        <f>_xlfn.XLOOKUP(frasest[[#This Row],[autor_es]],autorest[autor_es],autorest[imagen])</f>
        <v>https://i.ibb.co/bjgxB3kn/euskadi.png</v>
      </c>
      <c r="R809">
        <f>_xlfn.XLOOKUP(frasest[[#This Row],[autor_es]],autorest[autor_es],autorest[imagen_atr])</f>
        <v>0</v>
      </c>
    </row>
    <row r="810" spans="1:18">
      <c r="A810">
        <v>809</v>
      </c>
      <c r="B810" t="s">
        <v>2706</v>
      </c>
      <c r="C810" t="s">
        <v>2707</v>
      </c>
      <c r="D810" t="s">
        <v>2708</v>
      </c>
      <c r="E810" t="s">
        <v>1236</v>
      </c>
      <c r="G810" t="str">
        <f>_xlfn.XLOOKUP(frasest[[#This Row],[autor_es]],autorest[autor_es],autorest[autor_la])</f>
        <v>Sententia Vasconica</v>
      </c>
      <c r="H810" t="str">
        <f>_xlfn.XLOOKUP(frasest[[#This Row],[autor_es]],autorest[autor_es],autorest[bio_es])</f>
        <v>Proverbios de la tradición oral vasca que reflejan la relación con la naturaleza, el trabajo y los valores comunitarios del pueblo vasco.</v>
      </c>
      <c r="I810" t="str">
        <f>_xlfn.XLOOKUP(frasest[[#This Row],[autor_es]],autorest[autor_es],autorest[bio_la])</f>
        <v>Collectio sententiarum Vasconicarum.</v>
      </c>
      <c r="J810" t="str">
        <f>_xlfn.XLOOKUP(frasest[[#This Row],[autor_es]],autorest[autor_es],autorest[codigo])</f>
        <v>eu</v>
      </c>
      <c r="K810" t="str">
        <f>_xlfn.XLOOKUP(frasest[[#This Row],[autor_es]],autorest[autor_es],autorest[idioma_es])</f>
        <v>Euskara</v>
      </c>
      <c r="L810" t="str">
        <f>_xlfn.XLOOKUP(frasest[[#This Row],[autor_es]],autorest[autor_es],autorest[idioma_la])</f>
        <v>Lingua Vasconica</v>
      </c>
      <c r="M810" t="str">
        <f>_xlfn.XLOOKUP(frasest[[#This Row],[autor_es]],autorest[autor_es],autorest[nacion_es])</f>
        <v>España</v>
      </c>
      <c r="N810" t="str">
        <f>_xlfn.XLOOKUP(frasest[[#This Row],[autor_es]],autorest[autor_es],autorest[nacion_la])</f>
        <v>Hispania</v>
      </c>
      <c r="O810" t="str">
        <f>_xlfn.XLOOKUP(frasest[[#This Row],[autor_es]],autorest[autor_es],autorest[epoca_es])</f>
        <v>Epoca Desconocida</v>
      </c>
      <c r="P810" t="str">
        <f>_xlfn.XLOOKUP(frasest[[#This Row],[autor_es]],autorest[autor_es],autorest[epoca_la])</f>
        <v>Epocha Ignota</v>
      </c>
      <c r="Q810" t="str">
        <f>_xlfn.XLOOKUP(frasest[[#This Row],[autor_es]],autorest[autor_es],autorest[imagen])</f>
        <v>https://i.ibb.co/bjgxB3kn/euskadi.png</v>
      </c>
      <c r="R810">
        <f>_xlfn.XLOOKUP(frasest[[#This Row],[autor_es]],autorest[autor_es],autorest[imagen_atr])</f>
        <v>0</v>
      </c>
    </row>
    <row r="811" spans="1:18">
      <c r="A811">
        <v>810</v>
      </c>
      <c r="B811" t="s">
        <v>2709</v>
      </c>
      <c r="C811" t="s">
        <v>2710</v>
      </c>
      <c r="D811" t="s">
        <v>2711</v>
      </c>
      <c r="E811" t="s">
        <v>1236</v>
      </c>
      <c r="G811" t="str">
        <f>_xlfn.XLOOKUP(frasest[[#This Row],[autor_es]],autorest[autor_es],autorest[autor_la])</f>
        <v>Sententia Vasconica</v>
      </c>
      <c r="H811" t="str">
        <f>_xlfn.XLOOKUP(frasest[[#This Row],[autor_es]],autorest[autor_es],autorest[bio_es])</f>
        <v>Proverbios de la tradición oral vasca que reflejan la relación con la naturaleza, el trabajo y los valores comunitarios del pueblo vasco.</v>
      </c>
      <c r="I811" t="str">
        <f>_xlfn.XLOOKUP(frasest[[#This Row],[autor_es]],autorest[autor_es],autorest[bio_la])</f>
        <v>Collectio sententiarum Vasconicarum.</v>
      </c>
      <c r="J811" t="str">
        <f>_xlfn.XLOOKUP(frasest[[#This Row],[autor_es]],autorest[autor_es],autorest[codigo])</f>
        <v>eu</v>
      </c>
      <c r="K811" t="str">
        <f>_xlfn.XLOOKUP(frasest[[#This Row],[autor_es]],autorest[autor_es],autorest[idioma_es])</f>
        <v>Euskara</v>
      </c>
      <c r="L811" t="str">
        <f>_xlfn.XLOOKUP(frasest[[#This Row],[autor_es]],autorest[autor_es],autorest[idioma_la])</f>
        <v>Lingua Vasconica</v>
      </c>
      <c r="M811" t="str">
        <f>_xlfn.XLOOKUP(frasest[[#This Row],[autor_es]],autorest[autor_es],autorest[nacion_es])</f>
        <v>España</v>
      </c>
      <c r="N811" t="str">
        <f>_xlfn.XLOOKUP(frasest[[#This Row],[autor_es]],autorest[autor_es],autorest[nacion_la])</f>
        <v>Hispania</v>
      </c>
      <c r="O811" t="str">
        <f>_xlfn.XLOOKUP(frasest[[#This Row],[autor_es]],autorest[autor_es],autorest[epoca_es])</f>
        <v>Epoca Desconocida</v>
      </c>
      <c r="P811" t="str">
        <f>_xlfn.XLOOKUP(frasest[[#This Row],[autor_es]],autorest[autor_es],autorest[epoca_la])</f>
        <v>Epocha Ignota</v>
      </c>
      <c r="Q811" t="str">
        <f>_xlfn.XLOOKUP(frasest[[#This Row],[autor_es]],autorest[autor_es],autorest[imagen])</f>
        <v>https://i.ibb.co/bjgxB3kn/euskadi.png</v>
      </c>
      <c r="R811">
        <f>_xlfn.XLOOKUP(frasest[[#This Row],[autor_es]],autorest[autor_es],autorest[imagen_atr])</f>
        <v>0</v>
      </c>
    </row>
    <row r="812" spans="1:18">
      <c r="A812">
        <v>811</v>
      </c>
      <c r="B812" t="s">
        <v>2712</v>
      </c>
      <c r="C812" t="s">
        <v>2713</v>
      </c>
      <c r="D812" t="s">
        <v>2714</v>
      </c>
      <c r="E812" t="s">
        <v>1236</v>
      </c>
      <c r="G812" t="str">
        <f>_xlfn.XLOOKUP(frasest[[#This Row],[autor_es]],autorest[autor_es],autorest[autor_la])</f>
        <v>Sententia Vasconica</v>
      </c>
      <c r="H812" t="str">
        <f>_xlfn.XLOOKUP(frasest[[#This Row],[autor_es]],autorest[autor_es],autorest[bio_es])</f>
        <v>Proverbios de la tradición oral vasca que reflejan la relación con la naturaleza, el trabajo y los valores comunitarios del pueblo vasco.</v>
      </c>
      <c r="I812" t="str">
        <f>_xlfn.XLOOKUP(frasest[[#This Row],[autor_es]],autorest[autor_es],autorest[bio_la])</f>
        <v>Collectio sententiarum Vasconicarum.</v>
      </c>
      <c r="J812" t="str">
        <f>_xlfn.XLOOKUP(frasest[[#This Row],[autor_es]],autorest[autor_es],autorest[codigo])</f>
        <v>eu</v>
      </c>
      <c r="K812" t="str">
        <f>_xlfn.XLOOKUP(frasest[[#This Row],[autor_es]],autorest[autor_es],autorest[idioma_es])</f>
        <v>Euskara</v>
      </c>
      <c r="L812" t="str">
        <f>_xlfn.XLOOKUP(frasest[[#This Row],[autor_es]],autorest[autor_es],autorest[idioma_la])</f>
        <v>Lingua Vasconica</v>
      </c>
      <c r="M812" t="str">
        <f>_xlfn.XLOOKUP(frasest[[#This Row],[autor_es]],autorest[autor_es],autorest[nacion_es])</f>
        <v>España</v>
      </c>
      <c r="N812" t="str">
        <f>_xlfn.XLOOKUP(frasest[[#This Row],[autor_es]],autorest[autor_es],autorest[nacion_la])</f>
        <v>Hispania</v>
      </c>
      <c r="O812" t="str">
        <f>_xlfn.XLOOKUP(frasest[[#This Row],[autor_es]],autorest[autor_es],autorest[epoca_es])</f>
        <v>Epoca Desconocida</v>
      </c>
      <c r="P812" t="str">
        <f>_xlfn.XLOOKUP(frasest[[#This Row],[autor_es]],autorest[autor_es],autorest[epoca_la])</f>
        <v>Epocha Ignota</v>
      </c>
      <c r="Q812" t="str">
        <f>_xlfn.XLOOKUP(frasest[[#This Row],[autor_es]],autorest[autor_es],autorest[imagen])</f>
        <v>https://i.ibb.co/bjgxB3kn/euskadi.png</v>
      </c>
      <c r="R812">
        <f>_xlfn.XLOOKUP(frasest[[#This Row],[autor_es]],autorest[autor_es],autorest[imagen_atr])</f>
        <v>0</v>
      </c>
    </row>
    <row r="813" spans="1:18">
      <c r="A813">
        <v>812</v>
      </c>
      <c r="B813" t="s">
        <v>2715</v>
      </c>
      <c r="C813" t="s">
        <v>2716</v>
      </c>
      <c r="D813" t="s">
        <v>2717</v>
      </c>
      <c r="E813" t="s">
        <v>1236</v>
      </c>
      <c r="G813" t="str">
        <f>_xlfn.XLOOKUP(frasest[[#This Row],[autor_es]],autorest[autor_es],autorest[autor_la])</f>
        <v>Sententia Vasconica</v>
      </c>
      <c r="H813" t="str">
        <f>_xlfn.XLOOKUP(frasest[[#This Row],[autor_es]],autorest[autor_es],autorest[bio_es])</f>
        <v>Proverbios de la tradición oral vasca que reflejan la relación con la naturaleza, el trabajo y los valores comunitarios del pueblo vasco.</v>
      </c>
      <c r="I813" t="str">
        <f>_xlfn.XLOOKUP(frasest[[#This Row],[autor_es]],autorest[autor_es],autorest[bio_la])</f>
        <v>Collectio sententiarum Vasconicarum.</v>
      </c>
      <c r="J813" t="str">
        <f>_xlfn.XLOOKUP(frasest[[#This Row],[autor_es]],autorest[autor_es],autorest[codigo])</f>
        <v>eu</v>
      </c>
      <c r="K813" t="str">
        <f>_xlfn.XLOOKUP(frasest[[#This Row],[autor_es]],autorest[autor_es],autorest[idioma_es])</f>
        <v>Euskara</v>
      </c>
      <c r="L813" t="str">
        <f>_xlfn.XLOOKUP(frasest[[#This Row],[autor_es]],autorest[autor_es],autorest[idioma_la])</f>
        <v>Lingua Vasconica</v>
      </c>
      <c r="M813" t="str">
        <f>_xlfn.XLOOKUP(frasest[[#This Row],[autor_es]],autorest[autor_es],autorest[nacion_es])</f>
        <v>España</v>
      </c>
      <c r="N813" t="str">
        <f>_xlfn.XLOOKUP(frasest[[#This Row],[autor_es]],autorest[autor_es],autorest[nacion_la])</f>
        <v>Hispania</v>
      </c>
      <c r="O813" t="str">
        <f>_xlfn.XLOOKUP(frasest[[#This Row],[autor_es]],autorest[autor_es],autorest[epoca_es])</f>
        <v>Epoca Desconocida</v>
      </c>
      <c r="P813" t="str">
        <f>_xlfn.XLOOKUP(frasest[[#This Row],[autor_es]],autorest[autor_es],autorest[epoca_la])</f>
        <v>Epocha Ignota</v>
      </c>
      <c r="Q813" t="str">
        <f>_xlfn.XLOOKUP(frasest[[#This Row],[autor_es]],autorest[autor_es],autorest[imagen])</f>
        <v>https://i.ibb.co/bjgxB3kn/euskadi.png</v>
      </c>
      <c r="R813">
        <f>_xlfn.XLOOKUP(frasest[[#This Row],[autor_es]],autorest[autor_es],autorest[imagen_atr])</f>
        <v>0</v>
      </c>
    </row>
    <row r="814" spans="1:18">
      <c r="A814">
        <v>813</v>
      </c>
      <c r="B814" t="s">
        <v>2718</v>
      </c>
      <c r="C814" t="s">
        <v>2719</v>
      </c>
      <c r="D814" t="s">
        <v>2720</v>
      </c>
      <c r="E814" t="s">
        <v>1236</v>
      </c>
      <c r="G814" t="str">
        <f>_xlfn.XLOOKUP(frasest[[#This Row],[autor_es]],autorest[autor_es],autorest[autor_la])</f>
        <v>Sententia Vasconica</v>
      </c>
      <c r="H814" t="str">
        <f>_xlfn.XLOOKUP(frasest[[#This Row],[autor_es]],autorest[autor_es],autorest[bio_es])</f>
        <v>Proverbios de la tradición oral vasca que reflejan la relación con la naturaleza, el trabajo y los valores comunitarios del pueblo vasco.</v>
      </c>
      <c r="I814" t="str">
        <f>_xlfn.XLOOKUP(frasest[[#This Row],[autor_es]],autorest[autor_es],autorest[bio_la])</f>
        <v>Collectio sententiarum Vasconicarum.</v>
      </c>
      <c r="J814" t="str">
        <f>_xlfn.XLOOKUP(frasest[[#This Row],[autor_es]],autorest[autor_es],autorest[codigo])</f>
        <v>eu</v>
      </c>
      <c r="K814" t="str">
        <f>_xlfn.XLOOKUP(frasest[[#This Row],[autor_es]],autorest[autor_es],autorest[idioma_es])</f>
        <v>Euskara</v>
      </c>
      <c r="L814" t="str">
        <f>_xlfn.XLOOKUP(frasest[[#This Row],[autor_es]],autorest[autor_es],autorest[idioma_la])</f>
        <v>Lingua Vasconica</v>
      </c>
      <c r="M814" t="str">
        <f>_xlfn.XLOOKUP(frasest[[#This Row],[autor_es]],autorest[autor_es],autorest[nacion_es])</f>
        <v>España</v>
      </c>
      <c r="N814" t="str">
        <f>_xlfn.XLOOKUP(frasest[[#This Row],[autor_es]],autorest[autor_es],autorest[nacion_la])</f>
        <v>Hispania</v>
      </c>
      <c r="O814" t="str">
        <f>_xlfn.XLOOKUP(frasest[[#This Row],[autor_es]],autorest[autor_es],autorest[epoca_es])</f>
        <v>Epoca Desconocida</v>
      </c>
      <c r="P814" t="str">
        <f>_xlfn.XLOOKUP(frasest[[#This Row],[autor_es]],autorest[autor_es],autorest[epoca_la])</f>
        <v>Epocha Ignota</v>
      </c>
      <c r="Q814" t="str">
        <f>_xlfn.XLOOKUP(frasest[[#This Row],[autor_es]],autorest[autor_es],autorest[imagen])</f>
        <v>https://i.ibb.co/bjgxB3kn/euskadi.png</v>
      </c>
      <c r="R814">
        <f>_xlfn.XLOOKUP(frasest[[#This Row],[autor_es]],autorest[autor_es],autorest[imagen_atr])</f>
        <v>0</v>
      </c>
    </row>
    <row r="815" spans="1:18">
      <c r="A815">
        <v>814</v>
      </c>
      <c r="B815" t="s">
        <v>2721</v>
      </c>
      <c r="C815" t="s">
        <v>2722</v>
      </c>
      <c r="D815" t="s">
        <v>2723</v>
      </c>
      <c r="E815" t="s">
        <v>1236</v>
      </c>
      <c r="G815" t="str">
        <f>_xlfn.XLOOKUP(frasest[[#This Row],[autor_es]],autorest[autor_es],autorest[autor_la])</f>
        <v>Sententia Vasconica</v>
      </c>
      <c r="H815" t="str">
        <f>_xlfn.XLOOKUP(frasest[[#This Row],[autor_es]],autorest[autor_es],autorest[bio_es])</f>
        <v>Proverbios de la tradición oral vasca que reflejan la relación con la naturaleza, el trabajo y los valores comunitarios del pueblo vasco.</v>
      </c>
      <c r="I815" t="str">
        <f>_xlfn.XLOOKUP(frasest[[#This Row],[autor_es]],autorest[autor_es],autorest[bio_la])</f>
        <v>Collectio sententiarum Vasconicarum.</v>
      </c>
      <c r="J815" t="str">
        <f>_xlfn.XLOOKUP(frasest[[#This Row],[autor_es]],autorest[autor_es],autorest[codigo])</f>
        <v>eu</v>
      </c>
      <c r="K815" t="str">
        <f>_xlfn.XLOOKUP(frasest[[#This Row],[autor_es]],autorest[autor_es],autorest[idioma_es])</f>
        <v>Euskara</v>
      </c>
      <c r="L815" t="str">
        <f>_xlfn.XLOOKUP(frasest[[#This Row],[autor_es]],autorest[autor_es],autorest[idioma_la])</f>
        <v>Lingua Vasconica</v>
      </c>
      <c r="M815" t="str">
        <f>_xlfn.XLOOKUP(frasest[[#This Row],[autor_es]],autorest[autor_es],autorest[nacion_es])</f>
        <v>España</v>
      </c>
      <c r="N815" t="str">
        <f>_xlfn.XLOOKUP(frasest[[#This Row],[autor_es]],autorest[autor_es],autorest[nacion_la])</f>
        <v>Hispania</v>
      </c>
      <c r="O815" t="str">
        <f>_xlfn.XLOOKUP(frasest[[#This Row],[autor_es]],autorest[autor_es],autorest[epoca_es])</f>
        <v>Epoca Desconocida</v>
      </c>
      <c r="P815" t="str">
        <f>_xlfn.XLOOKUP(frasest[[#This Row],[autor_es]],autorest[autor_es],autorest[epoca_la])</f>
        <v>Epocha Ignota</v>
      </c>
      <c r="Q815" t="str">
        <f>_xlfn.XLOOKUP(frasest[[#This Row],[autor_es]],autorest[autor_es],autorest[imagen])</f>
        <v>https://i.ibb.co/bjgxB3kn/euskadi.png</v>
      </c>
      <c r="R815">
        <f>_xlfn.XLOOKUP(frasest[[#This Row],[autor_es]],autorest[autor_es],autorest[imagen_atr])</f>
        <v>0</v>
      </c>
    </row>
    <row r="816" spans="1:18">
      <c r="A816">
        <v>815</v>
      </c>
      <c r="B816" t="s">
        <v>2724</v>
      </c>
      <c r="C816" t="s">
        <v>2725</v>
      </c>
      <c r="D816" t="s">
        <v>2726</v>
      </c>
      <c r="E816" t="s">
        <v>1236</v>
      </c>
      <c r="G816" t="str">
        <f>_xlfn.XLOOKUP(frasest[[#This Row],[autor_es]],autorest[autor_es],autorest[autor_la])</f>
        <v>Sententia Vasconica</v>
      </c>
      <c r="H816" t="str">
        <f>_xlfn.XLOOKUP(frasest[[#This Row],[autor_es]],autorest[autor_es],autorest[bio_es])</f>
        <v>Proverbios de la tradición oral vasca que reflejan la relación con la naturaleza, el trabajo y los valores comunitarios del pueblo vasco.</v>
      </c>
      <c r="I816" t="str">
        <f>_xlfn.XLOOKUP(frasest[[#This Row],[autor_es]],autorest[autor_es],autorest[bio_la])</f>
        <v>Collectio sententiarum Vasconicarum.</v>
      </c>
      <c r="J816" t="str">
        <f>_xlfn.XLOOKUP(frasest[[#This Row],[autor_es]],autorest[autor_es],autorest[codigo])</f>
        <v>eu</v>
      </c>
      <c r="K816" t="str">
        <f>_xlfn.XLOOKUP(frasest[[#This Row],[autor_es]],autorest[autor_es],autorest[idioma_es])</f>
        <v>Euskara</v>
      </c>
      <c r="L816" t="str">
        <f>_xlfn.XLOOKUP(frasest[[#This Row],[autor_es]],autorest[autor_es],autorest[idioma_la])</f>
        <v>Lingua Vasconica</v>
      </c>
      <c r="M816" t="str">
        <f>_xlfn.XLOOKUP(frasest[[#This Row],[autor_es]],autorest[autor_es],autorest[nacion_es])</f>
        <v>España</v>
      </c>
      <c r="N816" t="str">
        <f>_xlfn.XLOOKUP(frasest[[#This Row],[autor_es]],autorest[autor_es],autorest[nacion_la])</f>
        <v>Hispania</v>
      </c>
      <c r="O816" t="str">
        <f>_xlfn.XLOOKUP(frasest[[#This Row],[autor_es]],autorest[autor_es],autorest[epoca_es])</f>
        <v>Epoca Desconocida</v>
      </c>
      <c r="P816" t="str">
        <f>_xlfn.XLOOKUP(frasest[[#This Row],[autor_es]],autorest[autor_es],autorest[epoca_la])</f>
        <v>Epocha Ignota</v>
      </c>
      <c r="Q816" t="str">
        <f>_xlfn.XLOOKUP(frasest[[#This Row],[autor_es]],autorest[autor_es],autorest[imagen])</f>
        <v>https://i.ibb.co/bjgxB3kn/euskadi.png</v>
      </c>
      <c r="R816">
        <f>_xlfn.XLOOKUP(frasest[[#This Row],[autor_es]],autorest[autor_es],autorest[imagen_atr])</f>
        <v>0</v>
      </c>
    </row>
    <row r="817" spans="1:18">
      <c r="A817">
        <v>816</v>
      </c>
      <c r="B817" t="s">
        <v>2727</v>
      </c>
      <c r="C817" t="s">
        <v>2728</v>
      </c>
      <c r="D817" t="s">
        <v>2729</v>
      </c>
      <c r="E817" t="s">
        <v>1236</v>
      </c>
      <c r="G817" t="str">
        <f>_xlfn.XLOOKUP(frasest[[#This Row],[autor_es]],autorest[autor_es],autorest[autor_la])</f>
        <v>Sententia Vasconica</v>
      </c>
      <c r="H817" t="str">
        <f>_xlfn.XLOOKUP(frasest[[#This Row],[autor_es]],autorest[autor_es],autorest[bio_es])</f>
        <v>Proverbios de la tradición oral vasca que reflejan la relación con la naturaleza, el trabajo y los valores comunitarios del pueblo vasco.</v>
      </c>
      <c r="I817" t="str">
        <f>_xlfn.XLOOKUP(frasest[[#This Row],[autor_es]],autorest[autor_es],autorest[bio_la])</f>
        <v>Collectio sententiarum Vasconicarum.</v>
      </c>
      <c r="J817" t="str">
        <f>_xlfn.XLOOKUP(frasest[[#This Row],[autor_es]],autorest[autor_es],autorest[codigo])</f>
        <v>eu</v>
      </c>
      <c r="K817" t="str">
        <f>_xlfn.XLOOKUP(frasest[[#This Row],[autor_es]],autorest[autor_es],autorest[idioma_es])</f>
        <v>Euskara</v>
      </c>
      <c r="L817" t="str">
        <f>_xlfn.XLOOKUP(frasest[[#This Row],[autor_es]],autorest[autor_es],autorest[idioma_la])</f>
        <v>Lingua Vasconica</v>
      </c>
      <c r="M817" t="str">
        <f>_xlfn.XLOOKUP(frasest[[#This Row],[autor_es]],autorest[autor_es],autorest[nacion_es])</f>
        <v>España</v>
      </c>
      <c r="N817" t="str">
        <f>_xlfn.XLOOKUP(frasest[[#This Row],[autor_es]],autorest[autor_es],autorest[nacion_la])</f>
        <v>Hispania</v>
      </c>
      <c r="O817" t="str">
        <f>_xlfn.XLOOKUP(frasest[[#This Row],[autor_es]],autorest[autor_es],autorest[epoca_es])</f>
        <v>Epoca Desconocida</v>
      </c>
      <c r="P817" t="str">
        <f>_xlfn.XLOOKUP(frasest[[#This Row],[autor_es]],autorest[autor_es],autorest[epoca_la])</f>
        <v>Epocha Ignota</v>
      </c>
      <c r="Q817" t="str">
        <f>_xlfn.XLOOKUP(frasest[[#This Row],[autor_es]],autorest[autor_es],autorest[imagen])</f>
        <v>https://i.ibb.co/bjgxB3kn/euskadi.png</v>
      </c>
      <c r="R817">
        <f>_xlfn.XLOOKUP(frasest[[#This Row],[autor_es]],autorest[autor_es],autorest[imagen_atr])</f>
        <v>0</v>
      </c>
    </row>
    <row r="818" spans="1:18">
      <c r="A818">
        <v>817</v>
      </c>
      <c r="B818" t="s">
        <v>2730</v>
      </c>
      <c r="C818" t="s">
        <v>2731</v>
      </c>
      <c r="D818" t="s">
        <v>2732</v>
      </c>
      <c r="E818" t="s">
        <v>1236</v>
      </c>
      <c r="G818" t="str">
        <f>_xlfn.XLOOKUP(frasest[[#This Row],[autor_es]],autorest[autor_es],autorest[autor_la])</f>
        <v>Sententia Vasconica</v>
      </c>
      <c r="H818" t="str">
        <f>_xlfn.XLOOKUP(frasest[[#This Row],[autor_es]],autorest[autor_es],autorest[bio_es])</f>
        <v>Proverbios de la tradición oral vasca que reflejan la relación con la naturaleza, el trabajo y los valores comunitarios del pueblo vasco.</v>
      </c>
      <c r="I818" t="str">
        <f>_xlfn.XLOOKUP(frasest[[#This Row],[autor_es]],autorest[autor_es],autorest[bio_la])</f>
        <v>Collectio sententiarum Vasconicarum.</v>
      </c>
      <c r="J818" t="str">
        <f>_xlfn.XLOOKUP(frasest[[#This Row],[autor_es]],autorest[autor_es],autorest[codigo])</f>
        <v>eu</v>
      </c>
      <c r="K818" t="str">
        <f>_xlfn.XLOOKUP(frasest[[#This Row],[autor_es]],autorest[autor_es],autorest[idioma_es])</f>
        <v>Euskara</v>
      </c>
      <c r="L818" t="str">
        <f>_xlfn.XLOOKUP(frasest[[#This Row],[autor_es]],autorest[autor_es],autorest[idioma_la])</f>
        <v>Lingua Vasconica</v>
      </c>
      <c r="M818" t="str">
        <f>_xlfn.XLOOKUP(frasest[[#This Row],[autor_es]],autorest[autor_es],autorest[nacion_es])</f>
        <v>España</v>
      </c>
      <c r="N818" t="str">
        <f>_xlfn.XLOOKUP(frasest[[#This Row],[autor_es]],autorest[autor_es],autorest[nacion_la])</f>
        <v>Hispania</v>
      </c>
      <c r="O818" t="str">
        <f>_xlfn.XLOOKUP(frasest[[#This Row],[autor_es]],autorest[autor_es],autorest[epoca_es])</f>
        <v>Epoca Desconocida</v>
      </c>
      <c r="P818" t="str">
        <f>_xlfn.XLOOKUP(frasest[[#This Row],[autor_es]],autorest[autor_es],autorest[epoca_la])</f>
        <v>Epocha Ignota</v>
      </c>
      <c r="Q818" t="str">
        <f>_xlfn.XLOOKUP(frasest[[#This Row],[autor_es]],autorest[autor_es],autorest[imagen])</f>
        <v>https://i.ibb.co/bjgxB3kn/euskadi.png</v>
      </c>
      <c r="R818">
        <f>_xlfn.XLOOKUP(frasest[[#This Row],[autor_es]],autorest[autor_es],autorest[imagen_atr])</f>
        <v>0</v>
      </c>
    </row>
    <row r="819" spans="1:18">
      <c r="A819">
        <v>818</v>
      </c>
      <c r="B819" t="s">
        <v>2733</v>
      </c>
      <c r="C819" t="s">
        <v>2734</v>
      </c>
      <c r="D819" t="s">
        <v>2735</v>
      </c>
      <c r="E819" t="s">
        <v>1236</v>
      </c>
      <c r="G819" t="str">
        <f>_xlfn.XLOOKUP(frasest[[#This Row],[autor_es]],autorest[autor_es],autorest[autor_la])</f>
        <v>Sententia Vasconica</v>
      </c>
      <c r="H819" t="str">
        <f>_xlfn.XLOOKUP(frasest[[#This Row],[autor_es]],autorest[autor_es],autorest[bio_es])</f>
        <v>Proverbios de la tradición oral vasca que reflejan la relación con la naturaleza, el trabajo y los valores comunitarios del pueblo vasco.</v>
      </c>
      <c r="I819" t="str">
        <f>_xlfn.XLOOKUP(frasest[[#This Row],[autor_es]],autorest[autor_es],autorest[bio_la])</f>
        <v>Collectio sententiarum Vasconicarum.</v>
      </c>
      <c r="J819" t="str">
        <f>_xlfn.XLOOKUP(frasest[[#This Row],[autor_es]],autorest[autor_es],autorest[codigo])</f>
        <v>eu</v>
      </c>
      <c r="K819" t="str">
        <f>_xlfn.XLOOKUP(frasest[[#This Row],[autor_es]],autorest[autor_es],autorest[idioma_es])</f>
        <v>Euskara</v>
      </c>
      <c r="L819" t="str">
        <f>_xlfn.XLOOKUP(frasest[[#This Row],[autor_es]],autorest[autor_es],autorest[idioma_la])</f>
        <v>Lingua Vasconica</v>
      </c>
      <c r="M819" t="str">
        <f>_xlfn.XLOOKUP(frasest[[#This Row],[autor_es]],autorest[autor_es],autorest[nacion_es])</f>
        <v>España</v>
      </c>
      <c r="N819" t="str">
        <f>_xlfn.XLOOKUP(frasest[[#This Row],[autor_es]],autorest[autor_es],autorest[nacion_la])</f>
        <v>Hispania</v>
      </c>
      <c r="O819" t="str">
        <f>_xlfn.XLOOKUP(frasest[[#This Row],[autor_es]],autorest[autor_es],autorest[epoca_es])</f>
        <v>Epoca Desconocida</v>
      </c>
      <c r="P819" t="str">
        <f>_xlfn.XLOOKUP(frasest[[#This Row],[autor_es]],autorest[autor_es],autorest[epoca_la])</f>
        <v>Epocha Ignota</v>
      </c>
      <c r="Q819" t="str">
        <f>_xlfn.XLOOKUP(frasest[[#This Row],[autor_es]],autorest[autor_es],autorest[imagen])</f>
        <v>https://i.ibb.co/bjgxB3kn/euskadi.png</v>
      </c>
      <c r="R819">
        <f>_xlfn.XLOOKUP(frasest[[#This Row],[autor_es]],autorest[autor_es],autorest[imagen_atr])</f>
        <v>0</v>
      </c>
    </row>
    <row r="820" spans="1:18">
      <c r="A820">
        <v>819</v>
      </c>
      <c r="B820" t="s">
        <v>2736</v>
      </c>
      <c r="C820" t="s">
        <v>2737</v>
      </c>
      <c r="D820" t="s">
        <v>2738</v>
      </c>
      <c r="E820" t="s">
        <v>1236</v>
      </c>
      <c r="G820" t="str">
        <f>_xlfn.XLOOKUP(frasest[[#This Row],[autor_es]],autorest[autor_es],autorest[autor_la])</f>
        <v>Sententia Vasconica</v>
      </c>
      <c r="H820" t="str">
        <f>_xlfn.XLOOKUP(frasest[[#This Row],[autor_es]],autorest[autor_es],autorest[bio_es])</f>
        <v>Proverbios de la tradición oral vasca que reflejan la relación con la naturaleza, el trabajo y los valores comunitarios del pueblo vasco.</v>
      </c>
      <c r="I820" t="str">
        <f>_xlfn.XLOOKUP(frasest[[#This Row],[autor_es]],autorest[autor_es],autorest[bio_la])</f>
        <v>Collectio sententiarum Vasconicarum.</v>
      </c>
      <c r="J820" t="str">
        <f>_xlfn.XLOOKUP(frasest[[#This Row],[autor_es]],autorest[autor_es],autorest[codigo])</f>
        <v>eu</v>
      </c>
      <c r="K820" t="str">
        <f>_xlfn.XLOOKUP(frasest[[#This Row],[autor_es]],autorest[autor_es],autorest[idioma_es])</f>
        <v>Euskara</v>
      </c>
      <c r="L820" t="str">
        <f>_xlfn.XLOOKUP(frasest[[#This Row],[autor_es]],autorest[autor_es],autorest[idioma_la])</f>
        <v>Lingua Vasconica</v>
      </c>
      <c r="M820" t="str">
        <f>_xlfn.XLOOKUP(frasest[[#This Row],[autor_es]],autorest[autor_es],autorest[nacion_es])</f>
        <v>España</v>
      </c>
      <c r="N820" t="str">
        <f>_xlfn.XLOOKUP(frasest[[#This Row],[autor_es]],autorest[autor_es],autorest[nacion_la])</f>
        <v>Hispania</v>
      </c>
      <c r="O820" t="str">
        <f>_xlfn.XLOOKUP(frasest[[#This Row],[autor_es]],autorest[autor_es],autorest[epoca_es])</f>
        <v>Epoca Desconocida</v>
      </c>
      <c r="P820" t="str">
        <f>_xlfn.XLOOKUP(frasest[[#This Row],[autor_es]],autorest[autor_es],autorest[epoca_la])</f>
        <v>Epocha Ignota</v>
      </c>
      <c r="Q820" t="str">
        <f>_xlfn.XLOOKUP(frasest[[#This Row],[autor_es]],autorest[autor_es],autorest[imagen])</f>
        <v>https://i.ibb.co/bjgxB3kn/euskadi.png</v>
      </c>
      <c r="R820">
        <f>_xlfn.XLOOKUP(frasest[[#This Row],[autor_es]],autorest[autor_es],autorest[imagen_atr])</f>
        <v>0</v>
      </c>
    </row>
    <row r="821" spans="1:18">
      <c r="A821">
        <v>820</v>
      </c>
      <c r="B821" t="s">
        <v>2739</v>
      </c>
      <c r="C821" t="s">
        <v>2740</v>
      </c>
      <c r="D821" t="s">
        <v>2741</v>
      </c>
      <c r="E821" t="s">
        <v>1236</v>
      </c>
      <c r="G821" t="str">
        <f>_xlfn.XLOOKUP(frasest[[#This Row],[autor_es]],autorest[autor_es],autorest[autor_la])</f>
        <v>Sententia Vasconica</v>
      </c>
      <c r="H821" t="str">
        <f>_xlfn.XLOOKUP(frasest[[#This Row],[autor_es]],autorest[autor_es],autorest[bio_es])</f>
        <v>Proverbios de la tradición oral vasca que reflejan la relación con la naturaleza, el trabajo y los valores comunitarios del pueblo vasco.</v>
      </c>
      <c r="I821" t="str">
        <f>_xlfn.XLOOKUP(frasest[[#This Row],[autor_es]],autorest[autor_es],autorest[bio_la])</f>
        <v>Collectio sententiarum Vasconicarum.</v>
      </c>
      <c r="J821" t="str">
        <f>_xlfn.XLOOKUP(frasest[[#This Row],[autor_es]],autorest[autor_es],autorest[codigo])</f>
        <v>eu</v>
      </c>
      <c r="K821" t="str">
        <f>_xlfn.XLOOKUP(frasest[[#This Row],[autor_es]],autorest[autor_es],autorest[idioma_es])</f>
        <v>Euskara</v>
      </c>
      <c r="L821" t="str">
        <f>_xlfn.XLOOKUP(frasest[[#This Row],[autor_es]],autorest[autor_es],autorest[idioma_la])</f>
        <v>Lingua Vasconica</v>
      </c>
      <c r="M821" t="str">
        <f>_xlfn.XLOOKUP(frasest[[#This Row],[autor_es]],autorest[autor_es],autorest[nacion_es])</f>
        <v>España</v>
      </c>
      <c r="N821" t="str">
        <f>_xlfn.XLOOKUP(frasest[[#This Row],[autor_es]],autorest[autor_es],autorest[nacion_la])</f>
        <v>Hispania</v>
      </c>
      <c r="O821" t="str">
        <f>_xlfn.XLOOKUP(frasest[[#This Row],[autor_es]],autorest[autor_es],autorest[epoca_es])</f>
        <v>Epoca Desconocida</v>
      </c>
      <c r="P821" t="str">
        <f>_xlfn.XLOOKUP(frasest[[#This Row],[autor_es]],autorest[autor_es],autorest[epoca_la])</f>
        <v>Epocha Ignota</v>
      </c>
      <c r="Q821" t="str">
        <f>_xlfn.XLOOKUP(frasest[[#This Row],[autor_es]],autorest[autor_es],autorest[imagen])</f>
        <v>https://i.ibb.co/bjgxB3kn/euskadi.png</v>
      </c>
      <c r="R821">
        <f>_xlfn.XLOOKUP(frasest[[#This Row],[autor_es]],autorest[autor_es],autorest[imagen_atr])</f>
        <v>0</v>
      </c>
    </row>
    <row r="822" spans="1:18">
      <c r="A822">
        <v>821</v>
      </c>
      <c r="B822" t="s">
        <v>2742</v>
      </c>
      <c r="C822" t="s">
        <v>2743</v>
      </c>
      <c r="D822" t="s">
        <v>2744</v>
      </c>
      <c r="E822" t="s">
        <v>1236</v>
      </c>
      <c r="G822" t="str">
        <f>_xlfn.XLOOKUP(frasest[[#This Row],[autor_es]],autorest[autor_es],autorest[autor_la])</f>
        <v>Sententia Vasconica</v>
      </c>
      <c r="H822" t="str">
        <f>_xlfn.XLOOKUP(frasest[[#This Row],[autor_es]],autorest[autor_es],autorest[bio_es])</f>
        <v>Proverbios de la tradición oral vasca que reflejan la relación con la naturaleza, el trabajo y los valores comunitarios del pueblo vasco.</v>
      </c>
      <c r="I822" t="str">
        <f>_xlfn.XLOOKUP(frasest[[#This Row],[autor_es]],autorest[autor_es],autorest[bio_la])</f>
        <v>Collectio sententiarum Vasconicarum.</v>
      </c>
      <c r="J822" t="str">
        <f>_xlfn.XLOOKUP(frasest[[#This Row],[autor_es]],autorest[autor_es],autorest[codigo])</f>
        <v>eu</v>
      </c>
      <c r="K822" t="str">
        <f>_xlfn.XLOOKUP(frasest[[#This Row],[autor_es]],autorest[autor_es],autorest[idioma_es])</f>
        <v>Euskara</v>
      </c>
      <c r="L822" t="str">
        <f>_xlfn.XLOOKUP(frasest[[#This Row],[autor_es]],autorest[autor_es],autorest[idioma_la])</f>
        <v>Lingua Vasconica</v>
      </c>
      <c r="M822" t="str">
        <f>_xlfn.XLOOKUP(frasest[[#This Row],[autor_es]],autorest[autor_es],autorest[nacion_es])</f>
        <v>España</v>
      </c>
      <c r="N822" t="str">
        <f>_xlfn.XLOOKUP(frasest[[#This Row],[autor_es]],autorest[autor_es],autorest[nacion_la])</f>
        <v>Hispania</v>
      </c>
      <c r="O822" t="str">
        <f>_xlfn.XLOOKUP(frasest[[#This Row],[autor_es]],autorest[autor_es],autorest[epoca_es])</f>
        <v>Epoca Desconocida</v>
      </c>
      <c r="P822" t="str">
        <f>_xlfn.XLOOKUP(frasest[[#This Row],[autor_es]],autorest[autor_es],autorest[epoca_la])</f>
        <v>Epocha Ignota</v>
      </c>
      <c r="Q822" t="str">
        <f>_xlfn.XLOOKUP(frasest[[#This Row],[autor_es]],autorest[autor_es],autorest[imagen])</f>
        <v>https://i.ibb.co/bjgxB3kn/euskadi.png</v>
      </c>
      <c r="R822">
        <f>_xlfn.XLOOKUP(frasest[[#This Row],[autor_es]],autorest[autor_es],autorest[imagen_atr])</f>
        <v>0</v>
      </c>
    </row>
    <row r="823" spans="1:18">
      <c r="A823">
        <v>822</v>
      </c>
      <c r="B823" t="s">
        <v>2745</v>
      </c>
      <c r="C823" t="s">
        <v>2746</v>
      </c>
      <c r="D823" t="s">
        <v>2747</v>
      </c>
      <c r="E823" t="s">
        <v>1236</v>
      </c>
      <c r="G823" t="str">
        <f>_xlfn.XLOOKUP(frasest[[#This Row],[autor_es]],autorest[autor_es],autorest[autor_la])</f>
        <v>Sententia Vasconica</v>
      </c>
      <c r="H823" t="str">
        <f>_xlfn.XLOOKUP(frasest[[#This Row],[autor_es]],autorest[autor_es],autorest[bio_es])</f>
        <v>Proverbios de la tradición oral vasca que reflejan la relación con la naturaleza, el trabajo y los valores comunitarios del pueblo vasco.</v>
      </c>
      <c r="I823" t="str">
        <f>_xlfn.XLOOKUP(frasest[[#This Row],[autor_es]],autorest[autor_es],autorest[bio_la])</f>
        <v>Collectio sententiarum Vasconicarum.</v>
      </c>
      <c r="J823" t="str">
        <f>_xlfn.XLOOKUP(frasest[[#This Row],[autor_es]],autorest[autor_es],autorest[codigo])</f>
        <v>eu</v>
      </c>
      <c r="K823" t="str">
        <f>_xlfn.XLOOKUP(frasest[[#This Row],[autor_es]],autorest[autor_es],autorest[idioma_es])</f>
        <v>Euskara</v>
      </c>
      <c r="L823" t="str">
        <f>_xlfn.XLOOKUP(frasest[[#This Row],[autor_es]],autorest[autor_es],autorest[idioma_la])</f>
        <v>Lingua Vasconica</v>
      </c>
      <c r="M823" t="str">
        <f>_xlfn.XLOOKUP(frasest[[#This Row],[autor_es]],autorest[autor_es],autorest[nacion_es])</f>
        <v>España</v>
      </c>
      <c r="N823" t="str">
        <f>_xlfn.XLOOKUP(frasest[[#This Row],[autor_es]],autorest[autor_es],autorest[nacion_la])</f>
        <v>Hispania</v>
      </c>
      <c r="O823" t="str">
        <f>_xlfn.XLOOKUP(frasest[[#This Row],[autor_es]],autorest[autor_es],autorest[epoca_es])</f>
        <v>Epoca Desconocida</v>
      </c>
      <c r="P823" t="str">
        <f>_xlfn.XLOOKUP(frasest[[#This Row],[autor_es]],autorest[autor_es],autorest[epoca_la])</f>
        <v>Epocha Ignota</v>
      </c>
      <c r="Q823" t="str">
        <f>_xlfn.XLOOKUP(frasest[[#This Row],[autor_es]],autorest[autor_es],autorest[imagen])</f>
        <v>https://i.ibb.co/bjgxB3kn/euskadi.png</v>
      </c>
      <c r="R823">
        <f>_xlfn.XLOOKUP(frasest[[#This Row],[autor_es]],autorest[autor_es],autorest[imagen_atr])</f>
        <v>0</v>
      </c>
    </row>
    <row r="824" spans="1:18">
      <c r="A824">
        <v>823</v>
      </c>
      <c r="B824" t="s">
        <v>2748</v>
      </c>
      <c r="C824" t="s">
        <v>2749</v>
      </c>
      <c r="D824" t="s">
        <v>2750</v>
      </c>
      <c r="E824" t="s">
        <v>1236</v>
      </c>
      <c r="G824" t="str">
        <f>_xlfn.XLOOKUP(frasest[[#This Row],[autor_es]],autorest[autor_es],autorest[autor_la])</f>
        <v>Sententia Vasconica</v>
      </c>
      <c r="H824" t="str">
        <f>_xlfn.XLOOKUP(frasest[[#This Row],[autor_es]],autorest[autor_es],autorest[bio_es])</f>
        <v>Proverbios de la tradición oral vasca que reflejan la relación con la naturaleza, el trabajo y los valores comunitarios del pueblo vasco.</v>
      </c>
      <c r="I824" t="str">
        <f>_xlfn.XLOOKUP(frasest[[#This Row],[autor_es]],autorest[autor_es],autorest[bio_la])</f>
        <v>Collectio sententiarum Vasconicarum.</v>
      </c>
      <c r="J824" t="str">
        <f>_xlfn.XLOOKUP(frasest[[#This Row],[autor_es]],autorest[autor_es],autorest[codigo])</f>
        <v>eu</v>
      </c>
      <c r="K824" t="str">
        <f>_xlfn.XLOOKUP(frasest[[#This Row],[autor_es]],autorest[autor_es],autorest[idioma_es])</f>
        <v>Euskara</v>
      </c>
      <c r="L824" t="str">
        <f>_xlfn.XLOOKUP(frasest[[#This Row],[autor_es]],autorest[autor_es],autorest[idioma_la])</f>
        <v>Lingua Vasconica</v>
      </c>
      <c r="M824" t="str">
        <f>_xlfn.XLOOKUP(frasest[[#This Row],[autor_es]],autorest[autor_es],autorest[nacion_es])</f>
        <v>España</v>
      </c>
      <c r="N824" t="str">
        <f>_xlfn.XLOOKUP(frasest[[#This Row],[autor_es]],autorest[autor_es],autorest[nacion_la])</f>
        <v>Hispania</v>
      </c>
      <c r="O824" t="str">
        <f>_xlfn.XLOOKUP(frasest[[#This Row],[autor_es]],autorest[autor_es],autorest[epoca_es])</f>
        <v>Epoca Desconocida</v>
      </c>
      <c r="P824" t="str">
        <f>_xlfn.XLOOKUP(frasest[[#This Row],[autor_es]],autorest[autor_es],autorest[epoca_la])</f>
        <v>Epocha Ignota</v>
      </c>
      <c r="Q824" t="str">
        <f>_xlfn.XLOOKUP(frasest[[#This Row],[autor_es]],autorest[autor_es],autorest[imagen])</f>
        <v>https://i.ibb.co/bjgxB3kn/euskadi.png</v>
      </c>
      <c r="R824">
        <f>_xlfn.XLOOKUP(frasest[[#This Row],[autor_es]],autorest[autor_es],autorest[imagen_atr])</f>
        <v>0</v>
      </c>
    </row>
    <row r="825" spans="1:18">
      <c r="A825">
        <v>824</v>
      </c>
      <c r="B825" t="s">
        <v>2751</v>
      </c>
      <c r="C825" t="s">
        <v>2752</v>
      </c>
      <c r="D825" t="s">
        <v>2373</v>
      </c>
      <c r="E825" t="s">
        <v>1236</v>
      </c>
      <c r="G825" t="str">
        <f>_xlfn.XLOOKUP(frasest[[#This Row],[autor_es]],autorest[autor_es],autorest[autor_la])</f>
        <v>Sententia Vasconica</v>
      </c>
      <c r="H825" t="str">
        <f>_xlfn.XLOOKUP(frasest[[#This Row],[autor_es]],autorest[autor_es],autorest[bio_es])</f>
        <v>Proverbios de la tradición oral vasca que reflejan la relación con la naturaleza, el trabajo y los valores comunitarios del pueblo vasco.</v>
      </c>
      <c r="I825" t="str">
        <f>_xlfn.XLOOKUP(frasest[[#This Row],[autor_es]],autorest[autor_es],autorest[bio_la])</f>
        <v>Collectio sententiarum Vasconicarum.</v>
      </c>
      <c r="J825" t="str">
        <f>_xlfn.XLOOKUP(frasest[[#This Row],[autor_es]],autorest[autor_es],autorest[codigo])</f>
        <v>eu</v>
      </c>
      <c r="K825" t="str">
        <f>_xlfn.XLOOKUP(frasest[[#This Row],[autor_es]],autorest[autor_es],autorest[idioma_es])</f>
        <v>Euskara</v>
      </c>
      <c r="L825" t="str">
        <f>_xlfn.XLOOKUP(frasest[[#This Row],[autor_es]],autorest[autor_es],autorest[idioma_la])</f>
        <v>Lingua Vasconica</v>
      </c>
      <c r="M825" t="str">
        <f>_xlfn.XLOOKUP(frasest[[#This Row],[autor_es]],autorest[autor_es],autorest[nacion_es])</f>
        <v>España</v>
      </c>
      <c r="N825" t="str">
        <f>_xlfn.XLOOKUP(frasest[[#This Row],[autor_es]],autorest[autor_es],autorest[nacion_la])</f>
        <v>Hispania</v>
      </c>
      <c r="O825" t="str">
        <f>_xlfn.XLOOKUP(frasest[[#This Row],[autor_es]],autorest[autor_es],autorest[epoca_es])</f>
        <v>Epoca Desconocida</v>
      </c>
      <c r="P825" t="str">
        <f>_xlfn.XLOOKUP(frasest[[#This Row],[autor_es]],autorest[autor_es],autorest[epoca_la])</f>
        <v>Epocha Ignota</v>
      </c>
      <c r="Q825" t="str">
        <f>_xlfn.XLOOKUP(frasest[[#This Row],[autor_es]],autorest[autor_es],autorest[imagen])</f>
        <v>https://i.ibb.co/bjgxB3kn/euskadi.png</v>
      </c>
      <c r="R825">
        <f>_xlfn.XLOOKUP(frasest[[#This Row],[autor_es]],autorest[autor_es],autorest[imagen_atr])</f>
        <v>0</v>
      </c>
    </row>
    <row r="826" spans="1:18">
      <c r="A826">
        <v>825</v>
      </c>
      <c r="B826" t="s">
        <v>2753</v>
      </c>
      <c r="C826" t="s">
        <v>2754</v>
      </c>
      <c r="D826" t="s">
        <v>2755</v>
      </c>
      <c r="E826" t="s">
        <v>1236</v>
      </c>
      <c r="G826" t="str">
        <f>_xlfn.XLOOKUP(frasest[[#This Row],[autor_es]],autorest[autor_es],autorest[autor_la])</f>
        <v>Sententia Vasconica</v>
      </c>
      <c r="H826" t="str">
        <f>_xlfn.XLOOKUP(frasest[[#This Row],[autor_es]],autorest[autor_es],autorest[bio_es])</f>
        <v>Proverbios de la tradición oral vasca que reflejan la relación con la naturaleza, el trabajo y los valores comunitarios del pueblo vasco.</v>
      </c>
      <c r="I826" t="str">
        <f>_xlfn.XLOOKUP(frasest[[#This Row],[autor_es]],autorest[autor_es],autorest[bio_la])</f>
        <v>Collectio sententiarum Vasconicarum.</v>
      </c>
      <c r="J826" t="str">
        <f>_xlfn.XLOOKUP(frasest[[#This Row],[autor_es]],autorest[autor_es],autorest[codigo])</f>
        <v>eu</v>
      </c>
      <c r="K826" t="str">
        <f>_xlfn.XLOOKUP(frasest[[#This Row],[autor_es]],autorest[autor_es],autorest[idioma_es])</f>
        <v>Euskara</v>
      </c>
      <c r="L826" t="str">
        <f>_xlfn.XLOOKUP(frasest[[#This Row],[autor_es]],autorest[autor_es],autorest[idioma_la])</f>
        <v>Lingua Vasconica</v>
      </c>
      <c r="M826" t="str">
        <f>_xlfn.XLOOKUP(frasest[[#This Row],[autor_es]],autorest[autor_es],autorest[nacion_es])</f>
        <v>España</v>
      </c>
      <c r="N826" t="str">
        <f>_xlfn.XLOOKUP(frasest[[#This Row],[autor_es]],autorest[autor_es],autorest[nacion_la])</f>
        <v>Hispania</v>
      </c>
      <c r="O826" t="str">
        <f>_xlfn.XLOOKUP(frasest[[#This Row],[autor_es]],autorest[autor_es],autorest[epoca_es])</f>
        <v>Epoca Desconocida</v>
      </c>
      <c r="P826" t="str">
        <f>_xlfn.XLOOKUP(frasest[[#This Row],[autor_es]],autorest[autor_es],autorest[epoca_la])</f>
        <v>Epocha Ignota</v>
      </c>
      <c r="Q826" t="str">
        <f>_xlfn.XLOOKUP(frasest[[#This Row],[autor_es]],autorest[autor_es],autorest[imagen])</f>
        <v>https://i.ibb.co/bjgxB3kn/euskadi.png</v>
      </c>
      <c r="R826">
        <f>_xlfn.XLOOKUP(frasest[[#This Row],[autor_es]],autorest[autor_es],autorest[imagen_atr])</f>
        <v>0</v>
      </c>
    </row>
    <row r="827" spans="1:18">
      <c r="A827">
        <v>826</v>
      </c>
      <c r="B827" t="s">
        <v>2756</v>
      </c>
      <c r="C827" t="s">
        <v>2757</v>
      </c>
      <c r="D827" t="s">
        <v>2758</v>
      </c>
      <c r="E827" t="s">
        <v>1236</v>
      </c>
      <c r="G827" t="str">
        <f>_xlfn.XLOOKUP(frasest[[#This Row],[autor_es]],autorest[autor_es],autorest[autor_la])</f>
        <v>Sententia Vasconica</v>
      </c>
      <c r="H827" t="str">
        <f>_xlfn.XLOOKUP(frasest[[#This Row],[autor_es]],autorest[autor_es],autorest[bio_es])</f>
        <v>Proverbios de la tradición oral vasca que reflejan la relación con la naturaleza, el trabajo y los valores comunitarios del pueblo vasco.</v>
      </c>
      <c r="I827" t="str">
        <f>_xlfn.XLOOKUP(frasest[[#This Row],[autor_es]],autorest[autor_es],autorest[bio_la])</f>
        <v>Collectio sententiarum Vasconicarum.</v>
      </c>
      <c r="J827" t="str">
        <f>_xlfn.XLOOKUP(frasest[[#This Row],[autor_es]],autorest[autor_es],autorest[codigo])</f>
        <v>eu</v>
      </c>
      <c r="K827" t="str">
        <f>_xlfn.XLOOKUP(frasest[[#This Row],[autor_es]],autorest[autor_es],autorest[idioma_es])</f>
        <v>Euskara</v>
      </c>
      <c r="L827" t="str">
        <f>_xlfn.XLOOKUP(frasest[[#This Row],[autor_es]],autorest[autor_es],autorest[idioma_la])</f>
        <v>Lingua Vasconica</v>
      </c>
      <c r="M827" t="str">
        <f>_xlfn.XLOOKUP(frasest[[#This Row],[autor_es]],autorest[autor_es],autorest[nacion_es])</f>
        <v>España</v>
      </c>
      <c r="N827" t="str">
        <f>_xlfn.XLOOKUP(frasest[[#This Row],[autor_es]],autorest[autor_es],autorest[nacion_la])</f>
        <v>Hispania</v>
      </c>
      <c r="O827" t="str">
        <f>_xlfn.XLOOKUP(frasest[[#This Row],[autor_es]],autorest[autor_es],autorest[epoca_es])</f>
        <v>Epoca Desconocida</v>
      </c>
      <c r="P827" t="str">
        <f>_xlfn.XLOOKUP(frasest[[#This Row],[autor_es]],autorest[autor_es],autorest[epoca_la])</f>
        <v>Epocha Ignota</v>
      </c>
      <c r="Q827" t="str">
        <f>_xlfn.XLOOKUP(frasest[[#This Row],[autor_es]],autorest[autor_es],autorest[imagen])</f>
        <v>https://i.ibb.co/bjgxB3kn/euskadi.png</v>
      </c>
      <c r="R827">
        <f>_xlfn.XLOOKUP(frasest[[#This Row],[autor_es]],autorest[autor_es],autorest[imagen_atr])</f>
        <v>0</v>
      </c>
    </row>
    <row r="828" spans="1:18">
      <c r="A828">
        <v>827</v>
      </c>
      <c r="B828" t="s">
        <v>2759</v>
      </c>
      <c r="C828" t="s">
        <v>2760</v>
      </c>
      <c r="D828" t="s">
        <v>2761</v>
      </c>
      <c r="E828" t="s">
        <v>1236</v>
      </c>
      <c r="G828" t="str">
        <f>_xlfn.XLOOKUP(frasest[[#This Row],[autor_es]],autorest[autor_es],autorest[autor_la])</f>
        <v>Sententia Vasconica</v>
      </c>
      <c r="H828" t="str">
        <f>_xlfn.XLOOKUP(frasest[[#This Row],[autor_es]],autorest[autor_es],autorest[bio_es])</f>
        <v>Proverbios de la tradición oral vasca que reflejan la relación con la naturaleza, el trabajo y los valores comunitarios del pueblo vasco.</v>
      </c>
      <c r="I828" t="str">
        <f>_xlfn.XLOOKUP(frasest[[#This Row],[autor_es]],autorest[autor_es],autorest[bio_la])</f>
        <v>Collectio sententiarum Vasconicarum.</v>
      </c>
      <c r="J828" t="str">
        <f>_xlfn.XLOOKUP(frasest[[#This Row],[autor_es]],autorest[autor_es],autorest[codigo])</f>
        <v>eu</v>
      </c>
      <c r="K828" t="str">
        <f>_xlfn.XLOOKUP(frasest[[#This Row],[autor_es]],autorest[autor_es],autorest[idioma_es])</f>
        <v>Euskara</v>
      </c>
      <c r="L828" t="str">
        <f>_xlfn.XLOOKUP(frasest[[#This Row],[autor_es]],autorest[autor_es],autorest[idioma_la])</f>
        <v>Lingua Vasconica</v>
      </c>
      <c r="M828" t="str">
        <f>_xlfn.XLOOKUP(frasest[[#This Row],[autor_es]],autorest[autor_es],autorest[nacion_es])</f>
        <v>España</v>
      </c>
      <c r="N828" t="str">
        <f>_xlfn.XLOOKUP(frasest[[#This Row],[autor_es]],autorest[autor_es],autorest[nacion_la])</f>
        <v>Hispania</v>
      </c>
      <c r="O828" t="str">
        <f>_xlfn.XLOOKUP(frasest[[#This Row],[autor_es]],autorest[autor_es],autorest[epoca_es])</f>
        <v>Epoca Desconocida</v>
      </c>
      <c r="P828" t="str">
        <f>_xlfn.XLOOKUP(frasest[[#This Row],[autor_es]],autorest[autor_es],autorest[epoca_la])</f>
        <v>Epocha Ignota</v>
      </c>
      <c r="Q828" t="str">
        <f>_xlfn.XLOOKUP(frasest[[#This Row],[autor_es]],autorest[autor_es],autorest[imagen])</f>
        <v>https://i.ibb.co/bjgxB3kn/euskadi.png</v>
      </c>
      <c r="R828">
        <f>_xlfn.XLOOKUP(frasest[[#This Row],[autor_es]],autorest[autor_es],autorest[imagen_atr])</f>
        <v>0</v>
      </c>
    </row>
    <row r="829" spans="1:18">
      <c r="A829">
        <v>828</v>
      </c>
      <c r="B829" t="s">
        <v>2762</v>
      </c>
      <c r="C829" t="s">
        <v>2763</v>
      </c>
      <c r="D829" t="s">
        <v>2764</v>
      </c>
      <c r="E829" t="s">
        <v>1236</v>
      </c>
      <c r="G829" t="str">
        <f>_xlfn.XLOOKUP(frasest[[#This Row],[autor_es]],autorest[autor_es],autorest[autor_la])</f>
        <v>Sententia Vasconica</v>
      </c>
      <c r="H829" t="str">
        <f>_xlfn.XLOOKUP(frasest[[#This Row],[autor_es]],autorest[autor_es],autorest[bio_es])</f>
        <v>Proverbios de la tradición oral vasca que reflejan la relación con la naturaleza, el trabajo y los valores comunitarios del pueblo vasco.</v>
      </c>
      <c r="I829" t="str">
        <f>_xlfn.XLOOKUP(frasest[[#This Row],[autor_es]],autorest[autor_es],autorest[bio_la])</f>
        <v>Collectio sententiarum Vasconicarum.</v>
      </c>
      <c r="J829" t="str">
        <f>_xlfn.XLOOKUP(frasest[[#This Row],[autor_es]],autorest[autor_es],autorest[codigo])</f>
        <v>eu</v>
      </c>
      <c r="K829" t="str">
        <f>_xlfn.XLOOKUP(frasest[[#This Row],[autor_es]],autorest[autor_es],autorest[idioma_es])</f>
        <v>Euskara</v>
      </c>
      <c r="L829" t="str">
        <f>_xlfn.XLOOKUP(frasest[[#This Row],[autor_es]],autorest[autor_es],autorest[idioma_la])</f>
        <v>Lingua Vasconica</v>
      </c>
      <c r="M829" t="str">
        <f>_xlfn.XLOOKUP(frasest[[#This Row],[autor_es]],autorest[autor_es],autorest[nacion_es])</f>
        <v>España</v>
      </c>
      <c r="N829" t="str">
        <f>_xlfn.XLOOKUP(frasest[[#This Row],[autor_es]],autorest[autor_es],autorest[nacion_la])</f>
        <v>Hispania</v>
      </c>
      <c r="O829" t="str">
        <f>_xlfn.XLOOKUP(frasest[[#This Row],[autor_es]],autorest[autor_es],autorest[epoca_es])</f>
        <v>Epoca Desconocida</v>
      </c>
      <c r="P829" t="str">
        <f>_xlfn.XLOOKUP(frasest[[#This Row],[autor_es]],autorest[autor_es],autorest[epoca_la])</f>
        <v>Epocha Ignota</v>
      </c>
      <c r="Q829" t="str">
        <f>_xlfn.XLOOKUP(frasest[[#This Row],[autor_es]],autorest[autor_es],autorest[imagen])</f>
        <v>https://i.ibb.co/bjgxB3kn/euskadi.png</v>
      </c>
      <c r="R829">
        <f>_xlfn.XLOOKUP(frasest[[#This Row],[autor_es]],autorest[autor_es],autorest[imagen_atr])</f>
        <v>0</v>
      </c>
    </row>
    <row r="830" spans="1:18">
      <c r="A830">
        <v>829</v>
      </c>
      <c r="B830" t="s">
        <v>2765</v>
      </c>
      <c r="C830" t="s">
        <v>2766</v>
      </c>
      <c r="D830" t="s">
        <v>2767</v>
      </c>
      <c r="E830" t="s">
        <v>1236</v>
      </c>
      <c r="G830" t="str">
        <f>_xlfn.XLOOKUP(frasest[[#This Row],[autor_es]],autorest[autor_es],autorest[autor_la])</f>
        <v>Sententia Vasconica</v>
      </c>
      <c r="H830" t="str">
        <f>_xlfn.XLOOKUP(frasest[[#This Row],[autor_es]],autorest[autor_es],autorest[bio_es])</f>
        <v>Proverbios de la tradición oral vasca que reflejan la relación con la naturaleza, el trabajo y los valores comunitarios del pueblo vasco.</v>
      </c>
      <c r="I830" t="str">
        <f>_xlfn.XLOOKUP(frasest[[#This Row],[autor_es]],autorest[autor_es],autorest[bio_la])</f>
        <v>Collectio sententiarum Vasconicarum.</v>
      </c>
      <c r="J830" t="str">
        <f>_xlfn.XLOOKUP(frasest[[#This Row],[autor_es]],autorest[autor_es],autorest[codigo])</f>
        <v>eu</v>
      </c>
      <c r="K830" t="str">
        <f>_xlfn.XLOOKUP(frasest[[#This Row],[autor_es]],autorest[autor_es],autorest[idioma_es])</f>
        <v>Euskara</v>
      </c>
      <c r="L830" t="str">
        <f>_xlfn.XLOOKUP(frasest[[#This Row],[autor_es]],autorest[autor_es],autorest[idioma_la])</f>
        <v>Lingua Vasconica</v>
      </c>
      <c r="M830" t="str">
        <f>_xlfn.XLOOKUP(frasest[[#This Row],[autor_es]],autorest[autor_es],autorest[nacion_es])</f>
        <v>España</v>
      </c>
      <c r="N830" t="str">
        <f>_xlfn.XLOOKUP(frasest[[#This Row],[autor_es]],autorest[autor_es],autorest[nacion_la])</f>
        <v>Hispania</v>
      </c>
      <c r="O830" t="str">
        <f>_xlfn.XLOOKUP(frasest[[#This Row],[autor_es]],autorest[autor_es],autorest[epoca_es])</f>
        <v>Epoca Desconocida</v>
      </c>
      <c r="P830" t="str">
        <f>_xlfn.XLOOKUP(frasest[[#This Row],[autor_es]],autorest[autor_es],autorest[epoca_la])</f>
        <v>Epocha Ignota</v>
      </c>
      <c r="Q830" t="str">
        <f>_xlfn.XLOOKUP(frasest[[#This Row],[autor_es]],autorest[autor_es],autorest[imagen])</f>
        <v>https://i.ibb.co/bjgxB3kn/euskadi.png</v>
      </c>
      <c r="R830">
        <f>_xlfn.XLOOKUP(frasest[[#This Row],[autor_es]],autorest[autor_es],autorest[imagen_atr])</f>
        <v>0</v>
      </c>
    </row>
    <row r="831" spans="1:18">
      <c r="A831">
        <v>830</v>
      </c>
      <c r="B831" t="s">
        <v>2768</v>
      </c>
      <c r="C831" t="s">
        <v>2769</v>
      </c>
      <c r="D831" t="s">
        <v>2770</v>
      </c>
      <c r="E831" t="s">
        <v>1236</v>
      </c>
      <c r="G831" t="str">
        <f>_xlfn.XLOOKUP(frasest[[#This Row],[autor_es]],autorest[autor_es],autorest[autor_la])</f>
        <v>Sententia Vasconica</v>
      </c>
      <c r="H831" t="str">
        <f>_xlfn.XLOOKUP(frasest[[#This Row],[autor_es]],autorest[autor_es],autorest[bio_es])</f>
        <v>Proverbios de la tradición oral vasca que reflejan la relación con la naturaleza, el trabajo y los valores comunitarios del pueblo vasco.</v>
      </c>
      <c r="I831" t="str">
        <f>_xlfn.XLOOKUP(frasest[[#This Row],[autor_es]],autorest[autor_es],autorest[bio_la])</f>
        <v>Collectio sententiarum Vasconicarum.</v>
      </c>
      <c r="J831" t="str">
        <f>_xlfn.XLOOKUP(frasest[[#This Row],[autor_es]],autorest[autor_es],autorest[codigo])</f>
        <v>eu</v>
      </c>
      <c r="K831" t="str">
        <f>_xlfn.XLOOKUP(frasest[[#This Row],[autor_es]],autorest[autor_es],autorest[idioma_es])</f>
        <v>Euskara</v>
      </c>
      <c r="L831" t="str">
        <f>_xlfn.XLOOKUP(frasest[[#This Row],[autor_es]],autorest[autor_es],autorest[idioma_la])</f>
        <v>Lingua Vasconica</v>
      </c>
      <c r="M831" t="str">
        <f>_xlfn.XLOOKUP(frasest[[#This Row],[autor_es]],autorest[autor_es],autorest[nacion_es])</f>
        <v>España</v>
      </c>
      <c r="N831" t="str">
        <f>_xlfn.XLOOKUP(frasest[[#This Row],[autor_es]],autorest[autor_es],autorest[nacion_la])</f>
        <v>Hispania</v>
      </c>
      <c r="O831" t="str">
        <f>_xlfn.XLOOKUP(frasest[[#This Row],[autor_es]],autorest[autor_es],autorest[epoca_es])</f>
        <v>Epoca Desconocida</v>
      </c>
      <c r="P831" t="str">
        <f>_xlfn.XLOOKUP(frasest[[#This Row],[autor_es]],autorest[autor_es],autorest[epoca_la])</f>
        <v>Epocha Ignota</v>
      </c>
      <c r="Q831" t="str">
        <f>_xlfn.XLOOKUP(frasest[[#This Row],[autor_es]],autorest[autor_es],autorest[imagen])</f>
        <v>https://i.ibb.co/bjgxB3kn/euskadi.png</v>
      </c>
      <c r="R831">
        <f>_xlfn.XLOOKUP(frasest[[#This Row],[autor_es]],autorest[autor_es],autorest[imagen_atr])</f>
        <v>0</v>
      </c>
    </row>
    <row r="832" spans="1:18">
      <c r="A832">
        <v>831</v>
      </c>
      <c r="B832" t="s">
        <v>2771</v>
      </c>
      <c r="C832" t="s">
        <v>2772</v>
      </c>
      <c r="D832" t="s">
        <v>2773</v>
      </c>
      <c r="E832" t="s">
        <v>1236</v>
      </c>
      <c r="G832" t="str">
        <f>_xlfn.XLOOKUP(frasest[[#This Row],[autor_es]],autorest[autor_es],autorest[autor_la])</f>
        <v>Sententia Vasconica</v>
      </c>
      <c r="H832" t="str">
        <f>_xlfn.XLOOKUP(frasest[[#This Row],[autor_es]],autorest[autor_es],autorest[bio_es])</f>
        <v>Proverbios de la tradición oral vasca que reflejan la relación con la naturaleza, el trabajo y los valores comunitarios del pueblo vasco.</v>
      </c>
      <c r="I832" t="str">
        <f>_xlfn.XLOOKUP(frasest[[#This Row],[autor_es]],autorest[autor_es],autorest[bio_la])</f>
        <v>Collectio sententiarum Vasconicarum.</v>
      </c>
      <c r="J832" t="str">
        <f>_xlfn.XLOOKUP(frasest[[#This Row],[autor_es]],autorest[autor_es],autorest[codigo])</f>
        <v>eu</v>
      </c>
      <c r="K832" t="str">
        <f>_xlfn.XLOOKUP(frasest[[#This Row],[autor_es]],autorest[autor_es],autorest[idioma_es])</f>
        <v>Euskara</v>
      </c>
      <c r="L832" t="str">
        <f>_xlfn.XLOOKUP(frasest[[#This Row],[autor_es]],autorest[autor_es],autorest[idioma_la])</f>
        <v>Lingua Vasconica</v>
      </c>
      <c r="M832" t="str">
        <f>_xlfn.XLOOKUP(frasest[[#This Row],[autor_es]],autorest[autor_es],autorest[nacion_es])</f>
        <v>España</v>
      </c>
      <c r="N832" t="str">
        <f>_xlfn.XLOOKUP(frasest[[#This Row],[autor_es]],autorest[autor_es],autorest[nacion_la])</f>
        <v>Hispania</v>
      </c>
      <c r="O832" t="str">
        <f>_xlfn.XLOOKUP(frasest[[#This Row],[autor_es]],autorest[autor_es],autorest[epoca_es])</f>
        <v>Epoca Desconocida</v>
      </c>
      <c r="P832" t="str">
        <f>_xlfn.XLOOKUP(frasest[[#This Row],[autor_es]],autorest[autor_es],autorest[epoca_la])</f>
        <v>Epocha Ignota</v>
      </c>
      <c r="Q832" t="str">
        <f>_xlfn.XLOOKUP(frasest[[#This Row],[autor_es]],autorest[autor_es],autorest[imagen])</f>
        <v>https://i.ibb.co/bjgxB3kn/euskadi.png</v>
      </c>
      <c r="R832">
        <f>_xlfn.XLOOKUP(frasest[[#This Row],[autor_es]],autorest[autor_es],autorest[imagen_atr])</f>
        <v>0</v>
      </c>
    </row>
    <row r="833" spans="1:18">
      <c r="A833">
        <v>832</v>
      </c>
      <c r="B833" t="s">
        <v>2774</v>
      </c>
      <c r="C833" t="s">
        <v>2775</v>
      </c>
      <c r="D833" t="s">
        <v>2379</v>
      </c>
      <c r="E833" t="s">
        <v>1236</v>
      </c>
      <c r="G833" t="str">
        <f>_xlfn.XLOOKUP(frasest[[#This Row],[autor_es]],autorest[autor_es],autorest[autor_la])</f>
        <v>Sententia Vasconica</v>
      </c>
      <c r="H833" t="str">
        <f>_xlfn.XLOOKUP(frasest[[#This Row],[autor_es]],autorest[autor_es],autorest[bio_es])</f>
        <v>Proverbios de la tradición oral vasca que reflejan la relación con la naturaleza, el trabajo y los valores comunitarios del pueblo vasco.</v>
      </c>
      <c r="I833" t="str">
        <f>_xlfn.XLOOKUP(frasest[[#This Row],[autor_es]],autorest[autor_es],autorest[bio_la])</f>
        <v>Collectio sententiarum Vasconicarum.</v>
      </c>
      <c r="J833" t="str">
        <f>_xlfn.XLOOKUP(frasest[[#This Row],[autor_es]],autorest[autor_es],autorest[codigo])</f>
        <v>eu</v>
      </c>
      <c r="K833" t="str">
        <f>_xlfn.XLOOKUP(frasest[[#This Row],[autor_es]],autorest[autor_es],autorest[idioma_es])</f>
        <v>Euskara</v>
      </c>
      <c r="L833" t="str">
        <f>_xlfn.XLOOKUP(frasest[[#This Row],[autor_es]],autorest[autor_es],autorest[idioma_la])</f>
        <v>Lingua Vasconica</v>
      </c>
      <c r="M833" t="str">
        <f>_xlfn.XLOOKUP(frasest[[#This Row],[autor_es]],autorest[autor_es],autorest[nacion_es])</f>
        <v>España</v>
      </c>
      <c r="N833" t="str">
        <f>_xlfn.XLOOKUP(frasest[[#This Row],[autor_es]],autorest[autor_es],autorest[nacion_la])</f>
        <v>Hispania</v>
      </c>
      <c r="O833" t="str">
        <f>_xlfn.XLOOKUP(frasest[[#This Row],[autor_es]],autorest[autor_es],autorest[epoca_es])</f>
        <v>Epoca Desconocida</v>
      </c>
      <c r="P833" t="str">
        <f>_xlfn.XLOOKUP(frasest[[#This Row],[autor_es]],autorest[autor_es],autorest[epoca_la])</f>
        <v>Epocha Ignota</v>
      </c>
      <c r="Q833" t="str">
        <f>_xlfn.XLOOKUP(frasest[[#This Row],[autor_es]],autorest[autor_es],autorest[imagen])</f>
        <v>https://i.ibb.co/bjgxB3kn/euskadi.png</v>
      </c>
      <c r="R833">
        <f>_xlfn.XLOOKUP(frasest[[#This Row],[autor_es]],autorest[autor_es],autorest[imagen_atr])</f>
        <v>0</v>
      </c>
    </row>
    <row r="834" spans="1:18">
      <c r="A834">
        <v>833</v>
      </c>
      <c r="B834" t="s">
        <v>2776</v>
      </c>
      <c r="C834" t="s">
        <v>2777</v>
      </c>
      <c r="D834" t="s">
        <v>2778</v>
      </c>
      <c r="E834" t="s">
        <v>1236</v>
      </c>
      <c r="G834" t="str">
        <f>_xlfn.XLOOKUP(frasest[[#This Row],[autor_es]],autorest[autor_es],autorest[autor_la])</f>
        <v>Sententia Vasconica</v>
      </c>
      <c r="H834" t="str">
        <f>_xlfn.XLOOKUP(frasest[[#This Row],[autor_es]],autorest[autor_es],autorest[bio_es])</f>
        <v>Proverbios de la tradición oral vasca que reflejan la relación con la naturaleza, el trabajo y los valores comunitarios del pueblo vasco.</v>
      </c>
      <c r="I834" t="str">
        <f>_xlfn.XLOOKUP(frasest[[#This Row],[autor_es]],autorest[autor_es],autorest[bio_la])</f>
        <v>Collectio sententiarum Vasconicarum.</v>
      </c>
      <c r="J834" t="str">
        <f>_xlfn.XLOOKUP(frasest[[#This Row],[autor_es]],autorest[autor_es],autorest[codigo])</f>
        <v>eu</v>
      </c>
      <c r="K834" t="str">
        <f>_xlfn.XLOOKUP(frasest[[#This Row],[autor_es]],autorest[autor_es],autorest[idioma_es])</f>
        <v>Euskara</v>
      </c>
      <c r="L834" t="str">
        <f>_xlfn.XLOOKUP(frasest[[#This Row],[autor_es]],autorest[autor_es],autorest[idioma_la])</f>
        <v>Lingua Vasconica</v>
      </c>
      <c r="M834" t="str">
        <f>_xlfn.XLOOKUP(frasest[[#This Row],[autor_es]],autorest[autor_es],autorest[nacion_es])</f>
        <v>España</v>
      </c>
      <c r="N834" t="str">
        <f>_xlfn.XLOOKUP(frasest[[#This Row],[autor_es]],autorest[autor_es],autorest[nacion_la])</f>
        <v>Hispania</v>
      </c>
      <c r="O834" t="str">
        <f>_xlfn.XLOOKUP(frasest[[#This Row],[autor_es]],autorest[autor_es],autorest[epoca_es])</f>
        <v>Epoca Desconocida</v>
      </c>
      <c r="P834" t="str">
        <f>_xlfn.XLOOKUP(frasest[[#This Row],[autor_es]],autorest[autor_es],autorest[epoca_la])</f>
        <v>Epocha Ignota</v>
      </c>
      <c r="Q834" t="str">
        <f>_xlfn.XLOOKUP(frasest[[#This Row],[autor_es]],autorest[autor_es],autorest[imagen])</f>
        <v>https://i.ibb.co/bjgxB3kn/euskadi.png</v>
      </c>
      <c r="R834">
        <f>_xlfn.XLOOKUP(frasest[[#This Row],[autor_es]],autorest[autor_es],autorest[imagen_atr])</f>
        <v>0</v>
      </c>
    </row>
    <row r="835" spans="1:18">
      <c r="A835">
        <v>834</v>
      </c>
      <c r="B835" t="s">
        <v>2779</v>
      </c>
      <c r="C835" t="s">
        <v>2780</v>
      </c>
      <c r="D835" t="s">
        <v>2385</v>
      </c>
      <c r="E835" t="s">
        <v>1236</v>
      </c>
      <c r="G835" t="str">
        <f>_xlfn.XLOOKUP(frasest[[#This Row],[autor_es]],autorest[autor_es],autorest[autor_la])</f>
        <v>Sententia Vasconica</v>
      </c>
      <c r="H835" t="str">
        <f>_xlfn.XLOOKUP(frasest[[#This Row],[autor_es]],autorest[autor_es],autorest[bio_es])</f>
        <v>Proverbios de la tradición oral vasca que reflejan la relación con la naturaleza, el trabajo y los valores comunitarios del pueblo vasco.</v>
      </c>
      <c r="I835" t="str">
        <f>_xlfn.XLOOKUP(frasest[[#This Row],[autor_es]],autorest[autor_es],autorest[bio_la])</f>
        <v>Collectio sententiarum Vasconicarum.</v>
      </c>
      <c r="J835" t="str">
        <f>_xlfn.XLOOKUP(frasest[[#This Row],[autor_es]],autorest[autor_es],autorest[codigo])</f>
        <v>eu</v>
      </c>
      <c r="K835" t="str">
        <f>_xlfn.XLOOKUP(frasest[[#This Row],[autor_es]],autorest[autor_es],autorest[idioma_es])</f>
        <v>Euskara</v>
      </c>
      <c r="L835" t="str">
        <f>_xlfn.XLOOKUP(frasest[[#This Row],[autor_es]],autorest[autor_es],autorest[idioma_la])</f>
        <v>Lingua Vasconica</v>
      </c>
      <c r="M835" t="str">
        <f>_xlfn.XLOOKUP(frasest[[#This Row],[autor_es]],autorest[autor_es],autorest[nacion_es])</f>
        <v>España</v>
      </c>
      <c r="N835" t="str">
        <f>_xlfn.XLOOKUP(frasest[[#This Row],[autor_es]],autorest[autor_es],autorest[nacion_la])</f>
        <v>Hispania</v>
      </c>
      <c r="O835" t="str">
        <f>_xlfn.XLOOKUP(frasest[[#This Row],[autor_es]],autorest[autor_es],autorest[epoca_es])</f>
        <v>Epoca Desconocida</v>
      </c>
      <c r="P835" t="str">
        <f>_xlfn.XLOOKUP(frasest[[#This Row],[autor_es]],autorest[autor_es],autorest[epoca_la])</f>
        <v>Epocha Ignota</v>
      </c>
      <c r="Q835" t="str">
        <f>_xlfn.XLOOKUP(frasest[[#This Row],[autor_es]],autorest[autor_es],autorest[imagen])</f>
        <v>https://i.ibb.co/bjgxB3kn/euskadi.png</v>
      </c>
      <c r="R835">
        <f>_xlfn.XLOOKUP(frasest[[#This Row],[autor_es]],autorest[autor_es],autorest[imagen_atr])</f>
        <v>0</v>
      </c>
    </row>
    <row r="836" spans="1:18">
      <c r="A836">
        <v>835</v>
      </c>
      <c r="B836" t="s">
        <v>2781</v>
      </c>
      <c r="C836" t="s">
        <v>2782</v>
      </c>
      <c r="D836" t="s">
        <v>2783</v>
      </c>
      <c r="E836" t="s">
        <v>1236</v>
      </c>
      <c r="G836" t="str">
        <f>_xlfn.XLOOKUP(frasest[[#This Row],[autor_es]],autorest[autor_es],autorest[autor_la])</f>
        <v>Sententia Vasconica</v>
      </c>
      <c r="H836" t="str">
        <f>_xlfn.XLOOKUP(frasest[[#This Row],[autor_es]],autorest[autor_es],autorest[bio_es])</f>
        <v>Proverbios de la tradición oral vasca que reflejan la relación con la naturaleza, el trabajo y los valores comunitarios del pueblo vasco.</v>
      </c>
      <c r="I836" t="str">
        <f>_xlfn.XLOOKUP(frasest[[#This Row],[autor_es]],autorest[autor_es],autorest[bio_la])</f>
        <v>Collectio sententiarum Vasconicarum.</v>
      </c>
      <c r="J836" t="str">
        <f>_xlfn.XLOOKUP(frasest[[#This Row],[autor_es]],autorest[autor_es],autorest[codigo])</f>
        <v>eu</v>
      </c>
      <c r="K836" t="str">
        <f>_xlfn.XLOOKUP(frasest[[#This Row],[autor_es]],autorest[autor_es],autorest[idioma_es])</f>
        <v>Euskara</v>
      </c>
      <c r="L836" t="str">
        <f>_xlfn.XLOOKUP(frasest[[#This Row],[autor_es]],autorest[autor_es],autorest[idioma_la])</f>
        <v>Lingua Vasconica</v>
      </c>
      <c r="M836" t="str">
        <f>_xlfn.XLOOKUP(frasest[[#This Row],[autor_es]],autorest[autor_es],autorest[nacion_es])</f>
        <v>España</v>
      </c>
      <c r="N836" t="str">
        <f>_xlfn.XLOOKUP(frasest[[#This Row],[autor_es]],autorest[autor_es],autorest[nacion_la])</f>
        <v>Hispania</v>
      </c>
      <c r="O836" t="str">
        <f>_xlfn.XLOOKUP(frasest[[#This Row],[autor_es]],autorest[autor_es],autorest[epoca_es])</f>
        <v>Epoca Desconocida</v>
      </c>
      <c r="P836" t="str">
        <f>_xlfn.XLOOKUP(frasest[[#This Row],[autor_es]],autorest[autor_es],autorest[epoca_la])</f>
        <v>Epocha Ignota</v>
      </c>
      <c r="Q836" t="str">
        <f>_xlfn.XLOOKUP(frasest[[#This Row],[autor_es]],autorest[autor_es],autorest[imagen])</f>
        <v>https://i.ibb.co/bjgxB3kn/euskadi.png</v>
      </c>
      <c r="R836">
        <f>_xlfn.XLOOKUP(frasest[[#This Row],[autor_es]],autorest[autor_es],autorest[imagen_atr])</f>
        <v>0</v>
      </c>
    </row>
    <row r="837" spans="1:18">
      <c r="A837">
        <v>836</v>
      </c>
      <c r="B837" t="s">
        <v>2784</v>
      </c>
      <c r="C837" t="s">
        <v>2785</v>
      </c>
      <c r="D837" t="s">
        <v>2786</v>
      </c>
      <c r="E837" t="s">
        <v>1236</v>
      </c>
      <c r="G837" t="str">
        <f>_xlfn.XLOOKUP(frasest[[#This Row],[autor_es]],autorest[autor_es],autorest[autor_la])</f>
        <v>Sententia Vasconica</v>
      </c>
      <c r="H837" t="str">
        <f>_xlfn.XLOOKUP(frasest[[#This Row],[autor_es]],autorest[autor_es],autorest[bio_es])</f>
        <v>Proverbios de la tradición oral vasca que reflejan la relación con la naturaleza, el trabajo y los valores comunitarios del pueblo vasco.</v>
      </c>
      <c r="I837" t="str">
        <f>_xlfn.XLOOKUP(frasest[[#This Row],[autor_es]],autorest[autor_es],autorest[bio_la])</f>
        <v>Collectio sententiarum Vasconicarum.</v>
      </c>
      <c r="J837" t="str">
        <f>_xlfn.XLOOKUP(frasest[[#This Row],[autor_es]],autorest[autor_es],autorest[codigo])</f>
        <v>eu</v>
      </c>
      <c r="K837" t="str">
        <f>_xlfn.XLOOKUP(frasest[[#This Row],[autor_es]],autorest[autor_es],autorest[idioma_es])</f>
        <v>Euskara</v>
      </c>
      <c r="L837" t="str">
        <f>_xlfn.XLOOKUP(frasest[[#This Row],[autor_es]],autorest[autor_es],autorest[idioma_la])</f>
        <v>Lingua Vasconica</v>
      </c>
      <c r="M837" t="str">
        <f>_xlfn.XLOOKUP(frasest[[#This Row],[autor_es]],autorest[autor_es],autorest[nacion_es])</f>
        <v>España</v>
      </c>
      <c r="N837" t="str">
        <f>_xlfn.XLOOKUP(frasest[[#This Row],[autor_es]],autorest[autor_es],autorest[nacion_la])</f>
        <v>Hispania</v>
      </c>
      <c r="O837" t="str">
        <f>_xlfn.XLOOKUP(frasest[[#This Row],[autor_es]],autorest[autor_es],autorest[epoca_es])</f>
        <v>Epoca Desconocida</v>
      </c>
      <c r="P837" t="str">
        <f>_xlfn.XLOOKUP(frasest[[#This Row],[autor_es]],autorest[autor_es],autorest[epoca_la])</f>
        <v>Epocha Ignota</v>
      </c>
      <c r="Q837" t="str">
        <f>_xlfn.XLOOKUP(frasest[[#This Row],[autor_es]],autorest[autor_es],autorest[imagen])</f>
        <v>https://i.ibb.co/bjgxB3kn/euskadi.png</v>
      </c>
      <c r="R837">
        <f>_xlfn.XLOOKUP(frasest[[#This Row],[autor_es]],autorest[autor_es],autorest[imagen_atr])</f>
        <v>0</v>
      </c>
    </row>
    <row r="838" spans="1:18">
      <c r="A838">
        <v>837</v>
      </c>
      <c r="B838" t="s">
        <v>2787</v>
      </c>
      <c r="C838" t="s">
        <v>2788</v>
      </c>
      <c r="D838" t="s">
        <v>2789</v>
      </c>
      <c r="E838" t="s">
        <v>1236</v>
      </c>
      <c r="G838" t="str">
        <f>_xlfn.XLOOKUP(frasest[[#This Row],[autor_es]],autorest[autor_es],autorest[autor_la])</f>
        <v>Sententia Vasconica</v>
      </c>
      <c r="H838" t="str">
        <f>_xlfn.XLOOKUP(frasest[[#This Row],[autor_es]],autorest[autor_es],autorest[bio_es])</f>
        <v>Proverbios de la tradición oral vasca que reflejan la relación con la naturaleza, el trabajo y los valores comunitarios del pueblo vasco.</v>
      </c>
      <c r="I838" t="str">
        <f>_xlfn.XLOOKUP(frasest[[#This Row],[autor_es]],autorest[autor_es],autorest[bio_la])</f>
        <v>Collectio sententiarum Vasconicarum.</v>
      </c>
      <c r="J838" t="str">
        <f>_xlfn.XLOOKUP(frasest[[#This Row],[autor_es]],autorest[autor_es],autorest[codigo])</f>
        <v>eu</v>
      </c>
      <c r="K838" t="str">
        <f>_xlfn.XLOOKUP(frasest[[#This Row],[autor_es]],autorest[autor_es],autorest[idioma_es])</f>
        <v>Euskara</v>
      </c>
      <c r="L838" t="str">
        <f>_xlfn.XLOOKUP(frasest[[#This Row],[autor_es]],autorest[autor_es],autorest[idioma_la])</f>
        <v>Lingua Vasconica</v>
      </c>
      <c r="M838" t="str">
        <f>_xlfn.XLOOKUP(frasest[[#This Row],[autor_es]],autorest[autor_es],autorest[nacion_es])</f>
        <v>España</v>
      </c>
      <c r="N838" t="str">
        <f>_xlfn.XLOOKUP(frasest[[#This Row],[autor_es]],autorest[autor_es],autorest[nacion_la])</f>
        <v>Hispania</v>
      </c>
      <c r="O838" t="str">
        <f>_xlfn.XLOOKUP(frasest[[#This Row],[autor_es]],autorest[autor_es],autorest[epoca_es])</f>
        <v>Epoca Desconocida</v>
      </c>
      <c r="P838" t="str">
        <f>_xlfn.XLOOKUP(frasest[[#This Row],[autor_es]],autorest[autor_es],autorest[epoca_la])</f>
        <v>Epocha Ignota</v>
      </c>
      <c r="Q838" t="str">
        <f>_xlfn.XLOOKUP(frasest[[#This Row],[autor_es]],autorest[autor_es],autorest[imagen])</f>
        <v>https://i.ibb.co/bjgxB3kn/euskadi.png</v>
      </c>
      <c r="R838">
        <f>_xlfn.XLOOKUP(frasest[[#This Row],[autor_es]],autorest[autor_es],autorest[imagen_atr])</f>
        <v>0</v>
      </c>
    </row>
    <row r="839" spans="1:18">
      <c r="A839">
        <v>838</v>
      </c>
      <c r="B839" t="s">
        <v>2790</v>
      </c>
      <c r="C839" t="s">
        <v>2791</v>
      </c>
      <c r="D839" t="s">
        <v>2792</v>
      </c>
      <c r="E839" t="s">
        <v>1236</v>
      </c>
      <c r="G839" t="str">
        <f>_xlfn.XLOOKUP(frasest[[#This Row],[autor_es]],autorest[autor_es],autorest[autor_la])</f>
        <v>Sententia Vasconica</v>
      </c>
      <c r="H839" t="str">
        <f>_xlfn.XLOOKUP(frasest[[#This Row],[autor_es]],autorest[autor_es],autorest[bio_es])</f>
        <v>Proverbios de la tradición oral vasca que reflejan la relación con la naturaleza, el trabajo y los valores comunitarios del pueblo vasco.</v>
      </c>
      <c r="I839" t="str">
        <f>_xlfn.XLOOKUP(frasest[[#This Row],[autor_es]],autorest[autor_es],autorest[bio_la])</f>
        <v>Collectio sententiarum Vasconicarum.</v>
      </c>
      <c r="J839" t="str">
        <f>_xlfn.XLOOKUP(frasest[[#This Row],[autor_es]],autorest[autor_es],autorest[codigo])</f>
        <v>eu</v>
      </c>
      <c r="K839" t="str">
        <f>_xlfn.XLOOKUP(frasest[[#This Row],[autor_es]],autorest[autor_es],autorest[idioma_es])</f>
        <v>Euskara</v>
      </c>
      <c r="L839" t="str">
        <f>_xlfn.XLOOKUP(frasest[[#This Row],[autor_es]],autorest[autor_es],autorest[idioma_la])</f>
        <v>Lingua Vasconica</v>
      </c>
      <c r="M839" t="str">
        <f>_xlfn.XLOOKUP(frasest[[#This Row],[autor_es]],autorest[autor_es],autorest[nacion_es])</f>
        <v>España</v>
      </c>
      <c r="N839" t="str">
        <f>_xlfn.XLOOKUP(frasest[[#This Row],[autor_es]],autorest[autor_es],autorest[nacion_la])</f>
        <v>Hispania</v>
      </c>
      <c r="O839" t="str">
        <f>_xlfn.XLOOKUP(frasest[[#This Row],[autor_es]],autorest[autor_es],autorest[epoca_es])</f>
        <v>Epoca Desconocida</v>
      </c>
      <c r="P839" t="str">
        <f>_xlfn.XLOOKUP(frasest[[#This Row],[autor_es]],autorest[autor_es],autorest[epoca_la])</f>
        <v>Epocha Ignota</v>
      </c>
      <c r="Q839" t="str">
        <f>_xlfn.XLOOKUP(frasest[[#This Row],[autor_es]],autorest[autor_es],autorest[imagen])</f>
        <v>https://i.ibb.co/bjgxB3kn/euskadi.png</v>
      </c>
      <c r="R839">
        <f>_xlfn.XLOOKUP(frasest[[#This Row],[autor_es]],autorest[autor_es],autorest[imagen_atr])</f>
        <v>0</v>
      </c>
    </row>
    <row r="840" spans="1:18">
      <c r="A840">
        <v>839</v>
      </c>
      <c r="B840" t="s">
        <v>2793</v>
      </c>
      <c r="C840" t="s">
        <v>2794</v>
      </c>
      <c r="D840" t="s">
        <v>2795</v>
      </c>
      <c r="E840" t="s">
        <v>1236</v>
      </c>
      <c r="G840" t="str">
        <f>_xlfn.XLOOKUP(frasest[[#This Row],[autor_es]],autorest[autor_es],autorest[autor_la])</f>
        <v>Sententia Vasconica</v>
      </c>
      <c r="H840" t="str">
        <f>_xlfn.XLOOKUP(frasest[[#This Row],[autor_es]],autorest[autor_es],autorest[bio_es])</f>
        <v>Proverbios de la tradición oral vasca que reflejan la relación con la naturaleza, el trabajo y los valores comunitarios del pueblo vasco.</v>
      </c>
      <c r="I840" t="str">
        <f>_xlfn.XLOOKUP(frasest[[#This Row],[autor_es]],autorest[autor_es],autorest[bio_la])</f>
        <v>Collectio sententiarum Vasconicarum.</v>
      </c>
      <c r="J840" t="str">
        <f>_xlfn.XLOOKUP(frasest[[#This Row],[autor_es]],autorest[autor_es],autorest[codigo])</f>
        <v>eu</v>
      </c>
      <c r="K840" t="str">
        <f>_xlfn.XLOOKUP(frasest[[#This Row],[autor_es]],autorest[autor_es],autorest[idioma_es])</f>
        <v>Euskara</v>
      </c>
      <c r="L840" t="str">
        <f>_xlfn.XLOOKUP(frasest[[#This Row],[autor_es]],autorest[autor_es],autorest[idioma_la])</f>
        <v>Lingua Vasconica</v>
      </c>
      <c r="M840" t="str">
        <f>_xlfn.XLOOKUP(frasest[[#This Row],[autor_es]],autorest[autor_es],autorest[nacion_es])</f>
        <v>España</v>
      </c>
      <c r="N840" t="str">
        <f>_xlfn.XLOOKUP(frasest[[#This Row],[autor_es]],autorest[autor_es],autorest[nacion_la])</f>
        <v>Hispania</v>
      </c>
      <c r="O840" t="str">
        <f>_xlfn.XLOOKUP(frasest[[#This Row],[autor_es]],autorest[autor_es],autorest[epoca_es])</f>
        <v>Epoca Desconocida</v>
      </c>
      <c r="P840" t="str">
        <f>_xlfn.XLOOKUP(frasest[[#This Row],[autor_es]],autorest[autor_es],autorest[epoca_la])</f>
        <v>Epocha Ignota</v>
      </c>
      <c r="Q840" t="str">
        <f>_xlfn.XLOOKUP(frasest[[#This Row],[autor_es]],autorest[autor_es],autorest[imagen])</f>
        <v>https://i.ibb.co/bjgxB3kn/euskadi.png</v>
      </c>
      <c r="R840">
        <f>_xlfn.XLOOKUP(frasest[[#This Row],[autor_es]],autorest[autor_es],autorest[imagen_atr])</f>
        <v>0</v>
      </c>
    </row>
    <row r="841" spans="1:18">
      <c r="A841">
        <v>840</v>
      </c>
      <c r="B841" t="s">
        <v>2796</v>
      </c>
      <c r="C841" t="s">
        <v>2797</v>
      </c>
      <c r="D841" t="s">
        <v>2798</v>
      </c>
      <c r="E841" t="s">
        <v>1236</v>
      </c>
      <c r="G841" t="str">
        <f>_xlfn.XLOOKUP(frasest[[#This Row],[autor_es]],autorest[autor_es],autorest[autor_la])</f>
        <v>Sententia Vasconica</v>
      </c>
      <c r="H841" t="str">
        <f>_xlfn.XLOOKUP(frasest[[#This Row],[autor_es]],autorest[autor_es],autorest[bio_es])</f>
        <v>Proverbios de la tradición oral vasca que reflejan la relación con la naturaleza, el trabajo y los valores comunitarios del pueblo vasco.</v>
      </c>
      <c r="I841" t="str">
        <f>_xlfn.XLOOKUP(frasest[[#This Row],[autor_es]],autorest[autor_es],autorest[bio_la])</f>
        <v>Collectio sententiarum Vasconicarum.</v>
      </c>
      <c r="J841" t="str">
        <f>_xlfn.XLOOKUP(frasest[[#This Row],[autor_es]],autorest[autor_es],autorest[codigo])</f>
        <v>eu</v>
      </c>
      <c r="K841" t="str">
        <f>_xlfn.XLOOKUP(frasest[[#This Row],[autor_es]],autorest[autor_es],autorest[idioma_es])</f>
        <v>Euskara</v>
      </c>
      <c r="L841" t="str">
        <f>_xlfn.XLOOKUP(frasest[[#This Row],[autor_es]],autorest[autor_es],autorest[idioma_la])</f>
        <v>Lingua Vasconica</v>
      </c>
      <c r="M841" t="str">
        <f>_xlfn.XLOOKUP(frasest[[#This Row],[autor_es]],autorest[autor_es],autorest[nacion_es])</f>
        <v>España</v>
      </c>
      <c r="N841" t="str">
        <f>_xlfn.XLOOKUP(frasest[[#This Row],[autor_es]],autorest[autor_es],autorest[nacion_la])</f>
        <v>Hispania</v>
      </c>
      <c r="O841" t="str">
        <f>_xlfn.XLOOKUP(frasest[[#This Row],[autor_es]],autorest[autor_es],autorest[epoca_es])</f>
        <v>Epoca Desconocida</v>
      </c>
      <c r="P841" t="str">
        <f>_xlfn.XLOOKUP(frasest[[#This Row],[autor_es]],autorest[autor_es],autorest[epoca_la])</f>
        <v>Epocha Ignota</v>
      </c>
      <c r="Q841" t="str">
        <f>_xlfn.XLOOKUP(frasest[[#This Row],[autor_es]],autorest[autor_es],autorest[imagen])</f>
        <v>https://i.ibb.co/bjgxB3kn/euskadi.png</v>
      </c>
      <c r="R841">
        <f>_xlfn.XLOOKUP(frasest[[#This Row],[autor_es]],autorest[autor_es],autorest[imagen_atr])</f>
        <v>0</v>
      </c>
    </row>
    <row r="842" spans="1:18">
      <c r="A842">
        <v>841</v>
      </c>
      <c r="B842" t="s">
        <v>2799</v>
      </c>
      <c r="C842" t="s">
        <v>2800</v>
      </c>
      <c r="D842" t="s">
        <v>2801</v>
      </c>
      <c r="E842" t="s">
        <v>1236</v>
      </c>
      <c r="G842" t="str">
        <f>_xlfn.XLOOKUP(frasest[[#This Row],[autor_es]],autorest[autor_es],autorest[autor_la])</f>
        <v>Sententia Vasconica</v>
      </c>
      <c r="H842" t="str">
        <f>_xlfn.XLOOKUP(frasest[[#This Row],[autor_es]],autorest[autor_es],autorest[bio_es])</f>
        <v>Proverbios de la tradición oral vasca que reflejan la relación con la naturaleza, el trabajo y los valores comunitarios del pueblo vasco.</v>
      </c>
      <c r="I842" t="str">
        <f>_xlfn.XLOOKUP(frasest[[#This Row],[autor_es]],autorest[autor_es],autorest[bio_la])</f>
        <v>Collectio sententiarum Vasconicarum.</v>
      </c>
      <c r="J842" t="str">
        <f>_xlfn.XLOOKUP(frasest[[#This Row],[autor_es]],autorest[autor_es],autorest[codigo])</f>
        <v>eu</v>
      </c>
      <c r="K842" t="str">
        <f>_xlfn.XLOOKUP(frasest[[#This Row],[autor_es]],autorest[autor_es],autorest[idioma_es])</f>
        <v>Euskara</v>
      </c>
      <c r="L842" t="str">
        <f>_xlfn.XLOOKUP(frasest[[#This Row],[autor_es]],autorest[autor_es],autorest[idioma_la])</f>
        <v>Lingua Vasconica</v>
      </c>
      <c r="M842" t="str">
        <f>_xlfn.XLOOKUP(frasest[[#This Row],[autor_es]],autorest[autor_es],autorest[nacion_es])</f>
        <v>España</v>
      </c>
      <c r="N842" t="str">
        <f>_xlfn.XLOOKUP(frasest[[#This Row],[autor_es]],autorest[autor_es],autorest[nacion_la])</f>
        <v>Hispania</v>
      </c>
      <c r="O842" t="str">
        <f>_xlfn.XLOOKUP(frasest[[#This Row],[autor_es]],autorest[autor_es],autorest[epoca_es])</f>
        <v>Epoca Desconocida</v>
      </c>
      <c r="P842" t="str">
        <f>_xlfn.XLOOKUP(frasest[[#This Row],[autor_es]],autorest[autor_es],autorest[epoca_la])</f>
        <v>Epocha Ignota</v>
      </c>
      <c r="Q842" t="str">
        <f>_xlfn.XLOOKUP(frasest[[#This Row],[autor_es]],autorest[autor_es],autorest[imagen])</f>
        <v>https://i.ibb.co/bjgxB3kn/euskadi.png</v>
      </c>
      <c r="R842">
        <f>_xlfn.XLOOKUP(frasest[[#This Row],[autor_es]],autorest[autor_es],autorest[imagen_atr])</f>
        <v>0</v>
      </c>
    </row>
    <row r="843" spans="1:18">
      <c r="A843">
        <v>842</v>
      </c>
      <c r="B843" t="s">
        <v>2389</v>
      </c>
      <c r="C843" t="s">
        <v>2802</v>
      </c>
      <c r="D843" t="s">
        <v>2391</v>
      </c>
      <c r="E843" t="s">
        <v>1236</v>
      </c>
      <c r="G843" t="str">
        <f>_xlfn.XLOOKUP(frasest[[#This Row],[autor_es]],autorest[autor_es],autorest[autor_la])</f>
        <v>Sententia Vasconica</v>
      </c>
      <c r="H843" t="str">
        <f>_xlfn.XLOOKUP(frasest[[#This Row],[autor_es]],autorest[autor_es],autorest[bio_es])</f>
        <v>Proverbios de la tradición oral vasca que reflejan la relación con la naturaleza, el trabajo y los valores comunitarios del pueblo vasco.</v>
      </c>
      <c r="I843" t="str">
        <f>_xlfn.XLOOKUP(frasest[[#This Row],[autor_es]],autorest[autor_es],autorest[bio_la])</f>
        <v>Collectio sententiarum Vasconicarum.</v>
      </c>
      <c r="J843" t="str">
        <f>_xlfn.XLOOKUP(frasest[[#This Row],[autor_es]],autorest[autor_es],autorest[codigo])</f>
        <v>eu</v>
      </c>
      <c r="K843" t="str">
        <f>_xlfn.XLOOKUP(frasest[[#This Row],[autor_es]],autorest[autor_es],autorest[idioma_es])</f>
        <v>Euskara</v>
      </c>
      <c r="L843" t="str">
        <f>_xlfn.XLOOKUP(frasest[[#This Row],[autor_es]],autorest[autor_es],autorest[idioma_la])</f>
        <v>Lingua Vasconica</v>
      </c>
      <c r="M843" t="str">
        <f>_xlfn.XLOOKUP(frasest[[#This Row],[autor_es]],autorest[autor_es],autorest[nacion_es])</f>
        <v>España</v>
      </c>
      <c r="N843" t="str">
        <f>_xlfn.XLOOKUP(frasest[[#This Row],[autor_es]],autorest[autor_es],autorest[nacion_la])</f>
        <v>Hispania</v>
      </c>
      <c r="O843" t="str">
        <f>_xlfn.XLOOKUP(frasest[[#This Row],[autor_es]],autorest[autor_es],autorest[epoca_es])</f>
        <v>Epoca Desconocida</v>
      </c>
      <c r="P843" t="str">
        <f>_xlfn.XLOOKUP(frasest[[#This Row],[autor_es]],autorest[autor_es],autorest[epoca_la])</f>
        <v>Epocha Ignota</v>
      </c>
      <c r="Q843" t="str">
        <f>_xlfn.XLOOKUP(frasest[[#This Row],[autor_es]],autorest[autor_es],autorest[imagen])</f>
        <v>https://i.ibb.co/bjgxB3kn/euskadi.png</v>
      </c>
      <c r="R843">
        <f>_xlfn.XLOOKUP(frasest[[#This Row],[autor_es]],autorest[autor_es],autorest[imagen_atr])</f>
        <v>0</v>
      </c>
    </row>
    <row r="844" spans="1:18">
      <c r="A844">
        <v>843</v>
      </c>
      <c r="B844" t="s">
        <v>2803</v>
      </c>
      <c r="C844" t="s">
        <v>2804</v>
      </c>
      <c r="D844" t="s">
        <v>2805</v>
      </c>
      <c r="E844" t="s">
        <v>1236</v>
      </c>
      <c r="G844" t="str">
        <f>_xlfn.XLOOKUP(frasest[[#This Row],[autor_es]],autorest[autor_es],autorest[autor_la])</f>
        <v>Sententia Vasconica</v>
      </c>
      <c r="H844" t="str">
        <f>_xlfn.XLOOKUP(frasest[[#This Row],[autor_es]],autorest[autor_es],autorest[bio_es])</f>
        <v>Proverbios de la tradición oral vasca que reflejan la relación con la naturaleza, el trabajo y los valores comunitarios del pueblo vasco.</v>
      </c>
      <c r="I844" t="str">
        <f>_xlfn.XLOOKUP(frasest[[#This Row],[autor_es]],autorest[autor_es],autorest[bio_la])</f>
        <v>Collectio sententiarum Vasconicarum.</v>
      </c>
      <c r="J844" t="str">
        <f>_xlfn.XLOOKUP(frasest[[#This Row],[autor_es]],autorest[autor_es],autorest[codigo])</f>
        <v>eu</v>
      </c>
      <c r="K844" t="str">
        <f>_xlfn.XLOOKUP(frasest[[#This Row],[autor_es]],autorest[autor_es],autorest[idioma_es])</f>
        <v>Euskara</v>
      </c>
      <c r="L844" t="str">
        <f>_xlfn.XLOOKUP(frasest[[#This Row],[autor_es]],autorest[autor_es],autorest[idioma_la])</f>
        <v>Lingua Vasconica</v>
      </c>
      <c r="M844" t="str">
        <f>_xlfn.XLOOKUP(frasest[[#This Row],[autor_es]],autorest[autor_es],autorest[nacion_es])</f>
        <v>España</v>
      </c>
      <c r="N844" t="str">
        <f>_xlfn.XLOOKUP(frasest[[#This Row],[autor_es]],autorest[autor_es],autorest[nacion_la])</f>
        <v>Hispania</v>
      </c>
      <c r="O844" t="str">
        <f>_xlfn.XLOOKUP(frasest[[#This Row],[autor_es]],autorest[autor_es],autorest[epoca_es])</f>
        <v>Epoca Desconocida</v>
      </c>
      <c r="P844" t="str">
        <f>_xlfn.XLOOKUP(frasest[[#This Row],[autor_es]],autorest[autor_es],autorest[epoca_la])</f>
        <v>Epocha Ignota</v>
      </c>
      <c r="Q844" t="str">
        <f>_xlfn.XLOOKUP(frasest[[#This Row],[autor_es]],autorest[autor_es],autorest[imagen])</f>
        <v>https://i.ibb.co/bjgxB3kn/euskadi.png</v>
      </c>
      <c r="R844">
        <f>_xlfn.XLOOKUP(frasest[[#This Row],[autor_es]],autorest[autor_es],autorest[imagen_atr])</f>
        <v>0</v>
      </c>
    </row>
    <row r="845" spans="1:18">
      <c r="A845">
        <v>844</v>
      </c>
      <c r="B845" t="s">
        <v>2806</v>
      </c>
      <c r="C845" t="s">
        <v>2807</v>
      </c>
      <c r="D845" t="s">
        <v>2808</v>
      </c>
      <c r="E845" t="s">
        <v>1236</v>
      </c>
      <c r="G845" t="str">
        <f>_xlfn.XLOOKUP(frasest[[#This Row],[autor_es]],autorest[autor_es],autorest[autor_la])</f>
        <v>Sententia Vasconica</v>
      </c>
      <c r="H845" t="str">
        <f>_xlfn.XLOOKUP(frasest[[#This Row],[autor_es]],autorest[autor_es],autorest[bio_es])</f>
        <v>Proverbios de la tradición oral vasca que reflejan la relación con la naturaleza, el trabajo y los valores comunitarios del pueblo vasco.</v>
      </c>
      <c r="I845" t="str">
        <f>_xlfn.XLOOKUP(frasest[[#This Row],[autor_es]],autorest[autor_es],autorest[bio_la])</f>
        <v>Collectio sententiarum Vasconicarum.</v>
      </c>
      <c r="J845" t="str">
        <f>_xlfn.XLOOKUP(frasest[[#This Row],[autor_es]],autorest[autor_es],autorest[codigo])</f>
        <v>eu</v>
      </c>
      <c r="K845" t="str">
        <f>_xlfn.XLOOKUP(frasest[[#This Row],[autor_es]],autorest[autor_es],autorest[idioma_es])</f>
        <v>Euskara</v>
      </c>
      <c r="L845" t="str">
        <f>_xlfn.XLOOKUP(frasest[[#This Row],[autor_es]],autorest[autor_es],autorest[idioma_la])</f>
        <v>Lingua Vasconica</v>
      </c>
      <c r="M845" t="str">
        <f>_xlfn.XLOOKUP(frasest[[#This Row],[autor_es]],autorest[autor_es],autorest[nacion_es])</f>
        <v>España</v>
      </c>
      <c r="N845" t="str">
        <f>_xlfn.XLOOKUP(frasest[[#This Row],[autor_es]],autorest[autor_es],autorest[nacion_la])</f>
        <v>Hispania</v>
      </c>
      <c r="O845" t="str">
        <f>_xlfn.XLOOKUP(frasest[[#This Row],[autor_es]],autorest[autor_es],autorest[epoca_es])</f>
        <v>Epoca Desconocida</v>
      </c>
      <c r="P845" t="str">
        <f>_xlfn.XLOOKUP(frasest[[#This Row],[autor_es]],autorest[autor_es],autorest[epoca_la])</f>
        <v>Epocha Ignota</v>
      </c>
      <c r="Q845" t="str">
        <f>_xlfn.XLOOKUP(frasest[[#This Row],[autor_es]],autorest[autor_es],autorest[imagen])</f>
        <v>https://i.ibb.co/bjgxB3kn/euskadi.png</v>
      </c>
      <c r="R845">
        <f>_xlfn.XLOOKUP(frasest[[#This Row],[autor_es]],autorest[autor_es],autorest[imagen_atr])</f>
        <v>0</v>
      </c>
    </row>
    <row r="846" spans="1:18">
      <c r="A846">
        <v>845</v>
      </c>
      <c r="B846" t="s">
        <v>2809</v>
      </c>
      <c r="C846" t="s">
        <v>2810</v>
      </c>
      <c r="D846" t="s">
        <v>2811</v>
      </c>
      <c r="E846" t="s">
        <v>1236</v>
      </c>
      <c r="G846" t="str">
        <f>_xlfn.XLOOKUP(frasest[[#This Row],[autor_es]],autorest[autor_es],autorest[autor_la])</f>
        <v>Sententia Vasconica</v>
      </c>
      <c r="H846" t="str">
        <f>_xlfn.XLOOKUP(frasest[[#This Row],[autor_es]],autorest[autor_es],autorest[bio_es])</f>
        <v>Proverbios de la tradición oral vasca que reflejan la relación con la naturaleza, el trabajo y los valores comunitarios del pueblo vasco.</v>
      </c>
      <c r="I846" t="str">
        <f>_xlfn.XLOOKUP(frasest[[#This Row],[autor_es]],autorest[autor_es],autorest[bio_la])</f>
        <v>Collectio sententiarum Vasconicarum.</v>
      </c>
      <c r="J846" t="str">
        <f>_xlfn.XLOOKUP(frasest[[#This Row],[autor_es]],autorest[autor_es],autorest[codigo])</f>
        <v>eu</v>
      </c>
      <c r="K846" t="str">
        <f>_xlfn.XLOOKUP(frasest[[#This Row],[autor_es]],autorest[autor_es],autorest[idioma_es])</f>
        <v>Euskara</v>
      </c>
      <c r="L846" t="str">
        <f>_xlfn.XLOOKUP(frasest[[#This Row],[autor_es]],autorest[autor_es],autorest[idioma_la])</f>
        <v>Lingua Vasconica</v>
      </c>
      <c r="M846" t="str">
        <f>_xlfn.XLOOKUP(frasest[[#This Row],[autor_es]],autorest[autor_es],autorest[nacion_es])</f>
        <v>España</v>
      </c>
      <c r="N846" t="str">
        <f>_xlfn.XLOOKUP(frasest[[#This Row],[autor_es]],autorest[autor_es],autorest[nacion_la])</f>
        <v>Hispania</v>
      </c>
      <c r="O846" t="str">
        <f>_xlfn.XLOOKUP(frasest[[#This Row],[autor_es]],autorest[autor_es],autorest[epoca_es])</f>
        <v>Epoca Desconocida</v>
      </c>
      <c r="P846" t="str">
        <f>_xlfn.XLOOKUP(frasest[[#This Row],[autor_es]],autorest[autor_es],autorest[epoca_la])</f>
        <v>Epocha Ignota</v>
      </c>
      <c r="Q846" t="str">
        <f>_xlfn.XLOOKUP(frasest[[#This Row],[autor_es]],autorest[autor_es],autorest[imagen])</f>
        <v>https://i.ibb.co/bjgxB3kn/euskadi.png</v>
      </c>
      <c r="R846">
        <f>_xlfn.XLOOKUP(frasest[[#This Row],[autor_es]],autorest[autor_es],autorest[imagen_atr])</f>
        <v>0</v>
      </c>
    </row>
    <row r="847" spans="1:18">
      <c r="A847">
        <v>846</v>
      </c>
      <c r="B847" t="s">
        <v>2812</v>
      </c>
      <c r="C847" t="s">
        <v>2813</v>
      </c>
      <c r="D847" t="s">
        <v>2814</v>
      </c>
      <c r="E847" t="s">
        <v>1236</v>
      </c>
      <c r="G847" t="str">
        <f>_xlfn.XLOOKUP(frasest[[#This Row],[autor_es]],autorest[autor_es],autorest[autor_la])</f>
        <v>Sententia Vasconica</v>
      </c>
      <c r="H847" t="str">
        <f>_xlfn.XLOOKUP(frasest[[#This Row],[autor_es]],autorest[autor_es],autorest[bio_es])</f>
        <v>Proverbios de la tradición oral vasca que reflejan la relación con la naturaleza, el trabajo y los valores comunitarios del pueblo vasco.</v>
      </c>
      <c r="I847" t="str">
        <f>_xlfn.XLOOKUP(frasest[[#This Row],[autor_es]],autorest[autor_es],autorest[bio_la])</f>
        <v>Collectio sententiarum Vasconicarum.</v>
      </c>
      <c r="J847" t="str">
        <f>_xlfn.XLOOKUP(frasest[[#This Row],[autor_es]],autorest[autor_es],autorest[codigo])</f>
        <v>eu</v>
      </c>
      <c r="K847" t="str">
        <f>_xlfn.XLOOKUP(frasest[[#This Row],[autor_es]],autorest[autor_es],autorest[idioma_es])</f>
        <v>Euskara</v>
      </c>
      <c r="L847" t="str">
        <f>_xlfn.XLOOKUP(frasest[[#This Row],[autor_es]],autorest[autor_es],autorest[idioma_la])</f>
        <v>Lingua Vasconica</v>
      </c>
      <c r="M847" t="str">
        <f>_xlfn.XLOOKUP(frasest[[#This Row],[autor_es]],autorest[autor_es],autorest[nacion_es])</f>
        <v>España</v>
      </c>
      <c r="N847" t="str">
        <f>_xlfn.XLOOKUP(frasest[[#This Row],[autor_es]],autorest[autor_es],autorest[nacion_la])</f>
        <v>Hispania</v>
      </c>
      <c r="O847" t="str">
        <f>_xlfn.XLOOKUP(frasest[[#This Row],[autor_es]],autorest[autor_es],autorest[epoca_es])</f>
        <v>Epoca Desconocida</v>
      </c>
      <c r="P847" t="str">
        <f>_xlfn.XLOOKUP(frasest[[#This Row],[autor_es]],autorest[autor_es],autorest[epoca_la])</f>
        <v>Epocha Ignota</v>
      </c>
      <c r="Q847" t="str">
        <f>_xlfn.XLOOKUP(frasest[[#This Row],[autor_es]],autorest[autor_es],autorest[imagen])</f>
        <v>https://i.ibb.co/bjgxB3kn/euskadi.png</v>
      </c>
      <c r="R847">
        <f>_xlfn.XLOOKUP(frasest[[#This Row],[autor_es]],autorest[autor_es],autorest[imagen_atr])</f>
        <v>0</v>
      </c>
    </row>
    <row r="848" spans="1:18">
      <c r="A848">
        <v>847</v>
      </c>
      <c r="B848" t="s">
        <v>2815</v>
      </c>
      <c r="C848" t="s">
        <v>2816</v>
      </c>
      <c r="D848" t="s">
        <v>2817</v>
      </c>
      <c r="E848" t="s">
        <v>1236</v>
      </c>
      <c r="G848" t="str">
        <f>_xlfn.XLOOKUP(frasest[[#This Row],[autor_es]],autorest[autor_es],autorest[autor_la])</f>
        <v>Sententia Vasconica</v>
      </c>
      <c r="H848" t="str">
        <f>_xlfn.XLOOKUP(frasest[[#This Row],[autor_es]],autorest[autor_es],autorest[bio_es])</f>
        <v>Proverbios de la tradición oral vasca que reflejan la relación con la naturaleza, el trabajo y los valores comunitarios del pueblo vasco.</v>
      </c>
      <c r="I848" t="str">
        <f>_xlfn.XLOOKUP(frasest[[#This Row],[autor_es]],autorest[autor_es],autorest[bio_la])</f>
        <v>Collectio sententiarum Vasconicarum.</v>
      </c>
      <c r="J848" t="str">
        <f>_xlfn.XLOOKUP(frasest[[#This Row],[autor_es]],autorest[autor_es],autorest[codigo])</f>
        <v>eu</v>
      </c>
      <c r="K848" t="str">
        <f>_xlfn.XLOOKUP(frasest[[#This Row],[autor_es]],autorest[autor_es],autorest[idioma_es])</f>
        <v>Euskara</v>
      </c>
      <c r="L848" t="str">
        <f>_xlfn.XLOOKUP(frasest[[#This Row],[autor_es]],autorest[autor_es],autorest[idioma_la])</f>
        <v>Lingua Vasconica</v>
      </c>
      <c r="M848" t="str">
        <f>_xlfn.XLOOKUP(frasest[[#This Row],[autor_es]],autorest[autor_es],autorest[nacion_es])</f>
        <v>España</v>
      </c>
      <c r="N848" t="str">
        <f>_xlfn.XLOOKUP(frasest[[#This Row],[autor_es]],autorest[autor_es],autorest[nacion_la])</f>
        <v>Hispania</v>
      </c>
      <c r="O848" t="str">
        <f>_xlfn.XLOOKUP(frasest[[#This Row],[autor_es]],autorest[autor_es],autorest[epoca_es])</f>
        <v>Epoca Desconocida</v>
      </c>
      <c r="P848" t="str">
        <f>_xlfn.XLOOKUP(frasest[[#This Row],[autor_es]],autorest[autor_es],autorest[epoca_la])</f>
        <v>Epocha Ignota</v>
      </c>
      <c r="Q848" t="str">
        <f>_xlfn.XLOOKUP(frasest[[#This Row],[autor_es]],autorest[autor_es],autorest[imagen])</f>
        <v>https://i.ibb.co/bjgxB3kn/euskadi.png</v>
      </c>
      <c r="R848">
        <f>_xlfn.XLOOKUP(frasest[[#This Row],[autor_es]],autorest[autor_es],autorest[imagen_atr])</f>
        <v>0</v>
      </c>
    </row>
    <row r="849" spans="1:18">
      <c r="A849">
        <v>848</v>
      </c>
      <c r="B849" t="s">
        <v>2818</v>
      </c>
      <c r="C849" t="s">
        <v>2819</v>
      </c>
      <c r="D849" t="s">
        <v>2820</v>
      </c>
      <c r="E849" t="s">
        <v>1236</v>
      </c>
      <c r="G849" t="str">
        <f>_xlfn.XLOOKUP(frasest[[#This Row],[autor_es]],autorest[autor_es],autorest[autor_la])</f>
        <v>Sententia Vasconica</v>
      </c>
      <c r="H849" t="str">
        <f>_xlfn.XLOOKUP(frasest[[#This Row],[autor_es]],autorest[autor_es],autorest[bio_es])</f>
        <v>Proverbios de la tradición oral vasca que reflejan la relación con la naturaleza, el trabajo y los valores comunitarios del pueblo vasco.</v>
      </c>
      <c r="I849" t="str">
        <f>_xlfn.XLOOKUP(frasest[[#This Row],[autor_es]],autorest[autor_es],autorest[bio_la])</f>
        <v>Collectio sententiarum Vasconicarum.</v>
      </c>
      <c r="J849" t="str">
        <f>_xlfn.XLOOKUP(frasest[[#This Row],[autor_es]],autorest[autor_es],autorest[codigo])</f>
        <v>eu</v>
      </c>
      <c r="K849" t="str">
        <f>_xlfn.XLOOKUP(frasest[[#This Row],[autor_es]],autorest[autor_es],autorest[idioma_es])</f>
        <v>Euskara</v>
      </c>
      <c r="L849" t="str">
        <f>_xlfn.XLOOKUP(frasest[[#This Row],[autor_es]],autorest[autor_es],autorest[idioma_la])</f>
        <v>Lingua Vasconica</v>
      </c>
      <c r="M849" t="str">
        <f>_xlfn.XLOOKUP(frasest[[#This Row],[autor_es]],autorest[autor_es],autorest[nacion_es])</f>
        <v>España</v>
      </c>
      <c r="N849" t="str">
        <f>_xlfn.XLOOKUP(frasest[[#This Row],[autor_es]],autorest[autor_es],autorest[nacion_la])</f>
        <v>Hispania</v>
      </c>
      <c r="O849" t="str">
        <f>_xlfn.XLOOKUP(frasest[[#This Row],[autor_es]],autorest[autor_es],autorest[epoca_es])</f>
        <v>Epoca Desconocida</v>
      </c>
      <c r="P849" t="str">
        <f>_xlfn.XLOOKUP(frasest[[#This Row],[autor_es]],autorest[autor_es],autorest[epoca_la])</f>
        <v>Epocha Ignota</v>
      </c>
      <c r="Q849" t="str">
        <f>_xlfn.XLOOKUP(frasest[[#This Row],[autor_es]],autorest[autor_es],autorest[imagen])</f>
        <v>https://i.ibb.co/bjgxB3kn/euskadi.png</v>
      </c>
      <c r="R849">
        <f>_xlfn.XLOOKUP(frasest[[#This Row],[autor_es]],autorest[autor_es],autorest[imagen_atr])</f>
        <v>0</v>
      </c>
    </row>
    <row r="850" spans="1:18">
      <c r="A850">
        <v>849</v>
      </c>
      <c r="B850" t="s">
        <v>2821</v>
      </c>
      <c r="C850" t="s">
        <v>2822</v>
      </c>
      <c r="D850" t="s">
        <v>2823</v>
      </c>
      <c r="E850" t="s">
        <v>1236</v>
      </c>
      <c r="G850" t="str">
        <f>_xlfn.XLOOKUP(frasest[[#This Row],[autor_es]],autorest[autor_es],autorest[autor_la])</f>
        <v>Sententia Vasconica</v>
      </c>
      <c r="H850" t="str">
        <f>_xlfn.XLOOKUP(frasest[[#This Row],[autor_es]],autorest[autor_es],autorest[bio_es])</f>
        <v>Proverbios de la tradición oral vasca que reflejan la relación con la naturaleza, el trabajo y los valores comunitarios del pueblo vasco.</v>
      </c>
      <c r="I850" t="str">
        <f>_xlfn.XLOOKUP(frasest[[#This Row],[autor_es]],autorest[autor_es],autorest[bio_la])</f>
        <v>Collectio sententiarum Vasconicarum.</v>
      </c>
      <c r="J850" t="str">
        <f>_xlfn.XLOOKUP(frasest[[#This Row],[autor_es]],autorest[autor_es],autorest[codigo])</f>
        <v>eu</v>
      </c>
      <c r="K850" t="str">
        <f>_xlfn.XLOOKUP(frasest[[#This Row],[autor_es]],autorest[autor_es],autorest[idioma_es])</f>
        <v>Euskara</v>
      </c>
      <c r="L850" t="str">
        <f>_xlfn.XLOOKUP(frasest[[#This Row],[autor_es]],autorest[autor_es],autorest[idioma_la])</f>
        <v>Lingua Vasconica</v>
      </c>
      <c r="M850" t="str">
        <f>_xlfn.XLOOKUP(frasest[[#This Row],[autor_es]],autorest[autor_es],autorest[nacion_es])</f>
        <v>España</v>
      </c>
      <c r="N850" t="str">
        <f>_xlfn.XLOOKUP(frasest[[#This Row],[autor_es]],autorest[autor_es],autorest[nacion_la])</f>
        <v>Hispania</v>
      </c>
      <c r="O850" t="str">
        <f>_xlfn.XLOOKUP(frasest[[#This Row],[autor_es]],autorest[autor_es],autorest[epoca_es])</f>
        <v>Epoca Desconocida</v>
      </c>
      <c r="P850" t="str">
        <f>_xlfn.XLOOKUP(frasest[[#This Row],[autor_es]],autorest[autor_es],autorest[epoca_la])</f>
        <v>Epocha Ignota</v>
      </c>
      <c r="Q850" t="str">
        <f>_xlfn.XLOOKUP(frasest[[#This Row],[autor_es]],autorest[autor_es],autorest[imagen])</f>
        <v>https://i.ibb.co/bjgxB3kn/euskadi.png</v>
      </c>
      <c r="R850">
        <f>_xlfn.XLOOKUP(frasest[[#This Row],[autor_es]],autorest[autor_es],autorest[imagen_atr])</f>
        <v>0</v>
      </c>
    </row>
    <row r="851" spans="1:18">
      <c r="A851">
        <v>850</v>
      </c>
      <c r="B851" t="s">
        <v>2824</v>
      </c>
      <c r="C851" t="s">
        <v>2825</v>
      </c>
      <c r="D851" t="s">
        <v>2826</v>
      </c>
      <c r="E851" t="s">
        <v>1236</v>
      </c>
      <c r="G851" t="str">
        <f>_xlfn.XLOOKUP(frasest[[#This Row],[autor_es]],autorest[autor_es],autorest[autor_la])</f>
        <v>Sententia Vasconica</v>
      </c>
      <c r="H851" t="str">
        <f>_xlfn.XLOOKUP(frasest[[#This Row],[autor_es]],autorest[autor_es],autorest[bio_es])</f>
        <v>Proverbios de la tradición oral vasca que reflejan la relación con la naturaleza, el trabajo y los valores comunitarios del pueblo vasco.</v>
      </c>
      <c r="I851" t="str">
        <f>_xlfn.XLOOKUP(frasest[[#This Row],[autor_es]],autorest[autor_es],autorest[bio_la])</f>
        <v>Collectio sententiarum Vasconicarum.</v>
      </c>
      <c r="J851" t="str">
        <f>_xlfn.XLOOKUP(frasest[[#This Row],[autor_es]],autorest[autor_es],autorest[codigo])</f>
        <v>eu</v>
      </c>
      <c r="K851" t="str">
        <f>_xlfn.XLOOKUP(frasest[[#This Row],[autor_es]],autorest[autor_es],autorest[idioma_es])</f>
        <v>Euskara</v>
      </c>
      <c r="L851" t="str">
        <f>_xlfn.XLOOKUP(frasest[[#This Row],[autor_es]],autorest[autor_es],autorest[idioma_la])</f>
        <v>Lingua Vasconica</v>
      </c>
      <c r="M851" t="str">
        <f>_xlfn.XLOOKUP(frasest[[#This Row],[autor_es]],autorest[autor_es],autorest[nacion_es])</f>
        <v>España</v>
      </c>
      <c r="N851" t="str">
        <f>_xlfn.XLOOKUP(frasest[[#This Row],[autor_es]],autorest[autor_es],autorest[nacion_la])</f>
        <v>Hispania</v>
      </c>
      <c r="O851" t="str">
        <f>_xlfn.XLOOKUP(frasest[[#This Row],[autor_es]],autorest[autor_es],autorest[epoca_es])</f>
        <v>Epoca Desconocida</v>
      </c>
      <c r="P851" t="str">
        <f>_xlfn.XLOOKUP(frasest[[#This Row],[autor_es]],autorest[autor_es],autorest[epoca_la])</f>
        <v>Epocha Ignota</v>
      </c>
      <c r="Q851" t="str">
        <f>_xlfn.XLOOKUP(frasest[[#This Row],[autor_es]],autorest[autor_es],autorest[imagen])</f>
        <v>https://i.ibb.co/bjgxB3kn/euskadi.png</v>
      </c>
      <c r="R851">
        <f>_xlfn.XLOOKUP(frasest[[#This Row],[autor_es]],autorest[autor_es],autorest[imagen_atr])</f>
        <v>0</v>
      </c>
    </row>
    <row r="852" spans="1:18">
      <c r="A852">
        <v>851</v>
      </c>
      <c r="B852" t="s">
        <v>2827</v>
      </c>
      <c r="C852" t="s">
        <v>2828</v>
      </c>
      <c r="D852" t="s">
        <v>2829</v>
      </c>
      <c r="E852" t="s">
        <v>1236</v>
      </c>
      <c r="G852" t="str">
        <f>_xlfn.XLOOKUP(frasest[[#This Row],[autor_es]],autorest[autor_es],autorest[autor_la])</f>
        <v>Sententia Vasconica</v>
      </c>
      <c r="H852" t="str">
        <f>_xlfn.XLOOKUP(frasest[[#This Row],[autor_es]],autorest[autor_es],autorest[bio_es])</f>
        <v>Proverbios de la tradición oral vasca que reflejan la relación con la naturaleza, el trabajo y los valores comunitarios del pueblo vasco.</v>
      </c>
      <c r="I852" t="str">
        <f>_xlfn.XLOOKUP(frasest[[#This Row],[autor_es]],autorest[autor_es],autorest[bio_la])</f>
        <v>Collectio sententiarum Vasconicarum.</v>
      </c>
      <c r="J852" t="str">
        <f>_xlfn.XLOOKUP(frasest[[#This Row],[autor_es]],autorest[autor_es],autorest[codigo])</f>
        <v>eu</v>
      </c>
      <c r="K852" t="str">
        <f>_xlfn.XLOOKUP(frasest[[#This Row],[autor_es]],autorest[autor_es],autorest[idioma_es])</f>
        <v>Euskara</v>
      </c>
      <c r="L852" t="str">
        <f>_xlfn.XLOOKUP(frasest[[#This Row],[autor_es]],autorest[autor_es],autorest[idioma_la])</f>
        <v>Lingua Vasconica</v>
      </c>
      <c r="M852" t="str">
        <f>_xlfn.XLOOKUP(frasest[[#This Row],[autor_es]],autorest[autor_es],autorest[nacion_es])</f>
        <v>España</v>
      </c>
      <c r="N852" t="str">
        <f>_xlfn.XLOOKUP(frasest[[#This Row],[autor_es]],autorest[autor_es],autorest[nacion_la])</f>
        <v>Hispania</v>
      </c>
      <c r="O852" t="str">
        <f>_xlfn.XLOOKUP(frasest[[#This Row],[autor_es]],autorest[autor_es],autorest[epoca_es])</f>
        <v>Epoca Desconocida</v>
      </c>
      <c r="P852" t="str">
        <f>_xlfn.XLOOKUP(frasest[[#This Row],[autor_es]],autorest[autor_es],autorest[epoca_la])</f>
        <v>Epocha Ignota</v>
      </c>
      <c r="Q852" t="str">
        <f>_xlfn.XLOOKUP(frasest[[#This Row],[autor_es]],autorest[autor_es],autorest[imagen])</f>
        <v>https://i.ibb.co/bjgxB3kn/euskadi.png</v>
      </c>
      <c r="R852">
        <f>_xlfn.XLOOKUP(frasest[[#This Row],[autor_es]],autorest[autor_es],autorest[imagen_atr])</f>
        <v>0</v>
      </c>
    </row>
    <row r="853" spans="1:18">
      <c r="A853">
        <v>852</v>
      </c>
      <c r="B853" t="s">
        <v>2830</v>
      </c>
      <c r="C853" t="s">
        <v>2831</v>
      </c>
      <c r="D853" t="s">
        <v>2832</v>
      </c>
      <c r="E853" t="s">
        <v>1236</v>
      </c>
      <c r="G853" t="str">
        <f>_xlfn.XLOOKUP(frasest[[#This Row],[autor_es]],autorest[autor_es],autorest[autor_la])</f>
        <v>Sententia Vasconica</v>
      </c>
      <c r="H853" t="str">
        <f>_xlfn.XLOOKUP(frasest[[#This Row],[autor_es]],autorest[autor_es],autorest[bio_es])</f>
        <v>Proverbios de la tradición oral vasca que reflejan la relación con la naturaleza, el trabajo y los valores comunitarios del pueblo vasco.</v>
      </c>
      <c r="I853" t="str">
        <f>_xlfn.XLOOKUP(frasest[[#This Row],[autor_es]],autorest[autor_es],autorest[bio_la])</f>
        <v>Collectio sententiarum Vasconicarum.</v>
      </c>
      <c r="J853" t="str">
        <f>_xlfn.XLOOKUP(frasest[[#This Row],[autor_es]],autorest[autor_es],autorest[codigo])</f>
        <v>eu</v>
      </c>
      <c r="K853" t="str">
        <f>_xlfn.XLOOKUP(frasest[[#This Row],[autor_es]],autorest[autor_es],autorest[idioma_es])</f>
        <v>Euskara</v>
      </c>
      <c r="L853" t="str">
        <f>_xlfn.XLOOKUP(frasest[[#This Row],[autor_es]],autorest[autor_es],autorest[idioma_la])</f>
        <v>Lingua Vasconica</v>
      </c>
      <c r="M853" t="str">
        <f>_xlfn.XLOOKUP(frasest[[#This Row],[autor_es]],autorest[autor_es],autorest[nacion_es])</f>
        <v>España</v>
      </c>
      <c r="N853" t="str">
        <f>_xlfn.XLOOKUP(frasest[[#This Row],[autor_es]],autorest[autor_es],autorest[nacion_la])</f>
        <v>Hispania</v>
      </c>
      <c r="O853" t="str">
        <f>_xlfn.XLOOKUP(frasest[[#This Row],[autor_es]],autorest[autor_es],autorest[epoca_es])</f>
        <v>Epoca Desconocida</v>
      </c>
      <c r="P853" t="str">
        <f>_xlfn.XLOOKUP(frasest[[#This Row],[autor_es]],autorest[autor_es],autorest[epoca_la])</f>
        <v>Epocha Ignota</v>
      </c>
      <c r="Q853" t="str">
        <f>_xlfn.XLOOKUP(frasest[[#This Row],[autor_es]],autorest[autor_es],autorest[imagen])</f>
        <v>https://i.ibb.co/bjgxB3kn/euskadi.png</v>
      </c>
      <c r="R853">
        <f>_xlfn.XLOOKUP(frasest[[#This Row],[autor_es]],autorest[autor_es],autorest[imagen_atr])</f>
        <v>0</v>
      </c>
    </row>
    <row r="854" spans="1:18">
      <c r="A854">
        <v>853</v>
      </c>
      <c r="B854" t="s">
        <v>2833</v>
      </c>
      <c r="C854" t="s">
        <v>2834</v>
      </c>
      <c r="D854" t="s">
        <v>2835</v>
      </c>
      <c r="E854" t="s">
        <v>1236</v>
      </c>
      <c r="G854" t="str">
        <f>_xlfn.XLOOKUP(frasest[[#This Row],[autor_es]],autorest[autor_es],autorest[autor_la])</f>
        <v>Sententia Vasconica</v>
      </c>
      <c r="H854" t="str">
        <f>_xlfn.XLOOKUP(frasest[[#This Row],[autor_es]],autorest[autor_es],autorest[bio_es])</f>
        <v>Proverbios de la tradición oral vasca que reflejan la relación con la naturaleza, el trabajo y los valores comunitarios del pueblo vasco.</v>
      </c>
      <c r="I854" t="str">
        <f>_xlfn.XLOOKUP(frasest[[#This Row],[autor_es]],autorest[autor_es],autorest[bio_la])</f>
        <v>Collectio sententiarum Vasconicarum.</v>
      </c>
      <c r="J854" t="str">
        <f>_xlfn.XLOOKUP(frasest[[#This Row],[autor_es]],autorest[autor_es],autorest[codigo])</f>
        <v>eu</v>
      </c>
      <c r="K854" t="str">
        <f>_xlfn.XLOOKUP(frasest[[#This Row],[autor_es]],autorest[autor_es],autorest[idioma_es])</f>
        <v>Euskara</v>
      </c>
      <c r="L854" t="str">
        <f>_xlfn.XLOOKUP(frasest[[#This Row],[autor_es]],autorest[autor_es],autorest[idioma_la])</f>
        <v>Lingua Vasconica</v>
      </c>
      <c r="M854" t="str">
        <f>_xlfn.XLOOKUP(frasest[[#This Row],[autor_es]],autorest[autor_es],autorest[nacion_es])</f>
        <v>España</v>
      </c>
      <c r="N854" t="str">
        <f>_xlfn.XLOOKUP(frasest[[#This Row],[autor_es]],autorest[autor_es],autorest[nacion_la])</f>
        <v>Hispania</v>
      </c>
      <c r="O854" t="str">
        <f>_xlfn.XLOOKUP(frasest[[#This Row],[autor_es]],autorest[autor_es],autorest[epoca_es])</f>
        <v>Epoca Desconocida</v>
      </c>
      <c r="P854" t="str">
        <f>_xlfn.XLOOKUP(frasest[[#This Row],[autor_es]],autorest[autor_es],autorest[epoca_la])</f>
        <v>Epocha Ignota</v>
      </c>
      <c r="Q854" t="str">
        <f>_xlfn.XLOOKUP(frasest[[#This Row],[autor_es]],autorest[autor_es],autorest[imagen])</f>
        <v>https://i.ibb.co/bjgxB3kn/euskadi.png</v>
      </c>
      <c r="R854">
        <f>_xlfn.XLOOKUP(frasest[[#This Row],[autor_es]],autorest[autor_es],autorest[imagen_atr])</f>
        <v>0</v>
      </c>
    </row>
    <row r="855" spans="1:18">
      <c r="A855">
        <v>854</v>
      </c>
      <c r="B855" t="s">
        <v>2836</v>
      </c>
      <c r="C855" t="s">
        <v>2837</v>
      </c>
      <c r="D855" t="s">
        <v>2838</v>
      </c>
      <c r="E855" t="s">
        <v>1236</v>
      </c>
      <c r="G855" t="str">
        <f>_xlfn.XLOOKUP(frasest[[#This Row],[autor_es]],autorest[autor_es],autorest[autor_la])</f>
        <v>Sententia Vasconica</v>
      </c>
      <c r="H855" t="str">
        <f>_xlfn.XLOOKUP(frasest[[#This Row],[autor_es]],autorest[autor_es],autorest[bio_es])</f>
        <v>Proverbios de la tradición oral vasca que reflejan la relación con la naturaleza, el trabajo y los valores comunitarios del pueblo vasco.</v>
      </c>
      <c r="I855" t="str">
        <f>_xlfn.XLOOKUP(frasest[[#This Row],[autor_es]],autorest[autor_es],autorest[bio_la])</f>
        <v>Collectio sententiarum Vasconicarum.</v>
      </c>
      <c r="J855" t="str">
        <f>_xlfn.XLOOKUP(frasest[[#This Row],[autor_es]],autorest[autor_es],autorest[codigo])</f>
        <v>eu</v>
      </c>
      <c r="K855" t="str">
        <f>_xlfn.XLOOKUP(frasest[[#This Row],[autor_es]],autorest[autor_es],autorest[idioma_es])</f>
        <v>Euskara</v>
      </c>
      <c r="L855" t="str">
        <f>_xlfn.XLOOKUP(frasest[[#This Row],[autor_es]],autorest[autor_es],autorest[idioma_la])</f>
        <v>Lingua Vasconica</v>
      </c>
      <c r="M855" t="str">
        <f>_xlfn.XLOOKUP(frasest[[#This Row],[autor_es]],autorest[autor_es],autorest[nacion_es])</f>
        <v>España</v>
      </c>
      <c r="N855" t="str">
        <f>_xlfn.XLOOKUP(frasest[[#This Row],[autor_es]],autorest[autor_es],autorest[nacion_la])</f>
        <v>Hispania</v>
      </c>
      <c r="O855" t="str">
        <f>_xlfn.XLOOKUP(frasest[[#This Row],[autor_es]],autorest[autor_es],autorest[epoca_es])</f>
        <v>Epoca Desconocida</v>
      </c>
      <c r="P855" t="str">
        <f>_xlfn.XLOOKUP(frasest[[#This Row],[autor_es]],autorest[autor_es],autorest[epoca_la])</f>
        <v>Epocha Ignota</v>
      </c>
      <c r="Q855" t="str">
        <f>_xlfn.XLOOKUP(frasest[[#This Row],[autor_es]],autorest[autor_es],autorest[imagen])</f>
        <v>https://i.ibb.co/bjgxB3kn/euskadi.png</v>
      </c>
      <c r="R855">
        <f>_xlfn.XLOOKUP(frasest[[#This Row],[autor_es]],autorest[autor_es],autorest[imagen_atr])</f>
        <v>0</v>
      </c>
    </row>
    <row r="856" spans="1:18">
      <c r="A856">
        <v>855</v>
      </c>
      <c r="B856" t="s">
        <v>2839</v>
      </c>
      <c r="C856" t="s">
        <v>2840</v>
      </c>
      <c r="D856" t="s">
        <v>2841</v>
      </c>
      <c r="E856" t="s">
        <v>1236</v>
      </c>
      <c r="G856" t="str">
        <f>_xlfn.XLOOKUP(frasest[[#This Row],[autor_es]],autorest[autor_es],autorest[autor_la])</f>
        <v>Sententia Vasconica</v>
      </c>
      <c r="H856" t="str">
        <f>_xlfn.XLOOKUP(frasest[[#This Row],[autor_es]],autorest[autor_es],autorest[bio_es])</f>
        <v>Proverbios de la tradición oral vasca que reflejan la relación con la naturaleza, el trabajo y los valores comunitarios del pueblo vasco.</v>
      </c>
      <c r="I856" t="str">
        <f>_xlfn.XLOOKUP(frasest[[#This Row],[autor_es]],autorest[autor_es],autorest[bio_la])</f>
        <v>Collectio sententiarum Vasconicarum.</v>
      </c>
      <c r="J856" t="str">
        <f>_xlfn.XLOOKUP(frasest[[#This Row],[autor_es]],autorest[autor_es],autorest[codigo])</f>
        <v>eu</v>
      </c>
      <c r="K856" t="str">
        <f>_xlfn.XLOOKUP(frasest[[#This Row],[autor_es]],autorest[autor_es],autorest[idioma_es])</f>
        <v>Euskara</v>
      </c>
      <c r="L856" t="str">
        <f>_xlfn.XLOOKUP(frasest[[#This Row],[autor_es]],autorest[autor_es],autorest[idioma_la])</f>
        <v>Lingua Vasconica</v>
      </c>
      <c r="M856" t="str">
        <f>_xlfn.XLOOKUP(frasest[[#This Row],[autor_es]],autorest[autor_es],autorest[nacion_es])</f>
        <v>España</v>
      </c>
      <c r="N856" t="str">
        <f>_xlfn.XLOOKUP(frasest[[#This Row],[autor_es]],autorest[autor_es],autorest[nacion_la])</f>
        <v>Hispania</v>
      </c>
      <c r="O856" t="str">
        <f>_xlfn.XLOOKUP(frasest[[#This Row],[autor_es]],autorest[autor_es],autorest[epoca_es])</f>
        <v>Epoca Desconocida</v>
      </c>
      <c r="P856" t="str">
        <f>_xlfn.XLOOKUP(frasest[[#This Row],[autor_es]],autorest[autor_es],autorest[epoca_la])</f>
        <v>Epocha Ignota</v>
      </c>
      <c r="Q856" t="str">
        <f>_xlfn.XLOOKUP(frasest[[#This Row],[autor_es]],autorest[autor_es],autorest[imagen])</f>
        <v>https://i.ibb.co/bjgxB3kn/euskadi.png</v>
      </c>
      <c r="R856">
        <f>_xlfn.XLOOKUP(frasest[[#This Row],[autor_es]],autorest[autor_es],autorest[imagen_atr])</f>
        <v>0</v>
      </c>
    </row>
    <row r="857" spans="1:18">
      <c r="A857">
        <v>856</v>
      </c>
      <c r="B857" t="s">
        <v>2842</v>
      </c>
      <c r="C857" t="s">
        <v>2843</v>
      </c>
      <c r="D857" t="s">
        <v>2844</v>
      </c>
      <c r="E857" t="s">
        <v>1236</v>
      </c>
      <c r="G857" t="str">
        <f>_xlfn.XLOOKUP(frasest[[#This Row],[autor_es]],autorest[autor_es],autorest[autor_la])</f>
        <v>Sententia Vasconica</v>
      </c>
      <c r="H857" t="str">
        <f>_xlfn.XLOOKUP(frasest[[#This Row],[autor_es]],autorest[autor_es],autorest[bio_es])</f>
        <v>Proverbios de la tradición oral vasca que reflejan la relación con la naturaleza, el trabajo y los valores comunitarios del pueblo vasco.</v>
      </c>
      <c r="I857" t="str">
        <f>_xlfn.XLOOKUP(frasest[[#This Row],[autor_es]],autorest[autor_es],autorest[bio_la])</f>
        <v>Collectio sententiarum Vasconicarum.</v>
      </c>
      <c r="J857" t="str">
        <f>_xlfn.XLOOKUP(frasest[[#This Row],[autor_es]],autorest[autor_es],autorest[codigo])</f>
        <v>eu</v>
      </c>
      <c r="K857" t="str">
        <f>_xlfn.XLOOKUP(frasest[[#This Row],[autor_es]],autorest[autor_es],autorest[idioma_es])</f>
        <v>Euskara</v>
      </c>
      <c r="L857" t="str">
        <f>_xlfn.XLOOKUP(frasest[[#This Row],[autor_es]],autorest[autor_es],autorest[idioma_la])</f>
        <v>Lingua Vasconica</v>
      </c>
      <c r="M857" t="str">
        <f>_xlfn.XLOOKUP(frasest[[#This Row],[autor_es]],autorest[autor_es],autorest[nacion_es])</f>
        <v>España</v>
      </c>
      <c r="N857" t="str">
        <f>_xlfn.XLOOKUP(frasest[[#This Row],[autor_es]],autorest[autor_es],autorest[nacion_la])</f>
        <v>Hispania</v>
      </c>
      <c r="O857" t="str">
        <f>_xlfn.XLOOKUP(frasest[[#This Row],[autor_es]],autorest[autor_es],autorest[epoca_es])</f>
        <v>Epoca Desconocida</v>
      </c>
      <c r="P857" t="str">
        <f>_xlfn.XLOOKUP(frasest[[#This Row],[autor_es]],autorest[autor_es],autorest[epoca_la])</f>
        <v>Epocha Ignota</v>
      </c>
      <c r="Q857" t="str">
        <f>_xlfn.XLOOKUP(frasest[[#This Row],[autor_es]],autorest[autor_es],autorest[imagen])</f>
        <v>https://i.ibb.co/bjgxB3kn/euskadi.png</v>
      </c>
      <c r="R857">
        <f>_xlfn.XLOOKUP(frasest[[#This Row],[autor_es]],autorest[autor_es],autorest[imagen_atr])</f>
        <v>0</v>
      </c>
    </row>
    <row r="858" spans="1:18">
      <c r="A858">
        <v>857</v>
      </c>
      <c r="B858" t="s">
        <v>2845</v>
      </c>
      <c r="C858" t="s">
        <v>2846</v>
      </c>
      <c r="D858" t="s">
        <v>2847</v>
      </c>
      <c r="E858" t="s">
        <v>1236</v>
      </c>
      <c r="G858" t="str">
        <f>_xlfn.XLOOKUP(frasest[[#This Row],[autor_es]],autorest[autor_es],autorest[autor_la])</f>
        <v>Sententia Vasconica</v>
      </c>
      <c r="H858" t="str">
        <f>_xlfn.XLOOKUP(frasest[[#This Row],[autor_es]],autorest[autor_es],autorest[bio_es])</f>
        <v>Proverbios de la tradición oral vasca que reflejan la relación con la naturaleza, el trabajo y los valores comunitarios del pueblo vasco.</v>
      </c>
      <c r="I858" t="str">
        <f>_xlfn.XLOOKUP(frasest[[#This Row],[autor_es]],autorest[autor_es],autorest[bio_la])</f>
        <v>Collectio sententiarum Vasconicarum.</v>
      </c>
      <c r="J858" t="str">
        <f>_xlfn.XLOOKUP(frasest[[#This Row],[autor_es]],autorest[autor_es],autorest[codigo])</f>
        <v>eu</v>
      </c>
      <c r="K858" t="str">
        <f>_xlfn.XLOOKUP(frasest[[#This Row],[autor_es]],autorest[autor_es],autorest[idioma_es])</f>
        <v>Euskara</v>
      </c>
      <c r="L858" t="str">
        <f>_xlfn.XLOOKUP(frasest[[#This Row],[autor_es]],autorest[autor_es],autorest[idioma_la])</f>
        <v>Lingua Vasconica</v>
      </c>
      <c r="M858" t="str">
        <f>_xlfn.XLOOKUP(frasest[[#This Row],[autor_es]],autorest[autor_es],autorest[nacion_es])</f>
        <v>España</v>
      </c>
      <c r="N858" t="str">
        <f>_xlfn.XLOOKUP(frasest[[#This Row],[autor_es]],autorest[autor_es],autorest[nacion_la])</f>
        <v>Hispania</v>
      </c>
      <c r="O858" t="str">
        <f>_xlfn.XLOOKUP(frasest[[#This Row],[autor_es]],autorest[autor_es],autorest[epoca_es])</f>
        <v>Epoca Desconocida</v>
      </c>
      <c r="P858" t="str">
        <f>_xlfn.XLOOKUP(frasest[[#This Row],[autor_es]],autorest[autor_es],autorest[epoca_la])</f>
        <v>Epocha Ignota</v>
      </c>
      <c r="Q858" t="str">
        <f>_xlfn.XLOOKUP(frasest[[#This Row],[autor_es]],autorest[autor_es],autorest[imagen])</f>
        <v>https://i.ibb.co/bjgxB3kn/euskadi.png</v>
      </c>
      <c r="R858">
        <f>_xlfn.XLOOKUP(frasest[[#This Row],[autor_es]],autorest[autor_es],autorest[imagen_atr])</f>
        <v>0</v>
      </c>
    </row>
    <row r="859" spans="1:18">
      <c r="A859">
        <v>858</v>
      </c>
      <c r="B859" t="s">
        <v>2848</v>
      </c>
      <c r="C859" t="s">
        <v>2849</v>
      </c>
      <c r="D859" t="s">
        <v>2850</v>
      </c>
      <c r="E859" t="s">
        <v>1236</v>
      </c>
      <c r="G859" t="str">
        <f>_xlfn.XLOOKUP(frasest[[#This Row],[autor_es]],autorest[autor_es],autorest[autor_la])</f>
        <v>Sententia Vasconica</v>
      </c>
      <c r="H859" t="str">
        <f>_xlfn.XLOOKUP(frasest[[#This Row],[autor_es]],autorest[autor_es],autorest[bio_es])</f>
        <v>Proverbios de la tradición oral vasca que reflejan la relación con la naturaleza, el trabajo y los valores comunitarios del pueblo vasco.</v>
      </c>
      <c r="I859" t="str">
        <f>_xlfn.XLOOKUP(frasest[[#This Row],[autor_es]],autorest[autor_es],autorest[bio_la])</f>
        <v>Collectio sententiarum Vasconicarum.</v>
      </c>
      <c r="J859" t="str">
        <f>_xlfn.XLOOKUP(frasest[[#This Row],[autor_es]],autorest[autor_es],autorest[codigo])</f>
        <v>eu</v>
      </c>
      <c r="K859" t="str">
        <f>_xlfn.XLOOKUP(frasest[[#This Row],[autor_es]],autorest[autor_es],autorest[idioma_es])</f>
        <v>Euskara</v>
      </c>
      <c r="L859" t="str">
        <f>_xlfn.XLOOKUP(frasest[[#This Row],[autor_es]],autorest[autor_es],autorest[idioma_la])</f>
        <v>Lingua Vasconica</v>
      </c>
      <c r="M859" t="str">
        <f>_xlfn.XLOOKUP(frasest[[#This Row],[autor_es]],autorest[autor_es],autorest[nacion_es])</f>
        <v>España</v>
      </c>
      <c r="N859" t="str">
        <f>_xlfn.XLOOKUP(frasest[[#This Row],[autor_es]],autorest[autor_es],autorest[nacion_la])</f>
        <v>Hispania</v>
      </c>
      <c r="O859" t="str">
        <f>_xlfn.XLOOKUP(frasest[[#This Row],[autor_es]],autorest[autor_es],autorest[epoca_es])</f>
        <v>Epoca Desconocida</v>
      </c>
      <c r="P859" t="str">
        <f>_xlfn.XLOOKUP(frasest[[#This Row],[autor_es]],autorest[autor_es],autorest[epoca_la])</f>
        <v>Epocha Ignota</v>
      </c>
      <c r="Q859" t="str">
        <f>_xlfn.XLOOKUP(frasest[[#This Row],[autor_es]],autorest[autor_es],autorest[imagen])</f>
        <v>https://i.ibb.co/bjgxB3kn/euskadi.png</v>
      </c>
      <c r="R859">
        <f>_xlfn.XLOOKUP(frasest[[#This Row],[autor_es]],autorest[autor_es],autorest[imagen_atr])</f>
        <v>0</v>
      </c>
    </row>
    <row r="860" spans="1:18">
      <c r="A860">
        <v>859</v>
      </c>
      <c r="B860" t="s">
        <v>2851</v>
      </c>
      <c r="C860" t="s">
        <v>2852</v>
      </c>
      <c r="D860" t="s">
        <v>2853</v>
      </c>
      <c r="E860" t="s">
        <v>1236</v>
      </c>
      <c r="G860" t="str">
        <f>_xlfn.XLOOKUP(frasest[[#This Row],[autor_es]],autorest[autor_es],autorest[autor_la])</f>
        <v>Sententia Vasconica</v>
      </c>
      <c r="H860" t="str">
        <f>_xlfn.XLOOKUP(frasest[[#This Row],[autor_es]],autorest[autor_es],autorest[bio_es])</f>
        <v>Proverbios de la tradición oral vasca que reflejan la relación con la naturaleza, el trabajo y los valores comunitarios del pueblo vasco.</v>
      </c>
      <c r="I860" t="str">
        <f>_xlfn.XLOOKUP(frasest[[#This Row],[autor_es]],autorest[autor_es],autorest[bio_la])</f>
        <v>Collectio sententiarum Vasconicarum.</v>
      </c>
      <c r="J860" t="str">
        <f>_xlfn.XLOOKUP(frasest[[#This Row],[autor_es]],autorest[autor_es],autorest[codigo])</f>
        <v>eu</v>
      </c>
      <c r="K860" t="str">
        <f>_xlfn.XLOOKUP(frasest[[#This Row],[autor_es]],autorest[autor_es],autorest[idioma_es])</f>
        <v>Euskara</v>
      </c>
      <c r="L860" t="str">
        <f>_xlfn.XLOOKUP(frasest[[#This Row],[autor_es]],autorest[autor_es],autorest[idioma_la])</f>
        <v>Lingua Vasconica</v>
      </c>
      <c r="M860" t="str">
        <f>_xlfn.XLOOKUP(frasest[[#This Row],[autor_es]],autorest[autor_es],autorest[nacion_es])</f>
        <v>España</v>
      </c>
      <c r="N860" t="str">
        <f>_xlfn.XLOOKUP(frasest[[#This Row],[autor_es]],autorest[autor_es],autorest[nacion_la])</f>
        <v>Hispania</v>
      </c>
      <c r="O860" t="str">
        <f>_xlfn.XLOOKUP(frasest[[#This Row],[autor_es]],autorest[autor_es],autorest[epoca_es])</f>
        <v>Epoca Desconocida</v>
      </c>
      <c r="P860" t="str">
        <f>_xlfn.XLOOKUP(frasest[[#This Row],[autor_es]],autorest[autor_es],autorest[epoca_la])</f>
        <v>Epocha Ignota</v>
      </c>
      <c r="Q860" t="str">
        <f>_xlfn.XLOOKUP(frasest[[#This Row],[autor_es]],autorest[autor_es],autorest[imagen])</f>
        <v>https://i.ibb.co/bjgxB3kn/euskadi.png</v>
      </c>
      <c r="R860">
        <f>_xlfn.XLOOKUP(frasest[[#This Row],[autor_es]],autorest[autor_es],autorest[imagen_atr])</f>
        <v>0</v>
      </c>
    </row>
    <row r="861" spans="1:18">
      <c r="A861">
        <v>860</v>
      </c>
      <c r="B861" t="s">
        <v>2854</v>
      </c>
      <c r="C861" t="s">
        <v>2855</v>
      </c>
      <c r="D861" t="s">
        <v>2856</v>
      </c>
      <c r="E861" t="s">
        <v>1236</v>
      </c>
      <c r="G861" t="str">
        <f>_xlfn.XLOOKUP(frasest[[#This Row],[autor_es]],autorest[autor_es],autorest[autor_la])</f>
        <v>Sententia Vasconica</v>
      </c>
      <c r="H861" t="str">
        <f>_xlfn.XLOOKUP(frasest[[#This Row],[autor_es]],autorest[autor_es],autorest[bio_es])</f>
        <v>Proverbios de la tradición oral vasca que reflejan la relación con la naturaleza, el trabajo y los valores comunitarios del pueblo vasco.</v>
      </c>
      <c r="I861" t="str">
        <f>_xlfn.XLOOKUP(frasest[[#This Row],[autor_es]],autorest[autor_es],autorest[bio_la])</f>
        <v>Collectio sententiarum Vasconicarum.</v>
      </c>
      <c r="J861" t="str">
        <f>_xlfn.XLOOKUP(frasest[[#This Row],[autor_es]],autorest[autor_es],autorest[codigo])</f>
        <v>eu</v>
      </c>
      <c r="K861" t="str">
        <f>_xlfn.XLOOKUP(frasest[[#This Row],[autor_es]],autorest[autor_es],autorest[idioma_es])</f>
        <v>Euskara</v>
      </c>
      <c r="L861" t="str">
        <f>_xlfn.XLOOKUP(frasest[[#This Row],[autor_es]],autorest[autor_es],autorest[idioma_la])</f>
        <v>Lingua Vasconica</v>
      </c>
      <c r="M861" t="str">
        <f>_xlfn.XLOOKUP(frasest[[#This Row],[autor_es]],autorest[autor_es],autorest[nacion_es])</f>
        <v>España</v>
      </c>
      <c r="N861" t="str">
        <f>_xlfn.XLOOKUP(frasest[[#This Row],[autor_es]],autorest[autor_es],autorest[nacion_la])</f>
        <v>Hispania</v>
      </c>
      <c r="O861" t="str">
        <f>_xlfn.XLOOKUP(frasest[[#This Row],[autor_es]],autorest[autor_es],autorest[epoca_es])</f>
        <v>Epoca Desconocida</v>
      </c>
      <c r="P861" t="str">
        <f>_xlfn.XLOOKUP(frasest[[#This Row],[autor_es]],autorest[autor_es],autorest[epoca_la])</f>
        <v>Epocha Ignota</v>
      </c>
      <c r="Q861" t="str">
        <f>_xlfn.XLOOKUP(frasest[[#This Row],[autor_es]],autorest[autor_es],autorest[imagen])</f>
        <v>https://i.ibb.co/bjgxB3kn/euskadi.png</v>
      </c>
      <c r="R861">
        <f>_xlfn.XLOOKUP(frasest[[#This Row],[autor_es]],autorest[autor_es],autorest[imagen_atr])</f>
        <v>0</v>
      </c>
    </row>
    <row r="862" spans="1:18">
      <c r="A862">
        <v>861</v>
      </c>
      <c r="B862" t="s">
        <v>2857</v>
      </c>
      <c r="C862" t="s">
        <v>2858</v>
      </c>
      <c r="D862" t="s">
        <v>2859</v>
      </c>
      <c r="E862" t="s">
        <v>1236</v>
      </c>
      <c r="G862" t="str">
        <f>_xlfn.XLOOKUP(frasest[[#This Row],[autor_es]],autorest[autor_es],autorest[autor_la])</f>
        <v>Sententia Vasconica</v>
      </c>
      <c r="H862" t="str">
        <f>_xlfn.XLOOKUP(frasest[[#This Row],[autor_es]],autorest[autor_es],autorest[bio_es])</f>
        <v>Proverbios de la tradición oral vasca que reflejan la relación con la naturaleza, el trabajo y los valores comunitarios del pueblo vasco.</v>
      </c>
      <c r="I862" t="str">
        <f>_xlfn.XLOOKUP(frasest[[#This Row],[autor_es]],autorest[autor_es],autorest[bio_la])</f>
        <v>Collectio sententiarum Vasconicarum.</v>
      </c>
      <c r="J862" t="str">
        <f>_xlfn.XLOOKUP(frasest[[#This Row],[autor_es]],autorest[autor_es],autorest[codigo])</f>
        <v>eu</v>
      </c>
      <c r="K862" t="str">
        <f>_xlfn.XLOOKUP(frasest[[#This Row],[autor_es]],autorest[autor_es],autorest[idioma_es])</f>
        <v>Euskara</v>
      </c>
      <c r="L862" t="str">
        <f>_xlfn.XLOOKUP(frasest[[#This Row],[autor_es]],autorest[autor_es],autorest[idioma_la])</f>
        <v>Lingua Vasconica</v>
      </c>
      <c r="M862" t="str">
        <f>_xlfn.XLOOKUP(frasest[[#This Row],[autor_es]],autorest[autor_es],autorest[nacion_es])</f>
        <v>España</v>
      </c>
      <c r="N862" t="str">
        <f>_xlfn.XLOOKUP(frasest[[#This Row],[autor_es]],autorest[autor_es],autorest[nacion_la])</f>
        <v>Hispania</v>
      </c>
      <c r="O862" t="str">
        <f>_xlfn.XLOOKUP(frasest[[#This Row],[autor_es]],autorest[autor_es],autorest[epoca_es])</f>
        <v>Epoca Desconocida</v>
      </c>
      <c r="P862" t="str">
        <f>_xlfn.XLOOKUP(frasest[[#This Row],[autor_es]],autorest[autor_es],autorest[epoca_la])</f>
        <v>Epocha Ignota</v>
      </c>
      <c r="Q862" t="str">
        <f>_xlfn.XLOOKUP(frasest[[#This Row],[autor_es]],autorest[autor_es],autorest[imagen])</f>
        <v>https://i.ibb.co/bjgxB3kn/euskadi.png</v>
      </c>
      <c r="R862">
        <f>_xlfn.XLOOKUP(frasest[[#This Row],[autor_es]],autorest[autor_es],autorest[imagen_atr])</f>
        <v>0</v>
      </c>
    </row>
    <row r="863" spans="1:18">
      <c r="A863">
        <v>862</v>
      </c>
      <c r="B863" t="s">
        <v>2860</v>
      </c>
      <c r="C863" t="s">
        <v>2861</v>
      </c>
      <c r="D863" t="s">
        <v>2862</v>
      </c>
      <c r="E863" t="s">
        <v>1236</v>
      </c>
      <c r="G863" t="str">
        <f>_xlfn.XLOOKUP(frasest[[#This Row],[autor_es]],autorest[autor_es],autorest[autor_la])</f>
        <v>Sententia Vasconica</v>
      </c>
      <c r="H863" t="str">
        <f>_xlfn.XLOOKUP(frasest[[#This Row],[autor_es]],autorest[autor_es],autorest[bio_es])</f>
        <v>Proverbios de la tradición oral vasca que reflejan la relación con la naturaleza, el trabajo y los valores comunitarios del pueblo vasco.</v>
      </c>
      <c r="I863" t="str">
        <f>_xlfn.XLOOKUP(frasest[[#This Row],[autor_es]],autorest[autor_es],autorest[bio_la])</f>
        <v>Collectio sententiarum Vasconicarum.</v>
      </c>
      <c r="J863" t="str">
        <f>_xlfn.XLOOKUP(frasest[[#This Row],[autor_es]],autorest[autor_es],autorest[codigo])</f>
        <v>eu</v>
      </c>
      <c r="K863" t="str">
        <f>_xlfn.XLOOKUP(frasest[[#This Row],[autor_es]],autorest[autor_es],autorest[idioma_es])</f>
        <v>Euskara</v>
      </c>
      <c r="L863" t="str">
        <f>_xlfn.XLOOKUP(frasest[[#This Row],[autor_es]],autorest[autor_es],autorest[idioma_la])</f>
        <v>Lingua Vasconica</v>
      </c>
      <c r="M863" t="str">
        <f>_xlfn.XLOOKUP(frasest[[#This Row],[autor_es]],autorest[autor_es],autorest[nacion_es])</f>
        <v>España</v>
      </c>
      <c r="N863" t="str">
        <f>_xlfn.XLOOKUP(frasest[[#This Row],[autor_es]],autorest[autor_es],autorest[nacion_la])</f>
        <v>Hispania</v>
      </c>
      <c r="O863" t="str">
        <f>_xlfn.XLOOKUP(frasest[[#This Row],[autor_es]],autorest[autor_es],autorest[epoca_es])</f>
        <v>Epoca Desconocida</v>
      </c>
      <c r="P863" t="str">
        <f>_xlfn.XLOOKUP(frasest[[#This Row],[autor_es]],autorest[autor_es],autorest[epoca_la])</f>
        <v>Epocha Ignota</v>
      </c>
      <c r="Q863" t="str">
        <f>_xlfn.XLOOKUP(frasest[[#This Row],[autor_es]],autorest[autor_es],autorest[imagen])</f>
        <v>https://i.ibb.co/bjgxB3kn/euskadi.png</v>
      </c>
      <c r="R863">
        <f>_xlfn.XLOOKUP(frasest[[#This Row],[autor_es]],autorest[autor_es],autorest[imagen_atr])</f>
        <v>0</v>
      </c>
    </row>
    <row r="864" spans="1:18">
      <c r="A864">
        <v>863</v>
      </c>
      <c r="B864" t="s">
        <v>2863</v>
      </c>
      <c r="C864" t="s">
        <v>2864</v>
      </c>
      <c r="D864" t="s">
        <v>2865</v>
      </c>
      <c r="E864" t="s">
        <v>1236</v>
      </c>
      <c r="G864" t="str">
        <f>_xlfn.XLOOKUP(frasest[[#This Row],[autor_es]],autorest[autor_es],autorest[autor_la])</f>
        <v>Sententia Vasconica</v>
      </c>
      <c r="H864" t="str">
        <f>_xlfn.XLOOKUP(frasest[[#This Row],[autor_es]],autorest[autor_es],autorest[bio_es])</f>
        <v>Proverbios de la tradición oral vasca que reflejan la relación con la naturaleza, el trabajo y los valores comunitarios del pueblo vasco.</v>
      </c>
      <c r="I864" t="str">
        <f>_xlfn.XLOOKUP(frasest[[#This Row],[autor_es]],autorest[autor_es],autorest[bio_la])</f>
        <v>Collectio sententiarum Vasconicarum.</v>
      </c>
      <c r="J864" t="str">
        <f>_xlfn.XLOOKUP(frasest[[#This Row],[autor_es]],autorest[autor_es],autorest[codigo])</f>
        <v>eu</v>
      </c>
      <c r="K864" t="str">
        <f>_xlfn.XLOOKUP(frasest[[#This Row],[autor_es]],autorest[autor_es],autorest[idioma_es])</f>
        <v>Euskara</v>
      </c>
      <c r="L864" t="str">
        <f>_xlfn.XLOOKUP(frasest[[#This Row],[autor_es]],autorest[autor_es],autorest[idioma_la])</f>
        <v>Lingua Vasconica</v>
      </c>
      <c r="M864" t="str">
        <f>_xlfn.XLOOKUP(frasest[[#This Row],[autor_es]],autorest[autor_es],autorest[nacion_es])</f>
        <v>España</v>
      </c>
      <c r="N864" t="str">
        <f>_xlfn.XLOOKUP(frasest[[#This Row],[autor_es]],autorest[autor_es],autorest[nacion_la])</f>
        <v>Hispania</v>
      </c>
      <c r="O864" t="str">
        <f>_xlfn.XLOOKUP(frasest[[#This Row],[autor_es]],autorest[autor_es],autorest[epoca_es])</f>
        <v>Epoca Desconocida</v>
      </c>
      <c r="P864" t="str">
        <f>_xlfn.XLOOKUP(frasest[[#This Row],[autor_es]],autorest[autor_es],autorest[epoca_la])</f>
        <v>Epocha Ignota</v>
      </c>
      <c r="Q864" t="str">
        <f>_xlfn.XLOOKUP(frasest[[#This Row],[autor_es]],autorest[autor_es],autorest[imagen])</f>
        <v>https://i.ibb.co/bjgxB3kn/euskadi.png</v>
      </c>
      <c r="R864">
        <f>_xlfn.XLOOKUP(frasest[[#This Row],[autor_es]],autorest[autor_es],autorest[imagen_atr])</f>
        <v>0</v>
      </c>
    </row>
    <row r="865" spans="1:18">
      <c r="A865">
        <v>864</v>
      </c>
      <c r="B865" t="s">
        <v>2866</v>
      </c>
      <c r="C865" t="s">
        <v>2867</v>
      </c>
      <c r="D865" t="s">
        <v>2868</v>
      </c>
      <c r="E865" t="s">
        <v>1236</v>
      </c>
      <c r="G865" t="str">
        <f>_xlfn.XLOOKUP(frasest[[#This Row],[autor_es]],autorest[autor_es],autorest[autor_la])</f>
        <v>Sententia Vasconica</v>
      </c>
      <c r="H865" t="str">
        <f>_xlfn.XLOOKUP(frasest[[#This Row],[autor_es]],autorest[autor_es],autorest[bio_es])</f>
        <v>Proverbios de la tradición oral vasca que reflejan la relación con la naturaleza, el trabajo y los valores comunitarios del pueblo vasco.</v>
      </c>
      <c r="I865" t="str">
        <f>_xlfn.XLOOKUP(frasest[[#This Row],[autor_es]],autorest[autor_es],autorest[bio_la])</f>
        <v>Collectio sententiarum Vasconicarum.</v>
      </c>
      <c r="J865" t="str">
        <f>_xlfn.XLOOKUP(frasest[[#This Row],[autor_es]],autorest[autor_es],autorest[codigo])</f>
        <v>eu</v>
      </c>
      <c r="K865" t="str">
        <f>_xlfn.XLOOKUP(frasest[[#This Row],[autor_es]],autorest[autor_es],autorest[idioma_es])</f>
        <v>Euskara</v>
      </c>
      <c r="L865" t="str">
        <f>_xlfn.XLOOKUP(frasest[[#This Row],[autor_es]],autorest[autor_es],autorest[idioma_la])</f>
        <v>Lingua Vasconica</v>
      </c>
      <c r="M865" t="str">
        <f>_xlfn.XLOOKUP(frasest[[#This Row],[autor_es]],autorest[autor_es],autorest[nacion_es])</f>
        <v>España</v>
      </c>
      <c r="N865" t="str">
        <f>_xlfn.XLOOKUP(frasest[[#This Row],[autor_es]],autorest[autor_es],autorest[nacion_la])</f>
        <v>Hispania</v>
      </c>
      <c r="O865" t="str">
        <f>_xlfn.XLOOKUP(frasest[[#This Row],[autor_es]],autorest[autor_es],autorest[epoca_es])</f>
        <v>Epoca Desconocida</v>
      </c>
      <c r="P865" t="str">
        <f>_xlfn.XLOOKUP(frasest[[#This Row],[autor_es]],autorest[autor_es],autorest[epoca_la])</f>
        <v>Epocha Ignota</v>
      </c>
      <c r="Q865" t="str">
        <f>_xlfn.XLOOKUP(frasest[[#This Row],[autor_es]],autorest[autor_es],autorest[imagen])</f>
        <v>https://i.ibb.co/bjgxB3kn/euskadi.png</v>
      </c>
      <c r="R865">
        <f>_xlfn.XLOOKUP(frasest[[#This Row],[autor_es]],autorest[autor_es],autorest[imagen_atr])</f>
        <v>0</v>
      </c>
    </row>
    <row r="866" spans="1:18">
      <c r="A866">
        <v>865</v>
      </c>
      <c r="B866" t="s">
        <v>2869</v>
      </c>
      <c r="C866" t="s">
        <v>2870</v>
      </c>
      <c r="D866" t="s">
        <v>2871</v>
      </c>
      <c r="E866" t="s">
        <v>1236</v>
      </c>
      <c r="G866" t="str">
        <f>_xlfn.XLOOKUP(frasest[[#This Row],[autor_es]],autorest[autor_es],autorest[autor_la])</f>
        <v>Sententia Vasconica</v>
      </c>
      <c r="H866" t="str">
        <f>_xlfn.XLOOKUP(frasest[[#This Row],[autor_es]],autorest[autor_es],autorest[bio_es])</f>
        <v>Proverbios de la tradición oral vasca que reflejan la relación con la naturaleza, el trabajo y los valores comunitarios del pueblo vasco.</v>
      </c>
      <c r="I866" t="str">
        <f>_xlfn.XLOOKUP(frasest[[#This Row],[autor_es]],autorest[autor_es],autorest[bio_la])</f>
        <v>Collectio sententiarum Vasconicarum.</v>
      </c>
      <c r="J866" t="str">
        <f>_xlfn.XLOOKUP(frasest[[#This Row],[autor_es]],autorest[autor_es],autorest[codigo])</f>
        <v>eu</v>
      </c>
      <c r="K866" t="str">
        <f>_xlfn.XLOOKUP(frasest[[#This Row],[autor_es]],autorest[autor_es],autorest[idioma_es])</f>
        <v>Euskara</v>
      </c>
      <c r="L866" t="str">
        <f>_xlfn.XLOOKUP(frasest[[#This Row],[autor_es]],autorest[autor_es],autorest[idioma_la])</f>
        <v>Lingua Vasconica</v>
      </c>
      <c r="M866" t="str">
        <f>_xlfn.XLOOKUP(frasest[[#This Row],[autor_es]],autorest[autor_es],autorest[nacion_es])</f>
        <v>España</v>
      </c>
      <c r="N866" t="str">
        <f>_xlfn.XLOOKUP(frasest[[#This Row],[autor_es]],autorest[autor_es],autorest[nacion_la])</f>
        <v>Hispania</v>
      </c>
      <c r="O866" t="str">
        <f>_xlfn.XLOOKUP(frasest[[#This Row],[autor_es]],autorest[autor_es],autorest[epoca_es])</f>
        <v>Epoca Desconocida</v>
      </c>
      <c r="P866" t="str">
        <f>_xlfn.XLOOKUP(frasest[[#This Row],[autor_es]],autorest[autor_es],autorest[epoca_la])</f>
        <v>Epocha Ignota</v>
      </c>
      <c r="Q866" t="str">
        <f>_xlfn.XLOOKUP(frasest[[#This Row],[autor_es]],autorest[autor_es],autorest[imagen])</f>
        <v>https://i.ibb.co/bjgxB3kn/euskadi.png</v>
      </c>
      <c r="R866">
        <f>_xlfn.XLOOKUP(frasest[[#This Row],[autor_es]],autorest[autor_es],autorest[imagen_atr])</f>
        <v>0</v>
      </c>
    </row>
    <row r="867" spans="1:18">
      <c r="A867">
        <v>866</v>
      </c>
      <c r="B867" t="s">
        <v>2872</v>
      </c>
      <c r="C867" t="s">
        <v>2873</v>
      </c>
      <c r="D867" t="s">
        <v>2874</v>
      </c>
      <c r="E867" t="s">
        <v>1236</v>
      </c>
      <c r="G867" t="str">
        <f>_xlfn.XLOOKUP(frasest[[#This Row],[autor_es]],autorest[autor_es],autorest[autor_la])</f>
        <v>Sententia Vasconica</v>
      </c>
      <c r="H867" t="str">
        <f>_xlfn.XLOOKUP(frasest[[#This Row],[autor_es]],autorest[autor_es],autorest[bio_es])</f>
        <v>Proverbios de la tradición oral vasca que reflejan la relación con la naturaleza, el trabajo y los valores comunitarios del pueblo vasco.</v>
      </c>
      <c r="I867" t="str">
        <f>_xlfn.XLOOKUP(frasest[[#This Row],[autor_es]],autorest[autor_es],autorest[bio_la])</f>
        <v>Collectio sententiarum Vasconicarum.</v>
      </c>
      <c r="J867" t="str">
        <f>_xlfn.XLOOKUP(frasest[[#This Row],[autor_es]],autorest[autor_es],autorest[codigo])</f>
        <v>eu</v>
      </c>
      <c r="K867" t="str">
        <f>_xlfn.XLOOKUP(frasest[[#This Row],[autor_es]],autorest[autor_es],autorest[idioma_es])</f>
        <v>Euskara</v>
      </c>
      <c r="L867" t="str">
        <f>_xlfn.XLOOKUP(frasest[[#This Row],[autor_es]],autorest[autor_es],autorest[idioma_la])</f>
        <v>Lingua Vasconica</v>
      </c>
      <c r="M867" t="str">
        <f>_xlfn.XLOOKUP(frasest[[#This Row],[autor_es]],autorest[autor_es],autorest[nacion_es])</f>
        <v>España</v>
      </c>
      <c r="N867" t="str">
        <f>_xlfn.XLOOKUP(frasest[[#This Row],[autor_es]],autorest[autor_es],autorest[nacion_la])</f>
        <v>Hispania</v>
      </c>
      <c r="O867" t="str">
        <f>_xlfn.XLOOKUP(frasest[[#This Row],[autor_es]],autorest[autor_es],autorest[epoca_es])</f>
        <v>Epoca Desconocida</v>
      </c>
      <c r="P867" t="str">
        <f>_xlfn.XLOOKUP(frasest[[#This Row],[autor_es]],autorest[autor_es],autorest[epoca_la])</f>
        <v>Epocha Ignota</v>
      </c>
      <c r="Q867" t="str">
        <f>_xlfn.XLOOKUP(frasest[[#This Row],[autor_es]],autorest[autor_es],autorest[imagen])</f>
        <v>https://i.ibb.co/bjgxB3kn/euskadi.png</v>
      </c>
      <c r="R867">
        <f>_xlfn.XLOOKUP(frasest[[#This Row],[autor_es]],autorest[autor_es],autorest[imagen_atr])</f>
        <v>0</v>
      </c>
    </row>
    <row r="868" spans="1:18">
      <c r="A868">
        <v>867</v>
      </c>
      <c r="B868" t="s">
        <v>2875</v>
      </c>
      <c r="C868" t="s">
        <v>2876</v>
      </c>
      <c r="D868" t="s">
        <v>2877</v>
      </c>
      <c r="E868" t="s">
        <v>1236</v>
      </c>
      <c r="G868" t="str">
        <f>_xlfn.XLOOKUP(frasest[[#This Row],[autor_es]],autorest[autor_es],autorest[autor_la])</f>
        <v>Sententia Vasconica</v>
      </c>
      <c r="H868" t="str">
        <f>_xlfn.XLOOKUP(frasest[[#This Row],[autor_es]],autorest[autor_es],autorest[bio_es])</f>
        <v>Proverbios de la tradición oral vasca que reflejan la relación con la naturaleza, el trabajo y los valores comunitarios del pueblo vasco.</v>
      </c>
      <c r="I868" t="str">
        <f>_xlfn.XLOOKUP(frasest[[#This Row],[autor_es]],autorest[autor_es],autorest[bio_la])</f>
        <v>Collectio sententiarum Vasconicarum.</v>
      </c>
      <c r="J868" t="str">
        <f>_xlfn.XLOOKUP(frasest[[#This Row],[autor_es]],autorest[autor_es],autorest[codigo])</f>
        <v>eu</v>
      </c>
      <c r="K868" t="str">
        <f>_xlfn.XLOOKUP(frasest[[#This Row],[autor_es]],autorest[autor_es],autorest[idioma_es])</f>
        <v>Euskara</v>
      </c>
      <c r="L868" t="str">
        <f>_xlfn.XLOOKUP(frasest[[#This Row],[autor_es]],autorest[autor_es],autorest[idioma_la])</f>
        <v>Lingua Vasconica</v>
      </c>
      <c r="M868" t="str">
        <f>_xlfn.XLOOKUP(frasest[[#This Row],[autor_es]],autorest[autor_es],autorest[nacion_es])</f>
        <v>España</v>
      </c>
      <c r="N868" t="str">
        <f>_xlfn.XLOOKUP(frasest[[#This Row],[autor_es]],autorest[autor_es],autorest[nacion_la])</f>
        <v>Hispania</v>
      </c>
      <c r="O868" t="str">
        <f>_xlfn.XLOOKUP(frasest[[#This Row],[autor_es]],autorest[autor_es],autorest[epoca_es])</f>
        <v>Epoca Desconocida</v>
      </c>
      <c r="P868" t="str">
        <f>_xlfn.XLOOKUP(frasest[[#This Row],[autor_es]],autorest[autor_es],autorest[epoca_la])</f>
        <v>Epocha Ignota</v>
      </c>
      <c r="Q868" t="str">
        <f>_xlfn.XLOOKUP(frasest[[#This Row],[autor_es]],autorest[autor_es],autorest[imagen])</f>
        <v>https://i.ibb.co/bjgxB3kn/euskadi.png</v>
      </c>
      <c r="R868">
        <f>_xlfn.XLOOKUP(frasest[[#This Row],[autor_es]],autorest[autor_es],autorest[imagen_atr])</f>
        <v>0</v>
      </c>
    </row>
    <row r="869" spans="1:18">
      <c r="A869">
        <v>868</v>
      </c>
      <c r="B869" t="s">
        <v>2878</v>
      </c>
      <c r="C869" t="s">
        <v>2879</v>
      </c>
      <c r="D869" t="s">
        <v>2880</v>
      </c>
      <c r="E869" t="s">
        <v>1236</v>
      </c>
      <c r="G869" t="str">
        <f>_xlfn.XLOOKUP(frasest[[#This Row],[autor_es]],autorest[autor_es],autorest[autor_la])</f>
        <v>Sententia Vasconica</v>
      </c>
      <c r="H869" t="str">
        <f>_xlfn.XLOOKUP(frasest[[#This Row],[autor_es]],autorest[autor_es],autorest[bio_es])</f>
        <v>Proverbios de la tradición oral vasca que reflejan la relación con la naturaleza, el trabajo y los valores comunitarios del pueblo vasco.</v>
      </c>
      <c r="I869" t="str">
        <f>_xlfn.XLOOKUP(frasest[[#This Row],[autor_es]],autorest[autor_es],autorest[bio_la])</f>
        <v>Collectio sententiarum Vasconicarum.</v>
      </c>
      <c r="J869" t="str">
        <f>_xlfn.XLOOKUP(frasest[[#This Row],[autor_es]],autorest[autor_es],autorest[codigo])</f>
        <v>eu</v>
      </c>
      <c r="K869" t="str">
        <f>_xlfn.XLOOKUP(frasest[[#This Row],[autor_es]],autorest[autor_es],autorest[idioma_es])</f>
        <v>Euskara</v>
      </c>
      <c r="L869" t="str">
        <f>_xlfn.XLOOKUP(frasest[[#This Row],[autor_es]],autorest[autor_es],autorest[idioma_la])</f>
        <v>Lingua Vasconica</v>
      </c>
      <c r="M869" t="str">
        <f>_xlfn.XLOOKUP(frasest[[#This Row],[autor_es]],autorest[autor_es],autorest[nacion_es])</f>
        <v>España</v>
      </c>
      <c r="N869" t="str">
        <f>_xlfn.XLOOKUP(frasest[[#This Row],[autor_es]],autorest[autor_es],autorest[nacion_la])</f>
        <v>Hispania</v>
      </c>
      <c r="O869" t="str">
        <f>_xlfn.XLOOKUP(frasest[[#This Row],[autor_es]],autorest[autor_es],autorest[epoca_es])</f>
        <v>Epoca Desconocida</v>
      </c>
      <c r="P869" t="str">
        <f>_xlfn.XLOOKUP(frasest[[#This Row],[autor_es]],autorest[autor_es],autorest[epoca_la])</f>
        <v>Epocha Ignota</v>
      </c>
      <c r="Q869" t="str">
        <f>_xlfn.XLOOKUP(frasest[[#This Row],[autor_es]],autorest[autor_es],autorest[imagen])</f>
        <v>https://i.ibb.co/bjgxB3kn/euskadi.png</v>
      </c>
      <c r="R869">
        <f>_xlfn.XLOOKUP(frasest[[#This Row],[autor_es]],autorest[autor_es],autorest[imagen_atr])</f>
        <v>0</v>
      </c>
    </row>
    <row r="870" spans="1:18">
      <c r="A870">
        <v>869</v>
      </c>
      <c r="B870" t="s">
        <v>2881</v>
      </c>
      <c r="C870" t="s">
        <v>2882</v>
      </c>
      <c r="D870" t="s">
        <v>2883</v>
      </c>
      <c r="E870" t="s">
        <v>1236</v>
      </c>
      <c r="G870" t="str">
        <f>_xlfn.XLOOKUP(frasest[[#This Row],[autor_es]],autorest[autor_es],autorest[autor_la])</f>
        <v>Sententia Vasconica</v>
      </c>
      <c r="H870" t="str">
        <f>_xlfn.XLOOKUP(frasest[[#This Row],[autor_es]],autorest[autor_es],autorest[bio_es])</f>
        <v>Proverbios de la tradición oral vasca que reflejan la relación con la naturaleza, el trabajo y los valores comunitarios del pueblo vasco.</v>
      </c>
      <c r="I870" t="str">
        <f>_xlfn.XLOOKUP(frasest[[#This Row],[autor_es]],autorest[autor_es],autorest[bio_la])</f>
        <v>Collectio sententiarum Vasconicarum.</v>
      </c>
      <c r="J870" t="str">
        <f>_xlfn.XLOOKUP(frasest[[#This Row],[autor_es]],autorest[autor_es],autorest[codigo])</f>
        <v>eu</v>
      </c>
      <c r="K870" t="str">
        <f>_xlfn.XLOOKUP(frasest[[#This Row],[autor_es]],autorest[autor_es],autorest[idioma_es])</f>
        <v>Euskara</v>
      </c>
      <c r="L870" t="str">
        <f>_xlfn.XLOOKUP(frasest[[#This Row],[autor_es]],autorest[autor_es],autorest[idioma_la])</f>
        <v>Lingua Vasconica</v>
      </c>
      <c r="M870" t="str">
        <f>_xlfn.XLOOKUP(frasest[[#This Row],[autor_es]],autorest[autor_es],autorest[nacion_es])</f>
        <v>España</v>
      </c>
      <c r="N870" t="str">
        <f>_xlfn.XLOOKUP(frasest[[#This Row],[autor_es]],autorest[autor_es],autorest[nacion_la])</f>
        <v>Hispania</v>
      </c>
      <c r="O870" t="str">
        <f>_xlfn.XLOOKUP(frasest[[#This Row],[autor_es]],autorest[autor_es],autorest[epoca_es])</f>
        <v>Epoca Desconocida</v>
      </c>
      <c r="P870" t="str">
        <f>_xlfn.XLOOKUP(frasest[[#This Row],[autor_es]],autorest[autor_es],autorest[epoca_la])</f>
        <v>Epocha Ignota</v>
      </c>
      <c r="Q870" t="str">
        <f>_xlfn.XLOOKUP(frasest[[#This Row],[autor_es]],autorest[autor_es],autorest[imagen])</f>
        <v>https://i.ibb.co/bjgxB3kn/euskadi.png</v>
      </c>
      <c r="R870">
        <f>_xlfn.XLOOKUP(frasest[[#This Row],[autor_es]],autorest[autor_es],autorest[imagen_atr])</f>
        <v>0</v>
      </c>
    </row>
    <row r="871" spans="1:18">
      <c r="A871">
        <v>870</v>
      </c>
      <c r="B871" t="s">
        <v>2884</v>
      </c>
      <c r="C871" t="s">
        <v>2885</v>
      </c>
      <c r="D871" t="s">
        <v>2886</v>
      </c>
      <c r="E871" t="s">
        <v>1236</v>
      </c>
      <c r="G871" t="str">
        <f>_xlfn.XLOOKUP(frasest[[#This Row],[autor_es]],autorest[autor_es],autorest[autor_la])</f>
        <v>Sententia Vasconica</v>
      </c>
      <c r="H871" t="str">
        <f>_xlfn.XLOOKUP(frasest[[#This Row],[autor_es]],autorest[autor_es],autorest[bio_es])</f>
        <v>Proverbios de la tradición oral vasca que reflejan la relación con la naturaleza, el trabajo y los valores comunitarios del pueblo vasco.</v>
      </c>
      <c r="I871" t="str">
        <f>_xlfn.XLOOKUP(frasest[[#This Row],[autor_es]],autorest[autor_es],autorest[bio_la])</f>
        <v>Collectio sententiarum Vasconicarum.</v>
      </c>
      <c r="J871" t="str">
        <f>_xlfn.XLOOKUP(frasest[[#This Row],[autor_es]],autorest[autor_es],autorest[codigo])</f>
        <v>eu</v>
      </c>
      <c r="K871" t="str">
        <f>_xlfn.XLOOKUP(frasest[[#This Row],[autor_es]],autorest[autor_es],autorest[idioma_es])</f>
        <v>Euskara</v>
      </c>
      <c r="L871" t="str">
        <f>_xlfn.XLOOKUP(frasest[[#This Row],[autor_es]],autorest[autor_es],autorest[idioma_la])</f>
        <v>Lingua Vasconica</v>
      </c>
      <c r="M871" t="str">
        <f>_xlfn.XLOOKUP(frasest[[#This Row],[autor_es]],autorest[autor_es],autorest[nacion_es])</f>
        <v>España</v>
      </c>
      <c r="N871" t="str">
        <f>_xlfn.XLOOKUP(frasest[[#This Row],[autor_es]],autorest[autor_es],autorest[nacion_la])</f>
        <v>Hispania</v>
      </c>
      <c r="O871" t="str">
        <f>_xlfn.XLOOKUP(frasest[[#This Row],[autor_es]],autorest[autor_es],autorest[epoca_es])</f>
        <v>Epoca Desconocida</v>
      </c>
      <c r="P871" t="str">
        <f>_xlfn.XLOOKUP(frasest[[#This Row],[autor_es]],autorest[autor_es],autorest[epoca_la])</f>
        <v>Epocha Ignota</v>
      </c>
      <c r="Q871" t="str">
        <f>_xlfn.XLOOKUP(frasest[[#This Row],[autor_es]],autorest[autor_es],autorest[imagen])</f>
        <v>https://i.ibb.co/bjgxB3kn/euskadi.png</v>
      </c>
      <c r="R871">
        <f>_xlfn.XLOOKUP(frasest[[#This Row],[autor_es]],autorest[autor_es],autorest[imagen_atr])</f>
        <v>0</v>
      </c>
    </row>
    <row r="872" spans="1:18">
      <c r="A872">
        <v>871</v>
      </c>
      <c r="B872" t="s">
        <v>2887</v>
      </c>
      <c r="C872" t="s">
        <v>2888</v>
      </c>
      <c r="D872" t="s">
        <v>2889</v>
      </c>
      <c r="E872" t="s">
        <v>1236</v>
      </c>
      <c r="G872" t="str">
        <f>_xlfn.XLOOKUP(frasest[[#This Row],[autor_es]],autorest[autor_es],autorest[autor_la])</f>
        <v>Sententia Vasconica</v>
      </c>
      <c r="H872" t="str">
        <f>_xlfn.XLOOKUP(frasest[[#This Row],[autor_es]],autorest[autor_es],autorest[bio_es])</f>
        <v>Proverbios de la tradición oral vasca que reflejan la relación con la naturaleza, el trabajo y los valores comunitarios del pueblo vasco.</v>
      </c>
      <c r="I872" t="str">
        <f>_xlfn.XLOOKUP(frasest[[#This Row],[autor_es]],autorest[autor_es],autorest[bio_la])</f>
        <v>Collectio sententiarum Vasconicarum.</v>
      </c>
      <c r="J872" t="str">
        <f>_xlfn.XLOOKUP(frasest[[#This Row],[autor_es]],autorest[autor_es],autorest[codigo])</f>
        <v>eu</v>
      </c>
      <c r="K872" t="str">
        <f>_xlfn.XLOOKUP(frasest[[#This Row],[autor_es]],autorest[autor_es],autorest[idioma_es])</f>
        <v>Euskara</v>
      </c>
      <c r="L872" t="str">
        <f>_xlfn.XLOOKUP(frasest[[#This Row],[autor_es]],autorest[autor_es],autorest[idioma_la])</f>
        <v>Lingua Vasconica</v>
      </c>
      <c r="M872" t="str">
        <f>_xlfn.XLOOKUP(frasest[[#This Row],[autor_es]],autorest[autor_es],autorest[nacion_es])</f>
        <v>España</v>
      </c>
      <c r="N872" t="str">
        <f>_xlfn.XLOOKUP(frasest[[#This Row],[autor_es]],autorest[autor_es],autorest[nacion_la])</f>
        <v>Hispania</v>
      </c>
      <c r="O872" t="str">
        <f>_xlfn.XLOOKUP(frasest[[#This Row],[autor_es]],autorest[autor_es],autorest[epoca_es])</f>
        <v>Epoca Desconocida</v>
      </c>
      <c r="P872" t="str">
        <f>_xlfn.XLOOKUP(frasest[[#This Row],[autor_es]],autorest[autor_es],autorest[epoca_la])</f>
        <v>Epocha Ignota</v>
      </c>
      <c r="Q872" t="str">
        <f>_xlfn.XLOOKUP(frasest[[#This Row],[autor_es]],autorest[autor_es],autorest[imagen])</f>
        <v>https://i.ibb.co/bjgxB3kn/euskadi.png</v>
      </c>
      <c r="R872">
        <f>_xlfn.XLOOKUP(frasest[[#This Row],[autor_es]],autorest[autor_es],autorest[imagen_atr])</f>
        <v>0</v>
      </c>
    </row>
    <row r="873" spans="1:18">
      <c r="A873">
        <v>872</v>
      </c>
      <c r="B873" t="s">
        <v>2890</v>
      </c>
      <c r="C873" t="s">
        <v>2891</v>
      </c>
      <c r="D873" t="s">
        <v>2892</v>
      </c>
      <c r="E873" t="s">
        <v>1236</v>
      </c>
      <c r="G873" t="str">
        <f>_xlfn.XLOOKUP(frasest[[#This Row],[autor_es]],autorest[autor_es],autorest[autor_la])</f>
        <v>Sententia Vasconica</v>
      </c>
      <c r="H873" t="str">
        <f>_xlfn.XLOOKUP(frasest[[#This Row],[autor_es]],autorest[autor_es],autorest[bio_es])</f>
        <v>Proverbios de la tradición oral vasca que reflejan la relación con la naturaleza, el trabajo y los valores comunitarios del pueblo vasco.</v>
      </c>
      <c r="I873" t="str">
        <f>_xlfn.XLOOKUP(frasest[[#This Row],[autor_es]],autorest[autor_es],autorest[bio_la])</f>
        <v>Collectio sententiarum Vasconicarum.</v>
      </c>
      <c r="J873" t="str">
        <f>_xlfn.XLOOKUP(frasest[[#This Row],[autor_es]],autorest[autor_es],autorest[codigo])</f>
        <v>eu</v>
      </c>
      <c r="K873" t="str">
        <f>_xlfn.XLOOKUP(frasest[[#This Row],[autor_es]],autorest[autor_es],autorest[idioma_es])</f>
        <v>Euskara</v>
      </c>
      <c r="L873" t="str">
        <f>_xlfn.XLOOKUP(frasest[[#This Row],[autor_es]],autorest[autor_es],autorest[idioma_la])</f>
        <v>Lingua Vasconica</v>
      </c>
      <c r="M873" t="str">
        <f>_xlfn.XLOOKUP(frasest[[#This Row],[autor_es]],autorest[autor_es],autorest[nacion_es])</f>
        <v>España</v>
      </c>
      <c r="N873" t="str">
        <f>_xlfn.XLOOKUP(frasest[[#This Row],[autor_es]],autorest[autor_es],autorest[nacion_la])</f>
        <v>Hispania</v>
      </c>
      <c r="O873" t="str">
        <f>_xlfn.XLOOKUP(frasest[[#This Row],[autor_es]],autorest[autor_es],autorest[epoca_es])</f>
        <v>Epoca Desconocida</v>
      </c>
      <c r="P873" t="str">
        <f>_xlfn.XLOOKUP(frasest[[#This Row],[autor_es]],autorest[autor_es],autorest[epoca_la])</f>
        <v>Epocha Ignota</v>
      </c>
      <c r="Q873" t="str">
        <f>_xlfn.XLOOKUP(frasest[[#This Row],[autor_es]],autorest[autor_es],autorest[imagen])</f>
        <v>https://i.ibb.co/bjgxB3kn/euskadi.png</v>
      </c>
      <c r="R873">
        <f>_xlfn.XLOOKUP(frasest[[#This Row],[autor_es]],autorest[autor_es],autorest[imagen_atr])</f>
        <v>0</v>
      </c>
    </row>
    <row r="874" spans="1:18">
      <c r="A874">
        <v>873</v>
      </c>
      <c r="B874" t="s">
        <v>2893</v>
      </c>
      <c r="C874" t="s">
        <v>2894</v>
      </c>
      <c r="D874" t="s">
        <v>2895</v>
      </c>
      <c r="E874" t="s">
        <v>1236</v>
      </c>
      <c r="G874" t="str">
        <f>_xlfn.XLOOKUP(frasest[[#This Row],[autor_es]],autorest[autor_es],autorest[autor_la])</f>
        <v>Sententia Vasconica</v>
      </c>
      <c r="H874" t="str">
        <f>_xlfn.XLOOKUP(frasest[[#This Row],[autor_es]],autorest[autor_es],autorest[bio_es])</f>
        <v>Proverbios de la tradición oral vasca que reflejan la relación con la naturaleza, el trabajo y los valores comunitarios del pueblo vasco.</v>
      </c>
      <c r="I874" t="str">
        <f>_xlfn.XLOOKUP(frasest[[#This Row],[autor_es]],autorest[autor_es],autorest[bio_la])</f>
        <v>Collectio sententiarum Vasconicarum.</v>
      </c>
      <c r="J874" t="str">
        <f>_xlfn.XLOOKUP(frasest[[#This Row],[autor_es]],autorest[autor_es],autorest[codigo])</f>
        <v>eu</v>
      </c>
      <c r="K874" t="str">
        <f>_xlfn.XLOOKUP(frasest[[#This Row],[autor_es]],autorest[autor_es],autorest[idioma_es])</f>
        <v>Euskara</v>
      </c>
      <c r="L874" t="str">
        <f>_xlfn.XLOOKUP(frasest[[#This Row],[autor_es]],autorest[autor_es],autorest[idioma_la])</f>
        <v>Lingua Vasconica</v>
      </c>
      <c r="M874" t="str">
        <f>_xlfn.XLOOKUP(frasest[[#This Row],[autor_es]],autorest[autor_es],autorest[nacion_es])</f>
        <v>España</v>
      </c>
      <c r="N874" t="str">
        <f>_xlfn.XLOOKUP(frasest[[#This Row],[autor_es]],autorest[autor_es],autorest[nacion_la])</f>
        <v>Hispania</v>
      </c>
      <c r="O874" t="str">
        <f>_xlfn.XLOOKUP(frasest[[#This Row],[autor_es]],autorest[autor_es],autorest[epoca_es])</f>
        <v>Epoca Desconocida</v>
      </c>
      <c r="P874" t="str">
        <f>_xlfn.XLOOKUP(frasest[[#This Row],[autor_es]],autorest[autor_es],autorest[epoca_la])</f>
        <v>Epocha Ignota</v>
      </c>
      <c r="Q874" t="str">
        <f>_xlfn.XLOOKUP(frasest[[#This Row],[autor_es]],autorest[autor_es],autorest[imagen])</f>
        <v>https://i.ibb.co/bjgxB3kn/euskadi.png</v>
      </c>
      <c r="R874">
        <f>_xlfn.XLOOKUP(frasest[[#This Row],[autor_es]],autorest[autor_es],autorest[imagen_atr])</f>
        <v>0</v>
      </c>
    </row>
    <row r="875" spans="1:18">
      <c r="A875">
        <v>874</v>
      </c>
      <c r="B875" t="s">
        <v>2896</v>
      </c>
      <c r="C875" t="s">
        <v>2897</v>
      </c>
      <c r="D875" t="s">
        <v>2898</v>
      </c>
      <c r="E875" t="s">
        <v>1236</v>
      </c>
      <c r="G875" t="str">
        <f>_xlfn.XLOOKUP(frasest[[#This Row],[autor_es]],autorest[autor_es],autorest[autor_la])</f>
        <v>Sententia Vasconica</v>
      </c>
      <c r="H875" t="str">
        <f>_xlfn.XLOOKUP(frasest[[#This Row],[autor_es]],autorest[autor_es],autorest[bio_es])</f>
        <v>Proverbios de la tradición oral vasca que reflejan la relación con la naturaleza, el trabajo y los valores comunitarios del pueblo vasco.</v>
      </c>
      <c r="I875" t="str">
        <f>_xlfn.XLOOKUP(frasest[[#This Row],[autor_es]],autorest[autor_es],autorest[bio_la])</f>
        <v>Collectio sententiarum Vasconicarum.</v>
      </c>
      <c r="J875" t="str">
        <f>_xlfn.XLOOKUP(frasest[[#This Row],[autor_es]],autorest[autor_es],autorest[codigo])</f>
        <v>eu</v>
      </c>
      <c r="K875" t="str">
        <f>_xlfn.XLOOKUP(frasest[[#This Row],[autor_es]],autorest[autor_es],autorest[idioma_es])</f>
        <v>Euskara</v>
      </c>
      <c r="L875" t="str">
        <f>_xlfn.XLOOKUP(frasest[[#This Row],[autor_es]],autorest[autor_es],autorest[idioma_la])</f>
        <v>Lingua Vasconica</v>
      </c>
      <c r="M875" t="str">
        <f>_xlfn.XLOOKUP(frasest[[#This Row],[autor_es]],autorest[autor_es],autorest[nacion_es])</f>
        <v>España</v>
      </c>
      <c r="N875" t="str">
        <f>_xlfn.XLOOKUP(frasest[[#This Row],[autor_es]],autorest[autor_es],autorest[nacion_la])</f>
        <v>Hispania</v>
      </c>
      <c r="O875" t="str">
        <f>_xlfn.XLOOKUP(frasest[[#This Row],[autor_es]],autorest[autor_es],autorest[epoca_es])</f>
        <v>Epoca Desconocida</v>
      </c>
      <c r="P875" t="str">
        <f>_xlfn.XLOOKUP(frasest[[#This Row],[autor_es]],autorest[autor_es],autorest[epoca_la])</f>
        <v>Epocha Ignota</v>
      </c>
      <c r="Q875" t="str">
        <f>_xlfn.XLOOKUP(frasest[[#This Row],[autor_es]],autorest[autor_es],autorest[imagen])</f>
        <v>https://i.ibb.co/bjgxB3kn/euskadi.png</v>
      </c>
      <c r="R875">
        <f>_xlfn.XLOOKUP(frasest[[#This Row],[autor_es]],autorest[autor_es],autorest[imagen_atr])</f>
        <v>0</v>
      </c>
    </row>
    <row r="876" spans="1:18">
      <c r="A876">
        <v>875</v>
      </c>
      <c r="B876" t="s">
        <v>2899</v>
      </c>
      <c r="C876" t="s">
        <v>2900</v>
      </c>
      <c r="D876" t="s">
        <v>2901</v>
      </c>
      <c r="E876" t="s">
        <v>1236</v>
      </c>
      <c r="G876" t="str">
        <f>_xlfn.XLOOKUP(frasest[[#This Row],[autor_es]],autorest[autor_es],autorest[autor_la])</f>
        <v>Sententia Vasconica</v>
      </c>
      <c r="H876" t="str">
        <f>_xlfn.XLOOKUP(frasest[[#This Row],[autor_es]],autorest[autor_es],autorest[bio_es])</f>
        <v>Proverbios de la tradición oral vasca que reflejan la relación con la naturaleza, el trabajo y los valores comunitarios del pueblo vasco.</v>
      </c>
      <c r="I876" t="str">
        <f>_xlfn.XLOOKUP(frasest[[#This Row],[autor_es]],autorest[autor_es],autorest[bio_la])</f>
        <v>Collectio sententiarum Vasconicarum.</v>
      </c>
      <c r="J876" t="str">
        <f>_xlfn.XLOOKUP(frasest[[#This Row],[autor_es]],autorest[autor_es],autorest[codigo])</f>
        <v>eu</v>
      </c>
      <c r="K876" t="str">
        <f>_xlfn.XLOOKUP(frasest[[#This Row],[autor_es]],autorest[autor_es],autorest[idioma_es])</f>
        <v>Euskara</v>
      </c>
      <c r="L876" t="str">
        <f>_xlfn.XLOOKUP(frasest[[#This Row],[autor_es]],autorest[autor_es],autorest[idioma_la])</f>
        <v>Lingua Vasconica</v>
      </c>
      <c r="M876" t="str">
        <f>_xlfn.XLOOKUP(frasest[[#This Row],[autor_es]],autorest[autor_es],autorest[nacion_es])</f>
        <v>España</v>
      </c>
      <c r="N876" t="str">
        <f>_xlfn.XLOOKUP(frasest[[#This Row],[autor_es]],autorest[autor_es],autorest[nacion_la])</f>
        <v>Hispania</v>
      </c>
      <c r="O876" t="str">
        <f>_xlfn.XLOOKUP(frasest[[#This Row],[autor_es]],autorest[autor_es],autorest[epoca_es])</f>
        <v>Epoca Desconocida</v>
      </c>
      <c r="P876" t="str">
        <f>_xlfn.XLOOKUP(frasest[[#This Row],[autor_es]],autorest[autor_es],autorest[epoca_la])</f>
        <v>Epocha Ignota</v>
      </c>
      <c r="Q876" t="str">
        <f>_xlfn.XLOOKUP(frasest[[#This Row],[autor_es]],autorest[autor_es],autorest[imagen])</f>
        <v>https://i.ibb.co/bjgxB3kn/euskadi.png</v>
      </c>
      <c r="R876">
        <f>_xlfn.XLOOKUP(frasest[[#This Row],[autor_es]],autorest[autor_es],autorest[imagen_atr])</f>
        <v>0</v>
      </c>
    </row>
    <row r="877" spans="1:18">
      <c r="A877">
        <v>876</v>
      </c>
      <c r="B877" t="s">
        <v>2902</v>
      </c>
      <c r="C877" t="s">
        <v>2903</v>
      </c>
      <c r="D877" t="s">
        <v>2904</v>
      </c>
      <c r="E877" t="s">
        <v>1236</v>
      </c>
      <c r="G877" t="str">
        <f>_xlfn.XLOOKUP(frasest[[#This Row],[autor_es]],autorest[autor_es],autorest[autor_la])</f>
        <v>Sententia Vasconica</v>
      </c>
      <c r="H877" t="str">
        <f>_xlfn.XLOOKUP(frasest[[#This Row],[autor_es]],autorest[autor_es],autorest[bio_es])</f>
        <v>Proverbios de la tradición oral vasca que reflejan la relación con la naturaleza, el trabajo y los valores comunitarios del pueblo vasco.</v>
      </c>
      <c r="I877" t="str">
        <f>_xlfn.XLOOKUP(frasest[[#This Row],[autor_es]],autorest[autor_es],autorest[bio_la])</f>
        <v>Collectio sententiarum Vasconicarum.</v>
      </c>
      <c r="J877" t="str">
        <f>_xlfn.XLOOKUP(frasest[[#This Row],[autor_es]],autorest[autor_es],autorest[codigo])</f>
        <v>eu</v>
      </c>
      <c r="K877" t="str">
        <f>_xlfn.XLOOKUP(frasest[[#This Row],[autor_es]],autorest[autor_es],autorest[idioma_es])</f>
        <v>Euskara</v>
      </c>
      <c r="L877" t="str">
        <f>_xlfn.XLOOKUP(frasest[[#This Row],[autor_es]],autorest[autor_es],autorest[idioma_la])</f>
        <v>Lingua Vasconica</v>
      </c>
      <c r="M877" t="str">
        <f>_xlfn.XLOOKUP(frasest[[#This Row],[autor_es]],autorest[autor_es],autorest[nacion_es])</f>
        <v>España</v>
      </c>
      <c r="N877" t="str">
        <f>_xlfn.XLOOKUP(frasest[[#This Row],[autor_es]],autorest[autor_es],autorest[nacion_la])</f>
        <v>Hispania</v>
      </c>
      <c r="O877" t="str">
        <f>_xlfn.XLOOKUP(frasest[[#This Row],[autor_es]],autorest[autor_es],autorest[epoca_es])</f>
        <v>Epoca Desconocida</v>
      </c>
      <c r="P877" t="str">
        <f>_xlfn.XLOOKUP(frasest[[#This Row],[autor_es]],autorest[autor_es],autorest[epoca_la])</f>
        <v>Epocha Ignota</v>
      </c>
      <c r="Q877" t="str">
        <f>_xlfn.XLOOKUP(frasest[[#This Row],[autor_es]],autorest[autor_es],autorest[imagen])</f>
        <v>https://i.ibb.co/bjgxB3kn/euskadi.png</v>
      </c>
      <c r="R877">
        <f>_xlfn.XLOOKUP(frasest[[#This Row],[autor_es]],autorest[autor_es],autorest[imagen_atr])</f>
        <v>0</v>
      </c>
    </row>
    <row r="878" spans="1:18">
      <c r="A878">
        <v>877</v>
      </c>
      <c r="B878" t="s">
        <v>2905</v>
      </c>
      <c r="C878" t="s">
        <v>2906</v>
      </c>
      <c r="D878" t="s">
        <v>2907</v>
      </c>
      <c r="E878" t="s">
        <v>1236</v>
      </c>
      <c r="G878" t="str">
        <f>_xlfn.XLOOKUP(frasest[[#This Row],[autor_es]],autorest[autor_es],autorest[autor_la])</f>
        <v>Sententia Vasconica</v>
      </c>
      <c r="H878" t="str">
        <f>_xlfn.XLOOKUP(frasest[[#This Row],[autor_es]],autorest[autor_es],autorest[bio_es])</f>
        <v>Proverbios de la tradición oral vasca que reflejan la relación con la naturaleza, el trabajo y los valores comunitarios del pueblo vasco.</v>
      </c>
      <c r="I878" t="str">
        <f>_xlfn.XLOOKUP(frasest[[#This Row],[autor_es]],autorest[autor_es],autorest[bio_la])</f>
        <v>Collectio sententiarum Vasconicarum.</v>
      </c>
      <c r="J878" t="str">
        <f>_xlfn.XLOOKUP(frasest[[#This Row],[autor_es]],autorest[autor_es],autorest[codigo])</f>
        <v>eu</v>
      </c>
      <c r="K878" t="str">
        <f>_xlfn.XLOOKUP(frasest[[#This Row],[autor_es]],autorest[autor_es],autorest[idioma_es])</f>
        <v>Euskara</v>
      </c>
      <c r="L878" t="str">
        <f>_xlfn.XLOOKUP(frasest[[#This Row],[autor_es]],autorest[autor_es],autorest[idioma_la])</f>
        <v>Lingua Vasconica</v>
      </c>
      <c r="M878" t="str">
        <f>_xlfn.XLOOKUP(frasest[[#This Row],[autor_es]],autorest[autor_es],autorest[nacion_es])</f>
        <v>España</v>
      </c>
      <c r="N878" t="str">
        <f>_xlfn.XLOOKUP(frasest[[#This Row],[autor_es]],autorest[autor_es],autorest[nacion_la])</f>
        <v>Hispania</v>
      </c>
      <c r="O878" t="str">
        <f>_xlfn.XLOOKUP(frasest[[#This Row],[autor_es]],autorest[autor_es],autorest[epoca_es])</f>
        <v>Epoca Desconocida</v>
      </c>
      <c r="P878" t="str">
        <f>_xlfn.XLOOKUP(frasest[[#This Row],[autor_es]],autorest[autor_es],autorest[epoca_la])</f>
        <v>Epocha Ignota</v>
      </c>
      <c r="Q878" t="str">
        <f>_xlfn.XLOOKUP(frasest[[#This Row],[autor_es]],autorest[autor_es],autorest[imagen])</f>
        <v>https://i.ibb.co/bjgxB3kn/euskadi.png</v>
      </c>
      <c r="R878">
        <f>_xlfn.XLOOKUP(frasest[[#This Row],[autor_es]],autorest[autor_es],autorest[imagen_atr])</f>
        <v>0</v>
      </c>
    </row>
    <row r="879" spans="1:18">
      <c r="A879">
        <v>878</v>
      </c>
      <c r="B879" t="s">
        <v>2908</v>
      </c>
      <c r="C879" t="s">
        <v>2909</v>
      </c>
      <c r="D879" t="s">
        <v>2910</v>
      </c>
      <c r="E879" t="s">
        <v>1236</v>
      </c>
      <c r="G879" t="str">
        <f>_xlfn.XLOOKUP(frasest[[#This Row],[autor_es]],autorest[autor_es],autorest[autor_la])</f>
        <v>Sententia Vasconica</v>
      </c>
      <c r="H879" t="str">
        <f>_xlfn.XLOOKUP(frasest[[#This Row],[autor_es]],autorest[autor_es],autorest[bio_es])</f>
        <v>Proverbios de la tradición oral vasca que reflejan la relación con la naturaleza, el trabajo y los valores comunitarios del pueblo vasco.</v>
      </c>
      <c r="I879" t="str">
        <f>_xlfn.XLOOKUP(frasest[[#This Row],[autor_es]],autorest[autor_es],autorest[bio_la])</f>
        <v>Collectio sententiarum Vasconicarum.</v>
      </c>
      <c r="J879" t="str">
        <f>_xlfn.XLOOKUP(frasest[[#This Row],[autor_es]],autorest[autor_es],autorest[codigo])</f>
        <v>eu</v>
      </c>
      <c r="K879" t="str">
        <f>_xlfn.XLOOKUP(frasest[[#This Row],[autor_es]],autorest[autor_es],autorest[idioma_es])</f>
        <v>Euskara</v>
      </c>
      <c r="L879" t="str">
        <f>_xlfn.XLOOKUP(frasest[[#This Row],[autor_es]],autorest[autor_es],autorest[idioma_la])</f>
        <v>Lingua Vasconica</v>
      </c>
      <c r="M879" t="str">
        <f>_xlfn.XLOOKUP(frasest[[#This Row],[autor_es]],autorest[autor_es],autorest[nacion_es])</f>
        <v>España</v>
      </c>
      <c r="N879" t="str">
        <f>_xlfn.XLOOKUP(frasest[[#This Row],[autor_es]],autorest[autor_es],autorest[nacion_la])</f>
        <v>Hispania</v>
      </c>
      <c r="O879" t="str">
        <f>_xlfn.XLOOKUP(frasest[[#This Row],[autor_es]],autorest[autor_es],autorest[epoca_es])</f>
        <v>Epoca Desconocida</v>
      </c>
      <c r="P879" t="str">
        <f>_xlfn.XLOOKUP(frasest[[#This Row],[autor_es]],autorest[autor_es],autorest[epoca_la])</f>
        <v>Epocha Ignota</v>
      </c>
      <c r="Q879" t="str">
        <f>_xlfn.XLOOKUP(frasest[[#This Row],[autor_es]],autorest[autor_es],autorest[imagen])</f>
        <v>https://i.ibb.co/bjgxB3kn/euskadi.png</v>
      </c>
      <c r="R879">
        <f>_xlfn.XLOOKUP(frasest[[#This Row],[autor_es]],autorest[autor_es],autorest[imagen_atr])</f>
        <v>0</v>
      </c>
    </row>
    <row r="880" spans="1:18">
      <c r="A880">
        <v>879</v>
      </c>
      <c r="B880" t="s">
        <v>2911</v>
      </c>
      <c r="C880" t="s">
        <v>2912</v>
      </c>
      <c r="D880" t="s">
        <v>2913</v>
      </c>
      <c r="E880" t="s">
        <v>1236</v>
      </c>
      <c r="G880" t="str">
        <f>_xlfn.XLOOKUP(frasest[[#This Row],[autor_es]],autorest[autor_es],autorest[autor_la])</f>
        <v>Sententia Vasconica</v>
      </c>
      <c r="H880" t="str">
        <f>_xlfn.XLOOKUP(frasest[[#This Row],[autor_es]],autorest[autor_es],autorest[bio_es])</f>
        <v>Proverbios de la tradición oral vasca que reflejan la relación con la naturaleza, el trabajo y los valores comunitarios del pueblo vasco.</v>
      </c>
      <c r="I880" t="str">
        <f>_xlfn.XLOOKUP(frasest[[#This Row],[autor_es]],autorest[autor_es],autorest[bio_la])</f>
        <v>Collectio sententiarum Vasconicarum.</v>
      </c>
      <c r="J880" t="str">
        <f>_xlfn.XLOOKUP(frasest[[#This Row],[autor_es]],autorest[autor_es],autorest[codigo])</f>
        <v>eu</v>
      </c>
      <c r="K880" t="str">
        <f>_xlfn.XLOOKUP(frasest[[#This Row],[autor_es]],autorest[autor_es],autorest[idioma_es])</f>
        <v>Euskara</v>
      </c>
      <c r="L880" t="str">
        <f>_xlfn.XLOOKUP(frasest[[#This Row],[autor_es]],autorest[autor_es],autorest[idioma_la])</f>
        <v>Lingua Vasconica</v>
      </c>
      <c r="M880" t="str">
        <f>_xlfn.XLOOKUP(frasest[[#This Row],[autor_es]],autorest[autor_es],autorest[nacion_es])</f>
        <v>España</v>
      </c>
      <c r="N880" t="str">
        <f>_xlfn.XLOOKUP(frasest[[#This Row],[autor_es]],autorest[autor_es],autorest[nacion_la])</f>
        <v>Hispania</v>
      </c>
      <c r="O880" t="str">
        <f>_xlfn.XLOOKUP(frasest[[#This Row],[autor_es]],autorest[autor_es],autorest[epoca_es])</f>
        <v>Epoca Desconocida</v>
      </c>
      <c r="P880" t="str">
        <f>_xlfn.XLOOKUP(frasest[[#This Row],[autor_es]],autorest[autor_es],autorest[epoca_la])</f>
        <v>Epocha Ignota</v>
      </c>
      <c r="Q880" t="str">
        <f>_xlfn.XLOOKUP(frasest[[#This Row],[autor_es]],autorest[autor_es],autorest[imagen])</f>
        <v>https://i.ibb.co/bjgxB3kn/euskadi.png</v>
      </c>
      <c r="R880">
        <f>_xlfn.XLOOKUP(frasest[[#This Row],[autor_es]],autorest[autor_es],autorest[imagen_atr])</f>
        <v>0</v>
      </c>
    </row>
    <row r="881" spans="1:18">
      <c r="A881">
        <v>880</v>
      </c>
      <c r="B881" t="s">
        <v>2914</v>
      </c>
      <c r="C881" t="s">
        <v>2915</v>
      </c>
      <c r="D881" t="s">
        <v>2916</v>
      </c>
      <c r="E881" t="s">
        <v>1236</v>
      </c>
      <c r="G881" t="str">
        <f>_xlfn.XLOOKUP(frasest[[#This Row],[autor_es]],autorest[autor_es],autorest[autor_la])</f>
        <v>Sententia Vasconica</v>
      </c>
      <c r="H881" t="str">
        <f>_xlfn.XLOOKUP(frasest[[#This Row],[autor_es]],autorest[autor_es],autorest[bio_es])</f>
        <v>Proverbios de la tradición oral vasca que reflejan la relación con la naturaleza, el trabajo y los valores comunitarios del pueblo vasco.</v>
      </c>
      <c r="I881" t="str">
        <f>_xlfn.XLOOKUP(frasest[[#This Row],[autor_es]],autorest[autor_es],autorest[bio_la])</f>
        <v>Collectio sententiarum Vasconicarum.</v>
      </c>
      <c r="J881" t="str">
        <f>_xlfn.XLOOKUP(frasest[[#This Row],[autor_es]],autorest[autor_es],autorest[codigo])</f>
        <v>eu</v>
      </c>
      <c r="K881" t="str">
        <f>_xlfn.XLOOKUP(frasest[[#This Row],[autor_es]],autorest[autor_es],autorest[idioma_es])</f>
        <v>Euskara</v>
      </c>
      <c r="L881" t="str">
        <f>_xlfn.XLOOKUP(frasest[[#This Row],[autor_es]],autorest[autor_es],autorest[idioma_la])</f>
        <v>Lingua Vasconica</v>
      </c>
      <c r="M881" t="str">
        <f>_xlfn.XLOOKUP(frasest[[#This Row],[autor_es]],autorest[autor_es],autorest[nacion_es])</f>
        <v>España</v>
      </c>
      <c r="N881" t="str">
        <f>_xlfn.XLOOKUP(frasest[[#This Row],[autor_es]],autorest[autor_es],autorest[nacion_la])</f>
        <v>Hispania</v>
      </c>
      <c r="O881" t="str">
        <f>_xlfn.XLOOKUP(frasest[[#This Row],[autor_es]],autorest[autor_es],autorest[epoca_es])</f>
        <v>Epoca Desconocida</v>
      </c>
      <c r="P881" t="str">
        <f>_xlfn.XLOOKUP(frasest[[#This Row],[autor_es]],autorest[autor_es],autorest[epoca_la])</f>
        <v>Epocha Ignota</v>
      </c>
      <c r="Q881" t="str">
        <f>_xlfn.XLOOKUP(frasest[[#This Row],[autor_es]],autorest[autor_es],autorest[imagen])</f>
        <v>https://i.ibb.co/bjgxB3kn/euskadi.png</v>
      </c>
      <c r="R881">
        <f>_xlfn.XLOOKUP(frasest[[#This Row],[autor_es]],autorest[autor_es],autorest[imagen_atr])</f>
        <v>0</v>
      </c>
    </row>
    <row r="882" spans="1:18">
      <c r="A882">
        <v>881</v>
      </c>
      <c r="B882" t="s">
        <v>2917</v>
      </c>
      <c r="C882" t="s">
        <v>2918</v>
      </c>
      <c r="D882" t="s">
        <v>2919</v>
      </c>
      <c r="E882" t="s">
        <v>1236</v>
      </c>
      <c r="G882" t="str">
        <f>_xlfn.XLOOKUP(frasest[[#This Row],[autor_es]],autorest[autor_es],autorest[autor_la])</f>
        <v>Sententia Vasconica</v>
      </c>
      <c r="H882" t="str">
        <f>_xlfn.XLOOKUP(frasest[[#This Row],[autor_es]],autorest[autor_es],autorest[bio_es])</f>
        <v>Proverbios de la tradición oral vasca que reflejan la relación con la naturaleza, el trabajo y los valores comunitarios del pueblo vasco.</v>
      </c>
      <c r="I882" t="str">
        <f>_xlfn.XLOOKUP(frasest[[#This Row],[autor_es]],autorest[autor_es],autorest[bio_la])</f>
        <v>Collectio sententiarum Vasconicarum.</v>
      </c>
      <c r="J882" t="str">
        <f>_xlfn.XLOOKUP(frasest[[#This Row],[autor_es]],autorest[autor_es],autorest[codigo])</f>
        <v>eu</v>
      </c>
      <c r="K882" t="str">
        <f>_xlfn.XLOOKUP(frasest[[#This Row],[autor_es]],autorest[autor_es],autorest[idioma_es])</f>
        <v>Euskara</v>
      </c>
      <c r="L882" t="str">
        <f>_xlfn.XLOOKUP(frasest[[#This Row],[autor_es]],autorest[autor_es],autorest[idioma_la])</f>
        <v>Lingua Vasconica</v>
      </c>
      <c r="M882" t="str">
        <f>_xlfn.XLOOKUP(frasest[[#This Row],[autor_es]],autorest[autor_es],autorest[nacion_es])</f>
        <v>España</v>
      </c>
      <c r="N882" t="str">
        <f>_xlfn.XLOOKUP(frasest[[#This Row],[autor_es]],autorest[autor_es],autorest[nacion_la])</f>
        <v>Hispania</v>
      </c>
      <c r="O882" t="str">
        <f>_xlfn.XLOOKUP(frasest[[#This Row],[autor_es]],autorest[autor_es],autorest[epoca_es])</f>
        <v>Epoca Desconocida</v>
      </c>
      <c r="P882" t="str">
        <f>_xlfn.XLOOKUP(frasest[[#This Row],[autor_es]],autorest[autor_es],autorest[epoca_la])</f>
        <v>Epocha Ignota</v>
      </c>
      <c r="Q882" t="str">
        <f>_xlfn.XLOOKUP(frasest[[#This Row],[autor_es]],autorest[autor_es],autorest[imagen])</f>
        <v>https://i.ibb.co/bjgxB3kn/euskadi.png</v>
      </c>
      <c r="R882">
        <f>_xlfn.XLOOKUP(frasest[[#This Row],[autor_es]],autorest[autor_es],autorest[imagen_atr])</f>
        <v>0</v>
      </c>
    </row>
    <row r="883" spans="1:18">
      <c r="A883">
        <v>882</v>
      </c>
      <c r="B883" t="s">
        <v>2920</v>
      </c>
      <c r="C883" t="s">
        <v>2921</v>
      </c>
      <c r="D883" t="s">
        <v>2922</v>
      </c>
      <c r="E883" t="s">
        <v>1236</v>
      </c>
      <c r="G883" t="str">
        <f>_xlfn.XLOOKUP(frasest[[#This Row],[autor_es]],autorest[autor_es],autorest[autor_la])</f>
        <v>Sententia Vasconica</v>
      </c>
      <c r="H883" t="str">
        <f>_xlfn.XLOOKUP(frasest[[#This Row],[autor_es]],autorest[autor_es],autorest[bio_es])</f>
        <v>Proverbios de la tradición oral vasca que reflejan la relación con la naturaleza, el trabajo y los valores comunitarios del pueblo vasco.</v>
      </c>
      <c r="I883" t="str">
        <f>_xlfn.XLOOKUP(frasest[[#This Row],[autor_es]],autorest[autor_es],autorest[bio_la])</f>
        <v>Collectio sententiarum Vasconicarum.</v>
      </c>
      <c r="J883" t="str">
        <f>_xlfn.XLOOKUP(frasest[[#This Row],[autor_es]],autorest[autor_es],autorest[codigo])</f>
        <v>eu</v>
      </c>
      <c r="K883" t="str">
        <f>_xlfn.XLOOKUP(frasest[[#This Row],[autor_es]],autorest[autor_es],autorest[idioma_es])</f>
        <v>Euskara</v>
      </c>
      <c r="L883" t="str">
        <f>_xlfn.XLOOKUP(frasest[[#This Row],[autor_es]],autorest[autor_es],autorest[idioma_la])</f>
        <v>Lingua Vasconica</v>
      </c>
      <c r="M883" t="str">
        <f>_xlfn.XLOOKUP(frasest[[#This Row],[autor_es]],autorest[autor_es],autorest[nacion_es])</f>
        <v>España</v>
      </c>
      <c r="N883" t="str">
        <f>_xlfn.XLOOKUP(frasest[[#This Row],[autor_es]],autorest[autor_es],autorest[nacion_la])</f>
        <v>Hispania</v>
      </c>
      <c r="O883" t="str">
        <f>_xlfn.XLOOKUP(frasest[[#This Row],[autor_es]],autorest[autor_es],autorest[epoca_es])</f>
        <v>Epoca Desconocida</v>
      </c>
      <c r="P883" t="str">
        <f>_xlfn.XLOOKUP(frasest[[#This Row],[autor_es]],autorest[autor_es],autorest[epoca_la])</f>
        <v>Epocha Ignota</v>
      </c>
      <c r="Q883" t="str">
        <f>_xlfn.XLOOKUP(frasest[[#This Row],[autor_es]],autorest[autor_es],autorest[imagen])</f>
        <v>https://i.ibb.co/bjgxB3kn/euskadi.png</v>
      </c>
      <c r="R883">
        <f>_xlfn.XLOOKUP(frasest[[#This Row],[autor_es]],autorest[autor_es],autorest[imagen_atr])</f>
        <v>0</v>
      </c>
    </row>
    <row r="884" spans="1:18">
      <c r="A884">
        <v>883</v>
      </c>
      <c r="B884" t="s">
        <v>2923</v>
      </c>
      <c r="C884" t="s">
        <v>2924</v>
      </c>
      <c r="D884" t="s">
        <v>2925</v>
      </c>
      <c r="E884" t="s">
        <v>1236</v>
      </c>
      <c r="G884" t="str">
        <f>_xlfn.XLOOKUP(frasest[[#This Row],[autor_es]],autorest[autor_es],autorest[autor_la])</f>
        <v>Sententia Vasconica</v>
      </c>
      <c r="H884" t="str">
        <f>_xlfn.XLOOKUP(frasest[[#This Row],[autor_es]],autorest[autor_es],autorest[bio_es])</f>
        <v>Proverbios de la tradición oral vasca que reflejan la relación con la naturaleza, el trabajo y los valores comunitarios del pueblo vasco.</v>
      </c>
      <c r="I884" t="str">
        <f>_xlfn.XLOOKUP(frasest[[#This Row],[autor_es]],autorest[autor_es],autorest[bio_la])</f>
        <v>Collectio sententiarum Vasconicarum.</v>
      </c>
      <c r="J884" t="str">
        <f>_xlfn.XLOOKUP(frasest[[#This Row],[autor_es]],autorest[autor_es],autorest[codigo])</f>
        <v>eu</v>
      </c>
      <c r="K884" t="str">
        <f>_xlfn.XLOOKUP(frasest[[#This Row],[autor_es]],autorest[autor_es],autorest[idioma_es])</f>
        <v>Euskara</v>
      </c>
      <c r="L884" t="str">
        <f>_xlfn.XLOOKUP(frasest[[#This Row],[autor_es]],autorest[autor_es],autorest[idioma_la])</f>
        <v>Lingua Vasconica</v>
      </c>
      <c r="M884" t="str">
        <f>_xlfn.XLOOKUP(frasest[[#This Row],[autor_es]],autorest[autor_es],autorest[nacion_es])</f>
        <v>España</v>
      </c>
      <c r="N884" t="str">
        <f>_xlfn.XLOOKUP(frasest[[#This Row],[autor_es]],autorest[autor_es],autorest[nacion_la])</f>
        <v>Hispania</v>
      </c>
      <c r="O884" t="str">
        <f>_xlfn.XLOOKUP(frasest[[#This Row],[autor_es]],autorest[autor_es],autorest[epoca_es])</f>
        <v>Epoca Desconocida</v>
      </c>
      <c r="P884" t="str">
        <f>_xlfn.XLOOKUP(frasest[[#This Row],[autor_es]],autorest[autor_es],autorest[epoca_la])</f>
        <v>Epocha Ignota</v>
      </c>
      <c r="Q884" t="str">
        <f>_xlfn.XLOOKUP(frasest[[#This Row],[autor_es]],autorest[autor_es],autorest[imagen])</f>
        <v>https://i.ibb.co/bjgxB3kn/euskadi.png</v>
      </c>
      <c r="R884">
        <f>_xlfn.XLOOKUP(frasest[[#This Row],[autor_es]],autorest[autor_es],autorest[imagen_atr])</f>
        <v>0</v>
      </c>
    </row>
    <row r="885" spans="1:18">
      <c r="A885">
        <v>884</v>
      </c>
      <c r="B885" t="s">
        <v>2926</v>
      </c>
      <c r="C885" t="s">
        <v>2927</v>
      </c>
      <c r="D885" t="s">
        <v>2928</v>
      </c>
      <c r="E885" t="s">
        <v>1236</v>
      </c>
      <c r="G885" t="str">
        <f>_xlfn.XLOOKUP(frasest[[#This Row],[autor_es]],autorest[autor_es],autorest[autor_la])</f>
        <v>Sententia Vasconica</v>
      </c>
      <c r="H885" t="str">
        <f>_xlfn.XLOOKUP(frasest[[#This Row],[autor_es]],autorest[autor_es],autorest[bio_es])</f>
        <v>Proverbios de la tradición oral vasca que reflejan la relación con la naturaleza, el trabajo y los valores comunitarios del pueblo vasco.</v>
      </c>
      <c r="I885" t="str">
        <f>_xlfn.XLOOKUP(frasest[[#This Row],[autor_es]],autorest[autor_es],autorest[bio_la])</f>
        <v>Collectio sententiarum Vasconicarum.</v>
      </c>
      <c r="J885" t="str">
        <f>_xlfn.XLOOKUP(frasest[[#This Row],[autor_es]],autorest[autor_es],autorest[codigo])</f>
        <v>eu</v>
      </c>
      <c r="K885" t="str">
        <f>_xlfn.XLOOKUP(frasest[[#This Row],[autor_es]],autorest[autor_es],autorest[idioma_es])</f>
        <v>Euskara</v>
      </c>
      <c r="L885" t="str">
        <f>_xlfn.XLOOKUP(frasest[[#This Row],[autor_es]],autorest[autor_es],autorest[idioma_la])</f>
        <v>Lingua Vasconica</v>
      </c>
      <c r="M885" t="str">
        <f>_xlfn.XLOOKUP(frasest[[#This Row],[autor_es]],autorest[autor_es],autorest[nacion_es])</f>
        <v>España</v>
      </c>
      <c r="N885" t="str">
        <f>_xlfn.XLOOKUP(frasest[[#This Row],[autor_es]],autorest[autor_es],autorest[nacion_la])</f>
        <v>Hispania</v>
      </c>
      <c r="O885" t="str">
        <f>_xlfn.XLOOKUP(frasest[[#This Row],[autor_es]],autorest[autor_es],autorest[epoca_es])</f>
        <v>Epoca Desconocida</v>
      </c>
      <c r="P885" t="str">
        <f>_xlfn.XLOOKUP(frasest[[#This Row],[autor_es]],autorest[autor_es],autorest[epoca_la])</f>
        <v>Epocha Ignota</v>
      </c>
      <c r="Q885" t="str">
        <f>_xlfn.XLOOKUP(frasest[[#This Row],[autor_es]],autorest[autor_es],autorest[imagen])</f>
        <v>https://i.ibb.co/bjgxB3kn/euskadi.png</v>
      </c>
      <c r="R885">
        <f>_xlfn.XLOOKUP(frasest[[#This Row],[autor_es]],autorest[autor_es],autorest[imagen_atr])</f>
        <v>0</v>
      </c>
    </row>
    <row r="886" spans="1:18">
      <c r="A886">
        <v>885</v>
      </c>
      <c r="B886" t="s">
        <v>2929</v>
      </c>
      <c r="C886" t="s">
        <v>2930</v>
      </c>
      <c r="D886" t="s">
        <v>2931</v>
      </c>
      <c r="E886" t="s">
        <v>1236</v>
      </c>
      <c r="G886" t="str">
        <f>_xlfn.XLOOKUP(frasest[[#This Row],[autor_es]],autorest[autor_es],autorest[autor_la])</f>
        <v>Sententia Vasconica</v>
      </c>
      <c r="H886" t="str">
        <f>_xlfn.XLOOKUP(frasest[[#This Row],[autor_es]],autorest[autor_es],autorest[bio_es])</f>
        <v>Proverbios de la tradición oral vasca que reflejan la relación con la naturaleza, el trabajo y los valores comunitarios del pueblo vasco.</v>
      </c>
      <c r="I886" t="str">
        <f>_xlfn.XLOOKUP(frasest[[#This Row],[autor_es]],autorest[autor_es],autorest[bio_la])</f>
        <v>Collectio sententiarum Vasconicarum.</v>
      </c>
      <c r="J886" t="str">
        <f>_xlfn.XLOOKUP(frasest[[#This Row],[autor_es]],autorest[autor_es],autorest[codigo])</f>
        <v>eu</v>
      </c>
      <c r="K886" t="str">
        <f>_xlfn.XLOOKUP(frasest[[#This Row],[autor_es]],autorest[autor_es],autorest[idioma_es])</f>
        <v>Euskara</v>
      </c>
      <c r="L886" t="str">
        <f>_xlfn.XLOOKUP(frasest[[#This Row],[autor_es]],autorest[autor_es],autorest[idioma_la])</f>
        <v>Lingua Vasconica</v>
      </c>
      <c r="M886" t="str">
        <f>_xlfn.XLOOKUP(frasest[[#This Row],[autor_es]],autorest[autor_es],autorest[nacion_es])</f>
        <v>España</v>
      </c>
      <c r="N886" t="str">
        <f>_xlfn.XLOOKUP(frasest[[#This Row],[autor_es]],autorest[autor_es],autorest[nacion_la])</f>
        <v>Hispania</v>
      </c>
      <c r="O886" t="str">
        <f>_xlfn.XLOOKUP(frasest[[#This Row],[autor_es]],autorest[autor_es],autorest[epoca_es])</f>
        <v>Epoca Desconocida</v>
      </c>
      <c r="P886" t="str">
        <f>_xlfn.XLOOKUP(frasest[[#This Row],[autor_es]],autorest[autor_es],autorest[epoca_la])</f>
        <v>Epocha Ignota</v>
      </c>
      <c r="Q886" t="str">
        <f>_xlfn.XLOOKUP(frasest[[#This Row],[autor_es]],autorest[autor_es],autorest[imagen])</f>
        <v>https://i.ibb.co/bjgxB3kn/euskadi.png</v>
      </c>
      <c r="R886">
        <f>_xlfn.XLOOKUP(frasest[[#This Row],[autor_es]],autorest[autor_es],autorest[imagen_atr])</f>
        <v>0</v>
      </c>
    </row>
    <row r="887" spans="1:18">
      <c r="A887">
        <v>886</v>
      </c>
      <c r="B887" t="s">
        <v>2932</v>
      </c>
      <c r="C887" t="s">
        <v>2933</v>
      </c>
      <c r="D887" t="s">
        <v>2934</v>
      </c>
      <c r="E887" t="s">
        <v>1236</v>
      </c>
      <c r="G887" t="str">
        <f>_xlfn.XLOOKUP(frasest[[#This Row],[autor_es]],autorest[autor_es],autorest[autor_la])</f>
        <v>Sententia Vasconica</v>
      </c>
      <c r="H887" t="str">
        <f>_xlfn.XLOOKUP(frasest[[#This Row],[autor_es]],autorest[autor_es],autorest[bio_es])</f>
        <v>Proverbios de la tradición oral vasca que reflejan la relación con la naturaleza, el trabajo y los valores comunitarios del pueblo vasco.</v>
      </c>
      <c r="I887" t="str">
        <f>_xlfn.XLOOKUP(frasest[[#This Row],[autor_es]],autorest[autor_es],autorest[bio_la])</f>
        <v>Collectio sententiarum Vasconicarum.</v>
      </c>
      <c r="J887" t="str">
        <f>_xlfn.XLOOKUP(frasest[[#This Row],[autor_es]],autorest[autor_es],autorest[codigo])</f>
        <v>eu</v>
      </c>
      <c r="K887" t="str">
        <f>_xlfn.XLOOKUP(frasest[[#This Row],[autor_es]],autorest[autor_es],autorest[idioma_es])</f>
        <v>Euskara</v>
      </c>
      <c r="L887" t="str">
        <f>_xlfn.XLOOKUP(frasest[[#This Row],[autor_es]],autorest[autor_es],autorest[idioma_la])</f>
        <v>Lingua Vasconica</v>
      </c>
      <c r="M887" t="str">
        <f>_xlfn.XLOOKUP(frasest[[#This Row],[autor_es]],autorest[autor_es],autorest[nacion_es])</f>
        <v>España</v>
      </c>
      <c r="N887" t="str">
        <f>_xlfn.XLOOKUP(frasest[[#This Row],[autor_es]],autorest[autor_es],autorest[nacion_la])</f>
        <v>Hispania</v>
      </c>
      <c r="O887" t="str">
        <f>_xlfn.XLOOKUP(frasest[[#This Row],[autor_es]],autorest[autor_es],autorest[epoca_es])</f>
        <v>Epoca Desconocida</v>
      </c>
      <c r="P887" t="str">
        <f>_xlfn.XLOOKUP(frasest[[#This Row],[autor_es]],autorest[autor_es],autorest[epoca_la])</f>
        <v>Epocha Ignota</v>
      </c>
      <c r="Q887" t="str">
        <f>_xlfn.XLOOKUP(frasest[[#This Row],[autor_es]],autorest[autor_es],autorest[imagen])</f>
        <v>https://i.ibb.co/bjgxB3kn/euskadi.png</v>
      </c>
      <c r="R887">
        <f>_xlfn.XLOOKUP(frasest[[#This Row],[autor_es]],autorest[autor_es],autorest[imagen_atr])</f>
        <v>0</v>
      </c>
    </row>
    <row r="888" spans="1:18">
      <c r="A888">
        <v>887</v>
      </c>
      <c r="B888" t="s">
        <v>2935</v>
      </c>
      <c r="C888" t="s">
        <v>2936</v>
      </c>
      <c r="D888" t="s">
        <v>2937</v>
      </c>
      <c r="E888" t="s">
        <v>1236</v>
      </c>
      <c r="G888" t="str">
        <f>_xlfn.XLOOKUP(frasest[[#This Row],[autor_es]],autorest[autor_es],autorest[autor_la])</f>
        <v>Sententia Vasconica</v>
      </c>
      <c r="H888" t="str">
        <f>_xlfn.XLOOKUP(frasest[[#This Row],[autor_es]],autorest[autor_es],autorest[bio_es])</f>
        <v>Proverbios de la tradición oral vasca que reflejan la relación con la naturaleza, el trabajo y los valores comunitarios del pueblo vasco.</v>
      </c>
      <c r="I888" t="str">
        <f>_xlfn.XLOOKUP(frasest[[#This Row],[autor_es]],autorest[autor_es],autorest[bio_la])</f>
        <v>Collectio sententiarum Vasconicarum.</v>
      </c>
      <c r="J888" t="str">
        <f>_xlfn.XLOOKUP(frasest[[#This Row],[autor_es]],autorest[autor_es],autorest[codigo])</f>
        <v>eu</v>
      </c>
      <c r="K888" t="str">
        <f>_xlfn.XLOOKUP(frasest[[#This Row],[autor_es]],autorest[autor_es],autorest[idioma_es])</f>
        <v>Euskara</v>
      </c>
      <c r="L888" t="str">
        <f>_xlfn.XLOOKUP(frasest[[#This Row],[autor_es]],autorest[autor_es],autorest[idioma_la])</f>
        <v>Lingua Vasconica</v>
      </c>
      <c r="M888" t="str">
        <f>_xlfn.XLOOKUP(frasest[[#This Row],[autor_es]],autorest[autor_es],autorest[nacion_es])</f>
        <v>España</v>
      </c>
      <c r="N888" t="str">
        <f>_xlfn.XLOOKUP(frasest[[#This Row],[autor_es]],autorest[autor_es],autorest[nacion_la])</f>
        <v>Hispania</v>
      </c>
      <c r="O888" t="str">
        <f>_xlfn.XLOOKUP(frasest[[#This Row],[autor_es]],autorest[autor_es],autorest[epoca_es])</f>
        <v>Epoca Desconocida</v>
      </c>
      <c r="P888" t="str">
        <f>_xlfn.XLOOKUP(frasest[[#This Row],[autor_es]],autorest[autor_es],autorest[epoca_la])</f>
        <v>Epocha Ignota</v>
      </c>
      <c r="Q888" t="str">
        <f>_xlfn.XLOOKUP(frasest[[#This Row],[autor_es]],autorest[autor_es],autorest[imagen])</f>
        <v>https://i.ibb.co/bjgxB3kn/euskadi.png</v>
      </c>
      <c r="R888">
        <f>_xlfn.XLOOKUP(frasest[[#This Row],[autor_es]],autorest[autor_es],autorest[imagen_atr])</f>
        <v>0</v>
      </c>
    </row>
    <row r="889" spans="1:18">
      <c r="A889">
        <v>888</v>
      </c>
      <c r="B889" t="s">
        <v>2938</v>
      </c>
      <c r="C889" t="s">
        <v>2939</v>
      </c>
      <c r="D889" t="s">
        <v>2940</v>
      </c>
      <c r="E889" t="s">
        <v>1236</v>
      </c>
      <c r="G889" t="str">
        <f>_xlfn.XLOOKUP(frasest[[#This Row],[autor_es]],autorest[autor_es],autorest[autor_la])</f>
        <v>Sententia Vasconica</v>
      </c>
      <c r="H889" t="str">
        <f>_xlfn.XLOOKUP(frasest[[#This Row],[autor_es]],autorest[autor_es],autorest[bio_es])</f>
        <v>Proverbios de la tradición oral vasca que reflejan la relación con la naturaleza, el trabajo y los valores comunitarios del pueblo vasco.</v>
      </c>
      <c r="I889" t="str">
        <f>_xlfn.XLOOKUP(frasest[[#This Row],[autor_es]],autorest[autor_es],autorest[bio_la])</f>
        <v>Collectio sententiarum Vasconicarum.</v>
      </c>
      <c r="J889" t="str">
        <f>_xlfn.XLOOKUP(frasest[[#This Row],[autor_es]],autorest[autor_es],autorest[codigo])</f>
        <v>eu</v>
      </c>
      <c r="K889" t="str">
        <f>_xlfn.XLOOKUP(frasest[[#This Row],[autor_es]],autorest[autor_es],autorest[idioma_es])</f>
        <v>Euskara</v>
      </c>
      <c r="L889" t="str">
        <f>_xlfn.XLOOKUP(frasest[[#This Row],[autor_es]],autorest[autor_es],autorest[idioma_la])</f>
        <v>Lingua Vasconica</v>
      </c>
      <c r="M889" t="str">
        <f>_xlfn.XLOOKUP(frasest[[#This Row],[autor_es]],autorest[autor_es],autorest[nacion_es])</f>
        <v>España</v>
      </c>
      <c r="N889" t="str">
        <f>_xlfn.XLOOKUP(frasest[[#This Row],[autor_es]],autorest[autor_es],autorest[nacion_la])</f>
        <v>Hispania</v>
      </c>
      <c r="O889" t="str">
        <f>_xlfn.XLOOKUP(frasest[[#This Row],[autor_es]],autorest[autor_es],autorest[epoca_es])</f>
        <v>Epoca Desconocida</v>
      </c>
      <c r="P889" t="str">
        <f>_xlfn.XLOOKUP(frasest[[#This Row],[autor_es]],autorest[autor_es],autorest[epoca_la])</f>
        <v>Epocha Ignota</v>
      </c>
      <c r="Q889" t="str">
        <f>_xlfn.XLOOKUP(frasest[[#This Row],[autor_es]],autorest[autor_es],autorest[imagen])</f>
        <v>https://i.ibb.co/bjgxB3kn/euskadi.png</v>
      </c>
      <c r="R889">
        <f>_xlfn.XLOOKUP(frasest[[#This Row],[autor_es]],autorest[autor_es],autorest[imagen_atr])</f>
        <v>0</v>
      </c>
    </row>
    <row r="890" spans="1:18">
      <c r="A890">
        <v>889</v>
      </c>
      <c r="B890" t="s">
        <v>2941</v>
      </c>
      <c r="C890" t="s">
        <v>2942</v>
      </c>
      <c r="D890" t="s">
        <v>2943</v>
      </c>
      <c r="E890" t="s">
        <v>1236</v>
      </c>
      <c r="G890" t="str">
        <f>_xlfn.XLOOKUP(frasest[[#This Row],[autor_es]],autorest[autor_es],autorest[autor_la])</f>
        <v>Sententia Vasconica</v>
      </c>
      <c r="H890" t="str">
        <f>_xlfn.XLOOKUP(frasest[[#This Row],[autor_es]],autorest[autor_es],autorest[bio_es])</f>
        <v>Proverbios de la tradición oral vasca que reflejan la relación con la naturaleza, el trabajo y los valores comunitarios del pueblo vasco.</v>
      </c>
      <c r="I890" t="str">
        <f>_xlfn.XLOOKUP(frasest[[#This Row],[autor_es]],autorest[autor_es],autorest[bio_la])</f>
        <v>Collectio sententiarum Vasconicarum.</v>
      </c>
      <c r="J890" t="str">
        <f>_xlfn.XLOOKUP(frasest[[#This Row],[autor_es]],autorest[autor_es],autorest[codigo])</f>
        <v>eu</v>
      </c>
      <c r="K890" t="str">
        <f>_xlfn.XLOOKUP(frasest[[#This Row],[autor_es]],autorest[autor_es],autorest[idioma_es])</f>
        <v>Euskara</v>
      </c>
      <c r="L890" t="str">
        <f>_xlfn.XLOOKUP(frasest[[#This Row],[autor_es]],autorest[autor_es],autorest[idioma_la])</f>
        <v>Lingua Vasconica</v>
      </c>
      <c r="M890" t="str">
        <f>_xlfn.XLOOKUP(frasest[[#This Row],[autor_es]],autorest[autor_es],autorest[nacion_es])</f>
        <v>España</v>
      </c>
      <c r="N890" t="str">
        <f>_xlfn.XLOOKUP(frasest[[#This Row],[autor_es]],autorest[autor_es],autorest[nacion_la])</f>
        <v>Hispania</v>
      </c>
      <c r="O890" t="str">
        <f>_xlfn.XLOOKUP(frasest[[#This Row],[autor_es]],autorest[autor_es],autorest[epoca_es])</f>
        <v>Epoca Desconocida</v>
      </c>
      <c r="P890" t="str">
        <f>_xlfn.XLOOKUP(frasest[[#This Row],[autor_es]],autorest[autor_es],autorest[epoca_la])</f>
        <v>Epocha Ignota</v>
      </c>
      <c r="Q890" t="str">
        <f>_xlfn.XLOOKUP(frasest[[#This Row],[autor_es]],autorest[autor_es],autorest[imagen])</f>
        <v>https://i.ibb.co/bjgxB3kn/euskadi.png</v>
      </c>
      <c r="R890">
        <f>_xlfn.XLOOKUP(frasest[[#This Row],[autor_es]],autorest[autor_es],autorest[imagen_atr])</f>
        <v>0</v>
      </c>
    </row>
    <row r="891" spans="1:18">
      <c r="A891">
        <v>890</v>
      </c>
      <c r="B891" t="s">
        <v>2944</v>
      </c>
      <c r="C891" t="s">
        <v>2945</v>
      </c>
      <c r="D891" t="s">
        <v>2946</v>
      </c>
      <c r="E891" t="s">
        <v>1236</v>
      </c>
      <c r="G891" t="str">
        <f>_xlfn.XLOOKUP(frasest[[#This Row],[autor_es]],autorest[autor_es],autorest[autor_la])</f>
        <v>Sententia Vasconica</v>
      </c>
      <c r="H891" t="str">
        <f>_xlfn.XLOOKUP(frasest[[#This Row],[autor_es]],autorest[autor_es],autorest[bio_es])</f>
        <v>Proverbios de la tradición oral vasca que reflejan la relación con la naturaleza, el trabajo y los valores comunitarios del pueblo vasco.</v>
      </c>
      <c r="I891" t="str">
        <f>_xlfn.XLOOKUP(frasest[[#This Row],[autor_es]],autorest[autor_es],autorest[bio_la])</f>
        <v>Collectio sententiarum Vasconicarum.</v>
      </c>
      <c r="J891" t="str">
        <f>_xlfn.XLOOKUP(frasest[[#This Row],[autor_es]],autorest[autor_es],autorest[codigo])</f>
        <v>eu</v>
      </c>
      <c r="K891" t="str">
        <f>_xlfn.XLOOKUP(frasest[[#This Row],[autor_es]],autorest[autor_es],autorest[idioma_es])</f>
        <v>Euskara</v>
      </c>
      <c r="L891" t="str">
        <f>_xlfn.XLOOKUP(frasest[[#This Row],[autor_es]],autorest[autor_es],autorest[idioma_la])</f>
        <v>Lingua Vasconica</v>
      </c>
      <c r="M891" t="str">
        <f>_xlfn.XLOOKUP(frasest[[#This Row],[autor_es]],autorest[autor_es],autorest[nacion_es])</f>
        <v>España</v>
      </c>
      <c r="N891" t="str">
        <f>_xlfn.XLOOKUP(frasest[[#This Row],[autor_es]],autorest[autor_es],autorest[nacion_la])</f>
        <v>Hispania</v>
      </c>
      <c r="O891" t="str">
        <f>_xlfn.XLOOKUP(frasest[[#This Row],[autor_es]],autorest[autor_es],autorest[epoca_es])</f>
        <v>Epoca Desconocida</v>
      </c>
      <c r="P891" t="str">
        <f>_xlfn.XLOOKUP(frasest[[#This Row],[autor_es]],autorest[autor_es],autorest[epoca_la])</f>
        <v>Epocha Ignota</v>
      </c>
      <c r="Q891" t="str">
        <f>_xlfn.XLOOKUP(frasest[[#This Row],[autor_es]],autorest[autor_es],autorest[imagen])</f>
        <v>https://i.ibb.co/bjgxB3kn/euskadi.png</v>
      </c>
      <c r="R891">
        <f>_xlfn.XLOOKUP(frasest[[#This Row],[autor_es]],autorest[autor_es],autorest[imagen_atr])</f>
        <v>0</v>
      </c>
    </row>
    <row r="892" spans="1:18">
      <c r="A892">
        <v>891</v>
      </c>
      <c r="B892" t="s">
        <v>2947</v>
      </c>
      <c r="C892" t="s">
        <v>2948</v>
      </c>
      <c r="D892" t="s">
        <v>2949</v>
      </c>
      <c r="E892" t="s">
        <v>1236</v>
      </c>
      <c r="G892" t="str">
        <f>_xlfn.XLOOKUP(frasest[[#This Row],[autor_es]],autorest[autor_es],autorest[autor_la])</f>
        <v>Sententia Vasconica</v>
      </c>
      <c r="H892" t="str">
        <f>_xlfn.XLOOKUP(frasest[[#This Row],[autor_es]],autorest[autor_es],autorest[bio_es])</f>
        <v>Proverbios de la tradición oral vasca que reflejan la relación con la naturaleza, el trabajo y los valores comunitarios del pueblo vasco.</v>
      </c>
      <c r="I892" t="str">
        <f>_xlfn.XLOOKUP(frasest[[#This Row],[autor_es]],autorest[autor_es],autorest[bio_la])</f>
        <v>Collectio sententiarum Vasconicarum.</v>
      </c>
      <c r="J892" t="str">
        <f>_xlfn.XLOOKUP(frasest[[#This Row],[autor_es]],autorest[autor_es],autorest[codigo])</f>
        <v>eu</v>
      </c>
      <c r="K892" t="str">
        <f>_xlfn.XLOOKUP(frasest[[#This Row],[autor_es]],autorest[autor_es],autorest[idioma_es])</f>
        <v>Euskara</v>
      </c>
      <c r="L892" t="str">
        <f>_xlfn.XLOOKUP(frasest[[#This Row],[autor_es]],autorest[autor_es],autorest[idioma_la])</f>
        <v>Lingua Vasconica</v>
      </c>
      <c r="M892" t="str">
        <f>_xlfn.XLOOKUP(frasest[[#This Row],[autor_es]],autorest[autor_es],autorest[nacion_es])</f>
        <v>España</v>
      </c>
      <c r="N892" t="str">
        <f>_xlfn.XLOOKUP(frasest[[#This Row],[autor_es]],autorest[autor_es],autorest[nacion_la])</f>
        <v>Hispania</v>
      </c>
      <c r="O892" t="str">
        <f>_xlfn.XLOOKUP(frasest[[#This Row],[autor_es]],autorest[autor_es],autorest[epoca_es])</f>
        <v>Epoca Desconocida</v>
      </c>
      <c r="P892" t="str">
        <f>_xlfn.XLOOKUP(frasest[[#This Row],[autor_es]],autorest[autor_es],autorest[epoca_la])</f>
        <v>Epocha Ignota</v>
      </c>
      <c r="Q892" t="str">
        <f>_xlfn.XLOOKUP(frasest[[#This Row],[autor_es]],autorest[autor_es],autorest[imagen])</f>
        <v>https://i.ibb.co/bjgxB3kn/euskadi.png</v>
      </c>
      <c r="R892">
        <f>_xlfn.XLOOKUP(frasest[[#This Row],[autor_es]],autorest[autor_es],autorest[imagen_atr])</f>
        <v>0</v>
      </c>
    </row>
    <row r="893" spans="1:18">
      <c r="A893">
        <v>892</v>
      </c>
      <c r="B893" t="s">
        <v>2950</v>
      </c>
      <c r="C893" t="s">
        <v>2951</v>
      </c>
      <c r="D893" t="s">
        <v>2952</v>
      </c>
      <c r="E893" t="s">
        <v>1236</v>
      </c>
      <c r="G893" t="str">
        <f>_xlfn.XLOOKUP(frasest[[#This Row],[autor_es]],autorest[autor_es],autorest[autor_la])</f>
        <v>Sententia Vasconica</v>
      </c>
      <c r="H893" t="str">
        <f>_xlfn.XLOOKUP(frasest[[#This Row],[autor_es]],autorest[autor_es],autorest[bio_es])</f>
        <v>Proverbios de la tradición oral vasca que reflejan la relación con la naturaleza, el trabajo y los valores comunitarios del pueblo vasco.</v>
      </c>
      <c r="I893" t="str">
        <f>_xlfn.XLOOKUP(frasest[[#This Row],[autor_es]],autorest[autor_es],autorest[bio_la])</f>
        <v>Collectio sententiarum Vasconicarum.</v>
      </c>
      <c r="J893" t="str">
        <f>_xlfn.XLOOKUP(frasest[[#This Row],[autor_es]],autorest[autor_es],autorest[codigo])</f>
        <v>eu</v>
      </c>
      <c r="K893" t="str">
        <f>_xlfn.XLOOKUP(frasest[[#This Row],[autor_es]],autorest[autor_es],autorest[idioma_es])</f>
        <v>Euskara</v>
      </c>
      <c r="L893" t="str">
        <f>_xlfn.XLOOKUP(frasest[[#This Row],[autor_es]],autorest[autor_es],autorest[idioma_la])</f>
        <v>Lingua Vasconica</v>
      </c>
      <c r="M893" t="str">
        <f>_xlfn.XLOOKUP(frasest[[#This Row],[autor_es]],autorest[autor_es],autorest[nacion_es])</f>
        <v>España</v>
      </c>
      <c r="N893" t="str">
        <f>_xlfn.XLOOKUP(frasest[[#This Row],[autor_es]],autorest[autor_es],autorest[nacion_la])</f>
        <v>Hispania</v>
      </c>
      <c r="O893" t="str">
        <f>_xlfn.XLOOKUP(frasest[[#This Row],[autor_es]],autorest[autor_es],autorest[epoca_es])</f>
        <v>Epoca Desconocida</v>
      </c>
      <c r="P893" t="str">
        <f>_xlfn.XLOOKUP(frasest[[#This Row],[autor_es]],autorest[autor_es],autorest[epoca_la])</f>
        <v>Epocha Ignota</v>
      </c>
      <c r="Q893" t="str">
        <f>_xlfn.XLOOKUP(frasest[[#This Row],[autor_es]],autorest[autor_es],autorest[imagen])</f>
        <v>https://i.ibb.co/bjgxB3kn/euskadi.png</v>
      </c>
      <c r="R893">
        <f>_xlfn.XLOOKUP(frasest[[#This Row],[autor_es]],autorest[autor_es],autorest[imagen_atr])</f>
        <v>0</v>
      </c>
    </row>
    <row r="894" spans="1:18">
      <c r="A894">
        <v>893</v>
      </c>
      <c r="B894" t="s">
        <v>2953</v>
      </c>
      <c r="C894" t="s">
        <v>2954</v>
      </c>
      <c r="D894" t="s">
        <v>2955</v>
      </c>
      <c r="E894" t="s">
        <v>1236</v>
      </c>
      <c r="G894" t="str">
        <f>_xlfn.XLOOKUP(frasest[[#This Row],[autor_es]],autorest[autor_es],autorest[autor_la])</f>
        <v>Sententia Vasconica</v>
      </c>
      <c r="H894" t="str">
        <f>_xlfn.XLOOKUP(frasest[[#This Row],[autor_es]],autorest[autor_es],autorest[bio_es])</f>
        <v>Proverbios de la tradición oral vasca que reflejan la relación con la naturaleza, el trabajo y los valores comunitarios del pueblo vasco.</v>
      </c>
      <c r="I894" t="str">
        <f>_xlfn.XLOOKUP(frasest[[#This Row],[autor_es]],autorest[autor_es],autorest[bio_la])</f>
        <v>Collectio sententiarum Vasconicarum.</v>
      </c>
      <c r="J894" t="str">
        <f>_xlfn.XLOOKUP(frasest[[#This Row],[autor_es]],autorest[autor_es],autorest[codigo])</f>
        <v>eu</v>
      </c>
      <c r="K894" t="str">
        <f>_xlfn.XLOOKUP(frasest[[#This Row],[autor_es]],autorest[autor_es],autorest[idioma_es])</f>
        <v>Euskara</v>
      </c>
      <c r="L894" t="str">
        <f>_xlfn.XLOOKUP(frasest[[#This Row],[autor_es]],autorest[autor_es],autorest[idioma_la])</f>
        <v>Lingua Vasconica</v>
      </c>
      <c r="M894" t="str">
        <f>_xlfn.XLOOKUP(frasest[[#This Row],[autor_es]],autorest[autor_es],autorest[nacion_es])</f>
        <v>España</v>
      </c>
      <c r="N894" t="str">
        <f>_xlfn.XLOOKUP(frasest[[#This Row],[autor_es]],autorest[autor_es],autorest[nacion_la])</f>
        <v>Hispania</v>
      </c>
      <c r="O894" t="str">
        <f>_xlfn.XLOOKUP(frasest[[#This Row],[autor_es]],autorest[autor_es],autorest[epoca_es])</f>
        <v>Epoca Desconocida</v>
      </c>
      <c r="P894" t="str">
        <f>_xlfn.XLOOKUP(frasest[[#This Row],[autor_es]],autorest[autor_es],autorest[epoca_la])</f>
        <v>Epocha Ignota</v>
      </c>
      <c r="Q894" t="str">
        <f>_xlfn.XLOOKUP(frasest[[#This Row],[autor_es]],autorest[autor_es],autorest[imagen])</f>
        <v>https://i.ibb.co/bjgxB3kn/euskadi.png</v>
      </c>
      <c r="R894">
        <f>_xlfn.XLOOKUP(frasest[[#This Row],[autor_es]],autorest[autor_es],autorest[imagen_atr])</f>
        <v>0</v>
      </c>
    </row>
    <row r="895" spans="1:18">
      <c r="A895">
        <v>894</v>
      </c>
      <c r="B895" t="s">
        <v>2956</v>
      </c>
      <c r="C895" t="s">
        <v>2957</v>
      </c>
      <c r="D895" t="s">
        <v>2958</v>
      </c>
      <c r="E895" t="s">
        <v>1236</v>
      </c>
      <c r="G895" t="str">
        <f>_xlfn.XLOOKUP(frasest[[#This Row],[autor_es]],autorest[autor_es],autorest[autor_la])</f>
        <v>Sententia Vasconica</v>
      </c>
      <c r="H895" t="str">
        <f>_xlfn.XLOOKUP(frasest[[#This Row],[autor_es]],autorest[autor_es],autorest[bio_es])</f>
        <v>Proverbios de la tradición oral vasca que reflejan la relación con la naturaleza, el trabajo y los valores comunitarios del pueblo vasco.</v>
      </c>
      <c r="I895" t="str">
        <f>_xlfn.XLOOKUP(frasest[[#This Row],[autor_es]],autorest[autor_es],autorest[bio_la])</f>
        <v>Collectio sententiarum Vasconicarum.</v>
      </c>
      <c r="J895" t="str">
        <f>_xlfn.XLOOKUP(frasest[[#This Row],[autor_es]],autorest[autor_es],autorest[codigo])</f>
        <v>eu</v>
      </c>
      <c r="K895" t="str">
        <f>_xlfn.XLOOKUP(frasest[[#This Row],[autor_es]],autorest[autor_es],autorest[idioma_es])</f>
        <v>Euskara</v>
      </c>
      <c r="L895" t="str">
        <f>_xlfn.XLOOKUP(frasest[[#This Row],[autor_es]],autorest[autor_es],autorest[idioma_la])</f>
        <v>Lingua Vasconica</v>
      </c>
      <c r="M895" t="str">
        <f>_xlfn.XLOOKUP(frasest[[#This Row],[autor_es]],autorest[autor_es],autorest[nacion_es])</f>
        <v>España</v>
      </c>
      <c r="N895" t="str">
        <f>_xlfn.XLOOKUP(frasest[[#This Row],[autor_es]],autorest[autor_es],autorest[nacion_la])</f>
        <v>Hispania</v>
      </c>
      <c r="O895" t="str">
        <f>_xlfn.XLOOKUP(frasest[[#This Row],[autor_es]],autorest[autor_es],autorest[epoca_es])</f>
        <v>Epoca Desconocida</v>
      </c>
      <c r="P895" t="str">
        <f>_xlfn.XLOOKUP(frasest[[#This Row],[autor_es]],autorest[autor_es],autorest[epoca_la])</f>
        <v>Epocha Ignota</v>
      </c>
      <c r="Q895" t="str">
        <f>_xlfn.XLOOKUP(frasest[[#This Row],[autor_es]],autorest[autor_es],autorest[imagen])</f>
        <v>https://i.ibb.co/bjgxB3kn/euskadi.png</v>
      </c>
      <c r="R895">
        <f>_xlfn.XLOOKUP(frasest[[#This Row],[autor_es]],autorest[autor_es],autorest[imagen_atr])</f>
        <v>0</v>
      </c>
    </row>
    <row r="896" spans="1:18">
      <c r="A896">
        <v>895</v>
      </c>
      <c r="B896" t="s">
        <v>2959</v>
      </c>
      <c r="C896" t="s">
        <v>2960</v>
      </c>
      <c r="D896" t="s">
        <v>2961</v>
      </c>
      <c r="E896" t="s">
        <v>1236</v>
      </c>
      <c r="G896" t="str">
        <f>_xlfn.XLOOKUP(frasest[[#This Row],[autor_es]],autorest[autor_es],autorest[autor_la])</f>
        <v>Sententia Vasconica</v>
      </c>
      <c r="H896" t="str">
        <f>_xlfn.XLOOKUP(frasest[[#This Row],[autor_es]],autorest[autor_es],autorest[bio_es])</f>
        <v>Proverbios de la tradición oral vasca que reflejan la relación con la naturaleza, el trabajo y los valores comunitarios del pueblo vasco.</v>
      </c>
      <c r="I896" t="str">
        <f>_xlfn.XLOOKUP(frasest[[#This Row],[autor_es]],autorest[autor_es],autorest[bio_la])</f>
        <v>Collectio sententiarum Vasconicarum.</v>
      </c>
      <c r="J896" t="str">
        <f>_xlfn.XLOOKUP(frasest[[#This Row],[autor_es]],autorest[autor_es],autorest[codigo])</f>
        <v>eu</v>
      </c>
      <c r="K896" t="str">
        <f>_xlfn.XLOOKUP(frasest[[#This Row],[autor_es]],autorest[autor_es],autorest[idioma_es])</f>
        <v>Euskara</v>
      </c>
      <c r="L896" t="str">
        <f>_xlfn.XLOOKUP(frasest[[#This Row],[autor_es]],autorest[autor_es],autorest[idioma_la])</f>
        <v>Lingua Vasconica</v>
      </c>
      <c r="M896" t="str">
        <f>_xlfn.XLOOKUP(frasest[[#This Row],[autor_es]],autorest[autor_es],autorest[nacion_es])</f>
        <v>España</v>
      </c>
      <c r="N896" t="str">
        <f>_xlfn.XLOOKUP(frasest[[#This Row],[autor_es]],autorest[autor_es],autorest[nacion_la])</f>
        <v>Hispania</v>
      </c>
      <c r="O896" t="str">
        <f>_xlfn.XLOOKUP(frasest[[#This Row],[autor_es]],autorest[autor_es],autorest[epoca_es])</f>
        <v>Epoca Desconocida</v>
      </c>
      <c r="P896" t="str">
        <f>_xlfn.XLOOKUP(frasest[[#This Row],[autor_es]],autorest[autor_es],autorest[epoca_la])</f>
        <v>Epocha Ignota</v>
      </c>
      <c r="Q896" t="str">
        <f>_xlfn.XLOOKUP(frasest[[#This Row],[autor_es]],autorest[autor_es],autorest[imagen])</f>
        <v>https://i.ibb.co/bjgxB3kn/euskadi.png</v>
      </c>
      <c r="R896">
        <f>_xlfn.XLOOKUP(frasest[[#This Row],[autor_es]],autorest[autor_es],autorest[imagen_atr])</f>
        <v>0</v>
      </c>
    </row>
    <row r="897" spans="1:18">
      <c r="A897">
        <v>896</v>
      </c>
      <c r="B897" t="s">
        <v>2962</v>
      </c>
      <c r="C897" t="s">
        <v>2963</v>
      </c>
      <c r="D897" t="s">
        <v>2962</v>
      </c>
      <c r="E897" t="s">
        <v>24</v>
      </c>
      <c r="G897" t="str">
        <f>_xlfn.XLOOKUP(frasest[[#This Row],[autor_es]],autorest[autor_es],autorest[autor_la])</f>
        <v>Sententia Hispanica</v>
      </c>
      <c r="H897" t="str">
        <f>_xlfn.XLOOKUP(frasest[[#This Row],[autor_es]],autorest[autor_es],autorest[bio_es])</f>
        <v>Refranes populares de la tradición oral hispana que expresan de forma breve y ingeniosa enseñanzas prácticas sobre la vida cotidiana.</v>
      </c>
      <c r="I897" t="str">
        <f>_xlfn.XLOOKUP(frasest[[#This Row],[autor_es]],autorest[autor_es],autorest[bio_la])</f>
        <v>Collectio sententiarum Hispanicarum.</v>
      </c>
      <c r="J897" t="str">
        <f>_xlfn.XLOOKUP(frasest[[#This Row],[autor_es]],autorest[autor_es],autorest[codigo])</f>
        <v>es</v>
      </c>
      <c r="K897" t="str">
        <f>_xlfn.XLOOKUP(frasest[[#This Row],[autor_es]],autorest[autor_es],autorest[idioma_es])</f>
        <v>Español</v>
      </c>
      <c r="L897" t="str">
        <f>_xlfn.XLOOKUP(frasest[[#This Row],[autor_es]],autorest[autor_es],autorest[idioma_la])</f>
        <v>Lingua Hispanica</v>
      </c>
      <c r="M897" t="str">
        <f>_xlfn.XLOOKUP(frasest[[#This Row],[autor_es]],autorest[autor_es],autorest[nacion_es])</f>
        <v>España</v>
      </c>
      <c r="N897" t="str">
        <f>_xlfn.XLOOKUP(frasest[[#This Row],[autor_es]],autorest[autor_es],autorest[nacion_la])</f>
        <v>Hispania</v>
      </c>
      <c r="O897" t="str">
        <f>_xlfn.XLOOKUP(frasest[[#This Row],[autor_es]],autorest[autor_es],autorest[epoca_es])</f>
        <v>Epoca Desconocida</v>
      </c>
      <c r="P897" t="str">
        <f>_xlfn.XLOOKUP(frasest[[#This Row],[autor_es]],autorest[autor_es],autorest[epoca_la])</f>
        <v>Epocha Ignota</v>
      </c>
      <c r="Q897" t="str">
        <f>_xlfn.XLOOKUP(frasest[[#This Row],[autor_es]],autorest[autor_es],autorest[imagen])</f>
        <v>https://i.ibb.co/Y4f7TZWm/espa-a.png</v>
      </c>
      <c r="R897">
        <f>_xlfn.XLOOKUP(frasest[[#This Row],[autor_es]],autorest[autor_es],autorest[imagen_atr])</f>
        <v>0</v>
      </c>
    </row>
    <row r="898" spans="1:18">
      <c r="A898">
        <v>897</v>
      </c>
      <c r="B898" t="s">
        <v>2964</v>
      </c>
      <c r="C898" t="s">
        <v>2965</v>
      </c>
      <c r="D898" t="s">
        <v>2964</v>
      </c>
      <c r="E898" t="s">
        <v>24</v>
      </c>
      <c r="G898" t="str">
        <f>_xlfn.XLOOKUP(frasest[[#This Row],[autor_es]],autorest[autor_es],autorest[autor_la])</f>
        <v>Sententia Hispanica</v>
      </c>
      <c r="H898" t="str">
        <f>_xlfn.XLOOKUP(frasest[[#This Row],[autor_es]],autorest[autor_es],autorest[bio_es])</f>
        <v>Refranes populares de la tradición oral hispana que expresan de forma breve y ingeniosa enseñanzas prácticas sobre la vida cotidiana.</v>
      </c>
      <c r="I898" t="str">
        <f>_xlfn.XLOOKUP(frasest[[#This Row],[autor_es]],autorest[autor_es],autorest[bio_la])</f>
        <v>Collectio sententiarum Hispanicarum.</v>
      </c>
      <c r="J898" t="str">
        <f>_xlfn.XLOOKUP(frasest[[#This Row],[autor_es]],autorest[autor_es],autorest[codigo])</f>
        <v>es</v>
      </c>
      <c r="K898" t="str">
        <f>_xlfn.XLOOKUP(frasest[[#This Row],[autor_es]],autorest[autor_es],autorest[idioma_es])</f>
        <v>Español</v>
      </c>
      <c r="L898" t="str">
        <f>_xlfn.XLOOKUP(frasest[[#This Row],[autor_es]],autorest[autor_es],autorest[idioma_la])</f>
        <v>Lingua Hispanica</v>
      </c>
      <c r="M898" t="str">
        <f>_xlfn.XLOOKUP(frasest[[#This Row],[autor_es]],autorest[autor_es],autorest[nacion_es])</f>
        <v>España</v>
      </c>
      <c r="N898" t="str">
        <f>_xlfn.XLOOKUP(frasest[[#This Row],[autor_es]],autorest[autor_es],autorest[nacion_la])</f>
        <v>Hispania</v>
      </c>
      <c r="O898" t="str">
        <f>_xlfn.XLOOKUP(frasest[[#This Row],[autor_es]],autorest[autor_es],autorest[epoca_es])</f>
        <v>Epoca Desconocida</v>
      </c>
      <c r="P898" t="str">
        <f>_xlfn.XLOOKUP(frasest[[#This Row],[autor_es]],autorest[autor_es],autorest[epoca_la])</f>
        <v>Epocha Ignota</v>
      </c>
      <c r="Q898" t="str">
        <f>_xlfn.XLOOKUP(frasest[[#This Row],[autor_es]],autorest[autor_es],autorest[imagen])</f>
        <v>https://i.ibb.co/Y4f7TZWm/espa-a.png</v>
      </c>
      <c r="R898">
        <f>_xlfn.XLOOKUP(frasest[[#This Row],[autor_es]],autorest[autor_es],autorest[imagen_atr])</f>
        <v>0</v>
      </c>
    </row>
    <row r="899" spans="1:18">
      <c r="A899">
        <v>898</v>
      </c>
      <c r="B899" t="s">
        <v>2966</v>
      </c>
      <c r="C899" t="s">
        <v>2967</v>
      </c>
      <c r="D899" t="s">
        <v>2966</v>
      </c>
      <c r="E899" t="s">
        <v>24</v>
      </c>
      <c r="G899" t="str">
        <f>_xlfn.XLOOKUP(frasest[[#This Row],[autor_es]],autorest[autor_es],autorest[autor_la])</f>
        <v>Sententia Hispanica</v>
      </c>
      <c r="H899" t="str">
        <f>_xlfn.XLOOKUP(frasest[[#This Row],[autor_es]],autorest[autor_es],autorest[bio_es])</f>
        <v>Refranes populares de la tradición oral hispana que expresan de forma breve y ingeniosa enseñanzas prácticas sobre la vida cotidiana.</v>
      </c>
      <c r="I899" t="str">
        <f>_xlfn.XLOOKUP(frasest[[#This Row],[autor_es]],autorest[autor_es],autorest[bio_la])</f>
        <v>Collectio sententiarum Hispanicarum.</v>
      </c>
      <c r="J899" t="str">
        <f>_xlfn.XLOOKUP(frasest[[#This Row],[autor_es]],autorest[autor_es],autorest[codigo])</f>
        <v>es</v>
      </c>
      <c r="K899" t="str">
        <f>_xlfn.XLOOKUP(frasest[[#This Row],[autor_es]],autorest[autor_es],autorest[idioma_es])</f>
        <v>Español</v>
      </c>
      <c r="L899" t="str">
        <f>_xlfn.XLOOKUP(frasest[[#This Row],[autor_es]],autorest[autor_es],autorest[idioma_la])</f>
        <v>Lingua Hispanica</v>
      </c>
      <c r="M899" t="str">
        <f>_xlfn.XLOOKUP(frasest[[#This Row],[autor_es]],autorest[autor_es],autorest[nacion_es])</f>
        <v>España</v>
      </c>
      <c r="N899" t="str">
        <f>_xlfn.XLOOKUP(frasest[[#This Row],[autor_es]],autorest[autor_es],autorest[nacion_la])</f>
        <v>Hispania</v>
      </c>
      <c r="O899" t="str">
        <f>_xlfn.XLOOKUP(frasest[[#This Row],[autor_es]],autorest[autor_es],autorest[epoca_es])</f>
        <v>Epoca Desconocida</v>
      </c>
      <c r="P899" t="str">
        <f>_xlfn.XLOOKUP(frasest[[#This Row],[autor_es]],autorest[autor_es],autorest[epoca_la])</f>
        <v>Epocha Ignota</v>
      </c>
      <c r="Q899" t="str">
        <f>_xlfn.XLOOKUP(frasest[[#This Row],[autor_es]],autorest[autor_es],autorest[imagen])</f>
        <v>https://i.ibb.co/Y4f7TZWm/espa-a.png</v>
      </c>
      <c r="R899">
        <f>_xlfn.XLOOKUP(frasest[[#This Row],[autor_es]],autorest[autor_es],autorest[imagen_atr])</f>
        <v>0</v>
      </c>
    </row>
    <row r="900" spans="1:18">
      <c r="A900">
        <v>899</v>
      </c>
      <c r="B900" t="s">
        <v>2968</v>
      </c>
      <c r="C900" t="s">
        <v>2969</v>
      </c>
      <c r="D900" t="s">
        <v>2968</v>
      </c>
      <c r="E900" t="s">
        <v>24</v>
      </c>
      <c r="G900" t="str">
        <f>_xlfn.XLOOKUP(frasest[[#This Row],[autor_es]],autorest[autor_es],autorest[autor_la])</f>
        <v>Sententia Hispanica</v>
      </c>
      <c r="H900" t="str">
        <f>_xlfn.XLOOKUP(frasest[[#This Row],[autor_es]],autorest[autor_es],autorest[bio_es])</f>
        <v>Refranes populares de la tradición oral hispana que expresan de forma breve y ingeniosa enseñanzas prácticas sobre la vida cotidiana.</v>
      </c>
      <c r="I900" t="str">
        <f>_xlfn.XLOOKUP(frasest[[#This Row],[autor_es]],autorest[autor_es],autorest[bio_la])</f>
        <v>Collectio sententiarum Hispanicarum.</v>
      </c>
      <c r="J900" t="str">
        <f>_xlfn.XLOOKUP(frasest[[#This Row],[autor_es]],autorest[autor_es],autorest[codigo])</f>
        <v>es</v>
      </c>
      <c r="K900" t="str">
        <f>_xlfn.XLOOKUP(frasest[[#This Row],[autor_es]],autorest[autor_es],autorest[idioma_es])</f>
        <v>Español</v>
      </c>
      <c r="L900" t="str">
        <f>_xlfn.XLOOKUP(frasest[[#This Row],[autor_es]],autorest[autor_es],autorest[idioma_la])</f>
        <v>Lingua Hispanica</v>
      </c>
      <c r="M900" t="str">
        <f>_xlfn.XLOOKUP(frasest[[#This Row],[autor_es]],autorest[autor_es],autorest[nacion_es])</f>
        <v>España</v>
      </c>
      <c r="N900" t="str">
        <f>_xlfn.XLOOKUP(frasest[[#This Row],[autor_es]],autorest[autor_es],autorest[nacion_la])</f>
        <v>Hispania</v>
      </c>
      <c r="O900" t="str">
        <f>_xlfn.XLOOKUP(frasest[[#This Row],[autor_es]],autorest[autor_es],autorest[epoca_es])</f>
        <v>Epoca Desconocida</v>
      </c>
      <c r="P900" t="str">
        <f>_xlfn.XLOOKUP(frasest[[#This Row],[autor_es]],autorest[autor_es],autorest[epoca_la])</f>
        <v>Epocha Ignota</v>
      </c>
      <c r="Q900" t="str">
        <f>_xlfn.XLOOKUP(frasest[[#This Row],[autor_es]],autorest[autor_es],autorest[imagen])</f>
        <v>https://i.ibb.co/Y4f7TZWm/espa-a.png</v>
      </c>
      <c r="R900">
        <f>_xlfn.XLOOKUP(frasest[[#This Row],[autor_es]],autorest[autor_es],autorest[imagen_atr])</f>
        <v>0</v>
      </c>
    </row>
    <row r="901" spans="1:18">
      <c r="A901">
        <v>900</v>
      </c>
      <c r="B901" t="s">
        <v>2970</v>
      </c>
      <c r="C901" t="s">
        <v>2971</v>
      </c>
      <c r="D901" t="s">
        <v>2970</v>
      </c>
      <c r="E901" t="s">
        <v>24</v>
      </c>
      <c r="G901" t="str">
        <f>_xlfn.XLOOKUP(frasest[[#This Row],[autor_es]],autorest[autor_es],autorest[autor_la])</f>
        <v>Sententia Hispanica</v>
      </c>
      <c r="H901" t="str">
        <f>_xlfn.XLOOKUP(frasest[[#This Row],[autor_es]],autorest[autor_es],autorest[bio_es])</f>
        <v>Refranes populares de la tradición oral hispana que expresan de forma breve y ingeniosa enseñanzas prácticas sobre la vida cotidiana.</v>
      </c>
      <c r="I901" t="str">
        <f>_xlfn.XLOOKUP(frasest[[#This Row],[autor_es]],autorest[autor_es],autorest[bio_la])</f>
        <v>Collectio sententiarum Hispanicarum.</v>
      </c>
      <c r="J901" t="str">
        <f>_xlfn.XLOOKUP(frasest[[#This Row],[autor_es]],autorest[autor_es],autorest[codigo])</f>
        <v>es</v>
      </c>
      <c r="K901" t="str">
        <f>_xlfn.XLOOKUP(frasest[[#This Row],[autor_es]],autorest[autor_es],autorest[idioma_es])</f>
        <v>Español</v>
      </c>
      <c r="L901" t="str">
        <f>_xlfn.XLOOKUP(frasest[[#This Row],[autor_es]],autorest[autor_es],autorest[idioma_la])</f>
        <v>Lingua Hispanica</v>
      </c>
      <c r="M901" t="str">
        <f>_xlfn.XLOOKUP(frasest[[#This Row],[autor_es]],autorest[autor_es],autorest[nacion_es])</f>
        <v>España</v>
      </c>
      <c r="N901" t="str">
        <f>_xlfn.XLOOKUP(frasest[[#This Row],[autor_es]],autorest[autor_es],autorest[nacion_la])</f>
        <v>Hispania</v>
      </c>
      <c r="O901" t="str">
        <f>_xlfn.XLOOKUP(frasest[[#This Row],[autor_es]],autorest[autor_es],autorest[epoca_es])</f>
        <v>Epoca Desconocida</v>
      </c>
      <c r="P901" t="str">
        <f>_xlfn.XLOOKUP(frasest[[#This Row],[autor_es]],autorest[autor_es],autorest[epoca_la])</f>
        <v>Epocha Ignota</v>
      </c>
      <c r="Q901" t="str">
        <f>_xlfn.XLOOKUP(frasest[[#This Row],[autor_es]],autorest[autor_es],autorest[imagen])</f>
        <v>https://i.ibb.co/Y4f7TZWm/espa-a.png</v>
      </c>
      <c r="R901">
        <f>_xlfn.XLOOKUP(frasest[[#This Row],[autor_es]],autorest[autor_es],autorest[imagen_atr])</f>
        <v>0</v>
      </c>
    </row>
    <row r="902" spans="1:18">
      <c r="A902">
        <v>901</v>
      </c>
      <c r="B902" t="s">
        <v>2972</v>
      </c>
      <c r="C902" t="s">
        <v>2973</v>
      </c>
      <c r="D902" t="s">
        <v>2972</v>
      </c>
      <c r="E902" t="s">
        <v>24</v>
      </c>
      <c r="G902" t="str">
        <f>_xlfn.XLOOKUP(frasest[[#This Row],[autor_es]],autorest[autor_es],autorest[autor_la])</f>
        <v>Sententia Hispanica</v>
      </c>
      <c r="H902" t="str">
        <f>_xlfn.XLOOKUP(frasest[[#This Row],[autor_es]],autorest[autor_es],autorest[bio_es])</f>
        <v>Refranes populares de la tradición oral hispana que expresan de forma breve y ingeniosa enseñanzas prácticas sobre la vida cotidiana.</v>
      </c>
      <c r="I902" t="str">
        <f>_xlfn.XLOOKUP(frasest[[#This Row],[autor_es]],autorest[autor_es],autorest[bio_la])</f>
        <v>Collectio sententiarum Hispanicarum.</v>
      </c>
      <c r="J902" t="str">
        <f>_xlfn.XLOOKUP(frasest[[#This Row],[autor_es]],autorest[autor_es],autorest[codigo])</f>
        <v>es</v>
      </c>
      <c r="K902" t="str">
        <f>_xlfn.XLOOKUP(frasest[[#This Row],[autor_es]],autorest[autor_es],autorest[idioma_es])</f>
        <v>Español</v>
      </c>
      <c r="L902" t="str">
        <f>_xlfn.XLOOKUP(frasest[[#This Row],[autor_es]],autorest[autor_es],autorest[idioma_la])</f>
        <v>Lingua Hispanica</v>
      </c>
      <c r="M902" t="str">
        <f>_xlfn.XLOOKUP(frasest[[#This Row],[autor_es]],autorest[autor_es],autorest[nacion_es])</f>
        <v>España</v>
      </c>
      <c r="N902" t="str">
        <f>_xlfn.XLOOKUP(frasest[[#This Row],[autor_es]],autorest[autor_es],autorest[nacion_la])</f>
        <v>Hispania</v>
      </c>
      <c r="O902" t="str">
        <f>_xlfn.XLOOKUP(frasest[[#This Row],[autor_es]],autorest[autor_es],autorest[epoca_es])</f>
        <v>Epoca Desconocida</v>
      </c>
      <c r="P902" t="str">
        <f>_xlfn.XLOOKUP(frasest[[#This Row],[autor_es]],autorest[autor_es],autorest[epoca_la])</f>
        <v>Epocha Ignota</v>
      </c>
      <c r="Q902" t="str">
        <f>_xlfn.XLOOKUP(frasest[[#This Row],[autor_es]],autorest[autor_es],autorest[imagen])</f>
        <v>https://i.ibb.co/Y4f7TZWm/espa-a.png</v>
      </c>
      <c r="R902">
        <f>_xlfn.XLOOKUP(frasest[[#This Row],[autor_es]],autorest[autor_es],autorest[imagen_atr])</f>
        <v>0</v>
      </c>
    </row>
    <row r="903" spans="1:18">
      <c r="A903">
        <v>902</v>
      </c>
      <c r="B903" t="s">
        <v>2974</v>
      </c>
      <c r="C903" t="s">
        <v>2975</v>
      </c>
      <c r="D903" t="s">
        <v>2974</v>
      </c>
      <c r="E903" t="s">
        <v>24</v>
      </c>
      <c r="G903" t="str">
        <f>_xlfn.XLOOKUP(frasest[[#This Row],[autor_es]],autorest[autor_es],autorest[autor_la])</f>
        <v>Sententia Hispanica</v>
      </c>
      <c r="H903" t="str">
        <f>_xlfn.XLOOKUP(frasest[[#This Row],[autor_es]],autorest[autor_es],autorest[bio_es])</f>
        <v>Refranes populares de la tradición oral hispana que expresan de forma breve y ingeniosa enseñanzas prácticas sobre la vida cotidiana.</v>
      </c>
      <c r="I903" t="str">
        <f>_xlfn.XLOOKUP(frasest[[#This Row],[autor_es]],autorest[autor_es],autorest[bio_la])</f>
        <v>Collectio sententiarum Hispanicarum.</v>
      </c>
      <c r="J903" t="str">
        <f>_xlfn.XLOOKUP(frasest[[#This Row],[autor_es]],autorest[autor_es],autorest[codigo])</f>
        <v>es</v>
      </c>
      <c r="K903" t="str">
        <f>_xlfn.XLOOKUP(frasest[[#This Row],[autor_es]],autorest[autor_es],autorest[idioma_es])</f>
        <v>Español</v>
      </c>
      <c r="L903" t="str">
        <f>_xlfn.XLOOKUP(frasest[[#This Row],[autor_es]],autorest[autor_es],autorest[idioma_la])</f>
        <v>Lingua Hispanica</v>
      </c>
      <c r="M903" t="str">
        <f>_xlfn.XLOOKUP(frasest[[#This Row],[autor_es]],autorest[autor_es],autorest[nacion_es])</f>
        <v>España</v>
      </c>
      <c r="N903" t="str">
        <f>_xlfn.XLOOKUP(frasest[[#This Row],[autor_es]],autorest[autor_es],autorest[nacion_la])</f>
        <v>Hispania</v>
      </c>
      <c r="O903" t="str">
        <f>_xlfn.XLOOKUP(frasest[[#This Row],[autor_es]],autorest[autor_es],autorest[epoca_es])</f>
        <v>Epoca Desconocida</v>
      </c>
      <c r="P903" t="str">
        <f>_xlfn.XLOOKUP(frasest[[#This Row],[autor_es]],autorest[autor_es],autorest[epoca_la])</f>
        <v>Epocha Ignota</v>
      </c>
      <c r="Q903" t="str">
        <f>_xlfn.XLOOKUP(frasest[[#This Row],[autor_es]],autorest[autor_es],autorest[imagen])</f>
        <v>https://i.ibb.co/Y4f7TZWm/espa-a.png</v>
      </c>
      <c r="R903">
        <f>_xlfn.XLOOKUP(frasest[[#This Row],[autor_es]],autorest[autor_es],autorest[imagen_atr])</f>
        <v>0</v>
      </c>
    </row>
    <row r="904" spans="1:18">
      <c r="A904">
        <v>903</v>
      </c>
      <c r="B904" t="s">
        <v>2976</v>
      </c>
      <c r="C904" t="s">
        <v>2977</v>
      </c>
      <c r="D904" t="s">
        <v>2976</v>
      </c>
      <c r="E904" t="s">
        <v>24</v>
      </c>
      <c r="G904" t="str">
        <f>_xlfn.XLOOKUP(frasest[[#This Row],[autor_es]],autorest[autor_es],autorest[autor_la])</f>
        <v>Sententia Hispanica</v>
      </c>
      <c r="H904" t="str">
        <f>_xlfn.XLOOKUP(frasest[[#This Row],[autor_es]],autorest[autor_es],autorest[bio_es])</f>
        <v>Refranes populares de la tradición oral hispana que expresan de forma breve y ingeniosa enseñanzas prácticas sobre la vida cotidiana.</v>
      </c>
      <c r="I904" t="str">
        <f>_xlfn.XLOOKUP(frasest[[#This Row],[autor_es]],autorest[autor_es],autorest[bio_la])</f>
        <v>Collectio sententiarum Hispanicarum.</v>
      </c>
      <c r="J904" t="str">
        <f>_xlfn.XLOOKUP(frasest[[#This Row],[autor_es]],autorest[autor_es],autorest[codigo])</f>
        <v>es</v>
      </c>
      <c r="K904" t="str">
        <f>_xlfn.XLOOKUP(frasest[[#This Row],[autor_es]],autorest[autor_es],autorest[idioma_es])</f>
        <v>Español</v>
      </c>
      <c r="L904" t="str">
        <f>_xlfn.XLOOKUP(frasest[[#This Row],[autor_es]],autorest[autor_es],autorest[idioma_la])</f>
        <v>Lingua Hispanica</v>
      </c>
      <c r="M904" t="str">
        <f>_xlfn.XLOOKUP(frasest[[#This Row],[autor_es]],autorest[autor_es],autorest[nacion_es])</f>
        <v>España</v>
      </c>
      <c r="N904" t="str">
        <f>_xlfn.XLOOKUP(frasest[[#This Row],[autor_es]],autorest[autor_es],autorest[nacion_la])</f>
        <v>Hispania</v>
      </c>
      <c r="O904" t="str">
        <f>_xlfn.XLOOKUP(frasest[[#This Row],[autor_es]],autorest[autor_es],autorest[epoca_es])</f>
        <v>Epoca Desconocida</v>
      </c>
      <c r="P904" t="str">
        <f>_xlfn.XLOOKUP(frasest[[#This Row],[autor_es]],autorest[autor_es],autorest[epoca_la])</f>
        <v>Epocha Ignota</v>
      </c>
      <c r="Q904" t="str">
        <f>_xlfn.XLOOKUP(frasest[[#This Row],[autor_es]],autorest[autor_es],autorest[imagen])</f>
        <v>https://i.ibb.co/Y4f7TZWm/espa-a.png</v>
      </c>
      <c r="R904">
        <f>_xlfn.XLOOKUP(frasest[[#This Row],[autor_es]],autorest[autor_es],autorest[imagen_atr])</f>
        <v>0</v>
      </c>
    </row>
    <row r="905" spans="1:18">
      <c r="A905">
        <v>904</v>
      </c>
      <c r="B905" t="s">
        <v>2978</v>
      </c>
      <c r="C905" t="s">
        <v>2979</v>
      </c>
      <c r="D905" t="s">
        <v>2978</v>
      </c>
      <c r="E905" t="s">
        <v>24</v>
      </c>
      <c r="G905" t="str">
        <f>_xlfn.XLOOKUP(frasest[[#This Row],[autor_es]],autorest[autor_es],autorest[autor_la])</f>
        <v>Sententia Hispanica</v>
      </c>
      <c r="H905" t="str">
        <f>_xlfn.XLOOKUP(frasest[[#This Row],[autor_es]],autorest[autor_es],autorest[bio_es])</f>
        <v>Refranes populares de la tradición oral hispana que expresan de forma breve y ingeniosa enseñanzas prácticas sobre la vida cotidiana.</v>
      </c>
      <c r="I905" t="str">
        <f>_xlfn.XLOOKUP(frasest[[#This Row],[autor_es]],autorest[autor_es],autorest[bio_la])</f>
        <v>Collectio sententiarum Hispanicarum.</v>
      </c>
      <c r="J905" t="str">
        <f>_xlfn.XLOOKUP(frasest[[#This Row],[autor_es]],autorest[autor_es],autorest[codigo])</f>
        <v>es</v>
      </c>
      <c r="K905" t="str">
        <f>_xlfn.XLOOKUP(frasest[[#This Row],[autor_es]],autorest[autor_es],autorest[idioma_es])</f>
        <v>Español</v>
      </c>
      <c r="L905" t="str">
        <f>_xlfn.XLOOKUP(frasest[[#This Row],[autor_es]],autorest[autor_es],autorest[idioma_la])</f>
        <v>Lingua Hispanica</v>
      </c>
      <c r="M905" t="str">
        <f>_xlfn.XLOOKUP(frasest[[#This Row],[autor_es]],autorest[autor_es],autorest[nacion_es])</f>
        <v>España</v>
      </c>
      <c r="N905" t="str">
        <f>_xlfn.XLOOKUP(frasest[[#This Row],[autor_es]],autorest[autor_es],autorest[nacion_la])</f>
        <v>Hispania</v>
      </c>
      <c r="O905" t="str">
        <f>_xlfn.XLOOKUP(frasest[[#This Row],[autor_es]],autorest[autor_es],autorest[epoca_es])</f>
        <v>Epoca Desconocida</v>
      </c>
      <c r="P905" t="str">
        <f>_xlfn.XLOOKUP(frasest[[#This Row],[autor_es]],autorest[autor_es],autorest[epoca_la])</f>
        <v>Epocha Ignota</v>
      </c>
      <c r="Q905" t="str">
        <f>_xlfn.XLOOKUP(frasest[[#This Row],[autor_es]],autorest[autor_es],autorest[imagen])</f>
        <v>https://i.ibb.co/Y4f7TZWm/espa-a.png</v>
      </c>
      <c r="R905">
        <f>_xlfn.XLOOKUP(frasest[[#This Row],[autor_es]],autorest[autor_es],autorest[imagen_atr])</f>
        <v>0</v>
      </c>
    </row>
    <row r="906" spans="1:18">
      <c r="A906">
        <v>905</v>
      </c>
      <c r="B906" t="s">
        <v>2980</v>
      </c>
      <c r="C906" t="s">
        <v>2981</v>
      </c>
      <c r="D906" t="s">
        <v>2980</v>
      </c>
      <c r="E906" t="s">
        <v>24</v>
      </c>
      <c r="G906" t="str">
        <f>_xlfn.XLOOKUP(frasest[[#This Row],[autor_es]],autorest[autor_es],autorest[autor_la])</f>
        <v>Sententia Hispanica</v>
      </c>
      <c r="H906" t="str">
        <f>_xlfn.XLOOKUP(frasest[[#This Row],[autor_es]],autorest[autor_es],autorest[bio_es])</f>
        <v>Refranes populares de la tradición oral hispana que expresan de forma breve y ingeniosa enseñanzas prácticas sobre la vida cotidiana.</v>
      </c>
      <c r="I906" t="str">
        <f>_xlfn.XLOOKUP(frasest[[#This Row],[autor_es]],autorest[autor_es],autorest[bio_la])</f>
        <v>Collectio sententiarum Hispanicarum.</v>
      </c>
      <c r="J906" t="str">
        <f>_xlfn.XLOOKUP(frasest[[#This Row],[autor_es]],autorest[autor_es],autorest[codigo])</f>
        <v>es</v>
      </c>
      <c r="K906" t="str">
        <f>_xlfn.XLOOKUP(frasest[[#This Row],[autor_es]],autorest[autor_es],autorest[idioma_es])</f>
        <v>Español</v>
      </c>
      <c r="L906" t="str">
        <f>_xlfn.XLOOKUP(frasest[[#This Row],[autor_es]],autorest[autor_es],autorest[idioma_la])</f>
        <v>Lingua Hispanica</v>
      </c>
      <c r="M906" t="str">
        <f>_xlfn.XLOOKUP(frasest[[#This Row],[autor_es]],autorest[autor_es],autorest[nacion_es])</f>
        <v>España</v>
      </c>
      <c r="N906" t="str">
        <f>_xlfn.XLOOKUP(frasest[[#This Row],[autor_es]],autorest[autor_es],autorest[nacion_la])</f>
        <v>Hispania</v>
      </c>
      <c r="O906" t="str">
        <f>_xlfn.XLOOKUP(frasest[[#This Row],[autor_es]],autorest[autor_es],autorest[epoca_es])</f>
        <v>Epoca Desconocida</v>
      </c>
      <c r="P906" t="str">
        <f>_xlfn.XLOOKUP(frasest[[#This Row],[autor_es]],autorest[autor_es],autorest[epoca_la])</f>
        <v>Epocha Ignota</v>
      </c>
      <c r="Q906" t="str">
        <f>_xlfn.XLOOKUP(frasest[[#This Row],[autor_es]],autorest[autor_es],autorest[imagen])</f>
        <v>https://i.ibb.co/Y4f7TZWm/espa-a.png</v>
      </c>
      <c r="R906">
        <f>_xlfn.XLOOKUP(frasest[[#This Row],[autor_es]],autorest[autor_es],autorest[imagen_atr])</f>
        <v>0</v>
      </c>
    </row>
    <row r="907" spans="1:18">
      <c r="A907">
        <v>906</v>
      </c>
      <c r="B907" t="s">
        <v>2982</v>
      </c>
      <c r="C907" t="s">
        <v>2983</v>
      </c>
      <c r="D907" t="s">
        <v>2982</v>
      </c>
      <c r="E907" t="s">
        <v>24</v>
      </c>
      <c r="G907" t="str">
        <f>_xlfn.XLOOKUP(frasest[[#This Row],[autor_es]],autorest[autor_es],autorest[autor_la])</f>
        <v>Sententia Hispanica</v>
      </c>
      <c r="H907" t="str">
        <f>_xlfn.XLOOKUP(frasest[[#This Row],[autor_es]],autorest[autor_es],autorest[bio_es])</f>
        <v>Refranes populares de la tradición oral hispana que expresan de forma breve y ingeniosa enseñanzas prácticas sobre la vida cotidiana.</v>
      </c>
      <c r="I907" t="str">
        <f>_xlfn.XLOOKUP(frasest[[#This Row],[autor_es]],autorest[autor_es],autorest[bio_la])</f>
        <v>Collectio sententiarum Hispanicarum.</v>
      </c>
      <c r="J907" t="str">
        <f>_xlfn.XLOOKUP(frasest[[#This Row],[autor_es]],autorest[autor_es],autorest[codigo])</f>
        <v>es</v>
      </c>
      <c r="K907" t="str">
        <f>_xlfn.XLOOKUP(frasest[[#This Row],[autor_es]],autorest[autor_es],autorest[idioma_es])</f>
        <v>Español</v>
      </c>
      <c r="L907" t="str">
        <f>_xlfn.XLOOKUP(frasest[[#This Row],[autor_es]],autorest[autor_es],autorest[idioma_la])</f>
        <v>Lingua Hispanica</v>
      </c>
      <c r="M907" t="str">
        <f>_xlfn.XLOOKUP(frasest[[#This Row],[autor_es]],autorest[autor_es],autorest[nacion_es])</f>
        <v>España</v>
      </c>
      <c r="N907" t="str">
        <f>_xlfn.XLOOKUP(frasest[[#This Row],[autor_es]],autorest[autor_es],autorest[nacion_la])</f>
        <v>Hispania</v>
      </c>
      <c r="O907" t="str">
        <f>_xlfn.XLOOKUP(frasest[[#This Row],[autor_es]],autorest[autor_es],autorest[epoca_es])</f>
        <v>Epoca Desconocida</v>
      </c>
      <c r="P907" t="str">
        <f>_xlfn.XLOOKUP(frasest[[#This Row],[autor_es]],autorest[autor_es],autorest[epoca_la])</f>
        <v>Epocha Ignota</v>
      </c>
      <c r="Q907" t="str">
        <f>_xlfn.XLOOKUP(frasest[[#This Row],[autor_es]],autorest[autor_es],autorest[imagen])</f>
        <v>https://i.ibb.co/Y4f7TZWm/espa-a.png</v>
      </c>
      <c r="R907">
        <f>_xlfn.XLOOKUP(frasest[[#This Row],[autor_es]],autorest[autor_es],autorest[imagen_atr])</f>
        <v>0</v>
      </c>
    </row>
    <row r="908" spans="1:18">
      <c r="A908">
        <v>907</v>
      </c>
      <c r="B908" t="s">
        <v>2984</v>
      </c>
      <c r="C908" t="s">
        <v>2985</v>
      </c>
      <c r="D908" t="s">
        <v>2984</v>
      </c>
      <c r="E908" t="s">
        <v>24</v>
      </c>
      <c r="G908" t="str">
        <f>_xlfn.XLOOKUP(frasest[[#This Row],[autor_es]],autorest[autor_es],autorest[autor_la])</f>
        <v>Sententia Hispanica</v>
      </c>
      <c r="H908" t="str">
        <f>_xlfn.XLOOKUP(frasest[[#This Row],[autor_es]],autorest[autor_es],autorest[bio_es])</f>
        <v>Refranes populares de la tradición oral hispana que expresan de forma breve y ingeniosa enseñanzas prácticas sobre la vida cotidiana.</v>
      </c>
      <c r="I908" t="str">
        <f>_xlfn.XLOOKUP(frasest[[#This Row],[autor_es]],autorest[autor_es],autorest[bio_la])</f>
        <v>Collectio sententiarum Hispanicarum.</v>
      </c>
      <c r="J908" t="str">
        <f>_xlfn.XLOOKUP(frasest[[#This Row],[autor_es]],autorest[autor_es],autorest[codigo])</f>
        <v>es</v>
      </c>
      <c r="K908" t="str">
        <f>_xlfn.XLOOKUP(frasest[[#This Row],[autor_es]],autorest[autor_es],autorest[idioma_es])</f>
        <v>Español</v>
      </c>
      <c r="L908" t="str">
        <f>_xlfn.XLOOKUP(frasest[[#This Row],[autor_es]],autorest[autor_es],autorest[idioma_la])</f>
        <v>Lingua Hispanica</v>
      </c>
      <c r="M908" t="str">
        <f>_xlfn.XLOOKUP(frasest[[#This Row],[autor_es]],autorest[autor_es],autorest[nacion_es])</f>
        <v>España</v>
      </c>
      <c r="N908" t="str">
        <f>_xlfn.XLOOKUP(frasest[[#This Row],[autor_es]],autorest[autor_es],autorest[nacion_la])</f>
        <v>Hispania</v>
      </c>
      <c r="O908" t="str">
        <f>_xlfn.XLOOKUP(frasest[[#This Row],[autor_es]],autorest[autor_es],autorest[epoca_es])</f>
        <v>Epoca Desconocida</v>
      </c>
      <c r="P908" t="str">
        <f>_xlfn.XLOOKUP(frasest[[#This Row],[autor_es]],autorest[autor_es],autorest[epoca_la])</f>
        <v>Epocha Ignota</v>
      </c>
      <c r="Q908" t="str">
        <f>_xlfn.XLOOKUP(frasest[[#This Row],[autor_es]],autorest[autor_es],autorest[imagen])</f>
        <v>https://i.ibb.co/Y4f7TZWm/espa-a.png</v>
      </c>
      <c r="R908">
        <f>_xlfn.XLOOKUP(frasest[[#This Row],[autor_es]],autorest[autor_es],autorest[imagen_atr])</f>
        <v>0</v>
      </c>
    </row>
    <row r="909" spans="1:18">
      <c r="A909">
        <v>908</v>
      </c>
      <c r="B909" t="s">
        <v>2986</v>
      </c>
      <c r="C909" t="s">
        <v>2987</v>
      </c>
      <c r="D909" t="s">
        <v>2986</v>
      </c>
      <c r="E909" t="s">
        <v>24</v>
      </c>
      <c r="G909" t="str">
        <f>_xlfn.XLOOKUP(frasest[[#This Row],[autor_es]],autorest[autor_es],autorest[autor_la])</f>
        <v>Sententia Hispanica</v>
      </c>
      <c r="H909" t="str">
        <f>_xlfn.XLOOKUP(frasest[[#This Row],[autor_es]],autorest[autor_es],autorest[bio_es])</f>
        <v>Refranes populares de la tradición oral hispana que expresan de forma breve y ingeniosa enseñanzas prácticas sobre la vida cotidiana.</v>
      </c>
      <c r="I909" t="str">
        <f>_xlfn.XLOOKUP(frasest[[#This Row],[autor_es]],autorest[autor_es],autorest[bio_la])</f>
        <v>Collectio sententiarum Hispanicarum.</v>
      </c>
      <c r="J909" t="str">
        <f>_xlfn.XLOOKUP(frasest[[#This Row],[autor_es]],autorest[autor_es],autorest[codigo])</f>
        <v>es</v>
      </c>
      <c r="K909" t="str">
        <f>_xlfn.XLOOKUP(frasest[[#This Row],[autor_es]],autorest[autor_es],autorest[idioma_es])</f>
        <v>Español</v>
      </c>
      <c r="L909" t="str">
        <f>_xlfn.XLOOKUP(frasest[[#This Row],[autor_es]],autorest[autor_es],autorest[idioma_la])</f>
        <v>Lingua Hispanica</v>
      </c>
      <c r="M909" t="str">
        <f>_xlfn.XLOOKUP(frasest[[#This Row],[autor_es]],autorest[autor_es],autorest[nacion_es])</f>
        <v>España</v>
      </c>
      <c r="N909" t="str">
        <f>_xlfn.XLOOKUP(frasest[[#This Row],[autor_es]],autorest[autor_es],autorest[nacion_la])</f>
        <v>Hispania</v>
      </c>
      <c r="O909" t="str">
        <f>_xlfn.XLOOKUP(frasest[[#This Row],[autor_es]],autorest[autor_es],autorest[epoca_es])</f>
        <v>Epoca Desconocida</v>
      </c>
      <c r="P909" t="str">
        <f>_xlfn.XLOOKUP(frasest[[#This Row],[autor_es]],autorest[autor_es],autorest[epoca_la])</f>
        <v>Epocha Ignota</v>
      </c>
      <c r="Q909" t="str">
        <f>_xlfn.XLOOKUP(frasest[[#This Row],[autor_es]],autorest[autor_es],autorest[imagen])</f>
        <v>https://i.ibb.co/Y4f7TZWm/espa-a.png</v>
      </c>
      <c r="R909">
        <f>_xlfn.XLOOKUP(frasest[[#This Row],[autor_es]],autorest[autor_es],autorest[imagen_atr])</f>
        <v>0</v>
      </c>
    </row>
    <row r="910" spans="1:18">
      <c r="A910">
        <v>909</v>
      </c>
      <c r="B910" t="s">
        <v>2377</v>
      </c>
      <c r="C910" t="s">
        <v>2378</v>
      </c>
      <c r="D910" t="s">
        <v>2377</v>
      </c>
      <c r="E910" t="s">
        <v>24</v>
      </c>
      <c r="G910" t="str">
        <f>_xlfn.XLOOKUP(frasest[[#This Row],[autor_es]],autorest[autor_es],autorest[autor_la])</f>
        <v>Sententia Hispanica</v>
      </c>
      <c r="H910" t="str">
        <f>_xlfn.XLOOKUP(frasest[[#This Row],[autor_es]],autorest[autor_es],autorest[bio_es])</f>
        <v>Refranes populares de la tradición oral hispana que expresan de forma breve y ingeniosa enseñanzas prácticas sobre la vida cotidiana.</v>
      </c>
      <c r="I910" t="str">
        <f>_xlfn.XLOOKUP(frasest[[#This Row],[autor_es]],autorest[autor_es],autorest[bio_la])</f>
        <v>Collectio sententiarum Hispanicarum.</v>
      </c>
      <c r="J910" t="str">
        <f>_xlfn.XLOOKUP(frasest[[#This Row],[autor_es]],autorest[autor_es],autorest[codigo])</f>
        <v>es</v>
      </c>
      <c r="K910" t="str">
        <f>_xlfn.XLOOKUP(frasest[[#This Row],[autor_es]],autorest[autor_es],autorest[idioma_es])</f>
        <v>Español</v>
      </c>
      <c r="L910" t="str">
        <f>_xlfn.XLOOKUP(frasest[[#This Row],[autor_es]],autorest[autor_es],autorest[idioma_la])</f>
        <v>Lingua Hispanica</v>
      </c>
      <c r="M910" t="str">
        <f>_xlfn.XLOOKUP(frasest[[#This Row],[autor_es]],autorest[autor_es],autorest[nacion_es])</f>
        <v>España</v>
      </c>
      <c r="N910" t="str">
        <f>_xlfn.XLOOKUP(frasest[[#This Row],[autor_es]],autorest[autor_es],autorest[nacion_la])</f>
        <v>Hispania</v>
      </c>
      <c r="O910" t="str">
        <f>_xlfn.XLOOKUP(frasest[[#This Row],[autor_es]],autorest[autor_es],autorest[epoca_es])</f>
        <v>Epoca Desconocida</v>
      </c>
      <c r="P910" t="str">
        <f>_xlfn.XLOOKUP(frasest[[#This Row],[autor_es]],autorest[autor_es],autorest[epoca_la])</f>
        <v>Epocha Ignota</v>
      </c>
      <c r="Q910" t="str">
        <f>_xlfn.XLOOKUP(frasest[[#This Row],[autor_es]],autorest[autor_es],autorest[imagen])</f>
        <v>https://i.ibb.co/Y4f7TZWm/espa-a.png</v>
      </c>
      <c r="R910">
        <f>_xlfn.XLOOKUP(frasest[[#This Row],[autor_es]],autorest[autor_es],autorest[imagen_atr])</f>
        <v>0</v>
      </c>
    </row>
    <row r="911" spans="1:18">
      <c r="A911">
        <v>910</v>
      </c>
      <c r="B911" t="s">
        <v>2988</v>
      </c>
      <c r="C911" t="s">
        <v>2989</v>
      </c>
      <c r="D911" t="s">
        <v>2988</v>
      </c>
      <c r="E911" t="s">
        <v>24</v>
      </c>
      <c r="G911" t="str">
        <f>_xlfn.XLOOKUP(frasest[[#This Row],[autor_es]],autorest[autor_es],autorest[autor_la])</f>
        <v>Sententia Hispanica</v>
      </c>
      <c r="H911" t="str">
        <f>_xlfn.XLOOKUP(frasest[[#This Row],[autor_es]],autorest[autor_es],autorest[bio_es])</f>
        <v>Refranes populares de la tradición oral hispana que expresan de forma breve y ingeniosa enseñanzas prácticas sobre la vida cotidiana.</v>
      </c>
      <c r="I911" t="str">
        <f>_xlfn.XLOOKUP(frasest[[#This Row],[autor_es]],autorest[autor_es],autorest[bio_la])</f>
        <v>Collectio sententiarum Hispanicarum.</v>
      </c>
      <c r="J911" t="str">
        <f>_xlfn.XLOOKUP(frasest[[#This Row],[autor_es]],autorest[autor_es],autorest[codigo])</f>
        <v>es</v>
      </c>
      <c r="K911" t="str">
        <f>_xlfn.XLOOKUP(frasest[[#This Row],[autor_es]],autorest[autor_es],autorest[idioma_es])</f>
        <v>Español</v>
      </c>
      <c r="L911" t="str">
        <f>_xlfn.XLOOKUP(frasest[[#This Row],[autor_es]],autorest[autor_es],autorest[idioma_la])</f>
        <v>Lingua Hispanica</v>
      </c>
      <c r="M911" t="str">
        <f>_xlfn.XLOOKUP(frasest[[#This Row],[autor_es]],autorest[autor_es],autorest[nacion_es])</f>
        <v>España</v>
      </c>
      <c r="N911" t="str">
        <f>_xlfn.XLOOKUP(frasest[[#This Row],[autor_es]],autorest[autor_es],autorest[nacion_la])</f>
        <v>Hispania</v>
      </c>
      <c r="O911" t="str">
        <f>_xlfn.XLOOKUP(frasest[[#This Row],[autor_es]],autorest[autor_es],autorest[epoca_es])</f>
        <v>Epoca Desconocida</v>
      </c>
      <c r="P911" t="str">
        <f>_xlfn.XLOOKUP(frasest[[#This Row],[autor_es]],autorest[autor_es],autorest[epoca_la])</f>
        <v>Epocha Ignota</v>
      </c>
      <c r="Q911" t="str">
        <f>_xlfn.XLOOKUP(frasest[[#This Row],[autor_es]],autorest[autor_es],autorest[imagen])</f>
        <v>https://i.ibb.co/Y4f7TZWm/espa-a.png</v>
      </c>
      <c r="R911">
        <f>_xlfn.XLOOKUP(frasest[[#This Row],[autor_es]],autorest[autor_es],autorest[imagen_atr])</f>
        <v>0</v>
      </c>
    </row>
    <row r="912" spans="1:18">
      <c r="A912">
        <v>911</v>
      </c>
      <c r="B912" t="s">
        <v>2990</v>
      </c>
      <c r="C912" t="s">
        <v>2991</v>
      </c>
      <c r="D912" t="s">
        <v>2990</v>
      </c>
      <c r="E912" t="s">
        <v>24</v>
      </c>
      <c r="G912" t="str">
        <f>_xlfn.XLOOKUP(frasest[[#This Row],[autor_es]],autorest[autor_es],autorest[autor_la])</f>
        <v>Sententia Hispanica</v>
      </c>
      <c r="H912" t="str">
        <f>_xlfn.XLOOKUP(frasest[[#This Row],[autor_es]],autorest[autor_es],autorest[bio_es])</f>
        <v>Refranes populares de la tradición oral hispana que expresan de forma breve y ingeniosa enseñanzas prácticas sobre la vida cotidiana.</v>
      </c>
      <c r="I912" t="str">
        <f>_xlfn.XLOOKUP(frasest[[#This Row],[autor_es]],autorest[autor_es],autorest[bio_la])</f>
        <v>Collectio sententiarum Hispanicarum.</v>
      </c>
      <c r="J912" t="str">
        <f>_xlfn.XLOOKUP(frasest[[#This Row],[autor_es]],autorest[autor_es],autorest[codigo])</f>
        <v>es</v>
      </c>
      <c r="K912" t="str">
        <f>_xlfn.XLOOKUP(frasest[[#This Row],[autor_es]],autorest[autor_es],autorest[idioma_es])</f>
        <v>Español</v>
      </c>
      <c r="L912" t="str">
        <f>_xlfn.XLOOKUP(frasest[[#This Row],[autor_es]],autorest[autor_es],autorest[idioma_la])</f>
        <v>Lingua Hispanica</v>
      </c>
      <c r="M912" t="str">
        <f>_xlfn.XLOOKUP(frasest[[#This Row],[autor_es]],autorest[autor_es],autorest[nacion_es])</f>
        <v>España</v>
      </c>
      <c r="N912" t="str">
        <f>_xlfn.XLOOKUP(frasest[[#This Row],[autor_es]],autorest[autor_es],autorest[nacion_la])</f>
        <v>Hispania</v>
      </c>
      <c r="O912" t="str">
        <f>_xlfn.XLOOKUP(frasest[[#This Row],[autor_es]],autorest[autor_es],autorest[epoca_es])</f>
        <v>Epoca Desconocida</v>
      </c>
      <c r="P912" t="str">
        <f>_xlfn.XLOOKUP(frasest[[#This Row],[autor_es]],autorest[autor_es],autorest[epoca_la])</f>
        <v>Epocha Ignota</v>
      </c>
      <c r="Q912" t="str">
        <f>_xlfn.XLOOKUP(frasest[[#This Row],[autor_es]],autorest[autor_es],autorest[imagen])</f>
        <v>https://i.ibb.co/Y4f7TZWm/espa-a.png</v>
      </c>
      <c r="R912">
        <f>_xlfn.XLOOKUP(frasest[[#This Row],[autor_es]],autorest[autor_es],autorest[imagen_atr])</f>
        <v>0</v>
      </c>
    </row>
    <row r="913" spans="1:18">
      <c r="A913">
        <v>912</v>
      </c>
      <c r="B913" t="s">
        <v>2992</v>
      </c>
      <c r="C913" t="s">
        <v>2993</v>
      </c>
      <c r="D913" t="s">
        <v>2992</v>
      </c>
      <c r="E913" t="s">
        <v>24</v>
      </c>
      <c r="G913" t="str">
        <f>_xlfn.XLOOKUP(frasest[[#This Row],[autor_es]],autorest[autor_es],autorest[autor_la])</f>
        <v>Sententia Hispanica</v>
      </c>
      <c r="H913" t="str">
        <f>_xlfn.XLOOKUP(frasest[[#This Row],[autor_es]],autorest[autor_es],autorest[bio_es])</f>
        <v>Refranes populares de la tradición oral hispana que expresan de forma breve y ingeniosa enseñanzas prácticas sobre la vida cotidiana.</v>
      </c>
      <c r="I913" t="str">
        <f>_xlfn.XLOOKUP(frasest[[#This Row],[autor_es]],autorest[autor_es],autorest[bio_la])</f>
        <v>Collectio sententiarum Hispanicarum.</v>
      </c>
      <c r="J913" t="str">
        <f>_xlfn.XLOOKUP(frasest[[#This Row],[autor_es]],autorest[autor_es],autorest[codigo])</f>
        <v>es</v>
      </c>
      <c r="K913" t="str">
        <f>_xlfn.XLOOKUP(frasest[[#This Row],[autor_es]],autorest[autor_es],autorest[idioma_es])</f>
        <v>Español</v>
      </c>
      <c r="L913" t="str">
        <f>_xlfn.XLOOKUP(frasest[[#This Row],[autor_es]],autorest[autor_es],autorest[idioma_la])</f>
        <v>Lingua Hispanica</v>
      </c>
      <c r="M913" t="str">
        <f>_xlfn.XLOOKUP(frasest[[#This Row],[autor_es]],autorest[autor_es],autorest[nacion_es])</f>
        <v>España</v>
      </c>
      <c r="N913" t="str">
        <f>_xlfn.XLOOKUP(frasest[[#This Row],[autor_es]],autorest[autor_es],autorest[nacion_la])</f>
        <v>Hispania</v>
      </c>
      <c r="O913" t="str">
        <f>_xlfn.XLOOKUP(frasest[[#This Row],[autor_es]],autorest[autor_es],autorest[epoca_es])</f>
        <v>Epoca Desconocida</v>
      </c>
      <c r="P913" t="str">
        <f>_xlfn.XLOOKUP(frasest[[#This Row],[autor_es]],autorest[autor_es],autorest[epoca_la])</f>
        <v>Epocha Ignota</v>
      </c>
      <c r="Q913" t="str">
        <f>_xlfn.XLOOKUP(frasest[[#This Row],[autor_es]],autorest[autor_es],autorest[imagen])</f>
        <v>https://i.ibb.co/Y4f7TZWm/espa-a.png</v>
      </c>
      <c r="R913">
        <f>_xlfn.XLOOKUP(frasest[[#This Row],[autor_es]],autorest[autor_es],autorest[imagen_atr])</f>
        <v>0</v>
      </c>
    </row>
    <row r="914" spans="1:18">
      <c r="A914">
        <v>913</v>
      </c>
      <c r="B914" t="s">
        <v>2994</v>
      </c>
      <c r="C914" t="s">
        <v>2995</v>
      </c>
      <c r="D914" t="s">
        <v>2994</v>
      </c>
      <c r="E914" t="s">
        <v>24</v>
      </c>
      <c r="G914" t="str">
        <f>_xlfn.XLOOKUP(frasest[[#This Row],[autor_es]],autorest[autor_es],autorest[autor_la])</f>
        <v>Sententia Hispanica</v>
      </c>
      <c r="H914" t="str">
        <f>_xlfn.XLOOKUP(frasest[[#This Row],[autor_es]],autorest[autor_es],autorest[bio_es])</f>
        <v>Refranes populares de la tradición oral hispana que expresan de forma breve y ingeniosa enseñanzas prácticas sobre la vida cotidiana.</v>
      </c>
      <c r="I914" t="str">
        <f>_xlfn.XLOOKUP(frasest[[#This Row],[autor_es]],autorest[autor_es],autorest[bio_la])</f>
        <v>Collectio sententiarum Hispanicarum.</v>
      </c>
      <c r="J914" t="str">
        <f>_xlfn.XLOOKUP(frasest[[#This Row],[autor_es]],autorest[autor_es],autorest[codigo])</f>
        <v>es</v>
      </c>
      <c r="K914" t="str">
        <f>_xlfn.XLOOKUP(frasest[[#This Row],[autor_es]],autorest[autor_es],autorest[idioma_es])</f>
        <v>Español</v>
      </c>
      <c r="L914" t="str">
        <f>_xlfn.XLOOKUP(frasest[[#This Row],[autor_es]],autorest[autor_es],autorest[idioma_la])</f>
        <v>Lingua Hispanica</v>
      </c>
      <c r="M914" t="str">
        <f>_xlfn.XLOOKUP(frasest[[#This Row],[autor_es]],autorest[autor_es],autorest[nacion_es])</f>
        <v>España</v>
      </c>
      <c r="N914" t="str">
        <f>_xlfn.XLOOKUP(frasest[[#This Row],[autor_es]],autorest[autor_es],autorest[nacion_la])</f>
        <v>Hispania</v>
      </c>
      <c r="O914" t="str">
        <f>_xlfn.XLOOKUP(frasest[[#This Row],[autor_es]],autorest[autor_es],autorest[epoca_es])</f>
        <v>Epoca Desconocida</v>
      </c>
      <c r="P914" t="str">
        <f>_xlfn.XLOOKUP(frasest[[#This Row],[autor_es]],autorest[autor_es],autorest[epoca_la])</f>
        <v>Epocha Ignota</v>
      </c>
      <c r="Q914" t="str">
        <f>_xlfn.XLOOKUP(frasest[[#This Row],[autor_es]],autorest[autor_es],autorest[imagen])</f>
        <v>https://i.ibb.co/Y4f7TZWm/espa-a.png</v>
      </c>
      <c r="R914">
        <f>_xlfn.XLOOKUP(frasest[[#This Row],[autor_es]],autorest[autor_es],autorest[imagen_atr])</f>
        <v>0</v>
      </c>
    </row>
    <row r="915" spans="1:18">
      <c r="A915">
        <v>914</v>
      </c>
      <c r="B915" t="s">
        <v>2996</v>
      </c>
      <c r="C915" t="s">
        <v>2997</v>
      </c>
      <c r="D915" t="s">
        <v>2996</v>
      </c>
      <c r="E915" t="s">
        <v>24</v>
      </c>
      <c r="G915" t="str">
        <f>_xlfn.XLOOKUP(frasest[[#This Row],[autor_es]],autorest[autor_es],autorest[autor_la])</f>
        <v>Sententia Hispanica</v>
      </c>
      <c r="H915" t="str">
        <f>_xlfn.XLOOKUP(frasest[[#This Row],[autor_es]],autorest[autor_es],autorest[bio_es])</f>
        <v>Refranes populares de la tradición oral hispana que expresan de forma breve y ingeniosa enseñanzas prácticas sobre la vida cotidiana.</v>
      </c>
      <c r="I915" t="str">
        <f>_xlfn.XLOOKUP(frasest[[#This Row],[autor_es]],autorest[autor_es],autorest[bio_la])</f>
        <v>Collectio sententiarum Hispanicarum.</v>
      </c>
      <c r="J915" t="str">
        <f>_xlfn.XLOOKUP(frasest[[#This Row],[autor_es]],autorest[autor_es],autorest[codigo])</f>
        <v>es</v>
      </c>
      <c r="K915" t="str">
        <f>_xlfn.XLOOKUP(frasest[[#This Row],[autor_es]],autorest[autor_es],autorest[idioma_es])</f>
        <v>Español</v>
      </c>
      <c r="L915" t="str">
        <f>_xlfn.XLOOKUP(frasest[[#This Row],[autor_es]],autorest[autor_es],autorest[idioma_la])</f>
        <v>Lingua Hispanica</v>
      </c>
      <c r="M915" t="str">
        <f>_xlfn.XLOOKUP(frasest[[#This Row],[autor_es]],autorest[autor_es],autorest[nacion_es])</f>
        <v>España</v>
      </c>
      <c r="N915" t="str">
        <f>_xlfn.XLOOKUP(frasest[[#This Row],[autor_es]],autorest[autor_es],autorest[nacion_la])</f>
        <v>Hispania</v>
      </c>
      <c r="O915" t="str">
        <f>_xlfn.XLOOKUP(frasest[[#This Row],[autor_es]],autorest[autor_es],autorest[epoca_es])</f>
        <v>Epoca Desconocida</v>
      </c>
      <c r="P915" t="str">
        <f>_xlfn.XLOOKUP(frasest[[#This Row],[autor_es]],autorest[autor_es],autorest[epoca_la])</f>
        <v>Epocha Ignota</v>
      </c>
      <c r="Q915" t="str">
        <f>_xlfn.XLOOKUP(frasest[[#This Row],[autor_es]],autorest[autor_es],autorest[imagen])</f>
        <v>https://i.ibb.co/Y4f7TZWm/espa-a.png</v>
      </c>
      <c r="R915">
        <f>_xlfn.XLOOKUP(frasest[[#This Row],[autor_es]],autorest[autor_es],autorest[imagen_atr])</f>
        <v>0</v>
      </c>
    </row>
    <row r="916" spans="1:18">
      <c r="A916">
        <v>915</v>
      </c>
      <c r="B916" t="s">
        <v>2998</v>
      </c>
      <c r="C916" t="s">
        <v>2999</v>
      </c>
      <c r="D916" t="s">
        <v>2998</v>
      </c>
      <c r="E916" t="s">
        <v>24</v>
      </c>
      <c r="G916" t="str">
        <f>_xlfn.XLOOKUP(frasest[[#This Row],[autor_es]],autorest[autor_es],autorest[autor_la])</f>
        <v>Sententia Hispanica</v>
      </c>
      <c r="H916" t="str">
        <f>_xlfn.XLOOKUP(frasest[[#This Row],[autor_es]],autorest[autor_es],autorest[bio_es])</f>
        <v>Refranes populares de la tradición oral hispana que expresan de forma breve y ingeniosa enseñanzas prácticas sobre la vida cotidiana.</v>
      </c>
      <c r="I916" t="str">
        <f>_xlfn.XLOOKUP(frasest[[#This Row],[autor_es]],autorest[autor_es],autorest[bio_la])</f>
        <v>Collectio sententiarum Hispanicarum.</v>
      </c>
      <c r="J916" t="str">
        <f>_xlfn.XLOOKUP(frasest[[#This Row],[autor_es]],autorest[autor_es],autorest[codigo])</f>
        <v>es</v>
      </c>
      <c r="K916" t="str">
        <f>_xlfn.XLOOKUP(frasest[[#This Row],[autor_es]],autorest[autor_es],autorest[idioma_es])</f>
        <v>Español</v>
      </c>
      <c r="L916" t="str">
        <f>_xlfn.XLOOKUP(frasest[[#This Row],[autor_es]],autorest[autor_es],autorest[idioma_la])</f>
        <v>Lingua Hispanica</v>
      </c>
      <c r="M916" t="str">
        <f>_xlfn.XLOOKUP(frasest[[#This Row],[autor_es]],autorest[autor_es],autorest[nacion_es])</f>
        <v>España</v>
      </c>
      <c r="N916" t="str">
        <f>_xlfn.XLOOKUP(frasest[[#This Row],[autor_es]],autorest[autor_es],autorest[nacion_la])</f>
        <v>Hispania</v>
      </c>
      <c r="O916" t="str">
        <f>_xlfn.XLOOKUP(frasest[[#This Row],[autor_es]],autorest[autor_es],autorest[epoca_es])</f>
        <v>Epoca Desconocida</v>
      </c>
      <c r="P916" t="str">
        <f>_xlfn.XLOOKUP(frasest[[#This Row],[autor_es]],autorest[autor_es],autorest[epoca_la])</f>
        <v>Epocha Ignota</v>
      </c>
      <c r="Q916" t="str">
        <f>_xlfn.XLOOKUP(frasest[[#This Row],[autor_es]],autorest[autor_es],autorest[imagen])</f>
        <v>https://i.ibb.co/Y4f7TZWm/espa-a.png</v>
      </c>
      <c r="R916">
        <f>_xlfn.XLOOKUP(frasest[[#This Row],[autor_es]],autorest[autor_es],autorest[imagen_atr])</f>
        <v>0</v>
      </c>
    </row>
    <row r="917" spans="1:18">
      <c r="A917">
        <v>916</v>
      </c>
      <c r="B917" t="s">
        <v>3000</v>
      </c>
      <c r="C917" t="s">
        <v>3001</v>
      </c>
      <c r="D917" t="s">
        <v>3000</v>
      </c>
      <c r="E917" t="s">
        <v>24</v>
      </c>
      <c r="G917" t="str">
        <f>_xlfn.XLOOKUP(frasest[[#This Row],[autor_es]],autorest[autor_es],autorest[autor_la])</f>
        <v>Sententia Hispanica</v>
      </c>
      <c r="H917" t="str">
        <f>_xlfn.XLOOKUP(frasest[[#This Row],[autor_es]],autorest[autor_es],autorest[bio_es])</f>
        <v>Refranes populares de la tradición oral hispana que expresan de forma breve y ingeniosa enseñanzas prácticas sobre la vida cotidiana.</v>
      </c>
      <c r="I917" t="str">
        <f>_xlfn.XLOOKUP(frasest[[#This Row],[autor_es]],autorest[autor_es],autorest[bio_la])</f>
        <v>Collectio sententiarum Hispanicarum.</v>
      </c>
      <c r="J917" t="str">
        <f>_xlfn.XLOOKUP(frasest[[#This Row],[autor_es]],autorest[autor_es],autorest[codigo])</f>
        <v>es</v>
      </c>
      <c r="K917" t="str">
        <f>_xlfn.XLOOKUP(frasest[[#This Row],[autor_es]],autorest[autor_es],autorest[idioma_es])</f>
        <v>Español</v>
      </c>
      <c r="L917" t="str">
        <f>_xlfn.XLOOKUP(frasest[[#This Row],[autor_es]],autorest[autor_es],autorest[idioma_la])</f>
        <v>Lingua Hispanica</v>
      </c>
      <c r="M917" t="str">
        <f>_xlfn.XLOOKUP(frasest[[#This Row],[autor_es]],autorest[autor_es],autorest[nacion_es])</f>
        <v>España</v>
      </c>
      <c r="N917" t="str">
        <f>_xlfn.XLOOKUP(frasest[[#This Row],[autor_es]],autorest[autor_es],autorest[nacion_la])</f>
        <v>Hispania</v>
      </c>
      <c r="O917" t="str">
        <f>_xlfn.XLOOKUP(frasest[[#This Row],[autor_es]],autorest[autor_es],autorest[epoca_es])</f>
        <v>Epoca Desconocida</v>
      </c>
      <c r="P917" t="str">
        <f>_xlfn.XLOOKUP(frasest[[#This Row],[autor_es]],autorest[autor_es],autorest[epoca_la])</f>
        <v>Epocha Ignota</v>
      </c>
      <c r="Q917" t="str">
        <f>_xlfn.XLOOKUP(frasest[[#This Row],[autor_es]],autorest[autor_es],autorest[imagen])</f>
        <v>https://i.ibb.co/Y4f7TZWm/espa-a.png</v>
      </c>
      <c r="R917">
        <f>_xlfn.XLOOKUP(frasest[[#This Row],[autor_es]],autorest[autor_es],autorest[imagen_atr])</f>
        <v>0</v>
      </c>
    </row>
    <row r="918" spans="1:18">
      <c r="A918">
        <v>917</v>
      </c>
      <c r="B918" t="s">
        <v>3002</v>
      </c>
      <c r="C918" t="s">
        <v>3003</v>
      </c>
      <c r="D918" t="s">
        <v>3002</v>
      </c>
      <c r="E918" t="s">
        <v>24</v>
      </c>
      <c r="G918" t="str">
        <f>_xlfn.XLOOKUP(frasest[[#This Row],[autor_es]],autorest[autor_es],autorest[autor_la])</f>
        <v>Sententia Hispanica</v>
      </c>
      <c r="H918" t="str">
        <f>_xlfn.XLOOKUP(frasest[[#This Row],[autor_es]],autorest[autor_es],autorest[bio_es])</f>
        <v>Refranes populares de la tradición oral hispana que expresan de forma breve y ingeniosa enseñanzas prácticas sobre la vida cotidiana.</v>
      </c>
      <c r="I918" t="str">
        <f>_xlfn.XLOOKUP(frasest[[#This Row],[autor_es]],autorest[autor_es],autorest[bio_la])</f>
        <v>Collectio sententiarum Hispanicarum.</v>
      </c>
      <c r="J918" t="str">
        <f>_xlfn.XLOOKUP(frasest[[#This Row],[autor_es]],autorest[autor_es],autorest[codigo])</f>
        <v>es</v>
      </c>
      <c r="K918" t="str">
        <f>_xlfn.XLOOKUP(frasest[[#This Row],[autor_es]],autorest[autor_es],autorest[idioma_es])</f>
        <v>Español</v>
      </c>
      <c r="L918" t="str">
        <f>_xlfn.XLOOKUP(frasest[[#This Row],[autor_es]],autorest[autor_es],autorest[idioma_la])</f>
        <v>Lingua Hispanica</v>
      </c>
      <c r="M918" t="str">
        <f>_xlfn.XLOOKUP(frasest[[#This Row],[autor_es]],autorest[autor_es],autorest[nacion_es])</f>
        <v>España</v>
      </c>
      <c r="N918" t="str">
        <f>_xlfn.XLOOKUP(frasest[[#This Row],[autor_es]],autorest[autor_es],autorest[nacion_la])</f>
        <v>Hispania</v>
      </c>
      <c r="O918" t="str">
        <f>_xlfn.XLOOKUP(frasest[[#This Row],[autor_es]],autorest[autor_es],autorest[epoca_es])</f>
        <v>Epoca Desconocida</v>
      </c>
      <c r="P918" t="str">
        <f>_xlfn.XLOOKUP(frasest[[#This Row],[autor_es]],autorest[autor_es],autorest[epoca_la])</f>
        <v>Epocha Ignota</v>
      </c>
      <c r="Q918" t="str">
        <f>_xlfn.XLOOKUP(frasest[[#This Row],[autor_es]],autorest[autor_es],autorest[imagen])</f>
        <v>https://i.ibb.co/Y4f7TZWm/espa-a.png</v>
      </c>
      <c r="R918">
        <f>_xlfn.XLOOKUP(frasest[[#This Row],[autor_es]],autorest[autor_es],autorest[imagen_atr])</f>
        <v>0</v>
      </c>
    </row>
    <row r="919" spans="1:18">
      <c r="A919">
        <v>918</v>
      </c>
      <c r="B919" t="s">
        <v>3004</v>
      </c>
      <c r="C919" t="s">
        <v>3005</v>
      </c>
      <c r="D919" t="s">
        <v>3004</v>
      </c>
      <c r="E919" t="s">
        <v>24</v>
      </c>
      <c r="G919" t="str">
        <f>_xlfn.XLOOKUP(frasest[[#This Row],[autor_es]],autorest[autor_es],autorest[autor_la])</f>
        <v>Sententia Hispanica</v>
      </c>
      <c r="H919" t="str">
        <f>_xlfn.XLOOKUP(frasest[[#This Row],[autor_es]],autorest[autor_es],autorest[bio_es])</f>
        <v>Refranes populares de la tradición oral hispana que expresan de forma breve y ingeniosa enseñanzas prácticas sobre la vida cotidiana.</v>
      </c>
      <c r="I919" t="str">
        <f>_xlfn.XLOOKUP(frasest[[#This Row],[autor_es]],autorest[autor_es],autorest[bio_la])</f>
        <v>Collectio sententiarum Hispanicarum.</v>
      </c>
      <c r="J919" t="str">
        <f>_xlfn.XLOOKUP(frasest[[#This Row],[autor_es]],autorest[autor_es],autorest[codigo])</f>
        <v>es</v>
      </c>
      <c r="K919" t="str">
        <f>_xlfn.XLOOKUP(frasest[[#This Row],[autor_es]],autorest[autor_es],autorest[idioma_es])</f>
        <v>Español</v>
      </c>
      <c r="L919" t="str">
        <f>_xlfn.XLOOKUP(frasest[[#This Row],[autor_es]],autorest[autor_es],autorest[idioma_la])</f>
        <v>Lingua Hispanica</v>
      </c>
      <c r="M919" t="str">
        <f>_xlfn.XLOOKUP(frasest[[#This Row],[autor_es]],autorest[autor_es],autorest[nacion_es])</f>
        <v>España</v>
      </c>
      <c r="N919" t="str">
        <f>_xlfn.XLOOKUP(frasest[[#This Row],[autor_es]],autorest[autor_es],autorest[nacion_la])</f>
        <v>Hispania</v>
      </c>
      <c r="O919" t="str">
        <f>_xlfn.XLOOKUP(frasest[[#This Row],[autor_es]],autorest[autor_es],autorest[epoca_es])</f>
        <v>Epoca Desconocida</v>
      </c>
      <c r="P919" t="str">
        <f>_xlfn.XLOOKUP(frasest[[#This Row],[autor_es]],autorest[autor_es],autorest[epoca_la])</f>
        <v>Epocha Ignota</v>
      </c>
      <c r="Q919" t="str">
        <f>_xlfn.XLOOKUP(frasest[[#This Row],[autor_es]],autorest[autor_es],autorest[imagen])</f>
        <v>https://i.ibb.co/Y4f7TZWm/espa-a.png</v>
      </c>
      <c r="R919">
        <f>_xlfn.XLOOKUP(frasest[[#This Row],[autor_es]],autorest[autor_es],autorest[imagen_atr])</f>
        <v>0</v>
      </c>
    </row>
    <row r="920" spans="1:18">
      <c r="A920">
        <v>919</v>
      </c>
      <c r="B920" t="s">
        <v>3006</v>
      </c>
      <c r="C920" t="s">
        <v>3007</v>
      </c>
      <c r="D920" t="s">
        <v>3006</v>
      </c>
      <c r="E920" t="s">
        <v>24</v>
      </c>
      <c r="G920" t="str">
        <f>_xlfn.XLOOKUP(frasest[[#This Row],[autor_es]],autorest[autor_es],autorest[autor_la])</f>
        <v>Sententia Hispanica</v>
      </c>
      <c r="H920" t="str">
        <f>_xlfn.XLOOKUP(frasest[[#This Row],[autor_es]],autorest[autor_es],autorest[bio_es])</f>
        <v>Refranes populares de la tradición oral hispana que expresan de forma breve y ingeniosa enseñanzas prácticas sobre la vida cotidiana.</v>
      </c>
      <c r="I920" t="str">
        <f>_xlfn.XLOOKUP(frasest[[#This Row],[autor_es]],autorest[autor_es],autorest[bio_la])</f>
        <v>Collectio sententiarum Hispanicarum.</v>
      </c>
      <c r="J920" t="str">
        <f>_xlfn.XLOOKUP(frasest[[#This Row],[autor_es]],autorest[autor_es],autorest[codigo])</f>
        <v>es</v>
      </c>
      <c r="K920" t="str">
        <f>_xlfn.XLOOKUP(frasest[[#This Row],[autor_es]],autorest[autor_es],autorest[idioma_es])</f>
        <v>Español</v>
      </c>
      <c r="L920" t="str">
        <f>_xlfn.XLOOKUP(frasest[[#This Row],[autor_es]],autorest[autor_es],autorest[idioma_la])</f>
        <v>Lingua Hispanica</v>
      </c>
      <c r="M920" t="str">
        <f>_xlfn.XLOOKUP(frasest[[#This Row],[autor_es]],autorest[autor_es],autorest[nacion_es])</f>
        <v>España</v>
      </c>
      <c r="N920" t="str">
        <f>_xlfn.XLOOKUP(frasest[[#This Row],[autor_es]],autorest[autor_es],autorest[nacion_la])</f>
        <v>Hispania</v>
      </c>
      <c r="O920" t="str">
        <f>_xlfn.XLOOKUP(frasest[[#This Row],[autor_es]],autorest[autor_es],autorest[epoca_es])</f>
        <v>Epoca Desconocida</v>
      </c>
      <c r="P920" t="str">
        <f>_xlfn.XLOOKUP(frasest[[#This Row],[autor_es]],autorest[autor_es],autorest[epoca_la])</f>
        <v>Epocha Ignota</v>
      </c>
      <c r="Q920" t="str">
        <f>_xlfn.XLOOKUP(frasest[[#This Row],[autor_es]],autorest[autor_es],autorest[imagen])</f>
        <v>https://i.ibb.co/Y4f7TZWm/espa-a.png</v>
      </c>
      <c r="R920">
        <f>_xlfn.XLOOKUP(frasest[[#This Row],[autor_es]],autorest[autor_es],autorest[imagen_atr])</f>
        <v>0</v>
      </c>
    </row>
    <row r="921" spans="1:18">
      <c r="A921">
        <v>920</v>
      </c>
      <c r="B921" t="s">
        <v>3008</v>
      </c>
      <c r="C921" t="s">
        <v>3009</v>
      </c>
      <c r="D921" t="s">
        <v>3008</v>
      </c>
      <c r="E921" t="s">
        <v>24</v>
      </c>
      <c r="G921" t="str">
        <f>_xlfn.XLOOKUP(frasest[[#This Row],[autor_es]],autorest[autor_es],autorest[autor_la])</f>
        <v>Sententia Hispanica</v>
      </c>
      <c r="H921" t="str">
        <f>_xlfn.XLOOKUP(frasest[[#This Row],[autor_es]],autorest[autor_es],autorest[bio_es])</f>
        <v>Refranes populares de la tradición oral hispana que expresan de forma breve y ingeniosa enseñanzas prácticas sobre la vida cotidiana.</v>
      </c>
      <c r="I921" t="str">
        <f>_xlfn.XLOOKUP(frasest[[#This Row],[autor_es]],autorest[autor_es],autorest[bio_la])</f>
        <v>Collectio sententiarum Hispanicarum.</v>
      </c>
      <c r="J921" t="str">
        <f>_xlfn.XLOOKUP(frasest[[#This Row],[autor_es]],autorest[autor_es],autorest[codigo])</f>
        <v>es</v>
      </c>
      <c r="K921" t="str">
        <f>_xlfn.XLOOKUP(frasest[[#This Row],[autor_es]],autorest[autor_es],autorest[idioma_es])</f>
        <v>Español</v>
      </c>
      <c r="L921" t="str">
        <f>_xlfn.XLOOKUP(frasest[[#This Row],[autor_es]],autorest[autor_es],autorest[idioma_la])</f>
        <v>Lingua Hispanica</v>
      </c>
      <c r="M921" t="str">
        <f>_xlfn.XLOOKUP(frasest[[#This Row],[autor_es]],autorest[autor_es],autorest[nacion_es])</f>
        <v>España</v>
      </c>
      <c r="N921" t="str">
        <f>_xlfn.XLOOKUP(frasest[[#This Row],[autor_es]],autorest[autor_es],autorest[nacion_la])</f>
        <v>Hispania</v>
      </c>
      <c r="O921" t="str">
        <f>_xlfn.XLOOKUP(frasest[[#This Row],[autor_es]],autorest[autor_es],autorest[epoca_es])</f>
        <v>Epoca Desconocida</v>
      </c>
      <c r="P921" t="str">
        <f>_xlfn.XLOOKUP(frasest[[#This Row],[autor_es]],autorest[autor_es],autorest[epoca_la])</f>
        <v>Epocha Ignota</v>
      </c>
      <c r="Q921" t="str">
        <f>_xlfn.XLOOKUP(frasest[[#This Row],[autor_es]],autorest[autor_es],autorest[imagen])</f>
        <v>https://i.ibb.co/Y4f7TZWm/espa-a.png</v>
      </c>
      <c r="R921">
        <f>_xlfn.XLOOKUP(frasest[[#This Row],[autor_es]],autorest[autor_es],autorest[imagen_atr])</f>
        <v>0</v>
      </c>
    </row>
    <row r="922" spans="1:18">
      <c r="A922">
        <v>921</v>
      </c>
      <c r="B922" t="s">
        <v>3010</v>
      </c>
      <c r="C922" t="s">
        <v>3011</v>
      </c>
      <c r="D922" t="s">
        <v>3010</v>
      </c>
      <c r="E922" t="s">
        <v>24</v>
      </c>
      <c r="G922" t="str">
        <f>_xlfn.XLOOKUP(frasest[[#This Row],[autor_es]],autorest[autor_es],autorest[autor_la])</f>
        <v>Sententia Hispanica</v>
      </c>
      <c r="H922" t="str">
        <f>_xlfn.XLOOKUP(frasest[[#This Row],[autor_es]],autorest[autor_es],autorest[bio_es])</f>
        <v>Refranes populares de la tradición oral hispana que expresan de forma breve y ingeniosa enseñanzas prácticas sobre la vida cotidiana.</v>
      </c>
      <c r="I922" t="str">
        <f>_xlfn.XLOOKUP(frasest[[#This Row],[autor_es]],autorest[autor_es],autorest[bio_la])</f>
        <v>Collectio sententiarum Hispanicarum.</v>
      </c>
      <c r="J922" t="str">
        <f>_xlfn.XLOOKUP(frasest[[#This Row],[autor_es]],autorest[autor_es],autorest[codigo])</f>
        <v>es</v>
      </c>
      <c r="K922" t="str">
        <f>_xlfn.XLOOKUP(frasest[[#This Row],[autor_es]],autorest[autor_es],autorest[idioma_es])</f>
        <v>Español</v>
      </c>
      <c r="L922" t="str">
        <f>_xlfn.XLOOKUP(frasest[[#This Row],[autor_es]],autorest[autor_es],autorest[idioma_la])</f>
        <v>Lingua Hispanica</v>
      </c>
      <c r="M922" t="str">
        <f>_xlfn.XLOOKUP(frasest[[#This Row],[autor_es]],autorest[autor_es],autorest[nacion_es])</f>
        <v>España</v>
      </c>
      <c r="N922" t="str">
        <f>_xlfn.XLOOKUP(frasest[[#This Row],[autor_es]],autorest[autor_es],autorest[nacion_la])</f>
        <v>Hispania</v>
      </c>
      <c r="O922" t="str">
        <f>_xlfn.XLOOKUP(frasest[[#This Row],[autor_es]],autorest[autor_es],autorest[epoca_es])</f>
        <v>Epoca Desconocida</v>
      </c>
      <c r="P922" t="str">
        <f>_xlfn.XLOOKUP(frasest[[#This Row],[autor_es]],autorest[autor_es],autorest[epoca_la])</f>
        <v>Epocha Ignota</v>
      </c>
      <c r="Q922" t="str">
        <f>_xlfn.XLOOKUP(frasest[[#This Row],[autor_es]],autorest[autor_es],autorest[imagen])</f>
        <v>https://i.ibb.co/Y4f7TZWm/espa-a.png</v>
      </c>
      <c r="R922">
        <f>_xlfn.XLOOKUP(frasest[[#This Row],[autor_es]],autorest[autor_es],autorest[imagen_atr])</f>
        <v>0</v>
      </c>
    </row>
    <row r="923" spans="1:18">
      <c r="A923">
        <v>922</v>
      </c>
      <c r="B923" t="s">
        <v>3012</v>
      </c>
      <c r="C923" t="s">
        <v>3013</v>
      </c>
      <c r="D923" t="s">
        <v>3012</v>
      </c>
      <c r="E923" t="s">
        <v>24</v>
      </c>
      <c r="G923" t="str">
        <f>_xlfn.XLOOKUP(frasest[[#This Row],[autor_es]],autorest[autor_es],autorest[autor_la])</f>
        <v>Sententia Hispanica</v>
      </c>
      <c r="H923" t="str">
        <f>_xlfn.XLOOKUP(frasest[[#This Row],[autor_es]],autorest[autor_es],autorest[bio_es])</f>
        <v>Refranes populares de la tradición oral hispana que expresan de forma breve y ingeniosa enseñanzas prácticas sobre la vida cotidiana.</v>
      </c>
      <c r="I923" t="str">
        <f>_xlfn.XLOOKUP(frasest[[#This Row],[autor_es]],autorest[autor_es],autorest[bio_la])</f>
        <v>Collectio sententiarum Hispanicarum.</v>
      </c>
      <c r="J923" t="str">
        <f>_xlfn.XLOOKUP(frasest[[#This Row],[autor_es]],autorest[autor_es],autorest[codigo])</f>
        <v>es</v>
      </c>
      <c r="K923" t="str">
        <f>_xlfn.XLOOKUP(frasest[[#This Row],[autor_es]],autorest[autor_es],autorest[idioma_es])</f>
        <v>Español</v>
      </c>
      <c r="L923" t="str">
        <f>_xlfn.XLOOKUP(frasest[[#This Row],[autor_es]],autorest[autor_es],autorest[idioma_la])</f>
        <v>Lingua Hispanica</v>
      </c>
      <c r="M923" t="str">
        <f>_xlfn.XLOOKUP(frasest[[#This Row],[autor_es]],autorest[autor_es],autorest[nacion_es])</f>
        <v>España</v>
      </c>
      <c r="N923" t="str">
        <f>_xlfn.XLOOKUP(frasest[[#This Row],[autor_es]],autorest[autor_es],autorest[nacion_la])</f>
        <v>Hispania</v>
      </c>
      <c r="O923" t="str">
        <f>_xlfn.XLOOKUP(frasest[[#This Row],[autor_es]],autorest[autor_es],autorest[epoca_es])</f>
        <v>Epoca Desconocida</v>
      </c>
      <c r="P923" t="str">
        <f>_xlfn.XLOOKUP(frasest[[#This Row],[autor_es]],autorest[autor_es],autorest[epoca_la])</f>
        <v>Epocha Ignota</v>
      </c>
      <c r="Q923" t="str">
        <f>_xlfn.XLOOKUP(frasest[[#This Row],[autor_es]],autorest[autor_es],autorest[imagen])</f>
        <v>https://i.ibb.co/Y4f7TZWm/espa-a.png</v>
      </c>
      <c r="R923">
        <f>_xlfn.XLOOKUP(frasest[[#This Row],[autor_es]],autorest[autor_es],autorest[imagen_atr])</f>
        <v>0</v>
      </c>
    </row>
    <row r="924" spans="1:18">
      <c r="A924">
        <v>923</v>
      </c>
      <c r="B924" t="s">
        <v>3014</v>
      </c>
      <c r="C924" t="s">
        <v>3015</v>
      </c>
      <c r="D924" t="s">
        <v>3014</v>
      </c>
      <c r="E924" t="s">
        <v>24</v>
      </c>
      <c r="G924" t="str">
        <f>_xlfn.XLOOKUP(frasest[[#This Row],[autor_es]],autorest[autor_es],autorest[autor_la])</f>
        <v>Sententia Hispanica</v>
      </c>
      <c r="H924" t="str">
        <f>_xlfn.XLOOKUP(frasest[[#This Row],[autor_es]],autorest[autor_es],autorest[bio_es])</f>
        <v>Refranes populares de la tradición oral hispana que expresan de forma breve y ingeniosa enseñanzas prácticas sobre la vida cotidiana.</v>
      </c>
      <c r="I924" t="str">
        <f>_xlfn.XLOOKUP(frasest[[#This Row],[autor_es]],autorest[autor_es],autorest[bio_la])</f>
        <v>Collectio sententiarum Hispanicarum.</v>
      </c>
      <c r="J924" t="str">
        <f>_xlfn.XLOOKUP(frasest[[#This Row],[autor_es]],autorest[autor_es],autorest[codigo])</f>
        <v>es</v>
      </c>
      <c r="K924" t="str">
        <f>_xlfn.XLOOKUP(frasest[[#This Row],[autor_es]],autorest[autor_es],autorest[idioma_es])</f>
        <v>Español</v>
      </c>
      <c r="L924" t="str">
        <f>_xlfn.XLOOKUP(frasest[[#This Row],[autor_es]],autorest[autor_es],autorest[idioma_la])</f>
        <v>Lingua Hispanica</v>
      </c>
      <c r="M924" t="str">
        <f>_xlfn.XLOOKUP(frasest[[#This Row],[autor_es]],autorest[autor_es],autorest[nacion_es])</f>
        <v>España</v>
      </c>
      <c r="N924" t="str">
        <f>_xlfn.XLOOKUP(frasest[[#This Row],[autor_es]],autorest[autor_es],autorest[nacion_la])</f>
        <v>Hispania</v>
      </c>
      <c r="O924" t="str">
        <f>_xlfn.XLOOKUP(frasest[[#This Row],[autor_es]],autorest[autor_es],autorest[epoca_es])</f>
        <v>Epoca Desconocida</v>
      </c>
      <c r="P924" t="str">
        <f>_xlfn.XLOOKUP(frasest[[#This Row],[autor_es]],autorest[autor_es],autorest[epoca_la])</f>
        <v>Epocha Ignota</v>
      </c>
      <c r="Q924" t="str">
        <f>_xlfn.XLOOKUP(frasest[[#This Row],[autor_es]],autorest[autor_es],autorest[imagen])</f>
        <v>https://i.ibb.co/Y4f7TZWm/espa-a.png</v>
      </c>
      <c r="R924">
        <f>_xlfn.XLOOKUP(frasest[[#This Row],[autor_es]],autorest[autor_es],autorest[imagen_atr])</f>
        <v>0</v>
      </c>
    </row>
    <row r="925" spans="1:18">
      <c r="A925">
        <v>924</v>
      </c>
      <c r="B925" t="s">
        <v>3016</v>
      </c>
      <c r="C925" t="s">
        <v>3017</v>
      </c>
      <c r="D925" t="s">
        <v>3016</v>
      </c>
      <c r="E925" t="s">
        <v>24</v>
      </c>
      <c r="G925" t="str">
        <f>_xlfn.XLOOKUP(frasest[[#This Row],[autor_es]],autorest[autor_es],autorest[autor_la])</f>
        <v>Sententia Hispanica</v>
      </c>
      <c r="H925" t="str">
        <f>_xlfn.XLOOKUP(frasest[[#This Row],[autor_es]],autorest[autor_es],autorest[bio_es])</f>
        <v>Refranes populares de la tradición oral hispana que expresan de forma breve y ingeniosa enseñanzas prácticas sobre la vida cotidiana.</v>
      </c>
      <c r="I925" t="str">
        <f>_xlfn.XLOOKUP(frasest[[#This Row],[autor_es]],autorest[autor_es],autorest[bio_la])</f>
        <v>Collectio sententiarum Hispanicarum.</v>
      </c>
      <c r="J925" t="str">
        <f>_xlfn.XLOOKUP(frasest[[#This Row],[autor_es]],autorest[autor_es],autorest[codigo])</f>
        <v>es</v>
      </c>
      <c r="K925" t="str">
        <f>_xlfn.XLOOKUP(frasest[[#This Row],[autor_es]],autorest[autor_es],autorest[idioma_es])</f>
        <v>Español</v>
      </c>
      <c r="L925" t="str">
        <f>_xlfn.XLOOKUP(frasest[[#This Row],[autor_es]],autorest[autor_es],autorest[idioma_la])</f>
        <v>Lingua Hispanica</v>
      </c>
      <c r="M925" t="str">
        <f>_xlfn.XLOOKUP(frasest[[#This Row],[autor_es]],autorest[autor_es],autorest[nacion_es])</f>
        <v>España</v>
      </c>
      <c r="N925" t="str">
        <f>_xlfn.XLOOKUP(frasest[[#This Row],[autor_es]],autorest[autor_es],autorest[nacion_la])</f>
        <v>Hispania</v>
      </c>
      <c r="O925" t="str">
        <f>_xlfn.XLOOKUP(frasest[[#This Row],[autor_es]],autorest[autor_es],autorest[epoca_es])</f>
        <v>Epoca Desconocida</v>
      </c>
      <c r="P925" t="str">
        <f>_xlfn.XLOOKUP(frasest[[#This Row],[autor_es]],autorest[autor_es],autorest[epoca_la])</f>
        <v>Epocha Ignota</v>
      </c>
      <c r="Q925" t="str">
        <f>_xlfn.XLOOKUP(frasest[[#This Row],[autor_es]],autorest[autor_es],autorest[imagen])</f>
        <v>https://i.ibb.co/Y4f7TZWm/espa-a.png</v>
      </c>
      <c r="R925">
        <f>_xlfn.XLOOKUP(frasest[[#This Row],[autor_es]],autorest[autor_es],autorest[imagen_atr])</f>
        <v>0</v>
      </c>
    </row>
    <row r="926" spans="1:18">
      <c r="A926">
        <v>925</v>
      </c>
      <c r="B926" t="s">
        <v>3018</v>
      </c>
      <c r="C926" t="s">
        <v>3019</v>
      </c>
      <c r="D926" t="s">
        <v>3018</v>
      </c>
      <c r="E926" t="s">
        <v>24</v>
      </c>
      <c r="G926" t="str">
        <f>_xlfn.XLOOKUP(frasest[[#This Row],[autor_es]],autorest[autor_es],autorest[autor_la])</f>
        <v>Sententia Hispanica</v>
      </c>
      <c r="H926" t="str">
        <f>_xlfn.XLOOKUP(frasest[[#This Row],[autor_es]],autorest[autor_es],autorest[bio_es])</f>
        <v>Refranes populares de la tradición oral hispana que expresan de forma breve y ingeniosa enseñanzas prácticas sobre la vida cotidiana.</v>
      </c>
      <c r="I926" t="str">
        <f>_xlfn.XLOOKUP(frasest[[#This Row],[autor_es]],autorest[autor_es],autorest[bio_la])</f>
        <v>Collectio sententiarum Hispanicarum.</v>
      </c>
      <c r="J926" t="str">
        <f>_xlfn.XLOOKUP(frasest[[#This Row],[autor_es]],autorest[autor_es],autorest[codigo])</f>
        <v>es</v>
      </c>
      <c r="K926" t="str">
        <f>_xlfn.XLOOKUP(frasest[[#This Row],[autor_es]],autorest[autor_es],autorest[idioma_es])</f>
        <v>Español</v>
      </c>
      <c r="L926" t="str">
        <f>_xlfn.XLOOKUP(frasest[[#This Row],[autor_es]],autorest[autor_es],autorest[idioma_la])</f>
        <v>Lingua Hispanica</v>
      </c>
      <c r="M926" t="str">
        <f>_xlfn.XLOOKUP(frasest[[#This Row],[autor_es]],autorest[autor_es],autorest[nacion_es])</f>
        <v>España</v>
      </c>
      <c r="N926" t="str">
        <f>_xlfn.XLOOKUP(frasest[[#This Row],[autor_es]],autorest[autor_es],autorest[nacion_la])</f>
        <v>Hispania</v>
      </c>
      <c r="O926" t="str">
        <f>_xlfn.XLOOKUP(frasest[[#This Row],[autor_es]],autorest[autor_es],autorest[epoca_es])</f>
        <v>Epoca Desconocida</v>
      </c>
      <c r="P926" t="str">
        <f>_xlfn.XLOOKUP(frasest[[#This Row],[autor_es]],autorest[autor_es],autorest[epoca_la])</f>
        <v>Epocha Ignota</v>
      </c>
      <c r="Q926" t="str">
        <f>_xlfn.XLOOKUP(frasest[[#This Row],[autor_es]],autorest[autor_es],autorest[imagen])</f>
        <v>https://i.ibb.co/Y4f7TZWm/espa-a.png</v>
      </c>
      <c r="R926">
        <f>_xlfn.XLOOKUP(frasest[[#This Row],[autor_es]],autorest[autor_es],autorest[imagen_atr])</f>
        <v>0</v>
      </c>
    </row>
    <row r="927" spans="1:18">
      <c r="A927">
        <v>926</v>
      </c>
      <c r="B927" t="s">
        <v>3020</v>
      </c>
      <c r="C927" t="s">
        <v>3021</v>
      </c>
      <c r="D927" t="s">
        <v>3020</v>
      </c>
      <c r="E927" t="s">
        <v>24</v>
      </c>
      <c r="G927" t="str">
        <f>_xlfn.XLOOKUP(frasest[[#This Row],[autor_es]],autorest[autor_es],autorest[autor_la])</f>
        <v>Sententia Hispanica</v>
      </c>
      <c r="H927" t="str">
        <f>_xlfn.XLOOKUP(frasest[[#This Row],[autor_es]],autorest[autor_es],autorest[bio_es])</f>
        <v>Refranes populares de la tradición oral hispana que expresan de forma breve y ingeniosa enseñanzas prácticas sobre la vida cotidiana.</v>
      </c>
      <c r="I927" t="str">
        <f>_xlfn.XLOOKUP(frasest[[#This Row],[autor_es]],autorest[autor_es],autorest[bio_la])</f>
        <v>Collectio sententiarum Hispanicarum.</v>
      </c>
      <c r="J927" t="str">
        <f>_xlfn.XLOOKUP(frasest[[#This Row],[autor_es]],autorest[autor_es],autorest[codigo])</f>
        <v>es</v>
      </c>
      <c r="K927" t="str">
        <f>_xlfn.XLOOKUP(frasest[[#This Row],[autor_es]],autorest[autor_es],autorest[idioma_es])</f>
        <v>Español</v>
      </c>
      <c r="L927" t="str">
        <f>_xlfn.XLOOKUP(frasest[[#This Row],[autor_es]],autorest[autor_es],autorest[idioma_la])</f>
        <v>Lingua Hispanica</v>
      </c>
      <c r="M927" t="str">
        <f>_xlfn.XLOOKUP(frasest[[#This Row],[autor_es]],autorest[autor_es],autorest[nacion_es])</f>
        <v>España</v>
      </c>
      <c r="N927" t="str">
        <f>_xlfn.XLOOKUP(frasest[[#This Row],[autor_es]],autorest[autor_es],autorest[nacion_la])</f>
        <v>Hispania</v>
      </c>
      <c r="O927" t="str">
        <f>_xlfn.XLOOKUP(frasest[[#This Row],[autor_es]],autorest[autor_es],autorest[epoca_es])</f>
        <v>Epoca Desconocida</v>
      </c>
      <c r="P927" t="str">
        <f>_xlfn.XLOOKUP(frasest[[#This Row],[autor_es]],autorest[autor_es],autorest[epoca_la])</f>
        <v>Epocha Ignota</v>
      </c>
      <c r="Q927" t="str">
        <f>_xlfn.XLOOKUP(frasest[[#This Row],[autor_es]],autorest[autor_es],autorest[imagen])</f>
        <v>https://i.ibb.co/Y4f7TZWm/espa-a.png</v>
      </c>
      <c r="R927">
        <f>_xlfn.XLOOKUP(frasest[[#This Row],[autor_es]],autorest[autor_es],autorest[imagen_atr])</f>
        <v>0</v>
      </c>
    </row>
    <row r="928" spans="1:18">
      <c r="A928">
        <v>927</v>
      </c>
      <c r="B928" t="s">
        <v>3022</v>
      </c>
      <c r="C928" t="s">
        <v>3023</v>
      </c>
      <c r="D928" t="s">
        <v>3022</v>
      </c>
      <c r="E928" t="s">
        <v>24</v>
      </c>
      <c r="G928" t="str">
        <f>_xlfn.XLOOKUP(frasest[[#This Row],[autor_es]],autorest[autor_es],autorest[autor_la])</f>
        <v>Sententia Hispanica</v>
      </c>
      <c r="H928" t="str">
        <f>_xlfn.XLOOKUP(frasest[[#This Row],[autor_es]],autorest[autor_es],autorest[bio_es])</f>
        <v>Refranes populares de la tradición oral hispana que expresan de forma breve y ingeniosa enseñanzas prácticas sobre la vida cotidiana.</v>
      </c>
      <c r="I928" t="str">
        <f>_xlfn.XLOOKUP(frasest[[#This Row],[autor_es]],autorest[autor_es],autorest[bio_la])</f>
        <v>Collectio sententiarum Hispanicarum.</v>
      </c>
      <c r="J928" t="str">
        <f>_xlfn.XLOOKUP(frasest[[#This Row],[autor_es]],autorest[autor_es],autorest[codigo])</f>
        <v>es</v>
      </c>
      <c r="K928" t="str">
        <f>_xlfn.XLOOKUP(frasest[[#This Row],[autor_es]],autorest[autor_es],autorest[idioma_es])</f>
        <v>Español</v>
      </c>
      <c r="L928" t="str">
        <f>_xlfn.XLOOKUP(frasest[[#This Row],[autor_es]],autorest[autor_es],autorest[idioma_la])</f>
        <v>Lingua Hispanica</v>
      </c>
      <c r="M928" t="str">
        <f>_xlfn.XLOOKUP(frasest[[#This Row],[autor_es]],autorest[autor_es],autorest[nacion_es])</f>
        <v>España</v>
      </c>
      <c r="N928" t="str">
        <f>_xlfn.XLOOKUP(frasest[[#This Row],[autor_es]],autorest[autor_es],autorest[nacion_la])</f>
        <v>Hispania</v>
      </c>
      <c r="O928" t="str">
        <f>_xlfn.XLOOKUP(frasest[[#This Row],[autor_es]],autorest[autor_es],autorest[epoca_es])</f>
        <v>Epoca Desconocida</v>
      </c>
      <c r="P928" t="str">
        <f>_xlfn.XLOOKUP(frasest[[#This Row],[autor_es]],autorest[autor_es],autorest[epoca_la])</f>
        <v>Epocha Ignota</v>
      </c>
      <c r="Q928" t="str">
        <f>_xlfn.XLOOKUP(frasest[[#This Row],[autor_es]],autorest[autor_es],autorest[imagen])</f>
        <v>https://i.ibb.co/Y4f7TZWm/espa-a.png</v>
      </c>
      <c r="R928">
        <f>_xlfn.XLOOKUP(frasest[[#This Row],[autor_es]],autorest[autor_es],autorest[imagen_atr])</f>
        <v>0</v>
      </c>
    </row>
    <row r="929" spans="1:18">
      <c r="A929">
        <v>928</v>
      </c>
      <c r="B929" t="s">
        <v>3024</v>
      </c>
      <c r="C929" t="s">
        <v>3025</v>
      </c>
      <c r="D929" t="s">
        <v>3024</v>
      </c>
      <c r="E929" t="s">
        <v>24</v>
      </c>
      <c r="G929" t="str">
        <f>_xlfn.XLOOKUP(frasest[[#This Row],[autor_es]],autorest[autor_es],autorest[autor_la])</f>
        <v>Sententia Hispanica</v>
      </c>
      <c r="H929" t="str">
        <f>_xlfn.XLOOKUP(frasest[[#This Row],[autor_es]],autorest[autor_es],autorest[bio_es])</f>
        <v>Refranes populares de la tradición oral hispana que expresan de forma breve y ingeniosa enseñanzas prácticas sobre la vida cotidiana.</v>
      </c>
      <c r="I929" t="str">
        <f>_xlfn.XLOOKUP(frasest[[#This Row],[autor_es]],autorest[autor_es],autorest[bio_la])</f>
        <v>Collectio sententiarum Hispanicarum.</v>
      </c>
      <c r="J929" t="str">
        <f>_xlfn.XLOOKUP(frasest[[#This Row],[autor_es]],autorest[autor_es],autorest[codigo])</f>
        <v>es</v>
      </c>
      <c r="K929" t="str">
        <f>_xlfn.XLOOKUP(frasest[[#This Row],[autor_es]],autorest[autor_es],autorest[idioma_es])</f>
        <v>Español</v>
      </c>
      <c r="L929" t="str">
        <f>_xlfn.XLOOKUP(frasest[[#This Row],[autor_es]],autorest[autor_es],autorest[idioma_la])</f>
        <v>Lingua Hispanica</v>
      </c>
      <c r="M929" t="str">
        <f>_xlfn.XLOOKUP(frasest[[#This Row],[autor_es]],autorest[autor_es],autorest[nacion_es])</f>
        <v>España</v>
      </c>
      <c r="N929" t="str">
        <f>_xlfn.XLOOKUP(frasest[[#This Row],[autor_es]],autorest[autor_es],autorest[nacion_la])</f>
        <v>Hispania</v>
      </c>
      <c r="O929" t="str">
        <f>_xlfn.XLOOKUP(frasest[[#This Row],[autor_es]],autorest[autor_es],autorest[epoca_es])</f>
        <v>Epoca Desconocida</v>
      </c>
      <c r="P929" t="str">
        <f>_xlfn.XLOOKUP(frasest[[#This Row],[autor_es]],autorest[autor_es],autorest[epoca_la])</f>
        <v>Epocha Ignota</v>
      </c>
      <c r="Q929" t="str">
        <f>_xlfn.XLOOKUP(frasest[[#This Row],[autor_es]],autorest[autor_es],autorest[imagen])</f>
        <v>https://i.ibb.co/Y4f7TZWm/espa-a.png</v>
      </c>
      <c r="R929">
        <f>_xlfn.XLOOKUP(frasest[[#This Row],[autor_es]],autorest[autor_es],autorest[imagen_atr])</f>
        <v>0</v>
      </c>
    </row>
    <row r="930" spans="1:18">
      <c r="A930">
        <v>929</v>
      </c>
      <c r="B930" t="s">
        <v>3026</v>
      </c>
      <c r="C930" t="s">
        <v>3027</v>
      </c>
      <c r="D930" t="s">
        <v>3026</v>
      </c>
      <c r="E930" t="s">
        <v>24</v>
      </c>
      <c r="G930" t="str">
        <f>_xlfn.XLOOKUP(frasest[[#This Row],[autor_es]],autorest[autor_es],autorest[autor_la])</f>
        <v>Sententia Hispanica</v>
      </c>
      <c r="H930" t="str">
        <f>_xlfn.XLOOKUP(frasest[[#This Row],[autor_es]],autorest[autor_es],autorest[bio_es])</f>
        <v>Refranes populares de la tradición oral hispana que expresan de forma breve y ingeniosa enseñanzas prácticas sobre la vida cotidiana.</v>
      </c>
      <c r="I930" t="str">
        <f>_xlfn.XLOOKUP(frasest[[#This Row],[autor_es]],autorest[autor_es],autorest[bio_la])</f>
        <v>Collectio sententiarum Hispanicarum.</v>
      </c>
      <c r="J930" t="str">
        <f>_xlfn.XLOOKUP(frasest[[#This Row],[autor_es]],autorest[autor_es],autorest[codigo])</f>
        <v>es</v>
      </c>
      <c r="K930" t="str">
        <f>_xlfn.XLOOKUP(frasest[[#This Row],[autor_es]],autorest[autor_es],autorest[idioma_es])</f>
        <v>Español</v>
      </c>
      <c r="L930" t="str">
        <f>_xlfn.XLOOKUP(frasest[[#This Row],[autor_es]],autorest[autor_es],autorest[idioma_la])</f>
        <v>Lingua Hispanica</v>
      </c>
      <c r="M930" t="str">
        <f>_xlfn.XLOOKUP(frasest[[#This Row],[autor_es]],autorest[autor_es],autorest[nacion_es])</f>
        <v>España</v>
      </c>
      <c r="N930" t="str">
        <f>_xlfn.XLOOKUP(frasest[[#This Row],[autor_es]],autorest[autor_es],autorest[nacion_la])</f>
        <v>Hispania</v>
      </c>
      <c r="O930" t="str">
        <f>_xlfn.XLOOKUP(frasest[[#This Row],[autor_es]],autorest[autor_es],autorest[epoca_es])</f>
        <v>Epoca Desconocida</v>
      </c>
      <c r="P930" t="str">
        <f>_xlfn.XLOOKUP(frasest[[#This Row],[autor_es]],autorest[autor_es],autorest[epoca_la])</f>
        <v>Epocha Ignota</v>
      </c>
      <c r="Q930" t="str">
        <f>_xlfn.XLOOKUP(frasest[[#This Row],[autor_es]],autorest[autor_es],autorest[imagen])</f>
        <v>https://i.ibb.co/Y4f7TZWm/espa-a.png</v>
      </c>
      <c r="R930">
        <f>_xlfn.XLOOKUP(frasest[[#This Row],[autor_es]],autorest[autor_es],autorest[imagen_atr])</f>
        <v>0</v>
      </c>
    </row>
    <row r="931" spans="1:18">
      <c r="A931">
        <v>930</v>
      </c>
      <c r="B931" t="s">
        <v>3028</v>
      </c>
      <c r="C931" t="s">
        <v>3029</v>
      </c>
      <c r="D931" t="s">
        <v>3028</v>
      </c>
      <c r="E931" t="s">
        <v>24</v>
      </c>
      <c r="G931" t="str">
        <f>_xlfn.XLOOKUP(frasest[[#This Row],[autor_es]],autorest[autor_es],autorest[autor_la])</f>
        <v>Sententia Hispanica</v>
      </c>
      <c r="H931" t="str">
        <f>_xlfn.XLOOKUP(frasest[[#This Row],[autor_es]],autorest[autor_es],autorest[bio_es])</f>
        <v>Refranes populares de la tradición oral hispana que expresan de forma breve y ingeniosa enseñanzas prácticas sobre la vida cotidiana.</v>
      </c>
      <c r="I931" t="str">
        <f>_xlfn.XLOOKUP(frasest[[#This Row],[autor_es]],autorest[autor_es],autorest[bio_la])</f>
        <v>Collectio sententiarum Hispanicarum.</v>
      </c>
      <c r="J931" t="str">
        <f>_xlfn.XLOOKUP(frasest[[#This Row],[autor_es]],autorest[autor_es],autorest[codigo])</f>
        <v>es</v>
      </c>
      <c r="K931" t="str">
        <f>_xlfn.XLOOKUP(frasest[[#This Row],[autor_es]],autorest[autor_es],autorest[idioma_es])</f>
        <v>Español</v>
      </c>
      <c r="L931" t="str">
        <f>_xlfn.XLOOKUP(frasest[[#This Row],[autor_es]],autorest[autor_es],autorest[idioma_la])</f>
        <v>Lingua Hispanica</v>
      </c>
      <c r="M931" t="str">
        <f>_xlfn.XLOOKUP(frasest[[#This Row],[autor_es]],autorest[autor_es],autorest[nacion_es])</f>
        <v>España</v>
      </c>
      <c r="N931" t="str">
        <f>_xlfn.XLOOKUP(frasest[[#This Row],[autor_es]],autorest[autor_es],autorest[nacion_la])</f>
        <v>Hispania</v>
      </c>
      <c r="O931" t="str">
        <f>_xlfn.XLOOKUP(frasest[[#This Row],[autor_es]],autorest[autor_es],autorest[epoca_es])</f>
        <v>Epoca Desconocida</v>
      </c>
      <c r="P931" t="str">
        <f>_xlfn.XLOOKUP(frasest[[#This Row],[autor_es]],autorest[autor_es],autorest[epoca_la])</f>
        <v>Epocha Ignota</v>
      </c>
      <c r="Q931" t="str">
        <f>_xlfn.XLOOKUP(frasest[[#This Row],[autor_es]],autorest[autor_es],autorest[imagen])</f>
        <v>https://i.ibb.co/Y4f7TZWm/espa-a.png</v>
      </c>
      <c r="R931">
        <f>_xlfn.XLOOKUP(frasest[[#This Row],[autor_es]],autorest[autor_es],autorest[imagen_atr])</f>
        <v>0</v>
      </c>
    </row>
    <row r="932" spans="1:18">
      <c r="A932">
        <v>931</v>
      </c>
      <c r="B932" t="s">
        <v>3030</v>
      </c>
      <c r="C932" t="s">
        <v>3031</v>
      </c>
      <c r="D932" t="s">
        <v>3030</v>
      </c>
      <c r="E932" t="s">
        <v>24</v>
      </c>
      <c r="G932" t="str">
        <f>_xlfn.XLOOKUP(frasest[[#This Row],[autor_es]],autorest[autor_es],autorest[autor_la])</f>
        <v>Sententia Hispanica</v>
      </c>
      <c r="H932" t="str">
        <f>_xlfn.XLOOKUP(frasest[[#This Row],[autor_es]],autorest[autor_es],autorest[bio_es])</f>
        <v>Refranes populares de la tradición oral hispana que expresan de forma breve y ingeniosa enseñanzas prácticas sobre la vida cotidiana.</v>
      </c>
      <c r="I932" t="str">
        <f>_xlfn.XLOOKUP(frasest[[#This Row],[autor_es]],autorest[autor_es],autorest[bio_la])</f>
        <v>Collectio sententiarum Hispanicarum.</v>
      </c>
      <c r="J932" t="str">
        <f>_xlfn.XLOOKUP(frasest[[#This Row],[autor_es]],autorest[autor_es],autorest[codigo])</f>
        <v>es</v>
      </c>
      <c r="K932" t="str">
        <f>_xlfn.XLOOKUP(frasest[[#This Row],[autor_es]],autorest[autor_es],autorest[idioma_es])</f>
        <v>Español</v>
      </c>
      <c r="L932" t="str">
        <f>_xlfn.XLOOKUP(frasest[[#This Row],[autor_es]],autorest[autor_es],autorest[idioma_la])</f>
        <v>Lingua Hispanica</v>
      </c>
      <c r="M932" t="str">
        <f>_xlfn.XLOOKUP(frasest[[#This Row],[autor_es]],autorest[autor_es],autorest[nacion_es])</f>
        <v>España</v>
      </c>
      <c r="N932" t="str">
        <f>_xlfn.XLOOKUP(frasest[[#This Row],[autor_es]],autorest[autor_es],autorest[nacion_la])</f>
        <v>Hispania</v>
      </c>
      <c r="O932" t="str">
        <f>_xlfn.XLOOKUP(frasest[[#This Row],[autor_es]],autorest[autor_es],autorest[epoca_es])</f>
        <v>Epoca Desconocida</v>
      </c>
      <c r="P932" t="str">
        <f>_xlfn.XLOOKUP(frasest[[#This Row],[autor_es]],autorest[autor_es],autorest[epoca_la])</f>
        <v>Epocha Ignota</v>
      </c>
      <c r="Q932" t="str">
        <f>_xlfn.XLOOKUP(frasest[[#This Row],[autor_es]],autorest[autor_es],autorest[imagen])</f>
        <v>https://i.ibb.co/Y4f7TZWm/espa-a.png</v>
      </c>
      <c r="R932">
        <f>_xlfn.XLOOKUP(frasest[[#This Row],[autor_es]],autorest[autor_es],autorest[imagen_atr])</f>
        <v>0</v>
      </c>
    </row>
    <row r="933" spans="1:18">
      <c r="A933">
        <v>932</v>
      </c>
      <c r="B933" t="s">
        <v>3032</v>
      </c>
      <c r="C933" t="s">
        <v>3033</v>
      </c>
      <c r="D933" t="s">
        <v>3032</v>
      </c>
      <c r="E933" t="s">
        <v>24</v>
      </c>
      <c r="G933" t="str">
        <f>_xlfn.XLOOKUP(frasest[[#This Row],[autor_es]],autorest[autor_es],autorest[autor_la])</f>
        <v>Sententia Hispanica</v>
      </c>
      <c r="H933" t="str">
        <f>_xlfn.XLOOKUP(frasest[[#This Row],[autor_es]],autorest[autor_es],autorest[bio_es])</f>
        <v>Refranes populares de la tradición oral hispana que expresan de forma breve y ingeniosa enseñanzas prácticas sobre la vida cotidiana.</v>
      </c>
      <c r="I933" t="str">
        <f>_xlfn.XLOOKUP(frasest[[#This Row],[autor_es]],autorest[autor_es],autorest[bio_la])</f>
        <v>Collectio sententiarum Hispanicarum.</v>
      </c>
      <c r="J933" t="str">
        <f>_xlfn.XLOOKUP(frasest[[#This Row],[autor_es]],autorest[autor_es],autorest[codigo])</f>
        <v>es</v>
      </c>
      <c r="K933" t="str">
        <f>_xlfn.XLOOKUP(frasest[[#This Row],[autor_es]],autorest[autor_es],autorest[idioma_es])</f>
        <v>Español</v>
      </c>
      <c r="L933" t="str">
        <f>_xlfn.XLOOKUP(frasest[[#This Row],[autor_es]],autorest[autor_es],autorest[idioma_la])</f>
        <v>Lingua Hispanica</v>
      </c>
      <c r="M933" t="str">
        <f>_xlfn.XLOOKUP(frasest[[#This Row],[autor_es]],autorest[autor_es],autorest[nacion_es])</f>
        <v>España</v>
      </c>
      <c r="N933" t="str">
        <f>_xlfn.XLOOKUP(frasest[[#This Row],[autor_es]],autorest[autor_es],autorest[nacion_la])</f>
        <v>Hispania</v>
      </c>
      <c r="O933" t="str">
        <f>_xlfn.XLOOKUP(frasest[[#This Row],[autor_es]],autorest[autor_es],autorest[epoca_es])</f>
        <v>Epoca Desconocida</v>
      </c>
      <c r="P933" t="str">
        <f>_xlfn.XLOOKUP(frasest[[#This Row],[autor_es]],autorest[autor_es],autorest[epoca_la])</f>
        <v>Epocha Ignota</v>
      </c>
      <c r="Q933" t="str">
        <f>_xlfn.XLOOKUP(frasest[[#This Row],[autor_es]],autorest[autor_es],autorest[imagen])</f>
        <v>https://i.ibb.co/Y4f7TZWm/espa-a.png</v>
      </c>
      <c r="R933">
        <f>_xlfn.XLOOKUP(frasest[[#This Row],[autor_es]],autorest[autor_es],autorest[imagen_atr])</f>
        <v>0</v>
      </c>
    </row>
    <row r="934" spans="1:18">
      <c r="A934">
        <v>933</v>
      </c>
      <c r="B934" t="s">
        <v>3034</v>
      </c>
      <c r="C934" t="s">
        <v>3035</v>
      </c>
      <c r="D934" t="s">
        <v>3034</v>
      </c>
      <c r="E934" t="s">
        <v>24</v>
      </c>
      <c r="G934" t="str">
        <f>_xlfn.XLOOKUP(frasest[[#This Row],[autor_es]],autorest[autor_es],autorest[autor_la])</f>
        <v>Sententia Hispanica</v>
      </c>
      <c r="H934" t="str">
        <f>_xlfn.XLOOKUP(frasest[[#This Row],[autor_es]],autorest[autor_es],autorest[bio_es])</f>
        <v>Refranes populares de la tradición oral hispana que expresan de forma breve y ingeniosa enseñanzas prácticas sobre la vida cotidiana.</v>
      </c>
      <c r="I934" t="str">
        <f>_xlfn.XLOOKUP(frasest[[#This Row],[autor_es]],autorest[autor_es],autorest[bio_la])</f>
        <v>Collectio sententiarum Hispanicarum.</v>
      </c>
      <c r="J934" t="str">
        <f>_xlfn.XLOOKUP(frasest[[#This Row],[autor_es]],autorest[autor_es],autorest[codigo])</f>
        <v>es</v>
      </c>
      <c r="K934" t="str">
        <f>_xlfn.XLOOKUP(frasest[[#This Row],[autor_es]],autorest[autor_es],autorest[idioma_es])</f>
        <v>Español</v>
      </c>
      <c r="L934" t="str">
        <f>_xlfn.XLOOKUP(frasest[[#This Row],[autor_es]],autorest[autor_es],autorest[idioma_la])</f>
        <v>Lingua Hispanica</v>
      </c>
      <c r="M934" t="str">
        <f>_xlfn.XLOOKUP(frasest[[#This Row],[autor_es]],autorest[autor_es],autorest[nacion_es])</f>
        <v>España</v>
      </c>
      <c r="N934" t="str">
        <f>_xlfn.XLOOKUP(frasest[[#This Row],[autor_es]],autorest[autor_es],autorest[nacion_la])</f>
        <v>Hispania</v>
      </c>
      <c r="O934" t="str">
        <f>_xlfn.XLOOKUP(frasest[[#This Row],[autor_es]],autorest[autor_es],autorest[epoca_es])</f>
        <v>Epoca Desconocida</v>
      </c>
      <c r="P934" t="str">
        <f>_xlfn.XLOOKUP(frasest[[#This Row],[autor_es]],autorest[autor_es],autorest[epoca_la])</f>
        <v>Epocha Ignota</v>
      </c>
      <c r="Q934" t="str">
        <f>_xlfn.XLOOKUP(frasest[[#This Row],[autor_es]],autorest[autor_es],autorest[imagen])</f>
        <v>https://i.ibb.co/Y4f7TZWm/espa-a.png</v>
      </c>
      <c r="R934">
        <f>_xlfn.XLOOKUP(frasest[[#This Row],[autor_es]],autorest[autor_es],autorest[imagen_atr])</f>
        <v>0</v>
      </c>
    </row>
    <row r="935" spans="1:18">
      <c r="A935">
        <v>934</v>
      </c>
      <c r="B935" t="s">
        <v>3036</v>
      </c>
      <c r="C935" t="s">
        <v>3037</v>
      </c>
      <c r="D935" t="s">
        <v>3036</v>
      </c>
      <c r="E935" t="s">
        <v>24</v>
      </c>
      <c r="G935" t="str">
        <f>_xlfn.XLOOKUP(frasest[[#This Row],[autor_es]],autorest[autor_es],autorest[autor_la])</f>
        <v>Sententia Hispanica</v>
      </c>
      <c r="H935" t="str">
        <f>_xlfn.XLOOKUP(frasest[[#This Row],[autor_es]],autorest[autor_es],autorest[bio_es])</f>
        <v>Refranes populares de la tradición oral hispana que expresan de forma breve y ingeniosa enseñanzas prácticas sobre la vida cotidiana.</v>
      </c>
      <c r="I935" t="str">
        <f>_xlfn.XLOOKUP(frasest[[#This Row],[autor_es]],autorest[autor_es],autorest[bio_la])</f>
        <v>Collectio sententiarum Hispanicarum.</v>
      </c>
      <c r="J935" t="str">
        <f>_xlfn.XLOOKUP(frasest[[#This Row],[autor_es]],autorest[autor_es],autorest[codigo])</f>
        <v>es</v>
      </c>
      <c r="K935" t="str">
        <f>_xlfn.XLOOKUP(frasest[[#This Row],[autor_es]],autorest[autor_es],autorest[idioma_es])</f>
        <v>Español</v>
      </c>
      <c r="L935" t="str">
        <f>_xlfn.XLOOKUP(frasest[[#This Row],[autor_es]],autorest[autor_es],autorest[idioma_la])</f>
        <v>Lingua Hispanica</v>
      </c>
      <c r="M935" t="str">
        <f>_xlfn.XLOOKUP(frasest[[#This Row],[autor_es]],autorest[autor_es],autorest[nacion_es])</f>
        <v>España</v>
      </c>
      <c r="N935" t="str">
        <f>_xlfn.XLOOKUP(frasest[[#This Row],[autor_es]],autorest[autor_es],autorest[nacion_la])</f>
        <v>Hispania</v>
      </c>
      <c r="O935" t="str">
        <f>_xlfn.XLOOKUP(frasest[[#This Row],[autor_es]],autorest[autor_es],autorest[epoca_es])</f>
        <v>Epoca Desconocida</v>
      </c>
      <c r="P935" t="str">
        <f>_xlfn.XLOOKUP(frasest[[#This Row],[autor_es]],autorest[autor_es],autorest[epoca_la])</f>
        <v>Epocha Ignota</v>
      </c>
      <c r="Q935" t="str">
        <f>_xlfn.XLOOKUP(frasest[[#This Row],[autor_es]],autorest[autor_es],autorest[imagen])</f>
        <v>https://i.ibb.co/Y4f7TZWm/espa-a.png</v>
      </c>
      <c r="R935">
        <f>_xlfn.XLOOKUP(frasest[[#This Row],[autor_es]],autorest[autor_es],autorest[imagen_atr])</f>
        <v>0</v>
      </c>
    </row>
    <row r="936" spans="1:18">
      <c r="A936">
        <v>935</v>
      </c>
      <c r="B936" t="s">
        <v>3038</v>
      </c>
      <c r="C936" t="s">
        <v>3039</v>
      </c>
      <c r="D936" t="s">
        <v>3038</v>
      </c>
      <c r="E936" t="s">
        <v>24</v>
      </c>
      <c r="G936" t="str">
        <f>_xlfn.XLOOKUP(frasest[[#This Row],[autor_es]],autorest[autor_es],autorest[autor_la])</f>
        <v>Sententia Hispanica</v>
      </c>
      <c r="H936" t="str">
        <f>_xlfn.XLOOKUP(frasest[[#This Row],[autor_es]],autorest[autor_es],autorest[bio_es])</f>
        <v>Refranes populares de la tradición oral hispana que expresan de forma breve y ingeniosa enseñanzas prácticas sobre la vida cotidiana.</v>
      </c>
      <c r="I936" t="str">
        <f>_xlfn.XLOOKUP(frasest[[#This Row],[autor_es]],autorest[autor_es],autorest[bio_la])</f>
        <v>Collectio sententiarum Hispanicarum.</v>
      </c>
      <c r="J936" t="str">
        <f>_xlfn.XLOOKUP(frasest[[#This Row],[autor_es]],autorest[autor_es],autorest[codigo])</f>
        <v>es</v>
      </c>
      <c r="K936" t="str">
        <f>_xlfn.XLOOKUP(frasest[[#This Row],[autor_es]],autorest[autor_es],autorest[idioma_es])</f>
        <v>Español</v>
      </c>
      <c r="L936" t="str">
        <f>_xlfn.XLOOKUP(frasest[[#This Row],[autor_es]],autorest[autor_es],autorest[idioma_la])</f>
        <v>Lingua Hispanica</v>
      </c>
      <c r="M936" t="str">
        <f>_xlfn.XLOOKUP(frasest[[#This Row],[autor_es]],autorest[autor_es],autorest[nacion_es])</f>
        <v>España</v>
      </c>
      <c r="N936" t="str">
        <f>_xlfn.XLOOKUP(frasest[[#This Row],[autor_es]],autorest[autor_es],autorest[nacion_la])</f>
        <v>Hispania</v>
      </c>
      <c r="O936" t="str">
        <f>_xlfn.XLOOKUP(frasest[[#This Row],[autor_es]],autorest[autor_es],autorest[epoca_es])</f>
        <v>Epoca Desconocida</v>
      </c>
      <c r="P936" t="str">
        <f>_xlfn.XLOOKUP(frasest[[#This Row],[autor_es]],autorest[autor_es],autorest[epoca_la])</f>
        <v>Epocha Ignota</v>
      </c>
      <c r="Q936" t="str">
        <f>_xlfn.XLOOKUP(frasest[[#This Row],[autor_es]],autorest[autor_es],autorest[imagen])</f>
        <v>https://i.ibb.co/Y4f7TZWm/espa-a.png</v>
      </c>
      <c r="R936">
        <f>_xlfn.XLOOKUP(frasest[[#This Row],[autor_es]],autorest[autor_es],autorest[imagen_atr])</f>
        <v>0</v>
      </c>
    </row>
    <row r="937" spans="1:18">
      <c r="A937">
        <v>936</v>
      </c>
      <c r="B937" t="s">
        <v>3040</v>
      </c>
      <c r="C937" t="s">
        <v>3041</v>
      </c>
      <c r="D937" t="s">
        <v>3040</v>
      </c>
      <c r="E937" t="s">
        <v>24</v>
      </c>
      <c r="G937" t="str">
        <f>_xlfn.XLOOKUP(frasest[[#This Row],[autor_es]],autorest[autor_es],autorest[autor_la])</f>
        <v>Sententia Hispanica</v>
      </c>
      <c r="H937" t="str">
        <f>_xlfn.XLOOKUP(frasest[[#This Row],[autor_es]],autorest[autor_es],autorest[bio_es])</f>
        <v>Refranes populares de la tradición oral hispana que expresan de forma breve y ingeniosa enseñanzas prácticas sobre la vida cotidiana.</v>
      </c>
      <c r="I937" t="str">
        <f>_xlfn.XLOOKUP(frasest[[#This Row],[autor_es]],autorest[autor_es],autorest[bio_la])</f>
        <v>Collectio sententiarum Hispanicarum.</v>
      </c>
      <c r="J937" t="str">
        <f>_xlfn.XLOOKUP(frasest[[#This Row],[autor_es]],autorest[autor_es],autorest[codigo])</f>
        <v>es</v>
      </c>
      <c r="K937" t="str">
        <f>_xlfn.XLOOKUP(frasest[[#This Row],[autor_es]],autorest[autor_es],autorest[idioma_es])</f>
        <v>Español</v>
      </c>
      <c r="L937" t="str">
        <f>_xlfn.XLOOKUP(frasest[[#This Row],[autor_es]],autorest[autor_es],autorest[idioma_la])</f>
        <v>Lingua Hispanica</v>
      </c>
      <c r="M937" t="str">
        <f>_xlfn.XLOOKUP(frasest[[#This Row],[autor_es]],autorest[autor_es],autorest[nacion_es])</f>
        <v>España</v>
      </c>
      <c r="N937" t="str">
        <f>_xlfn.XLOOKUP(frasest[[#This Row],[autor_es]],autorest[autor_es],autorest[nacion_la])</f>
        <v>Hispania</v>
      </c>
      <c r="O937" t="str">
        <f>_xlfn.XLOOKUP(frasest[[#This Row],[autor_es]],autorest[autor_es],autorest[epoca_es])</f>
        <v>Epoca Desconocida</v>
      </c>
      <c r="P937" t="str">
        <f>_xlfn.XLOOKUP(frasest[[#This Row],[autor_es]],autorest[autor_es],autorest[epoca_la])</f>
        <v>Epocha Ignota</v>
      </c>
      <c r="Q937" t="str">
        <f>_xlfn.XLOOKUP(frasest[[#This Row],[autor_es]],autorest[autor_es],autorest[imagen])</f>
        <v>https://i.ibb.co/Y4f7TZWm/espa-a.png</v>
      </c>
      <c r="R937">
        <f>_xlfn.XLOOKUP(frasest[[#This Row],[autor_es]],autorest[autor_es],autorest[imagen_atr])</f>
        <v>0</v>
      </c>
    </row>
    <row r="938" spans="1:18">
      <c r="A938">
        <v>937</v>
      </c>
      <c r="B938" t="s">
        <v>3042</v>
      </c>
      <c r="C938" t="s">
        <v>3043</v>
      </c>
      <c r="D938" t="s">
        <v>3042</v>
      </c>
      <c r="E938" t="s">
        <v>24</v>
      </c>
      <c r="G938" t="str">
        <f>_xlfn.XLOOKUP(frasest[[#This Row],[autor_es]],autorest[autor_es],autorest[autor_la])</f>
        <v>Sententia Hispanica</v>
      </c>
      <c r="H938" t="str">
        <f>_xlfn.XLOOKUP(frasest[[#This Row],[autor_es]],autorest[autor_es],autorest[bio_es])</f>
        <v>Refranes populares de la tradición oral hispana que expresan de forma breve y ingeniosa enseñanzas prácticas sobre la vida cotidiana.</v>
      </c>
      <c r="I938" t="str">
        <f>_xlfn.XLOOKUP(frasest[[#This Row],[autor_es]],autorest[autor_es],autorest[bio_la])</f>
        <v>Collectio sententiarum Hispanicarum.</v>
      </c>
      <c r="J938" t="str">
        <f>_xlfn.XLOOKUP(frasest[[#This Row],[autor_es]],autorest[autor_es],autorest[codigo])</f>
        <v>es</v>
      </c>
      <c r="K938" t="str">
        <f>_xlfn.XLOOKUP(frasest[[#This Row],[autor_es]],autorest[autor_es],autorest[idioma_es])</f>
        <v>Español</v>
      </c>
      <c r="L938" t="str">
        <f>_xlfn.XLOOKUP(frasest[[#This Row],[autor_es]],autorest[autor_es],autorest[idioma_la])</f>
        <v>Lingua Hispanica</v>
      </c>
      <c r="M938" t="str">
        <f>_xlfn.XLOOKUP(frasest[[#This Row],[autor_es]],autorest[autor_es],autorest[nacion_es])</f>
        <v>España</v>
      </c>
      <c r="N938" t="str">
        <f>_xlfn.XLOOKUP(frasest[[#This Row],[autor_es]],autorest[autor_es],autorest[nacion_la])</f>
        <v>Hispania</v>
      </c>
      <c r="O938" t="str">
        <f>_xlfn.XLOOKUP(frasest[[#This Row],[autor_es]],autorest[autor_es],autorest[epoca_es])</f>
        <v>Epoca Desconocida</v>
      </c>
      <c r="P938" t="str">
        <f>_xlfn.XLOOKUP(frasest[[#This Row],[autor_es]],autorest[autor_es],autorest[epoca_la])</f>
        <v>Epocha Ignota</v>
      </c>
      <c r="Q938" t="str">
        <f>_xlfn.XLOOKUP(frasest[[#This Row],[autor_es]],autorest[autor_es],autorest[imagen])</f>
        <v>https://i.ibb.co/Y4f7TZWm/espa-a.png</v>
      </c>
      <c r="R938">
        <f>_xlfn.XLOOKUP(frasest[[#This Row],[autor_es]],autorest[autor_es],autorest[imagen_atr])</f>
        <v>0</v>
      </c>
    </row>
    <row r="939" spans="1:18">
      <c r="A939">
        <v>938</v>
      </c>
      <c r="B939" t="s">
        <v>3044</v>
      </c>
      <c r="C939" t="s">
        <v>3045</v>
      </c>
      <c r="D939" t="s">
        <v>3044</v>
      </c>
      <c r="E939" t="s">
        <v>24</v>
      </c>
      <c r="G939" t="str">
        <f>_xlfn.XLOOKUP(frasest[[#This Row],[autor_es]],autorest[autor_es],autorest[autor_la])</f>
        <v>Sententia Hispanica</v>
      </c>
      <c r="H939" t="str">
        <f>_xlfn.XLOOKUP(frasest[[#This Row],[autor_es]],autorest[autor_es],autorest[bio_es])</f>
        <v>Refranes populares de la tradición oral hispana que expresan de forma breve y ingeniosa enseñanzas prácticas sobre la vida cotidiana.</v>
      </c>
      <c r="I939" t="str">
        <f>_xlfn.XLOOKUP(frasest[[#This Row],[autor_es]],autorest[autor_es],autorest[bio_la])</f>
        <v>Collectio sententiarum Hispanicarum.</v>
      </c>
      <c r="J939" t="str">
        <f>_xlfn.XLOOKUP(frasest[[#This Row],[autor_es]],autorest[autor_es],autorest[codigo])</f>
        <v>es</v>
      </c>
      <c r="K939" t="str">
        <f>_xlfn.XLOOKUP(frasest[[#This Row],[autor_es]],autorest[autor_es],autorest[idioma_es])</f>
        <v>Español</v>
      </c>
      <c r="L939" t="str">
        <f>_xlfn.XLOOKUP(frasest[[#This Row],[autor_es]],autorest[autor_es],autorest[idioma_la])</f>
        <v>Lingua Hispanica</v>
      </c>
      <c r="M939" t="str">
        <f>_xlfn.XLOOKUP(frasest[[#This Row],[autor_es]],autorest[autor_es],autorest[nacion_es])</f>
        <v>España</v>
      </c>
      <c r="N939" t="str">
        <f>_xlfn.XLOOKUP(frasest[[#This Row],[autor_es]],autorest[autor_es],autorest[nacion_la])</f>
        <v>Hispania</v>
      </c>
      <c r="O939" t="str">
        <f>_xlfn.XLOOKUP(frasest[[#This Row],[autor_es]],autorest[autor_es],autorest[epoca_es])</f>
        <v>Epoca Desconocida</v>
      </c>
      <c r="P939" t="str">
        <f>_xlfn.XLOOKUP(frasest[[#This Row],[autor_es]],autorest[autor_es],autorest[epoca_la])</f>
        <v>Epocha Ignota</v>
      </c>
      <c r="Q939" t="str">
        <f>_xlfn.XLOOKUP(frasest[[#This Row],[autor_es]],autorest[autor_es],autorest[imagen])</f>
        <v>https://i.ibb.co/Y4f7TZWm/espa-a.png</v>
      </c>
      <c r="R939">
        <f>_xlfn.XLOOKUP(frasest[[#This Row],[autor_es]],autorest[autor_es],autorest[imagen_atr])</f>
        <v>0</v>
      </c>
    </row>
    <row r="940" spans="1:18">
      <c r="A940">
        <v>939</v>
      </c>
      <c r="B940" t="s">
        <v>3046</v>
      </c>
      <c r="C940" t="s">
        <v>3047</v>
      </c>
      <c r="D940" t="s">
        <v>3046</v>
      </c>
      <c r="E940" t="s">
        <v>24</v>
      </c>
      <c r="G940" t="str">
        <f>_xlfn.XLOOKUP(frasest[[#This Row],[autor_es]],autorest[autor_es],autorest[autor_la])</f>
        <v>Sententia Hispanica</v>
      </c>
      <c r="H940" t="str">
        <f>_xlfn.XLOOKUP(frasest[[#This Row],[autor_es]],autorest[autor_es],autorest[bio_es])</f>
        <v>Refranes populares de la tradición oral hispana que expresan de forma breve y ingeniosa enseñanzas prácticas sobre la vida cotidiana.</v>
      </c>
      <c r="I940" t="str">
        <f>_xlfn.XLOOKUP(frasest[[#This Row],[autor_es]],autorest[autor_es],autorest[bio_la])</f>
        <v>Collectio sententiarum Hispanicarum.</v>
      </c>
      <c r="J940" t="str">
        <f>_xlfn.XLOOKUP(frasest[[#This Row],[autor_es]],autorest[autor_es],autorest[codigo])</f>
        <v>es</v>
      </c>
      <c r="K940" t="str">
        <f>_xlfn.XLOOKUP(frasest[[#This Row],[autor_es]],autorest[autor_es],autorest[idioma_es])</f>
        <v>Español</v>
      </c>
      <c r="L940" t="str">
        <f>_xlfn.XLOOKUP(frasest[[#This Row],[autor_es]],autorest[autor_es],autorest[idioma_la])</f>
        <v>Lingua Hispanica</v>
      </c>
      <c r="M940" t="str">
        <f>_xlfn.XLOOKUP(frasest[[#This Row],[autor_es]],autorest[autor_es],autorest[nacion_es])</f>
        <v>España</v>
      </c>
      <c r="N940" t="str">
        <f>_xlfn.XLOOKUP(frasest[[#This Row],[autor_es]],autorest[autor_es],autorest[nacion_la])</f>
        <v>Hispania</v>
      </c>
      <c r="O940" t="str">
        <f>_xlfn.XLOOKUP(frasest[[#This Row],[autor_es]],autorest[autor_es],autorest[epoca_es])</f>
        <v>Epoca Desconocida</v>
      </c>
      <c r="P940" t="str">
        <f>_xlfn.XLOOKUP(frasest[[#This Row],[autor_es]],autorest[autor_es],autorest[epoca_la])</f>
        <v>Epocha Ignota</v>
      </c>
      <c r="Q940" t="str">
        <f>_xlfn.XLOOKUP(frasest[[#This Row],[autor_es]],autorest[autor_es],autorest[imagen])</f>
        <v>https://i.ibb.co/Y4f7TZWm/espa-a.png</v>
      </c>
      <c r="R940">
        <f>_xlfn.XLOOKUP(frasest[[#This Row],[autor_es]],autorest[autor_es],autorest[imagen_atr])</f>
        <v>0</v>
      </c>
    </row>
    <row r="941" spans="1:18">
      <c r="A941">
        <v>940</v>
      </c>
      <c r="B941" t="s">
        <v>3048</v>
      </c>
      <c r="C941" t="s">
        <v>3049</v>
      </c>
      <c r="D941" t="s">
        <v>3048</v>
      </c>
      <c r="E941" t="s">
        <v>24</v>
      </c>
      <c r="G941" t="str">
        <f>_xlfn.XLOOKUP(frasest[[#This Row],[autor_es]],autorest[autor_es],autorest[autor_la])</f>
        <v>Sententia Hispanica</v>
      </c>
      <c r="H941" t="str">
        <f>_xlfn.XLOOKUP(frasest[[#This Row],[autor_es]],autorest[autor_es],autorest[bio_es])</f>
        <v>Refranes populares de la tradición oral hispana que expresan de forma breve y ingeniosa enseñanzas prácticas sobre la vida cotidiana.</v>
      </c>
      <c r="I941" t="str">
        <f>_xlfn.XLOOKUP(frasest[[#This Row],[autor_es]],autorest[autor_es],autorest[bio_la])</f>
        <v>Collectio sententiarum Hispanicarum.</v>
      </c>
      <c r="J941" t="str">
        <f>_xlfn.XLOOKUP(frasest[[#This Row],[autor_es]],autorest[autor_es],autorest[codigo])</f>
        <v>es</v>
      </c>
      <c r="K941" t="str">
        <f>_xlfn.XLOOKUP(frasest[[#This Row],[autor_es]],autorest[autor_es],autorest[idioma_es])</f>
        <v>Español</v>
      </c>
      <c r="L941" t="str">
        <f>_xlfn.XLOOKUP(frasest[[#This Row],[autor_es]],autorest[autor_es],autorest[idioma_la])</f>
        <v>Lingua Hispanica</v>
      </c>
      <c r="M941" t="str">
        <f>_xlfn.XLOOKUP(frasest[[#This Row],[autor_es]],autorest[autor_es],autorest[nacion_es])</f>
        <v>España</v>
      </c>
      <c r="N941" t="str">
        <f>_xlfn.XLOOKUP(frasest[[#This Row],[autor_es]],autorest[autor_es],autorest[nacion_la])</f>
        <v>Hispania</v>
      </c>
      <c r="O941" t="str">
        <f>_xlfn.XLOOKUP(frasest[[#This Row],[autor_es]],autorest[autor_es],autorest[epoca_es])</f>
        <v>Epoca Desconocida</v>
      </c>
      <c r="P941" t="str">
        <f>_xlfn.XLOOKUP(frasest[[#This Row],[autor_es]],autorest[autor_es],autorest[epoca_la])</f>
        <v>Epocha Ignota</v>
      </c>
      <c r="Q941" t="str">
        <f>_xlfn.XLOOKUP(frasest[[#This Row],[autor_es]],autorest[autor_es],autorest[imagen])</f>
        <v>https://i.ibb.co/Y4f7TZWm/espa-a.png</v>
      </c>
      <c r="R941">
        <f>_xlfn.XLOOKUP(frasest[[#This Row],[autor_es]],autorest[autor_es],autorest[imagen_atr])</f>
        <v>0</v>
      </c>
    </row>
    <row r="942" spans="1:18">
      <c r="A942">
        <v>941</v>
      </c>
      <c r="B942" t="s">
        <v>3050</v>
      </c>
      <c r="C942" t="s">
        <v>3051</v>
      </c>
      <c r="D942" t="s">
        <v>3050</v>
      </c>
      <c r="E942" t="s">
        <v>24</v>
      </c>
      <c r="G942" t="str">
        <f>_xlfn.XLOOKUP(frasest[[#This Row],[autor_es]],autorest[autor_es],autorest[autor_la])</f>
        <v>Sententia Hispanica</v>
      </c>
      <c r="H942" t="str">
        <f>_xlfn.XLOOKUP(frasest[[#This Row],[autor_es]],autorest[autor_es],autorest[bio_es])</f>
        <v>Refranes populares de la tradición oral hispana que expresan de forma breve y ingeniosa enseñanzas prácticas sobre la vida cotidiana.</v>
      </c>
      <c r="I942" t="str">
        <f>_xlfn.XLOOKUP(frasest[[#This Row],[autor_es]],autorest[autor_es],autorest[bio_la])</f>
        <v>Collectio sententiarum Hispanicarum.</v>
      </c>
      <c r="J942" t="str">
        <f>_xlfn.XLOOKUP(frasest[[#This Row],[autor_es]],autorest[autor_es],autorest[codigo])</f>
        <v>es</v>
      </c>
      <c r="K942" t="str">
        <f>_xlfn.XLOOKUP(frasest[[#This Row],[autor_es]],autorest[autor_es],autorest[idioma_es])</f>
        <v>Español</v>
      </c>
      <c r="L942" t="str">
        <f>_xlfn.XLOOKUP(frasest[[#This Row],[autor_es]],autorest[autor_es],autorest[idioma_la])</f>
        <v>Lingua Hispanica</v>
      </c>
      <c r="M942" t="str">
        <f>_xlfn.XLOOKUP(frasest[[#This Row],[autor_es]],autorest[autor_es],autorest[nacion_es])</f>
        <v>España</v>
      </c>
      <c r="N942" t="str">
        <f>_xlfn.XLOOKUP(frasest[[#This Row],[autor_es]],autorest[autor_es],autorest[nacion_la])</f>
        <v>Hispania</v>
      </c>
      <c r="O942" t="str">
        <f>_xlfn.XLOOKUP(frasest[[#This Row],[autor_es]],autorest[autor_es],autorest[epoca_es])</f>
        <v>Epoca Desconocida</v>
      </c>
      <c r="P942" t="str">
        <f>_xlfn.XLOOKUP(frasest[[#This Row],[autor_es]],autorest[autor_es],autorest[epoca_la])</f>
        <v>Epocha Ignota</v>
      </c>
      <c r="Q942" t="str">
        <f>_xlfn.XLOOKUP(frasest[[#This Row],[autor_es]],autorest[autor_es],autorest[imagen])</f>
        <v>https://i.ibb.co/Y4f7TZWm/espa-a.png</v>
      </c>
      <c r="R942">
        <f>_xlfn.XLOOKUP(frasest[[#This Row],[autor_es]],autorest[autor_es],autorest[imagen_atr])</f>
        <v>0</v>
      </c>
    </row>
    <row r="943" spans="1:18">
      <c r="A943">
        <v>942</v>
      </c>
      <c r="B943" t="s">
        <v>3052</v>
      </c>
      <c r="C943" t="s">
        <v>3053</v>
      </c>
      <c r="D943" t="s">
        <v>3052</v>
      </c>
      <c r="E943" t="s">
        <v>24</v>
      </c>
      <c r="G943" t="str">
        <f>_xlfn.XLOOKUP(frasest[[#This Row],[autor_es]],autorest[autor_es],autorest[autor_la])</f>
        <v>Sententia Hispanica</v>
      </c>
      <c r="H943" t="str">
        <f>_xlfn.XLOOKUP(frasest[[#This Row],[autor_es]],autorest[autor_es],autorest[bio_es])</f>
        <v>Refranes populares de la tradición oral hispana que expresan de forma breve y ingeniosa enseñanzas prácticas sobre la vida cotidiana.</v>
      </c>
      <c r="I943" t="str">
        <f>_xlfn.XLOOKUP(frasest[[#This Row],[autor_es]],autorest[autor_es],autorest[bio_la])</f>
        <v>Collectio sententiarum Hispanicarum.</v>
      </c>
      <c r="J943" t="str">
        <f>_xlfn.XLOOKUP(frasest[[#This Row],[autor_es]],autorest[autor_es],autorest[codigo])</f>
        <v>es</v>
      </c>
      <c r="K943" t="str">
        <f>_xlfn.XLOOKUP(frasest[[#This Row],[autor_es]],autorest[autor_es],autorest[idioma_es])</f>
        <v>Español</v>
      </c>
      <c r="L943" t="str">
        <f>_xlfn.XLOOKUP(frasest[[#This Row],[autor_es]],autorest[autor_es],autorest[idioma_la])</f>
        <v>Lingua Hispanica</v>
      </c>
      <c r="M943" t="str">
        <f>_xlfn.XLOOKUP(frasest[[#This Row],[autor_es]],autorest[autor_es],autorest[nacion_es])</f>
        <v>España</v>
      </c>
      <c r="N943" t="str">
        <f>_xlfn.XLOOKUP(frasest[[#This Row],[autor_es]],autorest[autor_es],autorest[nacion_la])</f>
        <v>Hispania</v>
      </c>
      <c r="O943" t="str">
        <f>_xlfn.XLOOKUP(frasest[[#This Row],[autor_es]],autorest[autor_es],autorest[epoca_es])</f>
        <v>Epoca Desconocida</v>
      </c>
      <c r="P943" t="str">
        <f>_xlfn.XLOOKUP(frasest[[#This Row],[autor_es]],autorest[autor_es],autorest[epoca_la])</f>
        <v>Epocha Ignota</v>
      </c>
      <c r="Q943" t="str">
        <f>_xlfn.XLOOKUP(frasest[[#This Row],[autor_es]],autorest[autor_es],autorest[imagen])</f>
        <v>https://i.ibb.co/Y4f7TZWm/espa-a.png</v>
      </c>
      <c r="R943">
        <f>_xlfn.XLOOKUP(frasest[[#This Row],[autor_es]],autorest[autor_es],autorest[imagen_atr])</f>
        <v>0</v>
      </c>
    </row>
    <row r="944" spans="1:18">
      <c r="A944">
        <v>943</v>
      </c>
      <c r="B944" t="s">
        <v>3054</v>
      </c>
      <c r="C944" t="s">
        <v>3055</v>
      </c>
      <c r="D944" t="s">
        <v>3054</v>
      </c>
      <c r="E944" t="s">
        <v>24</v>
      </c>
      <c r="G944" t="str">
        <f>_xlfn.XLOOKUP(frasest[[#This Row],[autor_es]],autorest[autor_es],autorest[autor_la])</f>
        <v>Sententia Hispanica</v>
      </c>
      <c r="H944" t="str">
        <f>_xlfn.XLOOKUP(frasest[[#This Row],[autor_es]],autorest[autor_es],autorest[bio_es])</f>
        <v>Refranes populares de la tradición oral hispana que expresan de forma breve y ingeniosa enseñanzas prácticas sobre la vida cotidiana.</v>
      </c>
      <c r="I944" t="str">
        <f>_xlfn.XLOOKUP(frasest[[#This Row],[autor_es]],autorest[autor_es],autorest[bio_la])</f>
        <v>Collectio sententiarum Hispanicarum.</v>
      </c>
      <c r="J944" t="str">
        <f>_xlfn.XLOOKUP(frasest[[#This Row],[autor_es]],autorest[autor_es],autorest[codigo])</f>
        <v>es</v>
      </c>
      <c r="K944" t="str">
        <f>_xlfn.XLOOKUP(frasest[[#This Row],[autor_es]],autorest[autor_es],autorest[idioma_es])</f>
        <v>Español</v>
      </c>
      <c r="L944" t="str">
        <f>_xlfn.XLOOKUP(frasest[[#This Row],[autor_es]],autorest[autor_es],autorest[idioma_la])</f>
        <v>Lingua Hispanica</v>
      </c>
      <c r="M944" t="str">
        <f>_xlfn.XLOOKUP(frasest[[#This Row],[autor_es]],autorest[autor_es],autorest[nacion_es])</f>
        <v>España</v>
      </c>
      <c r="N944" t="str">
        <f>_xlfn.XLOOKUP(frasest[[#This Row],[autor_es]],autorest[autor_es],autorest[nacion_la])</f>
        <v>Hispania</v>
      </c>
      <c r="O944" t="str">
        <f>_xlfn.XLOOKUP(frasest[[#This Row],[autor_es]],autorest[autor_es],autorest[epoca_es])</f>
        <v>Epoca Desconocida</v>
      </c>
      <c r="P944" t="str">
        <f>_xlfn.XLOOKUP(frasest[[#This Row],[autor_es]],autorest[autor_es],autorest[epoca_la])</f>
        <v>Epocha Ignota</v>
      </c>
      <c r="Q944" t="str">
        <f>_xlfn.XLOOKUP(frasest[[#This Row],[autor_es]],autorest[autor_es],autorest[imagen])</f>
        <v>https://i.ibb.co/Y4f7TZWm/espa-a.png</v>
      </c>
      <c r="R944">
        <f>_xlfn.XLOOKUP(frasest[[#This Row],[autor_es]],autorest[autor_es],autorest[imagen_atr])</f>
        <v>0</v>
      </c>
    </row>
    <row r="945" spans="1:18">
      <c r="A945">
        <v>944</v>
      </c>
      <c r="B945" t="s">
        <v>3056</v>
      </c>
      <c r="C945" t="s">
        <v>3057</v>
      </c>
      <c r="D945" t="s">
        <v>3056</v>
      </c>
      <c r="E945" t="s">
        <v>24</v>
      </c>
      <c r="G945" t="str">
        <f>_xlfn.XLOOKUP(frasest[[#This Row],[autor_es]],autorest[autor_es],autorest[autor_la])</f>
        <v>Sententia Hispanica</v>
      </c>
      <c r="H945" t="str">
        <f>_xlfn.XLOOKUP(frasest[[#This Row],[autor_es]],autorest[autor_es],autorest[bio_es])</f>
        <v>Refranes populares de la tradición oral hispana que expresan de forma breve y ingeniosa enseñanzas prácticas sobre la vida cotidiana.</v>
      </c>
      <c r="I945" t="str">
        <f>_xlfn.XLOOKUP(frasest[[#This Row],[autor_es]],autorest[autor_es],autorest[bio_la])</f>
        <v>Collectio sententiarum Hispanicarum.</v>
      </c>
      <c r="J945" t="str">
        <f>_xlfn.XLOOKUP(frasest[[#This Row],[autor_es]],autorest[autor_es],autorest[codigo])</f>
        <v>es</v>
      </c>
      <c r="K945" t="str">
        <f>_xlfn.XLOOKUP(frasest[[#This Row],[autor_es]],autorest[autor_es],autorest[idioma_es])</f>
        <v>Español</v>
      </c>
      <c r="L945" t="str">
        <f>_xlfn.XLOOKUP(frasest[[#This Row],[autor_es]],autorest[autor_es],autorest[idioma_la])</f>
        <v>Lingua Hispanica</v>
      </c>
      <c r="M945" t="str">
        <f>_xlfn.XLOOKUP(frasest[[#This Row],[autor_es]],autorest[autor_es],autorest[nacion_es])</f>
        <v>España</v>
      </c>
      <c r="N945" t="str">
        <f>_xlfn.XLOOKUP(frasest[[#This Row],[autor_es]],autorest[autor_es],autorest[nacion_la])</f>
        <v>Hispania</v>
      </c>
      <c r="O945" t="str">
        <f>_xlfn.XLOOKUP(frasest[[#This Row],[autor_es]],autorest[autor_es],autorest[epoca_es])</f>
        <v>Epoca Desconocida</v>
      </c>
      <c r="P945" t="str">
        <f>_xlfn.XLOOKUP(frasest[[#This Row],[autor_es]],autorest[autor_es],autorest[epoca_la])</f>
        <v>Epocha Ignota</v>
      </c>
      <c r="Q945" t="str">
        <f>_xlfn.XLOOKUP(frasest[[#This Row],[autor_es]],autorest[autor_es],autorest[imagen])</f>
        <v>https://i.ibb.co/Y4f7TZWm/espa-a.png</v>
      </c>
      <c r="R945">
        <f>_xlfn.XLOOKUP(frasest[[#This Row],[autor_es]],autorest[autor_es],autorest[imagen_atr])</f>
        <v>0</v>
      </c>
    </row>
    <row r="946" spans="1:18">
      <c r="A946">
        <v>945</v>
      </c>
      <c r="B946" t="s">
        <v>3058</v>
      </c>
      <c r="C946" t="s">
        <v>3059</v>
      </c>
      <c r="D946" t="s">
        <v>3058</v>
      </c>
      <c r="E946" t="s">
        <v>24</v>
      </c>
      <c r="G946" t="str">
        <f>_xlfn.XLOOKUP(frasest[[#This Row],[autor_es]],autorest[autor_es],autorest[autor_la])</f>
        <v>Sententia Hispanica</v>
      </c>
      <c r="H946" t="str">
        <f>_xlfn.XLOOKUP(frasest[[#This Row],[autor_es]],autorest[autor_es],autorest[bio_es])</f>
        <v>Refranes populares de la tradición oral hispana que expresan de forma breve y ingeniosa enseñanzas prácticas sobre la vida cotidiana.</v>
      </c>
      <c r="I946" t="str">
        <f>_xlfn.XLOOKUP(frasest[[#This Row],[autor_es]],autorest[autor_es],autorest[bio_la])</f>
        <v>Collectio sententiarum Hispanicarum.</v>
      </c>
      <c r="J946" t="str">
        <f>_xlfn.XLOOKUP(frasest[[#This Row],[autor_es]],autorest[autor_es],autorest[codigo])</f>
        <v>es</v>
      </c>
      <c r="K946" t="str">
        <f>_xlfn.XLOOKUP(frasest[[#This Row],[autor_es]],autorest[autor_es],autorest[idioma_es])</f>
        <v>Español</v>
      </c>
      <c r="L946" t="str">
        <f>_xlfn.XLOOKUP(frasest[[#This Row],[autor_es]],autorest[autor_es],autorest[idioma_la])</f>
        <v>Lingua Hispanica</v>
      </c>
      <c r="M946" t="str">
        <f>_xlfn.XLOOKUP(frasest[[#This Row],[autor_es]],autorest[autor_es],autorest[nacion_es])</f>
        <v>España</v>
      </c>
      <c r="N946" t="str">
        <f>_xlfn.XLOOKUP(frasest[[#This Row],[autor_es]],autorest[autor_es],autorest[nacion_la])</f>
        <v>Hispania</v>
      </c>
      <c r="O946" t="str">
        <f>_xlfn.XLOOKUP(frasest[[#This Row],[autor_es]],autorest[autor_es],autorest[epoca_es])</f>
        <v>Epoca Desconocida</v>
      </c>
      <c r="P946" t="str">
        <f>_xlfn.XLOOKUP(frasest[[#This Row],[autor_es]],autorest[autor_es],autorest[epoca_la])</f>
        <v>Epocha Ignota</v>
      </c>
      <c r="Q946" t="str">
        <f>_xlfn.XLOOKUP(frasest[[#This Row],[autor_es]],autorest[autor_es],autorest[imagen])</f>
        <v>https://i.ibb.co/Y4f7TZWm/espa-a.png</v>
      </c>
      <c r="R946">
        <f>_xlfn.XLOOKUP(frasest[[#This Row],[autor_es]],autorest[autor_es],autorest[imagen_atr])</f>
        <v>0</v>
      </c>
    </row>
    <row r="947" spans="1:18">
      <c r="A947">
        <v>946</v>
      </c>
      <c r="B947" t="s">
        <v>3060</v>
      </c>
      <c r="C947" t="s">
        <v>3061</v>
      </c>
      <c r="D947" t="s">
        <v>3060</v>
      </c>
      <c r="E947" t="s">
        <v>24</v>
      </c>
      <c r="G947" t="str">
        <f>_xlfn.XLOOKUP(frasest[[#This Row],[autor_es]],autorest[autor_es],autorest[autor_la])</f>
        <v>Sententia Hispanica</v>
      </c>
      <c r="H947" t="str">
        <f>_xlfn.XLOOKUP(frasest[[#This Row],[autor_es]],autorest[autor_es],autorest[bio_es])</f>
        <v>Refranes populares de la tradición oral hispana que expresan de forma breve y ingeniosa enseñanzas prácticas sobre la vida cotidiana.</v>
      </c>
      <c r="I947" t="str">
        <f>_xlfn.XLOOKUP(frasest[[#This Row],[autor_es]],autorest[autor_es],autorest[bio_la])</f>
        <v>Collectio sententiarum Hispanicarum.</v>
      </c>
      <c r="J947" t="str">
        <f>_xlfn.XLOOKUP(frasest[[#This Row],[autor_es]],autorest[autor_es],autorest[codigo])</f>
        <v>es</v>
      </c>
      <c r="K947" t="str">
        <f>_xlfn.XLOOKUP(frasest[[#This Row],[autor_es]],autorest[autor_es],autorest[idioma_es])</f>
        <v>Español</v>
      </c>
      <c r="L947" t="str">
        <f>_xlfn.XLOOKUP(frasest[[#This Row],[autor_es]],autorest[autor_es],autorest[idioma_la])</f>
        <v>Lingua Hispanica</v>
      </c>
      <c r="M947" t="str">
        <f>_xlfn.XLOOKUP(frasest[[#This Row],[autor_es]],autorest[autor_es],autorest[nacion_es])</f>
        <v>España</v>
      </c>
      <c r="N947" t="str">
        <f>_xlfn.XLOOKUP(frasest[[#This Row],[autor_es]],autorest[autor_es],autorest[nacion_la])</f>
        <v>Hispania</v>
      </c>
      <c r="O947" t="str">
        <f>_xlfn.XLOOKUP(frasest[[#This Row],[autor_es]],autorest[autor_es],autorest[epoca_es])</f>
        <v>Epoca Desconocida</v>
      </c>
      <c r="P947" t="str">
        <f>_xlfn.XLOOKUP(frasest[[#This Row],[autor_es]],autorest[autor_es],autorest[epoca_la])</f>
        <v>Epocha Ignota</v>
      </c>
      <c r="Q947" t="str">
        <f>_xlfn.XLOOKUP(frasest[[#This Row],[autor_es]],autorest[autor_es],autorest[imagen])</f>
        <v>https://i.ibb.co/Y4f7TZWm/espa-a.png</v>
      </c>
      <c r="R947">
        <f>_xlfn.XLOOKUP(frasest[[#This Row],[autor_es]],autorest[autor_es],autorest[imagen_atr])</f>
        <v>0</v>
      </c>
    </row>
    <row r="948" spans="1:18">
      <c r="A948">
        <v>947</v>
      </c>
      <c r="B948" t="s">
        <v>3062</v>
      </c>
      <c r="C948" t="s">
        <v>3063</v>
      </c>
      <c r="D948" t="s">
        <v>3062</v>
      </c>
      <c r="E948" t="s">
        <v>24</v>
      </c>
      <c r="G948" t="str">
        <f>_xlfn.XLOOKUP(frasest[[#This Row],[autor_es]],autorest[autor_es],autorest[autor_la])</f>
        <v>Sententia Hispanica</v>
      </c>
      <c r="H948" t="str">
        <f>_xlfn.XLOOKUP(frasest[[#This Row],[autor_es]],autorest[autor_es],autorest[bio_es])</f>
        <v>Refranes populares de la tradición oral hispana que expresan de forma breve y ingeniosa enseñanzas prácticas sobre la vida cotidiana.</v>
      </c>
      <c r="I948" t="str">
        <f>_xlfn.XLOOKUP(frasest[[#This Row],[autor_es]],autorest[autor_es],autorest[bio_la])</f>
        <v>Collectio sententiarum Hispanicarum.</v>
      </c>
      <c r="J948" t="str">
        <f>_xlfn.XLOOKUP(frasest[[#This Row],[autor_es]],autorest[autor_es],autorest[codigo])</f>
        <v>es</v>
      </c>
      <c r="K948" t="str">
        <f>_xlfn.XLOOKUP(frasest[[#This Row],[autor_es]],autorest[autor_es],autorest[idioma_es])</f>
        <v>Español</v>
      </c>
      <c r="L948" t="str">
        <f>_xlfn.XLOOKUP(frasest[[#This Row],[autor_es]],autorest[autor_es],autorest[idioma_la])</f>
        <v>Lingua Hispanica</v>
      </c>
      <c r="M948" t="str">
        <f>_xlfn.XLOOKUP(frasest[[#This Row],[autor_es]],autorest[autor_es],autorest[nacion_es])</f>
        <v>España</v>
      </c>
      <c r="N948" t="str">
        <f>_xlfn.XLOOKUP(frasest[[#This Row],[autor_es]],autorest[autor_es],autorest[nacion_la])</f>
        <v>Hispania</v>
      </c>
      <c r="O948" t="str">
        <f>_xlfn.XLOOKUP(frasest[[#This Row],[autor_es]],autorest[autor_es],autorest[epoca_es])</f>
        <v>Epoca Desconocida</v>
      </c>
      <c r="P948" t="str">
        <f>_xlfn.XLOOKUP(frasest[[#This Row],[autor_es]],autorest[autor_es],autorest[epoca_la])</f>
        <v>Epocha Ignota</v>
      </c>
      <c r="Q948" t="str">
        <f>_xlfn.XLOOKUP(frasest[[#This Row],[autor_es]],autorest[autor_es],autorest[imagen])</f>
        <v>https://i.ibb.co/Y4f7TZWm/espa-a.png</v>
      </c>
      <c r="R948">
        <f>_xlfn.XLOOKUP(frasest[[#This Row],[autor_es]],autorest[autor_es],autorest[imagen_atr])</f>
        <v>0</v>
      </c>
    </row>
    <row r="949" spans="1:18">
      <c r="A949">
        <v>948</v>
      </c>
      <c r="B949" t="s">
        <v>3064</v>
      </c>
      <c r="C949" t="s">
        <v>2316</v>
      </c>
      <c r="D949" t="s">
        <v>3064</v>
      </c>
      <c r="E949" t="s">
        <v>24</v>
      </c>
      <c r="G949" t="str">
        <f>_xlfn.XLOOKUP(frasest[[#This Row],[autor_es]],autorest[autor_es],autorest[autor_la])</f>
        <v>Sententia Hispanica</v>
      </c>
      <c r="H949" t="str">
        <f>_xlfn.XLOOKUP(frasest[[#This Row],[autor_es]],autorest[autor_es],autorest[bio_es])</f>
        <v>Refranes populares de la tradición oral hispana que expresan de forma breve y ingeniosa enseñanzas prácticas sobre la vida cotidiana.</v>
      </c>
      <c r="I949" t="str">
        <f>_xlfn.XLOOKUP(frasest[[#This Row],[autor_es]],autorest[autor_es],autorest[bio_la])</f>
        <v>Collectio sententiarum Hispanicarum.</v>
      </c>
      <c r="J949" t="str">
        <f>_xlfn.XLOOKUP(frasest[[#This Row],[autor_es]],autorest[autor_es],autorest[codigo])</f>
        <v>es</v>
      </c>
      <c r="K949" t="str">
        <f>_xlfn.XLOOKUP(frasest[[#This Row],[autor_es]],autorest[autor_es],autorest[idioma_es])</f>
        <v>Español</v>
      </c>
      <c r="L949" t="str">
        <f>_xlfn.XLOOKUP(frasest[[#This Row],[autor_es]],autorest[autor_es],autorest[idioma_la])</f>
        <v>Lingua Hispanica</v>
      </c>
      <c r="M949" t="str">
        <f>_xlfn.XLOOKUP(frasest[[#This Row],[autor_es]],autorest[autor_es],autorest[nacion_es])</f>
        <v>España</v>
      </c>
      <c r="N949" t="str">
        <f>_xlfn.XLOOKUP(frasest[[#This Row],[autor_es]],autorest[autor_es],autorest[nacion_la])</f>
        <v>Hispania</v>
      </c>
      <c r="O949" t="str">
        <f>_xlfn.XLOOKUP(frasest[[#This Row],[autor_es]],autorest[autor_es],autorest[epoca_es])</f>
        <v>Epoca Desconocida</v>
      </c>
      <c r="P949" t="str">
        <f>_xlfn.XLOOKUP(frasest[[#This Row],[autor_es]],autorest[autor_es],autorest[epoca_la])</f>
        <v>Epocha Ignota</v>
      </c>
      <c r="Q949" t="str">
        <f>_xlfn.XLOOKUP(frasest[[#This Row],[autor_es]],autorest[autor_es],autorest[imagen])</f>
        <v>https://i.ibb.co/Y4f7TZWm/espa-a.png</v>
      </c>
      <c r="R949">
        <f>_xlfn.XLOOKUP(frasest[[#This Row],[autor_es]],autorest[autor_es],autorest[imagen_atr])</f>
        <v>0</v>
      </c>
    </row>
    <row r="950" spans="1:18">
      <c r="A950">
        <v>949</v>
      </c>
      <c r="B950" t="s">
        <v>3065</v>
      </c>
      <c r="C950" t="s">
        <v>3066</v>
      </c>
      <c r="D950" t="s">
        <v>3065</v>
      </c>
      <c r="E950" t="s">
        <v>24</v>
      </c>
      <c r="G950" t="str">
        <f>_xlfn.XLOOKUP(frasest[[#This Row],[autor_es]],autorest[autor_es],autorest[autor_la])</f>
        <v>Sententia Hispanica</v>
      </c>
      <c r="H950" t="str">
        <f>_xlfn.XLOOKUP(frasest[[#This Row],[autor_es]],autorest[autor_es],autorest[bio_es])</f>
        <v>Refranes populares de la tradición oral hispana que expresan de forma breve y ingeniosa enseñanzas prácticas sobre la vida cotidiana.</v>
      </c>
      <c r="I950" t="str">
        <f>_xlfn.XLOOKUP(frasest[[#This Row],[autor_es]],autorest[autor_es],autorest[bio_la])</f>
        <v>Collectio sententiarum Hispanicarum.</v>
      </c>
      <c r="J950" t="str">
        <f>_xlfn.XLOOKUP(frasest[[#This Row],[autor_es]],autorest[autor_es],autorest[codigo])</f>
        <v>es</v>
      </c>
      <c r="K950" t="str">
        <f>_xlfn.XLOOKUP(frasest[[#This Row],[autor_es]],autorest[autor_es],autorest[idioma_es])</f>
        <v>Español</v>
      </c>
      <c r="L950" t="str">
        <f>_xlfn.XLOOKUP(frasest[[#This Row],[autor_es]],autorest[autor_es],autorest[idioma_la])</f>
        <v>Lingua Hispanica</v>
      </c>
      <c r="M950" t="str">
        <f>_xlfn.XLOOKUP(frasest[[#This Row],[autor_es]],autorest[autor_es],autorest[nacion_es])</f>
        <v>España</v>
      </c>
      <c r="N950" t="str">
        <f>_xlfn.XLOOKUP(frasest[[#This Row],[autor_es]],autorest[autor_es],autorest[nacion_la])</f>
        <v>Hispania</v>
      </c>
      <c r="O950" t="str">
        <f>_xlfn.XLOOKUP(frasest[[#This Row],[autor_es]],autorest[autor_es],autorest[epoca_es])</f>
        <v>Epoca Desconocida</v>
      </c>
      <c r="P950" t="str">
        <f>_xlfn.XLOOKUP(frasest[[#This Row],[autor_es]],autorest[autor_es],autorest[epoca_la])</f>
        <v>Epocha Ignota</v>
      </c>
      <c r="Q950" t="str">
        <f>_xlfn.XLOOKUP(frasest[[#This Row],[autor_es]],autorest[autor_es],autorest[imagen])</f>
        <v>https://i.ibb.co/Y4f7TZWm/espa-a.png</v>
      </c>
      <c r="R950">
        <f>_xlfn.XLOOKUP(frasest[[#This Row],[autor_es]],autorest[autor_es],autorest[imagen_atr])</f>
        <v>0</v>
      </c>
    </row>
    <row r="951" spans="1:18">
      <c r="A951">
        <v>950</v>
      </c>
      <c r="B951" t="s">
        <v>3067</v>
      </c>
      <c r="C951" t="s">
        <v>3068</v>
      </c>
      <c r="D951" t="s">
        <v>3067</v>
      </c>
      <c r="E951" t="s">
        <v>24</v>
      </c>
      <c r="G951" t="str">
        <f>_xlfn.XLOOKUP(frasest[[#This Row],[autor_es]],autorest[autor_es],autorest[autor_la])</f>
        <v>Sententia Hispanica</v>
      </c>
      <c r="H951" t="str">
        <f>_xlfn.XLOOKUP(frasest[[#This Row],[autor_es]],autorest[autor_es],autorest[bio_es])</f>
        <v>Refranes populares de la tradición oral hispana que expresan de forma breve y ingeniosa enseñanzas prácticas sobre la vida cotidiana.</v>
      </c>
      <c r="I951" t="str">
        <f>_xlfn.XLOOKUP(frasest[[#This Row],[autor_es]],autorest[autor_es],autorest[bio_la])</f>
        <v>Collectio sententiarum Hispanicarum.</v>
      </c>
      <c r="J951" t="str">
        <f>_xlfn.XLOOKUP(frasest[[#This Row],[autor_es]],autorest[autor_es],autorest[codigo])</f>
        <v>es</v>
      </c>
      <c r="K951" t="str">
        <f>_xlfn.XLOOKUP(frasest[[#This Row],[autor_es]],autorest[autor_es],autorest[idioma_es])</f>
        <v>Español</v>
      </c>
      <c r="L951" t="str">
        <f>_xlfn.XLOOKUP(frasest[[#This Row],[autor_es]],autorest[autor_es],autorest[idioma_la])</f>
        <v>Lingua Hispanica</v>
      </c>
      <c r="M951" t="str">
        <f>_xlfn.XLOOKUP(frasest[[#This Row],[autor_es]],autorest[autor_es],autorest[nacion_es])</f>
        <v>España</v>
      </c>
      <c r="N951" t="str">
        <f>_xlfn.XLOOKUP(frasest[[#This Row],[autor_es]],autorest[autor_es],autorest[nacion_la])</f>
        <v>Hispania</v>
      </c>
      <c r="O951" t="str">
        <f>_xlfn.XLOOKUP(frasest[[#This Row],[autor_es]],autorest[autor_es],autorest[epoca_es])</f>
        <v>Epoca Desconocida</v>
      </c>
      <c r="P951" t="str">
        <f>_xlfn.XLOOKUP(frasest[[#This Row],[autor_es]],autorest[autor_es],autorest[epoca_la])</f>
        <v>Epocha Ignota</v>
      </c>
      <c r="Q951" t="str">
        <f>_xlfn.XLOOKUP(frasest[[#This Row],[autor_es]],autorest[autor_es],autorest[imagen])</f>
        <v>https://i.ibb.co/Y4f7TZWm/espa-a.png</v>
      </c>
      <c r="R951">
        <f>_xlfn.XLOOKUP(frasest[[#This Row],[autor_es]],autorest[autor_es],autorest[imagen_atr])</f>
        <v>0</v>
      </c>
    </row>
    <row r="952" spans="1:18">
      <c r="A952">
        <v>951</v>
      </c>
      <c r="B952" t="s">
        <v>3069</v>
      </c>
      <c r="C952" t="s">
        <v>3070</v>
      </c>
      <c r="D952" t="s">
        <v>3069</v>
      </c>
      <c r="E952" t="s">
        <v>24</v>
      </c>
      <c r="G952" t="str">
        <f>_xlfn.XLOOKUP(frasest[[#This Row],[autor_es]],autorest[autor_es],autorest[autor_la])</f>
        <v>Sententia Hispanica</v>
      </c>
      <c r="H952" t="str">
        <f>_xlfn.XLOOKUP(frasest[[#This Row],[autor_es]],autorest[autor_es],autorest[bio_es])</f>
        <v>Refranes populares de la tradición oral hispana que expresan de forma breve y ingeniosa enseñanzas prácticas sobre la vida cotidiana.</v>
      </c>
      <c r="I952" t="str">
        <f>_xlfn.XLOOKUP(frasest[[#This Row],[autor_es]],autorest[autor_es],autorest[bio_la])</f>
        <v>Collectio sententiarum Hispanicarum.</v>
      </c>
      <c r="J952" t="str">
        <f>_xlfn.XLOOKUP(frasest[[#This Row],[autor_es]],autorest[autor_es],autorest[codigo])</f>
        <v>es</v>
      </c>
      <c r="K952" t="str">
        <f>_xlfn.XLOOKUP(frasest[[#This Row],[autor_es]],autorest[autor_es],autorest[idioma_es])</f>
        <v>Español</v>
      </c>
      <c r="L952" t="str">
        <f>_xlfn.XLOOKUP(frasest[[#This Row],[autor_es]],autorest[autor_es],autorest[idioma_la])</f>
        <v>Lingua Hispanica</v>
      </c>
      <c r="M952" t="str">
        <f>_xlfn.XLOOKUP(frasest[[#This Row],[autor_es]],autorest[autor_es],autorest[nacion_es])</f>
        <v>España</v>
      </c>
      <c r="N952" t="str">
        <f>_xlfn.XLOOKUP(frasest[[#This Row],[autor_es]],autorest[autor_es],autorest[nacion_la])</f>
        <v>Hispania</v>
      </c>
      <c r="O952" t="str">
        <f>_xlfn.XLOOKUP(frasest[[#This Row],[autor_es]],autorest[autor_es],autorest[epoca_es])</f>
        <v>Epoca Desconocida</v>
      </c>
      <c r="P952" t="str">
        <f>_xlfn.XLOOKUP(frasest[[#This Row],[autor_es]],autorest[autor_es],autorest[epoca_la])</f>
        <v>Epocha Ignota</v>
      </c>
      <c r="Q952" t="str">
        <f>_xlfn.XLOOKUP(frasest[[#This Row],[autor_es]],autorest[autor_es],autorest[imagen])</f>
        <v>https://i.ibb.co/Y4f7TZWm/espa-a.png</v>
      </c>
      <c r="R952">
        <f>_xlfn.XLOOKUP(frasest[[#This Row],[autor_es]],autorest[autor_es],autorest[imagen_atr])</f>
        <v>0</v>
      </c>
    </row>
    <row r="953" spans="1:18">
      <c r="A953">
        <v>952</v>
      </c>
      <c r="B953" t="s">
        <v>3071</v>
      </c>
      <c r="C953" t="s">
        <v>3072</v>
      </c>
      <c r="D953" t="s">
        <v>3071</v>
      </c>
      <c r="E953" t="s">
        <v>24</v>
      </c>
      <c r="G953" t="str">
        <f>_xlfn.XLOOKUP(frasest[[#This Row],[autor_es]],autorest[autor_es],autorest[autor_la])</f>
        <v>Sententia Hispanica</v>
      </c>
      <c r="H953" t="str">
        <f>_xlfn.XLOOKUP(frasest[[#This Row],[autor_es]],autorest[autor_es],autorest[bio_es])</f>
        <v>Refranes populares de la tradición oral hispana que expresan de forma breve y ingeniosa enseñanzas prácticas sobre la vida cotidiana.</v>
      </c>
      <c r="I953" t="str">
        <f>_xlfn.XLOOKUP(frasest[[#This Row],[autor_es]],autorest[autor_es],autorest[bio_la])</f>
        <v>Collectio sententiarum Hispanicarum.</v>
      </c>
      <c r="J953" t="str">
        <f>_xlfn.XLOOKUP(frasest[[#This Row],[autor_es]],autorest[autor_es],autorest[codigo])</f>
        <v>es</v>
      </c>
      <c r="K953" t="str">
        <f>_xlfn.XLOOKUP(frasest[[#This Row],[autor_es]],autorest[autor_es],autorest[idioma_es])</f>
        <v>Español</v>
      </c>
      <c r="L953" t="str">
        <f>_xlfn.XLOOKUP(frasest[[#This Row],[autor_es]],autorest[autor_es],autorest[idioma_la])</f>
        <v>Lingua Hispanica</v>
      </c>
      <c r="M953" t="str">
        <f>_xlfn.XLOOKUP(frasest[[#This Row],[autor_es]],autorest[autor_es],autorest[nacion_es])</f>
        <v>España</v>
      </c>
      <c r="N953" t="str">
        <f>_xlfn.XLOOKUP(frasest[[#This Row],[autor_es]],autorest[autor_es],autorest[nacion_la])</f>
        <v>Hispania</v>
      </c>
      <c r="O953" t="str">
        <f>_xlfn.XLOOKUP(frasest[[#This Row],[autor_es]],autorest[autor_es],autorest[epoca_es])</f>
        <v>Epoca Desconocida</v>
      </c>
      <c r="P953" t="str">
        <f>_xlfn.XLOOKUP(frasest[[#This Row],[autor_es]],autorest[autor_es],autorest[epoca_la])</f>
        <v>Epocha Ignota</v>
      </c>
      <c r="Q953" t="str">
        <f>_xlfn.XLOOKUP(frasest[[#This Row],[autor_es]],autorest[autor_es],autorest[imagen])</f>
        <v>https://i.ibb.co/Y4f7TZWm/espa-a.png</v>
      </c>
      <c r="R953">
        <f>_xlfn.XLOOKUP(frasest[[#This Row],[autor_es]],autorest[autor_es],autorest[imagen_atr])</f>
        <v>0</v>
      </c>
    </row>
    <row r="954" spans="1:18">
      <c r="A954">
        <v>953</v>
      </c>
      <c r="B954" t="s">
        <v>3073</v>
      </c>
      <c r="C954" t="s">
        <v>3074</v>
      </c>
      <c r="D954" t="s">
        <v>3073</v>
      </c>
      <c r="E954" t="s">
        <v>24</v>
      </c>
      <c r="G954" t="str">
        <f>_xlfn.XLOOKUP(frasest[[#This Row],[autor_es]],autorest[autor_es],autorest[autor_la])</f>
        <v>Sententia Hispanica</v>
      </c>
      <c r="H954" t="str">
        <f>_xlfn.XLOOKUP(frasest[[#This Row],[autor_es]],autorest[autor_es],autorest[bio_es])</f>
        <v>Refranes populares de la tradición oral hispana que expresan de forma breve y ingeniosa enseñanzas prácticas sobre la vida cotidiana.</v>
      </c>
      <c r="I954" t="str">
        <f>_xlfn.XLOOKUP(frasest[[#This Row],[autor_es]],autorest[autor_es],autorest[bio_la])</f>
        <v>Collectio sententiarum Hispanicarum.</v>
      </c>
      <c r="J954" t="str">
        <f>_xlfn.XLOOKUP(frasest[[#This Row],[autor_es]],autorest[autor_es],autorest[codigo])</f>
        <v>es</v>
      </c>
      <c r="K954" t="str">
        <f>_xlfn.XLOOKUP(frasest[[#This Row],[autor_es]],autorest[autor_es],autorest[idioma_es])</f>
        <v>Español</v>
      </c>
      <c r="L954" t="str">
        <f>_xlfn.XLOOKUP(frasest[[#This Row],[autor_es]],autorest[autor_es],autorest[idioma_la])</f>
        <v>Lingua Hispanica</v>
      </c>
      <c r="M954" t="str">
        <f>_xlfn.XLOOKUP(frasest[[#This Row],[autor_es]],autorest[autor_es],autorest[nacion_es])</f>
        <v>España</v>
      </c>
      <c r="N954" t="str">
        <f>_xlfn.XLOOKUP(frasest[[#This Row],[autor_es]],autorest[autor_es],autorest[nacion_la])</f>
        <v>Hispania</v>
      </c>
      <c r="O954" t="str">
        <f>_xlfn.XLOOKUP(frasest[[#This Row],[autor_es]],autorest[autor_es],autorest[epoca_es])</f>
        <v>Epoca Desconocida</v>
      </c>
      <c r="P954" t="str">
        <f>_xlfn.XLOOKUP(frasest[[#This Row],[autor_es]],autorest[autor_es],autorest[epoca_la])</f>
        <v>Epocha Ignota</v>
      </c>
      <c r="Q954" t="str">
        <f>_xlfn.XLOOKUP(frasest[[#This Row],[autor_es]],autorest[autor_es],autorest[imagen])</f>
        <v>https://i.ibb.co/Y4f7TZWm/espa-a.png</v>
      </c>
      <c r="R954">
        <f>_xlfn.XLOOKUP(frasest[[#This Row],[autor_es]],autorest[autor_es],autorest[imagen_atr])</f>
        <v>0</v>
      </c>
    </row>
    <row r="955" spans="1:18">
      <c r="A955">
        <v>954</v>
      </c>
      <c r="B955" t="s">
        <v>3075</v>
      </c>
      <c r="C955" t="s">
        <v>3076</v>
      </c>
      <c r="D955" t="s">
        <v>3075</v>
      </c>
      <c r="E955" t="s">
        <v>24</v>
      </c>
      <c r="G955" t="str">
        <f>_xlfn.XLOOKUP(frasest[[#This Row],[autor_es]],autorest[autor_es],autorest[autor_la])</f>
        <v>Sententia Hispanica</v>
      </c>
      <c r="H955" t="str">
        <f>_xlfn.XLOOKUP(frasest[[#This Row],[autor_es]],autorest[autor_es],autorest[bio_es])</f>
        <v>Refranes populares de la tradición oral hispana que expresan de forma breve y ingeniosa enseñanzas prácticas sobre la vida cotidiana.</v>
      </c>
      <c r="I955" t="str">
        <f>_xlfn.XLOOKUP(frasest[[#This Row],[autor_es]],autorest[autor_es],autorest[bio_la])</f>
        <v>Collectio sententiarum Hispanicarum.</v>
      </c>
      <c r="J955" t="str">
        <f>_xlfn.XLOOKUP(frasest[[#This Row],[autor_es]],autorest[autor_es],autorest[codigo])</f>
        <v>es</v>
      </c>
      <c r="K955" t="str">
        <f>_xlfn.XLOOKUP(frasest[[#This Row],[autor_es]],autorest[autor_es],autorest[idioma_es])</f>
        <v>Español</v>
      </c>
      <c r="L955" t="str">
        <f>_xlfn.XLOOKUP(frasest[[#This Row],[autor_es]],autorest[autor_es],autorest[idioma_la])</f>
        <v>Lingua Hispanica</v>
      </c>
      <c r="M955" t="str">
        <f>_xlfn.XLOOKUP(frasest[[#This Row],[autor_es]],autorest[autor_es],autorest[nacion_es])</f>
        <v>España</v>
      </c>
      <c r="N955" t="str">
        <f>_xlfn.XLOOKUP(frasest[[#This Row],[autor_es]],autorest[autor_es],autorest[nacion_la])</f>
        <v>Hispania</v>
      </c>
      <c r="O955" t="str">
        <f>_xlfn.XLOOKUP(frasest[[#This Row],[autor_es]],autorest[autor_es],autorest[epoca_es])</f>
        <v>Epoca Desconocida</v>
      </c>
      <c r="P955" t="str">
        <f>_xlfn.XLOOKUP(frasest[[#This Row],[autor_es]],autorest[autor_es],autorest[epoca_la])</f>
        <v>Epocha Ignota</v>
      </c>
      <c r="Q955" t="str">
        <f>_xlfn.XLOOKUP(frasest[[#This Row],[autor_es]],autorest[autor_es],autorest[imagen])</f>
        <v>https://i.ibb.co/Y4f7TZWm/espa-a.png</v>
      </c>
      <c r="R955">
        <f>_xlfn.XLOOKUP(frasest[[#This Row],[autor_es]],autorest[autor_es],autorest[imagen_atr])</f>
        <v>0</v>
      </c>
    </row>
    <row r="956" spans="1:18">
      <c r="A956">
        <v>955</v>
      </c>
      <c r="B956" t="s">
        <v>3077</v>
      </c>
      <c r="C956" t="s">
        <v>3078</v>
      </c>
      <c r="D956" t="s">
        <v>3077</v>
      </c>
      <c r="E956" t="s">
        <v>24</v>
      </c>
      <c r="G956" t="str">
        <f>_xlfn.XLOOKUP(frasest[[#This Row],[autor_es]],autorest[autor_es],autorest[autor_la])</f>
        <v>Sententia Hispanica</v>
      </c>
      <c r="H956" t="str">
        <f>_xlfn.XLOOKUP(frasest[[#This Row],[autor_es]],autorest[autor_es],autorest[bio_es])</f>
        <v>Refranes populares de la tradición oral hispana que expresan de forma breve y ingeniosa enseñanzas prácticas sobre la vida cotidiana.</v>
      </c>
      <c r="I956" t="str">
        <f>_xlfn.XLOOKUP(frasest[[#This Row],[autor_es]],autorest[autor_es],autorest[bio_la])</f>
        <v>Collectio sententiarum Hispanicarum.</v>
      </c>
      <c r="J956" t="str">
        <f>_xlfn.XLOOKUP(frasest[[#This Row],[autor_es]],autorest[autor_es],autorest[codigo])</f>
        <v>es</v>
      </c>
      <c r="K956" t="str">
        <f>_xlfn.XLOOKUP(frasest[[#This Row],[autor_es]],autorest[autor_es],autorest[idioma_es])</f>
        <v>Español</v>
      </c>
      <c r="L956" t="str">
        <f>_xlfn.XLOOKUP(frasest[[#This Row],[autor_es]],autorest[autor_es],autorest[idioma_la])</f>
        <v>Lingua Hispanica</v>
      </c>
      <c r="M956" t="str">
        <f>_xlfn.XLOOKUP(frasest[[#This Row],[autor_es]],autorest[autor_es],autorest[nacion_es])</f>
        <v>España</v>
      </c>
      <c r="N956" t="str">
        <f>_xlfn.XLOOKUP(frasest[[#This Row],[autor_es]],autorest[autor_es],autorest[nacion_la])</f>
        <v>Hispania</v>
      </c>
      <c r="O956" t="str">
        <f>_xlfn.XLOOKUP(frasest[[#This Row],[autor_es]],autorest[autor_es],autorest[epoca_es])</f>
        <v>Epoca Desconocida</v>
      </c>
      <c r="P956" t="str">
        <f>_xlfn.XLOOKUP(frasest[[#This Row],[autor_es]],autorest[autor_es],autorest[epoca_la])</f>
        <v>Epocha Ignota</v>
      </c>
      <c r="Q956" t="str">
        <f>_xlfn.XLOOKUP(frasest[[#This Row],[autor_es]],autorest[autor_es],autorest[imagen])</f>
        <v>https://i.ibb.co/Y4f7TZWm/espa-a.png</v>
      </c>
      <c r="R956">
        <f>_xlfn.XLOOKUP(frasest[[#This Row],[autor_es]],autorest[autor_es],autorest[imagen_atr])</f>
        <v>0</v>
      </c>
    </row>
    <row r="957" spans="1:18">
      <c r="A957">
        <v>956</v>
      </c>
      <c r="B957" t="s">
        <v>3079</v>
      </c>
      <c r="C957" t="s">
        <v>3080</v>
      </c>
      <c r="D957" t="s">
        <v>3079</v>
      </c>
      <c r="E957" t="s">
        <v>24</v>
      </c>
      <c r="G957" t="str">
        <f>_xlfn.XLOOKUP(frasest[[#This Row],[autor_es]],autorest[autor_es],autorest[autor_la])</f>
        <v>Sententia Hispanica</v>
      </c>
      <c r="H957" t="str">
        <f>_xlfn.XLOOKUP(frasest[[#This Row],[autor_es]],autorest[autor_es],autorest[bio_es])</f>
        <v>Refranes populares de la tradición oral hispana que expresan de forma breve y ingeniosa enseñanzas prácticas sobre la vida cotidiana.</v>
      </c>
      <c r="I957" t="str">
        <f>_xlfn.XLOOKUP(frasest[[#This Row],[autor_es]],autorest[autor_es],autorest[bio_la])</f>
        <v>Collectio sententiarum Hispanicarum.</v>
      </c>
      <c r="J957" t="str">
        <f>_xlfn.XLOOKUP(frasest[[#This Row],[autor_es]],autorest[autor_es],autorest[codigo])</f>
        <v>es</v>
      </c>
      <c r="K957" t="str">
        <f>_xlfn.XLOOKUP(frasest[[#This Row],[autor_es]],autorest[autor_es],autorest[idioma_es])</f>
        <v>Español</v>
      </c>
      <c r="L957" t="str">
        <f>_xlfn.XLOOKUP(frasest[[#This Row],[autor_es]],autorest[autor_es],autorest[idioma_la])</f>
        <v>Lingua Hispanica</v>
      </c>
      <c r="M957" t="str">
        <f>_xlfn.XLOOKUP(frasest[[#This Row],[autor_es]],autorest[autor_es],autorest[nacion_es])</f>
        <v>España</v>
      </c>
      <c r="N957" t="str">
        <f>_xlfn.XLOOKUP(frasest[[#This Row],[autor_es]],autorest[autor_es],autorest[nacion_la])</f>
        <v>Hispania</v>
      </c>
      <c r="O957" t="str">
        <f>_xlfn.XLOOKUP(frasest[[#This Row],[autor_es]],autorest[autor_es],autorest[epoca_es])</f>
        <v>Epoca Desconocida</v>
      </c>
      <c r="P957" t="str">
        <f>_xlfn.XLOOKUP(frasest[[#This Row],[autor_es]],autorest[autor_es],autorest[epoca_la])</f>
        <v>Epocha Ignota</v>
      </c>
      <c r="Q957" t="str">
        <f>_xlfn.XLOOKUP(frasest[[#This Row],[autor_es]],autorest[autor_es],autorest[imagen])</f>
        <v>https://i.ibb.co/Y4f7TZWm/espa-a.png</v>
      </c>
      <c r="R957">
        <f>_xlfn.XLOOKUP(frasest[[#This Row],[autor_es]],autorest[autor_es],autorest[imagen_atr])</f>
        <v>0</v>
      </c>
    </row>
    <row r="958" spans="1:18">
      <c r="A958">
        <v>957</v>
      </c>
      <c r="B958" t="s">
        <v>3081</v>
      </c>
      <c r="C958" t="s">
        <v>3082</v>
      </c>
      <c r="D958" t="s">
        <v>3081</v>
      </c>
      <c r="E958" t="s">
        <v>24</v>
      </c>
      <c r="G958" t="str">
        <f>_xlfn.XLOOKUP(frasest[[#This Row],[autor_es]],autorest[autor_es],autorest[autor_la])</f>
        <v>Sententia Hispanica</v>
      </c>
      <c r="H958" t="str">
        <f>_xlfn.XLOOKUP(frasest[[#This Row],[autor_es]],autorest[autor_es],autorest[bio_es])</f>
        <v>Refranes populares de la tradición oral hispana que expresan de forma breve y ingeniosa enseñanzas prácticas sobre la vida cotidiana.</v>
      </c>
      <c r="I958" t="str">
        <f>_xlfn.XLOOKUP(frasest[[#This Row],[autor_es]],autorest[autor_es],autorest[bio_la])</f>
        <v>Collectio sententiarum Hispanicarum.</v>
      </c>
      <c r="J958" t="str">
        <f>_xlfn.XLOOKUP(frasest[[#This Row],[autor_es]],autorest[autor_es],autorest[codigo])</f>
        <v>es</v>
      </c>
      <c r="K958" t="str">
        <f>_xlfn.XLOOKUP(frasest[[#This Row],[autor_es]],autorest[autor_es],autorest[idioma_es])</f>
        <v>Español</v>
      </c>
      <c r="L958" t="str">
        <f>_xlfn.XLOOKUP(frasest[[#This Row],[autor_es]],autorest[autor_es],autorest[idioma_la])</f>
        <v>Lingua Hispanica</v>
      </c>
      <c r="M958" t="str">
        <f>_xlfn.XLOOKUP(frasest[[#This Row],[autor_es]],autorest[autor_es],autorest[nacion_es])</f>
        <v>España</v>
      </c>
      <c r="N958" t="str">
        <f>_xlfn.XLOOKUP(frasest[[#This Row],[autor_es]],autorest[autor_es],autorest[nacion_la])</f>
        <v>Hispania</v>
      </c>
      <c r="O958" t="str">
        <f>_xlfn.XLOOKUP(frasest[[#This Row],[autor_es]],autorest[autor_es],autorest[epoca_es])</f>
        <v>Epoca Desconocida</v>
      </c>
      <c r="P958" t="str">
        <f>_xlfn.XLOOKUP(frasest[[#This Row],[autor_es]],autorest[autor_es],autorest[epoca_la])</f>
        <v>Epocha Ignota</v>
      </c>
      <c r="Q958" t="str">
        <f>_xlfn.XLOOKUP(frasest[[#This Row],[autor_es]],autorest[autor_es],autorest[imagen])</f>
        <v>https://i.ibb.co/Y4f7TZWm/espa-a.png</v>
      </c>
      <c r="R958">
        <f>_xlfn.XLOOKUP(frasest[[#This Row],[autor_es]],autorest[autor_es],autorest[imagen_atr])</f>
        <v>0</v>
      </c>
    </row>
    <row r="959" spans="1:18">
      <c r="A959">
        <v>958</v>
      </c>
      <c r="B959" t="s">
        <v>3083</v>
      </c>
      <c r="C959" t="s">
        <v>3084</v>
      </c>
      <c r="D959" t="s">
        <v>3083</v>
      </c>
      <c r="E959" t="s">
        <v>24</v>
      </c>
      <c r="G959" t="str">
        <f>_xlfn.XLOOKUP(frasest[[#This Row],[autor_es]],autorest[autor_es],autorest[autor_la])</f>
        <v>Sententia Hispanica</v>
      </c>
      <c r="H959" t="str">
        <f>_xlfn.XLOOKUP(frasest[[#This Row],[autor_es]],autorest[autor_es],autorest[bio_es])</f>
        <v>Refranes populares de la tradición oral hispana que expresan de forma breve y ingeniosa enseñanzas prácticas sobre la vida cotidiana.</v>
      </c>
      <c r="I959" t="str">
        <f>_xlfn.XLOOKUP(frasest[[#This Row],[autor_es]],autorest[autor_es],autorest[bio_la])</f>
        <v>Collectio sententiarum Hispanicarum.</v>
      </c>
      <c r="J959" t="str">
        <f>_xlfn.XLOOKUP(frasest[[#This Row],[autor_es]],autorest[autor_es],autorest[codigo])</f>
        <v>es</v>
      </c>
      <c r="K959" t="str">
        <f>_xlfn.XLOOKUP(frasest[[#This Row],[autor_es]],autorest[autor_es],autorest[idioma_es])</f>
        <v>Español</v>
      </c>
      <c r="L959" t="str">
        <f>_xlfn.XLOOKUP(frasest[[#This Row],[autor_es]],autorest[autor_es],autorest[idioma_la])</f>
        <v>Lingua Hispanica</v>
      </c>
      <c r="M959" t="str">
        <f>_xlfn.XLOOKUP(frasest[[#This Row],[autor_es]],autorest[autor_es],autorest[nacion_es])</f>
        <v>España</v>
      </c>
      <c r="N959" t="str">
        <f>_xlfn.XLOOKUP(frasest[[#This Row],[autor_es]],autorest[autor_es],autorest[nacion_la])</f>
        <v>Hispania</v>
      </c>
      <c r="O959" t="str">
        <f>_xlfn.XLOOKUP(frasest[[#This Row],[autor_es]],autorest[autor_es],autorest[epoca_es])</f>
        <v>Epoca Desconocida</v>
      </c>
      <c r="P959" t="str">
        <f>_xlfn.XLOOKUP(frasest[[#This Row],[autor_es]],autorest[autor_es],autorest[epoca_la])</f>
        <v>Epocha Ignota</v>
      </c>
      <c r="Q959" t="str">
        <f>_xlfn.XLOOKUP(frasest[[#This Row],[autor_es]],autorest[autor_es],autorest[imagen])</f>
        <v>https://i.ibb.co/Y4f7TZWm/espa-a.png</v>
      </c>
      <c r="R959">
        <f>_xlfn.XLOOKUP(frasest[[#This Row],[autor_es]],autorest[autor_es],autorest[imagen_atr])</f>
        <v>0</v>
      </c>
    </row>
    <row r="960" spans="1:18">
      <c r="A960">
        <v>959</v>
      </c>
      <c r="B960" t="s">
        <v>3085</v>
      </c>
      <c r="C960" t="s">
        <v>3086</v>
      </c>
      <c r="D960" t="s">
        <v>3085</v>
      </c>
      <c r="E960" t="s">
        <v>24</v>
      </c>
      <c r="G960" t="str">
        <f>_xlfn.XLOOKUP(frasest[[#This Row],[autor_es]],autorest[autor_es],autorest[autor_la])</f>
        <v>Sententia Hispanica</v>
      </c>
      <c r="H960" t="str">
        <f>_xlfn.XLOOKUP(frasest[[#This Row],[autor_es]],autorest[autor_es],autorest[bio_es])</f>
        <v>Refranes populares de la tradición oral hispana que expresan de forma breve y ingeniosa enseñanzas prácticas sobre la vida cotidiana.</v>
      </c>
      <c r="I960" t="str">
        <f>_xlfn.XLOOKUP(frasest[[#This Row],[autor_es]],autorest[autor_es],autorest[bio_la])</f>
        <v>Collectio sententiarum Hispanicarum.</v>
      </c>
      <c r="J960" t="str">
        <f>_xlfn.XLOOKUP(frasest[[#This Row],[autor_es]],autorest[autor_es],autorest[codigo])</f>
        <v>es</v>
      </c>
      <c r="K960" t="str">
        <f>_xlfn.XLOOKUP(frasest[[#This Row],[autor_es]],autorest[autor_es],autorest[idioma_es])</f>
        <v>Español</v>
      </c>
      <c r="L960" t="str">
        <f>_xlfn.XLOOKUP(frasest[[#This Row],[autor_es]],autorest[autor_es],autorest[idioma_la])</f>
        <v>Lingua Hispanica</v>
      </c>
      <c r="M960" t="str">
        <f>_xlfn.XLOOKUP(frasest[[#This Row],[autor_es]],autorest[autor_es],autorest[nacion_es])</f>
        <v>España</v>
      </c>
      <c r="N960" t="str">
        <f>_xlfn.XLOOKUP(frasest[[#This Row],[autor_es]],autorest[autor_es],autorest[nacion_la])</f>
        <v>Hispania</v>
      </c>
      <c r="O960" t="str">
        <f>_xlfn.XLOOKUP(frasest[[#This Row],[autor_es]],autorest[autor_es],autorest[epoca_es])</f>
        <v>Epoca Desconocida</v>
      </c>
      <c r="P960" t="str">
        <f>_xlfn.XLOOKUP(frasest[[#This Row],[autor_es]],autorest[autor_es],autorest[epoca_la])</f>
        <v>Epocha Ignota</v>
      </c>
      <c r="Q960" t="str">
        <f>_xlfn.XLOOKUP(frasest[[#This Row],[autor_es]],autorest[autor_es],autorest[imagen])</f>
        <v>https://i.ibb.co/Y4f7TZWm/espa-a.png</v>
      </c>
      <c r="R960">
        <f>_xlfn.XLOOKUP(frasest[[#This Row],[autor_es]],autorest[autor_es],autorest[imagen_atr])</f>
        <v>0</v>
      </c>
    </row>
    <row r="961" spans="1:18">
      <c r="A961">
        <v>960</v>
      </c>
      <c r="B961" t="s">
        <v>3087</v>
      </c>
      <c r="C961" t="s">
        <v>3088</v>
      </c>
      <c r="D961" t="s">
        <v>3087</v>
      </c>
      <c r="E961" t="s">
        <v>24</v>
      </c>
      <c r="G961" t="str">
        <f>_xlfn.XLOOKUP(frasest[[#This Row],[autor_es]],autorest[autor_es],autorest[autor_la])</f>
        <v>Sententia Hispanica</v>
      </c>
      <c r="H961" t="str">
        <f>_xlfn.XLOOKUP(frasest[[#This Row],[autor_es]],autorest[autor_es],autorest[bio_es])</f>
        <v>Refranes populares de la tradición oral hispana que expresan de forma breve y ingeniosa enseñanzas prácticas sobre la vida cotidiana.</v>
      </c>
      <c r="I961" t="str">
        <f>_xlfn.XLOOKUP(frasest[[#This Row],[autor_es]],autorest[autor_es],autorest[bio_la])</f>
        <v>Collectio sententiarum Hispanicarum.</v>
      </c>
      <c r="J961" t="str">
        <f>_xlfn.XLOOKUP(frasest[[#This Row],[autor_es]],autorest[autor_es],autorest[codigo])</f>
        <v>es</v>
      </c>
      <c r="K961" t="str">
        <f>_xlfn.XLOOKUP(frasest[[#This Row],[autor_es]],autorest[autor_es],autorest[idioma_es])</f>
        <v>Español</v>
      </c>
      <c r="L961" t="str">
        <f>_xlfn.XLOOKUP(frasest[[#This Row],[autor_es]],autorest[autor_es],autorest[idioma_la])</f>
        <v>Lingua Hispanica</v>
      </c>
      <c r="M961" t="str">
        <f>_xlfn.XLOOKUP(frasest[[#This Row],[autor_es]],autorest[autor_es],autorest[nacion_es])</f>
        <v>España</v>
      </c>
      <c r="N961" t="str">
        <f>_xlfn.XLOOKUP(frasest[[#This Row],[autor_es]],autorest[autor_es],autorest[nacion_la])</f>
        <v>Hispania</v>
      </c>
      <c r="O961" t="str">
        <f>_xlfn.XLOOKUP(frasest[[#This Row],[autor_es]],autorest[autor_es],autorest[epoca_es])</f>
        <v>Epoca Desconocida</v>
      </c>
      <c r="P961" t="str">
        <f>_xlfn.XLOOKUP(frasest[[#This Row],[autor_es]],autorest[autor_es],autorest[epoca_la])</f>
        <v>Epocha Ignota</v>
      </c>
      <c r="Q961" t="str">
        <f>_xlfn.XLOOKUP(frasest[[#This Row],[autor_es]],autorest[autor_es],autorest[imagen])</f>
        <v>https://i.ibb.co/Y4f7TZWm/espa-a.png</v>
      </c>
      <c r="R961">
        <f>_xlfn.XLOOKUP(frasest[[#This Row],[autor_es]],autorest[autor_es],autorest[imagen_atr])</f>
        <v>0</v>
      </c>
    </row>
    <row r="962" spans="1:18">
      <c r="A962">
        <v>961</v>
      </c>
      <c r="B962" t="s">
        <v>3089</v>
      </c>
      <c r="C962" t="s">
        <v>3090</v>
      </c>
      <c r="D962" t="s">
        <v>3089</v>
      </c>
      <c r="E962" t="s">
        <v>24</v>
      </c>
      <c r="G962" t="str">
        <f>_xlfn.XLOOKUP(frasest[[#This Row],[autor_es]],autorest[autor_es],autorest[autor_la])</f>
        <v>Sententia Hispanica</v>
      </c>
      <c r="H962" t="str">
        <f>_xlfn.XLOOKUP(frasest[[#This Row],[autor_es]],autorest[autor_es],autorest[bio_es])</f>
        <v>Refranes populares de la tradición oral hispana que expresan de forma breve y ingeniosa enseñanzas prácticas sobre la vida cotidiana.</v>
      </c>
      <c r="I962" t="str">
        <f>_xlfn.XLOOKUP(frasest[[#This Row],[autor_es]],autorest[autor_es],autorest[bio_la])</f>
        <v>Collectio sententiarum Hispanicarum.</v>
      </c>
      <c r="J962" t="str">
        <f>_xlfn.XLOOKUP(frasest[[#This Row],[autor_es]],autorest[autor_es],autorest[codigo])</f>
        <v>es</v>
      </c>
      <c r="K962" t="str">
        <f>_xlfn.XLOOKUP(frasest[[#This Row],[autor_es]],autorest[autor_es],autorest[idioma_es])</f>
        <v>Español</v>
      </c>
      <c r="L962" t="str">
        <f>_xlfn.XLOOKUP(frasest[[#This Row],[autor_es]],autorest[autor_es],autorest[idioma_la])</f>
        <v>Lingua Hispanica</v>
      </c>
      <c r="M962" t="str">
        <f>_xlfn.XLOOKUP(frasest[[#This Row],[autor_es]],autorest[autor_es],autorest[nacion_es])</f>
        <v>España</v>
      </c>
      <c r="N962" t="str">
        <f>_xlfn.XLOOKUP(frasest[[#This Row],[autor_es]],autorest[autor_es],autorest[nacion_la])</f>
        <v>Hispania</v>
      </c>
      <c r="O962" t="str">
        <f>_xlfn.XLOOKUP(frasest[[#This Row],[autor_es]],autorest[autor_es],autorest[epoca_es])</f>
        <v>Epoca Desconocida</v>
      </c>
      <c r="P962" t="str">
        <f>_xlfn.XLOOKUP(frasest[[#This Row],[autor_es]],autorest[autor_es],autorest[epoca_la])</f>
        <v>Epocha Ignota</v>
      </c>
      <c r="Q962" t="str">
        <f>_xlfn.XLOOKUP(frasest[[#This Row],[autor_es]],autorest[autor_es],autorest[imagen])</f>
        <v>https://i.ibb.co/Y4f7TZWm/espa-a.png</v>
      </c>
      <c r="R962">
        <f>_xlfn.XLOOKUP(frasest[[#This Row],[autor_es]],autorest[autor_es],autorest[imagen_atr])</f>
        <v>0</v>
      </c>
    </row>
    <row r="963" spans="1:18">
      <c r="A963">
        <v>962</v>
      </c>
      <c r="B963" t="s">
        <v>3091</v>
      </c>
      <c r="C963" t="s">
        <v>3092</v>
      </c>
      <c r="D963" t="s">
        <v>3091</v>
      </c>
      <c r="E963" t="s">
        <v>24</v>
      </c>
      <c r="G963" t="str">
        <f>_xlfn.XLOOKUP(frasest[[#This Row],[autor_es]],autorest[autor_es],autorest[autor_la])</f>
        <v>Sententia Hispanica</v>
      </c>
      <c r="H963" t="str">
        <f>_xlfn.XLOOKUP(frasest[[#This Row],[autor_es]],autorest[autor_es],autorest[bio_es])</f>
        <v>Refranes populares de la tradición oral hispana que expresan de forma breve y ingeniosa enseñanzas prácticas sobre la vida cotidiana.</v>
      </c>
      <c r="I963" t="str">
        <f>_xlfn.XLOOKUP(frasest[[#This Row],[autor_es]],autorest[autor_es],autorest[bio_la])</f>
        <v>Collectio sententiarum Hispanicarum.</v>
      </c>
      <c r="J963" t="str">
        <f>_xlfn.XLOOKUP(frasest[[#This Row],[autor_es]],autorest[autor_es],autorest[codigo])</f>
        <v>es</v>
      </c>
      <c r="K963" t="str">
        <f>_xlfn.XLOOKUP(frasest[[#This Row],[autor_es]],autorest[autor_es],autorest[idioma_es])</f>
        <v>Español</v>
      </c>
      <c r="L963" t="str">
        <f>_xlfn.XLOOKUP(frasest[[#This Row],[autor_es]],autorest[autor_es],autorest[idioma_la])</f>
        <v>Lingua Hispanica</v>
      </c>
      <c r="M963" t="str">
        <f>_xlfn.XLOOKUP(frasest[[#This Row],[autor_es]],autorest[autor_es],autorest[nacion_es])</f>
        <v>España</v>
      </c>
      <c r="N963" t="str">
        <f>_xlfn.XLOOKUP(frasest[[#This Row],[autor_es]],autorest[autor_es],autorest[nacion_la])</f>
        <v>Hispania</v>
      </c>
      <c r="O963" t="str">
        <f>_xlfn.XLOOKUP(frasest[[#This Row],[autor_es]],autorest[autor_es],autorest[epoca_es])</f>
        <v>Epoca Desconocida</v>
      </c>
      <c r="P963" t="str">
        <f>_xlfn.XLOOKUP(frasest[[#This Row],[autor_es]],autorest[autor_es],autorest[epoca_la])</f>
        <v>Epocha Ignota</v>
      </c>
      <c r="Q963" t="str">
        <f>_xlfn.XLOOKUP(frasest[[#This Row],[autor_es]],autorest[autor_es],autorest[imagen])</f>
        <v>https://i.ibb.co/Y4f7TZWm/espa-a.png</v>
      </c>
      <c r="R963">
        <f>_xlfn.XLOOKUP(frasest[[#This Row],[autor_es]],autorest[autor_es],autorest[imagen_atr])</f>
        <v>0</v>
      </c>
    </row>
    <row r="964" spans="1:18">
      <c r="A964">
        <v>963</v>
      </c>
      <c r="B964" t="s">
        <v>3093</v>
      </c>
      <c r="C964" t="s">
        <v>3094</v>
      </c>
      <c r="D964" t="s">
        <v>3093</v>
      </c>
      <c r="E964" t="s">
        <v>24</v>
      </c>
      <c r="G964" t="str">
        <f>_xlfn.XLOOKUP(frasest[[#This Row],[autor_es]],autorest[autor_es],autorest[autor_la])</f>
        <v>Sententia Hispanica</v>
      </c>
      <c r="H964" t="str">
        <f>_xlfn.XLOOKUP(frasest[[#This Row],[autor_es]],autorest[autor_es],autorest[bio_es])</f>
        <v>Refranes populares de la tradición oral hispana que expresan de forma breve y ingeniosa enseñanzas prácticas sobre la vida cotidiana.</v>
      </c>
      <c r="I964" t="str">
        <f>_xlfn.XLOOKUP(frasest[[#This Row],[autor_es]],autorest[autor_es],autorest[bio_la])</f>
        <v>Collectio sententiarum Hispanicarum.</v>
      </c>
      <c r="J964" t="str">
        <f>_xlfn.XLOOKUP(frasest[[#This Row],[autor_es]],autorest[autor_es],autorest[codigo])</f>
        <v>es</v>
      </c>
      <c r="K964" t="str">
        <f>_xlfn.XLOOKUP(frasest[[#This Row],[autor_es]],autorest[autor_es],autorest[idioma_es])</f>
        <v>Español</v>
      </c>
      <c r="L964" t="str">
        <f>_xlfn.XLOOKUP(frasest[[#This Row],[autor_es]],autorest[autor_es],autorest[idioma_la])</f>
        <v>Lingua Hispanica</v>
      </c>
      <c r="M964" t="str">
        <f>_xlfn.XLOOKUP(frasest[[#This Row],[autor_es]],autorest[autor_es],autorest[nacion_es])</f>
        <v>España</v>
      </c>
      <c r="N964" t="str">
        <f>_xlfn.XLOOKUP(frasest[[#This Row],[autor_es]],autorest[autor_es],autorest[nacion_la])</f>
        <v>Hispania</v>
      </c>
      <c r="O964" t="str">
        <f>_xlfn.XLOOKUP(frasest[[#This Row],[autor_es]],autorest[autor_es],autorest[epoca_es])</f>
        <v>Epoca Desconocida</v>
      </c>
      <c r="P964" t="str">
        <f>_xlfn.XLOOKUP(frasest[[#This Row],[autor_es]],autorest[autor_es],autorest[epoca_la])</f>
        <v>Epocha Ignota</v>
      </c>
      <c r="Q964" t="str">
        <f>_xlfn.XLOOKUP(frasest[[#This Row],[autor_es]],autorest[autor_es],autorest[imagen])</f>
        <v>https://i.ibb.co/Y4f7TZWm/espa-a.png</v>
      </c>
      <c r="R964">
        <f>_xlfn.XLOOKUP(frasest[[#This Row],[autor_es]],autorest[autor_es],autorest[imagen_atr])</f>
        <v>0</v>
      </c>
    </row>
    <row r="965" spans="1:18">
      <c r="A965">
        <v>964</v>
      </c>
      <c r="B965" t="s">
        <v>3095</v>
      </c>
      <c r="C965" t="s">
        <v>3096</v>
      </c>
      <c r="D965" t="s">
        <v>3095</v>
      </c>
      <c r="E965" t="s">
        <v>24</v>
      </c>
      <c r="G965" t="str">
        <f>_xlfn.XLOOKUP(frasest[[#This Row],[autor_es]],autorest[autor_es],autorest[autor_la])</f>
        <v>Sententia Hispanica</v>
      </c>
      <c r="H965" t="str">
        <f>_xlfn.XLOOKUP(frasest[[#This Row],[autor_es]],autorest[autor_es],autorest[bio_es])</f>
        <v>Refranes populares de la tradición oral hispana que expresan de forma breve y ingeniosa enseñanzas prácticas sobre la vida cotidiana.</v>
      </c>
      <c r="I965" t="str">
        <f>_xlfn.XLOOKUP(frasest[[#This Row],[autor_es]],autorest[autor_es],autorest[bio_la])</f>
        <v>Collectio sententiarum Hispanicarum.</v>
      </c>
      <c r="J965" t="str">
        <f>_xlfn.XLOOKUP(frasest[[#This Row],[autor_es]],autorest[autor_es],autorest[codigo])</f>
        <v>es</v>
      </c>
      <c r="K965" t="str">
        <f>_xlfn.XLOOKUP(frasest[[#This Row],[autor_es]],autorest[autor_es],autorest[idioma_es])</f>
        <v>Español</v>
      </c>
      <c r="L965" t="str">
        <f>_xlfn.XLOOKUP(frasest[[#This Row],[autor_es]],autorest[autor_es],autorest[idioma_la])</f>
        <v>Lingua Hispanica</v>
      </c>
      <c r="M965" t="str">
        <f>_xlfn.XLOOKUP(frasest[[#This Row],[autor_es]],autorest[autor_es],autorest[nacion_es])</f>
        <v>España</v>
      </c>
      <c r="N965" t="str">
        <f>_xlfn.XLOOKUP(frasest[[#This Row],[autor_es]],autorest[autor_es],autorest[nacion_la])</f>
        <v>Hispania</v>
      </c>
      <c r="O965" t="str">
        <f>_xlfn.XLOOKUP(frasest[[#This Row],[autor_es]],autorest[autor_es],autorest[epoca_es])</f>
        <v>Epoca Desconocida</v>
      </c>
      <c r="P965" t="str">
        <f>_xlfn.XLOOKUP(frasest[[#This Row],[autor_es]],autorest[autor_es],autorest[epoca_la])</f>
        <v>Epocha Ignota</v>
      </c>
      <c r="Q965" t="str">
        <f>_xlfn.XLOOKUP(frasest[[#This Row],[autor_es]],autorest[autor_es],autorest[imagen])</f>
        <v>https://i.ibb.co/Y4f7TZWm/espa-a.png</v>
      </c>
      <c r="R965">
        <f>_xlfn.XLOOKUP(frasest[[#This Row],[autor_es]],autorest[autor_es],autorest[imagen_atr])</f>
        <v>0</v>
      </c>
    </row>
    <row r="966" spans="1:18">
      <c r="A966">
        <v>965</v>
      </c>
      <c r="B966" t="s">
        <v>3097</v>
      </c>
      <c r="C966" t="s">
        <v>3098</v>
      </c>
      <c r="D966" t="s">
        <v>3097</v>
      </c>
      <c r="E966" t="s">
        <v>24</v>
      </c>
      <c r="G966" t="str">
        <f>_xlfn.XLOOKUP(frasest[[#This Row],[autor_es]],autorest[autor_es],autorest[autor_la])</f>
        <v>Sententia Hispanica</v>
      </c>
      <c r="H966" t="str">
        <f>_xlfn.XLOOKUP(frasest[[#This Row],[autor_es]],autorest[autor_es],autorest[bio_es])</f>
        <v>Refranes populares de la tradición oral hispana que expresan de forma breve y ingeniosa enseñanzas prácticas sobre la vida cotidiana.</v>
      </c>
      <c r="I966" t="str">
        <f>_xlfn.XLOOKUP(frasest[[#This Row],[autor_es]],autorest[autor_es],autorest[bio_la])</f>
        <v>Collectio sententiarum Hispanicarum.</v>
      </c>
      <c r="J966" t="str">
        <f>_xlfn.XLOOKUP(frasest[[#This Row],[autor_es]],autorest[autor_es],autorest[codigo])</f>
        <v>es</v>
      </c>
      <c r="K966" t="str">
        <f>_xlfn.XLOOKUP(frasest[[#This Row],[autor_es]],autorest[autor_es],autorest[idioma_es])</f>
        <v>Español</v>
      </c>
      <c r="L966" t="str">
        <f>_xlfn.XLOOKUP(frasest[[#This Row],[autor_es]],autorest[autor_es],autorest[idioma_la])</f>
        <v>Lingua Hispanica</v>
      </c>
      <c r="M966" t="str">
        <f>_xlfn.XLOOKUP(frasest[[#This Row],[autor_es]],autorest[autor_es],autorest[nacion_es])</f>
        <v>España</v>
      </c>
      <c r="N966" t="str">
        <f>_xlfn.XLOOKUP(frasest[[#This Row],[autor_es]],autorest[autor_es],autorest[nacion_la])</f>
        <v>Hispania</v>
      </c>
      <c r="O966" t="str">
        <f>_xlfn.XLOOKUP(frasest[[#This Row],[autor_es]],autorest[autor_es],autorest[epoca_es])</f>
        <v>Epoca Desconocida</v>
      </c>
      <c r="P966" t="str">
        <f>_xlfn.XLOOKUP(frasest[[#This Row],[autor_es]],autorest[autor_es],autorest[epoca_la])</f>
        <v>Epocha Ignota</v>
      </c>
      <c r="Q966" t="str">
        <f>_xlfn.XLOOKUP(frasest[[#This Row],[autor_es]],autorest[autor_es],autorest[imagen])</f>
        <v>https://i.ibb.co/Y4f7TZWm/espa-a.png</v>
      </c>
      <c r="R966">
        <f>_xlfn.XLOOKUP(frasest[[#This Row],[autor_es]],autorest[autor_es],autorest[imagen_atr])</f>
        <v>0</v>
      </c>
    </row>
    <row r="967" spans="1:18">
      <c r="A967">
        <v>966</v>
      </c>
      <c r="B967" t="s">
        <v>3099</v>
      </c>
      <c r="C967" t="s">
        <v>3100</v>
      </c>
      <c r="D967" t="s">
        <v>3099</v>
      </c>
      <c r="E967" t="s">
        <v>24</v>
      </c>
      <c r="G967" t="str">
        <f>_xlfn.XLOOKUP(frasest[[#This Row],[autor_es]],autorest[autor_es],autorest[autor_la])</f>
        <v>Sententia Hispanica</v>
      </c>
      <c r="H967" t="str">
        <f>_xlfn.XLOOKUP(frasest[[#This Row],[autor_es]],autorest[autor_es],autorest[bio_es])</f>
        <v>Refranes populares de la tradición oral hispana que expresan de forma breve y ingeniosa enseñanzas prácticas sobre la vida cotidiana.</v>
      </c>
      <c r="I967" t="str">
        <f>_xlfn.XLOOKUP(frasest[[#This Row],[autor_es]],autorest[autor_es],autorest[bio_la])</f>
        <v>Collectio sententiarum Hispanicarum.</v>
      </c>
      <c r="J967" t="str">
        <f>_xlfn.XLOOKUP(frasest[[#This Row],[autor_es]],autorest[autor_es],autorest[codigo])</f>
        <v>es</v>
      </c>
      <c r="K967" t="str">
        <f>_xlfn.XLOOKUP(frasest[[#This Row],[autor_es]],autorest[autor_es],autorest[idioma_es])</f>
        <v>Español</v>
      </c>
      <c r="L967" t="str">
        <f>_xlfn.XLOOKUP(frasest[[#This Row],[autor_es]],autorest[autor_es],autorest[idioma_la])</f>
        <v>Lingua Hispanica</v>
      </c>
      <c r="M967" t="str">
        <f>_xlfn.XLOOKUP(frasest[[#This Row],[autor_es]],autorest[autor_es],autorest[nacion_es])</f>
        <v>España</v>
      </c>
      <c r="N967" t="str">
        <f>_xlfn.XLOOKUP(frasest[[#This Row],[autor_es]],autorest[autor_es],autorest[nacion_la])</f>
        <v>Hispania</v>
      </c>
      <c r="O967" t="str">
        <f>_xlfn.XLOOKUP(frasest[[#This Row],[autor_es]],autorest[autor_es],autorest[epoca_es])</f>
        <v>Epoca Desconocida</v>
      </c>
      <c r="P967" t="str">
        <f>_xlfn.XLOOKUP(frasest[[#This Row],[autor_es]],autorest[autor_es],autorest[epoca_la])</f>
        <v>Epocha Ignota</v>
      </c>
      <c r="Q967" t="str">
        <f>_xlfn.XLOOKUP(frasest[[#This Row],[autor_es]],autorest[autor_es],autorest[imagen])</f>
        <v>https://i.ibb.co/Y4f7TZWm/espa-a.png</v>
      </c>
      <c r="R967">
        <f>_xlfn.XLOOKUP(frasest[[#This Row],[autor_es]],autorest[autor_es],autorest[imagen_atr])</f>
        <v>0</v>
      </c>
    </row>
    <row r="968" spans="1:18">
      <c r="A968">
        <v>967</v>
      </c>
      <c r="B968" t="s">
        <v>3101</v>
      </c>
      <c r="C968" t="s">
        <v>3102</v>
      </c>
      <c r="D968" t="s">
        <v>3101</v>
      </c>
      <c r="E968" t="s">
        <v>24</v>
      </c>
      <c r="G968" t="str">
        <f>_xlfn.XLOOKUP(frasest[[#This Row],[autor_es]],autorest[autor_es],autorest[autor_la])</f>
        <v>Sententia Hispanica</v>
      </c>
      <c r="H968" t="str">
        <f>_xlfn.XLOOKUP(frasest[[#This Row],[autor_es]],autorest[autor_es],autorest[bio_es])</f>
        <v>Refranes populares de la tradición oral hispana que expresan de forma breve y ingeniosa enseñanzas prácticas sobre la vida cotidiana.</v>
      </c>
      <c r="I968" t="str">
        <f>_xlfn.XLOOKUP(frasest[[#This Row],[autor_es]],autorest[autor_es],autorest[bio_la])</f>
        <v>Collectio sententiarum Hispanicarum.</v>
      </c>
      <c r="J968" t="str">
        <f>_xlfn.XLOOKUP(frasest[[#This Row],[autor_es]],autorest[autor_es],autorest[codigo])</f>
        <v>es</v>
      </c>
      <c r="K968" t="str">
        <f>_xlfn.XLOOKUP(frasest[[#This Row],[autor_es]],autorest[autor_es],autorest[idioma_es])</f>
        <v>Español</v>
      </c>
      <c r="L968" t="str">
        <f>_xlfn.XLOOKUP(frasest[[#This Row],[autor_es]],autorest[autor_es],autorest[idioma_la])</f>
        <v>Lingua Hispanica</v>
      </c>
      <c r="M968" t="str">
        <f>_xlfn.XLOOKUP(frasest[[#This Row],[autor_es]],autorest[autor_es],autorest[nacion_es])</f>
        <v>España</v>
      </c>
      <c r="N968" t="str">
        <f>_xlfn.XLOOKUP(frasest[[#This Row],[autor_es]],autorest[autor_es],autorest[nacion_la])</f>
        <v>Hispania</v>
      </c>
      <c r="O968" t="str">
        <f>_xlfn.XLOOKUP(frasest[[#This Row],[autor_es]],autorest[autor_es],autorest[epoca_es])</f>
        <v>Epoca Desconocida</v>
      </c>
      <c r="P968" t="str">
        <f>_xlfn.XLOOKUP(frasest[[#This Row],[autor_es]],autorest[autor_es],autorest[epoca_la])</f>
        <v>Epocha Ignota</v>
      </c>
      <c r="Q968" t="str">
        <f>_xlfn.XLOOKUP(frasest[[#This Row],[autor_es]],autorest[autor_es],autorest[imagen])</f>
        <v>https://i.ibb.co/Y4f7TZWm/espa-a.png</v>
      </c>
      <c r="R968">
        <f>_xlfn.XLOOKUP(frasest[[#This Row],[autor_es]],autorest[autor_es],autorest[imagen_atr])</f>
        <v>0</v>
      </c>
    </row>
    <row r="969" spans="1:18">
      <c r="A969">
        <v>968</v>
      </c>
      <c r="B969" t="s">
        <v>2631</v>
      </c>
      <c r="C969" t="s">
        <v>2632</v>
      </c>
      <c r="D969" t="s">
        <v>2631</v>
      </c>
      <c r="E969" t="s">
        <v>24</v>
      </c>
      <c r="G969" t="str">
        <f>_xlfn.XLOOKUP(frasest[[#This Row],[autor_es]],autorest[autor_es],autorest[autor_la])</f>
        <v>Sententia Hispanica</v>
      </c>
      <c r="H969" t="str">
        <f>_xlfn.XLOOKUP(frasest[[#This Row],[autor_es]],autorest[autor_es],autorest[bio_es])</f>
        <v>Refranes populares de la tradición oral hispana que expresan de forma breve y ingeniosa enseñanzas prácticas sobre la vida cotidiana.</v>
      </c>
      <c r="I969" t="str">
        <f>_xlfn.XLOOKUP(frasest[[#This Row],[autor_es]],autorest[autor_es],autorest[bio_la])</f>
        <v>Collectio sententiarum Hispanicarum.</v>
      </c>
      <c r="J969" t="str">
        <f>_xlfn.XLOOKUP(frasest[[#This Row],[autor_es]],autorest[autor_es],autorest[codigo])</f>
        <v>es</v>
      </c>
      <c r="K969" t="str">
        <f>_xlfn.XLOOKUP(frasest[[#This Row],[autor_es]],autorest[autor_es],autorest[idioma_es])</f>
        <v>Español</v>
      </c>
      <c r="L969" t="str">
        <f>_xlfn.XLOOKUP(frasest[[#This Row],[autor_es]],autorest[autor_es],autorest[idioma_la])</f>
        <v>Lingua Hispanica</v>
      </c>
      <c r="M969" t="str">
        <f>_xlfn.XLOOKUP(frasest[[#This Row],[autor_es]],autorest[autor_es],autorest[nacion_es])</f>
        <v>España</v>
      </c>
      <c r="N969" t="str">
        <f>_xlfn.XLOOKUP(frasest[[#This Row],[autor_es]],autorest[autor_es],autorest[nacion_la])</f>
        <v>Hispania</v>
      </c>
      <c r="O969" t="str">
        <f>_xlfn.XLOOKUP(frasest[[#This Row],[autor_es]],autorest[autor_es],autorest[epoca_es])</f>
        <v>Epoca Desconocida</v>
      </c>
      <c r="P969" t="str">
        <f>_xlfn.XLOOKUP(frasest[[#This Row],[autor_es]],autorest[autor_es],autorest[epoca_la])</f>
        <v>Epocha Ignota</v>
      </c>
      <c r="Q969" t="str">
        <f>_xlfn.XLOOKUP(frasest[[#This Row],[autor_es]],autorest[autor_es],autorest[imagen])</f>
        <v>https://i.ibb.co/Y4f7TZWm/espa-a.png</v>
      </c>
      <c r="R969">
        <f>_xlfn.XLOOKUP(frasest[[#This Row],[autor_es]],autorest[autor_es],autorest[imagen_atr])</f>
        <v>0</v>
      </c>
    </row>
    <row r="970" spans="1:18">
      <c r="A970">
        <v>969</v>
      </c>
      <c r="B970" t="s">
        <v>3103</v>
      </c>
      <c r="C970" t="s">
        <v>3104</v>
      </c>
      <c r="D970" t="s">
        <v>3103</v>
      </c>
      <c r="E970" t="s">
        <v>24</v>
      </c>
      <c r="G970" t="str">
        <f>_xlfn.XLOOKUP(frasest[[#This Row],[autor_es]],autorest[autor_es],autorest[autor_la])</f>
        <v>Sententia Hispanica</v>
      </c>
      <c r="H970" t="str">
        <f>_xlfn.XLOOKUP(frasest[[#This Row],[autor_es]],autorest[autor_es],autorest[bio_es])</f>
        <v>Refranes populares de la tradición oral hispana que expresan de forma breve y ingeniosa enseñanzas prácticas sobre la vida cotidiana.</v>
      </c>
      <c r="I970" t="str">
        <f>_xlfn.XLOOKUP(frasest[[#This Row],[autor_es]],autorest[autor_es],autorest[bio_la])</f>
        <v>Collectio sententiarum Hispanicarum.</v>
      </c>
      <c r="J970" t="str">
        <f>_xlfn.XLOOKUP(frasest[[#This Row],[autor_es]],autorest[autor_es],autorest[codigo])</f>
        <v>es</v>
      </c>
      <c r="K970" t="str">
        <f>_xlfn.XLOOKUP(frasest[[#This Row],[autor_es]],autorest[autor_es],autorest[idioma_es])</f>
        <v>Español</v>
      </c>
      <c r="L970" t="str">
        <f>_xlfn.XLOOKUP(frasest[[#This Row],[autor_es]],autorest[autor_es],autorest[idioma_la])</f>
        <v>Lingua Hispanica</v>
      </c>
      <c r="M970" t="str">
        <f>_xlfn.XLOOKUP(frasest[[#This Row],[autor_es]],autorest[autor_es],autorest[nacion_es])</f>
        <v>España</v>
      </c>
      <c r="N970" t="str">
        <f>_xlfn.XLOOKUP(frasest[[#This Row],[autor_es]],autorest[autor_es],autorest[nacion_la])</f>
        <v>Hispania</v>
      </c>
      <c r="O970" t="str">
        <f>_xlfn.XLOOKUP(frasest[[#This Row],[autor_es]],autorest[autor_es],autorest[epoca_es])</f>
        <v>Epoca Desconocida</v>
      </c>
      <c r="P970" t="str">
        <f>_xlfn.XLOOKUP(frasest[[#This Row],[autor_es]],autorest[autor_es],autorest[epoca_la])</f>
        <v>Epocha Ignota</v>
      </c>
      <c r="Q970" t="str">
        <f>_xlfn.XLOOKUP(frasest[[#This Row],[autor_es]],autorest[autor_es],autorest[imagen])</f>
        <v>https://i.ibb.co/Y4f7TZWm/espa-a.png</v>
      </c>
      <c r="R970">
        <f>_xlfn.XLOOKUP(frasest[[#This Row],[autor_es]],autorest[autor_es],autorest[imagen_atr])</f>
        <v>0</v>
      </c>
    </row>
    <row r="971" spans="1:18">
      <c r="A971">
        <v>970</v>
      </c>
      <c r="B971" t="s">
        <v>3105</v>
      </c>
      <c r="C971" t="s">
        <v>3106</v>
      </c>
      <c r="D971" t="s">
        <v>3105</v>
      </c>
      <c r="E971" t="s">
        <v>24</v>
      </c>
      <c r="G971" t="str">
        <f>_xlfn.XLOOKUP(frasest[[#This Row],[autor_es]],autorest[autor_es],autorest[autor_la])</f>
        <v>Sententia Hispanica</v>
      </c>
      <c r="H971" t="str">
        <f>_xlfn.XLOOKUP(frasest[[#This Row],[autor_es]],autorest[autor_es],autorest[bio_es])</f>
        <v>Refranes populares de la tradición oral hispana que expresan de forma breve y ingeniosa enseñanzas prácticas sobre la vida cotidiana.</v>
      </c>
      <c r="I971" t="str">
        <f>_xlfn.XLOOKUP(frasest[[#This Row],[autor_es]],autorest[autor_es],autorest[bio_la])</f>
        <v>Collectio sententiarum Hispanicarum.</v>
      </c>
      <c r="J971" t="str">
        <f>_xlfn.XLOOKUP(frasest[[#This Row],[autor_es]],autorest[autor_es],autorest[codigo])</f>
        <v>es</v>
      </c>
      <c r="K971" t="str">
        <f>_xlfn.XLOOKUP(frasest[[#This Row],[autor_es]],autorest[autor_es],autorest[idioma_es])</f>
        <v>Español</v>
      </c>
      <c r="L971" t="str">
        <f>_xlfn.XLOOKUP(frasest[[#This Row],[autor_es]],autorest[autor_es],autorest[idioma_la])</f>
        <v>Lingua Hispanica</v>
      </c>
      <c r="M971" t="str">
        <f>_xlfn.XLOOKUP(frasest[[#This Row],[autor_es]],autorest[autor_es],autorest[nacion_es])</f>
        <v>España</v>
      </c>
      <c r="N971" t="str">
        <f>_xlfn.XLOOKUP(frasest[[#This Row],[autor_es]],autorest[autor_es],autorest[nacion_la])</f>
        <v>Hispania</v>
      </c>
      <c r="O971" t="str">
        <f>_xlfn.XLOOKUP(frasest[[#This Row],[autor_es]],autorest[autor_es],autorest[epoca_es])</f>
        <v>Epoca Desconocida</v>
      </c>
      <c r="P971" t="str">
        <f>_xlfn.XLOOKUP(frasest[[#This Row],[autor_es]],autorest[autor_es],autorest[epoca_la])</f>
        <v>Epocha Ignota</v>
      </c>
      <c r="Q971" t="str">
        <f>_xlfn.XLOOKUP(frasest[[#This Row],[autor_es]],autorest[autor_es],autorest[imagen])</f>
        <v>https://i.ibb.co/Y4f7TZWm/espa-a.png</v>
      </c>
      <c r="R971">
        <f>_xlfn.XLOOKUP(frasest[[#This Row],[autor_es]],autorest[autor_es],autorest[imagen_atr])</f>
        <v>0</v>
      </c>
    </row>
    <row r="972" spans="1:18">
      <c r="A972">
        <v>971</v>
      </c>
      <c r="B972" t="s">
        <v>3107</v>
      </c>
      <c r="C972" t="s">
        <v>3108</v>
      </c>
      <c r="D972" t="s">
        <v>3107</v>
      </c>
      <c r="E972" t="s">
        <v>24</v>
      </c>
      <c r="G972" t="str">
        <f>_xlfn.XLOOKUP(frasest[[#This Row],[autor_es]],autorest[autor_es],autorest[autor_la])</f>
        <v>Sententia Hispanica</v>
      </c>
      <c r="H972" t="str">
        <f>_xlfn.XLOOKUP(frasest[[#This Row],[autor_es]],autorest[autor_es],autorest[bio_es])</f>
        <v>Refranes populares de la tradición oral hispana que expresan de forma breve y ingeniosa enseñanzas prácticas sobre la vida cotidiana.</v>
      </c>
      <c r="I972" t="str">
        <f>_xlfn.XLOOKUP(frasest[[#This Row],[autor_es]],autorest[autor_es],autorest[bio_la])</f>
        <v>Collectio sententiarum Hispanicarum.</v>
      </c>
      <c r="J972" t="str">
        <f>_xlfn.XLOOKUP(frasest[[#This Row],[autor_es]],autorest[autor_es],autorest[codigo])</f>
        <v>es</v>
      </c>
      <c r="K972" t="str">
        <f>_xlfn.XLOOKUP(frasest[[#This Row],[autor_es]],autorest[autor_es],autorest[idioma_es])</f>
        <v>Español</v>
      </c>
      <c r="L972" t="str">
        <f>_xlfn.XLOOKUP(frasest[[#This Row],[autor_es]],autorest[autor_es],autorest[idioma_la])</f>
        <v>Lingua Hispanica</v>
      </c>
      <c r="M972" t="str">
        <f>_xlfn.XLOOKUP(frasest[[#This Row],[autor_es]],autorest[autor_es],autorest[nacion_es])</f>
        <v>España</v>
      </c>
      <c r="N972" t="str">
        <f>_xlfn.XLOOKUP(frasest[[#This Row],[autor_es]],autorest[autor_es],autorest[nacion_la])</f>
        <v>Hispania</v>
      </c>
      <c r="O972" t="str">
        <f>_xlfn.XLOOKUP(frasest[[#This Row],[autor_es]],autorest[autor_es],autorest[epoca_es])</f>
        <v>Epoca Desconocida</v>
      </c>
      <c r="P972" t="str">
        <f>_xlfn.XLOOKUP(frasest[[#This Row],[autor_es]],autorest[autor_es],autorest[epoca_la])</f>
        <v>Epocha Ignota</v>
      </c>
      <c r="Q972" t="str">
        <f>_xlfn.XLOOKUP(frasest[[#This Row],[autor_es]],autorest[autor_es],autorest[imagen])</f>
        <v>https://i.ibb.co/Y4f7TZWm/espa-a.png</v>
      </c>
      <c r="R972">
        <f>_xlfn.XLOOKUP(frasest[[#This Row],[autor_es]],autorest[autor_es],autorest[imagen_atr])</f>
        <v>0</v>
      </c>
    </row>
    <row r="973" spans="1:18">
      <c r="A973">
        <v>972</v>
      </c>
      <c r="B973" t="s">
        <v>3109</v>
      </c>
      <c r="C973" t="s">
        <v>3110</v>
      </c>
      <c r="D973" t="s">
        <v>3109</v>
      </c>
      <c r="E973" t="s">
        <v>24</v>
      </c>
      <c r="G973" t="str">
        <f>_xlfn.XLOOKUP(frasest[[#This Row],[autor_es]],autorest[autor_es],autorest[autor_la])</f>
        <v>Sententia Hispanica</v>
      </c>
      <c r="H973" t="str">
        <f>_xlfn.XLOOKUP(frasest[[#This Row],[autor_es]],autorest[autor_es],autorest[bio_es])</f>
        <v>Refranes populares de la tradición oral hispana que expresan de forma breve y ingeniosa enseñanzas prácticas sobre la vida cotidiana.</v>
      </c>
      <c r="I973" t="str">
        <f>_xlfn.XLOOKUP(frasest[[#This Row],[autor_es]],autorest[autor_es],autorest[bio_la])</f>
        <v>Collectio sententiarum Hispanicarum.</v>
      </c>
      <c r="J973" t="str">
        <f>_xlfn.XLOOKUP(frasest[[#This Row],[autor_es]],autorest[autor_es],autorest[codigo])</f>
        <v>es</v>
      </c>
      <c r="K973" t="str">
        <f>_xlfn.XLOOKUP(frasest[[#This Row],[autor_es]],autorest[autor_es],autorest[idioma_es])</f>
        <v>Español</v>
      </c>
      <c r="L973" t="str">
        <f>_xlfn.XLOOKUP(frasest[[#This Row],[autor_es]],autorest[autor_es],autorest[idioma_la])</f>
        <v>Lingua Hispanica</v>
      </c>
      <c r="M973" t="str">
        <f>_xlfn.XLOOKUP(frasest[[#This Row],[autor_es]],autorest[autor_es],autorest[nacion_es])</f>
        <v>España</v>
      </c>
      <c r="N973" t="str">
        <f>_xlfn.XLOOKUP(frasest[[#This Row],[autor_es]],autorest[autor_es],autorest[nacion_la])</f>
        <v>Hispania</v>
      </c>
      <c r="O973" t="str">
        <f>_xlfn.XLOOKUP(frasest[[#This Row],[autor_es]],autorest[autor_es],autorest[epoca_es])</f>
        <v>Epoca Desconocida</v>
      </c>
      <c r="P973" t="str">
        <f>_xlfn.XLOOKUP(frasest[[#This Row],[autor_es]],autorest[autor_es],autorest[epoca_la])</f>
        <v>Epocha Ignota</v>
      </c>
      <c r="Q973" t="str">
        <f>_xlfn.XLOOKUP(frasest[[#This Row],[autor_es]],autorest[autor_es],autorest[imagen])</f>
        <v>https://i.ibb.co/Y4f7TZWm/espa-a.png</v>
      </c>
      <c r="R973">
        <f>_xlfn.XLOOKUP(frasest[[#This Row],[autor_es]],autorest[autor_es],autorest[imagen_atr])</f>
        <v>0</v>
      </c>
    </row>
    <row r="974" spans="1:18">
      <c r="A974">
        <v>973</v>
      </c>
      <c r="B974" t="s">
        <v>3111</v>
      </c>
      <c r="C974" t="s">
        <v>3112</v>
      </c>
      <c r="D974" t="s">
        <v>3111</v>
      </c>
      <c r="E974" t="s">
        <v>24</v>
      </c>
      <c r="G974" t="str">
        <f>_xlfn.XLOOKUP(frasest[[#This Row],[autor_es]],autorest[autor_es],autorest[autor_la])</f>
        <v>Sententia Hispanica</v>
      </c>
      <c r="H974" t="str">
        <f>_xlfn.XLOOKUP(frasest[[#This Row],[autor_es]],autorest[autor_es],autorest[bio_es])</f>
        <v>Refranes populares de la tradición oral hispana que expresan de forma breve y ingeniosa enseñanzas prácticas sobre la vida cotidiana.</v>
      </c>
      <c r="I974" t="str">
        <f>_xlfn.XLOOKUP(frasest[[#This Row],[autor_es]],autorest[autor_es],autorest[bio_la])</f>
        <v>Collectio sententiarum Hispanicarum.</v>
      </c>
      <c r="J974" t="str">
        <f>_xlfn.XLOOKUP(frasest[[#This Row],[autor_es]],autorest[autor_es],autorest[codigo])</f>
        <v>es</v>
      </c>
      <c r="K974" t="str">
        <f>_xlfn.XLOOKUP(frasest[[#This Row],[autor_es]],autorest[autor_es],autorest[idioma_es])</f>
        <v>Español</v>
      </c>
      <c r="L974" t="str">
        <f>_xlfn.XLOOKUP(frasest[[#This Row],[autor_es]],autorest[autor_es],autorest[idioma_la])</f>
        <v>Lingua Hispanica</v>
      </c>
      <c r="M974" t="str">
        <f>_xlfn.XLOOKUP(frasest[[#This Row],[autor_es]],autorest[autor_es],autorest[nacion_es])</f>
        <v>España</v>
      </c>
      <c r="N974" t="str">
        <f>_xlfn.XLOOKUP(frasest[[#This Row],[autor_es]],autorest[autor_es],autorest[nacion_la])</f>
        <v>Hispania</v>
      </c>
      <c r="O974" t="str">
        <f>_xlfn.XLOOKUP(frasest[[#This Row],[autor_es]],autorest[autor_es],autorest[epoca_es])</f>
        <v>Epoca Desconocida</v>
      </c>
      <c r="P974" t="str">
        <f>_xlfn.XLOOKUP(frasest[[#This Row],[autor_es]],autorest[autor_es],autorest[epoca_la])</f>
        <v>Epocha Ignota</v>
      </c>
      <c r="Q974" t="str">
        <f>_xlfn.XLOOKUP(frasest[[#This Row],[autor_es]],autorest[autor_es],autorest[imagen])</f>
        <v>https://i.ibb.co/Y4f7TZWm/espa-a.png</v>
      </c>
      <c r="R974">
        <f>_xlfn.XLOOKUP(frasest[[#This Row],[autor_es]],autorest[autor_es],autorest[imagen_atr])</f>
        <v>0</v>
      </c>
    </row>
    <row r="975" spans="1:18">
      <c r="A975">
        <v>974</v>
      </c>
      <c r="B975" t="s">
        <v>3113</v>
      </c>
      <c r="C975" t="s">
        <v>3114</v>
      </c>
      <c r="D975" t="s">
        <v>3113</v>
      </c>
      <c r="E975" t="s">
        <v>24</v>
      </c>
      <c r="G975" t="str">
        <f>_xlfn.XLOOKUP(frasest[[#This Row],[autor_es]],autorest[autor_es],autorest[autor_la])</f>
        <v>Sententia Hispanica</v>
      </c>
      <c r="H975" t="str">
        <f>_xlfn.XLOOKUP(frasest[[#This Row],[autor_es]],autorest[autor_es],autorest[bio_es])</f>
        <v>Refranes populares de la tradición oral hispana que expresan de forma breve y ingeniosa enseñanzas prácticas sobre la vida cotidiana.</v>
      </c>
      <c r="I975" t="str">
        <f>_xlfn.XLOOKUP(frasest[[#This Row],[autor_es]],autorest[autor_es],autorest[bio_la])</f>
        <v>Collectio sententiarum Hispanicarum.</v>
      </c>
      <c r="J975" t="str">
        <f>_xlfn.XLOOKUP(frasest[[#This Row],[autor_es]],autorest[autor_es],autorest[codigo])</f>
        <v>es</v>
      </c>
      <c r="K975" t="str">
        <f>_xlfn.XLOOKUP(frasest[[#This Row],[autor_es]],autorest[autor_es],autorest[idioma_es])</f>
        <v>Español</v>
      </c>
      <c r="L975" t="str">
        <f>_xlfn.XLOOKUP(frasest[[#This Row],[autor_es]],autorest[autor_es],autorest[idioma_la])</f>
        <v>Lingua Hispanica</v>
      </c>
      <c r="M975" t="str">
        <f>_xlfn.XLOOKUP(frasest[[#This Row],[autor_es]],autorest[autor_es],autorest[nacion_es])</f>
        <v>España</v>
      </c>
      <c r="N975" t="str">
        <f>_xlfn.XLOOKUP(frasest[[#This Row],[autor_es]],autorest[autor_es],autorest[nacion_la])</f>
        <v>Hispania</v>
      </c>
      <c r="O975" t="str">
        <f>_xlfn.XLOOKUP(frasest[[#This Row],[autor_es]],autorest[autor_es],autorest[epoca_es])</f>
        <v>Epoca Desconocida</v>
      </c>
      <c r="P975" t="str">
        <f>_xlfn.XLOOKUP(frasest[[#This Row],[autor_es]],autorest[autor_es],autorest[epoca_la])</f>
        <v>Epocha Ignota</v>
      </c>
      <c r="Q975" t="str">
        <f>_xlfn.XLOOKUP(frasest[[#This Row],[autor_es]],autorest[autor_es],autorest[imagen])</f>
        <v>https://i.ibb.co/Y4f7TZWm/espa-a.png</v>
      </c>
      <c r="R975">
        <f>_xlfn.XLOOKUP(frasest[[#This Row],[autor_es]],autorest[autor_es],autorest[imagen_atr])</f>
        <v>0</v>
      </c>
    </row>
    <row r="976" spans="1:18">
      <c r="A976">
        <v>975</v>
      </c>
      <c r="B976" t="s">
        <v>3115</v>
      </c>
      <c r="C976" t="s">
        <v>3116</v>
      </c>
      <c r="D976" t="s">
        <v>3115</v>
      </c>
      <c r="E976" t="s">
        <v>24</v>
      </c>
      <c r="G976" t="str">
        <f>_xlfn.XLOOKUP(frasest[[#This Row],[autor_es]],autorest[autor_es],autorest[autor_la])</f>
        <v>Sententia Hispanica</v>
      </c>
      <c r="H976" t="str">
        <f>_xlfn.XLOOKUP(frasest[[#This Row],[autor_es]],autorest[autor_es],autorest[bio_es])</f>
        <v>Refranes populares de la tradición oral hispana que expresan de forma breve y ingeniosa enseñanzas prácticas sobre la vida cotidiana.</v>
      </c>
      <c r="I976" t="str">
        <f>_xlfn.XLOOKUP(frasest[[#This Row],[autor_es]],autorest[autor_es],autorest[bio_la])</f>
        <v>Collectio sententiarum Hispanicarum.</v>
      </c>
      <c r="J976" t="str">
        <f>_xlfn.XLOOKUP(frasest[[#This Row],[autor_es]],autorest[autor_es],autorest[codigo])</f>
        <v>es</v>
      </c>
      <c r="K976" t="str">
        <f>_xlfn.XLOOKUP(frasest[[#This Row],[autor_es]],autorest[autor_es],autorest[idioma_es])</f>
        <v>Español</v>
      </c>
      <c r="L976" t="str">
        <f>_xlfn.XLOOKUP(frasest[[#This Row],[autor_es]],autorest[autor_es],autorest[idioma_la])</f>
        <v>Lingua Hispanica</v>
      </c>
      <c r="M976" t="str">
        <f>_xlfn.XLOOKUP(frasest[[#This Row],[autor_es]],autorest[autor_es],autorest[nacion_es])</f>
        <v>España</v>
      </c>
      <c r="N976" t="str">
        <f>_xlfn.XLOOKUP(frasest[[#This Row],[autor_es]],autorest[autor_es],autorest[nacion_la])</f>
        <v>Hispania</v>
      </c>
      <c r="O976" t="str">
        <f>_xlfn.XLOOKUP(frasest[[#This Row],[autor_es]],autorest[autor_es],autorest[epoca_es])</f>
        <v>Epoca Desconocida</v>
      </c>
      <c r="P976" t="str">
        <f>_xlfn.XLOOKUP(frasest[[#This Row],[autor_es]],autorest[autor_es],autorest[epoca_la])</f>
        <v>Epocha Ignota</v>
      </c>
      <c r="Q976" t="str">
        <f>_xlfn.XLOOKUP(frasest[[#This Row],[autor_es]],autorest[autor_es],autorest[imagen])</f>
        <v>https://i.ibb.co/Y4f7TZWm/espa-a.png</v>
      </c>
      <c r="R976">
        <f>_xlfn.XLOOKUP(frasest[[#This Row],[autor_es]],autorest[autor_es],autorest[imagen_atr])</f>
        <v>0</v>
      </c>
    </row>
    <row r="977" spans="1:18">
      <c r="A977">
        <v>976</v>
      </c>
      <c r="B977" t="s">
        <v>3117</v>
      </c>
      <c r="C977" t="s">
        <v>3118</v>
      </c>
      <c r="D977" t="s">
        <v>3117</v>
      </c>
      <c r="E977" t="s">
        <v>24</v>
      </c>
      <c r="G977" t="str">
        <f>_xlfn.XLOOKUP(frasest[[#This Row],[autor_es]],autorest[autor_es],autorest[autor_la])</f>
        <v>Sententia Hispanica</v>
      </c>
      <c r="H977" t="str">
        <f>_xlfn.XLOOKUP(frasest[[#This Row],[autor_es]],autorest[autor_es],autorest[bio_es])</f>
        <v>Refranes populares de la tradición oral hispana que expresan de forma breve y ingeniosa enseñanzas prácticas sobre la vida cotidiana.</v>
      </c>
      <c r="I977" t="str">
        <f>_xlfn.XLOOKUP(frasest[[#This Row],[autor_es]],autorest[autor_es],autorest[bio_la])</f>
        <v>Collectio sententiarum Hispanicarum.</v>
      </c>
      <c r="J977" t="str">
        <f>_xlfn.XLOOKUP(frasest[[#This Row],[autor_es]],autorest[autor_es],autorest[codigo])</f>
        <v>es</v>
      </c>
      <c r="K977" t="str">
        <f>_xlfn.XLOOKUP(frasest[[#This Row],[autor_es]],autorest[autor_es],autorest[idioma_es])</f>
        <v>Español</v>
      </c>
      <c r="L977" t="str">
        <f>_xlfn.XLOOKUP(frasest[[#This Row],[autor_es]],autorest[autor_es],autorest[idioma_la])</f>
        <v>Lingua Hispanica</v>
      </c>
      <c r="M977" t="str">
        <f>_xlfn.XLOOKUP(frasest[[#This Row],[autor_es]],autorest[autor_es],autorest[nacion_es])</f>
        <v>España</v>
      </c>
      <c r="N977" t="str">
        <f>_xlfn.XLOOKUP(frasest[[#This Row],[autor_es]],autorest[autor_es],autorest[nacion_la])</f>
        <v>Hispania</v>
      </c>
      <c r="O977" t="str">
        <f>_xlfn.XLOOKUP(frasest[[#This Row],[autor_es]],autorest[autor_es],autorest[epoca_es])</f>
        <v>Epoca Desconocida</v>
      </c>
      <c r="P977" t="str">
        <f>_xlfn.XLOOKUP(frasest[[#This Row],[autor_es]],autorest[autor_es],autorest[epoca_la])</f>
        <v>Epocha Ignota</v>
      </c>
      <c r="Q977" t="str">
        <f>_xlfn.XLOOKUP(frasest[[#This Row],[autor_es]],autorest[autor_es],autorest[imagen])</f>
        <v>https://i.ibb.co/Y4f7TZWm/espa-a.png</v>
      </c>
      <c r="R977">
        <f>_xlfn.XLOOKUP(frasest[[#This Row],[autor_es]],autorest[autor_es],autorest[imagen_atr])</f>
        <v>0</v>
      </c>
    </row>
    <row r="978" spans="1:18">
      <c r="A978">
        <v>977</v>
      </c>
      <c r="B978" t="s">
        <v>3119</v>
      </c>
      <c r="C978" t="s">
        <v>3120</v>
      </c>
      <c r="D978" t="s">
        <v>3119</v>
      </c>
      <c r="E978" t="s">
        <v>24</v>
      </c>
      <c r="G978" t="str">
        <f>_xlfn.XLOOKUP(frasest[[#This Row],[autor_es]],autorest[autor_es],autorest[autor_la])</f>
        <v>Sententia Hispanica</v>
      </c>
      <c r="H978" t="str">
        <f>_xlfn.XLOOKUP(frasest[[#This Row],[autor_es]],autorest[autor_es],autorest[bio_es])</f>
        <v>Refranes populares de la tradición oral hispana que expresan de forma breve y ingeniosa enseñanzas prácticas sobre la vida cotidiana.</v>
      </c>
      <c r="I978" t="str">
        <f>_xlfn.XLOOKUP(frasest[[#This Row],[autor_es]],autorest[autor_es],autorest[bio_la])</f>
        <v>Collectio sententiarum Hispanicarum.</v>
      </c>
      <c r="J978" t="str">
        <f>_xlfn.XLOOKUP(frasest[[#This Row],[autor_es]],autorest[autor_es],autorest[codigo])</f>
        <v>es</v>
      </c>
      <c r="K978" t="str">
        <f>_xlfn.XLOOKUP(frasest[[#This Row],[autor_es]],autorest[autor_es],autorest[idioma_es])</f>
        <v>Español</v>
      </c>
      <c r="L978" t="str">
        <f>_xlfn.XLOOKUP(frasest[[#This Row],[autor_es]],autorest[autor_es],autorest[idioma_la])</f>
        <v>Lingua Hispanica</v>
      </c>
      <c r="M978" t="str">
        <f>_xlfn.XLOOKUP(frasest[[#This Row],[autor_es]],autorest[autor_es],autorest[nacion_es])</f>
        <v>España</v>
      </c>
      <c r="N978" t="str">
        <f>_xlfn.XLOOKUP(frasest[[#This Row],[autor_es]],autorest[autor_es],autorest[nacion_la])</f>
        <v>Hispania</v>
      </c>
      <c r="O978" t="str">
        <f>_xlfn.XLOOKUP(frasest[[#This Row],[autor_es]],autorest[autor_es],autorest[epoca_es])</f>
        <v>Epoca Desconocida</v>
      </c>
      <c r="P978" t="str">
        <f>_xlfn.XLOOKUP(frasest[[#This Row],[autor_es]],autorest[autor_es],autorest[epoca_la])</f>
        <v>Epocha Ignota</v>
      </c>
      <c r="Q978" t="str">
        <f>_xlfn.XLOOKUP(frasest[[#This Row],[autor_es]],autorest[autor_es],autorest[imagen])</f>
        <v>https://i.ibb.co/Y4f7TZWm/espa-a.png</v>
      </c>
      <c r="R978">
        <f>_xlfn.XLOOKUP(frasest[[#This Row],[autor_es]],autorest[autor_es],autorest[imagen_atr])</f>
        <v>0</v>
      </c>
    </row>
    <row r="979" spans="1:18">
      <c r="A979">
        <v>978</v>
      </c>
      <c r="B979" t="s">
        <v>3121</v>
      </c>
      <c r="C979" t="s">
        <v>3122</v>
      </c>
      <c r="D979" t="s">
        <v>3121</v>
      </c>
      <c r="E979" t="s">
        <v>24</v>
      </c>
      <c r="G979" t="str">
        <f>_xlfn.XLOOKUP(frasest[[#This Row],[autor_es]],autorest[autor_es],autorest[autor_la])</f>
        <v>Sententia Hispanica</v>
      </c>
      <c r="H979" t="str">
        <f>_xlfn.XLOOKUP(frasest[[#This Row],[autor_es]],autorest[autor_es],autorest[bio_es])</f>
        <v>Refranes populares de la tradición oral hispana que expresan de forma breve y ingeniosa enseñanzas prácticas sobre la vida cotidiana.</v>
      </c>
      <c r="I979" t="str">
        <f>_xlfn.XLOOKUP(frasest[[#This Row],[autor_es]],autorest[autor_es],autorest[bio_la])</f>
        <v>Collectio sententiarum Hispanicarum.</v>
      </c>
      <c r="J979" t="str">
        <f>_xlfn.XLOOKUP(frasest[[#This Row],[autor_es]],autorest[autor_es],autorest[codigo])</f>
        <v>es</v>
      </c>
      <c r="K979" t="str">
        <f>_xlfn.XLOOKUP(frasest[[#This Row],[autor_es]],autorest[autor_es],autorest[idioma_es])</f>
        <v>Español</v>
      </c>
      <c r="L979" t="str">
        <f>_xlfn.XLOOKUP(frasest[[#This Row],[autor_es]],autorest[autor_es],autorest[idioma_la])</f>
        <v>Lingua Hispanica</v>
      </c>
      <c r="M979" t="str">
        <f>_xlfn.XLOOKUP(frasest[[#This Row],[autor_es]],autorest[autor_es],autorest[nacion_es])</f>
        <v>España</v>
      </c>
      <c r="N979" t="str">
        <f>_xlfn.XLOOKUP(frasest[[#This Row],[autor_es]],autorest[autor_es],autorest[nacion_la])</f>
        <v>Hispania</v>
      </c>
      <c r="O979" t="str">
        <f>_xlfn.XLOOKUP(frasest[[#This Row],[autor_es]],autorest[autor_es],autorest[epoca_es])</f>
        <v>Epoca Desconocida</v>
      </c>
      <c r="P979" t="str">
        <f>_xlfn.XLOOKUP(frasest[[#This Row],[autor_es]],autorest[autor_es],autorest[epoca_la])</f>
        <v>Epocha Ignota</v>
      </c>
      <c r="Q979" t="str">
        <f>_xlfn.XLOOKUP(frasest[[#This Row],[autor_es]],autorest[autor_es],autorest[imagen])</f>
        <v>https://i.ibb.co/Y4f7TZWm/espa-a.png</v>
      </c>
      <c r="R979">
        <f>_xlfn.XLOOKUP(frasest[[#This Row],[autor_es]],autorest[autor_es],autorest[imagen_atr])</f>
        <v>0</v>
      </c>
    </row>
    <row r="980" spans="1:18">
      <c r="A980">
        <v>979</v>
      </c>
      <c r="B980" t="s">
        <v>3123</v>
      </c>
      <c r="C980" t="s">
        <v>3124</v>
      </c>
      <c r="D980" t="s">
        <v>3123</v>
      </c>
      <c r="E980" t="s">
        <v>24</v>
      </c>
      <c r="G980" t="str">
        <f>_xlfn.XLOOKUP(frasest[[#This Row],[autor_es]],autorest[autor_es],autorest[autor_la])</f>
        <v>Sententia Hispanica</v>
      </c>
      <c r="H980" t="str">
        <f>_xlfn.XLOOKUP(frasest[[#This Row],[autor_es]],autorest[autor_es],autorest[bio_es])</f>
        <v>Refranes populares de la tradición oral hispana que expresan de forma breve y ingeniosa enseñanzas prácticas sobre la vida cotidiana.</v>
      </c>
      <c r="I980" t="str">
        <f>_xlfn.XLOOKUP(frasest[[#This Row],[autor_es]],autorest[autor_es],autorest[bio_la])</f>
        <v>Collectio sententiarum Hispanicarum.</v>
      </c>
      <c r="J980" t="str">
        <f>_xlfn.XLOOKUP(frasest[[#This Row],[autor_es]],autorest[autor_es],autorest[codigo])</f>
        <v>es</v>
      </c>
      <c r="K980" t="str">
        <f>_xlfn.XLOOKUP(frasest[[#This Row],[autor_es]],autorest[autor_es],autorest[idioma_es])</f>
        <v>Español</v>
      </c>
      <c r="L980" t="str">
        <f>_xlfn.XLOOKUP(frasest[[#This Row],[autor_es]],autorest[autor_es],autorest[idioma_la])</f>
        <v>Lingua Hispanica</v>
      </c>
      <c r="M980" t="str">
        <f>_xlfn.XLOOKUP(frasest[[#This Row],[autor_es]],autorest[autor_es],autorest[nacion_es])</f>
        <v>España</v>
      </c>
      <c r="N980" t="str">
        <f>_xlfn.XLOOKUP(frasest[[#This Row],[autor_es]],autorest[autor_es],autorest[nacion_la])</f>
        <v>Hispania</v>
      </c>
      <c r="O980" t="str">
        <f>_xlfn.XLOOKUP(frasest[[#This Row],[autor_es]],autorest[autor_es],autorest[epoca_es])</f>
        <v>Epoca Desconocida</v>
      </c>
      <c r="P980" t="str">
        <f>_xlfn.XLOOKUP(frasest[[#This Row],[autor_es]],autorest[autor_es],autorest[epoca_la])</f>
        <v>Epocha Ignota</v>
      </c>
      <c r="Q980" t="str">
        <f>_xlfn.XLOOKUP(frasest[[#This Row],[autor_es]],autorest[autor_es],autorest[imagen])</f>
        <v>https://i.ibb.co/Y4f7TZWm/espa-a.png</v>
      </c>
      <c r="R980">
        <f>_xlfn.XLOOKUP(frasest[[#This Row],[autor_es]],autorest[autor_es],autorest[imagen_atr])</f>
        <v>0</v>
      </c>
    </row>
    <row r="981" spans="1:18">
      <c r="A981">
        <v>980</v>
      </c>
      <c r="B981" t="s">
        <v>2637</v>
      </c>
      <c r="C981" t="s">
        <v>2638</v>
      </c>
      <c r="D981" t="s">
        <v>2637</v>
      </c>
      <c r="E981" t="s">
        <v>24</v>
      </c>
      <c r="G981" t="str">
        <f>_xlfn.XLOOKUP(frasest[[#This Row],[autor_es]],autorest[autor_es],autorest[autor_la])</f>
        <v>Sententia Hispanica</v>
      </c>
      <c r="H981" t="str">
        <f>_xlfn.XLOOKUP(frasest[[#This Row],[autor_es]],autorest[autor_es],autorest[bio_es])</f>
        <v>Refranes populares de la tradición oral hispana que expresan de forma breve y ingeniosa enseñanzas prácticas sobre la vida cotidiana.</v>
      </c>
      <c r="I981" t="str">
        <f>_xlfn.XLOOKUP(frasest[[#This Row],[autor_es]],autorest[autor_es],autorest[bio_la])</f>
        <v>Collectio sententiarum Hispanicarum.</v>
      </c>
      <c r="J981" t="str">
        <f>_xlfn.XLOOKUP(frasest[[#This Row],[autor_es]],autorest[autor_es],autorest[codigo])</f>
        <v>es</v>
      </c>
      <c r="K981" t="str">
        <f>_xlfn.XLOOKUP(frasest[[#This Row],[autor_es]],autorest[autor_es],autorest[idioma_es])</f>
        <v>Español</v>
      </c>
      <c r="L981" t="str">
        <f>_xlfn.XLOOKUP(frasest[[#This Row],[autor_es]],autorest[autor_es],autorest[idioma_la])</f>
        <v>Lingua Hispanica</v>
      </c>
      <c r="M981" t="str">
        <f>_xlfn.XLOOKUP(frasest[[#This Row],[autor_es]],autorest[autor_es],autorest[nacion_es])</f>
        <v>España</v>
      </c>
      <c r="N981" t="str">
        <f>_xlfn.XLOOKUP(frasest[[#This Row],[autor_es]],autorest[autor_es],autorest[nacion_la])</f>
        <v>Hispania</v>
      </c>
      <c r="O981" t="str">
        <f>_xlfn.XLOOKUP(frasest[[#This Row],[autor_es]],autorest[autor_es],autorest[epoca_es])</f>
        <v>Epoca Desconocida</v>
      </c>
      <c r="P981" t="str">
        <f>_xlfn.XLOOKUP(frasest[[#This Row],[autor_es]],autorest[autor_es],autorest[epoca_la])</f>
        <v>Epocha Ignota</v>
      </c>
      <c r="Q981" t="str">
        <f>_xlfn.XLOOKUP(frasest[[#This Row],[autor_es]],autorest[autor_es],autorest[imagen])</f>
        <v>https://i.ibb.co/Y4f7TZWm/espa-a.png</v>
      </c>
      <c r="R981">
        <f>_xlfn.XLOOKUP(frasest[[#This Row],[autor_es]],autorest[autor_es],autorest[imagen_atr])</f>
        <v>0</v>
      </c>
    </row>
    <row r="982" spans="1:18">
      <c r="A982">
        <v>981</v>
      </c>
      <c r="B982" t="s">
        <v>3125</v>
      </c>
      <c r="C982" t="s">
        <v>3126</v>
      </c>
      <c r="D982" t="s">
        <v>3125</v>
      </c>
      <c r="E982" t="s">
        <v>24</v>
      </c>
      <c r="G982" t="str">
        <f>_xlfn.XLOOKUP(frasest[[#This Row],[autor_es]],autorest[autor_es],autorest[autor_la])</f>
        <v>Sententia Hispanica</v>
      </c>
      <c r="H982" t="str">
        <f>_xlfn.XLOOKUP(frasest[[#This Row],[autor_es]],autorest[autor_es],autorest[bio_es])</f>
        <v>Refranes populares de la tradición oral hispana que expresan de forma breve y ingeniosa enseñanzas prácticas sobre la vida cotidiana.</v>
      </c>
      <c r="I982" t="str">
        <f>_xlfn.XLOOKUP(frasest[[#This Row],[autor_es]],autorest[autor_es],autorest[bio_la])</f>
        <v>Collectio sententiarum Hispanicarum.</v>
      </c>
      <c r="J982" t="str">
        <f>_xlfn.XLOOKUP(frasest[[#This Row],[autor_es]],autorest[autor_es],autorest[codigo])</f>
        <v>es</v>
      </c>
      <c r="K982" t="str">
        <f>_xlfn.XLOOKUP(frasest[[#This Row],[autor_es]],autorest[autor_es],autorest[idioma_es])</f>
        <v>Español</v>
      </c>
      <c r="L982" t="str">
        <f>_xlfn.XLOOKUP(frasest[[#This Row],[autor_es]],autorest[autor_es],autorest[idioma_la])</f>
        <v>Lingua Hispanica</v>
      </c>
      <c r="M982" t="str">
        <f>_xlfn.XLOOKUP(frasest[[#This Row],[autor_es]],autorest[autor_es],autorest[nacion_es])</f>
        <v>España</v>
      </c>
      <c r="N982" t="str">
        <f>_xlfn.XLOOKUP(frasest[[#This Row],[autor_es]],autorest[autor_es],autorest[nacion_la])</f>
        <v>Hispania</v>
      </c>
      <c r="O982" t="str">
        <f>_xlfn.XLOOKUP(frasest[[#This Row],[autor_es]],autorest[autor_es],autorest[epoca_es])</f>
        <v>Epoca Desconocida</v>
      </c>
      <c r="P982" t="str">
        <f>_xlfn.XLOOKUP(frasest[[#This Row],[autor_es]],autorest[autor_es],autorest[epoca_la])</f>
        <v>Epocha Ignota</v>
      </c>
      <c r="Q982" t="str">
        <f>_xlfn.XLOOKUP(frasest[[#This Row],[autor_es]],autorest[autor_es],autorest[imagen])</f>
        <v>https://i.ibb.co/Y4f7TZWm/espa-a.png</v>
      </c>
      <c r="R982">
        <f>_xlfn.XLOOKUP(frasest[[#This Row],[autor_es]],autorest[autor_es],autorest[imagen_atr])</f>
        <v>0</v>
      </c>
    </row>
    <row r="983" spans="1:18">
      <c r="A983">
        <v>982</v>
      </c>
      <c r="B983" t="s">
        <v>3127</v>
      </c>
      <c r="C983" t="s">
        <v>3128</v>
      </c>
      <c r="D983" t="s">
        <v>3127</v>
      </c>
      <c r="E983" t="s">
        <v>24</v>
      </c>
      <c r="G983" t="str">
        <f>_xlfn.XLOOKUP(frasest[[#This Row],[autor_es]],autorest[autor_es],autorest[autor_la])</f>
        <v>Sententia Hispanica</v>
      </c>
      <c r="H983" t="str">
        <f>_xlfn.XLOOKUP(frasest[[#This Row],[autor_es]],autorest[autor_es],autorest[bio_es])</f>
        <v>Refranes populares de la tradición oral hispana que expresan de forma breve y ingeniosa enseñanzas prácticas sobre la vida cotidiana.</v>
      </c>
      <c r="I983" t="str">
        <f>_xlfn.XLOOKUP(frasest[[#This Row],[autor_es]],autorest[autor_es],autorest[bio_la])</f>
        <v>Collectio sententiarum Hispanicarum.</v>
      </c>
      <c r="J983" t="str">
        <f>_xlfn.XLOOKUP(frasest[[#This Row],[autor_es]],autorest[autor_es],autorest[codigo])</f>
        <v>es</v>
      </c>
      <c r="K983" t="str">
        <f>_xlfn.XLOOKUP(frasest[[#This Row],[autor_es]],autorest[autor_es],autorest[idioma_es])</f>
        <v>Español</v>
      </c>
      <c r="L983" t="str">
        <f>_xlfn.XLOOKUP(frasest[[#This Row],[autor_es]],autorest[autor_es],autorest[idioma_la])</f>
        <v>Lingua Hispanica</v>
      </c>
      <c r="M983" t="str">
        <f>_xlfn.XLOOKUP(frasest[[#This Row],[autor_es]],autorest[autor_es],autorest[nacion_es])</f>
        <v>España</v>
      </c>
      <c r="N983" t="str">
        <f>_xlfn.XLOOKUP(frasest[[#This Row],[autor_es]],autorest[autor_es],autorest[nacion_la])</f>
        <v>Hispania</v>
      </c>
      <c r="O983" t="str">
        <f>_xlfn.XLOOKUP(frasest[[#This Row],[autor_es]],autorest[autor_es],autorest[epoca_es])</f>
        <v>Epoca Desconocida</v>
      </c>
      <c r="P983" t="str">
        <f>_xlfn.XLOOKUP(frasest[[#This Row],[autor_es]],autorest[autor_es],autorest[epoca_la])</f>
        <v>Epocha Ignota</v>
      </c>
      <c r="Q983" t="str">
        <f>_xlfn.XLOOKUP(frasest[[#This Row],[autor_es]],autorest[autor_es],autorest[imagen])</f>
        <v>https://i.ibb.co/Y4f7TZWm/espa-a.png</v>
      </c>
      <c r="R983">
        <f>_xlfn.XLOOKUP(frasest[[#This Row],[autor_es]],autorest[autor_es],autorest[imagen_atr])</f>
        <v>0</v>
      </c>
    </row>
    <row r="984" spans="1:18">
      <c r="A984">
        <v>983</v>
      </c>
      <c r="B984" t="s">
        <v>3129</v>
      </c>
      <c r="C984" t="s">
        <v>3130</v>
      </c>
      <c r="D984" t="s">
        <v>3129</v>
      </c>
      <c r="E984" t="s">
        <v>24</v>
      </c>
      <c r="G984" t="str">
        <f>_xlfn.XLOOKUP(frasest[[#This Row],[autor_es]],autorest[autor_es],autorest[autor_la])</f>
        <v>Sententia Hispanica</v>
      </c>
      <c r="H984" t="str">
        <f>_xlfn.XLOOKUP(frasest[[#This Row],[autor_es]],autorest[autor_es],autorest[bio_es])</f>
        <v>Refranes populares de la tradición oral hispana que expresan de forma breve y ingeniosa enseñanzas prácticas sobre la vida cotidiana.</v>
      </c>
      <c r="I984" t="str">
        <f>_xlfn.XLOOKUP(frasest[[#This Row],[autor_es]],autorest[autor_es],autorest[bio_la])</f>
        <v>Collectio sententiarum Hispanicarum.</v>
      </c>
      <c r="J984" t="str">
        <f>_xlfn.XLOOKUP(frasest[[#This Row],[autor_es]],autorest[autor_es],autorest[codigo])</f>
        <v>es</v>
      </c>
      <c r="K984" t="str">
        <f>_xlfn.XLOOKUP(frasest[[#This Row],[autor_es]],autorest[autor_es],autorest[idioma_es])</f>
        <v>Español</v>
      </c>
      <c r="L984" t="str">
        <f>_xlfn.XLOOKUP(frasest[[#This Row],[autor_es]],autorest[autor_es],autorest[idioma_la])</f>
        <v>Lingua Hispanica</v>
      </c>
      <c r="M984" t="str">
        <f>_xlfn.XLOOKUP(frasest[[#This Row],[autor_es]],autorest[autor_es],autorest[nacion_es])</f>
        <v>España</v>
      </c>
      <c r="N984" t="str">
        <f>_xlfn.XLOOKUP(frasest[[#This Row],[autor_es]],autorest[autor_es],autorest[nacion_la])</f>
        <v>Hispania</v>
      </c>
      <c r="O984" t="str">
        <f>_xlfn.XLOOKUP(frasest[[#This Row],[autor_es]],autorest[autor_es],autorest[epoca_es])</f>
        <v>Epoca Desconocida</v>
      </c>
      <c r="P984" t="str">
        <f>_xlfn.XLOOKUP(frasest[[#This Row],[autor_es]],autorest[autor_es],autorest[epoca_la])</f>
        <v>Epocha Ignota</v>
      </c>
      <c r="Q984" t="str">
        <f>_xlfn.XLOOKUP(frasest[[#This Row],[autor_es]],autorest[autor_es],autorest[imagen])</f>
        <v>https://i.ibb.co/Y4f7TZWm/espa-a.png</v>
      </c>
      <c r="R984">
        <f>_xlfn.XLOOKUP(frasest[[#This Row],[autor_es]],autorest[autor_es],autorest[imagen_atr])</f>
        <v>0</v>
      </c>
    </row>
    <row r="985" spans="1:18">
      <c r="A985">
        <v>984</v>
      </c>
      <c r="B985" t="s">
        <v>3131</v>
      </c>
      <c r="C985" t="s">
        <v>3132</v>
      </c>
      <c r="D985" t="s">
        <v>3131</v>
      </c>
      <c r="E985" t="s">
        <v>24</v>
      </c>
      <c r="G985" t="str">
        <f>_xlfn.XLOOKUP(frasest[[#This Row],[autor_es]],autorest[autor_es],autorest[autor_la])</f>
        <v>Sententia Hispanica</v>
      </c>
      <c r="H985" t="str">
        <f>_xlfn.XLOOKUP(frasest[[#This Row],[autor_es]],autorest[autor_es],autorest[bio_es])</f>
        <v>Refranes populares de la tradición oral hispana que expresan de forma breve y ingeniosa enseñanzas prácticas sobre la vida cotidiana.</v>
      </c>
      <c r="I985" t="str">
        <f>_xlfn.XLOOKUP(frasest[[#This Row],[autor_es]],autorest[autor_es],autorest[bio_la])</f>
        <v>Collectio sententiarum Hispanicarum.</v>
      </c>
      <c r="J985" t="str">
        <f>_xlfn.XLOOKUP(frasest[[#This Row],[autor_es]],autorest[autor_es],autorest[codigo])</f>
        <v>es</v>
      </c>
      <c r="K985" t="str">
        <f>_xlfn.XLOOKUP(frasest[[#This Row],[autor_es]],autorest[autor_es],autorest[idioma_es])</f>
        <v>Español</v>
      </c>
      <c r="L985" t="str">
        <f>_xlfn.XLOOKUP(frasest[[#This Row],[autor_es]],autorest[autor_es],autorest[idioma_la])</f>
        <v>Lingua Hispanica</v>
      </c>
      <c r="M985" t="str">
        <f>_xlfn.XLOOKUP(frasest[[#This Row],[autor_es]],autorest[autor_es],autorest[nacion_es])</f>
        <v>España</v>
      </c>
      <c r="N985" t="str">
        <f>_xlfn.XLOOKUP(frasest[[#This Row],[autor_es]],autorest[autor_es],autorest[nacion_la])</f>
        <v>Hispania</v>
      </c>
      <c r="O985" t="str">
        <f>_xlfn.XLOOKUP(frasest[[#This Row],[autor_es]],autorest[autor_es],autorest[epoca_es])</f>
        <v>Epoca Desconocida</v>
      </c>
      <c r="P985" t="str">
        <f>_xlfn.XLOOKUP(frasest[[#This Row],[autor_es]],autorest[autor_es],autorest[epoca_la])</f>
        <v>Epocha Ignota</v>
      </c>
      <c r="Q985" t="str">
        <f>_xlfn.XLOOKUP(frasest[[#This Row],[autor_es]],autorest[autor_es],autorest[imagen])</f>
        <v>https://i.ibb.co/Y4f7TZWm/espa-a.png</v>
      </c>
      <c r="R985">
        <f>_xlfn.XLOOKUP(frasest[[#This Row],[autor_es]],autorest[autor_es],autorest[imagen_atr])</f>
        <v>0</v>
      </c>
    </row>
    <row r="986" spans="1:18">
      <c r="A986">
        <v>985</v>
      </c>
      <c r="B986" t="s">
        <v>3133</v>
      </c>
      <c r="C986" t="s">
        <v>3134</v>
      </c>
      <c r="D986" t="s">
        <v>3133</v>
      </c>
      <c r="E986" t="s">
        <v>24</v>
      </c>
      <c r="G986" t="str">
        <f>_xlfn.XLOOKUP(frasest[[#This Row],[autor_es]],autorest[autor_es],autorest[autor_la])</f>
        <v>Sententia Hispanica</v>
      </c>
      <c r="H986" t="str">
        <f>_xlfn.XLOOKUP(frasest[[#This Row],[autor_es]],autorest[autor_es],autorest[bio_es])</f>
        <v>Refranes populares de la tradición oral hispana que expresan de forma breve y ingeniosa enseñanzas prácticas sobre la vida cotidiana.</v>
      </c>
      <c r="I986" t="str">
        <f>_xlfn.XLOOKUP(frasest[[#This Row],[autor_es]],autorest[autor_es],autorest[bio_la])</f>
        <v>Collectio sententiarum Hispanicarum.</v>
      </c>
      <c r="J986" t="str">
        <f>_xlfn.XLOOKUP(frasest[[#This Row],[autor_es]],autorest[autor_es],autorest[codigo])</f>
        <v>es</v>
      </c>
      <c r="K986" t="str">
        <f>_xlfn.XLOOKUP(frasest[[#This Row],[autor_es]],autorest[autor_es],autorest[idioma_es])</f>
        <v>Español</v>
      </c>
      <c r="L986" t="str">
        <f>_xlfn.XLOOKUP(frasest[[#This Row],[autor_es]],autorest[autor_es],autorest[idioma_la])</f>
        <v>Lingua Hispanica</v>
      </c>
      <c r="M986" t="str">
        <f>_xlfn.XLOOKUP(frasest[[#This Row],[autor_es]],autorest[autor_es],autorest[nacion_es])</f>
        <v>España</v>
      </c>
      <c r="N986" t="str">
        <f>_xlfn.XLOOKUP(frasest[[#This Row],[autor_es]],autorest[autor_es],autorest[nacion_la])</f>
        <v>Hispania</v>
      </c>
      <c r="O986" t="str">
        <f>_xlfn.XLOOKUP(frasest[[#This Row],[autor_es]],autorest[autor_es],autorest[epoca_es])</f>
        <v>Epoca Desconocida</v>
      </c>
      <c r="P986" t="str">
        <f>_xlfn.XLOOKUP(frasest[[#This Row],[autor_es]],autorest[autor_es],autorest[epoca_la])</f>
        <v>Epocha Ignota</v>
      </c>
      <c r="Q986" t="str">
        <f>_xlfn.XLOOKUP(frasest[[#This Row],[autor_es]],autorest[autor_es],autorest[imagen])</f>
        <v>https://i.ibb.co/Y4f7TZWm/espa-a.png</v>
      </c>
      <c r="R986">
        <f>_xlfn.XLOOKUP(frasest[[#This Row],[autor_es]],autorest[autor_es],autorest[imagen_atr])</f>
        <v>0</v>
      </c>
    </row>
    <row r="987" spans="1:18">
      <c r="A987">
        <v>986</v>
      </c>
      <c r="B987" t="s">
        <v>3135</v>
      </c>
      <c r="C987" t="s">
        <v>3136</v>
      </c>
      <c r="D987" t="s">
        <v>3135</v>
      </c>
      <c r="E987" t="s">
        <v>24</v>
      </c>
      <c r="G987" t="str">
        <f>_xlfn.XLOOKUP(frasest[[#This Row],[autor_es]],autorest[autor_es],autorest[autor_la])</f>
        <v>Sententia Hispanica</v>
      </c>
      <c r="H987" t="str">
        <f>_xlfn.XLOOKUP(frasest[[#This Row],[autor_es]],autorest[autor_es],autorest[bio_es])</f>
        <v>Refranes populares de la tradición oral hispana que expresan de forma breve y ingeniosa enseñanzas prácticas sobre la vida cotidiana.</v>
      </c>
      <c r="I987" t="str">
        <f>_xlfn.XLOOKUP(frasest[[#This Row],[autor_es]],autorest[autor_es],autorest[bio_la])</f>
        <v>Collectio sententiarum Hispanicarum.</v>
      </c>
      <c r="J987" t="str">
        <f>_xlfn.XLOOKUP(frasest[[#This Row],[autor_es]],autorest[autor_es],autorest[codigo])</f>
        <v>es</v>
      </c>
      <c r="K987" t="str">
        <f>_xlfn.XLOOKUP(frasest[[#This Row],[autor_es]],autorest[autor_es],autorest[idioma_es])</f>
        <v>Español</v>
      </c>
      <c r="L987" t="str">
        <f>_xlfn.XLOOKUP(frasest[[#This Row],[autor_es]],autorest[autor_es],autorest[idioma_la])</f>
        <v>Lingua Hispanica</v>
      </c>
      <c r="M987" t="str">
        <f>_xlfn.XLOOKUP(frasest[[#This Row],[autor_es]],autorest[autor_es],autorest[nacion_es])</f>
        <v>España</v>
      </c>
      <c r="N987" t="str">
        <f>_xlfn.XLOOKUP(frasest[[#This Row],[autor_es]],autorest[autor_es],autorest[nacion_la])</f>
        <v>Hispania</v>
      </c>
      <c r="O987" t="str">
        <f>_xlfn.XLOOKUP(frasest[[#This Row],[autor_es]],autorest[autor_es],autorest[epoca_es])</f>
        <v>Epoca Desconocida</v>
      </c>
      <c r="P987" t="str">
        <f>_xlfn.XLOOKUP(frasest[[#This Row],[autor_es]],autorest[autor_es],autorest[epoca_la])</f>
        <v>Epocha Ignota</v>
      </c>
      <c r="Q987" t="str">
        <f>_xlfn.XLOOKUP(frasest[[#This Row],[autor_es]],autorest[autor_es],autorest[imagen])</f>
        <v>https://i.ibb.co/Y4f7TZWm/espa-a.png</v>
      </c>
      <c r="R987">
        <f>_xlfn.XLOOKUP(frasest[[#This Row],[autor_es]],autorest[autor_es],autorest[imagen_atr])</f>
        <v>0</v>
      </c>
    </row>
    <row r="988" spans="1:18">
      <c r="A988">
        <v>987</v>
      </c>
      <c r="B988" t="s">
        <v>3137</v>
      </c>
      <c r="C988" t="s">
        <v>3138</v>
      </c>
      <c r="D988" t="s">
        <v>3137</v>
      </c>
      <c r="E988" t="s">
        <v>24</v>
      </c>
      <c r="G988" t="str">
        <f>_xlfn.XLOOKUP(frasest[[#This Row],[autor_es]],autorest[autor_es],autorest[autor_la])</f>
        <v>Sententia Hispanica</v>
      </c>
      <c r="H988" t="str">
        <f>_xlfn.XLOOKUP(frasest[[#This Row],[autor_es]],autorest[autor_es],autorest[bio_es])</f>
        <v>Refranes populares de la tradición oral hispana que expresan de forma breve y ingeniosa enseñanzas prácticas sobre la vida cotidiana.</v>
      </c>
      <c r="I988" t="str">
        <f>_xlfn.XLOOKUP(frasest[[#This Row],[autor_es]],autorest[autor_es],autorest[bio_la])</f>
        <v>Collectio sententiarum Hispanicarum.</v>
      </c>
      <c r="J988" t="str">
        <f>_xlfn.XLOOKUP(frasest[[#This Row],[autor_es]],autorest[autor_es],autorest[codigo])</f>
        <v>es</v>
      </c>
      <c r="K988" t="str">
        <f>_xlfn.XLOOKUP(frasest[[#This Row],[autor_es]],autorest[autor_es],autorest[idioma_es])</f>
        <v>Español</v>
      </c>
      <c r="L988" t="str">
        <f>_xlfn.XLOOKUP(frasest[[#This Row],[autor_es]],autorest[autor_es],autorest[idioma_la])</f>
        <v>Lingua Hispanica</v>
      </c>
      <c r="M988" t="str">
        <f>_xlfn.XLOOKUP(frasest[[#This Row],[autor_es]],autorest[autor_es],autorest[nacion_es])</f>
        <v>España</v>
      </c>
      <c r="N988" t="str">
        <f>_xlfn.XLOOKUP(frasest[[#This Row],[autor_es]],autorest[autor_es],autorest[nacion_la])</f>
        <v>Hispania</v>
      </c>
      <c r="O988" t="str">
        <f>_xlfn.XLOOKUP(frasest[[#This Row],[autor_es]],autorest[autor_es],autorest[epoca_es])</f>
        <v>Epoca Desconocida</v>
      </c>
      <c r="P988" t="str">
        <f>_xlfn.XLOOKUP(frasest[[#This Row],[autor_es]],autorest[autor_es],autorest[epoca_la])</f>
        <v>Epocha Ignota</v>
      </c>
      <c r="Q988" t="str">
        <f>_xlfn.XLOOKUP(frasest[[#This Row],[autor_es]],autorest[autor_es],autorest[imagen])</f>
        <v>https://i.ibb.co/Y4f7TZWm/espa-a.png</v>
      </c>
      <c r="R988">
        <f>_xlfn.XLOOKUP(frasest[[#This Row],[autor_es]],autorest[autor_es],autorest[imagen_atr])</f>
        <v>0</v>
      </c>
    </row>
    <row r="989" spans="1:18">
      <c r="A989">
        <v>988</v>
      </c>
      <c r="B989" t="s">
        <v>3139</v>
      </c>
      <c r="C989" t="s">
        <v>3140</v>
      </c>
      <c r="D989" t="s">
        <v>3139</v>
      </c>
      <c r="E989" t="s">
        <v>24</v>
      </c>
      <c r="G989" t="str">
        <f>_xlfn.XLOOKUP(frasest[[#This Row],[autor_es]],autorest[autor_es],autorest[autor_la])</f>
        <v>Sententia Hispanica</v>
      </c>
      <c r="H989" t="str">
        <f>_xlfn.XLOOKUP(frasest[[#This Row],[autor_es]],autorest[autor_es],autorest[bio_es])</f>
        <v>Refranes populares de la tradición oral hispana que expresan de forma breve y ingeniosa enseñanzas prácticas sobre la vida cotidiana.</v>
      </c>
      <c r="I989" t="str">
        <f>_xlfn.XLOOKUP(frasest[[#This Row],[autor_es]],autorest[autor_es],autorest[bio_la])</f>
        <v>Collectio sententiarum Hispanicarum.</v>
      </c>
      <c r="J989" t="str">
        <f>_xlfn.XLOOKUP(frasest[[#This Row],[autor_es]],autorest[autor_es],autorest[codigo])</f>
        <v>es</v>
      </c>
      <c r="K989" t="str">
        <f>_xlfn.XLOOKUP(frasest[[#This Row],[autor_es]],autorest[autor_es],autorest[idioma_es])</f>
        <v>Español</v>
      </c>
      <c r="L989" t="str">
        <f>_xlfn.XLOOKUP(frasest[[#This Row],[autor_es]],autorest[autor_es],autorest[idioma_la])</f>
        <v>Lingua Hispanica</v>
      </c>
      <c r="M989" t="str">
        <f>_xlfn.XLOOKUP(frasest[[#This Row],[autor_es]],autorest[autor_es],autorest[nacion_es])</f>
        <v>España</v>
      </c>
      <c r="N989" t="str">
        <f>_xlfn.XLOOKUP(frasest[[#This Row],[autor_es]],autorest[autor_es],autorest[nacion_la])</f>
        <v>Hispania</v>
      </c>
      <c r="O989" t="str">
        <f>_xlfn.XLOOKUP(frasest[[#This Row],[autor_es]],autorest[autor_es],autorest[epoca_es])</f>
        <v>Epoca Desconocida</v>
      </c>
      <c r="P989" t="str">
        <f>_xlfn.XLOOKUP(frasest[[#This Row],[autor_es]],autorest[autor_es],autorest[epoca_la])</f>
        <v>Epocha Ignota</v>
      </c>
      <c r="Q989" t="str">
        <f>_xlfn.XLOOKUP(frasest[[#This Row],[autor_es]],autorest[autor_es],autorest[imagen])</f>
        <v>https://i.ibb.co/Y4f7TZWm/espa-a.png</v>
      </c>
      <c r="R989">
        <f>_xlfn.XLOOKUP(frasest[[#This Row],[autor_es]],autorest[autor_es],autorest[imagen_atr])</f>
        <v>0</v>
      </c>
    </row>
    <row r="990" spans="1:18">
      <c r="A990">
        <v>989</v>
      </c>
      <c r="B990" t="s">
        <v>3141</v>
      </c>
      <c r="C990" t="s">
        <v>3142</v>
      </c>
      <c r="D990" t="s">
        <v>3141</v>
      </c>
      <c r="E990" t="s">
        <v>24</v>
      </c>
      <c r="G990" t="str">
        <f>_xlfn.XLOOKUP(frasest[[#This Row],[autor_es]],autorest[autor_es],autorest[autor_la])</f>
        <v>Sententia Hispanica</v>
      </c>
      <c r="H990" t="str">
        <f>_xlfn.XLOOKUP(frasest[[#This Row],[autor_es]],autorest[autor_es],autorest[bio_es])</f>
        <v>Refranes populares de la tradición oral hispana que expresan de forma breve y ingeniosa enseñanzas prácticas sobre la vida cotidiana.</v>
      </c>
      <c r="I990" t="str">
        <f>_xlfn.XLOOKUP(frasest[[#This Row],[autor_es]],autorest[autor_es],autorest[bio_la])</f>
        <v>Collectio sententiarum Hispanicarum.</v>
      </c>
      <c r="J990" t="str">
        <f>_xlfn.XLOOKUP(frasest[[#This Row],[autor_es]],autorest[autor_es],autorest[codigo])</f>
        <v>es</v>
      </c>
      <c r="K990" t="str">
        <f>_xlfn.XLOOKUP(frasest[[#This Row],[autor_es]],autorest[autor_es],autorest[idioma_es])</f>
        <v>Español</v>
      </c>
      <c r="L990" t="str">
        <f>_xlfn.XLOOKUP(frasest[[#This Row],[autor_es]],autorest[autor_es],autorest[idioma_la])</f>
        <v>Lingua Hispanica</v>
      </c>
      <c r="M990" t="str">
        <f>_xlfn.XLOOKUP(frasest[[#This Row],[autor_es]],autorest[autor_es],autorest[nacion_es])</f>
        <v>España</v>
      </c>
      <c r="N990" t="str">
        <f>_xlfn.XLOOKUP(frasest[[#This Row],[autor_es]],autorest[autor_es],autorest[nacion_la])</f>
        <v>Hispania</v>
      </c>
      <c r="O990" t="str">
        <f>_xlfn.XLOOKUP(frasest[[#This Row],[autor_es]],autorest[autor_es],autorest[epoca_es])</f>
        <v>Epoca Desconocida</v>
      </c>
      <c r="P990" t="str">
        <f>_xlfn.XLOOKUP(frasest[[#This Row],[autor_es]],autorest[autor_es],autorest[epoca_la])</f>
        <v>Epocha Ignota</v>
      </c>
      <c r="Q990" t="str">
        <f>_xlfn.XLOOKUP(frasest[[#This Row],[autor_es]],autorest[autor_es],autorest[imagen])</f>
        <v>https://i.ibb.co/Y4f7TZWm/espa-a.png</v>
      </c>
      <c r="R990">
        <f>_xlfn.XLOOKUP(frasest[[#This Row],[autor_es]],autorest[autor_es],autorest[imagen_atr])</f>
        <v>0</v>
      </c>
    </row>
    <row r="991" spans="1:18">
      <c r="A991">
        <v>990</v>
      </c>
      <c r="B991" t="s">
        <v>3143</v>
      </c>
      <c r="C991" t="s">
        <v>3144</v>
      </c>
      <c r="D991" t="s">
        <v>3143</v>
      </c>
      <c r="E991" t="s">
        <v>24</v>
      </c>
      <c r="G991" t="str">
        <f>_xlfn.XLOOKUP(frasest[[#This Row],[autor_es]],autorest[autor_es],autorest[autor_la])</f>
        <v>Sententia Hispanica</v>
      </c>
      <c r="H991" t="str">
        <f>_xlfn.XLOOKUP(frasest[[#This Row],[autor_es]],autorest[autor_es],autorest[bio_es])</f>
        <v>Refranes populares de la tradición oral hispana que expresan de forma breve y ingeniosa enseñanzas prácticas sobre la vida cotidiana.</v>
      </c>
      <c r="I991" t="str">
        <f>_xlfn.XLOOKUP(frasest[[#This Row],[autor_es]],autorest[autor_es],autorest[bio_la])</f>
        <v>Collectio sententiarum Hispanicarum.</v>
      </c>
      <c r="J991" t="str">
        <f>_xlfn.XLOOKUP(frasest[[#This Row],[autor_es]],autorest[autor_es],autorest[codigo])</f>
        <v>es</v>
      </c>
      <c r="K991" t="str">
        <f>_xlfn.XLOOKUP(frasest[[#This Row],[autor_es]],autorest[autor_es],autorest[idioma_es])</f>
        <v>Español</v>
      </c>
      <c r="L991" t="str">
        <f>_xlfn.XLOOKUP(frasest[[#This Row],[autor_es]],autorest[autor_es],autorest[idioma_la])</f>
        <v>Lingua Hispanica</v>
      </c>
      <c r="M991" t="str">
        <f>_xlfn.XLOOKUP(frasest[[#This Row],[autor_es]],autorest[autor_es],autorest[nacion_es])</f>
        <v>España</v>
      </c>
      <c r="N991" t="str">
        <f>_xlfn.XLOOKUP(frasest[[#This Row],[autor_es]],autorest[autor_es],autorest[nacion_la])</f>
        <v>Hispania</v>
      </c>
      <c r="O991" t="str">
        <f>_xlfn.XLOOKUP(frasest[[#This Row],[autor_es]],autorest[autor_es],autorest[epoca_es])</f>
        <v>Epoca Desconocida</v>
      </c>
      <c r="P991" t="str">
        <f>_xlfn.XLOOKUP(frasest[[#This Row],[autor_es]],autorest[autor_es],autorest[epoca_la])</f>
        <v>Epocha Ignota</v>
      </c>
      <c r="Q991" t="str">
        <f>_xlfn.XLOOKUP(frasest[[#This Row],[autor_es]],autorest[autor_es],autorest[imagen])</f>
        <v>https://i.ibb.co/Y4f7TZWm/espa-a.png</v>
      </c>
      <c r="R991">
        <f>_xlfn.XLOOKUP(frasest[[#This Row],[autor_es]],autorest[autor_es],autorest[imagen_atr])</f>
        <v>0</v>
      </c>
    </row>
    <row r="992" spans="1:18">
      <c r="A992">
        <v>991</v>
      </c>
      <c r="B992" t="s">
        <v>3145</v>
      </c>
      <c r="C992" t="s">
        <v>3146</v>
      </c>
      <c r="D992" t="s">
        <v>3145</v>
      </c>
      <c r="E992" t="s">
        <v>24</v>
      </c>
      <c r="G992" t="str">
        <f>_xlfn.XLOOKUP(frasest[[#This Row],[autor_es]],autorest[autor_es],autorest[autor_la])</f>
        <v>Sententia Hispanica</v>
      </c>
      <c r="H992" t="str">
        <f>_xlfn.XLOOKUP(frasest[[#This Row],[autor_es]],autorest[autor_es],autorest[bio_es])</f>
        <v>Refranes populares de la tradición oral hispana que expresan de forma breve y ingeniosa enseñanzas prácticas sobre la vida cotidiana.</v>
      </c>
      <c r="I992" t="str">
        <f>_xlfn.XLOOKUP(frasest[[#This Row],[autor_es]],autorest[autor_es],autorest[bio_la])</f>
        <v>Collectio sententiarum Hispanicarum.</v>
      </c>
      <c r="J992" t="str">
        <f>_xlfn.XLOOKUP(frasest[[#This Row],[autor_es]],autorest[autor_es],autorest[codigo])</f>
        <v>es</v>
      </c>
      <c r="K992" t="str">
        <f>_xlfn.XLOOKUP(frasest[[#This Row],[autor_es]],autorest[autor_es],autorest[idioma_es])</f>
        <v>Español</v>
      </c>
      <c r="L992" t="str">
        <f>_xlfn.XLOOKUP(frasest[[#This Row],[autor_es]],autorest[autor_es],autorest[idioma_la])</f>
        <v>Lingua Hispanica</v>
      </c>
      <c r="M992" t="str">
        <f>_xlfn.XLOOKUP(frasest[[#This Row],[autor_es]],autorest[autor_es],autorest[nacion_es])</f>
        <v>España</v>
      </c>
      <c r="N992" t="str">
        <f>_xlfn.XLOOKUP(frasest[[#This Row],[autor_es]],autorest[autor_es],autorest[nacion_la])</f>
        <v>Hispania</v>
      </c>
      <c r="O992" t="str">
        <f>_xlfn.XLOOKUP(frasest[[#This Row],[autor_es]],autorest[autor_es],autorest[epoca_es])</f>
        <v>Epoca Desconocida</v>
      </c>
      <c r="P992" t="str">
        <f>_xlfn.XLOOKUP(frasest[[#This Row],[autor_es]],autorest[autor_es],autorest[epoca_la])</f>
        <v>Epocha Ignota</v>
      </c>
      <c r="Q992" t="str">
        <f>_xlfn.XLOOKUP(frasest[[#This Row],[autor_es]],autorest[autor_es],autorest[imagen])</f>
        <v>https://i.ibb.co/Y4f7TZWm/espa-a.png</v>
      </c>
      <c r="R992">
        <f>_xlfn.XLOOKUP(frasest[[#This Row],[autor_es]],autorest[autor_es],autorest[imagen_atr])</f>
        <v>0</v>
      </c>
    </row>
    <row r="993" spans="1:18">
      <c r="A993">
        <v>992</v>
      </c>
      <c r="B993" t="s">
        <v>3147</v>
      </c>
      <c r="C993" t="s">
        <v>3148</v>
      </c>
      <c r="D993" t="s">
        <v>3147</v>
      </c>
      <c r="E993" t="s">
        <v>24</v>
      </c>
      <c r="G993" t="str">
        <f>_xlfn.XLOOKUP(frasest[[#This Row],[autor_es]],autorest[autor_es],autorest[autor_la])</f>
        <v>Sententia Hispanica</v>
      </c>
      <c r="H993" t="str">
        <f>_xlfn.XLOOKUP(frasest[[#This Row],[autor_es]],autorest[autor_es],autorest[bio_es])</f>
        <v>Refranes populares de la tradición oral hispana que expresan de forma breve y ingeniosa enseñanzas prácticas sobre la vida cotidiana.</v>
      </c>
      <c r="I993" t="str">
        <f>_xlfn.XLOOKUP(frasest[[#This Row],[autor_es]],autorest[autor_es],autorest[bio_la])</f>
        <v>Collectio sententiarum Hispanicarum.</v>
      </c>
      <c r="J993" t="str">
        <f>_xlfn.XLOOKUP(frasest[[#This Row],[autor_es]],autorest[autor_es],autorest[codigo])</f>
        <v>es</v>
      </c>
      <c r="K993" t="str">
        <f>_xlfn.XLOOKUP(frasest[[#This Row],[autor_es]],autorest[autor_es],autorest[idioma_es])</f>
        <v>Español</v>
      </c>
      <c r="L993" t="str">
        <f>_xlfn.XLOOKUP(frasest[[#This Row],[autor_es]],autorest[autor_es],autorest[idioma_la])</f>
        <v>Lingua Hispanica</v>
      </c>
      <c r="M993" t="str">
        <f>_xlfn.XLOOKUP(frasest[[#This Row],[autor_es]],autorest[autor_es],autorest[nacion_es])</f>
        <v>España</v>
      </c>
      <c r="N993" t="str">
        <f>_xlfn.XLOOKUP(frasest[[#This Row],[autor_es]],autorest[autor_es],autorest[nacion_la])</f>
        <v>Hispania</v>
      </c>
      <c r="O993" t="str">
        <f>_xlfn.XLOOKUP(frasest[[#This Row],[autor_es]],autorest[autor_es],autorest[epoca_es])</f>
        <v>Epoca Desconocida</v>
      </c>
      <c r="P993" t="str">
        <f>_xlfn.XLOOKUP(frasest[[#This Row],[autor_es]],autorest[autor_es],autorest[epoca_la])</f>
        <v>Epocha Ignota</v>
      </c>
      <c r="Q993" t="str">
        <f>_xlfn.XLOOKUP(frasest[[#This Row],[autor_es]],autorest[autor_es],autorest[imagen])</f>
        <v>https://i.ibb.co/Y4f7TZWm/espa-a.png</v>
      </c>
      <c r="R993">
        <f>_xlfn.XLOOKUP(frasest[[#This Row],[autor_es]],autorest[autor_es],autorest[imagen_atr])</f>
        <v>0</v>
      </c>
    </row>
    <row r="994" spans="1:18">
      <c r="A994">
        <v>993</v>
      </c>
      <c r="B994" t="s">
        <v>2575</v>
      </c>
      <c r="C994" t="s">
        <v>2576</v>
      </c>
      <c r="D994" t="s">
        <v>2575</v>
      </c>
      <c r="E994" t="s">
        <v>24</v>
      </c>
      <c r="G994" t="str">
        <f>_xlfn.XLOOKUP(frasest[[#This Row],[autor_es]],autorest[autor_es],autorest[autor_la])</f>
        <v>Sententia Hispanica</v>
      </c>
      <c r="H994" t="str">
        <f>_xlfn.XLOOKUP(frasest[[#This Row],[autor_es]],autorest[autor_es],autorest[bio_es])</f>
        <v>Refranes populares de la tradición oral hispana que expresan de forma breve y ingeniosa enseñanzas prácticas sobre la vida cotidiana.</v>
      </c>
      <c r="I994" t="str">
        <f>_xlfn.XLOOKUP(frasest[[#This Row],[autor_es]],autorest[autor_es],autorest[bio_la])</f>
        <v>Collectio sententiarum Hispanicarum.</v>
      </c>
      <c r="J994" t="str">
        <f>_xlfn.XLOOKUP(frasest[[#This Row],[autor_es]],autorest[autor_es],autorest[codigo])</f>
        <v>es</v>
      </c>
      <c r="K994" t="str">
        <f>_xlfn.XLOOKUP(frasest[[#This Row],[autor_es]],autorest[autor_es],autorest[idioma_es])</f>
        <v>Español</v>
      </c>
      <c r="L994" t="str">
        <f>_xlfn.XLOOKUP(frasest[[#This Row],[autor_es]],autorest[autor_es],autorest[idioma_la])</f>
        <v>Lingua Hispanica</v>
      </c>
      <c r="M994" t="str">
        <f>_xlfn.XLOOKUP(frasest[[#This Row],[autor_es]],autorest[autor_es],autorest[nacion_es])</f>
        <v>España</v>
      </c>
      <c r="N994" t="str">
        <f>_xlfn.XLOOKUP(frasest[[#This Row],[autor_es]],autorest[autor_es],autorest[nacion_la])</f>
        <v>Hispania</v>
      </c>
      <c r="O994" t="str">
        <f>_xlfn.XLOOKUP(frasest[[#This Row],[autor_es]],autorest[autor_es],autorest[epoca_es])</f>
        <v>Epoca Desconocida</v>
      </c>
      <c r="P994" t="str">
        <f>_xlfn.XLOOKUP(frasest[[#This Row],[autor_es]],autorest[autor_es],autorest[epoca_la])</f>
        <v>Epocha Ignota</v>
      </c>
      <c r="Q994" t="str">
        <f>_xlfn.XLOOKUP(frasest[[#This Row],[autor_es]],autorest[autor_es],autorest[imagen])</f>
        <v>https://i.ibb.co/Y4f7TZWm/espa-a.png</v>
      </c>
      <c r="R994">
        <f>_xlfn.XLOOKUP(frasest[[#This Row],[autor_es]],autorest[autor_es],autorest[imagen_atr])</f>
        <v>0</v>
      </c>
    </row>
    <row r="995" spans="1:18">
      <c r="A995">
        <v>994</v>
      </c>
      <c r="B995" t="s">
        <v>3149</v>
      </c>
      <c r="C995" t="s">
        <v>3150</v>
      </c>
      <c r="D995" t="s">
        <v>3149</v>
      </c>
      <c r="E995" t="s">
        <v>24</v>
      </c>
      <c r="G995" t="str">
        <f>_xlfn.XLOOKUP(frasest[[#This Row],[autor_es]],autorest[autor_es],autorest[autor_la])</f>
        <v>Sententia Hispanica</v>
      </c>
      <c r="H995" t="str">
        <f>_xlfn.XLOOKUP(frasest[[#This Row],[autor_es]],autorest[autor_es],autorest[bio_es])</f>
        <v>Refranes populares de la tradición oral hispana que expresan de forma breve y ingeniosa enseñanzas prácticas sobre la vida cotidiana.</v>
      </c>
      <c r="I995" t="str">
        <f>_xlfn.XLOOKUP(frasest[[#This Row],[autor_es]],autorest[autor_es],autorest[bio_la])</f>
        <v>Collectio sententiarum Hispanicarum.</v>
      </c>
      <c r="J995" t="str">
        <f>_xlfn.XLOOKUP(frasest[[#This Row],[autor_es]],autorest[autor_es],autorest[codigo])</f>
        <v>es</v>
      </c>
      <c r="K995" t="str">
        <f>_xlfn.XLOOKUP(frasest[[#This Row],[autor_es]],autorest[autor_es],autorest[idioma_es])</f>
        <v>Español</v>
      </c>
      <c r="L995" t="str">
        <f>_xlfn.XLOOKUP(frasest[[#This Row],[autor_es]],autorest[autor_es],autorest[idioma_la])</f>
        <v>Lingua Hispanica</v>
      </c>
      <c r="M995" t="str">
        <f>_xlfn.XLOOKUP(frasest[[#This Row],[autor_es]],autorest[autor_es],autorest[nacion_es])</f>
        <v>España</v>
      </c>
      <c r="N995" t="str">
        <f>_xlfn.XLOOKUP(frasest[[#This Row],[autor_es]],autorest[autor_es],autorest[nacion_la])</f>
        <v>Hispania</v>
      </c>
      <c r="O995" t="str">
        <f>_xlfn.XLOOKUP(frasest[[#This Row],[autor_es]],autorest[autor_es],autorest[epoca_es])</f>
        <v>Epoca Desconocida</v>
      </c>
      <c r="P995" t="str">
        <f>_xlfn.XLOOKUP(frasest[[#This Row],[autor_es]],autorest[autor_es],autorest[epoca_la])</f>
        <v>Epocha Ignota</v>
      </c>
      <c r="Q995" t="str">
        <f>_xlfn.XLOOKUP(frasest[[#This Row],[autor_es]],autorest[autor_es],autorest[imagen])</f>
        <v>https://i.ibb.co/Y4f7TZWm/espa-a.png</v>
      </c>
      <c r="R995">
        <f>_xlfn.XLOOKUP(frasest[[#This Row],[autor_es]],autorest[autor_es],autorest[imagen_atr])</f>
        <v>0</v>
      </c>
    </row>
    <row r="996" spans="1:18">
      <c r="A996">
        <v>995</v>
      </c>
      <c r="B996" t="s">
        <v>3151</v>
      </c>
      <c r="C996" t="s">
        <v>3152</v>
      </c>
      <c r="D996" t="s">
        <v>3151</v>
      </c>
      <c r="E996" t="s">
        <v>24</v>
      </c>
      <c r="G996" t="str">
        <f>_xlfn.XLOOKUP(frasest[[#This Row],[autor_es]],autorest[autor_es],autorest[autor_la])</f>
        <v>Sententia Hispanica</v>
      </c>
      <c r="H996" t="str">
        <f>_xlfn.XLOOKUP(frasest[[#This Row],[autor_es]],autorest[autor_es],autorest[bio_es])</f>
        <v>Refranes populares de la tradición oral hispana que expresan de forma breve y ingeniosa enseñanzas prácticas sobre la vida cotidiana.</v>
      </c>
      <c r="I996" t="str">
        <f>_xlfn.XLOOKUP(frasest[[#This Row],[autor_es]],autorest[autor_es],autorest[bio_la])</f>
        <v>Collectio sententiarum Hispanicarum.</v>
      </c>
      <c r="J996" t="str">
        <f>_xlfn.XLOOKUP(frasest[[#This Row],[autor_es]],autorest[autor_es],autorest[codigo])</f>
        <v>es</v>
      </c>
      <c r="K996" t="str">
        <f>_xlfn.XLOOKUP(frasest[[#This Row],[autor_es]],autorest[autor_es],autorest[idioma_es])</f>
        <v>Español</v>
      </c>
      <c r="L996" t="str">
        <f>_xlfn.XLOOKUP(frasest[[#This Row],[autor_es]],autorest[autor_es],autorest[idioma_la])</f>
        <v>Lingua Hispanica</v>
      </c>
      <c r="M996" t="str">
        <f>_xlfn.XLOOKUP(frasest[[#This Row],[autor_es]],autorest[autor_es],autorest[nacion_es])</f>
        <v>España</v>
      </c>
      <c r="N996" t="str">
        <f>_xlfn.XLOOKUP(frasest[[#This Row],[autor_es]],autorest[autor_es],autorest[nacion_la])</f>
        <v>Hispania</v>
      </c>
      <c r="O996" t="str">
        <f>_xlfn.XLOOKUP(frasest[[#This Row],[autor_es]],autorest[autor_es],autorest[epoca_es])</f>
        <v>Epoca Desconocida</v>
      </c>
      <c r="P996" t="str">
        <f>_xlfn.XLOOKUP(frasest[[#This Row],[autor_es]],autorest[autor_es],autorest[epoca_la])</f>
        <v>Epocha Ignota</v>
      </c>
      <c r="Q996" t="str">
        <f>_xlfn.XLOOKUP(frasest[[#This Row],[autor_es]],autorest[autor_es],autorest[imagen])</f>
        <v>https://i.ibb.co/Y4f7TZWm/espa-a.png</v>
      </c>
      <c r="R996">
        <f>_xlfn.XLOOKUP(frasest[[#This Row],[autor_es]],autorest[autor_es],autorest[imagen_atr])</f>
        <v>0</v>
      </c>
    </row>
    <row r="997" spans="1:18">
      <c r="A997">
        <v>996</v>
      </c>
      <c r="B997" t="s">
        <v>3153</v>
      </c>
      <c r="C997" t="s">
        <v>3154</v>
      </c>
      <c r="D997" t="s">
        <v>3153</v>
      </c>
      <c r="E997" t="s">
        <v>24</v>
      </c>
      <c r="G997" t="str">
        <f>_xlfn.XLOOKUP(frasest[[#This Row],[autor_es]],autorest[autor_es],autorest[autor_la])</f>
        <v>Sententia Hispanica</v>
      </c>
      <c r="H997" t="str">
        <f>_xlfn.XLOOKUP(frasest[[#This Row],[autor_es]],autorest[autor_es],autorest[bio_es])</f>
        <v>Refranes populares de la tradición oral hispana que expresan de forma breve y ingeniosa enseñanzas prácticas sobre la vida cotidiana.</v>
      </c>
      <c r="I997" t="str">
        <f>_xlfn.XLOOKUP(frasest[[#This Row],[autor_es]],autorest[autor_es],autorest[bio_la])</f>
        <v>Collectio sententiarum Hispanicarum.</v>
      </c>
      <c r="J997" t="str">
        <f>_xlfn.XLOOKUP(frasest[[#This Row],[autor_es]],autorest[autor_es],autorest[codigo])</f>
        <v>es</v>
      </c>
      <c r="K997" t="str">
        <f>_xlfn.XLOOKUP(frasest[[#This Row],[autor_es]],autorest[autor_es],autorest[idioma_es])</f>
        <v>Español</v>
      </c>
      <c r="L997" t="str">
        <f>_xlfn.XLOOKUP(frasest[[#This Row],[autor_es]],autorest[autor_es],autorest[idioma_la])</f>
        <v>Lingua Hispanica</v>
      </c>
      <c r="M997" t="str">
        <f>_xlfn.XLOOKUP(frasest[[#This Row],[autor_es]],autorest[autor_es],autorest[nacion_es])</f>
        <v>España</v>
      </c>
      <c r="N997" t="str">
        <f>_xlfn.XLOOKUP(frasest[[#This Row],[autor_es]],autorest[autor_es],autorest[nacion_la])</f>
        <v>Hispania</v>
      </c>
      <c r="O997" t="str">
        <f>_xlfn.XLOOKUP(frasest[[#This Row],[autor_es]],autorest[autor_es],autorest[epoca_es])</f>
        <v>Epoca Desconocida</v>
      </c>
      <c r="P997" t="str">
        <f>_xlfn.XLOOKUP(frasest[[#This Row],[autor_es]],autorest[autor_es],autorest[epoca_la])</f>
        <v>Epocha Ignota</v>
      </c>
      <c r="Q997" t="str">
        <f>_xlfn.XLOOKUP(frasest[[#This Row],[autor_es]],autorest[autor_es],autorest[imagen])</f>
        <v>https://i.ibb.co/Y4f7TZWm/espa-a.png</v>
      </c>
      <c r="R997">
        <f>_xlfn.XLOOKUP(frasest[[#This Row],[autor_es]],autorest[autor_es],autorest[imagen_atr])</f>
        <v>0</v>
      </c>
    </row>
    <row r="998" spans="1:18">
      <c r="A998">
        <v>997</v>
      </c>
      <c r="B998" t="s">
        <v>3155</v>
      </c>
      <c r="C998" t="s">
        <v>3156</v>
      </c>
      <c r="D998" t="s">
        <v>3155</v>
      </c>
      <c r="E998" t="s">
        <v>24</v>
      </c>
      <c r="G998" t="str">
        <f>_xlfn.XLOOKUP(frasest[[#This Row],[autor_es]],autorest[autor_es],autorest[autor_la])</f>
        <v>Sententia Hispanica</v>
      </c>
      <c r="H998" t="str">
        <f>_xlfn.XLOOKUP(frasest[[#This Row],[autor_es]],autorest[autor_es],autorest[bio_es])</f>
        <v>Refranes populares de la tradición oral hispana que expresan de forma breve y ingeniosa enseñanzas prácticas sobre la vida cotidiana.</v>
      </c>
      <c r="I998" t="str">
        <f>_xlfn.XLOOKUP(frasest[[#This Row],[autor_es]],autorest[autor_es],autorest[bio_la])</f>
        <v>Collectio sententiarum Hispanicarum.</v>
      </c>
      <c r="J998" t="str">
        <f>_xlfn.XLOOKUP(frasest[[#This Row],[autor_es]],autorest[autor_es],autorest[codigo])</f>
        <v>es</v>
      </c>
      <c r="K998" t="str">
        <f>_xlfn.XLOOKUP(frasest[[#This Row],[autor_es]],autorest[autor_es],autorest[idioma_es])</f>
        <v>Español</v>
      </c>
      <c r="L998" t="str">
        <f>_xlfn.XLOOKUP(frasest[[#This Row],[autor_es]],autorest[autor_es],autorest[idioma_la])</f>
        <v>Lingua Hispanica</v>
      </c>
      <c r="M998" t="str">
        <f>_xlfn.XLOOKUP(frasest[[#This Row],[autor_es]],autorest[autor_es],autorest[nacion_es])</f>
        <v>España</v>
      </c>
      <c r="N998" t="str">
        <f>_xlfn.XLOOKUP(frasest[[#This Row],[autor_es]],autorest[autor_es],autorest[nacion_la])</f>
        <v>Hispania</v>
      </c>
      <c r="O998" t="str">
        <f>_xlfn.XLOOKUP(frasest[[#This Row],[autor_es]],autorest[autor_es],autorest[epoca_es])</f>
        <v>Epoca Desconocida</v>
      </c>
      <c r="P998" t="str">
        <f>_xlfn.XLOOKUP(frasest[[#This Row],[autor_es]],autorest[autor_es],autorest[epoca_la])</f>
        <v>Epocha Ignota</v>
      </c>
      <c r="Q998" t="str">
        <f>_xlfn.XLOOKUP(frasest[[#This Row],[autor_es]],autorest[autor_es],autorest[imagen])</f>
        <v>https://i.ibb.co/Y4f7TZWm/espa-a.png</v>
      </c>
      <c r="R998">
        <f>_xlfn.XLOOKUP(frasest[[#This Row],[autor_es]],autorest[autor_es],autorest[imagen_atr])</f>
        <v>0</v>
      </c>
    </row>
    <row r="999" spans="1:18">
      <c r="A999">
        <v>998</v>
      </c>
      <c r="B999" t="s">
        <v>3157</v>
      </c>
      <c r="C999" t="s">
        <v>3158</v>
      </c>
      <c r="D999" t="s">
        <v>3157</v>
      </c>
      <c r="E999" t="s">
        <v>24</v>
      </c>
      <c r="G999" t="str">
        <f>_xlfn.XLOOKUP(frasest[[#This Row],[autor_es]],autorest[autor_es],autorest[autor_la])</f>
        <v>Sententia Hispanica</v>
      </c>
      <c r="H999" t="str">
        <f>_xlfn.XLOOKUP(frasest[[#This Row],[autor_es]],autorest[autor_es],autorest[bio_es])</f>
        <v>Refranes populares de la tradición oral hispana que expresan de forma breve y ingeniosa enseñanzas prácticas sobre la vida cotidiana.</v>
      </c>
      <c r="I999" t="str">
        <f>_xlfn.XLOOKUP(frasest[[#This Row],[autor_es]],autorest[autor_es],autorest[bio_la])</f>
        <v>Collectio sententiarum Hispanicarum.</v>
      </c>
      <c r="J999" t="str">
        <f>_xlfn.XLOOKUP(frasest[[#This Row],[autor_es]],autorest[autor_es],autorest[codigo])</f>
        <v>es</v>
      </c>
      <c r="K999" t="str">
        <f>_xlfn.XLOOKUP(frasest[[#This Row],[autor_es]],autorest[autor_es],autorest[idioma_es])</f>
        <v>Español</v>
      </c>
      <c r="L999" t="str">
        <f>_xlfn.XLOOKUP(frasest[[#This Row],[autor_es]],autorest[autor_es],autorest[idioma_la])</f>
        <v>Lingua Hispanica</v>
      </c>
      <c r="M999" t="str">
        <f>_xlfn.XLOOKUP(frasest[[#This Row],[autor_es]],autorest[autor_es],autorest[nacion_es])</f>
        <v>España</v>
      </c>
      <c r="N999" t="str">
        <f>_xlfn.XLOOKUP(frasest[[#This Row],[autor_es]],autorest[autor_es],autorest[nacion_la])</f>
        <v>Hispania</v>
      </c>
      <c r="O999" t="str">
        <f>_xlfn.XLOOKUP(frasest[[#This Row],[autor_es]],autorest[autor_es],autorest[epoca_es])</f>
        <v>Epoca Desconocida</v>
      </c>
      <c r="P999" t="str">
        <f>_xlfn.XLOOKUP(frasest[[#This Row],[autor_es]],autorest[autor_es],autorest[epoca_la])</f>
        <v>Epocha Ignota</v>
      </c>
      <c r="Q999" t="str">
        <f>_xlfn.XLOOKUP(frasest[[#This Row],[autor_es]],autorest[autor_es],autorest[imagen])</f>
        <v>https://i.ibb.co/Y4f7TZWm/espa-a.png</v>
      </c>
      <c r="R999">
        <f>_xlfn.XLOOKUP(frasest[[#This Row],[autor_es]],autorest[autor_es],autorest[imagen_atr])</f>
        <v>0</v>
      </c>
    </row>
    <row r="1000" spans="1:18">
      <c r="A1000">
        <v>999</v>
      </c>
      <c r="B1000" t="s">
        <v>3159</v>
      </c>
      <c r="C1000" t="s">
        <v>3160</v>
      </c>
      <c r="D1000" t="s">
        <v>3159</v>
      </c>
      <c r="E1000" t="s">
        <v>24</v>
      </c>
      <c r="G1000" t="str">
        <f>_xlfn.XLOOKUP(frasest[[#This Row],[autor_es]],autorest[autor_es],autorest[autor_la])</f>
        <v>Sententia Hispanica</v>
      </c>
      <c r="H1000" t="str">
        <f>_xlfn.XLOOKUP(frasest[[#This Row],[autor_es]],autorest[autor_es],autorest[bio_es])</f>
        <v>Refranes populares de la tradición oral hispana que expresan de forma breve y ingeniosa enseñanzas prácticas sobre la vida cotidiana.</v>
      </c>
      <c r="I1000" t="str">
        <f>_xlfn.XLOOKUP(frasest[[#This Row],[autor_es]],autorest[autor_es],autorest[bio_la])</f>
        <v>Collectio sententiarum Hispanicarum.</v>
      </c>
      <c r="J1000" t="str">
        <f>_xlfn.XLOOKUP(frasest[[#This Row],[autor_es]],autorest[autor_es],autorest[codigo])</f>
        <v>es</v>
      </c>
      <c r="K1000" t="str">
        <f>_xlfn.XLOOKUP(frasest[[#This Row],[autor_es]],autorest[autor_es],autorest[idioma_es])</f>
        <v>Español</v>
      </c>
      <c r="L1000" t="str">
        <f>_xlfn.XLOOKUP(frasest[[#This Row],[autor_es]],autorest[autor_es],autorest[idioma_la])</f>
        <v>Lingua Hispanica</v>
      </c>
      <c r="M1000" t="str">
        <f>_xlfn.XLOOKUP(frasest[[#This Row],[autor_es]],autorest[autor_es],autorest[nacion_es])</f>
        <v>España</v>
      </c>
      <c r="N1000" t="str">
        <f>_xlfn.XLOOKUP(frasest[[#This Row],[autor_es]],autorest[autor_es],autorest[nacion_la])</f>
        <v>Hispania</v>
      </c>
      <c r="O1000" t="str">
        <f>_xlfn.XLOOKUP(frasest[[#This Row],[autor_es]],autorest[autor_es],autorest[epoca_es])</f>
        <v>Epoca Desconocida</v>
      </c>
      <c r="P1000" t="str">
        <f>_xlfn.XLOOKUP(frasest[[#This Row],[autor_es]],autorest[autor_es],autorest[epoca_la])</f>
        <v>Epocha Ignota</v>
      </c>
      <c r="Q1000" t="str">
        <f>_xlfn.XLOOKUP(frasest[[#This Row],[autor_es]],autorest[autor_es],autorest[imagen])</f>
        <v>https://i.ibb.co/Y4f7TZWm/espa-a.png</v>
      </c>
      <c r="R1000">
        <f>_xlfn.XLOOKUP(frasest[[#This Row],[autor_es]],autorest[autor_es],autorest[imagen_atr])</f>
        <v>0</v>
      </c>
    </row>
    <row r="1001" spans="1:18">
      <c r="A1001">
        <v>1000</v>
      </c>
      <c r="B1001" t="s">
        <v>3161</v>
      </c>
      <c r="C1001" t="s">
        <v>3162</v>
      </c>
      <c r="D1001" t="s">
        <v>3161</v>
      </c>
      <c r="E1001" t="s">
        <v>24</v>
      </c>
      <c r="G1001" t="str">
        <f>_xlfn.XLOOKUP(frasest[[#This Row],[autor_es]],autorest[autor_es],autorest[autor_la])</f>
        <v>Sententia Hispanica</v>
      </c>
      <c r="H1001" t="str">
        <f>_xlfn.XLOOKUP(frasest[[#This Row],[autor_es]],autorest[autor_es],autorest[bio_es])</f>
        <v>Refranes populares de la tradición oral hispana que expresan de forma breve y ingeniosa enseñanzas prácticas sobre la vida cotidiana.</v>
      </c>
      <c r="I1001" t="str">
        <f>_xlfn.XLOOKUP(frasest[[#This Row],[autor_es]],autorest[autor_es],autorest[bio_la])</f>
        <v>Collectio sententiarum Hispanicarum.</v>
      </c>
      <c r="J1001" t="str">
        <f>_xlfn.XLOOKUP(frasest[[#This Row],[autor_es]],autorest[autor_es],autorest[codigo])</f>
        <v>es</v>
      </c>
      <c r="K1001" t="str">
        <f>_xlfn.XLOOKUP(frasest[[#This Row],[autor_es]],autorest[autor_es],autorest[idioma_es])</f>
        <v>Español</v>
      </c>
      <c r="L1001" t="str">
        <f>_xlfn.XLOOKUP(frasest[[#This Row],[autor_es]],autorest[autor_es],autorest[idioma_la])</f>
        <v>Lingua Hispanica</v>
      </c>
      <c r="M1001" t="str">
        <f>_xlfn.XLOOKUP(frasest[[#This Row],[autor_es]],autorest[autor_es],autorest[nacion_es])</f>
        <v>España</v>
      </c>
      <c r="N1001" t="str">
        <f>_xlfn.XLOOKUP(frasest[[#This Row],[autor_es]],autorest[autor_es],autorest[nacion_la])</f>
        <v>Hispania</v>
      </c>
      <c r="O1001" t="str">
        <f>_xlfn.XLOOKUP(frasest[[#This Row],[autor_es]],autorest[autor_es],autorest[epoca_es])</f>
        <v>Epoca Desconocida</v>
      </c>
      <c r="P1001" t="str">
        <f>_xlfn.XLOOKUP(frasest[[#This Row],[autor_es]],autorest[autor_es],autorest[epoca_la])</f>
        <v>Epocha Ignota</v>
      </c>
      <c r="Q1001" t="str">
        <f>_xlfn.XLOOKUP(frasest[[#This Row],[autor_es]],autorest[autor_es],autorest[imagen])</f>
        <v>https://i.ibb.co/Y4f7TZWm/espa-a.png</v>
      </c>
      <c r="R1001">
        <f>_xlfn.XLOOKUP(frasest[[#This Row],[autor_es]],autorest[autor_es],autorest[imagen_atr])</f>
        <v>0</v>
      </c>
    </row>
    <row r="1002" spans="1:18">
      <c r="A1002">
        <v>1001</v>
      </c>
      <c r="B1002" t="s">
        <v>3163</v>
      </c>
      <c r="C1002" t="s">
        <v>3164</v>
      </c>
      <c r="D1002" t="s">
        <v>3163</v>
      </c>
      <c r="E1002" t="s">
        <v>24</v>
      </c>
      <c r="G1002" t="str">
        <f>_xlfn.XLOOKUP(frasest[[#This Row],[autor_es]],autorest[autor_es],autorest[autor_la])</f>
        <v>Sententia Hispanica</v>
      </c>
      <c r="H1002" t="str">
        <f>_xlfn.XLOOKUP(frasest[[#This Row],[autor_es]],autorest[autor_es],autorest[bio_es])</f>
        <v>Refranes populares de la tradición oral hispana que expresan de forma breve y ingeniosa enseñanzas prácticas sobre la vida cotidiana.</v>
      </c>
      <c r="I1002" t="str">
        <f>_xlfn.XLOOKUP(frasest[[#This Row],[autor_es]],autorest[autor_es],autorest[bio_la])</f>
        <v>Collectio sententiarum Hispanicarum.</v>
      </c>
      <c r="J1002" t="str">
        <f>_xlfn.XLOOKUP(frasest[[#This Row],[autor_es]],autorest[autor_es],autorest[codigo])</f>
        <v>es</v>
      </c>
      <c r="K1002" t="str">
        <f>_xlfn.XLOOKUP(frasest[[#This Row],[autor_es]],autorest[autor_es],autorest[idioma_es])</f>
        <v>Español</v>
      </c>
      <c r="L1002" t="str">
        <f>_xlfn.XLOOKUP(frasest[[#This Row],[autor_es]],autorest[autor_es],autorest[idioma_la])</f>
        <v>Lingua Hispanica</v>
      </c>
      <c r="M1002" t="str">
        <f>_xlfn.XLOOKUP(frasest[[#This Row],[autor_es]],autorest[autor_es],autorest[nacion_es])</f>
        <v>España</v>
      </c>
      <c r="N1002" t="str">
        <f>_xlfn.XLOOKUP(frasest[[#This Row],[autor_es]],autorest[autor_es],autorest[nacion_la])</f>
        <v>Hispania</v>
      </c>
      <c r="O1002" t="str">
        <f>_xlfn.XLOOKUP(frasest[[#This Row],[autor_es]],autorest[autor_es],autorest[epoca_es])</f>
        <v>Epoca Desconocida</v>
      </c>
      <c r="P1002" t="str">
        <f>_xlfn.XLOOKUP(frasest[[#This Row],[autor_es]],autorest[autor_es],autorest[epoca_la])</f>
        <v>Epocha Ignota</v>
      </c>
      <c r="Q1002" t="str">
        <f>_xlfn.XLOOKUP(frasest[[#This Row],[autor_es]],autorest[autor_es],autorest[imagen])</f>
        <v>https://i.ibb.co/Y4f7TZWm/espa-a.png</v>
      </c>
      <c r="R1002">
        <f>_xlfn.XLOOKUP(frasest[[#This Row],[autor_es]],autorest[autor_es],autorest[imagen_atr])</f>
        <v>0</v>
      </c>
    </row>
    <row r="1003" spans="1:18">
      <c r="A1003">
        <v>1002</v>
      </c>
      <c r="B1003" t="s">
        <v>3165</v>
      </c>
      <c r="C1003" t="s">
        <v>3166</v>
      </c>
      <c r="D1003" t="s">
        <v>3165</v>
      </c>
      <c r="E1003" t="s">
        <v>24</v>
      </c>
      <c r="G1003" t="str">
        <f>_xlfn.XLOOKUP(frasest[[#This Row],[autor_es]],autorest[autor_es],autorest[autor_la])</f>
        <v>Sententia Hispanica</v>
      </c>
      <c r="H1003" t="str">
        <f>_xlfn.XLOOKUP(frasest[[#This Row],[autor_es]],autorest[autor_es],autorest[bio_es])</f>
        <v>Refranes populares de la tradición oral hispana que expresan de forma breve y ingeniosa enseñanzas prácticas sobre la vida cotidiana.</v>
      </c>
      <c r="I1003" t="str">
        <f>_xlfn.XLOOKUP(frasest[[#This Row],[autor_es]],autorest[autor_es],autorest[bio_la])</f>
        <v>Collectio sententiarum Hispanicarum.</v>
      </c>
      <c r="J1003" t="str">
        <f>_xlfn.XLOOKUP(frasest[[#This Row],[autor_es]],autorest[autor_es],autorest[codigo])</f>
        <v>es</v>
      </c>
      <c r="K1003" t="str">
        <f>_xlfn.XLOOKUP(frasest[[#This Row],[autor_es]],autorest[autor_es],autorest[idioma_es])</f>
        <v>Español</v>
      </c>
      <c r="L1003" t="str">
        <f>_xlfn.XLOOKUP(frasest[[#This Row],[autor_es]],autorest[autor_es],autorest[idioma_la])</f>
        <v>Lingua Hispanica</v>
      </c>
      <c r="M1003" t="str">
        <f>_xlfn.XLOOKUP(frasest[[#This Row],[autor_es]],autorest[autor_es],autorest[nacion_es])</f>
        <v>España</v>
      </c>
      <c r="N1003" t="str">
        <f>_xlfn.XLOOKUP(frasest[[#This Row],[autor_es]],autorest[autor_es],autorest[nacion_la])</f>
        <v>Hispania</v>
      </c>
      <c r="O1003" t="str">
        <f>_xlfn.XLOOKUP(frasest[[#This Row],[autor_es]],autorest[autor_es],autorest[epoca_es])</f>
        <v>Epoca Desconocida</v>
      </c>
      <c r="P1003" t="str">
        <f>_xlfn.XLOOKUP(frasest[[#This Row],[autor_es]],autorest[autor_es],autorest[epoca_la])</f>
        <v>Epocha Ignota</v>
      </c>
      <c r="Q1003" t="str">
        <f>_xlfn.XLOOKUP(frasest[[#This Row],[autor_es]],autorest[autor_es],autorest[imagen])</f>
        <v>https://i.ibb.co/Y4f7TZWm/espa-a.png</v>
      </c>
      <c r="R1003">
        <f>_xlfn.XLOOKUP(frasest[[#This Row],[autor_es]],autorest[autor_es],autorest[imagen_atr])</f>
        <v>0</v>
      </c>
    </row>
    <row r="1004" spans="1:18">
      <c r="A1004">
        <v>1003</v>
      </c>
      <c r="B1004" t="s">
        <v>3167</v>
      </c>
      <c r="C1004" t="s">
        <v>3168</v>
      </c>
      <c r="D1004" t="s">
        <v>3167</v>
      </c>
      <c r="E1004" t="s">
        <v>24</v>
      </c>
      <c r="G1004" t="str">
        <f>_xlfn.XLOOKUP(frasest[[#This Row],[autor_es]],autorest[autor_es],autorest[autor_la])</f>
        <v>Sententia Hispanica</v>
      </c>
      <c r="H1004" t="str">
        <f>_xlfn.XLOOKUP(frasest[[#This Row],[autor_es]],autorest[autor_es],autorest[bio_es])</f>
        <v>Refranes populares de la tradición oral hispana que expresan de forma breve y ingeniosa enseñanzas prácticas sobre la vida cotidiana.</v>
      </c>
      <c r="I1004" t="str">
        <f>_xlfn.XLOOKUP(frasest[[#This Row],[autor_es]],autorest[autor_es],autorest[bio_la])</f>
        <v>Collectio sententiarum Hispanicarum.</v>
      </c>
      <c r="J1004" t="str">
        <f>_xlfn.XLOOKUP(frasest[[#This Row],[autor_es]],autorest[autor_es],autorest[codigo])</f>
        <v>es</v>
      </c>
      <c r="K1004" t="str">
        <f>_xlfn.XLOOKUP(frasest[[#This Row],[autor_es]],autorest[autor_es],autorest[idioma_es])</f>
        <v>Español</v>
      </c>
      <c r="L1004" t="str">
        <f>_xlfn.XLOOKUP(frasest[[#This Row],[autor_es]],autorest[autor_es],autorest[idioma_la])</f>
        <v>Lingua Hispanica</v>
      </c>
      <c r="M1004" t="str">
        <f>_xlfn.XLOOKUP(frasest[[#This Row],[autor_es]],autorest[autor_es],autorest[nacion_es])</f>
        <v>España</v>
      </c>
      <c r="N1004" t="str">
        <f>_xlfn.XLOOKUP(frasest[[#This Row],[autor_es]],autorest[autor_es],autorest[nacion_la])</f>
        <v>Hispania</v>
      </c>
      <c r="O1004" t="str">
        <f>_xlfn.XLOOKUP(frasest[[#This Row],[autor_es]],autorest[autor_es],autorest[epoca_es])</f>
        <v>Epoca Desconocida</v>
      </c>
      <c r="P1004" t="str">
        <f>_xlfn.XLOOKUP(frasest[[#This Row],[autor_es]],autorest[autor_es],autorest[epoca_la])</f>
        <v>Epocha Ignota</v>
      </c>
      <c r="Q1004" t="str">
        <f>_xlfn.XLOOKUP(frasest[[#This Row],[autor_es]],autorest[autor_es],autorest[imagen])</f>
        <v>https://i.ibb.co/Y4f7TZWm/espa-a.png</v>
      </c>
      <c r="R1004">
        <f>_xlfn.XLOOKUP(frasest[[#This Row],[autor_es]],autorest[autor_es],autorest[imagen_atr])</f>
        <v>0</v>
      </c>
    </row>
    <row r="1005" spans="1:18">
      <c r="A1005">
        <v>1004</v>
      </c>
      <c r="B1005" t="s">
        <v>3169</v>
      </c>
      <c r="C1005" t="s">
        <v>3170</v>
      </c>
      <c r="D1005" t="s">
        <v>3169</v>
      </c>
      <c r="E1005" t="s">
        <v>24</v>
      </c>
      <c r="G1005" t="str">
        <f>_xlfn.XLOOKUP(frasest[[#This Row],[autor_es]],autorest[autor_es],autorest[autor_la])</f>
        <v>Sententia Hispanica</v>
      </c>
      <c r="H1005" t="str">
        <f>_xlfn.XLOOKUP(frasest[[#This Row],[autor_es]],autorest[autor_es],autorest[bio_es])</f>
        <v>Refranes populares de la tradición oral hispana que expresan de forma breve y ingeniosa enseñanzas prácticas sobre la vida cotidiana.</v>
      </c>
      <c r="I1005" t="str">
        <f>_xlfn.XLOOKUP(frasest[[#This Row],[autor_es]],autorest[autor_es],autorest[bio_la])</f>
        <v>Collectio sententiarum Hispanicarum.</v>
      </c>
      <c r="J1005" t="str">
        <f>_xlfn.XLOOKUP(frasest[[#This Row],[autor_es]],autorest[autor_es],autorest[codigo])</f>
        <v>es</v>
      </c>
      <c r="K1005" t="str">
        <f>_xlfn.XLOOKUP(frasest[[#This Row],[autor_es]],autorest[autor_es],autorest[idioma_es])</f>
        <v>Español</v>
      </c>
      <c r="L1005" t="str">
        <f>_xlfn.XLOOKUP(frasest[[#This Row],[autor_es]],autorest[autor_es],autorest[idioma_la])</f>
        <v>Lingua Hispanica</v>
      </c>
      <c r="M1005" t="str">
        <f>_xlfn.XLOOKUP(frasest[[#This Row],[autor_es]],autorest[autor_es],autorest[nacion_es])</f>
        <v>España</v>
      </c>
      <c r="N1005" t="str">
        <f>_xlfn.XLOOKUP(frasest[[#This Row],[autor_es]],autorest[autor_es],autorest[nacion_la])</f>
        <v>Hispania</v>
      </c>
      <c r="O1005" t="str">
        <f>_xlfn.XLOOKUP(frasest[[#This Row],[autor_es]],autorest[autor_es],autorest[epoca_es])</f>
        <v>Epoca Desconocida</v>
      </c>
      <c r="P1005" t="str">
        <f>_xlfn.XLOOKUP(frasest[[#This Row],[autor_es]],autorest[autor_es],autorest[epoca_la])</f>
        <v>Epocha Ignota</v>
      </c>
      <c r="Q1005" t="str">
        <f>_xlfn.XLOOKUP(frasest[[#This Row],[autor_es]],autorest[autor_es],autorest[imagen])</f>
        <v>https://i.ibb.co/Y4f7TZWm/espa-a.png</v>
      </c>
      <c r="R1005">
        <f>_xlfn.XLOOKUP(frasest[[#This Row],[autor_es]],autorest[autor_es],autorest[imagen_atr])</f>
        <v>0</v>
      </c>
    </row>
    <row r="1006" spans="1:18">
      <c r="A1006">
        <v>1005</v>
      </c>
      <c r="B1006" t="s">
        <v>3171</v>
      </c>
      <c r="C1006" t="s">
        <v>3172</v>
      </c>
      <c r="D1006" t="s">
        <v>3171</v>
      </c>
      <c r="E1006" t="s">
        <v>24</v>
      </c>
      <c r="G1006" t="str">
        <f>_xlfn.XLOOKUP(frasest[[#This Row],[autor_es]],autorest[autor_es],autorest[autor_la])</f>
        <v>Sententia Hispanica</v>
      </c>
      <c r="H1006" t="str">
        <f>_xlfn.XLOOKUP(frasest[[#This Row],[autor_es]],autorest[autor_es],autorest[bio_es])</f>
        <v>Refranes populares de la tradición oral hispana que expresan de forma breve y ingeniosa enseñanzas prácticas sobre la vida cotidiana.</v>
      </c>
      <c r="I1006" t="str">
        <f>_xlfn.XLOOKUP(frasest[[#This Row],[autor_es]],autorest[autor_es],autorest[bio_la])</f>
        <v>Collectio sententiarum Hispanicarum.</v>
      </c>
      <c r="J1006" t="str">
        <f>_xlfn.XLOOKUP(frasest[[#This Row],[autor_es]],autorest[autor_es],autorest[codigo])</f>
        <v>es</v>
      </c>
      <c r="K1006" t="str">
        <f>_xlfn.XLOOKUP(frasest[[#This Row],[autor_es]],autorest[autor_es],autorest[idioma_es])</f>
        <v>Español</v>
      </c>
      <c r="L1006" t="str">
        <f>_xlfn.XLOOKUP(frasest[[#This Row],[autor_es]],autorest[autor_es],autorest[idioma_la])</f>
        <v>Lingua Hispanica</v>
      </c>
      <c r="M1006" t="str">
        <f>_xlfn.XLOOKUP(frasest[[#This Row],[autor_es]],autorest[autor_es],autorest[nacion_es])</f>
        <v>España</v>
      </c>
      <c r="N1006" t="str">
        <f>_xlfn.XLOOKUP(frasest[[#This Row],[autor_es]],autorest[autor_es],autorest[nacion_la])</f>
        <v>Hispania</v>
      </c>
      <c r="O1006" t="str">
        <f>_xlfn.XLOOKUP(frasest[[#This Row],[autor_es]],autorest[autor_es],autorest[epoca_es])</f>
        <v>Epoca Desconocida</v>
      </c>
      <c r="P1006" t="str">
        <f>_xlfn.XLOOKUP(frasest[[#This Row],[autor_es]],autorest[autor_es],autorest[epoca_la])</f>
        <v>Epocha Ignota</v>
      </c>
      <c r="Q1006" t="str">
        <f>_xlfn.XLOOKUP(frasest[[#This Row],[autor_es]],autorest[autor_es],autorest[imagen])</f>
        <v>https://i.ibb.co/Y4f7TZWm/espa-a.png</v>
      </c>
      <c r="R1006">
        <f>_xlfn.XLOOKUP(frasest[[#This Row],[autor_es]],autorest[autor_es],autorest[imagen_atr])</f>
        <v>0</v>
      </c>
    </row>
    <row r="1007" spans="1:18">
      <c r="A1007">
        <v>1006</v>
      </c>
      <c r="B1007" t="s">
        <v>3173</v>
      </c>
      <c r="C1007" t="s">
        <v>3174</v>
      </c>
      <c r="D1007" t="s">
        <v>3173</v>
      </c>
      <c r="E1007" t="s">
        <v>24</v>
      </c>
      <c r="G1007" t="str">
        <f>_xlfn.XLOOKUP(frasest[[#This Row],[autor_es]],autorest[autor_es],autorest[autor_la])</f>
        <v>Sententia Hispanica</v>
      </c>
      <c r="H1007" t="str">
        <f>_xlfn.XLOOKUP(frasest[[#This Row],[autor_es]],autorest[autor_es],autorest[bio_es])</f>
        <v>Refranes populares de la tradición oral hispana que expresan de forma breve y ingeniosa enseñanzas prácticas sobre la vida cotidiana.</v>
      </c>
      <c r="I1007" t="str">
        <f>_xlfn.XLOOKUP(frasest[[#This Row],[autor_es]],autorest[autor_es],autorest[bio_la])</f>
        <v>Collectio sententiarum Hispanicarum.</v>
      </c>
      <c r="J1007" t="str">
        <f>_xlfn.XLOOKUP(frasest[[#This Row],[autor_es]],autorest[autor_es],autorest[codigo])</f>
        <v>es</v>
      </c>
      <c r="K1007" t="str">
        <f>_xlfn.XLOOKUP(frasest[[#This Row],[autor_es]],autorest[autor_es],autorest[idioma_es])</f>
        <v>Español</v>
      </c>
      <c r="L1007" t="str">
        <f>_xlfn.XLOOKUP(frasest[[#This Row],[autor_es]],autorest[autor_es],autorest[idioma_la])</f>
        <v>Lingua Hispanica</v>
      </c>
      <c r="M1007" t="str">
        <f>_xlfn.XLOOKUP(frasest[[#This Row],[autor_es]],autorest[autor_es],autorest[nacion_es])</f>
        <v>España</v>
      </c>
      <c r="N1007" t="str">
        <f>_xlfn.XLOOKUP(frasest[[#This Row],[autor_es]],autorest[autor_es],autorest[nacion_la])</f>
        <v>Hispania</v>
      </c>
      <c r="O1007" t="str">
        <f>_xlfn.XLOOKUP(frasest[[#This Row],[autor_es]],autorest[autor_es],autorest[epoca_es])</f>
        <v>Epoca Desconocida</v>
      </c>
      <c r="P1007" t="str">
        <f>_xlfn.XLOOKUP(frasest[[#This Row],[autor_es]],autorest[autor_es],autorest[epoca_la])</f>
        <v>Epocha Ignota</v>
      </c>
      <c r="Q1007" t="str">
        <f>_xlfn.XLOOKUP(frasest[[#This Row],[autor_es]],autorest[autor_es],autorest[imagen])</f>
        <v>https://i.ibb.co/Y4f7TZWm/espa-a.png</v>
      </c>
      <c r="R1007">
        <f>_xlfn.XLOOKUP(frasest[[#This Row],[autor_es]],autorest[autor_es],autorest[imagen_atr])</f>
        <v>0</v>
      </c>
    </row>
    <row r="1008" spans="1:18">
      <c r="A1008">
        <v>1007</v>
      </c>
      <c r="B1008" t="s">
        <v>3175</v>
      </c>
      <c r="C1008" t="s">
        <v>3176</v>
      </c>
      <c r="D1008" t="s">
        <v>3175</v>
      </c>
      <c r="E1008" t="s">
        <v>24</v>
      </c>
      <c r="G1008" t="str">
        <f>_xlfn.XLOOKUP(frasest[[#This Row],[autor_es]],autorest[autor_es],autorest[autor_la])</f>
        <v>Sententia Hispanica</v>
      </c>
      <c r="H1008" t="str">
        <f>_xlfn.XLOOKUP(frasest[[#This Row],[autor_es]],autorest[autor_es],autorest[bio_es])</f>
        <v>Refranes populares de la tradición oral hispana que expresan de forma breve y ingeniosa enseñanzas prácticas sobre la vida cotidiana.</v>
      </c>
      <c r="I1008" t="str">
        <f>_xlfn.XLOOKUP(frasest[[#This Row],[autor_es]],autorest[autor_es],autorest[bio_la])</f>
        <v>Collectio sententiarum Hispanicarum.</v>
      </c>
      <c r="J1008" t="str">
        <f>_xlfn.XLOOKUP(frasest[[#This Row],[autor_es]],autorest[autor_es],autorest[codigo])</f>
        <v>es</v>
      </c>
      <c r="K1008" t="str">
        <f>_xlfn.XLOOKUP(frasest[[#This Row],[autor_es]],autorest[autor_es],autorest[idioma_es])</f>
        <v>Español</v>
      </c>
      <c r="L1008" t="str">
        <f>_xlfn.XLOOKUP(frasest[[#This Row],[autor_es]],autorest[autor_es],autorest[idioma_la])</f>
        <v>Lingua Hispanica</v>
      </c>
      <c r="M1008" t="str">
        <f>_xlfn.XLOOKUP(frasest[[#This Row],[autor_es]],autorest[autor_es],autorest[nacion_es])</f>
        <v>España</v>
      </c>
      <c r="N1008" t="str">
        <f>_xlfn.XLOOKUP(frasest[[#This Row],[autor_es]],autorest[autor_es],autorest[nacion_la])</f>
        <v>Hispania</v>
      </c>
      <c r="O1008" t="str">
        <f>_xlfn.XLOOKUP(frasest[[#This Row],[autor_es]],autorest[autor_es],autorest[epoca_es])</f>
        <v>Epoca Desconocida</v>
      </c>
      <c r="P1008" t="str">
        <f>_xlfn.XLOOKUP(frasest[[#This Row],[autor_es]],autorest[autor_es],autorest[epoca_la])</f>
        <v>Epocha Ignota</v>
      </c>
      <c r="Q1008" t="str">
        <f>_xlfn.XLOOKUP(frasest[[#This Row],[autor_es]],autorest[autor_es],autorest[imagen])</f>
        <v>https://i.ibb.co/Y4f7TZWm/espa-a.png</v>
      </c>
      <c r="R1008">
        <f>_xlfn.XLOOKUP(frasest[[#This Row],[autor_es]],autorest[autor_es],autorest[imagen_atr])</f>
        <v>0</v>
      </c>
    </row>
    <row r="1009" spans="1:18">
      <c r="A1009">
        <v>1008</v>
      </c>
      <c r="B1009" t="s">
        <v>3177</v>
      </c>
      <c r="C1009" t="s">
        <v>3178</v>
      </c>
      <c r="D1009" t="s">
        <v>3177</v>
      </c>
      <c r="E1009" t="s">
        <v>24</v>
      </c>
      <c r="G1009" t="str">
        <f>_xlfn.XLOOKUP(frasest[[#This Row],[autor_es]],autorest[autor_es],autorest[autor_la])</f>
        <v>Sententia Hispanica</v>
      </c>
      <c r="H1009" t="str">
        <f>_xlfn.XLOOKUP(frasest[[#This Row],[autor_es]],autorest[autor_es],autorest[bio_es])</f>
        <v>Refranes populares de la tradición oral hispana que expresan de forma breve y ingeniosa enseñanzas prácticas sobre la vida cotidiana.</v>
      </c>
      <c r="I1009" t="str">
        <f>_xlfn.XLOOKUP(frasest[[#This Row],[autor_es]],autorest[autor_es],autorest[bio_la])</f>
        <v>Collectio sententiarum Hispanicarum.</v>
      </c>
      <c r="J1009" t="str">
        <f>_xlfn.XLOOKUP(frasest[[#This Row],[autor_es]],autorest[autor_es],autorest[codigo])</f>
        <v>es</v>
      </c>
      <c r="K1009" t="str">
        <f>_xlfn.XLOOKUP(frasest[[#This Row],[autor_es]],autorest[autor_es],autorest[idioma_es])</f>
        <v>Español</v>
      </c>
      <c r="L1009" t="str">
        <f>_xlfn.XLOOKUP(frasest[[#This Row],[autor_es]],autorest[autor_es],autorest[idioma_la])</f>
        <v>Lingua Hispanica</v>
      </c>
      <c r="M1009" t="str">
        <f>_xlfn.XLOOKUP(frasest[[#This Row],[autor_es]],autorest[autor_es],autorest[nacion_es])</f>
        <v>España</v>
      </c>
      <c r="N1009" t="str">
        <f>_xlfn.XLOOKUP(frasest[[#This Row],[autor_es]],autorest[autor_es],autorest[nacion_la])</f>
        <v>Hispania</v>
      </c>
      <c r="O1009" t="str">
        <f>_xlfn.XLOOKUP(frasest[[#This Row],[autor_es]],autorest[autor_es],autorest[epoca_es])</f>
        <v>Epoca Desconocida</v>
      </c>
      <c r="P1009" t="str">
        <f>_xlfn.XLOOKUP(frasest[[#This Row],[autor_es]],autorest[autor_es],autorest[epoca_la])</f>
        <v>Epocha Ignota</v>
      </c>
      <c r="Q1009" t="str">
        <f>_xlfn.XLOOKUP(frasest[[#This Row],[autor_es]],autorest[autor_es],autorest[imagen])</f>
        <v>https://i.ibb.co/Y4f7TZWm/espa-a.png</v>
      </c>
      <c r="R1009">
        <f>_xlfn.XLOOKUP(frasest[[#This Row],[autor_es]],autorest[autor_es],autorest[imagen_atr])</f>
        <v>0</v>
      </c>
    </row>
    <row r="1010" spans="1:18">
      <c r="A1010">
        <v>1009</v>
      </c>
      <c r="B1010" t="s">
        <v>3179</v>
      </c>
      <c r="C1010" t="s">
        <v>3180</v>
      </c>
      <c r="D1010" t="s">
        <v>3179</v>
      </c>
      <c r="E1010" t="s">
        <v>24</v>
      </c>
      <c r="G1010" t="str">
        <f>_xlfn.XLOOKUP(frasest[[#This Row],[autor_es]],autorest[autor_es],autorest[autor_la])</f>
        <v>Sententia Hispanica</v>
      </c>
      <c r="H1010" t="str">
        <f>_xlfn.XLOOKUP(frasest[[#This Row],[autor_es]],autorest[autor_es],autorest[bio_es])</f>
        <v>Refranes populares de la tradición oral hispana que expresan de forma breve y ingeniosa enseñanzas prácticas sobre la vida cotidiana.</v>
      </c>
      <c r="I1010" t="str">
        <f>_xlfn.XLOOKUP(frasest[[#This Row],[autor_es]],autorest[autor_es],autorest[bio_la])</f>
        <v>Collectio sententiarum Hispanicarum.</v>
      </c>
      <c r="J1010" t="str">
        <f>_xlfn.XLOOKUP(frasest[[#This Row],[autor_es]],autorest[autor_es],autorest[codigo])</f>
        <v>es</v>
      </c>
      <c r="K1010" t="str">
        <f>_xlfn.XLOOKUP(frasest[[#This Row],[autor_es]],autorest[autor_es],autorest[idioma_es])</f>
        <v>Español</v>
      </c>
      <c r="L1010" t="str">
        <f>_xlfn.XLOOKUP(frasest[[#This Row],[autor_es]],autorest[autor_es],autorest[idioma_la])</f>
        <v>Lingua Hispanica</v>
      </c>
      <c r="M1010" t="str">
        <f>_xlfn.XLOOKUP(frasest[[#This Row],[autor_es]],autorest[autor_es],autorest[nacion_es])</f>
        <v>España</v>
      </c>
      <c r="N1010" t="str">
        <f>_xlfn.XLOOKUP(frasest[[#This Row],[autor_es]],autorest[autor_es],autorest[nacion_la])</f>
        <v>Hispania</v>
      </c>
      <c r="O1010" t="str">
        <f>_xlfn.XLOOKUP(frasest[[#This Row],[autor_es]],autorest[autor_es],autorest[epoca_es])</f>
        <v>Epoca Desconocida</v>
      </c>
      <c r="P1010" t="str">
        <f>_xlfn.XLOOKUP(frasest[[#This Row],[autor_es]],autorest[autor_es],autorest[epoca_la])</f>
        <v>Epocha Ignota</v>
      </c>
      <c r="Q1010" t="str">
        <f>_xlfn.XLOOKUP(frasest[[#This Row],[autor_es]],autorest[autor_es],autorest[imagen])</f>
        <v>https://i.ibb.co/Y4f7TZWm/espa-a.png</v>
      </c>
      <c r="R1010">
        <f>_xlfn.XLOOKUP(frasest[[#This Row],[autor_es]],autorest[autor_es],autorest[imagen_atr])</f>
        <v>0</v>
      </c>
    </row>
    <row r="1011" spans="1:18">
      <c r="A1011">
        <v>1010</v>
      </c>
      <c r="B1011" t="s">
        <v>3181</v>
      </c>
      <c r="C1011" t="s">
        <v>3182</v>
      </c>
      <c r="D1011" t="s">
        <v>3181</v>
      </c>
      <c r="E1011" t="s">
        <v>24</v>
      </c>
      <c r="G1011" t="str">
        <f>_xlfn.XLOOKUP(frasest[[#This Row],[autor_es]],autorest[autor_es],autorest[autor_la])</f>
        <v>Sententia Hispanica</v>
      </c>
      <c r="H1011" t="str">
        <f>_xlfn.XLOOKUP(frasest[[#This Row],[autor_es]],autorest[autor_es],autorest[bio_es])</f>
        <v>Refranes populares de la tradición oral hispana que expresan de forma breve y ingeniosa enseñanzas prácticas sobre la vida cotidiana.</v>
      </c>
      <c r="I1011" t="str">
        <f>_xlfn.XLOOKUP(frasest[[#This Row],[autor_es]],autorest[autor_es],autorest[bio_la])</f>
        <v>Collectio sententiarum Hispanicarum.</v>
      </c>
      <c r="J1011" t="str">
        <f>_xlfn.XLOOKUP(frasest[[#This Row],[autor_es]],autorest[autor_es],autorest[codigo])</f>
        <v>es</v>
      </c>
      <c r="K1011" t="str">
        <f>_xlfn.XLOOKUP(frasest[[#This Row],[autor_es]],autorest[autor_es],autorest[idioma_es])</f>
        <v>Español</v>
      </c>
      <c r="L1011" t="str">
        <f>_xlfn.XLOOKUP(frasest[[#This Row],[autor_es]],autorest[autor_es],autorest[idioma_la])</f>
        <v>Lingua Hispanica</v>
      </c>
      <c r="M1011" t="str">
        <f>_xlfn.XLOOKUP(frasest[[#This Row],[autor_es]],autorest[autor_es],autorest[nacion_es])</f>
        <v>España</v>
      </c>
      <c r="N1011" t="str">
        <f>_xlfn.XLOOKUP(frasest[[#This Row],[autor_es]],autorest[autor_es],autorest[nacion_la])</f>
        <v>Hispania</v>
      </c>
      <c r="O1011" t="str">
        <f>_xlfn.XLOOKUP(frasest[[#This Row],[autor_es]],autorest[autor_es],autorest[epoca_es])</f>
        <v>Epoca Desconocida</v>
      </c>
      <c r="P1011" t="str">
        <f>_xlfn.XLOOKUP(frasest[[#This Row],[autor_es]],autorest[autor_es],autorest[epoca_la])</f>
        <v>Epocha Ignota</v>
      </c>
      <c r="Q1011" t="str">
        <f>_xlfn.XLOOKUP(frasest[[#This Row],[autor_es]],autorest[autor_es],autorest[imagen])</f>
        <v>https://i.ibb.co/Y4f7TZWm/espa-a.png</v>
      </c>
      <c r="R1011">
        <f>_xlfn.XLOOKUP(frasest[[#This Row],[autor_es]],autorest[autor_es],autorest[imagen_atr])</f>
        <v>0</v>
      </c>
    </row>
    <row r="1012" spans="1:18">
      <c r="A1012">
        <v>1011</v>
      </c>
      <c r="B1012" t="s">
        <v>3183</v>
      </c>
      <c r="C1012" t="s">
        <v>3106</v>
      </c>
      <c r="D1012" t="s">
        <v>3183</v>
      </c>
      <c r="E1012" t="s">
        <v>24</v>
      </c>
      <c r="G1012" t="str">
        <f>_xlfn.XLOOKUP(frasest[[#This Row],[autor_es]],autorest[autor_es],autorest[autor_la])</f>
        <v>Sententia Hispanica</v>
      </c>
      <c r="H1012" t="str">
        <f>_xlfn.XLOOKUP(frasest[[#This Row],[autor_es]],autorest[autor_es],autorest[bio_es])</f>
        <v>Refranes populares de la tradición oral hispana que expresan de forma breve y ingeniosa enseñanzas prácticas sobre la vida cotidiana.</v>
      </c>
      <c r="I1012" t="str">
        <f>_xlfn.XLOOKUP(frasest[[#This Row],[autor_es]],autorest[autor_es],autorest[bio_la])</f>
        <v>Collectio sententiarum Hispanicarum.</v>
      </c>
      <c r="J1012" t="str">
        <f>_xlfn.XLOOKUP(frasest[[#This Row],[autor_es]],autorest[autor_es],autorest[codigo])</f>
        <v>es</v>
      </c>
      <c r="K1012" t="str">
        <f>_xlfn.XLOOKUP(frasest[[#This Row],[autor_es]],autorest[autor_es],autorest[idioma_es])</f>
        <v>Español</v>
      </c>
      <c r="L1012" t="str">
        <f>_xlfn.XLOOKUP(frasest[[#This Row],[autor_es]],autorest[autor_es],autorest[idioma_la])</f>
        <v>Lingua Hispanica</v>
      </c>
      <c r="M1012" t="str">
        <f>_xlfn.XLOOKUP(frasest[[#This Row],[autor_es]],autorest[autor_es],autorest[nacion_es])</f>
        <v>España</v>
      </c>
      <c r="N1012" t="str">
        <f>_xlfn.XLOOKUP(frasest[[#This Row],[autor_es]],autorest[autor_es],autorest[nacion_la])</f>
        <v>Hispania</v>
      </c>
      <c r="O1012" t="str">
        <f>_xlfn.XLOOKUP(frasest[[#This Row],[autor_es]],autorest[autor_es],autorest[epoca_es])</f>
        <v>Epoca Desconocida</v>
      </c>
      <c r="P1012" t="str">
        <f>_xlfn.XLOOKUP(frasest[[#This Row],[autor_es]],autorest[autor_es],autorest[epoca_la])</f>
        <v>Epocha Ignota</v>
      </c>
      <c r="Q1012" t="str">
        <f>_xlfn.XLOOKUP(frasest[[#This Row],[autor_es]],autorest[autor_es],autorest[imagen])</f>
        <v>https://i.ibb.co/Y4f7TZWm/espa-a.png</v>
      </c>
      <c r="R1012">
        <f>_xlfn.XLOOKUP(frasest[[#This Row],[autor_es]],autorest[autor_es],autorest[imagen_atr])</f>
        <v>0</v>
      </c>
    </row>
    <row r="1013" spans="1:18">
      <c r="A1013">
        <v>1012</v>
      </c>
      <c r="B1013" t="s">
        <v>3184</v>
      </c>
      <c r="C1013" t="s">
        <v>3185</v>
      </c>
      <c r="D1013" t="s">
        <v>3184</v>
      </c>
      <c r="E1013" t="s">
        <v>24</v>
      </c>
      <c r="G1013" t="str">
        <f>_xlfn.XLOOKUP(frasest[[#This Row],[autor_es]],autorest[autor_es],autorest[autor_la])</f>
        <v>Sententia Hispanica</v>
      </c>
      <c r="H1013" t="str">
        <f>_xlfn.XLOOKUP(frasest[[#This Row],[autor_es]],autorest[autor_es],autorest[bio_es])</f>
        <v>Refranes populares de la tradición oral hispana que expresan de forma breve y ingeniosa enseñanzas prácticas sobre la vida cotidiana.</v>
      </c>
      <c r="I1013" t="str">
        <f>_xlfn.XLOOKUP(frasest[[#This Row],[autor_es]],autorest[autor_es],autorest[bio_la])</f>
        <v>Collectio sententiarum Hispanicarum.</v>
      </c>
      <c r="J1013" t="str">
        <f>_xlfn.XLOOKUP(frasest[[#This Row],[autor_es]],autorest[autor_es],autorest[codigo])</f>
        <v>es</v>
      </c>
      <c r="K1013" t="str">
        <f>_xlfn.XLOOKUP(frasest[[#This Row],[autor_es]],autorest[autor_es],autorest[idioma_es])</f>
        <v>Español</v>
      </c>
      <c r="L1013" t="str">
        <f>_xlfn.XLOOKUP(frasest[[#This Row],[autor_es]],autorest[autor_es],autorest[idioma_la])</f>
        <v>Lingua Hispanica</v>
      </c>
      <c r="M1013" t="str">
        <f>_xlfn.XLOOKUP(frasest[[#This Row],[autor_es]],autorest[autor_es],autorest[nacion_es])</f>
        <v>España</v>
      </c>
      <c r="N1013" t="str">
        <f>_xlfn.XLOOKUP(frasest[[#This Row],[autor_es]],autorest[autor_es],autorest[nacion_la])</f>
        <v>Hispania</v>
      </c>
      <c r="O1013" t="str">
        <f>_xlfn.XLOOKUP(frasest[[#This Row],[autor_es]],autorest[autor_es],autorest[epoca_es])</f>
        <v>Epoca Desconocida</v>
      </c>
      <c r="P1013" t="str">
        <f>_xlfn.XLOOKUP(frasest[[#This Row],[autor_es]],autorest[autor_es],autorest[epoca_la])</f>
        <v>Epocha Ignota</v>
      </c>
      <c r="Q1013" t="str">
        <f>_xlfn.XLOOKUP(frasest[[#This Row],[autor_es]],autorest[autor_es],autorest[imagen])</f>
        <v>https://i.ibb.co/Y4f7TZWm/espa-a.png</v>
      </c>
      <c r="R1013">
        <f>_xlfn.XLOOKUP(frasest[[#This Row],[autor_es]],autorest[autor_es],autorest[imagen_atr])</f>
        <v>0</v>
      </c>
    </row>
    <row r="1014" spans="1:18">
      <c r="A1014">
        <v>1013</v>
      </c>
      <c r="B1014" t="s">
        <v>3186</v>
      </c>
      <c r="C1014" t="s">
        <v>3187</v>
      </c>
      <c r="D1014" t="s">
        <v>3186</v>
      </c>
      <c r="E1014" t="s">
        <v>24</v>
      </c>
      <c r="G1014" t="str">
        <f>_xlfn.XLOOKUP(frasest[[#This Row],[autor_es]],autorest[autor_es],autorest[autor_la])</f>
        <v>Sententia Hispanica</v>
      </c>
      <c r="H1014" t="str">
        <f>_xlfn.XLOOKUP(frasest[[#This Row],[autor_es]],autorest[autor_es],autorest[bio_es])</f>
        <v>Refranes populares de la tradición oral hispana que expresan de forma breve y ingeniosa enseñanzas prácticas sobre la vida cotidiana.</v>
      </c>
      <c r="I1014" t="str">
        <f>_xlfn.XLOOKUP(frasest[[#This Row],[autor_es]],autorest[autor_es],autorest[bio_la])</f>
        <v>Collectio sententiarum Hispanicarum.</v>
      </c>
      <c r="J1014" t="str">
        <f>_xlfn.XLOOKUP(frasest[[#This Row],[autor_es]],autorest[autor_es],autorest[codigo])</f>
        <v>es</v>
      </c>
      <c r="K1014" t="str">
        <f>_xlfn.XLOOKUP(frasest[[#This Row],[autor_es]],autorest[autor_es],autorest[idioma_es])</f>
        <v>Español</v>
      </c>
      <c r="L1014" t="str">
        <f>_xlfn.XLOOKUP(frasest[[#This Row],[autor_es]],autorest[autor_es],autorest[idioma_la])</f>
        <v>Lingua Hispanica</v>
      </c>
      <c r="M1014" t="str">
        <f>_xlfn.XLOOKUP(frasest[[#This Row],[autor_es]],autorest[autor_es],autorest[nacion_es])</f>
        <v>España</v>
      </c>
      <c r="N1014" t="str">
        <f>_xlfn.XLOOKUP(frasest[[#This Row],[autor_es]],autorest[autor_es],autorest[nacion_la])</f>
        <v>Hispania</v>
      </c>
      <c r="O1014" t="str">
        <f>_xlfn.XLOOKUP(frasest[[#This Row],[autor_es]],autorest[autor_es],autorest[epoca_es])</f>
        <v>Epoca Desconocida</v>
      </c>
      <c r="P1014" t="str">
        <f>_xlfn.XLOOKUP(frasest[[#This Row],[autor_es]],autorest[autor_es],autorest[epoca_la])</f>
        <v>Epocha Ignota</v>
      </c>
      <c r="Q1014" t="str">
        <f>_xlfn.XLOOKUP(frasest[[#This Row],[autor_es]],autorest[autor_es],autorest[imagen])</f>
        <v>https://i.ibb.co/Y4f7TZWm/espa-a.png</v>
      </c>
      <c r="R1014">
        <f>_xlfn.XLOOKUP(frasest[[#This Row],[autor_es]],autorest[autor_es],autorest[imagen_atr])</f>
        <v>0</v>
      </c>
    </row>
    <row r="1015" spans="1:18">
      <c r="A1015">
        <v>1014</v>
      </c>
      <c r="B1015" t="s">
        <v>3188</v>
      </c>
      <c r="C1015" t="s">
        <v>3189</v>
      </c>
      <c r="D1015" t="s">
        <v>3188</v>
      </c>
      <c r="E1015" t="s">
        <v>24</v>
      </c>
      <c r="G1015" t="str">
        <f>_xlfn.XLOOKUP(frasest[[#This Row],[autor_es]],autorest[autor_es],autorest[autor_la])</f>
        <v>Sententia Hispanica</v>
      </c>
      <c r="H1015" t="str">
        <f>_xlfn.XLOOKUP(frasest[[#This Row],[autor_es]],autorest[autor_es],autorest[bio_es])</f>
        <v>Refranes populares de la tradición oral hispana que expresan de forma breve y ingeniosa enseñanzas prácticas sobre la vida cotidiana.</v>
      </c>
      <c r="I1015" t="str">
        <f>_xlfn.XLOOKUP(frasest[[#This Row],[autor_es]],autorest[autor_es],autorest[bio_la])</f>
        <v>Collectio sententiarum Hispanicarum.</v>
      </c>
      <c r="J1015" t="str">
        <f>_xlfn.XLOOKUP(frasest[[#This Row],[autor_es]],autorest[autor_es],autorest[codigo])</f>
        <v>es</v>
      </c>
      <c r="K1015" t="str">
        <f>_xlfn.XLOOKUP(frasest[[#This Row],[autor_es]],autorest[autor_es],autorest[idioma_es])</f>
        <v>Español</v>
      </c>
      <c r="L1015" t="str">
        <f>_xlfn.XLOOKUP(frasest[[#This Row],[autor_es]],autorest[autor_es],autorest[idioma_la])</f>
        <v>Lingua Hispanica</v>
      </c>
      <c r="M1015" t="str">
        <f>_xlfn.XLOOKUP(frasest[[#This Row],[autor_es]],autorest[autor_es],autorest[nacion_es])</f>
        <v>España</v>
      </c>
      <c r="N1015" t="str">
        <f>_xlfn.XLOOKUP(frasest[[#This Row],[autor_es]],autorest[autor_es],autorest[nacion_la])</f>
        <v>Hispania</v>
      </c>
      <c r="O1015" t="str">
        <f>_xlfn.XLOOKUP(frasest[[#This Row],[autor_es]],autorest[autor_es],autorest[epoca_es])</f>
        <v>Epoca Desconocida</v>
      </c>
      <c r="P1015" t="str">
        <f>_xlfn.XLOOKUP(frasest[[#This Row],[autor_es]],autorest[autor_es],autorest[epoca_la])</f>
        <v>Epocha Ignota</v>
      </c>
      <c r="Q1015" t="str">
        <f>_xlfn.XLOOKUP(frasest[[#This Row],[autor_es]],autorest[autor_es],autorest[imagen])</f>
        <v>https://i.ibb.co/Y4f7TZWm/espa-a.png</v>
      </c>
      <c r="R1015">
        <f>_xlfn.XLOOKUP(frasest[[#This Row],[autor_es]],autorest[autor_es],autorest[imagen_atr])</f>
        <v>0</v>
      </c>
    </row>
    <row r="1016" spans="1:18">
      <c r="A1016">
        <v>1015</v>
      </c>
      <c r="B1016" t="s">
        <v>3155</v>
      </c>
      <c r="C1016" t="s">
        <v>3156</v>
      </c>
      <c r="D1016" t="s">
        <v>3155</v>
      </c>
      <c r="E1016" t="s">
        <v>24</v>
      </c>
      <c r="G1016" t="str">
        <f>_xlfn.XLOOKUP(frasest[[#This Row],[autor_es]],autorest[autor_es],autorest[autor_la])</f>
        <v>Sententia Hispanica</v>
      </c>
      <c r="H1016" t="str">
        <f>_xlfn.XLOOKUP(frasest[[#This Row],[autor_es]],autorest[autor_es],autorest[bio_es])</f>
        <v>Refranes populares de la tradición oral hispana que expresan de forma breve y ingeniosa enseñanzas prácticas sobre la vida cotidiana.</v>
      </c>
      <c r="I1016" t="str">
        <f>_xlfn.XLOOKUP(frasest[[#This Row],[autor_es]],autorest[autor_es],autorest[bio_la])</f>
        <v>Collectio sententiarum Hispanicarum.</v>
      </c>
      <c r="J1016" t="str">
        <f>_xlfn.XLOOKUP(frasest[[#This Row],[autor_es]],autorest[autor_es],autorest[codigo])</f>
        <v>es</v>
      </c>
      <c r="K1016" t="str">
        <f>_xlfn.XLOOKUP(frasest[[#This Row],[autor_es]],autorest[autor_es],autorest[idioma_es])</f>
        <v>Español</v>
      </c>
      <c r="L1016" t="str">
        <f>_xlfn.XLOOKUP(frasest[[#This Row],[autor_es]],autorest[autor_es],autorest[idioma_la])</f>
        <v>Lingua Hispanica</v>
      </c>
      <c r="M1016" t="str">
        <f>_xlfn.XLOOKUP(frasest[[#This Row],[autor_es]],autorest[autor_es],autorest[nacion_es])</f>
        <v>España</v>
      </c>
      <c r="N1016" t="str">
        <f>_xlfn.XLOOKUP(frasest[[#This Row],[autor_es]],autorest[autor_es],autorest[nacion_la])</f>
        <v>Hispania</v>
      </c>
      <c r="O1016" t="str">
        <f>_xlfn.XLOOKUP(frasest[[#This Row],[autor_es]],autorest[autor_es],autorest[epoca_es])</f>
        <v>Epoca Desconocida</v>
      </c>
      <c r="P1016" t="str">
        <f>_xlfn.XLOOKUP(frasest[[#This Row],[autor_es]],autorest[autor_es],autorest[epoca_la])</f>
        <v>Epocha Ignota</v>
      </c>
      <c r="Q1016" t="str">
        <f>_xlfn.XLOOKUP(frasest[[#This Row],[autor_es]],autorest[autor_es],autorest[imagen])</f>
        <v>https://i.ibb.co/Y4f7TZWm/espa-a.png</v>
      </c>
      <c r="R1016">
        <f>_xlfn.XLOOKUP(frasest[[#This Row],[autor_es]],autorest[autor_es],autorest[imagen_atr])</f>
        <v>0</v>
      </c>
    </row>
    <row r="1017" spans="1:18">
      <c r="A1017">
        <v>1016</v>
      </c>
      <c r="B1017" t="s">
        <v>3190</v>
      </c>
      <c r="C1017" t="s">
        <v>3191</v>
      </c>
      <c r="D1017" t="s">
        <v>3190</v>
      </c>
      <c r="E1017" t="s">
        <v>24</v>
      </c>
      <c r="G1017" t="str">
        <f>_xlfn.XLOOKUP(frasest[[#This Row],[autor_es]],autorest[autor_es],autorest[autor_la])</f>
        <v>Sententia Hispanica</v>
      </c>
      <c r="H1017" t="str">
        <f>_xlfn.XLOOKUP(frasest[[#This Row],[autor_es]],autorest[autor_es],autorest[bio_es])</f>
        <v>Refranes populares de la tradición oral hispana que expresan de forma breve y ingeniosa enseñanzas prácticas sobre la vida cotidiana.</v>
      </c>
      <c r="I1017" t="str">
        <f>_xlfn.XLOOKUP(frasest[[#This Row],[autor_es]],autorest[autor_es],autorest[bio_la])</f>
        <v>Collectio sententiarum Hispanicarum.</v>
      </c>
      <c r="J1017" t="str">
        <f>_xlfn.XLOOKUP(frasest[[#This Row],[autor_es]],autorest[autor_es],autorest[codigo])</f>
        <v>es</v>
      </c>
      <c r="K1017" t="str">
        <f>_xlfn.XLOOKUP(frasest[[#This Row],[autor_es]],autorest[autor_es],autorest[idioma_es])</f>
        <v>Español</v>
      </c>
      <c r="L1017" t="str">
        <f>_xlfn.XLOOKUP(frasest[[#This Row],[autor_es]],autorest[autor_es],autorest[idioma_la])</f>
        <v>Lingua Hispanica</v>
      </c>
      <c r="M1017" t="str">
        <f>_xlfn.XLOOKUP(frasest[[#This Row],[autor_es]],autorest[autor_es],autorest[nacion_es])</f>
        <v>España</v>
      </c>
      <c r="N1017" t="str">
        <f>_xlfn.XLOOKUP(frasest[[#This Row],[autor_es]],autorest[autor_es],autorest[nacion_la])</f>
        <v>Hispania</v>
      </c>
      <c r="O1017" t="str">
        <f>_xlfn.XLOOKUP(frasest[[#This Row],[autor_es]],autorest[autor_es],autorest[epoca_es])</f>
        <v>Epoca Desconocida</v>
      </c>
      <c r="P1017" t="str">
        <f>_xlfn.XLOOKUP(frasest[[#This Row],[autor_es]],autorest[autor_es],autorest[epoca_la])</f>
        <v>Epocha Ignota</v>
      </c>
      <c r="Q1017" t="str">
        <f>_xlfn.XLOOKUP(frasest[[#This Row],[autor_es]],autorest[autor_es],autorest[imagen])</f>
        <v>https://i.ibb.co/Y4f7TZWm/espa-a.png</v>
      </c>
      <c r="R1017">
        <f>_xlfn.XLOOKUP(frasest[[#This Row],[autor_es]],autorest[autor_es],autorest[imagen_atr])</f>
        <v>0</v>
      </c>
    </row>
    <row r="1018" spans="1:18">
      <c r="A1018">
        <v>1017</v>
      </c>
      <c r="B1018" t="s">
        <v>3192</v>
      </c>
      <c r="C1018" t="s">
        <v>3193</v>
      </c>
      <c r="D1018" t="s">
        <v>3192</v>
      </c>
      <c r="E1018" t="s">
        <v>24</v>
      </c>
      <c r="G1018" t="str">
        <f>_xlfn.XLOOKUP(frasest[[#This Row],[autor_es]],autorest[autor_es],autorest[autor_la])</f>
        <v>Sententia Hispanica</v>
      </c>
      <c r="H1018" t="str">
        <f>_xlfn.XLOOKUP(frasest[[#This Row],[autor_es]],autorest[autor_es],autorest[bio_es])</f>
        <v>Refranes populares de la tradición oral hispana que expresan de forma breve y ingeniosa enseñanzas prácticas sobre la vida cotidiana.</v>
      </c>
      <c r="I1018" t="str">
        <f>_xlfn.XLOOKUP(frasest[[#This Row],[autor_es]],autorest[autor_es],autorest[bio_la])</f>
        <v>Collectio sententiarum Hispanicarum.</v>
      </c>
      <c r="J1018" t="str">
        <f>_xlfn.XLOOKUP(frasest[[#This Row],[autor_es]],autorest[autor_es],autorest[codigo])</f>
        <v>es</v>
      </c>
      <c r="K1018" t="str">
        <f>_xlfn.XLOOKUP(frasest[[#This Row],[autor_es]],autorest[autor_es],autorest[idioma_es])</f>
        <v>Español</v>
      </c>
      <c r="L1018" t="str">
        <f>_xlfn.XLOOKUP(frasest[[#This Row],[autor_es]],autorest[autor_es],autorest[idioma_la])</f>
        <v>Lingua Hispanica</v>
      </c>
      <c r="M1018" t="str">
        <f>_xlfn.XLOOKUP(frasest[[#This Row],[autor_es]],autorest[autor_es],autorest[nacion_es])</f>
        <v>España</v>
      </c>
      <c r="N1018" t="str">
        <f>_xlfn.XLOOKUP(frasest[[#This Row],[autor_es]],autorest[autor_es],autorest[nacion_la])</f>
        <v>Hispania</v>
      </c>
      <c r="O1018" t="str">
        <f>_xlfn.XLOOKUP(frasest[[#This Row],[autor_es]],autorest[autor_es],autorest[epoca_es])</f>
        <v>Epoca Desconocida</v>
      </c>
      <c r="P1018" t="str">
        <f>_xlfn.XLOOKUP(frasest[[#This Row],[autor_es]],autorest[autor_es],autorest[epoca_la])</f>
        <v>Epocha Ignota</v>
      </c>
      <c r="Q1018" t="str">
        <f>_xlfn.XLOOKUP(frasest[[#This Row],[autor_es]],autorest[autor_es],autorest[imagen])</f>
        <v>https://i.ibb.co/Y4f7TZWm/espa-a.png</v>
      </c>
      <c r="R1018">
        <f>_xlfn.XLOOKUP(frasest[[#This Row],[autor_es]],autorest[autor_es],autorest[imagen_atr])</f>
        <v>0</v>
      </c>
    </row>
    <row r="1019" spans="1:18">
      <c r="A1019">
        <v>1018</v>
      </c>
      <c r="B1019" t="s">
        <v>3194</v>
      </c>
      <c r="C1019" t="s">
        <v>3195</v>
      </c>
      <c r="D1019" t="s">
        <v>3194</v>
      </c>
      <c r="E1019" t="s">
        <v>24</v>
      </c>
      <c r="G1019" t="str">
        <f>_xlfn.XLOOKUP(frasest[[#This Row],[autor_es]],autorest[autor_es],autorest[autor_la])</f>
        <v>Sententia Hispanica</v>
      </c>
      <c r="H1019" t="str">
        <f>_xlfn.XLOOKUP(frasest[[#This Row],[autor_es]],autorest[autor_es],autorest[bio_es])</f>
        <v>Refranes populares de la tradición oral hispana que expresan de forma breve y ingeniosa enseñanzas prácticas sobre la vida cotidiana.</v>
      </c>
      <c r="I1019" t="str">
        <f>_xlfn.XLOOKUP(frasest[[#This Row],[autor_es]],autorest[autor_es],autorest[bio_la])</f>
        <v>Collectio sententiarum Hispanicarum.</v>
      </c>
      <c r="J1019" t="str">
        <f>_xlfn.XLOOKUP(frasest[[#This Row],[autor_es]],autorest[autor_es],autorest[codigo])</f>
        <v>es</v>
      </c>
      <c r="K1019" t="str">
        <f>_xlfn.XLOOKUP(frasest[[#This Row],[autor_es]],autorest[autor_es],autorest[idioma_es])</f>
        <v>Español</v>
      </c>
      <c r="L1019" t="str">
        <f>_xlfn.XLOOKUP(frasest[[#This Row],[autor_es]],autorest[autor_es],autorest[idioma_la])</f>
        <v>Lingua Hispanica</v>
      </c>
      <c r="M1019" t="str">
        <f>_xlfn.XLOOKUP(frasest[[#This Row],[autor_es]],autorest[autor_es],autorest[nacion_es])</f>
        <v>España</v>
      </c>
      <c r="N1019" t="str">
        <f>_xlfn.XLOOKUP(frasest[[#This Row],[autor_es]],autorest[autor_es],autorest[nacion_la])</f>
        <v>Hispania</v>
      </c>
      <c r="O1019" t="str">
        <f>_xlfn.XLOOKUP(frasest[[#This Row],[autor_es]],autorest[autor_es],autorest[epoca_es])</f>
        <v>Epoca Desconocida</v>
      </c>
      <c r="P1019" t="str">
        <f>_xlfn.XLOOKUP(frasest[[#This Row],[autor_es]],autorest[autor_es],autorest[epoca_la])</f>
        <v>Epocha Ignota</v>
      </c>
      <c r="Q1019" t="str">
        <f>_xlfn.XLOOKUP(frasest[[#This Row],[autor_es]],autorest[autor_es],autorest[imagen])</f>
        <v>https://i.ibb.co/Y4f7TZWm/espa-a.png</v>
      </c>
      <c r="R1019">
        <f>_xlfn.XLOOKUP(frasest[[#This Row],[autor_es]],autorest[autor_es],autorest[imagen_atr])</f>
        <v>0</v>
      </c>
    </row>
    <row r="1020" spans="1:18">
      <c r="A1020">
        <v>1019</v>
      </c>
      <c r="B1020" t="s">
        <v>3196</v>
      </c>
      <c r="C1020" t="s">
        <v>3197</v>
      </c>
      <c r="D1020" t="s">
        <v>3196</v>
      </c>
      <c r="E1020" t="s">
        <v>24</v>
      </c>
      <c r="G1020" t="str">
        <f>_xlfn.XLOOKUP(frasest[[#This Row],[autor_es]],autorest[autor_es],autorest[autor_la])</f>
        <v>Sententia Hispanica</v>
      </c>
      <c r="H1020" t="str">
        <f>_xlfn.XLOOKUP(frasest[[#This Row],[autor_es]],autorest[autor_es],autorest[bio_es])</f>
        <v>Refranes populares de la tradición oral hispana que expresan de forma breve y ingeniosa enseñanzas prácticas sobre la vida cotidiana.</v>
      </c>
      <c r="I1020" t="str">
        <f>_xlfn.XLOOKUP(frasest[[#This Row],[autor_es]],autorest[autor_es],autorest[bio_la])</f>
        <v>Collectio sententiarum Hispanicarum.</v>
      </c>
      <c r="J1020" t="str">
        <f>_xlfn.XLOOKUP(frasest[[#This Row],[autor_es]],autorest[autor_es],autorest[codigo])</f>
        <v>es</v>
      </c>
      <c r="K1020" t="str">
        <f>_xlfn.XLOOKUP(frasest[[#This Row],[autor_es]],autorest[autor_es],autorest[idioma_es])</f>
        <v>Español</v>
      </c>
      <c r="L1020" t="str">
        <f>_xlfn.XLOOKUP(frasest[[#This Row],[autor_es]],autorest[autor_es],autorest[idioma_la])</f>
        <v>Lingua Hispanica</v>
      </c>
      <c r="M1020" t="str">
        <f>_xlfn.XLOOKUP(frasest[[#This Row],[autor_es]],autorest[autor_es],autorest[nacion_es])</f>
        <v>España</v>
      </c>
      <c r="N1020" t="str">
        <f>_xlfn.XLOOKUP(frasest[[#This Row],[autor_es]],autorest[autor_es],autorest[nacion_la])</f>
        <v>Hispania</v>
      </c>
      <c r="O1020" t="str">
        <f>_xlfn.XLOOKUP(frasest[[#This Row],[autor_es]],autorest[autor_es],autorest[epoca_es])</f>
        <v>Epoca Desconocida</v>
      </c>
      <c r="P1020" t="str">
        <f>_xlfn.XLOOKUP(frasest[[#This Row],[autor_es]],autorest[autor_es],autorest[epoca_la])</f>
        <v>Epocha Ignota</v>
      </c>
      <c r="Q1020" t="str">
        <f>_xlfn.XLOOKUP(frasest[[#This Row],[autor_es]],autorest[autor_es],autorest[imagen])</f>
        <v>https://i.ibb.co/Y4f7TZWm/espa-a.png</v>
      </c>
      <c r="R1020">
        <f>_xlfn.XLOOKUP(frasest[[#This Row],[autor_es]],autorest[autor_es],autorest[imagen_atr])</f>
        <v>0</v>
      </c>
    </row>
    <row r="1021" spans="1:18">
      <c r="A1021">
        <v>1020</v>
      </c>
      <c r="B1021" t="s">
        <v>3198</v>
      </c>
      <c r="C1021" t="s">
        <v>3199</v>
      </c>
      <c r="D1021" t="s">
        <v>3198</v>
      </c>
      <c r="E1021" t="s">
        <v>24</v>
      </c>
      <c r="G1021" t="str">
        <f>_xlfn.XLOOKUP(frasest[[#This Row],[autor_es]],autorest[autor_es],autorest[autor_la])</f>
        <v>Sententia Hispanica</v>
      </c>
      <c r="H1021" t="str">
        <f>_xlfn.XLOOKUP(frasest[[#This Row],[autor_es]],autorest[autor_es],autorest[bio_es])</f>
        <v>Refranes populares de la tradición oral hispana que expresan de forma breve y ingeniosa enseñanzas prácticas sobre la vida cotidiana.</v>
      </c>
      <c r="I1021" t="str">
        <f>_xlfn.XLOOKUP(frasest[[#This Row],[autor_es]],autorest[autor_es],autorest[bio_la])</f>
        <v>Collectio sententiarum Hispanicarum.</v>
      </c>
      <c r="J1021" t="str">
        <f>_xlfn.XLOOKUP(frasest[[#This Row],[autor_es]],autorest[autor_es],autorest[codigo])</f>
        <v>es</v>
      </c>
      <c r="K1021" t="str">
        <f>_xlfn.XLOOKUP(frasest[[#This Row],[autor_es]],autorest[autor_es],autorest[idioma_es])</f>
        <v>Español</v>
      </c>
      <c r="L1021" t="str">
        <f>_xlfn.XLOOKUP(frasest[[#This Row],[autor_es]],autorest[autor_es],autorest[idioma_la])</f>
        <v>Lingua Hispanica</v>
      </c>
      <c r="M1021" t="str">
        <f>_xlfn.XLOOKUP(frasest[[#This Row],[autor_es]],autorest[autor_es],autorest[nacion_es])</f>
        <v>España</v>
      </c>
      <c r="N1021" t="str">
        <f>_xlfn.XLOOKUP(frasest[[#This Row],[autor_es]],autorest[autor_es],autorest[nacion_la])</f>
        <v>Hispania</v>
      </c>
      <c r="O1021" t="str">
        <f>_xlfn.XLOOKUP(frasest[[#This Row],[autor_es]],autorest[autor_es],autorest[epoca_es])</f>
        <v>Epoca Desconocida</v>
      </c>
      <c r="P1021" t="str">
        <f>_xlfn.XLOOKUP(frasest[[#This Row],[autor_es]],autorest[autor_es],autorest[epoca_la])</f>
        <v>Epocha Ignota</v>
      </c>
      <c r="Q1021" t="str">
        <f>_xlfn.XLOOKUP(frasest[[#This Row],[autor_es]],autorest[autor_es],autorest[imagen])</f>
        <v>https://i.ibb.co/Y4f7TZWm/espa-a.png</v>
      </c>
      <c r="R1021">
        <f>_xlfn.XLOOKUP(frasest[[#This Row],[autor_es]],autorest[autor_es],autorest[imagen_atr])</f>
        <v>0</v>
      </c>
    </row>
    <row r="1022" spans="1:18">
      <c r="A1022">
        <v>1021</v>
      </c>
      <c r="B1022" t="s">
        <v>3200</v>
      </c>
      <c r="C1022" t="s">
        <v>3201</v>
      </c>
      <c r="D1022" s="1" t="s">
        <v>3202</v>
      </c>
      <c r="E1022" t="s">
        <v>36</v>
      </c>
      <c r="G1022" t="str">
        <f>_xlfn.XLOOKUP(frasest[[#This Row],[autor_es]],autorest[autor_es],autorest[autor_la])</f>
        <v>Proverbium Sinense</v>
      </c>
      <c r="H1022" t="str">
        <f>_xlfn.XLOOKUP(frasest[[#This Row],[autor_es]],autorest[autor_es],autorest[bio_es])</f>
        <v>Conjunto de proverbios tradicionales de la cultura china que transmiten sabiduría popular, valores morales y enseñanzas prácticas transmitidas oralmente durante siglos.</v>
      </c>
      <c r="I1022" t="str">
        <f>_xlfn.XLOOKUP(frasest[[#This Row],[autor_es]],autorest[autor_es],autorest[bio_la])</f>
        <v>Collectio sententiarum Sinensium, magnopere in cultura tradita.</v>
      </c>
      <c r="J1022" t="str">
        <f>_xlfn.XLOOKUP(frasest[[#This Row],[autor_es]],autorest[autor_es],autorest[codigo])</f>
        <v>zh</v>
      </c>
      <c r="K1022" t="str">
        <f>_xlfn.XLOOKUP(frasest[[#This Row],[autor_es]],autorest[autor_es],autorest[idioma_es])</f>
        <v>Chino</v>
      </c>
      <c r="L1022" t="str">
        <f>_xlfn.XLOOKUP(frasest[[#This Row],[autor_es]],autorest[autor_es],autorest[idioma_la])</f>
        <v>Lingua Sinica</v>
      </c>
      <c r="M1022" t="str">
        <f>_xlfn.XLOOKUP(frasest[[#This Row],[autor_es]],autorest[autor_es],autorest[nacion_es])</f>
        <v>China</v>
      </c>
      <c r="N1022" t="str">
        <f>_xlfn.XLOOKUP(frasest[[#This Row],[autor_es]],autorest[autor_es],autorest[nacion_la])</f>
        <v>Sinae</v>
      </c>
      <c r="O1022" t="str">
        <f>_xlfn.XLOOKUP(frasest[[#This Row],[autor_es]],autorest[autor_es],autorest[epoca_es])</f>
        <v>Epoca Desconocida</v>
      </c>
      <c r="P1022" t="str">
        <f>_xlfn.XLOOKUP(frasest[[#This Row],[autor_es]],autorest[autor_es],autorest[epoca_la])</f>
        <v>Epocha Ignota</v>
      </c>
      <c r="Q1022" t="str">
        <f>_xlfn.XLOOKUP(frasest[[#This Row],[autor_es]],autorest[autor_es],autorest[imagen])</f>
        <v>https://i.ibb.co/qLfpZm6h/china.png</v>
      </c>
      <c r="R1022">
        <f>_xlfn.XLOOKUP(frasest[[#This Row],[autor_es]],autorest[autor_es],autorest[imagen_atr])</f>
        <v>0</v>
      </c>
    </row>
    <row r="1023" spans="1:18">
      <c r="A1023">
        <v>1022</v>
      </c>
      <c r="B1023" t="s">
        <v>3203</v>
      </c>
      <c r="C1023" t="s">
        <v>3204</v>
      </c>
      <c r="D1023" s="1" t="s">
        <v>3205</v>
      </c>
      <c r="E1023" t="s">
        <v>36</v>
      </c>
      <c r="G1023" t="str">
        <f>_xlfn.XLOOKUP(frasest[[#This Row],[autor_es]],autorest[autor_es],autorest[autor_la])</f>
        <v>Proverbium Sinense</v>
      </c>
      <c r="H1023" t="str">
        <f>_xlfn.XLOOKUP(frasest[[#This Row],[autor_es]],autorest[autor_es],autorest[bio_es])</f>
        <v>Conjunto de proverbios tradicionales de la cultura china que transmiten sabiduría popular, valores morales y enseñanzas prácticas transmitidas oralmente durante siglos.</v>
      </c>
      <c r="I1023" t="str">
        <f>_xlfn.XLOOKUP(frasest[[#This Row],[autor_es]],autorest[autor_es],autorest[bio_la])</f>
        <v>Collectio sententiarum Sinensium, magnopere in cultura tradita.</v>
      </c>
      <c r="J1023" t="str">
        <f>_xlfn.XLOOKUP(frasest[[#This Row],[autor_es]],autorest[autor_es],autorest[codigo])</f>
        <v>zh</v>
      </c>
      <c r="K1023" t="str">
        <f>_xlfn.XLOOKUP(frasest[[#This Row],[autor_es]],autorest[autor_es],autorest[idioma_es])</f>
        <v>Chino</v>
      </c>
      <c r="L1023" t="str">
        <f>_xlfn.XLOOKUP(frasest[[#This Row],[autor_es]],autorest[autor_es],autorest[idioma_la])</f>
        <v>Lingua Sinica</v>
      </c>
      <c r="M1023" t="str">
        <f>_xlfn.XLOOKUP(frasest[[#This Row],[autor_es]],autorest[autor_es],autorest[nacion_es])</f>
        <v>China</v>
      </c>
      <c r="N1023" t="str">
        <f>_xlfn.XLOOKUP(frasest[[#This Row],[autor_es]],autorest[autor_es],autorest[nacion_la])</f>
        <v>Sinae</v>
      </c>
      <c r="O1023" t="str">
        <f>_xlfn.XLOOKUP(frasest[[#This Row],[autor_es]],autorest[autor_es],autorest[epoca_es])</f>
        <v>Epoca Desconocida</v>
      </c>
      <c r="P1023" t="str">
        <f>_xlfn.XLOOKUP(frasest[[#This Row],[autor_es]],autorest[autor_es],autorest[epoca_la])</f>
        <v>Epocha Ignota</v>
      </c>
      <c r="Q1023" t="str">
        <f>_xlfn.XLOOKUP(frasest[[#This Row],[autor_es]],autorest[autor_es],autorest[imagen])</f>
        <v>https://i.ibb.co/qLfpZm6h/china.png</v>
      </c>
      <c r="R1023">
        <f>_xlfn.XLOOKUP(frasest[[#This Row],[autor_es]],autorest[autor_es],autorest[imagen_atr])</f>
        <v>0</v>
      </c>
    </row>
    <row r="1024" spans="1:18">
      <c r="A1024">
        <v>1023</v>
      </c>
      <c r="B1024" t="s">
        <v>3206</v>
      </c>
      <c r="C1024" t="s">
        <v>3207</v>
      </c>
      <c r="D1024" s="1" t="s">
        <v>3208</v>
      </c>
      <c r="E1024" t="s">
        <v>36</v>
      </c>
      <c r="G1024" t="str">
        <f>_xlfn.XLOOKUP(frasest[[#This Row],[autor_es]],autorest[autor_es],autorest[autor_la])</f>
        <v>Proverbium Sinense</v>
      </c>
      <c r="H1024" t="str">
        <f>_xlfn.XLOOKUP(frasest[[#This Row],[autor_es]],autorest[autor_es],autorest[bio_es])</f>
        <v>Conjunto de proverbios tradicionales de la cultura china que transmiten sabiduría popular, valores morales y enseñanzas prácticas transmitidas oralmente durante siglos.</v>
      </c>
      <c r="I1024" t="str">
        <f>_xlfn.XLOOKUP(frasest[[#This Row],[autor_es]],autorest[autor_es],autorest[bio_la])</f>
        <v>Collectio sententiarum Sinensium, magnopere in cultura tradita.</v>
      </c>
      <c r="J1024" t="str">
        <f>_xlfn.XLOOKUP(frasest[[#This Row],[autor_es]],autorest[autor_es],autorest[codigo])</f>
        <v>zh</v>
      </c>
      <c r="K1024" t="str">
        <f>_xlfn.XLOOKUP(frasest[[#This Row],[autor_es]],autorest[autor_es],autorest[idioma_es])</f>
        <v>Chino</v>
      </c>
      <c r="L1024" t="str">
        <f>_xlfn.XLOOKUP(frasest[[#This Row],[autor_es]],autorest[autor_es],autorest[idioma_la])</f>
        <v>Lingua Sinica</v>
      </c>
      <c r="M1024" t="str">
        <f>_xlfn.XLOOKUP(frasest[[#This Row],[autor_es]],autorest[autor_es],autorest[nacion_es])</f>
        <v>China</v>
      </c>
      <c r="N1024" t="str">
        <f>_xlfn.XLOOKUP(frasest[[#This Row],[autor_es]],autorest[autor_es],autorest[nacion_la])</f>
        <v>Sinae</v>
      </c>
      <c r="O1024" t="str">
        <f>_xlfn.XLOOKUP(frasest[[#This Row],[autor_es]],autorest[autor_es],autorest[epoca_es])</f>
        <v>Epoca Desconocida</v>
      </c>
      <c r="P1024" t="str">
        <f>_xlfn.XLOOKUP(frasest[[#This Row],[autor_es]],autorest[autor_es],autorest[epoca_la])</f>
        <v>Epocha Ignota</v>
      </c>
      <c r="Q1024" t="str">
        <f>_xlfn.XLOOKUP(frasest[[#This Row],[autor_es]],autorest[autor_es],autorest[imagen])</f>
        <v>https://i.ibb.co/qLfpZm6h/china.png</v>
      </c>
      <c r="R1024">
        <f>_xlfn.XLOOKUP(frasest[[#This Row],[autor_es]],autorest[autor_es],autorest[imagen_atr])</f>
        <v>0</v>
      </c>
    </row>
    <row r="1025" spans="1:18">
      <c r="A1025">
        <v>1024</v>
      </c>
      <c r="B1025" t="s">
        <v>3209</v>
      </c>
      <c r="C1025" t="s">
        <v>3210</v>
      </c>
      <c r="D1025" s="1" t="s">
        <v>3211</v>
      </c>
      <c r="E1025" t="s">
        <v>36</v>
      </c>
      <c r="G1025" t="str">
        <f>_xlfn.XLOOKUP(frasest[[#This Row],[autor_es]],autorest[autor_es],autorest[autor_la])</f>
        <v>Proverbium Sinense</v>
      </c>
      <c r="H1025" t="str">
        <f>_xlfn.XLOOKUP(frasest[[#This Row],[autor_es]],autorest[autor_es],autorest[bio_es])</f>
        <v>Conjunto de proverbios tradicionales de la cultura china que transmiten sabiduría popular, valores morales y enseñanzas prácticas transmitidas oralmente durante siglos.</v>
      </c>
      <c r="I1025" t="str">
        <f>_xlfn.XLOOKUP(frasest[[#This Row],[autor_es]],autorest[autor_es],autorest[bio_la])</f>
        <v>Collectio sententiarum Sinensium, magnopere in cultura tradita.</v>
      </c>
      <c r="J1025" t="str">
        <f>_xlfn.XLOOKUP(frasest[[#This Row],[autor_es]],autorest[autor_es],autorest[codigo])</f>
        <v>zh</v>
      </c>
      <c r="K1025" t="str">
        <f>_xlfn.XLOOKUP(frasest[[#This Row],[autor_es]],autorest[autor_es],autorest[idioma_es])</f>
        <v>Chino</v>
      </c>
      <c r="L1025" t="str">
        <f>_xlfn.XLOOKUP(frasest[[#This Row],[autor_es]],autorest[autor_es],autorest[idioma_la])</f>
        <v>Lingua Sinica</v>
      </c>
      <c r="M1025" t="str">
        <f>_xlfn.XLOOKUP(frasest[[#This Row],[autor_es]],autorest[autor_es],autorest[nacion_es])</f>
        <v>China</v>
      </c>
      <c r="N1025" t="str">
        <f>_xlfn.XLOOKUP(frasest[[#This Row],[autor_es]],autorest[autor_es],autorest[nacion_la])</f>
        <v>Sinae</v>
      </c>
      <c r="O1025" t="str">
        <f>_xlfn.XLOOKUP(frasest[[#This Row],[autor_es]],autorest[autor_es],autorest[epoca_es])</f>
        <v>Epoca Desconocida</v>
      </c>
      <c r="P1025" t="str">
        <f>_xlfn.XLOOKUP(frasest[[#This Row],[autor_es]],autorest[autor_es],autorest[epoca_la])</f>
        <v>Epocha Ignota</v>
      </c>
      <c r="Q1025" t="str">
        <f>_xlfn.XLOOKUP(frasest[[#This Row],[autor_es]],autorest[autor_es],autorest[imagen])</f>
        <v>https://i.ibb.co/qLfpZm6h/china.png</v>
      </c>
      <c r="R1025">
        <f>_xlfn.XLOOKUP(frasest[[#This Row],[autor_es]],autorest[autor_es],autorest[imagen_atr])</f>
        <v>0</v>
      </c>
    </row>
    <row r="1026" spans="1:18">
      <c r="A1026">
        <v>1025</v>
      </c>
      <c r="B1026" t="s">
        <v>3212</v>
      </c>
      <c r="C1026" t="s">
        <v>3213</v>
      </c>
      <c r="D1026" s="1" t="s">
        <v>3214</v>
      </c>
      <c r="E1026" t="s">
        <v>36</v>
      </c>
      <c r="G1026" t="str">
        <f>_xlfn.XLOOKUP(frasest[[#This Row],[autor_es]],autorest[autor_es],autorest[autor_la])</f>
        <v>Proverbium Sinense</v>
      </c>
      <c r="H1026" t="str">
        <f>_xlfn.XLOOKUP(frasest[[#This Row],[autor_es]],autorest[autor_es],autorest[bio_es])</f>
        <v>Conjunto de proverbios tradicionales de la cultura china que transmiten sabiduría popular, valores morales y enseñanzas prácticas transmitidas oralmente durante siglos.</v>
      </c>
      <c r="I1026" t="str">
        <f>_xlfn.XLOOKUP(frasest[[#This Row],[autor_es]],autorest[autor_es],autorest[bio_la])</f>
        <v>Collectio sententiarum Sinensium, magnopere in cultura tradita.</v>
      </c>
      <c r="J1026" t="str">
        <f>_xlfn.XLOOKUP(frasest[[#This Row],[autor_es]],autorest[autor_es],autorest[codigo])</f>
        <v>zh</v>
      </c>
      <c r="K1026" t="str">
        <f>_xlfn.XLOOKUP(frasest[[#This Row],[autor_es]],autorest[autor_es],autorest[idioma_es])</f>
        <v>Chino</v>
      </c>
      <c r="L1026" t="str">
        <f>_xlfn.XLOOKUP(frasest[[#This Row],[autor_es]],autorest[autor_es],autorest[idioma_la])</f>
        <v>Lingua Sinica</v>
      </c>
      <c r="M1026" t="str">
        <f>_xlfn.XLOOKUP(frasest[[#This Row],[autor_es]],autorest[autor_es],autorest[nacion_es])</f>
        <v>China</v>
      </c>
      <c r="N1026" t="str">
        <f>_xlfn.XLOOKUP(frasest[[#This Row],[autor_es]],autorest[autor_es],autorest[nacion_la])</f>
        <v>Sinae</v>
      </c>
      <c r="O1026" t="str">
        <f>_xlfn.XLOOKUP(frasest[[#This Row],[autor_es]],autorest[autor_es],autorest[epoca_es])</f>
        <v>Epoca Desconocida</v>
      </c>
      <c r="P1026" t="str">
        <f>_xlfn.XLOOKUP(frasest[[#This Row],[autor_es]],autorest[autor_es],autorest[epoca_la])</f>
        <v>Epocha Ignota</v>
      </c>
      <c r="Q1026" t="str">
        <f>_xlfn.XLOOKUP(frasest[[#This Row],[autor_es]],autorest[autor_es],autorest[imagen])</f>
        <v>https://i.ibb.co/qLfpZm6h/china.png</v>
      </c>
      <c r="R1026">
        <f>_xlfn.XLOOKUP(frasest[[#This Row],[autor_es]],autorest[autor_es],autorest[imagen_atr])</f>
        <v>0</v>
      </c>
    </row>
    <row r="1027" spans="1:18">
      <c r="A1027">
        <v>1026</v>
      </c>
      <c r="B1027" t="s">
        <v>3215</v>
      </c>
      <c r="C1027" t="s">
        <v>3216</v>
      </c>
      <c r="D1027" s="1" t="s">
        <v>3217</v>
      </c>
      <c r="E1027" t="s">
        <v>36</v>
      </c>
      <c r="G1027" t="str">
        <f>_xlfn.XLOOKUP(frasest[[#This Row],[autor_es]],autorest[autor_es],autorest[autor_la])</f>
        <v>Proverbium Sinense</v>
      </c>
      <c r="H1027" t="str">
        <f>_xlfn.XLOOKUP(frasest[[#This Row],[autor_es]],autorest[autor_es],autorest[bio_es])</f>
        <v>Conjunto de proverbios tradicionales de la cultura china que transmiten sabiduría popular, valores morales y enseñanzas prácticas transmitidas oralmente durante siglos.</v>
      </c>
      <c r="I1027" t="str">
        <f>_xlfn.XLOOKUP(frasest[[#This Row],[autor_es]],autorest[autor_es],autorest[bio_la])</f>
        <v>Collectio sententiarum Sinensium, magnopere in cultura tradita.</v>
      </c>
      <c r="J1027" t="str">
        <f>_xlfn.XLOOKUP(frasest[[#This Row],[autor_es]],autorest[autor_es],autorest[codigo])</f>
        <v>zh</v>
      </c>
      <c r="K1027" t="str">
        <f>_xlfn.XLOOKUP(frasest[[#This Row],[autor_es]],autorest[autor_es],autorest[idioma_es])</f>
        <v>Chino</v>
      </c>
      <c r="L1027" t="str">
        <f>_xlfn.XLOOKUP(frasest[[#This Row],[autor_es]],autorest[autor_es],autorest[idioma_la])</f>
        <v>Lingua Sinica</v>
      </c>
      <c r="M1027" t="str">
        <f>_xlfn.XLOOKUP(frasest[[#This Row],[autor_es]],autorest[autor_es],autorest[nacion_es])</f>
        <v>China</v>
      </c>
      <c r="N1027" t="str">
        <f>_xlfn.XLOOKUP(frasest[[#This Row],[autor_es]],autorest[autor_es],autorest[nacion_la])</f>
        <v>Sinae</v>
      </c>
      <c r="O1027" t="str">
        <f>_xlfn.XLOOKUP(frasest[[#This Row],[autor_es]],autorest[autor_es],autorest[epoca_es])</f>
        <v>Epoca Desconocida</v>
      </c>
      <c r="P1027" t="str">
        <f>_xlfn.XLOOKUP(frasest[[#This Row],[autor_es]],autorest[autor_es],autorest[epoca_la])</f>
        <v>Epocha Ignota</v>
      </c>
      <c r="Q1027" t="str">
        <f>_xlfn.XLOOKUP(frasest[[#This Row],[autor_es]],autorest[autor_es],autorest[imagen])</f>
        <v>https://i.ibb.co/qLfpZm6h/china.png</v>
      </c>
      <c r="R1027">
        <f>_xlfn.XLOOKUP(frasest[[#This Row],[autor_es]],autorest[autor_es],autorest[imagen_atr])</f>
        <v>0</v>
      </c>
    </row>
    <row r="1028" spans="1:18">
      <c r="A1028">
        <v>1027</v>
      </c>
      <c r="B1028" t="s">
        <v>3218</v>
      </c>
      <c r="C1028" t="s">
        <v>3219</v>
      </c>
      <c r="D1028" s="1" t="s">
        <v>3220</v>
      </c>
      <c r="E1028" t="s">
        <v>36</v>
      </c>
      <c r="G1028" t="str">
        <f>_xlfn.XLOOKUP(frasest[[#This Row],[autor_es]],autorest[autor_es],autorest[autor_la])</f>
        <v>Proverbium Sinense</v>
      </c>
      <c r="H1028" t="str">
        <f>_xlfn.XLOOKUP(frasest[[#This Row],[autor_es]],autorest[autor_es],autorest[bio_es])</f>
        <v>Conjunto de proverbios tradicionales de la cultura china que transmiten sabiduría popular, valores morales y enseñanzas prácticas transmitidas oralmente durante siglos.</v>
      </c>
      <c r="I1028" t="str">
        <f>_xlfn.XLOOKUP(frasest[[#This Row],[autor_es]],autorest[autor_es],autorest[bio_la])</f>
        <v>Collectio sententiarum Sinensium, magnopere in cultura tradita.</v>
      </c>
      <c r="J1028" t="str">
        <f>_xlfn.XLOOKUP(frasest[[#This Row],[autor_es]],autorest[autor_es],autorest[codigo])</f>
        <v>zh</v>
      </c>
      <c r="K1028" t="str">
        <f>_xlfn.XLOOKUP(frasest[[#This Row],[autor_es]],autorest[autor_es],autorest[idioma_es])</f>
        <v>Chino</v>
      </c>
      <c r="L1028" t="str">
        <f>_xlfn.XLOOKUP(frasest[[#This Row],[autor_es]],autorest[autor_es],autorest[idioma_la])</f>
        <v>Lingua Sinica</v>
      </c>
      <c r="M1028" t="str">
        <f>_xlfn.XLOOKUP(frasest[[#This Row],[autor_es]],autorest[autor_es],autorest[nacion_es])</f>
        <v>China</v>
      </c>
      <c r="N1028" t="str">
        <f>_xlfn.XLOOKUP(frasest[[#This Row],[autor_es]],autorest[autor_es],autorest[nacion_la])</f>
        <v>Sinae</v>
      </c>
      <c r="O1028" t="str">
        <f>_xlfn.XLOOKUP(frasest[[#This Row],[autor_es]],autorest[autor_es],autorest[epoca_es])</f>
        <v>Epoca Desconocida</v>
      </c>
      <c r="P1028" t="str">
        <f>_xlfn.XLOOKUP(frasest[[#This Row],[autor_es]],autorest[autor_es],autorest[epoca_la])</f>
        <v>Epocha Ignota</v>
      </c>
      <c r="Q1028" t="str">
        <f>_xlfn.XLOOKUP(frasest[[#This Row],[autor_es]],autorest[autor_es],autorest[imagen])</f>
        <v>https://i.ibb.co/qLfpZm6h/china.png</v>
      </c>
      <c r="R1028">
        <f>_xlfn.XLOOKUP(frasest[[#This Row],[autor_es]],autorest[autor_es],autorest[imagen_atr])</f>
        <v>0</v>
      </c>
    </row>
    <row r="1029" spans="1:18">
      <c r="A1029">
        <v>1028</v>
      </c>
      <c r="B1029" t="s">
        <v>3221</v>
      </c>
      <c r="C1029" t="s">
        <v>3222</v>
      </c>
      <c r="D1029" s="1" t="s">
        <v>3223</v>
      </c>
      <c r="E1029" t="s">
        <v>36</v>
      </c>
      <c r="G1029" t="str">
        <f>_xlfn.XLOOKUP(frasest[[#This Row],[autor_es]],autorest[autor_es],autorest[autor_la])</f>
        <v>Proverbium Sinense</v>
      </c>
      <c r="H1029" t="str">
        <f>_xlfn.XLOOKUP(frasest[[#This Row],[autor_es]],autorest[autor_es],autorest[bio_es])</f>
        <v>Conjunto de proverbios tradicionales de la cultura china que transmiten sabiduría popular, valores morales y enseñanzas prácticas transmitidas oralmente durante siglos.</v>
      </c>
      <c r="I1029" t="str">
        <f>_xlfn.XLOOKUP(frasest[[#This Row],[autor_es]],autorest[autor_es],autorest[bio_la])</f>
        <v>Collectio sententiarum Sinensium, magnopere in cultura tradita.</v>
      </c>
      <c r="J1029" t="str">
        <f>_xlfn.XLOOKUP(frasest[[#This Row],[autor_es]],autorest[autor_es],autorest[codigo])</f>
        <v>zh</v>
      </c>
      <c r="K1029" t="str">
        <f>_xlfn.XLOOKUP(frasest[[#This Row],[autor_es]],autorest[autor_es],autorest[idioma_es])</f>
        <v>Chino</v>
      </c>
      <c r="L1029" t="str">
        <f>_xlfn.XLOOKUP(frasest[[#This Row],[autor_es]],autorest[autor_es],autorest[idioma_la])</f>
        <v>Lingua Sinica</v>
      </c>
      <c r="M1029" t="str">
        <f>_xlfn.XLOOKUP(frasest[[#This Row],[autor_es]],autorest[autor_es],autorest[nacion_es])</f>
        <v>China</v>
      </c>
      <c r="N1029" t="str">
        <f>_xlfn.XLOOKUP(frasest[[#This Row],[autor_es]],autorest[autor_es],autorest[nacion_la])</f>
        <v>Sinae</v>
      </c>
      <c r="O1029" t="str">
        <f>_xlfn.XLOOKUP(frasest[[#This Row],[autor_es]],autorest[autor_es],autorest[epoca_es])</f>
        <v>Epoca Desconocida</v>
      </c>
      <c r="P1029" t="str">
        <f>_xlfn.XLOOKUP(frasest[[#This Row],[autor_es]],autorest[autor_es],autorest[epoca_la])</f>
        <v>Epocha Ignota</v>
      </c>
      <c r="Q1029" t="str">
        <f>_xlfn.XLOOKUP(frasest[[#This Row],[autor_es]],autorest[autor_es],autorest[imagen])</f>
        <v>https://i.ibb.co/qLfpZm6h/china.png</v>
      </c>
      <c r="R1029">
        <f>_xlfn.XLOOKUP(frasest[[#This Row],[autor_es]],autorest[autor_es],autorest[imagen_atr])</f>
        <v>0</v>
      </c>
    </row>
    <row r="1030" spans="1:18">
      <c r="A1030">
        <v>1029</v>
      </c>
      <c r="B1030" t="s">
        <v>3224</v>
      </c>
      <c r="C1030" t="s">
        <v>3225</v>
      </c>
      <c r="D1030" s="1" t="s">
        <v>3226</v>
      </c>
      <c r="E1030" t="s">
        <v>36</v>
      </c>
      <c r="G1030" t="str">
        <f>_xlfn.XLOOKUP(frasest[[#This Row],[autor_es]],autorest[autor_es],autorest[autor_la])</f>
        <v>Proverbium Sinense</v>
      </c>
      <c r="H1030" t="str">
        <f>_xlfn.XLOOKUP(frasest[[#This Row],[autor_es]],autorest[autor_es],autorest[bio_es])</f>
        <v>Conjunto de proverbios tradicionales de la cultura china que transmiten sabiduría popular, valores morales y enseñanzas prácticas transmitidas oralmente durante siglos.</v>
      </c>
      <c r="I1030" t="str">
        <f>_xlfn.XLOOKUP(frasest[[#This Row],[autor_es]],autorest[autor_es],autorest[bio_la])</f>
        <v>Collectio sententiarum Sinensium, magnopere in cultura tradita.</v>
      </c>
      <c r="J1030" t="str">
        <f>_xlfn.XLOOKUP(frasest[[#This Row],[autor_es]],autorest[autor_es],autorest[codigo])</f>
        <v>zh</v>
      </c>
      <c r="K1030" t="str">
        <f>_xlfn.XLOOKUP(frasest[[#This Row],[autor_es]],autorest[autor_es],autorest[idioma_es])</f>
        <v>Chino</v>
      </c>
      <c r="L1030" t="str">
        <f>_xlfn.XLOOKUP(frasest[[#This Row],[autor_es]],autorest[autor_es],autorest[idioma_la])</f>
        <v>Lingua Sinica</v>
      </c>
      <c r="M1030" t="str">
        <f>_xlfn.XLOOKUP(frasest[[#This Row],[autor_es]],autorest[autor_es],autorest[nacion_es])</f>
        <v>China</v>
      </c>
      <c r="N1030" t="str">
        <f>_xlfn.XLOOKUP(frasest[[#This Row],[autor_es]],autorest[autor_es],autorest[nacion_la])</f>
        <v>Sinae</v>
      </c>
      <c r="O1030" t="str">
        <f>_xlfn.XLOOKUP(frasest[[#This Row],[autor_es]],autorest[autor_es],autorest[epoca_es])</f>
        <v>Epoca Desconocida</v>
      </c>
      <c r="P1030" t="str">
        <f>_xlfn.XLOOKUP(frasest[[#This Row],[autor_es]],autorest[autor_es],autorest[epoca_la])</f>
        <v>Epocha Ignota</v>
      </c>
      <c r="Q1030" t="str">
        <f>_xlfn.XLOOKUP(frasest[[#This Row],[autor_es]],autorest[autor_es],autorest[imagen])</f>
        <v>https://i.ibb.co/qLfpZm6h/china.png</v>
      </c>
      <c r="R1030">
        <f>_xlfn.XLOOKUP(frasest[[#This Row],[autor_es]],autorest[autor_es],autorest[imagen_atr])</f>
        <v>0</v>
      </c>
    </row>
    <row r="1031" spans="1:18">
      <c r="A1031">
        <v>1030</v>
      </c>
      <c r="B1031" t="s">
        <v>3227</v>
      </c>
      <c r="C1031" t="s">
        <v>3228</v>
      </c>
      <c r="D1031" s="1" t="s">
        <v>3229</v>
      </c>
      <c r="E1031" t="s">
        <v>36</v>
      </c>
      <c r="G1031" t="str">
        <f>_xlfn.XLOOKUP(frasest[[#This Row],[autor_es]],autorest[autor_es],autorest[autor_la])</f>
        <v>Proverbium Sinense</v>
      </c>
      <c r="H1031" t="str">
        <f>_xlfn.XLOOKUP(frasest[[#This Row],[autor_es]],autorest[autor_es],autorest[bio_es])</f>
        <v>Conjunto de proverbios tradicionales de la cultura china que transmiten sabiduría popular, valores morales y enseñanzas prácticas transmitidas oralmente durante siglos.</v>
      </c>
      <c r="I1031" t="str">
        <f>_xlfn.XLOOKUP(frasest[[#This Row],[autor_es]],autorest[autor_es],autorest[bio_la])</f>
        <v>Collectio sententiarum Sinensium, magnopere in cultura tradita.</v>
      </c>
      <c r="J1031" t="str">
        <f>_xlfn.XLOOKUP(frasest[[#This Row],[autor_es]],autorest[autor_es],autorest[codigo])</f>
        <v>zh</v>
      </c>
      <c r="K1031" t="str">
        <f>_xlfn.XLOOKUP(frasest[[#This Row],[autor_es]],autorest[autor_es],autorest[idioma_es])</f>
        <v>Chino</v>
      </c>
      <c r="L1031" t="str">
        <f>_xlfn.XLOOKUP(frasest[[#This Row],[autor_es]],autorest[autor_es],autorest[idioma_la])</f>
        <v>Lingua Sinica</v>
      </c>
      <c r="M1031" t="str">
        <f>_xlfn.XLOOKUP(frasest[[#This Row],[autor_es]],autorest[autor_es],autorest[nacion_es])</f>
        <v>China</v>
      </c>
      <c r="N1031" t="str">
        <f>_xlfn.XLOOKUP(frasest[[#This Row],[autor_es]],autorest[autor_es],autorest[nacion_la])</f>
        <v>Sinae</v>
      </c>
      <c r="O1031" t="str">
        <f>_xlfn.XLOOKUP(frasest[[#This Row],[autor_es]],autorest[autor_es],autorest[epoca_es])</f>
        <v>Epoca Desconocida</v>
      </c>
      <c r="P1031" t="str">
        <f>_xlfn.XLOOKUP(frasest[[#This Row],[autor_es]],autorest[autor_es],autorest[epoca_la])</f>
        <v>Epocha Ignota</v>
      </c>
      <c r="Q1031" t="str">
        <f>_xlfn.XLOOKUP(frasest[[#This Row],[autor_es]],autorest[autor_es],autorest[imagen])</f>
        <v>https://i.ibb.co/qLfpZm6h/china.png</v>
      </c>
      <c r="R1031">
        <f>_xlfn.XLOOKUP(frasest[[#This Row],[autor_es]],autorest[autor_es],autorest[imagen_atr])</f>
        <v>0</v>
      </c>
    </row>
    <row r="1032" spans="1:18">
      <c r="A1032">
        <v>1031</v>
      </c>
      <c r="B1032" t="s">
        <v>3230</v>
      </c>
      <c r="C1032" t="s">
        <v>3231</v>
      </c>
      <c r="D1032" s="1" t="s">
        <v>1295</v>
      </c>
      <c r="E1032" t="s">
        <v>36</v>
      </c>
      <c r="G1032" t="str">
        <f>_xlfn.XLOOKUP(frasest[[#This Row],[autor_es]],autorest[autor_es],autorest[autor_la])</f>
        <v>Proverbium Sinense</v>
      </c>
      <c r="H1032" t="str">
        <f>_xlfn.XLOOKUP(frasest[[#This Row],[autor_es]],autorest[autor_es],autorest[bio_es])</f>
        <v>Conjunto de proverbios tradicionales de la cultura china que transmiten sabiduría popular, valores morales y enseñanzas prácticas transmitidas oralmente durante siglos.</v>
      </c>
      <c r="I1032" t="str">
        <f>_xlfn.XLOOKUP(frasest[[#This Row],[autor_es]],autorest[autor_es],autorest[bio_la])</f>
        <v>Collectio sententiarum Sinensium, magnopere in cultura tradita.</v>
      </c>
      <c r="J1032" t="str">
        <f>_xlfn.XLOOKUP(frasest[[#This Row],[autor_es]],autorest[autor_es],autorest[codigo])</f>
        <v>zh</v>
      </c>
      <c r="K1032" t="str">
        <f>_xlfn.XLOOKUP(frasest[[#This Row],[autor_es]],autorest[autor_es],autorest[idioma_es])</f>
        <v>Chino</v>
      </c>
      <c r="L1032" t="str">
        <f>_xlfn.XLOOKUP(frasest[[#This Row],[autor_es]],autorest[autor_es],autorest[idioma_la])</f>
        <v>Lingua Sinica</v>
      </c>
      <c r="M1032" t="str">
        <f>_xlfn.XLOOKUP(frasest[[#This Row],[autor_es]],autorest[autor_es],autorest[nacion_es])</f>
        <v>China</v>
      </c>
      <c r="N1032" t="str">
        <f>_xlfn.XLOOKUP(frasest[[#This Row],[autor_es]],autorest[autor_es],autorest[nacion_la])</f>
        <v>Sinae</v>
      </c>
      <c r="O1032" t="str">
        <f>_xlfn.XLOOKUP(frasest[[#This Row],[autor_es]],autorest[autor_es],autorest[epoca_es])</f>
        <v>Epoca Desconocida</v>
      </c>
      <c r="P1032" t="str">
        <f>_xlfn.XLOOKUP(frasest[[#This Row],[autor_es]],autorest[autor_es],autorest[epoca_la])</f>
        <v>Epocha Ignota</v>
      </c>
      <c r="Q1032" t="str">
        <f>_xlfn.XLOOKUP(frasest[[#This Row],[autor_es]],autorest[autor_es],autorest[imagen])</f>
        <v>https://i.ibb.co/qLfpZm6h/china.png</v>
      </c>
      <c r="R1032">
        <f>_xlfn.XLOOKUP(frasest[[#This Row],[autor_es]],autorest[autor_es],autorest[imagen_atr])</f>
        <v>0</v>
      </c>
    </row>
    <row r="1033" spans="1:18">
      <c r="A1033">
        <v>1032</v>
      </c>
      <c r="B1033" t="s">
        <v>3232</v>
      </c>
      <c r="C1033" t="s">
        <v>3233</v>
      </c>
      <c r="D1033" s="1" t="s">
        <v>3234</v>
      </c>
      <c r="E1033" t="s">
        <v>36</v>
      </c>
      <c r="G1033" t="str">
        <f>_xlfn.XLOOKUP(frasest[[#This Row],[autor_es]],autorest[autor_es],autorest[autor_la])</f>
        <v>Proverbium Sinense</v>
      </c>
      <c r="H1033" t="str">
        <f>_xlfn.XLOOKUP(frasest[[#This Row],[autor_es]],autorest[autor_es],autorest[bio_es])</f>
        <v>Conjunto de proverbios tradicionales de la cultura china que transmiten sabiduría popular, valores morales y enseñanzas prácticas transmitidas oralmente durante siglos.</v>
      </c>
      <c r="I1033" t="str">
        <f>_xlfn.XLOOKUP(frasest[[#This Row],[autor_es]],autorest[autor_es],autorest[bio_la])</f>
        <v>Collectio sententiarum Sinensium, magnopere in cultura tradita.</v>
      </c>
      <c r="J1033" t="str">
        <f>_xlfn.XLOOKUP(frasest[[#This Row],[autor_es]],autorest[autor_es],autorest[codigo])</f>
        <v>zh</v>
      </c>
      <c r="K1033" t="str">
        <f>_xlfn.XLOOKUP(frasest[[#This Row],[autor_es]],autorest[autor_es],autorest[idioma_es])</f>
        <v>Chino</v>
      </c>
      <c r="L1033" t="str">
        <f>_xlfn.XLOOKUP(frasest[[#This Row],[autor_es]],autorest[autor_es],autorest[idioma_la])</f>
        <v>Lingua Sinica</v>
      </c>
      <c r="M1033" t="str">
        <f>_xlfn.XLOOKUP(frasest[[#This Row],[autor_es]],autorest[autor_es],autorest[nacion_es])</f>
        <v>China</v>
      </c>
      <c r="N1033" t="str">
        <f>_xlfn.XLOOKUP(frasest[[#This Row],[autor_es]],autorest[autor_es],autorest[nacion_la])</f>
        <v>Sinae</v>
      </c>
      <c r="O1033" t="str">
        <f>_xlfn.XLOOKUP(frasest[[#This Row],[autor_es]],autorest[autor_es],autorest[epoca_es])</f>
        <v>Epoca Desconocida</v>
      </c>
      <c r="P1033" t="str">
        <f>_xlfn.XLOOKUP(frasest[[#This Row],[autor_es]],autorest[autor_es],autorest[epoca_la])</f>
        <v>Epocha Ignota</v>
      </c>
      <c r="Q1033" t="str">
        <f>_xlfn.XLOOKUP(frasest[[#This Row],[autor_es]],autorest[autor_es],autorest[imagen])</f>
        <v>https://i.ibb.co/qLfpZm6h/china.png</v>
      </c>
      <c r="R1033">
        <f>_xlfn.XLOOKUP(frasest[[#This Row],[autor_es]],autorest[autor_es],autorest[imagen_atr])</f>
        <v>0</v>
      </c>
    </row>
    <row r="1034" spans="1:18">
      <c r="A1034">
        <v>1033</v>
      </c>
      <c r="B1034" t="s">
        <v>3235</v>
      </c>
      <c r="C1034" t="s">
        <v>3236</v>
      </c>
      <c r="D1034" s="1" t="s">
        <v>3237</v>
      </c>
      <c r="E1034" t="s">
        <v>36</v>
      </c>
      <c r="G1034" t="str">
        <f>_xlfn.XLOOKUP(frasest[[#This Row],[autor_es]],autorest[autor_es],autorest[autor_la])</f>
        <v>Proverbium Sinense</v>
      </c>
      <c r="H1034" t="str">
        <f>_xlfn.XLOOKUP(frasest[[#This Row],[autor_es]],autorest[autor_es],autorest[bio_es])</f>
        <v>Conjunto de proverbios tradicionales de la cultura china que transmiten sabiduría popular, valores morales y enseñanzas prácticas transmitidas oralmente durante siglos.</v>
      </c>
      <c r="I1034" t="str">
        <f>_xlfn.XLOOKUP(frasest[[#This Row],[autor_es]],autorest[autor_es],autorest[bio_la])</f>
        <v>Collectio sententiarum Sinensium, magnopere in cultura tradita.</v>
      </c>
      <c r="J1034" t="str">
        <f>_xlfn.XLOOKUP(frasest[[#This Row],[autor_es]],autorest[autor_es],autorest[codigo])</f>
        <v>zh</v>
      </c>
      <c r="K1034" t="str">
        <f>_xlfn.XLOOKUP(frasest[[#This Row],[autor_es]],autorest[autor_es],autorest[idioma_es])</f>
        <v>Chino</v>
      </c>
      <c r="L1034" t="str">
        <f>_xlfn.XLOOKUP(frasest[[#This Row],[autor_es]],autorest[autor_es],autorest[idioma_la])</f>
        <v>Lingua Sinica</v>
      </c>
      <c r="M1034" t="str">
        <f>_xlfn.XLOOKUP(frasest[[#This Row],[autor_es]],autorest[autor_es],autorest[nacion_es])</f>
        <v>China</v>
      </c>
      <c r="N1034" t="str">
        <f>_xlfn.XLOOKUP(frasest[[#This Row],[autor_es]],autorest[autor_es],autorest[nacion_la])</f>
        <v>Sinae</v>
      </c>
      <c r="O1034" t="str">
        <f>_xlfn.XLOOKUP(frasest[[#This Row],[autor_es]],autorest[autor_es],autorest[epoca_es])</f>
        <v>Epoca Desconocida</v>
      </c>
      <c r="P1034" t="str">
        <f>_xlfn.XLOOKUP(frasest[[#This Row],[autor_es]],autorest[autor_es],autorest[epoca_la])</f>
        <v>Epocha Ignota</v>
      </c>
      <c r="Q1034" t="str">
        <f>_xlfn.XLOOKUP(frasest[[#This Row],[autor_es]],autorest[autor_es],autorest[imagen])</f>
        <v>https://i.ibb.co/qLfpZm6h/china.png</v>
      </c>
      <c r="R1034">
        <f>_xlfn.XLOOKUP(frasest[[#This Row],[autor_es]],autorest[autor_es],autorest[imagen_atr])</f>
        <v>0</v>
      </c>
    </row>
    <row r="1035" spans="1:18">
      <c r="A1035">
        <v>1034</v>
      </c>
      <c r="B1035" t="s">
        <v>3238</v>
      </c>
      <c r="C1035" t="s">
        <v>3239</v>
      </c>
      <c r="D1035" s="1" t="s">
        <v>3240</v>
      </c>
      <c r="E1035" t="s">
        <v>36</v>
      </c>
      <c r="G1035" t="str">
        <f>_xlfn.XLOOKUP(frasest[[#This Row],[autor_es]],autorest[autor_es],autorest[autor_la])</f>
        <v>Proverbium Sinense</v>
      </c>
      <c r="H1035" t="str">
        <f>_xlfn.XLOOKUP(frasest[[#This Row],[autor_es]],autorest[autor_es],autorest[bio_es])</f>
        <v>Conjunto de proverbios tradicionales de la cultura china que transmiten sabiduría popular, valores morales y enseñanzas prácticas transmitidas oralmente durante siglos.</v>
      </c>
      <c r="I1035" t="str">
        <f>_xlfn.XLOOKUP(frasest[[#This Row],[autor_es]],autorest[autor_es],autorest[bio_la])</f>
        <v>Collectio sententiarum Sinensium, magnopere in cultura tradita.</v>
      </c>
      <c r="J1035" t="str">
        <f>_xlfn.XLOOKUP(frasest[[#This Row],[autor_es]],autorest[autor_es],autorest[codigo])</f>
        <v>zh</v>
      </c>
      <c r="K1035" t="str">
        <f>_xlfn.XLOOKUP(frasest[[#This Row],[autor_es]],autorest[autor_es],autorest[idioma_es])</f>
        <v>Chino</v>
      </c>
      <c r="L1035" t="str">
        <f>_xlfn.XLOOKUP(frasest[[#This Row],[autor_es]],autorest[autor_es],autorest[idioma_la])</f>
        <v>Lingua Sinica</v>
      </c>
      <c r="M1035" t="str">
        <f>_xlfn.XLOOKUP(frasest[[#This Row],[autor_es]],autorest[autor_es],autorest[nacion_es])</f>
        <v>China</v>
      </c>
      <c r="N1035" t="str">
        <f>_xlfn.XLOOKUP(frasest[[#This Row],[autor_es]],autorest[autor_es],autorest[nacion_la])</f>
        <v>Sinae</v>
      </c>
      <c r="O1035" t="str">
        <f>_xlfn.XLOOKUP(frasest[[#This Row],[autor_es]],autorest[autor_es],autorest[epoca_es])</f>
        <v>Epoca Desconocida</v>
      </c>
      <c r="P1035" t="str">
        <f>_xlfn.XLOOKUP(frasest[[#This Row],[autor_es]],autorest[autor_es],autorest[epoca_la])</f>
        <v>Epocha Ignota</v>
      </c>
      <c r="Q1035" t="str">
        <f>_xlfn.XLOOKUP(frasest[[#This Row],[autor_es]],autorest[autor_es],autorest[imagen])</f>
        <v>https://i.ibb.co/qLfpZm6h/china.png</v>
      </c>
      <c r="R1035">
        <f>_xlfn.XLOOKUP(frasest[[#This Row],[autor_es]],autorest[autor_es],autorest[imagen_atr])</f>
        <v>0</v>
      </c>
    </row>
    <row r="1036" spans="1:18">
      <c r="A1036">
        <v>1035</v>
      </c>
      <c r="B1036" t="s">
        <v>3241</v>
      </c>
      <c r="C1036" t="s">
        <v>3242</v>
      </c>
      <c r="D1036" s="1" t="s">
        <v>3243</v>
      </c>
      <c r="E1036" t="s">
        <v>36</v>
      </c>
      <c r="G1036" t="str">
        <f>_xlfn.XLOOKUP(frasest[[#This Row],[autor_es]],autorest[autor_es],autorest[autor_la])</f>
        <v>Proverbium Sinense</v>
      </c>
      <c r="H1036" t="str">
        <f>_xlfn.XLOOKUP(frasest[[#This Row],[autor_es]],autorest[autor_es],autorest[bio_es])</f>
        <v>Conjunto de proverbios tradicionales de la cultura china que transmiten sabiduría popular, valores morales y enseñanzas prácticas transmitidas oralmente durante siglos.</v>
      </c>
      <c r="I1036" t="str">
        <f>_xlfn.XLOOKUP(frasest[[#This Row],[autor_es]],autorest[autor_es],autorest[bio_la])</f>
        <v>Collectio sententiarum Sinensium, magnopere in cultura tradita.</v>
      </c>
      <c r="J1036" t="str">
        <f>_xlfn.XLOOKUP(frasest[[#This Row],[autor_es]],autorest[autor_es],autorest[codigo])</f>
        <v>zh</v>
      </c>
      <c r="K1036" t="str">
        <f>_xlfn.XLOOKUP(frasest[[#This Row],[autor_es]],autorest[autor_es],autorest[idioma_es])</f>
        <v>Chino</v>
      </c>
      <c r="L1036" t="str">
        <f>_xlfn.XLOOKUP(frasest[[#This Row],[autor_es]],autorest[autor_es],autorest[idioma_la])</f>
        <v>Lingua Sinica</v>
      </c>
      <c r="M1036" t="str">
        <f>_xlfn.XLOOKUP(frasest[[#This Row],[autor_es]],autorest[autor_es],autorest[nacion_es])</f>
        <v>China</v>
      </c>
      <c r="N1036" t="str">
        <f>_xlfn.XLOOKUP(frasest[[#This Row],[autor_es]],autorest[autor_es],autorest[nacion_la])</f>
        <v>Sinae</v>
      </c>
      <c r="O1036" t="str">
        <f>_xlfn.XLOOKUP(frasest[[#This Row],[autor_es]],autorest[autor_es],autorest[epoca_es])</f>
        <v>Epoca Desconocida</v>
      </c>
      <c r="P1036" t="str">
        <f>_xlfn.XLOOKUP(frasest[[#This Row],[autor_es]],autorest[autor_es],autorest[epoca_la])</f>
        <v>Epocha Ignota</v>
      </c>
      <c r="Q1036" t="str">
        <f>_xlfn.XLOOKUP(frasest[[#This Row],[autor_es]],autorest[autor_es],autorest[imagen])</f>
        <v>https://i.ibb.co/qLfpZm6h/china.png</v>
      </c>
      <c r="R1036">
        <f>_xlfn.XLOOKUP(frasest[[#This Row],[autor_es]],autorest[autor_es],autorest[imagen_atr])</f>
        <v>0</v>
      </c>
    </row>
    <row r="1037" spans="1:18">
      <c r="A1037">
        <v>1036</v>
      </c>
      <c r="B1037" t="s">
        <v>3244</v>
      </c>
      <c r="C1037" t="s">
        <v>3245</v>
      </c>
      <c r="D1037" s="1" t="s">
        <v>3246</v>
      </c>
      <c r="E1037" t="s">
        <v>36</v>
      </c>
      <c r="G1037" t="str">
        <f>_xlfn.XLOOKUP(frasest[[#This Row],[autor_es]],autorest[autor_es],autorest[autor_la])</f>
        <v>Proverbium Sinense</v>
      </c>
      <c r="H1037" t="str">
        <f>_xlfn.XLOOKUP(frasest[[#This Row],[autor_es]],autorest[autor_es],autorest[bio_es])</f>
        <v>Conjunto de proverbios tradicionales de la cultura china que transmiten sabiduría popular, valores morales y enseñanzas prácticas transmitidas oralmente durante siglos.</v>
      </c>
      <c r="I1037" t="str">
        <f>_xlfn.XLOOKUP(frasest[[#This Row],[autor_es]],autorest[autor_es],autorest[bio_la])</f>
        <v>Collectio sententiarum Sinensium, magnopere in cultura tradita.</v>
      </c>
      <c r="J1037" t="str">
        <f>_xlfn.XLOOKUP(frasest[[#This Row],[autor_es]],autorest[autor_es],autorest[codigo])</f>
        <v>zh</v>
      </c>
      <c r="K1037" t="str">
        <f>_xlfn.XLOOKUP(frasest[[#This Row],[autor_es]],autorest[autor_es],autorest[idioma_es])</f>
        <v>Chino</v>
      </c>
      <c r="L1037" t="str">
        <f>_xlfn.XLOOKUP(frasest[[#This Row],[autor_es]],autorest[autor_es],autorest[idioma_la])</f>
        <v>Lingua Sinica</v>
      </c>
      <c r="M1037" t="str">
        <f>_xlfn.XLOOKUP(frasest[[#This Row],[autor_es]],autorest[autor_es],autorest[nacion_es])</f>
        <v>China</v>
      </c>
      <c r="N1037" t="str">
        <f>_xlfn.XLOOKUP(frasest[[#This Row],[autor_es]],autorest[autor_es],autorest[nacion_la])</f>
        <v>Sinae</v>
      </c>
      <c r="O1037" t="str">
        <f>_xlfn.XLOOKUP(frasest[[#This Row],[autor_es]],autorest[autor_es],autorest[epoca_es])</f>
        <v>Epoca Desconocida</v>
      </c>
      <c r="P1037" t="str">
        <f>_xlfn.XLOOKUP(frasest[[#This Row],[autor_es]],autorest[autor_es],autorest[epoca_la])</f>
        <v>Epocha Ignota</v>
      </c>
      <c r="Q1037" t="str">
        <f>_xlfn.XLOOKUP(frasest[[#This Row],[autor_es]],autorest[autor_es],autorest[imagen])</f>
        <v>https://i.ibb.co/qLfpZm6h/china.png</v>
      </c>
      <c r="R1037">
        <f>_xlfn.XLOOKUP(frasest[[#This Row],[autor_es]],autorest[autor_es],autorest[imagen_atr])</f>
        <v>0</v>
      </c>
    </row>
    <row r="1038" spans="1:18">
      <c r="A1038">
        <v>1037</v>
      </c>
      <c r="B1038" t="s">
        <v>3247</v>
      </c>
      <c r="C1038" t="s">
        <v>3248</v>
      </c>
      <c r="D1038" s="1" t="s">
        <v>3249</v>
      </c>
      <c r="E1038" t="s">
        <v>36</v>
      </c>
      <c r="G1038" t="str">
        <f>_xlfn.XLOOKUP(frasest[[#This Row],[autor_es]],autorest[autor_es],autorest[autor_la])</f>
        <v>Proverbium Sinense</v>
      </c>
      <c r="H1038" t="str">
        <f>_xlfn.XLOOKUP(frasest[[#This Row],[autor_es]],autorest[autor_es],autorest[bio_es])</f>
        <v>Conjunto de proverbios tradicionales de la cultura china que transmiten sabiduría popular, valores morales y enseñanzas prácticas transmitidas oralmente durante siglos.</v>
      </c>
      <c r="I1038" t="str">
        <f>_xlfn.XLOOKUP(frasest[[#This Row],[autor_es]],autorest[autor_es],autorest[bio_la])</f>
        <v>Collectio sententiarum Sinensium, magnopere in cultura tradita.</v>
      </c>
      <c r="J1038" t="str">
        <f>_xlfn.XLOOKUP(frasest[[#This Row],[autor_es]],autorest[autor_es],autorest[codigo])</f>
        <v>zh</v>
      </c>
      <c r="K1038" t="str">
        <f>_xlfn.XLOOKUP(frasest[[#This Row],[autor_es]],autorest[autor_es],autorest[idioma_es])</f>
        <v>Chino</v>
      </c>
      <c r="L1038" t="str">
        <f>_xlfn.XLOOKUP(frasest[[#This Row],[autor_es]],autorest[autor_es],autorest[idioma_la])</f>
        <v>Lingua Sinica</v>
      </c>
      <c r="M1038" t="str">
        <f>_xlfn.XLOOKUP(frasest[[#This Row],[autor_es]],autorest[autor_es],autorest[nacion_es])</f>
        <v>China</v>
      </c>
      <c r="N1038" t="str">
        <f>_xlfn.XLOOKUP(frasest[[#This Row],[autor_es]],autorest[autor_es],autorest[nacion_la])</f>
        <v>Sinae</v>
      </c>
      <c r="O1038" t="str">
        <f>_xlfn.XLOOKUP(frasest[[#This Row],[autor_es]],autorest[autor_es],autorest[epoca_es])</f>
        <v>Epoca Desconocida</v>
      </c>
      <c r="P1038" t="str">
        <f>_xlfn.XLOOKUP(frasest[[#This Row],[autor_es]],autorest[autor_es],autorest[epoca_la])</f>
        <v>Epocha Ignota</v>
      </c>
      <c r="Q1038" t="str">
        <f>_xlfn.XLOOKUP(frasest[[#This Row],[autor_es]],autorest[autor_es],autorest[imagen])</f>
        <v>https://i.ibb.co/qLfpZm6h/china.png</v>
      </c>
      <c r="R1038">
        <f>_xlfn.XLOOKUP(frasest[[#This Row],[autor_es]],autorest[autor_es],autorest[imagen_atr])</f>
        <v>0</v>
      </c>
    </row>
    <row r="1039" spans="1:18">
      <c r="A1039">
        <v>1038</v>
      </c>
      <c r="B1039" t="s">
        <v>3250</v>
      </c>
      <c r="C1039" t="s">
        <v>3251</v>
      </c>
      <c r="D1039" s="1" t="s">
        <v>3252</v>
      </c>
      <c r="E1039" t="s">
        <v>36</v>
      </c>
      <c r="G1039" t="str">
        <f>_xlfn.XLOOKUP(frasest[[#This Row],[autor_es]],autorest[autor_es],autorest[autor_la])</f>
        <v>Proverbium Sinense</v>
      </c>
      <c r="H1039" t="str">
        <f>_xlfn.XLOOKUP(frasest[[#This Row],[autor_es]],autorest[autor_es],autorest[bio_es])</f>
        <v>Conjunto de proverbios tradicionales de la cultura china que transmiten sabiduría popular, valores morales y enseñanzas prácticas transmitidas oralmente durante siglos.</v>
      </c>
      <c r="I1039" t="str">
        <f>_xlfn.XLOOKUP(frasest[[#This Row],[autor_es]],autorest[autor_es],autorest[bio_la])</f>
        <v>Collectio sententiarum Sinensium, magnopere in cultura tradita.</v>
      </c>
      <c r="J1039" t="str">
        <f>_xlfn.XLOOKUP(frasest[[#This Row],[autor_es]],autorest[autor_es],autorest[codigo])</f>
        <v>zh</v>
      </c>
      <c r="K1039" t="str">
        <f>_xlfn.XLOOKUP(frasest[[#This Row],[autor_es]],autorest[autor_es],autorest[idioma_es])</f>
        <v>Chino</v>
      </c>
      <c r="L1039" t="str">
        <f>_xlfn.XLOOKUP(frasest[[#This Row],[autor_es]],autorest[autor_es],autorest[idioma_la])</f>
        <v>Lingua Sinica</v>
      </c>
      <c r="M1039" t="str">
        <f>_xlfn.XLOOKUP(frasest[[#This Row],[autor_es]],autorest[autor_es],autorest[nacion_es])</f>
        <v>China</v>
      </c>
      <c r="N1039" t="str">
        <f>_xlfn.XLOOKUP(frasest[[#This Row],[autor_es]],autorest[autor_es],autorest[nacion_la])</f>
        <v>Sinae</v>
      </c>
      <c r="O1039" t="str">
        <f>_xlfn.XLOOKUP(frasest[[#This Row],[autor_es]],autorest[autor_es],autorest[epoca_es])</f>
        <v>Epoca Desconocida</v>
      </c>
      <c r="P1039" t="str">
        <f>_xlfn.XLOOKUP(frasest[[#This Row],[autor_es]],autorest[autor_es],autorest[epoca_la])</f>
        <v>Epocha Ignota</v>
      </c>
      <c r="Q1039" t="str">
        <f>_xlfn.XLOOKUP(frasest[[#This Row],[autor_es]],autorest[autor_es],autorest[imagen])</f>
        <v>https://i.ibb.co/qLfpZm6h/china.png</v>
      </c>
      <c r="R1039">
        <f>_xlfn.XLOOKUP(frasest[[#This Row],[autor_es]],autorest[autor_es],autorest[imagen_atr])</f>
        <v>0</v>
      </c>
    </row>
    <row r="1040" spans="1:18">
      <c r="A1040">
        <v>1039</v>
      </c>
      <c r="B1040" t="s">
        <v>3253</v>
      </c>
      <c r="C1040" t="s">
        <v>3254</v>
      </c>
      <c r="D1040" s="1" t="s">
        <v>3255</v>
      </c>
      <c r="E1040" t="s">
        <v>36</v>
      </c>
      <c r="G1040" t="str">
        <f>_xlfn.XLOOKUP(frasest[[#This Row],[autor_es]],autorest[autor_es],autorest[autor_la])</f>
        <v>Proverbium Sinense</v>
      </c>
      <c r="H1040" t="str">
        <f>_xlfn.XLOOKUP(frasest[[#This Row],[autor_es]],autorest[autor_es],autorest[bio_es])</f>
        <v>Conjunto de proverbios tradicionales de la cultura china que transmiten sabiduría popular, valores morales y enseñanzas prácticas transmitidas oralmente durante siglos.</v>
      </c>
      <c r="I1040" t="str">
        <f>_xlfn.XLOOKUP(frasest[[#This Row],[autor_es]],autorest[autor_es],autorest[bio_la])</f>
        <v>Collectio sententiarum Sinensium, magnopere in cultura tradita.</v>
      </c>
      <c r="J1040" t="str">
        <f>_xlfn.XLOOKUP(frasest[[#This Row],[autor_es]],autorest[autor_es],autorest[codigo])</f>
        <v>zh</v>
      </c>
      <c r="K1040" t="str">
        <f>_xlfn.XLOOKUP(frasest[[#This Row],[autor_es]],autorest[autor_es],autorest[idioma_es])</f>
        <v>Chino</v>
      </c>
      <c r="L1040" t="str">
        <f>_xlfn.XLOOKUP(frasest[[#This Row],[autor_es]],autorest[autor_es],autorest[idioma_la])</f>
        <v>Lingua Sinica</v>
      </c>
      <c r="M1040" t="str">
        <f>_xlfn.XLOOKUP(frasest[[#This Row],[autor_es]],autorest[autor_es],autorest[nacion_es])</f>
        <v>China</v>
      </c>
      <c r="N1040" t="str">
        <f>_xlfn.XLOOKUP(frasest[[#This Row],[autor_es]],autorest[autor_es],autorest[nacion_la])</f>
        <v>Sinae</v>
      </c>
      <c r="O1040" t="str">
        <f>_xlfn.XLOOKUP(frasest[[#This Row],[autor_es]],autorest[autor_es],autorest[epoca_es])</f>
        <v>Epoca Desconocida</v>
      </c>
      <c r="P1040" t="str">
        <f>_xlfn.XLOOKUP(frasest[[#This Row],[autor_es]],autorest[autor_es],autorest[epoca_la])</f>
        <v>Epocha Ignota</v>
      </c>
      <c r="Q1040" t="str">
        <f>_xlfn.XLOOKUP(frasest[[#This Row],[autor_es]],autorest[autor_es],autorest[imagen])</f>
        <v>https://i.ibb.co/qLfpZm6h/china.png</v>
      </c>
      <c r="R1040">
        <f>_xlfn.XLOOKUP(frasest[[#This Row],[autor_es]],autorest[autor_es],autorest[imagen_atr])</f>
        <v>0</v>
      </c>
    </row>
    <row r="1041" spans="1:18">
      <c r="A1041">
        <v>1040</v>
      </c>
      <c r="B1041" t="s">
        <v>3256</v>
      </c>
      <c r="C1041" t="s">
        <v>3257</v>
      </c>
      <c r="D1041" s="1" t="s">
        <v>3258</v>
      </c>
      <c r="E1041" t="s">
        <v>36</v>
      </c>
      <c r="G1041" t="str">
        <f>_xlfn.XLOOKUP(frasest[[#This Row],[autor_es]],autorest[autor_es],autorest[autor_la])</f>
        <v>Proverbium Sinense</v>
      </c>
      <c r="H1041" t="str">
        <f>_xlfn.XLOOKUP(frasest[[#This Row],[autor_es]],autorest[autor_es],autorest[bio_es])</f>
        <v>Conjunto de proverbios tradicionales de la cultura china que transmiten sabiduría popular, valores morales y enseñanzas prácticas transmitidas oralmente durante siglos.</v>
      </c>
      <c r="I1041" t="str">
        <f>_xlfn.XLOOKUP(frasest[[#This Row],[autor_es]],autorest[autor_es],autorest[bio_la])</f>
        <v>Collectio sententiarum Sinensium, magnopere in cultura tradita.</v>
      </c>
      <c r="J1041" t="str">
        <f>_xlfn.XLOOKUP(frasest[[#This Row],[autor_es]],autorest[autor_es],autorest[codigo])</f>
        <v>zh</v>
      </c>
      <c r="K1041" t="str">
        <f>_xlfn.XLOOKUP(frasest[[#This Row],[autor_es]],autorest[autor_es],autorest[idioma_es])</f>
        <v>Chino</v>
      </c>
      <c r="L1041" t="str">
        <f>_xlfn.XLOOKUP(frasest[[#This Row],[autor_es]],autorest[autor_es],autorest[idioma_la])</f>
        <v>Lingua Sinica</v>
      </c>
      <c r="M1041" t="str">
        <f>_xlfn.XLOOKUP(frasest[[#This Row],[autor_es]],autorest[autor_es],autorest[nacion_es])</f>
        <v>China</v>
      </c>
      <c r="N1041" t="str">
        <f>_xlfn.XLOOKUP(frasest[[#This Row],[autor_es]],autorest[autor_es],autorest[nacion_la])</f>
        <v>Sinae</v>
      </c>
      <c r="O1041" t="str">
        <f>_xlfn.XLOOKUP(frasest[[#This Row],[autor_es]],autorest[autor_es],autorest[epoca_es])</f>
        <v>Epoca Desconocida</v>
      </c>
      <c r="P1041" t="str">
        <f>_xlfn.XLOOKUP(frasest[[#This Row],[autor_es]],autorest[autor_es],autorest[epoca_la])</f>
        <v>Epocha Ignota</v>
      </c>
      <c r="Q1041" t="str">
        <f>_xlfn.XLOOKUP(frasest[[#This Row],[autor_es]],autorest[autor_es],autorest[imagen])</f>
        <v>https://i.ibb.co/qLfpZm6h/china.png</v>
      </c>
      <c r="R1041">
        <f>_xlfn.XLOOKUP(frasest[[#This Row],[autor_es]],autorest[autor_es],autorest[imagen_atr])</f>
        <v>0</v>
      </c>
    </row>
    <row r="1042" spans="1:18">
      <c r="A1042">
        <v>1041</v>
      </c>
      <c r="B1042" t="s">
        <v>3259</v>
      </c>
      <c r="C1042" t="s">
        <v>3260</v>
      </c>
      <c r="D1042" s="1" t="s">
        <v>3261</v>
      </c>
      <c r="E1042" t="s">
        <v>36</v>
      </c>
      <c r="G1042" t="str">
        <f>_xlfn.XLOOKUP(frasest[[#This Row],[autor_es]],autorest[autor_es],autorest[autor_la])</f>
        <v>Proverbium Sinense</v>
      </c>
      <c r="H1042" t="str">
        <f>_xlfn.XLOOKUP(frasest[[#This Row],[autor_es]],autorest[autor_es],autorest[bio_es])</f>
        <v>Conjunto de proverbios tradicionales de la cultura china que transmiten sabiduría popular, valores morales y enseñanzas prácticas transmitidas oralmente durante siglos.</v>
      </c>
      <c r="I1042" t="str">
        <f>_xlfn.XLOOKUP(frasest[[#This Row],[autor_es]],autorest[autor_es],autorest[bio_la])</f>
        <v>Collectio sententiarum Sinensium, magnopere in cultura tradita.</v>
      </c>
      <c r="J1042" t="str">
        <f>_xlfn.XLOOKUP(frasest[[#This Row],[autor_es]],autorest[autor_es],autorest[codigo])</f>
        <v>zh</v>
      </c>
      <c r="K1042" t="str">
        <f>_xlfn.XLOOKUP(frasest[[#This Row],[autor_es]],autorest[autor_es],autorest[idioma_es])</f>
        <v>Chino</v>
      </c>
      <c r="L1042" t="str">
        <f>_xlfn.XLOOKUP(frasest[[#This Row],[autor_es]],autorest[autor_es],autorest[idioma_la])</f>
        <v>Lingua Sinica</v>
      </c>
      <c r="M1042" t="str">
        <f>_xlfn.XLOOKUP(frasest[[#This Row],[autor_es]],autorest[autor_es],autorest[nacion_es])</f>
        <v>China</v>
      </c>
      <c r="N1042" t="str">
        <f>_xlfn.XLOOKUP(frasest[[#This Row],[autor_es]],autorest[autor_es],autorest[nacion_la])</f>
        <v>Sinae</v>
      </c>
      <c r="O1042" t="str">
        <f>_xlfn.XLOOKUP(frasest[[#This Row],[autor_es]],autorest[autor_es],autorest[epoca_es])</f>
        <v>Epoca Desconocida</v>
      </c>
      <c r="P1042" t="str">
        <f>_xlfn.XLOOKUP(frasest[[#This Row],[autor_es]],autorest[autor_es],autorest[epoca_la])</f>
        <v>Epocha Ignota</v>
      </c>
      <c r="Q1042" t="str">
        <f>_xlfn.XLOOKUP(frasest[[#This Row],[autor_es]],autorest[autor_es],autorest[imagen])</f>
        <v>https://i.ibb.co/qLfpZm6h/china.png</v>
      </c>
      <c r="R1042">
        <f>_xlfn.XLOOKUP(frasest[[#This Row],[autor_es]],autorest[autor_es],autorest[imagen_atr])</f>
        <v>0</v>
      </c>
    </row>
    <row r="1043" spans="1:18">
      <c r="A1043">
        <v>1042</v>
      </c>
      <c r="B1043" t="s">
        <v>3262</v>
      </c>
      <c r="C1043" t="s">
        <v>3263</v>
      </c>
      <c r="D1043" s="1" t="s">
        <v>3264</v>
      </c>
      <c r="E1043" t="s">
        <v>36</v>
      </c>
      <c r="G1043" t="str">
        <f>_xlfn.XLOOKUP(frasest[[#This Row],[autor_es]],autorest[autor_es],autorest[autor_la])</f>
        <v>Proverbium Sinense</v>
      </c>
      <c r="H1043" t="str">
        <f>_xlfn.XLOOKUP(frasest[[#This Row],[autor_es]],autorest[autor_es],autorest[bio_es])</f>
        <v>Conjunto de proverbios tradicionales de la cultura china que transmiten sabiduría popular, valores morales y enseñanzas prácticas transmitidas oralmente durante siglos.</v>
      </c>
      <c r="I1043" t="str">
        <f>_xlfn.XLOOKUP(frasest[[#This Row],[autor_es]],autorest[autor_es],autorest[bio_la])</f>
        <v>Collectio sententiarum Sinensium, magnopere in cultura tradita.</v>
      </c>
      <c r="J1043" t="str">
        <f>_xlfn.XLOOKUP(frasest[[#This Row],[autor_es]],autorest[autor_es],autorest[codigo])</f>
        <v>zh</v>
      </c>
      <c r="K1043" t="str">
        <f>_xlfn.XLOOKUP(frasest[[#This Row],[autor_es]],autorest[autor_es],autorest[idioma_es])</f>
        <v>Chino</v>
      </c>
      <c r="L1043" t="str">
        <f>_xlfn.XLOOKUP(frasest[[#This Row],[autor_es]],autorest[autor_es],autorest[idioma_la])</f>
        <v>Lingua Sinica</v>
      </c>
      <c r="M1043" t="str">
        <f>_xlfn.XLOOKUP(frasest[[#This Row],[autor_es]],autorest[autor_es],autorest[nacion_es])</f>
        <v>China</v>
      </c>
      <c r="N1043" t="str">
        <f>_xlfn.XLOOKUP(frasest[[#This Row],[autor_es]],autorest[autor_es],autorest[nacion_la])</f>
        <v>Sinae</v>
      </c>
      <c r="O1043" t="str">
        <f>_xlfn.XLOOKUP(frasest[[#This Row],[autor_es]],autorest[autor_es],autorest[epoca_es])</f>
        <v>Epoca Desconocida</v>
      </c>
      <c r="P1043" t="str">
        <f>_xlfn.XLOOKUP(frasest[[#This Row],[autor_es]],autorest[autor_es],autorest[epoca_la])</f>
        <v>Epocha Ignota</v>
      </c>
      <c r="Q1043" t="str">
        <f>_xlfn.XLOOKUP(frasest[[#This Row],[autor_es]],autorest[autor_es],autorest[imagen])</f>
        <v>https://i.ibb.co/qLfpZm6h/china.png</v>
      </c>
      <c r="R1043">
        <f>_xlfn.XLOOKUP(frasest[[#This Row],[autor_es]],autorest[autor_es],autorest[imagen_atr])</f>
        <v>0</v>
      </c>
    </row>
    <row r="1044" spans="1:18">
      <c r="A1044">
        <v>1043</v>
      </c>
      <c r="B1044" t="s">
        <v>3265</v>
      </c>
      <c r="C1044" t="s">
        <v>3266</v>
      </c>
      <c r="D1044" s="1" t="s">
        <v>3267</v>
      </c>
      <c r="E1044" t="s">
        <v>36</v>
      </c>
      <c r="G1044" t="str">
        <f>_xlfn.XLOOKUP(frasest[[#This Row],[autor_es]],autorest[autor_es],autorest[autor_la])</f>
        <v>Proverbium Sinense</v>
      </c>
      <c r="H1044" t="str">
        <f>_xlfn.XLOOKUP(frasest[[#This Row],[autor_es]],autorest[autor_es],autorest[bio_es])</f>
        <v>Conjunto de proverbios tradicionales de la cultura china que transmiten sabiduría popular, valores morales y enseñanzas prácticas transmitidas oralmente durante siglos.</v>
      </c>
      <c r="I1044" t="str">
        <f>_xlfn.XLOOKUP(frasest[[#This Row],[autor_es]],autorest[autor_es],autorest[bio_la])</f>
        <v>Collectio sententiarum Sinensium, magnopere in cultura tradita.</v>
      </c>
      <c r="J1044" t="str">
        <f>_xlfn.XLOOKUP(frasest[[#This Row],[autor_es]],autorest[autor_es],autorest[codigo])</f>
        <v>zh</v>
      </c>
      <c r="K1044" t="str">
        <f>_xlfn.XLOOKUP(frasest[[#This Row],[autor_es]],autorest[autor_es],autorest[idioma_es])</f>
        <v>Chino</v>
      </c>
      <c r="L1044" t="str">
        <f>_xlfn.XLOOKUP(frasest[[#This Row],[autor_es]],autorest[autor_es],autorest[idioma_la])</f>
        <v>Lingua Sinica</v>
      </c>
      <c r="M1044" t="str">
        <f>_xlfn.XLOOKUP(frasest[[#This Row],[autor_es]],autorest[autor_es],autorest[nacion_es])</f>
        <v>China</v>
      </c>
      <c r="N1044" t="str">
        <f>_xlfn.XLOOKUP(frasest[[#This Row],[autor_es]],autorest[autor_es],autorest[nacion_la])</f>
        <v>Sinae</v>
      </c>
      <c r="O1044" t="str">
        <f>_xlfn.XLOOKUP(frasest[[#This Row],[autor_es]],autorest[autor_es],autorest[epoca_es])</f>
        <v>Epoca Desconocida</v>
      </c>
      <c r="P1044" t="str">
        <f>_xlfn.XLOOKUP(frasest[[#This Row],[autor_es]],autorest[autor_es],autorest[epoca_la])</f>
        <v>Epocha Ignota</v>
      </c>
      <c r="Q1044" t="str">
        <f>_xlfn.XLOOKUP(frasest[[#This Row],[autor_es]],autorest[autor_es],autorest[imagen])</f>
        <v>https://i.ibb.co/qLfpZm6h/china.png</v>
      </c>
      <c r="R1044">
        <f>_xlfn.XLOOKUP(frasest[[#This Row],[autor_es]],autorest[autor_es],autorest[imagen_atr])</f>
        <v>0</v>
      </c>
    </row>
    <row r="1045" spans="1:18">
      <c r="A1045">
        <v>1044</v>
      </c>
      <c r="B1045" t="s">
        <v>3268</v>
      </c>
      <c r="C1045" t="s">
        <v>3269</v>
      </c>
      <c r="D1045" s="1" t="s">
        <v>3270</v>
      </c>
      <c r="E1045" t="s">
        <v>36</v>
      </c>
      <c r="G1045" t="str">
        <f>_xlfn.XLOOKUP(frasest[[#This Row],[autor_es]],autorest[autor_es],autorest[autor_la])</f>
        <v>Proverbium Sinense</v>
      </c>
      <c r="H1045" t="str">
        <f>_xlfn.XLOOKUP(frasest[[#This Row],[autor_es]],autorest[autor_es],autorest[bio_es])</f>
        <v>Conjunto de proverbios tradicionales de la cultura china que transmiten sabiduría popular, valores morales y enseñanzas prácticas transmitidas oralmente durante siglos.</v>
      </c>
      <c r="I1045" t="str">
        <f>_xlfn.XLOOKUP(frasest[[#This Row],[autor_es]],autorest[autor_es],autorest[bio_la])</f>
        <v>Collectio sententiarum Sinensium, magnopere in cultura tradita.</v>
      </c>
      <c r="J1045" t="str">
        <f>_xlfn.XLOOKUP(frasest[[#This Row],[autor_es]],autorest[autor_es],autorest[codigo])</f>
        <v>zh</v>
      </c>
      <c r="K1045" t="str">
        <f>_xlfn.XLOOKUP(frasest[[#This Row],[autor_es]],autorest[autor_es],autorest[idioma_es])</f>
        <v>Chino</v>
      </c>
      <c r="L1045" t="str">
        <f>_xlfn.XLOOKUP(frasest[[#This Row],[autor_es]],autorest[autor_es],autorest[idioma_la])</f>
        <v>Lingua Sinica</v>
      </c>
      <c r="M1045" t="str">
        <f>_xlfn.XLOOKUP(frasest[[#This Row],[autor_es]],autorest[autor_es],autorest[nacion_es])</f>
        <v>China</v>
      </c>
      <c r="N1045" t="str">
        <f>_xlfn.XLOOKUP(frasest[[#This Row],[autor_es]],autorest[autor_es],autorest[nacion_la])</f>
        <v>Sinae</v>
      </c>
      <c r="O1045" t="str">
        <f>_xlfn.XLOOKUP(frasest[[#This Row],[autor_es]],autorest[autor_es],autorest[epoca_es])</f>
        <v>Epoca Desconocida</v>
      </c>
      <c r="P1045" t="str">
        <f>_xlfn.XLOOKUP(frasest[[#This Row],[autor_es]],autorest[autor_es],autorest[epoca_la])</f>
        <v>Epocha Ignota</v>
      </c>
      <c r="Q1045" t="str">
        <f>_xlfn.XLOOKUP(frasest[[#This Row],[autor_es]],autorest[autor_es],autorest[imagen])</f>
        <v>https://i.ibb.co/qLfpZm6h/china.png</v>
      </c>
      <c r="R1045">
        <f>_xlfn.XLOOKUP(frasest[[#This Row],[autor_es]],autorest[autor_es],autorest[imagen_atr])</f>
        <v>0</v>
      </c>
    </row>
    <row r="1046" spans="1:18">
      <c r="A1046">
        <v>1045</v>
      </c>
      <c r="B1046" t="s">
        <v>3271</v>
      </c>
      <c r="C1046" t="s">
        <v>3272</v>
      </c>
      <c r="D1046" s="1" t="s">
        <v>3273</v>
      </c>
      <c r="E1046" t="s">
        <v>36</v>
      </c>
      <c r="G1046" t="str">
        <f>_xlfn.XLOOKUP(frasest[[#This Row],[autor_es]],autorest[autor_es],autorest[autor_la])</f>
        <v>Proverbium Sinense</v>
      </c>
      <c r="H1046" t="str">
        <f>_xlfn.XLOOKUP(frasest[[#This Row],[autor_es]],autorest[autor_es],autorest[bio_es])</f>
        <v>Conjunto de proverbios tradicionales de la cultura china que transmiten sabiduría popular, valores morales y enseñanzas prácticas transmitidas oralmente durante siglos.</v>
      </c>
      <c r="I1046" t="str">
        <f>_xlfn.XLOOKUP(frasest[[#This Row],[autor_es]],autorest[autor_es],autorest[bio_la])</f>
        <v>Collectio sententiarum Sinensium, magnopere in cultura tradita.</v>
      </c>
      <c r="J1046" t="str">
        <f>_xlfn.XLOOKUP(frasest[[#This Row],[autor_es]],autorest[autor_es],autorest[codigo])</f>
        <v>zh</v>
      </c>
      <c r="K1046" t="str">
        <f>_xlfn.XLOOKUP(frasest[[#This Row],[autor_es]],autorest[autor_es],autorest[idioma_es])</f>
        <v>Chino</v>
      </c>
      <c r="L1046" t="str">
        <f>_xlfn.XLOOKUP(frasest[[#This Row],[autor_es]],autorest[autor_es],autorest[idioma_la])</f>
        <v>Lingua Sinica</v>
      </c>
      <c r="M1046" t="str">
        <f>_xlfn.XLOOKUP(frasest[[#This Row],[autor_es]],autorest[autor_es],autorest[nacion_es])</f>
        <v>China</v>
      </c>
      <c r="N1046" t="str">
        <f>_xlfn.XLOOKUP(frasest[[#This Row],[autor_es]],autorest[autor_es],autorest[nacion_la])</f>
        <v>Sinae</v>
      </c>
      <c r="O1046" t="str">
        <f>_xlfn.XLOOKUP(frasest[[#This Row],[autor_es]],autorest[autor_es],autorest[epoca_es])</f>
        <v>Epoca Desconocida</v>
      </c>
      <c r="P1046" t="str">
        <f>_xlfn.XLOOKUP(frasest[[#This Row],[autor_es]],autorest[autor_es],autorest[epoca_la])</f>
        <v>Epocha Ignota</v>
      </c>
      <c r="Q1046" t="str">
        <f>_xlfn.XLOOKUP(frasest[[#This Row],[autor_es]],autorest[autor_es],autorest[imagen])</f>
        <v>https://i.ibb.co/qLfpZm6h/china.png</v>
      </c>
      <c r="R1046">
        <f>_xlfn.XLOOKUP(frasest[[#This Row],[autor_es]],autorest[autor_es],autorest[imagen_atr])</f>
        <v>0</v>
      </c>
    </row>
    <row r="1047" spans="1:18">
      <c r="A1047">
        <v>1046</v>
      </c>
      <c r="B1047" t="s">
        <v>3274</v>
      </c>
      <c r="C1047" t="s">
        <v>3275</v>
      </c>
      <c r="D1047" s="1" t="s">
        <v>3276</v>
      </c>
      <c r="E1047" t="s">
        <v>36</v>
      </c>
      <c r="G1047" t="str">
        <f>_xlfn.XLOOKUP(frasest[[#This Row],[autor_es]],autorest[autor_es],autorest[autor_la])</f>
        <v>Proverbium Sinense</v>
      </c>
      <c r="H1047" t="str">
        <f>_xlfn.XLOOKUP(frasest[[#This Row],[autor_es]],autorest[autor_es],autorest[bio_es])</f>
        <v>Conjunto de proverbios tradicionales de la cultura china que transmiten sabiduría popular, valores morales y enseñanzas prácticas transmitidas oralmente durante siglos.</v>
      </c>
      <c r="I1047" t="str">
        <f>_xlfn.XLOOKUP(frasest[[#This Row],[autor_es]],autorest[autor_es],autorest[bio_la])</f>
        <v>Collectio sententiarum Sinensium, magnopere in cultura tradita.</v>
      </c>
      <c r="J1047" t="str">
        <f>_xlfn.XLOOKUP(frasest[[#This Row],[autor_es]],autorest[autor_es],autorest[codigo])</f>
        <v>zh</v>
      </c>
      <c r="K1047" t="str">
        <f>_xlfn.XLOOKUP(frasest[[#This Row],[autor_es]],autorest[autor_es],autorest[idioma_es])</f>
        <v>Chino</v>
      </c>
      <c r="L1047" t="str">
        <f>_xlfn.XLOOKUP(frasest[[#This Row],[autor_es]],autorest[autor_es],autorest[idioma_la])</f>
        <v>Lingua Sinica</v>
      </c>
      <c r="M1047" t="str">
        <f>_xlfn.XLOOKUP(frasest[[#This Row],[autor_es]],autorest[autor_es],autorest[nacion_es])</f>
        <v>China</v>
      </c>
      <c r="N1047" t="str">
        <f>_xlfn.XLOOKUP(frasest[[#This Row],[autor_es]],autorest[autor_es],autorest[nacion_la])</f>
        <v>Sinae</v>
      </c>
      <c r="O1047" t="str">
        <f>_xlfn.XLOOKUP(frasest[[#This Row],[autor_es]],autorest[autor_es],autorest[epoca_es])</f>
        <v>Epoca Desconocida</v>
      </c>
      <c r="P1047" t="str">
        <f>_xlfn.XLOOKUP(frasest[[#This Row],[autor_es]],autorest[autor_es],autorest[epoca_la])</f>
        <v>Epocha Ignota</v>
      </c>
      <c r="Q1047" t="str">
        <f>_xlfn.XLOOKUP(frasest[[#This Row],[autor_es]],autorest[autor_es],autorest[imagen])</f>
        <v>https://i.ibb.co/qLfpZm6h/china.png</v>
      </c>
      <c r="R1047">
        <f>_xlfn.XLOOKUP(frasest[[#This Row],[autor_es]],autorest[autor_es],autorest[imagen_atr])</f>
        <v>0</v>
      </c>
    </row>
    <row r="1048" spans="1:18">
      <c r="A1048">
        <v>1047</v>
      </c>
      <c r="B1048" t="s">
        <v>3277</v>
      </c>
      <c r="C1048" t="s">
        <v>3278</v>
      </c>
      <c r="D1048" s="1" t="s">
        <v>3279</v>
      </c>
      <c r="E1048" t="s">
        <v>36</v>
      </c>
      <c r="G1048" t="str">
        <f>_xlfn.XLOOKUP(frasest[[#This Row],[autor_es]],autorest[autor_es],autorest[autor_la])</f>
        <v>Proverbium Sinense</v>
      </c>
      <c r="H1048" t="str">
        <f>_xlfn.XLOOKUP(frasest[[#This Row],[autor_es]],autorest[autor_es],autorest[bio_es])</f>
        <v>Conjunto de proverbios tradicionales de la cultura china que transmiten sabiduría popular, valores morales y enseñanzas prácticas transmitidas oralmente durante siglos.</v>
      </c>
      <c r="I1048" t="str">
        <f>_xlfn.XLOOKUP(frasest[[#This Row],[autor_es]],autorest[autor_es],autorest[bio_la])</f>
        <v>Collectio sententiarum Sinensium, magnopere in cultura tradita.</v>
      </c>
      <c r="J1048" t="str">
        <f>_xlfn.XLOOKUP(frasest[[#This Row],[autor_es]],autorest[autor_es],autorest[codigo])</f>
        <v>zh</v>
      </c>
      <c r="K1048" t="str">
        <f>_xlfn.XLOOKUP(frasest[[#This Row],[autor_es]],autorest[autor_es],autorest[idioma_es])</f>
        <v>Chino</v>
      </c>
      <c r="L1048" t="str">
        <f>_xlfn.XLOOKUP(frasest[[#This Row],[autor_es]],autorest[autor_es],autorest[idioma_la])</f>
        <v>Lingua Sinica</v>
      </c>
      <c r="M1048" t="str">
        <f>_xlfn.XLOOKUP(frasest[[#This Row],[autor_es]],autorest[autor_es],autorest[nacion_es])</f>
        <v>China</v>
      </c>
      <c r="N1048" t="str">
        <f>_xlfn.XLOOKUP(frasest[[#This Row],[autor_es]],autorest[autor_es],autorest[nacion_la])</f>
        <v>Sinae</v>
      </c>
      <c r="O1048" t="str">
        <f>_xlfn.XLOOKUP(frasest[[#This Row],[autor_es]],autorest[autor_es],autorest[epoca_es])</f>
        <v>Epoca Desconocida</v>
      </c>
      <c r="P1048" t="str">
        <f>_xlfn.XLOOKUP(frasest[[#This Row],[autor_es]],autorest[autor_es],autorest[epoca_la])</f>
        <v>Epocha Ignota</v>
      </c>
      <c r="Q1048" t="str">
        <f>_xlfn.XLOOKUP(frasest[[#This Row],[autor_es]],autorest[autor_es],autorest[imagen])</f>
        <v>https://i.ibb.co/qLfpZm6h/china.png</v>
      </c>
      <c r="R1048">
        <f>_xlfn.XLOOKUP(frasest[[#This Row],[autor_es]],autorest[autor_es],autorest[imagen_atr])</f>
        <v>0</v>
      </c>
    </row>
    <row r="1049" spans="1:18">
      <c r="A1049">
        <v>1048</v>
      </c>
      <c r="B1049" t="s">
        <v>3280</v>
      </c>
      <c r="C1049" t="s">
        <v>3281</v>
      </c>
      <c r="D1049" s="1" t="s">
        <v>3282</v>
      </c>
      <c r="E1049" t="s">
        <v>36</v>
      </c>
      <c r="G1049" t="str">
        <f>_xlfn.XLOOKUP(frasest[[#This Row],[autor_es]],autorest[autor_es],autorest[autor_la])</f>
        <v>Proverbium Sinense</v>
      </c>
      <c r="H1049" t="str">
        <f>_xlfn.XLOOKUP(frasest[[#This Row],[autor_es]],autorest[autor_es],autorest[bio_es])</f>
        <v>Conjunto de proverbios tradicionales de la cultura china que transmiten sabiduría popular, valores morales y enseñanzas prácticas transmitidas oralmente durante siglos.</v>
      </c>
      <c r="I1049" t="str">
        <f>_xlfn.XLOOKUP(frasest[[#This Row],[autor_es]],autorest[autor_es],autorest[bio_la])</f>
        <v>Collectio sententiarum Sinensium, magnopere in cultura tradita.</v>
      </c>
      <c r="J1049" t="str">
        <f>_xlfn.XLOOKUP(frasest[[#This Row],[autor_es]],autorest[autor_es],autorest[codigo])</f>
        <v>zh</v>
      </c>
      <c r="K1049" t="str">
        <f>_xlfn.XLOOKUP(frasest[[#This Row],[autor_es]],autorest[autor_es],autorest[idioma_es])</f>
        <v>Chino</v>
      </c>
      <c r="L1049" t="str">
        <f>_xlfn.XLOOKUP(frasest[[#This Row],[autor_es]],autorest[autor_es],autorest[idioma_la])</f>
        <v>Lingua Sinica</v>
      </c>
      <c r="M1049" t="str">
        <f>_xlfn.XLOOKUP(frasest[[#This Row],[autor_es]],autorest[autor_es],autorest[nacion_es])</f>
        <v>China</v>
      </c>
      <c r="N1049" t="str">
        <f>_xlfn.XLOOKUP(frasest[[#This Row],[autor_es]],autorest[autor_es],autorest[nacion_la])</f>
        <v>Sinae</v>
      </c>
      <c r="O1049" t="str">
        <f>_xlfn.XLOOKUP(frasest[[#This Row],[autor_es]],autorest[autor_es],autorest[epoca_es])</f>
        <v>Epoca Desconocida</v>
      </c>
      <c r="P1049" t="str">
        <f>_xlfn.XLOOKUP(frasest[[#This Row],[autor_es]],autorest[autor_es],autorest[epoca_la])</f>
        <v>Epocha Ignota</v>
      </c>
      <c r="Q1049" t="str">
        <f>_xlfn.XLOOKUP(frasest[[#This Row],[autor_es]],autorest[autor_es],autorest[imagen])</f>
        <v>https://i.ibb.co/qLfpZm6h/china.png</v>
      </c>
      <c r="R1049">
        <f>_xlfn.XLOOKUP(frasest[[#This Row],[autor_es]],autorest[autor_es],autorest[imagen_atr])</f>
        <v>0</v>
      </c>
    </row>
    <row r="1050" spans="1:18">
      <c r="A1050">
        <v>1049</v>
      </c>
      <c r="B1050" t="s">
        <v>3283</v>
      </c>
      <c r="C1050" t="s">
        <v>3284</v>
      </c>
      <c r="D1050" s="1" t="s">
        <v>3285</v>
      </c>
      <c r="E1050" t="s">
        <v>36</v>
      </c>
      <c r="G1050" t="str">
        <f>_xlfn.XLOOKUP(frasest[[#This Row],[autor_es]],autorest[autor_es],autorest[autor_la])</f>
        <v>Proverbium Sinense</v>
      </c>
      <c r="H1050" t="str">
        <f>_xlfn.XLOOKUP(frasest[[#This Row],[autor_es]],autorest[autor_es],autorest[bio_es])</f>
        <v>Conjunto de proverbios tradicionales de la cultura china que transmiten sabiduría popular, valores morales y enseñanzas prácticas transmitidas oralmente durante siglos.</v>
      </c>
      <c r="I1050" t="str">
        <f>_xlfn.XLOOKUP(frasest[[#This Row],[autor_es]],autorest[autor_es],autorest[bio_la])</f>
        <v>Collectio sententiarum Sinensium, magnopere in cultura tradita.</v>
      </c>
      <c r="J1050" t="str">
        <f>_xlfn.XLOOKUP(frasest[[#This Row],[autor_es]],autorest[autor_es],autorest[codigo])</f>
        <v>zh</v>
      </c>
      <c r="K1050" t="str">
        <f>_xlfn.XLOOKUP(frasest[[#This Row],[autor_es]],autorest[autor_es],autorest[idioma_es])</f>
        <v>Chino</v>
      </c>
      <c r="L1050" t="str">
        <f>_xlfn.XLOOKUP(frasest[[#This Row],[autor_es]],autorest[autor_es],autorest[idioma_la])</f>
        <v>Lingua Sinica</v>
      </c>
      <c r="M1050" t="str">
        <f>_xlfn.XLOOKUP(frasest[[#This Row],[autor_es]],autorest[autor_es],autorest[nacion_es])</f>
        <v>China</v>
      </c>
      <c r="N1050" t="str">
        <f>_xlfn.XLOOKUP(frasest[[#This Row],[autor_es]],autorest[autor_es],autorest[nacion_la])</f>
        <v>Sinae</v>
      </c>
      <c r="O1050" t="str">
        <f>_xlfn.XLOOKUP(frasest[[#This Row],[autor_es]],autorest[autor_es],autorest[epoca_es])</f>
        <v>Epoca Desconocida</v>
      </c>
      <c r="P1050" t="str">
        <f>_xlfn.XLOOKUP(frasest[[#This Row],[autor_es]],autorest[autor_es],autorest[epoca_la])</f>
        <v>Epocha Ignota</v>
      </c>
      <c r="Q1050" t="str">
        <f>_xlfn.XLOOKUP(frasest[[#This Row],[autor_es]],autorest[autor_es],autorest[imagen])</f>
        <v>https://i.ibb.co/qLfpZm6h/china.png</v>
      </c>
      <c r="R1050">
        <f>_xlfn.XLOOKUP(frasest[[#This Row],[autor_es]],autorest[autor_es],autorest[imagen_atr])</f>
        <v>0</v>
      </c>
    </row>
    <row r="1051" spans="1:18">
      <c r="A1051">
        <v>1050</v>
      </c>
      <c r="B1051" t="s">
        <v>3286</v>
      </c>
      <c r="C1051" t="s">
        <v>3287</v>
      </c>
      <c r="D1051" s="1" t="s">
        <v>3288</v>
      </c>
      <c r="E1051" t="s">
        <v>36</v>
      </c>
      <c r="G1051" t="str">
        <f>_xlfn.XLOOKUP(frasest[[#This Row],[autor_es]],autorest[autor_es],autorest[autor_la])</f>
        <v>Proverbium Sinense</v>
      </c>
      <c r="H1051" t="str">
        <f>_xlfn.XLOOKUP(frasest[[#This Row],[autor_es]],autorest[autor_es],autorest[bio_es])</f>
        <v>Conjunto de proverbios tradicionales de la cultura china que transmiten sabiduría popular, valores morales y enseñanzas prácticas transmitidas oralmente durante siglos.</v>
      </c>
      <c r="I1051" t="str">
        <f>_xlfn.XLOOKUP(frasest[[#This Row],[autor_es]],autorest[autor_es],autorest[bio_la])</f>
        <v>Collectio sententiarum Sinensium, magnopere in cultura tradita.</v>
      </c>
      <c r="J1051" t="str">
        <f>_xlfn.XLOOKUP(frasest[[#This Row],[autor_es]],autorest[autor_es],autorest[codigo])</f>
        <v>zh</v>
      </c>
      <c r="K1051" t="str">
        <f>_xlfn.XLOOKUP(frasest[[#This Row],[autor_es]],autorest[autor_es],autorest[idioma_es])</f>
        <v>Chino</v>
      </c>
      <c r="L1051" t="str">
        <f>_xlfn.XLOOKUP(frasest[[#This Row],[autor_es]],autorest[autor_es],autorest[idioma_la])</f>
        <v>Lingua Sinica</v>
      </c>
      <c r="M1051" t="str">
        <f>_xlfn.XLOOKUP(frasest[[#This Row],[autor_es]],autorest[autor_es],autorest[nacion_es])</f>
        <v>China</v>
      </c>
      <c r="N1051" t="str">
        <f>_xlfn.XLOOKUP(frasest[[#This Row],[autor_es]],autorest[autor_es],autorest[nacion_la])</f>
        <v>Sinae</v>
      </c>
      <c r="O1051" t="str">
        <f>_xlfn.XLOOKUP(frasest[[#This Row],[autor_es]],autorest[autor_es],autorest[epoca_es])</f>
        <v>Epoca Desconocida</v>
      </c>
      <c r="P1051" t="str">
        <f>_xlfn.XLOOKUP(frasest[[#This Row],[autor_es]],autorest[autor_es],autorest[epoca_la])</f>
        <v>Epocha Ignota</v>
      </c>
      <c r="Q1051" t="str">
        <f>_xlfn.XLOOKUP(frasest[[#This Row],[autor_es]],autorest[autor_es],autorest[imagen])</f>
        <v>https://i.ibb.co/qLfpZm6h/china.png</v>
      </c>
      <c r="R1051">
        <f>_xlfn.XLOOKUP(frasest[[#This Row],[autor_es]],autorest[autor_es],autorest[imagen_atr])</f>
        <v>0</v>
      </c>
    </row>
    <row r="1052" spans="1:18">
      <c r="A1052">
        <v>1051</v>
      </c>
      <c r="B1052" t="s">
        <v>3289</v>
      </c>
      <c r="C1052" t="s">
        <v>3290</v>
      </c>
      <c r="D1052" s="1" t="s">
        <v>3291</v>
      </c>
      <c r="E1052" t="s">
        <v>36</v>
      </c>
      <c r="G1052" t="str">
        <f>_xlfn.XLOOKUP(frasest[[#This Row],[autor_es]],autorest[autor_es],autorest[autor_la])</f>
        <v>Proverbium Sinense</v>
      </c>
      <c r="H1052" t="str">
        <f>_xlfn.XLOOKUP(frasest[[#This Row],[autor_es]],autorest[autor_es],autorest[bio_es])</f>
        <v>Conjunto de proverbios tradicionales de la cultura china que transmiten sabiduría popular, valores morales y enseñanzas prácticas transmitidas oralmente durante siglos.</v>
      </c>
      <c r="I1052" t="str">
        <f>_xlfn.XLOOKUP(frasest[[#This Row],[autor_es]],autorest[autor_es],autorest[bio_la])</f>
        <v>Collectio sententiarum Sinensium, magnopere in cultura tradita.</v>
      </c>
      <c r="J1052" t="str">
        <f>_xlfn.XLOOKUP(frasest[[#This Row],[autor_es]],autorest[autor_es],autorest[codigo])</f>
        <v>zh</v>
      </c>
      <c r="K1052" t="str">
        <f>_xlfn.XLOOKUP(frasest[[#This Row],[autor_es]],autorest[autor_es],autorest[idioma_es])</f>
        <v>Chino</v>
      </c>
      <c r="L1052" t="str">
        <f>_xlfn.XLOOKUP(frasest[[#This Row],[autor_es]],autorest[autor_es],autorest[idioma_la])</f>
        <v>Lingua Sinica</v>
      </c>
      <c r="M1052" t="str">
        <f>_xlfn.XLOOKUP(frasest[[#This Row],[autor_es]],autorest[autor_es],autorest[nacion_es])</f>
        <v>China</v>
      </c>
      <c r="N1052" t="str">
        <f>_xlfn.XLOOKUP(frasest[[#This Row],[autor_es]],autorest[autor_es],autorest[nacion_la])</f>
        <v>Sinae</v>
      </c>
      <c r="O1052" t="str">
        <f>_xlfn.XLOOKUP(frasest[[#This Row],[autor_es]],autorest[autor_es],autorest[epoca_es])</f>
        <v>Epoca Desconocida</v>
      </c>
      <c r="P1052" t="str">
        <f>_xlfn.XLOOKUP(frasest[[#This Row],[autor_es]],autorest[autor_es],autorest[epoca_la])</f>
        <v>Epocha Ignota</v>
      </c>
      <c r="Q1052" t="str">
        <f>_xlfn.XLOOKUP(frasest[[#This Row],[autor_es]],autorest[autor_es],autorest[imagen])</f>
        <v>https://i.ibb.co/qLfpZm6h/china.png</v>
      </c>
      <c r="R1052">
        <f>_xlfn.XLOOKUP(frasest[[#This Row],[autor_es]],autorest[autor_es],autorest[imagen_atr])</f>
        <v>0</v>
      </c>
    </row>
    <row r="1053" spans="1:18">
      <c r="A1053">
        <v>1052</v>
      </c>
      <c r="B1053" t="s">
        <v>3292</v>
      </c>
      <c r="C1053" t="s">
        <v>3293</v>
      </c>
      <c r="D1053" s="1" t="s">
        <v>3294</v>
      </c>
      <c r="E1053" t="s">
        <v>36</v>
      </c>
      <c r="G1053" t="str">
        <f>_xlfn.XLOOKUP(frasest[[#This Row],[autor_es]],autorest[autor_es],autorest[autor_la])</f>
        <v>Proverbium Sinense</v>
      </c>
      <c r="H1053" t="str">
        <f>_xlfn.XLOOKUP(frasest[[#This Row],[autor_es]],autorest[autor_es],autorest[bio_es])</f>
        <v>Conjunto de proverbios tradicionales de la cultura china que transmiten sabiduría popular, valores morales y enseñanzas prácticas transmitidas oralmente durante siglos.</v>
      </c>
      <c r="I1053" t="str">
        <f>_xlfn.XLOOKUP(frasest[[#This Row],[autor_es]],autorest[autor_es],autorest[bio_la])</f>
        <v>Collectio sententiarum Sinensium, magnopere in cultura tradita.</v>
      </c>
      <c r="J1053" t="str">
        <f>_xlfn.XLOOKUP(frasest[[#This Row],[autor_es]],autorest[autor_es],autorest[codigo])</f>
        <v>zh</v>
      </c>
      <c r="K1053" t="str">
        <f>_xlfn.XLOOKUP(frasest[[#This Row],[autor_es]],autorest[autor_es],autorest[idioma_es])</f>
        <v>Chino</v>
      </c>
      <c r="L1053" t="str">
        <f>_xlfn.XLOOKUP(frasest[[#This Row],[autor_es]],autorest[autor_es],autorest[idioma_la])</f>
        <v>Lingua Sinica</v>
      </c>
      <c r="M1053" t="str">
        <f>_xlfn.XLOOKUP(frasest[[#This Row],[autor_es]],autorest[autor_es],autorest[nacion_es])</f>
        <v>China</v>
      </c>
      <c r="N1053" t="str">
        <f>_xlfn.XLOOKUP(frasest[[#This Row],[autor_es]],autorest[autor_es],autorest[nacion_la])</f>
        <v>Sinae</v>
      </c>
      <c r="O1053" t="str">
        <f>_xlfn.XLOOKUP(frasest[[#This Row],[autor_es]],autorest[autor_es],autorest[epoca_es])</f>
        <v>Epoca Desconocida</v>
      </c>
      <c r="P1053" t="str">
        <f>_xlfn.XLOOKUP(frasest[[#This Row],[autor_es]],autorest[autor_es],autorest[epoca_la])</f>
        <v>Epocha Ignota</v>
      </c>
      <c r="Q1053" t="str">
        <f>_xlfn.XLOOKUP(frasest[[#This Row],[autor_es]],autorest[autor_es],autorest[imagen])</f>
        <v>https://i.ibb.co/qLfpZm6h/china.png</v>
      </c>
      <c r="R1053">
        <f>_xlfn.XLOOKUP(frasest[[#This Row],[autor_es]],autorest[autor_es],autorest[imagen_atr])</f>
        <v>0</v>
      </c>
    </row>
    <row r="1054" spans="1:18">
      <c r="A1054">
        <v>1053</v>
      </c>
      <c r="B1054" t="s">
        <v>3295</v>
      </c>
      <c r="C1054" t="s">
        <v>3296</v>
      </c>
      <c r="D1054" s="1" t="s">
        <v>3297</v>
      </c>
      <c r="E1054" t="s">
        <v>36</v>
      </c>
      <c r="G1054" t="str">
        <f>_xlfn.XLOOKUP(frasest[[#This Row],[autor_es]],autorest[autor_es],autorest[autor_la])</f>
        <v>Proverbium Sinense</v>
      </c>
      <c r="H1054" t="str">
        <f>_xlfn.XLOOKUP(frasest[[#This Row],[autor_es]],autorest[autor_es],autorest[bio_es])</f>
        <v>Conjunto de proverbios tradicionales de la cultura china que transmiten sabiduría popular, valores morales y enseñanzas prácticas transmitidas oralmente durante siglos.</v>
      </c>
      <c r="I1054" t="str">
        <f>_xlfn.XLOOKUP(frasest[[#This Row],[autor_es]],autorest[autor_es],autorest[bio_la])</f>
        <v>Collectio sententiarum Sinensium, magnopere in cultura tradita.</v>
      </c>
      <c r="J1054" t="str">
        <f>_xlfn.XLOOKUP(frasest[[#This Row],[autor_es]],autorest[autor_es],autorest[codigo])</f>
        <v>zh</v>
      </c>
      <c r="K1054" t="str">
        <f>_xlfn.XLOOKUP(frasest[[#This Row],[autor_es]],autorest[autor_es],autorest[idioma_es])</f>
        <v>Chino</v>
      </c>
      <c r="L1054" t="str">
        <f>_xlfn.XLOOKUP(frasest[[#This Row],[autor_es]],autorest[autor_es],autorest[idioma_la])</f>
        <v>Lingua Sinica</v>
      </c>
      <c r="M1054" t="str">
        <f>_xlfn.XLOOKUP(frasest[[#This Row],[autor_es]],autorest[autor_es],autorest[nacion_es])</f>
        <v>China</v>
      </c>
      <c r="N1054" t="str">
        <f>_xlfn.XLOOKUP(frasest[[#This Row],[autor_es]],autorest[autor_es],autorest[nacion_la])</f>
        <v>Sinae</v>
      </c>
      <c r="O1054" t="str">
        <f>_xlfn.XLOOKUP(frasest[[#This Row],[autor_es]],autorest[autor_es],autorest[epoca_es])</f>
        <v>Epoca Desconocida</v>
      </c>
      <c r="P1054" t="str">
        <f>_xlfn.XLOOKUP(frasest[[#This Row],[autor_es]],autorest[autor_es],autorest[epoca_la])</f>
        <v>Epocha Ignota</v>
      </c>
      <c r="Q1054" t="str">
        <f>_xlfn.XLOOKUP(frasest[[#This Row],[autor_es]],autorest[autor_es],autorest[imagen])</f>
        <v>https://i.ibb.co/qLfpZm6h/china.png</v>
      </c>
      <c r="R1054">
        <f>_xlfn.XLOOKUP(frasest[[#This Row],[autor_es]],autorest[autor_es],autorest[imagen_atr])</f>
        <v>0</v>
      </c>
    </row>
    <row r="1055" spans="1:18">
      <c r="A1055">
        <v>1054</v>
      </c>
      <c r="B1055" t="s">
        <v>3298</v>
      </c>
      <c r="C1055" t="s">
        <v>3299</v>
      </c>
      <c r="D1055" s="1" t="s">
        <v>3300</v>
      </c>
      <c r="E1055" t="s">
        <v>36</v>
      </c>
      <c r="G1055" t="str">
        <f>_xlfn.XLOOKUP(frasest[[#This Row],[autor_es]],autorest[autor_es],autorest[autor_la])</f>
        <v>Proverbium Sinense</v>
      </c>
      <c r="H1055" t="str">
        <f>_xlfn.XLOOKUP(frasest[[#This Row],[autor_es]],autorest[autor_es],autorest[bio_es])</f>
        <v>Conjunto de proverbios tradicionales de la cultura china que transmiten sabiduría popular, valores morales y enseñanzas prácticas transmitidas oralmente durante siglos.</v>
      </c>
      <c r="I1055" t="str">
        <f>_xlfn.XLOOKUP(frasest[[#This Row],[autor_es]],autorest[autor_es],autorest[bio_la])</f>
        <v>Collectio sententiarum Sinensium, magnopere in cultura tradita.</v>
      </c>
      <c r="J1055" t="str">
        <f>_xlfn.XLOOKUP(frasest[[#This Row],[autor_es]],autorest[autor_es],autorest[codigo])</f>
        <v>zh</v>
      </c>
      <c r="K1055" t="str">
        <f>_xlfn.XLOOKUP(frasest[[#This Row],[autor_es]],autorest[autor_es],autorest[idioma_es])</f>
        <v>Chino</v>
      </c>
      <c r="L1055" t="str">
        <f>_xlfn.XLOOKUP(frasest[[#This Row],[autor_es]],autorest[autor_es],autorest[idioma_la])</f>
        <v>Lingua Sinica</v>
      </c>
      <c r="M1055" t="str">
        <f>_xlfn.XLOOKUP(frasest[[#This Row],[autor_es]],autorest[autor_es],autorest[nacion_es])</f>
        <v>China</v>
      </c>
      <c r="N1055" t="str">
        <f>_xlfn.XLOOKUP(frasest[[#This Row],[autor_es]],autorest[autor_es],autorest[nacion_la])</f>
        <v>Sinae</v>
      </c>
      <c r="O1055" t="str">
        <f>_xlfn.XLOOKUP(frasest[[#This Row],[autor_es]],autorest[autor_es],autorest[epoca_es])</f>
        <v>Epoca Desconocida</v>
      </c>
      <c r="P1055" t="str">
        <f>_xlfn.XLOOKUP(frasest[[#This Row],[autor_es]],autorest[autor_es],autorest[epoca_la])</f>
        <v>Epocha Ignota</v>
      </c>
      <c r="Q1055" t="str">
        <f>_xlfn.XLOOKUP(frasest[[#This Row],[autor_es]],autorest[autor_es],autorest[imagen])</f>
        <v>https://i.ibb.co/qLfpZm6h/china.png</v>
      </c>
      <c r="R1055">
        <f>_xlfn.XLOOKUP(frasest[[#This Row],[autor_es]],autorest[autor_es],autorest[imagen_atr])</f>
        <v>0</v>
      </c>
    </row>
    <row r="1056" spans="1:18">
      <c r="A1056">
        <v>1055</v>
      </c>
      <c r="B1056" t="s">
        <v>3301</v>
      </c>
      <c r="C1056" t="s">
        <v>3302</v>
      </c>
      <c r="D1056" s="1" t="s">
        <v>3303</v>
      </c>
      <c r="E1056" t="s">
        <v>36</v>
      </c>
      <c r="G1056" t="str">
        <f>_xlfn.XLOOKUP(frasest[[#This Row],[autor_es]],autorest[autor_es],autorest[autor_la])</f>
        <v>Proverbium Sinense</v>
      </c>
      <c r="H1056" t="str">
        <f>_xlfn.XLOOKUP(frasest[[#This Row],[autor_es]],autorest[autor_es],autorest[bio_es])</f>
        <v>Conjunto de proverbios tradicionales de la cultura china que transmiten sabiduría popular, valores morales y enseñanzas prácticas transmitidas oralmente durante siglos.</v>
      </c>
      <c r="I1056" t="str">
        <f>_xlfn.XLOOKUP(frasest[[#This Row],[autor_es]],autorest[autor_es],autorest[bio_la])</f>
        <v>Collectio sententiarum Sinensium, magnopere in cultura tradita.</v>
      </c>
      <c r="J1056" t="str">
        <f>_xlfn.XLOOKUP(frasest[[#This Row],[autor_es]],autorest[autor_es],autorest[codigo])</f>
        <v>zh</v>
      </c>
      <c r="K1056" t="str">
        <f>_xlfn.XLOOKUP(frasest[[#This Row],[autor_es]],autorest[autor_es],autorest[idioma_es])</f>
        <v>Chino</v>
      </c>
      <c r="L1056" t="str">
        <f>_xlfn.XLOOKUP(frasest[[#This Row],[autor_es]],autorest[autor_es],autorest[idioma_la])</f>
        <v>Lingua Sinica</v>
      </c>
      <c r="M1056" t="str">
        <f>_xlfn.XLOOKUP(frasest[[#This Row],[autor_es]],autorest[autor_es],autorest[nacion_es])</f>
        <v>China</v>
      </c>
      <c r="N1056" t="str">
        <f>_xlfn.XLOOKUP(frasest[[#This Row],[autor_es]],autorest[autor_es],autorest[nacion_la])</f>
        <v>Sinae</v>
      </c>
      <c r="O1056" t="str">
        <f>_xlfn.XLOOKUP(frasest[[#This Row],[autor_es]],autorest[autor_es],autorest[epoca_es])</f>
        <v>Epoca Desconocida</v>
      </c>
      <c r="P1056" t="str">
        <f>_xlfn.XLOOKUP(frasest[[#This Row],[autor_es]],autorest[autor_es],autorest[epoca_la])</f>
        <v>Epocha Ignota</v>
      </c>
      <c r="Q1056" t="str">
        <f>_xlfn.XLOOKUP(frasest[[#This Row],[autor_es]],autorest[autor_es],autorest[imagen])</f>
        <v>https://i.ibb.co/qLfpZm6h/china.png</v>
      </c>
      <c r="R1056">
        <f>_xlfn.XLOOKUP(frasest[[#This Row],[autor_es]],autorest[autor_es],autorest[imagen_atr])</f>
        <v>0</v>
      </c>
    </row>
    <row r="1057" spans="1:18">
      <c r="A1057">
        <v>1056</v>
      </c>
      <c r="B1057" t="s">
        <v>3304</v>
      </c>
      <c r="C1057" t="s">
        <v>3305</v>
      </c>
      <c r="D1057" s="1" t="s">
        <v>3306</v>
      </c>
      <c r="E1057" t="s">
        <v>36</v>
      </c>
      <c r="G1057" t="str">
        <f>_xlfn.XLOOKUP(frasest[[#This Row],[autor_es]],autorest[autor_es],autorest[autor_la])</f>
        <v>Proverbium Sinense</v>
      </c>
      <c r="H1057" t="str">
        <f>_xlfn.XLOOKUP(frasest[[#This Row],[autor_es]],autorest[autor_es],autorest[bio_es])</f>
        <v>Conjunto de proverbios tradicionales de la cultura china que transmiten sabiduría popular, valores morales y enseñanzas prácticas transmitidas oralmente durante siglos.</v>
      </c>
      <c r="I1057" t="str">
        <f>_xlfn.XLOOKUP(frasest[[#This Row],[autor_es]],autorest[autor_es],autorest[bio_la])</f>
        <v>Collectio sententiarum Sinensium, magnopere in cultura tradita.</v>
      </c>
      <c r="J1057" t="str">
        <f>_xlfn.XLOOKUP(frasest[[#This Row],[autor_es]],autorest[autor_es],autorest[codigo])</f>
        <v>zh</v>
      </c>
      <c r="K1057" t="str">
        <f>_xlfn.XLOOKUP(frasest[[#This Row],[autor_es]],autorest[autor_es],autorest[idioma_es])</f>
        <v>Chino</v>
      </c>
      <c r="L1057" t="str">
        <f>_xlfn.XLOOKUP(frasest[[#This Row],[autor_es]],autorest[autor_es],autorest[idioma_la])</f>
        <v>Lingua Sinica</v>
      </c>
      <c r="M1057" t="str">
        <f>_xlfn.XLOOKUP(frasest[[#This Row],[autor_es]],autorest[autor_es],autorest[nacion_es])</f>
        <v>China</v>
      </c>
      <c r="N1057" t="str">
        <f>_xlfn.XLOOKUP(frasest[[#This Row],[autor_es]],autorest[autor_es],autorest[nacion_la])</f>
        <v>Sinae</v>
      </c>
      <c r="O1057" t="str">
        <f>_xlfn.XLOOKUP(frasest[[#This Row],[autor_es]],autorest[autor_es],autorest[epoca_es])</f>
        <v>Epoca Desconocida</v>
      </c>
      <c r="P1057" t="str">
        <f>_xlfn.XLOOKUP(frasest[[#This Row],[autor_es]],autorest[autor_es],autorest[epoca_la])</f>
        <v>Epocha Ignota</v>
      </c>
      <c r="Q1057" t="str">
        <f>_xlfn.XLOOKUP(frasest[[#This Row],[autor_es]],autorest[autor_es],autorest[imagen])</f>
        <v>https://i.ibb.co/qLfpZm6h/china.png</v>
      </c>
      <c r="R1057">
        <f>_xlfn.XLOOKUP(frasest[[#This Row],[autor_es]],autorest[autor_es],autorest[imagen_atr])</f>
        <v>0</v>
      </c>
    </row>
    <row r="1058" spans="1:18">
      <c r="A1058">
        <v>1057</v>
      </c>
      <c r="B1058" t="s">
        <v>3307</v>
      </c>
      <c r="C1058" t="s">
        <v>3308</v>
      </c>
      <c r="D1058" s="1" t="s">
        <v>3309</v>
      </c>
      <c r="E1058" t="s">
        <v>36</v>
      </c>
      <c r="G1058" t="str">
        <f>_xlfn.XLOOKUP(frasest[[#This Row],[autor_es]],autorest[autor_es],autorest[autor_la])</f>
        <v>Proverbium Sinense</v>
      </c>
      <c r="H1058" t="str">
        <f>_xlfn.XLOOKUP(frasest[[#This Row],[autor_es]],autorest[autor_es],autorest[bio_es])</f>
        <v>Conjunto de proverbios tradicionales de la cultura china que transmiten sabiduría popular, valores morales y enseñanzas prácticas transmitidas oralmente durante siglos.</v>
      </c>
      <c r="I1058" t="str">
        <f>_xlfn.XLOOKUP(frasest[[#This Row],[autor_es]],autorest[autor_es],autorest[bio_la])</f>
        <v>Collectio sententiarum Sinensium, magnopere in cultura tradita.</v>
      </c>
      <c r="J1058" t="str">
        <f>_xlfn.XLOOKUP(frasest[[#This Row],[autor_es]],autorest[autor_es],autorest[codigo])</f>
        <v>zh</v>
      </c>
      <c r="K1058" t="str">
        <f>_xlfn.XLOOKUP(frasest[[#This Row],[autor_es]],autorest[autor_es],autorest[idioma_es])</f>
        <v>Chino</v>
      </c>
      <c r="L1058" t="str">
        <f>_xlfn.XLOOKUP(frasest[[#This Row],[autor_es]],autorest[autor_es],autorest[idioma_la])</f>
        <v>Lingua Sinica</v>
      </c>
      <c r="M1058" t="str">
        <f>_xlfn.XLOOKUP(frasest[[#This Row],[autor_es]],autorest[autor_es],autorest[nacion_es])</f>
        <v>China</v>
      </c>
      <c r="N1058" t="str">
        <f>_xlfn.XLOOKUP(frasest[[#This Row],[autor_es]],autorest[autor_es],autorest[nacion_la])</f>
        <v>Sinae</v>
      </c>
      <c r="O1058" t="str">
        <f>_xlfn.XLOOKUP(frasest[[#This Row],[autor_es]],autorest[autor_es],autorest[epoca_es])</f>
        <v>Epoca Desconocida</v>
      </c>
      <c r="P1058" t="str">
        <f>_xlfn.XLOOKUP(frasest[[#This Row],[autor_es]],autorest[autor_es],autorest[epoca_la])</f>
        <v>Epocha Ignota</v>
      </c>
      <c r="Q1058" t="str">
        <f>_xlfn.XLOOKUP(frasest[[#This Row],[autor_es]],autorest[autor_es],autorest[imagen])</f>
        <v>https://i.ibb.co/qLfpZm6h/china.png</v>
      </c>
      <c r="R1058">
        <f>_xlfn.XLOOKUP(frasest[[#This Row],[autor_es]],autorest[autor_es],autorest[imagen_atr])</f>
        <v>0</v>
      </c>
    </row>
    <row r="1059" spans="1:18">
      <c r="A1059">
        <v>1058</v>
      </c>
      <c r="B1059" t="s">
        <v>3310</v>
      </c>
      <c r="C1059" t="s">
        <v>3311</v>
      </c>
      <c r="D1059" s="1" t="s">
        <v>3312</v>
      </c>
      <c r="E1059" t="s">
        <v>36</v>
      </c>
      <c r="G1059" t="str">
        <f>_xlfn.XLOOKUP(frasest[[#This Row],[autor_es]],autorest[autor_es],autorest[autor_la])</f>
        <v>Proverbium Sinense</v>
      </c>
      <c r="H1059" t="str">
        <f>_xlfn.XLOOKUP(frasest[[#This Row],[autor_es]],autorest[autor_es],autorest[bio_es])</f>
        <v>Conjunto de proverbios tradicionales de la cultura china que transmiten sabiduría popular, valores morales y enseñanzas prácticas transmitidas oralmente durante siglos.</v>
      </c>
      <c r="I1059" t="str">
        <f>_xlfn.XLOOKUP(frasest[[#This Row],[autor_es]],autorest[autor_es],autorest[bio_la])</f>
        <v>Collectio sententiarum Sinensium, magnopere in cultura tradita.</v>
      </c>
      <c r="J1059" t="str">
        <f>_xlfn.XLOOKUP(frasest[[#This Row],[autor_es]],autorest[autor_es],autorest[codigo])</f>
        <v>zh</v>
      </c>
      <c r="K1059" t="str">
        <f>_xlfn.XLOOKUP(frasest[[#This Row],[autor_es]],autorest[autor_es],autorest[idioma_es])</f>
        <v>Chino</v>
      </c>
      <c r="L1059" t="str">
        <f>_xlfn.XLOOKUP(frasest[[#This Row],[autor_es]],autorest[autor_es],autorest[idioma_la])</f>
        <v>Lingua Sinica</v>
      </c>
      <c r="M1059" t="str">
        <f>_xlfn.XLOOKUP(frasest[[#This Row],[autor_es]],autorest[autor_es],autorest[nacion_es])</f>
        <v>China</v>
      </c>
      <c r="N1059" t="str">
        <f>_xlfn.XLOOKUP(frasest[[#This Row],[autor_es]],autorest[autor_es],autorest[nacion_la])</f>
        <v>Sinae</v>
      </c>
      <c r="O1059" t="str">
        <f>_xlfn.XLOOKUP(frasest[[#This Row],[autor_es]],autorest[autor_es],autorest[epoca_es])</f>
        <v>Epoca Desconocida</v>
      </c>
      <c r="P1059" t="str">
        <f>_xlfn.XLOOKUP(frasest[[#This Row],[autor_es]],autorest[autor_es],autorest[epoca_la])</f>
        <v>Epocha Ignota</v>
      </c>
      <c r="Q1059" t="str">
        <f>_xlfn.XLOOKUP(frasest[[#This Row],[autor_es]],autorest[autor_es],autorest[imagen])</f>
        <v>https://i.ibb.co/qLfpZm6h/china.png</v>
      </c>
      <c r="R1059">
        <f>_xlfn.XLOOKUP(frasest[[#This Row],[autor_es]],autorest[autor_es],autorest[imagen_atr])</f>
        <v>0</v>
      </c>
    </row>
    <row r="1060" spans="1:18">
      <c r="A1060">
        <v>1059</v>
      </c>
      <c r="B1060" t="s">
        <v>3313</v>
      </c>
      <c r="C1060" t="s">
        <v>3314</v>
      </c>
      <c r="D1060" s="1" t="s">
        <v>3315</v>
      </c>
      <c r="E1060" t="s">
        <v>36</v>
      </c>
      <c r="G1060" t="str">
        <f>_xlfn.XLOOKUP(frasest[[#This Row],[autor_es]],autorest[autor_es],autorest[autor_la])</f>
        <v>Proverbium Sinense</v>
      </c>
      <c r="H1060" t="str">
        <f>_xlfn.XLOOKUP(frasest[[#This Row],[autor_es]],autorest[autor_es],autorest[bio_es])</f>
        <v>Conjunto de proverbios tradicionales de la cultura china que transmiten sabiduría popular, valores morales y enseñanzas prácticas transmitidas oralmente durante siglos.</v>
      </c>
      <c r="I1060" t="str">
        <f>_xlfn.XLOOKUP(frasest[[#This Row],[autor_es]],autorest[autor_es],autorest[bio_la])</f>
        <v>Collectio sententiarum Sinensium, magnopere in cultura tradita.</v>
      </c>
      <c r="J1060" t="str">
        <f>_xlfn.XLOOKUP(frasest[[#This Row],[autor_es]],autorest[autor_es],autorest[codigo])</f>
        <v>zh</v>
      </c>
      <c r="K1060" t="str">
        <f>_xlfn.XLOOKUP(frasest[[#This Row],[autor_es]],autorest[autor_es],autorest[idioma_es])</f>
        <v>Chino</v>
      </c>
      <c r="L1060" t="str">
        <f>_xlfn.XLOOKUP(frasest[[#This Row],[autor_es]],autorest[autor_es],autorest[idioma_la])</f>
        <v>Lingua Sinica</v>
      </c>
      <c r="M1060" t="str">
        <f>_xlfn.XLOOKUP(frasest[[#This Row],[autor_es]],autorest[autor_es],autorest[nacion_es])</f>
        <v>China</v>
      </c>
      <c r="N1060" t="str">
        <f>_xlfn.XLOOKUP(frasest[[#This Row],[autor_es]],autorest[autor_es],autorest[nacion_la])</f>
        <v>Sinae</v>
      </c>
      <c r="O1060" t="str">
        <f>_xlfn.XLOOKUP(frasest[[#This Row],[autor_es]],autorest[autor_es],autorest[epoca_es])</f>
        <v>Epoca Desconocida</v>
      </c>
      <c r="P1060" t="str">
        <f>_xlfn.XLOOKUP(frasest[[#This Row],[autor_es]],autorest[autor_es],autorest[epoca_la])</f>
        <v>Epocha Ignota</v>
      </c>
      <c r="Q1060" t="str">
        <f>_xlfn.XLOOKUP(frasest[[#This Row],[autor_es]],autorest[autor_es],autorest[imagen])</f>
        <v>https://i.ibb.co/qLfpZm6h/china.png</v>
      </c>
      <c r="R1060">
        <f>_xlfn.XLOOKUP(frasest[[#This Row],[autor_es]],autorest[autor_es],autorest[imagen_atr])</f>
        <v>0</v>
      </c>
    </row>
    <row r="1061" spans="1:18">
      <c r="A1061">
        <v>1060</v>
      </c>
      <c r="B1061" t="s">
        <v>3316</v>
      </c>
      <c r="C1061" t="s">
        <v>3317</v>
      </c>
      <c r="D1061" s="1" t="s">
        <v>3318</v>
      </c>
      <c r="E1061" t="s">
        <v>36</v>
      </c>
      <c r="G1061" t="str">
        <f>_xlfn.XLOOKUP(frasest[[#This Row],[autor_es]],autorest[autor_es],autorest[autor_la])</f>
        <v>Proverbium Sinense</v>
      </c>
      <c r="H1061" t="str">
        <f>_xlfn.XLOOKUP(frasest[[#This Row],[autor_es]],autorest[autor_es],autorest[bio_es])</f>
        <v>Conjunto de proverbios tradicionales de la cultura china que transmiten sabiduría popular, valores morales y enseñanzas prácticas transmitidas oralmente durante siglos.</v>
      </c>
      <c r="I1061" t="str">
        <f>_xlfn.XLOOKUP(frasest[[#This Row],[autor_es]],autorest[autor_es],autorest[bio_la])</f>
        <v>Collectio sententiarum Sinensium, magnopere in cultura tradita.</v>
      </c>
      <c r="J1061" t="str">
        <f>_xlfn.XLOOKUP(frasest[[#This Row],[autor_es]],autorest[autor_es],autorest[codigo])</f>
        <v>zh</v>
      </c>
      <c r="K1061" t="str">
        <f>_xlfn.XLOOKUP(frasest[[#This Row],[autor_es]],autorest[autor_es],autorest[idioma_es])</f>
        <v>Chino</v>
      </c>
      <c r="L1061" t="str">
        <f>_xlfn.XLOOKUP(frasest[[#This Row],[autor_es]],autorest[autor_es],autorest[idioma_la])</f>
        <v>Lingua Sinica</v>
      </c>
      <c r="M1061" t="str">
        <f>_xlfn.XLOOKUP(frasest[[#This Row],[autor_es]],autorest[autor_es],autorest[nacion_es])</f>
        <v>China</v>
      </c>
      <c r="N1061" t="str">
        <f>_xlfn.XLOOKUP(frasest[[#This Row],[autor_es]],autorest[autor_es],autorest[nacion_la])</f>
        <v>Sinae</v>
      </c>
      <c r="O1061" t="str">
        <f>_xlfn.XLOOKUP(frasest[[#This Row],[autor_es]],autorest[autor_es],autorest[epoca_es])</f>
        <v>Epoca Desconocida</v>
      </c>
      <c r="P1061" t="str">
        <f>_xlfn.XLOOKUP(frasest[[#This Row],[autor_es]],autorest[autor_es],autorest[epoca_la])</f>
        <v>Epocha Ignota</v>
      </c>
      <c r="Q1061" t="str">
        <f>_xlfn.XLOOKUP(frasest[[#This Row],[autor_es]],autorest[autor_es],autorest[imagen])</f>
        <v>https://i.ibb.co/qLfpZm6h/china.png</v>
      </c>
      <c r="R1061">
        <f>_xlfn.XLOOKUP(frasest[[#This Row],[autor_es]],autorest[autor_es],autorest[imagen_atr])</f>
        <v>0</v>
      </c>
    </row>
    <row r="1062" spans="1:18">
      <c r="A1062">
        <v>1061</v>
      </c>
      <c r="B1062" t="s">
        <v>3319</v>
      </c>
      <c r="C1062" t="s">
        <v>3320</v>
      </c>
      <c r="D1062" s="1" t="s">
        <v>3321</v>
      </c>
      <c r="E1062" t="s">
        <v>36</v>
      </c>
      <c r="G1062" t="str">
        <f>_xlfn.XLOOKUP(frasest[[#This Row],[autor_es]],autorest[autor_es],autorest[autor_la])</f>
        <v>Proverbium Sinense</v>
      </c>
      <c r="H1062" t="str">
        <f>_xlfn.XLOOKUP(frasest[[#This Row],[autor_es]],autorest[autor_es],autorest[bio_es])</f>
        <v>Conjunto de proverbios tradicionales de la cultura china que transmiten sabiduría popular, valores morales y enseñanzas prácticas transmitidas oralmente durante siglos.</v>
      </c>
      <c r="I1062" t="str">
        <f>_xlfn.XLOOKUP(frasest[[#This Row],[autor_es]],autorest[autor_es],autorest[bio_la])</f>
        <v>Collectio sententiarum Sinensium, magnopere in cultura tradita.</v>
      </c>
      <c r="J1062" t="str">
        <f>_xlfn.XLOOKUP(frasest[[#This Row],[autor_es]],autorest[autor_es],autorest[codigo])</f>
        <v>zh</v>
      </c>
      <c r="K1062" t="str">
        <f>_xlfn.XLOOKUP(frasest[[#This Row],[autor_es]],autorest[autor_es],autorest[idioma_es])</f>
        <v>Chino</v>
      </c>
      <c r="L1062" t="str">
        <f>_xlfn.XLOOKUP(frasest[[#This Row],[autor_es]],autorest[autor_es],autorest[idioma_la])</f>
        <v>Lingua Sinica</v>
      </c>
      <c r="M1062" t="str">
        <f>_xlfn.XLOOKUP(frasest[[#This Row],[autor_es]],autorest[autor_es],autorest[nacion_es])</f>
        <v>China</v>
      </c>
      <c r="N1062" t="str">
        <f>_xlfn.XLOOKUP(frasest[[#This Row],[autor_es]],autorest[autor_es],autorest[nacion_la])</f>
        <v>Sinae</v>
      </c>
      <c r="O1062" t="str">
        <f>_xlfn.XLOOKUP(frasest[[#This Row],[autor_es]],autorest[autor_es],autorest[epoca_es])</f>
        <v>Epoca Desconocida</v>
      </c>
      <c r="P1062" t="str">
        <f>_xlfn.XLOOKUP(frasest[[#This Row],[autor_es]],autorest[autor_es],autorest[epoca_la])</f>
        <v>Epocha Ignota</v>
      </c>
      <c r="Q1062" t="str">
        <f>_xlfn.XLOOKUP(frasest[[#This Row],[autor_es]],autorest[autor_es],autorest[imagen])</f>
        <v>https://i.ibb.co/qLfpZm6h/china.png</v>
      </c>
      <c r="R1062">
        <f>_xlfn.XLOOKUP(frasest[[#This Row],[autor_es]],autorest[autor_es],autorest[imagen_atr])</f>
        <v>0</v>
      </c>
    </row>
    <row r="1063" spans="1:18">
      <c r="A1063">
        <v>1062</v>
      </c>
      <c r="B1063" t="s">
        <v>1275</v>
      </c>
      <c r="C1063" t="s">
        <v>3322</v>
      </c>
      <c r="D1063" s="1" t="s">
        <v>1277</v>
      </c>
      <c r="E1063" t="s">
        <v>36</v>
      </c>
      <c r="G1063" t="str">
        <f>_xlfn.XLOOKUP(frasest[[#This Row],[autor_es]],autorest[autor_es],autorest[autor_la])</f>
        <v>Proverbium Sinense</v>
      </c>
      <c r="H1063" t="str">
        <f>_xlfn.XLOOKUP(frasest[[#This Row],[autor_es]],autorest[autor_es],autorest[bio_es])</f>
        <v>Conjunto de proverbios tradicionales de la cultura china que transmiten sabiduría popular, valores morales y enseñanzas prácticas transmitidas oralmente durante siglos.</v>
      </c>
      <c r="I1063" t="str">
        <f>_xlfn.XLOOKUP(frasest[[#This Row],[autor_es]],autorest[autor_es],autorest[bio_la])</f>
        <v>Collectio sententiarum Sinensium, magnopere in cultura tradita.</v>
      </c>
      <c r="J1063" t="str">
        <f>_xlfn.XLOOKUP(frasest[[#This Row],[autor_es]],autorest[autor_es],autorest[codigo])</f>
        <v>zh</v>
      </c>
      <c r="K1063" t="str">
        <f>_xlfn.XLOOKUP(frasest[[#This Row],[autor_es]],autorest[autor_es],autorest[idioma_es])</f>
        <v>Chino</v>
      </c>
      <c r="L1063" t="str">
        <f>_xlfn.XLOOKUP(frasest[[#This Row],[autor_es]],autorest[autor_es],autorest[idioma_la])</f>
        <v>Lingua Sinica</v>
      </c>
      <c r="M1063" t="str">
        <f>_xlfn.XLOOKUP(frasest[[#This Row],[autor_es]],autorest[autor_es],autorest[nacion_es])</f>
        <v>China</v>
      </c>
      <c r="N1063" t="str">
        <f>_xlfn.XLOOKUP(frasest[[#This Row],[autor_es]],autorest[autor_es],autorest[nacion_la])</f>
        <v>Sinae</v>
      </c>
      <c r="O1063" t="str">
        <f>_xlfn.XLOOKUP(frasest[[#This Row],[autor_es]],autorest[autor_es],autorest[epoca_es])</f>
        <v>Epoca Desconocida</v>
      </c>
      <c r="P1063" t="str">
        <f>_xlfn.XLOOKUP(frasest[[#This Row],[autor_es]],autorest[autor_es],autorest[epoca_la])</f>
        <v>Epocha Ignota</v>
      </c>
      <c r="Q1063" t="str">
        <f>_xlfn.XLOOKUP(frasest[[#This Row],[autor_es]],autorest[autor_es],autorest[imagen])</f>
        <v>https://i.ibb.co/qLfpZm6h/china.png</v>
      </c>
      <c r="R1063">
        <f>_xlfn.XLOOKUP(frasest[[#This Row],[autor_es]],autorest[autor_es],autorest[imagen_atr])</f>
        <v>0</v>
      </c>
    </row>
    <row r="1064" spans="1:18">
      <c r="A1064">
        <v>1063</v>
      </c>
      <c r="B1064" t="s">
        <v>3323</v>
      </c>
      <c r="C1064" t="s">
        <v>3324</v>
      </c>
      <c r="D1064" s="1" t="s">
        <v>3325</v>
      </c>
      <c r="E1064" t="s">
        <v>36</v>
      </c>
      <c r="G1064" t="str">
        <f>_xlfn.XLOOKUP(frasest[[#This Row],[autor_es]],autorest[autor_es],autorest[autor_la])</f>
        <v>Proverbium Sinense</v>
      </c>
      <c r="H1064" t="str">
        <f>_xlfn.XLOOKUP(frasest[[#This Row],[autor_es]],autorest[autor_es],autorest[bio_es])</f>
        <v>Conjunto de proverbios tradicionales de la cultura china que transmiten sabiduría popular, valores morales y enseñanzas prácticas transmitidas oralmente durante siglos.</v>
      </c>
      <c r="I1064" t="str">
        <f>_xlfn.XLOOKUP(frasest[[#This Row],[autor_es]],autorest[autor_es],autorest[bio_la])</f>
        <v>Collectio sententiarum Sinensium, magnopere in cultura tradita.</v>
      </c>
      <c r="J1064" t="str">
        <f>_xlfn.XLOOKUP(frasest[[#This Row],[autor_es]],autorest[autor_es],autorest[codigo])</f>
        <v>zh</v>
      </c>
      <c r="K1064" t="str">
        <f>_xlfn.XLOOKUP(frasest[[#This Row],[autor_es]],autorest[autor_es],autorest[idioma_es])</f>
        <v>Chino</v>
      </c>
      <c r="L1064" t="str">
        <f>_xlfn.XLOOKUP(frasest[[#This Row],[autor_es]],autorest[autor_es],autorest[idioma_la])</f>
        <v>Lingua Sinica</v>
      </c>
      <c r="M1064" t="str">
        <f>_xlfn.XLOOKUP(frasest[[#This Row],[autor_es]],autorest[autor_es],autorest[nacion_es])</f>
        <v>China</v>
      </c>
      <c r="N1064" t="str">
        <f>_xlfn.XLOOKUP(frasest[[#This Row],[autor_es]],autorest[autor_es],autorest[nacion_la])</f>
        <v>Sinae</v>
      </c>
      <c r="O1064" t="str">
        <f>_xlfn.XLOOKUP(frasest[[#This Row],[autor_es]],autorest[autor_es],autorest[epoca_es])</f>
        <v>Epoca Desconocida</v>
      </c>
      <c r="P1064" t="str">
        <f>_xlfn.XLOOKUP(frasest[[#This Row],[autor_es]],autorest[autor_es],autorest[epoca_la])</f>
        <v>Epocha Ignota</v>
      </c>
      <c r="Q1064" t="str">
        <f>_xlfn.XLOOKUP(frasest[[#This Row],[autor_es]],autorest[autor_es],autorest[imagen])</f>
        <v>https://i.ibb.co/qLfpZm6h/china.png</v>
      </c>
      <c r="R1064">
        <f>_xlfn.XLOOKUP(frasest[[#This Row],[autor_es]],autorest[autor_es],autorest[imagen_atr])</f>
        <v>0</v>
      </c>
    </row>
    <row r="1065" spans="1:18">
      <c r="A1065">
        <v>1064</v>
      </c>
      <c r="B1065" t="s">
        <v>3326</v>
      </c>
      <c r="C1065" t="s">
        <v>3327</v>
      </c>
      <c r="D1065" s="1" t="s">
        <v>3328</v>
      </c>
      <c r="E1065" t="s">
        <v>36</v>
      </c>
      <c r="G1065" t="str">
        <f>_xlfn.XLOOKUP(frasest[[#This Row],[autor_es]],autorest[autor_es],autorest[autor_la])</f>
        <v>Proverbium Sinense</v>
      </c>
      <c r="H1065" t="str">
        <f>_xlfn.XLOOKUP(frasest[[#This Row],[autor_es]],autorest[autor_es],autorest[bio_es])</f>
        <v>Conjunto de proverbios tradicionales de la cultura china que transmiten sabiduría popular, valores morales y enseñanzas prácticas transmitidas oralmente durante siglos.</v>
      </c>
      <c r="I1065" t="str">
        <f>_xlfn.XLOOKUP(frasest[[#This Row],[autor_es]],autorest[autor_es],autorest[bio_la])</f>
        <v>Collectio sententiarum Sinensium, magnopere in cultura tradita.</v>
      </c>
      <c r="J1065" t="str">
        <f>_xlfn.XLOOKUP(frasest[[#This Row],[autor_es]],autorest[autor_es],autorest[codigo])</f>
        <v>zh</v>
      </c>
      <c r="K1065" t="str">
        <f>_xlfn.XLOOKUP(frasest[[#This Row],[autor_es]],autorest[autor_es],autorest[idioma_es])</f>
        <v>Chino</v>
      </c>
      <c r="L1065" t="str">
        <f>_xlfn.XLOOKUP(frasest[[#This Row],[autor_es]],autorest[autor_es],autorest[idioma_la])</f>
        <v>Lingua Sinica</v>
      </c>
      <c r="M1065" t="str">
        <f>_xlfn.XLOOKUP(frasest[[#This Row],[autor_es]],autorest[autor_es],autorest[nacion_es])</f>
        <v>China</v>
      </c>
      <c r="N1065" t="str">
        <f>_xlfn.XLOOKUP(frasest[[#This Row],[autor_es]],autorest[autor_es],autorest[nacion_la])</f>
        <v>Sinae</v>
      </c>
      <c r="O1065" t="str">
        <f>_xlfn.XLOOKUP(frasest[[#This Row],[autor_es]],autorest[autor_es],autorest[epoca_es])</f>
        <v>Epoca Desconocida</v>
      </c>
      <c r="P1065" t="str">
        <f>_xlfn.XLOOKUP(frasest[[#This Row],[autor_es]],autorest[autor_es],autorest[epoca_la])</f>
        <v>Epocha Ignota</v>
      </c>
      <c r="Q1065" t="str">
        <f>_xlfn.XLOOKUP(frasest[[#This Row],[autor_es]],autorest[autor_es],autorest[imagen])</f>
        <v>https://i.ibb.co/qLfpZm6h/china.png</v>
      </c>
      <c r="R1065">
        <f>_xlfn.XLOOKUP(frasest[[#This Row],[autor_es]],autorest[autor_es],autorest[imagen_atr])</f>
        <v>0</v>
      </c>
    </row>
    <row r="1066" spans="1:18">
      <c r="A1066">
        <v>1065</v>
      </c>
      <c r="B1066" t="s">
        <v>3329</v>
      </c>
      <c r="C1066" t="s">
        <v>3330</v>
      </c>
      <c r="D1066" s="1" t="s">
        <v>3331</v>
      </c>
      <c r="E1066" t="s">
        <v>36</v>
      </c>
      <c r="G1066" t="str">
        <f>_xlfn.XLOOKUP(frasest[[#This Row],[autor_es]],autorest[autor_es],autorest[autor_la])</f>
        <v>Proverbium Sinense</v>
      </c>
      <c r="H1066" t="str">
        <f>_xlfn.XLOOKUP(frasest[[#This Row],[autor_es]],autorest[autor_es],autorest[bio_es])</f>
        <v>Conjunto de proverbios tradicionales de la cultura china que transmiten sabiduría popular, valores morales y enseñanzas prácticas transmitidas oralmente durante siglos.</v>
      </c>
      <c r="I1066" t="str">
        <f>_xlfn.XLOOKUP(frasest[[#This Row],[autor_es]],autorest[autor_es],autorest[bio_la])</f>
        <v>Collectio sententiarum Sinensium, magnopere in cultura tradita.</v>
      </c>
      <c r="J1066" t="str">
        <f>_xlfn.XLOOKUP(frasest[[#This Row],[autor_es]],autorest[autor_es],autorest[codigo])</f>
        <v>zh</v>
      </c>
      <c r="K1066" t="str">
        <f>_xlfn.XLOOKUP(frasest[[#This Row],[autor_es]],autorest[autor_es],autorest[idioma_es])</f>
        <v>Chino</v>
      </c>
      <c r="L1066" t="str">
        <f>_xlfn.XLOOKUP(frasest[[#This Row],[autor_es]],autorest[autor_es],autorest[idioma_la])</f>
        <v>Lingua Sinica</v>
      </c>
      <c r="M1066" t="str">
        <f>_xlfn.XLOOKUP(frasest[[#This Row],[autor_es]],autorest[autor_es],autorest[nacion_es])</f>
        <v>China</v>
      </c>
      <c r="N1066" t="str">
        <f>_xlfn.XLOOKUP(frasest[[#This Row],[autor_es]],autorest[autor_es],autorest[nacion_la])</f>
        <v>Sinae</v>
      </c>
      <c r="O1066" t="str">
        <f>_xlfn.XLOOKUP(frasest[[#This Row],[autor_es]],autorest[autor_es],autorest[epoca_es])</f>
        <v>Epoca Desconocida</v>
      </c>
      <c r="P1066" t="str">
        <f>_xlfn.XLOOKUP(frasest[[#This Row],[autor_es]],autorest[autor_es],autorest[epoca_la])</f>
        <v>Epocha Ignota</v>
      </c>
      <c r="Q1066" t="str">
        <f>_xlfn.XLOOKUP(frasest[[#This Row],[autor_es]],autorest[autor_es],autorest[imagen])</f>
        <v>https://i.ibb.co/qLfpZm6h/china.png</v>
      </c>
      <c r="R1066">
        <f>_xlfn.XLOOKUP(frasest[[#This Row],[autor_es]],autorest[autor_es],autorest[imagen_atr])</f>
        <v>0</v>
      </c>
    </row>
    <row r="1067" spans="1:18">
      <c r="A1067">
        <v>1066</v>
      </c>
      <c r="B1067" t="s">
        <v>3332</v>
      </c>
      <c r="C1067" t="s">
        <v>3333</v>
      </c>
      <c r="D1067" s="1" t="s">
        <v>3334</v>
      </c>
      <c r="E1067" t="s">
        <v>36</v>
      </c>
      <c r="G1067" t="str">
        <f>_xlfn.XLOOKUP(frasest[[#This Row],[autor_es]],autorest[autor_es],autorest[autor_la])</f>
        <v>Proverbium Sinense</v>
      </c>
      <c r="H1067" t="str">
        <f>_xlfn.XLOOKUP(frasest[[#This Row],[autor_es]],autorest[autor_es],autorest[bio_es])</f>
        <v>Conjunto de proverbios tradicionales de la cultura china que transmiten sabiduría popular, valores morales y enseñanzas prácticas transmitidas oralmente durante siglos.</v>
      </c>
      <c r="I1067" t="str">
        <f>_xlfn.XLOOKUP(frasest[[#This Row],[autor_es]],autorest[autor_es],autorest[bio_la])</f>
        <v>Collectio sententiarum Sinensium, magnopere in cultura tradita.</v>
      </c>
      <c r="J1067" t="str">
        <f>_xlfn.XLOOKUP(frasest[[#This Row],[autor_es]],autorest[autor_es],autorest[codigo])</f>
        <v>zh</v>
      </c>
      <c r="K1067" t="str">
        <f>_xlfn.XLOOKUP(frasest[[#This Row],[autor_es]],autorest[autor_es],autorest[idioma_es])</f>
        <v>Chino</v>
      </c>
      <c r="L1067" t="str">
        <f>_xlfn.XLOOKUP(frasest[[#This Row],[autor_es]],autorest[autor_es],autorest[idioma_la])</f>
        <v>Lingua Sinica</v>
      </c>
      <c r="M1067" t="str">
        <f>_xlfn.XLOOKUP(frasest[[#This Row],[autor_es]],autorest[autor_es],autorest[nacion_es])</f>
        <v>China</v>
      </c>
      <c r="N1067" t="str">
        <f>_xlfn.XLOOKUP(frasest[[#This Row],[autor_es]],autorest[autor_es],autorest[nacion_la])</f>
        <v>Sinae</v>
      </c>
      <c r="O1067" t="str">
        <f>_xlfn.XLOOKUP(frasest[[#This Row],[autor_es]],autorest[autor_es],autorest[epoca_es])</f>
        <v>Epoca Desconocida</v>
      </c>
      <c r="P1067" t="str">
        <f>_xlfn.XLOOKUP(frasest[[#This Row],[autor_es]],autorest[autor_es],autorest[epoca_la])</f>
        <v>Epocha Ignota</v>
      </c>
      <c r="Q1067" t="str">
        <f>_xlfn.XLOOKUP(frasest[[#This Row],[autor_es]],autorest[autor_es],autorest[imagen])</f>
        <v>https://i.ibb.co/qLfpZm6h/china.png</v>
      </c>
      <c r="R1067">
        <f>_xlfn.XLOOKUP(frasest[[#This Row],[autor_es]],autorest[autor_es],autorest[imagen_atr])</f>
        <v>0</v>
      </c>
    </row>
    <row r="1068" spans="1:18">
      <c r="A1068">
        <v>1067</v>
      </c>
      <c r="B1068" t="s">
        <v>3335</v>
      </c>
      <c r="C1068" t="s">
        <v>3336</v>
      </c>
      <c r="D1068" s="1" t="s">
        <v>3337</v>
      </c>
      <c r="E1068" t="s">
        <v>36</v>
      </c>
      <c r="G1068" t="str">
        <f>_xlfn.XLOOKUP(frasest[[#This Row],[autor_es]],autorest[autor_es],autorest[autor_la])</f>
        <v>Proverbium Sinense</v>
      </c>
      <c r="H1068" t="str">
        <f>_xlfn.XLOOKUP(frasest[[#This Row],[autor_es]],autorest[autor_es],autorest[bio_es])</f>
        <v>Conjunto de proverbios tradicionales de la cultura china que transmiten sabiduría popular, valores morales y enseñanzas prácticas transmitidas oralmente durante siglos.</v>
      </c>
      <c r="I1068" t="str">
        <f>_xlfn.XLOOKUP(frasest[[#This Row],[autor_es]],autorest[autor_es],autorest[bio_la])</f>
        <v>Collectio sententiarum Sinensium, magnopere in cultura tradita.</v>
      </c>
      <c r="J1068" t="str">
        <f>_xlfn.XLOOKUP(frasest[[#This Row],[autor_es]],autorest[autor_es],autorest[codigo])</f>
        <v>zh</v>
      </c>
      <c r="K1068" t="str">
        <f>_xlfn.XLOOKUP(frasest[[#This Row],[autor_es]],autorest[autor_es],autorest[idioma_es])</f>
        <v>Chino</v>
      </c>
      <c r="L1068" t="str">
        <f>_xlfn.XLOOKUP(frasest[[#This Row],[autor_es]],autorest[autor_es],autorest[idioma_la])</f>
        <v>Lingua Sinica</v>
      </c>
      <c r="M1068" t="str">
        <f>_xlfn.XLOOKUP(frasest[[#This Row],[autor_es]],autorest[autor_es],autorest[nacion_es])</f>
        <v>China</v>
      </c>
      <c r="N1068" t="str">
        <f>_xlfn.XLOOKUP(frasest[[#This Row],[autor_es]],autorest[autor_es],autorest[nacion_la])</f>
        <v>Sinae</v>
      </c>
      <c r="O1068" t="str">
        <f>_xlfn.XLOOKUP(frasest[[#This Row],[autor_es]],autorest[autor_es],autorest[epoca_es])</f>
        <v>Epoca Desconocida</v>
      </c>
      <c r="P1068" t="str">
        <f>_xlfn.XLOOKUP(frasest[[#This Row],[autor_es]],autorest[autor_es],autorest[epoca_la])</f>
        <v>Epocha Ignota</v>
      </c>
      <c r="Q1068" t="str">
        <f>_xlfn.XLOOKUP(frasest[[#This Row],[autor_es]],autorest[autor_es],autorest[imagen])</f>
        <v>https://i.ibb.co/qLfpZm6h/china.png</v>
      </c>
      <c r="R1068">
        <f>_xlfn.XLOOKUP(frasest[[#This Row],[autor_es]],autorest[autor_es],autorest[imagen_atr])</f>
        <v>0</v>
      </c>
    </row>
    <row r="1069" spans="1:18">
      <c r="A1069">
        <v>1068</v>
      </c>
      <c r="B1069" t="s">
        <v>3338</v>
      </c>
      <c r="C1069" t="s">
        <v>3339</v>
      </c>
      <c r="D1069" s="1" t="s">
        <v>3340</v>
      </c>
      <c r="E1069" t="s">
        <v>36</v>
      </c>
      <c r="G1069" t="str">
        <f>_xlfn.XLOOKUP(frasest[[#This Row],[autor_es]],autorest[autor_es],autorest[autor_la])</f>
        <v>Proverbium Sinense</v>
      </c>
      <c r="H1069" t="str">
        <f>_xlfn.XLOOKUP(frasest[[#This Row],[autor_es]],autorest[autor_es],autorest[bio_es])</f>
        <v>Conjunto de proverbios tradicionales de la cultura china que transmiten sabiduría popular, valores morales y enseñanzas prácticas transmitidas oralmente durante siglos.</v>
      </c>
      <c r="I1069" t="str">
        <f>_xlfn.XLOOKUP(frasest[[#This Row],[autor_es]],autorest[autor_es],autorest[bio_la])</f>
        <v>Collectio sententiarum Sinensium, magnopere in cultura tradita.</v>
      </c>
      <c r="J1069" t="str">
        <f>_xlfn.XLOOKUP(frasest[[#This Row],[autor_es]],autorest[autor_es],autorest[codigo])</f>
        <v>zh</v>
      </c>
      <c r="K1069" t="str">
        <f>_xlfn.XLOOKUP(frasest[[#This Row],[autor_es]],autorest[autor_es],autorest[idioma_es])</f>
        <v>Chino</v>
      </c>
      <c r="L1069" t="str">
        <f>_xlfn.XLOOKUP(frasest[[#This Row],[autor_es]],autorest[autor_es],autorest[idioma_la])</f>
        <v>Lingua Sinica</v>
      </c>
      <c r="M1069" t="str">
        <f>_xlfn.XLOOKUP(frasest[[#This Row],[autor_es]],autorest[autor_es],autorest[nacion_es])</f>
        <v>China</v>
      </c>
      <c r="N1069" t="str">
        <f>_xlfn.XLOOKUP(frasest[[#This Row],[autor_es]],autorest[autor_es],autorest[nacion_la])</f>
        <v>Sinae</v>
      </c>
      <c r="O1069" t="str">
        <f>_xlfn.XLOOKUP(frasest[[#This Row],[autor_es]],autorest[autor_es],autorest[epoca_es])</f>
        <v>Epoca Desconocida</v>
      </c>
      <c r="P1069" t="str">
        <f>_xlfn.XLOOKUP(frasest[[#This Row],[autor_es]],autorest[autor_es],autorest[epoca_la])</f>
        <v>Epocha Ignota</v>
      </c>
      <c r="Q1069" t="str">
        <f>_xlfn.XLOOKUP(frasest[[#This Row],[autor_es]],autorest[autor_es],autorest[imagen])</f>
        <v>https://i.ibb.co/qLfpZm6h/china.png</v>
      </c>
      <c r="R1069">
        <f>_xlfn.XLOOKUP(frasest[[#This Row],[autor_es]],autorest[autor_es],autorest[imagen_atr])</f>
        <v>0</v>
      </c>
    </row>
    <row r="1070" spans="1:18">
      <c r="A1070">
        <v>1069</v>
      </c>
      <c r="B1070" t="s">
        <v>3341</v>
      </c>
      <c r="C1070" t="s">
        <v>3342</v>
      </c>
      <c r="D1070" s="1" t="s">
        <v>3343</v>
      </c>
      <c r="E1070" t="s">
        <v>36</v>
      </c>
      <c r="G1070" t="str">
        <f>_xlfn.XLOOKUP(frasest[[#This Row],[autor_es]],autorest[autor_es],autorest[autor_la])</f>
        <v>Proverbium Sinense</v>
      </c>
      <c r="H1070" t="str">
        <f>_xlfn.XLOOKUP(frasest[[#This Row],[autor_es]],autorest[autor_es],autorest[bio_es])</f>
        <v>Conjunto de proverbios tradicionales de la cultura china que transmiten sabiduría popular, valores morales y enseñanzas prácticas transmitidas oralmente durante siglos.</v>
      </c>
      <c r="I1070" t="str">
        <f>_xlfn.XLOOKUP(frasest[[#This Row],[autor_es]],autorest[autor_es],autorest[bio_la])</f>
        <v>Collectio sententiarum Sinensium, magnopere in cultura tradita.</v>
      </c>
      <c r="J1070" t="str">
        <f>_xlfn.XLOOKUP(frasest[[#This Row],[autor_es]],autorest[autor_es],autorest[codigo])</f>
        <v>zh</v>
      </c>
      <c r="K1070" t="str">
        <f>_xlfn.XLOOKUP(frasest[[#This Row],[autor_es]],autorest[autor_es],autorest[idioma_es])</f>
        <v>Chino</v>
      </c>
      <c r="L1070" t="str">
        <f>_xlfn.XLOOKUP(frasest[[#This Row],[autor_es]],autorest[autor_es],autorest[idioma_la])</f>
        <v>Lingua Sinica</v>
      </c>
      <c r="M1070" t="str">
        <f>_xlfn.XLOOKUP(frasest[[#This Row],[autor_es]],autorest[autor_es],autorest[nacion_es])</f>
        <v>China</v>
      </c>
      <c r="N1070" t="str">
        <f>_xlfn.XLOOKUP(frasest[[#This Row],[autor_es]],autorest[autor_es],autorest[nacion_la])</f>
        <v>Sinae</v>
      </c>
      <c r="O1070" t="str">
        <f>_xlfn.XLOOKUP(frasest[[#This Row],[autor_es]],autorest[autor_es],autorest[epoca_es])</f>
        <v>Epoca Desconocida</v>
      </c>
      <c r="P1070" t="str">
        <f>_xlfn.XLOOKUP(frasest[[#This Row],[autor_es]],autorest[autor_es],autorest[epoca_la])</f>
        <v>Epocha Ignota</v>
      </c>
      <c r="Q1070" t="str">
        <f>_xlfn.XLOOKUP(frasest[[#This Row],[autor_es]],autorest[autor_es],autorest[imagen])</f>
        <v>https://i.ibb.co/qLfpZm6h/china.png</v>
      </c>
      <c r="R1070">
        <f>_xlfn.XLOOKUP(frasest[[#This Row],[autor_es]],autorest[autor_es],autorest[imagen_atr])</f>
        <v>0</v>
      </c>
    </row>
    <row r="1071" spans="1:18">
      <c r="A1071">
        <v>1070</v>
      </c>
      <c r="B1071" t="s">
        <v>3344</v>
      </c>
      <c r="C1071" t="s">
        <v>3345</v>
      </c>
      <c r="D1071" s="1" t="s">
        <v>3346</v>
      </c>
      <c r="E1071" t="s">
        <v>36</v>
      </c>
      <c r="G1071" t="str">
        <f>_xlfn.XLOOKUP(frasest[[#This Row],[autor_es]],autorest[autor_es],autorest[autor_la])</f>
        <v>Proverbium Sinense</v>
      </c>
      <c r="H1071" t="str">
        <f>_xlfn.XLOOKUP(frasest[[#This Row],[autor_es]],autorest[autor_es],autorest[bio_es])</f>
        <v>Conjunto de proverbios tradicionales de la cultura china que transmiten sabiduría popular, valores morales y enseñanzas prácticas transmitidas oralmente durante siglos.</v>
      </c>
      <c r="I1071" t="str">
        <f>_xlfn.XLOOKUP(frasest[[#This Row],[autor_es]],autorest[autor_es],autorest[bio_la])</f>
        <v>Collectio sententiarum Sinensium, magnopere in cultura tradita.</v>
      </c>
      <c r="J1071" t="str">
        <f>_xlfn.XLOOKUP(frasest[[#This Row],[autor_es]],autorest[autor_es],autorest[codigo])</f>
        <v>zh</v>
      </c>
      <c r="K1071" t="str">
        <f>_xlfn.XLOOKUP(frasest[[#This Row],[autor_es]],autorest[autor_es],autorest[idioma_es])</f>
        <v>Chino</v>
      </c>
      <c r="L1071" t="str">
        <f>_xlfn.XLOOKUP(frasest[[#This Row],[autor_es]],autorest[autor_es],autorest[idioma_la])</f>
        <v>Lingua Sinica</v>
      </c>
      <c r="M1071" t="str">
        <f>_xlfn.XLOOKUP(frasest[[#This Row],[autor_es]],autorest[autor_es],autorest[nacion_es])</f>
        <v>China</v>
      </c>
      <c r="N1071" t="str">
        <f>_xlfn.XLOOKUP(frasest[[#This Row],[autor_es]],autorest[autor_es],autorest[nacion_la])</f>
        <v>Sinae</v>
      </c>
      <c r="O1071" t="str">
        <f>_xlfn.XLOOKUP(frasest[[#This Row],[autor_es]],autorest[autor_es],autorest[epoca_es])</f>
        <v>Epoca Desconocida</v>
      </c>
      <c r="P1071" t="str">
        <f>_xlfn.XLOOKUP(frasest[[#This Row],[autor_es]],autorest[autor_es],autorest[epoca_la])</f>
        <v>Epocha Ignota</v>
      </c>
      <c r="Q1071" t="str">
        <f>_xlfn.XLOOKUP(frasest[[#This Row],[autor_es]],autorest[autor_es],autorest[imagen])</f>
        <v>https://i.ibb.co/qLfpZm6h/china.png</v>
      </c>
      <c r="R1071">
        <f>_xlfn.XLOOKUP(frasest[[#This Row],[autor_es]],autorest[autor_es],autorest[imagen_atr])</f>
        <v>0</v>
      </c>
    </row>
    <row r="1072" spans="1:18">
      <c r="A1072">
        <v>1071</v>
      </c>
      <c r="B1072" t="s">
        <v>3347</v>
      </c>
      <c r="C1072" t="s">
        <v>3348</v>
      </c>
      <c r="D1072" s="1" t="s">
        <v>3349</v>
      </c>
      <c r="E1072" t="s">
        <v>36</v>
      </c>
      <c r="G1072" t="str">
        <f>_xlfn.XLOOKUP(frasest[[#This Row],[autor_es]],autorest[autor_es],autorest[autor_la])</f>
        <v>Proverbium Sinense</v>
      </c>
      <c r="H1072" t="str">
        <f>_xlfn.XLOOKUP(frasest[[#This Row],[autor_es]],autorest[autor_es],autorest[bio_es])</f>
        <v>Conjunto de proverbios tradicionales de la cultura china que transmiten sabiduría popular, valores morales y enseñanzas prácticas transmitidas oralmente durante siglos.</v>
      </c>
      <c r="I1072" t="str">
        <f>_xlfn.XLOOKUP(frasest[[#This Row],[autor_es]],autorest[autor_es],autorest[bio_la])</f>
        <v>Collectio sententiarum Sinensium, magnopere in cultura tradita.</v>
      </c>
      <c r="J1072" t="str">
        <f>_xlfn.XLOOKUP(frasest[[#This Row],[autor_es]],autorest[autor_es],autorest[codigo])</f>
        <v>zh</v>
      </c>
      <c r="K1072" t="str">
        <f>_xlfn.XLOOKUP(frasest[[#This Row],[autor_es]],autorest[autor_es],autorest[idioma_es])</f>
        <v>Chino</v>
      </c>
      <c r="L1072" t="str">
        <f>_xlfn.XLOOKUP(frasest[[#This Row],[autor_es]],autorest[autor_es],autorest[idioma_la])</f>
        <v>Lingua Sinica</v>
      </c>
      <c r="M1072" t="str">
        <f>_xlfn.XLOOKUP(frasest[[#This Row],[autor_es]],autorest[autor_es],autorest[nacion_es])</f>
        <v>China</v>
      </c>
      <c r="N1072" t="str">
        <f>_xlfn.XLOOKUP(frasest[[#This Row],[autor_es]],autorest[autor_es],autorest[nacion_la])</f>
        <v>Sinae</v>
      </c>
      <c r="O1072" t="str">
        <f>_xlfn.XLOOKUP(frasest[[#This Row],[autor_es]],autorest[autor_es],autorest[epoca_es])</f>
        <v>Epoca Desconocida</v>
      </c>
      <c r="P1072" t="str">
        <f>_xlfn.XLOOKUP(frasest[[#This Row],[autor_es]],autorest[autor_es],autorest[epoca_la])</f>
        <v>Epocha Ignota</v>
      </c>
      <c r="Q1072" t="str">
        <f>_xlfn.XLOOKUP(frasest[[#This Row],[autor_es]],autorest[autor_es],autorest[imagen])</f>
        <v>https://i.ibb.co/qLfpZm6h/china.png</v>
      </c>
      <c r="R1072">
        <f>_xlfn.XLOOKUP(frasest[[#This Row],[autor_es]],autorest[autor_es],autorest[imagen_atr])</f>
        <v>0</v>
      </c>
    </row>
    <row r="1073" spans="1:18">
      <c r="A1073">
        <v>1072</v>
      </c>
      <c r="B1073" t="s">
        <v>3350</v>
      </c>
      <c r="C1073" t="s">
        <v>3351</v>
      </c>
      <c r="D1073" s="1" t="s">
        <v>3352</v>
      </c>
      <c r="E1073" t="s">
        <v>36</v>
      </c>
      <c r="G1073" t="str">
        <f>_xlfn.XLOOKUP(frasest[[#This Row],[autor_es]],autorest[autor_es],autorest[autor_la])</f>
        <v>Proverbium Sinense</v>
      </c>
      <c r="H1073" t="str">
        <f>_xlfn.XLOOKUP(frasest[[#This Row],[autor_es]],autorest[autor_es],autorest[bio_es])</f>
        <v>Conjunto de proverbios tradicionales de la cultura china que transmiten sabiduría popular, valores morales y enseñanzas prácticas transmitidas oralmente durante siglos.</v>
      </c>
      <c r="I1073" t="str">
        <f>_xlfn.XLOOKUP(frasest[[#This Row],[autor_es]],autorest[autor_es],autorest[bio_la])</f>
        <v>Collectio sententiarum Sinensium, magnopere in cultura tradita.</v>
      </c>
      <c r="J1073" t="str">
        <f>_xlfn.XLOOKUP(frasest[[#This Row],[autor_es]],autorest[autor_es],autorest[codigo])</f>
        <v>zh</v>
      </c>
      <c r="K1073" t="str">
        <f>_xlfn.XLOOKUP(frasest[[#This Row],[autor_es]],autorest[autor_es],autorest[idioma_es])</f>
        <v>Chino</v>
      </c>
      <c r="L1073" t="str">
        <f>_xlfn.XLOOKUP(frasest[[#This Row],[autor_es]],autorest[autor_es],autorest[idioma_la])</f>
        <v>Lingua Sinica</v>
      </c>
      <c r="M1073" t="str">
        <f>_xlfn.XLOOKUP(frasest[[#This Row],[autor_es]],autorest[autor_es],autorest[nacion_es])</f>
        <v>China</v>
      </c>
      <c r="N1073" t="str">
        <f>_xlfn.XLOOKUP(frasest[[#This Row],[autor_es]],autorest[autor_es],autorest[nacion_la])</f>
        <v>Sinae</v>
      </c>
      <c r="O1073" t="str">
        <f>_xlfn.XLOOKUP(frasest[[#This Row],[autor_es]],autorest[autor_es],autorest[epoca_es])</f>
        <v>Epoca Desconocida</v>
      </c>
      <c r="P1073" t="str">
        <f>_xlfn.XLOOKUP(frasest[[#This Row],[autor_es]],autorest[autor_es],autorest[epoca_la])</f>
        <v>Epocha Ignota</v>
      </c>
      <c r="Q1073" t="str">
        <f>_xlfn.XLOOKUP(frasest[[#This Row],[autor_es]],autorest[autor_es],autorest[imagen])</f>
        <v>https://i.ibb.co/qLfpZm6h/china.png</v>
      </c>
      <c r="R1073">
        <f>_xlfn.XLOOKUP(frasest[[#This Row],[autor_es]],autorest[autor_es],autorest[imagen_atr])</f>
        <v>0</v>
      </c>
    </row>
    <row r="1074" spans="1:18">
      <c r="A1074">
        <v>1073</v>
      </c>
      <c r="B1074" t="s">
        <v>3353</v>
      </c>
      <c r="C1074" t="s">
        <v>3354</v>
      </c>
      <c r="D1074" s="1" t="s">
        <v>3355</v>
      </c>
      <c r="E1074" t="s">
        <v>36</v>
      </c>
      <c r="G1074" t="str">
        <f>_xlfn.XLOOKUP(frasest[[#This Row],[autor_es]],autorest[autor_es],autorest[autor_la])</f>
        <v>Proverbium Sinense</v>
      </c>
      <c r="H1074" t="str">
        <f>_xlfn.XLOOKUP(frasest[[#This Row],[autor_es]],autorest[autor_es],autorest[bio_es])</f>
        <v>Conjunto de proverbios tradicionales de la cultura china que transmiten sabiduría popular, valores morales y enseñanzas prácticas transmitidas oralmente durante siglos.</v>
      </c>
      <c r="I1074" t="str">
        <f>_xlfn.XLOOKUP(frasest[[#This Row],[autor_es]],autorest[autor_es],autorest[bio_la])</f>
        <v>Collectio sententiarum Sinensium, magnopere in cultura tradita.</v>
      </c>
      <c r="J1074" t="str">
        <f>_xlfn.XLOOKUP(frasest[[#This Row],[autor_es]],autorest[autor_es],autorest[codigo])</f>
        <v>zh</v>
      </c>
      <c r="K1074" t="str">
        <f>_xlfn.XLOOKUP(frasest[[#This Row],[autor_es]],autorest[autor_es],autorest[idioma_es])</f>
        <v>Chino</v>
      </c>
      <c r="L1074" t="str">
        <f>_xlfn.XLOOKUP(frasest[[#This Row],[autor_es]],autorest[autor_es],autorest[idioma_la])</f>
        <v>Lingua Sinica</v>
      </c>
      <c r="M1074" t="str">
        <f>_xlfn.XLOOKUP(frasest[[#This Row],[autor_es]],autorest[autor_es],autorest[nacion_es])</f>
        <v>China</v>
      </c>
      <c r="N1074" t="str">
        <f>_xlfn.XLOOKUP(frasest[[#This Row],[autor_es]],autorest[autor_es],autorest[nacion_la])</f>
        <v>Sinae</v>
      </c>
      <c r="O1074" t="str">
        <f>_xlfn.XLOOKUP(frasest[[#This Row],[autor_es]],autorest[autor_es],autorest[epoca_es])</f>
        <v>Epoca Desconocida</v>
      </c>
      <c r="P1074" t="str">
        <f>_xlfn.XLOOKUP(frasest[[#This Row],[autor_es]],autorest[autor_es],autorest[epoca_la])</f>
        <v>Epocha Ignota</v>
      </c>
      <c r="Q1074" t="str">
        <f>_xlfn.XLOOKUP(frasest[[#This Row],[autor_es]],autorest[autor_es],autorest[imagen])</f>
        <v>https://i.ibb.co/qLfpZm6h/china.png</v>
      </c>
      <c r="R1074">
        <f>_xlfn.XLOOKUP(frasest[[#This Row],[autor_es]],autorest[autor_es],autorest[imagen_atr])</f>
        <v>0</v>
      </c>
    </row>
    <row r="1075" spans="1:18">
      <c r="A1075">
        <v>1074</v>
      </c>
      <c r="B1075" t="s">
        <v>3356</v>
      </c>
      <c r="C1075" t="s">
        <v>3357</v>
      </c>
      <c r="D1075" s="1" t="s">
        <v>3358</v>
      </c>
      <c r="E1075" t="s">
        <v>36</v>
      </c>
      <c r="G1075" t="str">
        <f>_xlfn.XLOOKUP(frasest[[#This Row],[autor_es]],autorest[autor_es],autorest[autor_la])</f>
        <v>Proverbium Sinense</v>
      </c>
      <c r="H1075" t="str">
        <f>_xlfn.XLOOKUP(frasest[[#This Row],[autor_es]],autorest[autor_es],autorest[bio_es])</f>
        <v>Conjunto de proverbios tradicionales de la cultura china que transmiten sabiduría popular, valores morales y enseñanzas prácticas transmitidas oralmente durante siglos.</v>
      </c>
      <c r="I1075" t="str">
        <f>_xlfn.XLOOKUP(frasest[[#This Row],[autor_es]],autorest[autor_es],autorest[bio_la])</f>
        <v>Collectio sententiarum Sinensium, magnopere in cultura tradita.</v>
      </c>
      <c r="J1075" t="str">
        <f>_xlfn.XLOOKUP(frasest[[#This Row],[autor_es]],autorest[autor_es],autorest[codigo])</f>
        <v>zh</v>
      </c>
      <c r="K1075" t="str">
        <f>_xlfn.XLOOKUP(frasest[[#This Row],[autor_es]],autorest[autor_es],autorest[idioma_es])</f>
        <v>Chino</v>
      </c>
      <c r="L1075" t="str">
        <f>_xlfn.XLOOKUP(frasest[[#This Row],[autor_es]],autorest[autor_es],autorest[idioma_la])</f>
        <v>Lingua Sinica</v>
      </c>
      <c r="M1075" t="str">
        <f>_xlfn.XLOOKUP(frasest[[#This Row],[autor_es]],autorest[autor_es],autorest[nacion_es])</f>
        <v>China</v>
      </c>
      <c r="N1075" t="str">
        <f>_xlfn.XLOOKUP(frasest[[#This Row],[autor_es]],autorest[autor_es],autorest[nacion_la])</f>
        <v>Sinae</v>
      </c>
      <c r="O1075" t="str">
        <f>_xlfn.XLOOKUP(frasest[[#This Row],[autor_es]],autorest[autor_es],autorest[epoca_es])</f>
        <v>Epoca Desconocida</v>
      </c>
      <c r="P1075" t="str">
        <f>_xlfn.XLOOKUP(frasest[[#This Row],[autor_es]],autorest[autor_es],autorest[epoca_la])</f>
        <v>Epocha Ignota</v>
      </c>
      <c r="Q1075" t="str">
        <f>_xlfn.XLOOKUP(frasest[[#This Row],[autor_es]],autorest[autor_es],autorest[imagen])</f>
        <v>https://i.ibb.co/qLfpZm6h/china.png</v>
      </c>
      <c r="R1075">
        <f>_xlfn.XLOOKUP(frasest[[#This Row],[autor_es]],autorest[autor_es],autorest[imagen_atr])</f>
        <v>0</v>
      </c>
    </row>
    <row r="1076" spans="1:18">
      <c r="A1076">
        <v>1075</v>
      </c>
      <c r="B1076" t="s">
        <v>3359</v>
      </c>
      <c r="C1076" t="s">
        <v>3360</v>
      </c>
      <c r="D1076" s="1" t="s">
        <v>3361</v>
      </c>
      <c r="E1076" t="s">
        <v>36</v>
      </c>
      <c r="G1076" t="str">
        <f>_xlfn.XLOOKUP(frasest[[#This Row],[autor_es]],autorest[autor_es],autorest[autor_la])</f>
        <v>Proverbium Sinense</v>
      </c>
      <c r="H1076" t="str">
        <f>_xlfn.XLOOKUP(frasest[[#This Row],[autor_es]],autorest[autor_es],autorest[bio_es])</f>
        <v>Conjunto de proverbios tradicionales de la cultura china que transmiten sabiduría popular, valores morales y enseñanzas prácticas transmitidas oralmente durante siglos.</v>
      </c>
      <c r="I1076" t="str">
        <f>_xlfn.XLOOKUP(frasest[[#This Row],[autor_es]],autorest[autor_es],autorest[bio_la])</f>
        <v>Collectio sententiarum Sinensium, magnopere in cultura tradita.</v>
      </c>
      <c r="J1076" t="str">
        <f>_xlfn.XLOOKUP(frasest[[#This Row],[autor_es]],autorest[autor_es],autorest[codigo])</f>
        <v>zh</v>
      </c>
      <c r="K1076" t="str">
        <f>_xlfn.XLOOKUP(frasest[[#This Row],[autor_es]],autorest[autor_es],autorest[idioma_es])</f>
        <v>Chino</v>
      </c>
      <c r="L1076" t="str">
        <f>_xlfn.XLOOKUP(frasest[[#This Row],[autor_es]],autorest[autor_es],autorest[idioma_la])</f>
        <v>Lingua Sinica</v>
      </c>
      <c r="M1076" t="str">
        <f>_xlfn.XLOOKUP(frasest[[#This Row],[autor_es]],autorest[autor_es],autorest[nacion_es])</f>
        <v>China</v>
      </c>
      <c r="N1076" t="str">
        <f>_xlfn.XLOOKUP(frasest[[#This Row],[autor_es]],autorest[autor_es],autorest[nacion_la])</f>
        <v>Sinae</v>
      </c>
      <c r="O1076" t="str">
        <f>_xlfn.XLOOKUP(frasest[[#This Row],[autor_es]],autorest[autor_es],autorest[epoca_es])</f>
        <v>Epoca Desconocida</v>
      </c>
      <c r="P1076" t="str">
        <f>_xlfn.XLOOKUP(frasest[[#This Row],[autor_es]],autorest[autor_es],autorest[epoca_la])</f>
        <v>Epocha Ignota</v>
      </c>
      <c r="Q1076" t="str">
        <f>_xlfn.XLOOKUP(frasest[[#This Row],[autor_es]],autorest[autor_es],autorest[imagen])</f>
        <v>https://i.ibb.co/qLfpZm6h/china.png</v>
      </c>
      <c r="R1076">
        <f>_xlfn.XLOOKUP(frasest[[#This Row],[autor_es]],autorest[autor_es],autorest[imagen_atr])</f>
        <v>0</v>
      </c>
    </row>
    <row r="1077" spans="1:18">
      <c r="A1077">
        <v>1076</v>
      </c>
      <c r="B1077" t="s">
        <v>3362</v>
      </c>
      <c r="C1077" t="s">
        <v>3363</v>
      </c>
      <c r="D1077" s="1" t="s">
        <v>3364</v>
      </c>
      <c r="E1077" t="s">
        <v>36</v>
      </c>
      <c r="G1077" t="str">
        <f>_xlfn.XLOOKUP(frasest[[#This Row],[autor_es]],autorest[autor_es],autorest[autor_la])</f>
        <v>Proverbium Sinense</v>
      </c>
      <c r="H1077" t="str">
        <f>_xlfn.XLOOKUP(frasest[[#This Row],[autor_es]],autorest[autor_es],autorest[bio_es])</f>
        <v>Conjunto de proverbios tradicionales de la cultura china que transmiten sabiduría popular, valores morales y enseñanzas prácticas transmitidas oralmente durante siglos.</v>
      </c>
      <c r="I1077" t="str">
        <f>_xlfn.XLOOKUP(frasest[[#This Row],[autor_es]],autorest[autor_es],autorest[bio_la])</f>
        <v>Collectio sententiarum Sinensium, magnopere in cultura tradita.</v>
      </c>
      <c r="J1077" t="str">
        <f>_xlfn.XLOOKUP(frasest[[#This Row],[autor_es]],autorest[autor_es],autorest[codigo])</f>
        <v>zh</v>
      </c>
      <c r="K1077" t="str">
        <f>_xlfn.XLOOKUP(frasest[[#This Row],[autor_es]],autorest[autor_es],autorest[idioma_es])</f>
        <v>Chino</v>
      </c>
      <c r="L1077" t="str">
        <f>_xlfn.XLOOKUP(frasest[[#This Row],[autor_es]],autorest[autor_es],autorest[idioma_la])</f>
        <v>Lingua Sinica</v>
      </c>
      <c r="M1077" t="str">
        <f>_xlfn.XLOOKUP(frasest[[#This Row],[autor_es]],autorest[autor_es],autorest[nacion_es])</f>
        <v>China</v>
      </c>
      <c r="N1077" t="str">
        <f>_xlfn.XLOOKUP(frasest[[#This Row],[autor_es]],autorest[autor_es],autorest[nacion_la])</f>
        <v>Sinae</v>
      </c>
      <c r="O1077" t="str">
        <f>_xlfn.XLOOKUP(frasest[[#This Row],[autor_es]],autorest[autor_es],autorest[epoca_es])</f>
        <v>Epoca Desconocida</v>
      </c>
      <c r="P1077" t="str">
        <f>_xlfn.XLOOKUP(frasest[[#This Row],[autor_es]],autorest[autor_es],autorest[epoca_la])</f>
        <v>Epocha Ignota</v>
      </c>
      <c r="Q1077" t="str">
        <f>_xlfn.XLOOKUP(frasest[[#This Row],[autor_es]],autorest[autor_es],autorest[imagen])</f>
        <v>https://i.ibb.co/qLfpZm6h/china.png</v>
      </c>
      <c r="R1077">
        <f>_xlfn.XLOOKUP(frasest[[#This Row],[autor_es]],autorest[autor_es],autorest[imagen_atr])</f>
        <v>0</v>
      </c>
    </row>
    <row r="1078" spans="1:18">
      <c r="A1078">
        <v>1077</v>
      </c>
      <c r="B1078" t="s">
        <v>3365</v>
      </c>
      <c r="C1078" t="s">
        <v>3366</v>
      </c>
      <c r="D1078" s="1" t="s">
        <v>3367</v>
      </c>
      <c r="E1078" t="s">
        <v>36</v>
      </c>
      <c r="G1078" t="str">
        <f>_xlfn.XLOOKUP(frasest[[#This Row],[autor_es]],autorest[autor_es],autorest[autor_la])</f>
        <v>Proverbium Sinense</v>
      </c>
      <c r="H1078" t="str">
        <f>_xlfn.XLOOKUP(frasest[[#This Row],[autor_es]],autorest[autor_es],autorest[bio_es])</f>
        <v>Conjunto de proverbios tradicionales de la cultura china que transmiten sabiduría popular, valores morales y enseñanzas prácticas transmitidas oralmente durante siglos.</v>
      </c>
      <c r="I1078" t="str">
        <f>_xlfn.XLOOKUP(frasest[[#This Row],[autor_es]],autorest[autor_es],autorest[bio_la])</f>
        <v>Collectio sententiarum Sinensium, magnopere in cultura tradita.</v>
      </c>
      <c r="J1078" t="str">
        <f>_xlfn.XLOOKUP(frasest[[#This Row],[autor_es]],autorest[autor_es],autorest[codigo])</f>
        <v>zh</v>
      </c>
      <c r="K1078" t="str">
        <f>_xlfn.XLOOKUP(frasest[[#This Row],[autor_es]],autorest[autor_es],autorest[idioma_es])</f>
        <v>Chino</v>
      </c>
      <c r="L1078" t="str">
        <f>_xlfn.XLOOKUP(frasest[[#This Row],[autor_es]],autorest[autor_es],autorest[idioma_la])</f>
        <v>Lingua Sinica</v>
      </c>
      <c r="M1078" t="str">
        <f>_xlfn.XLOOKUP(frasest[[#This Row],[autor_es]],autorest[autor_es],autorest[nacion_es])</f>
        <v>China</v>
      </c>
      <c r="N1078" t="str">
        <f>_xlfn.XLOOKUP(frasest[[#This Row],[autor_es]],autorest[autor_es],autorest[nacion_la])</f>
        <v>Sinae</v>
      </c>
      <c r="O1078" t="str">
        <f>_xlfn.XLOOKUP(frasest[[#This Row],[autor_es]],autorest[autor_es],autorest[epoca_es])</f>
        <v>Epoca Desconocida</v>
      </c>
      <c r="P1078" t="str">
        <f>_xlfn.XLOOKUP(frasest[[#This Row],[autor_es]],autorest[autor_es],autorest[epoca_la])</f>
        <v>Epocha Ignota</v>
      </c>
      <c r="Q1078" t="str">
        <f>_xlfn.XLOOKUP(frasest[[#This Row],[autor_es]],autorest[autor_es],autorest[imagen])</f>
        <v>https://i.ibb.co/qLfpZm6h/china.png</v>
      </c>
      <c r="R1078">
        <f>_xlfn.XLOOKUP(frasest[[#This Row],[autor_es]],autorest[autor_es],autorest[imagen_atr])</f>
        <v>0</v>
      </c>
    </row>
    <row r="1079" spans="1:18">
      <c r="A1079">
        <v>1078</v>
      </c>
      <c r="B1079" t="s">
        <v>3368</v>
      </c>
      <c r="C1079" t="s">
        <v>3369</v>
      </c>
      <c r="D1079" s="1" t="s">
        <v>3370</v>
      </c>
      <c r="E1079" t="s">
        <v>36</v>
      </c>
      <c r="G1079" t="str">
        <f>_xlfn.XLOOKUP(frasest[[#This Row],[autor_es]],autorest[autor_es],autorest[autor_la])</f>
        <v>Proverbium Sinense</v>
      </c>
      <c r="H1079" t="str">
        <f>_xlfn.XLOOKUP(frasest[[#This Row],[autor_es]],autorest[autor_es],autorest[bio_es])</f>
        <v>Conjunto de proverbios tradicionales de la cultura china que transmiten sabiduría popular, valores morales y enseñanzas prácticas transmitidas oralmente durante siglos.</v>
      </c>
      <c r="I1079" t="str">
        <f>_xlfn.XLOOKUP(frasest[[#This Row],[autor_es]],autorest[autor_es],autorest[bio_la])</f>
        <v>Collectio sententiarum Sinensium, magnopere in cultura tradita.</v>
      </c>
      <c r="J1079" t="str">
        <f>_xlfn.XLOOKUP(frasest[[#This Row],[autor_es]],autorest[autor_es],autorest[codigo])</f>
        <v>zh</v>
      </c>
      <c r="K1079" t="str">
        <f>_xlfn.XLOOKUP(frasest[[#This Row],[autor_es]],autorest[autor_es],autorest[idioma_es])</f>
        <v>Chino</v>
      </c>
      <c r="L1079" t="str">
        <f>_xlfn.XLOOKUP(frasest[[#This Row],[autor_es]],autorest[autor_es],autorest[idioma_la])</f>
        <v>Lingua Sinica</v>
      </c>
      <c r="M1079" t="str">
        <f>_xlfn.XLOOKUP(frasest[[#This Row],[autor_es]],autorest[autor_es],autorest[nacion_es])</f>
        <v>China</v>
      </c>
      <c r="N1079" t="str">
        <f>_xlfn.XLOOKUP(frasest[[#This Row],[autor_es]],autorest[autor_es],autorest[nacion_la])</f>
        <v>Sinae</v>
      </c>
      <c r="O1079" t="str">
        <f>_xlfn.XLOOKUP(frasest[[#This Row],[autor_es]],autorest[autor_es],autorest[epoca_es])</f>
        <v>Epoca Desconocida</v>
      </c>
      <c r="P1079" t="str">
        <f>_xlfn.XLOOKUP(frasest[[#This Row],[autor_es]],autorest[autor_es],autorest[epoca_la])</f>
        <v>Epocha Ignota</v>
      </c>
      <c r="Q1079" t="str">
        <f>_xlfn.XLOOKUP(frasest[[#This Row],[autor_es]],autorest[autor_es],autorest[imagen])</f>
        <v>https://i.ibb.co/qLfpZm6h/china.png</v>
      </c>
      <c r="R1079">
        <f>_xlfn.XLOOKUP(frasest[[#This Row],[autor_es]],autorest[autor_es],autorest[imagen_atr])</f>
        <v>0</v>
      </c>
    </row>
    <row r="1080" spans="1:18">
      <c r="A1080">
        <v>1079</v>
      </c>
      <c r="B1080" t="s">
        <v>3371</v>
      </c>
      <c r="C1080" t="s">
        <v>3372</v>
      </c>
      <c r="D1080" s="1" t="s">
        <v>3373</v>
      </c>
      <c r="E1080" t="s">
        <v>36</v>
      </c>
      <c r="G1080" t="str">
        <f>_xlfn.XLOOKUP(frasest[[#This Row],[autor_es]],autorest[autor_es],autorest[autor_la])</f>
        <v>Proverbium Sinense</v>
      </c>
      <c r="H1080" t="str">
        <f>_xlfn.XLOOKUP(frasest[[#This Row],[autor_es]],autorest[autor_es],autorest[bio_es])</f>
        <v>Conjunto de proverbios tradicionales de la cultura china que transmiten sabiduría popular, valores morales y enseñanzas prácticas transmitidas oralmente durante siglos.</v>
      </c>
      <c r="I1080" t="str">
        <f>_xlfn.XLOOKUP(frasest[[#This Row],[autor_es]],autorest[autor_es],autorest[bio_la])</f>
        <v>Collectio sententiarum Sinensium, magnopere in cultura tradita.</v>
      </c>
      <c r="J1080" t="str">
        <f>_xlfn.XLOOKUP(frasest[[#This Row],[autor_es]],autorest[autor_es],autorest[codigo])</f>
        <v>zh</v>
      </c>
      <c r="K1080" t="str">
        <f>_xlfn.XLOOKUP(frasest[[#This Row],[autor_es]],autorest[autor_es],autorest[idioma_es])</f>
        <v>Chino</v>
      </c>
      <c r="L1080" t="str">
        <f>_xlfn.XLOOKUP(frasest[[#This Row],[autor_es]],autorest[autor_es],autorest[idioma_la])</f>
        <v>Lingua Sinica</v>
      </c>
      <c r="M1080" t="str">
        <f>_xlfn.XLOOKUP(frasest[[#This Row],[autor_es]],autorest[autor_es],autorest[nacion_es])</f>
        <v>China</v>
      </c>
      <c r="N1080" t="str">
        <f>_xlfn.XLOOKUP(frasest[[#This Row],[autor_es]],autorest[autor_es],autorest[nacion_la])</f>
        <v>Sinae</v>
      </c>
      <c r="O1080" t="str">
        <f>_xlfn.XLOOKUP(frasest[[#This Row],[autor_es]],autorest[autor_es],autorest[epoca_es])</f>
        <v>Epoca Desconocida</v>
      </c>
      <c r="P1080" t="str">
        <f>_xlfn.XLOOKUP(frasest[[#This Row],[autor_es]],autorest[autor_es],autorest[epoca_la])</f>
        <v>Epocha Ignota</v>
      </c>
      <c r="Q1080" t="str">
        <f>_xlfn.XLOOKUP(frasest[[#This Row],[autor_es]],autorest[autor_es],autorest[imagen])</f>
        <v>https://i.ibb.co/qLfpZm6h/china.png</v>
      </c>
      <c r="R1080">
        <f>_xlfn.XLOOKUP(frasest[[#This Row],[autor_es]],autorest[autor_es],autorest[imagen_atr])</f>
        <v>0</v>
      </c>
    </row>
    <row r="1081" spans="1:18">
      <c r="A1081">
        <v>1080</v>
      </c>
      <c r="B1081" t="s">
        <v>3374</v>
      </c>
      <c r="C1081" t="s">
        <v>3375</v>
      </c>
      <c r="D1081" s="1" t="s">
        <v>3376</v>
      </c>
      <c r="E1081" t="s">
        <v>36</v>
      </c>
      <c r="G1081" t="str">
        <f>_xlfn.XLOOKUP(frasest[[#This Row],[autor_es]],autorest[autor_es],autorest[autor_la])</f>
        <v>Proverbium Sinense</v>
      </c>
      <c r="H1081" t="str">
        <f>_xlfn.XLOOKUP(frasest[[#This Row],[autor_es]],autorest[autor_es],autorest[bio_es])</f>
        <v>Conjunto de proverbios tradicionales de la cultura china que transmiten sabiduría popular, valores morales y enseñanzas prácticas transmitidas oralmente durante siglos.</v>
      </c>
      <c r="I1081" t="str">
        <f>_xlfn.XLOOKUP(frasest[[#This Row],[autor_es]],autorest[autor_es],autorest[bio_la])</f>
        <v>Collectio sententiarum Sinensium, magnopere in cultura tradita.</v>
      </c>
      <c r="J1081" t="str">
        <f>_xlfn.XLOOKUP(frasest[[#This Row],[autor_es]],autorest[autor_es],autorest[codigo])</f>
        <v>zh</v>
      </c>
      <c r="K1081" t="str">
        <f>_xlfn.XLOOKUP(frasest[[#This Row],[autor_es]],autorest[autor_es],autorest[idioma_es])</f>
        <v>Chino</v>
      </c>
      <c r="L1081" t="str">
        <f>_xlfn.XLOOKUP(frasest[[#This Row],[autor_es]],autorest[autor_es],autorest[idioma_la])</f>
        <v>Lingua Sinica</v>
      </c>
      <c r="M1081" t="str">
        <f>_xlfn.XLOOKUP(frasest[[#This Row],[autor_es]],autorest[autor_es],autorest[nacion_es])</f>
        <v>China</v>
      </c>
      <c r="N1081" t="str">
        <f>_xlfn.XLOOKUP(frasest[[#This Row],[autor_es]],autorest[autor_es],autorest[nacion_la])</f>
        <v>Sinae</v>
      </c>
      <c r="O1081" t="str">
        <f>_xlfn.XLOOKUP(frasest[[#This Row],[autor_es]],autorest[autor_es],autorest[epoca_es])</f>
        <v>Epoca Desconocida</v>
      </c>
      <c r="P1081" t="str">
        <f>_xlfn.XLOOKUP(frasest[[#This Row],[autor_es]],autorest[autor_es],autorest[epoca_la])</f>
        <v>Epocha Ignota</v>
      </c>
      <c r="Q1081" t="str">
        <f>_xlfn.XLOOKUP(frasest[[#This Row],[autor_es]],autorest[autor_es],autorest[imagen])</f>
        <v>https://i.ibb.co/qLfpZm6h/china.png</v>
      </c>
      <c r="R1081">
        <f>_xlfn.XLOOKUP(frasest[[#This Row],[autor_es]],autorest[autor_es],autorest[imagen_atr])</f>
        <v>0</v>
      </c>
    </row>
    <row r="1082" spans="1:18">
      <c r="A1082">
        <v>1081</v>
      </c>
      <c r="B1082" t="s">
        <v>3377</v>
      </c>
      <c r="C1082" t="s">
        <v>3378</v>
      </c>
      <c r="D1082" s="1" t="s">
        <v>3379</v>
      </c>
      <c r="E1082" t="s">
        <v>36</v>
      </c>
      <c r="G1082" t="str">
        <f>_xlfn.XLOOKUP(frasest[[#This Row],[autor_es]],autorest[autor_es],autorest[autor_la])</f>
        <v>Proverbium Sinense</v>
      </c>
      <c r="H1082" t="str">
        <f>_xlfn.XLOOKUP(frasest[[#This Row],[autor_es]],autorest[autor_es],autorest[bio_es])</f>
        <v>Conjunto de proverbios tradicionales de la cultura china que transmiten sabiduría popular, valores morales y enseñanzas prácticas transmitidas oralmente durante siglos.</v>
      </c>
      <c r="I1082" t="str">
        <f>_xlfn.XLOOKUP(frasest[[#This Row],[autor_es]],autorest[autor_es],autorest[bio_la])</f>
        <v>Collectio sententiarum Sinensium, magnopere in cultura tradita.</v>
      </c>
      <c r="J1082" t="str">
        <f>_xlfn.XLOOKUP(frasest[[#This Row],[autor_es]],autorest[autor_es],autorest[codigo])</f>
        <v>zh</v>
      </c>
      <c r="K1082" t="str">
        <f>_xlfn.XLOOKUP(frasest[[#This Row],[autor_es]],autorest[autor_es],autorest[idioma_es])</f>
        <v>Chino</v>
      </c>
      <c r="L1082" t="str">
        <f>_xlfn.XLOOKUP(frasest[[#This Row],[autor_es]],autorest[autor_es],autorest[idioma_la])</f>
        <v>Lingua Sinica</v>
      </c>
      <c r="M1082" t="str">
        <f>_xlfn.XLOOKUP(frasest[[#This Row],[autor_es]],autorest[autor_es],autorest[nacion_es])</f>
        <v>China</v>
      </c>
      <c r="N1082" t="str">
        <f>_xlfn.XLOOKUP(frasest[[#This Row],[autor_es]],autorest[autor_es],autorest[nacion_la])</f>
        <v>Sinae</v>
      </c>
      <c r="O1082" t="str">
        <f>_xlfn.XLOOKUP(frasest[[#This Row],[autor_es]],autorest[autor_es],autorest[epoca_es])</f>
        <v>Epoca Desconocida</v>
      </c>
      <c r="P1082" t="str">
        <f>_xlfn.XLOOKUP(frasest[[#This Row],[autor_es]],autorest[autor_es],autorest[epoca_la])</f>
        <v>Epocha Ignota</v>
      </c>
      <c r="Q1082" t="str">
        <f>_xlfn.XLOOKUP(frasest[[#This Row],[autor_es]],autorest[autor_es],autorest[imagen])</f>
        <v>https://i.ibb.co/qLfpZm6h/china.png</v>
      </c>
      <c r="R1082">
        <f>_xlfn.XLOOKUP(frasest[[#This Row],[autor_es]],autorest[autor_es],autorest[imagen_atr])</f>
        <v>0</v>
      </c>
    </row>
    <row r="1083" spans="1:18">
      <c r="A1083">
        <v>1082</v>
      </c>
      <c r="B1083" t="s">
        <v>3380</v>
      </c>
      <c r="C1083" t="s">
        <v>3381</v>
      </c>
      <c r="D1083" s="1" t="s">
        <v>3382</v>
      </c>
      <c r="E1083" t="s">
        <v>36</v>
      </c>
      <c r="G1083" t="str">
        <f>_xlfn.XLOOKUP(frasest[[#This Row],[autor_es]],autorest[autor_es],autorest[autor_la])</f>
        <v>Proverbium Sinense</v>
      </c>
      <c r="H1083" t="str">
        <f>_xlfn.XLOOKUP(frasest[[#This Row],[autor_es]],autorest[autor_es],autorest[bio_es])</f>
        <v>Conjunto de proverbios tradicionales de la cultura china que transmiten sabiduría popular, valores morales y enseñanzas prácticas transmitidas oralmente durante siglos.</v>
      </c>
      <c r="I1083" t="str">
        <f>_xlfn.XLOOKUP(frasest[[#This Row],[autor_es]],autorest[autor_es],autorest[bio_la])</f>
        <v>Collectio sententiarum Sinensium, magnopere in cultura tradita.</v>
      </c>
      <c r="J1083" t="str">
        <f>_xlfn.XLOOKUP(frasest[[#This Row],[autor_es]],autorest[autor_es],autorest[codigo])</f>
        <v>zh</v>
      </c>
      <c r="K1083" t="str">
        <f>_xlfn.XLOOKUP(frasest[[#This Row],[autor_es]],autorest[autor_es],autorest[idioma_es])</f>
        <v>Chino</v>
      </c>
      <c r="L1083" t="str">
        <f>_xlfn.XLOOKUP(frasest[[#This Row],[autor_es]],autorest[autor_es],autorest[idioma_la])</f>
        <v>Lingua Sinica</v>
      </c>
      <c r="M1083" t="str">
        <f>_xlfn.XLOOKUP(frasest[[#This Row],[autor_es]],autorest[autor_es],autorest[nacion_es])</f>
        <v>China</v>
      </c>
      <c r="N1083" t="str">
        <f>_xlfn.XLOOKUP(frasest[[#This Row],[autor_es]],autorest[autor_es],autorest[nacion_la])</f>
        <v>Sinae</v>
      </c>
      <c r="O1083" t="str">
        <f>_xlfn.XLOOKUP(frasest[[#This Row],[autor_es]],autorest[autor_es],autorest[epoca_es])</f>
        <v>Epoca Desconocida</v>
      </c>
      <c r="P1083" t="str">
        <f>_xlfn.XLOOKUP(frasest[[#This Row],[autor_es]],autorest[autor_es],autorest[epoca_la])</f>
        <v>Epocha Ignota</v>
      </c>
      <c r="Q1083" t="str">
        <f>_xlfn.XLOOKUP(frasest[[#This Row],[autor_es]],autorest[autor_es],autorest[imagen])</f>
        <v>https://i.ibb.co/qLfpZm6h/china.png</v>
      </c>
      <c r="R1083">
        <f>_xlfn.XLOOKUP(frasest[[#This Row],[autor_es]],autorest[autor_es],autorest[imagen_atr])</f>
        <v>0</v>
      </c>
    </row>
    <row r="1084" spans="1:18">
      <c r="A1084">
        <v>1083</v>
      </c>
      <c r="B1084" t="s">
        <v>3383</v>
      </c>
      <c r="C1084" t="s">
        <v>3384</v>
      </c>
      <c r="D1084" s="1" t="s">
        <v>3385</v>
      </c>
      <c r="E1084" t="s">
        <v>36</v>
      </c>
      <c r="G1084" t="str">
        <f>_xlfn.XLOOKUP(frasest[[#This Row],[autor_es]],autorest[autor_es],autorest[autor_la])</f>
        <v>Proverbium Sinense</v>
      </c>
      <c r="H1084" t="str">
        <f>_xlfn.XLOOKUP(frasest[[#This Row],[autor_es]],autorest[autor_es],autorest[bio_es])</f>
        <v>Conjunto de proverbios tradicionales de la cultura china que transmiten sabiduría popular, valores morales y enseñanzas prácticas transmitidas oralmente durante siglos.</v>
      </c>
      <c r="I1084" t="str">
        <f>_xlfn.XLOOKUP(frasest[[#This Row],[autor_es]],autorest[autor_es],autorest[bio_la])</f>
        <v>Collectio sententiarum Sinensium, magnopere in cultura tradita.</v>
      </c>
      <c r="J1084" t="str">
        <f>_xlfn.XLOOKUP(frasest[[#This Row],[autor_es]],autorest[autor_es],autorest[codigo])</f>
        <v>zh</v>
      </c>
      <c r="K1084" t="str">
        <f>_xlfn.XLOOKUP(frasest[[#This Row],[autor_es]],autorest[autor_es],autorest[idioma_es])</f>
        <v>Chino</v>
      </c>
      <c r="L1084" t="str">
        <f>_xlfn.XLOOKUP(frasest[[#This Row],[autor_es]],autorest[autor_es],autorest[idioma_la])</f>
        <v>Lingua Sinica</v>
      </c>
      <c r="M1084" t="str">
        <f>_xlfn.XLOOKUP(frasest[[#This Row],[autor_es]],autorest[autor_es],autorest[nacion_es])</f>
        <v>China</v>
      </c>
      <c r="N1084" t="str">
        <f>_xlfn.XLOOKUP(frasest[[#This Row],[autor_es]],autorest[autor_es],autorest[nacion_la])</f>
        <v>Sinae</v>
      </c>
      <c r="O1084" t="str">
        <f>_xlfn.XLOOKUP(frasest[[#This Row],[autor_es]],autorest[autor_es],autorest[epoca_es])</f>
        <v>Epoca Desconocida</v>
      </c>
      <c r="P1084" t="str">
        <f>_xlfn.XLOOKUP(frasest[[#This Row],[autor_es]],autorest[autor_es],autorest[epoca_la])</f>
        <v>Epocha Ignota</v>
      </c>
      <c r="Q1084" t="str">
        <f>_xlfn.XLOOKUP(frasest[[#This Row],[autor_es]],autorest[autor_es],autorest[imagen])</f>
        <v>https://i.ibb.co/qLfpZm6h/china.png</v>
      </c>
      <c r="R1084">
        <f>_xlfn.XLOOKUP(frasest[[#This Row],[autor_es]],autorest[autor_es],autorest[imagen_atr])</f>
        <v>0</v>
      </c>
    </row>
    <row r="1085" spans="1:18">
      <c r="A1085">
        <v>1084</v>
      </c>
      <c r="B1085" t="s">
        <v>3386</v>
      </c>
      <c r="C1085" t="s">
        <v>3387</v>
      </c>
      <c r="D1085" s="1" t="s">
        <v>3388</v>
      </c>
      <c r="E1085" t="s">
        <v>36</v>
      </c>
      <c r="G1085" t="str">
        <f>_xlfn.XLOOKUP(frasest[[#This Row],[autor_es]],autorest[autor_es],autorest[autor_la])</f>
        <v>Proverbium Sinense</v>
      </c>
      <c r="H1085" t="str">
        <f>_xlfn.XLOOKUP(frasest[[#This Row],[autor_es]],autorest[autor_es],autorest[bio_es])</f>
        <v>Conjunto de proverbios tradicionales de la cultura china que transmiten sabiduría popular, valores morales y enseñanzas prácticas transmitidas oralmente durante siglos.</v>
      </c>
      <c r="I1085" t="str">
        <f>_xlfn.XLOOKUP(frasest[[#This Row],[autor_es]],autorest[autor_es],autorest[bio_la])</f>
        <v>Collectio sententiarum Sinensium, magnopere in cultura tradita.</v>
      </c>
      <c r="J1085" t="str">
        <f>_xlfn.XLOOKUP(frasest[[#This Row],[autor_es]],autorest[autor_es],autorest[codigo])</f>
        <v>zh</v>
      </c>
      <c r="K1085" t="str">
        <f>_xlfn.XLOOKUP(frasest[[#This Row],[autor_es]],autorest[autor_es],autorest[idioma_es])</f>
        <v>Chino</v>
      </c>
      <c r="L1085" t="str">
        <f>_xlfn.XLOOKUP(frasest[[#This Row],[autor_es]],autorest[autor_es],autorest[idioma_la])</f>
        <v>Lingua Sinica</v>
      </c>
      <c r="M1085" t="str">
        <f>_xlfn.XLOOKUP(frasest[[#This Row],[autor_es]],autorest[autor_es],autorest[nacion_es])</f>
        <v>China</v>
      </c>
      <c r="N1085" t="str">
        <f>_xlfn.XLOOKUP(frasest[[#This Row],[autor_es]],autorest[autor_es],autorest[nacion_la])</f>
        <v>Sinae</v>
      </c>
      <c r="O1085" t="str">
        <f>_xlfn.XLOOKUP(frasest[[#This Row],[autor_es]],autorest[autor_es],autorest[epoca_es])</f>
        <v>Epoca Desconocida</v>
      </c>
      <c r="P1085" t="str">
        <f>_xlfn.XLOOKUP(frasest[[#This Row],[autor_es]],autorest[autor_es],autorest[epoca_la])</f>
        <v>Epocha Ignota</v>
      </c>
      <c r="Q1085" t="str">
        <f>_xlfn.XLOOKUP(frasest[[#This Row],[autor_es]],autorest[autor_es],autorest[imagen])</f>
        <v>https://i.ibb.co/qLfpZm6h/china.png</v>
      </c>
      <c r="R1085">
        <f>_xlfn.XLOOKUP(frasest[[#This Row],[autor_es]],autorest[autor_es],autorest[imagen_atr])</f>
        <v>0</v>
      </c>
    </row>
    <row r="1086" spans="1:18">
      <c r="A1086">
        <v>1085</v>
      </c>
      <c r="B1086" t="s">
        <v>3389</v>
      </c>
      <c r="C1086" t="s">
        <v>3390</v>
      </c>
      <c r="D1086" s="1" t="s">
        <v>3391</v>
      </c>
      <c r="E1086" t="s">
        <v>36</v>
      </c>
      <c r="G1086" t="str">
        <f>_xlfn.XLOOKUP(frasest[[#This Row],[autor_es]],autorest[autor_es],autorest[autor_la])</f>
        <v>Proverbium Sinense</v>
      </c>
      <c r="H1086" t="str">
        <f>_xlfn.XLOOKUP(frasest[[#This Row],[autor_es]],autorest[autor_es],autorest[bio_es])</f>
        <v>Conjunto de proverbios tradicionales de la cultura china que transmiten sabiduría popular, valores morales y enseñanzas prácticas transmitidas oralmente durante siglos.</v>
      </c>
      <c r="I1086" t="str">
        <f>_xlfn.XLOOKUP(frasest[[#This Row],[autor_es]],autorest[autor_es],autorest[bio_la])</f>
        <v>Collectio sententiarum Sinensium, magnopere in cultura tradita.</v>
      </c>
      <c r="J1086" t="str">
        <f>_xlfn.XLOOKUP(frasest[[#This Row],[autor_es]],autorest[autor_es],autorest[codigo])</f>
        <v>zh</v>
      </c>
      <c r="K1086" t="str">
        <f>_xlfn.XLOOKUP(frasest[[#This Row],[autor_es]],autorest[autor_es],autorest[idioma_es])</f>
        <v>Chino</v>
      </c>
      <c r="L1086" t="str">
        <f>_xlfn.XLOOKUP(frasest[[#This Row],[autor_es]],autorest[autor_es],autorest[idioma_la])</f>
        <v>Lingua Sinica</v>
      </c>
      <c r="M1086" t="str">
        <f>_xlfn.XLOOKUP(frasest[[#This Row],[autor_es]],autorest[autor_es],autorest[nacion_es])</f>
        <v>China</v>
      </c>
      <c r="N1086" t="str">
        <f>_xlfn.XLOOKUP(frasest[[#This Row],[autor_es]],autorest[autor_es],autorest[nacion_la])</f>
        <v>Sinae</v>
      </c>
      <c r="O1086" t="str">
        <f>_xlfn.XLOOKUP(frasest[[#This Row],[autor_es]],autorest[autor_es],autorest[epoca_es])</f>
        <v>Epoca Desconocida</v>
      </c>
      <c r="P1086" t="str">
        <f>_xlfn.XLOOKUP(frasest[[#This Row],[autor_es]],autorest[autor_es],autorest[epoca_la])</f>
        <v>Epocha Ignota</v>
      </c>
      <c r="Q1086" t="str">
        <f>_xlfn.XLOOKUP(frasest[[#This Row],[autor_es]],autorest[autor_es],autorest[imagen])</f>
        <v>https://i.ibb.co/qLfpZm6h/china.png</v>
      </c>
      <c r="R1086">
        <f>_xlfn.XLOOKUP(frasest[[#This Row],[autor_es]],autorest[autor_es],autorest[imagen_atr])</f>
        <v>0</v>
      </c>
    </row>
    <row r="1087" spans="1:18">
      <c r="A1087">
        <v>1086</v>
      </c>
      <c r="B1087" t="s">
        <v>3392</v>
      </c>
      <c r="C1087" t="s">
        <v>3393</v>
      </c>
      <c r="D1087" s="1" t="s">
        <v>3394</v>
      </c>
      <c r="E1087" t="s">
        <v>36</v>
      </c>
      <c r="G1087" t="str">
        <f>_xlfn.XLOOKUP(frasest[[#This Row],[autor_es]],autorest[autor_es],autorest[autor_la])</f>
        <v>Proverbium Sinense</v>
      </c>
      <c r="H1087" t="str">
        <f>_xlfn.XLOOKUP(frasest[[#This Row],[autor_es]],autorest[autor_es],autorest[bio_es])</f>
        <v>Conjunto de proverbios tradicionales de la cultura china que transmiten sabiduría popular, valores morales y enseñanzas prácticas transmitidas oralmente durante siglos.</v>
      </c>
      <c r="I1087" t="str">
        <f>_xlfn.XLOOKUP(frasest[[#This Row],[autor_es]],autorest[autor_es],autorest[bio_la])</f>
        <v>Collectio sententiarum Sinensium, magnopere in cultura tradita.</v>
      </c>
      <c r="J1087" t="str">
        <f>_xlfn.XLOOKUP(frasest[[#This Row],[autor_es]],autorest[autor_es],autorest[codigo])</f>
        <v>zh</v>
      </c>
      <c r="K1087" t="str">
        <f>_xlfn.XLOOKUP(frasest[[#This Row],[autor_es]],autorest[autor_es],autorest[idioma_es])</f>
        <v>Chino</v>
      </c>
      <c r="L1087" t="str">
        <f>_xlfn.XLOOKUP(frasest[[#This Row],[autor_es]],autorest[autor_es],autorest[idioma_la])</f>
        <v>Lingua Sinica</v>
      </c>
      <c r="M1087" t="str">
        <f>_xlfn.XLOOKUP(frasest[[#This Row],[autor_es]],autorest[autor_es],autorest[nacion_es])</f>
        <v>China</v>
      </c>
      <c r="N1087" t="str">
        <f>_xlfn.XLOOKUP(frasest[[#This Row],[autor_es]],autorest[autor_es],autorest[nacion_la])</f>
        <v>Sinae</v>
      </c>
      <c r="O1087" t="str">
        <f>_xlfn.XLOOKUP(frasest[[#This Row],[autor_es]],autorest[autor_es],autorest[epoca_es])</f>
        <v>Epoca Desconocida</v>
      </c>
      <c r="P1087" t="str">
        <f>_xlfn.XLOOKUP(frasest[[#This Row],[autor_es]],autorest[autor_es],autorest[epoca_la])</f>
        <v>Epocha Ignota</v>
      </c>
      <c r="Q1087" t="str">
        <f>_xlfn.XLOOKUP(frasest[[#This Row],[autor_es]],autorest[autor_es],autorest[imagen])</f>
        <v>https://i.ibb.co/qLfpZm6h/china.png</v>
      </c>
      <c r="R1087">
        <f>_xlfn.XLOOKUP(frasest[[#This Row],[autor_es]],autorest[autor_es],autorest[imagen_atr])</f>
        <v>0</v>
      </c>
    </row>
    <row r="1088" spans="1:18">
      <c r="A1088">
        <v>1087</v>
      </c>
      <c r="B1088" t="s">
        <v>3395</v>
      </c>
      <c r="C1088" t="s">
        <v>3396</v>
      </c>
      <c r="D1088" s="1" t="s">
        <v>3397</v>
      </c>
      <c r="E1088" t="s">
        <v>36</v>
      </c>
      <c r="G1088" t="str">
        <f>_xlfn.XLOOKUP(frasest[[#This Row],[autor_es]],autorest[autor_es],autorest[autor_la])</f>
        <v>Proverbium Sinense</v>
      </c>
      <c r="H1088" t="str">
        <f>_xlfn.XLOOKUP(frasest[[#This Row],[autor_es]],autorest[autor_es],autorest[bio_es])</f>
        <v>Conjunto de proverbios tradicionales de la cultura china que transmiten sabiduría popular, valores morales y enseñanzas prácticas transmitidas oralmente durante siglos.</v>
      </c>
      <c r="I1088" t="str">
        <f>_xlfn.XLOOKUP(frasest[[#This Row],[autor_es]],autorest[autor_es],autorest[bio_la])</f>
        <v>Collectio sententiarum Sinensium, magnopere in cultura tradita.</v>
      </c>
      <c r="J1088" t="str">
        <f>_xlfn.XLOOKUP(frasest[[#This Row],[autor_es]],autorest[autor_es],autorest[codigo])</f>
        <v>zh</v>
      </c>
      <c r="K1088" t="str">
        <f>_xlfn.XLOOKUP(frasest[[#This Row],[autor_es]],autorest[autor_es],autorest[idioma_es])</f>
        <v>Chino</v>
      </c>
      <c r="L1088" t="str">
        <f>_xlfn.XLOOKUP(frasest[[#This Row],[autor_es]],autorest[autor_es],autorest[idioma_la])</f>
        <v>Lingua Sinica</v>
      </c>
      <c r="M1088" t="str">
        <f>_xlfn.XLOOKUP(frasest[[#This Row],[autor_es]],autorest[autor_es],autorest[nacion_es])</f>
        <v>China</v>
      </c>
      <c r="N1088" t="str">
        <f>_xlfn.XLOOKUP(frasest[[#This Row],[autor_es]],autorest[autor_es],autorest[nacion_la])</f>
        <v>Sinae</v>
      </c>
      <c r="O1088" t="str">
        <f>_xlfn.XLOOKUP(frasest[[#This Row],[autor_es]],autorest[autor_es],autorest[epoca_es])</f>
        <v>Epoca Desconocida</v>
      </c>
      <c r="P1088" t="str">
        <f>_xlfn.XLOOKUP(frasest[[#This Row],[autor_es]],autorest[autor_es],autorest[epoca_la])</f>
        <v>Epocha Ignota</v>
      </c>
      <c r="Q1088" t="str">
        <f>_xlfn.XLOOKUP(frasest[[#This Row],[autor_es]],autorest[autor_es],autorest[imagen])</f>
        <v>https://i.ibb.co/qLfpZm6h/china.png</v>
      </c>
      <c r="R1088">
        <f>_xlfn.XLOOKUP(frasest[[#This Row],[autor_es]],autorest[autor_es],autorest[imagen_atr])</f>
        <v>0</v>
      </c>
    </row>
    <row r="1089" spans="1:18">
      <c r="A1089">
        <v>1088</v>
      </c>
      <c r="B1089" t="s">
        <v>3398</v>
      </c>
      <c r="C1089" t="s">
        <v>3399</v>
      </c>
      <c r="D1089" s="1" t="s">
        <v>3400</v>
      </c>
      <c r="E1089" t="s">
        <v>36</v>
      </c>
      <c r="G1089" t="str">
        <f>_xlfn.XLOOKUP(frasest[[#This Row],[autor_es]],autorest[autor_es],autorest[autor_la])</f>
        <v>Proverbium Sinense</v>
      </c>
      <c r="H1089" t="str">
        <f>_xlfn.XLOOKUP(frasest[[#This Row],[autor_es]],autorest[autor_es],autorest[bio_es])</f>
        <v>Conjunto de proverbios tradicionales de la cultura china que transmiten sabiduría popular, valores morales y enseñanzas prácticas transmitidas oralmente durante siglos.</v>
      </c>
      <c r="I1089" t="str">
        <f>_xlfn.XLOOKUP(frasest[[#This Row],[autor_es]],autorest[autor_es],autorest[bio_la])</f>
        <v>Collectio sententiarum Sinensium, magnopere in cultura tradita.</v>
      </c>
      <c r="J1089" t="str">
        <f>_xlfn.XLOOKUP(frasest[[#This Row],[autor_es]],autorest[autor_es],autorest[codigo])</f>
        <v>zh</v>
      </c>
      <c r="K1089" t="str">
        <f>_xlfn.XLOOKUP(frasest[[#This Row],[autor_es]],autorest[autor_es],autorest[idioma_es])</f>
        <v>Chino</v>
      </c>
      <c r="L1089" t="str">
        <f>_xlfn.XLOOKUP(frasest[[#This Row],[autor_es]],autorest[autor_es],autorest[idioma_la])</f>
        <v>Lingua Sinica</v>
      </c>
      <c r="M1089" t="str">
        <f>_xlfn.XLOOKUP(frasest[[#This Row],[autor_es]],autorest[autor_es],autorest[nacion_es])</f>
        <v>China</v>
      </c>
      <c r="N1089" t="str">
        <f>_xlfn.XLOOKUP(frasest[[#This Row],[autor_es]],autorest[autor_es],autorest[nacion_la])</f>
        <v>Sinae</v>
      </c>
      <c r="O1089" t="str">
        <f>_xlfn.XLOOKUP(frasest[[#This Row],[autor_es]],autorest[autor_es],autorest[epoca_es])</f>
        <v>Epoca Desconocida</v>
      </c>
      <c r="P1089" t="str">
        <f>_xlfn.XLOOKUP(frasest[[#This Row],[autor_es]],autorest[autor_es],autorest[epoca_la])</f>
        <v>Epocha Ignota</v>
      </c>
      <c r="Q1089" t="str">
        <f>_xlfn.XLOOKUP(frasest[[#This Row],[autor_es]],autorest[autor_es],autorest[imagen])</f>
        <v>https://i.ibb.co/qLfpZm6h/china.png</v>
      </c>
      <c r="R1089">
        <f>_xlfn.XLOOKUP(frasest[[#This Row],[autor_es]],autorest[autor_es],autorest[imagen_atr])</f>
        <v>0</v>
      </c>
    </row>
    <row r="1090" spans="1:18">
      <c r="A1090">
        <v>1089</v>
      </c>
      <c r="B1090" t="s">
        <v>3401</v>
      </c>
      <c r="C1090" t="s">
        <v>3402</v>
      </c>
      <c r="D1090" s="1" t="s">
        <v>3403</v>
      </c>
      <c r="E1090" t="s">
        <v>36</v>
      </c>
      <c r="G1090" t="str">
        <f>_xlfn.XLOOKUP(frasest[[#This Row],[autor_es]],autorest[autor_es],autorest[autor_la])</f>
        <v>Proverbium Sinense</v>
      </c>
      <c r="H1090" t="str">
        <f>_xlfn.XLOOKUP(frasest[[#This Row],[autor_es]],autorest[autor_es],autorest[bio_es])</f>
        <v>Conjunto de proverbios tradicionales de la cultura china que transmiten sabiduría popular, valores morales y enseñanzas prácticas transmitidas oralmente durante siglos.</v>
      </c>
      <c r="I1090" t="str">
        <f>_xlfn.XLOOKUP(frasest[[#This Row],[autor_es]],autorest[autor_es],autorest[bio_la])</f>
        <v>Collectio sententiarum Sinensium, magnopere in cultura tradita.</v>
      </c>
      <c r="J1090" t="str">
        <f>_xlfn.XLOOKUP(frasest[[#This Row],[autor_es]],autorest[autor_es],autorest[codigo])</f>
        <v>zh</v>
      </c>
      <c r="K1090" t="str">
        <f>_xlfn.XLOOKUP(frasest[[#This Row],[autor_es]],autorest[autor_es],autorest[idioma_es])</f>
        <v>Chino</v>
      </c>
      <c r="L1090" t="str">
        <f>_xlfn.XLOOKUP(frasest[[#This Row],[autor_es]],autorest[autor_es],autorest[idioma_la])</f>
        <v>Lingua Sinica</v>
      </c>
      <c r="M1090" t="str">
        <f>_xlfn.XLOOKUP(frasest[[#This Row],[autor_es]],autorest[autor_es],autorest[nacion_es])</f>
        <v>China</v>
      </c>
      <c r="N1090" t="str">
        <f>_xlfn.XLOOKUP(frasest[[#This Row],[autor_es]],autorest[autor_es],autorest[nacion_la])</f>
        <v>Sinae</v>
      </c>
      <c r="O1090" t="str">
        <f>_xlfn.XLOOKUP(frasest[[#This Row],[autor_es]],autorest[autor_es],autorest[epoca_es])</f>
        <v>Epoca Desconocida</v>
      </c>
      <c r="P1090" t="str">
        <f>_xlfn.XLOOKUP(frasest[[#This Row],[autor_es]],autorest[autor_es],autorest[epoca_la])</f>
        <v>Epocha Ignota</v>
      </c>
      <c r="Q1090" t="str">
        <f>_xlfn.XLOOKUP(frasest[[#This Row],[autor_es]],autorest[autor_es],autorest[imagen])</f>
        <v>https://i.ibb.co/qLfpZm6h/china.png</v>
      </c>
      <c r="R1090">
        <f>_xlfn.XLOOKUP(frasest[[#This Row],[autor_es]],autorest[autor_es],autorest[imagen_atr])</f>
        <v>0</v>
      </c>
    </row>
    <row r="1091" spans="1:18">
      <c r="A1091">
        <v>1090</v>
      </c>
      <c r="B1091" t="s">
        <v>3404</v>
      </c>
      <c r="C1091" t="s">
        <v>3405</v>
      </c>
      <c r="D1091" s="1" t="s">
        <v>3406</v>
      </c>
      <c r="E1091" t="s">
        <v>36</v>
      </c>
      <c r="G1091" t="str">
        <f>_xlfn.XLOOKUP(frasest[[#This Row],[autor_es]],autorest[autor_es],autorest[autor_la])</f>
        <v>Proverbium Sinense</v>
      </c>
      <c r="H1091" t="str">
        <f>_xlfn.XLOOKUP(frasest[[#This Row],[autor_es]],autorest[autor_es],autorest[bio_es])</f>
        <v>Conjunto de proverbios tradicionales de la cultura china que transmiten sabiduría popular, valores morales y enseñanzas prácticas transmitidas oralmente durante siglos.</v>
      </c>
      <c r="I1091" t="str">
        <f>_xlfn.XLOOKUP(frasest[[#This Row],[autor_es]],autorest[autor_es],autorest[bio_la])</f>
        <v>Collectio sententiarum Sinensium, magnopere in cultura tradita.</v>
      </c>
      <c r="J1091" t="str">
        <f>_xlfn.XLOOKUP(frasest[[#This Row],[autor_es]],autorest[autor_es],autorest[codigo])</f>
        <v>zh</v>
      </c>
      <c r="K1091" t="str">
        <f>_xlfn.XLOOKUP(frasest[[#This Row],[autor_es]],autorest[autor_es],autorest[idioma_es])</f>
        <v>Chino</v>
      </c>
      <c r="L1091" t="str">
        <f>_xlfn.XLOOKUP(frasest[[#This Row],[autor_es]],autorest[autor_es],autorest[idioma_la])</f>
        <v>Lingua Sinica</v>
      </c>
      <c r="M1091" t="str">
        <f>_xlfn.XLOOKUP(frasest[[#This Row],[autor_es]],autorest[autor_es],autorest[nacion_es])</f>
        <v>China</v>
      </c>
      <c r="N1091" t="str">
        <f>_xlfn.XLOOKUP(frasest[[#This Row],[autor_es]],autorest[autor_es],autorest[nacion_la])</f>
        <v>Sinae</v>
      </c>
      <c r="O1091" t="str">
        <f>_xlfn.XLOOKUP(frasest[[#This Row],[autor_es]],autorest[autor_es],autorest[epoca_es])</f>
        <v>Epoca Desconocida</v>
      </c>
      <c r="P1091" t="str">
        <f>_xlfn.XLOOKUP(frasest[[#This Row],[autor_es]],autorest[autor_es],autorest[epoca_la])</f>
        <v>Epocha Ignota</v>
      </c>
      <c r="Q1091" t="str">
        <f>_xlfn.XLOOKUP(frasest[[#This Row],[autor_es]],autorest[autor_es],autorest[imagen])</f>
        <v>https://i.ibb.co/qLfpZm6h/china.png</v>
      </c>
      <c r="R1091">
        <f>_xlfn.XLOOKUP(frasest[[#This Row],[autor_es]],autorest[autor_es],autorest[imagen_atr])</f>
        <v>0</v>
      </c>
    </row>
    <row r="1092" spans="1:18">
      <c r="A1092">
        <v>1091</v>
      </c>
      <c r="B1092" t="s">
        <v>3407</v>
      </c>
      <c r="C1092" t="s">
        <v>3408</v>
      </c>
      <c r="D1092" s="1" t="s">
        <v>3409</v>
      </c>
      <c r="E1092" t="s">
        <v>36</v>
      </c>
      <c r="G1092" t="str">
        <f>_xlfn.XLOOKUP(frasest[[#This Row],[autor_es]],autorest[autor_es],autorest[autor_la])</f>
        <v>Proverbium Sinense</v>
      </c>
      <c r="H1092" t="str">
        <f>_xlfn.XLOOKUP(frasest[[#This Row],[autor_es]],autorest[autor_es],autorest[bio_es])</f>
        <v>Conjunto de proverbios tradicionales de la cultura china que transmiten sabiduría popular, valores morales y enseñanzas prácticas transmitidas oralmente durante siglos.</v>
      </c>
      <c r="I1092" t="str">
        <f>_xlfn.XLOOKUP(frasest[[#This Row],[autor_es]],autorest[autor_es],autorest[bio_la])</f>
        <v>Collectio sententiarum Sinensium, magnopere in cultura tradita.</v>
      </c>
      <c r="J1092" t="str">
        <f>_xlfn.XLOOKUP(frasest[[#This Row],[autor_es]],autorest[autor_es],autorest[codigo])</f>
        <v>zh</v>
      </c>
      <c r="K1092" t="str">
        <f>_xlfn.XLOOKUP(frasest[[#This Row],[autor_es]],autorest[autor_es],autorest[idioma_es])</f>
        <v>Chino</v>
      </c>
      <c r="L1092" t="str">
        <f>_xlfn.XLOOKUP(frasest[[#This Row],[autor_es]],autorest[autor_es],autorest[idioma_la])</f>
        <v>Lingua Sinica</v>
      </c>
      <c r="M1092" t="str">
        <f>_xlfn.XLOOKUP(frasest[[#This Row],[autor_es]],autorest[autor_es],autorest[nacion_es])</f>
        <v>China</v>
      </c>
      <c r="N1092" t="str">
        <f>_xlfn.XLOOKUP(frasest[[#This Row],[autor_es]],autorest[autor_es],autorest[nacion_la])</f>
        <v>Sinae</v>
      </c>
      <c r="O1092" t="str">
        <f>_xlfn.XLOOKUP(frasest[[#This Row],[autor_es]],autorest[autor_es],autorest[epoca_es])</f>
        <v>Epoca Desconocida</v>
      </c>
      <c r="P1092" t="str">
        <f>_xlfn.XLOOKUP(frasest[[#This Row],[autor_es]],autorest[autor_es],autorest[epoca_la])</f>
        <v>Epocha Ignota</v>
      </c>
      <c r="Q1092" t="str">
        <f>_xlfn.XLOOKUP(frasest[[#This Row],[autor_es]],autorest[autor_es],autorest[imagen])</f>
        <v>https://i.ibb.co/qLfpZm6h/china.png</v>
      </c>
      <c r="R1092">
        <f>_xlfn.XLOOKUP(frasest[[#This Row],[autor_es]],autorest[autor_es],autorest[imagen_atr])</f>
        <v>0</v>
      </c>
    </row>
    <row r="1093" spans="1:18">
      <c r="A1093">
        <v>1092</v>
      </c>
      <c r="B1093" t="s">
        <v>3410</v>
      </c>
      <c r="C1093" t="s">
        <v>3411</v>
      </c>
      <c r="D1093" s="1" t="s">
        <v>3412</v>
      </c>
      <c r="E1093" t="s">
        <v>36</v>
      </c>
      <c r="G1093" t="str">
        <f>_xlfn.XLOOKUP(frasest[[#This Row],[autor_es]],autorest[autor_es],autorest[autor_la])</f>
        <v>Proverbium Sinense</v>
      </c>
      <c r="H1093" t="str">
        <f>_xlfn.XLOOKUP(frasest[[#This Row],[autor_es]],autorest[autor_es],autorest[bio_es])</f>
        <v>Conjunto de proverbios tradicionales de la cultura china que transmiten sabiduría popular, valores morales y enseñanzas prácticas transmitidas oralmente durante siglos.</v>
      </c>
      <c r="I1093" t="str">
        <f>_xlfn.XLOOKUP(frasest[[#This Row],[autor_es]],autorest[autor_es],autorest[bio_la])</f>
        <v>Collectio sententiarum Sinensium, magnopere in cultura tradita.</v>
      </c>
      <c r="J1093" t="str">
        <f>_xlfn.XLOOKUP(frasest[[#This Row],[autor_es]],autorest[autor_es],autorest[codigo])</f>
        <v>zh</v>
      </c>
      <c r="K1093" t="str">
        <f>_xlfn.XLOOKUP(frasest[[#This Row],[autor_es]],autorest[autor_es],autorest[idioma_es])</f>
        <v>Chino</v>
      </c>
      <c r="L1093" t="str">
        <f>_xlfn.XLOOKUP(frasest[[#This Row],[autor_es]],autorest[autor_es],autorest[idioma_la])</f>
        <v>Lingua Sinica</v>
      </c>
      <c r="M1093" t="str">
        <f>_xlfn.XLOOKUP(frasest[[#This Row],[autor_es]],autorest[autor_es],autorest[nacion_es])</f>
        <v>China</v>
      </c>
      <c r="N1093" t="str">
        <f>_xlfn.XLOOKUP(frasest[[#This Row],[autor_es]],autorest[autor_es],autorest[nacion_la])</f>
        <v>Sinae</v>
      </c>
      <c r="O1093" t="str">
        <f>_xlfn.XLOOKUP(frasest[[#This Row],[autor_es]],autorest[autor_es],autorest[epoca_es])</f>
        <v>Epoca Desconocida</v>
      </c>
      <c r="P1093" t="str">
        <f>_xlfn.XLOOKUP(frasest[[#This Row],[autor_es]],autorest[autor_es],autorest[epoca_la])</f>
        <v>Epocha Ignota</v>
      </c>
      <c r="Q1093" t="str">
        <f>_xlfn.XLOOKUP(frasest[[#This Row],[autor_es]],autorest[autor_es],autorest[imagen])</f>
        <v>https://i.ibb.co/qLfpZm6h/china.png</v>
      </c>
      <c r="R1093">
        <f>_xlfn.XLOOKUP(frasest[[#This Row],[autor_es]],autorest[autor_es],autorest[imagen_atr])</f>
        <v>0</v>
      </c>
    </row>
    <row r="1094" spans="1:18">
      <c r="A1094">
        <v>1093</v>
      </c>
      <c r="B1094" t="s">
        <v>3413</v>
      </c>
      <c r="C1094" t="s">
        <v>3414</v>
      </c>
      <c r="D1094" s="1" t="s">
        <v>3415</v>
      </c>
      <c r="E1094" t="s">
        <v>36</v>
      </c>
      <c r="G1094" t="str">
        <f>_xlfn.XLOOKUP(frasest[[#This Row],[autor_es]],autorest[autor_es],autorest[autor_la])</f>
        <v>Proverbium Sinense</v>
      </c>
      <c r="H1094" t="str">
        <f>_xlfn.XLOOKUP(frasest[[#This Row],[autor_es]],autorest[autor_es],autorest[bio_es])</f>
        <v>Conjunto de proverbios tradicionales de la cultura china que transmiten sabiduría popular, valores morales y enseñanzas prácticas transmitidas oralmente durante siglos.</v>
      </c>
      <c r="I1094" t="str">
        <f>_xlfn.XLOOKUP(frasest[[#This Row],[autor_es]],autorest[autor_es],autorest[bio_la])</f>
        <v>Collectio sententiarum Sinensium, magnopere in cultura tradita.</v>
      </c>
      <c r="J1094" t="str">
        <f>_xlfn.XLOOKUP(frasest[[#This Row],[autor_es]],autorest[autor_es],autorest[codigo])</f>
        <v>zh</v>
      </c>
      <c r="K1094" t="str">
        <f>_xlfn.XLOOKUP(frasest[[#This Row],[autor_es]],autorest[autor_es],autorest[idioma_es])</f>
        <v>Chino</v>
      </c>
      <c r="L1094" t="str">
        <f>_xlfn.XLOOKUP(frasest[[#This Row],[autor_es]],autorest[autor_es],autorest[idioma_la])</f>
        <v>Lingua Sinica</v>
      </c>
      <c r="M1094" t="str">
        <f>_xlfn.XLOOKUP(frasest[[#This Row],[autor_es]],autorest[autor_es],autorest[nacion_es])</f>
        <v>China</v>
      </c>
      <c r="N1094" t="str">
        <f>_xlfn.XLOOKUP(frasest[[#This Row],[autor_es]],autorest[autor_es],autorest[nacion_la])</f>
        <v>Sinae</v>
      </c>
      <c r="O1094" t="str">
        <f>_xlfn.XLOOKUP(frasest[[#This Row],[autor_es]],autorest[autor_es],autorest[epoca_es])</f>
        <v>Epoca Desconocida</v>
      </c>
      <c r="P1094" t="str">
        <f>_xlfn.XLOOKUP(frasest[[#This Row],[autor_es]],autorest[autor_es],autorest[epoca_la])</f>
        <v>Epocha Ignota</v>
      </c>
      <c r="Q1094" t="str">
        <f>_xlfn.XLOOKUP(frasest[[#This Row],[autor_es]],autorest[autor_es],autorest[imagen])</f>
        <v>https://i.ibb.co/qLfpZm6h/china.png</v>
      </c>
      <c r="R1094">
        <f>_xlfn.XLOOKUP(frasest[[#This Row],[autor_es]],autorest[autor_es],autorest[imagen_atr])</f>
        <v>0</v>
      </c>
    </row>
    <row r="1095" spans="1:18">
      <c r="A1095">
        <v>1094</v>
      </c>
      <c r="B1095" t="s">
        <v>3416</v>
      </c>
      <c r="C1095" t="s">
        <v>3417</v>
      </c>
      <c r="D1095" s="1" t="s">
        <v>3418</v>
      </c>
      <c r="E1095" t="s">
        <v>36</v>
      </c>
      <c r="G1095" t="str">
        <f>_xlfn.XLOOKUP(frasest[[#This Row],[autor_es]],autorest[autor_es],autorest[autor_la])</f>
        <v>Proverbium Sinense</v>
      </c>
      <c r="H1095" t="str">
        <f>_xlfn.XLOOKUP(frasest[[#This Row],[autor_es]],autorest[autor_es],autorest[bio_es])</f>
        <v>Conjunto de proverbios tradicionales de la cultura china que transmiten sabiduría popular, valores morales y enseñanzas prácticas transmitidas oralmente durante siglos.</v>
      </c>
      <c r="I1095" t="str">
        <f>_xlfn.XLOOKUP(frasest[[#This Row],[autor_es]],autorest[autor_es],autorest[bio_la])</f>
        <v>Collectio sententiarum Sinensium, magnopere in cultura tradita.</v>
      </c>
      <c r="J1095" t="str">
        <f>_xlfn.XLOOKUP(frasest[[#This Row],[autor_es]],autorest[autor_es],autorest[codigo])</f>
        <v>zh</v>
      </c>
      <c r="K1095" t="str">
        <f>_xlfn.XLOOKUP(frasest[[#This Row],[autor_es]],autorest[autor_es],autorest[idioma_es])</f>
        <v>Chino</v>
      </c>
      <c r="L1095" t="str">
        <f>_xlfn.XLOOKUP(frasest[[#This Row],[autor_es]],autorest[autor_es],autorest[idioma_la])</f>
        <v>Lingua Sinica</v>
      </c>
      <c r="M1095" t="str">
        <f>_xlfn.XLOOKUP(frasest[[#This Row],[autor_es]],autorest[autor_es],autorest[nacion_es])</f>
        <v>China</v>
      </c>
      <c r="N1095" t="str">
        <f>_xlfn.XLOOKUP(frasest[[#This Row],[autor_es]],autorest[autor_es],autorest[nacion_la])</f>
        <v>Sinae</v>
      </c>
      <c r="O1095" t="str">
        <f>_xlfn.XLOOKUP(frasest[[#This Row],[autor_es]],autorest[autor_es],autorest[epoca_es])</f>
        <v>Epoca Desconocida</v>
      </c>
      <c r="P1095" t="str">
        <f>_xlfn.XLOOKUP(frasest[[#This Row],[autor_es]],autorest[autor_es],autorest[epoca_la])</f>
        <v>Epocha Ignota</v>
      </c>
      <c r="Q1095" t="str">
        <f>_xlfn.XLOOKUP(frasest[[#This Row],[autor_es]],autorest[autor_es],autorest[imagen])</f>
        <v>https://i.ibb.co/qLfpZm6h/china.png</v>
      </c>
      <c r="R1095">
        <f>_xlfn.XLOOKUP(frasest[[#This Row],[autor_es]],autorest[autor_es],autorest[imagen_atr])</f>
        <v>0</v>
      </c>
    </row>
    <row r="1096" spans="1:18">
      <c r="A1096">
        <v>1095</v>
      </c>
      <c r="B1096" t="s">
        <v>3419</v>
      </c>
      <c r="C1096" t="s">
        <v>3420</v>
      </c>
      <c r="D1096" s="1" t="s">
        <v>3421</v>
      </c>
      <c r="E1096" t="s">
        <v>36</v>
      </c>
      <c r="G1096" t="str">
        <f>_xlfn.XLOOKUP(frasest[[#This Row],[autor_es]],autorest[autor_es],autorest[autor_la])</f>
        <v>Proverbium Sinense</v>
      </c>
      <c r="H1096" t="str">
        <f>_xlfn.XLOOKUP(frasest[[#This Row],[autor_es]],autorest[autor_es],autorest[bio_es])</f>
        <v>Conjunto de proverbios tradicionales de la cultura china que transmiten sabiduría popular, valores morales y enseñanzas prácticas transmitidas oralmente durante siglos.</v>
      </c>
      <c r="I1096" t="str">
        <f>_xlfn.XLOOKUP(frasest[[#This Row],[autor_es]],autorest[autor_es],autorest[bio_la])</f>
        <v>Collectio sententiarum Sinensium, magnopere in cultura tradita.</v>
      </c>
      <c r="J1096" t="str">
        <f>_xlfn.XLOOKUP(frasest[[#This Row],[autor_es]],autorest[autor_es],autorest[codigo])</f>
        <v>zh</v>
      </c>
      <c r="K1096" t="str">
        <f>_xlfn.XLOOKUP(frasest[[#This Row],[autor_es]],autorest[autor_es],autorest[idioma_es])</f>
        <v>Chino</v>
      </c>
      <c r="L1096" t="str">
        <f>_xlfn.XLOOKUP(frasest[[#This Row],[autor_es]],autorest[autor_es],autorest[idioma_la])</f>
        <v>Lingua Sinica</v>
      </c>
      <c r="M1096" t="str">
        <f>_xlfn.XLOOKUP(frasest[[#This Row],[autor_es]],autorest[autor_es],autorest[nacion_es])</f>
        <v>China</v>
      </c>
      <c r="N1096" t="str">
        <f>_xlfn.XLOOKUP(frasest[[#This Row],[autor_es]],autorest[autor_es],autorest[nacion_la])</f>
        <v>Sinae</v>
      </c>
      <c r="O1096" t="str">
        <f>_xlfn.XLOOKUP(frasest[[#This Row],[autor_es]],autorest[autor_es],autorest[epoca_es])</f>
        <v>Epoca Desconocida</v>
      </c>
      <c r="P1096" t="str">
        <f>_xlfn.XLOOKUP(frasest[[#This Row],[autor_es]],autorest[autor_es],autorest[epoca_la])</f>
        <v>Epocha Ignota</v>
      </c>
      <c r="Q1096" t="str">
        <f>_xlfn.XLOOKUP(frasest[[#This Row],[autor_es]],autorest[autor_es],autorest[imagen])</f>
        <v>https://i.ibb.co/qLfpZm6h/china.png</v>
      </c>
      <c r="R1096">
        <f>_xlfn.XLOOKUP(frasest[[#This Row],[autor_es]],autorest[autor_es],autorest[imagen_atr])</f>
        <v>0</v>
      </c>
    </row>
    <row r="1097" spans="1:18">
      <c r="A1097">
        <v>1096</v>
      </c>
      <c r="B1097" t="s">
        <v>3422</v>
      </c>
      <c r="C1097" t="s">
        <v>3423</v>
      </c>
      <c r="D1097" s="1" t="s">
        <v>3424</v>
      </c>
      <c r="E1097" t="s">
        <v>36</v>
      </c>
      <c r="G1097" t="str">
        <f>_xlfn.XLOOKUP(frasest[[#This Row],[autor_es]],autorest[autor_es],autorest[autor_la])</f>
        <v>Proverbium Sinense</v>
      </c>
      <c r="H1097" t="str">
        <f>_xlfn.XLOOKUP(frasest[[#This Row],[autor_es]],autorest[autor_es],autorest[bio_es])</f>
        <v>Conjunto de proverbios tradicionales de la cultura china que transmiten sabiduría popular, valores morales y enseñanzas prácticas transmitidas oralmente durante siglos.</v>
      </c>
      <c r="I1097" t="str">
        <f>_xlfn.XLOOKUP(frasest[[#This Row],[autor_es]],autorest[autor_es],autorest[bio_la])</f>
        <v>Collectio sententiarum Sinensium, magnopere in cultura tradita.</v>
      </c>
      <c r="J1097" t="str">
        <f>_xlfn.XLOOKUP(frasest[[#This Row],[autor_es]],autorest[autor_es],autorest[codigo])</f>
        <v>zh</v>
      </c>
      <c r="K1097" t="str">
        <f>_xlfn.XLOOKUP(frasest[[#This Row],[autor_es]],autorest[autor_es],autorest[idioma_es])</f>
        <v>Chino</v>
      </c>
      <c r="L1097" t="str">
        <f>_xlfn.XLOOKUP(frasest[[#This Row],[autor_es]],autorest[autor_es],autorest[idioma_la])</f>
        <v>Lingua Sinica</v>
      </c>
      <c r="M1097" t="str">
        <f>_xlfn.XLOOKUP(frasest[[#This Row],[autor_es]],autorest[autor_es],autorest[nacion_es])</f>
        <v>China</v>
      </c>
      <c r="N1097" t="str">
        <f>_xlfn.XLOOKUP(frasest[[#This Row],[autor_es]],autorest[autor_es],autorest[nacion_la])</f>
        <v>Sinae</v>
      </c>
      <c r="O1097" t="str">
        <f>_xlfn.XLOOKUP(frasest[[#This Row],[autor_es]],autorest[autor_es],autorest[epoca_es])</f>
        <v>Epoca Desconocida</v>
      </c>
      <c r="P1097" t="str">
        <f>_xlfn.XLOOKUP(frasest[[#This Row],[autor_es]],autorest[autor_es],autorest[epoca_la])</f>
        <v>Epocha Ignota</v>
      </c>
      <c r="Q1097" t="str">
        <f>_xlfn.XLOOKUP(frasest[[#This Row],[autor_es]],autorest[autor_es],autorest[imagen])</f>
        <v>https://i.ibb.co/qLfpZm6h/china.png</v>
      </c>
      <c r="R1097">
        <f>_xlfn.XLOOKUP(frasest[[#This Row],[autor_es]],autorest[autor_es],autorest[imagen_atr])</f>
        <v>0</v>
      </c>
    </row>
    <row r="1098" spans="1:18">
      <c r="A1098">
        <v>1097</v>
      </c>
      <c r="B1098" t="s">
        <v>3425</v>
      </c>
      <c r="C1098" t="s">
        <v>3426</v>
      </c>
      <c r="D1098" s="1" t="s">
        <v>3427</v>
      </c>
      <c r="E1098" t="s">
        <v>36</v>
      </c>
      <c r="G1098" t="str">
        <f>_xlfn.XLOOKUP(frasest[[#This Row],[autor_es]],autorest[autor_es],autorest[autor_la])</f>
        <v>Proverbium Sinense</v>
      </c>
      <c r="H1098" t="str">
        <f>_xlfn.XLOOKUP(frasest[[#This Row],[autor_es]],autorest[autor_es],autorest[bio_es])</f>
        <v>Conjunto de proverbios tradicionales de la cultura china que transmiten sabiduría popular, valores morales y enseñanzas prácticas transmitidas oralmente durante siglos.</v>
      </c>
      <c r="I1098" t="str">
        <f>_xlfn.XLOOKUP(frasest[[#This Row],[autor_es]],autorest[autor_es],autorest[bio_la])</f>
        <v>Collectio sententiarum Sinensium, magnopere in cultura tradita.</v>
      </c>
      <c r="J1098" t="str">
        <f>_xlfn.XLOOKUP(frasest[[#This Row],[autor_es]],autorest[autor_es],autorest[codigo])</f>
        <v>zh</v>
      </c>
      <c r="K1098" t="str">
        <f>_xlfn.XLOOKUP(frasest[[#This Row],[autor_es]],autorest[autor_es],autorest[idioma_es])</f>
        <v>Chino</v>
      </c>
      <c r="L1098" t="str">
        <f>_xlfn.XLOOKUP(frasest[[#This Row],[autor_es]],autorest[autor_es],autorest[idioma_la])</f>
        <v>Lingua Sinica</v>
      </c>
      <c r="M1098" t="str">
        <f>_xlfn.XLOOKUP(frasest[[#This Row],[autor_es]],autorest[autor_es],autorest[nacion_es])</f>
        <v>China</v>
      </c>
      <c r="N1098" t="str">
        <f>_xlfn.XLOOKUP(frasest[[#This Row],[autor_es]],autorest[autor_es],autorest[nacion_la])</f>
        <v>Sinae</v>
      </c>
      <c r="O1098" t="str">
        <f>_xlfn.XLOOKUP(frasest[[#This Row],[autor_es]],autorest[autor_es],autorest[epoca_es])</f>
        <v>Epoca Desconocida</v>
      </c>
      <c r="P1098" t="str">
        <f>_xlfn.XLOOKUP(frasest[[#This Row],[autor_es]],autorest[autor_es],autorest[epoca_la])</f>
        <v>Epocha Ignota</v>
      </c>
      <c r="Q1098" t="str">
        <f>_xlfn.XLOOKUP(frasest[[#This Row],[autor_es]],autorest[autor_es],autorest[imagen])</f>
        <v>https://i.ibb.co/qLfpZm6h/china.png</v>
      </c>
      <c r="R1098">
        <f>_xlfn.XLOOKUP(frasest[[#This Row],[autor_es]],autorest[autor_es],autorest[imagen_atr])</f>
        <v>0</v>
      </c>
    </row>
    <row r="1099" spans="1:18">
      <c r="A1099">
        <v>1098</v>
      </c>
      <c r="B1099" t="s">
        <v>3428</v>
      </c>
      <c r="C1099" t="s">
        <v>3429</v>
      </c>
      <c r="D1099" s="1" t="s">
        <v>3430</v>
      </c>
      <c r="E1099" t="s">
        <v>36</v>
      </c>
      <c r="G1099" t="str">
        <f>_xlfn.XLOOKUP(frasest[[#This Row],[autor_es]],autorest[autor_es],autorest[autor_la])</f>
        <v>Proverbium Sinense</v>
      </c>
      <c r="H1099" t="str">
        <f>_xlfn.XLOOKUP(frasest[[#This Row],[autor_es]],autorest[autor_es],autorest[bio_es])</f>
        <v>Conjunto de proverbios tradicionales de la cultura china que transmiten sabiduría popular, valores morales y enseñanzas prácticas transmitidas oralmente durante siglos.</v>
      </c>
      <c r="I1099" t="str">
        <f>_xlfn.XLOOKUP(frasest[[#This Row],[autor_es]],autorest[autor_es],autorest[bio_la])</f>
        <v>Collectio sententiarum Sinensium, magnopere in cultura tradita.</v>
      </c>
      <c r="J1099" t="str">
        <f>_xlfn.XLOOKUP(frasest[[#This Row],[autor_es]],autorest[autor_es],autorest[codigo])</f>
        <v>zh</v>
      </c>
      <c r="K1099" t="str">
        <f>_xlfn.XLOOKUP(frasest[[#This Row],[autor_es]],autorest[autor_es],autorest[idioma_es])</f>
        <v>Chino</v>
      </c>
      <c r="L1099" t="str">
        <f>_xlfn.XLOOKUP(frasest[[#This Row],[autor_es]],autorest[autor_es],autorest[idioma_la])</f>
        <v>Lingua Sinica</v>
      </c>
      <c r="M1099" t="str">
        <f>_xlfn.XLOOKUP(frasest[[#This Row],[autor_es]],autorest[autor_es],autorest[nacion_es])</f>
        <v>China</v>
      </c>
      <c r="N1099" t="str">
        <f>_xlfn.XLOOKUP(frasest[[#This Row],[autor_es]],autorest[autor_es],autorest[nacion_la])</f>
        <v>Sinae</v>
      </c>
      <c r="O1099" t="str">
        <f>_xlfn.XLOOKUP(frasest[[#This Row],[autor_es]],autorest[autor_es],autorest[epoca_es])</f>
        <v>Epoca Desconocida</v>
      </c>
      <c r="P1099" t="str">
        <f>_xlfn.XLOOKUP(frasest[[#This Row],[autor_es]],autorest[autor_es],autorest[epoca_la])</f>
        <v>Epocha Ignota</v>
      </c>
      <c r="Q1099" t="str">
        <f>_xlfn.XLOOKUP(frasest[[#This Row],[autor_es]],autorest[autor_es],autorest[imagen])</f>
        <v>https://i.ibb.co/qLfpZm6h/china.png</v>
      </c>
      <c r="R1099">
        <f>_xlfn.XLOOKUP(frasest[[#This Row],[autor_es]],autorest[autor_es],autorest[imagen_atr])</f>
        <v>0</v>
      </c>
    </row>
    <row r="1100" spans="1:18">
      <c r="A1100">
        <v>1099</v>
      </c>
      <c r="B1100" t="s">
        <v>3431</v>
      </c>
      <c r="C1100" t="s">
        <v>3432</v>
      </c>
      <c r="D1100" s="1" t="s">
        <v>3433</v>
      </c>
      <c r="E1100" t="s">
        <v>36</v>
      </c>
      <c r="G1100" t="str">
        <f>_xlfn.XLOOKUP(frasest[[#This Row],[autor_es]],autorest[autor_es],autorest[autor_la])</f>
        <v>Proverbium Sinense</v>
      </c>
      <c r="H1100" t="str">
        <f>_xlfn.XLOOKUP(frasest[[#This Row],[autor_es]],autorest[autor_es],autorest[bio_es])</f>
        <v>Conjunto de proverbios tradicionales de la cultura china que transmiten sabiduría popular, valores morales y enseñanzas prácticas transmitidas oralmente durante siglos.</v>
      </c>
      <c r="I1100" t="str">
        <f>_xlfn.XLOOKUP(frasest[[#This Row],[autor_es]],autorest[autor_es],autorest[bio_la])</f>
        <v>Collectio sententiarum Sinensium, magnopere in cultura tradita.</v>
      </c>
      <c r="J1100" t="str">
        <f>_xlfn.XLOOKUP(frasest[[#This Row],[autor_es]],autorest[autor_es],autorest[codigo])</f>
        <v>zh</v>
      </c>
      <c r="K1100" t="str">
        <f>_xlfn.XLOOKUP(frasest[[#This Row],[autor_es]],autorest[autor_es],autorest[idioma_es])</f>
        <v>Chino</v>
      </c>
      <c r="L1100" t="str">
        <f>_xlfn.XLOOKUP(frasest[[#This Row],[autor_es]],autorest[autor_es],autorest[idioma_la])</f>
        <v>Lingua Sinica</v>
      </c>
      <c r="M1100" t="str">
        <f>_xlfn.XLOOKUP(frasest[[#This Row],[autor_es]],autorest[autor_es],autorest[nacion_es])</f>
        <v>China</v>
      </c>
      <c r="N1100" t="str">
        <f>_xlfn.XLOOKUP(frasest[[#This Row],[autor_es]],autorest[autor_es],autorest[nacion_la])</f>
        <v>Sinae</v>
      </c>
      <c r="O1100" t="str">
        <f>_xlfn.XLOOKUP(frasest[[#This Row],[autor_es]],autorest[autor_es],autorest[epoca_es])</f>
        <v>Epoca Desconocida</v>
      </c>
      <c r="P1100" t="str">
        <f>_xlfn.XLOOKUP(frasest[[#This Row],[autor_es]],autorest[autor_es],autorest[epoca_la])</f>
        <v>Epocha Ignota</v>
      </c>
      <c r="Q1100" t="str">
        <f>_xlfn.XLOOKUP(frasest[[#This Row],[autor_es]],autorest[autor_es],autorest[imagen])</f>
        <v>https://i.ibb.co/qLfpZm6h/china.png</v>
      </c>
      <c r="R1100">
        <f>_xlfn.XLOOKUP(frasest[[#This Row],[autor_es]],autorest[autor_es],autorest[imagen_atr])</f>
        <v>0</v>
      </c>
    </row>
    <row r="1101" spans="1:18">
      <c r="A1101">
        <v>1100</v>
      </c>
      <c r="B1101" t="s">
        <v>3434</v>
      </c>
      <c r="C1101" t="s">
        <v>3435</v>
      </c>
      <c r="D1101" s="1" t="s">
        <v>3436</v>
      </c>
      <c r="E1101" t="s">
        <v>36</v>
      </c>
      <c r="G1101" t="str">
        <f>_xlfn.XLOOKUP(frasest[[#This Row],[autor_es]],autorest[autor_es],autorest[autor_la])</f>
        <v>Proverbium Sinense</v>
      </c>
      <c r="H1101" t="str">
        <f>_xlfn.XLOOKUP(frasest[[#This Row],[autor_es]],autorest[autor_es],autorest[bio_es])</f>
        <v>Conjunto de proverbios tradicionales de la cultura china que transmiten sabiduría popular, valores morales y enseñanzas prácticas transmitidas oralmente durante siglos.</v>
      </c>
      <c r="I1101" t="str">
        <f>_xlfn.XLOOKUP(frasest[[#This Row],[autor_es]],autorest[autor_es],autorest[bio_la])</f>
        <v>Collectio sententiarum Sinensium, magnopere in cultura tradita.</v>
      </c>
      <c r="J1101" t="str">
        <f>_xlfn.XLOOKUP(frasest[[#This Row],[autor_es]],autorest[autor_es],autorest[codigo])</f>
        <v>zh</v>
      </c>
      <c r="K1101" t="str">
        <f>_xlfn.XLOOKUP(frasest[[#This Row],[autor_es]],autorest[autor_es],autorest[idioma_es])</f>
        <v>Chino</v>
      </c>
      <c r="L1101" t="str">
        <f>_xlfn.XLOOKUP(frasest[[#This Row],[autor_es]],autorest[autor_es],autorest[idioma_la])</f>
        <v>Lingua Sinica</v>
      </c>
      <c r="M1101" t="str">
        <f>_xlfn.XLOOKUP(frasest[[#This Row],[autor_es]],autorest[autor_es],autorest[nacion_es])</f>
        <v>China</v>
      </c>
      <c r="N1101" t="str">
        <f>_xlfn.XLOOKUP(frasest[[#This Row],[autor_es]],autorest[autor_es],autorest[nacion_la])</f>
        <v>Sinae</v>
      </c>
      <c r="O1101" t="str">
        <f>_xlfn.XLOOKUP(frasest[[#This Row],[autor_es]],autorest[autor_es],autorest[epoca_es])</f>
        <v>Epoca Desconocida</v>
      </c>
      <c r="P1101" t="str">
        <f>_xlfn.XLOOKUP(frasest[[#This Row],[autor_es]],autorest[autor_es],autorest[epoca_la])</f>
        <v>Epocha Ignota</v>
      </c>
      <c r="Q1101" t="str">
        <f>_xlfn.XLOOKUP(frasest[[#This Row],[autor_es]],autorest[autor_es],autorest[imagen])</f>
        <v>https://i.ibb.co/qLfpZm6h/china.png</v>
      </c>
      <c r="R1101">
        <f>_xlfn.XLOOKUP(frasest[[#This Row],[autor_es]],autorest[autor_es],autorest[imagen_atr])</f>
        <v>0</v>
      </c>
    </row>
    <row r="1102" spans="1:18">
      <c r="A1102">
        <v>1101</v>
      </c>
      <c r="B1102" t="s">
        <v>3437</v>
      </c>
      <c r="C1102" t="s">
        <v>3438</v>
      </c>
      <c r="D1102" s="1" t="s">
        <v>3439</v>
      </c>
      <c r="E1102" t="s">
        <v>36</v>
      </c>
      <c r="G1102" t="str">
        <f>_xlfn.XLOOKUP(frasest[[#This Row],[autor_es]],autorest[autor_es],autorest[autor_la])</f>
        <v>Proverbium Sinense</v>
      </c>
      <c r="H1102" t="str">
        <f>_xlfn.XLOOKUP(frasest[[#This Row],[autor_es]],autorest[autor_es],autorest[bio_es])</f>
        <v>Conjunto de proverbios tradicionales de la cultura china que transmiten sabiduría popular, valores morales y enseñanzas prácticas transmitidas oralmente durante siglos.</v>
      </c>
      <c r="I1102" t="str">
        <f>_xlfn.XLOOKUP(frasest[[#This Row],[autor_es]],autorest[autor_es],autorest[bio_la])</f>
        <v>Collectio sententiarum Sinensium, magnopere in cultura tradita.</v>
      </c>
      <c r="J1102" t="str">
        <f>_xlfn.XLOOKUP(frasest[[#This Row],[autor_es]],autorest[autor_es],autorest[codigo])</f>
        <v>zh</v>
      </c>
      <c r="K1102" t="str">
        <f>_xlfn.XLOOKUP(frasest[[#This Row],[autor_es]],autorest[autor_es],autorest[idioma_es])</f>
        <v>Chino</v>
      </c>
      <c r="L1102" t="str">
        <f>_xlfn.XLOOKUP(frasest[[#This Row],[autor_es]],autorest[autor_es],autorest[idioma_la])</f>
        <v>Lingua Sinica</v>
      </c>
      <c r="M1102" t="str">
        <f>_xlfn.XLOOKUP(frasest[[#This Row],[autor_es]],autorest[autor_es],autorest[nacion_es])</f>
        <v>China</v>
      </c>
      <c r="N1102" t="str">
        <f>_xlfn.XLOOKUP(frasest[[#This Row],[autor_es]],autorest[autor_es],autorest[nacion_la])</f>
        <v>Sinae</v>
      </c>
      <c r="O1102" t="str">
        <f>_xlfn.XLOOKUP(frasest[[#This Row],[autor_es]],autorest[autor_es],autorest[epoca_es])</f>
        <v>Epoca Desconocida</v>
      </c>
      <c r="P1102" t="str">
        <f>_xlfn.XLOOKUP(frasest[[#This Row],[autor_es]],autorest[autor_es],autorest[epoca_la])</f>
        <v>Epocha Ignota</v>
      </c>
      <c r="Q1102" t="str">
        <f>_xlfn.XLOOKUP(frasest[[#This Row],[autor_es]],autorest[autor_es],autorest[imagen])</f>
        <v>https://i.ibb.co/qLfpZm6h/china.png</v>
      </c>
      <c r="R1102">
        <f>_xlfn.XLOOKUP(frasest[[#This Row],[autor_es]],autorest[autor_es],autorest[imagen_atr])</f>
        <v>0</v>
      </c>
    </row>
    <row r="1103" spans="1:18">
      <c r="A1103">
        <v>1102</v>
      </c>
      <c r="B1103" t="s">
        <v>3440</v>
      </c>
      <c r="C1103" t="s">
        <v>3441</v>
      </c>
      <c r="D1103" s="1" t="s">
        <v>3442</v>
      </c>
      <c r="E1103" t="s">
        <v>36</v>
      </c>
      <c r="G1103" t="str">
        <f>_xlfn.XLOOKUP(frasest[[#This Row],[autor_es]],autorest[autor_es],autorest[autor_la])</f>
        <v>Proverbium Sinense</v>
      </c>
      <c r="H1103" t="str">
        <f>_xlfn.XLOOKUP(frasest[[#This Row],[autor_es]],autorest[autor_es],autorest[bio_es])</f>
        <v>Conjunto de proverbios tradicionales de la cultura china que transmiten sabiduría popular, valores morales y enseñanzas prácticas transmitidas oralmente durante siglos.</v>
      </c>
      <c r="I1103" t="str">
        <f>_xlfn.XLOOKUP(frasest[[#This Row],[autor_es]],autorest[autor_es],autorest[bio_la])</f>
        <v>Collectio sententiarum Sinensium, magnopere in cultura tradita.</v>
      </c>
      <c r="J1103" t="str">
        <f>_xlfn.XLOOKUP(frasest[[#This Row],[autor_es]],autorest[autor_es],autorest[codigo])</f>
        <v>zh</v>
      </c>
      <c r="K1103" t="str">
        <f>_xlfn.XLOOKUP(frasest[[#This Row],[autor_es]],autorest[autor_es],autorest[idioma_es])</f>
        <v>Chino</v>
      </c>
      <c r="L1103" t="str">
        <f>_xlfn.XLOOKUP(frasest[[#This Row],[autor_es]],autorest[autor_es],autorest[idioma_la])</f>
        <v>Lingua Sinica</v>
      </c>
      <c r="M1103" t="str">
        <f>_xlfn.XLOOKUP(frasest[[#This Row],[autor_es]],autorest[autor_es],autorest[nacion_es])</f>
        <v>China</v>
      </c>
      <c r="N1103" t="str">
        <f>_xlfn.XLOOKUP(frasest[[#This Row],[autor_es]],autorest[autor_es],autorest[nacion_la])</f>
        <v>Sinae</v>
      </c>
      <c r="O1103" t="str">
        <f>_xlfn.XLOOKUP(frasest[[#This Row],[autor_es]],autorest[autor_es],autorest[epoca_es])</f>
        <v>Epoca Desconocida</v>
      </c>
      <c r="P1103" t="str">
        <f>_xlfn.XLOOKUP(frasest[[#This Row],[autor_es]],autorest[autor_es],autorest[epoca_la])</f>
        <v>Epocha Ignota</v>
      </c>
      <c r="Q1103" t="str">
        <f>_xlfn.XLOOKUP(frasest[[#This Row],[autor_es]],autorest[autor_es],autorest[imagen])</f>
        <v>https://i.ibb.co/qLfpZm6h/china.png</v>
      </c>
      <c r="R1103">
        <f>_xlfn.XLOOKUP(frasest[[#This Row],[autor_es]],autorest[autor_es],autorest[imagen_atr])</f>
        <v>0</v>
      </c>
    </row>
    <row r="1104" spans="1:18">
      <c r="A1104">
        <v>1103</v>
      </c>
      <c r="B1104" t="s">
        <v>3443</v>
      </c>
      <c r="C1104" t="s">
        <v>3444</v>
      </c>
      <c r="D1104" s="1" t="s">
        <v>3445</v>
      </c>
      <c r="E1104" t="s">
        <v>36</v>
      </c>
      <c r="G1104" t="str">
        <f>_xlfn.XLOOKUP(frasest[[#This Row],[autor_es]],autorest[autor_es],autorest[autor_la])</f>
        <v>Proverbium Sinense</v>
      </c>
      <c r="H1104" t="str">
        <f>_xlfn.XLOOKUP(frasest[[#This Row],[autor_es]],autorest[autor_es],autorest[bio_es])</f>
        <v>Conjunto de proverbios tradicionales de la cultura china que transmiten sabiduría popular, valores morales y enseñanzas prácticas transmitidas oralmente durante siglos.</v>
      </c>
      <c r="I1104" t="str">
        <f>_xlfn.XLOOKUP(frasest[[#This Row],[autor_es]],autorest[autor_es],autorest[bio_la])</f>
        <v>Collectio sententiarum Sinensium, magnopere in cultura tradita.</v>
      </c>
      <c r="J1104" t="str">
        <f>_xlfn.XLOOKUP(frasest[[#This Row],[autor_es]],autorest[autor_es],autorest[codigo])</f>
        <v>zh</v>
      </c>
      <c r="K1104" t="str">
        <f>_xlfn.XLOOKUP(frasest[[#This Row],[autor_es]],autorest[autor_es],autorest[idioma_es])</f>
        <v>Chino</v>
      </c>
      <c r="L1104" t="str">
        <f>_xlfn.XLOOKUP(frasest[[#This Row],[autor_es]],autorest[autor_es],autorest[idioma_la])</f>
        <v>Lingua Sinica</v>
      </c>
      <c r="M1104" t="str">
        <f>_xlfn.XLOOKUP(frasest[[#This Row],[autor_es]],autorest[autor_es],autorest[nacion_es])</f>
        <v>China</v>
      </c>
      <c r="N1104" t="str">
        <f>_xlfn.XLOOKUP(frasest[[#This Row],[autor_es]],autorest[autor_es],autorest[nacion_la])</f>
        <v>Sinae</v>
      </c>
      <c r="O1104" t="str">
        <f>_xlfn.XLOOKUP(frasest[[#This Row],[autor_es]],autorest[autor_es],autorest[epoca_es])</f>
        <v>Epoca Desconocida</v>
      </c>
      <c r="P1104" t="str">
        <f>_xlfn.XLOOKUP(frasest[[#This Row],[autor_es]],autorest[autor_es],autorest[epoca_la])</f>
        <v>Epocha Ignota</v>
      </c>
      <c r="Q1104" t="str">
        <f>_xlfn.XLOOKUP(frasest[[#This Row],[autor_es]],autorest[autor_es],autorest[imagen])</f>
        <v>https://i.ibb.co/qLfpZm6h/china.png</v>
      </c>
      <c r="R1104">
        <f>_xlfn.XLOOKUP(frasest[[#This Row],[autor_es]],autorest[autor_es],autorest[imagen_atr])</f>
        <v>0</v>
      </c>
    </row>
    <row r="1105" spans="1:18">
      <c r="A1105">
        <v>1104</v>
      </c>
      <c r="B1105" t="s">
        <v>3446</v>
      </c>
      <c r="C1105" t="s">
        <v>3447</v>
      </c>
      <c r="D1105" s="1" t="s">
        <v>3448</v>
      </c>
      <c r="E1105" t="s">
        <v>36</v>
      </c>
      <c r="G1105" t="str">
        <f>_xlfn.XLOOKUP(frasest[[#This Row],[autor_es]],autorest[autor_es],autorest[autor_la])</f>
        <v>Proverbium Sinense</v>
      </c>
      <c r="H1105" t="str">
        <f>_xlfn.XLOOKUP(frasest[[#This Row],[autor_es]],autorest[autor_es],autorest[bio_es])</f>
        <v>Conjunto de proverbios tradicionales de la cultura china que transmiten sabiduría popular, valores morales y enseñanzas prácticas transmitidas oralmente durante siglos.</v>
      </c>
      <c r="I1105" t="str">
        <f>_xlfn.XLOOKUP(frasest[[#This Row],[autor_es]],autorest[autor_es],autorest[bio_la])</f>
        <v>Collectio sententiarum Sinensium, magnopere in cultura tradita.</v>
      </c>
      <c r="J1105" t="str">
        <f>_xlfn.XLOOKUP(frasest[[#This Row],[autor_es]],autorest[autor_es],autorest[codigo])</f>
        <v>zh</v>
      </c>
      <c r="K1105" t="str">
        <f>_xlfn.XLOOKUP(frasest[[#This Row],[autor_es]],autorest[autor_es],autorest[idioma_es])</f>
        <v>Chino</v>
      </c>
      <c r="L1105" t="str">
        <f>_xlfn.XLOOKUP(frasest[[#This Row],[autor_es]],autorest[autor_es],autorest[idioma_la])</f>
        <v>Lingua Sinica</v>
      </c>
      <c r="M1105" t="str">
        <f>_xlfn.XLOOKUP(frasest[[#This Row],[autor_es]],autorest[autor_es],autorest[nacion_es])</f>
        <v>China</v>
      </c>
      <c r="N1105" t="str">
        <f>_xlfn.XLOOKUP(frasest[[#This Row],[autor_es]],autorest[autor_es],autorest[nacion_la])</f>
        <v>Sinae</v>
      </c>
      <c r="O1105" t="str">
        <f>_xlfn.XLOOKUP(frasest[[#This Row],[autor_es]],autorest[autor_es],autorest[epoca_es])</f>
        <v>Epoca Desconocida</v>
      </c>
      <c r="P1105" t="str">
        <f>_xlfn.XLOOKUP(frasest[[#This Row],[autor_es]],autorest[autor_es],autorest[epoca_la])</f>
        <v>Epocha Ignota</v>
      </c>
      <c r="Q1105" t="str">
        <f>_xlfn.XLOOKUP(frasest[[#This Row],[autor_es]],autorest[autor_es],autorest[imagen])</f>
        <v>https://i.ibb.co/qLfpZm6h/china.png</v>
      </c>
      <c r="R1105">
        <f>_xlfn.XLOOKUP(frasest[[#This Row],[autor_es]],autorest[autor_es],autorest[imagen_atr])</f>
        <v>0</v>
      </c>
    </row>
    <row r="1106" spans="1:18">
      <c r="A1106">
        <v>1105</v>
      </c>
      <c r="B1106" t="s">
        <v>3449</v>
      </c>
      <c r="C1106" t="s">
        <v>3450</v>
      </c>
      <c r="D1106" s="1" t="s">
        <v>3451</v>
      </c>
      <c r="E1106" t="s">
        <v>36</v>
      </c>
      <c r="G1106" t="str">
        <f>_xlfn.XLOOKUP(frasest[[#This Row],[autor_es]],autorest[autor_es],autorest[autor_la])</f>
        <v>Proverbium Sinense</v>
      </c>
      <c r="H1106" t="str">
        <f>_xlfn.XLOOKUP(frasest[[#This Row],[autor_es]],autorest[autor_es],autorest[bio_es])</f>
        <v>Conjunto de proverbios tradicionales de la cultura china que transmiten sabiduría popular, valores morales y enseñanzas prácticas transmitidas oralmente durante siglos.</v>
      </c>
      <c r="I1106" t="str">
        <f>_xlfn.XLOOKUP(frasest[[#This Row],[autor_es]],autorest[autor_es],autorest[bio_la])</f>
        <v>Collectio sententiarum Sinensium, magnopere in cultura tradita.</v>
      </c>
      <c r="J1106" t="str">
        <f>_xlfn.XLOOKUP(frasest[[#This Row],[autor_es]],autorest[autor_es],autorest[codigo])</f>
        <v>zh</v>
      </c>
      <c r="K1106" t="str">
        <f>_xlfn.XLOOKUP(frasest[[#This Row],[autor_es]],autorest[autor_es],autorest[idioma_es])</f>
        <v>Chino</v>
      </c>
      <c r="L1106" t="str">
        <f>_xlfn.XLOOKUP(frasest[[#This Row],[autor_es]],autorest[autor_es],autorest[idioma_la])</f>
        <v>Lingua Sinica</v>
      </c>
      <c r="M1106" t="str">
        <f>_xlfn.XLOOKUP(frasest[[#This Row],[autor_es]],autorest[autor_es],autorest[nacion_es])</f>
        <v>China</v>
      </c>
      <c r="N1106" t="str">
        <f>_xlfn.XLOOKUP(frasest[[#This Row],[autor_es]],autorest[autor_es],autorest[nacion_la])</f>
        <v>Sinae</v>
      </c>
      <c r="O1106" t="str">
        <f>_xlfn.XLOOKUP(frasest[[#This Row],[autor_es]],autorest[autor_es],autorest[epoca_es])</f>
        <v>Epoca Desconocida</v>
      </c>
      <c r="P1106" t="str">
        <f>_xlfn.XLOOKUP(frasest[[#This Row],[autor_es]],autorest[autor_es],autorest[epoca_la])</f>
        <v>Epocha Ignota</v>
      </c>
      <c r="Q1106" t="str">
        <f>_xlfn.XLOOKUP(frasest[[#This Row],[autor_es]],autorest[autor_es],autorest[imagen])</f>
        <v>https://i.ibb.co/qLfpZm6h/china.png</v>
      </c>
      <c r="R1106">
        <f>_xlfn.XLOOKUP(frasest[[#This Row],[autor_es]],autorest[autor_es],autorest[imagen_atr])</f>
        <v>0</v>
      </c>
    </row>
    <row r="1107" spans="1:18">
      <c r="A1107">
        <v>1106</v>
      </c>
      <c r="B1107" t="s">
        <v>3452</v>
      </c>
      <c r="C1107" t="s">
        <v>3453</v>
      </c>
      <c r="D1107" s="1" t="s">
        <v>3454</v>
      </c>
      <c r="E1107" t="s">
        <v>36</v>
      </c>
      <c r="G1107" t="str">
        <f>_xlfn.XLOOKUP(frasest[[#This Row],[autor_es]],autorest[autor_es],autorest[autor_la])</f>
        <v>Proverbium Sinense</v>
      </c>
      <c r="H1107" t="str">
        <f>_xlfn.XLOOKUP(frasest[[#This Row],[autor_es]],autorest[autor_es],autorest[bio_es])</f>
        <v>Conjunto de proverbios tradicionales de la cultura china que transmiten sabiduría popular, valores morales y enseñanzas prácticas transmitidas oralmente durante siglos.</v>
      </c>
      <c r="I1107" t="str">
        <f>_xlfn.XLOOKUP(frasest[[#This Row],[autor_es]],autorest[autor_es],autorest[bio_la])</f>
        <v>Collectio sententiarum Sinensium, magnopere in cultura tradita.</v>
      </c>
      <c r="J1107" t="str">
        <f>_xlfn.XLOOKUP(frasest[[#This Row],[autor_es]],autorest[autor_es],autorest[codigo])</f>
        <v>zh</v>
      </c>
      <c r="K1107" t="str">
        <f>_xlfn.XLOOKUP(frasest[[#This Row],[autor_es]],autorest[autor_es],autorest[idioma_es])</f>
        <v>Chino</v>
      </c>
      <c r="L1107" t="str">
        <f>_xlfn.XLOOKUP(frasest[[#This Row],[autor_es]],autorest[autor_es],autorest[idioma_la])</f>
        <v>Lingua Sinica</v>
      </c>
      <c r="M1107" t="str">
        <f>_xlfn.XLOOKUP(frasest[[#This Row],[autor_es]],autorest[autor_es],autorest[nacion_es])</f>
        <v>China</v>
      </c>
      <c r="N1107" t="str">
        <f>_xlfn.XLOOKUP(frasest[[#This Row],[autor_es]],autorest[autor_es],autorest[nacion_la])</f>
        <v>Sinae</v>
      </c>
      <c r="O1107" t="str">
        <f>_xlfn.XLOOKUP(frasest[[#This Row],[autor_es]],autorest[autor_es],autorest[epoca_es])</f>
        <v>Epoca Desconocida</v>
      </c>
      <c r="P1107" t="str">
        <f>_xlfn.XLOOKUP(frasest[[#This Row],[autor_es]],autorest[autor_es],autorest[epoca_la])</f>
        <v>Epocha Ignota</v>
      </c>
      <c r="Q1107" t="str">
        <f>_xlfn.XLOOKUP(frasest[[#This Row],[autor_es]],autorest[autor_es],autorest[imagen])</f>
        <v>https://i.ibb.co/qLfpZm6h/china.png</v>
      </c>
      <c r="R1107">
        <f>_xlfn.XLOOKUP(frasest[[#This Row],[autor_es]],autorest[autor_es],autorest[imagen_atr])</f>
        <v>0</v>
      </c>
    </row>
    <row r="1108" spans="1:18">
      <c r="A1108">
        <v>1107</v>
      </c>
      <c r="B1108" t="s">
        <v>3455</v>
      </c>
      <c r="C1108" t="s">
        <v>3456</v>
      </c>
      <c r="D1108" s="1" t="s">
        <v>3457</v>
      </c>
      <c r="E1108" t="s">
        <v>36</v>
      </c>
      <c r="G1108" t="str">
        <f>_xlfn.XLOOKUP(frasest[[#This Row],[autor_es]],autorest[autor_es],autorest[autor_la])</f>
        <v>Proverbium Sinense</v>
      </c>
      <c r="H1108" t="str">
        <f>_xlfn.XLOOKUP(frasest[[#This Row],[autor_es]],autorest[autor_es],autorest[bio_es])</f>
        <v>Conjunto de proverbios tradicionales de la cultura china que transmiten sabiduría popular, valores morales y enseñanzas prácticas transmitidas oralmente durante siglos.</v>
      </c>
      <c r="I1108" t="str">
        <f>_xlfn.XLOOKUP(frasest[[#This Row],[autor_es]],autorest[autor_es],autorest[bio_la])</f>
        <v>Collectio sententiarum Sinensium, magnopere in cultura tradita.</v>
      </c>
      <c r="J1108" t="str">
        <f>_xlfn.XLOOKUP(frasest[[#This Row],[autor_es]],autorest[autor_es],autorest[codigo])</f>
        <v>zh</v>
      </c>
      <c r="K1108" t="str">
        <f>_xlfn.XLOOKUP(frasest[[#This Row],[autor_es]],autorest[autor_es],autorest[idioma_es])</f>
        <v>Chino</v>
      </c>
      <c r="L1108" t="str">
        <f>_xlfn.XLOOKUP(frasest[[#This Row],[autor_es]],autorest[autor_es],autorest[idioma_la])</f>
        <v>Lingua Sinica</v>
      </c>
      <c r="M1108" t="str">
        <f>_xlfn.XLOOKUP(frasest[[#This Row],[autor_es]],autorest[autor_es],autorest[nacion_es])</f>
        <v>China</v>
      </c>
      <c r="N1108" t="str">
        <f>_xlfn.XLOOKUP(frasest[[#This Row],[autor_es]],autorest[autor_es],autorest[nacion_la])</f>
        <v>Sinae</v>
      </c>
      <c r="O1108" t="str">
        <f>_xlfn.XLOOKUP(frasest[[#This Row],[autor_es]],autorest[autor_es],autorest[epoca_es])</f>
        <v>Epoca Desconocida</v>
      </c>
      <c r="P1108" t="str">
        <f>_xlfn.XLOOKUP(frasest[[#This Row],[autor_es]],autorest[autor_es],autorest[epoca_la])</f>
        <v>Epocha Ignota</v>
      </c>
      <c r="Q1108" t="str">
        <f>_xlfn.XLOOKUP(frasest[[#This Row],[autor_es]],autorest[autor_es],autorest[imagen])</f>
        <v>https://i.ibb.co/qLfpZm6h/china.png</v>
      </c>
      <c r="R1108">
        <f>_xlfn.XLOOKUP(frasest[[#This Row],[autor_es]],autorest[autor_es],autorest[imagen_atr])</f>
        <v>0</v>
      </c>
    </row>
    <row r="1109" spans="1:18">
      <c r="A1109">
        <v>1108</v>
      </c>
      <c r="B1109" t="s">
        <v>3458</v>
      </c>
      <c r="C1109" t="s">
        <v>3459</v>
      </c>
      <c r="D1109" s="1" t="s">
        <v>3460</v>
      </c>
      <c r="E1109" t="s">
        <v>36</v>
      </c>
      <c r="G1109" t="str">
        <f>_xlfn.XLOOKUP(frasest[[#This Row],[autor_es]],autorest[autor_es],autorest[autor_la])</f>
        <v>Proverbium Sinense</v>
      </c>
      <c r="H1109" t="str">
        <f>_xlfn.XLOOKUP(frasest[[#This Row],[autor_es]],autorest[autor_es],autorest[bio_es])</f>
        <v>Conjunto de proverbios tradicionales de la cultura china que transmiten sabiduría popular, valores morales y enseñanzas prácticas transmitidas oralmente durante siglos.</v>
      </c>
      <c r="I1109" t="str">
        <f>_xlfn.XLOOKUP(frasest[[#This Row],[autor_es]],autorest[autor_es],autorest[bio_la])</f>
        <v>Collectio sententiarum Sinensium, magnopere in cultura tradita.</v>
      </c>
      <c r="J1109" t="str">
        <f>_xlfn.XLOOKUP(frasest[[#This Row],[autor_es]],autorest[autor_es],autorest[codigo])</f>
        <v>zh</v>
      </c>
      <c r="K1109" t="str">
        <f>_xlfn.XLOOKUP(frasest[[#This Row],[autor_es]],autorest[autor_es],autorest[idioma_es])</f>
        <v>Chino</v>
      </c>
      <c r="L1109" t="str">
        <f>_xlfn.XLOOKUP(frasest[[#This Row],[autor_es]],autorest[autor_es],autorest[idioma_la])</f>
        <v>Lingua Sinica</v>
      </c>
      <c r="M1109" t="str">
        <f>_xlfn.XLOOKUP(frasest[[#This Row],[autor_es]],autorest[autor_es],autorest[nacion_es])</f>
        <v>China</v>
      </c>
      <c r="N1109" t="str">
        <f>_xlfn.XLOOKUP(frasest[[#This Row],[autor_es]],autorest[autor_es],autorest[nacion_la])</f>
        <v>Sinae</v>
      </c>
      <c r="O1109" t="str">
        <f>_xlfn.XLOOKUP(frasest[[#This Row],[autor_es]],autorest[autor_es],autorest[epoca_es])</f>
        <v>Epoca Desconocida</v>
      </c>
      <c r="P1109" t="str">
        <f>_xlfn.XLOOKUP(frasest[[#This Row],[autor_es]],autorest[autor_es],autorest[epoca_la])</f>
        <v>Epocha Ignota</v>
      </c>
      <c r="Q1109" t="str">
        <f>_xlfn.XLOOKUP(frasest[[#This Row],[autor_es]],autorest[autor_es],autorest[imagen])</f>
        <v>https://i.ibb.co/qLfpZm6h/china.png</v>
      </c>
      <c r="R1109">
        <f>_xlfn.XLOOKUP(frasest[[#This Row],[autor_es]],autorest[autor_es],autorest[imagen_atr])</f>
        <v>0</v>
      </c>
    </row>
    <row r="1110" spans="1:18">
      <c r="A1110">
        <v>1109</v>
      </c>
      <c r="B1110" t="s">
        <v>3461</v>
      </c>
      <c r="C1110" t="s">
        <v>3462</v>
      </c>
      <c r="D1110" s="1" t="s">
        <v>3463</v>
      </c>
      <c r="E1110" t="s">
        <v>36</v>
      </c>
      <c r="G1110" t="str">
        <f>_xlfn.XLOOKUP(frasest[[#This Row],[autor_es]],autorest[autor_es],autorest[autor_la])</f>
        <v>Proverbium Sinense</v>
      </c>
      <c r="H1110" t="str">
        <f>_xlfn.XLOOKUP(frasest[[#This Row],[autor_es]],autorest[autor_es],autorest[bio_es])</f>
        <v>Conjunto de proverbios tradicionales de la cultura china que transmiten sabiduría popular, valores morales y enseñanzas prácticas transmitidas oralmente durante siglos.</v>
      </c>
      <c r="I1110" t="str">
        <f>_xlfn.XLOOKUP(frasest[[#This Row],[autor_es]],autorest[autor_es],autorest[bio_la])</f>
        <v>Collectio sententiarum Sinensium, magnopere in cultura tradita.</v>
      </c>
      <c r="J1110" t="str">
        <f>_xlfn.XLOOKUP(frasest[[#This Row],[autor_es]],autorest[autor_es],autorest[codigo])</f>
        <v>zh</v>
      </c>
      <c r="K1110" t="str">
        <f>_xlfn.XLOOKUP(frasest[[#This Row],[autor_es]],autorest[autor_es],autorest[idioma_es])</f>
        <v>Chino</v>
      </c>
      <c r="L1110" t="str">
        <f>_xlfn.XLOOKUP(frasest[[#This Row],[autor_es]],autorest[autor_es],autorest[idioma_la])</f>
        <v>Lingua Sinica</v>
      </c>
      <c r="M1110" t="str">
        <f>_xlfn.XLOOKUP(frasest[[#This Row],[autor_es]],autorest[autor_es],autorest[nacion_es])</f>
        <v>China</v>
      </c>
      <c r="N1110" t="str">
        <f>_xlfn.XLOOKUP(frasest[[#This Row],[autor_es]],autorest[autor_es],autorest[nacion_la])</f>
        <v>Sinae</v>
      </c>
      <c r="O1110" t="str">
        <f>_xlfn.XLOOKUP(frasest[[#This Row],[autor_es]],autorest[autor_es],autorest[epoca_es])</f>
        <v>Epoca Desconocida</v>
      </c>
      <c r="P1110" t="str">
        <f>_xlfn.XLOOKUP(frasest[[#This Row],[autor_es]],autorest[autor_es],autorest[epoca_la])</f>
        <v>Epocha Ignota</v>
      </c>
      <c r="Q1110" t="str">
        <f>_xlfn.XLOOKUP(frasest[[#This Row],[autor_es]],autorest[autor_es],autorest[imagen])</f>
        <v>https://i.ibb.co/qLfpZm6h/china.png</v>
      </c>
      <c r="R1110">
        <f>_xlfn.XLOOKUP(frasest[[#This Row],[autor_es]],autorest[autor_es],autorest[imagen_atr])</f>
        <v>0</v>
      </c>
    </row>
    <row r="1111" spans="1:18">
      <c r="A1111">
        <v>1110</v>
      </c>
      <c r="B1111" t="s">
        <v>3464</v>
      </c>
      <c r="C1111" t="s">
        <v>3465</v>
      </c>
      <c r="D1111" s="1" t="s">
        <v>3466</v>
      </c>
      <c r="E1111" t="s">
        <v>36</v>
      </c>
      <c r="G1111" t="str">
        <f>_xlfn.XLOOKUP(frasest[[#This Row],[autor_es]],autorest[autor_es],autorest[autor_la])</f>
        <v>Proverbium Sinense</v>
      </c>
      <c r="H1111" t="str">
        <f>_xlfn.XLOOKUP(frasest[[#This Row],[autor_es]],autorest[autor_es],autorest[bio_es])</f>
        <v>Conjunto de proverbios tradicionales de la cultura china que transmiten sabiduría popular, valores morales y enseñanzas prácticas transmitidas oralmente durante siglos.</v>
      </c>
      <c r="I1111" t="str">
        <f>_xlfn.XLOOKUP(frasest[[#This Row],[autor_es]],autorest[autor_es],autorest[bio_la])</f>
        <v>Collectio sententiarum Sinensium, magnopere in cultura tradita.</v>
      </c>
      <c r="J1111" t="str">
        <f>_xlfn.XLOOKUP(frasest[[#This Row],[autor_es]],autorest[autor_es],autorest[codigo])</f>
        <v>zh</v>
      </c>
      <c r="K1111" t="str">
        <f>_xlfn.XLOOKUP(frasest[[#This Row],[autor_es]],autorest[autor_es],autorest[idioma_es])</f>
        <v>Chino</v>
      </c>
      <c r="L1111" t="str">
        <f>_xlfn.XLOOKUP(frasest[[#This Row],[autor_es]],autorest[autor_es],autorest[idioma_la])</f>
        <v>Lingua Sinica</v>
      </c>
      <c r="M1111" t="str">
        <f>_xlfn.XLOOKUP(frasest[[#This Row],[autor_es]],autorest[autor_es],autorest[nacion_es])</f>
        <v>China</v>
      </c>
      <c r="N1111" t="str">
        <f>_xlfn.XLOOKUP(frasest[[#This Row],[autor_es]],autorest[autor_es],autorest[nacion_la])</f>
        <v>Sinae</v>
      </c>
      <c r="O1111" t="str">
        <f>_xlfn.XLOOKUP(frasest[[#This Row],[autor_es]],autorest[autor_es],autorest[epoca_es])</f>
        <v>Epoca Desconocida</v>
      </c>
      <c r="P1111" t="str">
        <f>_xlfn.XLOOKUP(frasest[[#This Row],[autor_es]],autorest[autor_es],autorest[epoca_la])</f>
        <v>Epocha Ignota</v>
      </c>
      <c r="Q1111" t="str">
        <f>_xlfn.XLOOKUP(frasest[[#This Row],[autor_es]],autorest[autor_es],autorest[imagen])</f>
        <v>https://i.ibb.co/qLfpZm6h/china.png</v>
      </c>
      <c r="R1111">
        <f>_xlfn.XLOOKUP(frasest[[#This Row],[autor_es]],autorest[autor_es],autorest[imagen_atr])</f>
        <v>0</v>
      </c>
    </row>
    <row r="1112" spans="1:18">
      <c r="A1112">
        <v>1111</v>
      </c>
      <c r="B1112" t="s">
        <v>3467</v>
      </c>
      <c r="C1112" t="s">
        <v>3468</v>
      </c>
      <c r="D1112" s="1" t="s">
        <v>3469</v>
      </c>
      <c r="E1112" t="s">
        <v>36</v>
      </c>
      <c r="G1112" t="str">
        <f>_xlfn.XLOOKUP(frasest[[#This Row],[autor_es]],autorest[autor_es],autorest[autor_la])</f>
        <v>Proverbium Sinense</v>
      </c>
      <c r="H1112" t="str">
        <f>_xlfn.XLOOKUP(frasest[[#This Row],[autor_es]],autorest[autor_es],autorest[bio_es])</f>
        <v>Conjunto de proverbios tradicionales de la cultura china que transmiten sabiduría popular, valores morales y enseñanzas prácticas transmitidas oralmente durante siglos.</v>
      </c>
      <c r="I1112" t="str">
        <f>_xlfn.XLOOKUP(frasest[[#This Row],[autor_es]],autorest[autor_es],autorest[bio_la])</f>
        <v>Collectio sententiarum Sinensium, magnopere in cultura tradita.</v>
      </c>
      <c r="J1112" t="str">
        <f>_xlfn.XLOOKUP(frasest[[#This Row],[autor_es]],autorest[autor_es],autorest[codigo])</f>
        <v>zh</v>
      </c>
      <c r="K1112" t="str">
        <f>_xlfn.XLOOKUP(frasest[[#This Row],[autor_es]],autorest[autor_es],autorest[idioma_es])</f>
        <v>Chino</v>
      </c>
      <c r="L1112" t="str">
        <f>_xlfn.XLOOKUP(frasest[[#This Row],[autor_es]],autorest[autor_es],autorest[idioma_la])</f>
        <v>Lingua Sinica</v>
      </c>
      <c r="M1112" t="str">
        <f>_xlfn.XLOOKUP(frasest[[#This Row],[autor_es]],autorest[autor_es],autorest[nacion_es])</f>
        <v>China</v>
      </c>
      <c r="N1112" t="str">
        <f>_xlfn.XLOOKUP(frasest[[#This Row],[autor_es]],autorest[autor_es],autorest[nacion_la])</f>
        <v>Sinae</v>
      </c>
      <c r="O1112" t="str">
        <f>_xlfn.XLOOKUP(frasest[[#This Row],[autor_es]],autorest[autor_es],autorest[epoca_es])</f>
        <v>Epoca Desconocida</v>
      </c>
      <c r="P1112" t="str">
        <f>_xlfn.XLOOKUP(frasest[[#This Row],[autor_es]],autorest[autor_es],autorest[epoca_la])</f>
        <v>Epocha Ignota</v>
      </c>
      <c r="Q1112" t="str">
        <f>_xlfn.XLOOKUP(frasest[[#This Row],[autor_es]],autorest[autor_es],autorest[imagen])</f>
        <v>https://i.ibb.co/qLfpZm6h/china.png</v>
      </c>
      <c r="R1112">
        <f>_xlfn.XLOOKUP(frasest[[#This Row],[autor_es]],autorest[autor_es],autorest[imagen_atr])</f>
        <v>0</v>
      </c>
    </row>
    <row r="1113" spans="1:18">
      <c r="A1113">
        <v>1112</v>
      </c>
      <c r="B1113" t="s">
        <v>3470</v>
      </c>
      <c r="C1113" t="s">
        <v>3471</v>
      </c>
      <c r="D1113" s="1" t="s">
        <v>3472</v>
      </c>
      <c r="E1113" t="s">
        <v>36</v>
      </c>
      <c r="G1113" t="str">
        <f>_xlfn.XLOOKUP(frasest[[#This Row],[autor_es]],autorest[autor_es],autorest[autor_la])</f>
        <v>Proverbium Sinense</v>
      </c>
      <c r="H1113" t="str">
        <f>_xlfn.XLOOKUP(frasest[[#This Row],[autor_es]],autorest[autor_es],autorest[bio_es])</f>
        <v>Conjunto de proverbios tradicionales de la cultura china que transmiten sabiduría popular, valores morales y enseñanzas prácticas transmitidas oralmente durante siglos.</v>
      </c>
      <c r="I1113" t="str">
        <f>_xlfn.XLOOKUP(frasest[[#This Row],[autor_es]],autorest[autor_es],autorest[bio_la])</f>
        <v>Collectio sententiarum Sinensium, magnopere in cultura tradita.</v>
      </c>
      <c r="J1113" t="str">
        <f>_xlfn.XLOOKUP(frasest[[#This Row],[autor_es]],autorest[autor_es],autorest[codigo])</f>
        <v>zh</v>
      </c>
      <c r="K1113" t="str">
        <f>_xlfn.XLOOKUP(frasest[[#This Row],[autor_es]],autorest[autor_es],autorest[idioma_es])</f>
        <v>Chino</v>
      </c>
      <c r="L1113" t="str">
        <f>_xlfn.XLOOKUP(frasest[[#This Row],[autor_es]],autorest[autor_es],autorest[idioma_la])</f>
        <v>Lingua Sinica</v>
      </c>
      <c r="M1113" t="str">
        <f>_xlfn.XLOOKUP(frasest[[#This Row],[autor_es]],autorest[autor_es],autorest[nacion_es])</f>
        <v>China</v>
      </c>
      <c r="N1113" t="str">
        <f>_xlfn.XLOOKUP(frasest[[#This Row],[autor_es]],autorest[autor_es],autorest[nacion_la])</f>
        <v>Sinae</v>
      </c>
      <c r="O1113" t="str">
        <f>_xlfn.XLOOKUP(frasest[[#This Row],[autor_es]],autorest[autor_es],autorest[epoca_es])</f>
        <v>Epoca Desconocida</v>
      </c>
      <c r="P1113" t="str">
        <f>_xlfn.XLOOKUP(frasest[[#This Row],[autor_es]],autorest[autor_es],autorest[epoca_la])</f>
        <v>Epocha Ignota</v>
      </c>
      <c r="Q1113" t="str">
        <f>_xlfn.XLOOKUP(frasest[[#This Row],[autor_es]],autorest[autor_es],autorest[imagen])</f>
        <v>https://i.ibb.co/qLfpZm6h/china.png</v>
      </c>
      <c r="R1113">
        <f>_xlfn.XLOOKUP(frasest[[#This Row],[autor_es]],autorest[autor_es],autorest[imagen_atr])</f>
        <v>0</v>
      </c>
    </row>
    <row r="1114" spans="1:18">
      <c r="A1114">
        <v>1113</v>
      </c>
      <c r="B1114" t="s">
        <v>3473</v>
      </c>
      <c r="C1114" t="s">
        <v>3474</v>
      </c>
      <c r="D1114" s="1" t="s">
        <v>3475</v>
      </c>
      <c r="E1114" t="s">
        <v>36</v>
      </c>
      <c r="G1114" t="str">
        <f>_xlfn.XLOOKUP(frasest[[#This Row],[autor_es]],autorest[autor_es],autorest[autor_la])</f>
        <v>Proverbium Sinense</v>
      </c>
      <c r="H1114" t="str">
        <f>_xlfn.XLOOKUP(frasest[[#This Row],[autor_es]],autorest[autor_es],autorest[bio_es])</f>
        <v>Conjunto de proverbios tradicionales de la cultura china que transmiten sabiduría popular, valores morales y enseñanzas prácticas transmitidas oralmente durante siglos.</v>
      </c>
      <c r="I1114" t="str">
        <f>_xlfn.XLOOKUP(frasest[[#This Row],[autor_es]],autorest[autor_es],autorest[bio_la])</f>
        <v>Collectio sententiarum Sinensium, magnopere in cultura tradita.</v>
      </c>
      <c r="J1114" t="str">
        <f>_xlfn.XLOOKUP(frasest[[#This Row],[autor_es]],autorest[autor_es],autorest[codigo])</f>
        <v>zh</v>
      </c>
      <c r="K1114" t="str">
        <f>_xlfn.XLOOKUP(frasest[[#This Row],[autor_es]],autorest[autor_es],autorest[idioma_es])</f>
        <v>Chino</v>
      </c>
      <c r="L1114" t="str">
        <f>_xlfn.XLOOKUP(frasest[[#This Row],[autor_es]],autorest[autor_es],autorest[idioma_la])</f>
        <v>Lingua Sinica</v>
      </c>
      <c r="M1114" t="str">
        <f>_xlfn.XLOOKUP(frasest[[#This Row],[autor_es]],autorest[autor_es],autorest[nacion_es])</f>
        <v>China</v>
      </c>
      <c r="N1114" t="str">
        <f>_xlfn.XLOOKUP(frasest[[#This Row],[autor_es]],autorest[autor_es],autorest[nacion_la])</f>
        <v>Sinae</v>
      </c>
      <c r="O1114" t="str">
        <f>_xlfn.XLOOKUP(frasest[[#This Row],[autor_es]],autorest[autor_es],autorest[epoca_es])</f>
        <v>Epoca Desconocida</v>
      </c>
      <c r="P1114" t="str">
        <f>_xlfn.XLOOKUP(frasest[[#This Row],[autor_es]],autorest[autor_es],autorest[epoca_la])</f>
        <v>Epocha Ignota</v>
      </c>
      <c r="Q1114" t="str">
        <f>_xlfn.XLOOKUP(frasest[[#This Row],[autor_es]],autorest[autor_es],autorest[imagen])</f>
        <v>https://i.ibb.co/qLfpZm6h/china.png</v>
      </c>
      <c r="R1114">
        <f>_xlfn.XLOOKUP(frasest[[#This Row],[autor_es]],autorest[autor_es],autorest[imagen_atr])</f>
        <v>0</v>
      </c>
    </row>
    <row r="1115" spans="1:18">
      <c r="A1115">
        <v>1114</v>
      </c>
      <c r="B1115" t="s">
        <v>3476</v>
      </c>
      <c r="C1115" t="s">
        <v>3477</v>
      </c>
      <c r="D1115" s="1" t="s">
        <v>3478</v>
      </c>
      <c r="E1115" t="s">
        <v>36</v>
      </c>
      <c r="G1115" t="str">
        <f>_xlfn.XLOOKUP(frasest[[#This Row],[autor_es]],autorest[autor_es],autorest[autor_la])</f>
        <v>Proverbium Sinense</v>
      </c>
      <c r="H1115" t="str">
        <f>_xlfn.XLOOKUP(frasest[[#This Row],[autor_es]],autorest[autor_es],autorest[bio_es])</f>
        <v>Conjunto de proverbios tradicionales de la cultura china que transmiten sabiduría popular, valores morales y enseñanzas prácticas transmitidas oralmente durante siglos.</v>
      </c>
      <c r="I1115" t="str">
        <f>_xlfn.XLOOKUP(frasest[[#This Row],[autor_es]],autorest[autor_es],autorest[bio_la])</f>
        <v>Collectio sententiarum Sinensium, magnopere in cultura tradita.</v>
      </c>
      <c r="J1115" t="str">
        <f>_xlfn.XLOOKUP(frasest[[#This Row],[autor_es]],autorest[autor_es],autorest[codigo])</f>
        <v>zh</v>
      </c>
      <c r="K1115" t="str">
        <f>_xlfn.XLOOKUP(frasest[[#This Row],[autor_es]],autorest[autor_es],autorest[idioma_es])</f>
        <v>Chino</v>
      </c>
      <c r="L1115" t="str">
        <f>_xlfn.XLOOKUP(frasest[[#This Row],[autor_es]],autorest[autor_es],autorest[idioma_la])</f>
        <v>Lingua Sinica</v>
      </c>
      <c r="M1115" t="str">
        <f>_xlfn.XLOOKUP(frasest[[#This Row],[autor_es]],autorest[autor_es],autorest[nacion_es])</f>
        <v>China</v>
      </c>
      <c r="N1115" t="str">
        <f>_xlfn.XLOOKUP(frasest[[#This Row],[autor_es]],autorest[autor_es],autorest[nacion_la])</f>
        <v>Sinae</v>
      </c>
      <c r="O1115" t="str">
        <f>_xlfn.XLOOKUP(frasest[[#This Row],[autor_es]],autorest[autor_es],autorest[epoca_es])</f>
        <v>Epoca Desconocida</v>
      </c>
      <c r="P1115" t="str">
        <f>_xlfn.XLOOKUP(frasest[[#This Row],[autor_es]],autorest[autor_es],autorest[epoca_la])</f>
        <v>Epocha Ignota</v>
      </c>
      <c r="Q1115" t="str">
        <f>_xlfn.XLOOKUP(frasest[[#This Row],[autor_es]],autorest[autor_es],autorest[imagen])</f>
        <v>https://i.ibb.co/qLfpZm6h/china.png</v>
      </c>
      <c r="R1115">
        <f>_xlfn.XLOOKUP(frasest[[#This Row],[autor_es]],autorest[autor_es],autorest[imagen_atr])</f>
        <v>0</v>
      </c>
    </row>
    <row r="1116" spans="1:18">
      <c r="A1116">
        <v>1115</v>
      </c>
      <c r="B1116" t="s">
        <v>3479</v>
      </c>
      <c r="C1116" t="s">
        <v>3480</v>
      </c>
      <c r="D1116" s="1" t="s">
        <v>3481</v>
      </c>
      <c r="E1116" t="s">
        <v>36</v>
      </c>
      <c r="G1116" t="str">
        <f>_xlfn.XLOOKUP(frasest[[#This Row],[autor_es]],autorest[autor_es],autorest[autor_la])</f>
        <v>Proverbium Sinense</v>
      </c>
      <c r="H1116" t="str">
        <f>_xlfn.XLOOKUP(frasest[[#This Row],[autor_es]],autorest[autor_es],autorest[bio_es])</f>
        <v>Conjunto de proverbios tradicionales de la cultura china que transmiten sabiduría popular, valores morales y enseñanzas prácticas transmitidas oralmente durante siglos.</v>
      </c>
      <c r="I1116" t="str">
        <f>_xlfn.XLOOKUP(frasest[[#This Row],[autor_es]],autorest[autor_es],autorest[bio_la])</f>
        <v>Collectio sententiarum Sinensium, magnopere in cultura tradita.</v>
      </c>
      <c r="J1116" t="str">
        <f>_xlfn.XLOOKUP(frasest[[#This Row],[autor_es]],autorest[autor_es],autorest[codigo])</f>
        <v>zh</v>
      </c>
      <c r="K1116" t="str">
        <f>_xlfn.XLOOKUP(frasest[[#This Row],[autor_es]],autorest[autor_es],autorest[idioma_es])</f>
        <v>Chino</v>
      </c>
      <c r="L1116" t="str">
        <f>_xlfn.XLOOKUP(frasest[[#This Row],[autor_es]],autorest[autor_es],autorest[idioma_la])</f>
        <v>Lingua Sinica</v>
      </c>
      <c r="M1116" t="str">
        <f>_xlfn.XLOOKUP(frasest[[#This Row],[autor_es]],autorest[autor_es],autorest[nacion_es])</f>
        <v>China</v>
      </c>
      <c r="N1116" t="str">
        <f>_xlfn.XLOOKUP(frasest[[#This Row],[autor_es]],autorest[autor_es],autorest[nacion_la])</f>
        <v>Sinae</v>
      </c>
      <c r="O1116" t="str">
        <f>_xlfn.XLOOKUP(frasest[[#This Row],[autor_es]],autorest[autor_es],autorest[epoca_es])</f>
        <v>Epoca Desconocida</v>
      </c>
      <c r="P1116" t="str">
        <f>_xlfn.XLOOKUP(frasest[[#This Row],[autor_es]],autorest[autor_es],autorest[epoca_la])</f>
        <v>Epocha Ignota</v>
      </c>
      <c r="Q1116" t="str">
        <f>_xlfn.XLOOKUP(frasest[[#This Row],[autor_es]],autorest[autor_es],autorest[imagen])</f>
        <v>https://i.ibb.co/qLfpZm6h/china.png</v>
      </c>
      <c r="R1116">
        <f>_xlfn.XLOOKUP(frasest[[#This Row],[autor_es]],autorest[autor_es],autorest[imagen_atr])</f>
        <v>0</v>
      </c>
    </row>
    <row r="1117" spans="1:18">
      <c r="A1117">
        <v>1116</v>
      </c>
      <c r="B1117" t="s">
        <v>3482</v>
      </c>
      <c r="C1117" t="s">
        <v>3483</v>
      </c>
      <c r="D1117" s="1" t="s">
        <v>3484</v>
      </c>
      <c r="E1117" t="s">
        <v>36</v>
      </c>
      <c r="G1117" t="str">
        <f>_xlfn.XLOOKUP(frasest[[#This Row],[autor_es]],autorest[autor_es],autorest[autor_la])</f>
        <v>Proverbium Sinense</v>
      </c>
      <c r="H1117" t="str">
        <f>_xlfn.XLOOKUP(frasest[[#This Row],[autor_es]],autorest[autor_es],autorest[bio_es])</f>
        <v>Conjunto de proverbios tradicionales de la cultura china que transmiten sabiduría popular, valores morales y enseñanzas prácticas transmitidas oralmente durante siglos.</v>
      </c>
      <c r="I1117" t="str">
        <f>_xlfn.XLOOKUP(frasest[[#This Row],[autor_es]],autorest[autor_es],autorest[bio_la])</f>
        <v>Collectio sententiarum Sinensium, magnopere in cultura tradita.</v>
      </c>
      <c r="J1117" t="str">
        <f>_xlfn.XLOOKUP(frasest[[#This Row],[autor_es]],autorest[autor_es],autorest[codigo])</f>
        <v>zh</v>
      </c>
      <c r="K1117" t="str">
        <f>_xlfn.XLOOKUP(frasest[[#This Row],[autor_es]],autorest[autor_es],autorest[idioma_es])</f>
        <v>Chino</v>
      </c>
      <c r="L1117" t="str">
        <f>_xlfn.XLOOKUP(frasest[[#This Row],[autor_es]],autorest[autor_es],autorest[idioma_la])</f>
        <v>Lingua Sinica</v>
      </c>
      <c r="M1117" t="str">
        <f>_xlfn.XLOOKUP(frasest[[#This Row],[autor_es]],autorest[autor_es],autorest[nacion_es])</f>
        <v>China</v>
      </c>
      <c r="N1117" t="str">
        <f>_xlfn.XLOOKUP(frasest[[#This Row],[autor_es]],autorest[autor_es],autorest[nacion_la])</f>
        <v>Sinae</v>
      </c>
      <c r="O1117" t="str">
        <f>_xlfn.XLOOKUP(frasest[[#This Row],[autor_es]],autorest[autor_es],autorest[epoca_es])</f>
        <v>Epoca Desconocida</v>
      </c>
      <c r="P1117" t="str">
        <f>_xlfn.XLOOKUP(frasest[[#This Row],[autor_es]],autorest[autor_es],autorest[epoca_la])</f>
        <v>Epocha Ignota</v>
      </c>
      <c r="Q1117" t="str">
        <f>_xlfn.XLOOKUP(frasest[[#This Row],[autor_es]],autorest[autor_es],autorest[imagen])</f>
        <v>https://i.ibb.co/qLfpZm6h/china.png</v>
      </c>
      <c r="R1117">
        <f>_xlfn.XLOOKUP(frasest[[#This Row],[autor_es]],autorest[autor_es],autorest[imagen_atr])</f>
        <v>0</v>
      </c>
    </row>
    <row r="1118" spans="1:18">
      <c r="A1118">
        <v>1117</v>
      </c>
      <c r="B1118" t="s">
        <v>3485</v>
      </c>
      <c r="C1118" t="s">
        <v>3486</v>
      </c>
      <c r="D1118" s="1" t="s">
        <v>3487</v>
      </c>
      <c r="E1118" t="s">
        <v>36</v>
      </c>
      <c r="G1118" t="str">
        <f>_xlfn.XLOOKUP(frasest[[#This Row],[autor_es]],autorest[autor_es],autorest[autor_la])</f>
        <v>Proverbium Sinense</v>
      </c>
      <c r="H1118" t="str">
        <f>_xlfn.XLOOKUP(frasest[[#This Row],[autor_es]],autorest[autor_es],autorest[bio_es])</f>
        <v>Conjunto de proverbios tradicionales de la cultura china que transmiten sabiduría popular, valores morales y enseñanzas prácticas transmitidas oralmente durante siglos.</v>
      </c>
      <c r="I1118" t="str">
        <f>_xlfn.XLOOKUP(frasest[[#This Row],[autor_es]],autorest[autor_es],autorest[bio_la])</f>
        <v>Collectio sententiarum Sinensium, magnopere in cultura tradita.</v>
      </c>
      <c r="J1118" t="str">
        <f>_xlfn.XLOOKUP(frasest[[#This Row],[autor_es]],autorest[autor_es],autorest[codigo])</f>
        <v>zh</v>
      </c>
      <c r="K1118" t="str">
        <f>_xlfn.XLOOKUP(frasest[[#This Row],[autor_es]],autorest[autor_es],autorest[idioma_es])</f>
        <v>Chino</v>
      </c>
      <c r="L1118" t="str">
        <f>_xlfn.XLOOKUP(frasest[[#This Row],[autor_es]],autorest[autor_es],autorest[idioma_la])</f>
        <v>Lingua Sinica</v>
      </c>
      <c r="M1118" t="str">
        <f>_xlfn.XLOOKUP(frasest[[#This Row],[autor_es]],autorest[autor_es],autorest[nacion_es])</f>
        <v>China</v>
      </c>
      <c r="N1118" t="str">
        <f>_xlfn.XLOOKUP(frasest[[#This Row],[autor_es]],autorest[autor_es],autorest[nacion_la])</f>
        <v>Sinae</v>
      </c>
      <c r="O1118" t="str">
        <f>_xlfn.XLOOKUP(frasest[[#This Row],[autor_es]],autorest[autor_es],autorest[epoca_es])</f>
        <v>Epoca Desconocida</v>
      </c>
      <c r="P1118" t="str">
        <f>_xlfn.XLOOKUP(frasest[[#This Row],[autor_es]],autorest[autor_es],autorest[epoca_la])</f>
        <v>Epocha Ignota</v>
      </c>
      <c r="Q1118" t="str">
        <f>_xlfn.XLOOKUP(frasest[[#This Row],[autor_es]],autorest[autor_es],autorest[imagen])</f>
        <v>https://i.ibb.co/qLfpZm6h/china.png</v>
      </c>
      <c r="R1118">
        <f>_xlfn.XLOOKUP(frasest[[#This Row],[autor_es]],autorest[autor_es],autorest[imagen_atr])</f>
        <v>0</v>
      </c>
    </row>
    <row r="1119" spans="1:18">
      <c r="A1119">
        <v>1118</v>
      </c>
      <c r="B1119" t="s">
        <v>3488</v>
      </c>
      <c r="C1119" t="s">
        <v>3489</v>
      </c>
      <c r="D1119" s="1" t="s">
        <v>3490</v>
      </c>
      <c r="E1119" t="s">
        <v>36</v>
      </c>
      <c r="G1119" t="str">
        <f>_xlfn.XLOOKUP(frasest[[#This Row],[autor_es]],autorest[autor_es],autorest[autor_la])</f>
        <v>Proverbium Sinense</v>
      </c>
      <c r="H1119" t="str">
        <f>_xlfn.XLOOKUP(frasest[[#This Row],[autor_es]],autorest[autor_es],autorest[bio_es])</f>
        <v>Conjunto de proverbios tradicionales de la cultura china que transmiten sabiduría popular, valores morales y enseñanzas prácticas transmitidas oralmente durante siglos.</v>
      </c>
      <c r="I1119" t="str">
        <f>_xlfn.XLOOKUP(frasest[[#This Row],[autor_es]],autorest[autor_es],autorest[bio_la])</f>
        <v>Collectio sententiarum Sinensium, magnopere in cultura tradita.</v>
      </c>
      <c r="J1119" t="str">
        <f>_xlfn.XLOOKUP(frasest[[#This Row],[autor_es]],autorest[autor_es],autorest[codigo])</f>
        <v>zh</v>
      </c>
      <c r="K1119" t="str">
        <f>_xlfn.XLOOKUP(frasest[[#This Row],[autor_es]],autorest[autor_es],autorest[idioma_es])</f>
        <v>Chino</v>
      </c>
      <c r="L1119" t="str">
        <f>_xlfn.XLOOKUP(frasest[[#This Row],[autor_es]],autorest[autor_es],autorest[idioma_la])</f>
        <v>Lingua Sinica</v>
      </c>
      <c r="M1119" t="str">
        <f>_xlfn.XLOOKUP(frasest[[#This Row],[autor_es]],autorest[autor_es],autorest[nacion_es])</f>
        <v>China</v>
      </c>
      <c r="N1119" t="str">
        <f>_xlfn.XLOOKUP(frasest[[#This Row],[autor_es]],autorest[autor_es],autorest[nacion_la])</f>
        <v>Sinae</v>
      </c>
      <c r="O1119" t="str">
        <f>_xlfn.XLOOKUP(frasest[[#This Row],[autor_es]],autorest[autor_es],autorest[epoca_es])</f>
        <v>Epoca Desconocida</v>
      </c>
      <c r="P1119" t="str">
        <f>_xlfn.XLOOKUP(frasest[[#This Row],[autor_es]],autorest[autor_es],autorest[epoca_la])</f>
        <v>Epocha Ignota</v>
      </c>
      <c r="Q1119" t="str">
        <f>_xlfn.XLOOKUP(frasest[[#This Row],[autor_es]],autorest[autor_es],autorest[imagen])</f>
        <v>https://i.ibb.co/qLfpZm6h/china.png</v>
      </c>
      <c r="R1119">
        <f>_xlfn.XLOOKUP(frasest[[#This Row],[autor_es]],autorest[autor_es],autorest[imagen_atr])</f>
        <v>0</v>
      </c>
    </row>
    <row r="1120" spans="1:18">
      <c r="A1120">
        <v>1119</v>
      </c>
      <c r="B1120" t="s">
        <v>3491</v>
      </c>
      <c r="C1120" t="s">
        <v>3492</v>
      </c>
      <c r="D1120" s="1" t="s">
        <v>3493</v>
      </c>
      <c r="E1120" t="s">
        <v>36</v>
      </c>
      <c r="G1120" t="str">
        <f>_xlfn.XLOOKUP(frasest[[#This Row],[autor_es]],autorest[autor_es],autorest[autor_la])</f>
        <v>Proverbium Sinense</v>
      </c>
      <c r="H1120" t="str">
        <f>_xlfn.XLOOKUP(frasest[[#This Row],[autor_es]],autorest[autor_es],autorest[bio_es])</f>
        <v>Conjunto de proverbios tradicionales de la cultura china que transmiten sabiduría popular, valores morales y enseñanzas prácticas transmitidas oralmente durante siglos.</v>
      </c>
      <c r="I1120" t="str">
        <f>_xlfn.XLOOKUP(frasest[[#This Row],[autor_es]],autorest[autor_es],autorest[bio_la])</f>
        <v>Collectio sententiarum Sinensium, magnopere in cultura tradita.</v>
      </c>
      <c r="J1120" t="str">
        <f>_xlfn.XLOOKUP(frasest[[#This Row],[autor_es]],autorest[autor_es],autorest[codigo])</f>
        <v>zh</v>
      </c>
      <c r="K1120" t="str">
        <f>_xlfn.XLOOKUP(frasest[[#This Row],[autor_es]],autorest[autor_es],autorest[idioma_es])</f>
        <v>Chino</v>
      </c>
      <c r="L1120" t="str">
        <f>_xlfn.XLOOKUP(frasest[[#This Row],[autor_es]],autorest[autor_es],autorest[idioma_la])</f>
        <v>Lingua Sinica</v>
      </c>
      <c r="M1120" t="str">
        <f>_xlfn.XLOOKUP(frasest[[#This Row],[autor_es]],autorest[autor_es],autorest[nacion_es])</f>
        <v>China</v>
      </c>
      <c r="N1120" t="str">
        <f>_xlfn.XLOOKUP(frasest[[#This Row],[autor_es]],autorest[autor_es],autorest[nacion_la])</f>
        <v>Sinae</v>
      </c>
      <c r="O1120" t="str">
        <f>_xlfn.XLOOKUP(frasest[[#This Row],[autor_es]],autorest[autor_es],autorest[epoca_es])</f>
        <v>Epoca Desconocida</v>
      </c>
      <c r="P1120" t="str">
        <f>_xlfn.XLOOKUP(frasest[[#This Row],[autor_es]],autorest[autor_es],autorest[epoca_la])</f>
        <v>Epocha Ignota</v>
      </c>
      <c r="Q1120" t="str">
        <f>_xlfn.XLOOKUP(frasest[[#This Row],[autor_es]],autorest[autor_es],autorest[imagen])</f>
        <v>https://i.ibb.co/qLfpZm6h/china.png</v>
      </c>
      <c r="R1120">
        <f>_xlfn.XLOOKUP(frasest[[#This Row],[autor_es]],autorest[autor_es],autorest[imagen_atr])</f>
        <v>0</v>
      </c>
    </row>
    <row r="1121" spans="1:18">
      <c r="A1121">
        <v>1120</v>
      </c>
      <c r="B1121" t="s">
        <v>3494</v>
      </c>
      <c r="C1121" t="s">
        <v>3495</v>
      </c>
      <c r="D1121" s="1" t="s">
        <v>3496</v>
      </c>
      <c r="E1121" t="s">
        <v>36</v>
      </c>
      <c r="G1121" t="str">
        <f>_xlfn.XLOOKUP(frasest[[#This Row],[autor_es]],autorest[autor_es],autorest[autor_la])</f>
        <v>Proverbium Sinense</v>
      </c>
      <c r="H1121" t="str">
        <f>_xlfn.XLOOKUP(frasest[[#This Row],[autor_es]],autorest[autor_es],autorest[bio_es])</f>
        <v>Conjunto de proverbios tradicionales de la cultura china que transmiten sabiduría popular, valores morales y enseñanzas prácticas transmitidas oralmente durante siglos.</v>
      </c>
      <c r="I1121" t="str">
        <f>_xlfn.XLOOKUP(frasest[[#This Row],[autor_es]],autorest[autor_es],autorest[bio_la])</f>
        <v>Collectio sententiarum Sinensium, magnopere in cultura tradita.</v>
      </c>
      <c r="J1121" t="str">
        <f>_xlfn.XLOOKUP(frasest[[#This Row],[autor_es]],autorest[autor_es],autorest[codigo])</f>
        <v>zh</v>
      </c>
      <c r="K1121" t="str">
        <f>_xlfn.XLOOKUP(frasest[[#This Row],[autor_es]],autorest[autor_es],autorest[idioma_es])</f>
        <v>Chino</v>
      </c>
      <c r="L1121" t="str">
        <f>_xlfn.XLOOKUP(frasest[[#This Row],[autor_es]],autorest[autor_es],autorest[idioma_la])</f>
        <v>Lingua Sinica</v>
      </c>
      <c r="M1121" t="str">
        <f>_xlfn.XLOOKUP(frasest[[#This Row],[autor_es]],autorest[autor_es],autorest[nacion_es])</f>
        <v>China</v>
      </c>
      <c r="N1121" t="str">
        <f>_xlfn.XLOOKUP(frasest[[#This Row],[autor_es]],autorest[autor_es],autorest[nacion_la])</f>
        <v>Sinae</v>
      </c>
      <c r="O1121" t="str">
        <f>_xlfn.XLOOKUP(frasest[[#This Row],[autor_es]],autorest[autor_es],autorest[epoca_es])</f>
        <v>Epoca Desconocida</v>
      </c>
      <c r="P1121" t="str">
        <f>_xlfn.XLOOKUP(frasest[[#This Row],[autor_es]],autorest[autor_es],autorest[epoca_la])</f>
        <v>Epocha Ignota</v>
      </c>
      <c r="Q1121" t="str">
        <f>_xlfn.XLOOKUP(frasest[[#This Row],[autor_es]],autorest[autor_es],autorest[imagen])</f>
        <v>https://i.ibb.co/qLfpZm6h/china.png</v>
      </c>
      <c r="R1121">
        <f>_xlfn.XLOOKUP(frasest[[#This Row],[autor_es]],autorest[autor_es],autorest[imagen_atr])</f>
        <v>0</v>
      </c>
    </row>
    <row r="1122" spans="1:18">
      <c r="A1122">
        <v>1121</v>
      </c>
      <c r="B1122" t="s">
        <v>3497</v>
      </c>
      <c r="C1122" t="s">
        <v>3498</v>
      </c>
      <c r="D1122" s="1" t="s">
        <v>3499</v>
      </c>
      <c r="E1122" t="s">
        <v>36</v>
      </c>
      <c r="G1122" t="str">
        <f>_xlfn.XLOOKUP(frasest[[#This Row],[autor_es]],autorest[autor_es],autorest[autor_la])</f>
        <v>Proverbium Sinense</v>
      </c>
      <c r="H1122" t="str">
        <f>_xlfn.XLOOKUP(frasest[[#This Row],[autor_es]],autorest[autor_es],autorest[bio_es])</f>
        <v>Conjunto de proverbios tradicionales de la cultura china que transmiten sabiduría popular, valores morales y enseñanzas prácticas transmitidas oralmente durante siglos.</v>
      </c>
      <c r="I1122" t="str">
        <f>_xlfn.XLOOKUP(frasest[[#This Row],[autor_es]],autorest[autor_es],autorest[bio_la])</f>
        <v>Collectio sententiarum Sinensium, magnopere in cultura tradita.</v>
      </c>
      <c r="J1122" t="str">
        <f>_xlfn.XLOOKUP(frasest[[#This Row],[autor_es]],autorest[autor_es],autorest[codigo])</f>
        <v>zh</v>
      </c>
      <c r="K1122" t="str">
        <f>_xlfn.XLOOKUP(frasest[[#This Row],[autor_es]],autorest[autor_es],autorest[idioma_es])</f>
        <v>Chino</v>
      </c>
      <c r="L1122" t="str">
        <f>_xlfn.XLOOKUP(frasest[[#This Row],[autor_es]],autorest[autor_es],autorest[idioma_la])</f>
        <v>Lingua Sinica</v>
      </c>
      <c r="M1122" t="str">
        <f>_xlfn.XLOOKUP(frasest[[#This Row],[autor_es]],autorest[autor_es],autorest[nacion_es])</f>
        <v>China</v>
      </c>
      <c r="N1122" t="str">
        <f>_xlfn.XLOOKUP(frasest[[#This Row],[autor_es]],autorest[autor_es],autorest[nacion_la])</f>
        <v>Sinae</v>
      </c>
      <c r="O1122" t="str">
        <f>_xlfn.XLOOKUP(frasest[[#This Row],[autor_es]],autorest[autor_es],autorest[epoca_es])</f>
        <v>Epoca Desconocida</v>
      </c>
      <c r="P1122" t="str">
        <f>_xlfn.XLOOKUP(frasest[[#This Row],[autor_es]],autorest[autor_es],autorest[epoca_la])</f>
        <v>Epocha Ignota</v>
      </c>
      <c r="Q1122" t="str">
        <f>_xlfn.XLOOKUP(frasest[[#This Row],[autor_es]],autorest[autor_es],autorest[imagen])</f>
        <v>https://i.ibb.co/qLfpZm6h/china.png</v>
      </c>
      <c r="R1122">
        <f>_xlfn.XLOOKUP(frasest[[#This Row],[autor_es]],autorest[autor_es],autorest[imagen_atr])</f>
        <v>0</v>
      </c>
    </row>
    <row r="1123" spans="1:18">
      <c r="A1123">
        <v>1122</v>
      </c>
      <c r="B1123" t="s">
        <v>3500</v>
      </c>
      <c r="C1123" t="s">
        <v>3501</v>
      </c>
      <c r="D1123" s="1" t="s">
        <v>3502</v>
      </c>
      <c r="E1123" t="s">
        <v>36</v>
      </c>
      <c r="G1123" t="str">
        <f>_xlfn.XLOOKUP(frasest[[#This Row],[autor_es]],autorest[autor_es],autorest[autor_la])</f>
        <v>Proverbium Sinense</v>
      </c>
      <c r="H1123" t="str">
        <f>_xlfn.XLOOKUP(frasest[[#This Row],[autor_es]],autorest[autor_es],autorest[bio_es])</f>
        <v>Conjunto de proverbios tradicionales de la cultura china que transmiten sabiduría popular, valores morales y enseñanzas prácticas transmitidas oralmente durante siglos.</v>
      </c>
      <c r="I1123" t="str">
        <f>_xlfn.XLOOKUP(frasest[[#This Row],[autor_es]],autorest[autor_es],autorest[bio_la])</f>
        <v>Collectio sententiarum Sinensium, magnopere in cultura tradita.</v>
      </c>
      <c r="J1123" t="str">
        <f>_xlfn.XLOOKUP(frasest[[#This Row],[autor_es]],autorest[autor_es],autorest[codigo])</f>
        <v>zh</v>
      </c>
      <c r="K1123" t="str">
        <f>_xlfn.XLOOKUP(frasest[[#This Row],[autor_es]],autorest[autor_es],autorest[idioma_es])</f>
        <v>Chino</v>
      </c>
      <c r="L1123" t="str">
        <f>_xlfn.XLOOKUP(frasest[[#This Row],[autor_es]],autorest[autor_es],autorest[idioma_la])</f>
        <v>Lingua Sinica</v>
      </c>
      <c r="M1123" t="str">
        <f>_xlfn.XLOOKUP(frasest[[#This Row],[autor_es]],autorest[autor_es],autorest[nacion_es])</f>
        <v>China</v>
      </c>
      <c r="N1123" t="str">
        <f>_xlfn.XLOOKUP(frasest[[#This Row],[autor_es]],autorest[autor_es],autorest[nacion_la])</f>
        <v>Sinae</v>
      </c>
      <c r="O1123" t="str">
        <f>_xlfn.XLOOKUP(frasest[[#This Row],[autor_es]],autorest[autor_es],autorest[epoca_es])</f>
        <v>Epoca Desconocida</v>
      </c>
      <c r="P1123" t="str">
        <f>_xlfn.XLOOKUP(frasest[[#This Row],[autor_es]],autorest[autor_es],autorest[epoca_la])</f>
        <v>Epocha Ignota</v>
      </c>
      <c r="Q1123" t="str">
        <f>_xlfn.XLOOKUP(frasest[[#This Row],[autor_es]],autorest[autor_es],autorest[imagen])</f>
        <v>https://i.ibb.co/qLfpZm6h/china.png</v>
      </c>
      <c r="R1123">
        <f>_xlfn.XLOOKUP(frasest[[#This Row],[autor_es]],autorest[autor_es],autorest[imagen_atr])</f>
        <v>0</v>
      </c>
    </row>
    <row r="1124" spans="1:18">
      <c r="A1124">
        <v>1123</v>
      </c>
      <c r="B1124" t="s">
        <v>3503</v>
      </c>
      <c r="C1124" t="s">
        <v>3504</v>
      </c>
      <c r="D1124" s="1" t="s">
        <v>3505</v>
      </c>
      <c r="E1124" t="s">
        <v>36</v>
      </c>
      <c r="G1124" t="str">
        <f>_xlfn.XLOOKUP(frasest[[#This Row],[autor_es]],autorest[autor_es],autorest[autor_la])</f>
        <v>Proverbium Sinense</v>
      </c>
      <c r="H1124" t="str">
        <f>_xlfn.XLOOKUP(frasest[[#This Row],[autor_es]],autorest[autor_es],autorest[bio_es])</f>
        <v>Conjunto de proverbios tradicionales de la cultura china que transmiten sabiduría popular, valores morales y enseñanzas prácticas transmitidas oralmente durante siglos.</v>
      </c>
      <c r="I1124" t="str">
        <f>_xlfn.XLOOKUP(frasest[[#This Row],[autor_es]],autorest[autor_es],autorest[bio_la])</f>
        <v>Collectio sententiarum Sinensium, magnopere in cultura tradita.</v>
      </c>
      <c r="J1124" t="str">
        <f>_xlfn.XLOOKUP(frasest[[#This Row],[autor_es]],autorest[autor_es],autorest[codigo])</f>
        <v>zh</v>
      </c>
      <c r="K1124" t="str">
        <f>_xlfn.XLOOKUP(frasest[[#This Row],[autor_es]],autorest[autor_es],autorest[idioma_es])</f>
        <v>Chino</v>
      </c>
      <c r="L1124" t="str">
        <f>_xlfn.XLOOKUP(frasest[[#This Row],[autor_es]],autorest[autor_es],autorest[idioma_la])</f>
        <v>Lingua Sinica</v>
      </c>
      <c r="M1124" t="str">
        <f>_xlfn.XLOOKUP(frasest[[#This Row],[autor_es]],autorest[autor_es],autorest[nacion_es])</f>
        <v>China</v>
      </c>
      <c r="N1124" t="str">
        <f>_xlfn.XLOOKUP(frasest[[#This Row],[autor_es]],autorest[autor_es],autorest[nacion_la])</f>
        <v>Sinae</v>
      </c>
      <c r="O1124" t="str">
        <f>_xlfn.XLOOKUP(frasest[[#This Row],[autor_es]],autorest[autor_es],autorest[epoca_es])</f>
        <v>Epoca Desconocida</v>
      </c>
      <c r="P1124" t="str">
        <f>_xlfn.XLOOKUP(frasest[[#This Row],[autor_es]],autorest[autor_es],autorest[epoca_la])</f>
        <v>Epocha Ignota</v>
      </c>
      <c r="Q1124" t="str">
        <f>_xlfn.XLOOKUP(frasest[[#This Row],[autor_es]],autorest[autor_es],autorest[imagen])</f>
        <v>https://i.ibb.co/qLfpZm6h/china.png</v>
      </c>
      <c r="R1124">
        <f>_xlfn.XLOOKUP(frasest[[#This Row],[autor_es]],autorest[autor_es],autorest[imagen_atr])</f>
        <v>0</v>
      </c>
    </row>
    <row r="1125" spans="1:18">
      <c r="A1125">
        <v>1124</v>
      </c>
      <c r="B1125" t="s">
        <v>3506</v>
      </c>
      <c r="C1125" t="s">
        <v>3507</v>
      </c>
      <c r="D1125" s="1" t="s">
        <v>3508</v>
      </c>
      <c r="E1125" t="s">
        <v>36</v>
      </c>
      <c r="G1125" t="str">
        <f>_xlfn.XLOOKUP(frasest[[#This Row],[autor_es]],autorest[autor_es],autorest[autor_la])</f>
        <v>Proverbium Sinense</v>
      </c>
      <c r="H1125" t="str">
        <f>_xlfn.XLOOKUP(frasest[[#This Row],[autor_es]],autorest[autor_es],autorest[bio_es])</f>
        <v>Conjunto de proverbios tradicionales de la cultura china que transmiten sabiduría popular, valores morales y enseñanzas prácticas transmitidas oralmente durante siglos.</v>
      </c>
      <c r="I1125" t="str">
        <f>_xlfn.XLOOKUP(frasest[[#This Row],[autor_es]],autorest[autor_es],autorest[bio_la])</f>
        <v>Collectio sententiarum Sinensium, magnopere in cultura tradita.</v>
      </c>
      <c r="J1125" t="str">
        <f>_xlfn.XLOOKUP(frasest[[#This Row],[autor_es]],autorest[autor_es],autorest[codigo])</f>
        <v>zh</v>
      </c>
      <c r="K1125" t="str">
        <f>_xlfn.XLOOKUP(frasest[[#This Row],[autor_es]],autorest[autor_es],autorest[idioma_es])</f>
        <v>Chino</v>
      </c>
      <c r="L1125" t="str">
        <f>_xlfn.XLOOKUP(frasest[[#This Row],[autor_es]],autorest[autor_es],autorest[idioma_la])</f>
        <v>Lingua Sinica</v>
      </c>
      <c r="M1125" t="str">
        <f>_xlfn.XLOOKUP(frasest[[#This Row],[autor_es]],autorest[autor_es],autorest[nacion_es])</f>
        <v>China</v>
      </c>
      <c r="N1125" t="str">
        <f>_xlfn.XLOOKUP(frasest[[#This Row],[autor_es]],autorest[autor_es],autorest[nacion_la])</f>
        <v>Sinae</v>
      </c>
      <c r="O1125" t="str">
        <f>_xlfn.XLOOKUP(frasest[[#This Row],[autor_es]],autorest[autor_es],autorest[epoca_es])</f>
        <v>Epoca Desconocida</v>
      </c>
      <c r="P1125" t="str">
        <f>_xlfn.XLOOKUP(frasest[[#This Row],[autor_es]],autorest[autor_es],autorest[epoca_la])</f>
        <v>Epocha Ignota</v>
      </c>
      <c r="Q1125" t="str">
        <f>_xlfn.XLOOKUP(frasest[[#This Row],[autor_es]],autorest[autor_es],autorest[imagen])</f>
        <v>https://i.ibb.co/qLfpZm6h/china.png</v>
      </c>
      <c r="R1125">
        <f>_xlfn.XLOOKUP(frasest[[#This Row],[autor_es]],autorest[autor_es],autorest[imagen_atr])</f>
        <v>0</v>
      </c>
    </row>
    <row r="1126" spans="1:18">
      <c r="A1126">
        <v>1125</v>
      </c>
      <c r="B1126" t="s">
        <v>3509</v>
      </c>
      <c r="C1126" t="s">
        <v>3510</v>
      </c>
      <c r="D1126" s="1" t="s">
        <v>3511</v>
      </c>
      <c r="E1126" t="s">
        <v>36</v>
      </c>
      <c r="G1126" t="str">
        <f>_xlfn.XLOOKUP(frasest[[#This Row],[autor_es]],autorest[autor_es],autorest[autor_la])</f>
        <v>Proverbium Sinense</v>
      </c>
      <c r="H1126" t="str">
        <f>_xlfn.XLOOKUP(frasest[[#This Row],[autor_es]],autorest[autor_es],autorest[bio_es])</f>
        <v>Conjunto de proverbios tradicionales de la cultura china que transmiten sabiduría popular, valores morales y enseñanzas prácticas transmitidas oralmente durante siglos.</v>
      </c>
      <c r="I1126" t="str">
        <f>_xlfn.XLOOKUP(frasest[[#This Row],[autor_es]],autorest[autor_es],autorest[bio_la])</f>
        <v>Collectio sententiarum Sinensium, magnopere in cultura tradita.</v>
      </c>
      <c r="J1126" t="str">
        <f>_xlfn.XLOOKUP(frasest[[#This Row],[autor_es]],autorest[autor_es],autorest[codigo])</f>
        <v>zh</v>
      </c>
      <c r="K1126" t="str">
        <f>_xlfn.XLOOKUP(frasest[[#This Row],[autor_es]],autorest[autor_es],autorest[idioma_es])</f>
        <v>Chino</v>
      </c>
      <c r="L1126" t="str">
        <f>_xlfn.XLOOKUP(frasest[[#This Row],[autor_es]],autorest[autor_es],autorest[idioma_la])</f>
        <v>Lingua Sinica</v>
      </c>
      <c r="M1126" t="str">
        <f>_xlfn.XLOOKUP(frasest[[#This Row],[autor_es]],autorest[autor_es],autorest[nacion_es])</f>
        <v>China</v>
      </c>
      <c r="N1126" t="str">
        <f>_xlfn.XLOOKUP(frasest[[#This Row],[autor_es]],autorest[autor_es],autorest[nacion_la])</f>
        <v>Sinae</v>
      </c>
      <c r="O1126" t="str">
        <f>_xlfn.XLOOKUP(frasest[[#This Row],[autor_es]],autorest[autor_es],autorest[epoca_es])</f>
        <v>Epoca Desconocida</v>
      </c>
      <c r="P1126" t="str">
        <f>_xlfn.XLOOKUP(frasest[[#This Row],[autor_es]],autorest[autor_es],autorest[epoca_la])</f>
        <v>Epocha Ignota</v>
      </c>
      <c r="Q1126" t="str">
        <f>_xlfn.XLOOKUP(frasest[[#This Row],[autor_es]],autorest[autor_es],autorest[imagen])</f>
        <v>https://i.ibb.co/qLfpZm6h/china.png</v>
      </c>
      <c r="R1126">
        <f>_xlfn.XLOOKUP(frasest[[#This Row],[autor_es]],autorest[autor_es],autorest[imagen_atr])</f>
        <v>0</v>
      </c>
    </row>
    <row r="1127" spans="1:18">
      <c r="A1127">
        <v>1126</v>
      </c>
      <c r="B1127" t="s">
        <v>3512</v>
      </c>
      <c r="C1127" t="s">
        <v>3513</v>
      </c>
      <c r="D1127" s="1" t="s">
        <v>3514</v>
      </c>
      <c r="E1127" t="s">
        <v>36</v>
      </c>
      <c r="G1127" t="str">
        <f>_xlfn.XLOOKUP(frasest[[#This Row],[autor_es]],autorest[autor_es],autorest[autor_la])</f>
        <v>Proverbium Sinense</v>
      </c>
      <c r="H1127" t="str">
        <f>_xlfn.XLOOKUP(frasest[[#This Row],[autor_es]],autorest[autor_es],autorest[bio_es])</f>
        <v>Conjunto de proverbios tradicionales de la cultura china que transmiten sabiduría popular, valores morales y enseñanzas prácticas transmitidas oralmente durante siglos.</v>
      </c>
      <c r="I1127" t="str">
        <f>_xlfn.XLOOKUP(frasest[[#This Row],[autor_es]],autorest[autor_es],autorest[bio_la])</f>
        <v>Collectio sententiarum Sinensium, magnopere in cultura tradita.</v>
      </c>
      <c r="J1127" t="str">
        <f>_xlfn.XLOOKUP(frasest[[#This Row],[autor_es]],autorest[autor_es],autorest[codigo])</f>
        <v>zh</v>
      </c>
      <c r="K1127" t="str">
        <f>_xlfn.XLOOKUP(frasest[[#This Row],[autor_es]],autorest[autor_es],autorest[idioma_es])</f>
        <v>Chino</v>
      </c>
      <c r="L1127" t="str">
        <f>_xlfn.XLOOKUP(frasest[[#This Row],[autor_es]],autorest[autor_es],autorest[idioma_la])</f>
        <v>Lingua Sinica</v>
      </c>
      <c r="M1127" t="str">
        <f>_xlfn.XLOOKUP(frasest[[#This Row],[autor_es]],autorest[autor_es],autorest[nacion_es])</f>
        <v>China</v>
      </c>
      <c r="N1127" t="str">
        <f>_xlfn.XLOOKUP(frasest[[#This Row],[autor_es]],autorest[autor_es],autorest[nacion_la])</f>
        <v>Sinae</v>
      </c>
      <c r="O1127" t="str">
        <f>_xlfn.XLOOKUP(frasest[[#This Row],[autor_es]],autorest[autor_es],autorest[epoca_es])</f>
        <v>Epoca Desconocida</v>
      </c>
      <c r="P1127" t="str">
        <f>_xlfn.XLOOKUP(frasest[[#This Row],[autor_es]],autorest[autor_es],autorest[epoca_la])</f>
        <v>Epocha Ignota</v>
      </c>
      <c r="Q1127" t="str">
        <f>_xlfn.XLOOKUP(frasest[[#This Row],[autor_es]],autorest[autor_es],autorest[imagen])</f>
        <v>https://i.ibb.co/qLfpZm6h/china.png</v>
      </c>
      <c r="R1127">
        <f>_xlfn.XLOOKUP(frasest[[#This Row],[autor_es]],autorest[autor_es],autorest[imagen_atr])</f>
        <v>0</v>
      </c>
    </row>
    <row r="1128" spans="1:18">
      <c r="A1128">
        <v>1127</v>
      </c>
      <c r="B1128" t="s">
        <v>3515</v>
      </c>
      <c r="C1128" t="s">
        <v>3516</v>
      </c>
      <c r="D1128" s="1" t="s">
        <v>3517</v>
      </c>
      <c r="E1128" t="s">
        <v>36</v>
      </c>
      <c r="G1128" t="str">
        <f>_xlfn.XLOOKUP(frasest[[#This Row],[autor_es]],autorest[autor_es],autorest[autor_la])</f>
        <v>Proverbium Sinense</v>
      </c>
      <c r="H1128" t="str">
        <f>_xlfn.XLOOKUP(frasest[[#This Row],[autor_es]],autorest[autor_es],autorest[bio_es])</f>
        <v>Conjunto de proverbios tradicionales de la cultura china que transmiten sabiduría popular, valores morales y enseñanzas prácticas transmitidas oralmente durante siglos.</v>
      </c>
      <c r="I1128" t="str">
        <f>_xlfn.XLOOKUP(frasest[[#This Row],[autor_es]],autorest[autor_es],autorest[bio_la])</f>
        <v>Collectio sententiarum Sinensium, magnopere in cultura tradita.</v>
      </c>
      <c r="J1128" t="str">
        <f>_xlfn.XLOOKUP(frasest[[#This Row],[autor_es]],autorest[autor_es],autorest[codigo])</f>
        <v>zh</v>
      </c>
      <c r="K1128" t="str">
        <f>_xlfn.XLOOKUP(frasest[[#This Row],[autor_es]],autorest[autor_es],autorest[idioma_es])</f>
        <v>Chino</v>
      </c>
      <c r="L1128" t="str">
        <f>_xlfn.XLOOKUP(frasest[[#This Row],[autor_es]],autorest[autor_es],autorest[idioma_la])</f>
        <v>Lingua Sinica</v>
      </c>
      <c r="M1128" t="str">
        <f>_xlfn.XLOOKUP(frasest[[#This Row],[autor_es]],autorest[autor_es],autorest[nacion_es])</f>
        <v>China</v>
      </c>
      <c r="N1128" t="str">
        <f>_xlfn.XLOOKUP(frasest[[#This Row],[autor_es]],autorest[autor_es],autorest[nacion_la])</f>
        <v>Sinae</v>
      </c>
      <c r="O1128" t="str">
        <f>_xlfn.XLOOKUP(frasest[[#This Row],[autor_es]],autorest[autor_es],autorest[epoca_es])</f>
        <v>Epoca Desconocida</v>
      </c>
      <c r="P1128" t="str">
        <f>_xlfn.XLOOKUP(frasest[[#This Row],[autor_es]],autorest[autor_es],autorest[epoca_la])</f>
        <v>Epocha Ignota</v>
      </c>
      <c r="Q1128" t="str">
        <f>_xlfn.XLOOKUP(frasest[[#This Row],[autor_es]],autorest[autor_es],autorest[imagen])</f>
        <v>https://i.ibb.co/qLfpZm6h/china.png</v>
      </c>
      <c r="R1128">
        <f>_xlfn.XLOOKUP(frasest[[#This Row],[autor_es]],autorest[autor_es],autorest[imagen_atr])</f>
        <v>0</v>
      </c>
    </row>
    <row r="1129" spans="1:18">
      <c r="A1129">
        <v>1128</v>
      </c>
      <c r="B1129" t="s">
        <v>3518</v>
      </c>
      <c r="C1129" t="s">
        <v>3519</v>
      </c>
      <c r="D1129" s="1" t="s">
        <v>3520</v>
      </c>
      <c r="E1129" t="s">
        <v>36</v>
      </c>
      <c r="G1129" t="str">
        <f>_xlfn.XLOOKUP(frasest[[#This Row],[autor_es]],autorest[autor_es],autorest[autor_la])</f>
        <v>Proverbium Sinense</v>
      </c>
      <c r="H1129" t="str">
        <f>_xlfn.XLOOKUP(frasest[[#This Row],[autor_es]],autorest[autor_es],autorest[bio_es])</f>
        <v>Conjunto de proverbios tradicionales de la cultura china que transmiten sabiduría popular, valores morales y enseñanzas prácticas transmitidas oralmente durante siglos.</v>
      </c>
      <c r="I1129" t="str">
        <f>_xlfn.XLOOKUP(frasest[[#This Row],[autor_es]],autorest[autor_es],autorest[bio_la])</f>
        <v>Collectio sententiarum Sinensium, magnopere in cultura tradita.</v>
      </c>
      <c r="J1129" t="str">
        <f>_xlfn.XLOOKUP(frasest[[#This Row],[autor_es]],autorest[autor_es],autorest[codigo])</f>
        <v>zh</v>
      </c>
      <c r="K1129" t="str">
        <f>_xlfn.XLOOKUP(frasest[[#This Row],[autor_es]],autorest[autor_es],autorest[idioma_es])</f>
        <v>Chino</v>
      </c>
      <c r="L1129" t="str">
        <f>_xlfn.XLOOKUP(frasest[[#This Row],[autor_es]],autorest[autor_es],autorest[idioma_la])</f>
        <v>Lingua Sinica</v>
      </c>
      <c r="M1129" t="str">
        <f>_xlfn.XLOOKUP(frasest[[#This Row],[autor_es]],autorest[autor_es],autorest[nacion_es])</f>
        <v>China</v>
      </c>
      <c r="N1129" t="str">
        <f>_xlfn.XLOOKUP(frasest[[#This Row],[autor_es]],autorest[autor_es],autorest[nacion_la])</f>
        <v>Sinae</v>
      </c>
      <c r="O1129" t="str">
        <f>_xlfn.XLOOKUP(frasest[[#This Row],[autor_es]],autorest[autor_es],autorest[epoca_es])</f>
        <v>Epoca Desconocida</v>
      </c>
      <c r="P1129" t="str">
        <f>_xlfn.XLOOKUP(frasest[[#This Row],[autor_es]],autorest[autor_es],autorest[epoca_la])</f>
        <v>Epocha Ignota</v>
      </c>
      <c r="Q1129" t="str">
        <f>_xlfn.XLOOKUP(frasest[[#This Row],[autor_es]],autorest[autor_es],autorest[imagen])</f>
        <v>https://i.ibb.co/qLfpZm6h/china.png</v>
      </c>
      <c r="R1129">
        <f>_xlfn.XLOOKUP(frasest[[#This Row],[autor_es]],autorest[autor_es],autorest[imagen_atr])</f>
        <v>0</v>
      </c>
    </row>
    <row r="1130" spans="1:18">
      <c r="A1130">
        <v>1129</v>
      </c>
      <c r="B1130" t="s">
        <v>3521</v>
      </c>
      <c r="C1130" t="s">
        <v>3522</v>
      </c>
      <c r="D1130" s="1" t="s">
        <v>3523</v>
      </c>
      <c r="E1130" t="s">
        <v>36</v>
      </c>
      <c r="G1130" t="str">
        <f>_xlfn.XLOOKUP(frasest[[#This Row],[autor_es]],autorest[autor_es],autorest[autor_la])</f>
        <v>Proverbium Sinense</v>
      </c>
      <c r="H1130" t="str">
        <f>_xlfn.XLOOKUP(frasest[[#This Row],[autor_es]],autorest[autor_es],autorest[bio_es])</f>
        <v>Conjunto de proverbios tradicionales de la cultura china que transmiten sabiduría popular, valores morales y enseñanzas prácticas transmitidas oralmente durante siglos.</v>
      </c>
      <c r="I1130" t="str">
        <f>_xlfn.XLOOKUP(frasest[[#This Row],[autor_es]],autorest[autor_es],autorest[bio_la])</f>
        <v>Collectio sententiarum Sinensium, magnopere in cultura tradita.</v>
      </c>
      <c r="J1130" t="str">
        <f>_xlfn.XLOOKUP(frasest[[#This Row],[autor_es]],autorest[autor_es],autorest[codigo])</f>
        <v>zh</v>
      </c>
      <c r="K1130" t="str">
        <f>_xlfn.XLOOKUP(frasest[[#This Row],[autor_es]],autorest[autor_es],autorest[idioma_es])</f>
        <v>Chino</v>
      </c>
      <c r="L1130" t="str">
        <f>_xlfn.XLOOKUP(frasest[[#This Row],[autor_es]],autorest[autor_es],autorest[idioma_la])</f>
        <v>Lingua Sinica</v>
      </c>
      <c r="M1130" t="str">
        <f>_xlfn.XLOOKUP(frasest[[#This Row],[autor_es]],autorest[autor_es],autorest[nacion_es])</f>
        <v>China</v>
      </c>
      <c r="N1130" t="str">
        <f>_xlfn.XLOOKUP(frasest[[#This Row],[autor_es]],autorest[autor_es],autorest[nacion_la])</f>
        <v>Sinae</v>
      </c>
      <c r="O1130" t="str">
        <f>_xlfn.XLOOKUP(frasest[[#This Row],[autor_es]],autorest[autor_es],autorest[epoca_es])</f>
        <v>Epoca Desconocida</v>
      </c>
      <c r="P1130" t="str">
        <f>_xlfn.XLOOKUP(frasest[[#This Row],[autor_es]],autorest[autor_es],autorest[epoca_la])</f>
        <v>Epocha Ignota</v>
      </c>
      <c r="Q1130" t="str">
        <f>_xlfn.XLOOKUP(frasest[[#This Row],[autor_es]],autorest[autor_es],autorest[imagen])</f>
        <v>https://i.ibb.co/qLfpZm6h/china.png</v>
      </c>
      <c r="R1130">
        <f>_xlfn.XLOOKUP(frasest[[#This Row],[autor_es]],autorest[autor_es],autorest[imagen_atr])</f>
        <v>0</v>
      </c>
    </row>
    <row r="1131" spans="1:18">
      <c r="A1131">
        <v>1130</v>
      </c>
      <c r="B1131" t="s">
        <v>3524</v>
      </c>
      <c r="C1131" t="s">
        <v>3525</v>
      </c>
      <c r="D1131" s="1" t="s">
        <v>3526</v>
      </c>
      <c r="E1131" t="s">
        <v>36</v>
      </c>
      <c r="G1131" t="str">
        <f>_xlfn.XLOOKUP(frasest[[#This Row],[autor_es]],autorest[autor_es],autorest[autor_la])</f>
        <v>Proverbium Sinense</v>
      </c>
      <c r="H1131" t="str">
        <f>_xlfn.XLOOKUP(frasest[[#This Row],[autor_es]],autorest[autor_es],autorest[bio_es])</f>
        <v>Conjunto de proverbios tradicionales de la cultura china que transmiten sabiduría popular, valores morales y enseñanzas prácticas transmitidas oralmente durante siglos.</v>
      </c>
      <c r="I1131" t="str">
        <f>_xlfn.XLOOKUP(frasest[[#This Row],[autor_es]],autorest[autor_es],autorest[bio_la])</f>
        <v>Collectio sententiarum Sinensium, magnopere in cultura tradita.</v>
      </c>
      <c r="J1131" t="str">
        <f>_xlfn.XLOOKUP(frasest[[#This Row],[autor_es]],autorest[autor_es],autorest[codigo])</f>
        <v>zh</v>
      </c>
      <c r="K1131" t="str">
        <f>_xlfn.XLOOKUP(frasest[[#This Row],[autor_es]],autorest[autor_es],autorest[idioma_es])</f>
        <v>Chino</v>
      </c>
      <c r="L1131" t="str">
        <f>_xlfn.XLOOKUP(frasest[[#This Row],[autor_es]],autorest[autor_es],autorest[idioma_la])</f>
        <v>Lingua Sinica</v>
      </c>
      <c r="M1131" t="str">
        <f>_xlfn.XLOOKUP(frasest[[#This Row],[autor_es]],autorest[autor_es],autorest[nacion_es])</f>
        <v>China</v>
      </c>
      <c r="N1131" t="str">
        <f>_xlfn.XLOOKUP(frasest[[#This Row],[autor_es]],autorest[autor_es],autorest[nacion_la])</f>
        <v>Sinae</v>
      </c>
      <c r="O1131" t="str">
        <f>_xlfn.XLOOKUP(frasest[[#This Row],[autor_es]],autorest[autor_es],autorest[epoca_es])</f>
        <v>Epoca Desconocida</v>
      </c>
      <c r="P1131" t="str">
        <f>_xlfn.XLOOKUP(frasest[[#This Row],[autor_es]],autorest[autor_es],autorest[epoca_la])</f>
        <v>Epocha Ignota</v>
      </c>
      <c r="Q1131" t="str">
        <f>_xlfn.XLOOKUP(frasest[[#This Row],[autor_es]],autorest[autor_es],autorest[imagen])</f>
        <v>https://i.ibb.co/qLfpZm6h/china.png</v>
      </c>
      <c r="R1131">
        <f>_xlfn.XLOOKUP(frasest[[#This Row],[autor_es]],autorest[autor_es],autorest[imagen_atr])</f>
        <v>0</v>
      </c>
    </row>
    <row r="1132" spans="1:18">
      <c r="A1132">
        <v>1131</v>
      </c>
      <c r="B1132" t="s">
        <v>3527</v>
      </c>
      <c r="C1132" t="s">
        <v>3528</v>
      </c>
      <c r="D1132" s="1" t="s">
        <v>3529</v>
      </c>
      <c r="E1132" t="s">
        <v>36</v>
      </c>
      <c r="G1132" t="str">
        <f>_xlfn.XLOOKUP(frasest[[#This Row],[autor_es]],autorest[autor_es],autorest[autor_la])</f>
        <v>Proverbium Sinense</v>
      </c>
      <c r="H1132" t="str">
        <f>_xlfn.XLOOKUP(frasest[[#This Row],[autor_es]],autorest[autor_es],autorest[bio_es])</f>
        <v>Conjunto de proverbios tradicionales de la cultura china que transmiten sabiduría popular, valores morales y enseñanzas prácticas transmitidas oralmente durante siglos.</v>
      </c>
      <c r="I1132" t="str">
        <f>_xlfn.XLOOKUP(frasest[[#This Row],[autor_es]],autorest[autor_es],autorest[bio_la])</f>
        <v>Collectio sententiarum Sinensium, magnopere in cultura tradita.</v>
      </c>
      <c r="J1132" t="str">
        <f>_xlfn.XLOOKUP(frasest[[#This Row],[autor_es]],autorest[autor_es],autorest[codigo])</f>
        <v>zh</v>
      </c>
      <c r="K1132" t="str">
        <f>_xlfn.XLOOKUP(frasest[[#This Row],[autor_es]],autorest[autor_es],autorest[idioma_es])</f>
        <v>Chino</v>
      </c>
      <c r="L1132" t="str">
        <f>_xlfn.XLOOKUP(frasest[[#This Row],[autor_es]],autorest[autor_es],autorest[idioma_la])</f>
        <v>Lingua Sinica</v>
      </c>
      <c r="M1132" t="str">
        <f>_xlfn.XLOOKUP(frasest[[#This Row],[autor_es]],autorest[autor_es],autorest[nacion_es])</f>
        <v>China</v>
      </c>
      <c r="N1132" t="str">
        <f>_xlfn.XLOOKUP(frasest[[#This Row],[autor_es]],autorest[autor_es],autorest[nacion_la])</f>
        <v>Sinae</v>
      </c>
      <c r="O1132" t="str">
        <f>_xlfn.XLOOKUP(frasest[[#This Row],[autor_es]],autorest[autor_es],autorest[epoca_es])</f>
        <v>Epoca Desconocida</v>
      </c>
      <c r="P1132" t="str">
        <f>_xlfn.XLOOKUP(frasest[[#This Row],[autor_es]],autorest[autor_es],autorest[epoca_la])</f>
        <v>Epocha Ignota</v>
      </c>
      <c r="Q1132" t="str">
        <f>_xlfn.XLOOKUP(frasest[[#This Row],[autor_es]],autorest[autor_es],autorest[imagen])</f>
        <v>https://i.ibb.co/qLfpZm6h/china.png</v>
      </c>
      <c r="R1132">
        <f>_xlfn.XLOOKUP(frasest[[#This Row],[autor_es]],autorest[autor_es],autorest[imagen_atr])</f>
        <v>0</v>
      </c>
    </row>
    <row r="1133" spans="1:18">
      <c r="A1133">
        <v>1132</v>
      </c>
      <c r="B1133" t="s">
        <v>3530</v>
      </c>
      <c r="C1133" t="s">
        <v>3531</v>
      </c>
      <c r="D1133" s="1" t="s">
        <v>3532</v>
      </c>
      <c r="E1133" t="s">
        <v>36</v>
      </c>
      <c r="G1133" t="str">
        <f>_xlfn.XLOOKUP(frasest[[#This Row],[autor_es]],autorest[autor_es],autorest[autor_la])</f>
        <v>Proverbium Sinense</v>
      </c>
      <c r="H1133" t="str">
        <f>_xlfn.XLOOKUP(frasest[[#This Row],[autor_es]],autorest[autor_es],autorest[bio_es])</f>
        <v>Conjunto de proverbios tradicionales de la cultura china que transmiten sabiduría popular, valores morales y enseñanzas prácticas transmitidas oralmente durante siglos.</v>
      </c>
      <c r="I1133" t="str">
        <f>_xlfn.XLOOKUP(frasest[[#This Row],[autor_es]],autorest[autor_es],autorest[bio_la])</f>
        <v>Collectio sententiarum Sinensium, magnopere in cultura tradita.</v>
      </c>
      <c r="J1133" t="str">
        <f>_xlfn.XLOOKUP(frasest[[#This Row],[autor_es]],autorest[autor_es],autorest[codigo])</f>
        <v>zh</v>
      </c>
      <c r="K1133" t="str">
        <f>_xlfn.XLOOKUP(frasest[[#This Row],[autor_es]],autorest[autor_es],autorest[idioma_es])</f>
        <v>Chino</v>
      </c>
      <c r="L1133" t="str">
        <f>_xlfn.XLOOKUP(frasest[[#This Row],[autor_es]],autorest[autor_es],autorest[idioma_la])</f>
        <v>Lingua Sinica</v>
      </c>
      <c r="M1133" t="str">
        <f>_xlfn.XLOOKUP(frasest[[#This Row],[autor_es]],autorest[autor_es],autorest[nacion_es])</f>
        <v>China</v>
      </c>
      <c r="N1133" t="str">
        <f>_xlfn.XLOOKUP(frasest[[#This Row],[autor_es]],autorest[autor_es],autorest[nacion_la])</f>
        <v>Sinae</v>
      </c>
      <c r="O1133" t="str">
        <f>_xlfn.XLOOKUP(frasest[[#This Row],[autor_es]],autorest[autor_es],autorest[epoca_es])</f>
        <v>Epoca Desconocida</v>
      </c>
      <c r="P1133" t="str">
        <f>_xlfn.XLOOKUP(frasest[[#This Row],[autor_es]],autorest[autor_es],autorest[epoca_la])</f>
        <v>Epocha Ignota</v>
      </c>
      <c r="Q1133" t="str">
        <f>_xlfn.XLOOKUP(frasest[[#This Row],[autor_es]],autorest[autor_es],autorest[imagen])</f>
        <v>https://i.ibb.co/qLfpZm6h/china.png</v>
      </c>
      <c r="R1133">
        <f>_xlfn.XLOOKUP(frasest[[#This Row],[autor_es]],autorest[autor_es],autorest[imagen_atr])</f>
        <v>0</v>
      </c>
    </row>
    <row r="1134" spans="1:18">
      <c r="A1134">
        <v>1133</v>
      </c>
      <c r="B1134" t="s">
        <v>3533</v>
      </c>
      <c r="C1134" t="s">
        <v>3534</v>
      </c>
      <c r="D1134" s="1" t="s">
        <v>3535</v>
      </c>
      <c r="E1134" t="s">
        <v>36</v>
      </c>
      <c r="G1134" t="str">
        <f>_xlfn.XLOOKUP(frasest[[#This Row],[autor_es]],autorest[autor_es],autorest[autor_la])</f>
        <v>Proverbium Sinense</v>
      </c>
      <c r="H1134" t="str">
        <f>_xlfn.XLOOKUP(frasest[[#This Row],[autor_es]],autorest[autor_es],autorest[bio_es])</f>
        <v>Conjunto de proverbios tradicionales de la cultura china que transmiten sabiduría popular, valores morales y enseñanzas prácticas transmitidas oralmente durante siglos.</v>
      </c>
      <c r="I1134" t="str">
        <f>_xlfn.XLOOKUP(frasest[[#This Row],[autor_es]],autorest[autor_es],autorest[bio_la])</f>
        <v>Collectio sententiarum Sinensium, magnopere in cultura tradita.</v>
      </c>
      <c r="J1134" t="str">
        <f>_xlfn.XLOOKUP(frasest[[#This Row],[autor_es]],autorest[autor_es],autorest[codigo])</f>
        <v>zh</v>
      </c>
      <c r="K1134" t="str">
        <f>_xlfn.XLOOKUP(frasest[[#This Row],[autor_es]],autorest[autor_es],autorest[idioma_es])</f>
        <v>Chino</v>
      </c>
      <c r="L1134" t="str">
        <f>_xlfn.XLOOKUP(frasest[[#This Row],[autor_es]],autorest[autor_es],autorest[idioma_la])</f>
        <v>Lingua Sinica</v>
      </c>
      <c r="M1134" t="str">
        <f>_xlfn.XLOOKUP(frasest[[#This Row],[autor_es]],autorest[autor_es],autorest[nacion_es])</f>
        <v>China</v>
      </c>
      <c r="N1134" t="str">
        <f>_xlfn.XLOOKUP(frasest[[#This Row],[autor_es]],autorest[autor_es],autorest[nacion_la])</f>
        <v>Sinae</v>
      </c>
      <c r="O1134" t="str">
        <f>_xlfn.XLOOKUP(frasest[[#This Row],[autor_es]],autorest[autor_es],autorest[epoca_es])</f>
        <v>Epoca Desconocida</v>
      </c>
      <c r="P1134" t="str">
        <f>_xlfn.XLOOKUP(frasest[[#This Row],[autor_es]],autorest[autor_es],autorest[epoca_la])</f>
        <v>Epocha Ignota</v>
      </c>
      <c r="Q1134" t="str">
        <f>_xlfn.XLOOKUP(frasest[[#This Row],[autor_es]],autorest[autor_es],autorest[imagen])</f>
        <v>https://i.ibb.co/qLfpZm6h/china.png</v>
      </c>
      <c r="R1134">
        <f>_xlfn.XLOOKUP(frasest[[#This Row],[autor_es]],autorest[autor_es],autorest[imagen_atr])</f>
        <v>0</v>
      </c>
    </row>
    <row r="1135" spans="1:18">
      <c r="A1135">
        <v>1134</v>
      </c>
      <c r="B1135" t="s">
        <v>3536</v>
      </c>
      <c r="C1135" t="s">
        <v>3537</v>
      </c>
      <c r="D1135" s="1" t="s">
        <v>3538</v>
      </c>
      <c r="E1135" t="s">
        <v>36</v>
      </c>
      <c r="G1135" t="str">
        <f>_xlfn.XLOOKUP(frasest[[#This Row],[autor_es]],autorest[autor_es],autorest[autor_la])</f>
        <v>Proverbium Sinense</v>
      </c>
      <c r="H1135" t="str">
        <f>_xlfn.XLOOKUP(frasest[[#This Row],[autor_es]],autorest[autor_es],autorest[bio_es])</f>
        <v>Conjunto de proverbios tradicionales de la cultura china que transmiten sabiduría popular, valores morales y enseñanzas prácticas transmitidas oralmente durante siglos.</v>
      </c>
      <c r="I1135" t="str">
        <f>_xlfn.XLOOKUP(frasest[[#This Row],[autor_es]],autorest[autor_es],autorest[bio_la])</f>
        <v>Collectio sententiarum Sinensium, magnopere in cultura tradita.</v>
      </c>
      <c r="J1135" t="str">
        <f>_xlfn.XLOOKUP(frasest[[#This Row],[autor_es]],autorest[autor_es],autorest[codigo])</f>
        <v>zh</v>
      </c>
      <c r="K1135" t="str">
        <f>_xlfn.XLOOKUP(frasest[[#This Row],[autor_es]],autorest[autor_es],autorest[idioma_es])</f>
        <v>Chino</v>
      </c>
      <c r="L1135" t="str">
        <f>_xlfn.XLOOKUP(frasest[[#This Row],[autor_es]],autorest[autor_es],autorest[idioma_la])</f>
        <v>Lingua Sinica</v>
      </c>
      <c r="M1135" t="str">
        <f>_xlfn.XLOOKUP(frasest[[#This Row],[autor_es]],autorest[autor_es],autorest[nacion_es])</f>
        <v>China</v>
      </c>
      <c r="N1135" t="str">
        <f>_xlfn.XLOOKUP(frasest[[#This Row],[autor_es]],autorest[autor_es],autorest[nacion_la])</f>
        <v>Sinae</v>
      </c>
      <c r="O1135" t="str">
        <f>_xlfn.XLOOKUP(frasest[[#This Row],[autor_es]],autorest[autor_es],autorest[epoca_es])</f>
        <v>Epoca Desconocida</v>
      </c>
      <c r="P1135" t="str">
        <f>_xlfn.XLOOKUP(frasest[[#This Row],[autor_es]],autorest[autor_es],autorest[epoca_la])</f>
        <v>Epocha Ignota</v>
      </c>
      <c r="Q1135" t="str">
        <f>_xlfn.XLOOKUP(frasest[[#This Row],[autor_es]],autorest[autor_es],autorest[imagen])</f>
        <v>https://i.ibb.co/qLfpZm6h/china.png</v>
      </c>
      <c r="R1135">
        <f>_xlfn.XLOOKUP(frasest[[#This Row],[autor_es]],autorest[autor_es],autorest[imagen_atr])</f>
        <v>0</v>
      </c>
    </row>
    <row r="1136" spans="1:18">
      <c r="A1136">
        <v>1135</v>
      </c>
      <c r="B1136" t="s">
        <v>3539</v>
      </c>
      <c r="C1136" t="s">
        <v>3540</v>
      </c>
      <c r="D1136" s="1" t="s">
        <v>3541</v>
      </c>
      <c r="E1136" t="s">
        <v>36</v>
      </c>
      <c r="G1136" t="str">
        <f>_xlfn.XLOOKUP(frasest[[#This Row],[autor_es]],autorest[autor_es],autorest[autor_la])</f>
        <v>Proverbium Sinense</v>
      </c>
      <c r="H1136" t="str">
        <f>_xlfn.XLOOKUP(frasest[[#This Row],[autor_es]],autorest[autor_es],autorest[bio_es])</f>
        <v>Conjunto de proverbios tradicionales de la cultura china que transmiten sabiduría popular, valores morales y enseñanzas prácticas transmitidas oralmente durante siglos.</v>
      </c>
      <c r="I1136" t="str">
        <f>_xlfn.XLOOKUP(frasest[[#This Row],[autor_es]],autorest[autor_es],autorest[bio_la])</f>
        <v>Collectio sententiarum Sinensium, magnopere in cultura tradita.</v>
      </c>
      <c r="J1136" t="str">
        <f>_xlfn.XLOOKUP(frasest[[#This Row],[autor_es]],autorest[autor_es],autorest[codigo])</f>
        <v>zh</v>
      </c>
      <c r="K1136" t="str">
        <f>_xlfn.XLOOKUP(frasest[[#This Row],[autor_es]],autorest[autor_es],autorest[idioma_es])</f>
        <v>Chino</v>
      </c>
      <c r="L1136" t="str">
        <f>_xlfn.XLOOKUP(frasest[[#This Row],[autor_es]],autorest[autor_es],autorest[idioma_la])</f>
        <v>Lingua Sinica</v>
      </c>
      <c r="M1136" t="str">
        <f>_xlfn.XLOOKUP(frasest[[#This Row],[autor_es]],autorest[autor_es],autorest[nacion_es])</f>
        <v>China</v>
      </c>
      <c r="N1136" t="str">
        <f>_xlfn.XLOOKUP(frasest[[#This Row],[autor_es]],autorest[autor_es],autorest[nacion_la])</f>
        <v>Sinae</v>
      </c>
      <c r="O1136" t="str">
        <f>_xlfn.XLOOKUP(frasest[[#This Row],[autor_es]],autorest[autor_es],autorest[epoca_es])</f>
        <v>Epoca Desconocida</v>
      </c>
      <c r="P1136" t="str">
        <f>_xlfn.XLOOKUP(frasest[[#This Row],[autor_es]],autorest[autor_es],autorest[epoca_la])</f>
        <v>Epocha Ignota</v>
      </c>
      <c r="Q1136" t="str">
        <f>_xlfn.XLOOKUP(frasest[[#This Row],[autor_es]],autorest[autor_es],autorest[imagen])</f>
        <v>https://i.ibb.co/qLfpZm6h/china.png</v>
      </c>
      <c r="R1136">
        <f>_xlfn.XLOOKUP(frasest[[#This Row],[autor_es]],autorest[autor_es],autorest[imagen_atr])</f>
        <v>0</v>
      </c>
    </row>
    <row r="1137" spans="1:18">
      <c r="A1137">
        <v>1136</v>
      </c>
      <c r="B1137" t="s">
        <v>3542</v>
      </c>
      <c r="C1137" t="s">
        <v>3543</v>
      </c>
      <c r="D1137" s="1" t="s">
        <v>3544</v>
      </c>
      <c r="E1137" t="s">
        <v>36</v>
      </c>
      <c r="G1137" t="str">
        <f>_xlfn.XLOOKUP(frasest[[#This Row],[autor_es]],autorest[autor_es],autorest[autor_la])</f>
        <v>Proverbium Sinense</v>
      </c>
      <c r="H1137" t="str">
        <f>_xlfn.XLOOKUP(frasest[[#This Row],[autor_es]],autorest[autor_es],autorest[bio_es])</f>
        <v>Conjunto de proverbios tradicionales de la cultura china que transmiten sabiduría popular, valores morales y enseñanzas prácticas transmitidas oralmente durante siglos.</v>
      </c>
      <c r="I1137" t="str">
        <f>_xlfn.XLOOKUP(frasest[[#This Row],[autor_es]],autorest[autor_es],autorest[bio_la])</f>
        <v>Collectio sententiarum Sinensium, magnopere in cultura tradita.</v>
      </c>
      <c r="J1137" t="str">
        <f>_xlfn.XLOOKUP(frasest[[#This Row],[autor_es]],autorest[autor_es],autorest[codigo])</f>
        <v>zh</v>
      </c>
      <c r="K1137" t="str">
        <f>_xlfn.XLOOKUP(frasest[[#This Row],[autor_es]],autorest[autor_es],autorest[idioma_es])</f>
        <v>Chino</v>
      </c>
      <c r="L1137" t="str">
        <f>_xlfn.XLOOKUP(frasest[[#This Row],[autor_es]],autorest[autor_es],autorest[idioma_la])</f>
        <v>Lingua Sinica</v>
      </c>
      <c r="M1137" t="str">
        <f>_xlfn.XLOOKUP(frasest[[#This Row],[autor_es]],autorest[autor_es],autorest[nacion_es])</f>
        <v>China</v>
      </c>
      <c r="N1137" t="str">
        <f>_xlfn.XLOOKUP(frasest[[#This Row],[autor_es]],autorest[autor_es],autorest[nacion_la])</f>
        <v>Sinae</v>
      </c>
      <c r="O1137" t="str">
        <f>_xlfn.XLOOKUP(frasest[[#This Row],[autor_es]],autorest[autor_es],autorest[epoca_es])</f>
        <v>Epoca Desconocida</v>
      </c>
      <c r="P1137" t="str">
        <f>_xlfn.XLOOKUP(frasest[[#This Row],[autor_es]],autorest[autor_es],autorest[epoca_la])</f>
        <v>Epocha Ignota</v>
      </c>
      <c r="Q1137" t="str">
        <f>_xlfn.XLOOKUP(frasest[[#This Row],[autor_es]],autorest[autor_es],autorest[imagen])</f>
        <v>https://i.ibb.co/qLfpZm6h/china.png</v>
      </c>
      <c r="R1137">
        <f>_xlfn.XLOOKUP(frasest[[#This Row],[autor_es]],autorest[autor_es],autorest[imagen_atr])</f>
        <v>0</v>
      </c>
    </row>
    <row r="1138" spans="1:18">
      <c r="A1138">
        <v>1137</v>
      </c>
      <c r="B1138" t="s">
        <v>3545</v>
      </c>
      <c r="C1138" t="s">
        <v>3546</v>
      </c>
      <c r="D1138" s="1" t="s">
        <v>3547</v>
      </c>
      <c r="E1138" t="s">
        <v>36</v>
      </c>
      <c r="G1138" t="str">
        <f>_xlfn.XLOOKUP(frasest[[#This Row],[autor_es]],autorest[autor_es],autorest[autor_la])</f>
        <v>Proverbium Sinense</v>
      </c>
      <c r="H1138" t="str">
        <f>_xlfn.XLOOKUP(frasest[[#This Row],[autor_es]],autorest[autor_es],autorest[bio_es])</f>
        <v>Conjunto de proverbios tradicionales de la cultura china que transmiten sabiduría popular, valores morales y enseñanzas prácticas transmitidas oralmente durante siglos.</v>
      </c>
      <c r="I1138" t="str">
        <f>_xlfn.XLOOKUP(frasest[[#This Row],[autor_es]],autorest[autor_es],autorest[bio_la])</f>
        <v>Collectio sententiarum Sinensium, magnopere in cultura tradita.</v>
      </c>
      <c r="J1138" t="str">
        <f>_xlfn.XLOOKUP(frasest[[#This Row],[autor_es]],autorest[autor_es],autorest[codigo])</f>
        <v>zh</v>
      </c>
      <c r="K1138" t="str">
        <f>_xlfn.XLOOKUP(frasest[[#This Row],[autor_es]],autorest[autor_es],autorest[idioma_es])</f>
        <v>Chino</v>
      </c>
      <c r="L1138" t="str">
        <f>_xlfn.XLOOKUP(frasest[[#This Row],[autor_es]],autorest[autor_es],autorest[idioma_la])</f>
        <v>Lingua Sinica</v>
      </c>
      <c r="M1138" t="str">
        <f>_xlfn.XLOOKUP(frasest[[#This Row],[autor_es]],autorest[autor_es],autorest[nacion_es])</f>
        <v>China</v>
      </c>
      <c r="N1138" t="str">
        <f>_xlfn.XLOOKUP(frasest[[#This Row],[autor_es]],autorest[autor_es],autorest[nacion_la])</f>
        <v>Sinae</v>
      </c>
      <c r="O1138" t="str">
        <f>_xlfn.XLOOKUP(frasest[[#This Row],[autor_es]],autorest[autor_es],autorest[epoca_es])</f>
        <v>Epoca Desconocida</v>
      </c>
      <c r="P1138" t="str">
        <f>_xlfn.XLOOKUP(frasest[[#This Row],[autor_es]],autorest[autor_es],autorest[epoca_la])</f>
        <v>Epocha Ignota</v>
      </c>
      <c r="Q1138" t="str">
        <f>_xlfn.XLOOKUP(frasest[[#This Row],[autor_es]],autorest[autor_es],autorest[imagen])</f>
        <v>https://i.ibb.co/qLfpZm6h/china.png</v>
      </c>
      <c r="R1138">
        <f>_xlfn.XLOOKUP(frasest[[#This Row],[autor_es]],autorest[autor_es],autorest[imagen_atr])</f>
        <v>0</v>
      </c>
    </row>
    <row r="1139" spans="1:18">
      <c r="A1139">
        <v>1138</v>
      </c>
      <c r="B1139" t="s">
        <v>3548</v>
      </c>
      <c r="C1139" t="s">
        <v>3549</v>
      </c>
      <c r="D1139" s="1" t="s">
        <v>3550</v>
      </c>
      <c r="E1139" t="s">
        <v>36</v>
      </c>
      <c r="G1139" t="str">
        <f>_xlfn.XLOOKUP(frasest[[#This Row],[autor_es]],autorest[autor_es],autorest[autor_la])</f>
        <v>Proverbium Sinense</v>
      </c>
      <c r="H1139" t="str">
        <f>_xlfn.XLOOKUP(frasest[[#This Row],[autor_es]],autorest[autor_es],autorest[bio_es])</f>
        <v>Conjunto de proverbios tradicionales de la cultura china que transmiten sabiduría popular, valores morales y enseñanzas prácticas transmitidas oralmente durante siglos.</v>
      </c>
      <c r="I1139" t="str">
        <f>_xlfn.XLOOKUP(frasest[[#This Row],[autor_es]],autorest[autor_es],autorest[bio_la])</f>
        <v>Collectio sententiarum Sinensium, magnopere in cultura tradita.</v>
      </c>
      <c r="J1139" t="str">
        <f>_xlfn.XLOOKUP(frasest[[#This Row],[autor_es]],autorest[autor_es],autorest[codigo])</f>
        <v>zh</v>
      </c>
      <c r="K1139" t="str">
        <f>_xlfn.XLOOKUP(frasest[[#This Row],[autor_es]],autorest[autor_es],autorest[idioma_es])</f>
        <v>Chino</v>
      </c>
      <c r="L1139" t="str">
        <f>_xlfn.XLOOKUP(frasest[[#This Row],[autor_es]],autorest[autor_es],autorest[idioma_la])</f>
        <v>Lingua Sinica</v>
      </c>
      <c r="M1139" t="str">
        <f>_xlfn.XLOOKUP(frasest[[#This Row],[autor_es]],autorest[autor_es],autorest[nacion_es])</f>
        <v>China</v>
      </c>
      <c r="N1139" t="str">
        <f>_xlfn.XLOOKUP(frasest[[#This Row],[autor_es]],autorest[autor_es],autorest[nacion_la])</f>
        <v>Sinae</v>
      </c>
      <c r="O1139" t="str">
        <f>_xlfn.XLOOKUP(frasest[[#This Row],[autor_es]],autorest[autor_es],autorest[epoca_es])</f>
        <v>Epoca Desconocida</v>
      </c>
      <c r="P1139" t="str">
        <f>_xlfn.XLOOKUP(frasest[[#This Row],[autor_es]],autorest[autor_es],autorest[epoca_la])</f>
        <v>Epocha Ignota</v>
      </c>
      <c r="Q1139" t="str">
        <f>_xlfn.XLOOKUP(frasest[[#This Row],[autor_es]],autorest[autor_es],autorest[imagen])</f>
        <v>https://i.ibb.co/qLfpZm6h/china.png</v>
      </c>
      <c r="R1139">
        <f>_xlfn.XLOOKUP(frasest[[#This Row],[autor_es]],autorest[autor_es],autorest[imagen_atr])</f>
        <v>0</v>
      </c>
    </row>
    <row r="1140" spans="1:18">
      <c r="A1140">
        <v>1139</v>
      </c>
      <c r="B1140" t="s">
        <v>3551</v>
      </c>
      <c r="C1140" t="s">
        <v>3552</v>
      </c>
      <c r="D1140" s="1" t="s">
        <v>3285</v>
      </c>
      <c r="E1140" t="s">
        <v>36</v>
      </c>
      <c r="G1140" t="str">
        <f>_xlfn.XLOOKUP(frasest[[#This Row],[autor_es]],autorest[autor_es],autorest[autor_la])</f>
        <v>Proverbium Sinense</v>
      </c>
      <c r="H1140" t="str">
        <f>_xlfn.XLOOKUP(frasest[[#This Row],[autor_es]],autorest[autor_es],autorest[bio_es])</f>
        <v>Conjunto de proverbios tradicionales de la cultura china que transmiten sabiduría popular, valores morales y enseñanzas prácticas transmitidas oralmente durante siglos.</v>
      </c>
      <c r="I1140" t="str">
        <f>_xlfn.XLOOKUP(frasest[[#This Row],[autor_es]],autorest[autor_es],autorest[bio_la])</f>
        <v>Collectio sententiarum Sinensium, magnopere in cultura tradita.</v>
      </c>
      <c r="J1140" t="str">
        <f>_xlfn.XLOOKUP(frasest[[#This Row],[autor_es]],autorest[autor_es],autorest[codigo])</f>
        <v>zh</v>
      </c>
      <c r="K1140" t="str">
        <f>_xlfn.XLOOKUP(frasest[[#This Row],[autor_es]],autorest[autor_es],autorest[idioma_es])</f>
        <v>Chino</v>
      </c>
      <c r="L1140" t="str">
        <f>_xlfn.XLOOKUP(frasest[[#This Row],[autor_es]],autorest[autor_es],autorest[idioma_la])</f>
        <v>Lingua Sinica</v>
      </c>
      <c r="M1140" t="str">
        <f>_xlfn.XLOOKUP(frasest[[#This Row],[autor_es]],autorest[autor_es],autorest[nacion_es])</f>
        <v>China</v>
      </c>
      <c r="N1140" t="str">
        <f>_xlfn.XLOOKUP(frasest[[#This Row],[autor_es]],autorest[autor_es],autorest[nacion_la])</f>
        <v>Sinae</v>
      </c>
      <c r="O1140" t="str">
        <f>_xlfn.XLOOKUP(frasest[[#This Row],[autor_es]],autorest[autor_es],autorest[epoca_es])</f>
        <v>Epoca Desconocida</v>
      </c>
      <c r="P1140" t="str">
        <f>_xlfn.XLOOKUP(frasest[[#This Row],[autor_es]],autorest[autor_es],autorest[epoca_la])</f>
        <v>Epocha Ignota</v>
      </c>
      <c r="Q1140" t="str">
        <f>_xlfn.XLOOKUP(frasest[[#This Row],[autor_es]],autorest[autor_es],autorest[imagen])</f>
        <v>https://i.ibb.co/qLfpZm6h/china.png</v>
      </c>
      <c r="R1140">
        <f>_xlfn.XLOOKUP(frasest[[#This Row],[autor_es]],autorest[autor_es],autorest[imagen_atr])</f>
        <v>0</v>
      </c>
    </row>
    <row r="1141" spans="1:18">
      <c r="A1141">
        <v>1140</v>
      </c>
      <c r="B1141" t="s">
        <v>3553</v>
      </c>
      <c r="C1141" t="s">
        <v>3554</v>
      </c>
      <c r="D1141" s="1" t="s">
        <v>3555</v>
      </c>
      <c r="E1141" t="s">
        <v>36</v>
      </c>
      <c r="G1141" t="str">
        <f>_xlfn.XLOOKUP(frasest[[#This Row],[autor_es]],autorest[autor_es],autorest[autor_la])</f>
        <v>Proverbium Sinense</v>
      </c>
      <c r="H1141" t="str">
        <f>_xlfn.XLOOKUP(frasest[[#This Row],[autor_es]],autorest[autor_es],autorest[bio_es])</f>
        <v>Conjunto de proverbios tradicionales de la cultura china que transmiten sabiduría popular, valores morales y enseñanzas prácticas transmitidas oralmente durante siglos.</v>
      </c>
      <c r="I1141" t="str">
        <f>_xlfn.XLOOKUP(frasest[[#This Row],[autor_es]],autorest[autor_es],autorest[bio_la])</f>
        <v>Collectio sententiarum Sinensium, magnopere in cultura tradita.</v>
      </c>
      <c r="J1141" t="str">
        <f>_xlfn.XLOOKUP(frasest[[#This Row],[autor_es]],autorest[autor_es],autorest[codigo])</f>
        <v>zh</v>
      </c>
      <c r="K1141" t="str">
        <f>_xlfn.XLOOKUP(frasest[[#This Row],[autor_es]],autorest[autor_es],autorest[idioma_es])</f>
        <v>Chino</v>
      </c>
      <c r="L1141" t="str">
        <f>_xlfn.XLOOKUP(frasest[[#This Row],[autor_es]],autorest[autor_es],autorest[idioma_la])</f>
        <v>Lingua Sinica</v>
      </c>
      <c r="M1141" t="str">
        <f>_xlfn.XLOOKUP(frasest[[#This Row],[autor_es]],autorest[autor_es],autorest[nacion_es])</f>
        <v>China</v>
      </c>
      <c r="N1141" t="str">
        <f>_xlfn.XLOOKUP(frasest[[#This Row],[autor_es]],autorest[autor_es],autorest[nacion_la])</f>
        <v>Sinae</v>
      </c>
      <c r="O1141" t="str">
        <f>_xlfn.XLOOKUP(frasest[[#This Row],[autor_es]],autorest[autor_es],autorest[epoca_es])</f>
        <v>Epoca Desconocida</v>
      </c>
      <c r="P1141" t="str">
        <f>_xlfn.XLOOKUP(frasest[[#This Row],[autor_es]],autorest[autor_es],autorest[epoca_la])</f>
        <v>Epocha Ignota</v>
      </c>
      <c r="Q1141" t="str">
        <f>_xlfn.XLOOKUP(frasest[[#This Row],[autor_es]],autorest[autor_es],autorest[imagen])</f>
        <v>https://i.ibb.co/qLfpZm6h/china.png</v>
      </c>
      <c r="R1141">
        <f>_xlfn.XLOOKUP(frasest[[#This Row],[autor_es]],autorest[autor_es],autorest[imagen_atr])</f>
        <v>0</v>
      </c>
    </row>
    <row r="1142" spans="1:18">
      <c r="A1142">
        <v>1141</v>
      </c>
      <c r="B1142" t="s">
        <v>3556</v>
      </c>
      <c r="C1142" t="s">
        <v>3557</v>
      </c>
      <c r="D1142" s="1" t="s">
        <v>3558</v>
      </c>
      <c r="E1142" t="s">
        <v>36</v>
      </c>
      <c r="G1142" t="str">
        <f>_xlfn.XLOOKUP(frasest[[#This Row],[autor_es]],autorest[autor_es],autorest[autor_la])</f>
        <v>Proverbium Sinense</v>
      </c>
      <c r="H1142" t="str">
        <f>_xlfn.XLOOKUP(frasest[[#This Row],[autor_es]],autorest[autor_es],autorest[bio_es])</f>
        <v>Conjunto de proverbios tradicionales de la cultura china que transmiten sabiduría popular, valores morales y enseñanzas prácticas transmitidas oralmente durante siglos.</v>
      </c>
      <c r="I1142" t="str">
        <f>_xlfn.XLOOKUP(frasest[[#This Row],[autor_es]],autorest[autor_es],autorest[bio_la])</f>
        <v>Collectio sententiarum Sinensium, magnopere in cultura tradita.</v>
      </c>
      <c r="J1142" t="str">
        <f>_xlfn.XLOOKUP(frasest[[#This Row],[autor_es]],autorest[autor_es],autorest[codigo])</f>
        <v>zh</v>
      </c>
      <c r="K1142" t="str">
        <f>_xlfn.XLOOKUP(frasest[[#This Row],[autor_es]],autorest[autor_es],autorest[idioma_es])</f>
        <v>Chino</v>
      </c>
      <c r="L1142" t="str">
        <f>_xlfn.XLOOKUP(frasest[[#This Row],[autor_es]],autorest[autor_es],autorest[idioma_la])</f>
        <v>Lingua Sinica</v>
      </c>
      <c r="M1142" t="str">
        <f>_xlfn.XLOOKUP(frasest[[#This Row],[autor_es]],autorest[autor_es],autorest[nacion_es])</f>
        <v>China</v>
      </c>
      <c r="N1142" t="str">
        <f>_xlfn.XLOOKUP(frasest[[#This Row],[autor_es]],autorest[autor_es],autorest[nacion_la])</f>
        <v>Sinae</v>
      </c>
      <c r="O1142" t="str">
        <f>_xlfn.XLOOKUP(frasest[[#This Row],[autor_es]],autorest[autor_es],autorest[epoca_es])</f>
        <v>Epoca Desconocida</v>
      </c>
      <c r="P1142" t="str">
        <f>_xlfn.XLOOKUP(frasest[[#This Row],[autor_es]],autorest[autor_es],autorest[epoca_la])</f>
        <v>Epocha Ignota</v>
      </c>
      <c r="Q1142" t="str">
        <f>_xlfn.XLOOKUP(frasest[[#This Row],[autor_es]],autorest[autor_es],autorest[imagen])</f>
        <v>https://i.ibb.co/qLfpZm6h/china.png</v>
      </c>
      <c r="R1142">
        <f>_xlfn.XLOOKUP(frasest[[#This Row],[autor_es]],autorest[autor_es],autorest[imagen_atr])</f>
        <v>0</v>
      </c>
    </row>
    <row r="1143" spans="1:18">
      <c r="A1143">
        <v>1142</v>
      </c>
      <c r="B1143" t="s">
        <v>3559</v>
      </c>
      <c r="C1143" t="s">
        <v>3560</v>
      </c>
      <c r="D1143" s="1" t="s">
        <v>3561</v>
      </c>
      <c r="E1143" t="s">
        <v>36</v>
      </c>
      <c r="G1143" t="str">
        <f>_xlfn.XLOOKUP(frasest[[#This Row],[autor_es]],autorest[autor_es],autorest[autor_la])</f>
        <v>Proverbium Sinense</v>
      </c>
      <c r="H1143" t="str">
        <f>_xlfn.XLOOKUP(frasest[[#This Row],[autor_es]],autorest[autor_es],autorest[bio_es])</f>
        <v>Conjunto de proverbios tradicionales de la cultura china que transmiten sabiduría popular, valores morales y enseñanzas prácticas transmitidas oralmente durante siglos.</v>
      </c>
      <c r="I1143" t="str">
        <f>_xlfn.XLOOKUP(frasest[[#This Row],[autor_es]],autorest[autor_es],autorest[bio_la])</f>
        <v>Collectio sententiarum Sinensium, magnopere in cultura tradita.</v>
      </c>
      <c r="J1143" t="str">
        <f>_xlfn.XLOOKUP(frasest[[#This Row],[autor_es]],autorest[autor_es],autorest[codigo])</f>
        <v>zh</v>
      </c>
      <c r="K1143" t="str">
        <f>_xlfn.XLOOKUP(frasest[[#This Row],[autor_es]],autorest[autor_es],autorest[idioma_es])</f>
        <v>Chino</v>
      </c>
      <c r="L1143" t="str">
        <f>_xlfn.XLOOKUP(frasest[[#This Row],[autor_es]],autorest[autor_es],autorest[idioma_la])</f>
        <v>Lingua Sinica</v>
      </c>
      <c r="M1143" t="str">
        <f>_xlfn.XLOOKUP(frasest[[#This Row],[autor_es]],autorest[autor_es],autorest[nacion_es])</f>
        <v>China</v>
      </c>
      <c r="N1143" t="str">
        <f>_xlfn.XLOOKUP(frasest[[#This Row],[autor_es]],autorest[autor_es],autorest[nacion_la])</f>
        <v>Sinae</v>
      </c>
      <c r="O1143" t="str">
        <f>_xlfn.XLOOKUP(frasest[[#This Row],[autor_es]],autorest[autor_es],autorest[epoca_es])</f>
        <v>Epoca Desconocida</v>
      </c>
      <c r="P1143" t="str">
        <f>_xlfn.XLOOKUP(frasest[[#This Row],[autor_es]],autorest[autor_es],autorest[epoca_la])</f>
        <v>Epocha Ignota</v>
      </c>
      <c r="Q1143" t="str">
        <f>_xlfn.XLOOKUP(frasest[[#This Row],[autor_es]],autorest[autor_es],autorest[imagen])</f>
        <v>https://i.ibb.co/qLfpZm6h/china.png</v>
      </c>
      <c r="R1143">
        <f>_xlfn.XLOOKUP(frasest[[#This Row],[autor_es]],autorest[autor_es],autorest[imagen_atr])</f>
        <v>0</v>
      </c>
    </row>
    <row r="1144" spans="1:18">
      <c r="A1144">
        <v>1143</v>
      </c>
      <c r="B1144" t="s">
        <v>3562</v>
      </c>
      <c r="C1144" t="s">
        <v>3563</v>
      </c>
      <c r="D1144" s="1" t="s">
        <v>3564</v>
      </c>
      <c r="E1144" t="s">
        <v>36</v>
      </c>
      <c r="G1144" t="str">
        <f>_xlfn.XLOOKUP(frasest[[#This Row],[autor_es]],autorest[autor_es],autorest[autor_la])</f>
        <v>Proverbium Sinense</v>
      </c>
      <c r="H1144" t="str">
        <f>_xlfn.XLOOKUP(frasest[[#This Row],[autor_es]],autorest[autor_es],autorest[bio_es])</f>
        <v>Conjunto de proverbios tradicionales de la cultura china que transmiten sabiduría popular, valores morales y enseñanzas prácticas transmitidas oralmente durante siglos.</v>
      </c>
      <c r="I1144" t="str">
        <f>_xlfn.XLOOKUP(frasest[[#This Row],[autor_es]],autorest[autor_es],autorest[bio_la])</f>
        <v>Collectio sententiarum Sinensium, magnopere in cultura tradita.</v>
      </c>
      <c r="J1144" t="str">
        <f>_xlfn.XLOOKUP(frasest[[#This Row],[autor_es]],autorest[autor_es],autorest[codigo])</f>
        <v>zh</v>
      </c>
      <c r="K1144" t="str">
        <f>_xlfn.XLOOKUP(frasest[[#This Row],[autor_es]],autorest[autor_es],autorest[idioma_es])</f>
        <v>Chino</v>
      </c>
      <c r="L1144" t="str">
        <f>_xlfn.XLOOKUP(frasest[[#This Row],[autor_es]],autorest[autor_es],autorest[idioma_la])</f>
        <v>Lingua Sinica</v>
      </c>
      <c r="M1144" t="str">
        <f>_xlfn.XLOOKUP(frasest[[#This Row],[autor_es]],autorest[autor_es],autorest[nacion_es])</f>
        <v>China</v>
      </c>
      <c r="N1144" t="str">
        <f>_xlfn.XLOOKUP(frasest[[#This Row],[autor_es]],autorest[autor_es],autorest[nacion_la])</f>
        <v>Sinae</v>
      </c>
      <c r="O1144" t="str">
        <f>_xlfn.XLOOKUP(frasest[[#This Row],[autor_es]],autorest[autor_es],autorest[epoca_es])</f>
        <v>Epoca Desconocida</v>
      </c>
      <c r="P1144" t="str">
        <f>_xlfn.XLOOKUP(frasest[[#This Row],[autor_es]],autorest[autor_es],autorest[epoca_la])</f>
        <v>Epocha Ignota</v>
      </c>
      <c r="Q1144" t="str">
        <f>_xlfn.XLOOKUP(frasest[[#This Row],[autor_es]],autorest[autor_es],autorest[imagen])</f>
        <v>https://i.ibb.co/qLfpZm6h/china.png</v>
      </c>
      <c r="R1144">
        <f>_xlfn.XLOOKUP(frasest[[#This Row],[autor_es]],autorest[autor_es],autorest[imagen_atr])</f>
        <v>0</v>
      </c>
    </row>
    <row r="1145" spans="1:18">
      <c r="A1145">
        <v>1144</v>
      </c>
      <c r="B1145" t="s">
        <v>3565</v>
      </c>
      <c r="C1145" t="s">
        <v>3566</v>
      </c>
      <c r="D1145" s="1" t="s">
        <v>3567</v>
      </c>
      <c r="E1145" t="s">
        <v>36</v>
      </c>
      <c r="G1145" t="str">
        <f>_xlfn.XLOOKUP(frasest[[#This Row],[autor_es]],autorest[autor_es],autorest[autor_la])</f>
        <v>Proverbium Sinense</v>
      </c>
      <c r="H1145" t="str">
        <f>_xlfn.XLOOKUP(frasest[[#This Row],[autor_es]],autorest[autor_es],autorest[bio_es])</f>
        <v>Conjunto de proverbios tradicionales de la cultura china que transmiten sabiduría popular, valores morales y enseñanzas prácticas transmitidas oralmente durante siglos.</v>
      </c>
      <c r="I1145" t="str">
        <f>_xlfn.XLOOKUP(frasest[[#This Row],[autor_es]],autorest[autor_es],autorest[bio_la])</f>
        <v>Collectio sententiarum Sinensium, magnopere in cultura tradita.</v>
      </c>
      <c r="J1145" t="str">
        <f>_xlfn.XLOOKUP(frasest[[#This Row],[autor_es]],autorest[autor_es],autorest[codigo])</f>
        <v>zh</v>
      </c>
      <c r="K1145" t="str">
        <f>_xlfn.XLOOKUP(frasest[[#This Row],[autor_es]],autorest[autor_es],autorest[idioma_es])</f>
        <v>Chino</v>
      </c>
      <c r="L1145" t="str">
        <f>_xlfn.XLOOKUP(frasest[[#This Row],[autor_es]],autorest[autor_es],autorest[idioma_la])</f>
        <v>Lingua Sinica</v>
      </c>
      <c r="M1145" t="str">
        <f>_xlfn.XLOOKUP(frasest[[#This Row],[autor_es]],autorest[autor_es],autorest[nacion_es])</f>
        <v>China</v>
      </c>
      <c r="N1145" t="str">
        <f>_xlfn.XLOOKUP(frasest[[#This Row],[autor_es]],autorest[autor_es],autorest[nacion_la])</f>
        <v>Sinae</v>
      </c>
      <c r="O1145" t="str">
        <f>_xlfn.XLOOKUP(frasest[[#This Row],[autor_es]],autorest[autor_es],autorest[epoca_es])</f>
        <v>Epoca Desconocida</v>
      </c>
      <c r="P1145" t="str">
        <f>_xlfn.XLOOKUP(frasest[[#This Row],[autor_es]],autorest[autor_es],autorest[epoca_la])</f>
        <v>Epocha Ignota</v>
      </c>
      <c r="Q1145" t="str">
        <f>_xlfn.XLOOKUP(frasest[[#This Row],[autor_es]],autorest[autor_es],autorest[imagen])</f>
        <v>https://i.ibb.co/qLfpZm6h/china.png</v>
      </c>
      <c r="R1145">
        <f>_xlfn.XLOOKUP(frasest[[#This Row],[autor_es]],autorest[autor_es],autorest[imagen_atr])</f>
        <v>0</v>
      </c>
    </row>
    <row r="1146" spans="1:18">
      <c r="A1146">
        <v>1145</v>
      </c>
      <c r="B1146" t="s">
        <v>3568</v>
      </c>
      <c r="C1146" t="s">
        <v>3569</v>
      </c>
      <c r="D1146" s="1" t="s">
        <v>3570</v>
      </c>
      <c r="E1146" t="s">
        <v>36</v>
      </c>
      <c r="G1146" t="str">
        <f>_xlfn.XLOOKUP(frasest[[#This Row],[autor_es]],autorest[autor_es],autorest[autor_la])</f>
        <v>Proverbium Sinense</v>
      </c>
      <c r="H1146" t="str">
        <f>_xlfn.XLOOKUP(frasest[[#This Row],[autor_es]],autorest[autor_es],autorest[bio_es])</f>
        <v>Conjunto de proverbios tradicionales de la cultura china que transmiten sabiduría popular, valores morales y enseñanzas prácticas transmitidas oralmente durante siglos.</v>
      </c>
      <c r="I1146" t="str">
        <f>_xlfn.XLOOKUP(frasest[[#This Row],[autor_es]],autorest[autor_es],autorest[bio_la])</f>
        <v>Collectio sententiarum Sinensium, magnopere in cultura tradita.</v>
      </c>
      <c r="J1146" t="str">
        <f>_xlfn.XLOOKUP(frasest[[#This Row],[autor_es]],autorest[autor_es],autorest[codigo])</f>
        <v>zh</v>
      </c>
      <c r="K1146" t="str">
        <f>_xlfn.XLOOKUP(frasest[[#This Row],[autor_es]],autorest[autor_es],autorest[idioma_es])</f>
        <v>Chino</v>
      </c>
      <c r="L1146" t="str">
        <f>_xlfn.XLOOKUP(frasest[[#This Row],[autor_es]],autorest[autor_es],autorest[idioma_la])</f>
        <v>Lingua Sinica</v>
      </c>
      <c r="M1146" t="str">
        <f>_xlfn.XLOOKUP(frasest[[#This Row],[autor_es]],autorest[autor_es],autorest[nacion_es])</f>
        <v>China</v>
      </c>
      <c r="N1146" t="str">
        <f>_xlfn.XLOOKUP(frasest[[#This Row],[autor_es]],autorest[autor_es],autorest[nacion_la])</f>
        <v>Sinae</v>
      </c>
      <c r="O1146" t="str">
        <f>_xlfn.XLOOKUP(frasest[[#This Row],[autor_es]],autorest[autor_es],autorest[epoca_es])</f>
        <v>Epoca Desconocida</v>
      </c>
      <c r="P1146" t="str">
        <f>_xlfn.XLOOKUP(frasest[[#This Row],[autor_es]],autorest[autor_es],autorest[epoca_la])</f>
        <v>Epocha Ignota</v>
      </c>
      <c r="Q1146" t="str">
        <f>_xlfn.XLOOKUP(frasest[[#This Row],[autor_es]],autorest[autor_es],autorest[imagen])</f>
        <v>https://i.ibb.co/qLfpZm6h/china.png</v>
      </c>
      <c r="R1146">
        <f>_xlfn.XLOOKUP(frasest[[#This Row],[autor_es]],autorest[autor_es],autorest[imagen_atr])</f>
        <v>0</v>
      </c>
    </row>
    <row r="1147" spans="1:18">
      <c r="A1147">
        <v>1146</v>
      </c>
      <c r="B1147" t="s">
        <v>3571</v>
      </c>
      <c r="C1147" t="s">
        <v>3572</v>
      </c>
      <c r="D1147" s="1" t="s">
        <v>3573</v>
      </c>
      <c r="E1147" t="s">
        <v>36</v>
      </c>
      <c r="G1147" t="str">
        <f>_xlfn.XLOOKUP(frasest[[#This Row],[autor_es]],autorest[autor_es],autorest[autor_la])</f>
        <v>Proverbium Sinense</v>
      </c>
      <c r="H1147" t="str">
        <f>_xlfn.XLOOKUP(frasest[[#This Row],[autor_es]],autorest[autor_es],autorest[bio_es])</f>
        <v>Conjunto de proverbios tradicionales de la cultura china que transmiten sabiduría popular, valores morales y enseñanzas prácticas transmitidas oralmente durante siglos.</v>
      </c>
      <c r="I1147" t="str">
        <f>_xlfn.XLOOKUP(frasest[[#This Row],[autor_es]],autorest[autor_es],autorest[bio_la])</f>
        <v>Collectio sententiarum Sinensium, magnopere in cultura tradita.</v>
      </c>
      <c r="J1147" t="str">
        <f>_xlfn.XLOOKUP(frasest[[#This Row],[autor_es]],autorest[autor_es],autorest[codigo])</f>
        <v>zh</v>
      </c>
      <c r="K1147" t="str">
        <f>_xlfn.XLOOKUP(frasest[[#This Row],[autor_es]],autorest[autor_es],autorest[idioma_es])</f>
        <v>Chino</v>
      </c>
      <c r="L1147" t="str">
        <f>_xlfn.XLOOKUP(frasest[[#This Row],[autor_es]],autorest[autor_es],autorest[idioma_la])</f>
        <v>Lingua Sinica</v>
      </c>
      <c r="M1147" t="str">
        <f>_xlfn.XLOOKUP(frasest[[#This Row],[autor_es]],autorest[autor_es],autorest[nacion_es])</f>
        <v>China</v>
      </c>
      <c r="N1147" t="str">
        <f>_xlfn.XLOOKUP(frasest[[#This Row],[autor_es]],autorest[autor_es],autorest[nacion_la])</f>
        <v>Sinae</v>
      </c>
      <c r="O1147" t="str">
        <f>_xlfn.XLOOKUP(frasest[[#This Row],[autor_es]],autorest[autor_es],autorest[epoca_es])</f>
        <v>Epoca Desconocida</v>
      </c>
      <c r="P1147" t="str">
        <f>_xlfn.XLOOKUP(frasest[[#This Row],[autor_es]],autorest[autor_es],autorest[epoca_la])</f>
        <v>Epocha Ignota</v>
      </c>
      <c r="Q1147" t="str">
        <f>_xlfn.XLOOKUP(frasest[[#This Row],[autor_es]],autorest[autor_es],autorest[imagen])</f>
        <v>https://i.ibb.co/qLfpZm6h/china.png</v>
      </c>
      <c r="R1147">
        <f>_xlfn.XLOOKUP(frasest[[#This Row],[autor_es]],autorest[autor_es],autorest[imagen_atr])</f>
        <v>0</v>
      </c>
    </row>
    <row r="1148" spans="1:18">
      <c r="A1148">
        <v>1147</v>
      </c>
      <c r="B1148" t="s">
        <v>3574</v>
      </c>
      <c r="C1148" t="s">
        <v>3575</v>
      </c>
      <c r="D1148" s="1" t="s">
        <v>3576</v>
      </c>
      <c r="E1148" t="s">
        <v>36</v>
      </c>
      <c r="G1148" t="str">
        <f>_xlfn.XLOOKUP(frasest[[#This Row],[autor_es]],autorest[autor_es],autorest[autor_la])</f>
        <v>Proverbium Sinense</v>
      </c>
      <c r="H1148" t="str">
        <f>_xlfn.XLOOKUP(frasest[[#This Row],[autor_es]],autorest[autor_es],autorest[bio_es])</f>
        <v>Conjunto de proverbios tradicionales de la cultura china que transmiten sabiduría popular, valores morales y enseñanzas prácticas transmitidas oralmente durante siglos.</v>
      </c>
      <c r="I1148" t="str">
        <f>_xlfn.XLOOKUP(frasest[[#This Row],[autor_es]],autorest[autor_es],autorest[bio_la])</f>
        <v>Collectio sententiarum Sinensium, magnopere in cultura tradita.</v>
      </c>
      <c r="J1148" t="str">
        <f>_xlfn.XLOOKUP(frasest[[#This Row],[autor_es]],autorest[autor_es],autorest[codigo])</f>
        <v>zh</v>
      </c>
      <c r="K1148" t="str">
        <f>_xlfn.XLOOKUP(frasest[[#This Row],[autor_es]],autorest[autor_es],autorest[idioma_es])</f>
        <v>Chino</v>
      </c>
      <c r="L1148" t="str">
        <f>_xlfn.XLOOKUP(frasest[[#This Row],[autor_es]],autorest[autor_es],autorest[idioma_la])</f>
        <v>Lingua Sinica</v>
      </c>
      <c r="M1148" t="str">
        <f>_xlfn.XLOOKUP(frasest[[#This Row],[autor_es]],autorest[autor_es],autorest[nacion_es])</f>
        <v>China</v>
      </c>
      <c r="N1148" t="str">
        <f>_xlfn.XLOOKUP(frasest[[#This Row],[autor_es]],autorest[autor_es],autorest[nacion_la])</f>
        <v>Sinae</v>
      </c>
      <c r="O1148" t="str">
        <f>_xlfn.XLOOKUP(frasest[[#This Row],[autor_es]],autorest[autor_es],autorest[epoca_es])</f>
        <v>Epoca Desconocida</v>
      </c>
      <c r="P1148" t="str">
        <f>_xlfn.XLOOKUP(frasest[[#This Row],[autor_es]],autorest[autor_es],autorest[epoca_la])</f>
        <v>Epocha Ignota</v>
      </c>
      <c r="Q1148" t="str">
        <f>_xlfn.XLOOKUP(frasest[[#This Row],[autor_es]],autorest[autor_es],autorest[imagen])</f>
        <v>https://i.ibb.co/qLfpZm6h/china.png</v>
      </c>
      <c r="R1148">
        <f>_xlfn.XLOOKUP(frasest[[#This Row],[autor_es]],autorest[autor_es],autorest[imagen_atr])</f>
        <v>0</v>
      </c>
    </row>
    <row r="1149" spans="1:18">
      <c r="A1149">
        <v>1148</v>
      </c>
      <c r="B1149" t="s">
        <v>3577</v>
      </c>
      <c r="C1149" t="s">
        <v>3578</v>
      </c>
      <c r="D1149" s="1" t="s">
        <v>3579</v>
      </c>
      <c r="E1149" t="s">
        <v>36</v>
      </c>
      <c r="G1149" t="str">
        <f>_xlfn.XLOOKUP(frasest[[#This Row],[autor_es]],autorest[autor_es],autorest[autor_la])</f>
        <v>Proverbium Sinense</v>
      </c>
      <c r="H1149" t="str">
        <f>_xlfn.XLOOKUP(frasest[[#This Row],[autor_es]],autorest[autor_es],autorest[bio_es])</f>
        <v>Conjunto de proverbios tradicionales de la cultura china que transmiten sabiduría popular, valores morales y enseñanzas prácticas transmitidas oralmente durante siglos.</v>
      </c>
      <c r="I1149" t="str">
        <f>_xlfn.XLOOKUP(frasest[[#This Row],[autor_es]],autorest[autor_es],autorest[bio_la])</f>
        <v>Collectio sententiarum Sinensium, magnopere in cultura tradita.</v>
      </c>
      <c r="J1149" t="str">
        <f>_xlfn.XLOOKUP(frasest[[#This Row],[autor_es]],autorest[autor_es],autorest[codigo])</f>
        <v>zh</v>
      </c>
      <c r="K1149" t="str">
        <f>_xlfn.XLOOKUP(frasest[[#This Row],[autor_es]],autorest[autor_es],autorest[idioma_es])</f>
        <v>Chino</v>
      </c>
      <c r="L1149" t="str">
        <f>_xlfn.XLOOKUP(frasest[[#This Row],[autor_es]],autorest[autor_es],autorest[idioma_la])</f>
        <v>Lingua Sinica</v>
      </c>
      <c r="M1149" t="str">
        <f>_xlfn.XLOOKUP(frasest[[#This Row],[autor_es]],autorest[autor_es],autorest[nacion_es])</f>
        <v>China</v>
      </c>
      <c r="N1149" t="str">
        <f>_xlfn.XLOOKUP(frasest[[#This Row],[autor_es]],autorest[autor_es],autorest[nacion_la])</f>
        <v>Sinae</v>
      </c>
      <c r="O1149" t="str">
        <f>_xlfn.XLOOKUP(frasest[[#This Row],[autor_es]],autorest[autor_es],autorest[epoca_es])</f>
        <v>Epoca Desconocida</v>
      </c>
      <c r="P1149" t="str">
        <f>_xlfn.XLOOKUP(frasest[[#This Row],[autor_es]],autorest[autor_es],autorest[epoca_la])</f>
        <v>Epocha Ignota</v>
      </c>
      <c r="Q1149" t="str">
        <f>_xlfn.XLOOKUP(frasest[[#This Row],[autor_es]],autorest[autor_es],autorest[imagen])</f>
        <v>https://i.ibb.co/qLfpZm6h/china.png</v>
      </c>
      <c r="R1149">
        <f>_xlfn.XLOOKUP(frasest[[#This Row],[autor_es]],autorest[autor_es],autorest[imagen_atr])</f>
        <v>0</v>
      </c>
    </row>
    <row r="1150" spans="1:18">
      <c r="A1150">
        <v>1149</v>
      </c>
      <c r="B1150" t="s">
        <v>3580</v>
      </c>
      <c r="C1150" t="s">
        <v>3581</v>
      </c>
      <c r="D1150" s="1" t="s">
        <v>3582</v>
      </c>
      <c r="E1150" t="s">
        <v>36</v>
      </c>
      <c r="G1150" t="str">
        <f>_xlfn.XLOOKUP(frasest[[#This Row],[autor_es]],autorest[autor_es],autorest[autor_la])</f>
        <v>Proverbium Sinense</v>
      </c>
      <c r="H1150" t="str">
        <f>_xlfn.XLOOKUP(frasest[[#This Row],[autor_es]],autorest[autor_es],autorest[bio_es])</f>
        <v>Conjunto de proverbios tradicionales de la cultura china que transmiten sabiduría popular, valores morales y enseñanzas prácticas transmitidas oralmente durante siglos.</v>
      </c>
      <c r="I1150" t="str">
        <f>_xlfn.XLOOKUP(frasest[[#This Row],[autor_es]],autorest[autor_es],autorest[bio_la])</f>
        <v>Collectio sententiarum Sinensium, magnopere in cultura tradita.</v>
      </c>
      <c r="J1150" t="str">
        <f>_xlfn.XLOOKUP(frasest[[#This Row],[autor_es]],autorest[autor_es],autorest[codigo])</f>
        <v>zh</v>
      </c>
      <c r="K1150" t="str">
        <f>_xlfn.XLOOKUP(frasest[[#This Row],[autor_es]],autorest[autor_es],autorest[idioma_es])</f>
        <v>Chino</v>
      </c>
      <c r="L1150" t="str">
        <f>_xlfn.XLOOKUP(frasest[[#This Row],[autor_es]],autorest[autor_es],autorest[idioma_la])</f>
        <v>Lingua Sinica</v>
      </c>
      <c r="M1150" t="str">
        <f>_xlfn.XLOOKUP(frasest[[#This Row],[autor_es]],autorest[autor_es],autorest[nacion_es])</f>
        <v>China</v>
      </c>
      <c r="N1150" t="str">
        <f>_xlfn.XLOOKUP(frasest[[#This Row],[autor_es]],autorest[autor_es],autorest[nacion_la])</f>
        <v>Sinae</v>
      </c>
      <c r="O1150" t="str">
        <f>_xlfn.XLOOKUP(frasest[[#This Row],[autor_es]],autorest[autor_es],autorest[epoca_es])</f>
        <v>Epoca Desconocida</v>
      </c>
      <c r="P1150" t="str">
        <f>_xlfn.XLOOKUP(frasest[[#This Row],[autor_es]],autorest[autor_es],autorest[epoca_la])</f>
        <v>Epocha Ignota</v>
      </c>
      <c r="Q1150" t="str">
        <f>_xlfn.XLOOKUP(frasest[[#This Row],[autor_es]],autorest[autor_es],autorest[imagen])</f>
        <v>https://i.ibb.co/qLfpZm6h/china.png</v>
      </c>
      <c r="R1150">
        <f>_xlfn.XLOOKUP(frasest[[#This Row],[autor_es]],autorest[autor_es],autorest[imagen_atr])</f>
        <v>0</v>
      </c>
    </row>
    <row r="1151" spans="1:18">
      <c r="A1151">
        <v>1150</v>
      </c>
      <c r="B1151" t="s">
        <v>3583</v>
      </c>
      <c r="C1151" t="s">
        <v>3584</v>
      </c>
      <c r="D1151" s="1" t="s">
        <v>3585</v>
      </c>
      <c r="E1151" t="s">
        <v>36</v>
      </c>
      <c r="G1151" t="str">
        <f>_xlfn.XLOOKUP(frasest[[#This Row],[autor_es]],autorest[autor_es],autorest[autor_la])</f>
        <v>Proverbium Sinense</v>
      </c>
      <c r="H1151" t="str">
        <f>_xlfn.XLOOKUP(frasest[[#This Row],[autor_es]],autorest[autor_es],autorest[bio_es])</f>
        <v>Conjunto de proverbios tradicionales de la cultura china que transmiten sabiduría popular, valores morales y enseñanzas prácticas transmitidas oralmente durante siglos.</v>
      </c>
      <c r="I1151" t="str">
        <f>_xlfn.XLOOKUP(frasest[[#This Row],[autor_es]],autorest[autor_es],autorest[bio_la])</f>
        <v>Collectio sententiarum Sinensium, magnopere in cultura tradita.</v>
      </c>
      <c r="J1151" t="str">
        <f>_xlfn.XLOOKUP(frasest[[#This Row],[autor_es]],autorest[autor_es],autorest[codigo])</f>
        <v>zh</v>
      </c>
      <c r="K1151" t="str">
        <f>_xlfn.XLOOKUP(frasest[[#This Row],[autor_es]],autorest[autor_es],autorest[idioma_es])</f>
        <v>Chino</v>
      </c>
      <c r="L1151" t="str">
        <f>_xlfn.XLOOKUP(frasest[[#This Row],[autor_es]],autorest[autor_es],autorest[idioma_la])</f>
        <v>Lingua Sinica</v>
      </c>
      <c r="M1151" t="str">
        <f>_xlfn.XLOOKUP(frasest[[#This Row],[autor_es]],autorest[autor_es],autorest[nacion_es])</f>
        <v>China</v>
      </c>
      <c r="N1151" t="str">
        <f>_xlfn.XLOOKUP(frasest[[#This Row],[autor_es]],autorest[autor_es],autorest[nacion_la])</f>
        <v>Sinae</v>
      </c>
      <c r="O1151" t="str">
        <f>_xlfn.XLOOKUP(frasest[[#This Row],[autor_es]],autorest[autor_es],autorest[epoca_es])</f>
        <v>Epoca Desconocida</v>
      </c>
      <c r="P1151" t="str">
        <f>_xlfn.XLOOKUP(frasest[[#This Row],[autor_es]],autorest[autor_es],autorest[epoca_la])</f>
        <v>Epocha Ignota</v>
      </c>
      <c r="Q1151" t="str">
        <f>_xlfn.XLOOKUP(frasest[[#This Row],[autor_es]],autorest[autor_es],autorest[imagen])</f>
        <v>https://i.ibb.co/qLfpZm6h/china.png</v>
      </c>
      <c r="R1151">
        <f>_xlfn.XLOOKUP(frasest[[#This Row],[autor_es]],autorest[autor_es],autorest[imagen_atr])</f>
        <v>0</v>
      </c>
    </row>
    <row r="1152" spans="1:18">
      <c r="A1152">
        <v>1151</v>
      </c>
      <c r="B1152" t="s">
        <v>3586</v>
      </c>
      <c r="C1152" t="s">
        <v>3587</v>
      </c>
      <c r="D1152" s="1" t="s">
        <v>3588</v>
      </c>
      <c r="E1152" t="s">
        <v>36</v>
      </c>
      <c r="G1152" t="str">
        <f>_xlfn.XLOOKUP(frasest[[#This Row],[autor_es]],autorest[autor_es],autorest[autor_la])</f>
        <v>Proverbium Sinense</v>
      </c>
      <c r="H1152" t="str">
        <f>_xlfn.XLOOKUP(frasest[[#This Row],[autor_es]],autorest[autor_es],autorest[bio_es])</f>
        <v>Conjunto de proverbios tradicionales de la cultura china que transmiten sabiduría popular, valores morales y enseñanzas prácticas transmitidas oralmente durante siglos.</v>
      </c>
      <c r="I1152" t="str">
        <f>_xlfn.XLOOKUP(frasest[[#This Row],[autor_es]],autorest[autor_es],autorest[bio_la])</f>
        <v>Collectio sententiarum Sinensium, magnopere in cultura tradita.</v>
      </c>
      <c r="J1152" t="str">
        <f>_xlfn.XLOOKUP(frasest[[#This Row],[autor_es]],autorest[autor_es],autorest[codigo])</f>
        <v>zh</v>
      </c>
      <c r="K1152" t="str">
        <f>_xlfn.XLOOKUP(frasest[[#This Row],[autor_es]],autorest[autor_es],autorest[idioma_es])</f>
        <v>Chino</v>
      </c>
      <c r="L1152" t="str">
        <f>_xlfn.XLOOKUP(frasest[[#This Row],[autor_es]],autorest[autor_es],autorest[idioma_la])</f>
        <v>Lingua Sinica</v>
      </c>
      <c r="M1152" t="str">
        <f>_xlfn.XLOOKUP(frasest[[#This Row],[autor_es]],autorest[autor_es],autorest[nacion_es])</f>
        <v>China</v>
      </c>
      <c r="N1152" t="str">
        <f>_xlfn.XLOOKUP(frasest[[#This Row],[autor_es]],autorest[autor_es],autorest[nacion_la])</f>
        <v>Sinae</v>
      </c>
      <c r="O1152" t="str">
        <f>_xlfn.XLOOKUP(frasest[[#This Row],[autor_es]],autorest[autor_es],autorest[epoca_es])</f>
        <v>Epoca Desconocida</v>
      </c>
      <c r="P1152" t="str">
        <f>_xlfn.XLOOKUP(frasest[[#This Row],[autor_es]],autorest[autor_es],autorest[epoca_la])</f>
        <v>Epocha Ignota</v>
      </c>
      <c r="Q1152" t="str">
        <f>_xlfn.XLOOKUP(frasest[[#This Row],[autor_es]],autorest[autor_es],autorest[imagen])</f>
        <v>https://i.ibb.co/qLfpZm6h/china.png</v>
      </c>
      <c r="R1152">
        <f>_xlfn.XLOOKUP(frasest[[#This Row],[autor_es]],autorest[autor_es],autorest[imagen_atr])</f>
        <v>0</v>
      </c>
    </row>
    <row r="1153" spans="1:18">
      <c r="A1153">
        <v>1152</v>
      </c>
      <c r="B1153" t="s">
        <v>3589</v>
      </c>
      <c r="C1153" t="s">
        <v>3590</v>
      </c>
      <c r="D1153" s="1" t="s">
        <v>3276</v>
      </c>
      <c r="E1153" t="s">
        <v>36</v>
      </c>
      <c r="G1153" t="str">
        <f>_xlfn.XLOOKUP(frasest[[#This Row],[autor_es]],autorest[autor_es],autorest[autor_la])</f>
        <v>Proverbium Sinense</v>
      </c>
      <c r="H1153" t="str">
        <f>_xlfn.XLOOKUP(frasest[[#This Row],[autor_es]],autorest[autor_es],autorest[bio_es])</f>
        <v>Conjunto de proverbios tradicionales de la cultura china que transmiten sabiduría popular, valores morales y enseñanzas prácticas transmitidas oralmente durante siglos.</v>
      </c>
      <c r="I1153" t="str">
        <f>_xlfn.XLOOKUP(frasest[[#This Row],[autor_es]],autorest[autor_es],autorest[bio_la])</f>
        <v>Collectio sententiarum Sinensium, magnopere in cultura tradita.</v>
      </c>
      <c r="J1153" t="str">
        <f>_xlfn.XLOOKUP(frasest[[#This Row],[autor_es]],autorest[autor_es],autorest[codigo])</f>
        <v>zh</v>
      </c>
      <c r="K1153" t="str">
        <f>_xlfn.XLOOKUP(frasest[[#This Row],[autor_es]],autorest[autor_es],autorest[idioma_es])</f>
        <v>Chino</v>
      </c>
      <c r="L1153" t="str">
        <f>_xlfn.XLOOKUP(frasest[[#This Row],[autor_es]],autorest[autor_es],autorest[idioma_la])</f>
        <v>Lingua Sinica</v>
      </c>
      <c r="M1153" t="str">
        <f>_xlfn.XLOOKUP(frasest[[#This Row],[autor_es]],autorest[autor_es],autorest[nacion_es])</f>
        <v>China</v>
      </c>
      <c r="N1153" t="str">
        <f>_xlfn.XLOOKUP(frasest[[#This Row],[autor_es]],autorest[autor_es],autorest[nacion_la])</f>
        <v>Sinae</v>
      </c>
      <c r="O1153" t="str">
        <f>_xlfn.XLOOKUP(frasest[[#This Row],[autor_es]],autorest[autor_es],autorest[epoca_es])</f>
        <v>Epoca Desconocida</v>
      </c>
      <c r="P1153" t="str">
        <f>_xlfn.XLOOKUP(frasest[[#This Row],[autor_es]],autorest[autor_es],autorest[epoca_la])</f>
        <v>Epocha Ignota</v>
      </c>
      <c r="Q1153" t="str">
        <f>_xlfn.XLOOKUP(frasest[[#This Row],[autor_es]],autorest[autor_es],autorest[imagen])</f>
        <v>https://i.ibb.co/qLfpZm6h/china.png</v>
      </c>
      <c r="R1153">
        <f>_xlfn.XLOOKUP(frasest[[#This Row],[autor_es]],autorest[autor_es],autorest[imagen_atr])</f>
        <v>0</v>
      </c>
    </row>
    <row r="1154" spans="1:18">
      <c r="A1154">
        <v>1153</v>
      </c>
      <c r="B1154" t="s">
        <v>3591</v>
      </c>
      <c r="C1154" t="s">
        <v>3592</v>
      </c>
      <c r="D1154" s="1" t="s">
        <v>3593</v>
      </c>
      <c r="E1154" t="s">
        <v>36</v>
      </c>
      <c r="G1154" t="str">
        <f>_xlfn.XLOOKUP(frasest[[#This Row],[autor_es]],autorest[autor_es],autorest[autor_la])</f>
        <v>Proverbium Sinense</v>
      </c>
      <c r="H1154" t="str">
        <f>_xlfn.XLOOKUP(frasest[[#This Row],[autor_es]],autorest[autor_es],autorest[bio_es])</f>
        <v>Conjunto de proverbios tradicionales de la cultura china que transmiten sabiduría popular, valores morales y enseñanzas prácticas transmitidas oralmente durante siglos.</v>
      </c>
      <c r="I1154" t="str">
        <f>_xlfn.XLOOKUP(frasest[[#This Row],[autor_es]],autorest[autor_es],autorest[bio_la])</f>
        <v>Collectio sententiarum Sinensium, magnopere in cultura tradita.</v>
      </c>
      <c r="J1154" t="str">
        <f>_xlfn.XLOOKUP(frasest[[#This Row],[autor_es]],autorest[autor_es],autorest[codigo])</f>
        <v>zh</v>
      </c>
      <c r="K1154" t="str">
        <f>_xlfn.XLOOKUP(frasest[[#This Row],[autor_es]],autorest[autor_es],autorest[idioma_es])</f>
        <v>Chino</v>
      </c>
      <c r="L1154" t="str">
        <f>_xlfn.XLOOKUP(frasest[[#This Row],[autor_es]],autorest[autor_es],autorest[idioma_la])</f>
        <v>Lingua Sinica</v>
      </c>
      <c r="M1154" t="str">
        <f>_xlfn.XLOOKUP(frasest[[#This Row],[autor_es]],autorest[autor_es],autorest[nacion_es])</f>
        <v>China</v>
      </c>
      <c r="N1154" t="str">
        <f>_xlfn.XLOOKUP(frasest[[#This Row],[autor_es]],autorest[autor_es],autorest[nacion_la])</f>
        <v>Sinae</v>
      </c>
      <c r="O1154" t="str">
        <f>_xlfn.XLOOKUP(frasest[[#This Row],[autor_es]],autorest[autor_es],autorest[epoca_es])</f>
        <v>Epoca Desconocida</v>
      </c>
      <c r="P1154" t="str">
        <f>_xlfn.XLOOKUP(frasest[[#This Row],[autor_es]],autorest[autor_es],autorest[epoca_la])</f>
        <v>Epocha Ignota</v>
      </c>
      <c r="Q1154" t="str">
        <f>_xlfn.XLOOKUP(frasest[[#This Row],[autor_es]],autorest[autor_es],autorest[imagen])</f>
        <v>https://i.ibb.co/qLfpZm6h/china.png</v>
      </c>
      <c r="R1154">
        <f>_xlfn.XLOOKUP(frasest[[#This Row],[autor_es]],autorest[autor_es],autorest[imagen_atr])</f>
        <v>0</v>
      </c>
    </row>
    <row r="1155" spans="1:18">
      <c r="A1155">
        <v>1154</v>
      </c>
      <c r="B1155" t="s">
        <v>3594</v>
      </c>
      <c r="C1155" t="s">
        <v>3595</v>
      </c>
      <c r="D1155" s="1" t="s">
        <v>3596</v>
      </c>
      <c r="E1155" t="s">
        <v>36</v>
      </c>
      <c r="G1155" t="str">
        <f>_xlfn.XLOOKUP(frasest[[#This Row],[autor_es]],autorest[autor_es],autorest[autor_la])</f>
        <v>Proverbium Sinense</v>
      </c>
      <c r="H1155" t="str">
        <f>_xlfn.XLOOKUP(frasest[[#This Row],[autor_es]],autorest[autor_es],autorest[bio_es])</f>
        <v>Conjunto de proverbios tradicionales de la cultura china que transmiten sabiduría popular, valores morales y enseñanzas prácticas transmitidas oralmente durante siglos.</v>
      </c>
      <c r="I1155" t="str">
        <f>_xlfn.XLOOKUP(frasest[[#This Row],[autor_es]],autorest[autor_es],autorest[bio_la])</f>
        <v>Collectio sententiarum Sinensium, magnopere in cultura tradita.</v>
      </c>
      <c r="J1155" t="str">
        <f>_xlfn.XLOOKUP(frasest[[#This Row],[autor_es]],autorest[autor_es],autorest[codigo])</f>
        <v>zh</v>
      </c>
      <c r="K1155" t="str">
        <f>_xlfn.XLOOKUP(frasest[[#This Row],[autor_es]],autorest[autor_es],autorest[idioma_es])</f>
        <v>Chino</v>
      </c>
      <c r="L1155" t="str">
        <f>_xlfn.XLOOKUP(frasest[[#This Row],[autor_es]],autorest[autor_es],autorest[idioma_la])</f>
        <v>Lingua Sinica</v>
      </c>
      <c r="M1155" t="str">
        <f>_xlfn.XLOOKUP(frasest[[#This Row],[autor_es]],autorest[autor_es],autorest[nacion_es])</f>
        <v>China</v>
      </c>
      <c r="N1155" t="str">
        <f>_xlfn.XLOOKUP(frasest[[#This Row],[autor_es]],autorest[autor_es],autorest[nacion_la])</f>
        <v>Sinae</v>
      </c>
      <c r="O1155" t="str">
        <f>_xlfn.XLOOKUP(frasest[[#This Row],[autor_es]],autorest[autor_es],autorest[epoca_es])</f>
        <v>Epoca Desconocida</v>
      </c>
      <c r="P1155" t="str">
        <f>_xlfn.XLOOKUP(frasest[[#This Row],[autor_es]],autorest[autor_es],autorest[epoca_la])</f>
        <v>Epocha Ignota</v>
      </c>
      <c r="Q1155" t="str">
        <f>_xlfn.XLOOKUP(frasest[[#This Row],[autor_es]],autorest[autor_es],autorest[imagen])</f>
        <v>https://i.ibb.co/qLfpZm6h/china.png</v>
      </c>
      <c r="R1155">
        <f>_xlfn.XLOOKUP(frasest[[#This Row],[autor_es]],autorest[autor_es],autorest[imagen_atr])</f>
        <v>0</v>
      </c>
    </row>
    <row r="1156" spans="1:18">
      <c r="A1156">
        <v>1155</v>
      </c>
      <c r="B1156" t="s">
        <v>3597</v>
      </c>
      <c r="C1156" t="s">
        <v>3598</v>
      </c>
      <c r="D1156" s="1" t="s">
        <v>3599</v>
      </c>
      <c r="E1156" t="s">
        <v>36</v>
      </c>
      <c r="G1156" t="str">
        <f>_xlfn.XLOOKUP(frasest[[#This Row],[autor_es]],autorest[autor_es],autorest[autor_la])</f>
        <v>Proverbium Sinense</v>
      </c>
      <c r="H1156" t="str">
        <f>_xlfn.XLOOKUP(frasest[[#This Row],[autor_es]],autorest[autor_es],autorest[bio_es])</f>
        <v>Conjunto de proverbios tradicionales de la cultura china que transmiten sabiduría popular, valores morales y enseñanzas prácticas transmitidas oralmente durante siglos.</v>
      </c>
      <c r="I1156" t="str">
        <f>_xlfn.XLOOKUP(frasest[[#This Row],[autor_es]],autorest[autor_es],autorest[bio_la])</f>
        <v>Collectio sententiarum Sinensium, magnopere in cultura tradita.</v>
      </c>
      <c r="J1156" t="str">
        <f>_xlfn.XLOOKUP(frasest[[#This Row],[autor_es]],autorest[autor_es],autorest[codigo])</f>
        <v>zh</v>
      </c>
      <c r="K1156" t="str">
        <f>_xlfn.XLOOKUP(frasest[[#This Row],[autor_es]],autorest[autor_es],autorest[idioma_es])</f>
        <v>Chino</v>
      </c>
      <c r="L1156" t="str">
        <f>_xlfn.XLOOKUP(frasest[[#This Row],[autor_es]],autorest[autor_es],autorest[idioma_la])</f>
        <v>Lingua Sinica</v>
      </c>
      <c r="M1156" t="str">
        <f>_xlfn.XLOOKUP(frasest[[#This Row],[autor_es]],autorest[autor_es],autorest[nacion_es])</f>
        <v>China</v>
      </c>
      <c r="N1156" t="str">
        <f>_xlfn.XLOOKUP(frasest[[#This Row],[autor_es]],autorest[autor_es],autorest[nacion_la])</f>
        <v>Sinae</v>
      </c>
      <c r="O1156" t="str">
        <f>_xlfn.XLOOKUP(frasest[[#This Row],[autor_es]],autorest[autor_es],autorest[epoca_es])</f>
        <v>Epoca Desconocida</v>
      </c>
      <c r="P1156" t="str">
        <f>_xlfn.XLOOKUP(frasest[[#This Row],[autor_es]],autorest[autor_es],autorest[epoca_la])</f>
        <v>Epocha Ignota</v>
      </c>
      <c r="Q1156" t="str">
        <f>_xlfn.XLOOKUP(frasest[[#This Row],[autor_es]],autorest[autor_es],autorest[imagen])</f>
        <v>https://i.ibb.co/qLfpZm6h/china.png</v>
      </c>
      <c r="R1156">
        <f>_xlfn.XLOOKUP(frasest[[#This Row],[autor_es]],autorest[autor_es],autorest[imagen_atr])</f>
        <v>0</v>
      </c>
    </row>
    <row r="1157" spans="1:18">
      <c r="A1157">
        <v>1156</v>
      </c>
      <c r="B1157" t="s">
        <v>3600</v>
      </c>
      <c r="C1157" t="s">
        <v>3601</v>
      </c>
      <c r="D1157" s="1" t="s">
        <v>3602</v>
      </c>
      <c r="E1157" t="s">
        <v>36</v>
      </c>
      <c r="G1157" t="str">
        <f>_xlfn.XLOOKUP(frasest[[#This Row],[autor_es]],autorest[autor_es],autorest[autor_la])</f>
        <v>Proverbium Sinense</v>
      </c>
      <c r="H1157" t="str">
        <f>_xlfn.XLOOKUP(frasest[[#This Row],[autor_es]],autorest[autor_es],autorest[bio_es])</f>
        <v>Conjunto de proverbios tradicionales de la cultura china que transmiten sabiduría popular, valores morales y enseñanzas prácticas transmitidas oralmente durante siglos.</v>
      </c>
      <c r="I1157" t="str">
        <f>_xlfn.XLOOKUP(frasest[[#This Row],[autor_es]],autorest[autor_es],autorest[bio_la])</f>
        <v>Collectio sententiarum Sinensium, magnopere in cultura tradita.</v>
      </c>
      <c r="J1157" t="str">
        <f>_xlfn.XLOOKUP(frasest[[#This Row],[autor_es]],autorest[autor_es],autorest[codigo])</f>
        <v>zh</v>
      </c>
      <c r="K1157" t="str">
        <f>_xlfn.XLOOKUP(frasest[[#This Row],[autor_es]],autorest[autor_es],autorest[idioma_es])</f>
        <v>Chino</v>
      </c>
      <c r="L1157" t="str">
        <f>_xlfn.XLOOKUP(frasest[[#This Row],[autor_es]],autorest[autor_es],autorest[idioma_la])</f>
        <v>Lingua Sinica</v>
      </c>
      <c r="M1157" t="str">
        <f>_xlfn.XLOOKUP(frasest[[#This Row],[autor_es]],autorest[autor_es],autorest[nacion_es])</f>
        <v>China</v>
      </c>
      <c r="N1157" t="str">
        <f>_xlfn.XLOOKUP(frasest[[#This Row],[autor_es]],autorest[autor_es],autorest[nacion_la])</f>
        <v>Sinae</v>
      </c>
      <c r="O1157" t="str">
        <f>_xlfn.XLOOKUP(frasest[[#This Row],[autor_es]],autorest[autor_es],autorest[epoca_es])</f>
        <v>Epoca Desconocida</v>
      </c>
      <c r="P1157" t="str">
        <f>_xlfn.XLOOKUP(frasest[[#This Row],[autor_es]],autorest[autor_es],autorest[epoca_la])</f>
        <v>Epocha Ignota</v>
      </c>
      <c r="Q1157" t="str">
        <f>_xlfn.XLOOKUP(frasest[[#This Row],[autor_es]],autorest[autor_es],autorest[imagen])</f>
        <v>https://i.ibb.co/qLfpZm6h/china.png</v>
      </c>
      <c r="R1157">
        <f>_xlfn.XLOOKUP(frasest[[#This Row],[autor_es]],autorest[autor_es],autorest[imagen_atr])</f>
        <v>0</v>
      </c>
    </row>
    <row r="1158" spans="1:18">
      <c r="A1158">
        <v>1157</v>
      </c>
      <c r="B1158" t="s">
        <v>3603</v>
      </c>
      <c r="C1158" t="s">
        <v>3604</v>
      </c>
      <c r="D1158" s="1" t="s">
        <v>3605</v>
      </c>
      <c r="E1158" t="s">
        <v>36</v>
      </c>
      <c r="G1158" t="str">
        <f>_xlfn.XLOOKUP(frasest[[#This Row],[autor_es]],autorest[autor_es],autorest[autor_la])</f>
        <v>Proverbium Sinense</v>
      </c>
      <c r="H1158" t="str">
        <f>_xlfn.XLOOKUP(frasest[[#This Row],[autor_es]],autorest[autor_es],autorest[bio_es])</f>
        <v>Conjunto de proverbios tradicionales de la cultura china que transmiten sabiduría popular, valores morales y enseñanzas prácticas transmitidas oralmente durante siglos.</v>
      </c>
      <c r="I1158" t="str">
        <f>_xlfn.XLOOKUP(frasest[[#This Row],[autor_es]],autorest[autor_es],autorest[bio_la])</f>
        <v>Collectio sententiarum Sinensium, magnopere in cultura tradita.</v>
      </c>
      <c r="J1158" t="str">
        <f>_xlfn.XLOOKUP(frasest[[#This Row],[autor_es]],autorest[autor_es],autorest[codigo])</f>
        <v>zh</v>
      </c>
      <c r="K1158" t="str">
        <f>_xlfn.XLOOKUP(frasest[[#This Row],[autor_es]],autorest[autor_es],autorest[idioma_es])</f>
        <v>Chino</v>
      </c>
      <c r="L1158" t="str">
        <f>_xlfn.XLOOKUP(frasest[[#This Row],[autor_es]],autorest[autor_es],autorest[idioma_la])</f>
        <v>Lingua Sinica</v>
      </c>
      <c r="M1158" t="str">
        <f>_xlfn.XLOOKUP(frasest[[#This Row],[autor_es]],autorest[autor_es],autorest[nacion_es])</f>
        <v>China</v>
      </c>
      <c r="N1158" t="str">
        <f>_xlfn.XLOOKUP(frasest[[#This Row],[autor_es]],autorest[autor_es],autorest[nacion_la])</f>
        <v>Sinae</v>
      </c>
      <c r="O1158" t="str">
        <f>_xlfn.XLOOKUP(frasest[[#This Row],[autor_es]],autorest[autor_es],autorest[epoca_es])</f>
        <v>Epoca Desconocida</v>
      </c>
      <c r="P1158" t="str">
        <f>_xlfn.XLOOKUP(frasest[[#This Row],[autor_es]],autorest[autor_es],autorest[epoca_la])</f>
        <v>Epocha Ignota</v>
      </c>
      <c r="Q1158" t="str">
        <f>_xlfn.XLOOKUP(frasest[[#This Row],[autor_es]],autorest[autor_es],autorest[imagen])</f>
        <v>https://i.ibb.co/qLfpZm6h/china.png</v>
      </c>
      <c r="R1158">
        <f>_xlfn.XLOOKUP(frasest[[#This Row],[autor_es]],autorest[autor_es],autorest[imagen_atr])</f>
        <v>0</v>
      </c>
    </row>
    <row r="1159" spans="1:18">
      <c r="A1159">
        <v>1158</v>
      </c>
      <c r="B1159" t="s">
        <v>3606</v>
      </c>
      <c r="C1159" t="s">
        <v>3607</v>
      </c>
      <c r="D1159" s="1" t="s">
        <v>3608</v>
      </c>
      <c r="E1159" t="s">
        <v>36</v>
      </c>
      <c r="G1159" t="str">
        <f>_xlfn.XLOOKUP(frasest[[#This Row],[autor_es]],autorest[autor_es],autorest[autor_la])</f>
        <v>Proverbium Sinense</v>
      </c>
      <c r="H1159" t="str">
        <f>_xlfn.XLOOKUP(frasest[[#This Row],[autor_es]],autorest[autor_es],autorest[bio_es])</f>
        <v>Conjunto de proverbios tradicionales de la cultura china que transmiten sabiduría popular, valores morales y enseñanzas prácticas transmitidas oralmente durante siglos.</v>
      </c>
      <c r="I1159" t="str">
        <f>_xlfn.XLOOKUP(frasest[[#This Row],[autor_es]],autorest[autor_es],autorest[bio_la])</f>
        <v>Collectio sententiarum Sinensium, magnopere in cultura tradita.</v>
      </c>
      <c r="J1159" t="str">
        <f>_xlfn.XLOOKUP(frasest[[#This Row],[autor_es]],autorest[autor_es],autorest[codigo])</f>
        <v>zh</v>
      </c>
      <c r="K1159" t="str">
        <f>_xlfn.XLOOKUP(frasest[[#This Row],[autor_es]],autorest[autor_es],autorest[idioma_es])</f>
        <v>Chino</v>
      </c>
      <c r="L1159" t="str">
        <f>_xlfn.XLOOKUP(frasest[[#This Row],[autor_es]],autorest[autor_es],autorest[idioma_la])</f>
        <v>Lingua Sinica</v>
      </c>
      <c r="M1159" t="str">
        <f>_xlfn.XLOOKUP(frasest[[#This Row],[autor_es]],autorest[autor_es],autorest[nacion_es])</f>
        <v>China</v>
      </c>
      <c r="N1159" t="str">
        <f>_xlfn.XLOOKUP(frasest[[#This Row],[autor_es]],autorest[autor_es],autorest[nacion_la])</f>
        <v>Sinae</v>
      </c>
      <c r="O1159" t="str">
        <f>_xlfn.XLOOKUP(frasest[[#This Row],[autor_es]],autorest[autor_es],autorest[epoca_es])</f>
        <v>Epoca Desconocida</v>
      </c>
      <c r="P1159" t="str">
        <f>_xlfn.XLOOKUP(frasest[[#This Row],[autor_es]],autorest[autor_es],autorest[epoca_la])</f>
        <v>Epocha Ignota</v>
      </c>
      <c r="Q1159" t="str">
        <f>_xlfn.XLOOKUP(frasest[[#This Row],[autor_es]],autorest[autor_es],autorest[imagen])</f>
        <v>https://i.ibb.co/qLfpZm6h/china.png</v>
      </c>
      <c r="R1159">
        <f>_xlfn.XLOOKUP(frasest[[#This Row],[autor_es]],autorest[autor_es],autorest[imagen_atr])</f>
        <v>0</v>
      </c>
    </row>
    <row r="1160" spans="1:18">
      <c r="A1160">
        <v>1159</v>
      </c>
      <c r="B1160" t="s">
        <v>3609</v>
      </c>
      <c r="C1160" t="s">
        <v>3610</v>
      </c>
      <c r="D1160" s="1" t="s">
        <v>3611</v>
      </c>
      <c r="E1160" t="s">
        <v>36</v>
      </c>
      <c r="G1160" t="str">
        <f>_xlfn.XLOOKUP(frasest[[#This Row],[autor_es]],autorest[autor_es],autorest[autor_la])</f>
        <v>Proverbium Sinense</v>
      </c>
      <c r="H1160" t="str">
        <f>_xlfn.XLOOKUP(frasest[[#This Row],[autor_es]],autorest[autor_es],autorest[bio_es])</f>
        <v>Conjunto de proverbios tradicionales de la cultura china que transmiten sabiduría popular, valores morales y enseñanzas prácticas transmitidas oralmente durante siglos.</v>
      </c>
      <c r="I1160" t="str">
        <f>_xlfn.XLOOKUP(frasest[[#This Row],[autor_es]],autorest[autor_es],autorest[bio_la])</f>
        <v>Collectio sententiarum Sinensium, magnopere in cultura tradita.</v>
      </c>
      <c r="J1160" t="str">
        <f>_xlfn.XLOOKUP(frasest[[#This Row],[autor_es]],autorest[autor_es],autorest[codigo])</f>
        <v>zh</v>
      </c>
      <c r="K1160" t="str">
        <f>_xlfn.XLOOKUP(frasest[[#This Row],[autor_es]],autorest[autor_es],autorest[idioma_es])</f>
        <v>Chino</v>
      </c>
      <c r="L1160" t="str">
        <f>_xlfn.XLOOKUP(frasest[[#This Row],[autor_es]],autorest[autor_es],autorest[idioma_la])</f>
        <v>Lingua Sinica</v>
      </c>
      <c r="M1160" t="str">
        <f>_xlfn.XLOOKUP(frasest[[#This Row],[autor_es]],autorest[autor_es],autorest[nacion_es])</f>
        <v>China</v>
      </c>
      <c r="N1160" t="str">
        <f>_xlfn.XLOOKUP(frasest[[#This Row],[autor_es]],autorest[autor_es],autorest[nacion_la])</f>
        <v>Sinae</v>
      </c>
      <c r="O1160" t="str">
        <f>_xlfn.XLOOKUP(frasest[[#This Row],[autor_es]],autorest[autor_es],autorest[epoca_es])</f>
        <v>Epoca Desconocida</v>
      </c>
      <c r="P1160" t="str">
        <f>_xlfn.XLOOKUP(frasest[[#This Row],[autor_es]],autorest[autor_es],autorest[epoca_la])</f>
        <v>Epocha Ignota</v>
      </c>
      <c r="Q1160" t="str">
        <f>_xlfn.XLOOKUP(frasest[[#This Row],[autor_es]],autorest[autor_es],autorest[imagen])</f>
        <v>https://i.ibb.co/qLfpZm6h/china.png</v>
      </c>
      <c r="R1160">
        <f>_xlfn.XLOOKUP(frasest[[#This Row],[autor_es]],autorest[autor_es],autorest[imagen_atr])</f>
        <v>0</v>
      </c>
    </row>
    <row r="1161" spans="1:18">
      <c r="A1161">
        <v>1160</v>
      </c>
      <c r="B1161" t="s">
        <v>3612</v>
      </c>
      <c r="C1161" t="s">
        <v>3613</v>
      </c>
      <c r="D1161" s="1" t="s">
        <v>3614</v>
      </c>
      <c r="E1161" t="s">
        <v>36</v>
      </c>
      <c r="G1161" t="str">
        <f>_xlfn.XLOOKUP(frasest[[#This Row],[autor_es]],autorest[autor_es],autorest[autor_la])</f>
        <v>Proverbium Sinense</v>
      </c>
      <c r="H1161" t="str">
        <f>_xlfn.XLOOKUP(frasest[[#This Row],[autor_es]],autorest[autor_es],autorest[bio_es])</f>
        <v>Conjunto de proverbios tradicionales de la cultura china que transmiten sabiduría popular, valores morales y enseñanzas prácticas transmitidas oralmente durante siglos.</v>
      </c>
      <c r="I1161" t="str">
        <f>_xlfn.XLOOKUP(frasest[[#This Row],[autor_es]],autorest[autor_es],autorest[bio_la])</f>
        <v>Collectio sententiarum Sinensium, magnopere in cultura tradita.</v>
      </c>
      <c r="J1161" t="str">
        <f>_xlfn.XLOOKUP(frasest[[#This Row],[autor_es]],autorest[autor_es],autorest[codigo])</f>
        <v>zh</v>
      </c>
      <c r="K1161" t="str">
        <f>_xlfn.XLOOKUP(frasest[[#This Row],[autor_es]],autorest[autor_es],autorest[idioma_es])</f>
        <v>Chino</v>
      </c>
      <c r="L1161" t="str">
        <f>_xlfn.XLOOKUP(frasest[[#This Row],[autor_es]],autorest[autor_es],autorest[idioma_la])</f>
        <v>Lingua Sinica</v>
      </c>
      <c r="M1161" t="str">
        <f>_xlfn.XLOOKUP(frasest[[#This Row],[autor_es]],autorest[autor_es],autorest[nacion_es])</f>
        <v>China</v>
      </c>
      <c r="N1161" t="str">
        <f>_xlfn.XLOOKUP(frasest[[#This Row],[autor_es]],autorest[autor_es],autorest[nacion_la])</f>
        <v>Sinae</v>
      </c>
      <c r="O1161" t="str">
        <f>_xlfn.XLOOKUP(frasest[[#This Row],[autor_es]],autorest[autor_es],autorest[epoca_es])</f>
        <v>Epoca Desconocida</v>
      </c>
      <c r="P1161" t="str">
        <f>_xlfn.XLOOKUP(frasest[[#This Row],[autor_es]],autorest[autor_es],autorest[epoca_la])</f>
        <v>Epocha Ignota</v>
      </c>
      <c r="Q1161" t="str">
        <f>_xlfn.XLOOKUP(frasest[[#This Row],[autor_es]],autorest[autor_es],autorest[imagen])</f>
        <v>https://i.ibb.co/qLfpZm6h/china.png</v>
      </c>
      <c r="R1161">
        <f>_xlfn.XLOOKUP(frasest[[#This Row],[autor_es]],autorest[autor_es],autorest[imagen_atr])</f>
        <v>0</v>
      </c>
    </row>
    <row r="1162" spans="1:18">
      <c r="A1162">
        <v>1161</v>
      </c>
      <c r="B1162" t="s">
        <v>3615</v>
      </c>
      <c r="C1162" t="s">
        <v>3616</v>
      </c>
      <c r="D1162" s="1" t="s">
        <v>3617</v>
      </c>
      <c r="E1162" t="s">
        <v>36</v>
      </c>
      <c r="G1162" t="str">
        <f>_xlfn.XLOOKUP(frasest[[#This Row],[autor_es]],autorest[autor_es],autorest[autor_la])</f>
        <v>Proverbium Sinense</v>
      </c>
      <c r="H1162" t="str">
        <f>_xlfn.XLOOKUP(frasest[[#This Row],[autor_es]],autorest[autor_es],autorest[bio_es])</f>
        <v>Conjunto de proverbios tradicionales de la cultura china que transmiten sabiduría popular, valores morales y enseñanzas prácticas transmitidas oralmente durante siglos.</v>
      </c>
      <c r="I1162" t="str">
        <f>_xlfn.XLOOKUP(frasest[[#This Row],[autor_es]],autorest[autor_es],autorest[bio_la])</f>
        <v>Collectio sententiarum Sinensium, magnopere in cultura tradita.</v>
      </c>
      <c r="J1162" t="str">
        <f>_xlfn.XLOOKUP(frasest[[#This Row],[autor_es]],autorest[autor_es],autorest[codigo])</f>
        <v>zh</v>
      </c>
      <c r="K1162" t="str">
        <f>_xlfn.XLOOKUP(frasest[[#This Row],[autor_es]],autorest[autor_es],autorest[idioma_es])</f>
        <v>Chino</v>
      </c>
      <c r="L1162" t="str">
        <f>_xlfn.XLOOKUP(frasest[[#This Row],[autor_es]],autorest[autor_es],autorest[idioma_la])</f>
        <v>Lingua Sinica</v>
      </c>
      <c r="M1162" t="str">
        <f>_xlfn.XLOOKUP(frasest[[#This Row],[autor_es]],autorest[autor_es],autorest[nacion_es])</f>
        <v>China</v>
      </c>
      <c r="N1162" t="str">
        <f>_xlfn.XLOOKUP(frasest[[#This Row],[autor_es]],autorest[autor_es],autorest[nacion_la])</f>
        <v>Sinae</v>
      </c>
      <c r="O1162" t="str">
        <f>_xlfn.XLOOKUP(frasest[[#This Row],[autor_es]],autorest[autor_es],autorest[epoca_es])</f>
        <v>Epoca Desconocida</v>
      </c>
      <c r="P1162" t="str">
        <f>_xlfn.XLOOKUP(frasest[[#This Row],[autor_es]],autorest[autor_es],autorest[epoca_la])</f>
        <v>Epocha Ignota</v>
      </c>
      <c r="Q1162" t="str">
        <f>_xlfn.XLOOKUP(frasest[[#This Row],[autor_es]],autorest[autor_es],autorest[imagen])</f>
        <v>https://i.ibb.co/qLfpZm6h/china.png</v>
      </c>
      <c r="R1162">
        <f>_xlfn.XLOOKUP(frasest[[#This Row],[autor_es]],autorest[autor_es],autorest[imagen_atr])</f>
        <v>0</v>
      </c>
    </row>
    <row r="1163" spans="1:18">
      <c r="A1163">
        <v>1162</v>
      </c>
      <c r="B1163" t="s">
        <v>3618</v>
      </c>
      <c r="C1163" t="s">
        <v>3619</v>
      </c>
      <c r="D1163" s="1" t="s">
        <v>3620</v>
      </c>
      <c r="E1163" t="s">
        <v>36</v>
      </c>
      <c r="G1163" t="str">
        <f>_xlfn.XLOOKUP(frasest[[#This Row],[autor_es]],autorest[autor_es],autorest[autor_la])</f>
        <v>Proverbium Sinense</v>
      </c>
      <c r="H1163" t="str">
        <f>_xlfn.XLOOKUP(frasest[[#This Row],[autor_es]],autorest[autor_es],autorest[bio_es])</f>
        <v>Conjunto de proverbios tradicionales de la cultura china que transmiten sabiduría popular, valores morales y enseñanzas prácticas transmitidas oralmente durante siglos.</v>
      </c>
      <c r="I1163" t="str">
        <f>_xlfn.XLOOKUP(frasest[[#This Row],[autor_es]],autorest[autor_es],autorest[bio_la])</f>
        <v>Collectio sententiarum Sinensium, magnopere in cultura tradita.</v>
      </c>
      <c r="J1163" t="str">
        <f>_xlfn.XLOOKUP(frasest[[#This Row],[autor_es]],autorest[autor_es],autorest[codigo])</f>
        <v>zh</v>
      </c>
      <c r="K1163" t="str">
        <f>_xlfn.XLOOKUP(frasest[[#This Row],[autor_es]],autorest[autor_es],autorest[idioma_es])</f>
        <v>Chino</v>
      </c>
      <c r="L1163" t="str">
        <f>_xlfn.XLOOKUP(frasest[[#This Row],[autor_es]],autorest[autor_es],autorest[idioma_la])</f>
        <v>Lingua Sinica</v>
      </c>
      <c r="M1163" t="str">
        <f>_xlfn.XLOOKUP(frasest[[#This Row],[autor_es]],autorest[autor_es],autorest[nacion_es])</f>
        <v>China</v>
      </c>
      <c r="N1163" t="str">
        <f>_xlfn.XLOOKUP(frasest[[#This Row],[autor_es]],autorest[autor_es],autorest[nacion_la])</f>
        <v>Sinae</v>
      </c>
      <c r="O1163" t="str">
        <f>_xlfn.XLOOKUP(frasest[[#This Row],[autor_es]],autorest[autor_es],autorest[epoca_es])</f>
        <v>Epoca Desconocida</v>
      </c>
      <c r="P1163" t="str">
        <f>_xlfn.XLOOKUP(frasest[[#This Row],[autor_es]],autorest[autor_es],autorest[epoca_la])</f>
        <v>Epocha Ignota</v>
      </c>
      <c r="Q1163" t="str">
        <f>_xlfn.XLOOKUP(frasest[[#This Row],[autor_es]],autorest[autor_es],autorest[imagen])</f>
        <v>https://i.ibb.co/qLfpZm6h/china.png</v>
      </c>
      <c r="R1163">
        <f>_xlfn.XLOOKUP(frasest[[#This Row],[autor_es]],autorest[autor_es],autorest[imagen_atr])</f>
        <v>0</v>
      </c>
    </row>
    <row r="1164" spans="1:18">
      <c r="A1164">
        <v>1163</v>
      </c>
      <c r="B1164" t="s">
        <v>3621</v>
      </c>
      <c r="C1164" t="s">
        <v>3622</v>
      </c>
      <c r="D1164" s="1" t="s">
        <v>3623</v>
      </c>
      <c r="E1164" t="s">
        <v>36</v>
      </c>
      <c r="G1164" t="str">
        <f>_xlfn.XLOOKUP(frasest[[#This Row],[autor_es]],autorest[autor_es],autorest[autor_la])</f>
        <v>Proverbium Sinense</v>
      </c>
      <c r="H1164" t="str">
        <f>_xlfn.XLOOKUP(frasest[[#This Row],[autor_es]],autorest[autor_es],autorest[bio_es])</f>
        <v>Conjunto de proverbios tradicionales de la cultura china que transmiten sabiduría popular, valores morales y enseñanzas prácticas transmitidas oralmente durante siglos.</v>
      </c>
      <c r="I1164" t="str">
        <f>_xlfn.XLOOKUP(frasest[[#This Row],[autor_es]],autorest[autor_es],autorest[bio_la])</f>
        <v>Collectio sententiarum Sinensium, magnopere in cultura tradita.</v>
      </c>
      <c r="J1164" t="str">
        <f>_xlfn.XLOOKUP(frasest[[#This Row],[autor_es]],autorest[autor_es],autorest[codigo])</f>
        <v>zh</v>
      </c>
      <c r="K1164" t="str">
        <f>_xlfn.XLOOKUP(frasest[[#This Row],[autor_es]],autorest[autor_es],autorest[idioma_es])</f>
        <v>Chino</v>
      </c>
      <c r="L1164" t="str">
        <f>_xlfn.XLOOKUP(frasest[[#This Row],[autor_es]],autorest[autor_es],autorest[idioma_la])</f>
        <v>Lingua Sinica</v>
      </c>
      <c r="M1164" t="str">
        <f>_xlfn.XLOOKUP(frasest[[#This Row],[autor_es]],autorest[autor_es],autorest[nacion_es])</f>
        <v>China</v>
      </c>
      <c r="N1164" t="str">
        <f>_xlfn.XLOOKUP(frasest[[#This Row],[autor_es]],autorest[autor_es],autorest[nacion_la])</f>
        <v>Sinae</v>
      </c>
      <c r="O1164" t="str">
        <f>_xlfn.XLOOKUP(frasest[[#This Row],[autor_es]],autorest[autor_es],autorest[epoca_es])</f>
        <v>Epoca Desconocida</v>
      </c>
      <c r="P1164" t="str">
        <f>_xlfn.XLOOKUP(frasest[[#This Row],[autor_es]],autorest[autor_es],autorest[epoca_la])</f>
        <v>Epocha Ignota</v>
      </c>
      <c r="Q1164" t="str">
        <f>_xlfn.XLOOKUP(frasest[[#This Row],[autor_es]],autorest[autor_es],autorest[imagen])</f>
        <v>https://i.ibb.co/qLfpZm6h/china.png</v>
      </c>
      <c r="R1164">
        <f>_xlfn.XLOOKUP(frasest[[#This Row],[autor_es]],autorest[autor_es],autorest[imagen_atr])</f>
        <v>0</v>
      </c>
    </row>
    <row r="1165" spans="1:18">
      <c r="A1165">
        <v>1164</v>
      </c>
      <c r="B1165" t="s">
        <v>3624</v>
      </c>
      <c r="C1165" t="s">
        <v>3625</v>
      </c>
      <c r="D1165" s="1" t="s">
        <v>3626</v>
      </c>
      <c r="E1165" t="s">
        <v>36</v>
      </c>
      <c r="G1165" t="str">
        <f>_xlfn.XLOOKUP(frasest[[#This Row],[autor_es]],autorest[autor_es],autorest[autor_la])</f>
        <v>Proverbium Sinense</v>
      </c>
      <c r="H1165" t="str">
        <f>_xlfn.XLOOKUP(frasest[[#This Row],[autor_es]],autorest[autor_es],autorest[bio_es])</f>
        <v>Conjunto de proverbios tradicionales de la cultura china que transmiten sabiduría popular, valores morales y enseñanzas prácticas transmitidas oralmente durante siglos.</v>
      </c>
      <c r="I1165" t="str">
        <f>_xlfn.XLOOKUP(frasest[[#This Row],[autor_es]],autorest[autor_es],autorest[bio_la])</f>
        <v>Collectio sententiarum Sinensium, magnopere in cultura tradita.</v>
      </c>
      <c r="J1165" t="str">
        <f>_xlfn.XLOOKUP(frasest[[#This Row],[autor_es]],autorest[autor_es],autorest[codigo])</f>
        <v>zh</v>
      </c>
      <c r="K1165" t="str">
        <f>_xlfn.XLOOKUP(frasest[[#This Row],[autor_es]],autorest[autor_es],autorest[idioma_es])</f>
        <v>Chino</v>
      </c>
      <c r="L1165" t="str">
        <f>_xlfn.XLOOKUP(frasest[[#This Row],[autor_es]],autorest[autor_es],autorest[idioma_la])</f>
        <v>Lingua Sinica</v>
      </c>
      <c r="M1165" t="str">
        <f>_xlfn.XLOOKUP(frasest[[#This Row],[autor_es]],autorest[autor_es],autorest[nacion_es])</f>
        <v>China</v>
      </c>
      <c r="N1165" t="str">
        <f>_xlfn.XLOOKUP(frasest[[#This Row],[autor_es]],autorest[autor_es],autorest[nacion_la])</f>
        <v>Sinae</v>
      </c>
      <c r="O1165" t="str">
        <f>_xlfn.XLOOKUP(frasest[[#This Row],[autor_es]],autorest[autor_es],autorest[epoca_es])</f>
        <v>Epoca Desconocida</v>
      </c>
      <c r="P1165" t="str">
        <f>_xlfn.XLOOKUP(frasest[[#This Row],[autor_es]],autorest[autor_es],autorest[epoca_la])</f>
        <v>Epocha Ignota</v>
      </c>
      <c r="Q1165" t="str">
        <f>_xlfn.XLOOKUP(frasest[[#This Row],[autor_es]],autorest[autor_es],autorest[imagen])</f>
        <v>https://i.ibb.co/qLfpZm6h/china.png</v>
      </c>
      <c r="R1165">
        <f>_xlfn.XLOOKUP(frasest[[#This Row],[autor_es]],autorest[autor_es],autorest[imagen_atr])</f>
        <v>0</v>
      </c>
    </row>
    <row r="1166" spans="1:18">
      <c r="A1166">
        <v>1165</v>
      </c>
      <c r="B1166" t="s">
        <v>3627</v>
      </c>
      <c r="C1166" t="s">
        <v>3628</v>
      </c>
      <c r="D1166" s="1" t="s">
        <v>3629</v>
      </c>
      <c r="E1166" t="s">
        <v>36</v>
      </c>
      <c r="G1166" t="str">
        <f>_xlfn.XLOOKUP(frasest[[#This Row],[autor_es]],autorest[autor_es],autorest[autor_la])</f>
        <v>Proverbium Sinense</v>
      </c>
      <c r="H1166" t="str">
        <f>_xlfn.XLOOKUP(frasest[[#This Row],[autor_es]],autorest[autor_es],autorest[bio_es])</f>
        <v>Conjunto de proverbios tradicionales de la cultura china que transmiten sabiduría popular, valores morales y enseñanzas prácticas transmitidas oralmente durante siglos.</v>
      </c>
      <c r="I1166" t="str">
        <f>_xlfn.XLOOKUP(frasest[[#This Row],[autor_es]],autorest[autor_es],autorest[bio_la])</f>
        <v>Collectio sententiarum Sinensium, magnopere in cultura tradita.</v>
      </c>
      <c r="J1166" t="str">
        <f>_xlfn.XLOOKUP(frasest[[#This Row],[autor_es]],autorest[autor_es],autorest[codigo])</f>
        <v>zh</v>
      </c>
      <c r="K1166" t="str">
        <f>_xlfn.XLOOKUP(frasest[[#This Row],[autor_es]],autorest[autor_es],autorest[idioma_es])</f>
        <v>Chino</v>
      </c>
      <c r="L1166" t="str">
        <f>_xlfn.XLOOKUP(frasest[[#This Row],[autor_es]],autorest[autor_es],autorest[idioma_la])</f>
        <v>Lingua Sinica</v>
      </c>
      <c r="M1166" t="str">
        <f>_xlfn.XLOOKUP(frasest[[#This Row],[autor_es]],autorest[autor_es],autorest[nacion_es])</f>
        <v>China</v>
      </c>
      <c r="N1166" t="str">
        <f>_xlfn.XLOOKUP(frasest[[#This Row],[autor_es]],autorest[autor_es],autorest[nacion_la])</f>
        <v>Sinae</v>
      </c>
      <c r="O1166" t="str">
        <f>_xlfn.XLOOKUP(frasest[[#This Row],[autor_es]],autorest[autor_es],autorest[epoca_es])</f>
        <v>Epoca Desconocida</v>
      </c>
      <c r="P1166" t="str">
        <f>_xlfn.XLOOKUP(frasest[[#This Row],[autor_es]],autorest[autor_es],autorest[epoca_la])</f>
        <v>Epocha Ignota</v>
      </c>
      <c r="Q1166" t="str">
        <f>_xlfn.XLOOKUP(frasest[[#This Row],[autor_es]],autorest[autor_es],autorest[imagen])</f>
        <v>https://i.ibb.co/qLfpZm6h/china.png</v>
      </c>
      <c r="R1166">
        <f>_xlfn.XLOOKUP(frasest[[#This Row],[autor_es]],autorest[autor_es],autorest[imagen_atr])</f>
        <v>0</v>
      </c>
    </row>
    <row r="1167" spans="1:18">
      <c r="A1167">
        <v>1166</v>
      </c>
      <c r="B1167" t="s">
        <v>3630</v>
      </c>
      <c r="C1167" t="s">
        <v>3631</v>
      </c>
      <c r="D1167" s="1" t="s">
        <v>3632</v>
      </c>
      <c r="E1167" t="s">
        <v>36</v>
      </c>
      <c r="G1167" t="str">
        <f>_xlfn.XLOOKUP(frasest[[#This Row],[autor_es]],autorest[autor_es],autorest[autor_la])</f>
        <v>Proverbium Sinense</v>
      </c>
      <c r="H1167" t="str">
        <f>_xlfn.XLOOKUP(frasest[[#This Row],[autor_es]],autorest[autor_es],autorest[bio_es])</f>
        <v>Conjunto de proverbios tradicionales de la cultura china que transmiten sabiduría popular, valores morales y enseñanzas prácticas transmitidas oralmente durante siglos.</v>
      </c>
      <c r="I1167" t="str">
        <f>_xlfn.XLOOKUP(frasest[[#This Row],[autor_es]],autorest[autor_es],autorest[bio_la])</f>
        <v>Collectio sententiarum Sinensium, magnopere in cultura tradita.</v>
      </c>
      <c r="J1167" t="str">
        <f>_xlfn.XLOOKUP(frasest[[#This Row],[autor_es]],autorest[autor_es],autorest[codigo])</f>
        <v>zh</v>
      </c>
      <c r="K1167" t="str">
        <f>_xlfn.XLOOKUP(frasest[[#This Row],[autor_es]],autorest[autor_es],autorest[idioma_es])</f>
        <v>Chino</v>
      </c>
      <c r="L1167" t="str">
        <f>_xlfn.XLOOKUP(frasest[[#This Row],[autor_es]],autorest[autor_es],autorest[idioma_la])</f>
        <v>Lingua Sinica</v>
      </c>
      <c r="M1167" t="str">
        <f>_xlfn.XLOOKUP(frasest[[#This Row],[autor_es]],autorest[autor_es],autorest[nacion_es])</f>
        <v>China</v>
      </c>
      <c r="N1167" t="str">
        <f>_xlfn.XLOOKUP(frasest[[#This Row],[autor_es]],autorest[autor_es],autorest[nacion_la])</f>
        <v>Sinae</v>
      </c>
      <c r="O1167" t="str">
        <f>_xlfn.XLOOKUP(frasest[[#This Row],[autor_es]],autorest[autor_es],autorest[epoca_es])</f>
        <v>Epoca Desconocida</v>
      </c>
      <c r="P1167" t="str">
        <f>_xlfn.XLOOKUP(frasest[[#This Row],[autor_es]],autorest[autor_es],autorest[epoca_la])</f>
        <v>Epocha Ignota</v>
      </c>
      <c r="Q1167" t="str">
        <f>_xlfn.XLOOKUP(frasest[[#This Row],[autor_es]],autorest[autor_es],autorest[imagen])</f>
        <v>https://i.ibb.co/qLfpZm6h/china.png</v>
      </c>
      <c r="R1167">
        <f>_xlfn.XLOOKUP(frasest[[#This Row],[autor_es]],autorest[autor_es],autorest[imagen_atr])</f>
        <v>0</v>
      </c>
    </row>
    <row r="1168" spans="1:18">
      <c r="A1168">
        <v>1167</v>
      </c>
      <c r="B1168" t="s">
        <v>3633</v>
      </c>
      <c r="C1168" t="s">
        <v>3634</v>
      </c>
      <c r="D1168" s="1" t="s">
        <v>3635</v>
      </c>
      <c r="E1168" t="s">
        <v>36</v>
      </c>
      <c r="G1168" t="str">
        <f>_xlfn.XLOOKUP(frasest[[#This Row],[autor_es]],autorest[autor_es],autorest[autor_la])</f>
        <v>Proverbium Sinense</v>
      </c>
      <c r="H1168" t="str">
        <f>_xlfn.XLOOKUP(frasest[[#This Row],[autor_es]],autorest[autor_es],autorest[bio_es])</f>
        <v>Conjunto de proverbios tradicionales de la cultura china que transmiten sabiduría popular, valores morales y enseñanzas prácticas transmitidas oralmente durante siglos.</v>
      </c>
      <c r="I1168" t="str">
        <f>_xlfn.XLOOKUP(frasest[[#This Row],[autor_es]],autorest[autor_es],autorest[bio_la])</f>
        <v>Collectio sententiarum Sinensium, magnopere in cultura tradita.</v>
      </c>
      <c r="J1168" t="str">
        <f>_xlfn.XLOOKUP(frasest[[#This Row],[autor_es]],autorest[autor_es],autorest[codigo])</f>
        <v>zh</v>
      </c>
      <c r="K1168" t="str">
        <f>_xlfn.XLOOKUP(frasest[[#This Row],[autor_es]],autorest[autor_es],autorest[idioma_es])</f>
        <v>Chino</v>
      </c>
      <c r="L1168" t="str">
        <f>_xlfn.XLOOKUP(frasest[[#This Row],[autor_es]],autorest[autor_es],autorest[idioma_la])</f>
        <v>Lingua Sinica</v>
      </c>
      <c r="M1168" t="str">
        <f>_xlfn.XLOOKUP(frasest[[#This Row],[autor_es]],autorest[autor_es],autorest[nacion_es])</f>
        <v>China</v>
      </c>
      <c r="N1168" t="str">
        <f>_xlfn.XLOOKUP(frasest[[#This Row],[autor_es]],autorest[autor_es],autorest[nacion_la])</f>
        <v>Sinae</v>
      </c>
      <c r="O1168" t="str">
        <f>_xlfn.XLOOKUP(frasest[[#This Row],[autor_es]],autorest[autor_es],autorest[epoca_es])</f>
        <v>Epoca Desconocida</v>
      </c>
      <c r="P1168" t="str">
        <f>_xlfn.XLOOKUP(frasest[[#This Row],[autor_es]],autorest[autor_es],autorest[epoca_la])</f>
        <v>Epocha Ignota</v>
      </c>
      <c r="Q1168" t="str">
        <f>_xlfn.XLOOKUP(frasest[[#This Row],[autor_es]],autorest[autor_es],autorest[imagen])</f>
        <v>https://i.ibb.co/qLfpZm6h/china.png</v>
      </c>
      <c r="R1168">
        <f>_xlfn.XLOOKUP(frasest[[#This Row],[autor_es]],autorest[autor_es],autorest[imagen_atr])</f>
        <v>0</v>
      </c>
    </row>
    <row r="1169" spans="1:18">
      <c r="A1169">
        <v>1168</v>
      </c>
      <c r="B1169" t="s">
        <v>3636</v>
      </c>
      <c r="C1169" t="s">
        <v>3637</v>
      </c>
      <c r="D1169" s="1" t="s">
        <v>3638</v>
      </c>
      <c r="E1169" t="s">
        <v>36</v>
      </c>
      <c r="G1169" t="str">
        <f>_xlfn.XLOOKUP(frasest[[#This Row],[autor_es]],autorest[autor_es],autorest[autor_la])</f>
        <v>Proverbium Sinense</v>
      </c>
      <c r="H1169" t="str">
        <f>_xlfn.XLOOKUP(frasest[[#This Row],[autor_es]],autorest[autor_es],autorest[bio_es])</f>
        <v>Conjunto de proverbios tradicionales de la cultura china que transmiten sabiduría popular, valores morales y enseñanzas prácticas transmitidas oralmente durante siglos.</v>
      </c>
      <c r="I1169" t="str">
        <f>_xlfn.XLOOKUP(frasest[[#This Row],[autor_es]],autorest[autor_es],autorest[bio_la])</f>
        <v>Collectio sententiarum Sinensium, magnopere in cultura tradita.</v>
      </c>
      <c r="J1169" t="str">
        <f>_xlfn.XLOOKUP(frasest[[#This Row],[autor_es]],autorest[autor_es],autorest[codigo])</f>
        <v>zh</v>
      </c>
      <c r="K1169" t="str">
        <f>_xlfn.XLOOKUP(frasest[[#This Row],[autor_es]],autorest[autor_es],autorest[idioma_es])</f>
        <v>Chino</v>
      </c>
      <c r="L1169" t="str">
        <f>_xlfn.XLOOKUP(frasest[[#This Row],[autor_es]],autorest[autor_es],autorest[idioma_la])</f>
        <v>Lingua Sinica</v>
      </c>
      <c r="M1169" t="str">
        <f>_xlfn.XLOOKUP(frasest[[#This Row],[autor_es]],autorest[autor_es],autorest[nacion_es])</f>
        <v>China</v>
      </c>
      <c r="N1169" t="str">
        <f>_xlfn.XLOOKUP(frasest[[#This Row],[autor_es]],autorest[autor_es],autorest[nacion_la])</f>
        <v>Sinae</v>
      </c>
      <c r="O1169" t="str">
        <f>_xlfn.XLOOKUP(frasest[[#This Row],[autor_es]],autorest[autor_es],autorest[epoca_es])</f>
        <v>Epoca Desconocida</v>
      </c>
      <c r="P1169" t="str">
        <f>_xlfn.XLOOKUP(frasest[[#This Row],[autor_es]],autorest[autor_es],autorest[epoca_la])</f>
        <v>Epocha Ignota</v>
      </c>
      <c r="Q1169" t="str">
        <f>_xlfn.XLOOKUP(frasest[[#This Row],[autor_es]],autorest[autor_es],autorest[imagen])</f>
        <v>https://i.ibb.co/qLfpZm6h/china.png</v>
      </c>
      <c r="R1169">
        <f>_xlfn.XLOOKUP(frasest[[#This Row],[autor_es]],autorest[autor_es],autorest[imagen_atr])</f>
        <v>0</v>
      </c>
    </row>
    <row r="1170" spans="1:18">
      <c r="A1170">
        <v>1169</v>
      </c>
      <c r="B1170" t="s">
        <v>3639</v>
      </c>
      <c r="C1170" t="s">
        <v>3640</v>
      </c>
      <c r="D1170" s="1" t="s">
        <v>3641</v>
      </c>
      <c r="E1170" t="s">
        <v>36</v>
      </c>
      <c r="G1170" t="str">
        <f>_xlfn.XLOOKUP(frasest[[#This Row],[autor_es]],autorest[autor_es],autorest[autor_la])</f>
        <v>Proverbium Sinense</v>
      </c>
      <c r="H1170" t="str">
        <f>_xlfn.XLOOKUP(frasest[[#This Row],[autor_es]],autorest[autor_es],autorest[bio_es])</f>
        <v>Conjunto de proverbios tradicionales de la cultura china que transmiten sabiduría popular, valores morales y enseñanzas prácticas transmitidas oralmente durante siglos.</v>
      </c>
      <c r="I1170" t="str">
        <f>_xlfn.XLOOKUP(frasest[[#This Row],[autor_es]],autorest[autor_es],autorest[bio_la])</f>
        <v>Collectio sententiarum Sinensium, magnopere in cultura tradita.</v>
      </c>
      <c r="J1170" t="str">
        <f>_xlfn.XLOOKUP(frasest[[#This Row],[autor_es]],autorest[autor_es],autorest[codigo])</f>
        <v>zh</v>
      </c>
      <c r="K1170" t="str">
        <f>_xlfn.XLOOKUP(frasest[[#This Row],[autor_es]],autorest[autor_es],autorest[idioma_es])</f>
        <v>Chino</v>
      </c>
      <c r="L1170" t="str">
        <f>_xlfn.XLOOKUP(frasest[[#This Row],[autor_es]],autorest[autor_es],autorest[idioma_la])</f>
        <v>Lingua Sinica</v>
      </c>
      <c r="M1170" t="str">
        <f>_xlfn.XLOOKUP(frasest[[#This Row],[autor_es]],autorest[autor_es],autorest[nacion_es])</f>
        <v>China</v>
      </c>
      <c r="N1170" t="str">
        <f>_xlfn.XLOOKUP(frasest[[#This Row],[autor_es]],autorest[autor_es],autorest[nacion_la])</f>
        <v>Sinae</v>
      </c>
      <c r="O1170" t="str">
        <f>_xlfn.XLOOKUP(frasest[[#This Row],[autor_es]],autorest[autor_es],autorest[epoca_es])</f>
        <v>Epoca Desconocida</v>
      </c>
      <c r="P1170" t="str">
        <f>_xlfn.XLOOKUP(frasest[[#This Row],[autor_es]],autorest[autor_es],autorest[epoca_la])</f>
        <v>Epocha Ignota</v>
      </c>
      <c r="Q1170" t="str">
        <f>_xlfn.XLOOKUP(frasest[[#This Row],[autor_es]],autorest[autor_es],autorest[imagen])</f>
        <v>https://i.ibb.co/qLfpZm6h/china.png</v>
      </c>
      <c r="R1170">
        <f>_xlfn.XLOOKUP(frasest[[#This Row],[autor_es]],autorest[autor_es],autorest[imagen_atr])</f>
        <v>0</v>
      </c>
    </row>
    <row r="1171" spans="1:18">
      <c r="A1171">
        <v>1170</v>
      </c>
      <c r="B1171" t="s">
        <v>3642</v>
      </c>
      <c r="C1171" t="s">
        <v>3643</v>
      </c>
      <c r="D1171" s="1" t="s">
        <v>3644</v>
      </c>
      <c r="E1171" t="s">
        <v>36</v>
      </c>
      <c r="G1171" t="str">
        <f>_xlfn.XLOOKUP(frasest[[#This Row],[autor_es]],autorest[autor_es],autorest[autor_la])</f>
        <v>Proverbium Sinense</v>
      </c>
      <c r="H1171" t="str">
        <f>_xlfn.XLOOKUP(frasest[[#This Row],[autor_es]],autorest[autor_es],autorest[bio_es])</f>
        <v>Conjunto de proverbios tradicionales de la cultura china que transmiten sabiduría popular, valores morales y enseñanzas prácticas transmitidas oralmente durante siglos.</v>
      </c>
      <c r="I1171" t="str">
        <f>_xlfn.XLOOKUP(frasest[[#This Row],[autor_es]],autorest[autor_es],autorest[bio_la])</f>
        <v>Collectio sententiarum Sinensium, magnopere in cultura tradita.</v>
      </c>
      <c r="J1171" t="str">
        <f>_xlfn.XLOOKUP(frasest[[#This Row],[autor_es]],autorest[autor_es],autorest[codigo])</f>
        <v>zh</v>
      </c>
      <c r="K1171" t="str">
        <f>_xlfn.XLOOKUP(frasest[[#This Row],[autor_es]],autorest[autor_es],autorest[idioma_es])</f>
        <v>Chino</v>
      </c>
      <c r="L1171" t="str">
        <f>_xlfn.XLOOKUP(frasest[[#This Row],[autor_es]],autorest[autor_es],autorest[idioma_la])</f>
        <v>Lingua Sinica</v>
      </c>
      <c r="M1171" t="str">
        <f>_xlfn.XLOOKUP(frasest[[#This Row],[autor_es]],autorest[autor_es],autorest[nacion_es])</f>
        <v>China</v>
      </c>
      <c r="N1171" t="str">
        <f>_xlfn.XLOOKUP(frasest[[#This Row],[autor_es]],autorest[autor_es],autorest[nacion_la])</f>
        <v>Sinae</v>
      </c>
      <c r="O1171" t="str">
        <f>_xlfn.XLOOKUP(frasest[[#This Row],[autor_es]],autorest[autor_es],autorest[epoca_es])</f>
        <v>Epoca Desconocida</v>
      </c>
      <c r="P1171" t="str">
        <f>_xlfn.XLOOKUP(frasest[[#This Row],[autor_es]],autorest[autor_es],autorest[epoca_la])</f>
        <v>Epocha Ignota</v>
      </c>
      <c r="Q1171" t="str">
        <f>_xlfn.XLOOKUP(frasest[[#This Row],[autor_es]],autorest[autor_es],autorest[imagen])</f>
        <v>https://i.ibb.co/qLfpZm6h/china.png</v>
      </c>
      <c r="R1171">
        <f>_xlfn.XLOOKUP(frasest[[#This Row],[autor_es]],autorest[autor_es],autorest[imagen_atr])</f>
        <v>0</v>
      </c>
    </row>
    <row r="1172" spans="1:18">
      <c r="A1172">
        <v>1171</v>
      </c>
      <c r="B1172" t="s">
        <v>3645</v>
      </c>
      <c r="C1172" t="s">
        <v>3646</v>
      </c>
      <c r="D1172" s="1" t="s">
        <v>3647</v>
      </c>
      <c r="E1172" t="s">
        <v>36</v>
      </c>
      <c r="G1172" t="str">
        <f>_xlfn.XLOOKUP(frasest[[#This Row],[autor_es]],autorest[autor_es],autorest[autor_la])</f>
        <v>Proverbium Sinense</v>
      </c>
      <c r="H1172" t="str">
        <f>_xlfn.XLOOKUP(frasest[[#This Row],[autor_es]],autorest[autor_es],autorest[bio_es])</f>
        <v>Conjunto de proverbios tradicionales de la cultura china que transmiten sabiduría popular, valores morales y enseñanzas prácticas transmitidas oralmente durante siglos.</v>
      </c>
      <c r="I1172" t="str">
        <f>_xlfn.XLOOKUP(frasest[[#This Row],[autor_es]],autorest[autor_es],autorest[bio_la])</f>
        <v>Collectio sententiarum Sinensium, magnopere in cultura tradita.</v>
      </c>
      <c r="J1172" t="str">
        <f>_xlfn.XLOOKUP(frasest[[#This Row],[autor_es]],autorest[autor_es],autorest[codigo])</f>
        <v>zh</v>
      </c>
      <c r="K1172" t="str">
        <f>_xlfn.XLOOKUP(frasest[[#This Row],[autor_es]],autorest[autor_es],autorest[idioma_es])</f>
        <v>Chino</v>
      </c>
      <c r="L1172" t="str">
        <f>_xlfn.XLOOKUP(frasest[[#This Row],[autor_es]],autorest[autor_es],autorest[idioma_la])</f>
        <v>Lingua Sinica</v>
      </c>
      <c r="M1172" t="str">
        <f>_xlfn.XLOOKUP(frasest[[#This Row],[autor_es]],autorest[autor_es],autorest[nacion_es])</f>
        <v>China</v>
      </c>
      <c r="N1172" t="str">
        <f>_xlfn.XLOOKUP(frasest[[#This Row],[autor_es]],autorest[autor_es],autorest[nacion_la])</f>
        <v>Sinae</v>
      </c>
      <c r="O1172" t="str">
        <f>_xlfn.XLOOKUP(frasest[[#This Row],[autor_es]],autorest[autor_es],autorest[epoca_es])</f>
        <v>Epoca Desconocida</v>
      </c>
      <c r="P1172" t="str">
        <f>_xlfn.XLOOKUP(frasest[[#This Row],[autor_es]],autorest[autor_es],autorest[epoca_la])</f>
        <v>Epocha Ignota</v>
      </c>
      <c r="Q1172" t="str">
        <f>_xlfn.XLOOKUP(frasest[[#This Row],[autor_es]],autorest[autor_es],autorest[imagen])</f>
        <v>https://i.ibb.co/qLfpZm6h/china.png</v>
      </c>
      <c r="R1172">
        <f>_xlfn.XLOOKUP(frasest[[#This Row],[autor_es]],autorest[autor_es],autorest[imagen_atr])</f>
        <v>0</v>
      </c>
    </row>
    <row r="1173" spans="1:18">
      <c r="A1173">
        <v>1172</v>
      </c>
      <c r="B1173" t="s">
        <v>3648</v>
      </c>
      <c r="C1173" t="s">
        <v>3649</v>
      </c>
      <c r="D1173" s="1" t="s">
        <v>3650</v>
      </c>
      <c r="E1173" t="s">
        <v>36</v>
      </c>
      <c r="G1173" t="str">
        <f>_xlfn.XLOOKUP(frasest[[#This Row],[autor_es]],autorest[autor_es],autorest[autor_la])</f>
        <v>Proverbium Sinense</v>
      </c>
      <c r="H1173" t="str">
        <f>_xlfn.XLOOKUP(frasest[[#This Row],[autor_es]],autorest[autor_es],autorest[bio_es])</f>
        <v>Conjunto de proverbios tradicionales de la cultura china que transmiten sabiduría popular, valores morales y enseñanzas prácticas transmitidas oralmente durante siglos.</v>
      </c>
      <c r="I1173" t="str">
        <f>_xlfn.XLOOKUP(frasest[[#This Row],[autor_es]],autorest[autor_es],autorest[bio_la])</f>
        <v>Collectio sententiarum Sinensium, magnopere in cultura tradita.</v>
      </c>
      <c r="J1173" t="str">
        <f>_xlfn.XLOOKUP(frasest[[#This Row],[autor_es]],autorest[autor_es],autorest[codigo])</f>
        <v>zh</v>
      </c>
      <c r="K1173" t="str">
        <f>_xlfn.XLOOKUP(frasest[[#This Row],[autor_es]],autorest[autor_es],autorest[idioma_es])</f>
        <v>Chino</v>
      </c>
      <c r="L1173" t="str">
        <f>_xlfn.XLOOKUP(frasest[[#This Row],[autor_es]],autorest[autor_es],autorest[idioma_la])</f>
        <v>Lingua Sinica</v>
      </c>
      <c r="M1173" t="str">
        <f>_xlfn.XLOOKUP(frasest[[#This Row],[autor_es]],autorest[autor_es],autorest[nacion_es])</f>
        <v>China</v>
      </c>
      <c r="N1173" t="str">
        <f>_xlfn.XLOOKUP(frasest[[#This Row],[autor_es]],autorest[autor_es],autorest[nacion_la])</f>
        <v>Sinae</v>
      </c>
      <c r="O1173" t="str">
        <f>_xlfn.XLOOKUP(frasest[[#This Row],[autor_es]],autorest[autor_es],autorest[epoca_es])</f>
        <v>Epoca Desconocida</v>
      </c>
      <c r="P1173" t="str">
        <f>_xlfn.XLOOKUP(frasest[[#This Row],[autor_es]],autorest[autor_es],autorest[epoca_la])</f>
        <v>Epocha Ignota</v>
      </c>
      <c r="Q1173" t="str">
        <f>_xlfn.XLOOKUP(frasest[[#This Row],[autor_es]],autorest[autor_es],autorest[imagen])</f>
        <v>https://i.ibb.co/qLfpZm6h/china.png</v>
      </c>
      <c r="R1173">
        <f>_xlfn.XLOOKUP(frasest[[#This Row],[autor_es]],autorest[autor_es],autorest[imagen_atr])</f>
        <v>0</v>
      </c>
    </row>
    <row r="1174" spans="1:18">
      <c r="A1174">
        <v>1173</v>
      </c>
      <c r="B1174" t="s">
        <v>1320</v>
      </c>
      <c r="C1174" t="s">
        <v>1321</v>
      </c>
      <c r="D1174" s="1" t="s">
        <v>3651</v>
      </c>
      <c r="E1174" t="s">
        <v>36</v>
      </c>
      <c r="G1174" t="str">
        <f>_xlfn.XLOOKUP(frasest[[#This Row],[autor_es]],autorest[autor_es],autorest[autor_la])</f>
        <v>Proverbium Sinense</v>
      </c>
      <c r="H1174" t="str">
        <f>_xlfn.XLOOKUP(frasest[[#This Row],[autor_es]],autorest[autor_es],autorest[bio_es])</f>
        <v>Conjunto de proverbios tradicionales de la cultura china que transmiten sabiduría popular, valores morales y enseñanzas prácticas transmitidas oralmente durante siglos.</v>
      </c>
      <c r="I1174" t="str">
        <f>_xlfn.XLOOKUP(frasest[[#This Row],[autor_es]],autorest[autor_es],autorest[bio_la])</f>
        <v>Collectio sententiarum Sinensium, magnopere in cultura tradita.</v>
      </c>
      <c r="J1174" t="str">
        <f>_xlfn.XLOOKUP(frasest[[#This Row],[autor_es]],autorest[autor_es],autorest[codigo])</f>
        <v>zh</v>
      </c>
      <c r="K1174" t="str">
        <f>_xlfn.XLOOKUP(frasest[[#This Row],[autor_es]],autorest[autor_es],autorest[idioma_es])</f>
        <v>Chino</v>
      </c>
      <c r="L1174" t="str">
        <f>_xlfn.XLOOKUP(frasest[[#This Row],[autor_es]],autorest[autor_es],autorest[idioma_la])</f>
        <v>Lingua Sinica</v>
      </c>
      <c r="M1174" t="str">
        <f>_xlfn.XLOOKUP(frasest[[#This Row],[autor_es]],autorest[autor_es],autorest[nacion_es])</f>
        <v>China</v>
      </c>
      <c r="N1174" t="str">
        <f>_xlfn.XLOOKUP(frasest[[#This Row],[autor_es]],autorest[autor_es],autorest[nacion_la])</f>
        <v>Sinae</v>
      </c>
      <c r="O1174" t="str">
        <f>_xlfn.XLOOKUP(frasest[[#This Row],[autor_es]],autorest[autor_es],autorest[epoca_es])</f>
        <v>Epoca Desconocida</v>
      </c>
      <c r="P1174" t="str">
        <f>_xlfn.XLOOKUP(frasest[[#This Row],[autor_es]],autorest[autor_es],autorest[epoca_la])</f>
        <v>Epocha Ignota</v>
      </c>
      <c r="Q1174" t="str">
        <f>_xlfn.XLOOKUP(frasest[[#This Row],[autor_es]],autorest[autor_es],autorest[imagen])</f>
        <v>https://i.ibb.co/qLfpZm6h/china.png</v>
      </c>
      <c r="R1174">
        <f>_xlfn.XLOOKUP(frasest[[#This Row],[autor_es]],autorest[autor_es],autorest[imagen_atr])</f>
        <v>0</v>
      </c>
    </row>
    <row r="1175" spans="1:18">
      <c r="A1175">
        <v>1174</v>
      </c>
      <c r="B1175" t="s">
        <v>3652</v>
      </c>
      <c r="C1175" t="s">
        <v>3653</v>
      </c>
      <c r="D1175" s="1" t="s">
        <v>3654</v>
      </c>
      <c r="E1175" t="s">
        <v>36</v>
      </c>
      <c r="G1175" t="str">
        <f>_xlfn.XLOOKUP(frasest[[#This Row],[autor_es]],autorest[autor_es],autorest[autor_la])</f>
        <v>Proverbium Sinense</v>
      </c>
      <c r="H1175" t="str">
        <f>_xlfn.XLOOKUP(frasest[[#This Row],[autor_es]],autorest[autor_es],autorest[bio_es])</f>
        <v>Conjunto de proverbios tradicionales de la cultura china que transmiten sabiduría popular, valores morales y enseñanzas prácticas transmitidas oralmente durante siglos.</v>
      </c>
      <c r="I1175" t="str">
        <f>_xlfn.XLOOKUP(frasest[[#This Row],[autor_es]],autorest[autor_es],autorest[bio_la])</f>
        <v>Collectio sententiarum Sinensium, magnopere in cultura tradita.</v>
      </c>
      <c r="J1175" t="str">
        <f>_xlfn.XLOOKUP(frasest[[#This Row],[autor_es]],autorest[autor_es],autorest[codigo])</f>
        <v>zh</v>
      </c>
      <c r="K1175" t="str">
        <f>_xlfn.XLOOKUP(frasest[[#This Row],[autor_es]],autorest[autor_es],autorest[idioma_es])</f>
        <v>Chino</v>
      </c>
      <c r="L1175" t="str">
        <f>_xlfn.XLOOKUP(frasest[[#This Row],[autor_es]],autorest[autor_es],autorest[idioma_la])</f>
        <v>Lingua Sinica</v>
      </c>
      <c r="M1175" t="str">
        <f>_xlfn.XLOOKUP(frasest[[#This Row],[autor_es]],autorest[autor_es],autorest[nacion_es])</f>
        <v>China</v>
      </c>
      <c r="N1175" t="str">
        <f>_xlfn.XLOOKUP(frasest[[#This Row],[autor_es]],autorest[autor_es],autorest[nacion_la])</f>
        <v>Sinae</v>
      </c>
      <c r="O1175" t="str">
        <f>_xlfn.XLOOKUP(frasest[[#This Row],[autor_es]],autorest[autor_es],autorest[epoca_es])</f>
        <v>Epoca Desconocida</v>
      </c>
      <c r="P1175" t="str">
        <f>_xlfn.XLOOKUP(frasest[[#This Row],[autor_es]],autorest[autor_es],autorest[epoca_la])</f>
        <v>Epocha Ignota</v>
      </c>
      <c r="Q1175" t="str">
        <f>_xlfn.XLOOKUP(frasest[[#This Row],[autor_es]],autorest[autor_es],autorest[imagen])</f>
        <v>https://i.ibb.co/qLfpZm6h/china.png</v>
      </c>
      <c r="R1175">
        <f>_xlfn.XLOOKUP(frasest[[#This Row],[autor_es]],autorest[autor_es],autorest[imagen_atr])</f>
        <v>0</v>
      </c>
    </row>
    <row r="1176" spans="1:18">
      <c r="A1176">
        <v>1175</v>
      </c>
      <c r="B1176" t="s">
        <v>3655</v>
      </c>
      <c r="C1176" t="s">
        <v>3656</v>
      </c>
      <c r="D1176" s="1" t="s">
        <v>129</v>
      </c>
      <c r="E1176" t="s">
        <v>36</v>
      </c>
      <c r="G1176" t="str">
        <f>_xlfn.XLOOKUP(frasest[[#This Row],[autor_es]],autorest[autor_es],autorest[autor_la])</f>
        <v>Proverbium Sinense</v>
      </c>
      <c r="H1176" t="str">
        <f>_xlfn.XLOOKUP(frasest[[#This Row],[autor_es]],autorest[autor_es],autorest[bio_es])</f>
        <v>Conjunto de proverbios tradicionales de la cultura china que transmiten sabiduría popular, valores morales y enseñanzas prácticas transmitidas oralmente durante siglos.</v>
      </c>
      <c r="I1176" t="str">
        <f>_xlfn.XLOOKUP(frasest[[#This Row],[autor_es]],autorest[autor_es],autorest[bio_la])</f>
        <v>Collectio sententiarum Sinensium, magnopere in cultura tradita.</v>
      </c>
      <c r="J1176" t="str">
        <f>_xlfn.XLOOKUP(frasest[[#This Row],[autor_es]],autorest[autor_es],autorest[codigo])</f>
        <v>zh</v>
      </c>
      <c r="K1176" t="str">
        <f>_xlfn.XLOOKUP(frasest[[#This Row],[autor_es]],autorest[autor_es],autorest[idioma_es])</f>
        <v>Chino</v>
      </c>
      <c r="L1176" t="str">
        <f>_xlfn.XLOOKUP(frasest[[#This Row],[autor_es]],autorest[autor_es],autorest[idioma_la])</f>
        <v>Lingua Sinica</v>
      </c>
      <c r="M1176" t="str">
        <f>_xlfn.XLOOKUP(frasest[[#This Row],[autor_es]],autorest[autor_es],autorest[nacion_es])</f>
        <v>China</v>
      </c>
      <c r="N1176" t="str">
        <f>_xlfn.XLOOKUP(frasest[[#This Row],[autor_es]],autorest[autor_es],autorest[nacion_la])</f>
        <v>Sinae</v>
      </c>
      <c r="O1176" t="str">
        <f>_xlfn.XLOOKUP(frasest[[#This Row],[autor_es]],autorest[autor_es],autorest[epoca_es])</f>
        <v>Epoca Desconocida</v>
      </c>
      <c r="P1176" t="str">
        <f>_xlfn.XLOOKUP(frasest[[#This Row],[autor_es]],autorest[autor_es],autorest[epoca_la])</f>
        <v>Epocha Ignota</v>
      </c>
      <c r="Q1176" t="str">
        <f>_xlfn.XLOOKUP(frasest[[#This Row],[autor_es]],autorest[autor_es],autorest[imagen])</f>
        <v>https://i.ibb.co/qLfpZm6h/china.png</v>
      </c>
      <c r="R1176">
        <f>_xlfn.XLOOKUP(frasest[[#This Row],[autor_es]],autorest[autor_es],autorest[imagen_atr])</f>
        <v>0</v>
      </c>
    </row>
    <row r="1177" spans="1:18">
      <c r="A1177">
        <v>1176</v>
      </c>
      <c r="B1177" t="s">
        <v>3657</v>
      </c>
      <c r="C1177" t="s">
        <v>3658</v>
      </c>
      <c r="D1177" s="1" t="s">
        <v>3659</v>
      </c>
      <c r="E1177" t="s">
        <v>36</v>
      </c>
      <c r="G1177" t="str">
        <f>_xlfn.XLOOKUP(frasest[[#This Row],[autor_es]],autorest[autor_es],autorest[autor_la])</f>
        <v>Proverbium Sinense</v>
      </c>
      <c r="H1177" t="str">
        <f>_xlfn.XLOOKUP(frasest[[#This Row],[autor_es]],autorest[autor_es],autorest[bio_es])</f>
        <v>Conjunto de proverbios tradicionales de la cultura china que transmiten sabiduría popular, valores morales y enseñanzas prácticas transmitidas oralmente durante siglos.</v>
      </c>
      <c r="I1177" t="str">
        <f>_xlfn.XLOOKUP(frasest[[#This Row],[autor_es]],autorest[autor_es],autorest[bio_la])</f>
        <v>Collectio sententiarum Sinensium, magnopere in cultura tradita.</v>
      </c>
      <c r="J1177" t="str">
        <f>_xlfn.XLOOKUP(frasest[[#This Row],[autor_es]],autorest[autor_es],autorest[codigo])</f>
        <v>zh</v>
      </c>
      <c r="K1177" t="str">
        <f>_xlfn.XLOOKUP(frasest[[#This Row],[autor_es]],autorest[autor_es],autorest[idioma_es])</f>
        <v>Chino</v>
      </c>
      <c r="L1177" t="str">
        <f>_xlfn.XLOOKUP(frasest[[#This Row],[autor_es]],autorest[autor_es],autorest[idioma_la])</f>
        <v>Lingua Sinica</v>
      </c>
      <c r="M1177" t="str">
        <f>_xlfn.XLOOKUP(frasest[[#This Row],[autor_es]],autorest[autor_es],autorest[nacion_es])</f>
        <v>China</v>
      </c>
      <c r="N1177" t="str">
        <f>_xlfn.XLOOKUP(frasest[[#This Row],[autor_es]],autorest[autor_es],autorest[nacion_la])</f>
        <v>Sinae</v>
      </c>
      <c r="O1177" t="str">
        <f>_xlfn.XLOOKUP(frasest[[#This Row],[autor_es]],autorest[autor_es],autorest[epoca_es])</f>
        <v>Epoca Desconocida</v>
      </c>
      <c r="P1177" t="str">
        <f>_xlfn.XLOOKUP(frasest[[#This Row],[autor_es]],autorest[autor_es],autorest[epoca_la])</f>
        <v>Epocha Ignota</v>
      </c>
      <c r="Q1177" t="str">
        <f>_xlfn.XLOOKUP(frasest[[#This Row],[autor_es]],autorest[autor_es],autorest[imagen])</f>
        <v>https://i.ibb.co/qLfpZm6h/china.png</v>
      </c>
      <c r="R1177">
        <f>_xlfn.XLOOKUP(frasest[[#This Row],[autor_es]],autorest[autor_es],autorest[imagen_atr])</f>
        <v>0</v>
      </c>
    </row>
    <row r="1178" spans="1:18">
      <c r="A1178">
        <v>1177</v>
      </c>
      <c r="B1178" t="s">
        <v>3660</v>
      </c>
      <c r="C1178" t="s">
        <v>3661</v>
      </c>
      <c r="D1178" s="1" t="s">
        <v>3662</v>
      </c>
      <c r="E1178" t="s">
        <v>36</v>
      </c>
      <c r="G1178" t="str">
        <f>_xlfn.XLOOKUP(frasest[[#This Row],[autor_es]],autorest[autor_es],autorest[autor_la])</f>
        <v>Proverbium Sinense</v>
      </c>
      <c r="H1178" t="str">
        <f>_xlfn.XLOOKUP(frasest[[#This Row],[autor_es]],autorest[autor_es],autorest[bio_es])</f>
        <v>Conjunto de proverbios tradicionales de la cultura china que transmiten sabiduría popular, valores morales y enseñanzas prácticas transmitidas oralmente durante siglos.</v>
      </c>
      <c r="I1178" t="str">
        <f>_xlfn.XLOOKUP(frasest[[#This Row],[autor_es]],autorest[autor_es],autorest[bio_la])</f>
        <v>Collectio sententiarum Sinensium, magnopere in cultura tradita.</v>
      </c>
      <c r="J1178" t="str">
        <f>_xlfn.XLOOKUP(frasest[[#This Row],[autor_es]],autorest[autor_es],autorest[codigo])</f>
        <v>zh</v>
      </c>
      <c r="K1178" t="str">
        <f>_xlfn.XLOOKUP(frasest[[#This Row],[autor_es]],autorest[autor_es],autorest[idioma_es])</f>
        <v>Chino</v>
      </c>
      <c r="L1178" t="str">
        <f>_xlfn.XLOOKUP(frasest[[#This Row],[autor_es]],autorest[autor_es],autorest[idioma_la])</f>
        <v>Lingua Sinica</v>
      </c>
      <c r="M1178" t="str">
        <f>_xlfn.XLOOKUP(frasest[[#This Row],[autor_es]],autorest[autor_es],autorest[nacion_es])</f>
        <v>China</v>
      </c>
      <c r="N1178" t="str">
        <f>_xlfn.XLOOKUP(frasest[[#This Row],[autor_es]],autorest[autor_es],autorest[nacion_la])</f>
        <v>Sinae</v>
      </c>
      <c r="O1178" t="str">
        <f>_xlfn.XLOOKUP(frasest[[#This Row],[autor_es]],autorest[autor_es],autorest[epoca_es])</f>
        <v>Epoca Desconocida</v>
      </c>
      <c r="P1178" t="str">
        <f>_xlfn.XLOOKUP(frasest[[#This Row],[autor_es]],autorest[autor_es],autorest[epoca_la])</f>
        <v>Epocha Ignota</v>
      </c>
      <c r="Q1178" t="str">
        <f>_xlfn.XLOOKUP(frasest[[#This Row],[autor_es]],autorest[autor_es],autorest[imagen])</f>
        <v>https://i.ibb.co/qLfpZm6h/china.png</v>
      </c>
      <c r="R1178">
        <f>_xlfn.XLOOKUP(frasest[[#This Row],[autor_es]],autorest[autor_es],autorest[imagen_atr])</f>
        <v>0</v>
      </c>
    </row>
    <row r="1179" spans="1:18">
      <c r="A1179">
        <v>1178</v>
      </c>
      <c r="B1179" t="s">
        <v>3663</v>
      </c>
      <c r="C1179" t="s">
        <v>3664</v>
      </c>
      <c r="D1179" s="1" t="s">
        <v>3665</v>
      </c>
      <c r="E1179" t="s">
        <v>36</v>
      </c>
      <c r="G1179" t="str">
        <f>_xlfn.XLOOKUP(frasest[[#This Row],[autor_es]],autorest[autor_es],autorest[autor_la])</f>
        <v>Proverbium Sinense</v>
      </c>
      <c r="H1179" t="str">
        <f>_xlfn.XLOOKUP(frasest[[#This Row],[autor_es]],autorest[autor_es],autorest[bio_es])</f>
        <v>Conjunto de proverbios tradicionales de la cultura china que transmiten sabiduría popular, valores morales y enseñanzas prácticas transmitidas oralmente durante siglos.</v>
      </c>
      <c r="I1179" t="str">
        <f>_xlfn.XLOOKUP(frasest[[#This Row],[autor_es]],autorest[autor_es],autorest[bio_la])</f>
        <v>Collectio sententiarum Sinensium, magnopere in cultura tradita.</v>
      </c>
      <c r="J1179" t="str">
        <f>_xlfn.XLOOKUP(frasest[[#This Row],[autor_es]],autorest[autor_es],autorest[codigo])</f>
        <v>zh</v>
      </c>
      <c r="K1179" t="str">
        <f>_xlfn.XLOOKUP(frasest[[#This Row],[autor_es]],autorest[autor_es],autorest[idioma_es])</f>
        <v>Chino</v>
      </c>
      <c r="L1179" t="str">
        <f>_xlfn.XLOOKUP(frasest[[#This Row],[autor_es]],autorest[autor_es],autorest[idioma_la])</f>
        <v>Lingua Sinica</v>
      </c>
      <c r="M1179" t="str">
        <f>_xlfn.XLOOKUP(frasest[[#This Row],[autor_es]],autorest[autor_es],autorest[nacion_es])</f>
        <v>China</v>
      </c>
      <c r="N1179" t="str">
        <f>_xlfn.XLOOKUP(frasest[[#This Row],[autor_es]],autorest[autor_es],autorest[nacion_la])</f>
        <v>Sinae</v>
      </c>
      <c r="O1179" t="str">
        <f>_xlfn.XLOOKUP(frasest[[#This Row],[autor_es]],autorest[autor_es],autorest[epoca_es])</f>
        <v>Epoca Desconocida</v>
      </c>
      <c r="P1179" t="str">
        <f>_xlfn.XLOOKUP(frasest[[#This Row],[autor_es]],autorest[autor_es],autorest[epoca_la])</f>
        <v>Epocha Ignota</v>
      </c>
      <c r="Q1179" t="str">
        <f>_xlfn.XLOOKUP(frasest[[#This Row],[autor_es]],autorest[autor_es],autorest[imagen])</f>
        <v>https://i.ibb.co/qLfpZm6h/china.png</v>
      </c>
      <c r="R1179">
        <f>_xlfn.XLOOKUP(frasest[[#This Row],[autor_es]],autorest[autor_es],autorest[imagen_atr])</f>
        <v>0</v>
      </c>
    </row>
    <row r="1180" spans="1:18">
      <c r="A1180">
        <v>1179</v>
      </c>
      <c r="B1180" t="s">
        <v>3666</v>
      </c>
      <c r="C1180" t="s">
        <v>3667</v>
      </c>
      <c r="D1180" s="1" t="s">
        <v>3668</v>
      </c>
      <c r="E1180" t="s">
        <v>36</v>
      </c>
      <c r="G1180" t="str">
        <f>_xlfn.XLOOKUP(frasest[[#This Row],[autor_es]],autorest[autor_es],autorest[autor_la])</f>
        <v>Proverbium Sinense</v>
      </c>
      <c r="H1180" t="str">
        <f>_xlfn.XLOOKUP(frasest[[#This Row],[autor_es]],autorest[autor_es],autorest[bio_es])</f>
        <v>Conjunto de proverbios tradicionales de la cultura china que transmiten sabiduría popular, valores morales y enseñanzas prácticas transmitidas oralmente durante siglos.</v>
      </c>
      <c r="I1180" t="str">
        <f>_xlfn.XLOOKUP(frasest[[#This Row],[autor_es]],autorest[autor_es],autorest[bio_la])</f>
        <v>Collectio sententiarum Sinensium, magnopere in cultura tradita.</v>
      </c>
      <c r="J1180" t="str">
        <f>_xlfn.XLOOKUP(frasest[[#This Row],[autor_es]],autorest[autor_es],autorest[codigo])</f>
        <v>zh</v>
      </c>
      <c r="K1180" t="str">
        <f>_xlfn.XLOOKUP(frasest[[#This Row],[autor_es]],autorest[autor_es],autorest[idioma_es])</f>
        <v>Chino</v>
      </c>
      <c r="L1180" t="str">
        <f>_xlfn.XLOOKUP(frasest[[#This Row],[autor_es]],autorest[autor_es],autorest[idioma_la])</f>
        <v>Lingua Sinica</v>
      </c>
      <c r="M1180" t="str">
        <f>_xlfn.XLOOKUP(frasest[[#This Row],[autor_es]],autorest[autor_es],autorest[nacion_es])</f>
        <v>China</v>
      </c>
      <c r="N1180" t="str">
        <f>_xlfn.XLOOKUP(frasest[[#This Row],[autor_es]],autorest[autor_es],autorest[nacion_la])</f>
        <v>Sinae</v>
      </c>
      <c r="O1180" t="str">
        <f>_xlfn.XLOOKUP(frasest[[#This Row],[autor_es]],autorest[autor_es],autorest[epoca_es])</f>
        <v>Epoca Desconocida</v>
      </c>
      <c r="P1180" t="str">
        <f>_xlfn.XLOOKUP(frasest[[#This Row],[autor_es]],autorest[autor_es],autorest[epoca_la])</f>
        <v>Epocha Ignota</v>
      </c>
      <c r="Q1180" t="str">
        <f>_xlfn.XLOOKUP(frasest[[#This Row],[autor_es]],autorest[autor_es],autorest[imagen])</f>
        <v>https://i.ibb.co/qLfpZm6h/china.png</v>
      </c>
      <c r="R1180">
        <f>_xlfn.XLOOKUP(frasest[[#This Row],[autor_es]],autorest[autor_es],autorest[imagen_atr])</f>
        <v>0</v>
      </c>
    </row>
    <row r="1181" spans="1:18">
      <c r="A1181">
        <v>1180</v>
      </c>
      <c r="B1181" t="s">
        <v>3669</v>
      </c>
      <c r="C1181" t="s">
        <v>3670</v>
      </c>
      <c r="D1181" s="1" t="s">
        <v>3671</v>
      </c>
      <c r="E1181" t="s">
        <v>36</v>
      </c>
      <c r="G1181" t="str">
        <f>_xlfn.XLOOKUP(frasest[[#This Row],[autor_es]],autorest[autor_es],autorest[autor_la])</f>
        <v>Proverbium Sinense</v>
      </c>
      <c r="H1181" t="str">
        <f>_xlfn.XLOOKUP(frasest[[#This Row],[autor_es]],autorest[autor_es],autorest[bio_es])</f>
        <v>Conjunto de proverbios tradicionales de la cultura china que transmiten sabiduría popular, valores morales y enseñanzas prácticas transmitidas oralmente durante siglos.</v>
      </c>
      <c r="I1181" t="str">
        <f>_xlfn.XLOOKUP(frasest[[#This Row],[autor_es]],autorest[autor_es],autorest[bio_la])</f>
        <v>Collectio sententiarum Sinensium, magnopere in cultura tradita.</v>
      </c>
      <c r="J1181" t="str">
        <f>_xlfn.XLOOKUP(frasest[[#This Row],[autor_es]],autorest[autor_es],autorest[codigo])</f>
        <v>zh</v>
      </c>
      <c r="K1181" t="str">
        <f>_xlfn.XLOOKUP(frasest[[#This Row],[autor_es]],autorest[autor_es],autorest[idioma_es])</f>
        <v>Chino</v>
      </c>
      <c r="L1181" t="str">
        <f>_xlfn.XLOOKUP(frasest[[#This Row],[autor_es]],autorest[autor_es],autorest[idioma_la])</f>
        <v>Lingua Sinica</v>
      </c>
      <c r="M1181" t="str">
        <f>_xlfn.XLOOKUP(frasest[[#This Row],[autor_es]],autorest[autor_es],autorest[nacion_es])</f>
        <v>China</v>
      </c>
      <c r="N1181" t="str">
        <f>_xlfn.XLOOKUP(frasest[[#This Row],[autor_es]],autorest[autor_es],autorest[nacion_la])</f>
        <v>Sinae</v>
      </c>
      <c r="O1181" t="str">
        <f>_xlfn.XLOOKUP(frasest[[#This Row],[autor_es]],autorest[autor_es],autorest[epoca_es])</f>
        <v>Epoca Desconocida</v>
      </c>
      <c r="P1181" t="str">
        <f>_xlfn.XLOOKUP(frasest[[#This Row],[autor_es]],autorest[autor_es],autorest[epoca_la])</f>
        <v>Epocha Ignota</v>
      </c>
      <c r="Q1181" t="str">
        <f>_xlfn.XLOOKUP(frasest[[#This Row],[autor_es]],autorest[autor_es],autorest[imagen])</f>
        <v>https://i.ibb.co/qLfpZm6h/china.png</v>
      </c>
      <c r="R1181">
        <f>_xlfn.XLOOKUP(frasest[[#This Row],[autor_es]],autorest[autor_es],autorest[imagen_atr])</f>
        <v>0</v>
      </c>
    </row>
    <row r="1182" spans="1:18">
      <c r="A1182">
        <v>1181</v>
      </c>
      <c r="B1182" t="s">
        <v>3672</v>
      </c>
      <c r="C1182" t="s">
        <v>3673</v>
      </c>
      <c r="D1182" s="1" t="s">
        <v>3674</v>
      </c>
      <c r="E1182" t="s">
        <v>36</v>
      </c>
      <c r="G1182" t="str">
        <f>_xlfn.XLOOKUP(frasest[[#This Row],[autor_es]],autorest[autor_es],autorest[autor_la])</f>
        <v>Proverbium Sinense</v>
      </c>
      <c r="H1182" t="str">
        <f>_xlfn.XLOOKUP(frasest[[#This Row],[autor_es]],autorest[autor_es],autorest[bio_es])</f>
        <v>Conjunto de proverbios tradicionales de la cultura china que transmiten sabiduría popular, valores morales y enseñanzas prácticas transmitidas oralmente durante siglos.</v>
      </c>
      <c r="I1182" t="str">
        <f>_xlfn.XLOOKUP(frasest[[#This Row],[autor_es]],autorest[autor_es],autorest[bio_la])</f>
        <v>Collectio sententiarum Sinensium, magnopere in cultura tradita.</v>
      </c>
      <c r="J1182" t="str">
        <f>_xlfn.XLOOKUP(frasest[[#This Row],[autor_es]],autorest[autor_es],autorest[codigo])</f>
        <v>zh</v>
      </c>
      <c r="K1182" t="str">
        <f>_xlfn.XLOOKUP(frasest[[#This Row],[autor_es]],autorest[autor_es],autorest[idioma_es])</f>
        <v>Chino</v>
      </c>
      <c r="L1182" t="str">
        <f>_xlfn.XLOOKUP(frasest[[#This Row],[autor_es]],autorest[autor_es],autorest[idioma_la])</f>
        <v>Lingua Sinica</v>
      </c>
      <c r="M1182" t="str">
        <f>_xlfn.XLOOKUP(frasest[[#This Row],[autor_es]],autorest[autor_es],autorest[nacion_es])</f>
        <v>China</v>
      </c>
      <c r="N1182" t="str">
        <f>_xlfn.XLOOKUP(frasest[[#This Row],[autor_es]],autorest[autor_es],autorest[nacion_la])</f>
        <v>Sinae</v>
      </c>
      <c r="O1182" t="str">
        <f>_xlfn.XLOOKUP(frasest[[#This Row],[autor_es]],autorest[autor_es],autorest[epoca_es])</f>
        <v>Epoca Desconocida</v>
      </c>
      <c r="P1182" t="str">
        <f>_xlfn.XLOOKUP(frasest[[#This Row],[autor_es]],autorest[autor_es],autorest[epoca_la])</f>
        <v>Epocha Ignota</v>
      </c>
      <c r="Q1182" t="str">
        <f>_xlfn.XLOOKUP(frasest[[#This Row],[autor_es]],autorest[autor_es],autorest[imagen])</f>
        <v>https://i.ibb.co/qLfpZm6h/china.png</v>
      </c>
      <c r="R1182">
        <f>_xlfn.XLOOKUP(frasest[[#This Row],[autor_es]],autorest[autor_es],autorest[imagen_atr])</f>
        <v>0</v>
      </c>
    </row>
    <row r="1183" spans="1:18">
      <c r="A1183">
        <v>1182</v>
      </c>
      <c r="B1183" t="s">
        <v>3675</v>
      </c>
      <c r="C1183" t="s">
        <v>3676</v>
      </c>
      <c r="D1183" s="1" t="s">
        <v>3677</v>
      </c>
      <c r="E1183" t="s">
        <v>36</v>
      </c>
      <c r="G1183" t="str">
        <f>_xlfn.XLOOKUP(frasest[[#This Row],[autor_es]],autorest[autor_es],autorest[autor_la])</f>
        <v>Proverbium Sinense</v>
      </c>
      <c r="H1183" t="str">
        <f>_xlfn.XLOOKUP(frasest[[#This Row],[autor_es]],autorest[autor_es],autorest[bio_es])</f>
        <v>Conjunto de proverbios tradicionales de la cultura china que transmiten sabiduría popular, valores morales y enseñanzas prácticas transmitidas oralmente durante siglos.</v>
      </c>
      <c r="I1183" t="str">
        <f>_xlfn.XLOOKUP(frasest[[#This Row],[autor_es]],autorest[autor_es],autorest[bio_la])</f>
        <v>Collectio sententiarum Sinensium, magnopere in cultura tradita.</v>
      </c>
      <c r="J1183" t="str">
        <f>_xlfn.XLOOKUP(frasest[[#This Row],[autor_es]],autorest[autor_es],autorest[codigo])</f>
        <v>zh</v>
      </c>
      <c r="K1183" t="str">
        <f>_xlfn.XLOOKUP(frasest[[#This Row],[autor_es]],autorest[autor_es],autorest[idioma_es])</f>
        <v>Chino</v>
      </c>
      <c r="L1183" t="str">
        <f>_xlfn.XLOOKUP(frasest[[#This Row],[autor_es]],autorest[autor_es],autorest[idioma_la])</f>
        <v>Lingua Sinica</v>
      </c>
      <c r="M1183" t="str">
        <f>_xlfn.XLOOKUP(frasest[[#This Row],[autor_es]],autorest[autor_es],autorest[nacion_es])</f>
        <v>China</v>
      </c>
      <c r="N1183" t="str">
        <f>_xlfn.XLOOKUP(frasest[[#This Row],[autor_es]],autorest[autor_es],autorest[nacion_la])</f>
        <v>Sinae</v>
      </c>
      <c r="O1183" t="str">
        <f>_xlfn.XLOOKUP(frasest[[#This Row],[autor_es]],autorest[autor_es],autorest[epoca_es])</f>
        <v>Epoca Desconocida</v>
      </c>
      <c r="P1183" t="str">
        <f>_xlfn.XLOOKUP(frasest[[#This Row],[autor_es]],autorest[autor_es],autorest[epoca_la])</f>
        <v>Epocha Ignota</v>
      </c>
      <c r="Q1183" t="str">
        <f>_xlfn.XLOOKUP(frasest[[#This Row],[autor_es]],autorest[autor_es],autorest[imagen])</f>
        <v>https://i.ibb.co/qLfpZm6h/china.png</v>
      </c>
      <c r="R1183">
        <f>_xlfn.XLOOKUP(frasest[[#This Row],[autor_es]],autorest[autor_es],autorest[imagen_atr])</f>
        <v>0</v>
      </c>
    </row>
    <row r="1184" spans="1:18">
      <c r="A1184">
        <v>1183</v>
      </c>
      <c r="B1184" t="s">
        <v>3678</v>
      </c>
      <c r="C1184" t="s">
        <v>3679</v>
      </c>
      <c r="D1184" s="1" t="s">
        <v>3680</v>
      </c>
      <c r="E1184" t="s">
        <v>36</v>
      </c>
      <c r="G1184" t="str">
        <f>_xlfn.XLOOKUP(frasest[[#This Row],[autor_es]],autorest[autor_es],autorest[autor_la])</f>
        <v>Proverbium Sinense</v>
      </c>
      <c r="H1184" t="str">
        <f>_xlfn.XLOOKUP(frasest[[#This Row],[autor_es]],autorest[autor_es],autorest[bio_es])</f>
        <v>Conjunto de proverbios tradicionales de la cultura china que transmiten sabiduría popular, valores morales y enseñanzas prácticas transmitidas oralmente durante siglos.</v>
      </c>
      <c r="I1184" t="str">
        <f>_xlfn.XLOOKUP(frasest[[#This Row],[autor_es]],autorest[autor_es],autorest[bio_la])</f>
        <v>Collectio sententiarum Sinensium, magnopere in cultura tradita.</v>
      </c>
      <c r="J1184" t="str">
        <f>_xlfn.XLOOKUP(frasest[[#This Row],[autor_es]],autorest[autor_es],autorest[codigo])</f>
        <v>zh</v>
      </c>
      <c r="K1184" t="str">
        <f>_xlfn.XLOOKUP(frasest[[#This Row],[autor_es]],autorest[autor_es],autorest[idioma_es])</f>
        <v>Chino</v>
      </c>
      <c r="L1184" t="str">
        <f>_xlfn.XLOOKUP(frasest[[#This Row],[autor_es]],autorest[autor_es],autorest[idioma_la])</f>
        <v>Lingua Sinica</v>
      </c>
      <c r="M1184" t="str">
        <f>_xlfn.XLOOKUP(frasest[[#This Row],[autor_es]],autorest[autor_es],autorest[nacion_es])</f>
        <v>China</v>
      </c>
      <c r="N1184" t="str">
        <f>_xlfn.XLOOKUP(frasest[[#This Row],[autor_es]],autorest[autor_es],autorest[nacion_la])</f>
        <v>Sinae</v>
      </c>
      <c r="O1184" t="str">
        <f>_xlfn.XLOOKUP(frasest[[#This Row],[autor_es]],autorest[autor_es],autorest[epoca_es])</f>
        <v>Epoca Desconocida</v>
      </c>
      <c r="P1184" t="str">
        <f>_xlfn.XLOOKUP(frasest[[#This Row],[autor_es]],autorest[autor_es],autorest[epoca_la])</f>
        <v>Epocha Ignota</v>
      </c>
      <c r="Q1184" t="str">
        <f>_xlfn.XLOOKUP(frasest[[#This Row],[autor_es]],autorest[autor_es],autorest[imagen])</f>
        <v>https://i.ibb.co/qLfpZm6h/china.png</v>
      </c>
      <c r="R1184">
        <f>_xlfn.XLOOKUP(frasest[[#This Row],[autor_es]],autorest[autor_es],autorest[imagen_atr])</f>
        <v>0</v>
      </c>
    </row>
    <row r="1185" spans="1:18">
      <c r="A1185">
        <v>1184</v>
      </c>
      <c r="B1185" t="s">
        <v>3681</v>
      </c>
      <c r="C1185" t="s">
        <v>3682</v>
      </c>
      <c r="D1185" s="1" t="s">
        <v>3683</v>
      </c>
      <c r="E1185" t="s">
        <v>36</v>
      </c>
      <c r="G1185" t="str">
        <f>_xlfn.XLOOKUP(frasest[[#This Row],[autor_es]],autorest[autor_es],autorest[autor_la])</f>
        <v>Proverbium Sinense</v>
      </c>
      <c r="H1185" t="str">
        <f>_xlfn.XLOOKUP(frasest[[#This Row],[autor_es]],autorest[autor_es],autorest[bio_es])</f>
        <v>Conjunto de proverbios tradicionales de la cultura china que transmiten sabiduría popular, valores morales y enseñanzas prácticas transmitidas oralmente durante siglos.</v>
      </c>
      <c r="I1185" t="str">
        <f>_xlfn.XLOOKUP(frasest[[#This Row],[autor_es]],autorest[autor_es],autorest[bio_la])</f>
        <v>Collectio sententiarum Sinensium, magnopere in cultura tradita.</v>
      </c>
      <c r="J1185" t="str">
        <f>_xlfn.XLOOKUP(frasest[[#This Row],[autor_es]],autorest[autor_es],autorest[codigo])</f>
        <v>zh</v>
      </c>
      <c r="K1185" t="str">
        <f>_xlfn.XLOOKUP(frasest[[#This Row],[autor_es]],autorest[autor_es],autorest[idioma_es])</f>
        <v>Chino</v>
      </c>
      <c r="L1185" t="str">
        <f>_xlfn.XLOOKUP(frasest[[#This Row],[autor_es]],autorest[autor_es],autorest[idioma_la])</f>
        <v>Lingua Sinica</v>
      </c>
      <c r="M1185" t="str">
        <f>_xlfn.XLOOKUP(frasest[[#This Row],[autor_es]],autorest[autor_es],autorest[nacion_es])</f>
        <v>China</v>
      </c>
      <c r="N1185" t="str">
        <f>_xlfn.XLOOKUP(frasest[[#This Row],[autor_es]],autorest[autor_es],autorest[nacion_la])</f>
        <v>Sinae</v>
      </c>
      <c r="O1185" t="str">
        <f>_xlfn.XLOOKUP(frasest[[#This Row],[autor_es]],autorest[autor_es],autorest[epoca_es])</f>
        <v>Epoca Desconocida</v>
      </c>
      <c r="P1185" t="str">
        <f>_xlfn.XLOOKUP(frasest[[#This Row],[autor_es]],autorest[autor_es],autorest[epoca_la])</f>
        <v>Epocha Ignota</v>
      </c>
      <c r="Q1185" t="str">
        <f>_xlfn.XLOOKUP(frasest[[#This Row],[autor_es]],autorest[autor_es],autorest[imagen])</f>
        <v>https://i.ibb.co/qLfpZm6h/china.png</v>
      </c>
      <c r="R1185">
        <f>_xlfn.XLOOKUP(frasest[[#This Row],[autor_es]],autorest[autor_es],autorest[imagen_atr])</f>
        <v>0</v>
      </c>
    </row>
    <row r="1186" spans="1:18">
      <c r="A1186">
        <v>1185</v>
      </c>
      <c r="B1186" t="s">
        <v>3684</v>
      </c>
      <c r="C1186" t="s">
        <v>2372</v>
      </c>
      <c r="D1186" s="1" t="s">
        <v>3685</v>
      </c>
      <c r="E1186" t="s">
        <v>36</v>
      </c>
      <c r="G1186" t="str">
        <f>_xlfn.XLOOKUP(frasest[[#This Row],[autor_es]],autorest[autor_es],autorest[autor_la])</f>
        <v>Proverbium Sinense</v>
      </c>
      <c r="H1186" t="str">
        <f>_xlfn.XLOOKUP(frasest[[#This Row],[autor_es]],autorest[autor_es],autorest[bio_es])</f>
        <v>Conjunto de proverbios tradicionales de la cultura china que transmiten sabiduría popular, valores morales y enseñanzas prácticas transmitidas oralmente durante siglos.</v>
      </c>
      <c r="I1186" t="str">
        <f>_xlfn.XLOOKUP(frasest[[#This Row],[autor_es]],autorest[autor_es],autorest[bio_la])</f>
        <v>Collectio sententiarum Sinensium, magnopere in cultura tradita.</v>
      </c>
      <c r="J1186" t="str">
        <f>_xlfn.XLOOKUP(frasest[[#This Row],[autor_es]],autorest[autor_es],autorest[codigo])</f>
        <v>zh</v>
      </c>
      <c r="K1186" t="str">
        <f>_xlfn.XLOOKUP(frasest[[#This Row],[autor_es]],autorest[autor_es],autorest[idioma_es])</f>
        <v>Chino</v>
      </c>
      <c r="L1186" t="str">
        <f>_xlfn.XLOOKUP(frasest[[#This Row],[autor_es]],autorest[autor_es],autorest[idioma_la])</f>
        <v>Lingua Sinica</v>
      </c>
      <c r="M1186" t="str">
        <f>_xlfn.XLOOKUP(frasest[[#This Row],[autor_es]],autorest[autor_es],autorest[nacion_es])</f>
        <v>China</v>
      </c>
      <c r="N1186" t="str">
        <f>_xlfn.XLOOKUP(frasest[[#This Row],[autor_es]],autorest[autor_es],autorest[nacion_la])</f>
        <v>Sinae</v>
      </c>
      <c r="O1186" t="str">
        <f>_xlfn.XLOOKUP(frasest[[#This Row],[autor_es]],autorest[autor_es],autorest[epoca_es])</f>
        <v>Epoca Desconocida</v>
      </c>
      <c r="P1186" t="str">
        <f>_xlfn.XLOOKUP(frasest[[#This Row],[autor_es]],autorest[autor_es],autorest[epoca_la])</f>
        <v>Epocha Ignota</v>
      </c>
      <c r="Q1186" t="str">
        <f>_xlfn.XLOOKUP(frasest[[#This Row],[autor_es]],autorest[autor_es],autorest[imagen])</f>
        <v>https://i.ibb.co/qLfpZm6h/china.png</v>
      </c>
      <c r="R1186">
        <f>_xlfn.XLOOKUP(frasest[[#This Row],[autor_es]],autorest[autor_es],autorest[imagen_atr])</f>
        <v>0</v>
      </c>
    </row>
    <row r="1187" spans="1:18">
      <c r="A1187">
        <v>1186</v>
      </c>
      <c r="B1187" t="s">
        <v>3686</v>
      </c>
      <c r="C1187" t="s">
        <v>3687</v>
      </c>
      <c r="D1187" s="1" t="s">
        <v>3688</v>
      </c>
      <c r="E1187" t="s">
        <v>36</v>
      </c>
      <c r="G1187" t="str">
        <f>_xlfn.XLOOKUP(frasest[[#This Row],[autor_es]],autorest[autor_es],autorest[autor_la])</f>
        <v>Proverbium Sinense</v>
      </c>
      <c r="H1187" t="str">
        <f>_xlfn.XLOOKUP(frasest[[#This Row],[autor_es]],autorest[autor_es],autorest[bio_es])</f>
        <v>Conjunto de proverbios tradicionales de la cultura china que transmiten sabiduría popular, valores morales y enseñanzas prácticas transmitidas oralmente durante siglos.</v>
      </c>
      <c r="I1187" t="str">
        <f>_xlfn.XLOOKUP(frasest[[#This Row],[autor_es]],autorest[autor_es],autorest[bio_la])</f>
        <v>Collectio sententiarum Sinensium, magnopere in cultura tradita.</v>
      </c>
      <c r="J1187" t="str">
        <f>_xlfn.XLOOKUP(frasest[[#This Row],[autor_es]],autorest[autor_es],autorest[codigo])</f>
        <v>zh</v>
      </c>
      <c r="K1187" t="str">
        <f>_xlfn.XLOOKUP(frasest[[#This Row],[autor_es]],autorest[autor_es],autorest[idioma_es])</f>
        <v>Chino</v>
      </c>
      <c r="L1187" t="str">
        <f>_xlfn.XLOOKUP(frasest[[#This Row],[autor_es]],autorest[autor_es],autorest[idioma_la])</f>
        <v>Lingua Sinica</v>
      </c>
      <c r="M1187" t="str">
        <f>_xlfn.XLOOKUP(frasest[[#This Row],[autor_es]],autorest[autor_es],autorest[nacion_es])</f>
        <v>China</v>
      </c>
      <c r="N1187" t="str">
        <f>_xlfn.XLOOKUP(frasest[[#This Row],[autor_es]],autorest[autor_es],autorest[nacion_la])</f>
        <v>Sinae</v>
      </c>
      <c r="O1187" t="str">
        <f>_xlfn.XLOOKUP(frasest[[#This Row],[autor_es]],autorest[autor_es],autorest[epoca_es])</f>
        <v>Epoca Desconocida</v>
      </c>
      <c r="P1187" t="str">
        <f>_xlfn.XLOOKUP(frasest[[#This Row],[autor_es]],autorest[autor_es],autorest[epoca_la])</f>
        <v>Epocha Ignota</v>
      </c>
      <c r="Q1187" t="str">
        <f>_xlfn.XLOOKUP(frasest[[#This Row],[autor_es]],autorest[autor_es],autorest[imagen])</f>
        <v>https://i.ibb.co/qLfpZm6h/china.png</v>
      </c>
      <c r="R1187">
        <f>_xlfn.XLOOKUP(frasest[[#This Row],[autor_es]],autorest[autor_es],autorest[imagen_atr])</f>
        <v>0</v>
      </c>
    </row>
    <row r="1188" spans="1:18">
      <c r="A1188">
        <v>1187</v>
      </c>
      <c r="B1188" t="s">
        <v>3689</v>
      </c>
      <c r="C1188" t="s">
        <v>3690</v>
      </c>
      <c r="D1188" s="1" t="s">
        <v>3691</v>
      </c>
      <c r="E1188" t="s">
        <v>36</v>
      </c>
      <c r="G1188" t="str">
        <f>_xlfn.XLOOKUP(frasest[[#This Row],[autor_es]],autorest[autor_es],autorest[autor_la])</f>
        <v>Proverbium Sinense</v>
      </c>
      <c r="H1188" t="str">
        <f>_xlfn.XLOOKUP(frasest[[#This Row],[autor_es]],autorest[autor_es],autorest[bio_es])</f>
        <v>Conjunto de proverbios tradicionales de la cultura china que transmiten sabiduría popular, valores morales y enseñanzas prácticas transmitidas oralmente durante siglos.</v>
      </c>
      <c r="I1188" t="str">
        <f>_xlfn.XLOOKUP(frasest[[#This Row],[autor_es]],autorest[autor_es],autorest[bio_la])</f>
        <v>Collectio sententiarum Sinensium, magnopere in cultura tradita.</v>
      </c>
      <c r="J1188" t="str">
        <f>_xlfn.XLOOKUP(frasest[[#This Row],[autor_es]],autorest[autor_es],autorest[codigo])</f>
        <v>zh</v>
      </c>
      <c r="K1188" t="str">
        <f>_xlfn.XLOOKUP(frasest[[#This Row],[autor_es]],autorest[autor_es],autorest[idioma_es])</f>
        <v>Chino</v>
      </c>
      <c r="L1188" t="str">
        <f>_xlfn.XLOOKUP(frasest[[#This Row],[autor_es]],autorest[autor_es],autorest[idioma_la])</f>
        <v>Lingua Sinica</v>
      </c>
      <c r="M1188" t="str">
        <f>_xlfn.XLOOKUP(frasest[[#This Row],[autor_es]],autorest[autor_es],autorest[nacion_es])</f>
        <v>China</v>
      </c>
      <c r="N1188" t="str">
        <f>_xlfn.XLOOKUP(frasest[[#This Row],[autor_es]],autorest[autor_es],autorest[nacion_la])</f>
        <v>Sinae</v>
      </c>
      <c r="O1188" t="str">
        <f>_xlfn.XLOOKUP(frasest[[#This Row],[autor_es]],autorest[autor_es],autorest[epoca_es])</f>
        <v>Epoca Desconocida</v>
      </c>
      <c r="P1188" t="str">
        <f>_xlfn.XLOOKUP(frasest[[#This Row],[autor_es]],autorest[autor_es],autorest[epoca_la])</f>
        <v>Epocha Ignota</v>
      </c>
      <c r="Q1188" t="str">
        <f>_xlfn.XLOOKUP(frasest[[#This Row],[autor_es]],autorest[autor_es],autorest[imagen])</f>
        <v>https://i.ibb.co/qLfpZm6h/china.png</v>
      </c>
      <c r="R1188">
        <f>_xlfn.XLOOKUP(frasest[[#This Row],[autor_es]],autorest[autor_es],autorest[imagen_atr])</f>
        <v>0</v>
      </c>
    </row>
    <row r="1189" spans="1:18">
      <c r="A1189">
        <v>1188</v>
      </c>
      <c r="B1189" t="s">
        <v>3692</v>
      </c>
      <c r="C1189" t="s">
        <v>3693</v>
      </c>
      <c r="D1189" s="1" t="s">
        <v>3694</v>
      </c>
      <c r="E1189" t="s">
        <v>36</v>
      </c>
      <c r="G1189" t="str">
        <f>_xlfn.XLOOKUP(frasest[[#This Row],[autor_es]],autorest[autor_es],autorest[autor_la])</f>
        <v>Proverbium Sinense</v>
      </c>
      <c r="H1189" t="str">
        <f>_xlfn.XLOOKUP(frasest[[#This Row],[autor_es]],autorest[autor_es],autorest[bio_es])</f>
        <v>Conjunto de proverbios tradicionales de la cultura china que transmiten sabiduría popular, valores morales y enseñanzas prácticas transmitidas oralmente durante siglos.</v>
      </c>
      <c r="I1189" t="str">
        <f>_xlfn.XLOOKUP(frasest[[#This Row],[autor_es]],autorest[autor_es],autorest[bio_la])</f>
        <v>Collectio sententiarum Sinensium, magnopere in cultura tradita.</v>
      </c>
      <c r="J1189" t="str">
        <f>_xlfn.XLOOKUP(frasest[[#This Row],[autor_es]],autorest[autor_es],autorest[codigo])</f>
        <v>zh</v>
      </c>
      <c r="K1189" t="str">
        <f>_xlfn.XLOOKUP(frasest[[#This Row],[autor_es]],autorest[autor_es],autorest[idioma_es])</f>
        <v>Chino</v>
      </c>
      <c r="L1189" t="str">
        <f>_xlfn.XLOOKUP(frasest[[#This Row],[autor_es]],autorest[autor_es],autorest[idioma_la])</f>
        <v>Lingua Sinica</v>
      </c>
      <c r="M1189" t="str">
        <f>_xlfn.XLOOKUP(frasest[[#This Row],[autor_es]],autorest[autor_es],autorest[nacion_es])</f>
        <v>China</v>
      </c>
      <c r="N1189" t="str">
        <f>_xlfn.XLOOKUP(frasest[[#This Row],[autor_es]],autorest[autor_es],autorest[nacion_la])</f>
        <v>Sinae</v>
      </c>
      <c r="O1189" t="str">
        <f>_xlfn.XLOOKUP(frasest[[#This Row],[autor_es]],autorest[autor_es],autorest[epoca_es])</f>
        <v>Epoca Desconocida</v>
      </c>
      <c r="P1189" t="str">
        <f>_xlfn.XLOOKUP(frasest[[#This Row],[autor_es]],autorest[autor_es],autorest[epoca_la])</f>
        <v>Epocha Ignota</v>
      </c>
      <c r="Q1189" t="str">
        <f>_xlfn.XLOOKUP(frasest[[#This Row],[autor_es]],autorest[autor_es],autorest[imagen])</f>
        <v>https://i.ibb.co/qLfpZm6h/china.png</v>
      </c>
      <c r="R1189">
        <f>_xlfn.XLOOKUP(frasest[[#This Row],[autor_es]],autorest[autor_es],autorest[imagen_atr])</f>
        <v>0</v>
      </c>
    </row>
    <row r="1190" spans="1:18">
      <c r="A1190">
        <v>1189</v>
      </c>
      <c r="B1190" t="s">
        <v>3695</v>
      </c>
      <c r="C1190" t="s">
        <v>3011</v>
      </c>
      <c r="D1190" s="1" t="s">
        <v>3614</v>
      </c>
      <c r="E1190" t="s">
        <v>36</v>
      </c>
      <c r="G1190" t="str">
        <f>_xlfn.XLOOKUP(frasest[[#This Row],[autor_es]],autorest[autor_es],autorest[autor_la])</f>
        <v>Proverbium Sinense</v>
      </c>
      <c r="H1190" t="str">
        <f>_xlfn.XLOOKUP(frasest[[#This Row],[autor_es]],autorest[autor_es],autorest[bio_es])</f>
        <v>Conjunto de proverbios tradicionales de la cultura china que transmiten sabiduría popular, valores morales y enseñanzas prácticas transmitidas oralmente durante siglos.</v>
      </c>
      <c r="I1190" t="str">
        <f>_xlfn.XLOOKUP(frasest[[#This Row],[autor_es]],autorest[autor_es],autorest[bio_la])</f>
        <v>Collectio sententiarum Sinensium, magnopere in cultura tradita.</v>
      </c>
      <c r="J1190" t="str">
        <f>_xlfn.XLOOKUP(frasest[[#This Row],[autor_es]],autorest[autor_es],autorest[codigo])</f>
        <v>zh</v>
      </c>
      <c r="K1190" t="str">
        <f>_xlfn.XLOOKUP(frasest[[#This Row],[autor_es]],autorest[autor_es],autorest[idioma_es])</f>
        <v>Chino</v>
      </c>
      <c r="L1190" t="str">
        <f>_xlfn.XLOOKUP(frasest[[#This Row],[autor_es]],autorest[autor_es],autorest[idioma_la])</f>
        <v>Lingua Sinica</v>
      </c>
      <c r="M1190" t="str">
        <f>_xlfn.XLOOKUP(frasest[[#This Row],[autor_es]],autorest[autor_es],autorest[nacion_es])</f>
        <v>China</v>
      </c>
      <c r="N1190" t="str">
        <f>_xlfn.XLOOKUP(frasest[[#This Row],[autor_es]],autorest[autor_es],autorest[nacion_la])</f>
        <v>Sinae</v>
      </c>
      <c r="O1190" t="str">
        <f>_xlfn.XLOOKUP(frasest[[#This Row],[autor_es]],autorest[autor_es],autorest[epoca_es])</f>
        <v>Epoca Desconocida</v>
      </c>
      <c r="P1190" t="str">
        <f>_xlfn.XLOOKUP(frasest[[#This Row],[autor_es]],autorest[autor_es],autorest[epoca_la])</f>
        <v>Epocha Ignota</v>
      </c>
      <c r="Q1190" t="str">
        <f>_xlfn.XLOOKUP(frasest[[#This Row],[autor_es]],autorest[autor_es],autorest[imagen])</f>
        <v>https://i.ibb.co/qLfpZm6h/china.png</v>
      </c>
      <c r="R1190">
        <f>_xlfn.XLOOKUP(frasest[[#This Row],[autor_es]],autorest[autor_es],autorest[imagen_atr])</f>
        <v>0</v>
      </c>
    </row>
    <row r="1191" spans="1:18">
      <c r="A1191">
        <v>1190</v>
      </c>
      <c r="B1191" t="s">
        <v>3696</v>
      </c>
      <c r="C1191" t="s">
        <v>3697</v>
      </c>
      <c r="D1191" s="1" t="s">
        <v>3698</v>
      </c>
      <c r="E1191" t="s">
        <v>36</v>
      </c>
      <c r="G1191" t="str">
        <f>_xlfn.XLOOKUP(frasest[[#This Row],[autor_es]],autorest[autor_es],autorest[autor_la])</f>
        <v>Proverbium Sinense</v>
      </c>
      <c r="H1191" t="str">
        <f>_xlfn.XLOOKUP(frasest[[#This Row],[autor_es]],autorest[autor_es],autorest[bio_es])</f>
        <v>Conjunto de proverbios tradicionales de la cultura china que transmiten sabiduría popular, valores morales y enseñanzas prácticas transmitidas oralmente durante siglos.</v>
      </c>
      <c r="I1191" t="str">
        <f>_xlfn.XLOOKUP(frasest[[#This Row],[autor_es]],autorest[autor_es],autorest[bio_la])</f>
        <v>Collectio sententiarum Sinensium, magnopere in cultura tradita.</v>
      </c>
      <c r="J1191" t="str">
        <f>_xlfn.XLOOKUP(frasest[[#This Row],[autor_es]],autorest[autor_es],autorest[codigo])</f>
        <v>zh</v>
      </c>
      <c r="K1191" t="str">
        <f>_xlfn.XLOOKUP(frasest[[#This Row],[autor_es]],autorest[autor_es],autorest[idioma_es])</f>
        <v>Chino</v>
      </c>
      <c r="L1191" t="str">
        <f>_xlfn.XLOOKUP(frasest[[#This Row],[autor_es]],autorest[autor_es],autorest[idioma_la])</f>
        <v>Lingua Sinica</v>
      </c>
      <c r="M1191" t="str">
        <f>_xlfn.XLOOKUP(frasest[[#This Row],[autor_es]],autorest[autor_es],autorest[nacion_es])</f>
        <v>China</v>
      </c>
      <c r="N1191" t="str">
        <f>_xlfn.XLOOKUP(frasest[[#This Row],[autor_es]],autorest[autor_es],autorest[nacion_la])</f>
        <v>Sinae</v>
      </c>
      <c r="O1191" t="str">
        <f>_xlfn.XLOOKUP(frasest[[#This Row],[autor_es]],autorest[autor_es],autorest[epoca_es])</f>
        <v>Epoca Desconocida</v>
      </c>
      <c r="P1191" t="str">
        <f>_xlfn.XLOOKUP(frasest[[#This Row],[autor_es]],autorest[autor_es],autorest[epoca_la])</f>
        <v>Epocha Ignota</v>
      </c>
      <c r="Q1191" t="str">
        <f>_xlfn.XLOOKUP(frasest[[#This Row],[autor_es]],autorest[autor_es],autorest[imagen])</f>
        <v>https://i.ibb.co/qLfpZm6h/china.png</v>
      </c>
      <c r="R1191">
        <f>_xlfn.XLOOKUP(frasest[[#This Row],[autor_es]],autorest[autor_es],autorest[imagen_atr])</f>
        <v>0</v>
      </c>
    </row>
    <row r="1192" spans="1:18">
      <c r="A1192">
        <v>1191</v>
      </c>
      <c r="B1192" t="s">
        <v>3699</v>
      </c>
      <c r="C1192" t="s">
        <v>3700</v>
      </c>
      <c r="D1192" s="1" t="s">
        <v>3701</v>
      </c>
      <c r="E1192" t="s">
        <v>36</v>
      </c>
      <c r="G1192" t="str">
        <f>_xlfn.XLOOKUP(frasest[[#This Row],[autor_es]],autorest[autor_es],autorest[autor_la])</f>
        <v>Proverbium Sinense</v>
      </c>
      <c r="H1192" t="str">
        <f>_xlfn.XLOOKUP(frasest[[#This Row],[autor_es]],autorest[autor_es],autorest[bio_es])</f>
        <v>Conjunto de proverbios tradicionales de la cultura china que transmiten sabiduría popular, valores morales y enseñanzas prácticas transmitidas oralmente durante siglos.</v>
      </c>
      <c r="I1192" t="str">
        <f>_xlfn.XLOOKUP(frasest[[#This Row],[autor_es]],autorest[autor_es],autorest[bio_la])</f>
        <v>Collectio sententiarum Sinensium, magnopere in cultura tradita.</v>
      </c>
      <c r="J1192" t="str">
        <f>_xlfn.XLOOKUP(frasest[[#This Row],[autor_es]],autorest[autor_es],autorest[codigo])</f>
        <v>zh</v>
      </c>
      <c r="K1192" t="str">
        <f>_xlfn.XLOOKUP(frasest[[#This Row],[autor_es]],autorest[autor_es],autorest[idioma_es])</f>
        <v>Chino</v>
      </c>
      <c r="L1192" t="str">
        <f>_xlfn.XLOOKUP(frasest[[#This Row],[autor_es]],autorest[autor_es],autorest[idioma_la])</f>
        <v>Lingua Sinica</v>
      </c>
      <c r="M1192" t="str">
        <f>_xlfn.XLOOKUP(frasest[[#This Row],[autor_es]],autorest[autor_es],autorest[nacion_es])</f>
        <v>China</v>
      </c>
      <c r="N1192" t="str">
        <f>_xlfn.XLOOKUP(frasest[[#This Row],[autor_es]],autorest[autor_es],autorest[nacion_la])</f>
        <v>Sinae</v>
      </c>
      <c r="O1192" t="str">
        <f>_xlfn.XLOOKUP(frasest[[#This Row],[autor_es]],autorest[autor_es],autorest[epoca_es])</f>
        <v>Epoca Desconocida</v>
      </c>
      <c r="P1192" t="str">
        <f>_xlfn.XLOOKUP(frasest[[#This Row],[autor_es]],autorest[autor_es],autorest[epoca_la])</f>
        <v>Epocha Ignota</v>
      </c>
      <c r="Q1192" t="str">
        <f>_xlfn.XLOOKUP(frasest[[#This Row],[autor_es]],autorest[autor_es],autorest[imagen])</f>
        <v>https://i.ibb.co/qLfpZm6h/china.png</v>
      </c>
      <c r="R1192">
        <f>_xlfn.XLOOKUP(frasest[[#This Row],[autor_es]],autorest[autor_es],autorest[imagen_atr])</f>
        <v>0</v>
      </c>
    </row>
    <row r="1193" spans="1:18">
      <c r="A1193">
        <v>1192</v>
      </c>
      <c r="B1193" t="s">
        <v>3702</v>
      </c>
      <c r="C1193" t="s">
        <v>3703</v>
      </c>
      <c r="D1193" s="1" t="s">
        <v>3704</v>
      </c>
      <c r="E1193" t="s">
        <v>36</v>
      </c>
      <c r="G1193" t="str">
        <f>_xlfn.XLOOKUP(frasest[[#This Row],[autor_es]],autorest[autor_es],autorest[autor_la])</f>
        <v>Proverbium Sinense</v>
      </c>
      <c r="H1193" t="str">
        <f>_xlfn.XLOOKUP(frasest[[#This Row],[autor_es]],autorest[autor_es],autorest[bio_es])</f>
        <v>Conjunto de proverbios tradicionales de la cultura china que transmiten sabiduría popular, valores morales y enseñanzas prácticas transmitidas oralmente durante siglos.</v>
      </c>
      <c r="I1193" t="str">
        <f>_xlfn.XLOOKUP(frasest[[#This Row],[autor_es]],autorest[autor_es],autorest[bio_la])</f>
        <v>Collectio sententiarum Sinensium, magnopere in cultura tradita.</v>
      </c>
      <c r="J1193" t="str">
        <f>_xlfn.XLOOKUP(frasest[[#This Row],[autor_es]],autorest[autor_es],autorest[codigo])</f>
        <v>zh</v>
      </c>
      <c r="K1193" t="str">
        <f>_xlfn.XLOOKUP(frasest[[#This Row],[autor_es]],autorest[autor_es],autorest[idioma_es])</f>
        <v>Chino</v>
      </c>
      <c r="L1193" t="str">
        <f>_xlfn.XLOOKUP(frasest[[#This Row],[autor_es]],autorest[autor_es],autorest[idioma_la])</f>
        <v>Lingua Sinica</v>
      </c>
      <c r="M1193" t="str">
        <f>_xlfn.XLOOKUP(frasest[[#This Row],[autor_es]],autorest[autor_es],autorest[nacion_es])</f>
        <v>China</v>
      </c>
      <c r="N1193" t="str">
        <f>_xlfn.XLOOKUP(frasest[[#This Row],[autor_es]],autorest[autor_es],autorest[nacion_la])</f>
        <v>Sinae</v>
      </c>
      <c r="O1193" t="str">
        <f>_xlfn.XLOOKUP(frasest[[#This Row],[autor_es]],autorest[autor_es],autorest[epoca_es])</f>
        <v>Epoca Desconocida</v>
      </c>
      <c r="P1193" t="str">
        <f>_xlfn.XLOOKUP(frasest[[#This Row],[autor_es]],autorest[autor_es],autorest[epoca_la])</f>
        <v>Epocha Ignota</v>
      </c>
      <c r="Q1193" t="str">
        <f>_xlfn.XLOOKUP(frasest[[#This Row],[autor_es]],autorest[autor_es],autorest[imagen])</f>
        <v>https://i.ibb.co/qLfpZm6h/china.png</v>
      </c>
      <c r="R1193">
        <f>_xlfn.XLOOKUP(frasest[[#This Row],[autor_es]],autorest[autor_es],autorest[imagen_atr])</f>
        <v>0</v>
      </c>
    </row>
    <row r="1194" spans="1:18">
      <c r="A1194">
        <v>1193</v>
      </c>
      <c r="B1194" t="s">
        <v>3705</v>
      </c>
      <c r="C1194" t="s">
        <v>3706</v>
      </c>
      <c r="D1194" s="1" t="s">
        <v>3707</v>
      </c>
      <c r="E1194" t="s">
        <v>36</v>
      </c>
      <c r="G1194" t="str">
        <f>_xlfn.XLOOKUP(frasest[[#This Row],[autor_es]],autorest[autor_es],autorest[autor_la])</f>
        <v>Proverbium Sinense</v>
      </c>
      <c r="H1194" t="str">
        <f>_xlfn.XLOOKUP(frasest[[#This Row],[autor_es]],autorest[autor_es],autorest[bio_es])</f>
        <v>Conjunto de proverbios tradicionales de la cultura china que transmiten sabiduría popular, valores morales y enseñanzas prácticas transmitidas oralmente durante siglos.</v>
      </c>
      <c r="I1194" t="str">
        <f>_xlfn.XLOOKUP(frasest[[#This Row],[autor_es]],autorest[autor_es],autorest[bio_la])</f>
        <v>Collectio sententiarum Sinensium, magnopere in cultura tradita.</v>
      </c>
      <c r="J1194" t="str">
        <f>_xlfn.XLOOKUP(frasest[[#This Row],[autor_es]],autorest[autor_es],autorest[codigo])</f>
        <v>zh</v>
      </c>
      <c r="K1194" t="str">
        <f>_xlfn.XLOOKUP(frasest[[#This Row],[autor_es]],autorest[autor_es],autorest[idioma_es])</f>
        <v>Chino</v>
      </c>
      <c r="L1194" t="str">
        <f>_xlfn.XLOOKUP(frasest[[#This Row],[autor_es]],autorest[autor_es],autorest[idioma_la])</f>
        <v>Lingua Sinica</v>
      </c>
      <c r="M1194" t="str">
        <f>_xlfn.XLOOKUP(frasest[[#This Row],[autor_es]],autorest[autor_es],autorest[nacion_es])</f>
        <v>China</v>
      </c>
      <c r="N1194" t="str">
        <f>_xlfn.XLOOKUP(frasest[[#This Row],[autor_es]],autorest[autor_es],autorest[nacion_la])</f>
        <v>Sinae</v>
      </c>
      <c r="O1194" t="str">
        <f>_xlfn.XLOOKUP(frasest[[#This Row],[autor_es]],autorest[autor_es],autorest[epoca_es])</f>
        <v>Epoca Desconocida</v>
      </c>
      <c r="P1194" t="str">
        <f>_xlfn.XLOOKUP(frasest[[#This Row],[autor_es]],autorest[autor_es],autorest[epoca_la])</f>
        <v>Epocha Ignota</v>
      </c>
      <c r="Q1194" t="str">
        <f>_xlfn.XLOOKUP(frasest[[#This Row],[autor_es]],autorest[autor_es],autorest[imagen])</f>
        <v>https://i.ibb.co/qLfpZm6h/china.png</v>
      </c>
      <c r="R1194">
        <f>_xlfn.XLOOKUP(frasest[[#This Row],[autor_es]],autorest[autor_es],autorest[imagen_atr])</f>
        <v>0</v>
      </c>
    </row>
    <row r="1195" spans="1:18">
      <c r="A1195">
        <v>1194</v>
      </c>
      <c r="B1195" t="s">
        <v>3708</v>
      </c>
      <c r="C1195" t="s">
        <v>3709</v>
      </c>
      <c r="D1195" s="1" t="s">
        <v>3258</v>
      </c>
      <c r="E1195" t="s">
        <v>36</v>
      </c>
      <c r="G1195" t="str">
        <f>_xlfn.XLOOKUP(frasest[[#This Row],[autor_es]],autorest[autor_es],autorest[autor_la])</f>
        <v>Proverbium Sinense</v>
      </c>
      <c r="H1195" t="str">
        <f>_xlfn.XLOOKUP(frasest[[#This Row],[autor_es]],autorest[autor_es],autorest[bio_es])</f>
        <v>Conjunto de proverbios tradicionales de la cultura china que transmiten sabiduría popular, valores morales y enseñanzas prácticas transmitidas oralmente durante siglos.</v>
      </c>
      <c r="I1195" t="str">
        <f>_xlfn.XLOOKUP(frasest[[#This Row],[autor_es]],autorest[autor_es],autorest[bio_la])</f>
        <v>Collectio sententiarum Sinensium, magnopere in cultura tradita.</v>
      </c>
      <c r="J1195" t="str">
        <f>_xlfn.XLOOKUP(frasest[[#This Row],[autor_es]],autorest[autor_es],autorest[codigo])</f>
        <v>zh</v>
      </c>
      <c r="K1195" t="str">
        <f>_xlfn.XLOOKUP(frasest[[#This Row],[autor_es]],autorest[autor_es],autorest[idioma_es])</f>
        <v>Chino</v>
      </c>
      <c r="L1195" t="str">
        <f>_xlfn.XLOOKUP(frasest[[#This Row],[autor_es]],autorest[autor_es],autorest[idioma_la])</f>
        <v>Lingua Sinica</v>
      </c>
      <c r="M1195" t="str">
        <f>_xlfn.XLOOKUP(frasest[[#This Row],[autor_es]],autorest[autor_es],autorest[nacion_es])</f>
        <v>China</v>
      </c>
      <c r="N1195" t="str">
        <f>_xlfn.XLOOKUP(frasest[[#This Row],[autor_es]],autorest[autor_es],autorest[nacion_la])</f>
        <v>Sinae</v>
      </c>
      <c r="O1195" t="str">
        <f>_xlfn.XLOOKUP(frasest[[#This Row],[autor_es]],autorest[autor_es],autorest[epoca_es])</f>
        <v>Epoca Desconocida</v>
      </c>
      <c r="P1195" t="str">
        <f>_xlfn.XLOOKUP(frasest[[#This Row],[autor_es]],autorest[autor_es],autorest[epoca_la])</f>
        <v>Epocha Ignota</v>
      </c>
      <c r="Q1195" t="str">
        <f>_xlfn.XLOOKUP(frasest[[#This Row],[autor_es]],autorest[autor_es],autorest[imagen])</f>
        <v>https://i.ibb.co/qLfpZm6h/china.png</v>
      </c>
      <c r="R1195">
        <f>_xlfn.XLOOKUP(frasest[[#This Row],[autor_es]],autorest[autor_es],autorest[imagen_atr])</f>
        <v>0</v>
      </c>
    </row>
    <row r="1196" spans="1:18">
      <c r="A1196">
        <v>1195</v>
      </c>
      <c r="B1196" t="s">
        <v>3710</v>
      </c>
      <c r="C1196" t="s">
        <v>2997</v>
      </c>
      <c r="D1196" s="1" t="s">
        <v>3711</v>
      </c>
      <c r="E1196" t="s">
        <v>36</v>
      </c>
      <c r="G1196" t="str">
        <f>_xlfn.XLOOKUP(frasest[[#This Row],[autor_es]],autorest[autor_es],autorest[autor_la])</f>
        <v>Proverbium Sinense</v>
      </c>
      <c r="H1196" t="str">
        <f>_xlfn.XLOOKUP(frasest[[#This Row],[autor_es]],autorest[autor_es],autorest[bio_es])</f>
        <v>Conjunto de proverbios tradicionales de la cultura china que transmiten sabiduría popular, valores morales y enseñanzas prácticas transmitidas oralmente durante siglos.</v>
      </c>
      <c r="I1196" t="str">
        <f>_xlfn.XLOOKUP(frasest[[#This Row],[autor_es]],autorest[autor_es],autorest[bio_la])</f>
        <v>Collectio sententiarum Sinensium, magnopere in cultura tradita.</v>
      </c>
      <c r="J1196" t="str">
        <f>_xlfn.XLOOKUP(frasest[[#This Row],[autor_es]],autorest[autor_es],autorest[codigo])</f>
        <v>zh</v>
      </c>
      <c r="K1196" t="str">
        <f>_xlfn.XLOOKUP(frasest[[#This Row],[autor_es]],autorest[autor_es],autorest[idioma_es])</f>
        <v>Chino</v>
      </c>
      <c r="L1196" t="str">
        <f>_xlfn.XLOOKUP(frasest[[#This Row],[autor_es]],autorest[autor_es],autorest[idioma_la])</f>
        <v>Lingua Sinica</v>
      </c>
      <c r="M1196" t="str">
        <f>_xlfn.XLOOKUP(frasest[[#This Row],[autor_es]],autorest[autor_es],autorest[nacion_es])</f>
        <v>China</v>
      </c>
      <c r="N1196" t="str">
        <f>_xlfn.XLOOKUP(frasest[[#This Row],[autor_es]],autorest[autor_es],autorest[nacion_la])</f>
        <v>Sinae</v>
      </c>
      <c r="O1196" t="str">
        <f>_xlfn.XLOOKUP(frasest[[#This Row],[autor_es]],autorest[autor_es],autorest[epoca_es])</f>
        <v>Epoca Desconocida</v>
      </c>
      <c r="P1196" t="str">
        <f>_xlfn.XLOOKUP(frasest[[#This Row],[autor_es]],autorest[autor_es],autorest[epoca_la])</f>
        <v>Epocha Ignota</v>
      </c>
      <c r="Q1196" t="str">
        <f>_xlfn.XLOOKUP(frasest[[#This Row],[autor_es]],autorest[autor_es],autorest[imagen])</f>
        <v>https://i.ibb.co/qLfpZm6h/china.png</v>
      </c>
      <c r="R1196">
        <f>_xlfn.XLOOKUP(frasest[[#This Row],[autor_es]],autorest[autor_es],autorest[imagen_atr])</f>
        <v>0</v>
      </c>
    </row>
    <row r="1197" spans="1:18">
      <c r="A1197">
        <v>1196</v>
      </c>
      <c r="B1197" t="s">
        <v>2986</v>
      </c>
      <c r="C1197" t="s">
        <v>2987</v>
      </c>
      <c r="D1197" s="1" t="s">
        <v>3712</v>
      </c>
      <c r="E1197" t="s">
        <v>36</v>
      </c>
      <c r="G1197" t="str">
        <f>_xlfn.XLOOKUP(frasest[[#This Row],[autor_es]],autorest[autor_es],autorest[autor_la])</f>
        <v>Proverbium Sinense</v>
      </c>
      <c r="H1197" t="str">
        <f>_xlfn.XLOOKUP(frasest[[#This Row],[autor_es]],autorest[autor_es],autorest[bio_es])</f>
        <v>Conjunto de proverbios tradicionales de la cultura china que transmiten sabiduría popular, valores morales y enseñanzas prácticas transmitidas oralmente durante siglos.</v>
      </c>
      <c r="I1197" t="str">
        <f>_xlfn.XLOOKUP(frasest[[#This Row],[autor_es]],autorest[autor_es],autorest[bio_la])</f>
        <v>Collectio sententiarum Sinensium, magnopere in cultura tradita.</v>
      </c>
      <c r="J1197" t="str">
        <f>_xlfn.XLOOKUP(frasest[[#This Row],[autor_es]],autorest[autor_es],autorest[codigo])</f>
        <v>zh</v>
      </c>
      <c r="K1197" t="str">
        <f>_xlfn.XLOOKUP(frasest[[#This Row],[autor_es]],autorest[autor_es],autorest[idioma_es])</f>
        <v>Chino</v>
      </c>
      <c r="L1197" t="str">
        <f>_xlfn.XLOOKUP(frasest[[#This Row],[autor_es]],autorest[autor_es],autorest[idioma_la])</f>
        <v>Lingua Sinica</v>
      </c>
      <c r="M1197" t="str">
        <f>_xlfn.XLOOKUP(frasest[[#This Row],[autor_es]],autorest[autor_es],autorest[nacion_es])</f>
        <v>China</v>
      </c>
      <c r="N1197" t="str">
        <f>_xlfn.XLOOKUP(frasest[[#This Row],[autor_es]],autorest[autor_es],autorest[nacion_la])</f>
        <v>Sinae</v>
      </c>
      <c r="O1197" t="str">
        <f>_xlfn.XLOOKUP(frasest[[#This Row],[autor_es]],autorest[autor_es],autorest[epoca_es])</f>
        <v>Epoca Desconocida</v>
      </c>
      <c r="P1197" t="str">
        <f>_xlfn.XLOOKUP(frasest[[#This Row],[autor_es]],autorest[autor_es],autorest[epoca_la])</f>
        <v>Epocha Ignota</v>
      </c>
      <c r="Q1197" t="str">
        <f>_xlfn.XLOOKUP(frasest[[#This Row],[autor_es]],autorest[autor_es],autorest[imagen])</f>
        <v>https://i.ibb.co/qLfpZm6h/china.png</v>
      </c>
      <c r="R1197">
        <f>_xlfn.XLOOKUP(frasest[[#This Row],[autor_es]],autorest[autor_es],autorest[imagen_atr])</f>
        <v>0</v>
      </c>
    </row>
    <row r="1198" spans="1:18">
      <c r="A1198">
        <v>1197</v>
      </c>
      <c r="B1198" t="s">
        <v>3713</v>
      </c>
      <c r="C1198" t="s">
        <v>3714</v>
      </c>
      <c r="D1198" s="1" t="s">
        <v>3715</v>
      </c>
      <c r="E1198" t="s">
        <v>36</v>
      </c>
      <c r="G1198" t="str">
        <f>_xlfn.XLOOKUP(frasest[[#This Row],[autor_es]],autorest[autor_es],autorest[autor_la])</f>
        <v>Proverbium Sinense</v>
      </c>
      <c r="H1198" t="str">
        <f>_xlfn.XLOOKUP(frasest[[#This Row],[autor_es]],autorest[autor_es],autorest[bio_es])</f>
        <v>Conjunto de proverbios tradicionales de la cultura china que transmiten sabiduría popular, valores morales y enseñanzas prácticas transmitidas oralmente durante siglos.</v>
      </c>
      <c r="I1198" t="str">
        <f>_xlfn.XLOOKUP(frasest[[#This Row],[autor_es]],autorest[autor_es],autorest[bio_la])</f>
        <v>Collectio sententiarum Sinensium, magnopere in cultura tradita.</v>
      </c>
      <c r="J1198" t="str">
        <f>_xlfn.XLOOKUP(frasest[[#This Row],[autor_es]],autorest[autor_es],autorest[codigo])</f>
        <v>zh</v>
      </c>
      <c r="K1198" t="str">
        <f>_xlfn.XLOOKUP(frasest[[#This Row],[autor_es]],autorest[autor_es],autorest[idioma_es])</f>
        <v>Chino</v>
      </c>
      <c r="L1198" t="str">
        <f>_xlfn.XLOOKUP(frasest[[#This Row],[autor_es]],autorest[autor_es],autorest[idioma_la])</f>
        <v>Lingua Sinica</v>
      </c>
      <c r="M1198" t="str">
        <f>_xlfn.XLOOKUP(frasest[[#This Row],[autor_es]],autorest[autor_es],autorest[nacion_es])</f>
        <v>China</v>
      </c>
      <c r="N1198" t="str">
        <f>_xlfn.XLOOKUP(frasest[[#This Row],[autor_es]],autorest[autor_es],autorest[nacion_la])</f>
        <v>Sinae</v>
      </c>
      <c r="O1198" t="str">
        <f>_xlfn.XLOOKUP(frasest[[#This Row],[autor_es]],autorest[autor_es],autorest[epoca_es])</f>
        <v>Epoca Desconocida</v>
      </c>
      <c r="P1198" t="str">
        <f>_xlfn.XLOOKUP(frasest[[#This Row],[autor_es]],autorest[autor_es],autorest[epoca_la])</f>
        <v>Epocha Ignota</v>
      </c>
      <c r="Q1198" t="str">
        <f>_xlfn.XLOOKUP(frasest[[#This Row],[autor_es]],autorest[autor_es],autorest[imagen])</f>
        <v>https://i.ibb.co/qLfpZm6h/china.png</v>
      </c>
      <c r="R1198">
        <f>_xlfn.XLOOKUP(frasest[[#This Row],[autor_es]],autorest[autor_es],autorest[imagen_atr])</f>
        <v>0</v>
      </c>
    </row>
    <row r="1199" spans="1:18">
      <c r="A1199">
        <v>1198</v>
      </c>
      <c r="B1199" t="s">
        <v>3716</v>
      </c>
      <c r="C1199" t="s">
        <v>3717</v>
      </c>
      <c r="D1199" s="1" t="s">
        <v>3541</v>
      </c>
      <c r="E1199" t="s">
        <v>36</v>
      </c>
      <c r="G1199" t="str">
        <f>_xlfn.XLOOKUP(frasest[[#This Row],[autor_es]],autorest[autor_es],autorest[autor_la])</f>
        <v>Proverbium Sinense</v>
      </c>
      <c r="H1199" t="str">
        <f>_xlfn.XLOOKUP(frasest[[#This Row],[autor_es]],autorest[autor_es],autorest[bio_es])</f>
        <v>Conjunto de proverbios tradicionales de la cultura china que transmiten sabiduría popular, valores morales y enseñanzas prácticas transmitidas oralmente durante siglos.</v>
      </c>
      <c r="I1199" t="str">
        <f>_xlfn.XLOOKUP(frasest[[#This Row],[autor_es]],autorest[autor_es],autorest[bio_la])</f>
        <v>Collectio sententiarum Sinensium, magnopere in cultura tradita.</v>
      </c>
      <c r="J1199" t="str">
        <f>_xlfn.XLOOKUP(frasest[[#This Row],[autor_es]],autorest[autor_es],autorest[codigo])</f>
        <v>zh</v>
      </c>
      <c r="K1199" t="str">
        <f>_xlfn.XLOOKUP(frasest[[#This Row],[autor_es]],autorest[autor_es],autorest[idioma_es])</f>
        <v>Chino</v>
      </c>
      <c r="L1199" t="str">
        <f>_xlfn.XLOOKUP(frasest[[#This Row],[autor_es]],autorest[autor_es],autorest[idioma_la])</f>
        <v>Lingua Sinica</v>
      </c>
      <c r="M1199" t="str">
        <f>_xlfn.XLOOKUP(frasest[[#This Row],[autor_es]],autorest[autor_es],autorest[nacion_es])</f>
        <v>China</v>
      </c>
      <c r="N1199" t="str">
        <f>_xlfn.XLOOKUP(frasest[[#This Row],[autor_es]],autorest[autor_es],autorest[nacion_la])</f>
        <v>Sinae</v>
      </c>
      <c r="O1199" t="str">
        <f>_xlfn.XLOOKUP(frasest[[#This Row],[autor_es]],autorest[autor_es],autorest[epoca_es])</f>
        <v>Epoca Desconocida</v>
      </c>
      <c r="P1199" t="str">
        <f>_xlfn.XLOOKUP(frasest[[#This Row],[autor_es]],autorest[autor_es],autorest[epoca_la])</f>
        <v>Epocha Ignota</v>
      </c>
      <c r="Q1199" t="str">
        <f>_xlfn.XLOOKUP(frasest[[#This Row],[autor_es]],autorest[autor_es],autorest[imagen])</f>
        <v>https://i.ibb.co/qLfpZm6h/china.png</v>
      </c>
      <c r="R1199">
        <f>_xlfn.XLOOKUP(frasest[[#This Row],[autor_es]],autorest[autor_es],autorest[imagen_atr])</f>
        <v>0</v>
      </c>
    </row>
    <row r="1200" spans="1:18">
      <c r="A1200">
        <v>1199</v>
      </c>
      <c r="B1200" t="s">
        <v>3718</v>
      </c>
      <c r="C1200" t="s">
        <v>3719</v>
      </c>
      <c r="D1200" s="1" t="s">
        <v>3720</v>
      </c>
      <c r="E1200" t="s">
        <v>36</v>
      </c>
      <c r="G1200" t="str">
        <f>_xlfn.XLOOKUP(frasest[[#This Row],[autor_es]],autorest[autor_es],autorest[autor_la])</f>
        <v>Proverbium Sinense</v>
      </c>
      <c r="H1200" t="str">
        <f>_xlfn.XLOOKUP(frasest[[#This Row],[autor_es]],autorest[autor_es],autorest[bio_es])</f>
        <v>Conjunto de proverbios tradicionales de la cultura china que transmiten sabiduría popular, valores morales y enseñanzas prácticas transmitidas oralmente durante siglos.</v>
      </c>
      <c r="I1200" t="str">
        <f>_xlfn.XLOOKUP(frasest[[#This Row],[autor_es]],autorest[autor_es],autorest[bio_la])</f>
        <v>Collectio sententiarum Sinensium, magnopere in cultura tradita.</v>
      </c>
      <c r="J1200" t="str">
        <f>_xlfn.XLOOKUP(frasest[[#This Row],[autor_es]],autorest[autor_es],autorest[codigo])</f>
        <v>zh</v>
      </c>
      <c r="K1200" t="str">
        <f>_xlfn.XLOOKUP(frasest[[#This Row],[autor_es]],autorest[autor_es],autorest[idioma_es])</f>
        <v>Chino</v>
      </c>
      <c r="L1200" t="str">
        <f>_xlfn.XLOOKUP(frasest[[#This Row],[autor_es]],autorest[autor_es],autorest[idioma_la])</f>
        <v>Lingua Sinica</v>
      </c>
      <c r="M1200" t="str">
        <f>_xlfn.XLOOKUP(frasest[[#This Row],[autor_es]],autorest[autor_es],autorest[nacion_es])</f>
        <v>China</v>
      </c>
      <c r="N1200" t="str">
        <f>_xlfn.XLOOKUP(frasest[[#This Row],[autor_es]],autorest[autor_es],autorest[nacion_la])</f>
        <v>Sinae</v>
      </c>
      <c r="O1200" t="str">
        <f>_xlfn.XLOOKUP(frasest[[#This Row],[autor_es]],autorest[autor_es],autorest[epoca_es])</f>
        <v>Epoca Desconocida</v>
      </c>
      <c r="P1200" t="str">
        <f>_xlfn.XLOOKUP(frasest[[#This Row],[autor_es]],autorest[autor_es],autorest[epoca_la])</f>
        <v>Epocha Ignota</v>
      </c>
      <c r="Q1200" t="str">
        <f>_xlfn.XLOOKUP(frasest[[#This Row],[autor_es]],autorest[autor_es],autorest[imagen])</f>
        <v>https://i.ibb.co/qLfpZm6h/china.png</v>
      </c>
      <c r="R1200">
        <f>_xlfn.XLOOKUP(frasest[[#This Row],[autor_es]],autorest[autor_es],autorest[imagen_atr])</f>
        <v>0</v>
      </c>
    </row>
    <row r="1201" spans="1:18">
      <c r="A1201">
        <v>1200</v>
      </c>
      <c r="B1201" t="s">
        <v>3721</v>
      </c>
      <c r="C1201" t="s">
        <v>3722</v>
      </c>
      <c r="D1201" s="1" t="s">
        <v>3723</v>
      </c>
      <c r="E1201" t="s">
        <v>36</v>
      </c>
      <c r="G1201" t="str">
        <f>_xlfn.XLOOKUP(frasest[[#This Row],[autor_es]],autorest[autor_es],autorest[autor_la])</f>
        <v>Proverbium Sinense</v>
      </c>
      <c r="H1201" t="str">
        <f>_xlfn.XLOOKUP(frasest[[#This Row],[autor_es]],autorest[autor_es],autorest[bio_es])</f>
        <v>Conjunto de proverbios tradicionales de la cultura china que transmiten sabiduría popular, valores morales y enseñanzas prácticas transmitidas oralmente durante siglos.</v>
      </c>
      <c r="I1201" t="str">
        <f>_xlfn.XLOOKUP(frasest[[#This Row],[autor_es]],autorest[autor_es],autorest[bio_la])</f>
        <v>Collectio sententiarum Sinensium, magnopere in cultura tradita.</v>
      </c>
      <c r="J1201" t="str">
        <f>_xlfn.XLOOKUP(frasest[[#This Row],[autor_es]],autorest[autor_es],autorest[codigo])</f>
        <v>zh</v>
      </c>
      <c r="K1201" t="str">
        <f>_xlfn.XLOOKUP(frasest[[#This Row],[autor_es]],autorest[autor_es],autorest[idioma_es])</f>
        <v>Chino</v>
      </c>
      <c r="L1201" t="str">
        <f>_xlfn.XLOOKUP(frasest[[#This Row],[autor_es]],autorest[autor_es],autorest[idioma_la])</f>
        <v>Lingua Sinica</v>
      </c>
      <c r="M1201" t="str">
        <f>_xlfn.XLOOKUP(frasest[[#This Row],[autor_es]],autorest[autor_es],autorest[nacion_es])</f>
        <v>China</v>
      </c>
      <c r="N1201" t="str">
        <f>_xlfn.XLOOKUP(frasest[[#This Row],[autor_es]],autorest[autor_es],autorest[nacion_la])</f>
        <v>Sinae</v>
      </c>
      <c r="O1201" t="str">
        <f>_xlfn.XLOOKUP(frasest[[#This Row],[autor_es]],autorest[autor_es],autorest[epoca_es])</f>
        <v>Epoca Desconocida</v>
      </c>
      <c r="P1201" t="str">
        <f>_xlfn.XLOOKUP(frasest[[#This Row],[autor_es]],autorest[autor_es],autorest[epoca_la])</f>
        <v>Epocha Ignota</v>
      </c>
      <c r="Q1201" t="str">
        <f>_xlfn.XLOOKUP(frasest[[#This Row],[autor_es]],autorest[autor_es],autorest[imagen])</f>
        <v>https://i.ibb.co/qLfpZm6h/china.png</v>
      </c>
      <c r="R1201">
        <f>_xlfn.XLOOKUP(frasest[[#This Row],[autor_es]],autorest[autor_es],autorest[imagen_atr])</f>
        <v>0</v>
      </c>
    </row>
    <row r="1202" spans="1:18">
      <c r="A1202">
        <v>1201</v>
      </c>
      <c r="B1202" t="s">
        <v>3724</v>
      </c>
      <c r="C1202" t="s">
        <v>3725</v>
      </c>
      <c r="D1202" s="1" t="s">
        <v>3555</v>
      </c>
      <c r="E1202" t="s">
        <v>36</v>
      </c>
      <c r="G1202" t="str">
        <f>_xlfn.XLOOKUP(frasest[[#This Row],[autor_es]],autorest[autor_es],autorest[autor_la])</f>
        <v>Proverbium Sinense</v>
      </c>
      <c r="H1202" t="str">
        <f>_xlfn.XLOOKUP(frasest[[#This Row],[autor_es]],autorest[autor_es],autorest[bio_es])</f>
        <v>Conjunto de proverbios tradicionales de la cultura china que transmiten sabiduría popular, valores morales y enseñanzas prácticas transmitidas oralmente durante siglos.</v>
      </c>
      <c r="I1202" t="str">
        <f>_xlfn.XLOOKUP(frasest[[#This Row],[autor_es]],autorest[autor_es],autorest[bio_la])</f>
        <v>Collectio sententiarum Sinensium, magnopere in cultura tradita.</v>
      </c>
      <c r="J1202" t="str">
        <f>_xlfn.XLOOKUP(frasest[[#This Row],[autor_es]],autorest[autor_es],autorest[codigo])</f>
        <v>zh</v>
      </c>
      <c r="K1202" t="str">
        <f>_xlfn.XLOOKUP(frasest[[#This Row],[autor_es]],autorest[autor_es],autorest[idioma_es])</f>
        <v>Chino</v>
      </c>
      <c r="L1202" t="str">
        <f>_xlfn.XLOOKUP(frasest[[#This Row],[autor_es]],autorest[autor_es],autorest[idioma_la])</f>
        <v>Lingua Sinica</v>
      </c>
      <c r="M1202" t="str">
        <f>_xlfn.XLOOKUP(frasest[[#This Row],[autor_es]],autorest[autor_es],autorest[nacion_es])</f>
        <v>China</v>
      </c>
      <c r="N1202" t="str">
        <f>_xlfn.XLOOKUP(frasest[[#This Row],[autor_es]],autorest[autor_es],autorest[nacion_la])</f>
        <v>Sinae</v>
      </c>
      <c r="O1202" t="str">
        <f>_xlfn.XLOOKUP(frasest[[#This Row],[autor_es]],autorest[autor_es],autorest[epoca_es])</f>
        <v>Epoca Desconocida</v>
      </c>
      <c r="P1202" t="str">
        <f>_xlfn.XLOOKUP(frasest[[#This Row],[autor_es]],autorest[autor_es],autorest[epoca_la])</f>
        <v>Epocha Ignota</v>
      </c>
      <c r="Q1202" t="str">
        <f>_xlfn.XLOOKUP(frasest[[#This Row],[autor_es]],autorest[autor_es],autorest[imagen])</f>
        <v>https://i.ibb.co/qLfpZm6h/china.png</v>
      </c>
      <c r="R1202">
        <f>_xlfn.XLOOKUP(frasest[[#This Row],[autor_es]],autorest[autor_es],autorest[imagen_atr])</f>
        <v>0</v>
      </c>
    </row>
    <row r="1203" spans="1:18">
      <c r="A1203">
        <v>1202</v>
      </c>
      <c r="B1203" t="s">
        <v>3726</v>
      </c>
      <c r="C1203" t="s">
        <v>3727</v>
      </c>
      <c r="D1203" s="1" t="s">
        <v>3728</v>
      </c>
      <c r="E1203" t="s">
        <v>36</v>
      </c>
      <c r="G1203" t="str">
        <f>_xlfn.XLOOKUP(frasest[[#This Row],[autor_es]],autorest[autor_es],autorest[autor_la])</f>
        <v>Proverbium Sinense</v>
      </c>
      <c r="H1203" t="str">
        <f>_xlfn.XLOOKUP(frasest[[#This Row],[autor_es]],autorest[autor_es],autorest[bio_es])</f>
        <v>Conjunto de proverbios tradicionales de la cultura china que transmiten sabiduría popular, valores morales y enseñanzas prácticas transmitidas oralmente durante siglos.</v>
      </c>
      <c r="I1203" t="str">
        <f>_xlfn.XLOOKUP(frasest[[#This Row],[autor_es]],autorest[autor_es],autorest[bio_la])</f>
        <v>Collectio sententiarum Sinensium, magnopere in cultura tradita.</v>
      </c>
      <c r="J1203" t="str">
        <f>_xlfn.XLOOKUP(frasest[[#This Row],[autor_es]],autorest[autor_es],autorest[codigo])</f>
        <v>zh</v>
      </c>
      <c r="K1203" t="str">
        <f>_xlfn.XLOOKUP(frasest[[#This Row],[autor_es]],autorest[autor_es],autorest[idioma_es])</f>
        <v>Chino</v>
      </c>
      <c r="L1203" t="str">
        <f>_xlfn.XLOOKUP(frasest[[#This Row],[autor_es]],autorest[autor_es],autorest[idioma_la])</f>
        <v>Lingua Sinica</v>
      </c>
      <c r="M1203" t="str">
        <f>_xlfn.XLOOKUP(frasest[[#This Row],[autor_es]],autorest[autor_es],autorest[nacion_es])</f>
        <v>China</v>
      </c>
      <c r="N1203" t="str">
        <f>_xlfn.XLOOKUP(frasest[[#This Row],[autor_es]],autorest[autor_es],autorest[nacion_la])</f>
        <v>Sinae</v>
      </c>
      <c r="O1203" t="str">
        <f>_xlfn.XLOOKUP(frasest[[#This Row],[autor_es]],autorest[autor_es],autorest[epoca_es])</f>
        <v>Epoca Desconocida</v>
      </c>
      <c r="P1203" t="str">
        <f>_xlfn.XLOOKUP(frasest[[#This Row],[autor_es]],autorest[autor_es],autorest[epoca_la])</f>
        <v>Epocha Ignota</v>
      </c>
      <c r="Q1203" t="str">
        <f>_xlfn.XLOOKUP(frasest[[#This Row],[autor_es]],autorest[autor_es],autorest[imagen])</f>
        <v>https://i.ibb.co/qLfpZm6h/china.png</v>
      </c>
      <c r="R1203">
        <f>_xlfn.XLOOKUP(frasest[[#This Row],[autor_es]],autorest[autor_es],autorest[imagen_atr])</f>
        <v>0</v>
      </c>
    </row>
    <row r="1204" spans="1:18">
      <c r="A1204">
        <v>1203</v>
      </c>
      <c r="B1204" t="s">
        <v>3729</v>
      </c>
      <c r="C1204" t="s">
        <v>3730</v>
      </c>
      <c r="D1204" s="1" t="s">
        <v>3731</v>
      </c>
      <c r="E1204" t="s">
        <v>36</v>
      </c>
      <c r="G1204" t="str">
        <f>_xlfn.XLOOKUP(frasest[[#This Row],[autor_es]],autorest[autor_es],autorest[autor_la])</f>
        <v>Proverbium Sinense</v>
      </c>
      <c r="H1204" t="str">
        <f>_xlfn.XLOOKUP(frasest[[#This Row],[autor_es]],autorest[autor_es],autorest[bio_es])</f>
        <v>Conjunto de proverbios tradicionales de la cultura china que transmiten sabiduría popular, valores morales y enseñanzas prácticas transmitidas oralmente durante siglos.</v>
      </c>
      <c r="I1204" t="str">
        <f>_xlfn.XLOOKUP(frasest[[#This Row],[autor_es]],autorest[autor_es],autorest[bio_la])</f>
        <v>Collectio sententiarum Sinensium, magnopere in cultura tradita.</v>
      </c>
      <c r="J1204" t="str">
        <f>_xlfn.XLOOKUP(frasest[[#This Row],[autor_es]],autorest[autor_es],autorest[codigo])</f>
        <v>zh</v>
      </c>
      <c r="K1204" t="str">
        <f>_xlfn.XLOOKUP(frasest[[#This Row],[autor_es]],autorest[autor_es],autorest[idioma_es])</f>
        <v>Chino</v>
      </c>
      <c r="L1204" t="str">
        <f>_xlfn.XLOOKUP(frasest[[#This Row],[autor_es]],autorest[autor_es],autorest[idioma_la])</f>
        <v>Lingua Sinica</v>
      </c>
      <c r="M1204" t="str">
        <f>_xlfn.XLOOKUP(frasest[[#This Row],[autor_es]],autorest[autor_es],autorest[nacion_es])</f>
        <v>China</v>
      </c>
      <c r="N1204" t="str">
        <f>_xlfn.XLOOKUP(frasest[[#This Row],[autor_es]],autorest[autor_es],autorest[nacion_la])</f>
        <v>Sinae</v>
      </c>
      <c r="O1204" t="str">
        <f>_xlfn.XLOOKUP(frasest[[#This Row],[autor_es]],autorest[autor_es],autorest[epoca_es])</f>
        <v>Epoca Desconocida</v>
      </c>
      <c r="P1204" t="str">
        <f>_xlfn.XLOOKUP(frasest[[#This Row],[autor_es]],autorest[autor_es],autorest[epoca_la])</f>
        <v>Epocha Ignota</v>
      </c>
      <c r="Q1204" t="str">
        <f>_xlfn.XLOOKUP(frasest[[#This Row],[autor_es]],autorest[autor_es],autorest[imagen])</f>
        <v>https://i.ibb.co/qLfpZm6h/china.png</v>
      </c>
      <c r="R1204">
        <f>_xlfn.XLOOKUP(frasest[[#This Row],[autor_es]],autorest[autor_es],autorest[imagen_atr])</f>
        <v>0</v>
      </c>
    </row>
    <row r="1205" spans="1:18">
      <c r="A1205">
        <v>1204</v>
      </c>
      <c r="B1205" t="s">
        <v>3732</v>
      </c>
      <c r="C1205" t="s">
        <v>3733</v>
      </c>
      <c r="D1205" s="1" t="s">
        <v>3734</v>
      </c>
      <c r="E1205" t="s">
        <v>36</v>
      </c>
      <c r="G1205" t="str">
        <f>_xlfn.XLOOKUP(frasest[[#This Row],[autor_es]],autorest[autor_es],autorest[autor_la])</f>
        <v>Proverbium Sinense</v>
      </c>
      <c r="H1205" t="str">
        <f>_xlfn.XLOOKUP(frasest[[#This Row],[autor_es]],autorest[autor_es],autorest[bio_es])</f>
        <v>Conjunto de proverbios tradicionales de la cultura china que transmiten sabiduría popular, valores morales y enseñanzas prácticas transmitidas oralmente durante siglos.</v>
      </c>
      <c r="I1205" t="str">
        <f>_xlfn.XLOOKUP(frasest[[#This Row],[autor_es]],autorest[autor_es],autorest[bio_la])</f>
        <v>Collectio sententiarum Sinensium, magnopere in cultura tradita.</v>
      </c>
      <c r="J1205" t="str">
        <f>_xlfn.XLOOKUP(frasest[[#This Row],[autor_es]],autorest[autor_es],autorest[codigo])</f>
        <v>zh</v>
      </c>
      <c r="K1205" t="str">
        <f>_xlfn.XLOOKUP(frasest[[#This Row],[autor_es]],autorest[autor_es],autorest[idioma_es])</f>
        <v>Chino</v>
      </c>
      <c r="L1205" t="str">
        <f>_xlfn.XLOOKUP(frasest[[#This Row],[autor_es]],autorest[autor_es],autorest[idioma_la])</f>
        <v>Lingua Sinica</v>
      </c>
      <c r="M1205" t="str">
        <f>_xlfn.XLOOKUP(frasest[[#This Row],[autor_es]],autorest[autor_es],autorest[nacion_es])</f>
        <v>China</v>
      </c>
      <c r="N1205" t="str">
        <f>_xlfn.XLOOKUP(frasest[[#This Row],[autor_es]],autorest[autor_es],autorest[nacion_la])</f>
        <v>Sinae</v>
      </c>
      <c r="O1205" t="str">
        <f>_xlfn.XLOOKUP(frasest[[#This Row],[autor_es]],autorest[autor_es],autorest[epoca_es])</f>
        <v>Epoca Desconocida</v>
      </c>
      <c r="P1205" t="str">
        <f>_xlfn.XLOOKUP(frasest[[#This Row],[autor_es]],autorest[autor_es],autorest[epoca_la])</f>
        <v>Epocha Ignota</v>
      </c>
      <c r="Q1205" t="str">
        <f>_xlfn.XLOOKUP(frasest[[#This Row],[autor_es]],autorest[autor_es],autorest[imagen])</f>
        <v>https://i.ibb.co/qLfpZm6h/china.png</v>
      </c>
      <c r="R1205">
        <f>_xlfn.XLOOKUP(frasest[[#This Row],[autor_es]],autorest[autor_es],autorest[imagen_atr])</f>
        <v>0</v>
      </c>
    </row>
    <row r="1206" spans="1:18">
      <c r="A1206">
        <v>1205</v>
      </c>
      <c r="B1206" t="s">
        <v>3735</v>
      </c>
      <c r="C1206" t="s">
        <v>3736</v>
      </c>
      <c r="D1206" s="1" t="s">
        <v>3737</v>
      </c>
      <c r="E1206" t="s">
        <v>36</v>
      </c>
      <c r="G1206" t="str">
        <f>_xlfn.XLOOKUP(frasest[[#This Row],[autor_es]],autorest[autor_es],autorest[autor_la])</f>
        <v>Proverbium Sinense</v>
      </c>
      <c r="H1206" t="str">
        <f>_xlfn.XLOOKUP(frasest[[#This Row],[autor_es]],autorest[autor_es],autorest[bio_es])</f>
        <v>Conjunto de proverbios tradicionales de la cultura china que transmiten sabiduría popular, valores morales y enseñanzas prácticas transmitidas oralmente durante siglos.</v>
      </c>
      <c r="I1206" t="str">
        <f>_xlfn.XLOOKUP(frasest[[#This Row],[autor_es]],autorest[autor_es],autorest[bio_la])</f>
        <v>Collectio sententiarum Sinensium, magnopere in cultura tradita.</v>
      </c>
      <c r="J1206" t="str">
        <f>_xlfn.XLOOKUP(frasest[[#This Row],[autor_es]],autorest[autor_es],autorest[codigo])</f>
        <v>zh</v>
      </c>
      <c r="K1206" t="str">
        <f>_xlfn.XLOOKUP(frasest[[#This Row],[autor_es]],autorest[autor_es],autorest[idioma_es])</f>
        <v>Chino</v>
      </c>
      <c r="L1206" t="str">
        <f>_xlfn.XLOOKUP(frasest[[#This Row],[autor_es]],autorest[autor_es],autorest[idioma_la])</f>
        <v>Lingua Sinica</v>
      </c>
      <c r="M1206" t="str">
        <f>_xlfn.XLOOKUP(frasest[[#This Row],[autor_es]],autorest[autor_es],autorest[nacion_es])</f>
        <v>China</v>
      </c>
      <c r="N1206" t="str">
        <f>_xlfn.XLOOKUP(frasest[[#This Row],[autor_es]],autorest[autor_es],autorest[nacion_la])</f>
        <v>Sinae</v>
      </c>
      <c r="O1206" t="str">
        <f>_xlfn.XLOOKUP(frasest[[#This Row],[autor_es]],autorest[autor_es],autorest[epoca_es])</f>
        <v>Epoca Desconocida</v>
      </c>
      <c r="P1206" t="str">
        <f>_xlfn.XLOOKUP(frasest[[#This Row],[autor_es]],autorest[autor_es],autorest[epoca_la])</f>
        <v>Epocha Ignota</v>
      </c>
      <c r="Q1206" t="str">
        <f>_xlfn.XLOOKUP(frasest[[#This Row],[autor_es]],autorest[autor_es],autorest[imagen])</f>
        <v>https://i.ibb.co/qLfpZm6h/china.png</v>
      </c>
      <c r="R1206">
        <f>_xlfn.XLOOKUP(frasest[[#This Row],[autor_es]],autorest[autor_es],autorest[imagen_atr])</f>
        <v>0</v>
      </c>
    </row>
    <row r="1207" spans="1:18">
      <c r="A1207">
        <v>1206</v>
      </c>
      <c r="B1207" t="s">
        <v>3738</v>
      </c>
      <c r="C1207" t="s">
        <v>3739</v>
      </c>
      <c r="D1207" s="1" t="s">
        <v>3740</v>
      </c>
      <c r="E1207" t="s">
        <v>36</v>
      </c>
      <c r="G1207" t="str">
        <f>_xlfn.XLOOKUP(frasest[[#This Row],[autor_es]],autorest[autor_es],autorest[autor_la])</f>
        <v>Proverbium Sinense</v>
      </c>
      <c r="H1207" t="str">
        <f>_xlfn.XLOOKUP(frasest[[#This Row],[autor_es]],autorest[autor_es],autorest[bio_es])</f>
        <v>Conjunto de proverbios tradicionales de la cultura china que transmiten sabiduría popular, valores morales y enseñanzas prácticas transmitidas oralmente durante siglos.</v>
      </c>
      <c r="I1207" t="str">
        <f>_xlfn.XLOOKUP(frasest[[#This Row],[autor_es]],autorest[autor_es],autorest[bio_la])</f>
        <v>Collectio sententiarum Sinensium, magnopere in cultura tradita.</v>
      </c>
      <c r="J1207" t="str">
        <f>_xlfn.XLOOKUP(frasest[[#This Row],[autor_es]],autorest[autor_es],autorest[codigo])</f>
        <v>zh</v>
      </c>
      <c r="K1207" t="str">
        <f>_xlfn.XLOOKUP(frasest[[#This Row],[autor_es]],autorest[autor_es],autorest[idioma_es])</f>
        <v>Chino</v>
      </c>
      <c r="L1207" t="str">
        <f>_xlfn.XLOOKUP(frasest[[#This Row],[autor_es]],autorest[autor_es],autorest[idioma_la])</f>
        <v>Lingua Sinica</v>
      </c>
      <c r="M1207" t="str">
        <f>_xlfn.XLOOKUP(frasest[[#This Row],[autor_es]],autorest[autor_es],autorest[nacion_es])</f>
        <v>China</v>
      </c>
      <c r="N1207" t="str">
        <f>_xlfn.XLOOKUP(frasest[[#This Row],[autor_es]],autorest[autor_es],autorest[nacion_la])</f>
        <v>Sinae</v>
      </c>
      <c r="O1207" t="str">
        <f>_xlfn.XLOOKUP(frasest[[#This Row],[autor_es]],autorest[autor_es],autorest[epoca_es])</f>
        <v>Epoca Desconocida</v>
      </c>
      <c r="P1207" t="str">
        <f>_xlfn.XLOOKUP(frasest[[#This Row],[autor_es]],autorest[autor_es],autorest[epoca_la])</f>
        <v>Epocha Ignota</v>
      </c>
      <c r="Q1207" t="str">
        <f>_xlfn.XLOOKUP(frasest[[#This Row],[autor_es]],autorest[autor_es],autorest[imagen])</f>
        <v>https://i.ibb.co/qLfpZm6h/china.png</v>
      </c>
      <c r="R1207">
        <f>_xlfn.XLOOKUP(frasest[[#This Row],[autor_es]],autorest[autor_es],autorest[imagen_atr])</f>
        <v>0</v>
      </c>
    </row>
    <row r="1208" spans="1:18">
      <c r="A1208">
        <v>1207</v>
      </c>
      <c r="B1208" t="s">
        <v>3741</v>
      </c>
      <c r="C1208" t="s">
        <v>3742</v>
      </c>
      <c r="D1208" s="1" t="s">
        <v>3743</v>
      </c>
      <c r="E1208" t="s">
        <v>36</v>
      </c>
      <c r="G1208" t="str">
        <f>_xlfn.XLOOKUP(frasest[[#This Row],[autor_es]],autorest[autor_es],autorest[autor_la])</f>
        <v>Proverbium Sinense</v>
      </c>
      <c r="H1208" t="str">
        <f>_xlfn.XLOOKUP(frasest[[#This Row],[autor_es]],autorest[autor_es],autorest[bio_es])</f>
        <v>Conjunto de proverbios tradicionales de la cultura china que transmiten sabiduría popular, valores morales y enseñanzas prácticas transmitidas oralmente durante siglos.</v>
      </c>
      <c r="I1208" t="str">
        <f>_xlfn.XLOOKUP(frasest[[#This Row],[autor_es]],autorest[autor_es],autorest[bio_la])</f>
        <v>Collectio sententiarum Sinensium, magnopere in cultura tradita.</v>
      </c>
      <c r="J1208" t="str">
        <f>_xlfn.XLOOKUP(frasest[[#This Row],[autor_es]],autorest[autor_es],autorest[codigo])</f>
        <v>zh</v>
      </c>
      <c r="K1208" t="str">
        <f>_xlfn.XLOOKUP(frasest[[#This Row],[autor_es]],autorest[autor_es],autorest[idioma_es])</f>
        <v>Chino</v>
      </c>
      <c r="L1208" t="str">
        <f>_xlfn.XLOOKUP(frasest[[#This Row],[autor_es]],autorest[autor_es],autorest[idioma_la])</f>
        <v>Lingua Sinica</v>
      </c>
      <c r="M1208" t="str">
        <f>_xlfn.XLOOKUP(frasest[[#This Row],[autor_es]],autorest[autor_es],autorest[nacion_es])</f>
        <v>China</v>
      </c>
      <c r="N1208" t="str">
        <f>_xlfn.XLOOKUP(frasest[[#This Row],[autor_es]],autorest[autor_es],autorest[nacion_la])</f>
        <v>Sinae</v>
      </c>
      <c r="O1208" t="str">
        <f>_xlfn.XLOOKUP(frasest[[#This Row],[autor_es]],autorest[autor_es],autorest[epoca_es])</f>
        <v>Epoca Desconocida</v>
      </c>
      <c r="P1208" t="str">
        <f>_xlfn.XLOOKUP(frasest[[#This Row],[autor_es]],autorest[autor_es],autorest[epoca_la])</f>
        <v>Epocha Ignota</v>
      </c>
      <c r="Q1208" t="str">
        <f>_xlfn.XLOOKUP(frasest[[#This Row],[autor_es]],autorest[autor_es],autorest[imagen])</f>
        <v>https://i.ibb.co/qLfpZm6h/china.png</v>
      </c>
      <c r="R1208">
        <f>_xlfn.XLOOKUP(frasest[[#This Row],[autor_es]],autorest[autor_es],autorest[imagen_atr])</f>
        <v>0</v>
      </c>
    </row>
    <row r="1209" spans="1:18">
      <c r="A1209">
        <v>1208</v>
      </c>
      <c r="B1209" t="s">
        <v>3744</v>
      </c>
      <c r="C1209" t="s">
        <v>3745</v>
      </c>
      <c r="D1209" s="1" t="s">
        <v>3746</v>
      </c>
      <c r="E1209" t="s">
        <v>36</v>
      </c>
      <c r="G1209" t="str">
        <f>_xlfn.XLOOKUP(frasest[[#This Row],[autor_es]],autorest[autor_es],autorest[autor_la])</f>
        <v>Proverbium Sinense</v>
      </c>
      <c r="H1209" t="str">
        <f>_xlfn.XLOOKUP(frasest[[#This Row],[autor_es]],autorest[autor_es],autorest[bio_es])</f>
        <v>Conjunto de proverbios tradicionales de la cultura china que transmiten sabiduría popular, valores morales y enseñanzas prácticas transmitidas oralmente durante siglos.</v>
      </c>
      <c r="I1209" t="str">
        <f>_xlfn.XLOOKUP(frasest[[#This Row],[autor_es]],autorest[autor_es],autorest[bio_la])</f>
        <v>Collectio sententiarum Sinensium, magnopere in cultura tradita.</v>
      </c>
      <c r="J1209" t="str">
        <f>_xlfn.XLOOKUP(frasest[[#This Row],[autor_es]],autorest[autor_es],autorest[codigo])</f>
        <v>zh</v>
      </c>
      <c r="K1209" t="str">
        <f>_xlfn.XLOOKUP(frasest[[#This Row],[autor_es]],autorest[autor_es],autorest[idioma_es])</f>
        <v>Chino</v>
      </c>
      <c r="L1209" t="str">
        <f>_xlfn.XLOOKUP(frasest[[#This Row],[autor_es]],autorest[autor_es],autorest[idioma_la])</f>
        <v>Lingua Sinica</v>
      </c>
      <c r="M1209" t="str">
        <f>_xlfn.XLOOKUP(frasest[[#This Row],[autor_es]],autorest[autor_es],autorest[nacion_es])</f>
        <v>China</v>
      </c>
      <c r="N1209" t="str">
        <f>_xlfn.XLOOKUP(frasest[[#This Row],[autor_es]],autorest[autor_es],autorest[nacion_la])</f>
        <v>Sinae</v>
      </c>
      <c r="O1209" t="str">
        <f>_xlfn.XLOOKUP(frasest[[#This Row],[autor_es]],autorest[autor_es],autorest[epoca_es])</f>
        <v>Epoca Desconocida</v>
      </c>
      <c r="P1209" t="str">
        <f>_xlfn.XLOOKUP(frasest[[#This Row],[autor_es]],autorest[autor_es],autorest[epoca_la])</f>
        <v>Epocha Ignota</v>
      </c>
      <c r="Q1209" t="str">
        <f>_xlfn.XLOOKUP(frasest[[#This Row],[autor_es]],autorest[autor_es],autorest[imagen])</f>
        <v>https://i.ibb.co/qLfpZm6h/china.png</v>
      </c>
      <c r="R1209">
        <f>_xlfn.XLOOKUP(frasest[[#This Row],[autor_es]],autorest[autor_es],autorest[imagen_atr])</f>
        <v>0</v>
      </c>
    </row>
    <row r="1210" spans="1:18">
      <c r="A1210">
        <v>1209</v>
      </c>
      <c r="B1210" t="s">
        <v>3747</v>
      </c>
      <c r="C1210" t="s">
        <v>3748</v>
      </c>
      <c r="D1210" s="1" t="s">
        <v>3749</v>
      </c>
      <c r="E1210" t="s">
        <v>36</v>
      </c>
      <c r="G1210" t="str">
        <f>_xlfn.XLOOKUP(frasest[[#This Row],[autor_es]],autorest[autor_es],autorest[autor_la])</f>
        <v>Proverbium Sinense</v>
      </c>
      <c r="H1210" t="str">
        <f>_xlfn.XLOOKUP(frasest[[#This Row],[autor_es]],autorest[autor_es],autorest[bio_es])</f>
        <v>Conjunto de proverbios tradicionales de la cultura china que transmiten sabiduría popular, valores morales y enseñanzas prácticas transmitidas oralmente durante siglos.</v>
      </c>
      <c r="I1210" t="str">
        <f>_xlfn.XLOOKUP(frasest[[#This Row],[autor_es]],autorest[autor_es],autorest[bio_la])</f>
        <v>Collectio sententiarum Sinensium, magnopere in cultura tradita.</v>
      </c>
      <c r="J1210" t="str">
        <f>_xlfn.XLOOKUP(frasest[[#This Row],[autor_es]],autorest[autor_es],autorest[codigo])</f>
        <v>zh</v>
      </c>
      <c r="K1210" t="str">
        <f>_xlfn.XLOOKUP(frasest[[#This Row],[autor_es]],autorest[autor_es],autorest[idioma_es])</f>
        <v>Chino</v>
      </c>
      <c r="L1210" t="str">
        <f>_xlfn.XLOOKUP(frasest[[#This Row],[autor_es]],autorest[autor_es],autorest[idioma_la])</f>
        <v>Lingua Sinica</v>
      </c>
      <c r="M1210" t="str">
        <f>_xlfn.XLOOKUP(frasest[[#This Row],[autor_es]],autorest[autor_es],autorest[nacion_es])</f>
        <v>China</v>
      </c>
      <c r="N1210" t="str">
        <f>_xlfn.XLOOKUP(frasest[[#This Row],[autor_es]],autorest[autor_es],autorest[nacion_la])</f>
        <v>Sinae</v>
      </c>
      <c r="O1210" t="str">
        <f>_xlfn.XLOOKUP(frasest[[#This Row],[autor_es]],autorest[autor_es],autorest[epoca_es])</f>
        <v>Epoca Desconocida</v>
      </c>
      <c r="P1210" t="str">
        <f>_xlfn.XLOOKUP(frasest[[#This Row],[autor_es]],autorest[autor_es],autorest[epoca_la])</f>
        <v>Epocha Ignota</v>
      </c>
      <c r="Q1210" t="str">
        <f>_xlfn.XLOOKUP(frasest[[#This Row],[autor_es]],autorest[autor_es],autorest[imagen])</f>
        <v>https://i.ibb.co/qLfpZm6h/china.png</v>
      </c>
      <c r="R1210">
        <f>_xlfn.XLOOKUP(frasest[[#This Row],[autor_es]],autorest[autor_es],autorest[imagen_atr])</f>
        <v>0</v>
      </c>
    </row>
    <row r="1211" spans="1:18">
      <c r="A1211">
        <v>1210</v>
      </c>
      <c r="B1211" t="s">
        <v>3750</v>
      </c>
      <c r="C1211" t="s">
        <v>3751</v>
      </c>
      <c r="D1211" s="1" t="s">
        <v>3752</v>
      </c>
      <c r="E1211" t="s">
        <v>36</v>
      </c>
      <c r="G1211" t="str">
        <f>_xlfn.XLOOKUP(frasest[[#This Row],[autor_es]],autorest[autor_es],autorest[autor_la])</f>
        <v>Proverbium Sinense</v>
      </c>
      <c r="H1211" t="str">
        <f>_xlfn.XLOOKUP(frasest[[#This Row],[autor_es]],autorest[autor_es],autorest[bio_es])</f>
        <v>Conjunto de proverbios tradicionales de la cultura china que transmiten sabiduría popular, valores morales y enseñanzas prácticas transmitidas oralmente durante siglos.</v>
      </c>
      <c r="I1211" t="str">
        <f>_xlfn.XLOOKUP(frasest[[#This Row],[autor_es]],autorest[autor_es],autorest[bio_la])</f>
        <v>Collectio sententiarum Sinensium, magnopere in cultura tradita.</v>
      </c>
      <c r="J1211" t="str">
        <f>_xlfn.XLOOKUP(frasest[[#This Row],[autor_es]],autorest[autor_es],autorest[codigo])</f>
        <v>zh</v>
      </c>
      <c r="K1211" t="str">
        <f>_xlfn.XLOOKUP(frasest[[#This Row],[autor_es]],autorest[autor_es],autorest[idioma_es])</f>
        <v>Chino</v>
      </c>
      <c r="L1211" t="str">
        <f>_xlfn.XLOOKUP(frasest[[#This Row],[autor_es]],autorest[autor_es],autorest[idioma_la])</f>
        <v>Lingua Sinica</v>
      </c>
      <c r="M1211" t="str">
        <f>_xlfn.XLOOKUP(frasest[[#This Row],[autor_es]],autorest[autor_es],autorest[nacion_es])</f>
        <v>China</v>
      </c>
      <c r="N1211" t="str">
        <f>_xlfn.XLOOKUP(frasest[[#This Row],[autor_es]],autorest[autor_es],autorest[nacion_la])</f>
        <v>Sinae</v>
      </c>
      <c r="O1211" t="str">
        <f>_xlfn.XLOOKUP(frasest[[#This Row],[autor_es]],autorest[autor_es],autorest[epoca_es])</f>
        <v>Epoca Desconocida</v>
      </c>
      <c r="P1211" t="str">
        <f>_xlfn.XLOOKUP(frasest[[#This Row],[autor_es]],autorest[autor_es],autorest[epoca_la])</f>
        <v>Epocha Ignota</v>
      </c>
      <c r="Q1211" t="str">
        <f>_xlfn.XLOOKUP(frasest[[#This Row],[autor_es]],autorest[autor_es],autorest[imagen])</f>
        <v>https://i.ibb.co/qLfpZm6h/china.png</v>
      </c>
      <c r="R1211">
        <f>_xlfn.XLOOKUP(frasest[[#This Row],[autor_es]],autorest[autor_es],autorest[imagen_atr])</f>
        <v>0</v>
      </c>
    </row>
    <row r="1212" spans="1:18">
      <c r="A1212">
        <v>1211</v>
      </c>
      <c r="B1212" t="s">
        <v>3753</v>
      </c>
      <c r="C1212" t="s">
        <v>3754</v>
      </c>
      <c r="D1212" s="1" t="s">
        <v>3755</v>
      </c>
      <c r="E1212" t="s">
        <v>36</v>
      </c>
      <c r="G1212" t="str">
        <f>_xlfn.XLOOKUP(frasest[[#This Row],[autor_es]],autorest[autor_es],autorest[autor_la])</f>
        <v>Proverbium Sinense</v>
      </c>
      <c r="H1212" t="str">
        <f>_xlfn.XLOOKUP(frasest[[#This Row],[autor_es]],autorest[autor_es],autorest[bio_es])</f>
        <v>Conjunto de proverbios tradicionales de la cultura china que transmiten sabiduría popular, valores morales y enseñanzas prácticas transmitidas oralmente durante siglos.</v>
      </c>
      <c r="I1212" t="str">
        <f>_xlfn.XLOOKUP(frasest[[#This Row],[autor_es]],autorest[autor_es],autorest[bio_la])</f>
        <v>Collectio sententiarum Sinensium, magnopere in cultura tradita.</v>
      </c>
      <c r="J1212" t="str">
        <f>_xlfn.XLOOKUP(frasest[[#This Row],[autor_es]],autorest[autor_es],autorest[codigo])</f>
        <v>zh</v>
      </c>
      <c r="K1212" t="str">
        <f>_xlfn.XLOOKUP(frasest[[#This Row],[autor_es]],autorest[autor_es],autorest[idioma_es])</f>
        <v>Chino</v>
      </c>
      <c r="L1212" t="str">
        <f>_xlfn.XLOOKUP(frasest[[#This Row],[autor_es]],autorest[autor_es],autorest[idioma_la])</f>
        <v>Lingua Sinica</v>
      </c>
      <c r="M1212" t="str">
        <f>_xlfn.XLOOKUP(frasest[[#This Row],[autor_es]],autorest[autor_es],autorest[nacion_es])</f>
        <v>China</v>
      </c>
      <c r="N1212" t="str">
        <f>_xlfn.XLOOKUP(frasest[[#This Row],[autor_es]],autorest[autor_es],autorest[nacion_la])</f>
        <v>Sinae</v>
      </c>
      <c r="O1212" t="str">
        <f>_xlfn.XLOOKUP(frasest[[#This Row],[autor_es]],autorest[autor_es],autorest[epoca_es])</f>
        <v>Epoca Desconocida</v>
      </c>
      <c r="P1212" t="str">
        <f>_xlfn.XLOOKUP(frasest[[#This Row],[autor_es]],autorest[autor_es],autorest[epoca_la])</f>
        <v>Epocha Ignota</v>
      </c>
      <c r="Q1212" t="str">
        <f>_xlfn.XLOOKUP(frasest[[#This Row],[autor_es]],autorest[autor_es],autorest[imagen])</f>
        <v>https://i.ibb.co/qLfpZm6h/china.png</v>
      </c>
      <c r="R1212">
        <f>_xlfn.XLOOKUP(frasest[[#This Row],[autor_es]],autorest[autor_es],autorest[imagen_atr])</f>
        <v>0</v>
      </c>
    </row>
    <row r="1213" spans="1:18">
      <c r="A1213">
        <v>1212</v>
      </c>
      <c r="B1213" t="s">
        <v>3756</v>
      </c>
      <c r="C1213" t="s">
        <v>3757</v>
      </c>
      <c r="D1213" s="1" t="s">
        <v>3758</v>
      </c>
      <c r="E1213" t="s">
        <v>36</v>
      </c>
      <c r="G1213" t="str">
        <f>_xlfn.XLOOKUP(frasest[[#This Row],[autor_es]],autorest[autor_es],autorest[autor_la])</f>
        <v>Proverbium Sinense</v>
      </c>
      <c r="H1213" t="str">
        <f>_xlfn.XLOOKUP(frasest[[#This Row],[autor_es]],autorest[autor_es],autorest[bio_es])</f>
        <v>Conjunto de proverbios tradicionales de la cultura china que transmiten sabiduría popular, valores morales y enseñanzas prácticas transmitidas oralmente durante siglos.</v>
      </c>
      <c r="I1213" t="str">
        <f>_xlfn.XLOOKUP(frasest[[#This Row],[autor_es]],autorest[autor_es],autorest[bio_la])</f>
        <v>Collectio sententiarum Sinensium, magnopere in cultura tradita.</v>
      </c>
      <c r="J1213" t="str">
        <f>_xlfn.XLOOKUP(frasest[[#This Row],[autor_es]],autorest[autor_es],autorest[codigo])</f>
        <v>zh</v>
      </c>
      <c r="K1213" t="str">
        <f>_xlfn.XLOOKUP(frasest[[#This Row],[autor_es]],autorest[autor_es],autorest[idioma_es])</f>
        <v>Chino</v>
      </c>
      <c r="L1213" t="str">
        <f>_xlfn.XLOOKUP(frasest[[#This Row],[autor_es]],autorest[autor_es],autorest[idioma_la])</f>
        <v>Lingua Sinica</v>
      </c>
      <c r="M1213" t="str">
        <f>_xlfn.XLOOKUP(frasest[[#This Row],[autor_es]],autorest[autor_es],autorest[nacion_es])</f>
        <v>China</v>
      </c>
      <c r="N1213" t="str">
        <f>_xlfn.XLOOKUP(frasest[[#This Row],[autor_es]],autorest[autor_es],autorest[nacion_la])</f>
        <v>Sinae</v>
      </c>
      <c r="O1213" t="str">
        <f>_xlfn.XLOOKUP(frasest[[#This Row],[autor_es]],autorest[autor_es],autorest[epoca_es])</f>
        <v>Epoca Desconocida</v>
      </c>
      <c r="P1213" t="str">
        <f>_xlfn.XLOOKUP(frasest[[#This Row],[autor_es]],autorest[autor_es],autorest[epoca_la])</f>
        <v>Epocha Ignota</v>
      </c>
      <c r="Q1213" t="str">
        <f>_xlfn.XLOOKUP(frasest[[#This Row],[autor_es]],autorest[autor_es],autorest[imagen])</f>
        <v>https://i.ibb.co/qLfpZm6h/china.png</v>
      </c>
      <c r="R1213">
        <f>_xlfn.XLOOKUP(frasest[[#This Row],[autor_es]],autorest[autor_es],autorest[imagen_atr])</f>
        <v>0</v>
      </c>
    </row>
    <row r="1214" spans="1:18">
      <c r="A1214">
        <v>1213</v>
      </c>
      <c r="B1214" t="s">
        <v>3759</v>
      </c>
      <c r="C1214" t="s">
        <v>3760</v>
      </c>
      <c r="D1214" s="1" t="s">
        <v>3761</v>
      </c>
      <c r="E1214" t="s">
        <v>36</v>
      </c>
      <c r="G1214" t="str">
        <f>_xlfn.XLOOKUP(frasest[[#This Row],[autor_es]],autorest[autor_es],autorest[autor_la])</f>
        <v>Proverbium Sinense</v>
      </c>
      <c r="H1214" t="str">
        <f>_xlfn.XLOOKUP(frasest[[#This Row],[autor_es]],autorest[autor_es],autorest[bio_es])</f>
        <v>Conjunto de proverbios tradicionales de la cultura china que transmiten sabiduría popular, valores morales y enseñanzas prácticas transmitidas oralmente durante siglos.</v>
      </c>
      <c r="I1214" t="str">
        <f>_xlfn.XLOOKUP(frasest[[#This Row],[autor_es]],autorest[autor_es],autorest[bio_la])</f>
        <v>Collectio sententiarum Sinensium, magnopere in cultura tradita.</v>
      </c>
      <c r="J1214" t="str">
        <f>_xlfn.XLOOKUP(frasest[[#This Row],[autor_es]],autorest[autor_es],autorest[codigo])</f>
        <v>zh</v>
      </c>
      <c r="K1214" t="str">
        <f>_xlfn.XLOOKUP(frasest[[#This Row],[autor_es]],autorest[autor_es],autorest[idioma_es])</f>
        <v>Chino</v>
      </c>
      <c r="L1214" t="str">
        <f>_xlfn.XLOOKUP(frasest[[#This Row],[autor_es]],autorest[autor_es],autorest[idioma_la])</f>
        <v>Lingua Sinica</v>
      </c>
      <c r="M1214" t="str">
        <f>_xlfn.XLOOKUP(frasest[[#This Row],[autor_es]],autorest[autor_es],autorest[nacion_es])</f>
        <v>China</v>
      </c>
      <c r="N1214" t="str">
        <f>_xlfn.XLOOKUP(frasest[[#This Row],[autor_es]],autorest[autor_es],autorest[nacion_la])</f>
        <v>Sinae</v>
      </c>
      <c r="O1214" t="str">
        <f>_xlfn.XLOOKUP(frasest[[#This Row],[autor_es]],autorest[autor_es],autorest[epoca_es])</f>
        <v>Epoca Desconocida</v>
      </c>
      <c r="P1214" t="str">
        <f>_xlfn.XLOOKUP(frasest[[#This Row],[autor_es]],autorest[autor_es],autorest[epoca_la])</f>
        <v>Epocha Ignota</v>
      </c>
      <c r="Q1214" t="str">
        <f>_xlfn.XLOOKUP(frasest[[#This Row],[autor_es]],autorest[autor_es],autorest[imagen])</f>
        <v>https://i.ibb.co/qLfpZm6h/china.png</v>
      </c>
      <c r="R1214">
        <f>_xlfn.XLOOKUP(frasest[[#This Row],[autor_es]],autorest[autor_es],autorest[imagen_atr])</f>
        <v>0</v>
      </c>
    </row>
    <row r="1215" spans="1:18">
      <c r="A1215">
        <v>1214</v>
      </c>
      <c r="B1215" t="s">
        <v>3762</v>
      </c>
      <c r="C1215" t="s">
        <v>3763</v>
      </c>
      <c r="D1215" s="1" t="s">
        <v>3764</v>
      </c>
      <c r="E1215" t="s">
        <v>36</v>
      </c>
      <c r="G1215" t="str">
        <f>_xlfn.XLOOKUP(frasest[[#This Row],[autor_es]],autorest[autor_es],autorest[autor_la])</f>
        <v>Proverbium Sinense</v>
      </c>
      <c r="H1215" t="str">
        <f>_xlfn.XLOOKUP(frasest[[#This Row],[autor_es]],autorest[autor_es],autorest[bio_es])</f>
        <v>Conjunto de proverbios tradicionales de la cultura china que transmiten sabiduría popular, valores morales y enseñanzas prácticas transmitidas oralmente durante siglos.</v>
      </c>
      <c r="I1215" t="str">
        <f>_xlfn.XLOOKUP(frasest[[#This Row],[autor_es]],autorest[autor_es],autorest[bio_la])</f>
        <v>Collectio sententiarum Sinensium, magnopere in cultura tradita.</v>
      </c>
      <c r="J1215" t="str">
        <f>_xlfn.XLOOKUP(frasest[[#This Row],[autor_es]],autorest[autor_es],autorest[codigo])</f>
        <v>zh</v>
      </c>
      <c r="K1215" t="str">
        <f>_xlfn.XLOOKUP(frasest[[#This Row],[autor_es]],autorest[autor_es],autorest[idioma_es])</f>
        <v>Chino</v>
      </c>
      <c r="L1215" t="str">
        <f>_xlfn.XLOOKUP(frasest[[#This Row],[autor_es]],autorest[autor_es],autorest[idioma_la])</f>
        <v>Lingua Sinica</v>
      </c>
      <c r="M1215" t="str">
        <f>_xlfn.XLOOKUP(frasest[[#This Row],[autor_es]],autorest[autor_es],autorest[nacion_es])</f>
        <v>China</v>
      </c>
      <c r="N1215" t="str">
        <f>_xlfn.XLOOKUP(frasest[[#This Row],[autor_es]],autorest[autor_es],autorest[nacion_la])</f>
        <v>Sinae</v>
      </c>
      <c r="O1215" t="str">
        <f>_xlfn.XLOOKUP(frasest[[#This Row],[autor_es]],autorest[autor_es],autorest[epoca_es])</f>
        <v>Epoca Desconocida</v>
      </c>
      <c r="P1215" t="str">
        <f>_xlfn.XLOOKUP(frasest[[#This Row],[autor_es]],autorest[autor_es],autorest[epoca_la])</f>
        <v>Epocha Ignota</v>
      </c>
      <c r="Q1215" t="str">
        <f>_xlfn.XLOOKUP(frasest[[#This Row],[autor_es]],autorest[autor_es],autorest[imagen])</f>
        <v>https://i.ibb.co/qLfpZm6h/china.png</v>
      </c>
      <c r="R1215">
        <f>_xlfn.XLOOKUP(frasest[[#This Row],[autor_es]],autorest[autor_es],autorest[imagen_atr])</f>
        <v>0</v>
      </c>
    </row>
    <row r="1216" spans="1:18">
      <c r="A1216">
        <v>1215</v>
      </c>
      <c r="B1216" t="s">
        <v>3765</v>
      </c>
      <c r="C1216" t="s">
        <v>3766</v>
      </c>
      <c r="D1216" s="1" t="s">
        <v>3694</v>
      </c>
      <c r="E1216" t="s">
        <v>36</v>
      </c>
      <c r="G1216" t="str">
        <f>_xlfn.XLOOKUP(frasest[[#This Row],[autor_es]],autorest[autor_es],autorest[autor_la])</f>
        <v>Proverbium Sinense</v>
      </c>
      <c r="H1216" t="str">
        <f>_xlfn.XLOOKUP(frasest[[#This Row],[autor_es]],autorest[autor_es],autorest[bio_es])</f>
        <v>Conjunto de proverbios tradicionales de la cultura china que transmiten sabiduría popular, valores morales y enseñanzas prácticas transmitidas oralmente durante siglos.</v>
      </c>
      <c r="I1216" t="str">
        <f>_xlfn.XLOOKUP(frasest[[#This Row],[autor_es]],autorest[autor_es],autorest[bio_la])</f>
        <v>Collectio sententiarum Sinensium, magnopere in cultura tradita.</v>
      </c>
      <c r="J1216" t="str">
        <f>_xlfn.XLOOKUP(frasest[[#This Row],[autor_es]],autorest[autor_es],autorest[codigo])</f>
        <v>zh</v>
      </c>
      <c r="K1216" t="str">
        <f>_xlfn.XLOOKUP(frasest[[#This Row],[autor_es]],autorest[autor_es],autorest[idioma_es])</f>
        <v>Chino</v>
      </c>
      <c r="L1216" t="str">
        <f>_xlfn.XLOOKUP(frasest[[#This Row],[autor_es]],autorest[autor_es],autorest[idioma_la])</f>
        <v>Lingua Sinica</v>
      </c>
      <c r="M1216" t="str">
        <f>_xlfn.XLOOKUP(frasest[[#This Row],[autor_es]],autorest[autor_es],autorest[nacion_es])</f>
        <v>China</v>
      </c>
      <c r="N1216" t="str">
        <f>_xlfn.XLOOKUP(frasest[[#This Row],[autor_es]],autorest[autor_es],autorest[nacion_la])</f>
        <v>Sinae</v>
      </c>
      <c r="O1216" t="str">
        <f>_xlfn.XLOOKUP(frasest[[#This Row],[autor_es]],autorest[autor_es],autorest[epoca_es])</f>
        <v>Epoca Desconocida</v>
      </c>
      <c r="P1216" t="str">
        <f>_xlfn.XLOOKUP(frasest[[#This Row],[autor_es]],autorest[autor_es],autorest[epoca_la])</f>
        <v>Epocha Ignota</v>
      </c>
      <c r="Q1216" t="str">
        <f>_xlfn.XLOOKUP(frasest[[#This Row],[autor_es]],autorest[autor_es],autorest[imagen])</f>
        <v>https://i.ibb.co/qLfpZm6h/china.png</v>
      </c>
      <c r="R1216">
        <f>_xlfn.XLOOKUP(frasest[[#This Row],[autor_es]],autorest[autor_es],autorest[imagen_atr])</f>
        <v>0</v>
      </c>
    </row>
    <row r="1217" spans="1:18">
      <c r="A1217">
        <v>1216</v>
      </c>
      <c r="B1217" t="s">
        <v>3767</v>
      </c>
      <c r="C1217" t="s">
        <v>3768</v>
      </c>
      <c r="D1217" s="1" t="s">
        <v>3769</v>
      </c>
      <c r="E1217" t="s">
        <v>36</v>
      </c>
      <c r="G1217" t="str">
        <f>_xlfn.XLOOKUP(frasest[[#This Row],[autor_es]],autorest[autor_es],autorest[autor_la])</f>
        <v>Proverbium Sinense</v>
      </c>
      <c r="H1217" t="str">
        <f>_xlfn.XLOOKUP(frasest[[#This Row],[autor_es]],autorest[autor_es],autorest[bio_es])</f>
        <v>Conjunto de proverbios tradicionales de la cultura china que transmiten sabiduría popular, valores morales y enseñanzas prácticas transmitidas oralmente durante siglos.</v>
      </c>
      <c r="I1217" t="str">
        <f>_xlfn.XLOOKUP(frasest[[#This Row],[autor_es]],autorest[autor_es],autorest[bio_la])</f>
        <v>Collectio sententiarum Sinensium, magnopere in cultura tradita.</v>
      </c>
      <c r="J1217" t="str">
        <f>_xlfn.XLOOKUP(frasest[[#This Row],[autor_es]],autorest[autor_es],autorest[codigo])</f>
        <v>zh</v>
      </c>
      <c r="K1217" t="str">
        <f>_xlfn.XLOOKUP(frasest[[#This Row],[autor_es]],autorest[autor_es],autorest[idioma_es])</f>
        <v>Chino</v>
      </c>
      <c r="L1217" t="str">
        <f>_xlfn.XLOOKUP(frasest[[#This Row],[autor_es]],autorest[autor_es],autorest[idioma_la])</f>
        <v>Lingua Sinica</v>
      </c>
      <c r="M1217" t="str">
        <f>_xlfn.XLOOKUP(frasest[[#This Row],[autor_es]],autorest[autor_es],autorest[nacion_es])</f>
        <v>China</v>
      </c>
      <c r="N1217" t="str">
        <f>_xlfn.XLOOKUP(frasest[[#This Row],[autor_es]],autorest[autor_es],autorest[nacion_la])</f>
        <v>Sinae</v>
      </c>
      <c r="O1217" t="str">
        <f>_xlfn.XLOOKUP(frasest[[#This Row],[autor_es]],autorest[autor_es],autorest[epoca_es])</f>
        <v>Epoca Desconocida</v>
      </c>
      <c r="P1217" t="str">
        <f>_xlfn.XLOOKUP(frasest[[#This Row],[autor_es]],autorest[autor_es],autorest[epoca_la])</f>
        <v>Epocha Ignota</v>
      </c>
      <c r="Q1217" t="str">
        <f>_xlfn.XLOOKUP(frasest[[#This Row],[autor_es]],autorest[autor_es],autorest[imagen])</f>
        <v>https://i.ibb.co/qLfpZm6h/china.png</v>
      </c>
      <c r="R1217">
        <f>_xlfn.XLOOKUP(frasest[[#This Row],[autor_es]],autorest[autor_es],autorest[imagen_atr])</f>
        <v>0</v>
      </c>
    </row>
    <row r="1218" spans="1:18">
      <c r="A1218">
        <v>1217</v>
      </c>
      <c r="B1218" t="s">
        <v>3770</v>
      </c>
      <c r="C1218" t="s">
        <v>3771</v>
      </c>
      <c r="D1218" s="1" t="s">
        <v>3772</v>
      </c>
      <c r="E1218" t="s">
        <v>36</v>
      </c>
      <c r="G1218" t="str">
        <f>_xlfn.XLOOKUP(frasest[[#This Row],[autor_es]],autorest[autor_es],autorest[autor_la])</f>
        <v>Proverbium Sinense</v>
      </c>
      <c r="H1218" t="str">
        <f>_xlfn.XLOOKUP(frasest[[#This Row],[autor_es]],autorest[autor_es],autorest[bio_es])</f>
        <v>Conjunto de proverbios tradicionales de la cultura china que transmiten sabiduría popular, valores morales y enseñanzas prácticas transmitidas oralmente durante siglos.</v>
      </c>
      <c r="I1218" t="str">
        <f>_xlfn.XLOOKUP(frasest[[#This Row],[autor_es]],autorest[autor_es],autorest[bio_la])</f>
        <v>Collectio sententiarum Sinensium, magnopere in cultura tradita.</v>
      </c>
      <c r="J1218" t="str">
        <f>_xlfn.XLOOKUP(frasest[[#This Row],[autor_es]],autorest[autor_es],autorest[codigo])</f>
        <v>zh</v>
      </c>
      <c r="K1218" t="str">
        <f>_xlfn.XLOOKUP(frasest[[#This Row],[autor_es]],autorest[autor_es],autorest[idioma_es])</f>
        <v>Chino</v>
      </c>
      <c r="L1218" t="str">
        <f>_xlfn.XLOOKUP(frasest[[#This Row],[autor_es]],autorest[autor_es],autorest[idioma_la])</f>
        <v>Lingua Sinica</v>
      </c>
      <c r="M1218" t="str">
        <f>_xlfn.XLOOKUP(frasest[[#This Row],[autor_es]],autorest[autor_es],autorest[nacion_es])</f>
        <v>China</v>
      </c>
      <c r="N1218" t="str">
        <f>_xlfn.XLOOKUP(frasest[[#This Row],[autor_es]],autorest[autor_es],autorest[nacion_la])</f>
        <v>Sinae</v>
      </c>
      <c r="O1218" t="str">
        <f>_xlfn.XLOOKUP(frasest[[#This Row],[autor_es]],autorest[autor_es],autorest[epoca_es])</f>
        <v>Epoca Desconocida</v>
      </c>
      <c r="P1218" t="str">
        <f>_xlfn.XLOOKUP(frasest[[#This Row],[autor_es]],autorest[autor_es],autorest[epoca_la])</f>
        <v>Epocha Ignota</v>
      </c>
      <c r="Q1218" t="str">
        <f>_xlfn.XLOOKUP(frasest[[#This Row],[autor_es]],autorest[autor_es],autorest[imagen])</f>
        <v>https://i.ibb.co/qLfpZm6h/china.png</v>
      </c>
      <c r="R1218">
        <f>_xlfn.XLOOKUP(frasest[[#This Row],[autor_es]],autorest[autor_es],autorest[imagen_atr])</f>
        <v>0</v>
      </c>
    </row>
    <row r="1219" spans="1:18">
      <c r="A1219">
        <v>1218</v>
      </c>
      <c r="B1219" t="s">
        <v>3773</v>
      </c>
      <c r="C1219" t="s">
        <v>3774</v>
      </c>
      <c r="D1219" s="1" t="s">
        <v>3775</v>
      </c>
      <c r="E1219" t="s">
        <v>36</v>
      </c>
      <c r="G1219" t="str">
        <f>_xlfn.XLOOKUP(frasest[[#This Row],[autor_es]],autorest[autor_es],autorest[autor_la])</f>
        <v>Proverbium Sinense</v>
      </c>
      <c r="H1219" t="str">
        <f>_xlfn.XLOOKUP(frasest[[#This Row],[autor_es]],autorest[autor_es],autorest[bio_es])</f>
        <v>Conjunto de proverbios tradicionales de la cultura china que transmiten sabiduría popular, valores morales y enseñanzas prácticas transmitidas oralmente durante siglos.</v>
      </c>
      <c r="I1219" t="str">
        <f>_xlfn.XLOOKUP(frasest[[#This Row],[autor_es]],autorest[autor_es],autorest[bio_la])</f>
        <v>Collectio sententiarum Sinensium, magnopere in cultura tradita.</v>
      </c>
      <c r="J1219" t="str">
        <f>_xlfn.XLOOKUP(frasest[[#This Row],[autor_es]],autorest[autor_es],autorest[codigo])</f>
        <v>zh</v>
      </c>
      <c r="K1219" t="str">
        <f>_xlfn.XLOOKUP(frasest[[#This Row],[autor_es]],autorest[autor_es],autorest[idioma_es])</f>
        <v>Chino</v>
      </c>
      <c r="L1219" t="str">
        <f>_xlfn.XLOOKUP(frasest[[#This Row],[autor_es]],autorest[autor_es],autorest[idioma_la])</f>
        <v>Lingua Sinica</v>
      </c>
      <c r="M1219" t="str">
        <f>_xlfn.XLOOKUP(frasest[[#This Row],[autor_es]],autorest[autor_es],autorest[nacion_es])</f>
        <v>China</v>
      </c>
      <c r="N1219" t="str">
        <f>_xlfn.XLOOKUP(frasest[[#This Row],[autor_es]],autorest[autor_es],autorest[nacion_la])</f>
        <v>Sinae</v>
      </c>
      <c r="O1219" t="str">
        <f>_xlfn.XLOOKUP(frasest[[#This Row],[autor_es]],autorest[autor_es],autorest[epoca_es])</f>
        <v>Epoca Desconocida</v>
      </c>
      <c r="P1219" t="str">
        <f>_xlfn.XLOOKUP(frasest[[#This Row],[autor_es]],autorest[autor_es],autorest[epoca_la])</f>
        <v>Epocha Ignota</v>
      </c>
      <c r="Q1219" t="str">
        <f>_xlfn.XLOOKUP(frasest[[#This Row],[autor_es]],autorest[autor_es],autorest[imagen])</f>
        <v>https://i.ibb.co/qLfpZm6h/china.png</v>
      </c>
      <c r="R1219">
        <f>_xlfn.XLOOKUP(frasest[[#This Row],[autor_es]],autorest[autor_es],autorest[imagen_atr])</f>
        <v>0</v>
      </c>
    </row>
    <row r="1220" spans="1:18">
      <c r="A1220">
        <v>1219</v>
      </c>
      <c r="B1220" t="s">
        <v>3776</v>
      </c>
      <c r="C1220" t="s">
        <v>3777</v>
      </c>
      <c r="D1220" s="1" t="s">
        <v>3778</v>
      </c>
      <c r="E1220" t="s">
        <v>36</v>
      </c>
      <c r="G1220" t="str">
        <f>_xlfn.XLOOKUP(frasest[[#This Row],[autor_es]],autorest[autor_es],autorest[autor_la])</f>
        <v>Proverbium Sinense</v>
      </c>
      <c r="H1220" t="str">
        <f>_xlfn.XLOOKUP(frasest[[#This Row],[autor_es]],autorest[autor_es],autorest[bio_es])</f>
        <v>Conjunto de proverbios tradicionales de la cultura china que transmiten sabiduría popular, valores morales y enseñanzas prácticas transmitidas oralmente durante siglos.</v>
      </c>
      <c r="I1220" t="str">
        <f>_xlfn.XLOOKUP(frasest[[#This Row],[autor_es]],autorest[autor_es],autorest[bio_la])</f>
        <v>Collectio sententiarum Sinensium, magnopere in cultura tradita.</v>
      </c>
      <c r="J1220" t="str">
        <f>_xlfn.XLOOKUP(frasest[[#This Row],[autor_es]],autorest[autor_es],autorest[codigo])</f>
        <v>zh</v>
      </c>
      <c r="K1220" t="str">
        <f>_xlfn.XLOOKUP(frasest[[#This Row],[autor_es]],autorest[autor_es],autorest[idioma_es])</f>
        <v>Chino</v>
      </c>
      <c r="L1220" t="str">
        <f>_xlfn.XLOOKUP(frasest[[#This Row],[autor_es]],autorest[autor_es],autorest[idioma_la])</f>
        <v>Lingua Sinica</v>
      </c>
      <c r="M1220" t="str">
        <f>_xlfn.XLOOKUP(frasest[[#This Row],[autor_es]],autorest[autor_es],autorest[nacion_es])</f>
        <v>China</v>
      </c>
      <c r="N1220" t="str">
        <f>_xlfn.XLOOKUP(frasest[[#This Row],[autor_es]],autorest[autor_es],autorest[nacion_la])</f>
        <v>Sinae</v>
      </c>
      <c r="O1220" t="str">
        <f>_xlfn.XLOOKUP(frasest[[#This Row],[autor_es]],autorest[autor_es],autorest[epoca_es])</f>
        <v>Epoca Desconocida</v>
      </c>
      <c r="P1220" t="str">
        <f>_xlfn.XLOOKUP(frasest[[#This Row],[autor_es]],autorest[autor_es],autorest[epoca_la])</f>
        <v>Epocha Ignota</v>
      </c>
      <c r="Q1220" t="str">
        <f>_xlfn.XLOOKUP(frasest[[#This Row],[autor_es]],autorest[autor_es],autorest[imagen])</f>
        <v>https://i.ibb.co/qLfpZm6h/china.png</v>
      </c>
      <c r="R1220">
        <f>_xlfn.XLOOKUP(frasest[[#This Row],[autor_es]],autorest[autor_es],autorest[imagen_atr])</f>
        <v>0</v>
      </c>
    </row>
    <row r="1221" spans="1:18">
      <c r="A1221">
        <v>1220</v>
      </c>
      <c r="B1221" t="s">
        <v>3779</v>
      </c>
      <c r="C1221" t="s">
        <v>3780</v>
      </c>
      <c r="D1221" s="1" t="s">
        <v>3781</v>
      </c>
      <c r="E1221" t="s">
        <v>36</v>
      </c>
      <c r="G1221" t="str">
        <f>_xlfn.XLOOKUP(frasest[[#This Row],[autor_es]],autorest[autor_es],autorest[autor_la])</f>
        <v>Proverbium Sinense</v>
      </c>
      <c r="H1221" t="str">
        <f>_xlfn.XLOOKUP(frasest[[#This Row],[autor_es]],autorest[autor_es],autorest[bio_es])</f>
        <v>Conjunto de proverbios tradicionales de la cultura china que transmiten sabiduría popular, valores morales y enseñanzas prácticas transmitidas oralmente durante siglos.</v>
      </c>
      <c r="I1221" t="str">
        <f>_xlfn.XLOOKUP(frasest[[#This Row],[autor_es]],autorest[autor_es],autorest[bio_la])</f>
        <v>Collectio sententiarum Sinensium, magnopere in cultura tradita.</v>
      </c>
      <c r="J1221" t="str">
        <f>_xlfn.XLOOKUP(frasest[[#This Row],[autor_es]],autorest[autor_es],autorest[codigo])</f>
        <v>zh</v>
      </c>
      <c r="K1221" t="str">
        <f>_xlfn.XLOOKUP(frasest[[#This Row],[autor_es]],autorest[autor_es],autorest[idioma_es])</f>
        <v>Chino</v>
      </c>
      <c r="L1221" t="str">
        <f>_xlfn.XLOOKUP(frasest[[#This Row],[autor_es]],autorest[autor_es],autorest[idioma_la])</f>
        <v>Lingua Sinica</v>
      </c>
      <c r="M1221" t="str">
        <f>_xlfn.XLOOKUP(frasest[[#This Row],[autor_es]],autorest[autor_es],autorest[nacion_es])</f>
        <v>China</v>
      </c>
      <c r="N1221" t="str">
        <f>_xlfn.XLOOKUP(frasest[[#This Row],[autor_es]],autorest[autor_es],autorest[nacion_la])</f>
        <v>Sinae</v>
      </c>
      <c r="O1221" t="str">
        <f>_xlfn.XLOOKUP(frasest[[#This Row],[autor_es]],autorest[autor_es],autorest[epoca_es])</f>
        <v>Epoca Desconocida</v>
      </c>
      <c r="P1221" t="str">
        <f>_xlfn.XLOOKUP(frasest[[#This Row],[autor_es]],autorest[autor_es],autorest[epoca_la])</f>
        <v>Epocha Ignota</v>
      </c>
      <c r="Q1221" t="str">
        <f>_xlfn.XLOOKUP(frasest[[#This Row],[autor_es]],autorest[autor_es],autorest[imagen])</f>
        <v>https://i.ibb.co/qLfpZm6h/china.png</v>
      </c>
      <c r="R1221">
        <f>_xlfn.XLOOKUP(frasest[[#This Row],[autor_es]],autorest[autor_es],autorest[imagen_atr])</f>
        <v>0</v>
      </c>
    </row>
    <row r="1222" spans="1:18">
      <c r="A1222">
        <v>1221</v>
      </c>
      <c r="B1222" t="s">
        <v>3782</v>
      </c>
      <c r="C1222" t="s">
        <v>3783</v>
      </c>
      <c r="D1222" s="1" t="s">
        <v>3784</v>
      </c>
      <c r="E1222" t="s">
        <v>36</v>
      </c>
      <c r="G1222" t="str">
        <f>_xlfn.XLOOKUP(frasest[[#This Row],[autor_es]],autorest[autor_es],autorest[autor_la])</f>
        <v>Proverbium Sinense</v>
      </c>
      <c r="H1222" t="str">
        <f>_xlfn.XLOOKUP(frasest[[#This Row],[autor_es]],autorest[autor_es],autorest[bio_es])</f>
        <v>Conjunto de proverbios tradicionales de la cultura china que transmiten sabiduría popular, valores morales y enseñanzas prácticas transmitidas oralmente durante siglos.</v>
      </c>
      <c r="I1222" t="str">
        <f>_xlfn.XLOOKUP(frasest[[#This Row],[autor_es]],autorest[autor_es],autorest[bio_la])</f>
        <v>Collectio sententiarum Sinensium, magnopere in cultura tradita.</v>
      </c>
      <c r="J1222" t="str">
        <f>_xlfn.XLOOKUP(frasest[[#This Row],[autor_es]],autorest[autor_es],autorest[codigo])</f>
        <v>zh</v>
      </c>
      <c r="K1222" t="str">
        <f>_xlfn.XLOOKUP(frasest[[#This Row],[autor_es]],autorest[autor_es],autorest[idioma_es])</f>
        <v>Chino</v>
      </c>
      <c r="L1222" t="str">
        <f>_xlfn.XLOOKUP(frasest[[#This Row],[autor_es]],autorest[autor_es],autorest[idioma_la])</f>
        <v>Lingua Sinica</v>
      </c>
      <c r="M1222" t="str">
        <f>_xlfn.XLOOKUP(frasest[[#This Row],[autor_es]],autorest[autor_es],autorest[nacion_es])</f>
        <v>China</v>
      </c>
      <c r="N1222" t="str">
        <f>_xlfn.XLOOKUP(frasest[[#This Row],[autor_es]],autorest[autor_es],autorest[nacion_la])</f>
        <v>Sinae</v>
      </c>
      <c r="O1222" t="str">
        <f>_xlfn.XLOOKUP(frasest[[#This Row],[autor_es]],autorest[autor_es],autorest[epoca_es])</f>
        <v>Epoca Desconocida</v>
      </c>
      <c r="P1222" t="str">
        <f>_xlfn.XLOOKUP(frasest[[#This Row],[autor_es]],autorest[autor_es],autorest[epoca_la])</f>
        <v>Epocha Ignota</v>
      </c>
      <c r="Q1222" t="str">
        <f>_xlfn.XLOOKUP(frasest[[#This Row],[autor_es]],autorest[autor_es],autorest[imagen])</f>
        <v>https://i.ibb.co/qLfpZm6h/china.png</v>
      </c>
      <c r="R1222">
        <f>_xlfn.XLOOKUP(frasest[[#This Row],[autor_es]],autorest[autor_es],autorest[imagen_atr])</f>
        <v>0</v>
      </c>
    </row>
    <row r="1223" spans="1:18">
      <c r="A1223">
        <v>1222</v>
      </c>
      <c r="B1223" t="s">
        <v>3785</v>
      </c>
      <c r="C1223" t="s">
        <v>3786</v>
      </c>
      <c r="D1223" s="1" t="s">
        <v>3787</v>
      </c>
      <c r="E1223" t="s">
        <v>36</v>
      </c>
      <c r="G1223" t="str">
        <f>_xlfn.XLOOKUP(frasest[[#This Row],[autor_es]],autorest[autor_es],autorest[autor_la])</f>
        <v>Proverbium Sinense</v>
      </c>
      <c r="H1223" t="str">
        <f>_xlfn.XLOOKUP(frasest[[#This Row],[autor_es]],autorest[autor_es],autorest[bio_es])</f>
        <v>Conjunto de proverbios tradicionales de la cultura china que transmiten sabiduría popular, valores morales y enseñanzas prácticas transmitidas oralmente durante siglos.</v>
      </c>
      <c r="I1223" t="str">
        <f>_xlfn.XLOOKUP(frasest[[#This Row],[autor_es]],autorest[autor_es],autorest[bio_la])</f>
        <v>Collectio sententiarum Sinensium, magnopere in cultura tradita.</v>
      </c>
      <c r="J1223" t="str">
        <f>_xlfn.XLOOKUP(frasest[[#This Row],[autor_es]],autorest[autor_es],autorest[codigo])</f>
        <v>zh</v>
      </c>
      <c r="K1223" t="str">
        <f>_xlfn.XLOOKUP(frasest[[#This Row],[autor_es]],autorest[autor_es],autorest[idioma_es])</f>
        <v>Chino</v>
      </c>
      <c r="L1223" t="str">
        <f>_xlfn.XLOOKUP(frasest[[#This Row],[autor_es]],autorest[autor_es],autorest[idioma_la])</f>
        <v>Lingua Sinica</v>
      </c>
      <c r="M1223" t="str">
        <f>_xlfn.XLOOKUP(frasest[[#This Row],[autor_es]],autorest[autor_es],autorest[nacion_es])</f>
        <v>China</v>
      </c>
      <c r="N1223" t="str">
        <f>_xlfn.XLOOKUP(frasest[[#This Row],[autor_es]],autorest[autor_es],autorest[nacion_la])</f>
        <v>Sinae</v>
      </c>
      <c r="O1223" t="str">
        <f>_xlfn.XLOOKUP(frasest[[#This Row],[autor_es]],autorest[autor_es],autorest[epoca_es])</f>
        <v>Epoca Desconocida</v>
      </c>
      <c r="P1223" t="str">
        <f>_xlfn.XLOOKUP(frasest[[#This Row],[autor_es]],autorest[autor_es],autorest[epoca_la])</f>
        <v>Epocha Ignota</v>
      </c>
      <c r="Q1223" t="str">
        <f>_xlfn.XLOOKUP(frasest[[#This Row],[autor_es]],autorest[autor_es],autorest[imagen])</f>
        <v>https://i.ibb.co/qLfpZm6h/china.png</v>
      </c>
      <c r="R1223">
        <f>_xlfn.XLOOKUP(frasest[[#This Row],[autor_es]],autorest[autor_es],autorest[imagen_atr])</f>
        <v>0</v>
      </c>
    </row>
    <row r="1224" spans="1:18">
      <c r="A1224">
        <v>1223</v>
      </c>
      <c r="B1224" t="s">
        <v>3788</v>
      </c>
      <c r="C1224" t="s">
        <v>3789</v>
      </c>
      <c r="D1224" s="1" t="s">
        <v>3790</v>
      </c>
      <c r="E1224" t="s">
        <v>36</v>
      </c>
      <c r="G1224" t="str">
        <f>_xlfn.XLOOKUP(frasest[[#This Row],[autor_es]],autorest[autor_es],autorest[autor_la])</f>
        <v>Proverbium Sinense</v>
      </c>
      <c r="H1224" t="str">
        <f>_xlfn.XLOOKUP(frasest[[#This Row],[autor_es]],autorest[autor_es],autorest[bio_es])</f>
        <v>Conjunto de proverbios tradicionales de la cultura china que transmiten sabiduría popular, valores morales y enseñanzas prácticas transmitidas oralmente durante siglos.</v>
      </c>
      <c r="I1224" t="str">
        <f>_xlfn.XLOOKUP(frasest[[#This Row],[autor_es]],autorest[autor_es],autorest[bio_la])</f>
        <v>Collectio sententiarum Sinensium, magnopere in cultura tradita.</v>
      </c>
      <c r="J1224" t="str">
        <f>_xlfn.XLOOKUP(frasest[[#This Row],[autor_es]],autorest[autor_es],autorest[codigo])</f>
        <v>zh</v>
      </c>
      <c r="K1224" t="str">
        <f>_xlfn.XLOOKUP(frasest[[#This Row],[autor_es]],autorest[autor_es],autorest[idioma_es])</f>
        <v>Chino</v>
      </c>
      <c r="L1224" t="str">
        <f>_xlfn.XLOOKUP(frasest[[#This Row],[autor_es]],autorest[autor_es],autorest[idioma_la])</f>
        <v>Lingua Sinica</v>
      </c>
      <c r="M1224" t="str">
        <f>_xlfn.XLOOKUP(frasest[[#This Row],[autor_es]],autorest[autor_es],autorest[nacion_es])</f>
        <v>China</v>
      </c>
      <c r="N1224" t="str">
        <f>_xlfn.XLOOKUP(frasest[[#This Row],[autor_es]],autorest[autor_es],autorest[nacion_la])</f>
        <v>Sinae</v>
      </c>
      <c r="O1224" t="str">
        <f>_xlfn.XLOOKUP(frasest[[#This Row],[autor_es]],autorest[autor_es],autorest[epoca_es])</f>
        <v>Epoca Desconocida</v>
      </c>
      <c r="P1224" t="str">
        <f>_xlfn.XLOOKUP(frasest[[#This Row],[autor_es]],autorest[autor_es],autorest[epoca_la])</f>
        <v>Epocha Ignota</v>
      </c>
      <c r="Q1224" t="str">
        <f>_xlfn.XLOOKUP(frasest[[#This Row],[autor_es]],autorest[autor_es],autorest[imagen])</f>
        <v>https://i.ibb.co/qLfpZm6h/china.png</v>
      </c>
      <c r="R1224">
        <f>_xlfn.XLOOKUP(frasest[[#This Row],[autor_es]],autorest[autor_es],autorest[imagen_atr])</f>
        <v>0</v>
      </c>
    </row>
    <row r="1225" spans="1:18">
      <c r="A1225">
        <v>1224</v>
      </c>
      <c r="B1225" t="s">
        <v>3791</v>
      </c>
      <c r="C1225" t="s">
        <v>3792</v>
      </c>
      <c r="D1225" s="1" t="s">
        <v>3793</v>
      </c>
      <c r="E1225" t="s">
        <v>36</v>
      </c>
      <c r="G1225" t="str">
        <f>_xlfn.XLOOKUP(frasest[[#This Row],[autor_es]],autorest[autor_es],autorest[autor_la])</f>
        <v>Proverbium Sinense</v>
      </c>
      <c r="H1225" t="str">
        <f>_xlfn.XLOOKUP(frasest[[#This Row],[autor_es]],autorest[autor_es],autorest[bio_es])</f>
        <v>Conjunto de proverbios tradicionales de la cultura china que transmiten sabiduría popular, valores morales y enseñanzas prácticas transmitidas oralmente durante siglos.</v>
      </c>
      <c r="I1225" t="str">
        <f>_xlfn.XLOOKUP(frasest[[#This Row],[autor_es]],autorest[autor_es],autorest[bio_la])</f>
        <v>Collectio sententiarum Sinensium, magnopere in cultura tradita.</v>
      </c>
      <c r="J1225" t="str">
        <f>_xlfn.XLOOKUP(frasest[[#This Row],[autor_es]],autorest[autor_es],autorest[codigo])</f>
        <v>zh</v>
      </c>
      <c r="K1225" t="str">
        <f>_xlfn.XLOOKUP(frasest[[#This Row],[autor_es]],autorest[autor_es],autorest[idioma_es])</f>
        <v>Chino</v>
      </c>
      <c r="L1225" t="str">
        <f>_xlfn.XLOOKUP(frasest[[#This Row],[autor_es]],autorest[autor_es],autorest[idioma_la])</f>
        <v>Lingua Sinica</v>
      </c>
      <c r="M1225" t="str">
        <f>_xlfn.XLOOKUP(frasest[[#This Row],[autor_es]],autorest[autor_es],autorest[nacion_es])</f>
        <v>China</v>
      </c>
      <c r="N1225" t="str">
        <f>_xlfn.XLOOKUP(frasest[[#This Row],[autor_es]],autorest[autor_es],autorest[nacion_la])</f>
        <v>Sinae</v>
      </c>
      <c r="O1225" t="str">
        <f>_xlfn.XLOOKUP(frasest[[#This Row],[autor_es]],autorest[autor_es],autorest[epoca_es])</f>
        <v>Epoca Desconocida</v>
      </c>
      <c r="P1225" t="str">
        <f>_xlfn.XLOOKUP(frasest[[#This Row],[autor_es]],autorest[autor_es],autorest[epoca_la])</f>
        <v>Epocha Ignota</v>
      </c>
      <c r="Q1225" t="str">
        <f>_xlfn.XLOOKUP(frasest[[#This Row],[autor_es]],autorest[autor_es],autorest[imagen])</f>
        <v>https://i.ibb.co/qLfpZm6h/china.png</v>
      </c>
      <c r="R1225">
        <f>_xlfn.XLOOKUP(frasest[[#This Row],[autor_es]],autorest[autor_es],autorest[imagen_atr])</f>
        <v>0</v>
      </c>
    </row>
    <row r="1226" spans="1:18">
      <c r="A1226">
        <v>1225</v>
      </c>
      <c r="B1226" t="s">
        <v>3794</v>
      </c>
      <c r="C1226" t="s">
        <v>3795</v>
      </c>
      <c r="D1226" s="1" t="s">
        <v>3796</v>
      </c>
      <c r="E1226" t="s">
        <v>36</v>
      </c>
      <c r="G1226" t="str">
        <f>_xlfn.XLOOKUP(frasest[[#This Row],[autor_es]],autorest[autor_es],autorest[autor_la])</f>
        <v>Proverbium Sinense</v>
      </c>
      <c r="H1226" t="str">
        <f>_xlfn.XLOOKUP(frasest[[#This Row],[autor_es]],autorest[autor_es],autorest[bio_es])</f>
        <v>Conjunto de proverbios tradicionales de la cultura china que transmiten sabiduría popular, valores morales y enseñanzas prácticas transmitidas oralmente durante siglos.</v>
      </c>
      <c r="I1226" t="str">
        <f>_xlfn.XLOOKUP(frasest[[#This Row],[autor_es]],autorest[autor_es],autorest[bio_la])</f>
        <v>Collectio sententiarum Sinensium, magnopere in cultura tradita.</v>
      </c>
      <c r="J1226" t="str">
        <f>_xlfn.XLOOKUP(frasest[[#This Row],[autor_es]],autorest[autor_es],autorest[codigo])</f>
        <v>zh</v>
      </c>
      <c r="K1226" t="str">
        <f>_xlfn.XLOOKUP(frasest[[#This Row],[autor_es]],autorest[autor_es],autorest[idioma_es])</f>
        <v>Chino</v>
      </c>
      <c r="L1226" t="str">
        <f>_xlfn.XLOOKUP(frasest[[#This Row],[autor_es]],autorest[autor_es],autorest[idioma_la])</f>
        <v>Lingua Sinica</v>
      </c>
      <c r="M1226" t="str">
        <f>_xlfn.XLOOKUP(frasest[[#This Row],[autor_es]],autorest[autor_es],autorest[nacion_es])</f>
        <v>China</v>
      </c>
      <c r="N1226" t="str">
        <f>_xlfn.XLOOKUP(frasest[[#This Row],[autor_es]],autorest[autor_es],autorest[nacion_la])</f>
        <v>Sinae</v>
      </c>
      <c r="O1226" t="str">
        <f>_xlfn.XLOOKUP(frasest[[#This Row],[autor_es]],autorest[autor_es],autorest[epoca_es])</f>
        <v>Epoca Desconocida</v>
      </c>
      <c r="P1226" t="str">
        <f>_xlfn.XLOOKUP(frasest[[#This Row],[autor_es]],autorest[autor_es],autorest[epoca_la])</f>
        <v>Epocha Ignota</v>
      </c>
      <c r="Q1226" t="str">
        <f>_xlfn.XLOOKUP(frasest[[#This Row],[autor_es]],autorest[autor_es],autorest[imagen])</f>
        <v>https://i.ibb.co/qLfpZm6h/china.png</v>
      </c>
      <c r="R1226">
        <f>_xlfn.XLOOKUP(frasest[[#This Row],[autor_es]],autorest[autor_es],autorest[imagen_atr])</f>
        <v>0</v>
      </c>
    </row>
    <row r="1227" spans="1:18">
      <c r="A1227">
        <v>1226</v>
      </c>
      <c r="B1227" t="s">
        <v>3797</v>
      </c>
      <c r="C1227" t="s">
        <v>3798</v>
      </c>
      <c r="D1227" s="1" t="s">
        <v>3799</v>
      </c>
      <c r="E1227" t="s">
        <v>36</v>
      </c>
      <c r="G1227" t="str">
        <f>_xlfn.XLOOKUP(frasest[[#This Row],[autor_es]],autorest[autor_es],autorest[autor_la])</f>
        <v>Proverbium Sinense</v>
      </c>
      <c r="H1227" t="str">
        <f>_xlfn.XLOOKUP(frasest[[#This Row],[autor_es]],autorest[autor_es],autorest[bio_es])</f>
        <v>Conjunto de proverbios tradicionales de la cultura china que transmiten sabiduría popular, valores morales y enseñanzas prácticas transmitidas oralmente durante siglos.</v>
      </c>
      <c r="I1227" t="str">
        <f>_xlfn.XLOOKUP(frasest[[#This Row],[autor_es]],autorest[autor_es],autorest[bio_la])</f>
        <v>Collectio sententiarum Sinensium, magnopere in cultura tradita.</v>
      </c>
      <c r="J1227" t="str">
        <f>_xlfn.XLOOKUP(frasest[[#This Row],[autor_es]],autorest[autor_es],autorest[codigo])</f>
        <v>zh</v>
      </c>
      <c r="K1227" t="str">
        <f>_xlfn.XLOOKUP(frasest[[#This Row],[autor_es]],autorest[autor_es],autorest[idioma_es])</f>
        <v>Chino</v>
      </c>
      <c r="L1227" t="str">
        <f>_xlfn.XLOOKUP(frasest[[#This Row],[autor_es]],autorest[autor_es],autorest[idioma_la])</f>
        <v>Lingua Sinica</v>
      </c>
      <c r="M1227" t="str">
        <f>_xlfn.XLOOKUP(frasest[[#This Row],[autor_es]],autorest[autor_es],autorest[nacion_es])</f>
        <v>China</v>
      </c>
      <c r="N1227" t="str">
        <f>_xlfn.XLOOKUP(frasest[[#This Row],[autor_es]],autorest[autor_es],autorest[nacion_la])</f>
        <v>Sinae</v>
      </c>
      <c r="O1227" t="str">
        <f>_xlfn.XLOOKUP(frasest[[#This Row],[autor_es]],autorest[autor_es],autorest[epoca_es])</f>
        <v>Epoca Desconocida</v>
      </c>
      <c r="P1227" t="str">
        <f>_xlfn.XLOOKUP(frasest[[#This Row],[autor_es]],autorest[autor_es],autorest[epoca_la])</f>
        <v>Epocha Ignota</v>
      </c>
      <c r="Q1227" t="str">
        <f>_xlfn.XLOOKUP(frasest[[#This Row],[autor_es]],autorest[autor_es],autorest[imagen])</f>
        <v>https://i.ibb.co/qLfpZm6h/china.png</v>
      </c>
      <c r="R1227">
        <f>_xlfn.XLOOKUP(frasest[[#This Row],[autor_es]],autorest[autor_es],autorest[imagen_atr])</f>
        <v>0</v>
      </c>
    </row>
    <row r="1228" spans="1:18">
      <c r="A1228">
        <v>1227</v>
      </c>
      <c r="B1228" t="s">
        <v>3800</v>
      </c>
      <c r="C1228" t="s">
        <v>3801</v>
      </c>
      <c r="D1228" s="1" t="s">
        <v>1289</v>
      </c>
      <c r="E1228" t="s">
        <v>36</v>
      </c>
      <c r="G1228" t="str">
        <f>_xlfn.XLOOKUP(frasest[[#This Row],[autor_es]],autorest[autor_es],autorest[autor_la])</f>
        <v>Proverbium Sinense</v>
      </c>
      <c r="H1228" t="str">
        <f>_xlfn.XLOOKUP(frasest[[#This Row],[autor_es]],autorest[autor_es],autorest[bio_es])</f>
        <v>Conjunto de proverbios tradicionales de la cultura china que transmiten sabiduría popular, valores morales y enseñanzas prácticas transmitidas oralmente durante siglos.</v>
      </c>
      <c r="I1228" t="str">
        <f>_xlfn.XLOOKUP(frasest[[#This Row],[autor_es]],autorest[autor_es],autorest[bio_la])</f>
        <v>Collectio sententiarum Sinensium, magnopere in cultura tradita.</v>
      </c>
      <c r="J1228" t="str">
        <f>_xlfn.XLOOKUP(frasest[[#This Row],[autor_es]],autorest[autor_es],autorest[codigo])</f>
        <v>zh</v>
      </c>
      <c r="K1228" t="str">
        <f>_xlfn.XLOOKUP(frasest[[#This Row],[autor_es]],autorest[autor_es],autorest[idioma_es])</f>
        <v>Chino</v>
      </c>
      <c r="L1228" t="str">
        <f>_xlfn.XLOOKUP(frasest[[#This Row],[autor_es]],autorest[autor_es],autorest[idioma_la])</f>
        <v>Lingua Sinica</v>
      </c>
      <c r="M1228" t="str">
        <f>_xlfn.XLOOKUP(frasest[[#This Row],[autor_es]],autorest[autor_es],autorest[nacion_es])</f>
        <v>China</v>
      </c>
      <c r="N1228" t="str">
        <f>_xlfn.XLOOKUP(frasest[[#This Row],[autor_es]],autorest[autor_es],autorest[nacion_la])</f>
        <v>Sinae</v>
      </c>
      <c r="O1228" t="str">
        <f>_xlfn.XLOOKUP(frasest[[#This Row],[autor_es]],autorest[autor_es],autorest[epoca_es])</f>
        <v>Epoca Desconocida</v>
      </c>
      <c r="P1228" t="str">
        <f>_xlfn.XLOOKUP(frasest[[#This Row],[autor_es]],autorest[autor_es],autorest[epoca_la])</f>
        <v>Epocha Ignota</v>
      </c>
      <c r="Q1228" t="str">
        <f>_xlfn.XLOOKUP(frasest[[#This Row],[autor_es]],autorest[autor_es],autorest[imagen])</f>
        <v>https://i.ibb.co/qLfpZm6h/china.png</v>
      </c>
      <c r="R1228">
        <f>_xlfn.XLOOKUP(frasest[[#This Row],[autor_es]],autorest[autor_es],autorest[imagen_atr])</f>
        <v>0</v>
      </c>
    </row>
    <row r="1229" spans="1:18">
      <c r="A1229">
        <v>1228</v>
      </c>
      <c r="B1229" t="s">
        <v>3802</v>
      </c>
      <c r="C1229" t="s">
        <v>3803</v>
      </c>
      <c r="D1229" s="1" t="s">
        <v>3804</v>
      </c>
      <c r="E1229" t="s">
        <v>36</v>
      </c>
      <c r="G1229" t="str">
        <f>_xlfn.XLOOKUP(frasest[[#This Row],[autor_es]],autorest[autor_es],autorest[autor_la])</f>
        <v>Proverbium Sinense</v>
      </c>
      <c r="H1229" t="str">
        <f>_xlfn.XLOOKUP(frasest[[#This Row],[autor_es]],autorest[autor_es],autorest[bio_es])</f>
        <v>Conjunto de proverbios tradicionales de la cultura china que transmiten sabiduría popular, valores morales y enseñanzas prácticas transmitidas oralmente durante siglos.</v>
      </c>
      <c r="I1229" t="str">
        <f>_xlfn.XLOOKUP(frasest[[#This Row],[autor_es]],autorest[autor_es],autorest[bio_la])</f>
        <v>Collectio sententiarum Sinensium, magnopere in cultura tradita.</v>
      </c>
      <c r="J1229" t="str">
        <f>_xlfn.XLOOKUP(frasest[[#This Row],[autor_es]],autorest[autor_es],autorest[codigo])</f>
        <v>zh</v>
      </c>
      <c r="K1229" t="str">
        <f>_xlfn.XLOOKUP(frasest[[#This Row],[autor_es]],autorest[autor_es],autorest[idioma_es])</f>
        <v>Chino</v>
      </c>
      <c r="L1229" t="str">
        <f>_xlfn.XLOOKUP(frasest[[#This Row],[autor_es]],autorest[autor_es],autorest[idioma_la])</f>
        <v>Lingua Sinica</v>
      </c>
      <c r="M1229" t="str">
        <f>_xlfn.XLOOKUP(frasest[[#This Row],[autor_es]],autorest[autor_es],autorest[nacion_es])</f>
        <v>China</v>
      </c>
      <c r="N1229" t="str">
        <f>_xlfn.XLOOKUP(frasest[[#This Row],[autor_es]],autorest[autor_es],autorest[nacion_la])</f>
        <v>Sinae</v>
      </c>
      <c r="O1229" t="str">
        <f>_xlfn.XLOOKUP(frasest[[#This Row],[autor_es]],autorest[autor_es],autorest[epoca_es])</f>
        <v>Epoca Desconocida</v>
      </c>
      <c r="P1229" t="str">
        <f>_xlfn.XLOOKUP(frasest[[#This Row],[autor_es]],autorest[autor_es],autorest[epoca_la])</f>
        <v>Epocha Ignota</v>
      </c>
      <c r="Q1229" t="str">
        <f>_xlfn.XLOOKUP(frasest[[#This Row],[autor_es]],autorest[autor_es],autorest[imagen])</f>
        <v>https://i.ibb.co/qLfpZm6h/china.png</v>
      </c>
      <c r="R1229">
        <f>_xlfn.XLOOKUP(frasest[[#This Row],[autor_es]],autorest[autor_es],autorest[imagen_atr])</f>
        <v>0</v>
      </c>
    </row>
    <row r="1230" spans="1:18">
      <c r="A1230">
        <v>1229</v>
      </c>
      <c r="B1230" t="s">
        <v>3805</v>
      </c>
      <c r="C1230" t="s">
        <v>3806</v>
      </c>
      <c r="D1230" s="1" t="s">
        <v>3807</v>
      </c>
      <c r="E1230" t="s">
        <v>36</v>
      </c>
      <c r="G1230" t="str">
        <f>_xlfn.XLOOKUP(frasest[[#This Row],[autor_es]],autorest[autor_es],autorest[autor_la])</f>
        <v>Proverbium Sinense</v>
      </c>
      <c r="H1230" t="str">
        <f>_xlfn.XLOOKUP(frasest[[#This Row],[autor_es]],autorest[autor_es],autorest[bio_es])</f>
        <v>Conjunto de proverbios tradicionales de la cultura china que transmiten sabiduría popular, valores morales y enseñanzas prácticas transmitidas oralmente durante siglos.</v>
      </c>
      <c r="I1230" t="str">
        <f>_xlfn.XLOOKUP(frasest[[#This Row],[autor_es]],autorest[autor_es],autorest[bio_la])</f>
        <v>Collectio sententiarum Sinensium, magnopere in cultura tradita.</v>
      </c>
      <c r="J1230" t="str">
        <f>_xlfn.XLOOKUP(frasest[[#This Row],[autor_es]],autorest[autor_es],autorest[codigo])</f>
        <v>zh</v>
      </c>
      <c r="K1230" t="str">
        <f>_xlfn.XLOOKUP(frasest[[#This Row],[autor_es]],autorest[autor_es],autorest[idioma_es])</f>
        <v>Chino</v>
      </c>
      <c r="L1230" t="str">
        <f>_xlfn.XLOOKUP(frasest[[#This Row],[autor_es]],autorest[autor_es],autorest[idioma_la])</f>
        <v>Lingua Sinica</v>
      </c>
      <c r="M1230" t="str">
        <f>_xlfn.XLOOKUP(frasest[[#This Row],[autor_es]],autorest[autor_es],autorest[nacion_es])</f>
        <v>China</v>
      </c>
      <c r="N1230" t="str">
        <f>_xlfn.XLOOKUP(frasest[[#This Row],[autor_es]],autorest[autor_es],autorest[nacion_la])</f>
        <v>Sinae</v>
      </c>
      <c r="O1230" t="str">
        <f>_xlfn.XLOOKUP(frasest[[#This Row],[autor_es]],autorest[autor_es],autorest[epoca_es])</f>
        <v>Epoca Desconocida</v>
      </c>
      <c r="P1230" t="str">
        <f>_xlfn.XLOOKUP(frasest[[#This Row],[autor_es]],autorest[autor_es],autorest[epoca_la])</f>
        <v>Epocha Ignota</v>
      </c>
      <c r="Q1230" t="str">
        <f>_xlfn.XLOOKUP(frasest[[#This Row],[autor_es]],autorest[autor_es],autorest[imagen])</f>
        <v>https://i.ibb.co/qLfpZm6h/china.png</v>
      </c>
      <c r="R1230">
        <f>_xlfn.XLOOKUP(frasest[[#This Row],[autor_es]],autorest[autor_es],autorest[imagen_atr])</f>
        <v>0</v>
      </c>
    </row>
    <row r="1231" spans="1:18">
      <c r="A1231">
        <v>1230</v>
      </c>
      <c r="B1231" t="s">
        <v>3808</v>
      </c>
      <c r="C1231" t="s">
        <v>3809</v>
      </c>
      <c r="D1231" s="1" t="s">
        <v>3810</v>
      </c>
      <c r="E1231" t="s">
        <v>36</v>
      </c>
      <c r="G1231" t="str">
        <f>_xlfn.XLOOKUP(frasest[[#This Row],[autor_es]],autorest[autor_es],autorest[autor_la])</f>
        <v>Proverbium Sinense</v>
      </c>
      <c r="H1231" t="str">
        <f>_xlfn.XLOOKUP(frasest[[#This Row],[autor_es]],autorest[autor_es],autorest[bio_es])</f>
        <v>Conjunto de proverbios tradicionales de la cultura china que transmiten sabiduría popular, valores morales y enseñanzas prácticas transmitidas oralmente durante siglos.</v>
      </c>
      <c r="I1231" t="str">
        <f>_xlfn.XLOOKUP(frasest[[#This Row],[autor_es]],autorest[autor_es],autorest[bio_la])</f>
        <v>Collectio sententiarum Sinensium, magnopere in cultura tradita.</v>
      </c>
      <c r="J1231" t="str">
        <f>_xlfn.XLOOKUP(frasest[[#This Row],[autor_es]],autorest[autor_es],autorest[codigo])</f>
        <v>zh</v>
      </c>
      <c r="K1231" t="str">
        <f>_xlfn.XLOOKUP(frasest[[#This Row],[autor_es]],autorest[autor_es],autorest[idioma_es])</f>
        <v>Chino</v>
      </c>
      <c r="L1231" t="str">
        <f>_xlfn.XLOOKUP(frasest[[#This Row],[autor_es]],autorest[autor_es],autorest[idioma_la])</f>
        <v>Lingua Sinica</v>
      </c>
      <c r="M1231" t="str">
        <f>_xlfn.XLOOKUP(frasest[[#This Row],[autor_es]],autorest[autor_es],autorest[nacion_es])</f>
        <v>China</v>
      </c>
      <c r="N1231" t="str">
        <f>_xlfn.XLOOKUP(frasest[[#This Row],[autor_es]],autorest[autor_es],autorest[nacion_la])</f>
        <v>Sinae</v>
      </c>
      <c r="O1231" t="str">
        <f>_xlfn.XLOOKUP(frasest[[#This Row],[autor_es]],autorest[autor_es],autorest[epoca_es])</f>
        <v>Epoca Desconocida</v>
      </c>
      <c r="P1231" t="str">
        <f>_xlfn.XLOOKUP(frasest[[#This Row],[autor_es]],autorest[autor_es],autorest[epoca_la])</f>
        <v>Epocha Ignota</v>
      </c>
      <c r="Q1231" t="str">
        <f>_xlfn.XLOOKUP(frasest[[#This Row],[autor_es]],autorest[autor_es],autorest[imagen])</f>
        <v>https://i.ibb.co/qLfpZm6h/china.png</v>
      </c>
      <c r="R1231">
        <f>_xlfn.XLOOKUP(frasest[[#This Row],[autor_es]],autorest[autor_es],autorest[imagen_atr])</f>
        <v>0</v>
      </c>
    </row>
    <row r="1232" spans="1:18">
      <c r="A1232">
        <v>1231</v>
      </c>
      <c r="B1232" t="s">
        <v>3811</v>
      </c>
      <c r="C1232" t="s">
        <v>3812</v>
      </c>
      <c r="D1232" s="1" t="s">
        <v>3813</v>
      </c>
      <c r="E1232" t="s">
        <v>36</v>
      </c>
      <c r="G1232" t="str">
        <f>_xlfn.XLOOKUP(frasest[[#This Row],[autor_es]],autorest[autor_es],autorest[autor_la])</f>
        <v>Proverbium Sinense</v>
      </c>
      <c r="H1232" t="str">
        <f>_xlfn.XLOOKUP(frasest[[#This Row],[autor_es]],autorest[autor_es],autorest[bio_es])</f>
        <v>Conjunto de proverbios tradicionales de la cultura china que transmiten sabiduría popular, valores morales y enseñanzas prácticas transmitidas oralmente durante siglos.</v>
      </c>
      <c r="I1232" t="str">
        <f>_xlfn.XLOOKUP(frasest[[#This Row],[autor_es]],autorest[autor_es],autorest[bio_la])</f>
        <v>Collectio sententiarum Sinensium, magnopere in cultura tradita.</v>
      </c>
      <c r="J1232" t="str">
        <f>_xlfn.XLOOKUP(frasest[[#This Row],[autor_es]],autorest[autor_es],autorest[codigo])</f>
        <v>zh</v>
      </c>
      <c r="K1232" t="str">
        <f>_xlfn.XLOOKUP(frasest[[#This Row],[autor_es]],autorest[autor_es],autorest[idioma_es])</f>
        <v>Chino</v>
      </c>
      <c r="L1232" t="str">
        <f>_xlfn.XLOOKUP(frasest[[#This Row],[autor_es]],autorest[autor_es],autorest[idioma_la])</f>
        <v>Lingua Sinica</v>
      </c>
      <c r="M1232" t="str">
        <f>_xlfn.XLOOKUP(frasest[[#This Row],[autor_es]],autorest[autor_es],autorest[nacion_es])</f>
        <v>China</v>
      </c>
      <c r="N1232" t="str">
        <f>_xlfn.XLOOKUP(frasest[[#This Row],[autor_es]],autorest[autor_es],autorest[nacion_la])</f>
        <v>Sinae</v>
      </c>
      <c r="O1232" t="str">
        <f>_xlfn.XLOOKUP(frasest[[#This Row],[autor_es]],autorest[autor_es],autorest[epoca_es])</f>
        <v>Epoca Desconocida</v>
      </c>
      <c r="P1232" t="str">
        <f>_xlfn.XLOOKUP(frasest[[#This Row],[autor_es]],autorest[autor_es],autorest[epoca_la])</f>
        <v>Epocha Ignota</v>
      </c>
      <c r="Q1232" t="str">
        <f>_xlfn.XLOOKUP(frasest[[#This Row],[autor_es]],autorest[autor_es],autorest[imagen])</f>
        <v>https://i.ibb.co/qLfpZm6h/china.png</v>
      </c>
      <c r="R1232">
        <f>_xlfn.XLOOKUP(frasest[[#This Row],[autor_es]],autorest[autor_es],autorest[imagen_atr])</f>
        <v>0</v>
      </c>
    </row>
    <row r="1233" spans="1:18">
      <c r="A1233">
        <v>1232</v>
      </c>
      <c r="B1233" t="s">
        <v>3814</v>
      </c>
      <c r="C1233" t="s">
        <v>3815</v>
      </c>
      <c r="D1233" s="1" t="s">
        <v>3816</v>
      </c>
      <c r="E1233" t="s">
        <v>36</v>
      </c>
      <c r="G1233" t="str">
        <f>_xlfn.XLOOKUP(frasest[[#This Row],[autor_es]],autorest[autor_es],autorest[autor_la])</f>
        <v>Proverbium Sinense</v>
      </c>
      <c r="H1233" t="str">
        <f>_xlfn.XLOOKUP(frasest[[#This Row],[autor_es]],autorest[autor_es],autorest[bio_es])</f>
        <v>Conjunto de proverbios tradicionales de la cultura china que transmiten sabiduría popular, valores morales y enseñanzas prácticas transmitidas oralmente durante siglos.</v>
      </c>
      <c r="I1233" t="str">
        <f>_xlfn.XLOOKUP(frasest[[#This Row],[autor_es]],autorest[autor_es],autorest[bio_la])</f>
        <v>Collectio sententiarum Sinensium, magnopere in cultura tradita.</v>
      </c>
      <c r="J1233" t="str">
        <f>_xlfn.XLOOKUP(frasest[[#This Row],[autor_es]],autorest[autor_es],autorest[codigo])</f>
        <v>zh</v>
      </c>
      <c r="K1233" t="str">
        <f>_xlfn.XLOOKUP(frasest[[#This Row],[autor_es]],autorest[autor_es],autorest[idioma_es])</f>
        <v>Chino</v>
      </c>
      <c r="L1233" t="str">
        <f>_xlfn.XLOOKUP(frasest[[#This Row],[autor_es]],autorest[autor_es],autorest[idioma_la])</f>
        <v>Lingua Sinica</v>
      </c>
      <c r="M1233" t="str">
        <f>_xlfn.XLOOKUP(frasest[[#This Row],[autor_es]],autorest[autor_es],autorest[nacion_es])</f>
        <v>China</v>
      </c>
      <c r="N1233" t="str">
        <f>_xlfn.XLOOKUP(frasest[[#This Row],[autor_es]],autorest[autor_es],autorest[nacion_la])</f>
        <v>Sinae</v>
      </c>
      <c r="O1233" t="str">
        <f>_xlfn.XLOOKUP(frasest[[#This Row],[autor_es]],autorest[autor_es],autorest[epoca_es])</f>
        <v>Epoca Desconocida</v>
      </c>
      <c r="P1233" t="str">
        <f>_xlfn.XLOOKUP(frasest[[#This Row],[autor_es]],autorest[autor_es],autorest[epoca_la])</f>
        <v>Epocha Ignota</v>
      </c>
      <c r="Q1233" t="str">
        <f>_xlfn.XLOOKUP(frasest[[#This Row],[autor_es]],autorest[autor_es],autorest[imagen])</f>
        <v>https://i.ibb.co/qLfpZm6h/china.png</v>
      </c>
      <c r="R1233">
        <f>_xlfn.XLOOKUP(frasest[[#This Row],[autor_es]],autorest[autor_es],autorest[imagen_atr])</f>
        <v>0</v>
      </c>
    </row>
    <row r="1234" spans="1:18">
      <c r="A1234">
        <v>1233</v>
      </c>
      <c r="B1234" t="s">
        <v>3817</v>
      </c>
      <c r="C1234" t="s">
        <v>3818</v>
      </c>
      <c r="D1234" s="1" t="s">
        <v>3819</v>
      </c>
      <c r="E1234" t="s">
        <v>36</v>
      </c>
      <c r="G1234" t="str">
        <f>_xlfn.XLOOKUP(frasest[[#This Row],[autor_es]],autorest[autor_es],autorest[autor_la])</f>
        <v>Proverbium Sinense</v>
      </c>
      <c r="H1234" t="str">
        <f>_xlfn.XLOOKUP(frasest[[#This Row],[autor_es]],autorest[autor_es],autorest[bio_es])</f>
        <v>Conjunto de proverbios tradicionales de la cultura china que transmiten sabiduría popular, valores morales y enseñanzas prácticas transmitidas oralmente durante siglos.</v>
      </c>
      <c r="I1234" t="str">
        <f>_xlfn.XLOOKUP(frasest[[#This Row],[autor_es]],autorest[autor_es],autorest[bio_la])</f>
        <v>Collectio sententiarum Sinensium, magnopere in cultura tradita.</v>
      </c>
      <c r="J1234" t="str">
        <f>_xlfn.XLOOKUP(frasest[[#This Row],[autor_es]],autorest[autor_es],autorest[codigo])</f>
        <v>zh</v>
      </c>
      <c r="K1234" t="str">
        <f>_xlfn.XLOOKUP(frasest[[#This Row],[autor_es]],autorest[autor_es],autorest[idioma_es])</f>
        <v>Chino</v>
      </c>
      <c r="L1234" t="str">
        <f>_xlfn.XLOOKUP(frasest[[#This Row],[autor_es]],autorest[autor_es],autorest[idioma_la])</f>
        <v>Lingua Sinica</v>
      </c>
      <c r="M1234" t="str">
        <f>_xlfn.XLOOKUP(frasest[[#This Row],[autor_es]],autorest[autor_es],autorest[nacion_es])</f>
        <v>China</v>
      </c>
      <c r="N1234" t="str">
        <f>_xlfn.XLOOKUP(frasest[[#This Row],[autor_es]],autorest[autor_es],autorest[nacion_la])</f>
        <v>Sinae</v>
      </c>
      <c r="O1234" t="str">
        <f>_xlfn.XLOOKUP(frasest[[#This Row],[autor_es]],autorest[autor_es],autorest[epoca_es])</f>
        <v>Epoca Desconocida</v>
      </c>
      <c r="P1234" t="str">
        <f>_xlfn.XLOOKUP(frasest[[#This Row],[autor_es]],autorest[autor_es],autorest[epoca_la])</f>
        <v>Epocha Ignota</v>
      </c>
      <c r="Q1234" t="str">
        <f>_xlfn.XLOOKUP(frasest[[#This Row],[autor_es]],autorest[autor_es],autorest[imagen])</f>
        <v>https://i.ibb.co/qLfpZm6h/china.png</v>
      </c>
      <c r="R1234">
        <f>_xlfn.XLOOKUP(frasest[[#This Row],[autor_es]],autorest[autor_es],autorest[imagen_atr])</f>
        <v>0</v>
      </c>
    </row>
    <row r="1235" spans="1:18">
      <c r="A1235">
        <v>1234</v>
      </c>
      <c r="B1235" t="s">
        <v>3820</v>
      </c>
      <c r="C1235" t="s">
        <v>3821</v>
      </c>
      <c r="D1235" s="1" t="s">
        <v>3822</v>
      </c>
      <c r="E1235" t="s">
        <v>36</v>
      </c>
      <c r="G1235" t="str">
        <f>_xlfn.XLOOKUP(frasest[[#This Row],[autor_es]],autorest[autor_es],autorest[autor_la])</f>
        <v>Proverbium Sinense</v>
      </c>
      <c r="H1235" t="str">
        <f>_xlfn.XLOOKUP(frasest[[#This Row],[autor_es]],autorest[autor_es],autorest[bio_es])</f>
        <v>Conjunto de proverbios tradicionales de la cultura china que transmiten sabiduría popular, valores morales y enseñanzas prácticas transmitidas oralmente durante siglos.</v>
      </c>
      <c r="I1235" t="str">
        <f>_xlfn.XLOOKUP(frasest[[#This Row],[autor_es]],autorest[autor_es],autorest[bio_la])</f>
        <v>Collectio sententiarum Sinensium, magnopere in cultura tradita.</v>
      </c>
      <c r="J1235" t="str">
        <f>_xlfn.XLOOKUP(frasest[[#This Row],[autor_es]],autorest[autor_es],autorest[codigo])</f>
        <v>zh</v>
      </c>
      <c r="K1235" t="str">
        <f>_xlfn.XLOOKUP(frasest[[#This Row],[autor_es]],autorest[autor_es],autorest[idioma_es])</f>
        <v>Chino</v>
      </c>
      <c r="L1235" t="str">
        <f>_xlfn.XLOOKUP(frasest[[#This Row],[autor_es]],autorest[autor_es],autorest[idioma_la])</f>
        <v>Lingua Sinica</v>
      </c>
      <c r="M1235" t="str">
        <f>_xlfn.XLOOKUP(frasest[[#This Row],[autor_es]],autorest[autor_es],autorest[nacion_es])</f>
        <v>China</v>
      </c>
      <c r="N1235" t="str">
        <f>_xlfn.XLOOKUP(frasest[[#This Row],[autor_es]],autorest[autor_es],autorest[nacion_la])</f>
        <v>Sinae</v>
      </c>
      <c r="O1235" t="str">
        <f>_xlfn.XLOOKUP(frasest[[#This Row],[autor_es]],autorest[autor_es],autorest[epoca_es])</f>
        <v>Epoca Desconocida</v>
      </c>
      <c r="P1235" t="str">
        <f>_xlfn.XLOOKUP(frasest[[#This Row],[autor_es]],autorest[autor_es],autorest[epoca_la])</f>
        <v>Epocha Ignota</v>
      </c>
      <c r="Q1235" t="str">
        <f>_xlfn.XLOOKUP(frasest[[#This Row],[autor_es]],autorest[autor_es],autorest[imagen])</f>
        <v>https://i.ibb.co/qLfpZm6h/china.png</v>
      </c>
      <c r="R1235">
        <f>_xlfn.XLOOKUP(frasest[[#This Row],[autor_es]],autorest[autor_es],autorest[imagen_atr])</f>
        <v>0</v>
      </c>
    </row>
    <row r="1236" spans="1:18">
      <c r="A1236">
        <v>1235</v>
      </c>
      <c r="B1236" t="s">
        <v>3823</v>
      </c>
      <c r="C1236" t="s">
        <v>3824</v>
      </c>
      <c r="D1236" s="1" t="s">
        <v>3825</v>
      </c>
      <c r="E1236" t="s">
        <v>36</v>
      </c>
      <c r="G1236" t="str">
        <f>_xlfn.XLOOKUP(frasest[[#This Row],[autor_es]],autorest[autor_es],autorest[autor_la])</f>
        <v>Proverbium Sinense</v>
      </c>
      <c r="H1236" t="str">
        <f>_xlfn.XLOOKUP(frasest[[#This Row],[autor_es]],autorest[autor_es],autorest[bio_es])</f>
        <v>Conjunto de proverbios tradicionales de la cultura china que transmiten sabiduría popular, valores morales y enseñanzas prácticas transmitidas oralmente durante siglos.</v>
      </c>
      <c r="I1236" t="str">
        <f>_xlfn.XLOOKUP(frasest[[#This Row],[autor_es]],autorest[autor_es],autorest[bio_la])</f>
        <v>Collectio sententiarum Sinensium, magnopere in cultura tradita.</v>
      </c>
      <c r="J1236" t="str">
        <f>_xlfn.XLOOKUP(frasest[[#This Row],[autor_es]],autorest[autor_es],autorest[codigo])</f>
        <v>zh</v>
      </c>
      <c r="K1236" t="str">
        <f>_xlfn.XLOOKUP(frasest[[#This Row],[autor_es]],autorest[autor_es],autorest[idioma_es])</f>
        <v>Chino</v>
      </c>
      <c r="L1236" t="str">
        <f>_xlfn.XLOOKUP(frasest[[#This Row],[autor_es]],autorest[autor_es],autorest[idioma_la])</f>
        <v>Lingua Sinica</v>
      </c>
      <c r="M1236" t="str">
        <f>_xlfn.XLOOKUP(frasest[[#This Row],[autor_es]],autorest[autor_es],autorest[nacion_es])</f>
        <v>China</v>
      </c>
      <c r="N1236" t="str">
        <f>_xlfn.XLOOKUP(frasest[[#This Row],[autor_es]],autorest[autor_es],autorest[nacion_la])</f>
        <v>Sinae</v>
      </c>
      <c r="O1236" t="str">
        <f>_xlfn.XLOOKUP(frasest[[#This Row],[autor_es]],autorest[autor_es],autorest[epoca_es])</f>
        <v>Epoca Desconocida</v>
      </c>
      <c r="P1236" t="str">
        <f>_xlfn.XLOOKUP(frasest[[#This Row],[autor_es]],autorest[autor_es],autorest[epoca_la])</f>
        <v>Epocha Ignota</v>
      </c>
      <c r="Q1236" t="str">
        <f>_xlfn.XLOOKUP(frasest[[#This Row],[autor_es]],autorest[autor_es],autorest[imagen])</f>
        <v>https://i.ibb.co/qLfpZm6h/china.png</v>
      </c>
      <c r="R1236">
        <f>_xlfn.XLOOKUP(frasest[[#This Row],[autor_es]],autorest[autor_es],autorest[imagen_atr])</f>
        <v>0</v>
      </c>
    </row>
    <row r="1237" spans="1:18">
      <c r="A1237">
        <v>1236</v>
      </c>
      <c r="B1237" t="s">
        <v>3826</v>
      </c>
      <c r="C1237" t="s">
        <v>3827</v>
      </c>
      <c r="D1237" s="1" t="s">
        <v>3828</v>
      </c>
      <c r="E1237" t="s">
        <v>36</v>
      </c>
      <c r="G1237" t="str">
        <f>_xlfn.XLOOKUP(frasest[[#This Row],[autor_es]],autorest[autor_es],autorest[autor_la])</f>
        <v>Proverbium Sinense</v>
      </c>
      <c r="H1237" t="str">
        <f>_xlfn.XLOOKUP(frasest[[#This Row],[autor_es]],autorest[autor_es],autorest[bio_es])</f>
        <v>Conjunto de proverbios tradicionales de la cultura china que transmiten sabiduría popular, valores morales y enseñanzas prácticas transmitidas oralmente durante siglos.</v>
      </c>
      <c r="I1237" t="str">
        <f>_xlfn.XLOOKUP(frasest[[#This Row],[autor_es]],autorest[autor_es],autorest[bio_la])</f>
        <v>Collectio sententiarum Sinensium, magnopere in cultura tradita.</v>
      </c>
      <c r="J1237" t="str">
        <f>_xlfn.XLOOKUP(frasest[[#This Row],[autor_es]],autorest[autor_es],autorest[codigo])</f>
        <v>zh</v>
      </c>
      <c r="K1237" t="str">
        <f>_xlfn.XLOOKUP(frasest[[#This Row],[autor_es]],autorest[autor_es],autorest[idioma_es])</f>
        <v>Chino</v>
      </c>
      <c r="L1237" t="str">
        <f>_xlfn.XLOOKUP(frasest[[#This Row],[autor_es]],autorest[autor_es],autorest[idioma_la])</f>
        <v>Lingua Sinica</v>
      </c>
      <c r="M1237" t="str">
        <f>_xlfn.XLOOKUP(frasest[[#This Row],[autor_es]],autorest[autor_es],autorest[nacion_es])</f>
        <v>China</v>
      </c>
      <c r="N1237" t="str">
        <f>_xlfn.XLOOKUP(frasest[[#This Row],[autor_es]],autorest[autor_es],autorest[nacion_la])</f>
        <v>Sinae</v>
      </c>
      <c r="O1237" t="str">
        <f>_xlfn.XLOOKUP(frasest[[#This Row],[autor_es]],autorest[autor_es],autorest[epoca_es])</f>
        <v>Epoca Desconocida</v>
      </c>
      <c r="P1237" t="str">
        <f>_xlfn.XLOOKUP(frasest[[#This Row],[autor_es]],autorest[autor_es],autorest[epoca_la])</f>
        <v>Epocha Ignota</v>
      </c>
      <c r="Q1237" t="str">
        <f>_xlfn.XLOOKUP(frasest[[#This Row],[autor_es]],autorest[autor_es],autorest[imagen])</f>
        <v>https://i.ibb.co/qLfpZm6h/china.png</v>
      </c>
      <c r="R1237">
        <f>_xlfn.XLOOKUP(frasest[[#This Row],[autor_es]],autorest[autor_es],autorest[imagen_atr])</f>
        <v>0</v>
      </c>
    </row>
    <row r="1238" spans="1:18">
      <c r="A1238">
        <v>1237</v>
      </c>
      <c r="B1238" t="s">
        <v>3829</v>
      </c>
      <c r="C1238" t="s">
        <v>3830</v>
      </c>
      <c r="D1238" s="1" t="s">
        <v>3831</v>
      </c>
      <c r="E1238" t="s">
        <v>36</v>
      </c>
      <c r="G1238" t="str">
        <f>_xlfn.XLOOKUP(frasest[[#This Row],[autor_es]],autorest[autor_es],autorest[autor_la])</f>
        <v>Proverbium Sinense</v>
      </c>
      <c r="H1238" t="str">
        <f>_xlfn.XLOOKUP(frasest[[#This Row],[autor_es]],autorest[autor_es],autorest[bio_es])</f>
        <v>Conjunto de proverbios tradicionales de la cultura china que transmiten sabiduría popular, valores morales y enseñanzas prácticas transmitidas oralmente durante siglos.</v>
      </c>
      <c r="I1238" t="str">
        <f>_xlfn.XLOOKUP(frasest[[#This Row],[autor_es]],autorest[autor_es],autorest[bio_la])</f>
        <v>Collectio sententiarum Sinensium, magnopere in cultura tradita.</v>
      </c>
      <c r="J1238" t="str">
        <f>_xlfn.XLOOKUP(frasest[[#This Row],[autor_es]],autorest[autor_es],autorest[codigo])</f>
        <v>zh</v>
      </c>
      <c r="K1238" t="str">
        <f>_xlfn.XLOOKUP(frasest[[#This Row],[autor_es]],autorest[autor_es],autorest[idioma_es])</f>
        <v>Chino</v>
      </c>
      <c r="L1238" t="str">
        <f>_xlfn.XLOOKUP(frasest[[#This Row],[autor_es]],autorest[autor_es],autorest[idioma_la])</f>
        <v>Lingua Sinica</v>
      </c>
      <c r="M1238" t="str">
        <f>_xlfn.XLOOKUP(frasest[[#This Row],[autor_es]],autorest[autor_es],autorest[nacion_es])</f>
        <v>China</v>
      </c>
      <c r="N1238" t="str">
        <f>_xlfn.XLOOKUP(frasest[[#This Row],[autor_es]],autorest[autor_es],autorest[nacion_la])</f>
        <v>Sinae</v>
      </c>
      <c r="O1238" t="str">
        <f>_xlfn.XLOOKUP(frasest[[#This Row],[autor_es]],autorest[autor_es],autorest[epoca_es])</f>
        <v>Epoca Desconocida</v>
      </c>
      <c r="P1238" t="str">
        <f>_xlfn.XLOOKUP(frasest[[#This Row],[autor_es]],autorest[autor_es],autorest[epoca_la])</f>
        <v>Epocha Ignota</v>
      </c>
      <c r="Q1238" t="str">
        <f>_xlfn.XLOOKUP(frasest[[#This Row],[autor_es]],autorest[autor_es],autorest[imagen])</f>
        <v>https://i.ibb.co/qLfpZm6h/china.png</v>
      </c>
      <c r="R1238">
        <f>_xlfn.XLOOKUP(frasest[[#This Row],[autor_es]],autorest[autor_es],autorest[imagen_atr])</f>
        <v>0</v>
      </c>
    </row>
    <row r="1239" spans="1:18">
      <c r="A1239">
        <v>1238</v>
      </c>
      <c r="B1239" t="s">
        <v>3832</v>
      </c>
      <c r="C1239" t="s">
        <v>3833</v>
      </c>
      <c r="D1239" s="1" t="s">
        <v>3834</v>
      </c>
      <c r="E1239" t="s">
        <v>36</v>
      </c>
      <c r="G1239" t="str">
        <f>_xlfn.XLOOKUP(frasest[[#This Row],[autor_es]],autorest[autor_es],autorest[autor_la])</f>
        <v>Proverbium Sinense</v>
      </c>
      <c r="H1239" t="str">
        <f>_xlfn.XLOOKUP(frasest[[#This Row],[autor_es]],autorest[autor_es],autorest[bio_es])</f>
        <v>Conjunto de proverbios tradicionales de la cultura china que transmiten sabiduría popular, valores morales y enseñanzas prácticas transmitidas oralmente durante siglos.</v>
      </c>
      <c r="I1239" t="str">
        <f>_xlfn.XLOOKUP(frasest[[#This Row],[autor_es]],autorest[autor_es],autorest[bio_la])</f>
        <v>Collectio sententiarum Sinensium, magnopere in cultura tradita.</v>
      </c>
      <c r="J1239" t="str">
        <f>_xlfn.XLOOKUP(frasest[[#This Row],[autor_es]],autorest[autor_es],autorest[codigo])</f>
        <v>zh</v>
      </c>
      <c r="K1239" t="str">
        <f>_xlfn.XLOOKUP(frasest[[#This Row],[autor_es]],autorest[autor_es],autorest[idioma_es])</f>
        <v>Chino</v>
      </c>
      <c r="L1239" t="str">
        <f>_xlfn.XLOOKUP(frasest[[#This Row],[autor_es]],autorest[autor_es],autorest[idioma_la])</f>
        <v>Lingua Sinica</v>
      </c>
      <c r="M1239" t="str">
        <f>_xlfn.XLOOKUP(frasest[[#This Row],[autor_es]],autorest[autor_es],autorest[nacion_es])</f>
        <v>China</v>
      </c>
      <c r="N1239" t="str">
        <f>_xlfn.XLOOKUP(frasest[[#This Row],[autor_es]],autorest[autor_es],autorest[nacion_la])</f>
        <v>Sinae</v>
      </c>
      <c r="O1239" t="str">
        <f>_xlfn.XLOOKUP(frasest[[#This Row],[autor_es]],autorest[autor_es],autorest[epoca_es])</f>
        <v>Epoca Desconocida</v>
      </c>
      <c r="P1239" t="str">
        <f>_xlfn.XLOOKUP(frasest[[#This Row],[autor_es]],autorest[autor_es],autorest[epoca_la])</f>
        <v>Epocha Ignota</v>
      </c>
      <c r="Q1239" t="str">
        <f>_xlfn.XLOOKUP(frasest[[#This Row],[autor_es]],autorest[autor_es],autorest[imagen])</f>
        <v>https://i.ibb.co/qLfpZm6h/china.png</v>
      </c>
      <c r="R1239">
        <f>_xlfn.XLOOKUP(frasest[[#This Row],[autor_es]],autorest[autor_es],autorest[imagen_atr])</f>
        <v>0</v>
      </c>
    </row>
    <row r="1240" spans="1:18">
      <c r="A1240">
        <v>1239</v>
      </c>
      <c r="B1240" t="s">
        <v>3835</v>
      </c>
      <c r="C1240" t="s">
        <v>3836</v>
      </c>
      <c r="D1240" s="1" t="s">
        <v>3837</v>
      </c>
      <c r="E1240" t="s">
        <v>36</v>
      </c>
      <c r="G1240" t="str">
        <f>_xlfn.XLOOKUP(frasest[[#This Row],[autor_es]],autorest[autor_es],autorest[autor_la])</f>
        <v>Proverbium Sinense</v>
      </c>
      <c r="H1240" t="str">
        <f>_xlfn.XLOOKUP(frasest[[#This Row],[autor_es]],autorest[autor_es],autorest[bio_es])</f>
        <v>Conjunto de proverbios tradicionales de la cultura china que transmiten sabiduría popular, valores morales y enseñanzas prácticas transmitidas oralmente durante siglos.</v>
      </c>
      <c r="I1240" t="str">
        <f>_xlfn.XLOOKUP(frasest[[#This Row],[autor_es]],autorest[autor_es],autorest[bio_la])</f>
        <v>Collectio sententiarum Sinensium, magnopere in cultura tradita.</v>
      </c>
      <c r="J1240" t="str">
        <f>_xlfn.XLOOKUP(frasest[[#This Row],[autor_es]],autorest[autor_es],autorest[codigo])</f>
        <v>zh</v>
      </c>
      <c r="K1240" t="str">
        <f>_xlfn.XLOOKUP(frasest[[#This Row],[autor_es]],autorest[autor_es],autorest[idioma_es])</f>
        <v>Chino</v>
      </c>
      <c r="L1240" t="str">
        <f>_xlfn.XLOOKUP(frasest[[#This Row],[autor_es]],autorest[autor_es],autorest[idioma_la])</f>
        <v>Lingua Sinica</v>
      </c>
      <c r="M1240" t="str">
        <f>_xlfn.XLOOKUP(frasest[[#This Row],[autor_es]],autorest[autor_es],autorest[nacion_es])</f>
        <v>China</v>
      </c>
      <c r="N1240" t="str">
        <f>_xlfn.XLOOKUP(frasest[[#This Row],[autor_es]],autorest[autor_es],autorest[nacion_la])</f>
        <v>Sinae</v>
      </c>
      <c r="O1240" t="str">
        <f>_xlfn.XLOOKUP(frasest[[#This Row],[autor_es]],autorest[autor_es],autorest[epoca_es])</f>
        <v>Epoca Desconocida</v>
      </c>
      <c r="P1240" t="str">
        <f>_xlfn.XLOOKUP(frasest[[#This Row],[autor_es]],autorest[autor_es],autorest[epoca_la])</f>
        <v>Epocha Ignota</v>
      </c>
      <c r="Q1240" t="str">
        <f>_xlfn.XLOOKUP(frasest[[#This Row],[autor_es]],autorest[autor_es],autorest[imagen])</f>
        <v>https://i.ibb.co/qLfpZm6h/china.png</v>
      </c>
      <c r="R1240">
        <f>_xlfn.XLOOKUP(frasest[[#This Row],[autor_es]],autorest[autor_es],autorest[imagen_atr])</f>
        <v>0</v>
      </c>
    </row>
    <row r="1241" spans="1:18">
      <c r="A1241">
        <v>1240</v>
      </c>
      <c r="B1241" t="s">
        <v>3838</v>
      </c>
      <c r="C1241" t="s">
        <v>3839</v>
      </c>
      <c r="D1241" s="1" t="s">
        <v>3840</v>
      </c>
      <c r="E1241" t="s">
        <v>36</v>
      </c>
      <c r="G1241" t="str">
        <f>_xlfn.XLOOKUP(frasest[[#This Row],[autor_es]],autorest[autor_es],autorest[autor_la])</f>
        <v>Proverbium Sinense</v>
      </c>
      <c r="H1241" t="str">
        <f>_xlfn.XLOOKUP(frasest[[#This Row],[autor_es]],autorest[autor_es],autorest[bio_es])</f>
        <v>Conjunto de proverbios tradicionales de la cultura china que transmiten sabiduría popular, valores morales y enseñanzas prácticas transmitidas oralmente durante siglos.</v>
      </c>
      <c r="I1241" t="str">
        <f>_xlfn.XLOOKUP(frasest[[#This Row],[autor_es]],autorest[autor_es],autorest[bio_la])</f>
        <v>Collectio sententiarum Sinensium, magnopere in cultura tradita.</v>
      </c>
      <c r="J1241" t="str">
        <f>_xlfn.XLOOKUP(frasest[[#This Row],[autor_es]],autorest[autor_es],autorest[codigo])</f>
        <v>zh</v>
      </c>
      <c r="K1241" t="str">
        <f>_xlfn.XLOOKUP(frasest[[#This Row],[autor_es]],autorest[autor_es],autorest[idioma_es])</f>
        <v>Chino</v>
      </c>
      <c r="L1241" t="str">
        <f>_xlfn.XLOOKUP(frasest[[#This Row],[autor_es]],autorest[autor_es],autorest[idioma_la])</f>
        <v>Lingua Sinica</v>
      </c>
      <c r="M1241" t="str">
        <f>_xlfn.XLOOKUP(frasest[[#This Row],[autor_es]],autorest[autor_es],autorest[nacion_es])</f>
        <v>China</v>
      </c>
      <c r="N1241" t="str">
        <f>_xlfn.XLOOKUP(frasest[[#This Row],[autor_es]],autorest[autor_es],autorest[nacion_la])</f>
        <v>Sinae</v>
      </c>
      <c r="O1241" t="str">
        <f>_xlfn.XLOOKUP(frasest[[#This Row],[autor_es]],autorest[autor_es],autorest[epoca_es])</f>
        <v>Epoca Desconocida</v>
      </c>
      <c r="P1241" t="str">
        <f>_xlfn.XLOOKUP(frasest[[#This Row],[autor_es]],autorest[autor_es],autorest[epoca_la])</f>
        <v>Epocha Ignota</v>
      </c>
      <c r="Q1241" t="str">
        <f>_xlfn.XLOOKUP(frasest[[#This Row],[autor_es]],autorest[autor_es],autorest[imagen])</f>
        <v>https://i.ibb.co/qLfpZm6h/china.png</v>
      </c>
      <c r="R1241">
        <f>_xlfn.XLOOKUP(frasest[[#This Row],[autor_es]],autorest[autor_es],autorest[imagen_atr])</f>
        <v>0</v>
      </c>
    </row>
    <row r="1242" spans="1:18">
      <c r="A1242">
        <v>1241</v>
      </c>
      <c r="B1242" t="s">
        <v>3841</v>
      </c>
      <c r="C1242" t="s">
        <v>3842</v>
      </c>
      <c r="D1242" s="1" t="s">
        <v>3843</v>
      </c>
      <c r="E1242" t="s">
        <v>36</v>
      </c>
      <c r="G1242" t="str">
        <f>_xlfn.XLOOKUP(frasest[[#This Row],[autor_es]],autorest[autor_es],autorest[autor_la])</f>
        <v>Proverbium Sinense</v>
      </c>
      <c r="H1242" t="str">
        <f>_xlfn.XLOOKUP(frasest[[#This Row],[autor_es]],autorest[autor_es],autorest[bio_es])</f>
        <v>Conjunto de proverbios tradicionales de la cultura china que transmiten sabiduría popular, valores morales y enseñanzas prácticas transmitidas oralmente durante siglos.</v>
      </c>
      <c r="I1242" t="str">
        <f>_xlfn.XLOOKUP(frasest[[#This Row],[autor_es]],autorest[autor_es],autorest[bio_la])</f>
        <v>Collectio sententiarum Sinensium, magnopere in cultura tradita.</v>
      </c>
      <c r="J1242" t="str">
        <f>_xlfn.XLOOKUP(frasest[[#This Row],[autor_es]],autorest[autor_es],autorest[codigo])</f>
        <v>zh</v>
      </c>
      <c r="K1242" t="str">
        <f>_xlfn.XLOOKUP(frasest[[#This Row],[autor_es]],autorest[autor_es],autorest[idioma_es])</f>
        <v>Chino</v>
      </c>
      <c r="L1242" t="str">
        <f>_xlfn.XLOOKUP(frasest[[#This Row],[autor_es]],autorest[autor_es],autorest[idioma_la])</f>
        <v>Lingua Sinica</v>
      </c>
      <c r="M1242" t="str">
        <f>_xlfn.XLOOKUP(frasest[[#This Row],[autor_es]],autorest[autor_es],autorest[nacion_es])</f>
        <v>China</v>
      </c>
      <c r="N1242" t="str">
        <f>_xlfn.XLOOKUP(frasest[[#This Row],[autor_es]],autorest[autor_es],autorest[nacion_la])</f>
        <v>Sinae</v>
      </c>
      <c r="O1242" t="str">
        <f>_xlfn.XLOOKUP(frasest[[#This Row],[autor_es]],autorest[autor_es],autorest[epoca_es])</f>
        <v>Epoca Desconocida</v>
      </c>
      <c r="P1242" t="str">
        <f>_xlfn.XLOOKUP(frasest[[#This Row],[autor_es]],autorest[autor_es],autorest[epoca_la])</f>
        <v>Epocha Ignota</v>
      </c>
      <c r="Q1242" t="str">
        <f>_xlfn.XLOOKUP(frasest[[#This Row],[autor_es]],autorest[autor_es],autorest[imagen])</f>
        <v>https://i.ibb.co/qLfpZm6h/china.png</v>
      </c>
      <c r="R1242">
        <f>_xlfn.XLOOKUP(frasest[[#This Row],[autor_es]],autorest[autor_es],autorest[imagen_atr])</f>
        <v>0</v>
      </c>
    </row>
    <row r="1243" spans="1:18">
      <c r="A1243">
        <v>1242</v>
      </c>
      <c r="B1243" t="s">
        <v>3844</v>
      </c>
      <c r="C1243" t="s">
        <v>3845</v>
      </c>
      <c r="D1243" s="1" t="s">
        <v>3846</v>
      </c>
      <c r="E1243" t="s">
        <v>36</v>
      </c>
      <c r="G1243" t="str">
        <f>_xlfn.XLOOKUP(frasest[[#This Row],[autor_es]],autorest[autor_es],autorest[autor_la])</f>
        <v>Proverbium Sinense</v>
      </c>
      <c r="H1243" t="str">
        <f>_xlfn.XLOOKUP(frasest[[#This Row],[autor_es]],autorest[autor_es],autorest[bio_es])</f>
        <v>Conjunto de proverbios tradicionales de la cultura china que transmiten sabiduría popular, valores morales y enseñanzas prácticas transmitidas oralmente durante siglos.</v>
      </c>
      <c r="I1243" t="str">
        <f>_xlfn.XLOOKUP(frasest[[#This Row],[autor_es]],autorest[autor_es],autorest[bio_la])</f>
        <v>Collectio sententiarum Sinensium, magnopere in cultura tradita.</v>
      </c>
      <c r="J1243" t="str">
        <f>_xlfn.XLOOKUP(frasest[[#This Row],[autor_es]],autorest[autor_es],autorest[codigo])</f>
        <v>zh</v>
      </c>
      <c r="K1243" t="str">
        <f>_xlfn.XLOOKUP(frasest[[#This Row],[autor_es]],autorest[autor_es],autorest[idioma_es])</f>
        <v>Chino</v>
      </c>
      <c r="L1243" t="str">
        <f>_xlfn.XLOOKUP(frasest[[#This Row],[autor_es]],autorest[autor_es],autorest[idioma_la])</f>
        <v>Lingua Sinica</v>
      </c>
      <c r="M1243" t="str">
        <f>_xlfn.XLOOKUP(frasest[[#This Row],[autor_es]],autorest[autor_es],autorest[nacion_es])</f>
        <v>China</v>
      </c>
      <c r="N1243" t="str">
        <f>_xlfn.XLOOKUP(frasest[[#This Row],[autor_es]],autorest[autor_es],autorest[nacion_la])</f>
        <v>Sinae</v>
      </c>
      <c r="O1243" t="str">
        <f>_xlfn.XLOOKUP(frasest[[#This Row],[autor_es]],autorest[autor_es],autorest[epoca_es])</f>
        <v>Epoca Desconocida</v>
      </c>
      <c r="P1243" t="str">
        <f>_xlfn.XLOOKUP(frasest[[#This Row],[autor_es]],autorest[autor_es],autorest[epoca_la])</f>
        <v>Epocha Ignota</v>
      </c>
      <c r="Q1243" t="str">
        <f>_xlfn.XLOOKUP(frasest[[#This Row],[autor_es]],autorest[autor_es],autorest[imagen])</f>
        <v>https://i.ibb.co/qLfpZm6h/china.png</v>
      </c>
      <c r="R1243">
        <f>_xlfn.XLOOKUP(frasest[[#This Row],[autor_es]],autorest[autor_es],autorest[imagen_atr])</f>
        <v>0</v>
      </c>
    </row>
    <row r="1244" spans="1:18">
      <c r="A1244">
        <v>1243</v>
      </c>
      <c r="B1244" t="s">
        <v>3847</v>
      </c>
      <c r="C1244" t="s">
        <v>3848</v>
      </c>
      <c r="D1244" s="1" t="s">
        <v>3849</v>
      </c>
      <c r="E1244" t="s">
        <v>36</v>
      </c>
      <c r="G1244" t="str">
        <f>_xlfn.XLOOKUP(frasest[[#This Row],[autor_es]],autorest[autor_es],autorest[autor_la])</f>
        <v>Proverbium Sinense</v>
      </c>
      <c r="H1244" t="str">
        <f>_xlfn.XLOOKUP(frasest[[#This Row],[autor_es]],autorest[autor_es],autorest[bio_es])</f>
        <v>Conjunto de proverbios tradicionales de la cultura china que transmiten sabiduría popular, valores morales y enseñanzas prácticas transmitidas oralmente durante siglos.</v>
      </c>
      <c r="I1244" t="str">
        <f>_xlfn.XLOOKUP(frasest[[#This Row],[autor_es]],autorest[autor_es],autorest[bio_la])</f>
        <v>Collectio sententiarum Sinensium, magnopere in cultura tradita.</v>
      </c>
      <c r="J1244" t="str">
        <f>_xlfn.XLOOKUP(frasest[[#This Row],[autor_es]],autorest[autor_es],autorest[codigo])</f>
        <v>zh</v>
      </c>
      <c r="K1244" t="str">
        <f>_xlfn.XLOOKUP(frasest[[#This Row],[autor_es]],autorest[autor_es],autorest[idioma_es])</f>
        <v>Chino</v>
      </c>
      <c r="L1244" t="str">
        <f>_xlfn.XLOOKUP(frasest[[#This Row],[autor_es]],autorest[autor_es],autorest[idioma_la])</f>
        <v>Lingua Sinica</v>
      </c>
      <c r="M1244" t="str">
        <f>_xlfn.XLOOKUP(frasest[[#This Row],[autor_es]],autorest[autor_es],autorest[nacion_es])</f>
        <v>China</v>
      </c>
      <c r="N1244" t="str">
        <f>_xlfn.XLOOKUP(frasest[[#This Row],[autor_es]],autorest[autor_es],autorest[nacion_la])</f>
        <v>Sinae</v>
      </c>
      <c r="O1244" t="str">
        <f>_xlfn.XLOOKUP(frasest[[#This Row],[autor_es]],autorest[autor_es],autorest[epoca_es])</f>
        <v>Epoca Desconocida</v>
      </c>
      <c r="P1244" t="str">
        <f>_xlfn.XLOOKUP(frasest[[#This Row],[autor_es]],autorest[autor_es],autorest[epoca_la])</f>
        <v>Epocha Ignota</v>
      </c>
      <c r="Q1244" t="str">
        <f>_xlfn.XLOOKUP(frasest[[#This Row],[autor_es]],autorest[autor_es],autorest[imagen])</f>
        <v>https://i.ibb.co/qLfpZm6h/china.png</v>
      </c>
      <c r="R1244">
        <f>_xlfn.XLOOKUP(frasest[[#This Row],[autor_es]],autorest[autor_es],autorest[imagen_atr])</f>
        <v>0</v>
      </c>
    </row>
    <row r="1245" spans="1:18">
      <c r="A1245">
        <v>1244</v>
      </c>
      <c r="B1245" t="s">
        <v>3850</v>
      </c>
      <c r="C1245" t="s">
        <v>3851</v>
      </c>
      <c r="D1245" s="1" t="s">
        <v>3852</v>
      </c>
      <c r="E1245" t="s">
        <v>36</v>
      </c>
      <c r="G1245" t="str">
        <f>_xlfn.XLOOKUP(frasest[[#This Row],[autor_es]],autorest[autor_es],autorest[autor_la])</f>
        <v>Proverbium Sinense</v>
      </c>
      <c r="H1245" t="str">
        <f>_xlfn.XLOOKUP(frasest[[#This Row],[autor_es]],autorest[autor_es],autorest[bio_es])</f>
        <v>Conjunto de proverbios tradicionales de la cultura china que transmiten sabiduría popular, valores morales y enseñanzas prácticas transmitidas oralmente durante siglos.</v>
      </c>
      <c r="I1245" t="str">
        <f>_xlfn.XLOOKUP(frasest[[#This Row],[autor_es]],autorest[autor_es],autorest[bio_la])</f>
        <v>Collectio sententiarum Sinensium, magnopere in cultura tradita.</v>
      </c>
      <c r="J1245" t="str">
        <f>_xlfn.XLOOKUP(frasest[[#This Row],[autor_es]],autorest[autor_es],autorest[codigo])</f>
        <v>zh</v>
      </c>
      <c r="K1245" t="str">
        <f>_xlfn.XLOOKUP(frasest[[#This Row],[autor_es]],autorest[autor_es],autorest[idioma_es])</f>
        <v>Chino</v>
      </c>
      <c r="L1245" t="str">
        <f>_xlfn.XLOOKUP(frasest[[#This Row],[autor_es]],autorest[autor_es],autorest[idioma_la])</f>
        <v>Lingua Sinica</v>
      </c>
      <c r="M1245" t="str">
        <f>_xlfn.XLOOKUP(frasest[[#This Row],[autor_es]],autorest[autor_es],autorest[nacion_es])</f>
        <v>China</v>
      </c>
      <c r="N1245" t="str">
        <f>_xlfn.XLOOKUP(frasest[[#This Row],[autor_es]],autorest[autor_es],autorest[nacion_la])</f>
        <v>Sinae</v>
      </c>
      <c r="O1245" t="str">
        <f>_xlfn.XLOOKUP(frasest[[#This Row],[autor_es]],autorest[autor_es],autorest[epoca_es])</f>
        <v>Epoca Desconocida</v>
      </c>
      <c r="P1245" t="str">
        <f>_xlfn.XLOOKUP(frasest[[#This Row],[autor_es]],autorest[autor_es],autorest[epoca_la])</f>
        <v>Epocha Ignota</v>
      </c>
      <c r="Q1245" t="str">
        <f>_xlfn.XLOOKUP(frasest[[#This Row],[autor_es]],autorest[autor_es],autorest[imagen])</f>
        <v>https://i.ibb.co/qLfpZm6h/china.png</v>
      </c>
      <c r="R1245">
        <f>_xlfn.XLOOKUP(frasest[[#This Row],[autor_es]],autorest[autor_es],autorest[imagen_atr])</f>
        <v>0</v>
      </c>
    </row>
    <row r="1246" spans="1:18">
      <c r="A1246">
        <v>1245</v>
      </c>
      <c r="B1246" t="s">
        <v>3853</v>
      </c>
      <c r="C1246" t="s">
        <v>3854</v>
      </c>
      <c r="D1246" s="1" t="s">
        <v>3855</v>
      </c>
      <c r="E1246" t="s">
        <v>36</v>
      </c>
      <c r="G1246" t="str">
        <f>_xlfn.XLOOKUP(frasest[[#This Row],[autor_es]],autorest[autor_es],autorest[autor_la])</f>
        <v>Proverbium Sinense</v>
      </c>
      <c r="H1246" t="str">
        <f>_xlfn.XLOOKUP(frasest[[#This Row],[autor_es]],autorest[autor_es],autorest[bio_es])</f>
        <v>Conjunto de proverbios tradicionales de la cultura china que transmiten sabiduría popular, valores morales y enseñanzas prácticas transmitidas oralmente durante siglos.</v>
      </c>
      <c r="I1246" t="str">
        <f>_xlfn.XLOOKUP(frasest[[#This Row],[autor_es]],autorest[autor_es],autorest[bio_la])</f>
        <v>Collectio sententiarum Sinensium, magnopere in cultura tradita.</v>
      </c>
      <c r="J1246" t="str">
        <f>_xlfn.XLOOKUP(frasest[[#This Row],[autor_es]],autorest[autor_es],autorest[codigo])</f>
        <v>zh</v>
      </c>
      <c r="K1246" t="str">
        <f>_xlfn.XLOOKUP(frasest[[#This Row],[autor_es]],autorest[autor_es],autorest[idioma_es])</f>
        <v>Chino</v>
      </c>
      <c r="L1246" t="str">
        <f>_xlfn.XLOOKUP(frasest[[#This Row],[autor_es]],autorest[autor_es],autorest[idioma_la])</f>
        <v>Lingua Sinica</v>
      </c>
      <c r="M1246" t="str">
        <f>_xlfn.XLOOKUP(frasest[[#This Row],[autor_es]],autorest[autor_es],autorest[nacion_es])</f>
        <v>China</v>
      </c>
      <c r="N1246" t="str">
        <f>_xlfn.XLOOKUP(frasest[[#This Row],[autor_es]],autorest[autor_es],autorest[nacion_la])</f>
        <v>Sinae</v>
      </c>
      <c r="O1246" t="str">
        <f>_xlfn.XLOOKUP(frasest[[#This Row],[autor_es]],autorest[autor_es],autorest[epoca_es])</f>
        <v>Epoca Desconocida</v>
      </c>
      <c r="P1246" t="str">
        <f>_xlfn.XLOOKUP(frasest[[#This Row],[autor_es]],autorest[autor_es],autorest[epoca_la])</f>
        <v>Epocha Ignota</v>
      </c>
      <c r="Q1246" t="str">
        <f>_xlfn.XLOOKUP(frasest[[#This Row],[autor_es]],autorest[autor_es],autorest[imagen])</f>
        <v>https://i.ibb.co/qLfpZm6h/china.png</v>
      </c>
      <c r="R1246">
        <f>_xlfn.XLOOKUP(frasest[[#This Row],[autor_es]],autorest[autor_es],autorest[imagen_atr])</f>
        <v>0</v>
      </c>
    </row>
    <row r="1247" spans="1:18">
      <c r="A1247">
        <v>1246</v>
      </c>
      <c r="B1247" t="s">
        <v>3856</v>
      </c>
      <c r="C1247" t="s">
        <v>3857</v>
      </c>
      <c r="D1247" s="1" t="s">
        <v>3858</v>
      </c>
      <c r="E1247" t="s">
        <v>36</v>
      </c>
      <c r="G1247" t="str">
        <f>_xlfn.XLOOKUP(frasest[[#This Row],[autor_es]],autorest[autor_es],autorest[autor_la])</f>
        <v>Proverbium Sinense</v>
      </c>
      <c r="H1247" t="str">
        <f>_xlfn.XLOOKUP(frasest[[#This Row],[autor_es]],autorest[autor_es],autorest[bio_es])</f>
        <v>Conjunto de proverbios tradicionales de la cultura china que transmiten sabiduría popular, valores morales y enseñanzas prácticas transmitidas oralmente durante siglos.</v>
      </c>
      <c r="I1247" t="str">
        <f>_xlfn.XLOOKUP(frasest[[#This Row],[autor_es]],autorest[autor_es],autorest[bio_la])</f>
        <v>Collectio sententiarum Sinensium, magnopere in cultura tradita.</v>
      </c>
      <c r="J1247" t="str">
        <f>_xlfn.XLOOKUP(frasest[[#This Row],[autor_es]],autorest[autor_es],autorest[codigo])</f>
        <v>zh</v>
      </c>
      <c r="K1247" t="str">
        <f>_xlfn.XLOOKUP(frasest[[#This Row],[autor_es]],autorest[autor_es],autorest[idioma_es])</f>
        <v>Chino</v>
      </c>
      <c r="L1247" t="str">
        <f>_xlfn.XLOOKUP(frasest[[#This Row],[autor_es]],autorest[autor_es],autorest[idioma_la])</f>
        <v>Lingua Sinica</v>
      </c>
      <c r="M1247" t="str">
        <f>_xlfn.XLOOKUP(frasest[[#This Row],[autor_es]],autorest[autor_es],autorest[nacion_es])</f>
        <v>China</v>
      </c>
      <c r="N1247" t="str">
        <f>_xlfn.XLOOKUP(frasest[[#This Row],[autor_es]],autorest[autor_es],autorest[nacion_la])</f>
        <v>Sinae</v>
      </c>
      <c r="O1247" t="str">
        <f>_xlfn.XLOOKUP(frasest[[#This Row],[autor_es]],autorest[autor_es],autorest[epoca_es])</f>
        <v>Epoca Desconocida</v>
      </c>
      <c r="P1247" t="str">
        <f>_xlfn.XLOOKUP(frasest[[#This Row],[autor_es]],autorest[autor_es],autorest[epoca_la])</f>
        <v>Epocha Ignota</v>
      </c>
      <c r="Q1247" t="str">
        <f>_xlfn.XLOOKUP(frasest[[#This Row],[autor_es]],autorest[autor_es],autorest[imagen])</f>
        <v>https://i.ibb.co/qLfpZm6h/china.png</v>
      </c>
      <c r="R1247">
        <f>_xlfn.XLOOKUP(frasest[[#This Row],[autor_es]],autorest[autor_es],autorest[imagen_atr])</f>
        <v>0</v>
      </c>
    </row>
    <row r="1248" spans="1:18">
      <c r="A1248">
        <v>1247</v>
      </c>
      <c r="B1248" t="s">
        <v>3859</v>
      </c>
      <c r="C1248" t="s">
        <v>3860</v>
      </c>
      <c r="D1248" s="1" t="s">
        <v>3861</v>
      </c>
      <c r="E1248" t="s">
        <v>36</v>
      </c>
      <c r="G1248" t="str">
        <f>_xlfn.XLOOKUP(frasest[[#This Row],[autor_es]],autorest[autor_es],autorest[autor_la])</f>
        <v>Proverbium Sinense</v>
      </c>
      <c r="H1248" t="str">
        <f>_xlfn.XLOOKUP(frasest[[#This Row],[autor_es]],autorest[autor_es],autorest[bio_es])</f>
        <v>Conjunto de proverbios tradicionales de la cultura china que transmiten sabiduría popular, valores morales y enseñanzas prácticas transmitidas oralmente durante siglos.</v>
      </c>
      <c r="I1248" t="str">
        <f>_xlfn.XLOOKUP(frasest[[#This Row],[autor_es]],autorest[autor_es],autorest[bio_la])</f>
        <v>Collectio sententiarum Sinensium, magnopere in cultura tradita.</v>
      </c>
      <c r="J1248" t="str">
        <f>_xlfn.XLOOKUP(frasest[[#This Row],[autor_es]],autorest[autor_es],autorest[codigo])</f>
        <v>zh</v>
      </c>
      <c r="K1248" t="str">
        <f>_xlfn.XLOOKUP(frasest[[#This Row],[autor_es]],autorest[autor_es],autorest[idioma_es])</f>
        <v>Chino</v>
      </c>
      <c r="L1248" t="str">
        <f>_xlfn.XLOOKUP(frasest[[#This Row],[autor_es]],autorest[autor_es],autorest[idioma_la])</f>
        <v>Lingua Sinica</v>
      </c>
      <c r="M1248" t="str">
        <f>_xlfn.XLOOKUP(frasest[[#This Row],[autor_es]],autorest[autor_es],autorest[nacion_es])</f>
        <v>China</v>
      </c>
      <c r="N1248" t="str">
        <f>_xlfn.XLOOKUP(frasest[[#This Row],[autor_es]],autorest[autor_es],autorest[nacion_la])</f>
        <v>Sinae</v>
      </c>
      <c r="O1248" t="str">
        <f>_xlfn.XLOOKUP(frasest[[#This Row],[autor_es]],autorest[autor_es],autorest[epoca_es])</f>
        <v>Epoca Desconocida</v>
      </c>
      <c r="P1248" t="str">
        <f>_xlfn.XLOOKUP(frasest[[#This Row],[autor_es]],autorest[autor_es],autorest[epoca_la])</f>
        <v>Epocha Ignota</v>
      </c>
      <c r="Q1248" t="str">
        <f>_xlfn.XLOOKUP(frasest[[#This Row],[autor_es]],autorest[autor_es],autorest[imagen])</f>
        <v>https://i.ibb.co/qLfpZm6h/china.png</v>
      </c>
      <c r="R1248">
        <f>_xlfn.XLOOKUP(frasest[[#This Row],[autor_es]],autorest[autor_es],autorest[imagen_atr])</f>
        <v>0</v>
      </c>
    </row>
    <row r="1249" spans="1:18">
      <c r="A1249">
        <v>1248</v>
      </c>
      <c r="B1249" t="s">
        <v>3862</v>
      </c>
      <c r="C1249" t="s">
        <v>3863</v>
      </c>
      <c r="D1249" s="1" t="s">
        <v>3864</v>
      </c>
      <c r="E1249" t="s">
        <v>36</v>
      </c>
      <c r="G1249" t="str">
        <f>_xlfn.XLOOKUP(frasest[[#This Row],[autor_es]],autorest[autor_es],autorest[autor_la])</f>
        <v>Proverbium Sinense</v>
      </c>
      <c r="H1249" t="str">
        <f>_xlfn.XLOOKUP(frasest[[#This Row],[autor_es]],autorest[autor_es],autorest[bio_es])</f>
        <v>Conjunto de proverbios tradicionales de la cultura china que transmiten sabiduría popular, valores morales y enseñanzas prácticas transmitidas oralmente durante siglos.</v>
      </c>
      <c r="I1249" t="str">
        <f>_xlfn.XLOOKUP(frasest[[#This Row],[autor_es]],autorest[autor_es],autorest[bio_la])</f>
        <v>Collectio sententiarum Sinensium, magnopere in cultura tradita.</v>
      </c>
      <c r="J1249" t="str">
        <f>_xlfn.XLOOKUP(frasest[[#This Row],[autor_es]],autorest[autor_es],autorest[codigo])</f>
        <v>zh</v>
      </c>
      <c r="K1249" t="str">
        <f>_xlfn.XLOOKUP(frasest[[#This Row],[autor_es]],autorest[autor_es],autorest[idioma_es])</f>
        <v>Chino</v>
      </c>
      <c r="L1249" t="str">
        <f>_xlfn.XLOOKUP(frasest[[#This Row],[autor_es]],autorest[autor_es],autorest[idioma_la])</f>
        <v>Lingua Sinica</v>
      </c>
      <c r="M1249" t="str">
        <f>_xlfn.XLOOKUP(frasest[[#This Row],[autor_es]],autorest[autor_es],autorest[nacion_es])</f>
        <v>China</v>
      </c>
      <c r="N1249" t="str">
        <f>_xlfn.XLOOKUP(frasest[[#This Row],[autor_es]],autorest[autor_es],autorest[nacion_la])</f>
        <v>Sinae</v>
      </c>
      <c r="O1249" t="str">
        <f>_xlfn.XLOOKUP(frasest[[#This Row],[autor_es]],autorest[autor_es],autorest[epoca_es])</f>
        <v>Epoca Desconocida</v>
      </c>
      <c r="P1249" t="str">
        <f>_xlfn.XLOOKUP(frasest[[#This Row],[autor_es]],autorest[autor_es],autorest[epoca_la])</f>
        <v>Epocha Ignota</v>
      </c>
      <c r="Q1249" t="str">
        <f>_xlfn.XLOOKUP(frasest[[#This Row],[autor_es]],autorest[autor_es],autorest[imagen])</f>
        <v>https://i.ibb.co/qLfpZm6h/china.png</v>
      </c>
      <c r="R1249">
        <f>_xlfn.XLOOKUP(frasest[[#This Row],[autor_es]],autorest[autor_es],autorest[imagen_atr])</f>
        <v>0</v>
      </c>
    </row>
    <row r="1250" spans="1:18">
      <c r="A1250">
        <v>1249</v>
      </c>
      <c r="B1250" t="s">
        <v>3865</v>
      </c>
      <c r="C1250" t="s">
        <v>3866</v>
      </c>
      <c r="D1250" s="1" t="s">
        <v>3867</v>
      </c>
      <c r="E1250" t="s">
        <v>36</v>
      </c>
      <c r="G1250" t="str">
        <f>_xlfn.XLOOKUP(frasest[[#This Row],[autor_es]],autorest[autor_es],autorest[autor_la])</f>
        <v>Proverbium Sinense</v>
      </c>
      <c r="H1250" t="str">
        <f>_xlfn.XLOOKUP(frasest[[#This Row],[autor_es]],autorest[autor_es],autorest[bio_es])</f>
        <v>Conjunto de proverbios tradicionales de la cultura china que transmiten sabiduría popular, valores morales y enseñanzas prácticas transmitidas oralmente durante siglos.</v>
      </c>
      <c r="I1250" t="str">
        <f>_xlfn.XLOOKUP(frasest[[#This Row],[autor_es]],autorest[autor_es],autorest[bio_la])</f>
        <v>Collectio sententiarum Sinensium, magnopere in cultura tradita.</v>
      </c>
      <c r="J1250" t="str">
        <f>_xlfn.XLOOKUP(frasest[[#This Row],[autor_es]],autorest[autor_es],autorest[codigo])</f>
        <v>zh</v>
      </c>
      <c r="K1250" t="str">
        <f>_xlfn.XLOOKUP(frasest[[#This Row],[autor_es]],autorest[autor_es],autorest[idioma_es])</f>
        <v>Chino</v>
      </c>
      <c r="L1250" t="str">
        <f>_xlfn.XLOOKUP(frasest[[#This Row],[autor_es]],autorest[autor_es],autorest[idioma_la])</f>
        <v>Lingua Sinica</v>
      </c>
      <c r="M1250" t="str">
        <f>_xlfn.XLOOKUP(frasest[[#This Row],[autor_es]],autorest[autor_es],autorest[nacion_es])</f>
        <v>China</v>
      </c>
      <c r="N1250" t="str">
        <f>_xlfn.XLOOKUP(frasest[[#This Row],[autor_es]],autorest[autor_es],autorest[nacion_la])</f>
        <v>Sinae</v>
      </c>
      <c r="O1250" t="str">
        <f>_xlfn.XLOOKUP(frasest[[#This Row],[autor_es]],autorest[autor_es],autorest[epoca_es])</f>
        <v>Epoca Desconocida</v>
      </c>
      <c r="P1250" t="str">
        <f>_xlfn.XLOOKUP(frasest[[#This Row],[autor_es]],autorest[autor_es],autorest[epoca_la])</f>
        <v>Epocha Ignota</v>
      </c>
      <c r="Q1250" t="str">
        <f>_xlfn.XLOOKUP(frasest[[#This Row],[autor_es]],autorest[autor_es],autorest[imagen])</f>
        <v>https://i.ibb.co/qLfpZm6h/china.png</v>
      </c>
      <c r="R1250">
        <f>_xlfn.XLOOKUP(frasest[[#This Row],[autor_es]],autorest[autor_es],autorest[imagen_atr])</f>
        <v>0</v>
      </c>
    </row>
    <row r="1251" spans="1:18">
      <c r="A1251">
        <v>1250</v>
      </c>
      <c r="B1251" t="s">
        <v>3868</v>
      </c>
      <c r="C1251" t="s">
        <v>3869</v>
      </c>
      <c r="D1251" s="1" t="s">
        <v>3870</v>
      </c>
      <c r="E1251" t="s">
        <v>36</v>
      </c>
      <c r="G1251" t="str">
        <f>_xlfn.XLOOKUP(frasest[[#This Row],[autor_es]],autorest[autor_es],autorest[autor_la])</f>
        <v>Proverbium Sinense</v>
      </c>
      <c r="H1251" t="str">
        <f>_xlfn.XLOOKUP(frasest[[#This Row],[autor_es]],autorest[autor_es],autorest[bio_es])</f>
        <v>Conjunto de proverbios tradicionales de la cultura china que transmiten sabiduría popular, valores morales y enseñanzas prácticas transmitidas oralmente durante siglos.</v>
      </c>
      <c r="I1251" t="str">
        <f>_xlfn.XLOOKUP(frasest[[#This Row],[autor_es]],autorest[autor_es],autorest[bio_la])</f>
        <v>Collectio sententiarum Sinensium, magnopere in cultura tradita.</v>
      </c>
      <c r="J1251" t="str">
        <f>_xlfn.XLOOKUP(frasest[[#This Row],[autor_es]],autorest[autor_es],autorest[codigo])</f>
        <v>zh</v>
      </c>
      <c r="K1251" t="str">
        <f>_xlfn.XLOOKUP(frasest[[#This Row],[autor_es]],autorest[autor_es],autorest[idioma_es])</f>
        <v>Chino</v>
      </c>
      <c r="L1251" t="str">
        <f>_xlfn.XLOOKUP(frasest[[#This Row],[autor_es]],autorest[autor_es],autorest[idioma_la])</f>
        <v>Lingua Sinica</v>
      </c>
      <c r="M1251" t="str">
        <f>_xlfn.XLOOKUP(frasest[[#This Row],[autor_es]],autorest[autor_es],autorest[nacion_es])</f>
        <v>China</v>
      </c>
      <c r="N1251" t="str">
        <f>_xlfn.XLOOKUP(frasest[[#This Row],[autor_es]],autorest[autor_es],autorest[nacion_la])</f>
        <v>Sinae</v>
      </c>
      <c r="O1251" t="str">
        <f>_xlfn.XLOOKUP(frasest[[#This Row],[autor_es]],autorest[autor_es],autorest[epoca_es])</f>
        <v>Epoca Desconocida</v>
      </c>
      <c r="P1251" t="str">
        <f>_xlfn.XLOOKUP(frasest[[#This Row],[autor_es]],autorest[autor_es],autorest[epoca_la])</f>
        <v>Epocha Ignota</v>
      </c>
      <c r="Q1251" t="str">
        <f>_xlfn.XLOOKUP(frasest[[#This Row],[autor_es]],autorest[autor_es],autorest[imagen])</f>
        <v>https://i.ibb.co/qLfpZm6h/china.png</v>
      </c>
      <c r="R1251">
        <f>_xlfn.XLOOKUP(frasest[[#This Row],[autor_es]],autorest[autor_es],autorest[imagen_atr])</f>
        <v>0</v>
      </c>
    </row>
    <row r="1252" spans="1:18">
      <c r="A1252">
        <v>1251</v>
      </c>
      <c r="B1252" t="s">
        <v>3871</v>
      </c>
      <c r="C1252" t="s">
        <v>3872</v>
      </c>
      <c r="D1252" s="1" t="s">
        <v>3285</v>
      </c>
      <c r="E1252" t="s">
        <v>36</v>
      </c>
      <c r="G1252" t="str">
        <f>_xlfn.XLOOKUP(frasest[[#This Row],[autor_es]],autorest[autor_es],autorest[autor_la])</f>
        <v>Proverbium Sinense</v>
      </c>
      <c r="H1252" t="str">
        <f>_xlfn.XLOOKUP(frasest[[#This Row],[autor_es]],autorest[autor_es],autorest[bio_es])</f>
        <v>Conjunto de proverbios tradicionales de la cultura china que transmiten sabiduría popular, valores morales y enseñanzas prácticas transmitidas oralmente durante siglos.</v>
      </c>
      <c r="I1252" t="str">
        <f>_xlfn.XLOOKUP(frasest[[#This Row],[autor_es]],autorest[autor_es],autorest[bio_la])</f>
        <v>Collectio sententiarum Sinensium, magnopere in cultura tradita.</v>
      </c>
      <c r="J1252" t="str">
        <f>_xlfn.XLOOKUP(frasest[[#This Row],[autor_es]],autorest[autor_es],autorest[codigo])</f>
        <v>zh</v>
      </c>
      <c r="K1252" t="str">
        <f>_xlfn.XLOOKUP(frasest[[#This Row],[autor_es]],autorest[autor_es],autorest[idioma_es])</f>
        <v>Chino</v>
      </c>
      <c r="L1252" t="str">
        <f>_xlfn.XLOOKUP(frasest[[#This Row],[autor_es]],autorest[autor_es],autorest[idioma_la])</f>
        <v>Lingua Sinica</v>
      </c>
      <c r="M1252" t="str">
        <f>_xlfn.XLOOKUP(frasest[[#This Row],[autor_es]],autorest[autor_es],autorest[nacion_es])</f>
        <v>China</v>
      </c>
      <c r="N1252" t="str">
        <f>_xlfn.XLOOKUP(frasest[[#This Row],[autor_es]],autorest[autor_es],autorest[nacion_la])</f>
        <v>Sinae</v>
      </c>
      <c r="O1252" t="str">
        <f>_xlfn.XLOOKUP(frasest[[#This Row],[autor_es]],autorest[autor_es],autorest[epoca_es])</f>
        <v>Epoca Desconocida</v>
      </c>
      <c r="P1252" t="str">
        <f>_xlfn.XLOOKUP(frasest[[#This Row],[autor_es]],autorest[autor_es],autorest[epoca_la])</f>
        <v>Epocha Ignota</v>
      </c>
      <c r="Q1252" t="str">
        <f>_xlfn.XLOOKUP(frasest[[#This Row],[autor_es]],autorest[autor_es],autorest[imagen])</f>
        <v>https://i.ibb.co/qLfpZm6h/china.png</v>
      </c>
      <c r="R1252">
        <f>_xlfn.XLOOKUP(frasest[[#This Row],[autor_es]],autorest[autor_es],autorest[imagen_atr])</f>
        <v>0</v>
      </c>
    </row>
    <row r="1253" spans="1:18">
      <c r="A1253">
        <v>1252</v>
      </c>
      <c r="B1253" t="s">
        <v>3873</v>
      </c>
      <c r="C1253" t="s">
        <v>3874</v>
      </c>
      <c r="D1253" s="1" t="s">
        <v>3875</v>
      </c>
      <c r="E1253" t="s">
        <v>36</v>
      </c>
      <c r="G1253" t="str">
        <f>_xlfn.XLOOKUP(frasest[[#This Row],[autor_es]],autorest[autor_es],autorest[autor_la])</f>
        <v>Proverbium Sinense</v>
      </c>
      <c r="H1253" t="str">
        <f>_xlfn.XLOOKUP(frasest[[#This Row],[autor_es]],autorest[autor_es],autorest[bio_es])</f>
        <v>Conjunto de proverbios tradicionales de la cultura china que transmiten sabiduría popular, valores morales y enseñanzas prácticas transmitidas oralmente durante siglos.</v>
      </c>
      <c r="I1253" t="str">
        <f>_xlfn.XLOOKUP(frasest[[#This Row],[autor_es]],autorest[autor_es],autorest[bio_la])</f>
        <v>Collectio sententiarum Sinensium, magnopere in cultura tradita.</v>
      </c>
      <c r="J1253" t="str">
        <f>_xlfn.XLOOKUP(frasest[[#This Row],[autor_es]],autorest[autor_es],autorest[codigo])</f>
        <v>zh</v>
      </c>
      <c r="K1253" t="str">
        <f>_xlfn.XLOOKUP(frasest[[#This Row],[autor_es]],autorest[autor_es],autorest[idioma_es])</f>
        <v>Chino</v>
      </c>
      <c r="L1253" t="str">
        <f>_xlfn.XLOOKUP(frasest[[#This Row],[autor_es]],autorest[autor_es],autorest[idioma_la])</f>
        <v>Lingua Sinica</v>
      </c>
      <c r="M1253" t="str">
        <f>_xlfn.XLOOKUP(frasest[[#This Row],[autor_es]],autorest[autor_es],autorest[nacion_es])</f>
        <v>China</v>
      </c>
      <c r="N1253" t="str">
        <f>_xlfn.XLOOKUP(frasest[[#This Row],[autor_es]],autorest[autor_es],autorest[nacion_la])</f>
        <v>Sinae</v>
      </c>
      <c r="O1253" t="str">
        <f>_xlfn.XLOOKUP(frasest[[#This Row],[autor_es]],autorest[autor_es],autorest[epoca_es])</f>
        <v>Epoca Desconocida</v>
      </c>
      <c r="P1253" t="str">
        <f>_xlfn.XLOOKUP(frasest[[#This Row],[autor_es]],autorest[autor_es],autorest[epoca_la])</f>
        <v>Epocha Ignota</v>
      </c>
      <c r="Q1253" t="str">
        <f>_xlfn.XLOOKUP(frasest[[#This Row],[autor_es]],autorest[autor_es],autorest[imagen])</f>
        <v>https://i.ibb.co/qLfpZm6h/china.png</v>
      </c>
      <c r="R1253">
        <f>_xlfn.XLOOKUP(frasest[[#This Row],[autor_es]],autorest[autor_es],autorest[imagen_atr])</f>
        <v>0</v>
      </c>
    </row>
    <row r="1254" spans="1:18">
      <c r="A1254">
        <v>1253</v>
      </c>
      <c r="B1254" t="s">
        <v>3876</v>
      </c>
      <c r="C1254" t="s">
        <v>3877</v>
      </c>
      <c r="D1254" s="1" t="s">
        <v>3878</v>
      </c>
      <c r="E1254" t="s">
        <v>36</v>
      </c>
      <c r="G1254" t="str">
        <f>_xlfn.XLOOKUP(frasest[[#This Row],[autor_es]],autorest[autor_es],autorest[autor_la])</f>
        <v>Proverbium Sinense</v>
      </c>
      <c r="H1254" t="str">
        <f>_xlfn.XLOOKUP(frasest[[#This Row],[autor_es]],autorest[autor_es],autorest[bio_es])</f>
        <v>Conjunto de proverbios tradicionales de la cultura china que transmiten sabiduría popular, valores morales y enseñanzas prácticas transmitidas oralmente durante siglos.</v>
      </c>
      <c r="I1254" t="str">
        <f>_xlfn.XLOOKUP(frasest[[#This Row],[autor_es]],autorest[autor_es],autorest[bio_la])</f>
        <v>Collectio sententiarum Sinensium, magnopere in cultura tradita.</v>
      </c>
      <c r="J1254" t="str">
        <f>_xlfn.XLOOKUP(frasest[[#This Row],[autor_es]],autorest[autor_es],autorest[codigo])</f>
        <v>zh</v>
      </c>
      <c r="K1254" t="str">
        <f>_xlfn.XLOOKUP(frasest[[#This Row],[autor_es]],autorest[autor_es],autorest[idioma_es])</f>
        <v>Chino</v>
      </c>
      <c r="L1254" t="str">
        <f>_xlfn.XLOOKUP(frasest[[#This Row],[autor_es]],autorest[autor_es],autorest[idioma_la])</f>
        <v>Lingua Sinica</v>
      </c>
      <c r="M1254" t="str">
        <f>_xlfn.XLOOKUP(frasest[[#This Row],[autor_es]],autorest[autor_es],autorest[nacion_es])</f>
        <v>China</v>
      </c>
      <c r="N1254" t="str">
        <f>_xlfn.XLOOKUP(frasest[[#This Row],[autor_es]],autorest[autor_es],autorest[nacion_la])</f>
        <v>Sinae</v>
      </c>
      <c r="O1254" t="str">
        <f>_xlfn.XLOOKUP(frasest[[#This Row],[autor_es]],autorest[autor_es],autorest[epoca_es])</f>
        <v>Epoca Desconocida</v>
      </c>
      <c r="P1254" t="str">
        <f>_xlfn.XLOOKUP(frasest[[#This Row],[autor_es]],autorest[autor_es],autorest[epoca_la])</f>
        <v>Epocha Ignota</v>
      </c>
      <c r="Q1254" t="str">
        <f>_xlfn.XLOOKUP(frasest[[#This Row],[autor_es]],autorest[autor_es],autorest[imagen])</f>
        <v>https://i.ibb.co/qLfpZm6h/china.png</v>
      </c>
      <c r="R1254">
        <f>_xlfn.XLOOKUP(frasest[[#This Row],[autor_es]],autorest[autor_es],autorest[imagen_atr])</f>
        <v>0</v>
      </c>
    </row>
    <row r="1255" spans="1:18">
      <c r="A1255">
        <v>1254</v>
      </c>
      <c r="B1255" t="s">
        <v>3879</v>
      </c>
      <c r="C1255" t="s">
        <v>3880</v>
      </c>
      <c r="D1255" s="1" t="s">
        <v>3881</v>
      </c>
      <c r="E1255" t="s">
        <v>36</v>
      </c>
      <c r="G1255" t="str">
        <f>_xlfn.XLOOKUP(frasest[[#This Row],[autor_es]],autorest[autor_es],autorest[autor_la])</f>
        <v>Proverbium Sinense</v>
      </c>
      <c r="H1255" t="str">
        <f>_xlfn.XLOOKUP(frasest[[#This Row],[autor_es]],autorest[autor_es],autorest[bio_es])</f>
        <v>Conjunto de proverbios tradicionales de la cultura china que transmiten sabiduría popular, valores morales y enseñanzas prácticas transmitidas oralmente durante siglos.</v>
      </c>
      <c r="I1255" t="str">
        <f>_xlfn.XLOOKUP(frasest[[#This Row],[autor_es]],autorest[autor_es],autorest[bio_la])</f>
        <v>Collectio sententiarum Sinensium, magnopere in cultura tradita.</v>
      </c>
      <c r="J1255" t="str">
        <f>_xlfn.XLOOKUP(frasest[[#This Row],[autor_es]],autorest[autor_es],autorest[codigo])</f>
        <v>zh</v>
      </c>
      <c r="K1255" t="str">
        <f>_xlfn.XLOOKUP(frasest[[#This Row],[autor_es]],autorest[autor_es],autorest[idioma_es])</f>
        <v>Chino</v>
      </c>
      <c r="L1255" t="str">
        <f>_xlfn.XLOOKUP(frasest[[#This Row],[autor_es]],autorest[autor_es],autorest[idioma_la])</f>
        <v>Lingua Sinica</v>
      </c>
      <c r="M1255" t="str">
        <f>_xlfn.XLOOKUP(frasest[[#This Row],[autor_es]],autorest[autor_es],autorest[nacion_es])</f>
        <v>China</v>
      </c>
      <c r="N1255" t="str">
        <f>_xlfn.XLOOKUP(frasest[[#This Row],[autor_es]],autorest[autor_es],autorest[nacion_la])</f>
        <v>Sinae</v>
      </c>
      <c r="O1255" t="str">
        <f>_xlfn.XLOOKUP(frasest[[#This Row],[autor_es]],autorest[autor_es],autorest[epoca_es])</f>
        <v>Epoca Desconocida</v>
      </c>
      <c r="P1255" t="str">
        <f>_xlfn.XLOOKUP(frasest[[#This Row],[autor_es]],autorest[autor_es],autorest[epoca_la])</f>
        <v>Epocha Ignota</v>
      </c>
      <c r="Q1255" t="str">
        <f>_xlfn.XLOOKUP(frasest[[#This Row],[autor_es]],autorest[autor_es],autorest[imagen])</f>
        <v>https://i.ibb.co/qLfpZm6h/china.png</v>
      </c>
      <c r="R1255">
        <f>_xlfn.XLOOKUP(frasest[[#This Row],[autor_es]],autorest[autor_es],autorest[imagen_atr])</f>
        <v>0</v>
      </c>
    </row>
    <row r="1256" spans="1:18">
      <c r="A1256">
        <v>1255</v>
      </c>
      <c r="B1256" t="s">
        <v>3882</v>
      </c>
      <c r="C1256" t="s">
        <v>3883</v>
      </c>
      <c r="D1256" s="1" t="s">
        <v>3884</v>
      </c>
      <c r="E1256" t="s">
        <v>36</v>
      </c>
      <c r="G1256" t="str">
        <f>_xlfn.XLOOKUP(frasest[[#This Row],[autor_es]],autorest[autor_es],autorest[autor_la])</f>
        <v>Proverbium Sinense</v>
      </c>
      <c r="H1256" t="str">
        <f>_xlfn.XLOOKUP(frasest[[#This Row],[autor_es]],autorest[autor_es],autorest[bio_es])</f>
        <v>Conjunto de proverbios tradicionales de la cultura china que transmiten sabiduría popular, valores morales y enseñanzas prácticas transmitidas oralmente durante siglos.</v>
      </c>
      <c r="I1256" t="str">
        <f>_xlfn.XLOOKUP(frasest[[#This Row],[autor_es]],autorest[autor_es],autorest[bio_la])</f>
        <v>Collectio sententiarum Sinensium, magnopere in cultura tradita.</v>
      </c>
      <c r="J1256" t="str">
        <f>_xlfn.XLOOKUP(frasest[[#This Row],[autor_es]],autorest[autor_es],autorest[codigo])</f>
        <v>zh</v>
      </c>
      <c r="K1256" t="str">
        <f>_xlfn.XLOOKUP(frasest[[#This Row],[autor_es]],autorest[autor_es],autorest[idioma_es])</f>
        <v>Chino</v>
      </c>
      <c r="L1256" t="str">
        <f>_xlfn.XLOOKUP(frasest[[#This Row],[autor_es]],autorest[autor_es],autorest[idioma_la])</f>
        <v>Lingua Sinica</v>
      </c>
      <c r="M1256" t="str">
        <f>_xlfn.XLOOKUP(frasest[[#This Row],[autor_es]],autorest[autor_es],autorest[nacion_es])</f>
        <v>China</v>
      </c>
      <c r="N1256" t="str">
        <f>_xlfn.XLOOKUP(frasest[[#This Row],[autor_es]],autorest[autor_es],autorest[nacion_la])</f>
        <v>Sinae</v>
      </c>
      <c r="O1256" t="str">
        <f>_xlfn.XLOOKUP(frasest[[#This Row],[autor_es]],autorest[autor_es],autorest[epoca_es])</f>
        <v>Epoca Desconocida</v>
      </c>
      <c r="P1256" t="str">
        <f>_xlfn.XLOOKUP(frasest[[#This Row],[autor_es]],autorest[autor_es],autorest[epoca_la])</f>
        <v>Epocha Ignota</v>
      </c>
      <c r="Q1256" t="str">
        <f>_xlfn.XLOOKUP(frasest[[#This Row],[autor_es]],autorest[autor_es],autorest[imagen])</f>
        <v>https://i.ibb.co/qLfpZm6h/china.png</v>
      </c>
      <c r="R1256">
        <f>_xlfn.XLOOKUP(frasest[[#This Row],[autor_es]],autorest[autor_es],autorest[imagen_atr])</f>
        <v>0</v>
      </c>
    </row>
    <row r="1257" spans="1:18">
      <c r="A1257">
        <v>1256</v>
      </c>
      <c r="B1257" t="s">
        <v>3885</v>
      </c>
      <c r="C1257" t="s">
        <v>3886</v>
      </c>
      <c r="D1257" s="1" t="s">
        <v>3887</v>
      </c>
      <c r="E1257" t="s">
        <v>36</v>
      </c>
      <c r="G1257" t="str">
        <f>_xlfn.XLOOKUP(frasest[[#This Row],[autor_es]],autorest[autor_es],autorest[autor_la])</f>
        <v>Proverbium Sinense</v>
      </c>
      <c r="H1257" t="str">
        <f>_xlfn.XLOOKUP(frasest[[#This Row],[autor_es]],autorest[autor_es],autorest[bio_es])</f>
        <v>Conjunto de proverbios tradicionales de la cultura china que transmiten sabiduría popular, valores morales y enseñanzas prácticas transmitidas oralmente durante siglos.</v>
      </c>
      <c r="I1257" t="str">
        <f>_xlfn.XLOOKUP(frasest[[#This Row],[autor_es]],autorest[autor_es],autorest[bio_la])</f>
        <v>Collectio sententiarum Sinensium, magnopere in cultura tradita.</v>
      </c>
      <c r="J1257" t="str">
        <f>_xlfn.XLOOKUP(frasest[[#This Row],[autor_es]],autorest[autor_es],autorest[codigo])</f>
        <v>zh</v>
      </c>
      <c r="K1257" t="str">
        <f>_xlfn.XLOOKUP(frasest[[#This Row],[autor_es]],autorest[autor_es],autorest[idioma_es])</f>
        <v>Chino</v>
      </c>
      <c r="L1257" t="str">
        <f>_xlfn.XLOOKUP(frasest[[#This Row],[autor_es]],autorest[autor_es],autorest[idioma_la])</f>
        <v>Lingua Sinica</v>
      </c>
      <c r="M1257" t="str">
        <f>_xlfn.XLOOKUP(frasest[[#This Row],[autor_es]],autorest[autor_es],autorest[nacion_es])</f>
        <v>China</v>
      </c>
      <c r="N1257" t="str">
        <f>_xlfn.XLOOKUP(frasest[[#This Row],[autor_es]],autorest[autor_es],autorest[nacion_la])</f>
        <v>Sinae</v>
      </c>
      <c r="O1257" t="str">
        <f>_xlfn.XLOOKUP(frasest[[#This Row],[autor_es]],autorest[autor_es],autorest[epoca_es])</f>
        <v>Epoca Desconocida</v>
      </c>
      <c r="P1257" t="str">
        <f>_xlfn.XLOOKUP(frasest[[#This Row],[autor_es]],autorest[autor_es],autorest[epoca_la])</f>
        <v>Epocha Ignota</v>
      </c>
      <c r="Q1257" t="str">
        <f>_xlfn.XLOOKUP(frasest[[#This Row],[autor_es]],autorest[autor_es],autorest[imagen])</f>
        <v>https://i.ibb.co/qLfpZm6h/china.png</v>
      </c>
      <c r="R1257">
        <f>_xlfn.XLOOKUP(frasest[[#This Row],[autor_es]],autorest[autor_es],autorest[imagen_atr])</f>
        <v>0</v>
      </c>
    </row>
    <row r="1258" spans="1:18">
      <c r="A1258">
        <v>1257</v>
      </c>
      <c r="B1258" t="s">
        <v>3888</v>
      </c>
      <c r="C1258" t="s">
        <v>3889</v>
      </c>
      <c r="D1258" s="1" t="s">
        <v>3890</v>
      </c>
      <c r="E1258" t="s">
        <v>36</v>
      </c>
      <c r="G1258" t="str">
        <f>_xlfn.XLOOKUP(frasest[[#This Row],[autor_es]],autorest[autor_es],autorest[autor_la])</f>
        <v>Proverbium Sinense</v>
      </c>
      <c r="H1258" t="str">
        <f>_xlfn.XLOOKUP(frasest[[#This Row],[autor_es]],autorest[autor_es],autorest[bio_es])</f>
        <v>Conjunto de proverbios tradicionales de la cultura china que transmiten sabiduría popular, valores morales y enseñanzas prácticas transmitidas oralmente durante siglos.</v>
      </c>
      <c r="I1258" t="str">
        <f>_xlfn.XLOOKUP(frasest[[#This Row],[autor_es]],autorest[autor_es],autorest[bio_la])</f>
        <v>Collectio sententiarum Sinensium, magnopere in cultura tradita.</v>
      </c>
      <c r="J1258" t="str">
        <f>_xlfn.XLOOKUP(frasest[[#This Row],[autor_es]],autorest[autor_es],autorest[codigo])</f>
        <v>zh</v>
      </c>
      <c r="K1258" t="str">
        <f>_xlfn.XLOOKUP(frasest[[#This Row],[autor_es]],autorest[autor_es],autorest[idioma_es])</f>
        <v>Chino</v>
      </c>
      <c r="L1258" t="str">
        <f>_xlfn.XLOOKUP(frasest[[#This Row],[autor_es]],autorest[autor_es],autorest[idioma_la])</f>
        <v>Lingua Sinica</v>
      </c>
      <c r="M1258" t="str">
        <f>_xlfn.XLOOKUP(frasest[[#This Row],[autor_es]],autorest[autor_es],autorest[nacion_es])</f>
        <v>China</v>
      </c>
      <c r="N1258" t="str">
        <f>_xlfn.XLOOKUP(frasest[[#This Row],[autor_es]],autorest[autor_es],autorest[nacion_la])</f>
        <v>Sinae</v>
      </c>
      <c r="O1258" t="str">
        <f>_xlfn.XLOOKUP(frasest[[#This Row],[autor_es]],autorest[autor_es],autorest[epoca_es])</f>
        <v>Epoca Desconocida</v>
      </c>
      <c r="P1258" t="str">
        <f>_xlfn.XLOOKUP(frasest[[#This Row],[autor_es]],autorest[autor_es],autorest[epoca_la])</f>
        <v>Epocha Ignota</v>
      </c>
      <c r="Q1258" t="str">
        <f>_xlfn.XLOOKUP(frasest[[#This Row],[autor_es]],autorest[autor_es],autorest[imagen])</f>
        <v>https://i.ibb.co/qLfpZm6h/china.png</v>
      </c>
      <c r="R1258">
        <f>_xlfn.XLOOKUP(frasest[[#This Row],[autor_es]],autorest[autor_es],autorest[imagen_atr])</f>
        <v>0</v>
      </c>
    </row>
    <row r="1259" spans="1:18">
      <c r="A1259">
        <v>1258</v>
      </c>
      <c r="B1259" t="s">
        <v>3891</v>
      </c>
      <c r="C1259" t="s">
        <v>3892</v>
      </c>
      <c r="D1259" s="1" t="s">
        <v>3893</v>
      </c>
      <c r="E1259" t="s">
        <v>36</v>
      </c>
      <c r="G1259" t="str">
        <f>_xlfn.XLOOKUP(frasest[[#This Row],[autor_es]],autorest[autor_es],autorest[autor_la])</f>
        <v>Proverbium Sinense</v>
      </c>
      <c r="H1259" t="str">
        <f>_xlfn.XLOOKUP(frasest[[#This Row],[autor_es]],autorest[autor_es],autorest[bio_es])</f>
        <v>Conjunto de proverbios tradicionales de la cultura china que transmiten sabiduría popular, valores morales y enseñanzas prácticas transmitidas oralmente durante siglos.</v>
      </c>
      <c r="I1259" t="str">
        <f>_xlfn.XLOOKUP(frasest[[#This Row],[autor_es]],autorest[autor_es],autorest[bio_la])</f>
        <v>Collectio sententiarum Sinensium, magnopere in cultura tradita.</v>
      </c>
      <c r="J1259" t="str">
        <f>_xlfn.XLOOKUP(frasest[[#This Row],[autor_es]],autorest[autor_es],autorest[codigo])</f>
        <v>zh</v>
      </c>
      <c r="K1259" t="str">
        <f>_xlfn.XLOOKUP(frasest[[#This Row],[autor_es]],autorest[autor_es],autorest[idioma_es])</f>
        <v>Chino</v>
      </c>
      <c r="L1259" t="str">
        <f>_xlfn.XLOOKUP(frasest[[#This Row],[autor_es]],autorest[autor_es],autorest[idioma_la])</f>
        <v>Lingua Sinica</v>
      </c>
      <c r="M1259" t="str">
        <f>_xlfn.XLOOKUP(frasest[[#This Row],[autor_es]],autorest[autor_es],autorest[nacion_es])</f>
        <v>China</v>
      </c>
      <c r="N1259" t="str">
        <f>_xlfn.XLOOKUP(frasest[[#This Row],[autor_es]],autorest[autor_es],autorest[nacion_la])</f>
        <v>Sinae</v>
      </c>
      <c r="O1259" t="str">
        <f>_xlfn.XLOOKUP(frasest[[#This Row],[autor_es]],autorest[autor_es],autorest[epoca_es])</f>
        <v>Epoca Desconocida</v>
      </c>
      <c r="P1259" t="str">
        <f>_xlfn.XLOOKUP(frasest[[#This Row],[autor_es]],autorest[autor_es],autorest[epoca_la])</f>
        <v>Epocha Ignota</v>
      </c>
      <c r="Q1259" t="str">
        <f>_xlfn.XLOOKUP(frasest[[#This Row],[autor_es]],autorest[autor_es],autorest[imagen])</f>
        <v>https://i.ibb.co/qLfpZm6h/china.png</v>
      </c>
      <c r="R1259">
        <f>_xlfn.XLOOKUP(frasest[[#This Row],[autor_es]],autorest[autor_es],autorest[imagen_atr])</f>
        <v>0</v>
      </c>
    </row>
    <row r="1260" spans="1:18">
      <c r="A1260">
        <v>1259</v>
      </c>
      <c r="B1260" t="s">
        <v>3894</v>
      </c>
      <c r="C1260" t="s">
        <v>3895</v>
      </c>
      <c r="D1260" s="1" t="s">
        <v>3896</v>
      </c>
      <c r="E1260" t="s">
        <v>36</v>
      </c>
      <c r="G1260" t="str">
        <f>_xlfn.XLOOKUP(frasest[[#This Row],[autor_es]],autorest[autor_es],autorest[autor_la])</f>
        <v>Proverbium Sinense</v>
      </c>
      <c r="H1260" t="str">
        <f>_xlfn.XLOOKUP(frasest[[#This Row],[autor_es]],autorest[autor_es],autorest[bio_es])</f>
        <v>Conjunto de proverbios tradicionales de la cultura china que transmiten sabiduría popular, valores morales y enseñanzas prácticas transmitidas oralmente durante siglos.</v>
      </c>
      <c r="I1260" t="str">
        <f>_xlfn.XLOOKUP(frasest[[#This Row],[autor_es]],autorest[autor_es],autorest[bio_la])</f>
        <v>Collectio sententiarum Sinensium, magnopere in cultura tradita.</v>
      </c>
      <c r="J1260" t="str">
        <f>_xlfn.XLOOKUP(frasest[[#This Row],[autor_es]],autorest[autor_es],autorest[codigo])</f>
        <v>zh</v>
      </c>
      <c r="K1260" t="str">
        <f>_xlfn.XLOOKUP(frasest[[#This Row],[autor_es]],autorest[autor_es],autorest[idioma_es])</f>
        <v>Chino</v>
      </c>
      <c r="L1260" t="str">
        <f>_xlfn.XLOOKUP(frasest[[#This Row],[autor_es]],autorest[autor_es],autorest[idioma_la])</f>
        <v>Lingua Sinica</v>
      </c>
      <c r="M1260" t="str">
        <f>_xlfn.XLOOKUP(frasest[[#This Row],[autor_es]],autorest[autor_es],autorest[nacion_es])</f>
        <v>China</v>
      </c>
      <c r="N1260" t="str">
        <f>_xlfn.XLOOKUP(frasest[[#This Row],[autor_es]],autorest[autor_es],autorest[nacion_la])</f>
        <v>Sinae</v>
      </c>
      <c r="O1260" t="str">
        <f>_xlfn.XLOOKUP(frasest[[#This Row],[autor_es]],autorest[autor_es],autorest[epoca_es])</f>
        <v>Epoca Desconocida</v>
      </c>
      <c r="P1260" t="str">
        <f>_xlfn.XLOOKUP(frasest[[#This Row],[autor_es]],autorest[autor_es],autorest[epoca_la])</f>
        <v>Epocha Ignota</v>
      </c>
      <c r="Q1260" t="str">
        <f>_xlfn.XLOOKUP(frasest[[#This Row],[autor_es]],autorest[autor_es],autorest[imagen])</f>
        <v>https://i.ibb.co/qLfpZm6h/china.png</v>
      </c>
      <c r="R1260">
        <f>_xlfn.XLOOKUP(frasest[[#This Row],[autor_es]],autorest[autor_es],autorest[imagen_atr])</f>
        <v>0</v>
      </c>
    </row>
    <row r="1261" spans="1:18">
      <c r="A1261">
        <v>1260</v>
      </c>
      <c r="B1261" t="s">
        <v>3897</v>
      </c>
      <c r="C1261" t="s">
        <v>3898</v>
      </c>
      <c r="D1261" s="1" t="s">
        <v>3899</v>
      </c>
      <c r="E1261" t="s">
        <v>36</v>
      </c>
      <c r="G1261" t="str">
        <f>_xlfn.XLOOKUP(frasest[[#This Row],[autor_es]],autorest[autor_es],autorest[autor_la])</f>
        <v>Proverbium Sinense</v>
      </c>
      <c r="H1261" t="str">
        <f>_xlfn.XLOOKUP(frasest[[#This Row],[autor_es]],autorest[autor_es],autorest[bio_es])</f>
        <v>Conjunto de proverbios tradicionales de la cultura china que transmiten sabiduría popular, valores morales y enseñanzas prácticas transmitidas oralmente durante siglos.</v>
      </c>
      <c r="I1261" t="str">
        <f>_xlfn.XLOOKUP(frasest[[#This Row],[autor_es]],autorest[autor_es],autorest[bio_la])</f>
        <v>Collectio sententiarum Sinensium, magnopere in cultura tradita.</v>
      </c>
      <c r="J1261" t="str">
        <f>_xlfn.XLOOKUP(frasest[[#This Row],[autor_es]],autorest[autor_es],autorest[codigo])</f>
        <v>zh</v>
      </c>
      <c r="K1261" t="str">
        <f>_xlfn.XLOOKUP(frasest[[#This Row],[autor_es]],autorest[autor_es],autorest[idioma_es])</f>
        <v>Chino</v>
      </c>
      <c r="L1261" t="str">
        <f>_xlfn.XLOOKUP(frasest[[#This Row],[autor_es]],autorest[autor_es],autorest[idioma_la])</f>
        <v>Lingua Sinica</v>
      </c>
      <c r="M1261" t="str">
        <f>_xlfn.XLOOKUP(frasest[[#This Row],[autor_es]],autorest[autor_es],autorest[nacion_es])</f>
        <v>China</v>
      </c>
      <c r="N1261" t="str">
        <f>_xlfn.XLOOKUP(frasest[[#This Row],[autor_es]],autorest[autor_es],autorest[nacion_la])</f>
        <v>Sinae</v>
      </c>
      <c r="O1261" t="str">
        <f>_xlfn.XLOOKUP(frasest[[#This Row],[autor_es]],autorest[autor_es],autorest[epoca_es])</f>
        <v>Epoca Desconocida</v>
      </c>
      <c r="P1261" t="str">
        <f>_xlfn.XLOOKUP(frasest[[#This Row],[autor_es]],autorest[autor_es],autorest[epoca_la])</f>
        <v>Epocha Ignota</v>
      </c>
      <c r="Q1261" t="str">
        <f>_xlfn.XLOOKUP(frasest[[#This Row],[autor_es]],autorest[autor_es],autorest[imagen])</f>
        <v>https://i.ibb.co/qLfpZm6h/china.png</v>
      </c>
      <c r="R1261">
        <f>_xlfn.XLOOKUP(frasest[[#This Row],[autor_es]],autorest[autor_es],autorest[imagen_atr])</f>
        <v>0</v>
      </c>
    </row>
    <row r="1262" spans="1:18">
      <c r="A1262">
        <v>1261</v>
      </c>
      <c r="B1262" t="s">
        <v>3900</v>
      </c>
      <c r="C1262" t="s">
        <v>3901</v>
      </c>
      <c r="D1262" s="1" t="s">
        <v>3902</v>
      </c>
      <c r="E1262" t="s">
        <v>36</v>
      </c>
      <c r="G1262" t="str">
        <f>_xlfn.XLOOKUP(frasest[[#This Row],[autor_es]],autorest[autor_es],autorest[autor_la])</f>
        <v>Proverbium Sinense</v>
      </c>
      <c r="H1262" t="str">
        <f>_xlfn.XLOOKUP(frasest[[#This Row],[autor_es]],autorest[autor_es],autorest[bio_es])</f>
        <v>Conjunto de proverbios tradicionales de la cultura china que transmiten sabiduría popular, valores morales y enseñanzas prácticas transmitidas oralmente durante siglos.</v>
      </c>
      <c r="I1262" t="str">
        <f>_xlfn.XLOOKUP(frasest[[#This Row],[autor_es]],autorest[autor_es],autorest[bio_la])</f>
        <v>Collectio sententiarum Sinensium, magnopere in cultura tradita.</v>
      </c>
      <c r="J1262" t="str">
        <f>_xlfn.XLOOKUP(frasest[[#This Row],[autor_es]],autorest[autor_es],autorest[codigo])</f>
        <v>zh</v>
      </c>
      <c r="K1262" t="str">
        <f>_xlfn.XLOOKUP(frasest[[#This Row],[autor_es]],autorest[autor_es],autorest[idioma_es])</f>
        <v>Chino</v>
      </c>
      <c r="L1262" t="str">
        <f>_xlfn.XLOOKUP(frasest[[#This Row],[autor_es]],autorest[autor_es],autorest[idioma_la])</f>
        <v>Lingua Sinica</v>
      </c>
      <c r="M1262" t="str">
        <f>_xlfn.XLOOKUP(frasest[[#This Row],[autor_es]],autorest[autor_es],autorest[nacion_es])</f>
        <v>China</v>
      </c>
      <c r="N1262" t="str">
        <f>_xlfn.XLOOKUP(frasest[[#This Row],[autor_es]],autorest[autor_es],autorest[nacion_la])</f>
        <v>Sinae</v>
      </c>
      <c r="O1262" t="str">
        <f>_xlfn.XLOOKUP(frasest[[#This Row],[autor_es]],autorest[autor_es],autorest[epoca_es])</f>
        <v>Epoca Desconocida</v>
      </c>
      <c r="P1262" t="str">
        <f>_xlfn.XLOOKUP(frasest[[#This Row],[autor_es]],autorest[autor_es],autorest[epoca_la])</f>
        <v>Epocha Ignota</v>
      </c>
      <c r="Q1262" t="str">
        <f>_xlfn.XLOOKUP(frasest[[#This Row],[autor_es]],autorest[autor_es],autorest[imagen])</f>
        <v>https://i.ibb.co/qLfpZm6h/china.png</v>
      </c>
      <c r="R1262">
        <f>_xlfn.XLOOKUP(frasest[[#This Row],[autor_es]],autorest[autor_es],autorest[imagen_atr])</f>
        <v>0</v>
      </c>
    </row>
    <row r="1263" spans="1:18">
      <c r="A1263">
        <v>1262</v>
      </c>
      <c r="B1263" t="s">
        <v>3903</v>
      </c>
      <c r="C1263" t="s">
        <v>3904</v>
      </c>
      <c r="D1263" s="1" t="s">
        <v>3905</v>
      </c>
      <c r="E1263" t="s">
        <v>36</v>
      </c>
      <c r="G1263" t="str">
        <f>_xlfn.XLOOKUP(frasest[[#This Row],[autor_es]],autorest[autor_es],autorest[autor_la])</f>
        <v>Proverbium Sinense</v>
      </c>
      <c r="H1263" t="str">
        <f>_xlfn.XLOOKUP(frasest[[#This Row],[autor_es]],autorest[autor_es],autorest[bio_es])</f>
        <v>Conjunto de proverbios tradicionales de la cultura china que transmiten sabiduría popular, valores morales y enseñanzas prácticas transmitidas oralmente durante siglos.</v>
      </c>
      <c r="I1263" t="str">
        <f>_xlfn.XLOOKUP(frasest[[#This Row],[autor_es]],autorest[autor_es],autorest[bio_la])</f>
        <v>Collectio sententiarum Sinensium, magnopere in cultura tradita.</v>
      </c>
      <c r="J1263" t="str">
        <f>_xlfn.XLOOKUP(frasest[[#This Row],[autor_es]],autorest[autor_es],autorest[codigo])</f>
        <v>zh</v>
      </c>
      <c r="K1263" t="str">
        <f>_xlfn.XLOOKUP(frasest[[#This Row],[autor_es]],autorest[autor_es],autorest[idioma_es])</f>
        <v>Chino</v>
      </c>
      <c r="L1263" t="str">
        <f>_xlfn.XLOOKUP(frasest[[#This Row],[autor_es]],autorest[autor_es],autorest[idioma_la])</f>
        <v>Lingua Sinica</v>
      </c>
      <c r="M1263" t="str">
        <f>_xlfn.XLOOKUP(frasest[[#This Row],[autor_es]],autorest[autor_es],autorest[nacion_es])</f>
        <v>China</v>
      </c>
      <c r="N1263" t="str">
        <f>_xlfn.XLOOKUP(frasest[[#This Row],[autor_es]],autorest[autor_es],autorest[nacion_la])</f>
        <v>Sinae</v>
      </c>
      <c r="O1263" t="str">
        <f>_xlfn.XLOOKUP(frasest[[#This Row],[autor_es]],autorest[autor_es],autorest[epoca_es])</f>
        <v>Epoca Desconocida</v>
      </c>
      <c r="P1263" t="str">
        <f>_xlfn.XLOOKUP(frasest[[#This Row],[autor_es]],autorest[autor_es],autorest[epoca_la])</f>
        <v>Epocha Ignota</v>
      </c>
      <c r="Q1263" t="str">
        <f>_xlfn.XLOOKUP(frasest[[#This Row],[autor_es]],autorest[autor_es],autorest[imagen])</f>
        <v>https://i.ibb.co/qLfpZm6h/china.png</v>
      </c>
      <c r="R1263">
        <f>_xlfn.XLOOKUP(frasest[[#This Row],[autor_es]],autorest[autor_es],autorest[imagen_atr])</f>
        <v>0</v>
      </c>
    </row>
    <row r="1264" spans="1:18">
      <c r="A1264">
        <v>1263</v>
      </c>
      <c r="B1264" t="s">
        <v>3906</v>
      </c>
      <c r="C1264" t="s">
        <v>3907</v>
      </c>
      <c r="D1264" s="1" t="s">
        <v>3908</v>
      </c>
      <c r="E1264" t="s">
        <v>36</v>
      </c>
      <c r="G1264" t="str">
        <f>_xlfn.XLOOKUP(frasest[[#This Row],[autor_es]],autorest[autor_es],autorest[autor_la])</f>
        <v>Proverbium Sinense</v>
      </c>
      <c r="H1264" t="str">
        <f>_xlfn.XLOOKUP(frasest[[#This Row],[autor_es]],autorest[autor_es],autorest[bio_es])</f>
        <v>Conjunto de proverbios tradicionales de la cultura china que transmiten sabiduría popular, valores morales y enseñanzas prácticas transmitidas oralmente durante siglos.</v>
      </c>
      <c r="I1264" t="str">
        <f>_xlfn.XLOOKUP(frasest[[#This Row],[autor_es]],autorest[autor_es],autorest[bio_la])</f>
        <v>Collectio sententiarum Sinensium, magnopere in cultura tradita.</v>
      </c>
      <c r="J1264" t="str">
        <f>_xlfn.XLOOKUP(frasest[[#This Row],[autor_es]],autorest[autor_es],autorest[codigo])</f>
        <v>zh</v>
      </c>
      <c r="K1264" t="str">
        <f>_xlfn.XLOOKUP(frasest[[#This Row],[autor_es]],autorest[autor_es],autorest[idioma_es])</f>
        <v>Chino</v>
      </c>
      <c r="L1264" t="str">
        <f>_xlfn.XLOOKUP(frasest[[#This Row],[autor_es]],autorest[autor_es],autorest[idioma_la])</f>
        <v>Lingua Sinica</v>
      </c>
      <c r="M1264" t="str">
        <f>_xlfn.XLOOKUP(frasest[[#This Row],[autor_es]],autorest[autor_es],autorest[nacion_es])</f>
        <v>China</v>
      </c>
      <c r="N1264" t="str">
        <f>_xlfn.XLOOKUP(frasest[[#This Row],[autor_es]],autorest[autor_es],autorest[nacion_la])</f>
        <v>Sinae</v>
      </c>
      <c r="O1264" t="str">
        <f>_xlfn.XLOOKUP(frasest[[#This Row],[autor_es]],autorest[autor_es],autorest[epoca_es])</f>
        <v>Epoca Desconocida</v>
      </c>
      <c r="P1264" t="str">
        <f>_xlfn.XLOOKUP(frasest[[#This Row],[autor_es]],autorest[autor_es],autorest[epoca_la])</f>
        <v>Epocha Ignota</v>
      </c>
      <c r="Q1264" t="str">
        <f>_xlfn.XLOOKUP(frasest[[#This Row],[autor_es]],autorest[autor_es],autorest[imagen])</f>
        <v>https://i.ibb.co/qLfpZm6h/china.png</v>
      </c>
      <c r="R1264">
        <f>_xlfn.XLOOKUP(frasest[[#This Row],[autor_es]],autorest[autor_es],autorest[imagen_atr])</f>
        <v>0</v>
      </c>
    </row>
    <row r="1265" spans="1:18">
      <c r="A1265">
        <v>1264</v>
      </c>
      <c r="B1265" t="s">
        <v>3909</v>
      </c>
      <c r="C1265" t="s">
        <v>3910</v>
      </c>
      <c r="D1265" s="1" t="s">
        <v>3911</v>
      </c>
      <c r="E1265" t="s">
        <v>36</v>
      </c>
      <c r="G1265" t="str">
        <f>_xlfn.XLOOKUP(frasest[[#This Row],[autor_es]],autorest[autor_es],autorest[autor_la])</f>
        <v>Proverbium Sinense</v>
      </c>
      <c r="H1265" t="str">
        <f>_xlfn.XLOOKUP(frasest[[#This Row],[autor_es]],autorest[autor_es],autorest[bio_es])</f>
        <v>Conjunto de proverbios tradicionales de la cultura china que transmiten sabiduría popular, valores morales y enseñanzas prácticas transmitidas oralmente durante siglos.</v>
      </c>
      <c r="I1265" t="str">
        <f>_xlfn.XLOOKUP(frasest[[#This Row],[autor_es]],autorest[autor_es],autorest[bio_la])</f>
        <v>Collectio sententiarum Sinensium, magnopere in cultura tradita.</v>
      </c>
      <c r="J1265" t="str">
        <f>_xlfn.XLOOKUP(frasest[[#This Row],[autor_es]],autorest[autor_es],autorest[codigo])</f>
        <v>zh</v>
      </c>
      <c r="K1265" t="str">
        <f>_xlfn.XLOOKUP(frasest[[#This Row],[autor_es]],autorest[autor_es],autorest[idioma_es])</f>
        <v>Chino</v>
      </c>
      <c r="L1265" t="str">
        <f>_xlfn.XLOOKUP(frasest[[#This Row],[autor_es]],autorest[autor_es],autorest[idioma_la])</f>
        <v>Lingua Sinica</v>
      </c>
      <c r="M1265" t="str">
        <f>_xlfn.XLOOKUP(frasest[[#This Row],[autor_es]],autorest[autor_es],autorest[nacion_es])</f>
        <v>China</v>
      </c>
      <c r="N1265" t="str">
        <f>_xlfn.XLOOKUP(frasest[[#This Row],[autor_es]],autorest[autor_es],autorest[nacion_la])</f>
        <v>Sinae</v>
      </c>
      <c r="O1265" t="str">
        <f>_xlfn.XLOOKUP(frasest[[#This Row],[autor_es]],autorest[autor_es],autorest[epoca_es])</f>
        <v>Epoca Desconocida</v>
      </c>
      <c r="P1265" t="str">
        <f>_xlfn.XLOOKUP(frasest[[#This Row],[autor_es]],autorest[autor_es],autorest[epoca_la])</f>
        <v>Epocha Ignota</v>
      </c>
      <c r="Q1265" t="str">
        <f>_xlfn.XLOOKUP(frasest[[#This Row],[autor_es]],autorest[autor_es],autorest[imagen])</f>
        <v>https://i.ibb.co/qLfpZm6h/china.png</v>
      </c>
      <c r="R1265">
        <f>_xlfn.XLOOKUP(frasest[[#This Row],[autor_es]],autorest[autor_es],autorest[imagen_atr])</f>
        <v>0</v>
      </c>
    </row>
    <row r="1266" spans="1:18">
      <c r="A1266">
        <v>1265</v>
      </c>
      <c r="B1266" t="s">
        <v>3912</v>
      </c>
      <c r="C1266" t="s">
        <v>3913</v>
      </c>
      <c r="D1266" s="1" t="s">
        <v>3914</v>
      </c>
      <c r="E1266" t="s">
        <v>36</v>
      </c>
      <c r="G1266" t="str">
        <f>_xlfn.XLOOKUP(frasest[[#This Row],[autor_es]],autorest[autor_es],autorest[autor_la])</f>
        <v>Proverbium Sinense</v>
      </c>
      <c r="H1266" t="str">
        <f>_xlfn.XLOOKUP(frasest[[#This Row],[autor_es]],autorest[autor_es],autorest[bio_es])</f>
        <v>Conjunto de proverbios tradicionales de la cultura china que transmiten sabiduría popular, valores morales y enseñanzas prácticas transmitidas oralmente durante siglos.</v>
      </c>
      <c r="I1266" t="str">
        <f>_xlfn.XLOOKUP(frasest[[#This Row],[autor_es]],autorest[autor_es],autorest[bio_la])</f>
        <v>Collectio sententiarum Sinensium, magnopere in cultura tradita.</v>
      </c>
      <c r="J1266" t="str">
        <f>_xlfn.XLOOKUP(frasest[[#This Row],[autor_es]],autorest[autor_es],autorest[codigo])</f>
        <v>zh</v>
      </c>
      <c r="K1266" t="str">
        <f>_xlfn.XLOOKUP(frasest[[#This Row],[autor_es]],autorest[autor_es],autorest[idioma_es])</f>
        <v>Chino</v>
      </c>
      <c r="L1266" t="str">
        <f>_xlfn.XLOOKUP(frasest[[#This Row],[autor_es]],autorest[autor_es],autorest[idioma_la])</f>
        <v>Lingua Sinica</v>
      </c>
      <c r="M1266" t="str">
        <f>_xlfn.XLOOKUP(frasest[[#This Row],[autor_es]],autorest[autor_es],autorest[nacion_es])</f>
        <v>China</v>
      </c>
      <c r="N1266" t="str">
        <f>_xlfn.XLOOKUP(frasest[[#This Row],[autor_es]],autorest[autor_es],autorest[nacion_la])</f>
        <v>Sinae</v>
      </c>
      <c r="O1266" t="str">
        <f>_xlfn.XLOOKUP(frasest[[#This Row],[autor_es]],autorest[autor_es],autorest[epoca_es])</f>
        <v>Epoca Desconocida</v>
      </c>
      <c r="P1266" t="str">
        <f>_xlfn.XLOOKUP(frasest[[#This Row],[autor_es]],autorest[autor_es],autorest[epoca_la])</f>
        <v>Epocha Ignota</v>
      </c>
      <c r="Q1266" t="str">
        <f>_xlfn.XLOOKUP(frasest[[#This Row],[autor_es]],autorest[autor_es],autorest[imagen])</f>
        <v>https://i.ibb.co/qLfpZm6h/china.png</v>
      </c>
      <c r="R1266">
        <f>_xlfn.XLOOKUP(frasest[[#This Row],[autor_es]],autorest[autor_es],autorest[imagen_atr])</f>
        <v>0</v>
      </c>
    </row>
    <row r="1267" spans="1:18">
      <c r="A1267">
        <v>1266</v>
      </c>
      <c r="B1267" t="s">
        <v>3915</v>
      </c>
      <c r="C1267" t="s">
        <v>3916</v>
      </c>
      <c r="D1267" s="1" t="s">
        <v>3917</v>
      </c>
      <c r="E1267" t="s">
        <v>36</v>
      </c>
      <c r="G1267" t="str">
        <f>_xlfn.XLOOKUP(frasest[[#This Row],[autor_es]],autorest[autor_es],autorest[autor_la])</f>
        <v>Proverbium Sinense</v>
      </c>
      <c r="H1267" t="str">
        <f>_xlfn.XLOOKUP(frasest[[#This Row],[autor_es]],autorest[autor_es],autorest[bio_es])</f>
        <v>Conjunto de proverbios tradicionales de la cultura china que transmiten sabiduría popular, valores morales y enseñanzas prácticas transmitidas oralmente durante siglos.</v>
      </c>
      <c r="I1267" t="str">
        <f>_xlfn.XLOOKUP(frasest[[#This Row],[autor_es]],autorest[autor_es],autorest[bio_la])</f>
        <v>Collectio sententiarum Sinensium, magnopere in cultura tradita.</v>
      </c>
      <c r="J1267" t="str">
        <f>_xlfn.XLOOKUP(frasest[[#This Row],[autor_es]],autorest[autor_es],autorest[codigo])</f>
        <v>zh</v>
      </c>
      <c r="K1267" t="str">
        <f>_xlfn.XLOOKUP(frasest[[#This Row],[autor_es]],autorest[autor_es],autorest[idioma_es])</f>
        <v>Chino</v>
      </c>
      <c r="L1267" t="str">
        <f>_xlfn.XLOOKUP(frasest[[#This Row],[autor_es]],autorest[autor_es],autorest[idioma_la])</f>
        <v>Lingua Sinica</v>
      </c>
      <c r="M1267" t="str">
        <f>_xlfn.XLOOKUP(frasest[[#This Row],[autor_es]],autorest[autor_es],autorest[nacion_es])</f>
        <v>China</v>
      </c>
      <c r="N1267" t="str">
        <f>_xlfn.XLOOKUP(frasest[[#This Row],[autor_es]],autorest[autor_es],autorest[nacion_la])</f>
        <v>Sinae</v>
      </c>
      <c r="O1267" t="str">
        <f>_xlfn.XLOOKUP(frasest[[#This Row],[autor_es]],autorest[autor_es],autorest[epoca_es])</f>
        <v>Epoca Desconocida</v>
      </c>
      <c r="P1267" t="str">
        <f>_xlfn.XLOOKUP(frasest[[#This Row],[autor_es]],autorest[autor_es],autorest[epoca_la])</f>
        <v>Epocha Ignota</v>
      </c>
      <c r="Q1267" t="str">
        <f>_xlfn.XLOOKUP(frasest[[#This Row],[autor_es]],autorest[autor_es],autorest[imagen])</f>
        <v>https://i.ibb.co/qLfpZm6h/china.png</v>
      </c>
      <c r="R1267">
        <f>_xlfn.XLOOKUP(frasest[[#This Row],[autor_es]],autorest[autor_es],autorest[imagen_atr])</f>
        <v>0</v>
      </c>
    </row>
    <row r="1268" spans="1:18">
      <c r="A1268">
        <v>1267</v>
      </c>
      <c r="B1268" t="s">
        <v>3918</v>
      </c>
      <c r="C1268" t="s">
        <v>3919</v>
      </c>
      <c r="D1268" s="1" t="s">
        <v>3920</v>
      </c>
      <c r="E1268" t="s">
        <v>36</v>
      </c>
      <c r="G1268" t="str">
        <f>_xlfn.XLOOKUP(frasest[[#This Row],[autor_es]],autorest[autor_es],autorest[autor_la])</f>
        <v>Proverbium Sinense</v>
      </c>
      <c r="H1268" t="str">
        <f>_xlfn.XLOOKUP(frasest[[#This Row],[autor_es]],autorest[autor_es],autorest[bio_es])</f>
        <v>Conjunto de proverbios tradicionales de la cultura china que transmiten sabiduría popular, valores morales y enseñanzas prácticas transmitidas oralmente durante siglos.</v>
      </c>
      <c r="I1268" t="str">
        <f>_xlfn.XLOOKUP(frasest[[#This Row],[autor_es]],autorest[autor_es],autorest[bio_la])</f>
        <v>Collectio sententiarum Sinensium, magnopere in cultura tradita.</v>
      </c>
      <c r="J1268" t="str">
        <f>_xlfn.XLOOKUP(frasest[[#This Row],[autor_es]],autorest[autor_es],autorest[codigo])</f>
        <v>zh</v>
      </c>
      <c r="K1268" t="str">
        <f>_xlfn.XLOOKUP(frasest[[#This Row],[autor_es]],autorest[autor_es],autorest[idioma_es])</f>
        <v>Chino</v>
      </c>
      <c r="L1268" t="str">
        <f>_xlfn.XLOOKUP(frasest[[#This Row],[autor_es]],autorest[autor_es],autorest[idioma_la])</f>
        <v>Lingua Sinica</v>
      </c>
      <c r="M1268" t="str">
        <f>_xlfn.XLOOKUP(frasest[[#This Row],[autor_es]],autorest[autor_es],autorest[nacion_es])</f>
        <v>China</v>
      </c>
      <c r="N1268" t="str">
        <f>_xlfn.XLOOKUP(frasest[[#This Row],[autor_es]],autorest[autor_es],autorest[nacion_la])</f>
        <v>Sinae</v>
      </c>
      <c r="O1268" t="str">
        <f>_xlfn.XLOOKUP(frasest[[#This Row],[autor_es]],autorest[autor_es],autorest[epoca_es])</f>
        <v>Epoca Desconocida</v>
      </c>
      <c r="P1268" t="str">
        <f>_xlfn.XLOOKUP(frasest[[#This Row],[autor_es]],autorest[autor_es],autorest[epoca_la])</f>
        <v>Epocha Ignota</v>
      </c>
      <c r="Q1268" t="str">
        <f>_xlfn.XLOOKUP(frasest[[#This Row],[autor_es]],autorest[autor_es],autorest[imagen])</f>
        <v>https://i.ibb.co/qLfpZm6h/china.png</v>
      </c>
      <c r="R1268">
        <f>_xlfn.XLOOKUP(frasest[[#This Row],[autor_es]],autorest[autor_es],autorest[imagen_atr])</f>
        <v>0</v>
      </c>
    </row>
    <row r="1269" spans="1:18">
      <c r="A1269">
        <v>1268</v>
      </c>
      <c r="B1269" t="s">
        <v>3921</v>
      </c>
      <c r="C1269" t="s">
        <v>3922</v>
      </c>
      <c r="D1269" s="1" t="s">
        <v>3923</v>
      </c>
      <c r="E1269" t="s">
        <v>36</v>
      </c>
      <c r="G1269" t="str">
        <f>_xlfn.XLOOKUP(frasest[[#This Row],[autor_es]],autorest[autor_es],autorest[autor_la])</f>
        <v>Proverbium Sinense</v>
      </c>
      <c r="H1269" t="str">
        <f>_xlfn.XLOOKUP(frasest[[#This Row],[autor_es]],autorest[autor_es],autorest[bio_es])</f>
        <v>Conjunto de proverbios tradicionales de la cultura china que transmiten sabiduría popular, valores morales y enseñanzas prácticas transmitidas oralmente durante siglos.</v>
      </c>
      <c r="I1269" t="str">
        <f>_xlfn.XLOOKUP(frasest[[#This Row],[autor_es]],autorest[autor_es],autorest[bio_la])</f>
        <v>Collectio sententiarum Sinensium, magnopere in cultura tradita.</v>
      </c>
      <c r="J1269" t="str">
        <f>_xlfn.XLOOKUP(frasest[[#This Row],[autor_es]],autorest[autor_es],autorest[codigo])</f>
        <v>zh</v>
      </c>
      <c r="K1269" t="str">
        <f>_xlfn.XLOOKUP(frasest[[#This Row],[autor_es]],autorest[autor_es],autorest[idioma_es])</f>
        <v>Chino</v>
      </c>
      <c r="L1269" t="str">
        <f>_xlfn.XLOOKUP(frasest[[#This Row],[autor_es]],autorest[autor_es],autorest[idioma_la])</f>
        <v>Lingua Sinica</v>
      </c>
      <c r="M1269" t="str">
        <f>_xlfn.XLOOKUP(frasest[[#This Row],[autor_es]],autorest[autor_es],autorest[nacion_es])</f>
        <v>China</v>
      </c>
      <c r="N1269" t="str">
        <f>_xlfn.XLOOKUP(frasest[[#This Row],[autor_es]],autorest[autor_es],autorest[nacion_la])</f>
        <v>Sinae</v>
      </c>
      <c r="O1269" t="str">
        <f>_xlfn.XLOOKUP(frasest[[#This Row],[autor_es]],autorest[autor_es],autorest[epoca_es])</f>
        <v>Epoca Desconocida</v>
      </c>
      <c r="P1269" t="str">
        <f>_xlfn.XLOOKUP(frasest[[#This Row],[autor_es]],autorest[autor_es],autorest[epoca_la])</f>
        <v>Epocha Ignota</v>
      </c>
      <c r="Q1269" t="str">
        <f>_xlfn.XLOOKUP(frasest[[#This Row],[autor_es]],autorest[autor_es],autorest[imagen])</f>
        <v>https://i.ibb.co/qLfpZm6h/china.png</v>
      </c>
      <c r="R1269">
        <f>_xlfn.XLOOKUP(frasest[[#This Row],[autor_es]],autorest[autor_es],autorest[imagen_atr])</f>
        <v>0</v>
      </c>
    </row>
    <row r="1270" spans="1:18">
      <c r="A1270">
        <v>1269</v>
      </c>
      <c r="B1270" t="s">
        <v>3924</v>
      </c>
      <c r="C1270" t="s">
        <v>3925</v>
      </c>
      <c r="D1270" s="1" t="s">
        <v>3926</v>
      </c>
      <c r="E1270" t="s">
        <v>36</v>
      </c>
      <c r="G1270" t="str">
        <f>_xlfn.XLOOKUP(frasest[[#This Row],[autor_es]],autorest[autor_es],autorest[autor_la])</f>
        <v>Proverbium Sinense</v>
      </c>
      <c r="H1270" t="str">
        <f>_xlfn.XLOOKUP(frasest[[#This Row],[autor_es]],autorest[autor_es],autorest[bio_es])</f>
        <v>Conjunto de proverbios tradicionales de la cultura china que transmiten sabiduría popular, valores morales y enseñanzas prácticas transmitidas oralmente durante siglos.</v>
      </c>
      <c r="I1270" t="str">
        <f>_xlfn.XLOOKUP(frasest[[#This Row],[autor_es]],autorest[autor_es],autorest[bio_la])</f>
        <v>Collectio sententiarum Sinensium, magnopere in cultura tradita.</v>
      </c>
      <c r="J1270" t="str">
        <f>_xlfn.XLOOKUP(frasest[[#This Row],[autor_es]],autorest[autor_es],autorest[codigo])</f>
        <v>zh</v>
      </c>
      <c r="K1270" t="str">
        <f>_xlfn.XLOOKUP(frasest[[#This Row],[autor_es]],autorest[autor_es],autorest[idioma_es])</f>
        <v>Chino</v>
      </c>
      <c r="L1270" t="str">
        <f>_xlfn.XLOOKUP(frasest[[#This Row],[autor_es]],autorest[autor_es],autorest[idioma_la])</f>
        <v>Lingua Sinica</v>
      </c>
      <c r="M1270" t="str">
        <f>_xlfn.XLOOKUP(frasest[[#This Row],[autor_es]],autorest[autor_es],autorest[nacion_es])</f>
        <v>China</v>
      </c>
      <c r="N1270" t="str">
        <f>_xlfn.XLOOKUP(frasest[[#This Row],[autor_es]],autorest[autor_es],autorest[nacion_la])</f>
        <v>Sinae</v>
      </c>
      <c r="O1270" t="str">
        <f>_xlfn.XLOOKUP(frasest[[#This Row],[autor_es]],autorest[autor_es],autorest[epoca_es])</f>
        <v>Epoca Desconocida</v>
      </c>
      <c r="P1270" t="str">
        <f>_xlfn.XLOOKUP(frasest[[#This Row],[autor_es]],autorest[autor_es],autorest[epoca_la])</f>
        <v>Epocha Ignota</v>
      </c>
      <c r="Q1270" t="str">
        <f>_xlfn.XLOOKUP(frasest[[#This Row],[autor_es]],autorest[autor_es],autorest[imagen])</f>
        <v>https://i.ibb.co/qLfpZm6h/china.png</v>
      </c>
      <c r="R1270">
        <f>_xlfn.XLOOKUP(frasest[[#This Row],[autor_es]],autorest[autor_es],autorest[imagen_atr])</f>
        <v>0</v>
      </c>
    </row>
    <row r="1271" spans="1:18">
      <c r="A1271">
        <v>1270</v>
      </c>
      <c r="B1271" t="s">
        <v>3927</v>
      </c>
      <c r="C1271" t="s">
        <v>3928</v>
      </c>
      <c r="D1271" s="1" t="s">
        <v>3929</v>
      </c>
      <c r="E1271" t="s">
        <v>36</v>
      </c>
      <c r="G1271" t="str">
        <f>_xlfn.XLOOKUP(frasest[[#This Row],[autor_es]],autorest[autor_es],autorest[autor_la])</f>
        <v>Proverbium Sinense</v>
      </c>
      <c r="H1271" t="str">
        <f>_xlfn.XLOOKUP(frasest[[#This Row],[autor_es]],autorest[autor_es],autorest[bio_es])</f>
        <v>Conjunto de proverbios tradicionales de la cultura china que transmiten sabiduría popular, valores morales y enseñanzas prácticas transmitidas oralmente durante siglos.</v>
      </c>
      <c r="I1271" t="str">
        <f>_xlfn.XLOOKUP(frasest[[#This Row],[autor_es]],autorest[autor_es],autorest[bio_la])</f>
        <v>Collectio sententiarum Sinensium, magnopere in cultura tradita.</v>
      </c>
      <c r="J1271" t="str">
        <f>_xlfn.XLOOKUP(frasest[[#This Row],[autor_es]],autorest[autor_es],autorest[codigo])</f>
        <v>zh</v>
      </c>
      <c r="K1271" t="str">
        <f>_xlfn.XLOOKUP(frasest[[#This Row],[autor_es]],autorest[autor_es],autorest[idioma_es])</f>
        <v>Chino</v>
      </c>
      <c r="L1271" t="str">
        <f>_xlfn.XLOOKUP(frasest[[#This Row],[autor_es]],autorest[autor_es],autorest[idioma_la])</f>
        <v>Lingua Sinica</v>
      </c>
      <c r="M1271" t="str">
        <f>_xlfn.XLOOKUP(frasest[[#This Row],[autor_es]],autorest[autor_es],autorest[nacion_es])</f>
        <v>China</v>
      </c>
      <c r="N1271" t="str">
        <f>_xlfn.XLOOKUP(frasest[[#This Row],[autor_es]],autorest[autor_es],autorest[nacion_la])</f>
        <v>Sinae</v>
      </c>
      <c r="O1271" t="str">
        <f>_xlfn.XLOOKUP(frasest[[#This Row],[autor_es]],autorest[autor_es],autorest[epoca_es])</f>
        <v>Epoca Desconocida</v>
      </c>
      <c r="P1271" t="str">
        <f>_xlfn.XLOOKUP(frasest[[#This Row],[autor_es]],autorest[autor_es],autorest[epoca_la])</f>
        <v>Epocha Ignota</v>
      </c>
      <c r="Q1271" t="str">
        <f>_xlfn.XLOOKUP(frasest[[#This Row],[autor_es]],autorest[autor_es],autorest[imagen])</f>
        <v>https://i.ibb.co/qLfpZm6h/china.png</v>
      </c>
      <c r="R1271">
        <f>_xlfn.XLOOKUP(frasest[[#This Row],[autor_es]],autorest[autor_es],autorest[imagen_atr])</f>
        <v>0</v>
      </c>
    </row>
    <row r="1272" spans="1:18">
      <c r="A1272">
        <v>1271</v>
      </c>
      <c r="B1272" t="s">
        <v>3930</v>
      </c>
      <c r="C1272" t="s">
        <v>3931</v>
      </c>
      <c r="D1272" s="1" t="s">
        <v>3490</v>
      </c>
      <c r="E1272" t="s">
        <v>36</v>
      </c>
      <c r="G1272" t="str">
        <f>_xlfn.XLOOKUP(frasest[[#This Row],[autor_es]],autorest[autor_es],autorest[autor_la])</f>
        <v>Proverbium Sinense</v>
      </c>
      <c r="H1272" t="str">
        <f>_xlfn.XLOOKUP(frasest[[#This Row],[autor_es]],autorest[autor_es],autorest[bio_es])</f>
        <v>Conjunto de proverbios tradicionales de la cultura china que transmiten sabiduría popular, valores morales y enseñanzas prácticas transmitidas oralmente durante siglos.</v>
      </c>
      <c r="I1272" t="str">
        <f>_xlfn.XLOOKUP(frasest[[#This Row],[autor_es]],autorest[autor_es],autorest[bio_la])</f>
        <v>Collectio sententiarum Sinensium, magnopere in cultura tradita.</v>
      </c>
      <c r="J1272" t="str">
        <f>_xlfn.XLOOKUP(frasest[[#This Row],[autor_es]],autorest[autor_es],autorest[codigo])</f>
        <v>zh</v>
      </c>
      <c r="K1272" t="str">
        <f>_xlfn.XLOOKUP(frasest[[#This Row],[autor_es]],autorest[autor_es],autorest[idioma_es])</f>
        <v>Chino</v>
      </c>
      <c r="L1272" t="str">
        <f>_xlfn.XLOOKUP(frasest[[#This Row],[autor_es]],autorest[autor_es],autorest[idioma_la])</f>
        <v>Lingua Sinica</v>
      </c>
      <c r="M1272" t="str">
        <f>_xlfn.XLOOKUP(frasest[[#This Row],[autor_es]],autorest[autor_es],autorest[nacion_es])</f>
        <v>China</v>
      </c>
      <c r="N1272" t="str">
        <f>_xlfn.XLOOKUP(frasest[[#This Row],[autor_es]],autorest[autor_es],autorest[nacion_la])</f>
        <v>Sinae</v>
      </c>
      <c r="O1272" t="str">
        <f>_xlfn.XLOOKUP(frasest[[#This Row],[autor_es]],autorest[autor_es],autorest[epoca_es])</f>
        <v>Epoca Desconocida</v>
      </c>
      <c r="P1272" t="str">
        <f>_xlfn.XLOOKUP(frasest[[#This Row],[autor_es]],autorest[autor_es],autorest[epoca_la])</f>
        <v>Epocha Ignota</v>
      </c>
      <c r="Q1272" t="str">
        <f>_xlfn.XLOOKUP(frasest[[#This Row],[autor_es]],autorest[autor_es],autorest[imagen])</f>
        <v>https://i.ibb.co/qLfpZm6h/china.png</v>
      </c>
      <c r="R1272">
        <f>_xlfn.XLOOKUP(frasest[[#This Row],[autor_es]],autorest[autor_es],autorest[imagen_atr])</f>
        <v>0</v>
      </c>
    </row>
    <row r="1273" spans="1:18">
      <c r="A1273">
        <v>1272</v>
      </c>
      <c r="B1273" t="s">
        <v>3932</v>
      </c>
      <c r="C1273" t="s">
        <v>3933</v>
      </c>
      <c r="D1273" s="1" t="s">
        <v>3934</v>
      </c>
      <c r="E1273" t="s">
        <v>36</v>
      </c>
      <c r="G1273" t="str">
        <f>_xlfn.XLOOKUP(frasest[[#This Row],[autor_es]],autorest[autor_es],autorest[autor_la])</f>
        <v>Proverbium Sinense</v>
      </c>
      <c r="H1273" t="str">
        <f>_xlfn.XLOOKUP(frasest[[#This Row],[autor_es]],autorest[autor_es],autorest[bio_es])</f>
        <v>Conjunto de proverbios tradicionales de la cultura china que transmiten sabiduría popular, valores morales y enseñanzas prácticas transmitidas oralmente durante siglos.</v>
      </c>
      <c r="I1273" t="str">
        <f>_xlfn.XLOOKUP(frasest[[#This Row],[autor_es]],autorest[autor_es],autorest[bio_la])</f>
        <v>Collectio sententiarum Sinensium, magnopere in cultura tradita.</v>
      </c>
      <c r="J1273" t="str">
        <f>_xlfn.XLOOKUP(frasest[[#This Row],[autor_es]],autorest[autor_es],autorest[codigo])</f>
        <v>zh</v>
      </c>
      <c r="K1273" t="str">
        <f>_xlfn.XLOOKUP(frasest[[#This Row],[autor_es]],autorest[autor_es],autorest[idioma_es])</f>
        <v>Chino</v>
      </c>
      <c r="L1273" t="str">
        <f>_xlfn.XLOOKUP(frasest[[#This Row],[autor_es]],autorest[autor_es],autorest[idioma_la])</f>
        <v>Lingua Sinica</v>
      </c>
      <c r="M1273" t="str">
        <f>_xlfn.XLOOKUP(frasest[[#This Row],[autor_es]],autorest[autor_es],autorest[nacion_es])</f>
        <v>China</v>
      </c>
      <c r="N1273" t="str">
        <f>_xlfn.XLOOKUP(frasest[[#This Row],[autor_es]],autorest[autor_es],autorest[nacion_la])</f>
        <v>Sinae</v>
      </c>
      <c r="O1273" t="str">
        <f>_xlfn.XLOOKUP(frasest[[#This Row],[autor_es]],autorest[autor_es],autorest[epoca_es])</f>
        <v>Epoca Desconocida</v>
      </c>
      <c r="P1273" t="str">
        <f>_xlfn.XLOOKUP(frasest[[#This Row],[autor_es]],autorest[autor_es],autorest[epoca_la])</f>
        <v>Epocha Ignota</v>
      </c>
      <c r="Q1273" t="str">
        <f>_xlfn.XLOOKUP(frasest[[#This Row],[autor_es]],autorest[autor_es],autorest[imagen])</f>
        <v>https://i.ibb.co/qLfpZm6h/china.png</v>
      </c>
      <c r="R1273">
        <f>_xlfn.XLOOKUP(frasest[[#This Row],[autor_es]],autorest[autor_es],autorest[imagen_atr])</f>
        <v>0</v>
      </c>
    </row>
    <row r="1274" spans="1:18">
      <c r="A1274">
        <v>1273</v>
      </c>
      <c r="B1274" t="s">
        <v>3935</v>
      </c>
      <c r="C1274" t="s">
        <v>3936</v>
      </c>
      <c r="D1274" s="1" t="s">
        <v>3937</v>
      </c>
      <c r="E1274" t="s">
        <v>36</v>
      </c>
      <c r="G1274" t="str">
        <f>_xlfn.XLOOKUP(frasest[[#This Row],[autor_es]],autorest[autor_es],autorest[autor_la])</f>
        <v>Proverbium Sinense</v>
      </c>
      <c r="H1274" t="str">
        <f>_xlfn.XLOOKUP(frasest[[#This Row],[autor_es]],autorest[autor_es],autorest[bio_es])</f>
        <v>Conjunto de proverbios tradicionales de la cultura china que transmiten sabiduría popular, valores morales y enseñanzas prácticas transmitidas oralmente durante siglos.</v>
      </c>
      <c r="I1274" t="str">
        <f>_xlfn.XLOOKUP(frasest[[#This Row],[autor_es]],autorest[autor_es],autorest[bio_la])</f>
        <v>Collectio sententiarum Sinensium, magnopere in cultura tradita.</v>
      </c>
      <c r="J1274" t="str">
        <f>_xlfn.XLOOKUP(frasest[[#This Row],[autor_es]],autorest[autor_es],autorest[codigo])</f>
        <v>zh</v>
      </c>
      <c r="K1274" t="str">
        <f>_xlfn.XLOOKUP(frasest[[#This Row],[autor_es]],autorest[autor_es],autorest[idioma_es])</f>
        <v>Chino</v>
      </c>
      <c r="L1274" t="str">
        <f>_xlfn.XLOOKUP(frasest[[#This Row],[autor_es]],autorest[autor_es],autorest[idioma_la])</f>
        <v>Lingua Sinica</v>
      </c>
      <c r="M1274" t="str">
        <f>_xlfn.XLOOKUP(frasest[[#This Row],[autor_es]],autorest[autor_es],autorest[nacion_es])</f>
        <v>China</v>
      </c>
      <c r="N1274" t="str">
        <f>_xlfn.XLOOKUP(frasest[[#This Row],[autor_es]],autorest[autor_es],autorest[nacion_la])</f>
        <v>Sinae</v>
      </c>
      <c r="O1274" t="str">
        <f>_xlfn.XLOOKUP(frasest[[#This Row],[autor_es]],autorest[autor_es],autorest[epoca_es])</f>
        <v>Epoca Desconocida</v>
      </c>
      <c r="P1274" t="str">
        <f>_xlfn.XLOOKUP(frasest[[#This Row],[autor_es]],autorest[autor_es],autorest[epoca_la])</f>
        <v>Epocha Ignota</v>
      </c>
      <c r="Q1274" t="str">
        <f>_xlfn.XLOOKUP(frasest[[#This Row],[autor_es]],autorest[autor_es],autorest[imagen])</f>
        <v>https://i.ibb.co/qLfpZm6h/china.png</v>
      </c>
      <c r="R1274">
        <f>_xlfn.XLOOKUP(frasest[[#This Row],[autor_es]],autorest[autor_es],autorest[imagen_atr])</f>
        <v>0</v>
      </c>
    </row>
    <row r="1275" spans="1:18">
      <c r="A1275">
        <v>1274</v>
      </c>
      <c r="B1275" t="s">
        <v>3938</v>
      </c>
      <c r="C1275" t="s">
        <v>3939</v>
      </c>
      <c r="D1275" s="1" t="s">
        <v>3940</v>
      </c>
      <c r="E1275" t="s">
        <v>36</v>
      </c>
      <c r="G1275" t="str">
        <f>_xlfn.XLOOKUP(frasest[[#This Row],[autor_es]],autorest[autor_es],autorest[autor_la])</f>
        <v>Proverbium Sinense</v>
      </c>
      <c r="H1275" t="str">
        <f>_xlfn.XLOOKUP(frasest[[#This Row],[autor_es]],autorest[autor_es],autorest[bio_es])</f>
        <v>Conjunto de proverbios tradicionales de la cultura china que transmiten sabiduría popular, valores morales y enseñanzas prácticas transmitidas oralmente durante siglos.</v>
      </c>
      <c r="I1275" t="str">
        <f>_xlfn.XLOOKUP(frasest[[#This Row],[autor_es]],autorest[autor_es],autorest[bio_la])</f>
        <v>Collectio sententiarum Sinensium, magnopere in cultura tradita.</v>
      </c>
      <c r="J1275" t="str">
        <f>_xlfn.XLOOKUP(frasest[[#This Row],[autor_es]],autorest[autor_es],autorest[codigo])</f>
        <v>zh</v>
      </c>
      <c r="K1275" t="str">
        <f>_xlfn.XLOOKUP(frasest[[#This Row],[autor_es]],autorest[autor_es],autorest[idioma_es])</f>
        <v>Chino</v>
      </c>
      <c r="L1275" t="str">
        <f>_xlfn.XLOOKUP(frasest[[#This Row],[autor_es]],autorest[autor_es],autorest[idioma_la])</f>
        <v>Lingua Sinica</v>
      </c>
      <c r="M1275" t="str">
        <f>_xlfn.XLOOKUP(frasest[[#This Row],[autor_es]],autorest[autor_es],autorest[nacion_es])</f>
        <v>China</v>
      </c>
      <c r="N1275" t="str">
        <f>_xlfn.XLOOKUP(frasest[[#This Row],[autor_es]],autorest[autor_es],autorest[nacion_la])</f>
        <v>Sinae</v>
      </c>
      <c r="O1275" t="str">
        <f>_xlfn.XLOOKUP(frasest[[#This Row],[autor_es]],autorest[autor_es],autorest[epoca_es])</f>
        <v>Epoca Desconocida</v>
      </c>
      <c r="P1275" t="str">
        <f>_xlfn.XLOOKUP(frasest[[#This Row],[autor_es]],autorest[autor_es],autorest[epoca_la])</f>
        <v>Epocha Ignota</v>
      </c>
      <c r="Q1275" t="str">
        <f>_xlfn.XLOOKUP(frasest[[#This Row],[autor_es]],autorest[autor_es],autorest[imagen])</f>
        <v>https://i.ibb.co/qLfpZm6h/china.png</v>
      </c>
      <c r="R1275">
        <f>_xlfn.XLOOKUP(frasest[[#This Row],[autor_es]],autorest[autor_es],autorest[imagen_atr])</f>
        <v>0</v>
      </c>
    </row>
    <row r="1276" spans="1:18">
      <c r="A1276">
        <v>1275</v>
      </c>
      <c r="B1276" t="s">
        <v>3941</v>
      </c>
      <c r="C1276" t="s">
        <v>3942</v>
      </c>
      <c r="D1276" s="1" t="s">
        <v>3943</v>
      </c>
      <c r="E1276" t="s">
        <v>36</v>
      </c>
      <c r="G1276" t="str">
        <f>_xlfn.XLOOKUP(frasest[[#This Row],[autor_es]],autorest[autor_es],autorest[autor_la])</f>
        <v>Proverbium Sinense</v>
      </c>
      <c r="H1276" t="str">
        <f>_xlfn.XLOOKUP(frasest[[#This Row],[autor_es]],autorest[autor_es],autorest[bio_es])</f>
        <v>Conjunto de proverbios tradicionales de la cultura china que transmiten sabiduría popular, valores morales y enseñanzas prácticas transmitidas oralmente durante siglos.</v>
      </c>
      <c r="I1276" t="str">
        <f>_xlfn.XLOOKUP(frasest[[#This Row],[autor_es]],autorest[autor_es],autorest[bio_la])</f>
        <v>Collectio sententiarum Sinensium, magnopere in cultura tradita.</v>
      </c>
      <c r="J1276" t="str">
        <f>_xlfn.XLOOKUP(frasest[[#This Row],[autor_es]],autorest[autor_es],autorest[codigo])</f>
        <v>zh</v>
      </c>
      <c r="K1276" t="str">
        <f>_xlfn.XLOOKUP(frasest[[#This Row],[autor_es]],autorest[autor_es],autorest[idioma_es])</f>
        <v>Chino</v>
      </c>
      <c r="L1276" t="str">
        <f>_xlfn.XLOOKUP(frasest[[#This Row],[autor_es]],autorest[autor_es],autorest[idioma_la])</f>
        <v>Lingua Sinica</v>
      </c>
      <c r="M1276" t="str">
        <f>_xlfn.XLOOKUP(frasest[[#This Row],[autor_es]],autorest[autor_es],autorest[nacion_es])</f>
        <v>China</v>
      </c>
      <c r="N1276" t="str">
        <f>_xlfn.XLOOKUP(frasest[[#This Row],[autor_es]],autorest[autor_es],autorest[nacion_la])</f>
        <v>Sinae</v>
      </c>
      <c r="O1276" t="str">
        <f>_xlfn.XLOOKUP(frasest[[#This Row],[autor_es]],autorest[autor_es],autorest[epoca_es])</f>
        <v>Epoca Desconocida</v>
      </c>
      <c r="P1276" t="str">
        <f>_xlfn.XLOOKUP(frasest[[#This Row],[autor_es]],autorest[autor_es],autorest[epoca_la])</f>
        <v>Epocha Ignota</v>
      </c>
      <c r="Q1276" t="str">
        <f>_xlfn.XLOOKUP(frasest[[#This Row],[autor_es]],autorest[autor_es],autorest[imagen])</f>
        <v>https://i.ibb.co/qLfpZm6h/china.png</v>
      </c>
      <c r="R1276">
        <f>_xlfn.XLOOKUP(frasest[[#This Row],[autor_es]],autorest[autor_es],autorest[imagen_atr])</f>
        <v>0</v>
      </c>
    </row>
    <row r="1277" spans="1:18">
      <c r="A1277">
        <v>1276</v>
      </c>
      <c r="B1277" t="s">
        <v>3944</v>
      </c>
      <c r="C1277" t="s">
        <v>3945</v>
      </c>
      <c r="D1277" s="1" t="s">
        <v>3946</v>
      </c>
      <c r="E1277" t="s">
        <v>36</v>
      </c>
      <c r="G1277" t="str">
        <f>_xlfn.XLOOKUP(frasest[[#This Row],[autor_es]],autorest[autor_es],autorest[autor_la])</f>
        <v>Proverbium Sinense</v>
      </c>
      <c r="H1277" t="str">
        <f>_xlfn.XLOOKUP(frasest[[#This Row],[autor_es]],autorest[autor_es],autorest[bio_es])</f>
        <v>Conjunto de proverbios tradicionales de la cultura china que transmiten sabiduría popular, valores morales y enseñanzas prácticas transmitidas oralmente durante siglos.</v>
      </c>
      <c r="I1277" t="str">
        <f>_xlfn.XLOOKUP(frasest[[#This Row],[autor_es]],autorest[autor_es],autorest[bio_la])</f>
        <v>Collectio sententiarum Sinensium, magnopere in cultura tradita.</v>
      </c>
      <c r="J1277" t="str">
        <f>_xlfn.XLOOKUP(frasest[[#This Row],[autor_es]],autorest[autor_es],autorest[codigo])</f>
        <v>zh</v>
      </c>
      <c r="K1277" t="str">
        <f>_xlfn.XLOOKUP(frasest[[#This Row],[autor_es]],autorest[autor_es],autorest[idioma_es])</f>
        <v>Chino</v>
      </c>
      <c r="L1277" t="str">
        <f>_xlfn.XLOOKUP(frasest[[#This Row],[autor_es]],autorest[autor_es],autorest[idioma_la])</f>
        <v>Lingua Sinica</v>
      </c>
      <c r="M1277" t="str">
        <f>_xlfn.XLOOKUP(frasest[[#This Row],[autor_es]],autorest[autor_es],autorest[nacion_es])</f>
        <v>China</v>
      </c>
      <c r="N1277" t="str">
        <f>_xlfn.XLOOKUP(frasest[[#This Row],[autor_es]],autorest[autor_es],autorest[nacion_la])</f>
        <v>Sinae</v>
      </c>
      <c r="O1277" t="str">
        <f>_xlfn.XLOOKUP(frasest[[#This Row],[autor_es]],autorest[autor_es],autorest[epoca_es])</f>
        <v>Epoca Desconocida</v>
      </c>
      <c r="P1277" t="str">
        <f>_xlfn.XLOOKUP(frasest[[#This Row],[autor_es]],autorest[autor_es],autorest[epoca_la])</f>
        <v>Epocha Ignota</v>
      </c>
      <c r="Q1277" t="str">
        <f>_xlfn.XLOOKUP(frasest[[#This Row],[autor_es]],autorest[autor_es],autorest[imagen])</f>
        <v>https://i.ibb.co/qLfpZm6h/china.png</v>
      </c>
      <c r="R1277">
        <f>_xlfn.XLOOKUP(frasest[[#This Row],[autor_es]],autorest[autor_es],autorest[imagen_atr])</f>
        <v>0</v>
      </c>
    </row>
    <row r="1278" spans="1:18">
      <c r="A1278">
        <v>1277</v>
      </c>
      <c r="B1278" t="s">
        <v>3947</v>
      </c>
      <c r="C1278" t="s">
        <v>3948</v>
      </c>
      <c r="D1278" s="1" t="s">
        <v>3949</v>
      </c>
      <c r="E1278" t="s">
        <v>36</v>
      </c>
      <c r="G1278" t="str">
        <f>_xlfn.XLOOKUP(frasest[[#This Row],[autor_es]],autorest[autor_es],autorest[autor_la])</f>
        <v>Proverbium Sinense</v>
      </c>
      <c r="H1278" t="str">
        <f>_xlfn.XLOOKUP(frasest[[#This Row],[autor_es]],autorest[autor_es],autorest[bio_es])</f>
        <v>Conjunto de proverbios tradicionales de la cultura china que transmiten sabiduría popular, valores morales y enseñanzas prácticas transmitidas oralmente durante siglos.</v>
      </c>
      <c r="I1278" t="str">
        <f>_xlfn.XLOOKUP(frasest[[#This Row],[autor_es]],autorest[autor_es],autorest[bio_la])</f>
        <v>Collectio sententiarum Sinensium, magnopere in cultura tradita.</v>
      </c>
      <c r="J1278" t="str">
        <f>_xlfn.XLOOKUP(frasest[[#This Row],[autor_es]],autorest[autor_es],autorest[codigo])</f>
        <v>zh</v>
      </c>
      <c r="K1278" t="str">
        <f>_xlfn.XLOOKUP(frasest[[#This Row],[autor_es]],autorest[autor_es],autorest[idioma_es])</f>
        <v>Chino</v>
      </c>
      <c r="L1278" t="str">
        <f>_xlfn.XLOOKUP(frasest[[#This Row],[autor_es]],autorest[autor_es],autorest[idioma_la])</f>
        <v>Lingua Sinica</v>
      </c>
      <c r="M1278" t="str">
        <f>_xlfn.XLOOKUP(frasest[[#This Row],[autor_es]],autorest[autor_es],autorest[nacion_es])</f>
        <v>China</v>
      </c>
      <c r="N1278" t="str">
        <f>_xlfn.XLOOKUP(frasest[[#This Row],[autor_es]],autorest[autor_es],autorest[nacion_la])</f>
        <v>Sinae</v>
      </c>
      <c r="O1278" t="str">
        <f>_xlfn.XLOOKUP(frasest[[#This Row],[autor_es]],autorest[autor_es],autorest[epoca_es])</f>
        <v>Epoca Desconocida</v>
      </c>
      <c r="P1278" t="str">
        <f>_xlfn.XLOOKUP(frasest[[#This Row],[autor_es]],autorest[autor_es],autorest[epoca_la])</f>
        <v>Epocha Ignota</v>
      </c>
      <c r="Q1278" t="str">
        <f>_xlfn.XLOOKUP(frasest[[#This Row],[autor_es]],autorest[autor_es],autorest[imagen])</f>
        <v>https://i.ibb.co/qLfpZm6h/china.png</v>
      </c>
      <c r="R1278">
        <f>_xlfn.XLOOKUP(frasest[[#This Row],[autor_es]],autorest[autor_es],autorest[imagen_atr])</f>
        <v>0</v>
      </c>
    </row>
    <row r="1279" spans="1:18">
      <c r="A1279">
        <v>1278</v>
      </c>
      <c r="B1279" t="s">
        <v>3950</v>
      </c>
      <c r="C1279" t="s">
        <v>3951</v>
      </c>
      <c r="D1279" s="1" t="s">
        <v>3952</v>
      </c>
      <c r="E1279" t="s">
        <v>36</v>
      </c>
      <c r="G1279" t="str">
        <f>_xlfn.XLOOKUP(frasest[[#This Row],[autor_es]],autorest[autor_es],autorest[autor_la])</f>
        <v>Proverbium Sinense</v>
      </c>
      <c r="H1279" t="str">
        <f>_xlfn.XLOOKUP(frasest[[#This Row],[autor_es]],autorest[autor_es],autorest[bio_es])</f>
        <v>Conjunto de proverbios tradicionales de la cultura china que transmiten sabiduría popular, valores morales y enseñanzas prácticas transmitidas oralmente durante siglos.</v>
      </c>
      <c r="I1279" t="str">
        <f>_xlfn.XLOOKUP(frasest[[#This Row],[autor_es]],autorest[autor_es],autorest[bio_la])</f>
        <v>Collectio sententiarum Sinensium, magnopere in cultura tradita.</v>
      </c>
      <c r="J1279" t="str">
        <f>_xlfn.XLOOKUP(frasest[[#This Row],[autor_es]],autorest[autor_es],autorest[codigo])</f>
        <v>zh</v>
      </c>
      <c r="K1279" t="str">
        <f>_xlfn.XLOOKUP(frasest[[#This Row],[autor_es]],autorest[autor_es],autorest[idioma_es])</f>
        <v>Chino</v>
      </c>
      <c r="L1279" t="str">
        <f>_xlfn.XLOOKUP(frasest[[#This Row],[autor_es]],autorest[autor_es],autorest[idioma_la])</f>
        <v>Lingua Sinica</v>
      </c>
      <c r="M1279" t="str">
        <f>_xlfn.XLOOKUP(frasest[[#This Row],[autor_es]],autorest[autor_es],autorest[nacion_es])</f>
        <v>China</v>
      </c>
      <c r="N1279" t="str">
        <f>_xlfn.XLOOKUP(frasest[[#This Row],[autor_es]],autorest[autor_es],autorest[nacion_la])</f>
        <v>Sinae</v>
      </c>
      <c r="O1279" t="str">
        <f>_xlfn.XLOOKUP(frasest[[#This Row],[autor_es]],autorest[autor_es],autorest[epoca_es])</f>
        <v>Epoca Desconocida</v>
      </c>
      <c r="P1279" t="str">
        <f>_xlfn.XLOOKUP(frasest[[#This Row],[autor_es]],autorest[autor_es],autorest[epoca_la])</f>
        <v>Epocha Ignota</v>
      </c>
      <c r="Q1279" t="str">
        <f>_xlfn.XLOOKUP(frasest[[#This Row],[autor_es]],autorest[autor_es],autorest[imagen])</f>
        <v>https://i.ibb.co/qLfpZm6h/china.png</v>
      </c>
      <c r="R1279">
        <f>_xlfn.XLOOKUP(frasest[[#This Row],[autor_es]],autorest[autor_es],autorest[imagen_atr])</f>
        <v>0</v>
      </c>
    </row>
    <row r="1280" spans="1:18">
      <c r="A1280">
        <v>1279</v>
      </c>
      <c r="B1280" t="s">
        <v>3953</v>
      </c>
      <c r="C1280" t="s">
        <v>3954</v>
      </c>
      <c r="D1280" s="1" t="s">
        <v>3955</v>
      </c>
      <c r="E1280" t="s">
        <v>36</v>
      </c>
      <c r="G1280" t="str">
        <f>_xlfn.XLOOKUP(frasest[[#This Row],[autor_es]],autorest[autor_es],autorest[autor_la])</f>
        <v>Proverbium Sinense</v>
      </c>
      <c r="H1280" t="str">
        <f>_xlfn.XLOOKUP(frasest[[#This Row],[autor_es]],autorest[autor_es],autorest[bio_es])</f>
        <v>Conjunto de proverbios tradicionales de la cultura china que transmiten sabiduría popular, valores morales y enseñanzas prácticas transmitidas oralmente durante siglos.</v>
      </c>
      <c r="I1280" t="str">
        <f>_xlfn.XLOOKUP(frasest[[#This Row],[autor_es]],autorest[autor_es],autorest[bio_la])</f>
        <v>Collectio sententiarum Sinensium, magnopere in cultura tradita.</v>
      </c>
      <c r="J1280" t="str">
        <f>_xlfn.XLOOKUP(frasest[[#This Row],[autor_es]],autorest[autor_es],autorest[codigo])</f>
        <v>zh</v>
      </c>
      <c r="K1280" t="str">
        <f>_xlfn.XLOOKUP(frasest[[#This Row],[autor_es]],autorest[autor_es],autorest[idioma_es])</f>
        <v>Chino</v>
      </c>
      <c r="L1280" t="str">
        <f>_xlfn.XLOOKUP(frasest[[#This Row],[autor_es]],autorest[autor_es],autorest[idioma_la])</f>
        <v>Lingua Sinica</v>
      </c>
      <c r="M1280" t="str">
        <f>_xlfn.XLOOKUP(frasest[[#This Row],[autor_es]],autorest[autor_es],autorest[nacion_es])</f>
        <v>China</v>
      </c>
      <c r="N1280" t="str">
        <f>_xlfn.XLOOKUP(frasest[[#This Row],[autor_es]],autorest[autor_es],autorest[nacion_la])</f>
        <v>Sinae</v>
      </c>
      <c r="O1280" t="str">
        <f>_xlfn.XLOOKUP(frasest[[#This Row],[autor_es]],autorest[autor_es],autorest[epoca_es])</f>
        <v>Epoca Desconocida</v>
      </c>
      <c r="P1280" t="str">
        <f>_xlfn.XLOOKUP(frasest[[#This Row],[autor_es]],autorest[autor_es],autorest[epoca_la])</f>
        <v>Epocha Ignota</v>
      </c>
      <c r="Q1280" t="str">
        <f>_xlfn.XLOOKUP(frasest[[#This Row],[autor_es]],autorest[autor_es],autorest[imagen])</f>
        <v>https://i.ibb.co/qLfpZm6h/china.png</v>
      </c>
      <c r="R1280">
        <f>_xlfn.XLOOKUP(frasest[[#This Row],[autor_es]],autorest[autor_es],autorest[imagen_atr])</f>
        <v>0</v>
      </c>
    </row>
    <row r="1281" spans="1:18">
      <c r="A1281">
        <v>1280</v>
      </c>
      <c r="B1281" t="s">
        <v>3956</v>
      </c>
      <c r="C1281" t="s">
        <v>3957</v>
      </c>
      <c r="D1281" s="1" t="s">
        <v>3958</v>
      </c>
      <c r="E1281" t="s">
        <v>36</v>
      </c>
      <c r="G1281" t="str">
        <f>_xlfn.XLOOKUP(frasest[[#This Row],[autor_es]],autorest[autor_es],autorest[autor_la])</f>
        <v>Proverbium Sinense</v>
      </c>
      <c r="H1281" t="str">
        <f>_xlfn.XLOOKUP(frasest[[#This Row],[autor_es]],autorest[autor_es],autorest[bio_es])</f>
        <v>Conjunto de proverbios tradicionales de la cultura china que transmiten sabiduría popular, valores morales y enseñanzas prácticas transmitidas oralmente durante siglos.</v>
      </c>
      <c r="I1281" t="str">
        <f>_xlfn.XLOOKUP(frasest[[#This Row],[autor_es]],autorest[autor_es],autorest[bio_la])</f>
        <v>Collectio sententiarum Sinensium, magnopere in cultura tradita.</v>
      </c>
      <c r="J1281" t="str">
        <f>_xlfn.XLOOKUP(frasest[[#This Row],[autor_es]],autorest[autor_es],autorest[codigo])</f>
        <v>zh</v>
      </c>
      <c r="K1281" t="str">
        <f>_xlfn.XLOOKUP(frasest[[#This Row],[autor_es]],autorest[autor_es],autorest[idioma_es])</f>
        <v>Chino</v>
      </c>
      <c r="L1281" t="str">
        <f>_xlfn.XLOOKUP(frasest[[#This Row],[autor_es]],autorest[autor_es],autorest[idioma_la])</f>
        <v>Lingua Sinica</v>
      </c>
      <c r="M1281" t="str">
        <f>_xlfn.XLOOKUP(frasest[[#This Row],[autor_es]],autorest[autor_es],autorest[nacion_es])</f>
        <v>China</v>
      </c>
      <c r="N1281" t="str">
        <f>_xlfn.XLOOKUP(frasest[[#This Row],[autor_es]],autorest[autor_es],autorest[nacion_la])</f>
        <v>Sinae</v>
      </c>
      <c r="O1281" t="str">
        <f>_xlfn.XLOOKUP(frasest[[#This Row],[autor_es]],autorest[autor_es],autorest[epoca_es])</f>
        <v>Epoca Desconocida</v>
      </c>
      <c r="P1281" t="str">
        <f>_xlfn.XLOOKUP(frasest[[#This Row],[autor_es]],autorest[autor_es],autorest[epoca_la])</f>
        <v>Epocha Ignota</v>
      </c>
      <c r="Q1281" t="str">
        <f>_xlfn.XLOOKUP(frasest[[#This Row],[autor_es]],autorest[autor_es],autorest[imagen])</f>
        <v>https://i.ibb.co/qLfpZm6h/china.png</v>
      </c>
      <c r="R1281">
        <f>_xlfn.XLOOKUP(frasest[[#This Row],[autor_es]],autorest[autor_es],autorest[imagen_atr])</f>
        <v>0</v>
      </c>
    </row>
    <row r="1282" spans="1:18">
      <c r="A1282">
        <v>1281</v>
      </c>
      <c r="B1282" t="s">
        <v>3959</v>
      </c>
      <c r="C1282" t="s">
        <v>3960</v>
      </c>
      <c r="D1282" s="1" t="s">
        <v>3961</v>
      </c>
      <c r="E1282" t="s">
        <v>36</v>
      </c>
      <c r="G1282" t="str">
        <f>_xlfn.XLOOKUP(frasest[[#This Row],[autor_es]],autorest[autor_es],autorest[autor_la])</f>
        <v>Proverbium Sinense</v>
      </c>
      <c r="H1282" t="str">
        <f>_xlfn.XLOOKUP(frasest[[#This Row],[autor_es]],autorest[autor_es],autorest[bio_es])</f>
        <v>Conjunto de proverbios tradicionales de la cultura china que transmiten sabiduría popular, valores morales y enseñanzas prácticas transmitidas oralmente durante siglos.</v>
      </c>
      <c r="I1282" t="str">
        <f>_xlfn.XLOOKUP(frasest[[#This Row],[autor_es]],autorest[autor_es],autorest[bio_la])</f>
        <v>Collectio sententiarum Sinensium, magnopere in cultura tradita.</v>
      </c>
      <c r="J1282" t="str">
        <f>_xlfn.XLOOKUP(frasest[[#This Row],[autor_es]],autorest[autor_es],autorest[codigo])</f>
        <v>zh</v>
      </c>
      <c r="K1282" t="str">
        <f>_xlfn.XLOOKUP(frasest[[#This Row],[autor_es]],autorest[autor_es],autorest[idioma_es])</f>
        <v>Chino</v>
      </c>
      <c r="L1282" t="str">
        <f>_xlfn.XLOOKUP(frasest[[#This Row],[autor_es]],autorest[autor_es],autorest[idioma_la])</f>
        <v>Lingua Sinica</v>
      </c>
      <c r="M1282" t="str">
        <f>_xlfn.XLOOKUP(frasest[[#This Row],[autor_es]],autorest[autor_es],autorest[nacion_es])</f>
        <v>China</v>
      </c>
      <c r="N1282" t="str">
        <f>_xlfn.XLOOKUP(frasest[[#This Row],[autor_es]],autorest[autor_es],autorest[nacion_la])</f>
        <v>Sinae</v>
      </c>
      <c r="O1282" t="str">
        <f>_xlfn.XLOOKUP(frasest[[#This Row],[autor_es]],autorest[autor_es],autorest[epoca_es])</f>
        <v>Epoca Desconocida</v>
      </c>
      <c r="P1282" t="str">
        <f>_xlfn.XLOOKUP(frasest[[#This Row],[autor_es]],autorest[autor_es],autorest[epoca_la])</f>
        <v>Epocha Ignota</v>
      </c>
      <c r="Q1282" t="str">
        <f>_xlfn.XLOOKUP(frasest[[#This Row],[autor_es]],autorest[autor_es],autorest[imagen])</f>
        <v>https://i.ibb.co/qLfpZm6h/china.png</v>
      </c>
      <c r="R1282">
        <f>_xlfn.XLOOKUP(frasest[[#This Row],[autor_es]],autorest[autor_es],autorest[imagen_atr])</f>
        <v>0</v>
      </c>
    </row>
    <row r="1283" spans="1:18">
      <c r="A1283">
        <v>1282</v>
      </c>
      <c r="B1283" t="s">
        <v>3962</v>
      </c>
      <c r="C1283" t="s">
        <v>3963</v>
      </c>
      <c r="D1283" s="1" t="s">
        <v>3964</v>
      </c>
      <c r="E1283" t="s">
        <v>36</v>
      </c>
      <c r="G1283" t="str">
        <f>_xlfn.XLOOKUP(frasest[[#This Row],[autor_es]],autorest[autor_es],autorest[autor_la])</f>
        <v>Proverbium Sinense</v>
      </c>
      <c r="H1283" t="str">
        <f>_xlfn.XLOOKUP(frasest[[#This Row],[autor_es]],autorest[autor_es],autorest[bio_es])</f>
        <v>Conjunto de proverbios tradicionales de la cultura china que transmiten sabiduría popular, valores morales y enseñanzas prácticas transmitidas oralmente durante siglos.</v>
      </c>
      <c r="I1283" t="str">
        <f>_xlfn.XLOOKUP(frasest[[#This Row],[autor_es]],autorest[autor_es],autorest[bio_la])</f>
        <v>Collectio sententiarum Sinensium, magnopere in cultura tradita.</v>
      </c>
      <c r="J1283" t="str">
        <f>_xlfn.XLOOKUP(frasest[[#This Row],[autor_es]],autorest[autor_es],autorest[codigo])</f>
        <v>zh</v>
      </c>
      <c r="K1283" t="str">
        <f>_xlfn.XLOOKUP(frasest[[#This Row],[autor_es]],autorest[autor_es],autorest[idioma_es])</f>
        <v>Chino</v>
      </c>
      <c r="L1283" t="str">
        <f>_xlfn.XLOOKUP(frasest[[#This Row],[autor_es]],autorest[autor_es],autorest[idioma_la])</f>
        <v>Lingua Sinica</v>
      </c>
      <c r="M1283" t="str">
        <f>_xlfn.XLOOKUP(frasest[[#This Row],[autor_es]],autorest[autor_es],autorest[nacion_es])</f>
        <v>China</v>
      </c>
      <c r="N1283" t="str">
        <f>_xlfn.XLOOKUP(frasest[[#This Row],[autor_es]],autorest[autor_es],autorest[nacion_la])</f>
        <v>Sinae</v>
      </c>
      <c r="O1283" t="str">
        <f>_xlfn.XLOOKUP(frasest[[#This Row],[autor_es]],autorest[autor_es],autorest[epoca_es])</f>
        <v>Epoca Desconocida</v>
      </c>
      <c r="P1283" t="str">
        <f>_xlfn.XLOOKUP(frasest[[#This Row],[autor_es]],autorest[autor_es],autorest[epoca_la])</f>
        <v>Epocha Ignota</v>
      </c>
      <c r="Q1283" t="str">
        <f>_xlfn.XLOOKUP(frasest[[#This Row],[autor_es]],autorest[autor_es],autorest[imagen])</f>
        <v>https://i.ibb.co/qLfpZm6h/china.png</v>
      </c>
      <c r="R1283">
        <f>_xlfn.XLOOKUP(frasest[[#This Row],[autor_es]],autorest[autor_es],autorest[imagen_atr])</f>
        <v>0</v>
      </c>
    </row>
    <row r="1284" spans="1:18">
      <c r="A1284">
        <v>1283</v>
      </c>
      <c r="B1284" t="s">
        <v>3965</v>
      </c>
      <c r="C1284" t="s">
        <v>3966</v>
      </c>
      <c r="D1284" s="1" t="s">
        <v>3967</v>
      </c>
      <c r="E1284" t="s">
        <v>36</v>
      </c>
      <c r="G1284" t="str">
        <f>_xlfn.XLOOKUP(frasest[[#This Row],[autor_es]],autorest[autor_es],autorest[autor_la])</f>
        <v>Proverbium Sinense</v>
      </c>
      <c r="H1284" t="str">
        <f>_xlfn.XLOOKUP(frasest[[#This Row],[autor_es]],autorest[autor_es],autorest[bio_es])</f>
        <v>Conjunto de proverbios tradicionales de la cultura china que transmiten sabiduría popular, valores morales y enseñanzas prácticas transmitidas oralmente durante siglos.</v>
      </c>
      <c r="I1284" t="str">
        <f>_xlfn.XLOOKUP(frasest[[#This Row],[autor_es]],autorest[autor_es],autorest[bio_la])</f>
        <v>Collectio sententiarum Sinensium, magnopere in cultura tradita.</v>
      </c>
      <c r="J1284" t="str">
        <f>_xlfn.XLOOKUP(frasest[[#This Row],[autor_es]],autorest[autor_es],autorest[codigo])</f>
        <v>zh</v>
      </c>
      <c r="K1284" t="str">
        <f>_xlfn.XLOOKUP(frasest[[#This Row],[autor_es]],autorest[autor_es],autorest[idioma_es])</f>
        <v>Chino</v>
      </c>
      <c r="L1284" t="str">
        <f>_xlfn.XLOOKUP(frasest[[#This Row],[autor_es]],autorest[autor_es],autorest[idioma_la])</f>
        <v>Lingua Sinica</v>
      </c>
      <c r="M1284" t="str">
        <f>_xlfn.XLOOKUP(frasest[[#This Row],[autor_es]],autorest[autor_es],autorest[nacion_es])</f>
        <v>China</v>
      </c>
      <c r="N1284" t="str">
        <f>_xlfn.XLOOKUP(frasest[[#This Row],[autor_es]],autorest[autor_es],autorest[nacion_la])</f>
        <v>Sinae</v>
      </c>
      <c r="O1284" t="str">
        <f>_xlfn.XLOOKUP(frasest[[#This Row],[autor_es]],autorest[autor_es],autorest[epoca_es])</f>
        <v>Epoca Desconocida</v>
      </c>
      <c r="P1284" t="str">
        <f>_xlfn.XLOOKUP(frasest[[#This Row],[autor_es]],autorest[autor_es],autorest[epoca_la])</f>
        <v>Epocha Ignota</v>
      </c>
      <c r="Q1284" t="str">
        <f>_xlfn.XLOOKUP(frasest[[#This Row],[autor_es]],autorest[autor_es],autorest[imagen])</f>
        <v>https://i.ibb.co/qLfpZm6h/china.png</v>
      </c>
      <c r="R1284">
        <f>_xlfn.XLOOKUP(frasest[[#This Row],[autor_es]],autorest[autor_es],autorest[imagen_atr])</f>
        <v>0</v>
      </c>
    </row>
    <row r="1285" spans="1:18">
      <c r="A1285">
        <v>1284</v>
      </c>
      <c r="B1285" t="s">
        <v>3968</v>
      </c>
      <c r="C1285" t="s">
        <v>3969</v>
      </c>
      <c r="D1285" s="1" t="s">
        <v>3970</v>
      </c>
      <c r="E1285" t="s">
        <v>36</v>
      </c>
      <c r="G1285" t="str">
        <f>_xlfn.XLOOKUP(frasest[[#This Row],[autor_es]],autorest[autor_es],autorest[autor_la])</f>
        <v>Proverbium Sinense</v>
      </c>
      <c r="H1285" t="str">
        <f>_xlfn.XLOOKUP(frasest[[#This Row],[autor_es]],autorest[autor_es],autorest[bio_es])</f>
        <v>Conjunto de proverbios tradicionales de la cultura china que transmiten sabiduría popular, valores morales y enseñanzas prácticas transmitidas oralmente durante siglos.</v>
      </c>
      <c r="I1285" t="str">
        <f>_xlfn.XLOOKUP(frasest[[#This Row],[autor_es]],autorest[autor_es],autorest[bio_la])</f>
        <v>Collectio sententiarum Sinensium, magnopere in cultura tradita.</v>
      </c>
      <c r="J1285" t="str">
        <f>_xlfn.XLOOKUP(frasest[[#This Row],[autor_es]],autorest[autor_es],autorest[codigo])</f>
        <v>zh</v>
      </c>
      <c r="K1285" t="str">
        <f>_xlfn.XLOOKUP(frasest[[#This Row],[autor_es]],autorest[autor_es],autorest[idioma_es])</f>
        <v>Chino</v>
      </c>
      <c r="L1285" t="str">
        <f>_xlfn.XLOOKUP(frasest[[#This Row],[autor_es]],autorest[autor_es],autorest[idioma_la])</f>
        <v>Lingua Sinica</v>
      </c>
      <c r="M1285" t="str">
        <f>_xlfn.XLOOKUP(frasest[[#This Row],[autor_es]],autorest[autor_es],autorest[nacion_es])</f>
        <v>China</v>
      </c>
      <c r="N1285" t="str">
        <f>_xlfn.XLOOKUP(frasest[[#This Row],[autor_es]],autorest[autor_es],autorest[nacion_la])</f>
        <v>Sinae</v>
      </c>
      <c r="O1285" t="str">
        <f>_xlfn.XLOOKUP(frasest[[#This Row],[autor_es]],autorest[autor_es],autorest[epoca_es])</f>
        <v>Epoca Desconocida</v>
      </c>
      <c r="P1285" t="str">
        <f>_xlfn.XLOOKUP(frasest[[#This Row],[autor_es]],autorest[autor_es],autorest[epoca_la])</f>
        <v>Epocha Ignota</v>
      </c>
      <c r="Q1285" t="str">
        <f>_xlfn.XLOOKUP(frasest[[#This Row],[autor_es]],autorest[autor_es],autorest[imagen])</f>
        <v>https://i.ibb.co/qLfpZm6h/china.png</v>
      </c>
      <c r="R1285">
        <f>_xlfn.XLOOKUP(frasest[[#This Row],[autor_es]],autorest[autor_es],autorest[imagen_atr])</f>
        <v>0</v>
      </c>
    </row>
    <row r="1286" spans="1:18">
      <c r="A1286">
        <v>1285</v>
      </c>
      <c r="B1286" t="s">
        <v>3971</v>
      </c>
      <c r="C1286" t="s">
        <v>3972</v>
      </c>
      <c r="D1286" s="1" t="s">
        <v>3391</v>
      </c>
      <c r="E1286" t="s">
        <v>36</v>
      </c>
      <c r="G1286" t="str">
        <f>_xlfn.XLOOKUP(frasest[[#This Row],[autor_es]],autorest[autor_es],autorest[autor_la])</f>
        <v>Proverbium Sinense</v>
      </c>
      <c r="H1286" t="str">
        <f>_xlfn.XLOOKUP(frasest[[#This Row],[autor_es]],autorest[autor_es],autorest[bio_es])</f>
        <v>Conjunto de proverbios tradicionales de la cultura china que transmiten sabiduría popular, valores morales y enseñanzas prácticas transmitidas oralmente durante siglos.</v>
      </c>
      <c r="I1286" t="str">
        <f>_xlfn.XLOOKUP(frasest[[#This Row],[autor_es]],autorest[autor_es],autorest[bio_la])</f>
        <v>Collectio sententiarum Sinensium, magnopere in cultura tradita.</v>
      </c>
      <c r="J1286" t="str">
        <f>_xlfn.XLOOKUP(frasest[[#This Row],[autor_es]],autorest[autor_es],autorest[codigo])</f>
        <v>zh</v>
      </c>
      <c r="K1286" t="str">
        <f>_xlfn.XLOOKUP(frasest[[#This Row],[autor_es]],autorest[autor_es],autorest[idioma_es])</f>
        <v>Chino</v>
      </c>
      <c r="L1286" t="str">
        <f>_xlfn.XLOOKUP(frasest[[#This Row],[autor_es]],autorest[autor_es],autorest[idioma_la])</f>
        <v>Lingua Sinica</v>
      </c>
      <c r="M1286" t="str">
        <f>_xlfn.XLOOKUP(frasest[[#This Row],[autor_es]],autorest[autor_es],autorest[nacion_es])</f>
        <v>China</v>
      </c>
      <c r="N1286" t="str">
        <f>_xlfn.XLOOKUP(frasest[[#This Row],[autor_es]],autorest[autor_es],autorest[nacion_la])</f>
        <v>Sinae</v>
      </c>
      <c r="O1286" t="str">
        <f>_xlfn.XLOOKUP(frasest[[#This Row],[autor_es]],autorest[autor_es],autorest[epoca_es])</f>
        <v>Epoca Desconocida</v>
      </c>
      <c r="P1286" t="str">
        <f>_xlfn.XLOOKUP(frasest[[#This Row],[autor_es]],autorest[autor_es],autorest[epoca_la])</f>
        <v>Epocha Ignota</v>
      </c>
      <c r="Q1286" t="str">
        <f>_xlfn.XLOOKUP(frasest[[#This Row],[autor_es]],autorest[autor_es],autorest[imagen])</f>
        <v>https://i.ibb.co/qLfpZm6h/china.png</v>
      </c>
      <c r="R1286">
        <f>_xlfn.XLOOKUP(frasest[[#This Row],[autor_es]],autorest[autor_es],autorest[imagen_atr])</f>
        <v>0</v>
      </c>
    </row>
    <row r="1287" spans="1:18">
      <c r="A1287">
        <v>1286</v>
      </c>
      <c r="B1287" t="s">
        <v>3973</v>
      </c>
      <c r="C1287" t="s">
        <v>3974</v>
      </c>
      <c r="D1287" s="1" t="s">
        <v>3975</v>
      </c>
      <c r="E1287" t="s">
        <v>36</v>
      </c>
      <c r="G1287" t="str">
        <f>_xlfn.XLOOKUP(frasest[[#This Row],[autor_es]],autorest[autor_es],autorest[autor_la])</f>
        <v>Proverbium Sinense</v>
      </c>
      <c r="H1287" t="str">
        <f>_xlfn.XLOOKUP(frasest[[#This Row],[autor_es]],autorest[autor_es],autorest[bio_es])</f>
        <v>Conjunto de proverbios tradicionales de la cultura china que transmiten sabiduría popular, valores morales y enseñanzas prácticas transmitidas oralmente durante siglos.</v>
      </c>
      <c r="I1287" t="str">
        <f>_xlfn.XLOOKUP(frasest[[#This Row],[autor_es]],autorest[autor_es],autorest[bio_la])</f>
        <v>Collectio sententiarum Sinensium, magnopere in cultura tradita.</v>
      </c>
      <c r="J1287" t="str">
        <f>_xlfn.XLOOKUP(frasest[[#This Row],[autor_es]],autorest[autor_es],autorest[codigo])</f>
        <v>zh</v>
      </c>
      <c r="K1287" t="str">
        <f>_xlfn.XLOOKUP(frasest[[#This Row],[autor_es]],autorest[autor_es],autorest[idioma_es])</f>
        <v>Chino</v>
      </c>
      <c r="L1287" t="str">
        <f>_xlfn.XLOOKUP(frasest[[#This Row],[autor_es]],autorest[autor_es],autorest[idioma_la])</f>
        <v>Lingua Sinica</v>
      </c>
      <c r="M1287" t="str">
        <f>_xlfn.XLOOKUP(frasest[[#This Row],[autor_es]],autorest[autor_es],autorest[nacion_es])</f>
        <v>China</v>
      </c>
      <c r="N1287" t="str">
        <f>_xlfn.XLOOKUP(frasest[[#This Row],[autor_es]],autorest[autor_es],autorest[nacion_la])</f>
        <v>Sinae</v>
      </c>
      <c r="O1287" t="str">
        <f>_xlfn.XLOOKUP(frasest[[#This Row],[autor_es]],autorest[autor_es],autorest[epoca_es])</f>
        <v>Epoca Desconocida</v>
      </c>
      <c r="P1287" t="str">
        <f>_xlfn.XLOOKUP(frasest[[#This Row],[autor_es]],autorest[autor_es],autorest[epoca_la])</f>
        <v>Epocha Ignota</v>
      </c>
      <c r="Q1287" t="str">
        <f>_xlfn.XLOOKUP(frasest[[#This Row],[autor_es]],autorest[autor_es],autorest[imagen])</f>
        <v>https://i.ibb.co/qLfpZm6h/china.png</v>
      </c>
      <c r="R1287">
        <f>_xlfn.XLOOKUP(frasest[[#This Row],[autor_es]],autorest[autor_es],autorest[imagen_atr])</f>
        <v>0</v>
      </c>
    </row>
    <row r="1288" spans="1:18">
      <c r="A1288">
        <v>1287</v>
      </c>
      <c r="B1288" t="s">
        <v>3976</v>
      </c>
      <c r="C1288" t="s">
        <v>3977</v>
      </c>
      <c r="D1288" s="1" t="s">
        <v>3978</v>
      </c>
      <c r="E1288" t="s">
        <v>36</v>
      </c>
      <c r="G1288" t="str">
        <f>_xlfn.XLOOKUP(frasest[[#This Row],[autor_es]],autorest[autor_es],autorest[autor_la])</f>
        <v>Proverbium Sinense</v>
      </c>
      <c r="H1288" t="str">
        <f>_xlfn.XLOOKUP(frasest[[#This Row],[autor_es]],autorest[autor_es],autorest[bio_es])</f>
        <v>Conjunto de proverbios tradicionales de la cultura china que transmiten sabiduría popular, valores morales y enseñanzas prácticas transmitidas oralmente durante siglos.</v>
      </c>
      <c r="I1288" t="str">
        <f>_xlfn.XLOOKUP(frasest[[#This Row],[autor_es]],autorest[autor_es],autorest[bio_la])</f>
        <v>Collectio sententiarum Sinensium, magnopere in cultura tradita.</v>
      </c>
      <c r="J1288" t="str">
        <f>_xlfn.XLOOKUP(frasest[[#This Row],[autor_es]],autorest[autor_es],autorest[codigo])</f>
        <v>zh</v>
      </c>
      <c r="K1288" t="str">
        <f>_xlfn.XLOOKUP(frasest[[#This Row],[autor_es]],autorest[autor_es],autorest[idioma_es])</f>
        <v>Chino</v>
      </c>
      <c r="L1288" t="str">
        <f>_xlfn.XLOOKUP(frasest[[#This Row],[autor_es]],autorest[autor_es],autorest[idioma_la])</f>
        <v>Lingua Sinica</v>
      </c>
      <c r="M1288" t="str">
        <f>_xlfn.XLOOKUP(frasest[[#This Row],[autor_es]],autorest[autor_es],autorest[nacion_es])</f>
        <v>China</v>
      </c>
      <c r="N1288" t="str">
        <f>_xlfn.XLOOKUP(frasest[[#This Row],[autor_es]],autorest[autor_es],autorest[nacion_la])</f>
        <v>Sinae</v>
      </c>
      <c r="O1288" t="str">
        <f>_xlfn.XLOOKUP(frasest[[#This Row],[autor_es]],autorest[autor_es],autorest[epoca_es])</f>
        <v>Epoca Desconocida</v>
      </c>
      <c r="P1288" t="str">
        <f>_xlfn.XLOOKUP(frasest[[#This Row],[autor_es]],autorest[autor_es],autorest[epoca_la])</f>
        <v>Epocha Ignota</v>
      </c>
      <c r="Q1288" t="str">
        <f>_xlfn.XLOOKUP(frasest[[#This Row],[autor_es]],autorest[autor_es],autorest[imagen])</f>
        <v>https://i.ibb.co/qLfpZm6h/china.png</v>
      </c>
      <c r="R1288">
        <f>_xlfn.XLOOKUP(frasest[[#This Row],[autor_es]],autorest[autor_es],autorest[imagen_atr])</f>
        <v>0</v>
      </c>
    </row>
    <row r="1289" spans="1:18">
      <c r="A1289">
        <v>1288</v>
      </c>
      <c r="B1289" t="s">
        <v>3979</v>
      </c>
      <c r="C1289" t="s">
        <v>3980</v>
      </c>
      <c r="D1289" s="1" t="s">
        <v>3367</v>
      </c>
      <c r="E1289" t="s">
        <v>36</v>
      </c>
      <c r="G1289" t="str">
        <f>_xlfn.XLOOKUP(frasest[[#This Row],[autor_es]],autorest[autor_es],autorest[autor_la])</f>
        <v>Proverbium Sinense</v>
      </c>
      <c r="H1289" t="str">
        <f>_xlfn.XLOOKUP(frasest[[#This Row],[autor_es]],autorest[autor_es],autorest[bio_es])</f>
        <v>Conjunto de proverbios tradicionales de la cultura china que transmiten sabiduría popular, valores morales y enseñanzas prácticas transmitidas oralmente durante siglos.</v>
      </c>
      <c r="I1289" t="str">
        <f>_xlfn.XLOOKUP(frasest[[#This Row],[autor_es]],autorest[autor_es],autorest[bio_la])</f>
        <v>Collectio sententiarum Sinensium, magnopere in cultura tradita.</v>
      </c>
      <c r="J1289" t="str">
        <f>_xlfn.XLOOKUP(frasest[[#This Row],[autor_es]],autorest[autor_es],autorest[codigo])</f>
        <v>zh</v>
      </c>
      <c r="K1289" t="str">
        <f>_xlfn.XLOOKUP(frasest[[#This Row],[autor_es]],autorest[autor_es],autorest[idioma_es])</f>
        <v>Chino</v>
      </c>
      <c r="L1289" t="str">
        <f>_xlfn.XLOOKUP(frasest[[#This Row],[autor_es]],autorest[autor_es],autorest[idioma_la])</f>
        <v>Lingua Sinica</v>
      </c>
      <c r="M1289" t="str">
        <f>_xlfn.XLOOKUP(frasest[[#This Row],[autor_es]],autorest[autor_es],autorest[nacion_es])</f>
        <v>China</v>
      </c>
      <c r="N1289" t="str">
        <f>_xlfn.XLOOKUP(frasest[[#This Row],[autor_es]],autorest[autor_es],autorest[nacion_la])</f>
        <v>Sinae</v>
      </c>
      <c r="O1289" t="str">
        <f>_xlfn.XLOOKUP(frasest[[#This Row],[autor_es]],autorest[autor_es],autorest[epoca_es])</f>
        <v>Epoca Desconocida</v>
      </c>
      <c r="P1289" t="str">
        <f>_xlfn.XLOOKUP(frasest[[#This Row],[autor_es]],autorest[autor_es],autorest[epoca_la])</f>
        <v>Epocha Ignota</v>
      </c>
      <c r="Q1289" t="str">
        <f>_xlfn.XLOOKUP(frasest[[#This Row],[autor_es]],autorest[autor_es],autorest[imagen])</f>
        <v>https://i.ibb.co/qLfpZm6h/china.png</v>
      </c>
      <c r="R1289">
        <f>_xlfn.XLOOKUP(frasest[[#This Row],[autor_es]],autorest[autor_es],autorest[imagen_atr])</f>
        <v>0</v>
      </c>
    </row>
    <row r="1290" spans="1:18">
      <c r="A1290">
        <v>1289</v>
      </c>
      <c r="B1290" t="s">
        <v>3981</v>
      </c>
      <c r="C1290" t="s">
        <v>3982</v>
      </c>
      <c r="D1290" s="1" t="s">
        <v>3983</v>
      </c>
      <c r="E1290" t="s">
        <v>36</v>
      </c>
      <c r="G1290" t="str">
        <f>_xlfn.XLOOKUP(frasest[[#This Row],[autor_es]],autorest[autor_es],autorest[autor_la])</f>
        <v>Proverbium Sinense</v>
      </c>
      <c r="H1290" t="str">
        <f>_xlfn.XLOOKUP(frasest[[#This Row],[autor_es]],autorest[autor_es],autorest[bio_es])</f>
        <v>Conjunto de proverbios tradicionales de la cultura china que transmiten sabiduría popular, valores morales y enseñanzas prácticas transmitidas oralmente durante siglos.</v>
      </c>
      <c r="I1290" t="str">
        <f>_xlfn.XLOOKUP(frasest[[#This Row],[autor_es]],autorest[autor_es],autorest[bio_la])</f>
        <v>Collectio sententiarum Sinensium, magnopere in cultura tradita.</v>
      </c>
      <c r="J1290" t="str">
        <f>_xlfn.XLOOKUP(frasest[[#This Row],[autor_es]],autorest[autor_es],autorest[codigo])</f>
        <v>zh</v>
      </c>
      <c r="K1290" t="str">
        <f>_xlfn.XLOOKUP(frasest[[#This Row],[autor_es]],autorest[autor_es],autorest[idioma_es])</f>
        <v>Chino</v>
      </c>
      <c r="L1290" t="str">
        <f>_xlfn.XLOOKUP(frasest[[#This Row],[autor_es]],autorest[autor_es],autorest[idioma_la])</f>
        <v>Lingua Sinica</v>
      </c>
      <c r="M1290" t="str">
        <f>_xlfn.XLOOKUP(frasest[[#This Row],[autor_es]],autorest[autor_es],autorest[nacion_es])</f>
        <v>China</v>
      </c>
      <c r="N1290" t="str">
        <f>_xlfn.XLOOKUP(frasest[[#This Row],[autor_es]],autorest[autor_es],autorest[nacion_la])</f>
        <v>Sinae</v>
      </c>
      <c r="O1290" t="str">
        <f>_xlfn.XLOOKUP(frasest[[#This Row],[autor_es]],autorest[autor_es],autorest[epoca_es])</f>
        <v>Epoca Desconocida</v>
      </c>
      <c r="P1290" t="str">
        <f>_xlfn.XLOOKUP(frasest[[#This Row],[autor_es]],autorest[autor_es],autorest[epoca_la])</f>
        <v>Epocha Ignota</v>
      </c>
      <c r="Q1290" t="str">
        <f>_xlfn.XLOOKUP(frasest[[#This Row],[autor_es]],autorest[autor_es],autorest[imagen])</f>
        <v>https://i.ibb.co/qLfpZm6h/china.png</v>
      </c>
      <c r="R1290">
        <f>_xlfn.XLOOKUP(frasest[[#This Row],[autor_es]],autorest[autor_es],autorest[imagen_atr])</f>
        <v>0</v>
      </c>
    </row>
    <row r="1291" spans="1:18">
      <c r="A1291">
        <v>1290</v>
      </c>
      <c r="B1291" t="s">
        <v>3984</v>
      </c>
      <c r="C1291" t="s">
        <v>3985</v>
      </c>
      <c r="D1291" s="1" t="s">
        <v>3986</v>
      </c>
      <c r="E1291" t="s">
        <v>36</v>
      </c>
      <c r="G1291" t="str">
        <f>_xlfn.XLOOKUP(frasest[[#This Row],[autor_es]],autorest[autor_es],autorest[autor_la])</f>
        <v>Proverbium Sinense</v>
      </c>
      <c r="H1291" t="str">
        <f>_xlfn.XLOOKUP(frasest[[#This Row],[autor_es]],autorest[autor_es],autorest[bio_es])</f>
        <v>Conjunto de proverbios tradicionales de la cultura china que transmiten sabiduría popular, valores morales y enseñanzas prácticas transmitidas oralmente durante siglos.</v>
      </c>
      <c r="I1291" t="str">
        <f>_xlfn.XLOOKUP(frasest[[#This Row],[autor_es]],autorest[autor_es],autorest[bio_la])</f>
        <v>Collectio sententiarum Sinensium, magnopere in cultura tradita.</v>
      </c>
      <c r="J1291" t="str">
        <f>_xlfn.XLOOKUP(frasest[[#This Row],[autor_es]],autorest[autor_es],autorest[codigo])</f>
        <v>zh</v>
      </c>
      <c r="K1291" t="str">
        <f>_xlfn.XLOOKUP(frasest[[#This Row],[autor_es]],autorest[autor_es],autorest[idioma_es])</f>
        <v>Chino</v>
      </c>
      <c r="L1291" t="str">
        <f>_xlfn.XLOOKUP(frasest[[#This Row],[autor_es]],autorest[autor_es],autorest[idioma_la])</f>
        <v>Lingua Sinica</v>
      </c>
      <c r="M1291" t="str">
        <f>_xlfn.XLOOKUP(frasest[[#This Row],[autor_es]],autorest[autor_es],autorest[nacion_es])</f>
        <v>China</v>
      </c>
      <c r="N1291" t="str">
        <f>_xlfn.XLOOKUP(frasest[[#This Row],[autor_es]],autorest[autor_es],autorest[nacion_la])</f>
        <v>Sinae</v>
      </c>
      <c r="O1291" t="str">
        <f>_xlfn.XLOOKUP(frasest[[#This Row],[autor_es]],autorest[autor_es],autorest[epoca_es])</f>
        <v>Epoca Desconocida</v>
      </c>
      <c r="P1291" t="str">
        <f>_xlfn.XLOOKUP(frasest[[#This Row],[autor_es]],autorest[autor_es],autorest[epoca_la])</f>
        <v>Epocha Ignota</v>
      </c>
      <c r="Q1291" t="str">
        <f>_xlfn.XLOOKUP(frasest[[#This Row],[autor_es]],autorest[autor_es],autorest[imagen])</f>
        <v>https://i.ibb.co/qLfpZm6h/china.png</v>
      </c>
      <c r="R1291">
        <f>_xlfn.XLOOKUP(frasest[[#This Row],[autor_es]],autorest[autor_es],autorest[imagen_atr])</f>
        <v>0</v>
      </c>
    </row>
    <row r="1292" spans="1:18">
      <c r="A1292">
        <v>1291</v>
      </c>
      <c r="B1292" t="s">
        <v>3987</v>
      </c>
      <c r="C1292" t="s">
        <v>3988</v>
      </c>
      <c r="D1292" s="1" t="s">
        <v>3989</v>
      </c>
      <c r="E1292" t="s">
        <v>36</v>
      </c>
      <c r="G1292" t="str">
        <f>_xlfn.XLOOKUP(frasest[[#This Row],[autor_es]],autorest[autor_es],autorest[autor_la])</f>
        <v>Proverbium Sinense</v>
      </c>
      <c r="H1292" t="str">
        <f>_xlfn.XLOOKUP(frasest[[#This Row],[autor_es]],autorest[autor_es],autorest[bio_es])</f>
        <v>Conjunto de proverbios tradicionales de la cultura china que transmiten sabiduría popular, valores morales y enseñanzas prácticas transmitidas oralmente durante siglos.</v>
      </c>
      <c r="I1292" t="str">
        <f>_xlfn.XLOOKUP(frasest[[#This Row],[autor_es]],autorest[autor_es],autorest[bio_la])</f>
        <v>Collectio sententiarum Sinensium, magnopere in cultura tradita.</v>
      </c>
      <c r="J1292" t="str">
        <f>_xlfn.XLOOKUP(frasest[[#This Row],[autor_es]],autorest[autor_es],autorest[codigo])</f>
        <v>zh</v>
      </c>
      <c r="K1292" t="str">
        <f>_xlfn.XLOOKUP(frasest[[#This Row],[autor_es]],autorest[autor_es],autorest[idioma_es])</f>
        <v>Chino</v>
      </c>
      <c r="L1292" t="str">
        <f>_xlfn.XLOOKUP(frasest[[#This Row],[autor_es]],autorest[autor_es],autorest[idioma_la])</f>
        <v>Lingua Sinica</v>
      </c>
      <c r="M1292" t="str">
        <f>_xlfn.XLOOKUP(frasest[[#This Row],[autor_es]],autorest[autor_es],autorest[nacion_es])</f>
        <v>China</v>
      </c>
      <c r="N1292" t="str">
        <f>_xlfn.XLOOKUP(frasest[[#This Row],[autor_es]],autorest[autor_es],autorest[nacion_la])</f>
        <v>Sinae</v>
      </c>
      <c r="O1292" t="str">
        <f>_xlfn.XLOOKUP(frasest[[#This Row],[autor_es]],autorest[autor_es],autorest[epoca_es])</f>
        <v>Epoca Desconocida</v>
      </c>
      <c r="P1292" t="str">
        <f>_xlfn.XLOOKUP(frasest[[#This Row],[autor_es]],autorest[autor_es],autorest[epoca_la])</f>
        <v>Epocha Ignota</v>
      </c>
      <c r="Q1292" t="str">
        <f>_xlfn.XLOOKUP(frasest[[#This Row],[autor_es]],autorest[autor_es],autorest[imagen])</f>
        <v>https://i.ibb.co/qLfpZm6h/china.png</v>
      </c>
      <c r="R1292">
        <f>_xlfn.XLOOKUP(frasest[[#This Row],[autor_es]],autorest[autor_es],autorest[imagen_atr])</f>
        <v>0</v>
      </c>
    </row>
    <row r="1293" spans="1:18">
      <c r="A1293">
        <v>1292</v>
      </c>
      <c r="B1293" t="s">
        <v>3990</v>
      </c>
      <c r="C1293" t="s">
        <v>3991</v>
      </c>
      <c r="D1293" s="1" t="s">
        <v>3992</v>
      </c>
      <c r="E1293" t="s">
        <v>36</v>
      </c>
      <c r="G1293" t="str">
        <f>_xlfn.XLOOKUP(frasest[[#This Row],[autor_es]],autorest[autor_es],autorest[autor_la])</f>
        <v>Proverbium Sinense</v>
      </c>
      <c r="H1293" t="str">
        <f>_xlfn.XLOOKUP(frasest[[#This Row],[autor_es]],autorest[autor_es],autorest[bio_es])</f>
        <v>Conjunto de proverbios tradicionales de la cultura china que transmiten sabiduría popular, valores morales y enseñanzas prácticas transmitidas oralmente durante siglos.</v>
      </c>
      <c r="I1293" t="str">
        <f>_xlfn.XLOOKUP(frasest[[#This Row],[autor_es]],autorest[autor_es],autorest[bio_la])</f>
        <v>Collectio sententiarum Sinensium, magnopere in cultura tradita.</v>
      </c>
      <c r="J1293" t="str">
        <f>_xlfn.XLOOKUP(frasest[[#This Row],[autor_es]],autorest[autor_es],autorest[codigo])</f>
        <v>zh</v>
      </c>
      <c r="K1293" t="str">
        <f>_xlfn.XLOOKUP(frasest[[#This Row],[autor_es]],autorest[autor_es],autorest[idioma_es])</f>
        <v>Chino</v>
      </c>
      <c r="L1293" t="str">
        <f>_xlfn.XLOOKUP(frasest[[#This Row],[autor_es]],autorest[autor_es],autorest[idioma_la])</f>
        <v>Lingua Sinica</v>
      </c>
      <c r="M1293" t="str">
        <f>_xlfn.XLOOKUP(frasest[[#This Row],[autor_es]],autorest[autor_es],autorest[nacion_es])</f>
        <v>China</v>
      </c>
      <c r="N1293" t="str">
        <f>_xlfn.XLOOKUP(frasest[[#This Row],[autor_es]],autorest[autor_es],autorest[nacion_la])</f>
        <v>Sinae</v>
      </c>
      <c r="O1293" t="str">
        <f>_xlfn.XLOOKUP(frasest[[#This Row],[autor_es]],autorest[autor_es],autorest[epoca_es])</f>
        <v>Epoca Desconocida</v>
      </c>
      <c r="P1293" t="str">
        <f>_xlfn.XLOOKUP(frasest[[#This Row],[autor_es]],autorest[autor_es],autorest[epoca_la])</f>
        <v>Epocha Ignota</v>
      </c>
      <c r="Q1293" t="str">
        <f>_xlfn.XLOOKUP(frasest[[#This Row],[autor_es]],autorest[autor_es],autorest[imagen])</f>
        <v>https://i.ibb.co/qLfpZm6h/china.png</v>
      </c>
      <c r="R1293">
        <f>_xlfn.XLOOKUP(frasest[[#This Row],[autor_es]],autorest[autor_es],autorest[imagen_atr])</f>
        <v>0</v>
      </c>
    </row>
    <row r="1294" spans="1:18">
      <c r="A1294">
        <v>1293</v>
      </c>
      <c r="B1294" t="s">
        <v>3993</v>
      </c>
      <c r="C1294" t="s">
        <v>3994</v>
      </c>
      <c r="D1294" s="1" t="s">
        <v>3995</v>
      </c>
      <c r="E1294" t="s">
        <v>36</v>
      </c>
      <c r="G1294" t="str">
        <f>_xlfn.XLOOKUP(frasest[[#This Row],[autor_es]],autorest[autor_es],autorest[autor_la])</f>
        <v>Proverbium Sinense</v>
      </c>
      <c r="H1294" t="str">
        <f>_xlfn.XLOOKUP(frasest[[#This Row],[autor_es]],autorest[autor_es],autorest[bio_es])</f>
        <v>Conjunto de proverbios tradicionales de la cultura china que transmiten sabiduría popular, valores morales y enseñanzas prácticas transmitidas oralmente durante siglos.</v>
      </c>
      <c r="I1294" t="str">
        <f>_xlfn.XLOOKUP(frasest[[#This Row],[autor_es]],autorest[autor_es],autorest[bio_la])</f>
        <v>Collectio sententiarum Sinensium, magnopere in cultura tradita.</v>
      </c>
      <c r="J1294" t="str">
        <f>_xlfn.XLOOKUP(frasest[[#This Row],[autor_es]],autorest[autor_es],autorest[codigo])</f>
        <v>zh</v>
      </c>
      <c r="K1294" t="str">
        <f>_xlfn.XLOOKUP(frasest[[#This Row],[autor_es]],autorest[autor_es],autorest[idioma_es])</f>
        <v>Chino</v>
      </c>
      <c r="L1294" t="str">
        <f>_xlfn.XLOOKUP(frasest[[#This Row],[autor_es]],autorest[autor_es],autorest[idioma_la])</f>
        <v>Lingua Sinica</v>
      </c>
      <c r="M1294" t="str">
        <f>_xlfn.XLOOKUP(frasest[[#This Row],[autor_es]],autorest[autor_es],autorest[nacion_es])</f>
        <v>China</v>
      </c>
      <c r="N1294" t="str">
        <f>_xlfn.XLOOKUP(frasest[[#This Row],[autor_es]],autorest[autor_es],autorest[nacion_la])</f>
        <v>Sinae</v>
      </c>
      <c r="O1294" t="str">
        <f>_xlfn.XLOOKUP(frasest[[#This Row],[autor_es]],autorest[autor_es],autorest[epoca_es])</f>
        <v>Epoca Desconocida</v>
      </c>
      <c r="P1294" t="str">
        <f>_xlfn.XLOOKUP(frasest[[#This Row],[autor_es]],autorest[autor_es],autorest[epoca_la])</f>
        <v>Epocha Ignota</v>
      </c>
      <c r="Q1294" t="str">
        <f>_xlfn.XLOOKUP(frasest[[#This Row],[autor_es]],autorest[autor_es],autorest[imagen])</f>
        <v>https://i.ibb.co/qLfpZm6h/china.png</v>
      </c>
      <c r="R1294">
        <f>_xlfn.XLOOKUP(frasest[[#This Row],[autor_es]],autorest[autor_es],autorest[imagen_atr])</f>
        <v>0</v>
      </c>
    </row>
    <row r="1295" spans="1:18">
      <c r="A1295">
        <v>1294</v>
      </c>
      <c r="B1295" t="s">
        <v>3996</v>
      </c>
      <c r="C1295" t="s">
        <v>3997</v>
      </c>
      <c r="D1295" s="1" t="s">
        <v>3998</v>
      </c>
      <c r="E1295" t="s">
        <v>36</v>
      </c>
      <c r="G1295" t="str">
        <f>_xlfn.XLOOKUP(frasest[[#This Row],[autor_es]],autorest[autor_es],autorest[autor_la])</f>
        <v>Proverbium Sinense</v>
      </c>
      <c r="H1295" t="str">
        <f>_xlfn.XLOOKUP(frasest[[#This Row],[autor_es]],autorest[autor_es],autorest[bio_es])</f>
        <v>Conjunto de proverbios tradicionales de la cultura china que transmiten sabiduría popular, valores morales y enseñanzas prácticas transmitidas oralmente durante siglos.</v>
      </c>
      <c r="I1295" t="str">
        <f>_xlfn.XLOOKUP(frasest[[#This Row],[autor_es]],autorest[autor_es],autorest[bio_la])</f>
        <v>Collectio sententiarum Sinensium, magnopere in cultura tradita.</v>
      </c>
      <c r="J1295" t="str">
        <f>_xlfn.XLOOKUP(frasest[[#This Row],[autor_es]],autorest[autor_es],autorest[codigo])</f>
        <v>zh</v>
      </c>
      <c r="K1295" t="str">
        <f>_xlfn.XLOOKUP(frasest[[#This Row],[autor_es]],autorest[autor_es],autorest[idioma_es])</f>
        <v>Chino</v>
      </c>
      <c r="L1295" t="str">
        <f>_xlfn.XLOOKUP(frasest[[#This Row],[autor_es]],autorest[autor_es],autorest[idioma_la])</f>
        <v>Lingua Sinica</v>
      </c>
      <c r="M1295" t="str">
        <f>_xlfn.XLOOKUP(frasest[[#This Row],[autor_es]],autorest[autor_es],autorest[nacion_es])</f>
        <v>China</v>
      </c>
      <c r="N1295" t="str">
        <f>_xlfn.XLOOKUP(frasest[[#This Row],[autor_es]],autorest[autor_es],autorest[nacion_la])</f>
        <v>Sinae</v>
      </c>
      <c r="O1295" t="str">
        <f>_xlfn.XLOOKUP(frasest[[#This Row],[autor_es]],autorest[autor_es],autorest[epoca_es])</f>
        <v>Epoca Desconocida</v>
      </c>
      <c r="P1295" t="str">
        <f>_xlfn.XLOOKUP(frasest[[#This Row],[autor_es]],autorest[autor_es],autorest[epoca_la])</f>
        <v>Epocha Ignota</v>
      </c>
      <c r="Q1295" t="str">
        <f>_xlfn.XLOOKUP(frasest[[#This Row],[autor_es]],autorest[autor_es],autorest[imagen])</f>
        <v>https://i.ibb.co/qLfpZm6h/china.png</v>
      </c>
      <c r="R1295">
        <f>_xlfn.XLOOKUP(frasest[[#This Row],[autor_es]],autorest[autor_es],autorest[imagen_atr])</f>
        <v>0</v>
      </c>
    </row>
    <row r="1296" spans="1:18">
      <c r="A1296">
        <v>1295</v>
      </c>
      <c r="B1296" t="s">
        <v>3999</v>
      </c>
      <c r="C1296" t="s">
        <v>4000</v>
      </c>
      <c r="D1296" s="1" t="s">
        <v>4001</v>
      </c>
      <c r="E1296" t="s">
        <v>36</v>
      </c>
      <c r="G1296" t="str">
        <f>_xlfn.XLOOKUP(frasest[[#This Row],[autor_es]],autorest[autor_es],autorest[autor_la])</f>
        <v>Proverbium Sinense</v>
      </c>
      <c r="H1296" t="str">
        <f>_xlfn.XLOOKUP(frasest[[#This Row],[autor_es]],autorest[autor_es],autorest[bio_es])</f>
        <v>Conjunto de proverbios tradicionales de la cultura china que transmiten sabiduría popular, valores morales y enseñanzas prácticas transmitidas oralmente durante siglos.</v>
      </c>
      <c r="I1296" t="str">
        <f>_xlfn.XLOOKUP(frasest[[#This Row],[autor_es]],autorest[autor_es],autorest[bio_la])</f>
        <v>Collectio sententiarum Sinensium, magnopere in cultura tradita.</v>
      </c>
      <c r="J1296" t="str">
        <f>_xlfn.XLOOKUP(frasest[[#This Row],[autor_es]],autorest[autor_es],autorest[codigo])</f>
        <v>zh</v>
      </c>
      <c r="K1296" t="str">
        <f>_xlfn.XLOOKUP(frasest[[#This Row],[autor_es]],autorest[autor_es],autorest[idioma_es])</f>
        <v>Chino</v>
      </c>
      <c r="L1296" t="str">
        <f>_xlfn.XLOOKUP(frasest[[#This Row],[autor_es]],autorest[autor_es],autorest[idioma_la])</f>
        <v>Lingua Sinica</v>
      </c>
      <c r="M1296" t="str">
        <f>_xlfn.XLOOKUP(frasest[[#This Row],[autor_es]],autorest[autor_es],autorest[nacion_es])</f>
        <v>China</v>
      </c>
      <c r="N1296" t="str">
        <f>_xlfn.XLOOKUP(frasest[[#This Row],[autor_es]],autorest[autor_es],autorest[nacion_la])</f>
        <v>Sinae</v>
      </c>
      <c r="O1296" t="str">
        <f>_xlfn.XLOOKUP(frasest[[#This Row],[autor_es]],autorest[autor_es],autorest[epoca_es])</f>
        <v>Epoca Desconocida</v>
      </c>
      <c r="P1296" t="str">
        <f>_xlfn.XLOOKUP(frasest[[#This Row],[autor_es]],autorest[autor_es],autorest[epoca_la])</f>
        <v>Epocha Ignota</v>
      </c>
      <c r="Q1296" t="str">
        <f>_xlfn.XLOOKUP(frasest[[#This Row],[autor_es]],autorest[autor_es],autorest[imagen])</f>
        <v>https://i.ibb.co/qLfpZm6h/china.png</v>
      </c>
      <c r="R1296">
        <f>_xlfn.XLOOKUP(frasest[[#This Row],[autor_es]],autorest[autor_es],autorest[imagen_atr])</f>
        <v>0</v>
      </c>
    </row>
    <row r="1297" spans="1:18">
      <c r="A1297">
        <v>1296</v>
      </c>
      <c r="B1297" t="s">
        <v>4002</v>
      </c>
      <c r="C1297" t="s">
        <v>4003</v>
      </c>
      <c r="D1297" s="1" t="s">
        <v>4004</v>
      </c>
      <c r="E1297" t="s">
        <v>36</v>
      </c>
      <c r="G1297" t="str">
        <f>_xlfn.XLOOKUP(frasest[[#This Row],[autor_es]],autorest[autor_es],autorest[autor_la])</f>
        <v>Proverbium Sinense</v>
      </c>
      <c r="H1297" t="str">
        <f>_xlfn.XLOOKUP(frasest[[#This Row],[autor_es]],autorest[autor_es],autorest[bio_es])</f>
        <v>Conjunto de proverbios tradicionales de la cultura china que transmiten sabiduría popular, valores morales y enseñanzas prácticas transmitidas oralmente durante siglos.</v>
      </c>
      <c r="I1297" t="str">
        <f>_xlfn.XLOOKUP(frasest[[#This Row],[autor_es]],autorest[autor_es],autorest[bio_la])</f>
        <v>Collectio sententiarum Sinensium, magnopere in cultura tradita.</v>
      </c>
      <c r="J1297" t="str">
        <f>_xlfn.XLOOKUP(frasest[[#This Row],[autor_es]],autorest[autor_es],autorest[codigo])</f>
        <v>zh</v>
      </c>
      <c r="K1297" t="str">
        <f>_xlfn.XLOOKUP(frasest[[#This Row],[autor_es]],autorest[autor_es],autorest[idioma_es])</f>
        <v>Chino</v>
      </c>
      <c r="L1297" t="str">
        <f>_xlfn.XLOOKUP(frasest[[#This Row],[autor_es]],autorest[autor_es],autorest[idioma_la])</f>
        <v>Lingua Sinica</v>
      </c>
      <c r="M1297" t="str">
        <f>_xlfn.XLOOKUP(frasest[[#This Row],[autor_es]],autorest[autor_es],autorest[nacion_es])</f>
        <v>China</v>
      </c>
      <c r="N1297" t="str">
        <f>_xlfn.XLOOKUP(frasest[[#This Row],[autor_es]],autorest[autor_es],autorest[nacion_la])</f>
        <v>Sinae</v>
      </c>
      <c r="O1297" t="str">
        <f>_xlfn.XLOOKUP(frasest[[#This Row],[autor_es]],autorest[autor_es],autorest[epoca_es])</f>
        <v>Epoca Desconocida</v>
      </c>
      <c r="P1297" t="str">
        <f>_xlfn.XLOOKUP(frasest[[#This Row],[autor_es]],autorest[autor_es],autorest[epoca_la])</f>
        <v>Epocha Ignota</v>
      </c>
      <c r="Q1297" t="str">
        <f>_xlfn.XLOOKUP(frasest[[#This Row],[autor_es]],autorest[autor_es],autorest[imagen])</f>
        <v>https://i.ibb.co/qLfpZm6h/china.png</v>
      </c>
      <c r="R1297">
        <f>_xlfn.XLOOKUP(frasest[[#This Row],[autor_es]],autorest[autor_es],autorest[imagen_atr])</f>
        <v>0</v>
      </c>
    </row>
    <row r="1298" spans="1:18">
      <c r="A1298">
        <v>1297</v>
      </c>
      <c r="B1298" t="s">
        <v>4005</v>
      </c>
      <c r="C1298" t="s">
        <v>4006</v>
      </c>
      <c r="D1298" s="1" t="s">
        <v>4007</v>
      </c>
      <c r="E1298" t="s">
        <v>36</v>
      </c>
      <c r="G1298" t="str">
        <f>_xlfn.XLOOKUP(frasest[[#This Row],[autor_es]],autorest[autor_es],autorest[autor_la])</f>
        <v>Proverbium Sinense</v>
      </c>
      <c r="H1298" t="str">
        <f>_xlfn.XLOOKUP(frasest[[#This Row],[autor_es]],autorest[autor_es],autorest[bio_es])</f>
        <v>Conjunto de proverbios tradicionales de la cultura china que transmiten sabiduría popular, valores morales y enseñanzas prácticas transmitidas oralmente durante siglos.</v>
      </c>
      <c r="I1298" t="str">
        <f>_xlfn.XLOOKUP(frasest[[#This Row],[autor_es]],autorest[autor_es],autorest[bio_la])</f>
        <v>Collectio sententiarum Sinensium, magnopere in cultura tradita.</v>
      </c>
      <c r="J1298" t="str">
        <f>_xlfn.XLOOKUP(frasest[[#This Row],[autor_es]],autorest[autor_es],autorest[codigo])</f>
        <v>zh</v>
      </c>
      <c r="K1298" t="str">
        <f>_xlfn.XLOOKUP(frasest[[#This Row],[autor_es]],autorest[autor_es],autorest[idioma_es])</f>
        <v>Chino</v>
      </c>
      <c r="L1298" t="str">
        <f>_xlfn.XLOOKUP(frasest[[#This Row],[autor_es]],autorest[autor_es],autorest[idioma_la])</f>
        <v>Lingua Sinica</v>
      </c>
      <c r="M1298" t="str">
        <f>_xlfn.XLOOKUP(frasest[[#This Row],[autor_es]],autorest[autor_es],autorest[nacion_es])</f>
        <v>China</v>
      </c>
      <c r="N1298" t="str">
        <f>_xlfn.XLOOKUP(frasest[[#This Row],[autor_es]],autorest[autor_es],autorest[nacion_la])</f>
        <v>Sinae</v>
      </c>
      <c r="O1298" t="str">
        <f>_xlfn.XLOOKUP(frasest[[#This Row],[autor_es]],autorest[autor_es],autorest[epoca_es])</f>
        <v>Epoca Desconocida</v>
      </c>
      <c r="P1298" t="str">
        <f>_xlfn.XLOOKUP(frasest[[#This Row],[autor_es]],autorest[autor_es],autorest[epoca_la])</f>
        <v>Epocha Ignota</v>
      </c>
      <c r="Q1298" t="str">
        <f>_xlfn.XLOOKUP(frasest[[#This Row],[autor_es]],autorest[autor_es],autorest[imagen])</f>
        <v>https://i.ibb.co/qLfpZm6h/china.png</v>
      </c>
      <c r="R1298">
        <f>_xlfn.XLOOKUP(frasest[[#This Row],[autor_es]],autorest[autor_es],autorest[imagen_atr])</f>
        <v>0</v>
      </c>
    </row>
    <row r="1299" spans="1:18">
      <c r="A1299">
        <v>1298</v>
      </c>
      <c r="B1299" t="s">
        <v>4008</v>
      </c>
      <c r="C1299" t="s">
        <v>4009</v>
      </c>
      <c r="D1299" s="1" t="s">
        <v>4010</v>
      </c>
      <c r="E1299" t="s">
        <v>36</v>
      </c>
      <c r="G1299" t="str">
        <f>_xlfn.XLOOKUP(frasest[[#This Row],[autor_es]],autorest[autor_es],autorest[autor_la])</f>
        <v>Proverbium Sinense</v>
      </c>
      <c r="H1299" t="str">
        <f>_xlfn.XLOOKUP(frasest[[#This Row],[autor_es]],autorest[autor_es],autorest[bio_es])</f>
        <v>Conjunto de proverbios tradicionales de la cultura china que transmiten sabiduría popular, valores morales y enseñanzas prácticas transmitidas oralmente durante siglos.</v>
      </c>
      <c r="I1299" t="str">
        <f>_xlfn.XLOOKUP(frasest[[#This Row],[autor_es]],autorest[autor_es],autorest[bio_la])</f>
        <v>Collectio sententiarum Sinensium, magnopere in cultura tradita.</v>
      </c>
      <c r="J1299" t="str">
        <f>_xlfn.XLOOKUP(frasest[[#This Row],[autor_es]],autorest[autor_es],autorest[codigo])</f>
        <v>zh</v>
      </c>
      <c r="K1299" t="str">
        <f>_xlfn.XLOOKUP(frasest[[#This Row],[autor_es]],autorest[autor_es],autorest[idioma_es])</f>
        <v>Chino</v>
      </c>
      <c r="L1299" t="str">
        <f>_xlfn.XLOOKUP(frasest[[#This Row],[autor_es]],autorest[autor_es],autorest[idioma_la])</f>
        <v>Lingua Sinica</v>
      </c>
      <c r="M1299" t="str">
        <f>_xlfn.XLOOKUP(frasest[[#This Row],[autor_es]],autorest[autor_es],autorest[nacion_es])</f>
        <v>China</v>
      </c>
      <c r="N1299" t="str">
        <f>_xlfn.XLOOKUP(frasest[[#This Row],[autor_es]],autorest[autor_es],autorest[nacion_la])</f>
        <v>Sinae</v>
      </c>
      <c r="O1299" t="str">
        <f>_xlfn.XLOOKUP(frasest[[#This Row],[autor_es]],autorest[autor_es],autorest[epoca_es])</f>
        <v>Epoca Desconocida</v>
      </c>
      <c r="P1299" t="str">
        <f>_xlfn.XLOOKUP(frasest[[#This Row],[autor_es]],autorest[autor_es],autorest[epoca_la])</f>
        <v>Epocha Ignota</v>
      </c>
      <c r="Q1299" t="str">
        <f>_xlfn.XLOOKUP(frasest[[#This Row],[autor_es]],autorest[autor_es],autorest[imagen])</f>
        <v>https://i.ibb.co/qLfpZm6h/china.png</v>
      </c>
      <c r="R1299">
        <f>_xlfn.XLOOKUP(frasest[[#This Row],[autor_es]],autorest[autor_es],autorest[imagen_atr])</f>
        <v>0</v>
      </c>
    </row>
    <row r="1300" spans="1:18">
      <c r="A1300">
        <v>1299</v>
      </c>
      <c r="B1300" t="s">
        <v>4011</v>
      </c>
      <c r="C1300" t="s">
        <v>4012</v>
      </c>
      <c r="D1300" s="1" t="s">
        <v>4013</v>
      </c>
      <c r="E1300" t="s">
        <v>36</v>
      </c>
      <c r="G1300" t="str">
        <f>_xlfn.XLOOKUP(frasest[[#This Row],[autor_es]],autorest[autor_es],autorest[autor_la])</f>
        <v>Proverbium Sinense</v>
      </c>
      <c r="H1300" t="str">
        <f>_xlfn.XLOOKUP(frasest[[#This Row],[autor_es]],autorest[autor_es],autorest[bio_es])</f>
        <v>Conjunto de proverbios tradicionales de la cultura china que transmiten sabiduría popular, valores morales y enseñanzas prácticas transmitidas oralmente durante siglos.</v>
      </c>
      <c r="I1300" t="str">
        <f>_xlfn.XLOOKUP(frasest[[#This Row],[autor_es]],autorest[autor_es],autorest[bio_la])</f>
        <v>Collectio sententiarum Sinensium, magnopere in cultura tradita.</v>
      </c>
      <c r="J1300" t="str">
        <f>_xlfn.XLOOKUP(frasest[[#This Row],[autor_es]],autorest[autor_es],autorest[codigo])</f>
        <v>zh</v>
      </c>
      <c r="K1300" t="str">
        <f>_xlfn.XLOOKUP(frasest[[#This Row],[autor_es]],autorest[autor_es],autorest[idioma_es])</f>
        <v>Chino</v>
      </c>
      <c r="L1300" t="str">
        <f>_xlfn.XLOOKUP(frasest[[#This Row],[autor_es]],autorest[autor_es],autorest[idioma_la])</f>
        <v>Lingua Sinica</v>
      </c>
      <c r="M1300" t="str">
        <f>_xlfn.XLOOKUP(frasest[[#This Row],[autor_es]],autorest[autor_es],autorest[nacion_es])</f>
        <v>China</v>
      </c>
      <c r="N1300" t="str">
        <f>_xlfn.XLOOKUP(frasest[[#This Row],[autor_es]],autorest[autor_es],autorest[nacion_la])</f>
        <v>Sinae</v>
      </c>
      <c r="O1300" t="str">
        <f>_xlfn.XLOOKUP(frasest[[#This Row],[autor_es]],autorest[autor_es],autorest[epoca_es])</f>
        <v>Epoca Desconocida</v>
      </c>
      <c r="P1300" t="str">
        <f>_xlfn.XLOOKUP(frasest[[#This Row],[autor_es]],autorest[autor_es],autorest[epoca_la])</f>
        <v>Epocha Ignota</v>
      </c>
      <c r="Q1300" t="str">
        <f>_xlfn.XLOOKUP(frasest[[#This Row],[autor_es]],autorest[autor_es],autorest[imagen])</f>
        <v>https://i.ibb.co/qLfpZm6h/china.png</v>
      </c>
      <c r="R1300">
        <f>_xlfn.XLOOKUP(frasest[[#This Row],[autor_es]],autorest[autor_es],autorest[imagen_atr])</f>
        <v>0</v>
      </c>
    </row>
    <row r="1301" spans="1:18">
      <c r="A1301">
        <v>1300</v>
      </c>
      <c r="B1301" t="s">
        <v>4014</v>
      </c>
      <c r="C1301" t="s">
        <v>4015</v>
      </c>
      <c r="D1301" s="1" t="s">
        <v>4016</v>
      </c>
      <c r="E1301" t="s">
        <v>36</v>
      </c>
      <c r="G1301" t="str">
        <f>_xlfn.XLOOKUP(frasest[[#This Row],[autor_es]],autorest[autor_es],autorest[autor_la])</f>
        <v>Proverbium Sinense</v>
      </c>
      <c r="H1301" t="str">
        <f>_xlfn.XLOOKUP(frasest[[#This Row],[autor_es]],autorest[autor_es],autorest[bio_es])</f>
        <v>Conjunto de proverbios tradicionales de la cultura china que transmiten sabiduría popular, valores morales y enseñanzas prácticas transmitidas oralmente durante siglos.</v>
      </c>
      <c r="I1301" t="str">
        <f>_xlfn.XLOOKUP(frasest[[#This Row],[autor_es]],autorest[autor_es],autorest[bio_la])</f>
        <v>Collectio sententiarum Sinensium, magnopere in cultura tradita.</v>
      </c>
      <c r="J1301" t="str">
        <f>_xlfn.XLOOKUP(frasest[[#This Row],[autor_es]],autorest[autor_es],autorest[codigo])</f>
        <v>zh</v>
      </c>
      <c r="K1301" t="str">
        <f>_xlfn.XLOOKUP(frasest[[#This Row],[autor_es]],autorest[autor_es],autorest[idioma_es])</f>
        <v>Chino</v>
      </c>
      <c r="L1301" t="str">
        <f>_xlfn.XLOOKUP(frasest[[#This Row],[autor_es]],autorest[autor_es],autorest[idioma_la])</f>
        <v>Lingua Sinica</v>
      </c>
      <c r="M1301" t="str">
        <f>_xlfn.XLOOKUP(frasest[[#This Row],[autor_es]],autorest[autor_es],autorest[nacion_es])</f>
        <v>China</v>
      </c>
      <c r="N1301" t="str">
        <f>_xlfn.XLOOKUP(frasest[[#This Row],[autor_es]],autorest[autor_es],autorest[nacion_la])</f>
        <v>Sinae</v>
      </c>
      <c r="O1301" t="str">
        <f>_xlfn.XLOOKUP(frasest[[#This Row],[autor_es]],autorest[autor_es],autorest[epoca_es])</f>
        <v>Epoca Desconocida</v>
      </c>
      <c r="P1301" t="str">
        <f>_xlfn.XLOOKUP(frasest[[#This Row],[autor_es]],autorest[autor_es],autorest[epoca_la])</f>
        <v>Epocha Ignota</v>
      </c>
      <c r="Q1301" t="str">
        <f>_xlfn.XLOOKUP(frasest[[#This Row],[autor_es]],autorest[autor_es],autorest[imagen])</f>
        <v>https://i.ibb.co/qLfpZm6h/china.png</v>
      </c>
      <c r="R1301">
        <f>_xlfn.XLOOKUP(frasest[[#This Row],[autor_es]],autorest[autor_es],autorest[imagen_atr])</f>
        <v>0</v>
      </c>
    </row>
    <row r="1302" spans="1:18">
      <c r="A1302">
        <v>1301</v>
      </c>
      <c r="B1302" t="s">
        <v>4017</v>
      </c>
      <c r="C1302" t="s">
        <v>4018</v>
      </c>
      <c r="D1302" s="1" t="s">
        <v>4019</v>
      </c>
      <c r="E1302" t="s">
        <v>36</v>
      </c>
      <c r="G1302" t="str">
        <f>_xlfn.XLOOKUP(frasest[[#This Row],[autor_es]],autorest[autor_es],autorest[autor_la])</f>
        <v>Proverbium Sinense</v>
      </c>
      <c r="H1302" t="str">
        <f>_xlfn.XLOOKUP(frasest[[#This Row],[autor_es]],autorest[autor_es],autorest[bio_es])</f>
        <v>Conjunto de proverbios tradicionales de la cultura china que transmiten sabiduría popular, valores morales y enseñanzas prácticas transmitidas oralmente durante siglos.</v>
      </c>
      <c r="I1302" t="str">
        <f>_xlfn.XLOOKUP(frasest[[#This Row],[autor_es]],autorest[autor_es],autorest[bio_la])</f>
        <v>Collectio sententiarum Sinensium, magnopere in cultura tradita.</v>
      </c>
      <c r="J1302" t="str">
        <f>_xlfn.XLOOKUP(frasest[[#This Row],[autor_es]],autorest[autor_es],autorest[codigo])</f>
        <v>zh</v>
      </c>
      <c r="K1302" t="str">
        <f>_xlfn.XLOOKUP(frasest[[#This Row],[autor_es]],autorest[autor_es],autorest[idioma_es])</f>
        <v>Chino</v>
      </c>
      <c r="L1302" t="str">
        <f>_xlfn.XLOOKUP(frasest[[#This Row],[autor_es]],autorest[autor_es],autorest[idioma_la])</f>
        <v>Lingua Sinica</v>
      </c>
      <c r="M1302" t="str">
        <f>_xlfn.XLOOKUP(frasest[[#This Row],[autor_es]],autorest[autor_es],autorest[nacion_es])</f>
        <v>China</v>
      </c>
      <c r="N1302" t="str">
        <f>_xlfn.XLOOKUP(frasest[[#This Row],[autor_es]],autorest[autor_es],autorest[nacion_la])</f>
        <v>Sinae</v>
      </c>
      <c r="O1302" t="str">
        <f>_xlfn.XLOOKUP(frasest[[#This Row],[autor_es]],autorest[autor_es],autorest[epoca_es])</f>
        <v>Epoca Desconocida</v>
      </c>
      <c r="P1302" t="str">
        <f>_xlfn.XLOOKUP(frasest[[#This Row],[autor_es]],autorest[autor_es],autorest[epoca_la])</f>
        <v>Epocha Ignota</v>
      </c>
      <c r="Q1302" t="str">
        <f>_xlfn.XLOOKUP(frasest[[#This Row],[autor_es]],autorest[autor_es],autorest[imagen])</f>
        <v>https://i.ibb.co/qLfpZm6h/china.png</v>
      </c>
      <c r="R1302">
        <f>_xlfn.XLOOKUP(frasest[[#This Row],[autor_es]],autorest[autor_es],autorest[imagen_atr])</f>
        <v>0</v>
      </c>
    </row>
    <row r="1303" spans="1:18">
      <c r="A1303">
        <v>1302</v>
      </c>
      <c r="B1303" t="s">
        <v>4020</v>
      </c>
      <c r="C1303" t="s">
        <v>4021</v>
      </c>
      <c r="D1303" s="1" t="s">
        <v>4022</v>
      </c>
      <c r="E1303" t="s">
        <v>36</v>
      </c>
      <c r="G1303" t="str">
        <f>_xlfn.XLOOKUP(frasest[[#This Row],[autor_es]],autorest[autor_es],autorest[autor_la])</f>
        <v>Proverbium Sinense</v>
      </c>
      <c r="H1303" t="str">
        <f>_xlfn.XLOOKUP(frasest[[#This Row],[autor_es]],autorest[autor_es],autorest[bio_es])</f>
        <v>Conjunto de proverbios tradicionales de la cultura china que transmiten sabiduría popular, valores morales y enseñanzas prácticas transmitidas oralmente durante siglos.</v>
      </c>
      <c r="I1303" t="str">
        <f>_xlfn.XLOOKUP(frasest[[#This Row],[autor_es]],autorest[autor_es],autorest[bio_la])</f>
        <v>Collectio sententiarum Sinensium, magnopere in cultura tradita.</v>
      </c>
      <c r="J1303" t="str">
        <f>_xlfn.XLOOKUP(frasest[[#This Row],[autor_es]],autorest[autor_es],autorest[codigo])</f>
        <v>zh</v>
      </c>
      <c r="K1303" t="str">
        <f>_xlfn.XLOOKUP(frasest[[#This Row],[autor_es]],autorest[autor_es],autorest[idioma_es])</f>
        <v>Chino</v>
      </c>
      <c r="L1303" t="str">
        <f>_xlfn.XLOOKUP(frasest[[#This Row],[autor_es]],autorest[autor_es],autorest[idioma_la])</f>
        <v>Lingua Sinica</v>
      </c>
      <c r="M1303" t="str">
        <f>_xlfn.XLOOKUP(frasest[[#This Row],[autor_es]],autorest[autor_es],autorest[nacion_es])</f>
        <v>China</v>
      </c>
      <c r="N1303" t="str">
        <f>_xlfn.XLOOKUP(frasest[[#This Row],[autor_es]],autorest[autor_es],autorest[nacion_la])</f>
        <v>Sinae</v>
      </c>
      <c r="O1303" t="str">
        <f>_xlfn.XLOOKUP(frasest[[#This Row],[autor_es]],autorest[autor_es],autorest[epoca_es])</f>
        <v>Epoca Desconocida</v>
      </c>
      <c r="P1303" t="str">
        <f>_xlfn.XLOOKUP(frasest[[#This Row],[autor_es]],autorest[autor_es],autorest[epoca_la])</f>
        <v>Epocha Ignota</v>
      </c>
      <c r="Q1303" t="str">
        <f>_xlfn.XLOOKUP(frasest[[#This Row],[autor_es]],autorest[autor_es],autorest[imagen])</f>
        <v>https://i.ibb.co/qLfpZm6h/china.png</v>
      </c>
      <c r="R1303">
        <f>_xlfn.XLOOKUP(frasest[[#This Row],[autor_es]],autorest[autor_es],autorest[imagen_atr])</f>
        <v>0</v>
      </c>
    </row>
    <row r="1304" spans="1:18">
      <c r="A1304">
        <v>1303</v>
      </c>
      <c r="B1304" t="s">
        <v>4023</v>
      </c>
      <c r="C1304" t="s">
        <v>4024</v>
      </c>
      <c r="D1304" s="1" t="s">
        <v>4025</v>
      </c>
      <c r="E1304" t="s">
        <v>36</v>
      </c>
      <c r="G1304" t="str">
        <f>_xlfn.XLOOKUP(frasest[[#This Row],[autor_es]],autorest[autor_es],autorest[autor_la])</f>
        <v>Proverbium Sinense</v>
      </c>
      <c r="H1304" t="str">
        <f>_xlfn.XLOOKUP(frasest[[#This Row],[autor_es]],autorest[autor_es],autorest[bio_es])</f>
        <v>Conjunto de proverbios tradicionales de la cultura china que transmiten sabiduría popular, valores morales y enseñanzas prácticas transmitidas oralmente durante siglos.</v>
      </c>
      <c r="I1304" t="str">
        <f>_xlfn.XLOOKUP(frasest[[#This Row],[autor_es]],autorest[autor_es],autorest[bio_la])</f>
        <v>Collectio sententiarum Sinensium, magnopere in cultura tradita.</v>
      </c>
      <c r="J1304" t="str">
        <f>_xlfn.XLOOKUP(frasest[[#This Row],[autor_es]],autorest[autor_es],autorest[codigo])</f>
        <v>zh</v>
      </c>
      <c r="K1304" t="str">
        <f>_xlfn.XLOOKUP(frasest[[#This Row],[autor_es]],autorest[autor_es],autorest[idioma_es])</f>
        <v>Chino</v>
      </c>
      <c r="L1304" t="str">
        <f>_xlfn.XLOOKUP(frasest[[#This Row],[autor_es]],autorest[autor_es],autorest[idioma_la])</f>
        <v>Lingua Sinica</v>
      </c>
      <c r="M1304" t="str">
        <f>_xlfn.XLOOKUP(frasest[[#This Row],[autor_es]],autorest[autor_es],autorest[nacion_es])</f>
        <v>China</v>
      </c>
      <c r="N1304" t="str">
        <f>_xlfn.XLOOKUP(frasest[[#This Row],[autor_es]],autorest[autor_es],autorest[nacion_la])</f>
        <v>Sinae</v>
      </c>
      <c r="O1304" t="str">
        <f>_xlfn.XLOOKUP(frasest[[#This Row],[autor_es]],autorest[autor_es],autorest[epoca_es])</f>
        <v>Epoca Desconocida</v>
      </c>
      <c r="P1304" t="str">
        <f>_xlfn.XLOOKUP(frasest[[#This Row],[autor_es]],autorest[autor_es],autorest[epoca_la])</f>
        <v>Epocha Ignota</v>
      </c>
      <c r="Q1304" t="str">
        <f>_xlfn.XLOOKUP(frasest[[#This Row],[autor_es]],autorest[autor_es],autorest[imagen])</f>
        <v>https://i.ibb.co/qLfpZm6h/china.png</v>
      </c>
      <c r="R1304">
        <f>_xlfn.XLOOKUP(frasest[[#This Row],[autor_es]],autorest[autor_es],autorest[imagen_atr])</f>
        <v>0</v>
      </c>
    </row>
    <row r="1305" spans="1:18">
      <c r="A1305">
        <v>1304</v>
      </c>
      <c r="B1305" t="s">
        <v>4026</v>
      </c>
      <c r="C1305" t="s">
        <v>4027</v>
      </c>
      <c r="D1305" s="1" t="s">
        <v>3555</v>
      </c>
      <c r="E1305" t="s">
        <v>36</v>
      </c>
      <c r="G1305" t="str">
        <f>_xlfn.XLOOKUP(frasest[[#This Row],[autor_es]],autorest[autor_es],autorest[autor_la])</f>
        <v>Proverbium Sinense</v>
      </c>
      <c r="H1305" t="str">
        <f>_xlfn.XLOOKUP(frasest[[#This Row],[autor_es]],autorest[autor_es],autorest[bio_es])</f>
        <v>Conjunto de proverbios tradicionales de la cultura china que transmiten sabiduría popular, valores morales y enseñanzas prácticas transmitidas oralmente durante siglos.</v>
      </c>
      <c r="I1305" t="str">
        <f>_xlfn.XLOOKUP(frasest[[#This Row],[autor_es]],autorest[autor_es],autorest[bio_la])</f>
        <v>Collectio sententiarum Sinensium, magnopere in cultura tradita.</v>
      </c>
      <c r="J1305" t="str">
        <f>_xlfn.XLOOKUP(frasest[[#This Row],[autor_es]],autorest[autor_es],autorest[codigo])</f>
        <v>zh</v>
      </c>
      <c r="K1305" t="str">
        <f>_xlfn.XLOOKUP(frasest[[#This Row],[autor_es]],autorest[autor_es],autorest[idioma_es])</f>
        <v>Chino</v>
      </c>
      <c r="L1305" t="str">
        <f>_xlfn.XLOOKUP(frasest[[#This Row],[autor_es]],autorest[autor_es],autorest[idioma_la])</f>
        <v>Lingua Sinica</v>
      </c>
      <c r="M1305" t="str">
        <f>_xlfn.XLOOKUP(frasest[[#This Row],[autor_es]],autorest[autor_es],autorest[nacion_es])</f>
        <v>China</v>
      </c>
      <c r="N1305" t="str">
        <f>_xlfn.XLOOKUP(frasest[[#This Row],[autor_es]],autorest[autor_es],autorest[nacion_la])</f>
        <v>Sinae</v>
      </c>
      <c r="O1305" t="str">
        <f>_xlfn.XLOOKUP(frasest[[#This Row],[autor_es]],autorest[autor_es],autorest[epoca_es])</f>
        <v>Epoca Desconocida</v>
      </c>
      <c r="P1305" t="str">
        <f>_xlfn.XLOOKUP(frasest[[#This Row],[autor_es]],autorest[autor_es],autorest[epoca_la])</f>
        <v>Epocha Ignota</v>
      </c>
      <c r="Q1305" t="str">
        <f>_xlfn.XLOOKUP(frasest[[#This Row],[autor_es]],autorest[autor_es],autorest[imagen])</f>
        <v>https://i.ibb.co/qLfpZm6h/china.png</v>
      </c>
      <c r="R1305">
        <f>_xlfn.XLOOKUP(frasest[[#This Row],[autor_es]],autorest[autor_es],autorest[imagen_atr])</f>
        <v>0</v>
      </c>
    </row>
    <row r="1306" spans="1:18">
      <c r="A1306">
        <v>1305</v>
      </c>
      <c r="B1306" t="s">
        <v>4028</v>
      </c>
      <c r="C1306" t="s">
        <v>4029</v>
      </c>
      <c r="D1306" s="1" t="s">
        <v>4030</v>
      </c>
      <c r="E1306" t="s">
        <v>36</v>
      </c>
      <c r="G1306" t="str">
        <f>_xlfn.XLOOKUP(frasest[[#This Row],[autor_es]],autorest[autor_es],autorest[autor_la])</f>
        <v>Proverbium Sinense</v>
      </c>
      <c r="H1306" t="str">
        <f>_xlfn.XLOOKUP(frasest[[#This Row],[autor_es]],autorest[autor_es],autorest[bio_es])</f>
        <v>Conjunto de proverbios tradicionales de la cultura china que transmiten sabiduría popular, valores morales y enseñanzas prácticas transmitidas oralmente durante siglos.</v>
      </c>
      <c r="I1306" t="str">
        <f>_xlfn.XLOOKUP(frasest[[#This Row],[autor_es]],autorest[autor_es],autorest[bio_la])</f>
        <v>Collectio sententiarum Sinensium, magnopere in cultura tradita.</v>
      </c>
      <c r="J1306" t="str">
        <f>_xlfn.XLOOKUP(frasest[[#This Row],[autor_es]],autorest[autor_es],autorest[codigo])</f>
        <v>zh</v>
      </c>
      <c r="K1306" t="str">
        <f>_xlfn.XLOOKUP(frasest[[#This Row],[autor_es]],autorest[autor_es],autorest[idioma_es])</f>
        <v>Chino</v>
      </c>
      <c r="L1306" t="str">
        <f>_xlfn.XLOOKUP(frasest[[#This Row],[autor_es]],autorest[autor_es],autorest[idioma_la])</f>
        <v>Lingua Sinica</v>
      </c>
      <c r="M1306" t="str">
        <f>_xlfn.XLOOKUP(frasest[[#This Row],[autor_es]],autorest[autor_es],autorest[nacion_es])</f>
        <v>China</v>
      </c>
      <c r="N1306" t="str">
        <f>_xlfn.XLOOKUP(frasest[[#This Row],[autor_es]],autorest[autor_es],autorest[nacion_la])</f>
        <v>Sinae</v>
      </c>
      <c r="O1306" t="str">
        <f>_xlfn.XLOOKUP(frasest[[#This Row],[autor_es]],autorest[autor_es],autorest[epoca_es])</f>
        <v>Epoca Desconocida</v>
      </c>
      <c r="P1306" t="str">
        <f>_xlfn.XLOOKUP(frasest[[#This Row],[autor_es]],autorest[autor_es],autorest[epoca_la])</f>
        <v>Epocha Ignota</v>
      </c>
      <c r="Q1306" t="str">
        <f>_xlfn.XLOOKUP(frasest[[#This Row],[autor_es]],autorest[autor_es],autorest[imagen])</f>
        <v>https://i.ibb.co/qLfpZm6h/china.png</v>
      </c>
      <c r="R1306">
        <f>_xlfn.XLOOKUP(frasest[[#This Row],[autor_es]],autorest[autor_es],autorest[imagen_atr])</f>
        <v>0</v>
      </c>
    </row>
    <row r="1307" spans="1:18">
      <c r="A1307">
        <v>1306</v>
      </c>
      <c r="B1307" t="s">
        <v>4031</v>
      </c>
      <c r="C1307" t="s">
        <v>4032</v>
      </c>
      <c r="D1307" s="1" t="s">
        <v>4033</v>
      </c>
      <c r="E1307" t="s">
        <v>36</v>
      </c>
      <c r="G1307" t="str">
        <f>_xlfn.XLOOKUP(frasest[[#This Row],[autor_es]],autorest[autor_es],autorest[autor_la])</f>
        <v>Proverbium Sinense</v>
      </c>
      <c r="H1307" t="str">
        <f>_xlfn.XLOOKUP(frasest[[#This Row],[autor_es]],autorest[autor_es],autorest[bio_es])</f>
        <v>Conjunto de proverbios tradicionales de la cultura china que transmiten sabiduría popular, valores morales y enseñanzas prácticas transmitidas oralmente durante siglos.</v>
      </c>
      <c r="I1307" t="str">
        <f>_xlfn.XLOOKUP(frasest[[#This Row],[autor_es]],autorest[autor_es],autorest[bio_la])</f>
        <v>Collectio sententiarum Sinensium, magnopere in cultura tradita.</v>
      </c>
      <c r="J1307" t="str">
        <f>_xlfn.XLOOKUP(frasest[[#This Row],[autor_es]],autorest[autor_es],autorest[codigo])</f>
        <v>zh</v>
      </c>
      <c r="K1307" t="str">
        <f>_xlfn.XLOOKUP(frasest[[#This Row],[autor_es]],autorest[autor_es],autorest[idioma_es])</f>
        <v>Chino</v>
      </c>
      <c r="L1307" t="str">
        <f>_xlfn.XLOOKUP(frasest[[#This Row],[autor_es]],autorest[autor_es],autorest[idioma_la])</f>
        <v>Lingua Sinica</v>
      </c>
      <c r="M1307" t="str">
        <f>_xlfn.XLOOKUP(frasest[[#This Row],[autor_es]],autorest[autor_es],autorest[nacion_es])</f>
        <v>China</v>
      </c>
      <c r="N1307" t="str">
        <f>_xlfn.XLOOKUP(frasest[[#This Row],[autor_es]],autorest[autor_es],autorest[nacion_la])</f>
        <v>Sinae</v>
      </c>
      <c r="O1307" t="str">
        <f>_xlfn.XLOOKUP(frasest[[#This Row],[autor_es]],autorest[autor_es],autorest[epoca_es])</f>
        <v>Epoca Desconocida</v>
      </c>
      <c r="P1307" t="str">
        <f>_xlfn.XLOOKUP(frasest[[#This Row],[autor_es]],autorest[autor_es],autorest[epoca_la])</f>
        <v>Epocha Ignota</v>
      </c>
      <c r="Q1307" t="str">
        <f>_xlfn.XLOOKUP(frasest[[#This Row],[autor_es]],autorest[autor_es],autorest[imagen])</f>
        <v>https://i.ibb.co/qLfpZm6h/china.png</v>
      </c>
      <c r="R1307">
        <f>_xlfn.XLOOKUP(frasest[[#This Row],[autor_es]],autorest[autor_es],autorest[imagen_atr])</f>
        <v>0</v>
      </c>
    </row>
    <row r="1308" spans="1:18">
      <c r="A1308">
        <v>1307</v>
      </c>
      <c r="B1308" t="s">
        <v>130</v>
      </c>
      <c r="C1308" t="s">
        <v>4034</v>
      </c>
      <c r="D1308" s="1" t="s">
        <v>4035</v>
      </c>
      <c r="E1308" t="s">
        <v>36</v>
      </c>
      <c r="G1308" t="str">
        <f>_xlfn.XLOOKUP(frasest[[#This Row],[autor_es]],autorest[autor_es],autorest[autor_la])</f>
        <v>Proverbium Sinense</v>
      </c>
      <c r="H1308" t="str">
        <f>_xlfn.XLOOKUP(frasest[[#This Row],[autor_es]],autorest[autor_es],autorest[bio_es])</f>
        <v>Conjunto de proverbios tradicionales de la cultura china que transmiten sabiduría popular, valores morales y enseñanzas prácticas transmitidas oralmente durante siglos.</v>
      </c>
      <c r="I1308" t="str">
        <f>_xlfn.XLOOKUP(frasest[[#This Row],[autor_es]],autorest[autor_es],autorest[bio_la])</f>
        <v>Collectio sententiarum Sinensium, magnopere in cultura tradita.</v>
      </c>
      <c r="J1308" t="str">
        <f>_xlfn.XLOOKUP(frasest[[#This Row],[autor_es]],autorest[autor_es],autorest[codigo])</f>
        <v>zh</v>
      </c>
      <c r="K1308" t="str">
        <f>_xlfn.XLOOKUP(frasest[[#This Row],[autor_es]],autorest[autor_es],autorest[idioma_es])</f>
        <v>Chino</v>
      </c>
      <c r="L1308" t="str">
        <f>_xlfn.XLOOKUP(frasest[[#This Row],[autor_es]],autorest[autor_es],autorest[idioma_la])</f>
        <v>Lingua Sinica</v>
      </c>
      <c r="M1308" t="str">
        <f>_xlfn.XLOOKUP(frasest[[#This Row],[autor_es]],autorest[autor_es],autorest[nacion_es])</f>
        <v>China</v>
      </c>
      <c r="N1308" t="str">
        <f>_xlfn.XLOOKUP(frasest[[#This Row],[autor_es]],autorest[autor_es],autorest[nacion_la])</f>
        <v>Sinae</v>
      </c>
      <c r="O1308" t="str">
        <f>_xlfn.XLOOKUP(frasest[[#This Row],[autor_es]],autorest[autor_es],autorest[epoca_es])</f>
        <v>Epoca Desconocida</v>
      </c>
      <c r="P1308" t="str">
        <f>_xlfn.XLOOKUP(frasest[[#This Row],[autor_es]],autorest[autor_es],autorest[epoca_la])</f>
        <v>Epocha Ignota</v>
      </c>
      <c r="Q1308" t="str">
        <f>_xlfn.XLOOKUP(frasest[[#This Row],[autor_es]],autorest[autor_es],autorest[imagen])</f>
        <v>https://i.ibb.co/qLfpZm6h/china.png</v>
      </c>
      <c r="R1308">
        <f>_xlfn.XLOOKUP(frasest[[#This Row],[autor_es]],autorest[autor_es],autorest[imagen_atr])</f>
        <v>0</v>
      </c>
    </row>
    <row r="1309" spans="1:18">
      <c r="A1309">
        <v>1308</v>
      </c>
      <c r="B1309" t="s">
        <v>4036</v>
      </c>
      <c r="C1309" t="s">
        <v>4037</v>
      </c>
      <c r="D1309" s="1" t="s">
        <v>3793</v>
      </c>
      <c r="E1309" t="s">
        <v>36</v>
      </c>
      <c r="G1309" t="str">
        <f>_xlfn.XLOOKUP(frasest[[#This Row],[autor_es]],autorest[autor_es],autorest[autor_la])</f>
        <v>Proverbium Sinense</v>
      </c>
      <c r="H1309" t="str">
        <f>_xlfn.XLOOKUP(frasest[[#This Row],[autor_es]],autorest[autor_es],autorest[bio_es])</f>
        <v>Conjunto de proverbios tradicionales de la cultura china que transmiten sabiduría popular, valores morales y enseñanzas prácticas transmitidas oralmente durante siglos.</v>
      </c>
      <c r="I1309" t="str">
        <f>_xlfn.XLOOKUP(frasest[[#This Row],[autor_es]],autorest[autor_es],autorest[bio_la])</f>
        <v>Collectio sententiarum Sinensium, magnopere in cultura tradita.</v>
      </c>
      <c r="J1309" t="str">
        <f>_xlfn.XLOOKUP(frasest[[#This Row],[autor_es]],autorest[autor_es],autorest[codigo])</f>
        <v>zh</v>
      </c>
      <c r="K1309" t="str">
        <f>_xlfn.XLOOKUP(frasest[[#This Row],[autor_es]],autorest[autor_es],autorest[idioma_es])</f>
        <v>Chino</v>
      </c>
      <c r="L1309" t="str">
        <f>_xlfn.XLOOKUP(frasest[[#This Row],[autor_es]],autorest[autor_es],autorest[idioma_la])</f>
        <v>Lingua Sinica</v>
      </c>
      <c r="M1309" t="str">
        <f>_xlfn.XLOOKUP(frasest[[#This Row],[autor_es]],autorest[autor_es],autorest[nacion_es])</f>
        <v>China</v>
      </c>
      <c r="N1309" t="str">
        <f>_xlfn.XLOOKUP(frasest[[#This Row],[autor_es]],autorest[autor_es],autorest[nacion_la])</f>
        <v>Sinae</v>
      </c>
      <c r="O1309" t="str">
        <f>_xlfn.XLOOKUP(frasest[[#This Row],[autor_es]],autorest[autor_es],autorest[epoca_es])</f>
        <v>Epoca Desconocida</v>
      </c>
      <c r="P1309" t="str">
        <f>_xlfn.XLOOKUP(frasest[[#This Row],[autor_es]],autorest[autor_es],autorest[epoca_la])</f>
        <v>Epocha Ignota</v>
      </c>
      <c r="Q1309" t="str">
        <f>_xlfn.XLOOKUP(frasest[[#This Row],[autor_es]],autorest[autor_es],autorest[imagen])</f>
        <v>https://i.ibb.co/qLfpZm6h/china.png</v>
      </c>
      <c r="R1309">
        <f>_xlfn.XLOOKUP(frasest[[#This Row],[autor_es]],autorest[autor_es],autorest[imagen_atr])</f>
        <v>0</v>
      </c>
    </row>
    <row r="1310" spans="1:18">
      <c r="A1310">
        <v>1309</v>
      </c>
      <c r="B1310" t="s">
        <v>4038</v>
      </c>
      <c r="C1310" t="s">
        <v>4039</v>
      </c>
      <c r="D1310" s="1" t="s">
        <v>4040</v>
      </c>
      <c r="E1310" t="s">
        <v>36</v>
      </c>
      <c r="G1310" t="str">
        <f>_xlfn.XLOOKUP(frasest[[#This Row],[autor_es]],autorest[autor_es],autorest[autor_la])</f>
        <v>Proverbium Sinense</v>
      </c>
      <c r="H1310" t="str">
        <f>_xlfn.XLOOKUP(frasest[[#This Row],[autor_es]],autorest[autor_es],autorest[bio_es])</f>
        <v>Conjunto de proverbios tradicionales de la cultura china que transmiten sabiduría popular, valores morales y enseñanzas prácticas transmitidas oralmente durante siglos.</v>
      </c>
      <c r="I1310" t="str">
        <f>_xlfn.XLOOKUP(frasest[[#This Row],[autor_es]],autorest[autor_es],autorest[bio_la])</f>
        <v>Collectio sententiarum Sinensium, magnopere in cultura tradita.</v>
      </c>
      <c r="J1310" t="str">
        <f>_xlfn.XLOOKUP(frasest[[#This Row],[autor_es]],autorest[autor_es],autorest[codigo])</f>
        <v>zh</v>
      </c>
      <c r="K1310" t="str">
        <f>_xlfn.XLOOKUP(frasest[[#This Row],[autor_es]],autorest[autor_es],autorest[idioma_es])</f>
        <v>Chino</v>
      </c>
      <c r="L1310" t="str">
        <f>_xlfn.XLOOKUP(frasest[[#This Row],[autor_es]],autorest[autor_es],autorest[idioma_la])</f>
        <v>Lingua Sinica</v>
      </c>
      <c r="M1310" t="str">
        <f>_xlfn.XLOOKUP(frasest[[#This Row],[autor_es]],autorest[autor_es],autorest[nacion_es])</f>
        <v>China</v>
      </c>
      <c r="N1310" t="str">
        <f>_xlfn.XLOOKUP(frasest[[#This Row],[autor_es]],autorest[autor_es],autorest[nacion_la])</f>
        <v>Sinae</v>
      </c>
      <c r="O1310" t="str">
        <f>_xlfn.XLOOKUP(frasest[[#This Row],[autor_es]],autorest[autor_es],autorest[epoca_es])</f>
        <v>Epoca Desconocida</v>
      </c>
      <c r="P1310" t="str">
        <f>_xlfn.XLOOKUP(frasest[[#This Row],[autor_es]],autorest[autor_es],autorest[epoca_la])</f>
        <v>Epocha Ignota</v>
      </c>
      <c r="Q1310" t="str">
        <f>_xlfn.XLOOKUP(frasest[[#This Row],[autor_es]],autorest[autor_es],autorest[imagen])</f>
        <v>https://i.ibb.co/qLfpZm6h/china.png</v>
      </c>
      <c r="R1310">
        <f>_xlfn.XLOOKUP(frasest[[#This Row],[autor_es]],autorest[autor_es],autorest[imagen_atr])</f>
        <v>0</v>
      </c>
    </row>
    <row r="1311" spans="1:18">
      <c r="A1311">
        <v>1310</v>
      </c>
      <c r="B1311" t="s">
        <v>4041</v>
      </c>
      <c r="C1311" t="s">
        <v>4042</v>
      </c>
      <c r="D1311" s="1" t="s">
        <v>4043</v>
      </c>
      <c r="E1311" t="s">
        <v>36</v>
      </c>
      <c r="G1311" t="str">
        <f>_xlfn.XLOOKUP(frasest[[#This Row],[autor_es]],autorest[autor_es],autorest[autor_la])</f>
        <v>Proverbium Sinense</v>
      </c>
      <c r="H1311" t="str">
        <f>_xlfn.XLOOKUP(frasest[[#This Row],[autor_es]],autorest[autor_es],autorest[bio_es])</f>
        <v>Conjunto de proverbios tradicionales de la cultura china que transmiten sabiduría popular, valores morales y enseñanzas prácticas transmitidas oralmente durante siglos.</v>
      </c>
      <c r="I1311" t="str">
        <f>_xlfn.XLOOKUP(frasest[[#This Row],[autor_es]],autorest[autor_es],autorest[bio_la])</f>
        <v>Collectio sententiarum Sinensium, magnopere in cultura tradita.</v>
      </c>
      <c r="J1311" t="str">
        <f>_xlfn.XLOOKUP(frasest[[#This Row],[autor_es]],autorest[autor_es],autorest[codigo])</f>
        <v>zh</v>
      </c>
      <c r="K1311" t="str">
        <f>_xlfn.XLOOKUP(frasest[[#This Row],[autor_es]],autorest[autor_es],autorest[idioma_es])</f>
        <v>Chino</v>
      </c>
      <c r="L1311" t="str">
        <f>_xlfn.XLOOKUP(frasest[[#This Row],[autor_es]],autorest[autor_es],autorest[idioma_la])</f>
        <v>Lingua Sinica</v>
      </c>
      <c r="M1311" t="str">
        <f>_xlfn.XLOOKUP(frasest[[#This Row],[autor_es]],autorest[autor_es],autorest[nacion_es])</f>
        <v>China</v>
      </c>
      <c r="N1311" t="str">
        <f>_xlfn.XLOOKUP(frasest[[#This Row],[autor_es]],autorest[autor_es],autorest[nacion_la])</f>
        <v>Sinae</v>
      </c>
      <c r="O1311" t="str">
        <f>_xlfn.XLOOKUP(frasest[[#This Row],[autor_es]],autorest[autor_es],autorest[epoca_es])</f>
        <v>Epoca Desconocida</v>
      </c>
      <c r="P1311" t="str">
        <f>_xlfn.XLOOKUP(frasest[[#This Row],[autor_es]],autorest[autor_es],autorest[epoca_la])</f>
        <v>Epocha Ignota</v>
      </c>
      <c r="Q1311" t="str">
        <f>_xlfn.XLOOKUP(frasest[[#This Row],[autor_es]],autorest[autor_es],autorest[imagen])</f>
        <v>https://i.ibb.co/qLfpZm6h/china.png</v>
      </c>
      <c r="R1311">
        <f>_xlfn.XLOOKUP(frasest[[#This Row],[autor_es]],autorest[autor_es],autorest[imagen_atr])</f>
        <v>0</v>
      </c>
    </row>
    <row r="1312" spans="1:18">
      <c r="A1312">
        <v>1311</v>
      </c>
      <c r="B1312" t="s">
        <v>4044</v>
      </c>
      <c r="C1312" t="s">
        <v>4045</v>
      </c>
      <c r="D1312" s="1" t="s">
        <v>3415</v>
      </c>
      <c r="E1312" t="s">
        <v>36</v>
      </c>
      <c r="G1312" t="str">
        <f>_xlfn.XLOOKUP(frasest[[#This Row],[autor_es]],autorest[autor_es],autorest[autor_la])</f>
        <v>Proverbium Sinense</v>
      </c>
      <c r="H1312" t="str">
        <f>_xlfn.XLOOKUP(frasest[[#This Row],[autor_es]],autorest[autor_es],autorest[bio_es])</f>
        <v>Conjunto de proverbios tradicionales de la cultura china que transmiten sabiduría popular, valores morales y enseñanzas prácticas transmitidas oralmente durante siglos.</v>
      </c>
      <c r="I1312" t="str">
        <f>_xlfn.XLOOKUP(frasest[[#This Row],[autor_es]],autorest[autor_es],autorest[bio_la])</f>
        <v>Collectio sententiarum Sinensium, magnopere in cultura tradita.</v>
      </c>
      <c r="J1312" t="str">
        <f>_xlfn.XLOOKUP(frasest[[#This Row],[autor_es]],autorest[autor_es],autorest[codigo])</f>
        <v>zh</v>
      </c>
      <c r="K1312" t="str">
        <f>_xlfn.XLOOKUP(frasest[[#This Row],[autor_es]],autorest[autor_es],autorest[idioma_es])</f>
        <v>Chino</v>
      </c>
      <c r="L1312" t="str">
        <f>_xlfn.XLOOKUP(frasest[[#This Row],[autor_es]],autorest[autor_es],autorest[idioma_la])</f>
        <v>Lingua Sinica</v>
      </c>
      <c r="M1312" t="str">
        <f>_xlfn.XLOOKUP(frasest[[#This Row],[autor_es]],autorest[autor_es],autorest[nacion_es])</f>
        <v>China</v>
      </c>
      <c r="N1312" t="str">
        <f>_xlfn.XLOOKUP(frasest[[#This Row],[autor_es]],autorest[autor_es],autorest[nacion_la])</f>
        <v>Sinae</v>
      </c>
      <c r="O1312" t="str">
        <f>_xlfn.XLOOKUP(frasest[[#This Row],[autor_es]],autorest[autor_es],autorest[epoca_es])</f>
        <v>Epoca Desconocida</v>
      </c>
      <c r="P1312" t="str">
        <f>_xlfn.XLOOKUP(frasest[[#This Row],[autor_es]],autorest[autor_es],autorest[epoca_la])</f>
        <v>Epocha Ignota</v>
      </c>
      <c r="Q1312" t="str">
        <f>_xlfn.XLOOKUP(frasest[[#This Row],[autor_es]],autorest[autor_es],autorest[imagen])</f>
        <v>https://i.ibb.co/qLfpZm6h/china.png</v>
      </c>
      <c r="R1312">
        <f>_xlfn.XLOOKUP(frasest[[#This Row],[autor_es]],autorest[autor_es],autorest[imagen_atr])</f>
        <v>0</v>
      </c>
    </row>
    <row r="1313" spans="1:18">
      <c r="A1313">
        <v>1312</v>
      </c>
      <c r="B1313" t="s">
        <v>4046</v>
      </c>
      <c r="C1313" t="s">
        <v>4047</v>
      </c>
      <c r="D1313" s="1" t="s">
        <v>4048</v>
      </c>
      <c r="E1313" t="s">
        <v>36</v>
      </c>
      <c r="G1313" t="str">
        <f>_xlfn.XLOOKUP(frasest[[#This Row],[autor_es]],autorest[autor_es],autorest[autor_la])</f>
        <v>Proverbium Sinense</v>
      </c>
      <c r="H1313" t="str">
        <f>_xlfn.XLOOKUP(frasest[[#This Row],[autor_es]],autorest[autor_es],autorest[bio_es])</f>
        <v>Conjunto de proverbios tradicionales de la cultura china que transmiten sabiduría popular, valores morales y enseñanzas prácticas transmitidas oralmente durante siglos.</v>
      </c>
      <c r="I1313" t="str">
        <f>_xlfn.XLOOKUP(frasest[[#This Row],[autor_es]],autorest[autor_es],autorest[bio_la])</f>
        <v>Collectio sententiarum Sinensium, magnopere in cultura tradita.</v>
      </c>
      <c r="J1313" t="str">
        <f>_xlfn.XLOOKUP(frasest[[#This Row],[autor_es]],autorest[autor_es],autorest[codigo])</f>
        <v>zh</v>
      </c>
      <c r="K1313" t="str">
        <f>_xlfn.XLOOKUP(frasest[[#This Row],[autor_es]],autorest[autor_es],autorest[idioma_es])</f>
        <v>Chino</v>
      </c>
      <c r="L1313" t="str">
        <f>_xlfn.XLOOKUP(frasest[[#This Row],[autor_es]],autorest[autor_es],autorest[idioma_la])</f>
        <v>Lingua Sinica</v>
      </c>
      <c r="M1313" t="str">
        <f>_xlfn.XLOOKUP(frasest[[#This Row],[autor_es]],autorest[autor_es],autorest[nacion_es])</f>
        <v>China</v>
      </c>
      <c r="N1313" t="str">
        <f>_xlfn.XLOOKUP(frasest[[#This Row],[autor_es]],autorest[autor_es],autorest[nacion_la])</f>
        <v>Sinae</v>
      </c>
      <c r="O1313" t="str">
        <f>_xlfn.XLOOKUP(frasest[[#This Row],[autor_es]],autorest[autor_es],autorest[epoca_es])</f>
        <v>Epoca Desconocida</v>
      </c>
      <c r="P1313" t="str">
        <f>_xlfn.XLOOKUP(frasest[[#This Row],[autor_es]],autorest[autor_es],autorest[epoca_la])</f>
        <v>Epocha Ignota</v>
      </c>
      <c r="Q1313" t="str">
        <f>_xlfn.XLOOKUP(frasest[[#This Row],[autor_es]],autorest[autor_es],autorest[imagen])</f>
        <v>https://i.ibb.co/qLfpZm6h/china.png</v>
      </c>
      <c r="R1313">
        <f>_xlfn.XLOOKUP(frasest[[#This Row],[autor_es]],autorest[autor_es],autorest[imagen_atr])</f>
        <v>0</v>
      </c>
    </row>
    <row r="1314" spans="1:18">
      <c r="A1314">
        <v>1313</v>
      </c>
      <c r="B1314" t="s">
        <v>4049</v>
      </c>
      <c r="C1314" t="s">
        <v>4050</v>
      </c>
      <c r="D1314" s="1" t="s">
        <v>4051</v>
      </c>
      <c r="E1314" t="s">
        <v>36</v>
      </c>
      <c r="G1314" t="str">
        <f>_xlfn.XLOOKUP(frasest[[#This Row],[autor_es]],autorest[autor_es],autorest[autor_la])</f>
        <v>Proverbium Sinense</v>
      </c>
      <c r="H1314" t="str">
        <f>_xlfn.XLOOKUP(frasest[[#This Row],[autor_es]],autorest[autor_es],autorest[bio_es])</f>
        <v>Conjunto de proverbios tradicionales de la cultura china que transmiten sabiduría popular, valores morales y enseñanzas prácticas transmitidas oralmente durante siglos.</v>
      </c>
      <c r="I1314" t="str">
        <f>_xlfn.XLOOKUP(frasest[[#This Row],[autor_es]],autorest[autor_es],autorest[bio_la])</f>
        <v>Collectio sententiarum Sinensium, magnopere in cultura tradita.</v>
      </c>
      <c r="J1314" t="str">
        <f>_xlfn.XLOOKUP(frasest[[#This Row],[autor_es]],autorest[autor_es],autorest[codigo])</f>
        <v>zh</v>
      </c>
      <c r="K1314" t="str">
        <f>_xlfn.XLOOKUP(frasest[[#This Row],[autor_es]],autorest[autor_es],autorest[idioma_es])</f>
        <v>Chino</v>
      </c>
      <c r="L1314" t="str">
        <f>_xlfn.XLOOKUP(frasest[[#This Row],[autor_es]],autorest[autor_es],autorest[idioma_la])</f>
        <v>Lingua Sinica</v>
      </c>
      <c r="M1314" t="str">
        <f>_xlfn.XLOOKUP(frasest[[#This Row],[autor_es]],autorest[autor_es],autorest[nacion_es])</f>
        <v>China</v>
      </c>
      <c r="N1314" t="str">
        <f>_xlfn.XLOOKUP(frasest[[#This Row],[autor_es]],autorest[autor_es],autorest[nacion_la])</f>
        <v>Sinae</v>
      </c>
      <c r="O1314" t="str">
        <f>_xlfn.XLOOKUP(frasest[[#This Row],[autor_es]],autorest[autor_es],autorest[epoca_es])</f>
        <v>Epoca Desconocida</v>
      </c>
      <c r="P1314" t="str">
        <f>_xlfn.XLOOKUP(frasest[[#This Row],[autor_es]],autorest[autor_es],autorest[epoca_la])</f>
        <v>Epocha Ignota</v>
      </c>
      <c r="Q1314" t="str">
        <f>_xlfn.XLOOKUP(frasest[[#This Row],[autor_es]],autorest[autor_es],autorest[imagen])</f>
        <v>https://i.ibb.co/qLfpZm6h/china.png</v>
      </c>
      <c r="R1314">
        <f>_xlfn.XLOOKUP(frasest[[#This Row],[autor_es]],autorest[autor_es],autorest[imagen_atr])</f>
        <v>0</v>
      </c>
    </row>
    <row r="1315" spans="1:18">
      <c r="A1315">
        <v>1314</v>
      </c>
      <c r="B1315" t="s">
        <v>4052</v>
      </c>
      <c r="C1315" t="s">
        <v>4053</v>
      </c>
      <c r="D1315" s="1" t="s">
        <v>4054</v>
      </c>
      <c r="E1315" t="s">
        <v>36</v>
      </c>
      <c r="G1315" t="str">
        <f>_xlfn.XLOOKUP(frasest[[#This Row],[autor_es]],autorest[autor_es],autorest[autor_la])</f>
        <v>Proverbium Sinense</v>
      </c>
      <c r="H1315" t="str">
        <f>_xlfn.XLOOKUP(frasest[[#This Row],[autor_es]],autorest[autor_es],autorest[bio_es])</f>
        <v>Conjunto de proverbios tradicionales de la cultura china que transmiten sabiduría popular, valores morales y enseñanzas prácticas transmitidas oralmente durante siglos.</v>
      </c>
      <c r="I1315" t="str">
        <f>_xlfn.XLOOKUP(frasest[[#This Row],[autor_es]],autorest[autor_es],autorest[bio_la])</f>
        <v>Collectio sententiarum Sinensium, magnopere in cultura tradita.</v>
      </c>
      <c r="J1315" t="str">
        <f>_xlfn.XLOOKUP(frasest[[#This Row],[autor_es]],autorest[autor_es],autorest[codigo])</f>
        <v>zh</v>
      </c>
      <c r="K1315" t="str">
        <f>_xlfn.XLOOKUP(frasest[[#This Row],[autor_es]],autorest[autor_es],autorest[idioma_es])</f>
        <v>Chino</v>
      </c>
      <c r="L1315" t="str">
        <f>_xlfn.XLOOKUP(frasest[[#This Row],[autor_es]],autorest[autor_es],autorest[idioma_la])</f>
        <v>Lingua Sinica</v>
      </c>
      <c r="M1315" t="str">
        <f>_xlfn.XLOOKUP(frasest[[#This Row],[autor_es]],autorest[autor_es],autorest[nacion_es])</f>
        <v>China</v>
      </c>
      <c r="N1315" t="str">
        <f>_xlfn.XLOOKUP(frasest[[#This Row],[autor_es]],autorest[autor_es],autorest[nacion_la])</f>
        <v>Sinae</v>
      </c>
      <c r="O1315" t="str">
        <f>_xlfn.XLOOKUP(frasest[[#This Row],[autor_es]],autorest[autor_es],autorest[epoca_es])</f>
        <v>Epoca Desconocida</v>
      </c>
      <c r="P1315" t="str">
        <f>_xlfn.XLOOKUP(frasest[[#This Row],[autor_es]],autorest[autor_es],autorest[epoca_la])</f>
        <v>Epocha Ignota</v>
      </c>
      <c r="Q1315" t="str">
        <f>_xlfn.XLOOKUP(frasest[[#This Row],[autor_es]],autorest[autor_es],autorest[imagen])</f>
        <v>https://i.ibb.co/qLfpZm6h/china.png</v>
      </c>
      <c r="R1315">
        <f>_xlfn.XLOOKUP(frasest[[#This Row],[autor_es]],autorest[autor_es],autorest[imagen_atr])</f>
        <v>0</v>
      </c>
    </row>
    <row r="1316" spans="1:18">
      <c r="A1316">
        <v>1315</v>
      </c>
      <c r="B1316" t="s">
        <v>4055</v>
      </c>
      <c r="C1316" t="s">
        <v>4056</v>
      </c>
      <c r="D1316" s="1" t="s">
        <v>4057</v>
      </c>
      <c r="E1316" t="s">
        <v>36</v>
      </c>
      <c r="G1316" t="str">
        <f>_xlfn.XLOOKUP(frasest[[#This Row],[autor_es]],autorest[autor_es],autorest[autor_la])</f>
        <v>Proverbium Sinense</v>
      </c>
      <c r="H1316" t="str">
        <f>_xlfn.XLOOKUP(frasest[[#This Row],[autor_es]],autorest[autor_es],autorest[bio_es])</f>
        <v>Conjunto de proverbios tradicionales de la cultura china que transmiten sabiduría popular, valores morales y enseñanzas prácticas transmitidas oralmente durante siglos.</v>
      </c>
      <c r="I1316" t="str">
        <f>_xlfn.XLOOKUP(frasest[[#This Row],[autor_es]],autorest[autor_es],autorest[bio_la])</f>
        <v>Collectio sententiarum Sinensium, magnopere in cultura tradita.</v>
      </c>
      <c r="J1316" t="str">
        <f>_xlfn.XLOOKUP(frasest[[#This Row],[autor_es]],autorest[autor_es],autorest[codigo])</f>
        <v>zh</v>
      </c>
      <c r="K1316" t="str">
        <f>_xlfn.XLOOKUP(frasest[[#This Row],[autor_es]],autorest[autor_es],autorest[idioma_es])</f>
        <v>Chino</v>
      </c>
      <c r="L1316" t="str">
        <f>_xlfn.XLOOKUP(frasest[[#This Row],[autor_es]],autorest[autor_es],autorest[idioma_la])</f>
        <v>Lingua Sinica</v>
      </c>
      <c r="M1316" t="str">
        <f>_xlfn.XLOOKUP(frasest[[#This Row],[autor_es]],autorest[autor_es],autorest[nacion_es])</f>
        <v>China</v>
      </c>
      <c r="N1316" t="str">
        <f>_xlfn.XLOOKUP(frasest[[#This Row],[autor_es]],autorest[autor_es],autorest[nacion_la])</f>
        <v>Sinae</v>
      </c>
      <c r="O1316" t="str">
        <f>_xlfn.XLOOKUP(frasest[[#This Row],[autor_es]],autorest[autor_es],autorest[epoca_es])</f>
        <v>Epoca Desconocida</v>
      </c>
      <c r="P1316" t="str">
        <f>_xlfn.XLOOKUP(frasest[[#This Row],[autor_es]],autorest[autor_es],autorest[epoca_la])</f>
        <v>Epocha Ignota</v>
      </c>
      <c r="Q1316" t="str">
        <f>_xlfn.XLOOKUP(frasest[[#This Row],[autor_es]],autorest[autor_es],autorest[imagen])</f>
        <v>https://i.ibb.co/qLfpZm6h/china.png</v>
      </c>
      <c r="R1316">
        <f>_xlfn.XLOOKUP(frasest[[#This Row],[autor_es]],autorest[autor_es],autorest[imagen_atr])</f>
        <v>0</v>
      </c>
    </row>
    <row r="1317" spans="1:18">
      <c r="A1317">
        <v>1316</v>
      </c>
      <c r="B1317" t="s">
        <v>4058</v>
      </c>
      <c r="C1317" t="s">
        <v>4059</v>
      </c>
      <c r="D1317" s="1" t="s">
        <v>4060</v>
      </c>
      <c r="E1317" t="s">
        <v>36</v>
      </c>
      <c r="G1317" t="str">
        <f>_xlfn.XLOOKUP(frasest[[#This Row],[autor_es]],autorest[autor_es],autorest[autor_la])</f>
        <v>Proverbium Sinense</v>
      </c>
      <c r="H1317" t="str">
        <f>_xlfn.XLOOKUP(frasest[[#This Row],[autor_es]],autorest[autor_es],autorest[bio_es])</f>
        <v>Conjunto de proverbios tradicionales de la cultura china que transmiten sabiduría popular, valores morales y enseñanzas prácticas transmitidas oralmente durante siglos.</v>
      </c>
      <c r="I1317" t="str">
        <f>_xlfn.XLOOKUP(frasest[[#This Row],[autor_es]],autorest[autor_es],autorest[bio_la])</f>
        <v>Collectio sententiarum Sinensium, magnopere in cultura tradita.</v>
      </c>
      <c r="J1317" t="str">
        <f>_xlfn.XLOOKUP(frasest[[#This Row],[autor_es]],autorest[autor_es],autorest[codigo])</f>
        <v>zh</v>
      </c>
      <c r="K1317" t="str">
        <f>_xlfn.XLOOKUP(frasest[[#This Row],[autor_es]],autorest[autor_es],autorest[idioma_es])</f>
        <v>Chino</v>
      </c>
      <c r="L1317" t="str">
        <f>_xlfn.XLOOKUP(frasest[[#This Row],[autor_es]],autorest[autor_es],autorest[idioma_la])</f>
        <v>Lingua Sinica</v>
      </c>
      <c r="M1317" t="str">
        <f>_xlfn.XLOOKUP(frasest[[#This Row],[autor_es]],autorest[autor_es],autorest[nacion_es])</f>
        <v>China</v>
      </c>
      <c r="N1317" t="str">
        <f>_xlfn.XLOOKUP(frasest[[#This Row],[autor_es]],autorest[autor_es],autorest[nacion_la])</f>
        <v>Sinae</v>
      </c>
      <c r="O1317" t="str">
        <f>_xlfn.XLOOKUP(frasest[[#This Row],[autor_es]],autorest[autor_es],autorest[epoca_es])</f>
        <v>Epoca Desconocida</v>
      </c>
      <c r="P1317" t="str">
        <f>_xlfn.XLOOKUP(frasest[[#This Row],[autor_es]],autorest[autor_es],autorest[epoca_la])</f>
        <v>Epocha Ignota</v>
      </c>
      <c r="Q1317" t="str">
        <f>_xlfn.XLOOKUP(frasest[[#This Row],[autor_es]],autorest[autor_es],autorest[imagen])</f>
        <v>https://i.ibb.co/qLfpZm6h/china.png</v>
      </c>
      <c r="R1317">
        <f>_xlfn.XLOOKUP(frasest[[#This Row],[autor_es]],autorest[autor_es],autorest[imagen_atr])</f>
        <v>0</v>
      </c>
    </row>
    <row r="1318" spans="1:18">
      <c r="A1318">
        <v>1317</v>
      </c>
      <c r="B1318" t="s">
        <v>4061</v>
      </c>
      <c r="C1318" t="s">
        <v>4062</v>
      </c>
      <c r="D1318" s="1" t="s">
        <v>4063</v>
      </c>
      <c r="E1318" t="s">
        <v>36</v>
      </c>
      <c r="G1318" t="str">
        <f>_xlfn.XLOOKUP(frasest[[#This Row],[autor_es]],autorest[autor_es],autorest[autor_la])</f>
        <v>Proverbium Sinense</v>
      </c>
      <c r="H1318" t="str">
        <f>_xlfn.XLOOKUP(frasest[[#This Row],[autor_es]],autorest[autor_es],autorest[bio_es])</f>
        <v>Conjunto de proverbios tradicionales de la cultura china que transmiten sabiduría popular, valores morales y enseñanzas prácticas transmitidas oralmente durante siglos.</v>
      </c>
      <c r="I1318" t="str">
        <f>_xlfn.XLOOKUP(frasest[[#This Row],[autor_es]],autorest[autor_es],autorest[bio_la])</f>
        <v>Collectio sententiarum Sinensium, magnopere in cultura tradita.</v>
      </c>
      <c r="J1318" t="str">
        <f>_xlfn.XLOOKUP(frasest[[#This Row],[autor_es]],autorest[autor_es],autorest[codigo])</f>
        <v>zh</v>
      </c>
      <c r="K1318" t="str">
        <f>_xlfn.XLOOKUP(frasest[[#This Row],[autor_es]],autorest[autor_es],autorest[idioma_es])</f>
        <v>Chino</v>
      </c>
      <c r="L1318" t="str">
        <f>_xlfn.XLOOKUP(frasest[[#This Row],[autor_es]],autorest[autor_es],autorest[idioma_la])</f>
        <v>Lingua Sinica</v>
      </c>
      <c r="M1318" t="str">
        <f>_xlfn.XLOOKUP(frasest[[#This Row],[autor_es]],autorest[autor_es],autorest[nacion_es])</f>
        <v>China</v>
      </c>
      <c r="N1318" t="str">
        <f>_xlfn.XLOOKUP(frasest[[#This Row],[autor_es]],autorest[autor_es],autorest[nacion_la])</f>
        <v>Sinae</v>
      </c>
      <c r="O1318" t="str">
        <f>_xlfn.XLOOKUP(frasest[[#This Row],[autor_es]],autorest[autor_es],autorest[epoca_es])</f>
        <v>Epoca Desconocida</v>
      </c>
      <c r="P1318" t="str">
        <f>_xlfn.XLOOKUP(frasest[[#This Row],[autor_es]],autorest[autor_es],autorest[epoca_la])</f>
        <v>Epocha Ignota</v>
      </c>
      <c r="Q1318" t="str">
        <f>_xlfn.XLOOKUP(frasest[[#This Row],[autor_es]],autorest[autor_es],autorest[imagen])</f>
        <v>https://i.ibb.co/qLfpZm6h/china.png</v>
      </c>
      <c r="R1318">
        <f>_xlfn.XLOOKUP(frasest[[#This Row],[autor_es]],autorest[autor_es],autorest[imagen_atr])</f>
        <v>0</v>
      </c>
    </row>
    <row r="1319" spans="1:18">
      <c r="A1319">
        <v>1318</v>
      </c>
      <c r="B1319" t="s">
        <v>4064</v>
      </c>
      <c r="C1319" t="s">
        <v>4065</v>
      </c>
      <c r="D1319" s="1" t="s">
        <v>4066</v>
      </c>
      <c r="E1319" t="s">
        <v>36</v>
      </c>
      <c r="G1319" t="str">
        <f>_xlfn.XLOOKUP(frasest[[#This Row],[autor_es]],autorest[autor_es],autorest[autor_la])</f>
        <v>Proverbium Sinense</v>
      </c>
      <c r="H1319" t="str">
        <f>_xlfn.XLOOKUP(frasest[[#This Row],[autor_es]],autorest[autor_es],autorest[bio_es])</f>
        <v>Conjunto de proverbios tradicionales de la cultura china que transmiten sabiduría popular, valores morales y enseñanzas prácticas transmitidas oralmente durante siglos.</v>
      </c>
      <c r="I1319" t="str">
        <f>_xlfn.XLOOKUP(frasest[[#This Row],[autor_es]],autorest[autor_es],autorest[bio_la])</f>
        <v>Collectio sententiarum Sinensium, magnopere in cultura tradita.</v>
      </c>
      <c r="J1319" t="str">
        <f>_xlfn.XLOOKUP(frasest[[#This Row],[autor_es]],autorest[autor_es],autorest[codigo])</f>
        <v>zh</v>
      </c>
      <c r="K1319" t="str">
        <f>_xlfn.XLOOKUP(frasest[[#This Row],[autor_es]],autorest[autor_es],autorest[idioma_es])</f>
        <v>Chino</v>
      </c>
      <c r="L1319" t="str">
        <f>_xlfn.XLOOKUP(frasest[[#This Row],[autor_es]],autorest[autor_es],autorest[idioma_la])</f>
        <v>Lingua Sinica</v>
      </c>
      <c r="M1319" t="str">
        <f>_xlfn.XLOOKUP(frasest[[#This Row],[autor_es]],autorest[autor_es],autorest[nacion_es])</f>
        <v>China</v>
      </c>
      <c r="N1319" t="str">
        <f>_xlfn.XLOOKUP(frasest[[#This Row],[autor_es]],autorest[autor_es],autorest[nacion_la])</f>
        <v>Sinae</v>
      </c>
      <c r="O1319" t="str">
        <f>_xlfn.XLOOKUP(frasest[[#This Row],[autor_es]],autorest[autor_es],autorest[epoca_es])</f>
        <v>Epoca Desconocida</v>
      </c>
      <c r="P1319" t="str">
        <f>_xlfn.XLOOKUP(frasest[[#This Row],[autor_es]],autorest[autor_es],autorest[epoca_la])</f>
        <v>Epocha Ignota</v>
      </c>
      <c r="Q1319" t="str">
        <f>_xlfn.XLOOKUP(frasest[[#This Row],[autor_es]],autorest[autor_es],autorest[imagen])</f>
        <v>https://i.ibb.co/qLfpZm6h/china.png</v>
      </c>
      <c r="R1319">
        <f>_xlfn.XLOOKUP(frasest[[#This Row],[autor_es]],autorest[autor_es],autorest[imagen_atr])</f>
        <v>0</v>
      </c>
    </row>
    <row r="1320" spans="1:18">
      <c r="A1320">
        <v>1319</v>
      </c>
      <c r="B1320" t="s">
        <v>4067</v>
      </c>
      <c r="C1320" t="s">
        <v>4068</v>
      </c>
      <c r="D1320" s="1" t="s">
        <v>4069</v>
      </c>
      <c r="E1320" t="s">
        <v>36</v>
      </c>
      <c r="G1320" t="str">
        <f>_xlfn.XLOOKUP(frasest[[#This Row],[autor_es]],autorest[autor_es],autorest[autor_la])</f>
        <v>Proverbium Sinense</v>
      </c>
      <c r="H1320" t="str">
        <f>_xlfn.XLOOKUP(frasest[[#This Row],[autor_es]],autorest[autor_es],autorest[bio_es])</f>
        <v>Conjunto de proverbios tradicionales de la cultura china que transmiten sabiduría popular, valores morales y enseñanzas prácticas transmitidas oralmente durante siglos.</v>
      </c>
      <c r="I1320" t="str">
        <f>_xlfn.XLOOKUP(frasest[[#This Row],[autor_es]],autorest[autor_es],autorest[bio_la])</f>
        <v>Collectio sententiarum Sinensium, magnopere in cultura tradita.</v>
      </c>
      <c r="J1320" t="str">
        <f>_xlfn.XLOOKUP(frasest[[#This Row],[autor_es]],autorest[autor_es],autorest[codigo])</f>
        <v>zh</v>
      </c>
      <c r="K1320" t="str">
        <f>_xlfn.XLOOKUP(frasest[[#This Row],[autor_es]],autorest[autor_es],autorest[idioma_es])</f>
        <v>Chino</v>
      </c>
      <c r="L1320" t="str">
        <f>_xlfn.XLOOKUP(frasest[[#This Row],[autor_es]],autorest[autor_es],autorest[idioma_la])</f>
        <v>Lingua Sinica</v>
      </c>
      <c r="M1320" t="str">
        <f>_xlfn.XLOOKUP(frasest[[#This Row],[autor_es]],autorest[autor_es],autorest[nacion_es])</f>
        <v>China</v>
      </c>
      <c r="N1320" t="str">
        <f>_xlfn.XLOOKUP(frasest[[#This Row],[autor_es]],autorest[autor_es],autorest[nacion_la])</f>
        <v>Sinae</v>
      </c>
      <c r="O1320" t="str">
        <f>_xlfn.XLOOKUP(frasest[[#This Row],[autor_es]],autorest[autor_es],autorest[epoca_es])</f>
        <v>Epoca Desconocida</v>
      </c>
      <c r="P1320" t="str">
        <f>_xlfn.XLOOKUP(frasest[[#This Row],[autor_es]],autorest[autor_es],autorest[epoca_la])</f>
        <v>Epocha Ignota</v>
      </c>
      <c r="Q1320" t="str">
        <f>_xlfn.XLOOKUP(frasest[[#This Row],[autor_es]],autorest[autor_es],autorest[imagen])</f>
        <v>https://i.ibb.co/qLfpZm6h/china.png</v>
      </c>
      <c r="R1320">
        <f>_xlfn.XLOOKUP(frasest[[#This Row],[autor_es]],autorest[autor_es],autorest[imagen_atr])</f>
        <v>0</v>
      </c>
    </row>
    <row r="1321" spans="1:18">
      <c r="A1321">
        <v>1320</v>
      </c>
      <c r="B1321" t="s">
        <v>4070</v>
      </c>
      <c r="C1321" t="s">
        <v>4071</v>
      </c>
      <c r="D1321" s="1" t="s">
        <v>4072</v>
      </c>
      <c r="E1321" t="s">
        <v>36</v>
      </c>
      <c r="G1321" t="str">
        <f>_xlfn.XLOOKUP(frasest[[#This Row],[autor_es]],autorest[autor_es],autorest[autor_la])</f>
        <v>Proverbium Sinense</v>
      </c>
      <c r="H1321" t="str">
        <f>_xlfn.XLOOKUP(frasest[[#This Row],[autor_es]],autorest[autor_es],autorest[bio_es])</f>
        <v>Conjunto de proverbios tradicionales de la cultura china que transmiten sabiduría popular, valores morales y enseñanzas prácticas transmitidas oralmente durante siglos.</v>
      </c>
      <c r="I1321" t="str">
        <f>_xlfn.XLOOKUP(frasest[[#This Row],[autor_es]],autorest[autor_es],autorest[bio_la])</f>
        <v>Collectio sententiarum Sinensium, magnopere in cultura tradita.</v>
      </c>
      <c r="J1321" t="str">
        <f>_xlfn.XLOOKUP(frasest[[#This Row],[autor_es]],autorest[autor_es],autorest[codigo])</f>
        <v>zh</v>
      </c>
      <c r="K1321" t="str">
        <f>_xlfn.XLOOKUP(frasest[[#This Row],[autor_es]],autorest[autor_es],autorest[idioma_es])</f>
        <v>Chino</v>
      </c>
      <c r="L1321" t="str">
        <f>_xlfn.XLOOKUP(frasest[[#This Row],[autor_es]],autorest[autor_es],autorest[idioma_la])</f>
        <v>Lingua Sinica</v>
      </c>
      <c r="M1321" t="str">
        <f>_xlfn.XLOOKUP(frasest[[#This Row],[autor_es]],autorest[autor_es],autorest[nacion_es])</f>
        <v>China</v>
      </c>
      <c r="N1321" t="str">
        <f>_xlfn.XLOOKUP(frasest[[#This Row],[autor_es]],autorest[autor_es],autorest[nacion_la])</f>
        <v>Sinae</v>
      </c>
      <c r="O1321" t="str">
        <f>_xlfn.XLOOKUP(frasest[[#This Row],[autor_es]],autorest[autor_es],autorest[epoca_es])</f>
        <v>Epoca Desconocida</v>
      </c>
      <c r="P1321" t="str">
        <f>_xlfn.XLOOKUP(frasest[[#This Row],[autor_es]],autorest[autor_es],autorest[epoca_la])</f>
        <v>Epocha Ignota</v>
      </c>
      <c r="Q1321" t="str">
        <f>_xlfn.XLOOKUP(frasest[[#This Row],[autor_es]],autorest[autor_es],autorest[imagen])</f>
        <v>https://i.ibb.co/qLfpZm6h/china.png</v>
      </c>
      <c r="R1321">
        <f>_xlfn.XLOOKUP(frasest[[#This Row],[autor_es]],autorest[autor_es],autorest[imagen_atr])</f>
        <v>0</v>
      </c>
    </row>
    <row r="1322" spans="1:18">
      <c r="A1322">
        <v>1321</v>
      </c>
      <c r="B1322" t="s">
        <v>4073</v>
      </c>
      <c r="C1322" t="s">
        <v>4074</v>
      </c>
      <c r="D1322" s="1" t="s">
        <v>4075</v>
      </c>
      <c r="E1322" t="s">
        <v>36</v>
      </c>
      <c r="G1322" t="str">
        <f>_xlfn.XLOOKUP(frasest[[#This Row],[autor_es]],autorest[autor_es],autorest[autor_la])</f>
        <v>Proverbium Sinense</v>
      </c>
      <c r="H1322" t="str">
        <f>_xlfn.XLOOKUP(frasest[[#This Row],[autor_es]],autorest[autor_es],autorest[bio_es])</f>
        <v>Conjunto de proverbios tradicionales de la cultura china que transmiten sabiduría popular, valores morales y enseñanzas prácticas transmitidas oralmente durante siglos.</v>
      </c>
      <c r="I1322" t="str">
        <f>_xlfn.XLOOKUP(frasest[[#This Row],[autor_es]],autorest[autor_es],autorest[bio_la])</f>
        <v>Collectio sententiarum Sinensium, magnopere in cultura tradita.</v>
      </c>
      <c r="J1322" t="str">
        <f>_xlfn.XLOOKUP(frasest[[#This Row],[autor_es]],autorest[autor_es],autorest[codigo])</f>
        <v>zh</v>
      </c>
      <c r="K1322" t="str">
        <f>_xlfn.XLOOKUP(frasest[[#This Row],[autor_es]],autorest[autor_es],autorest[idioma_es])</f>
        <v>Chino</v>
      </c>
      <c r="L1322" t="str">
        <f>_xlfn.XLOOKUP(frasest[[#This Row],[autor_es]],autorest[autor_es],autorest[idioma_la])</f>
        <v>Lingua Sinica</v>
      </c>
      <c r="M1322" t="str">
        <f>_xlfn.XLOOKUP(frasest[[#This Row],[autor_es]],autorest[autor_es],autorest[nacion_es])</f>
        <v>China</v>
      </c>
      <c r="N1322" t="str">
        <f>_xlfn.XLOOKUP(frasest[[#This Row],[autor_es]],autorest[autor_es],autorest[nacion_la])</f>
        <v>Sinae</v>
      </c>
      <c r="O1322" t="str">
        <f>_xlfn.XLOOKUP(frasest[[#This Row],[autor_es]],autorest[autor_es],autorest[epoca_es])</f>
        <v>Epoca Desconocida</v>
      </c>
      <c r="P1322" t="str">
        <f>_xlfn.XLOOKUP(frasest[[#This Row],[autor_es]],autorest[autor_es],autorest[epoca_la])</f>
        <v>Epocha Ignota</v>
      </c>
      <c r="Q1322" t="str">
        <f>_xlfn.XLOOKUP(frasest[[#This Row],[autor_es]],autorest[autor_es],autorest[imagen])</f>
        <v>https://i.ibb.co/qLfpZm6h/china.png</v>
      </c>
      <c r="R1322">
        <f>_xlfn.XLOOKUP(frasest[[#This Row],[autor_es]],autorest[autor_es],autorest[imagen_atr])</f>
        <v>0</v>
      </c>
    </row>
    <row r="1323" spans="1:18">
      <c r="A1323">
        <v>1322</v>
      </c>
      <c r="B1323" t="s">
        <v>4076</v>
      </c>
      <c r="C1323" t="s">
        <v>4077</v>
      </c>
      <c r="D1323" s="1" t="s">
        <v>4078</v>
      </c>
      <c r="E1323" t="s">
        <v>36</v>
      </c>
      <c r="G1323" t="str">
        <f>_xlfn.XLOOKUP(frasest[[#This Row],[autor_es]],autorest[autor_es],autorest[autor_la])</f>
        <v>Proverbium Sinense</v>
      </c>
      <c r="H1323" t="str">
        <f>_xlfn.XLOOKUP(frasest[[#This Row],[autor_es]],autorest[autor_es],autorest[bio_es])</f>
        <v>Conjunto de proverbios tradicionales de la cultura china que transmiten sabiduría popular, valores morales y enseñanzas prácticas transmitidas oralmente durante siglos.</v>
      </c>
      <c r="I1323" t="str">
        <f>_xlfn.XLOOKUP(frasest[[#This Row],[autor_es]],autorest[autor_es],autorest[bio_la])</f>
        <v>Collectio sententiarum Sinensium, magnopere in cultura tradita.</v>
      </c>
      <c r="J1323" t="str">
        <f>_xlfn.XLOOKUP(frasest[[#This Row],[autor_es]],autorest[autor_es],autorest[codigo])</f>
        <v>zh</v>
      </c>
      <c r="K1323" t="str">
        <f>_xlfn.XLOOKUP(frasest[[#This Row],[autor_es]],autorest[autor_es],autorest[idioma_es])</f>
        <v>Chino</v>
      </c>
      <c r="L1323" t="str">
        <f>_xlfn.XLOOKUP(frasest[[#This Row],[autor_es]],autorest[autor_es],autorest[idioma_la])</f>
        <v>Lingua Sinica</v>
      </c>
      <c r="M1323" t="str">
        <f>_xlfn.XLOOKUP(frasest[[#This Row],[autor_es]],autorest[autor_es],autorest[nacion_es])</f>
        <v>China</v>
      </c>
      <c r="N1323" t="str">
        <f>_xlfn.XLOOKUP(frasest[[#This Row],[autor_es]],autorest[autor_es],autorest[nacion_la])</f>
        <v>Sinae</v>
      </c>
      <c r="O1323" t="str">
        <f>_xlfn.XLOOKUP(frasest[[#This Row],[autor_es]],autorest[autor_es],autorest[epoca_es])</f>
        <v>Epoca Desconocida</v>
      </c>
      <c r="P1323" t="str">
        <f>_xlfn.XLOOKUP(frasest[[#This Row],[autor_es]],autorest[autor_es],autorest[epoca_la])</f>
        <v>Epocha Ignota</v>
      </c>
      <c r="Q1323" t="str">
        <f>_xlfn.XLOOKUP(frasest[[#This Row],[autor_es]],autorest[autor_es],autorest[imagen])</f>
        <v>https://i.ibb.co/qLfpZm6h/china.png</v>
      </c>
      <c r="R1323">
        <f>_xlfn.XLOOKUP(frasest[[#This Row],[autor_es]],autorest[autor_es],autorest[imagen_atr])</f>
        <v>0</v>
      </c>
    </row>
    <row r="1324" spans="1:18">
      <c r="A1324">
        <v>1323</v>
      </c>
      <c r="B1324" t="s">
        <v>4079</v>
      </c>
      <c r="C1324" t="s">
        <v>4080</v>
      </c>
      <c r="D1324" s="1" t="s">
        <v>4081</v>
      </c>
      <c r="E1324" t="s">
        <v>36</v>
      </c>
      <c r="G1324" t="str">
        <f>_xlfn.XLOOKUP(frasest[[#This Row],[autor_es]],autorest[autor_es],autorest[autor_la])</f>
        <v>Proverbium Sinense</v>
      </c>
      <c r="H1324" t="str">
        <f>_xlfn.XLOOKUP(frasest[[#This Row],[autor_es]],autorest[autor_es],autorest[bio_es])</f>
        <v>Conjunto de proverbios tradicionales de la cultura china que transmiten sabiduría popular, valores morales y enseñanzas prácticas transmitidas oralmente durante siglos.</v>
      </c>
      <c r="I1324" t="str">
        <f>_xlfn.XLOOKUP(frasest[[#This Row],[autor_es]],autorest[autor_es],autorest[bio_la])</f>
        <v>Collectio sententiarum Sinensium, magnopere in cultura tradita.</v>
      </c>
      <c r="J1324" t="str">
        <f>_xlfn.XLOOKUP(frasest[[#This Row],[autor_es]],autorest[autor_es],autorest[codigo])</f>
        <v>zh</v>
      </c>
      <c r="K1324" t="str">
        <f>_xlfn.XLOOKUP(frasest[[#This Row],[autor_es]],autorest[autor_es],autorest[idioma_es])</f>
        <v>Chino</v>
      </c>
      <c r="L1324" t="str">
        <f>_xlfn.XLOOKUP(frasest[[#This Row],[autor_es]],autorest[autor_es],autorest[idioma_la])</f>
        <v>Lingua Sinica</v>
      </c>
      <c r="M1324" t="str">
        <f>_xlfn.XLOOKUP(frasest[[#This Row],[autor_es]],autorest[autor_es],autorest[nacion_es])</f>
        <v>China</v>
      </c>
      <c r="N1324" t="str">
        <f>_xlfn.XLOOKUP(frasest[[#This Row],[autor_es]],autorest[autor_es],autorest[nacion_la])</f>
        <v>Sinae</v>
      </c>
      <c r="O1324" t="str">
        <f>_xlfn.XLOOKUP(frasest[[#This Row],[autor_es]],autorest[autor_es],autorest[epoca_es])</f>
        <v>Epoca Desconocida</v>
      </c>
      <c r="P1324" t="str">
        <f>_xlfn.XLOOKUP(frasest[[#This Row],[autor_es]],autorest[autor_es],autorest[epoca_la])</f>
        <v>Epocha Ignota</v>
      </c>
      <c r="Q1324" t="str">
        <f>_xlfn.XLOOKUP(frasest[[#This Row],[autor_es]],autorest[autor_es],autorest[imagen])</f>
        <v>https://i.ibb.co/qLfpZm6h/china.png</v>
      </c>
      <c r="R1324">
        <f>_xlfn.XLOOKUP(frasest[[#This Row],[autor_es]],autorest[autor_es],autorest[imagen_atr])</f>
        <v>0</v>
      </c>
    </row>
    <row r="1325" spans="1:18">
      <c r="A1325">
        <v>1324</v>
      </c>
      <c r="B1325" t="s">
        <v>4082</v>
      </c>
      <c r="C1325" t="s">
        <v>4083</v>
      </c>
      <c r="D1325" s="1" t="s">
        <v>4084</v>
      </c>
      <c r="E1325" t="s">
        <v>36</v>
      </c>
      <c r="G1325" t="str">
        <f>_xlfn.XLOOKUP(frasest[[#This Row],[autor_es]],autorest[autor_es],autorest[autor_la])</f>
        <v>Proverbium Sinense</v>
      </c>
      <c r="H1325" t="str">
        <f>_xlfn.XLOOKUP(frasest[[#This Row],[autor_es]],autorest[autor_es],autorest[bio_es])</f>
        <v>Conjunto de proverbios tradicionales de la cultura china que transmiten sabiduría popular, valores morales y enseñanzas prácticas transmitidas oralmente durante siglos.</v>
      </c>
      <c r="I1325" t="str">
        <f>_xlfn.XLOOKUP(frasest[[#This Row],[autor_es]],autorest[autor_es],autorest[bio_la])</f>
        <v>Collectio sententiarum Sinensium, magnopere in cultura tradita.</v>
      </c>
      <c r="J1325" t="str">
        <f>_xlfn.XLOOKUP(frasest[[#This Row],[autor_es]],autorest[autor_es],autorest[codigo])</f>
        <v>zh</v>
      </c>
      <c r="K1325" t="str">
        <f>_xlfn.XLOOKUP(frasest[[#This Row],[autor_es]],autorest[autor_es],autorest[idioma_es])</f>
        <v>Chino</v>
      </c>
      <c r="L1325" t="str">
        <f>_xlfn.XLOOKUP(frasest[[#This Row],[autor_es]],autorest[autor_es],autorest[idioma_la])</f>
        <v>Lingua Sinica</v>
      </c>
      <c r="M1325" t="str">
        <f>_xlfn.XLOOKUP(frasest[[#This Row],[autor_es]],autorest[autor_es],autorest[nacion_es])</f>
        <v>China</v>
      </c>
      <c r="N1325" t="str">
        <f>_xlfn.XLOOKUP(frasest[[#This Row],[autor_es]],autorest[autor_es],autorest[nacion_la])</f>
        <v>Sinae</v>
      </c>
      <c r="O1325" t="str">
        <f>_xlfn.XLOOKUP(frasest[[#This Row],[autor_es]],autorest[autor_es],autorest[epoca_es])</f>
        <v>Epoca Desconocida</v>
      </c>
      <c r="P1325" t="str">
        <f>_xlfn.XLOOKUP(frasest[[#This Row],[autor_es]],autorest[autor_es],autorest[epoca_la])</f>
        <v>Epocha Ignota</v>
      </c>
      <c r="Q1325" t="str">
        <f>_xlfn.XLOOKUP(frasest[[#This Row],[autor_es]],autorest[autor_es],autorest[imagen])</f>
        <v>https://i.ibb.co/qLfpZm6h/china.png</v>
      </c>
      <c r="R1325">
        <f>_xlfn.XLOOKUP(frasest[[#This Row],[autor_es]],autorest[autor_es],autorest[imagen_atr])</f>
        <v>0</v>
      </c>
    </row>
    <row r="1326" spans="1:18">
      <c r="A1326">
        <v>1325</v>
      </c>
      <c r="B1326" t="s">
        <v>4085</v>
      </c>
      <c r="C1326" t="s">
        <v>4086</v>
      </c>
      <c r="D1326" s="1" t="s">
        <v>4087</v>
      </c>
      <c r="E1326" t="s">
        <v>36</v>
      </c>
      <c r="G1326" t="str">
        <f>_xlfn.XLOOKUP(frasest[[#This Row],[autor_es]],autorest[autor_es],autorest[autor_la])</f>
        <v>Proverbium Sinense</v>
      </c>
      <c r="H1326" t="str">
        <f>_xlfn.XLOOKUP(frasest[[#This Row],[autor_es]],autorest[autor_es],autorest[bio_es])</f>
        <v>Conjunto de proverbios tradicionales de la cultura china que transmiten sabiduría popular, valores morales y enseñanzas prácticas transmitidas oralmente durante siglos.</v>
      </c>
      <c r="I1326" t="str">
        <f>_xlfn.XLOOKUP(frasest[[#This Row],[autor_es]],autorest[autor_es],autorest[bio_la])</f>
        <v>Collectio sententiarum Sinensium, magnopere in cultura tradita.</v>
      </c>
      <c r="J1326" t="str">
        <f>_xlfn.XLOOKUP(frasest[[#This Row],[autor_es]],autorest[autor_es],autorest[codigo])</f>
        <v>zh</v>
      </c>
      <c r="K1326" t="str">
        <f>_xlfn.XLOOKUP(frasest[[#This Row],[autor_es]],autorest[autor_es],autorest[idioma_es])</f>
        <v>Chino</v>
      </c>
      <c r="L1326" t="str">
        <f>_xlfn.XLOOKUP(frasest[[#This Row],[autor_es]],autorest[autor_es],autorest[idioma_la])</f>
        <v>Lingua Sinica</v>
      </c>
      <c r="M1326" t="str">
        <f>_xlfn.XLOOKUP(frasest[[#This Row],[autor_es]],autorest[autor_es],autorest[nacion_es])</f>
        <v>China</v>
      </c>
      <c r="N1326" t="str">
        <f>_xlfn.XLOOKUP(frasest[[#This Row],[autor_es]],autorest[autor_es],autorest[nacion_la])</f>
        <v>Sinae</v>
      </c>
      <c r="O1326" t="str">
        <f>_xlfn.XLOOKUP(frasest[[#This Row],[autor_es]],autorest[autor_es],autorest[epoca_es])</f>
        <v>Epoca Desconocida</v>
      </c>
      <c r="P1326" t="str">
        <f>_xlfn.XLOOKUP(frasest[[#This Row],[autor_es]],autorest[autor_es],autorest[epoca_la])</f>
        <v>Epocha Ignota</v>
      </c>
      <c r="Q1326" t="str">
        <f>_xlfn.XLOOKUP(frasest[[#This Row],[autor_es]],autorest[autor_es],autorest[imagen])</f>
        <v>https://i.ibb.co/qLfpZm6h/china.png</v>
      </c>
      <c r="R1326">
        <f>_xlfn.XLOOKUP(frasest[[#This Row],[autor_es]],autorest[autor_es],autorest[imagen_atr])</f>
        <v>0</v>
      </c>
    </row>
    <row r="1327" spans="1:18">
      <c r="A1327">
        <v>1326</v>
      </c>
      <c r="B1327" t="s">
        <v>4088</v>
      </c>
      <c r="C1327" t="s">
        <v>4089</v>
      </c>
      <c r="D1327" s="1" t="s">
        <v>3958</v>
      </c>
      <c r="E1327" t="s">
        <v>36</v>
      </c>
      <c r="G1327" t="str">
        <f>_xlfn.XLOOKUP(frasest[[#This Row],[autor_es]],autorest[autor_es],autorest[autor_la])</f>
        <v>Proverbium Sinense</v>
      </c>
      <c r="H1327" t="str">
        <f>_xlfn.XLOOKUP(frasest[[#This Row],[autor_es]],autorest[autor_es],autorest[bio_es])</f>
        <v>Conjunto de proverbios tradicionales de la cultura china que transmiten sabiduría popular, valores morales y enseñanzas prácticas transmitidas oralmente durante siglos.</v>
      </c>
      <c r="I1327" t="str">
        <f>_xlfn.XLOOKUP(frasest[[#This Row],[autor_es]],autorest[autor_es],autorest[bio_la])</f>
        <v>Collectio sententiarum Sinensium, magnopere in cultura tradita.</v>
      </c>
      <c r="J1327" t="str">
        <f>_xlfn.XLOOKUP(frasest[[#This Row],[autor_es]],autorest[autor_es],autorest[codigo])</f>
        <v>zh</v>
      </c>
      <c r="K1327" t="str">
        <f>_xlfn.XLOOKUP(frasest[[#This Row],[autor_es]],autorest[autor_es],autorest[idioma_es])</f>
        <v>Chino</v>
      </c>
      <c r="L1327" t="str">
        <f>_xlfn.XLOOKUP(frasest[[#This Row],[autor_es]],autorest[autor_es],autorest[idioma_la])</f>
        <v>Lingua Sinica</v>
      </c>
      <c r="M1327" t="str">
        <f>_xlfn.XLOOKUP(frasest[[#This Row],[autor_es]],autorest[autor_es],autorest[nacion_es])</f>
        <v>China</v>
      </c>
      <c r="N1327" t="str">
        <f>_xlfn.XLOOKUP(frasest[[#This Row],[autor_es]],autorest[autor_es],autorest[nacion_la])</f>
        <v>Sinae</v>
      </c>
      <c r="O1327" t="str">
        <f>_xlfn.XLOOKUP(frasest[[#This Row],[autor_es]],autorest[autor_es],autorest[epoca_es])</f>
        <v>Epoca Desconocida</v>
      </c>
      <c r="P1327" t="str">
        <f>_xlfn.XLOOKUP(frasest[[#This Row],[autor_es]],autorest[autor_es],autorest[epoca_la])</f>
        <v>Epocha Ignota</v>
      </c>
      <c r="Q1327" t="str">
        <f>_xlfn.XLOOKUP(frasest[[#This Row],[autor_es]],autorest[autor_es],autorest[imagen])</f>
        <v>https://i.ibb.co/qLfpZm6h/china.png</v>
      </c>
      <c r="R1327">
        <f>_xlfn.XLOOKUP(frasest[[#This Row],[autor_es]],autorest[autor_es],autorest[imagen_atr])</f>
        <v>0</v>
      </c>
    </row>
    <row r="1328" spans="1:18">
      <c r="A1328">
        <v>1327</v>
      </c>
      <c r="B1328" t="s">
        <v>4090</v>
      </c>
      <c r="C1328" t="s">
        <v>4091</v>
      </c>
      <c r="D1328" s="1" t="s">
        <v>4092</v>
      </c>
      <c r="E1328" t="s">
        <v>36</v>
      </c>
      <c r="G1328" t="str">
        <f>_xlfn.XLOOKUP(frasest[[#This Row],[autor_es]],autorest[autor_es],autorest[autor_la])</f>
        <v>Proverbium Sinense</v>
      </c>
      <c r="H1328" t="str">
        <f>_xlfn.XLOOKUP(frasest[[#This Row],[autor_es]],autorest[autor_es],autorest[bio_es])</f>
        <v>Conjunto de proverbios tradicionales de la cultura china que transmiten sabiduría popular, valores morales y enseñanzas prácticas transmitidas oralmente durante siglos.</v>
      </c>
      <c r="I1328" t="str">
        <f>_xlfn.XLOOKUP(frasest[[#This Row],[autor_es]],autorest[autor_es],autorest[bio_la])</f>
        <v>Collectio sententiarum Sinensium, magnopere in cultura tradita.</v>
      </c>
      <c r="J1328" t="str">
        <f>_xlfn.XLOOKUP(frasest[[#This Row],[autor_es]],autorest[autor_es],autorest[codigo])</f>
        <v>zh</v>
      </c>
      <c r="K1328" t="str">
        <f>_xlfn.XLOOKUP(frasest[[#This Row],[autor_es]],autorest[autor_es],autorest[idioma_es])</f>
        <v>Chino</v>
      </c>
      <c r="L1328" t="str">
        <f>_xlfn.XLOOKUP(frasest[[#This Row],[autor_es]],autorest[autor_es],autorest[idioma_la])</f>
        <v>Lingua Sinica</v>
      </c>
      <c r="M1328" t="str">
        <f>_xlfn.XLOOKUP(frasest[[#This Row],[autor_es]],autorest[autor_es],autorest[nacion_es])</f>
        <v>China</v>
      </c>
      <c r="N1328" t="str">
        <f>_xlfn.XLOOKUP(frasest[[#This Row],[autor_es]],autorest[autor_es],autorest[nacion_la])</f>
        <v>Sinae</v>
      </c>
      <c r="O1328" t="str">
        <f>_xlfn.XLOOKUP(frasest[[#This Row],[autor_es]],autorest[autor_es],autorest[epoca_es])</f>
        <v>Epoca Desconocida</v>
      </c>
      <c r="P1328" t="str">
        <f>_xlfn.XLOOKUP(frasest[[#This Row],[autor_es]],autorest[autor_es],autorest[epoca_la])</f>
        <v>Epocha Ignota</v>
      </c>
      <c r="Q1328" t="str">
        <f>_xlfn.XLOOKUP(frasest[[#This Row],[autor_es]],autorest[autor_es],autorest[imagen])</f>
        <v>https://i.ibb.co/qLfpZm6h/china.png</v>
      </c>
      <c r="R1328">
        <f>_xlfn.XLOOKUP(frasest[[#This Row],[autor_es]],autorest[autor_es],autorest[imagen_atr])</f>
        <v>0</v>
      </c>
    </row>
    <row r="1329" spans="1:18">
      <c r="A1329">
        <v>1328</v>
      </c>
      <c r="B1329" t="s">
        <v>4093</v>
      </c>
      <c r="C1329" t="s">
        <v>4094</v>
      </c>
      <c r="D1329" s="1" t="s">
        <v>4095</v>
      </c>
      <c r="E1329" t="s">
        <v>36</v>
      </c>
      <c r="G1329" t="str">
        <f>_xlfn.XLOOKUP(frasest[[#This Row],[autor_es]],autorest[autor_es],autorest[autor_la])</f>
        <v>Proverbium Sinense</v>
      </c>
      <c r="H1329" t="str">
        <f>_xlfn.XLOOKUP(frasest[[#This Row],[autor_es]],autorest[autor_es],autorest[bio_es])</f>
        <v>Conjunto de proverbios tradicionales de la cultura china que transmiten sabiduría popular, valores morales y enseñanzas prácticas transmitidas oralmente durante siglos.</v>
      </c>
      <c r="I1329" t="str">
        <f>_xlfn.XLOOKUP(frasest[[#This Row],[autor_es]],autorest[autor_es],autorest[bio_la])</f>
        <v>Collectio sententiarum Sinensium, magnopere in cultura tradita.</v>
      </c>
      <c r="J1329" t="str">
        <f>_xlfn.XLOOKUP(frasest[[#This Row],[autor_es]],autorest[autor_es],autorest[codigo])</f>
        <v>zh</v>
      </c>
      <c r="K1329" t="str">
        <f>_xlfn.XLOOKUP(frasest[[#This Row],[autor_es]],autorest[autor_es],autorest[idioma_es])</f>
        <v>Chino</v>
      </c>
      <c r="L1329" t="str">
        <f>_xlfn.XLOOKUP(frasest[[#This Row],[autor_es]],autorest[autor_es],autorest[idioma_la])</f>
        <v>Lingua Sinica</v>
      </c>
      <c r="M1329" t="str">
        <f>_xlfn.XLOOKUP(frasest[[#This Row],[autor_es]],autorest[autor_es],autorest[nacion_es])</f>
        <v>China</v>
      </c>
      <c r="N1329" t="str">
        <f>_xlfn.XLOOKUP(frasest[[#This Row],[autor_es]],autorest[autor_es],autorest[nacion_la])</f>
        <v>Sinae</v>
      </c>
      <c r="O1329" t="str">
        <f>_xlfn.XLOOKUP(frasest[[#This Row],[autor_es]],autorest[autor_es],autorest[epoca_es])</f>
        <v>Epoca Desconocida</v>
      </c>
      <c r="P1329" t="str">
        <f>_xlfn.XLOOKUP(frasest[[#This Row],[autor_es]],autorest[autor_es],autorest[epoca_la])</f>
        <v>Epocha Ignota</v>
      </c>
      <c r="Q1329" t="str">
        <f>_xlfn.XLOOKUP(frasest[[#This Row],[autor_es]],autorest[autor_es],autorest[imagen])</f>
        <v>https://i.ibb.co/qLfpZm6h/china.png</v>
      </c>
      <c r="R1329">
        <f>_xlfn.XLOOKUP(frasest[[#This Row],[autor_es]],autorest[autor_es],autorest[imagen_atr])</f>
        <v>0</v>
      </c>
    </row>
    <row r="1330" spans="1:18">
      <c r="A1330">
        <v>1329</v>
      </c>
      <c r="B1330" t="s">
        <v>4096</v>
      </c>
      <c r="C1330" t="s">
        <v>4097</v>
      </c>
      <c r="D1330" s="1" t="s">
        <v>4098</v>
      </c>
      <c r="E1330" t="s">
        <v>36</v>
      </c>
      <c r="G1330" t="str">
        <f>_xlfn.XLOOKUP(frasest[[#This Row],[autor_es]],autorest[autor_es],autorest[autor_la])</f>
        <v>Proverbium Sinense</v>
      </c>
      <c r="H1330" t="str">
        <f>_xlfn.XLOOKUP(frasest[[#This Row],[autor_es]],autorest[autor_es],autorest[bio_es])</f>
        <v>Conjunto de proverbios tradicionales de la cultura china que transmiten sabiduría popular, valores morales y enseñanzas prácticas transmitidas oralmente durante siglos.</v>
      </c>
      <c r="I1330" t="str">
        <f>_xlfn.XLOOKUP(frasest[[#This Row],[autor_es]],autorest[autor_es],autorest[bio_la])</f>
        <v>Collectio sententiarum Sinensium, magnopere in cultura tradita.</v>
      </c>
      <c r="J1330" t="str">
        <f>_xlfn.XLOOKUP(frasest[[#This Row],[autor_es]],autorest[autor_es],autorest[codigo])</f>
        <v>zh</v>
      </c>
      <c r="K1330" t="str">
        <f>_xlfn.XLOOKUP(frasest[[#This Row],[autor_es]],autorest[autor_es],autorest[idioma_es])</f>
        <v>Chino</v>
      </c>
      <c r="L1330" t="str">
        <f>_xlfn.XLOOKUP(frasest[[#This Row],[autor_es]],autorest[autor_es],autorest[idioma_la])</f>
        <v>Lingua Sinica</v>
      </c>
      <c r="M1330" t="str">
        <f>_xlfn.XLOOKUP(frasest[[#This Row],[autor_es]],autorest[autor_es],autorest[nacion_es])</f>
        <v>China</v>
      </c>
      <c r="N1330" t="str">
        <f>_xlfn.XLOOKUP(frasest[[#This Row],[autor_es]],autorest[autor_es],autorest[nacion_la])</f>
        <v>Sinae</v>
      </c>
      <c r="O1330" t="str">
        <f>_xlfn.XLOOKUP(frasest[[#This Row],[autor_es]],autorest[autor_es],autorest[epoca_es])</f>
        <v>Epoca Desconocida</v>
      </c>
      <c r="P1330" t="str">
        <f>_xlfn.XLOOKUP(frasest[[#This Row],[autor_es]],autorest[autor_es],autorest[epoca_la])</f>
        <v>Epocha Ignota</v>
      </c>
      <c r="Q1330" t="str">
        <f>_xlfn.XLOOKUP(frasest[[#This Row],[autor_es]],autorest[autor_es],autorest[imagen])</f>
        <v>https://i.ibb.co/qLfpZm6h/china.png</v>
      </c>
      <c r="R1330">
        <f>_xlfn.XLOOKUP(frasest[[#This Row],[autor_es]],autorest[autor_es],autorest[imagen_atr])</f>
        <v>0</v>
      </c>
    </row>
    <row r="1331" spans="1:18">
      <c r="A1331">
        <v>1330</v>
      </c>
      <c r="B1331" t="s">
        <v>4099</v>
      </c>
      <c r="C1331" t="s">
        <v>4100</v>
      </c>
      <c r="D1331" s="1" t="s">
        <v>4101</v>
      </c>
      <c r="E1331" t="s">
        <v>36</v>
      </c>
      <c r="G1331" t="str">
        <f>_xlfn.XLOOKUP(frasest[[#This Row],[autor_es]],autorest[autor_es],autorest[autor_la])</f>
        <v>Proverbium Sinense</v>
      </c>
      <c r="H1331" t="str">
        <f>_xlfn.XLOOKUP(frasest[[#This Row],[autor_es]],autorest[autor_es],autorest[bio_es])</f>
        <v>Conjunto de proverbios tradicionales de la cultura china que transmiten sabiduría popular, valores morales y enseñanzas prácticas transmitidas oralmente durante siglos.</v>
      </c>
      <c r="I1331" t="str">
        <f>_xlfn.XLOOKUP(frasest[[#This Row],[autor_es]],autorest[autor_es],autorest[bio_la])</f>
        <v>Collectio sententiarum Sinensium, magnopere in cultura tradita.</v>
      </c>
      <c r="J1331" t="str">
        <f>_xlfn.XLOOKUP(frasest[[#This Row],[autor_es]],autorest[autor_es],autorest[codigo])</f>
        <v>zh</v>
      </c>
      <c r="K1331" t="str">
        <f>_xlfn.XLOOKUP(frasest[[#This Row],[autor_es]],autorest[autor_es],autorest[idioma_es])</f>
        <v>Chino</v>
      </c>
      <c r="L1331" t="str">
        <f>_xlfn.XLOOKUP(frasest[[#This Row],[autor_es]],autorest[autor_es],autorest[idioma_la])</f>
        <v>Lingua Sinica</v>
      </c>
      <c r="M1331" t="str">
        <f>_xlfn.XLOOKUP(frasest[[#This Row],[autor_es]],autorest[autor_es],autorest[nacion_es])</f>
        <v>China</v>
      </c>
      <c r="N1331" t="str">
        <f>_xlfn.XLOOKUP(frasest[[#This Row],[autor_es]],autorest[autor_es],autorest[nacion_la])</f>
        <v>Sinae</v>
      </c>
      <c r="O1331" t="str">
        <f>_xlfn.XLOOKUP(frasest[[#This Row],[autor_es]],autorest[autor_es],autorest[epoca_es])</f>
        <v>Epoca Desconocida</v>
      </c>
      <c r="P1331" t="str">
        <f>_xlfn.XLOOKUP(frasest[[#This Row],[autor_es]],autorest[autor_es],autorest[epoca_la])</f>
        <v>Epocha Ignota</v>
      </c>
      <c r="Q1331" t="str">
        <f>_xlfn.XLOOKUP(frasest[[#This Row],[autor_es]],autorest[autor_es],autorest[imagen])</f>
        <v>https://i.ibb.co/qLfpZm6h/china.png</v>
      </c>
      <c r="R1331">
        <f>_xlfn.XLOOKUP(frasest[[#This Row],[autor_es]],autorest[autor_es],autorest[imagen_atr])</f>
        <v>0</v>
      </c>
    </row>
    <row r="1332" spans="1:18">
      <c r="A1332">
        <v>1331</v>
      </c>
      <c r="B1332" t="s">
        <v>4102</v>
      </c>
      <c r="C1332" t="s">
        <v>4103</v>
      </c>
      <c r="D1332" s="1" t="s">
        <v>4104</v>
      </c>
      <c r="E1332" t="s">
        <v>36</v>
      </c>
      <c r="G1332" t="str">
        <f>_xlfn.XLOOKUP(frasest[[#This Row],[autor_es]],autorest[autor_es],autorest[autor_la])</f>
        <v>Proverbium Sinense</v>
      </c>
      <c r="H1332" t="str">
        <f>_xlfn.XLOOKUP(frasest[[#This Row],[autor_es]],autorest[autor_es],autorest[bio_es])</f>
        <v>Conjunto de proverbios tradicionales de la cultura china que transmiten sabiduría popular, valores morales y enseñanzas prácticas transmitidas oralmente durante siglos.</v>
      </c>
      <c r="I1332" t="str">
        <f>_xlfn.XLOOKUP(frasest[[#This Row],[autor_es]],autorest[autor_es],autorest[bio_la])</f>
        <v>Collectio sententiarum Sinensium, magnopere in cultura tradita.</v>
      </c>
      <c r="J1332" t="str">
        <f>_xlfn.XLOOKUP(frasest[[#This Row],[autor_es]],autorest[autor_es],autorest[codigo])</f>
        <v>zh</v>
      </c>
      <c r="K1332" t="str">
        <f>_xlfn.XLOOKUP(frasest[[#This Row],[autor_es]],autorest[autor_es],autorest[idioma_es])</f>
        <v>Chino</v>
      </c>
      <c r="L1332" t="str">
        <f>_xlfn.XLOOKUP(frasest[[#This Row],[autor_es]],autorest[autor_es],autorest[idioma_la])</f>
        <v>Lingua Sinica</v>
      </c>
      <c r="M1332" t="str">
        <f>_xlfn.XLOOKUP(frasest[[#This Row],[autor_es]],autorest[autor_es],autorest[nacion_es])</f>
        <v>China</v>
      </c>
      <c r="N1332" t="str">
        <f>_xlfn.XLOOKUP(frasest[[#This Row],[autor_es]],autorest[autor_es],autorest[nacion_la])</f>
        <v>Sinae</v>
      </c>
      <c r="O1332" t="str">
        <f>_xlfn.XLOOKUP(frasest[[#This Row],[autor_es]],autorest[autor_es],autorest[epoca_es])</f>
        <v>Epoca Desconocida</v>
      </c>
      <c r="P1332" t="str">
        <f>_xlfn.XLOOKUP(frasest[[#This Row],[autor_es]],autorest[autor_es],autorest[epoca_la])</f>
        <v>Epocha Ignota</v>
      </c>
      <c r="Q1332" t="str">
        <f>_xlfn.XLOOKUP(frasest[[#This Row],[autor_es]],autorest[autor_es],autorest[imagen])</f>
        <v>https://i.ibb.co/qLfpZm6h/china.png</v>
      </c>
      <c r="R1332">
        <f>_xlfn.XLOOKUP(frasest[[#This Row],[autor_es]],autorest[autor_es],autorest[imagen_atr])</f>
        <v>0</v>
      </c>
    </row>
    <row r="1333" spans="1:18">
      <c r="A1333">
        <v>1332</v>
      </c>
      <c r="B1333" t="s">
        <v>4105</v>
      </c>
      <c r="C1333" t="s">
        <v>4106</v>
      </c>
      <c r="D1333" s="1" t="s">
        <v>3234</v>
      </c>
      <c r="E1333" t="s">
        <v>36</v>
      </c>
      <c r="G1333" t="str">
        <f>_xlfn.XLOOKUP(frasest[[#This Row],[autor_es]],autorest[autor_es],autorest[autor_la])</f>
        <v>Proverbium Sinense</v>
      </c>
      <c r="H1333" t="str">
        <f>_xlfn.XLOOKUP(frasest[[#This Row],[autor_es]],autorest[autor_es],autorest[bio_es])</f>
        <v>Conjunto de proverbios tradicionales de la cultura china que transmiten sabiduría popular, valores morales y enseñanzas prácticas transmitidas oralmente durante siglos.</v>
      </c>
      <c r="I1333" t="str">
        <f>_xlfn.XLOOKUP(frasest[[#This Row],[autor_es]],autorest[autor_es],autorest[bio_la])</f>
        <v>Collectio sententiarum Sinensium, magnopere in cultura tradita.</v>
      </c>
      <c r="J1333" t="str">
        <f>_xlfn.XLOOKUP(frasest[[#This Row],[autor_es]],autorest[autor_es],autorest[codigo])</f>
        <v>zh</v>
      </c>
      <c r="K1333" t="str">
        <f>_xlfn.XLOOKUP(frasest[[#This Row],[autor_es]],autorest[autor_es],autorest[idioma_es])</f>
        <v>Chino</v>
      </c>
      <c r="L1333" t="str">
        <f>_xlfn.XLOOKUP(frasest[[#This Row],[autor_es]],autorest[autor_es],autorest[idioma_la])</f>
        <v>Lingua Sinica</v>
      </c>
      <c r="M1333" t="str">
        <f>_xlfn.XLOOKUP(frasest[[#This Row],[autor_es]],autorest[autor_es],autorest[nacion_es])</f>
        <v>China</v>
      </c>
      <c r="N1333" t="str">
        <f>_xlfn.XLOOKUP(frasest[[#This Row],[autor_es]],autorest[autor_es],autorest[nacion_la])</f>
        <v>Sinae</v>
      </c>
      <c r="O1333" t="str">
        <f>_xlfn.XLOOKUP(frasest[[#This Row],[autor_es]],autorest[autor_es],autorest[epoca_es])</f>
        <v>Epoca Desconocida</v>
      </c>
      <c r="P1333" t="str">
        <f>_xlfn.XLOOKUP(frasest[[#This Row],[autor_es]],autorest[autor_es],autorest[epoca_la])</f>
        <v>Epocha Ignota</v>
      </c>
      <c r="Q1333" t="str">
        <f>_xlfn.XLOOKUP(frasest[[#This Row],[autor_es]],autorest[autor_es],autorest[imagen])</f>
        <v>https://i.ibb.co/qLfpZm6h/china.png</v>
      </c>
      <c r="R1333">
        <f>_xlfn.XLOOKUP(frasest[[#This Row],[autor_es]],autorest[autor_es],autorest[imagen_atr])</f>
        <v>0</v>
      </c>
    </row>
    <row r="1334" spans="1:18">
      <c r="A1334">
        <v>1333</v>
      </c>
      <c r="B1334" t="s">
        <v>4107</v>
      </c>
      <c r="C1334" t="s">
        <v>4108</v>
      </c>
      <c r="D1334" s="1" t="s">
        <v>4109</v>
      </c>
      <c r="E1334" t="s">
        <v>36</v>
      </c>
      <c r="G1334" t="str">
        <f>_xlfn.XLOOKUP(frasest[[#This Row],[autor_es]],autorest[autor_es],autorest[autor_la])</f>
        <v>Proverbium Sinense</v>
      </c>
      <c r="H1334" t="str">
        <f>_xlfn.XLOOKUP(frasest[[#This Row],[autor_es]],autorest[autor_es],autorest[bio_es])</f>
        <v>Conjunto de proverbios tradicionales de la cultura china que transmiten sabiduría popular, valores morales y enseñanzas prácticas transmitidas oralmente durante siglos.</v>
      </c>
      <c r="I1334" t="str">
        <f>_xlfn.XLOOKUP(frasest[[#This Row],[autor_es]],autorest[autor_es],autorest[bio_la])</f>
        <v>Collectio sententiarum Sinensium, magnopere in cultura tradita.</v>
      </c>
      <c r="J1334" t="str">
        <f>_xlfn.XLOOKUP(frasest[[#This Row],[autor_es]],autorest[autor_es],autorest[codigo])</f>
        <v>zh</v>
      </c>
      <c r="K1334" t="str">
        <f>_xlfn.XLOOKUP(frasest[[#This Row],[autor_es]],autorest[autor_es],autorest[idioma_es])</f>
        <v>Chino</v>
      </c>
      <c r="L1334" t="str">
        <f>_xlfn.XLOOKUP(frasest[[#This Row],[autor_es]],autorest[autor_es],autorest[idioma_la])</f>
        <v>Lingua Sinica</v>
      </c>
      <c r="M1334" t="str">
        <f>_xlfn.XLOOKUP(frasest[[#This Row],[autor_es]],autorest[autor_es],autorest[nacion_es])</f>
        <v>China</v>
      </c>
      <c r="N1334" t="str">
        <f>_xlfn.XLOOKUP(frasest[[#This Row],[autor_es]],autorest[autor_es],autorest[nacion_la])</f>
        <v>Sinae</v>
      </c>
      <c r="O1334" t="str">
        <f>_xlfn.XLOOKUP(frasest[[#This Row],[autor_es]],autorest[autor_es],autorest[epoca_es])</f>
        <v>Epoca Desconocida</v>
      </c>
      <c r="P1334" t="str">
        <f>_xlfn.XLOOKUP(frasest[[#This Row],[autor_es]],autorest[autor_es],autorest[epoca_la])</f>
        <v>Epocha Ignota</v>
      </c>
      <c r="Q1334" t="str">
        <f>_xlfn.XLOOKUP(frasest[[#This Row],[autor_es]],autorest[autor_es],autorest[imagen])</f>
        <v>https://i.ibb.co/qLfpZm6h/china.png</v>
      </c>
      <c r="R1334">
        <f>_xlfn.XLOOKUP(frasest[[#This Row],[autor_es]],autorest[autor_es],autorest[imagen_atr])</f>
        <v>0</v>
      </c>
    </row>
    <row r="1335" spans="1:18">
      <c r="A1335">
        <v>1334</v>
      </c>
      <c r="B1335" t="s">
        <v>4110</v>
      </c>
      <c r="C1335" t="s">
        <v>4111</v>
      </c>
      <c r="D1335" s="1" t="s">
        <v>4112</v>
      </c>
      <c r="E1335" t="s">
        <v>36</v>
      </c>
      <c r="G1335" t="str">
        <f>_xlfn.XLOOKUP(frasest[[#This Row],[autor_es]],autorest[autor_es],autorest[autor_la])</f>
        <v>Proverbium Sinense</v>
      </c>
      <c r="H1335" t="str">
        <f>_xlfn.XLOOKUP(frasest[[#This Row],[autor_es]],autorest[autor_es],autorest[bio_es])</f>
        <v>Conjunto de proverbios tradicionales de la cultura china que transmiten sabiduría popular, valores morales y enseñanzas prácticas transmitidas oralmente durante siglos.</v>
      </c>
      <c r="I1335" t="str">
        <f>_xlfn.XLOOKUP(frasest[[#This Row],[autor_es]],autorest[autor_es],autorest[bio_la])</f>
        <v>Collectio sententiarum Sinensium, magnopere in cultura tradita.</v>
      </c>
      <c r="J1335" t="str">
        <f>_xlfn.XLOOKUP(frasest[[#This Row],[autor_es]],autorest[autor_es],autorest[codigo])</f>
        <v>zh</v>
      </c>
      <c r="K1335" t="str">
        <f>_xlfn.XLOOKUP(frasest[[#This Row],[autor_es]],autorest[autor_es],autorest[idioma_es])</f>
        <v>Chino</v>
      </c>
      <c r="L1335" t="str">
        <f>_xlfn.XLOOKUP(frasest[[#This Row],[autor_es]],autorest[autor_es],autorest[idioma_la])</f>
        <v>Lingua Sinica</v>
      </c>
      <c r="M1335" t="str">
        <f>_xlfn.XLOOKUP(frasest[[#This Row],[autor_es]],autorest[autor_es],autorest[nacion_es])</f>
        <v>China</v>
      </c>
      <c r="N1335" t="str">
        <f>_xlfn.XLOOKUP(frasest[[#This Row],[autor_es]],autorest[autor_es],autorest[nacion_la])</f>
        <v>Sinae</v>
      </c>
      <c r="O1335" t="str">
        <f>_xlfn.XLOOKUP(frasest[[#This Row],[autor_es]],autorest[autor_es],autorest[epoca_es])</f>
        <v>Epoca Desconocida</v>
      </c>
      <c r="P1335" t="str">
        <f>_xlfn.XLOOKUP(frasest[[#This Row],[autor_es]],autorest[autor_es],autorest[epoca_la])</f>
        <v>Epocha Ignota</v>
      </c>
      <c r="Q1335" t="str">
        <f>_xlfn.XLOOKUP(frasest[[#This Row],[autor_es]],autorest[autor_es],autorest[imagen])</f>
        <v>https://i.ibb.co/qLfpZm6h/china.png</v>
      </c>
      <c r="R1335">
        <f>_xlfn.XLOOKUP(frasest[[#This Row],[autor_es]],autorest[autor_es],autorest[imagen_atr])</f>
        <v>0</v>
      </c>
    </row>
    <row r="1336" spans="1:18">
      <c r="A1336">
        <v>1335</v>
      </c>
      <c r="B1336" t="s">
        <v>4113</v>
      </c>
      <c r="C1336" t="s">
        <v>4114</v>
      </c>
      <c r="D1336" s="1" t="s">
        <v>4115</v>
      </c>
      <c r="E1336" t="s">
        <v>36</v>
      </c>
      <c r="G1336" t="str">
        <f>_xlfn.XLOOKUP(frasest[[#This Row],[autor_es]],autorest[autor_es],autorest[autor_la])</f>
        <v>Proverbium Sinense</v>
      </c>
      <c r="H1336" t="str">
        <f>_xlfn.XLOOKUP(frasest[[#This Row],[autor_es]],autorest[autor_es],autorest[bio_es])</f>
        <v>Conjunto de proverbios tradicionales de la cultura china que transmiten sabiduría popular, valores morales y enseñanzas prácticas transmitidas oralmente durante siglos.</v>
      </c>
      <c r="I1336" t="str">
        <f>_xlfn.XLOOKUP(frasest[[#This Row],[autor_es]],autorest[autor_es],autorest[bio_la])</f>
        <v>Collectio sententiarum Sinensium, magnopere in cultura tradita.</v>
      </c>
      <c r="J1336" t="str">
        <f>_xlfn.XLOOKUP(frasest[[#This Row],[autor_es]],autorest[autor_es],autorest[codigo])</f>
        <v>zh</v>
      </c>
      <c r="K1336" t="str">
        <f>_xlfn.XLOOKUP(frasest[[#This Row],[autor_es]],autorest[autor_es],autorest[idioma_es])</f>
        <v>Chino</v>
      </c>
      <c r="L1336" t="str">
        <f>_xlfn.XLOOKUP(frasest[[#This Row],[autor_es]],autorest[autor_es],autorest[idioma_la])</f>
        <v>Lingua Sinica</v>
      </c>
      <c r="M1336" t="str">
        <f>_xlfn.XLOOKUP(frasest[[#This Row],[autor_es]],autorest[autor_es],autorest[nacion_es])</f>
        <v>China</v>
      </c>
      <c r="N1336" t="str">
        <f>_xlfn.XLOOKUP(frasest[[#This Row],[autor_es]],autorest[autor_es],autorest[nacion_la])</f>
        <v>Sinae</v>
      </c>
      <c r="O1336" t="str">
        <f>_xlfn.XLOOKUP(frasest[[#This Row],[autor_es]],autorest[autor_es],autorest[epoca_es])</f>
        <v>Epoca Desconocida</v>
      </c>
      <c r="P1336" t="str">
        <f>_xlfn.XLOOKUP(frasest[[#This Row],[autor_es]],autorest[autor_es],autorest[epoca_la])</f>
        <v>Epocha Ignota</v>
      </c>
      <c r="Q1336" t="str">
        <f>_xlfn.XLOOKUP(frasest[[#This Row],[autor_es]],autorest[autor_es],autorest[imagen])</f>
        <v>https://i.ibb.co/qLfpZm6h/china.png</v>
      </c>
      <c r="R1336">
        <f>_xlfn.XLOOKUP(frasest[[#This Row],[autor_es]],autorest[autor_es],autorest[imagen_atr])</f>
        <v>0</v>
      </c>
    </row>
    <row r="1337" spans="1:18">
      <c r="A1337">
        <v>1336</v>
      </c>
      <c r="B1337" t="s">
        <v>4116</v>
      </c>
      <c r="C1337" t="s">
        <v>4117</v>
      </c>
      <c r="D1337" s="1" t="s">
        <v>4118</v>
      </c>
      <c r="E1337" t="s">
        <v>36</v>
      </c>
      <c r="G1337" t="str">
        <f>_xlfn.XLOOKUP(frasest[[#This Row],[autor_es]],autorest[autor_es],autorest[autor_la])</f>
        <v>Proverbium Sinense</v>
      </c>
      <c r="H1337" t="str">
        <f>_xlfn.XLOOKUP(frasest[[#This Row],[autor_es]],autorest[autor_es],autorest[bio_es])</f>
        <v>Conjunto de proverbios tradicionales de la cultura china que transmiten sabiduría popular, valores morales y enseñanzas prácticas transmitidas oralmente durante siglos.</v>
      </c>
      <c r="I1337" t="str">
        <f>_xlfn.XLOOKUP(frasest[[#This Row],[autor_es]],autorest[autor_es],autorest[bio_la])</f>
        <v>Collectio sententiarum Sinensium, magnopere in cultura tradita.</v>
      </c>
      <c r="J1337" t="str">
        <f>_xlfn.XLOOKUP(frasest[[#This Row],[autor_es]],autorest[autor_es],autorest[codigo])</f>
        <v>zh</v>
      </c>
      <c r="K1337" t="str">
        <f>_xlfn.XLOOKUP(frasest[[#This Row],[autor_es]],autorest[autor_es],autorest[idioma_es])</f>
        <v>Chino</v>
      </c>
      <c r="L1337" t="str">
        <f>_xlfn.XLOOKUP(frasest[[#This Row],[autor_es]],autorest[autor_es],autorest[idioma_la])</f>
        <v>Lingua Sinica</v>
      </c>
      <c r="M1337" t="str">
        <f>_xlfn.XLOOKUP(frasest[[#This Row],[autor_es]],autorest[autor_es],autorest[nacion_es])</f>
        <v>China</v>
      </c>
      <c r="N1337" t="str">
        <f>_xlfn.XLOOKUP(frasest[[#This Row],[autor_es]],autorest[autor_es],autorest[nacion_la])</f>
        <v>Sinae</v>
      </c>
      <c r="O1337" t="str">
        <f>_xlfn.XLOOKUP(frasest[[#This Row],[autor_es]],autorest[autor_es],autorest[epoca_es])</f>
        <v>Epoca Desconocida</v>
      </c>
      <c r="P1337" t="str">
        <f>_xlfn.XLOOKUP(frasest[[#This Row],[autor_es]],autorest[autor_es],autorest[epoca_la])</f>
        <v>Epocha Ignota</v>
      </c>
      <c r="Q1337" t="str">
        <f>_xlfn.XLOOKUP(frasest[[#This Row],[autor_es]],autorest[autor_es],autorest[imagen])</f>
        <v>https://i.ibb.co/qLfpZm6h/china.png</v>
      </c>
      <c r="R1337">
        <f>_xlfn.XLOOKUP(frasest[[#This Row],[autor_es]],autorest[autor_es],autorest[imagen_atr])</f>
        <v>0</v>
      </c>
    </row>
    <row r="1338" spans="1:18">
      <c r="A1338">
        <v>1337</v>
      </c>
      <c r="B1338" t="s">
        <v>4119</v>
      </c>
      <c r="C1338" t="s">
        <v>4120</v>
      </c>
      <c r="D1338" s="1" t="s">
        <v>4121</v>
      </c>
      <c r="E1338" t="s">
        <v>36</v>
      </c>
      <c r="G1338" t="str">
        <f>_xlfn.XLOOKUP(frasest[[#This Row],[autor_es]],autorest[autor_es],autorest[autor_la])</f>
        <v>Proverbium Sinense</v>
      </c>
      <c r="H1338" t="str">
        <f>_xlfn.XLOOKUP(frasest[[#This Row],[autor_es]],autorest[autor_es],autorest[bio_es])</f>
        <v>Conjunto de proverbios tradicionales de la cultura china que transmiten sabiduría popular, valores morales y enseñanzas prácticas transmitidas oralmente durante siglos.</v>
      </c>
      <c r="I1338" t="str">
        <f>_xlfn.XLOOKUP(frasest[[#This Row],[autor_es]],autorest[autor_es],autorest[bio_la])</f>
        <v>Collectio sententiarum Sinensium, magnopere in cultura tradita.</v>
      </c>
      <c r="J1338" t="str">
        <f>_xlfn.XLOOKUP(frasest[[#This Row],[autor_es]],autorest[autor_es],autorest[codigo])</f>
        <v>zh</v>
      </c>
      <c r="K1338" t="str">
        <f>_xlfn.XLOOKUP(frasest[[#This Row],[autor_es]],autorest[autor_es],autorest[idioma_es])</f>
        <v>Chino</v>
      </c>
      <c r="L1338" t="str">
        <f>_xlfn.XLOOKUP(frasest[[#This Row],[autor_es]],autorest[autor_es],autorest[idioma_la])</f>
        <v>Lingua Sinica</v>
      </c>
      <c r="M1338" t="str">
        <f>_xlfn.XLOOKUP(frasest[[#This Row],[autor_es]],autorest[autor_es],autorest[nacion_es])</f>
        <v>China</v>
      </c>
      <c r="N1338" t="str">
        <f>_xlfn.XLOOKUP(frasest[[#This Row],[autor_es]],autorest[autor_es],autorest[nacion_la])</f>
        <v>Sinae</v>
      </c>
      <c r="O1338" t="str">
        <f>_xlfn.XLOOKUP(frasest[[#This Row],[autor_es]],autorest[autor_es],autorest[epoca_es])</f>
        <v>Epoca Desconocida</v>
      </c>
      <c r="P1338" t="str">
        <f>_xlfn.XLOOKUP(frasest[[#This Row],[autor_es]],autorest[autor_es],autorest[epoca_la])</f>
        <v>Epocha Ignota</v>
      </c>
      <c r="Q1338" t="str">
        <f>_xlfn.XLOOKUP(frasest[[#This Row],[autor_es]],autorest[autor_es],autorest[imagen])</f>
        <v>https://i.ibb.co/qLfpZm6h/china.png</v>
      </c>
      <c r="R1338">
        <f>_xlfn.XLOOKUP(frasest[[#This Row],[autor_es]],autorest[autor_es],autorest[imagen_atr])</f>
        <v>0</v>
      </c>
    </row>
    <row r="1339" spans="1:18">
      <c r="A1339">
        <v>1338</v>
      </c>
      <c r="B1339" t="s">
        <v>4122</v>
      </c>
      <c r="C1339" t="s">
        <v>4123</v>
      </c>
      <c r="D1339" s="1" t="s">
        <v>4124</v>
      </c>
      <c r="E1339" t="s">
        <v>36</v>
      </c>
      <c r="G1339" t="str">
        <f>_xlfn.XLOOKUP(frasest[[#This Row],[autor_es]],autorest[autor_es],autorest[autor_la])</f>
        <v>Proverbium Sinense</v>
      </c>
      <c r="H1339" t="str">
        <f>_xlfn.XLOOKUP(frasest[[#This Row],[autor_es]],autorest[autor_es],autorest[bio_es])</f>
        <v>Conjunto de proverbios tradicionales de la cultura china que transmiten sabiduría popular, valores morales y enseñanzas prácticas transmitidas oralmente durante siglos.</v>
      </c>
      <c r="I1339" t="str">
        <f>_xlfn.XLOOKUP(frasest[[#This Row],[autor_es]],autorest[autor_es],autorest[bio_la])</f>
        <v>Collectio sententiarum Sinensium, magnopere in cultura tradita.</v>
      </c>
      <c r="J1339" t="str">
        <f>_xlfn.XLOOKUP(frasest[[#This Row],[autor_es]],autorest[autor_es],autorest[codigo])</f>
        <v>zh</v>
      </c>
      <c r="K1339" t="str">
        <f>_xlfn.XLOOKUP(frasest[[#This Row],[autor_es]],autorest[autor_es],autorest[idioma_es])</f>
        <v>Chino</v>
      </c>
      <c r="L1339" t="str">
        <f>_xlfn.XLOOKUP(frasest[[#This Row],[autor_es]],autorest[autor_es],autorest[idioma_la])</f>
        <v>Lingua Sinica</v>
      </c>
      <c r="M1339" t="str">
        <f>_xlfn.XLOOKUP(frasest[[#This Row],[autor_es]],autorest[autor_es],autorest[nacion_es])</f>
        <v>China</v>
      </c>
      <c r="N1339" t="str">
        <f>_xlfn.XLOOKUP(frasest[[#This Row],[autor_es]],autorest[autor_es],autorest[nacion_la])</f>
        <v>Sinae</v>
      </c>
      <c r="O1339" t="str">
        <f>_xlfn.XLOOKUP(frasest[[#This Row],[autor_es]],autorest[autor_es],autorest[epoca_es])</f>
        <v>Epoca Desconocida</v>
      </c>
      <c r="P1339" t="str">
        <f>_xlfn.XLOOKUP(frasest[[#This Row],[autor_es]],autorest[autor_es],autorest[epoca_la])</f>
        <v>Epocha Ignota</v>
      </c>
      <c r="Q1339" t="str">
        <f>_xlfn.XLOOKUP(frasest[[#This Row],[autor_es]],autorest[autor_es],autorest[imagen])</f>
        <v>https://i.ibb.co/qLfpZm6h/china.png</v>
      </c>
      <c r="R1339">
        <f>_xlfn.XLOOKUP(frasest[[#This Row],[autor_es]],autorest[autor_es],autorest[imagen_atr])</f>
        <v>0</v>
      </c>
    </row>
    <row r="1340" spans="1:18">
      <c r="A1340">
        <v>1339</v>
      </c>
      <c r="B1340" t="s">
        <v>4125</v>
      </c>
      <c r="C1340" t="s">
        <v>4126</v>
      </c>
      <c r="D1340" s="1" t="s">
        <v>4127</v>
      </c>
      <c r="E1340" t="s">
        <v>36</v>
      </c>
      <c r="G1340" t="str">
        <f>_xlfn.XLOOKUP(frasest[[#This Row],[autor_es]],autorest[autor_es],autorest[autor_la])</f>
        <v>Proverbium Sinense</v>
      </c>
      <c r="H1340" t="str">
        <f>_xlfn.XLOOKUP(frasest[[#This Row],[autor_es]],autorest[autor_es],autorest[bio_es])</f>
        <v>Conjunto de proverbios tradicionales de la cultura china que transmiten sabiduría popular, valores morales y enseñanzas prácticas transmitidas oralmente durante siglos.</v>
      </c>
      <c r="I1340" t="str">
        <f>_xlfn.XLOOKUP(frasest[[#This Row],[autor_es]],autorest[autor_es],autorest[bio_la])</f>
        <v>Collectio sententiarum Sinensium, magnopere in cultura tradita.</v>
      </c>
      <c r="J1340" t="str">
        <f>_xlfn.XLOOKUP(frasest[[#This Row],[autor_es]],autorest[autor_es],autorest[codigo])</f>
        <v>zh</v>
      </c>
      <c r="K1340" t="str">
        <f>_xlfn.XLOOKUP(frasest[[#This Row],[autor_es]],autorest[autor_es],autorest[idioma_es])</f>
        <v>Chino</v>
      </c>
      <c r="L1340" t="str">
        <f>_xlfn.XLOOKUP(frasest[[#This Row],[autor_es]],autorest[autor_es],autorest[idioma_la])</f>
        <v>Lingua Sinica</v>
      </c>
      <c r="M1340" t="str">
        <f>_xlfn.XLOOKUP(frasest[[#This Row],[autor_es]],autorest[autor_es],autorest[nacion_es])</f>
        <v>China</v>
      </c>
      <c r="N1340" t="str">
        <f>_xlfn.XLOOKUP(frasest[[#This Row],[autor_es]],autorest[autor_es],autorest[nacion_la])</f>
        <v>Sinae</v>
      </c>
      <c r="O1340" t="str">
        <f>_xlfn.XLOOKUP(frasest[[#This Row],[autor_es]],autorest[autor_es],autorest[epoca_es])</f>
        <v>Epoca Desconocida</v>
      </c>
      <c r="P1340" t="str">
        <f>_xlfn.XLOOKUP(frasest[[#This Row],[autor_es]],autorest[autor_es],autorest[epoca_la])</f>
        <v>Epocha Ignota</v>
      </c>
      <c r="Q1340" t="str">
        <f>_xlfn.XLOOKUP(frasest[[#This Row],[autor_es]],autorest[autor_es],autorest[imagen])</f>
        <v>https://i.ibb.co/qLfpZm6h/china.png</v>
      </c>
      <c r="R1340">
        <f>_xlfn.XLOOKUP(frasest[[#This Row],[autor_es]],autorest[autor_es],autorest[imagen_atr])</f>
        <v>0</v>
      </c>
    </row>
    <row r="1341" spans="1:18">
      <c r="A1341">
        <v>1340</v>
      </c>
      <c r="B1341" t="s">
        <v>4128</v>
      </c>
      <c r="C1341" t="s">
        <v>4129</v>
      </c>
      <c r="D1341" s="1" t="s">
        <v>4130</v>
      </c>
      <c r="E1341" t="s">
        <v>36</v>
      </c>
      <c r="G1341" t="str">
        <f>_xlfn.XLOOKUP(frasest[[#This Row],[autor_es]],autorest[autor_es],autorest[autor_la])</f>
        <v>Proverbium Sinense</v>
      </c>
      <c r="H1341" t="str">
        <f>_xlfn.XLOOKUP(frasest[[#This Row],[autor_es]],autorest[autor_es],autorest[bio_es])</f>
        <v>Conjunto de proverbios tradicionales de la cultura china que transmiten sabiduría popular, valores morales y enseñanzas prácticas transmitidas oralmente durante siglos.</v>
      </c>
      <c r="I1341" t="str">
        <f>_xlfn.XLOOKUP(frasest[[#This Row],[autor_es]],autorest[autor_es],autorest[bio_la])</f>
        <v>Collectio sententiarum Sinensium, magnopere in cultura tradita.</v>
      </c>
      <c r="J1341" t="str">
        <f>_xlfn.XLOOKUP(frasest[[#This Row],[autor_es]],autorest[autor_es],autorest[codigo])</f>
        <v>zh</v>
      </c>
      <c r="K1341" t="str">
        <f>_xlfn.XLOOKUP(frasest[[#This Row],[autor_es]],autorest[autor_es],autorest[idioma_es])</f>
        <v>Chino</v>
      </c>
      <c r="L1341" t="str">
        <f>_xlfn.XLOOKUP(frasest[[#This Row],[autor_es]],autorest[autor_es],autorest[idioma_la])</f>
        <v>Lingua Sinica</v>
      </c>
      <c r="M1341" t="str">
        <f>_xlfn.XLOOKUP(frasest[[#This Row],[autor_es]],autorest[autor_es],autorest[nacion_es])</f>
        <v>China</v>
      </c>
      <c r="N1341" t="str">
        <f>_xlfn.XLOOKUP(frasest[[#This Row],[autor_es]],autorest[autor_es],autorest[nacion_la])</f>
        <v>Sinae</v>
      </c>
      <c r="O1341" t="str">
        <f>_xlfn.XLOOKUP(frasest[[#This Row],[autor_es]],autorest[autor_es],autorest[epoca_es])</f>
        <v>Epoca Desconocida</v>
      </c>
      <c r="P1341" t="str">
        <f>_xlfn.XLOOKUP(frasest[[#This Row],[autor_es]],autorest[autor_es],autorest[epoca_la])</f>
        <v>Epocha Ignota</v>
      </c>
      <c r="Q1341" t="str">
        <f>_xlfn.XLOOKUP(frasest[[#This Row],[autor_es]],autorest[autor_es],autorest[imagen])</f>
        <v>https://i.ibb.co/qLfpZm6h/china.png</v>
      </c>
      <c r="R1341">
        <f>_xlfn.XLOOKUP(frasest[[#This Row],[autor_es]],autorest[autor_es],autorest[imagen_atr])</f>
        <v>0</v>
      </c>
    </row>
    <row r="1342" spans="1:18">
      <c r="A1342">
        <v>1341</v>
      </c>
      <c r="B1342" t="s">
        <v>4131</v>
      </c>
      <c r="C1342" t="s">
        <v>4132</v>
      </c>
      <c r="D1342" s="1" t="s">
        <v>4133</v>
      </c>
      <c r="E1342" t="s">
        <v>36</v>
      </c>
      <c r="G1342" t="str">
        <f>_xlfn.XLOOKUP(frasest[[#This Row],[autor_es]],autorest[autor_es],autorest[autor_la])</f>
        <v>Proverbium Sinense</v>
      </c>
      <c r="H1342" t="str">
        <f>_xlfn.XLOOKUP(frasest[[#This Row],[autor_es]],autorest[autor_es],autorest[bio_es])</f>
        <v>Conjunto de proverbios tradicionales de la cultura china que transmiten sabiduría popular, valores morales y enseñanzas prácticas transmitidas oralmente durante siglos.</v>
      </c>
      <c r="I1342" t="str">
        <f>_xlfn.XLOOKUP(frasest[[#This Row],[autor_es]],autorest[autor_es],autorest[bio_la])</f>
        <v>Collectio sententiarum Sinensium, magnopere in cultura tradita.</v>
      </c>
      <c r="J1342" t="str">
        <f>_xlfn.XLOOKUP(frasest[[#This Row],[autor_es]],autorest[autor_es],autorest[codigo])</f>
        <v>zh</v>
      </c>
      <c r="K1342" t="str">
        <f>_xlfn.XLOOKUP(frasest[[#This Row],[autor_es]],autorest[autor_es],autorest[idioma_es])</f>
        <v>Chino</v>
      </c>
      <c r="L1342" t="str">
        <f>_xlfn.XLOOKUP(frasest[[#This Row],[autor_es]],autorest[autor_es],autorest[idioma_la])</f>
        <v>Lingua Sinica</v>
      </c>
      <c r="M1342" t="str">
        <f>_xlfn.XLOOKUP(frasest[[#This Row],[autor_es]],autorest[autor_es],autorest[nacion_es])</f>
        <v>China</v>
      </c>
      <c r="N1342" t="str">
        <f>_xlfn.XLOOKUP(frasest[[#This Row],[autor_es]],autorest[autor_es],autorest[nacion_la])</f>
        <v>Sinae</v>
      </c>
      <c r="O1342" t="str">
        <f>_xlfn.XLOOKUP(frasest[[#This Row],[autor_es]],autorest[autor_es],autorest[epoca_es])</f>
        <v>Epoca Desconocida</v>
      </c>
      <c r="P1342" t="str">
        <f>_xlfn.XLOOKUP(frasest[[#This Row],[autor_es]],autorest[autor_es],autorest[epoca_la])</f>
        <v>Epocha Ignota</v>
      </c>
      <c r="Q1342" t="str">
        <f>_xlfn.XLOOKUP(frasest[[#This Row],[autor_es]],autorest[autor_es],autorest[imagen])</f>
        <v>https://i.ibb.co/qLfpZm6h/china.png</v>
      </c>
      <c r="R1342">
        <f>_xlfn.XLOOKUP(frasest[[#This Row],[autor_es]],autorest[autor_es],autorest[imagen_atr])</f>
        <v>0</v>
      </c>
    </row>
    <row r="1343" spans="1:18">
      <c r="A1343">
        <v>1342</v>
      </c>
      <c r="B1343" t="s">
        <v>4134</v>
      </c>
      <c r="C1343" t="s">
        <v>4135</v>
      </c>
      <c r="D1343" s="1" t="s">
        <v>4136</v>
      </c>
      <c r="E1343" t="s">
        <v>36</v>
      </c>
      <c r="G1343" t="str">
        <f>_xlfn.XLOOKUP(frasest[[#This Row],[autor_es]],autorest[autor_es],autorest[autor_la])</f>
        <v>Proverbium Sinense</v>
      </c>
      <c r="H1343" t="str">
        <f>_xlfn.XLOOKUP(frasest[[#This Row],[autor_es]],autorest[autor_es],autorest[bio_es])</f>
        <v>Conjunto de proverbios tradicionales de la cultura china que transmiten sabiduría popular, valores morales y enseñanzas prácticas transmitidas oralmente durante siglos.</v>
      </c>
      <c r="I1343" t="str">
        <f>_xlfn.XLOOKUP(frasest[[#This Row],[autor_es]],autorest[autor_es],autorest[bio_la])</f>
        <v>Collectio sententiarum Sinensium, magnopere in cultura tradita.</v>
      </c>
      <c r="J1343" t="str">
        <f>_xlfn.XLOOKUP(frasest[[#This Row],[autor_es]],autorest[autor_es],autorest[codigo])</f>
        <v>zh</v>
      </c>
      <c r="K1343" t="str">
        <f>_xlfn.XLOOKUP(frasest[[#This Row],[autor_es]],autorest[autor_es],autorest[idioma_es])</f>
        <v>Chino</v>
      </c>
      <c r="L1343" t="str">
        <f>_xlfn.XLOOKUP(frasest[[#This Row],[autor_es]],autorest[autor_es],autorest[idioma_la])</f>
        <v>Lingua Sinica</v>
      </c>
      <c r="M1343" t="str">
        <f>_xlfn.XLOOKUP(frasest[[#This Row],[autor_es]],autorest[autor_es],autorest[nacion_es])</f>
        <v>China</v>
      </c>
      <c r="N1343" t="str">
        <f>_xlfn.XLOOKUP(frasest[[#This Row],[autor_es]],autorest[autor_es],autorest[nacion_la])</f>
        <v>Sinae</v>
      </c>
      <c r="O1343" t="str">
        <f>_xlfn.XLOOKUP(frasest[[#This Row],[autor_es]],autorest[autor_es],autorest[epoca_es])</f>
        <v>Epoca Desconocida</v>
      </c>
      <c r="P1343" t="str">
        <f>_xlfn.XLOOKUP(frasest[[#This Row],[autor_es]],autorest[autor_es],autorest[epoca_la])</f>
        <v>Epocha Ignota</v>
      </c>
      <c r="Q1343" t="str">
        <f>_xlfn.XLOOKUP(frasest[[#This Row],[autor_es]],autorest[autor_es],autorest[imagen])</f>
        <v>https://i.ibb.co/qLfpZm6h/china.png</v>
      </c>
      <c r="R1343">
        <f>_xlfn.XLOOKUP(frasest[[#This Row],[autor_es]],autorest[autor_es],autorest[imagen_atr])</f>
        <v>0</v>
      </c>
    </row>
    <row r="1344" spans="1:18">
      <c r="A1344">
        <v>1343</v>
      </c>
      <c r="B1344" t="s">
        <v>4137</v>
      </c>
      <c r="C1344" t="s">
        <v>4138</v>
      </c>
      <c r="D1344" s="1" t="s">
        <v>4139</v>
      </c>
      <c r="E1344" t="s">
        <v>36</v>
      </c>
      <c r="G1344" t="str">
        <f>_xlfn.XLOOKUP(frasest[[#This Row],[autor_es]],autorest[autor_es],autorest[autor_la])</f>
        <v>Proverbium Sinense</v>
      </c>
      <c r="H1344" t="str">
        <f>_xlfn.XLOOKUP(frasest[[#This Row],[autor_es]],autorest[autor_es],autorest[bio_es])</f>
        <v>Conjunto de proverbios tradicionales de la cultura china que transmiten sabiduría popular, valores morales y enseñanzas prácticas transmitidas oralmente durante siglos.</v>
      </c>
      <c r="I1344" t="str">
        <f>_xlfn.XLOOKUP(frasest[[#This Row],[autor_es]],autorest[autor_es],autorest[bio_la])</f>
        <v>Collectio sententiarum Sinensium, magnopere in cultura tradita.</v>
      </c>
      <c r="J1344" t="str">
        <f>_xlfn.XLOOKUP(frasest[[#This Row],[autor_es]],autorest[autor_es],autorest[codigo])</f>
        <v>zh</v>
      </c>
      <c r="K1344" t="str">
        <f>_xlfn.XLOOKUP(frasest[[#This Row],[autor_es]],autorest[autor_es],autorest[idioma_es])</f>
        <v>Chino</v>
      </c>
      <c r="L1344" t="str">
        <f>_xlfn.XLOOKUP(frasest[[#This Row],[autor_es]],autorest[autor_es],autorest[idioma_la])</f>
        <v>Lingua Sinica</v>
      </c>
      <c r="M1344" t="str">
        <f>_xlfn.XLOOKUP(frasest[[#This Row],[autor_es]],autorest[autor_es],autorest[nacion_es])</f>
        <v>China</v>
      </c>
      <c r="N1344" t="str">
        <f>_xlfn.XLOOKUP(frasest[[#This Row],[autor_es]],autorest[autor_es],autorest[nacion_la])</f>
        <v>Sinae</v>
      </c>
      <c r="O1344" t="str">
        <f>_xlfn.XLOOKUP(frasest[[#This Row],[autor_es]],autorest[autor_es],autorest[epoca_es])</f>
        <v>Epoca Desconocida</v>
      </c>
      <c r="P1344" t="str">
        <f>_xlfn.XLOOKUP(frasest[[#This Row],[autor_es]],autorest[autor_es],autorest[epoca_la])</f>
        <v>Epocha Ignota</v>
      </c>
      <c r="Q1344" t="str">
        <f>_xlfn.XLOOKUP(frasest[[#This Row],[autor_es]],autorest[autor_es],autorest[imagen])</f>
        <v>https://i.ibb.co/qLfpZm6h/china.png</v>
      </c>
      <c r="R1344">
        <f>_xlfn.XLOOKUP(frasest[[#This Row],[autor_es]],autorest[autor_es],autorest[imagen_atr])</f>
        <v>0</v>
      </c>
    </row>
    <row r="1345" spans="1:18">
      <c r="A1345">
        <v>1344</v>
      </c>
      <c r="B1345" t="s">
        <v>4140</v>
      </c>
      <c r="C1345" t="s">
        <v>4141</v>
      </c>
      <c r="D1345" s="1" t="s">
        <v>4142</v>
      </c>
      <c r="E1345" t="s">
        <v>36</v>
      </c>
      <c r="G1345" t="str">
        <f>_xlfn.XLOOKUP(frasest[[#This Row],[autor_es]],autorest[autor_es],autorest[autor_la])</f>
        <v>Proverbium Sinense</v>
      </c>
      <c r="H1345" t="str">
        <f>_xlfn.XLOOKUP(frasest[[#This Row],[autor_es]],autorest[autor_es],autorest[bio_es])</f>
        <v>Conjunto de proverbios tradicionales de la cultura china que transmiten sabiduría popular, valores morales y enseñanzas prácticas transmitidas oralmente durante siglos.</v>
      </c>
      <c r="I1345" t="str">
        <f>_xlfn.XLOOKUP(frasest[[#This Row],[autor_es]],autorest[autor_es],autorest[bio_la])</f>
        <v>Collectio sententiarum Sinensium, magnopere in cultura tradita.</v>
      </c>
      <c r="J1345" t="str">
        <f>_xlfn.XLOOKUP(frasest[[#This Row],[autor_es]],autorest[autor_es],autorest[codigo])</f>
        <v>zh</v>
      </c>
      <c r="K1345" t="str">
        <f>_xlfn.XLOOKUP(frasest[[#This Row],[autor_es]],autorest[autor_es],autorest[idioma_es])</f>
        <v>Chino</v>
      </c>
      <c r="L1345" t="str">
        <f>_xlfn.XLOOKUP(frasest[[#This Row],[autor_es]],autorest[autor_es],autorest[idioma_la])</f>
        <v>Lingua Sinica</v>
      </c>
      <c r="M1345" t="str">
        <f>_xlfn.XLOOKUP(frasest[[#This Row],[autor_es]],autorest[autor_es],autorest[nacion_es])</f>
        <v>China</v>
      </c>
      <c r="N1345" t="str">
        <f>_xlfn.XLOOKUP(frasest[[#This Row],[autor_es]],autorest[autor_es],autorest[nacion_la])</f>
        <v>Sinae</v>
      </c>
      <c r="O1345" t="str">
        <f>_xlfn.XLOOKUP(frasest[[#This Row],[autor_es]],autorest[autor_es],autorest[epoca_es])</f>
        <v>Epoca Desconocida</v>
      </c>
      <c r="P1345" t="str">
        <f>_xlfn.XLOOKUP(frasest[[#This Row],[autor_es]],autorest[autor_es],autorest[epoca_la])</f>
        <v>Epocha Ignota</v>
      </c>
      <c r="Q1345" t="str">
        <f>_xlfn.XLOOKUP(frasest[[#This Row],[autor_es]],autorest[autor_es],autorest[imagen])</f>
        <v>https://i.ibb.co/qLfpZm6h/china.png</v>
      </c>
      <c r="R1345">
        <f>_xlfn.XLOOKUP(frasest[[#This Row],[autor_es]],autorest[autor_es],autorest[imagen_atr])</f>
        <v>0</v>
      </c>
    </row>
    <row r="1346" spans="1:18">
      <c r="A1346">
        <v>1345</v>
      </c>
      <c r="B1346" t="s">
        <v>4143</v>
      </c>
      <c r="C1346" t="s">
        <v>4144</v>
      </c>
      <c r="D1346" s="1" t="s">
        <v>4145</v>
      </c>
      <c r="E1346" t="s">
        <v>36</v>
      </c>
      <c r="G1346" t="str">
        <f>_xlfn.XLOOKUP(frasest[[#This Row],[autor_es]],autorest[autor_es],autorest[autor_la])</f>
        <v>Proverbium Sinense</v>
      </c>
      <c r="H1346" t="str">
        <f>_xlfn.XLOOKUP(frasest[[#This Row],[autor_es]],autorest[autor_es],autorest[bio_es])</f>
        <v>Conjunto de proverbios tradicionales de la cultura china que transmiten sabiduría popular, valores morales y enseñanzas prácticas transmitidas oralmente durante siglos.</v>
      </c>
      <c r="I1346" t="str">
        <f>_xlfn.XLOOKUP(frasest[[#This Row],[autor_es]],autorest[autor_es],autorest[bio_la])</f>
        <v>Collectio sententiarum Sinensium, magnopere in cultura tradita.</v>
      </c>
      <c r="J1346" t="str">
        <f>_xlfn.XLOOKUP(frasest[[#This Row],[autor_es]],autorest[autor_es],autorest[codigo])</f>
        <v>zh</v>
      </c>
      <c r="K1346" t="str">
        <f>_xlfn.XLOOKUP(frasest[[#This Row],[autor_es]],autorest[autor_es],autorest[idioma_es])</f>
        <v>Chino</v>
      </c>
      <c r="L1346" t="str">
        <f>_xlfn.XLOOKUP(frasest[[#This Row],[autor_es]],autorest[autor_es],autorest[idioma_la])</f>
        <v>Lingua Sinica</v>
      </c>
      <c r="M1346" t="str">
        <f>_xlfn.XLOOKUP(frasest[[#This Row],[autor_es]],autorest[autor_es],autorest[nacion_es])</f>
        <v>China</v>
      </c>
      <c r="N1346" t="str">
        <f>_xlfn.XLOOKUP(frasest[[#This Row],[autor_es]],autorest[autor_es],autorest[nacion_la])</f>
        <v>Sinae</v>
      </c>
      <c r="O1346" t="str">
        <f>_xlfn.XLOOKUP(frasest[[#This Row],[autor_es]],autorest[autor_es],autorest[epoca_es])</f>
        <v>Epoca Desconocida</v>
      </c>
      <c r="P1346" t="str">
        <f>_xlfn.XLOOKUP(frasest[[#This Row],[autor_es]],autorest[autor_es],autorest[epoca_la])</f>
        <v>Epocha Ignota</v>
      </c>
      <c r="Q1346" t="str">
        <f>_xlfn.XLOOKUP(frasest[[#This Row],[autor_es]],autorest[autor_es],autorest[imagen])</f>
        <v>https://i.ibb.co/qLfpZm6h/china.png</v>
      </c>
      <c r="R1346">
        <f>_xlfn.XLOOKUP(frasest[[#This Row],[autor_es]],autorest[autor_es],autorest[imagen_atr])</f>
        <v>0</v>
      </c>
    </row>
    <row r="1347" spans="1:18">
      <c r="A1347">
        <v>1346</v>
      </c>
      <c r="B1347" t="s">
        <v>4146</v>
      </c>
      <c r="C1347" t="s">
        <v>4147</v>
      </c>
      <c r="D1347" s="1" t="s">
        <v>4148</v>
      </c>
      <c r="E1347" t="s">
        <v>36</v>
      </c>
      <c r="G1347" t="str">
        <f>_xlfn.XLOOKUP(frasest[[#This Row],[autor_es]],autorest[autor_es],autorest[autor_la])</f>
        <v>Proverbium Sinense</v>
      </c>
      <c r="H1347" t="str">
        <f>_xlfn.XLOOKUP(frasest[[#This Row],[autor_es]],autorest[autor_es],autorest[bio_es])</f>
        <v>Conjunto de proverbios tradicionales de la cultura china que transmiten sabiduría popular, valores morales y enseñanzas prácticas transmitidas oralmente durante siglos.</v>
      </c>
      <c r="I1347" t="str">
        <f>_xlfn.XLOOKUP(frasest[[#This Row],[autor_es]],autorest[autor_es],autorest[bio_la])</f>
        <v>Collectio sententiarum Sinensium, magnopere in cultura tradita.</v>
      </c>
      <c r="J1347" t="str">
        <f>_xlfn.XLOOKUP(frasest[[#This Row],[autor_es]],autorest[autor_es],autorest[codigo])</f>
        <v>zh</v>
      </c>
      <c r="K1347" t="str">
        <f>_xlfn.XLOOKUP(frasest[[#This Row],[autor_es]],autorest[autor_es],autorest[idioma_es])</f>
        <v>Chino</v>
      </c>
      <c r="L1347" t="str">
        <f>_xlfn.XLOOKUP(frasest[[#This Row],[autor_es]],autorest[autor_es],autorest[idioma_la])</f>
        <v>Lingua Sinica</v>
      </c>
      <c r="M1347" t="str">
        <f>_xlfn.XLOOKUP(frasest[[#This Row],[autor_es]],autorest[autor_es],autorest[nacion_es])</f>
        <v>China</v>
      </c>
      <c r="N1347" t="str">
        <f>_xlfn.XLOOKUP(frasest[[#This Row],[autor_es]],autorest[autor_es],autorest[nacion_la])</f>
        <v>Sinae</v>
      </c>
      <c r="O1347" t="str">
        <f>_xlfn.XLOOKUP(frasest[[#This Row],[autor_es]],autorest[autor_es],autorest[epoca_es])</f>
        <v>Epoca Desconocida</v>
      </c>
      <c r="P1347" t="str">
        <f>_xlfn.XLOOKUP(frasest[[#This Row],[autor_es]],autorest[autor_es],autorest[epoca_la])</f>
        <v>Epocha Ignota</v>
      </c>
      <c r="Q1347" t="str">
        <f>_xlfn.XLOOKUP(frasest[[#This Row],[autor_es]],autorest[autor_es],autorest[imagen])</f>
        <v>https://i.ibb.co/qLfpZm6h/china.png</v>
      </c>
      <c r="R1347">
        <f>_xlfn.XLOOKUP(frasest[[#This Row],[autor_es]],autorest[autor_es],autorest[imagen_atr])</f>
        <v>0</v>
      </c>
    </row>
    <row r="1348" spans="1:18">
      <c r="A1348">
        <v>1347</v>
      </c>
      <c r="B1348" t="s">
        <v>4149</v>
      </c>
      <c r="C1348" t="s">
        <v>3957</v>
      </c>
      <c r="D1348" s="1" t="s">
        <v>4150</v>
      </c>
      <c r="E1348" t="s">
        <v>36</v>
      </c>
      <c r="G1348" t="str">
        <f>_xlfn.XLOOKUP(frasest[[#This Row],[autor_es]],autorest[autor_es],autorest[autor_la])</f>
        <v>Proverbium Sinense</v>
      </c>
      <c r="H1348" t="str">
        <f>_xlfn.XLOOKUP(frasest[[#This Row],[autor_es]],autorest[autor_es],autorest[bio_es])</f>
        <v>Conjunto de proverbios tradicionales de la cultura china que transmiten sabiduría popular, valores morales y enseñanzas prácticas transmitidas oralmente durante siglos.</v>
      </c>
      <c r="I1348" t="str">
        <f>_xlfn.XLOOKUP(frasest[[#This Row],[autor_es]],autorest[autor_es],autorest[bio_la])</f>
        <v>Collectio sententiarum Sinensium, magnopere in cultura tradita.</v>
      </c>
      <c r="J1348" t="str">
        <f>_xlfn.XLOOKUP(frasest[[#This Row],[autor_es]],autorest[autor_es],autorest[codigo])</f>
        <v>zh</v>
      </c>
      <c r="K1348" t="str">
        <f>_xlfn.XLOOKUP(frasest[[#This Row],[autor_es]],autorest[autor_es],autorest[idioma_es])</f>
        <v>Chino</v>
      </c>
      <c r="L1348" t="str">
        <f>_xlfn.XLOOKUP(frasest[[#This Row],[autor_es]],autorest[autor_es],autorest[idioma_la])</f>
        <v>Lingua Sinica</v>
      </c>
      <c r="M1348" t="str">
        <f>_xlfn.XLOOKUP(frasest[[#This Row],[autor_es]],autorest[autor_es],autorest[nacion_es])</f>
        <v>China</v>
      </c>
      <c r="N1348" t="str">
        <f>_xlfn.XLOOKUP(frasest[[#This Row],[autor_es]],autorest[autor_es],autorest[nacion_la])</f>
        <v>Sinae</v>
      </c>
      <c r="O1348" t="str">
        <f>_xlfn.XLOOKUP(frasest[[#This Row],[autor_es]],autorest[autor_es],autorest[epoca_es])</f>
        <v>Epoca Desconocida</v>
      </c>
      <c r="P1348" t="str">
        <f>_xlfn.XLOOKUP(frasest[[#This Row],[autor_es]],autorest[autor_es],autorest[epoca_la])</f>
        <v>Epocha Ignota</v>
      </c>
      <c r="Q1348" t="str">
        <f>_xlfn.XLOOKUP(frasest[[#This Row],[autor_es]],autorest[autor_es],autorest[imagen])</f>
        <v>https://i.ibb.co/qLfpZm6h/china.png</v>
      </c>
      <c r="R1348">
        <f>_xlfn.XLOOKUP(frasest[[#This Row],[autor_es]],autorest[autor_es],autorest[imagen_atr])</f>
        <v>0</v>
      </c>
    </row>
    <row r="1349" spans="1:18">
      <c r="A1349">
        <v>1348</v>
      </c>
      <c r="B1349" t="s">
        <v>4151</v>
      </c>
      <c r="C1349" t="s">
        <v>4152</v>
      </c>
      <c r="D1349" s="1" t="s">
        <v>4153</v>
      </c>
      <c r="E1349" t="s">
        <v>36</v>
      </c>
      <c r="G1349" t="str">
        <f>_xlfn.XLOOKUP(frasest[[#This Row],[autor_es]],autorest[autor_es],autorest[autor_la])</f>
        <v>Proverbium Sinense</v>
      </c>
      <c r="H1349" t="str">
        <f>_xlfn.XLOOKUP(frasest[[#This Row],[autor_es]],autorest[autor_es],autorest[bio_es])</f>
        <v>Conjunto de proverbios tradicionales de la cultura china que transmiten sabiduría popular, valores morales y enseñanzas prácticas transmitidas oralmente durante siglos.</v>
      </c>
      <c r="I1349" t="str">
        <f>_xlfn.XLOOKUP(frasest[[#This Row],[autor_es]],autorest[autor_es],autorest[bio_la])</f>
        <v>Collectio sententiarum Sinensium, magnopere in cultura tradita.</v>
      </c>
      <c r="J1349" t="str">
        <f>_xlfn.XLOOKUP(frasest[[#This Row],[autor_es]],autorest[autor_es],autorest[codigo])</f>
        <v>zh</v>
      </c>
      <c r="K1349" t="str">
        <f>_xlfn.XLOOKUP(frasest[[#This Row],[autor_es]],autorest[autor_es],autorest[idioma_es])</f>
        <v>Chino</v>
      </c>
      <c r="L1349" t="str">
        <f>_xlfn.XLOOKUP(frasest[[#This Row],[autor_es]],autorest[autor_es],autorest[idioma_la])</f>
        <v>Lingua Sinica</v>
      </c>
      <c r="M1349" t="str">
        <f>_xlfn.XLOOKUP(frasest[[#This Row],[autor_es]],autorest[autor_es],autorest[nacion_es])</f>
        <v>China</v>
      </c>
      <c r="N1349" t="str">
        <f>_xlfn.XLOOKUP(frasest[[#This Row],[autor_es]],autorest[autor_es],autorest[nacion_la])</f>
        <v>Sinae</v>
      </c>
      <c r="O1349" t="str">
        <f>_xlfn.XLOOKUP(frasest[[#This Row],[autor_es]],autorest[autor_es],autorest[epoca_es])</f>
        <v>Epoca Desconocida</v>
      </c>
      <c r="P1349" t="str">
        <f>_xlfn.XLOOKUP(frasest[[#This Row],[autor_es]],autorest[autor_es],autorest[epoca_la])</f>
        <v>Epocha Ignota</v>
      </c>
      <c r="Q1349" t="str">
        <f>_xlfn.XLOOKUP(frasest[[#This Row],[autor_es]],autorest[autor_es],autorest[imagen])</f>
        <v>https://i.ibb.co/qLfpZm6h/china.png</v>
      </c>
      <c r="R1349">
        <f>_xlfn.XLOOKUP(frasest[[#This Row],[autor_es]],autorest[autor_es],autorest[imagen_atr])</f>
        <v>0</v>
      </c>
    </row>
    <row r="1350" spans="1:18">
      <c r="A1350">
        <v>1349</v>
      </c>
      <c r="B1350" t="s">
        <v>4154</v>
      </c>
      <c r="C1350" t="s">
        <v>4155</v>
      </c>
      <c r="D1350" t="s">
        <v>4156</v>
      </c>
      <c r="E1350" t="s">
        <v>4157</v>
      </c>
      <c r="F1350" t="s">
        <v>4158</v>
      </c>
      <c r="G1350" t="str">
        <f>_xlfn.XLOOKUP(frasest[[#This Row],[autor_es]],autorest[autor_es],autorest[autor_la])</f>
        <v>Xenophon</v>
      </c>
      <c r="H1350" t="str">
        <f>_xlfn.XLOOKUP(frasest[[#This Row],[autor_es]],autorest[autor_es],autorest[bio_es])</f>
        <v>Historiador militar y filósofo griego discípulo de Sócrates que narró la vida del maestro desde una perspectiva práctica y ética centrada en el ciudadano virtuoso y el liderazgo</v>
      </c>
      <c r="I1350" t="str">
        <f>_xlfn.XLOOKUP(frasest[[#This Row],[autor_es]],autorest[autor_es],autorest[bio_la])</f>
        <v>Historicus miles et philosophus Graecus discipulus Socratis qui vitam magistri ex perspectiva practica et ethica de cive virtuoso et ducatu narravit</v>
      </c>
      <c r="J1350" t="str">
        <f>_xlfn.XLOOKUP(frasest[[#This Row],[autor_es]],autorest[autor_es],autorest[codigo])</f>
        <v>el</v>
      </c>
      <c r="K1350" t="str">
        <f>_xlfn.XLOOKUP(frasest[[#This Row],[autor_es]],autorest[autor_es],autorest[idioma_es])</f>
        <v>Griego</v>
      </c>
      <c r="L1350" t="str">
        <f>_xlfn.XLOOKUP(frasest[[#This Row],[autor_es]],autorest[autor_es],autorest[idioma_la])</f>
        <v>Lingua Graeca</v>
      </c>
      <c r="M1350" t="str">
        <f>_xlfn.XLOOKUP(frasest[[#This Row],[autor_es]],autorest[autor_es],autorest[nacion_es])</f>
        <v>Grecia</v>
      </c>
      <c r="N1350" t="str">
        <f>_xlfn.XLOOKUP(frasest[[#This Row],[autor_es]],autorest[autor_es],autorest[nacion_la])</f>
        <v>Graecia</v>
      </c>
      <c r="O1350" t="str">
        <f>_xlfn.XLOOKUP(frasest[[#This Row],[autor_es]],autorest[autor_es],autorest[epoca_es])</f>
        <v>Edad Antigua</v>
      </c>
      <c r="P1350" t="str">
        <f>_xlfn.XLOOKUP(frasest[[#This Row],[autor_es]],autorest[autor_es],autorest[epoca_la])</f>
        <v>Antiquitas</v>
      </c>
      <c r="Q1350" t="str">
        <f>_xlfn.XLOOKUP(frasest[[#This Row],[autor_es]],autorest[autor_es],autorest[imagen])</f>
        <v>https://i.ibb.co/jPPtTZtx/jenofonte.png</v>
      </c>
      <c r="R1350">
        <f>_xlfn.XLOOKUP(frasest[[#This Row],[autor_es]],autorest[autor_es],autorest[imagen_atr])</f>
        <v>0</v>
      </c>
    </row>
    <row r="1351" spans="1:18">
      <c r="A1351">
        <v>1350</v>
      </c>
      <c r="B1351" t="s">
        <v>4159</v>
      </c>
      <c r="C1351" t="s">
        <v>4160</v>
      </c>
      <c r="D1351" t="s">
        <v>4161</v>
      </c>
      <c r="E1351" t="s">
        <v>4157</v>
      </c>
      <c r="F1351" t="s">
        <v>4162</v>
      </c>
      <c r="G1351" t="str">
        <f>_xlfn.XLOOKUP(frasest[[#This Row],[autor_es]],autorest[autor_es],autorest[autor_la])</f>
        <v>Xenophon</v>
      </c>
      <c r="H1351" t="str">
        <f>_xlfn.XLOOKUP(frasest[[#This Row],[autor_es]],autorest[autor_es],autorest[bio_es])</f>
        <v>Historiador militar y filósofo griego discípulo de Sócrates que narró la vida del maestro desde una perspectiva práctica y ética centrada en el ciudadano virtuoso y el liderazgo</v>
      </c>
      <c r="I1351" t="str">
        <f>_xlfn.XLOOKUP(frasest[[#This Row],[autor_es]],autorest[autor_es],autorest[bio_la])</f>
        <v>Historicus miles et philosophus Graecus discipulus Socratis qui vitam magistri ex perspectiva practica et ethica de cive virtuoso et ducatu narravit</v>
      </c>
      <c r="J1351" t="str">
        <f>_xlfn.XLOOKUP(frasest[[#This Row],[autor_es]],autorest[autor_es],autorest[codigo])</f>
        <v>el</v>
      </c>
      <c r="K1351" t="str">
        <f>_xlfn.XLOOKUP(frasest[[#This Row],[autor_es]],autorest[autor_es],autorest[idioma_es])</f>
        <v>Griego</v>
      </c>
      <c r="L1351" t="str">
        <f>_xlfn.XLOOKUP(frasest[[#This Row],[autor_es]],autorest[autor_es],autorest[idioma_la])</f>
        <v>Lingua Graeca</v>
      </c>
      <c r="M1351" t="str">
        <f>_xlfn.XLOOKUP(frasest[[#This Row],[autor_es]],autorest[autor_es],autorest[nacion_es])</f>
        <v>Grecia</v>
      </c>
      <c r="N1351" t="str">
        <f>_xlfn.XLOOKUP(frasest[[#This Row],[autor_es]],autorest[autor_es],autorest[nacion_la])</f>
        <v>Graecia</v>
      </c>
      <c r="O1351" t="str">
        <f>_xlfn.XLOOKUP(frasest[[#This Row],[autor_es]],autorest[autor_es],autorest[epoca_es])</f>
        <v>Edad Antigua</v>
      </c>
      <c r="P1351" t="str">
        <f>_xlfn.XLOOKUP(frasest[[#This Row],[autor_es]],autorest[autor_es],autorest[epoca_la])</f>
        <v>Antiquitas</v>
      </c>
      <c r="Q1351" t="str">
        <f>_xlfn.XLOOKUP(frasest[[#This Row],[autor_es]],autorest[autor_es],autorest[imagen])</f>
        <v>https://i.ibb.co/jPPtTZtx/jenofonte.png</v>
      </c>
      <c r="R1351">
        <f>_xlfn.XLOOKUP(frasest[[#This Row],[autor_es]],autorest[autor_es],autorest[imagen_atr])</f>
        <v>0</v>
      </c>
    </row>
    <row r="1352" spans="1:18">
      <c r="A1352">
        <v>1351</v>
      </c>
      <c r="B1352" t="s">
        <v>4163</v>
      </c>
      <c r="C1352" t="s">
        <v>4164</v>
      </c>
      <c r="D1352" t="s">
        <v>4165</v>
      </c>
      <c r="E1352" t="s">
        <v>4157</v>
      </c>
      <c r="F1352" t="s">
        <v>4166</v>
      </c>
      <c r="G1352" t="str">
        <f>_xlfn.XLOOKUP(frasest[[#This Row],[autor_es]],autorest[autor_es],autorest[autor_la])</f>
        <v>Xenophon</v>
      </c>
      <c r="H1352" t="str">
        <f>_xlfn.XLOOKUP(frasest[[#This Row],[autor_es]],autorest[autor_es],autorest[bio_es])</f>
        <v>Historiador militar y filósofo griego discípulo de Sócrates que narró la vida del maestro desde una perspectiva práctica y ética centrada en el ciudadano virtuoso y el liderazgo</v>
      </c>
      <c r="I1352" t="str">
        <f>_xlfn.XLOOKUP(frasest[[#This Row],[autor_es]],autorest[autor_es],autorest[bio_la])</f>
        <v>Historicus miles et philosophus Graecus discipulus Socratis qui vitam magistri ex perspectiva practica et ethica de cive virtuoso et ducatu narravit</v>
      </c>
      <c r="J1352" t="str">
        <f>_xlfn.XLOOKUP(frasest[[#This Row],[autor_es]],autorest[autor_es],autorest[codigo])</f>
        <v>el</v>
      </c>
      <c r="K1352" t="str">
        <f>_xlfn.XLOOKUP(frasest[[#This Row],[autor_es]],autorest[autor_es],autorest[idioma_es])</f>
        <v>Griego</v>
      </c>
      <c r="L1352" t="str">
        <f>_xlfn.XLOOKUP(frasest[[#This Row],[autor_es]],autorest[autor_es],autorest[idioma_la])</f>
        <v>Lingua Graeca</v>
      </c>
      <c r="M1352" t="str">
        <f>_xlfn.XLOOKUP(frasest[[#This Row],[autor_es]],autorest[autor_es],autorest[nacion_es])</f>
        <v>Grecia</v>
      </c>
      <c r="N1352" t="str">
        <f>_xlfn.XLOOKUP(frasest[[#This Row],[autor_es]],autorest[autor_es],autorest[nacion_la])</f>
        <v>Graecia</v>
      </c>
      <c r="O1352" t="str">
        <f>_xlfn.XLOOKUP(frasest[[#This Row],[autor_es]],autorest[autor_es],autorest[epoca_es])</f>
        <v>Edad Antigua</v>
      </c>
      <c r="P1352" t="str">
        <f>_xlfn.XLOOKUP(frasest[[#This Row],[autor_es]],autorest[autor_es],autorest[epoca_la])</f>
        <v>Antiquitas</v>
      </c>
      <c r="Q1352" t="str">
        <f>_xlfn.XLOOKUP(frasest[[#This Row],[autor_es]],autorest[autor_es],autorest[imagen])</f>
        <v>https://i.ibb.co/jPPtTZtx/jenofonte.png</v>
      </c>
      <c r="R1352">
        <f>_xlfn.XLOOKUP(frasest[[#This Row],[autor_es]],autorest[autor_es],autorest[imagen_atr])</f>
        <v>0</v>
      </c>
    </row>
    <row r="1353" spans="1:18">
      <c r="A1353">
        <v>1352</v>
      </c>
      <c r="B1353" t="s">
        <v>4167</v>
      </c>
      <c r="C1353" t="s">
        <v>4168</v>
      </c>
      <c r="D1353" t="s">
        <v>4169</v>
      </c>
      <c r="E1353" t="s">
        <v>4157</v>
      </c>
      <c r="F1353" t="s">
        <v>4170</v>
      </c>
      <c r="G1353" t="str">
        <f>_xlfn.XLOOKUP(frasest[[#This Row],[autor_es]],autorest[autor_es],autorest[autor_la])</f>
        <v>Xenophon</v>
      </c>
      <c r="H1353" t="str">
        <f>_xlfn.XLOOKUP(frasest[[#This Row],[autor_es]],autorest[autor_es],autorest[bio_es])</f>
        <v>Historiador militar y filósofo griego discípulo de Sócrates que narró la vida del maestro desde una perspectiva práctica y ética centrada en el ciudadano virtuoso y el liderazgo</v>
      </c>
      <c r="I1353" t="str">
        <f>_xlfn.XLOOKUP(frasest[[#This Row],[autor_es]],autorest[autor_es],autorest[bio_la])</f>
        <v>Historicus miles et philosophus Graecus discipulus Socratis qui vitam magistri ex perspectiva practica et ethica de cive virtuoso et ducatu narravit</v>
      </c>
      <c r="J1353" t="str">
        <f>_xlfn.XLOOKUP(frasest[[#This Row],[autor_es]],autorest[autor_es],autorest[codigo])</f>
        <v>el</v>
      </c>
      <c r="K1353" t="str">
        <f>_xlfn.XLOOKUP(frasest[[#This Row],[autor_es]],autorest[autor_es],autorest[idioma_es])</f>
        <v>Griego</v>
      </c>
      <c r="L1353" t="str">
        <f>_xlfn.XLOOKUP(frasest[[#This Row],[autor_es]],autorest[autor_es],autorest[idioma_la])</f>
        <v>Lingua Graeca</v>
      </c>
      <c r="M1353" t="str">
        <f>_xlfn.XLOOKUP(frasest[[#This Row],[autor_es]],autorest[autor_es],autorest[nacion_es])</f>
        <v>Grecia</v>
      </c>
      <c r="N1353" t="str">
        <f>_xlfn.XLOOKUP(frasest[[#This Row],[autor_es]],autorest[autor_es],autorest[nacion_la])</f>
        <v>Graecia</v>
      </c>
      <c r="O1353" t="str">
        <f>_xlfn.XLOOKUP(frasest[[#This Row],[autor_es]],autorest[autor_es],autorest[epoca_es])</f>
        <v>Edad Antigua</v>
      </c>
      <c r="P1353" t="str">
        <f>_xlfn.XLOOKUP(frasest[[#This Row],[autor_es]],autorest[autor_es],autorest[epoca_la])</f>
        <v>Antiquitas</v>
      </c>
      <c r="Q1353" t="str">
        <f>_xlfn.XLOOKUP(frasest[[#This Row],[autor_es]],autorest[autor_es],autorest[imagen])</f>
        <v>https://i.ibb.co/jPPtTZtx/jenofonte.png</v>
      </c>
      <c r="R1353">
        <f>_xlfn.XLOOKUP(frasest[[#This Row],[autor_es]],autorest[autor_es],autorest[imagen_atr])</f>
        <v>0</v>
      </c>
    </row>
    <row r="1354" spans="1:18">
      <c r="A1354">
        <v>1353</v>
      </c>
      <c r="B1354" t="s">
        <v>4171</v>
      </c>
      <c r="C1354" t="s">
        <v>4172</v>
      </c>
      <c r="D1354" t="s">
        <v>4173</v>
      </c>
      <c r="E1354" t="s">
        <v>4157</v>
      </c>
      <c r="F1354" t="s">
        <v>4174</v>
      </c>
      <c r="G1354" t="str">
        <f>_xlfn.XLOOKUP(frasest[[#This Row],[autor_es]],autorest[autor_es],autorest[autor_la])</f>
        <v>Xenophon</v>
      </c>
      <c r="H1354" t="str">
        <f>_xlfn.XLOOKUP(frasest[[#This Row],[autor_es]],autorest[autor_es],autorest[bio_es])</f>
        <v>Historiador militar y filósofo griego discípulo de Sócrates que narró la vida del maestro desde una perspectiva práctica y ética centrada en el ciudadano virtuoso y el liderazgo</v>
      </c>
      <c r="I1354" t="str">
        <f>_xlfn.XLOOKUP(frasest[[#This Row],[autor_es]],autorest[autor_es],autorest[bio_la])</f>
        <v>Historicus miles et philosophus Graecus discipulus Socratis qui vitam magistri ex perspectiva practica et ethica de cive virtuoso et ducatu narravit</v>
      </c>
      <c r="J1354" t="str">
        <f>_xlfn.XLOOKUP(frasest[[#This Row],[autor_es]],autorest[autor_es],autorest[codigo])</f>
        <v>el</v>
      </c>
      <c r="K1354" t="str">
        <f>_xlfn.XLOOKUP(frasest[[#This Row],[autor_es]],autorest[autor_es],autorest[idioma_es])</f>
        <v>Griego</v>
      </c>
      <c r="L1354" t="str">
        <f>_xlfn.XLOOKUP(frasest[[#This Row],[autor_es]],autorest[autor_es],autorest[idioma_la])</f>
        <v>Lingua Graeca</v>
      </c>
      <c r="M1354" t="str">
        <f>_xlfn.XLOOKUP(frasest[[#This Row],[autor_es]],autorest[autor_es],autorest[nacion_es])</f>
        <v>Grecia</v>
      </c>
      <c r="N1354" t="str">
        <f>_xlfn.XLOOKUP(frasest[[#This Row],[autor_es]],autorest[autor_es],autorest[nacion_la])</f>
        <v>Graecia</v>
      </c>
      <c r="O1354" t="str">
        <f>_xlfn.XLOOKUP(frasest[[#This Row],[autor_es]],autorest[autor_es],autorest[epoca_es])</f>
        <v>Edad Antigua</v>
      </c>
      <c r="P1354" t="str">
        <f>_xlfn.XLOOKUP(frasest[[#This Row],[autor_es]],autorest[autor_es],autorest[epoca_la])</f>
        <v>Antiquitas</v>
      </c>
      <c r="Q1354" t="str">
        <f>_xlfn.XLOOKUP(frasest[[#This Row],[autor_es]],autorest[autor_es],autorest[imagen])</f>
        <v>https://i.ibb.co/jPPtTZtx/jenofonte.png</v>
      </c>
      <c r="R1354">
        <f>_xlfn.XLOOKUP(frasest[[#This Row],[autor_es]],autorest[autor_es],autorest[imagen_atr])</f>
        <v>0</v>
      </c>
    </row>
    <row r="1355" spans="1:18">
      <c r="A1355">
        <v>1354</v>
      </c>
      <c r="B1355" t="s">
        <v>4175</v>
      </c>
      <c r="C1355" t="s">
        <v>4176</v>
      </c>
      <c r="D1355" t="s">
        <v>4177</v>
      </c>
      <c r="E1355" t="s">
        <v>4157</v>
      </c>
      <c r="F1355" t="s">
        <v>4178</v>
      </c>
      <c r="G1355" t="str">
        <f>_xlfn.XLOOKUP(frasest[[#This Row],[autor_es]],autorest[autor_es],autorest[autor_la])</f>
        <v>Xenophon</v>
      </c>
      <c r="H1355" t="str">
        <f>_xlfn.XLOOKUP(frasest[[#This Row],[autor_es]],autorest[autor_es],autorest[bio_es])</f>
        <v>Historiador militar y filósofo griego discípulo de Sócrates que narró la vida del maestro desde una perspectiva práctica y ética centrada en el ciudadano virtuoso y el liderazgo</v>
      </c>
      <c r="I1355" t="str">
        <f>_xlfn.XLOOKUP(frasest[[#This Row],[autor_es]],autorest[autor_es],autorest[bio_la])</f>
        <v>Historicus miles et philosophus Graecus discipulus Socratis qui vitam magistri ex perspectiva practica et ethica de cive virtuoso et ducatu narravit</v>
      </c>
      <c r="J1355" t="str">
        <f>_xlfn.XLOOKUP(frasest[[#This Row],[autor_es]],autorest[autor_es],autorest[codigo])</f>
        <v>el</v>
      </c>
      <c r="K1355" t="str">
        <f>_xlfn.XLOOKUP(frasest[[#This Row],[autor_es]],autorest[autor_es],autorest[idioma_es])</f>
        <v>Griego</v>
      </c>
      <c r="L1355" t="str">
        <f>_xlfn.XLOOKUP(frasest[[#This Row],[autor_es]],autorest[autor_es],autorest[idioma_la])</f>
        <v>Lingua Graeca</v>
      </c>
      <c r="M1355" t="str">
        <f>_xlfn.XLOOKUP(frasest[[#This Row],[autor_es]],autorest[autor_es],autorest[nacion_es])</f>
        <v>Grecia</v>
      </c>
      <c r="N1355" t="str">
        <f>_xlfn.XLOOKUP(frasest[[#This Row],[autor_es]],autorest[autor_es],autorest[nacion_la])</f>
        <v>Graecia</v>
      </c>
      <c r="O1355" t="str">
        <f>_xlfn.XLOOKUP(frasest[[#This Row],[autor_es]],autorest[autor_es],autorest[epoca_es])</f>
        <v>Edad Antigua</v>
      </c>
      <c r="P1355" t="str">
        <f>_xlfn.XLOOKUP(frasest[[#This Row],[autor_es]],autorest[autor_es],autorest[epoca_la])</f>
        <v>Antiquitas</v>
      </c>
      <c r="Q1355" t="str">
        <f>_xlfn.XLOOKUP(frasest[[#This Row],[autor_es]],autorest[autor_es],autorest[imagen])</f>
        <v>https://i.ibb.co/jPPtTZtx/jenofonte.png</v>
      </c>
      <c r="R1355">
        <f>_xlfn.XLOOKUP(frasest[[#This Row],[autor_es]],autorest[autor_es],autorest[imagen_atr])</f>
        <v>0</v>
      </c>
    </row>
    <row r="1356" spans="1:18">
      <c r="A1356">
        <v>1355</v>
      </c>
      <c r="B1356" t="s">
        <v>4179</v>
      </c>
      <c r="C1356" t="s">
        <v>4180</v>
      </c>
      <c r="D1356" t="s">
        <v>4181</v>
      </c>
      <c r="E1356" t="s">
        <v>4157</v>
      </c>
      <c r="F1356" t="s">
        <v>4182</v>
      </c>
      <c r="G1356" t="str">
        <f>_xlfn.XLOOKUP(frasest[[#This Row],[autor_es]],autorest[autor_es],autorest[autor_la])</f>
        <v>Xenophon</v>
      </c>
      <c r="H1356" t="str">
        <f>_xlfn.XLOOKUP(frasest[[#This Row],[autor_es]],autorest[autor_es],autorest[bio_es])</f>
        <v>Historiador militar y filósofo griego discípulo de Sócrates que narró la vida del maestro desde una perspectiva práctica y ética centrada en el ciudadano virtuoso y el liderazgo</v>
      </c>
      <c r="I1356" t="str">
        <f>_xlfn.XLOOKUP(frasest[[#This Row],[autor_es]],autorest[autor_es],autorest[bio_la])</f>
        <v>Historicus miles et philosophus Graecus discipulus Socratis qui vitam magistri ex perspectiva practica et ethica de cive virtuoso et ducatu narravit</v>
      </c>
      <c r="J1356" t="str">
        <f>_xlfn.XLOOKUP(frasest[[#This Row],[autor_es]],autorest[autor_es],autorest[codigo])</f>
        <v>el</v>
      </c>
      <c r="K1356" t="str">
        <f>_xlfn.XLOOKUP(frasest[[#This Row],[autor_es]],autorest[autor_es],autorest[idioma_es])</f>
        <v>Griego</v>
      </c>
      <c r="L1356" t="str">
        <f>_xlfn.XLOOKUP(frasest[[#This Row],[autor_es]],autorest[autor_es],autorest[idioma_la])</f>
        <v>Lingua Graeca</v>
      </c>
      <c r="M1356" t="str">
        <f>_xlfn.XLOOKUP(frasest[[#This Row],[autor_es]],autorest[autor_es],autorest[nacion_es])</f>
        <v>Grecia</v>
      </c>
      <c r="N1356" t="str">
        <f>_xlfn.XLOOKUP(frasest[[#This Row],[autor_es]],autorest[autor_es],autorest[nacion_la])</f>
        <v>Graecia</v>
      </c>
      <c r="O1356" t="str">
        <f>_xlfn.XLOOKUP(frasest[[#This Row],[autor_es]],autorest[autor_es],autorest[epoca_es])</f>
        <v>Edad Antigua</v>
      </c>
      <c r="P1356" t="str">
        <f>_xlfn.XLOOKUP(frasest[[#This Row],[autor_es]],autorest[autor_es],autorest[epoca_la])</f>
        <v>Antiquitas</v>
      </c>
      <c r="Q1356" t="str">
        <f>_xlfn.XLOOKUP(frasest[[#This Row],[autor_es]],autorest[autor_es],autorest[imagen])</f>
        <v>https://i.ibb.co/jPPtTZtx/jenofonte.png</v>
      </c>
      <c r="R1356">
        <f>_xlfn.XLOOKUP(frasest[[#This Row],[autor_es]],autorest[autor_es],autorest[imagen_atr])</f>
        <v>0</v>
      </c>
    </row>
    <row r="1357" spans="1:18">
      <c r="A1357">
        <v>1356</v>
      </c>
      <c r="B1357" t="s">
        <v>4183</v>
      </c>
      <c r="C1357" t="s">
        <v>4184</v>
      </c>
      <c r="D1357" t="s">
        <v>4185</v>
      </c>
      <c r="E1357" t="s">
        <v>4157</v>
      </c>
      <c r="F1357" t="s">
        <v>4186</v>
      </c>
      <c r="G1357" t="str">
        <f>_xlfn.XLOOKUP(frasest[[#This Row],[autor_es]],autorest[autor_es],autorest[autor_la])</f>
        <v>Xenophon</v>
      </c>
      <c r="H1357" t="str">
        <f>_xlfn.XLOOKUP(frasest[[#This Row],[autor_es]],autorest[autor_es],autorest[bio_es])</f>
        <v>Historiador militar y filósofo griego discípulo de Sócrates que narró la vida del maestro desde una perspectiva práctica y ética centrada en el ciudadano virtuoso y el liderazgo</v>
      </c>
      <c r="I1357" t="str">
        <f>_xlfn.XLOOKUP(frasest[[#This Row],[autor_es]],autorest[autor_es],autorest[bio_la])</f>
        <v>Historicus miles et philosophus Graecus discipulus Socratis qui vitam magistri ex perspectiva practica et ethica de cive virtuoso et ducatu narravit</v>
      </c>
      <c r="J1357" t="str">
        <f>_xlfn.XLOOKUP(frasest[[#This Row],[autor_es]],autorest[autor_es],autorest[codigo])</f>
        <v>el</v>
      </c>
      <c r="K1357" t="str">
        <f>_xlfn.XLOOKUP(frasest[[#This Row],[autor_es]],autorest[autor_es],autorest[idioma_es])</f>
        <v>Griego</v>
      </c>
      <c r="L1357" t="str">
        <f>_xlfn.XLOOKUP(frasest[[#This Row],[autor_es]],autorest[autor_es],autorest[idioma_la])</f>
        <v>Lingua Graeca</v>
      </c>
      <c r="M1357" t="str">
        <f>_xlfn.XLOOKUP(frasest[[#This Row],[autor_es]],autorest[autor_es],autorest[nacion_es])</f>
        <v>Grecia</v>
      </c>
      <c r="N1357" t="str">
        <f>_xlfn.XLOOKUP(frasest[[#This Row],[autor_es]],autorest[autor_es],autorest[nacion_la])</f>
        <v>Graecia</v>
      </c>
      <c r="O1357" t="str">
        <f>_xlfn.XLOOKUP(frasest[[#This Row],[autor_es]],autorest[autor_es],autorest[epoca_es])</f>
        <v>Edad Antigua</v>
      </c>
      <c r="P1357" t="str">
        <f>_xlfn.XLOOKUP(frasest[[#This Row],[autor_es]],autorest[autor_es],autorest[epoca_la])</f>
        <v>Antiquitas</v>
      </c>
      <c r="Q1357" t="str">
        <f>_xlfn.XLOOKUP(frasest[[#This Row],[autor_es]],autorest[autor_es],autorest[imagen])</f>
        <v>https://i.ibb.co/jPPtTZtx/jenofonte.png</v>
      </c>
      <c r="R1357">
        <f>_xlfn.XLOOKUP(frasest[[#This Row],[autor_es]],autorest[autor_es],autorest[imagen_atr])</f>
        <v>0</v>
      </c>
    </row>
    <row r="1358" spans="1:18">
      <c r="A1358">
        <v>1357</v>
      </c>
      <c r="B1358" t="s">
        <v>4187</v>
      </c>
      <c r="C1358" t="s">
        <v>4188</v>
      </c>
      <c r="D1358" t="s">
        <v>4189</v>
      </c>
      <c r="E1358" t="s">
        <v>4157</v>
      </c>
      <c r="F1358" t="s">
        <v>4190</v>
      </c>
      <c r="G1358" t="str">
        <f>_xlfn.XLOOKUP(frasest[[#This Row],[autor_es]],autorest[autor_es],autorest[autor_la])</f>
        <v>Xenophon</v>
      </c>
      <c r="H1358" t="str">
        <f>_xlfn.XLOOKUP(frasest[[#This Row],[autor_es]],autorest[autor_es],autorest[bio_es])</f>
        <v>Historiador militar y filósofo griego discípulo de Sócrates que narró la vida del maestro desde una perspectiva práctica y ética centrada en el ciudadano virtuoso y el liderazgo</v>
      </c>
      <c r="I1358" t="str">
        <f>_xlfn.XLOOKUP(frasest[[#This Row],[autor_es]],autorest[autor_es],autorest[bio_la])</f>
        <v>Historicus miles et philosophus Graecus discipulus Socratis qui vitam magistri ex perspectiva practica et ethica de cive virtuoso et ducatu narravit</v>
      </c>
      <c r="J1358" t="str">
        <f>_xlfn.XLOOKUP(frasest[[#This Row],[autor_es]],autorest[autor_es],autorest[codigo])</f>
        <v>el</v>
      </c>
      <c r="K1358" t="str">
        <f>_xlfn.XLOOKUP(frasest[[#This Row],[autor_es]],autorest[autor_es],autorest[idioma_es])</f>
        <v>Griego</v>
      </c>
      <c r="L1358" t="str">
        <f>_xlfn.XLOOKUP(frasest[[#This Row],[autor_es]],autorest[autor_es],autorest[idioma_la])</f>
        <v>Lingua Graeca</v>
      </c>
      <c r="M1358" t="str">
        <f>_xlfn.XLOOKUP(frasest[[#This Row],[autor_es]],autorest[autor_es],autorest[nacion_es])</f>
        <v>Grecia</v>
      </c>
      <c r="N1358" t="str">
        <f>_xlfn.XLOOKUP(frasest[[#This Row],[autor_es]],autorest[autor_es],autorest[nacion_la])</f>
        <v>Graecia</v>
      </c>
      <c r="O1358" t="str">
        <f>_xlfn.XLOOKUP(frasest[[#This Row],[autor_es]],autorest[autor_es],autorest[epoca_es])</f>
        <v>Edad Antigua</v>
      </c>
      <c r="P1358" t="str">
        <f>_xlfn.XLOOKUP(frasest[[#This Row],[autor_es]],autorest[autor_es],autorest[epoca_la])</f>
        <v>Antiquitas</v>
      </c>
      <c r="Q1358" t="str">
        <f>_xlfn.XLOOKUP(frasest[[#This Row],[autor_es]],autorest[autor_es],autorest[imagen])</f>
        <v>https://i.ibb.co/jPPtTZtx/jenofonte.png</v>
      </c>
      <c r="R1358">
        <f>_xlfn.XLOOKUP(frasest[[#This Row],[autor_es]],autorest[autor_es],autorest[imagen_atr])</f>
        <v>0</v>
      </c>
    </row>
    <row r="1359" spans="1:18">
      <c r="A1359">
        <v>1358</v>
      </c>
      <c r="B1359" t="s">
        <v>4191</v>
      </c>
      <c r="C1359" t="s">
        <v>4192</v>
      </c>
      <c r="D1359" t="s">
        <v>4193</v>
      </c>
      <c r="E1359" t="s">
        <v>4157</v>
      </c>
      <c r="F1359" t="s">
        <v>4194</v>
      </c>
      <c r="G1359" t="str">
        <f>_xlfn.XLOOKUP(frasest[[#This Row],[autor_es]],autorest[autor_es],autorest[autor_la])</f>
        <v>Xenophon</v>
      </c>
      <c r="H1359" t="str">
        <f>_xlfn.XLOOKUP(frasest[[#This Row],[autor_es]],autorest[autor_es],autorest[bio_es])</f>
        <v>Historiador militar y filósofo griego discípulo de Sócrates que narró la vida del maestro desde una perspectiva práctica y ética centrada en el ciudadano virtuoso y el liderazgo</v>
      </c>
      <c r="I1359" t="str">
        <f>_xlfn.XLOOKUP(frasest[[#This Row],[autor_es]],autorest[autor_es],autorest[bio_la])</f>
        <v>Historicus miles et philosophus Graecus discipulus Socratis qui vitam magistri ex perspectiva practica et ethica de cive virtuoso et ducatu narravit</v>
      </c>
      <c r="J1359" t="str">
        <f>_xlfn.XLOOKUP(frasest[[#This Row],[autor_es]],autorest[autor_es],autorest[codigo])</f>
        <v>el</v>
      </c>
      <c r="K1359" t="str">
        <f>_xlfn.XLOOKUP(frasest[[#This Row],[autor_es]],autorest[autor_es],autorest[idioma_es])</f>
        <v>Griego</v>
      </c>
      <c r="L1359" t="str">
        <f>_xlfn.XLOOKUP(frasest[[#This Row],[autor_es]],autorest[autor_es],autorest[idioma_la])</f>
        <v>Lingua Graeca</v>
      </c>
      <c r="M1359" t="str">
        <f>_xlfn.XLOOKUP(frasest[[#This Row],[autor_es]],autorest[autor_es],autorest[nacion_es])</f>
        <v>Grecia</v>
      </c>
      <c r="N1359" t="str">
        <f>_xlfn.XLOOKUP(frasest[[#This Row],[autor_es]],autorest[autor_es],autorest[nacion_la])</f>
        <v>Graecia</v>
      </c>
      <c r="O1359" t="str">
        <f>_xlfn.XLOOKUP(frasest[[#This Row],[autor_es]],autorest[autor_es],autorest[epoca_es])</f>
        <v>Edad Antigua</v>
      </c>
      <c r="P1359" t="str">
        <f>_xlfn.XLOOKUP(frasest[[#This Row],[autor_es]],autorest[autor_es],autorest[epoca_la])</f>
        <v>Antiquitas</v>
      </c>
      <c r="Q1359" t="str">
        <f>_xlfn.XLOOKUP(frasest[[#This Row],[autor_es]],autorest[autor_es],autorest[imagen])</f>
        <v>https://i.ibb.co/jPPtTZtx/jenofonte.png</v>
      </c>
      <c r="R1359">
        <f>_xlfn.XLOOKUP(frasest[[#This Row],[autor_es]],autorest[autor_es],autorest[imagen_atr])</f>
        <v>0</v>
      </c>
    </row>
    <row r="1360" spans="1:18">
      <c r="A1360">
        <v>1359</v>
      </c>
      <c r="B1360" t="s">
        <v>4195</v>
      </c>
      <c r="C1360" t="s">
        <v>4196</v>
      </c>
      <c r="D1360" t="s">
        <v>4197</v>
      </c>
      <c r="E1360" t="s">
        <v>4198</v>
      </c>
      <c r="F1360" t="s">
        <v>4199</v>
      </c>
      <c r="G1360" t="str">
        <f>_xlfn.XLOOKUP(frasest[[#This Row],[autor_es]],autorest[autor_es],autorest[autor_la])</f>
        <v>Antisthenes</v>
      </c>
      <c r="H1360" t="str">
        <f>_xlfn.XLOOKUP(frasest[[#This Row],[autor_es]],autorest[autor_es],autorest[bio_es])</f>
        <v>Filósofo griego discípulo directo de Sócrates y fundador de la escuela cínica que defendía la virtud la autosuficiencia y el desprecio por las riquezas materiales</v>
      </c>
      <c r="I1360" t="str">
        <f>_xlfn.XLOOKUP(frasest[[#This Row],[autor_es]],autorest[autor_es],autorest[bio_la])</f>
        <v>Philosophus Graecus discipulus directus Socratis et fundator scholae Cynicae qui virtutem autosufficientia et contemptum divitiarum materialium defendebat</v>
      </c>
      <c r="J1360" t="str">
        <f>_xlfn.XLOOKUP(frasest[[#This Row],[autor_es]],autorest[autor_es],autorest[codigo])</f>
        <v>el</v>
      </c>
      <c r="K1360" t="str">
        <f>_xlfn.XLOOKUP(frasest[[#This Row],[autor_es]],autorest[autor_es],autorest[idioma_es])</f>
        <v>Griego</v>
      </c>
      <c r="L1360" t="str">
        <f>_xlfn.XLOOKUP(frasest[[#This Row],[autor_es]],autorest[autor_es],autorest[idioma_la])</f>
        <v>Lingua Graeca</v>
      </c>
      <c r="M1360" t="str">
        <f>_xlfn.XLOOKUP(frasest[[#This Row],[autor_es]],autorest[autor_es],autorest[nacion_es])</f>
        <v>Grecia</v>
      </c>
      <c r="N1360" t="str">
        <f>_xlfn.XLOOKUP(frasest[[#This Row],[autor_es]],autorest[autor_es],autorest[nacion_la])</f>
        <v>Graecia</v>
      </c>
      <c r="O1360" t="str">
        <f>_xlfn.XLOOKUP(frasest[[#This Row],[autor_es]],autorest[autor_es],autorest[epoca_es])</f>
        <v>Edad Antigua</v>
      </c>
      <c r="P1360" t="str">
        <f>_xlfn.XLOOKUP(frasest[[#This Row],[autor_es]],autorest[autor_es],autorest[epoca_la])</f>
        <v>Antiquitas</v>
      </c>
      <c r="Q1360" t="str">
        <f>_xlfn.XLOOKUP(frasest[[#This Row],[autor_es]],autorest[autor_es],autorest[imagen])</f>
        <v>https://i.ibb.co/Xr7qMRcm/antistenes.png</v>
      </c>
      <c r="R1360">
        <f>_xlfn.XLOOKUP(frasest[[#This Row],[autor_es]],autorest[autor_es],autorest[imagen_atr])</f>
        <v>0</v>
      </c>
    </row>
    <row r="1361" spans="1:18">
      <c r="A1361">
        <v>1360</v>
      </c>
      <c r="B1361" t="s">
        <v>4200</v>
      </c>
      <c r="C1361" t="s">
        <v>4201</v>
      </c>
      <c r="D1361" t="s">
        <v>4202</v>
      </c>
      <c r="E1361" t="s">
        <v>4198</v>
      </c>
      <c r="F1361" t="s">
        <v>4203</v>
      </c>
      <c r="G1361" t="str">
        <f>_xlfn.XLOOKUP(frasest[[#This Row],[autor_es]],autorest[autor_es],autorest[autor_la])</f>
        <v>Antisthenes</v>
      </c>
      <c r="H1361" t="str">
        <f>_xlfn.XLOOKUP(frasest[[#This Row],[autor_es]],autorest[autor_es],autorest[bio_es])</f>
        <v>Filósofo griego discípulo directo de Sócrates y fundador de la escuela cínica que defendía la virtud la autosuficiencia y el desprecio por las riquezas materiales</v>
      </c>
      <c r="I1361" t="str">
        <f>_xlfn.XLOOKUP(frasest[[#This Row],[autor_es]],autorest[autor_es],autorest[bio_la])</f>
        <v>Philosophus Graecus discipulus directus Socratis et fundator scholae Cynicae qui virtutem autosufficientia et contemptum divitiarum materialium defendebat</v>
      </c>
      <c r="J1361" t="str">
        <f>_xlfn.XLOOKUP(frasest[[#This Row],[autor_es]],autorest[autor_es],autorest[codigo])</f>
        <v>el</v>
      </c>
      <c r="K1361" t="str">
        <f>_xlfn.XLOOKUP(frasest[[#This Row],[autor_es]],autorest[autor_es],autorest[idioma_es])</f>
        <v>Griego</v>
      </c>
      <c r="L1361" t="str">
        <f>_xlfn.XLOOKUP(frasest[[#This Row],[autor_es]],autorest[autor_es],autorest[idioma_la])</f>
        <v>Lingua Graeca</v>
      </c>
      <c r="M1361" t="str">
        <f>_xlfn.XLOOKUP(frasest[[#This Row],[autor_es]],autorest[autor_es],autorest[nacion_es])</f>
        <v>Grecia</v>
      </c>
      <c r="N1361" t="str">
        <f>_xlfn.XLOOKUP(frasest[[#This Row],[autor_es]],autorest[autor_es],autorest[nacion_la])</f>
        <v>Graecia</v>
      </c>
      <c r="O1361" t="str">
        <f>_xlfn.XLOOKUP(frasest[[#This Row],[autor_es]],autorest[autor_es],autorest[epoca_es])</f>
        <v>Edad Antigua</v>
      </c>
      <c r="P1361" t="str">
        <f>_xlfn.XLOOKUP(frasest[[#This Row],[autor_es]],autorest[autor_es],autorest[epoca_la])</f>
        <v>Antiquitas</v>
      </c>
      <c r="Q1361" t="str">
        <f>_xlfn.XLOOKUP(frasest[[#This Row],[autor_es]],autorest[autor_es],autorest[imagen])</f>
        <v>https://i.ibb.co/Xr7qMRcm/antistenes.png</v>
      </c>
      <c r="R1361">
        <f>_xlfn.XLOOKUP(frasest[[#This Row],[autor_es]],autorest[autor_es],autorest[imagen_atr])</f>
        <v>0</v>
      </c>
    </row>
    <row r="1362" spans="1:18">
      <c r="A1362">
        <v>1361</v>
      </c>
      <c r="B1362" t="s">
        <v>4204</v>
      </c>
      <c r="C1362" t="s">
        <v>4205</v>
      </c>
      <c r="D1362" t="s">
        <v>4206</v>
      </c>
      <c r="E1362" t="s">
        <v>4198</v>
      </c>
      <c r="F1362" t="s">
        <v>4207</v>
      </c>
      <c r="G1362" t="str">
        <f>_xlfn.XLOOKUP(frasest[[#This Row],[autor_es]],autorest[autor_es],autorest[autor_la])</f>
        <v>Antisthenes</v>
      </c>
      <c r="H1362" t="str">
        <f>_xlfn.XLOOKUP(frasest[[#This Row],[autor_es]],autorest[autor_es],autorest[bio_es])</f>
        <v>Filósofo griego discípulo directo de Sócrates y fundador de la escuela cínica que defendía la virtud la autosuficiencia y el desprecio por las riquezas materiales</v>
      </c>
      <c r="I1362" t="str">
        <f>_xlfn.XLOOKUP(frasest[[#This Row],[autor_es]],autorest[autor_es],autorest[bio_la])</f>
        <v>Philosophus Graecus discipulus directus Socratis et fundator scholae Cynicae qui virtutem autosufficientia et contemptum divitiarum materialium defendebat</v>
      </c>
      <c r="J1362" t="str">
        <f>_xlfn.XLOOKUP(frasest[[#This Row],[autor_es]],autorest[autor_es],autorest[codigo])</f>
        <v>el</v>
      </c>
      <c r="K1362" t="str">
        <f>_xlfn.XLOOKUP(frasest[[#This Row],[autor_es]],autorest[autor_es],autorest[idioma_es])</f>
        <v>Griego</v>
      </c>
      <c r="L1362" t="str">
        <f>_xlfn.XLOOKUP(frasest[[#This Row],[autor_es]],autorest[autor_es],autorest[idioma_la])</f>
        <v>Lingua Graeca</v>
      </c>
      <c r="M1362" t="str">
        <f>_xlfn.XLOOKUP(frasest[[#This Row],[autor_es]],autorest[autor_es],autorest[nacion_es])</f>
        <v>Grecia</v>
      </c>
      <c r="N1362" t="str">
        <f>_xlfn.XLOOKUP(frasest[[#This Row],[autor_es]],autorest[autor_es],autorest[nacion_la])</f>
        <v>Graecia</v>
      </c>
      <c r="O1362" t="str">
        <f>_xlfn.XLOOKUP(frasest[[#This Row],[autor_es]],autorest[autor_es],autorest[epoca_es])</f>
        <v>Edad Antigua</v>
      </c>
      <c r="P1362" t="str">
        <f>_xlfn.XLOOKUP(frasest[[#This Row],[autor_es]],autorest[autor_es],autorest[epoca_la])</f>
        <v>Antiquitas</v>
      </c>
      <c r="Q1362" t="str">
        <f>_xlfn.XLOOKUP(frasest[[#This Row],[autor_es]],autorest[autor_es],autorest[imagen])</f>
        <v>https://i.ibb.co/Xr7qMRcm/antistenes.png</v>
      </c>
      <c r="R1362">
        <f>_xlfn.XLOOKUP(frasest[[#This Row],[autor_es]],autorest[autor_es],autorest[imagen_atr])</f>
        <v>0</v>
      </c>
    </row>
    <row r="1363" spans="1:18">
      <c r="A1363">
        <v>1362</v>
      </c>
      <c r="B1363" t="s">
        <v>4208</v>
      </c>
      <c r="C1363" t="s">
        <v>4209</v>
      </c>
      <c r="D1363" t="s">
        <v>4210</v>
      </c>
      <c r="E1363" t="s">
        <v>4198</v>
      </c>
      <c r="F1363" t="s">
        <v>4211</v>
      </c>
      <c r="G1363" t="str">
        <f>_xlfn.XLOOKUP(frasest[[#This Row],[autor_es]],autorest[autor_es],autorest[autor_la])</f>
        <v>Antisthenes</v>
      </c>
      <c r="H1363" t="str">
        <f>_xlfn.XLOOKUP(frasest[[#This Row],[autor_es]],autorest[autor_es],autorest[bio_es])</f>
        <v>Filósofo griego discípulo directo de Sócrates y fundador de la escuela cínica que defendía la virtud la autosuficiencia y el desprecio por las riquezas materiales</v>
      </c>
      <c r="I1363" t="str">
        <f>_xlfn.XLOOKUP(frasest[[#This Row],[autor_es]],autorest[autor_es],autorest[bio_la])</f>
        <v>Philosophus Graecus discipulus directus Socratis et fundator scholae Cynicae qui virtutem autosufficientia et contemptum divitiarum materialium defendebat</v>
      </c>
      <c r="J1363" t="str">
        <f>_xlfn.XLOOKUP(frasest[[#This Row],[autor_es]],autorest[autor_es],autorest[codigo])</f>
        <v>el</v>
      </c>
      <c r="K1363" t="str">
        <f>_xlfn.XLOOKUP(frasest[[#This Row],[autor_es]],autorest[autor_es],autorest[idioma_es])</f>
        <v>Griego</v>
      </c>
      <c r="L1363" t="str">
        <f>_xlfn.XLOOKUP(frasest[[#This Row],[autor_es]],autorest[autor_es],autorest[idioma_la])</f>
        <v>Lingua Graeca</v>
      </c>
      <c r="M1363" t="str">
        <f>_xlfn.XLOOKUP(frasest[[#This Row],[autor_es]],autorest[autor_es],autorest[nacion_es])</f>
        <v>Grecia</v>
      </c>
      <c r="N1363" t="str">
        <f>_xlfn.XLOOKUP(frasest[[#This Row],[autor_es]],autorest[autor_es],autorest[nacion_la])</f>
        <v>Graecia</v>
      </c>
      <c r="O1363" t="str">
        <f>_xlfn.XLOOKUP(frasest[[#This Row],[autor_es]],autorest[autor_es],autorest[epoca_es])</f>
        <v>Edad Antigua</v>
      </c>
      <c r="P1363" t="str">
        <f>_xlfn.XLOOKUP(frasest[[#This Row],[autor_es]],autorest[autor_es],autorest[epoca_la])</f>
        <v>Antiquitas</v>
      </c>
      <c r="Q1363" t="str">
        <f>_xlfn.XLOOKUP(frasest[[#This Row],[autor_es]],autorest[autor_es],autorest[imagen])</f>
        <v>https://i.ibb.co/Xr7qMRcm/antistenes.png</v>
      </c>
      <c r="R1363">
        <f>_xlfn.XLOOKUP(frasest[[#This Row],[autor_es]],autorest[autor_es],autorest[imagen_atr])</f>
        <v>0</v>
      </c>
    </row>
    <row r="1364" spans="1:18">
      <c r="A1364">
        <v>1363</v>
      </c>
      <c r="B1364" t="s">
        <v>4212</v>
      </c>
      <c r="C1364" t="s">
        <v>4213</v>
      </c>
      <c r="D1364" t="s">
        <v>4214</v>
      </c>
      <c r="E1364" t="s">
        <v>4198</v>
      </c>
      <c r="F1364" t="s">
        <v>4215</v>
      </c>
      <c r="G1364" t="str">
        <f>_xlfn.XLOOKUP(frasest[[#This Row],[autor_es]],autorest[autor_es],autorest[autor_la])</f>
        <v>Antisthenes</v>
      </c>
      <c r="H1364" t="str">
        <f>_xlfn.XLOOKUP(frasest[[#This Row],[autor_es]],autorest[autor_es],autorest[bio_es])</f>
        <v>Filósofo griego discípulo directo de Sócrates y fundador de la escuela cínica que defendía la virtud la autosuficiencia y el desprecio por las riquezas materiales</v>
      </c>
      <c r="I1364" t="str">
        <f>_xlfn.XLOOKUP(frasest[[#This Row],[autor_es]],autorest[autor_es],autorest[bio_la])</f>
        <v>Philosophus Graecus discipulus directus Socratis et fundator scholae Cynicae qui virtutem autosufficientia et contemptum divitiarum materialium defendebat</v>
      </c>
      <c r="J1364" t="str">
        <f>_xlfn.XLOOKUP(frasest[[#This Row],[autor_es]],autorest[autor_es],autorest[codigo])</f>
        <v>el</v>
      </c>
      <c r="K1364" t="str">
        <f>_xlfn.XLOOKUP(frasest[[#This Row],[autor_es]],autorest[autor_es],autorest[idioma_es])</f>
        <v>Griego</v>
      </c>
      <c r="L1364" t="str">
        <f>_xlfn.XLOOKUP(frasest[[#This Row],[autor_es]],autorest[autor_es],autorest[idioma_la])</f>
        <v>Lingua Graeca</v>
      </c>
      <c r="M1364" t="str">
        <f>_xlfn.XLOOKUP(frasest[[#This Row],[autor_es]],autorest[autor_es],autorest[nacion_es])</f>
        <v>Grecia</v>
      </c>
      <c r="N1364" t="str">
        <f>_xlfn.XLOOKUP(frasest[[#This Row],[autor_es]],autorest[autor_es],autorest[nacion_la])</f>
        <v>Graecia</v>
      </c>
      <c r="O1364" t="str">
        <f>_xlfn.XLOOKUP(frasest[[#This Row],[autor_es]],autorest[autor_es],autorest[epoca_es])</f>
        <v>Edad Antigua</v>
      </c>
      <c r="P1364" t="str">
        <f>_xlfn.XLOOKUP(frasest[[#This Row],[autor_es]],autorest[autor_es],autorest[epoca_la])</f>
        <v>Antiquitas</v>
      </c>
      <c r="Q1364" t="str">
        <f>_xlfn.XLOOKUP(frasest[[#This Row],[autor_es]],autorest[autor_es],autorest[imagen])</f>
        <v>https://i.ibb.co/Xr7qMRcm/antistenes.png</v>
      </c>
      <c r="R1364">
        <f>_xlfn.XLOOKUP(frasest[[#This Row],[autor_es]],autorest[autor_es],autorest[imagen_atr])</f>
        <v>0</v>
      </c>
    </row>
    <row r="1365" spans="1:18">
      <c r="A1365">
        <v>1364</v>
      </c>
      <c r="B1365" t="s">
        <v>4216</v>
      </c>
      <c r="C1365" t="s">
        <v>4217</v>
      </c>
      <c r="D1365" t="s">
        <v>4218</v>
      </c>
      <c r="E1365" t="s">
        <v>4198</v>
      </c>
      <c r="F1365" t="s">
        <v>4219</v>
      </c>
      <c r="G1365" t="str">
        <f>_xlfn.XLOOKUP(frasest[[#This Row],[autor_es]],autorest[autor_es],autorest[autor_la])</f>
        <v>Antisthenes</v>
      </c>
      <c r="H1365" t="str">
        <f>_xlfn.XLOOKUP(frasest[[#This Row],[autor_es]],autorest[autor_es],autorest[bio_es])</f>
        <v>Filósofo griego discípulo directo de Sócrates y fundador de la escuela cínica que defendía la virtud la autosuficiencia y el desprecio por las riquezas materiales</v>
      </c>
      <c r="I1365" t="str">
        <f>_xlfn.XLOOKUP(frasest[[#This Row],[autor_es]],autorest[autor_es],autorest[bio_la])</f>
        <v>Philosophus Graecus discipulus directus Socratis et fundator scholae Cynicae qui virtutem autosufficientia et contemptum divitiarum materialium defendebat</v>
      </c>
      <c r="J1365" t="str">
        <f>_xlfn.XLOOKUP(frasest[[#This Row],[autor_es]],autorest[autor_es],autorest[codigo])</f>
        <v>el</v>
      </c>
      <c r="K1365" t="str">
        <f>_xlfn.XLOOKUP(frasest[[#This Row],[autor_es]],autorest[autor_es],autorest[idioma_es])</f>
        <v>Griego</v>
      </c>
      <c r="L1365" t="str">
        <f>_xlfn.XLOOKUP(frasest[[#This Row],[autor_es]],autorest[autor_es],autorest[idioma_la])</f>
        <v>Lingua Graeca</v>
      </c>
      <c r="M1365" t="str">
        <f>_xlfn.XLOOKUP(frasest[[#This Row],[autor_es]],autorest[autor_es],autorest[nacion_es])</f>
        <v>Grecia</v>
      </c>
      <c r="N1365" t="str">
        <f>_xlfn.XLOOKUP(frasest[[#This Row],[autor_es]],autorest[autor_es],autorest[nacion_la])</f>
        <v>Graecia</v>
      </c>
      <c r="O1365" t="str">
        <f>_xlfn.XLOOKUP(frasest[[#This Row],[autor_es]],autorest[autor_es],autorest[epoca_es])</f>
        <v>Edad Antigua</v>
      </c>
      <c r="P1365" t="str">
        <f>_xlfn.XLOOKUP(frasest[[#This Row],[autor_es]],autorest[autor_es],autorest[epoca_la])</f>
        <v>Antiquitas</v>
      </c>
      <c r="Q1365" t="str">
        <f>_xlfn.XLOOKUP(frasest[[#This Row],[autor_es]],autorest[autor_es],autorest[imagen])</f>
        <v>https://i.ibb.co/Xr7qMRcm/antistenes.png</v>
      </c>
      <c r="R1365">
        <f>_xlfn.XLOOKUP(frasest[[#This Row],[autor_es]],autorest[autor_es],autorest[imagen_atr])</f>
        <v>0</v>
      </c>
    </row>
    <row r="1366" spans="1:18">
      <c r="A1366">
        <v>1365</v>
      </c>
      <c r="B1366" t="s">
        <v>4220</v>
      </c>
      <c r="C1366" t="s">
        <v>4221</v>
      </c>
      <c r="D1366" t="s">
        <v>4222</v>
      </c>
      <c r="E1366" t="s">
        <v>4198</v>
      </c>
      <c r="F1366" t="s">
        <v>4223</v>
      </c>
      <c r="G1366" t="str">
        <f>_xlfn.XLOOKUP(frasest[[#This Row],[autor_es]],autorest[autor_es],autorest[autor_la])</f>
        <v>Antisthenes</v>
      </c>
      <c r="H1366" t="str">
        <f>_xlfn.XLOOKUP(frasest[[#This Row],[autor_es]],autorest[autor_es],autorest[bio_es])</f>
        <v>Filósofo griego discípulo directo de Sócrates y fundador de la escuela cínica que defendía la virtud la autosuficiencia y el desprecio por las riquezas materiales</v>
      </c>
      <c r="I1366" t="str">
        <f>_xlfn.XLOOKUP(frasest[[#This Row],[autor_es]],autorest[autor_es],autorest[bio_la])</f>
        <v>Philosophus Graecus discipulus directus Socratis et fundator scholae Cynicae qui virtutem autosufficientia et contemptum divitiarum materialium defendebat</v>
      </c>
      <c r="J1366" t="str">
        <f>_xlfn.XLOOKUP(frasest[[#This Row],[autor_es]],autorest[autor_es],autorest[codigo])</f>
        <v>el</v>
      </c>
      <c r="K1366" t="str">
        <f>_xlfn.XLOOKUP(frasest[[#This Row],[autor_es]],autorest[autor_es],autorest[idioma_es])</f>
        <v>Griego</v>
      </c>
      <c r="L1366" t="str">
        <f>_xlfn.XLOOKUP(frasest[[#This Row],[autor_es]],autorest[autor_es],autorest[idioma_la])</f>
        <v>Lingua Graeca</v>
      </c>
      <c r="M1366" t="str">
        <f>_xlfn.XLOOKUP(frasest[[#This Row],[autor_es]],autorest[autor_es],autorest[nacion_es])</f>
        <v>Grecia</v>
      </c>
      <c r="N1366" t="str">
        <f>_xlfn.XLOOKUP(frasest[[#This Row],[autor_es]],autorest[autor_es],autorest[nacion_la])</f>
        <v>Graecia</v>
      </c>
      <c r="O1366" t="str">
        <f>_xlfn.XLOOKUP(frasest[[#This Row],[autor_es]],autorest[autor_es],autorest[epoca_es])</f>
        <v>Edad Antigua</v>
      </c>
      <c r="P1366" t="str">
        <f>_xlfn.XLOOKUP(frasest[[#This Row],[autor_es]],autorest[autor_es],autorest[epoca_la])</f>
        <v>Antiquitas</v>
      </c>
      <c r="Q1366" t="str">
        <f>_xlfn.XLOOKUP(frasest[[#This Row],[autor_es]],autorest[autor_es],autorest[imagen])</f>
        <v>https://i.ibb.co/Xr7qMRcm/antistenes.png</v>
      </c>
      <c r="R1366">
        <f>_xlfn.XLOOKUP(frasest[[#This Row],[autor_es]],autorest[autor_es],autorest[imagen_atr])</f>
        <v>0</v>
      </c>
    </row>
    <row r="1367" spans="1:18">
      <c r="A1367">
        <v>1366</v>
      </c>
      <c r="B1367" t="s">
        <v>4224</v>
      </c>
      <c r="C1367" t="s">
        <v>4225</v>
      </c>
      <c r="D1367" t="s">
        <v>4226</v>
      </c>
      <c r="E1367" t="s">
        <v>4198</v>
      </c>
      <c r="F1367" t="s">
        <v>4227</v>
      </c>
      <c r="G1367" t="str">
        <f>_xlfn.XLOOKUP(frasest[[#This Row],[autor_es]],autorest[autor_es],autorest[autor_la])</f>
        <v>Antisthenes</v>
      </c>
      <c r="H1367" t="str">
        <f>_xlfn.XLOOKUP(frasest[[#This Row],[autor_es]],autorest[autor_es],autorest[bio_es])</f>
        <v>Filósofo griego discípulo directo de Sócrates y fundador de la escuela cínica que defendía la virtud la autosuficiencia y el desprecio por las riquezas materiales</v>
      </c>
      <c r="I1367" t="str">
        <f>_xlfn.XLOOKUP(frasest[[#This Row],[autor_es]],autorest[autor_es],autorest[bio_la])</f>
        <v>Philosophus Graecus discipulus directus Socratis et fundator scholae Cynicae qui virtutem autosufficientia et contemptum divitiarum materialium defendebat</v>
      </c>
      <c r="J1367" t="str">
        <f>_xlfn.XLOOKUP(frasest[[#This Row],[autor_es]],autorest[autor_es],autorest[codigo])</f>
        <v>el</v>
      </c>
      <c r="K1367" t="str">
        <f>_xlfn.XLOOKUP(frasest[[#This Row],[autor_es]],autorest[autor_es],autorest[idioma_es])</f>
        <v>Griego</v>
      </c>
      <c r="L1367" t="str">
        <f>_xlfn.XLOOKUP(frasest[[#This Row],[autor_es]],autorest[autor_es],autorest[idioma_la])</f>
        <v>Lingua Graeca</v>
      </c>
      <c r="M1367" t="str">
        <f>_xlfn.XLOOKUP(frasest[[#This Row],[autor_es]],autorest[autor_es],autorest[nacion_es])</f>
        <v>Grecia</v>
      </c>
      <c r="N1367" t="str">
        <f>_xlfn.XLOOKUP(frasest[[#This Row],[autor_es]],autorest[autor_es],autorest[nacion_la])</f>
        <v>Graecia</v>
      </c>
      <c r="O1367" t="str">
        <f>_xlfn.XLOOKUP(frasest[[#This Row],[autor_es]],autorest[autor_es],autorest[epoca_es])</f>
        <v>Edad Antigua</v>
      </c>
      <c r="P1367" t="str">
        <f>_xlfn.XLOOKUP(frasest[[#This Row],[autor_es]],autorest[autor_es],autorest[epoca_la])</f>
        <v>Antiquitas</v>
      </c>
      <c r="Q1367" t="str">
        <f>_xlfn.XLOOKUP(frasest[[#This Row],[autor_es]],autorest[autor_es],autorest[imagen])</f>
        <v>https://i.ibb.co/Xr7qMRcm/antistenes.png</v>
      </c>
      <c r="R1367">
        <f>_xlfn.XLOOKUP(frasest[[#This Row],[autor_es]],autorest[autor_es],autorest[imagen_atr])</f>
        <v>0</v>
      </c>
    </row>
    <row r="1368" spans="1:18">
      <c r="A1368">
        <v>1367</v>
      </c>
      <c r="B1368" t="s">
        <v>4228</v>
      </c>
      <c r="C1368" t="s">
        <v>4229</v>
      </c>
      <c r="D1368" t="s">
        <v>4230</v>
      </c>
      <c r="E1368" t="s">
        <v>4198</v>
      </c>
      <c r="F1368" t="s">
        <v>4231</v>
      </c>
      <c r="G1368" t="str">
        <f>_xlfn.XLOOKUP(frasest[[#This Row],[autor_es]],autorest[autor_es],autorest[autor_la])</f>
        <v>Antisthenes</v>
      </c>
      <c r="H1368" t="str">
        <f>_xlfn.XLOOKUP(frasest[[#This Row],[autor_es]],autorest[autor_es],autorest[bio_es])</f>
        <v>Filósofo griego discípulo directo de Sócrates y fundador de la escuela cínica que defendía la virtud la autosuficiencia y el desprecio por las riquezas materiales</v>
      </c>
      <c r="I1368" t="str">
        <f>_xlfn.XLOOKUP(frasest[[#This Row],[autor_es]],autorest[autor_es],autorest[bio_la])</f>
        <v>Philosophus Graecus discipulus directus Socratis et fundator scholae Cynicae qui virtutem autosufficientia et contemptum divitiarum materialium defendebat</v>
      </c>
      <c r="J1368" t="str">
        <f>_xlfn.XLOOKUP(frasest[[#This Row],[autor_es]],autorest[autor_es],autorest[codigo])</f>
        <v>el</v>
      </c>
      <c r="K1368" t="str">
        <f>_xlfn.XLOOKUP(frasest[[#This Row],[autor_es]],autorest[autor_es],autorest[idioma_es])</f>
        <v>Griego</v>
      </c>
      <c r="L1368" t="str">
        <f>_xlfn.XLOOKUP(frasest[[#This Row],[autor_es]],autorest[autor_es],autorest[idioma_la])</f>
        <v>Lingua Graeca</v>
      </c>
      <c r="M1368" t="str">
        <f>_xlfn.XLOOKUP(frasest[[#This Row],[autor_es]],autorest[autor_es],autorest[nacion_es])</f>
        <v>Grecia</v>
      </c>
      <c r="N1368" t="str">
        <f>_xlfn.XLOOKUP(frasest[[#This Row],[autor_es]],autorest[autor_es],autorest[nacion_la])</f>
        <v>Graecia</v>
      </c>
      <c r="O1368" t="str">
        <f>_xlfn.XLOOKUP(frasest[[#This Row],[autor_es]],autorest[autor_es],autorest[epoca_es])</f>
        <v>Edad Antigua</v>
      </c>
      <c r="P1368" t="str">
        <f>_xlfn.XLOOKUP(frasest[[#This Row],[autor_es]],autorest[autor_es],autorest[epoca_la])</f>
        <v>Antiquitas</v>
      </c>
      <c r="Q1368" t="str">
        <f>_xlfn.XLOOKUP(frasest[[#This Row],[autor_es]],autorest[autor_es],autorest[imagen])</f>
        <v>https://i.ibb.co/Xr7qMRcm/antistenes.png</v>
      </c>
      <c r="R1368">
        <f>_xlfn.XLOOKUP(frasest[[#This Row],[autor_es]],autorest[autor_es],autorest[imagen_atr])</f>
        <v>0</v>
      </c>
    </row>
    <row r="1369" spans="1:18">
      <c r="A1369">
        <v>1368</v>
      </c>
      <c r="B1369" t="s">
        <v>4232</v>
      </c>
      <c r="C1369" t="s">
        <v>4233</v>
      </c>
      <c r="D1369" t="s">
        <v>4234</v>
      </c>
      <c r="E1369" t="s">
        <v>4198</v>
      </c>
      <c r="F1369" t="s">
        <v>4235</v>
      </c>
      <c r="G1369" t="str">
        <f>_xlfn.XLOOKUP(frasest[[#This Row],[autor_es]],autorest[autor_es],autorest[autor_la])</f>
        <v>Antisthenes</v>
      </c>
      <c r="H1369" t="str">
        <f>_xlfn.XLOOKUP(frasest[[#This Row],[autor_es]],autorest[autor_es],autorest[bio_es])</f>
        <v>Filósofo griego discípulo directo de Sócrates y fundador de la escuela cínica que defendía la virtud la autosuficiencia y el desprecio por las riquezas materiales</v>
      </c>
      <c r="I1369" t="str">
        <f>_xlfn.XLOOKUP(frasest[[#This Row],[autor_es]],autorest[autor_es],autorest[bio_la])</f>
        <v>Philosophus Graecus discipulus directus Socratis et fundator scholae Cynicae qui virtutem autosufficientia et contemptum divitiarum materialium defendebat</v>
      </c>
      <c r="J1369" t="str">
        <f>_xlfn.XLOOKUP(frasest[[#This Row],[autor_es]],autorest[autor_es],autorest[codigo])</f>
        <v>el</v>
      </c>
      <c r="K1369" t="str">
        <f>_xlfn.XLOOKUP(frasest[[#This Row],[autor_es]],autorest[autor_es],autorest[idioma_es])</f>
        <v>Griego</v>
      </c>
      <c r="L1369" t="str">
        <f>_xlfn.XLOOKUP(frasest[[#This Row],[autor_es]],autorest[autor_es],autorest[idioma_la])</f>
        <v>Lingua Graeca</v>
      </c>
      <c r="M1369" t="str">
        <f>_xlfn.XLOOKUP(frasest[[#This Row],[autor_es]],autorest[autor_es],autorest[nacion_es])</f>
        <v>Grecia</v>
      </c>
      <c r="N1369" t="str">
        <f>_xlfn.XLOOKUP(frasest[[#This Row],[autor_es]],autorest[autor_es],autorest[nacion_la])</f>
        <v>Graecia</v>
      </c>
      <c r="O1369" t="str">
        <f>_xlfn.XLOOKUP(frasest[[#This Row],[autor_es]],autorest[autor_es],autorest[epoca_es])</f>
        <v>Edad Antigua</v>
      </c>
      <c r="P1369" t="str">
        <f>_xlfn.XLOOKUP(frasest[[#This Row],[autor_es]],autorest[autor_es],autorest[epoca_la])</f>
        <v>Antiquitas</v>
      </c>
      <c r="Q1369" t="str">
        <f>_xlfn.XLOOKUP(frasest[[#This Row],[autor_es]],autorest[autor_es],autorest[imagen])</f>
        <v>https://i.ibb.co/Xr7qMRcm/antistenes.png</v>
      </c>
      <c r="R1369">
        <f>_xlfn.XLOOKUP(frasest[[#This Row],[autor_es]],autorest[autor_es],autorest[imagen_atr])</f>
        <v>0</v>
      </c>
    </row>
    <row r="1370" spans="1:18">
      <c r="A1370">
        <v>1369</v>
      </c>
      <c r="B1370" t="s">
        <v>4236</v>
      </c>
      <c r="C1370" t="s">
        <v>4237</v>
      </c>
      <c r="D1370" t="s">
        <v>4238</v>
      </c>
      <c r="E1370" t="s">
        <v>4239</v>
      </c>
      <c r="F1370" t="s">
        <v>4240</v>
      </c>
      <c r="G1370" t="str">
        <f>_xlfn.XLOOKUP(frasest[[#This Row],[autor_es]],autorest[autor_es],autorest[autor_la])</f>
        <v>Plotinus</v>
      </c>
      <c r="H1370" t="str">
        <f>_xlfn.XLOOKUP(frasest[[#This Row],[autor_es]],autorest[autor_es],autorest[bio_es])</f>
        <v>Filósofo neoplatónico fundador de la escuela neoplatónica que estableció el puente entre la filosofía griega clásica y la mística cristiana medieval con su doctrina sobre el Uno y la emanación del alma</v>
      </c>
      <c r="I1370" t="str">
        <f>_xlfn.XLOOKUP(frasest[[#This Row],[autor_es]],autorest[autor_es],autorest[bio_la])</f>
        <v>Philosophus Neoplatonicus fundator scholae Neoplatonicae qui pontem inter philosophiam Graecam classicam et mysticam Christianam medievalem constituit cum doctrina de Uno et emanatione animae</v>
      </c>
      <c r="J1370" t="str">
        <f>_xlfn.XLOOKUP(frasest[[#This Row],[autor_es]],autorest[autor_es],autorest[codigo])</f>
        <v>el</v>
      </c>
      <c r="K1370" t="str">
        <f>_xlfn.XLOOKUP(frasest[[#This Row],[autor_es]],autorest[autor_es],autorest[idioma_es])</f>
        <v>Griego</v>
      </c>
      <c r="L1370" t="str">
        <f>_xlfn.XLOOKUP(frasest[[#This Row],[autor_es]],autorest[autor_es],autorest[idioma_la])</f>
        <v>Lingua Graeca</v>
      </c>
      <c r="M1370" t="str">
        <f>_xlfn.XLOOKUP(frasest[[#This Row],[autor_es]],autorest[autor_es],autorest[nacion_es])</f>
        <v>Roma</v>
      </c>
      <c r="N1370" t="str">
        <f>_xlfn.XLOOKUP(frasest[[#This Row],[autor_es]],autorest[autor_es],autorest[nacion_la])</f>
        <v>Roma</v>
      </c>
      <c r="O1370" t="str">
        <f>_xlfn.XLOOKUP(frasest[[#This Row],[autor_es]],autorest[autor_es],autorest[epoca_es])</f>
        <v>Edad Antigua</v>
      </c>
      <c r="P1370" t="str">
        <f>_xlfn.XLOOKUP(frasest[[#This Row],[autor_es]],autorest[autor_es],autorest[epoca_la])</f>
        <v>Antiquitas</v>
      </c>
      <c r="Q1370" t="str">
        <f>_xlfn.XLOOKUP(frasest[[#This Row],[autor_es]],autorest[autor_es],autorest[imagen])</f>
        <v>https://i.ibb.co/wFKwzxC5/plotino.png</v>
      </c>
      <c r="R1370">
        <f>_xlfn.XLOOKUP(frasest[[#This Row],[autor_es]],autorest[autor_es],autorest[imagen_atr])</f>
        <v>0</v>
      </c>
    </row>
    <row r="1371" spans="1:18">
      <c r="A1371">
        <v>1370</v>
      </c>
      <c r="B1371" t="s">
        <v>4241</v>
      </c>
      <c r="C1371" t="s">
        <v>4242</v>
      </c>
      <c r="D1371" t="s">
        <v>4243</v>
      </c>
      <c r="E1371" t="s">
        <v>4239</v>
      </c>
      <c r="F1371" t="s">
        <v>4244</v>
      </c>
      <c r="G1371" t="str">
        <f>_xlfn.XLOOKUP(frasest[[#This Row],[autor_es]],autorest[autor_es],autorest[autor_la])</f>
        <v>Plotinus</v>
      </c>
      <c r="H1371" t="str">
        <f>_xlfn.XLOOKUP(frasest[[#This Row],[autor_es]],autorest[autor_es],autorest[bio_es])</f>
        <v>Filósofo neoplatónico fundador de la escuela neoplatónica que estableció el puente entre la filosofía griega clásica y la mística cristiana medieval con su doctrina sobre el Uno y la emanación del alma</v>
      </c>
      <c r="I1371" t="str">
        <f>_xlfn.XLOOKUP(frasest[[#This Row],[autor_es]],autorest[autor_es],autorest[bio_la])</f>
        <v>Philosophus Neoplatonicus fundator scholae Neoplatonicae qui pontem inter philosophiam Graecam classicam et mysticam Christianam medievalem constituit cum doctrina de Uno et emanatione animae</v>
      </c>
      <c r="J1371" t="str">
        <f>_xlfn.XLOOKUP(frasest[[#This Row],[autor_es]],autorest[autor_es],autorest[codigo])</f>
        <v>el</v>
      </c>
      <c r="K1371" t="str">
        <f>_xlfn.XLOOKUP(frasest[[#This Row],[autor_es]],autorest[autor_es],autorest[idioma_es])</f>
        <v>Griego</v>
      </c>
      <c r="L1371" t="str">
        <f>_xlfn.XLOOKUP(frasest[[#This Row],[autor_es]],autorest[autor_es],autorest[idioma_la])</f>
        <v>Lingua Graeca</v>
      </c>
      <c r="M1371" t="str">
        <f>_xlfn.XLOOKUP(frasest[[#This Row],[autor_es]],autorest[autor_es],autorest[nacion_es])</f>
        <v>Roma</v>
      </c>
      <c r="N1371" t="str">
        <f>_xlfn.XLOOKUP(frasest[[#This Row],[autor_es]],autorest[autor_es],autorest[nacion_la])</f>
        <v>Roma</v>
      </c>
      <c r="O1371" t="str">
        <f>_xlfn.XLOOKUP(frasest[[#This Row],[autor_es]],autorest[autor_es],autorest[epoca_es])</f>
        <v>Edad Antigua</v>
      </c>
      <c r="P1371" t="str">
        <f>_xlfn.XLOOKUP(frasest[[#This Row],[autor_es]],autorest[autor_es],autorest[epoca_la])</f>
        <v>Antiquitas</v>
      </c>
      <c r="Q1371" t="str">
        <f>_xlfn.XLOOKUP(frasest[[#This Row],[autor_es]],autorest[autor_es],autorest[imagen])</f>
        <v>https://i.ibb.co/wFKwzxC5/plotino.png</v>
      </c>
      <c r="R1371">
        <f>_xlfn.XLOOKUP(frasest[[#This Row],[autor_es]],autorest[autor_es],autorest[imagen_atr])</f>
        <v>0</v>
      </c>
    </row>
    <row r="1372" spans="1:18">
      <c r="A1372">
        <v>1371</v>
      </c>
      <c r="B1372" t="s">
        <v>4245</v>
      </c>
      <c r="C1372" t="s">
        <v>4246</v>
      </c>
      <c r="D1372" t="s">
        <v>4247</v>
      </c>
      <c r="E1372" t="s">
        <v>4239</v>
      </c>
      <c r="F1372" t="s">
        <v>4248</v>
      </c>
      <c r="G1372" t="str">
        <f>_xlfn.XLOOKUP(frasest[[#This Row],[autor_es]],autorest[autor_es],autorest[autor_la])</f>
        <v>Plotinus</v>
      </c>
      <c r="H1372" t="str">
        <f>_xlfn.XLOOKUP(frasest[[#This Row],[autor_es]],autorest[autor_es],autorest[bio_es])</f>
        <v>Filósofo neoplatónico fundador de la escuela neoplatónica que estableció el puente entre la filosofía griega clásica y la mística cristiana medieval con su doctrina sobre el Uno y la emanación del alma</v>
      </c>
      <c r="I1372" t="str">
        <f>_xlfn.XLOOKUP(frasest[[#This Row],[autor_es]],autorest[autor_es],autorest[bio_la])</f>
        <v>Philosophus Neoplatonicus fundator scholae Neoplatonicae qui pontem inter philosophiam Graecam classicam et mysticam Christianam medievalem constituit cum doctrina de Uno et emanatione animae</v>
      </c>
      <c r="J1372" t="str">
        <f>_xlfn.XLOOKUP(frasest[[#This Row],[autor_es]],autorest[autor_es],autorest[codigo])</f>
        <v>el</v>
      </c>
      <c r="K1372" t="str">
        <f>_xlfn.XLOOKUP(frasest[[#This Row],[autor_es]],autorest[autor_es],autorest[idioma_es])</f>
        <v>Griego</v>
      </c>
      <c r="L1372" t="str">
        <f>_xlfn.XLOOKUP(frasest[[#This Row],[autor_es]],autorest[autor_es],autorest[idioma_la])</f>
        <v>Lingua Graeca</v>
      </c>
      <c r="M1372" t="str">
        <f>_xlfn.XLOOKUP(frasest[[#This Row],[autor_es]],autorest[autor_es],autorest[nacion_es])</f>
        <v>Roma</v>
      </c>
      <c r="N1372" t="str">
        <f>_xlfn.XLOOKUP(frasest[[#This Row],[autor_es]],autorest[autor_es],autorest[nacion_la])</f>
        <v>Roma</v>
      </c>
      <c r="O1372" t="str">
        <f>_xlfn.XLOOKUP(frasest[[#This Row],[autor_es]],autorest[autor_es],autorest[epoca_es])</f>
        <v>Edad Antigua</v>
      </c>
      <c r="P1372" t="str">
        <f>_xlfn.XLOOKUP(frasest[[#This Row],[autor_es]],autorest[autor_es],autorest[epoca_la])</f>
        <v>Antiquitas</v>
      </c>
      <c r="Q1372" t="str">
        <f>_xlfn.XLOOKUP(frasest[[#This Row],[autor_es]],autorest[autor_es],autorest[imagen])</f>
        <v>https://i.ibb.co/wFKwzxC5/plotino.png</v>
      </c>
      <c r="R1372">
        <f>_xlfn.XLOOKUP(frasest[[#This Row],[autor_es]],autorest[autor_es],autorest[imagen_atr])</f>
        <v>0</v>
      </c>
    </row>
    <row r="1373" spans="1:18">
      <c r="A1373">
        <v>1372</v>
      </c>
      <c r="B1373" t="s">
        <v>4249</v>
      </c>
      <c r="C1373" t="s">
        <v>4250</v>
      </c>
      <c r="D1373" t="s">
        <v>4251</v>
      </c>
      <c r="E1373" t="s">
        <v>4239</v>
      </c>
      <c r="F1373" t="s">
        <v>4252</v>
      </c>
      <c r="G1373" t="str">
        <f>_xlfn.XLOOKUP(frasest[[#This Row],[autor_es]],autorest[autor_es],autorest[autor_la])</f>
        <v>Plotinus</v>
      </c>
      <c r="H1373" t="str">
        <f>_xlfn.XLOOKUP(frasest[[#This Row],[autor_es]],autorest[autor_es],autorest[bio_es])</f>
        <v>Filósofo neoplatónico fundador de la escuela neoplatónica que estableció el puente entre la filosofía griega clásica y la mística cristiana medieval con su doctrina sobre el Uno y la emanación del alma</v>
      </c>
      <c r="I1373" t="str">
        <f>_xlfn.XLOOKUP(frasest[[#This Row],[autor_es]],autorest[autor_es],autorest[bio_la])</f>
        <v>Philosophus Neoplatonicus fundator scholae Neoplatonicae qui pontem inter philosophiam Graecam classicam et mysticam Christianam medievalem constituit cum doctrina de Uno et emanatione animae</v>
      </c>
      <c r="J1373" t="str">
        <f>_xlfn.XLOOKUP(frasest[[#This Row],[autor_es]],autorest[autor_es],autorest[codigo])</f>
        <v>el</v>
      </c>
      <c r="K1373" t="str">
        <f>_xlfn.XLOOKUP(frasest[[#This Row],[autor_es]],autorest[autor_es],autorest[idioma_es])</f>
        <v>Griego</v>
      </c>
      <c r="L1373" t="str">
        <f>_xlfn.XLOOKUP(frasest[[#This Row],[autor_es]],autorest[autor_es],autorest[idioma_la])</f>
        <v>Lingua Graeca</v>
      </c>
      <c r="M1373" t="str">
        <f>_xlfn.XLOOKUP(frasest[[#This Row],[autor_es]],autorest[autor_es],autorest[nacion_es])</f>
        <v>Roma</v>
      </c>
      <c r="N1373" t="str">
        <f>_xlfn.XLOOKUP(frasest[[#This Row],[autor_es]],autorest[autor_es],autorest[nacion_la])</f>
        <v>Roma</v>
      </c>
      <c r="O1373" t="str">
        <f>_xlfn.XLOOKUP(frasest[[#This Row],[autor_es]],autorest[autor_es],autorest[epoca_es])</f>
        <v>Edad Antigua</v>
      </c>
      <c r="P1373" t="str">
        <f>_xlfn.XLOOKUP(frasest[[#This Row],[autor_es]],autorest[autor_es],autorest[epoca_la])</f>
        <v>Antiquitas</v>
      </c>
      <c r="Q1373" t="str">
        <f>_xlfn.XLOOKUP(frasest[[#This Row],[autor_es]],autorest[autor_es],autorest[imagen])</f>
        <v>https://i.ibb.co/wFKwzxC5/plotino.png</v>
      </c>
      <c r="R1373">
        <f>_xlfn.XLOOKUP(frasest[[#This Row],[autor_es]],autorest[autor_es],autorest[imagen_atr])</f>
        <v>0</v>
      </c>
    </row>
    <row r="1374" spans="1:18">
      <c r="A1374">
        <v>1373</v>
      </c>
      <c r="B1374" t="s">
        <v>4253</v>
      </c>
      <c r="C1374" t="s">
        <v>4254</v>
      </c>
      <c r="D1374" t="s">
        <v>4255</v>
      </c>
      <c r="E1374" t="s">
        <v>4239</v>
      </c>
      <c r="F1374" t="s">
        <v>4256</v>
      </c>
      <c r="G1374" t="str">
        <f>_xlfn.XLOOKUP(frasest[[#This Row],[autor_es]],autorest[autor_es],autorest[autor_la])</f>
        <v>Plotinus</v>
      </c>
      <c r="H1374" t="str">
        <f>_xlfn.XLOOKUP(frasest[[#This Row],[autor_es]],autorest[autor_es],autorest[bio_es])</f>
        <v>Filósofo neoplatónico fundador de la escuela neoplatónica que estableció el puente entre la filosofía griega clásica y la mística cristiana medieval con su doctrina sobre el Uno y la emanación del alma</v>
      </c>
      <c r="I1374" t="str">
        <f>_xlfn.XLOOKUP(frasest[[#This Row],[autor_es]],autorest[autor_es],autorest[bio_la])</f>
        <v>Philosophus Neoplatonicus fundator scholae Neoplatonicae qui pontem inter philosophiam Graecam classicam et mysticam Christianam medievalem constituit cum doctrina de Uno et emanatione animae</v>
      </c>
      <c r="J1374" t="str">
        <f>_xlfn.XLOOKUP(frasest[[#This Row],[autor_es]],autorest[autor_es],autorest[codigo])</f>
        <v>el</v>
      </c>
      <c r="K1374" t="str">
        <f>_xlfn.XLOOKUP(frasest[[#This Row],[autor_es]],autorest[autor_es],autorest[idioma_es])</f>
        <v>Griego</v>
      </c>
      <c r="L1374" t="str">
        <f>_xlfn.XLOOKUP(frasest[[#This Row],[autor_es]],autorest[autor_es],autorest[idioma_la])</f>
        <v>Lingua Graeca</v>
      </c>
      <c r="M1374" t="str">
        <f>_xlfn.XLOOKUP(frasest[[#This Row],[autor_es]],autorest[autor_es],autorest[nacion_es])</f>
        <v>Roma</v>
      </c>
      <c r="N1374" t="str">
        <f>_xlfn.XLOOKUP(frasest[[#This Row],[autor_es]],autorest[autor_es],autorest[nacion_la])</f>
        <v>Roma</v>
      </c>
      <c r="O1374" t="str">
        <f>_xlfn.XLOOKUP(frasest[[#This Row],[autor_es]],autorest[autor_es],autorest[epoca_es])</f>
        <v>Edad Antigua</v>
      </c>
      <c r="P1374" t="str">
        <f>_xlfn.XLOOKUP(frasest[[#This Row],[autor_es]],autorest[autor_es],autorest[epoca_la])</f>
        <v>Antiquitas</v>
      </c>
      <c r="Q1374" t="str">
        <f>_xlfn.XLOOKUP(frasest[[#This Row],[autor_es]],autorest[autor_es],autorest[imagen])</f>
        <v>https://i.ibb.co/wFKwzxC5/plotino.png</v>
      </c>
      <c r="R1374">
        <f>_xlfn.XLOOKUP(frasest[[#This Row],[autor_es]],autorest[autor_es],autorest[imagen_atr])</f>
        <v>0</v>
      </c>
    </row>
    <row r="1375" spans="1:18">
      <c r="A1375">
        <v>1374</v>
      </c>
      <c r="B1375" t="s">
        <v>4257</v>
      </c>
      <c r="C1375" t="s">
        <v>4258</v>
      </c>
      <c r="D1375" t="s">
        <v>4259</v>
      </c>
      <c r="E1375" t="s">
        <v>4239</v>
      </c>
      <c r="F1375" t="s">
        <v>4260</v>
      </c>
      <c r="G1375" t="str">
        <f>_xlfn.XLOOKUP(frasest[[#This Row],[autor_es]],autorest[autor_es],autorest[autor_la])</f>
        <v>Plotinus</v>
      </c>
      <c r="H1375" t="str">
        <f>_xlfn.XLOOKUP(frasest[[#This Row],[autor_es]],autorest[autor_es],autorest[bio_es])</f>
        <v>Filósofo neoplatónico fundador de la escuela neoplatónica que estableció el puente entre la filosofía griega clásica y la mística cristiana medieval con su doctrina sobre el Uno y la emanación del alma</v>
      </c>
      <c r="I1375" t="str">
        <f>_xlfn.XLOOKUP(frasest[[#This Row],[autor_es]],autorest[autor_es],autorest[bio_la])</f>
        <v>Philosophus Neoplatonicus fundator scholae Neoplatonicae qui pontem inter philosophiam Graecam classicam et mysticam Christianam medievalem constituit cum doctrina de Uno et emanatione animae</v>
      </c>
      <c r="J1375" t="str">
        <f>_xlfn.XLOOKUP(frasest[[#This Row],[autor_es]],autorest[autor_es],autorest[codigo])</f>
        <v>el</v>
      </c>
      <c r="K1375" t="str">
        <f>_xlfn.XLOOKUP(frasest[[#This Row],[autor_es]],autorest[autor_es],autorest[idioma_es])</f>
        <v>Griego</v>
      </c>
      <c r="L1375" t="str">
        <f>_xlfn.XLOOKUP(frasest[[#This Row],[autor_es]],autorest[autor_es],autorest[idioma_la])</f>
        <v>Lingua Graeca</v>
      </c>
      <c r="M1375" t="str">
        <f>_xlfn.XLOOKUP(frasest[[#This Row],[autor_es]],autorest[autor_es],autorest[nacion_es])</f>
        <v>Roma</v>
      </c>
      <c r="N1375" t="str">
        <f>_xlfn.XLOOKUP(frasest[[#This Row],[autor_es]],autorest[autor_es],autorest[nacion_la])</f>
        <v>Roma</v>
      </c>
      <c r="O1375" t="str">
        <f>_xlfn.XLOOKUP(frasest[[#This Row],[autor_es]],autorest[autor_es],autorest[epoca_es])</f>
        <v>Edad Antigua</v>
      </c>
      <c r="P1375" t="str">
        <f>_xlfn.XLOOKUP(frasest[[#This Row],[autor_es]],autorest[autor_es],autorest[epoca_la])</f>
        <v>Antiquitas</v>
      </c>
      <c r="Q1375" t="str">
        <f>_xlfn.XLOOKUP(frasest[[#This Row],[autor_es]],autorest[autor_es],autorest[imagen])</f>
        <v>https://i.ibb.co/wFKwzxC5/plotino.png</v>
      </c>
      <c r="R1375">
        <f>_xlfn.XLOOKUP(frasest[[#This Row],[autor_es]],autorest[autor_es],autorest[imagen_atr])</f>
        <v>0</v>
      </c>
    </row>
    <row r="1376" spans="1:18">
      <c r="A1376">
        <v>1375</v>
      </c>
      <c r="B1376" t="s">
        <v>4261</v>
      </c>
      <c r="C1376" t="s">
        <v>4262</v>
      </c>
      <c r="D1376" t="s">
        <v>4263</v>
      </c>
      <c r="E1376" t="s">
        <v>4239</v>
      </c>
      <c r="F1376" t="s">
        <v>4264</v>
      </c>
      <c r="G1376" t="str">
        <f>_xlfn.XLOOKUP(frasest[[#This Row],[autor_es]],autorest[autor_es],autorest[autor_la])</f>
        <v>Plotinus</v>
      </c>
      <c r="H1376" t="str">
        <f>_xlfn.XLOOKUP(frasest[[#This Row],[autor_es]],autorest[autor_es],autorest[bio_es])</f>
        <v>Filósofo neoplatónico fundador de la escuela neoplatónica que estableció el puente entre la filosofía griega clásica y la mística cristiana medieval con su doctrina sobre el Uno y la emanación del alma</v>
      </c>
      <c r="I1376" t="str">
        <f>_xlfn.XLOOKUP(frasest[[#This Row],[autor_es]],autorest[autor_es],autorest[bio_la])</f>
        <v>Philosophus Neoplatonicus fundator scholae Neoplatonicae qui pontem inter philosophiam Graecam classicam et mysticam Christianam medievalem constituit cum doctrina de Uno et emanatione animae</v>
      </c>
      <c r="J1376" t="str">
        <f>_xlfn.XLOOKUP(frasest[[#This Row],[autor_es]],autorest[autor_es],autorest[codigo])</f>
        <v>el</v>
      </c>
      <c r="K1376" t="str">
        <f>_xlfn.XLOOKUP(frasest[[#This Row],[autor_es]],autorest[autor_es],autorest[idioma_es])</f>
        <v>Griego</v>
      </c>
      <c r="L1376" t="str">
        <f>_xlfn.XLOOKUP(frasest[[#This Row],[autor_es]],autorest[autor_es],autorest[idioma_la])</f>
        <v>Lingua Graeca</v>
      </c>
      <c r="M1376" t="str">
        <f>_xlfn.XLOOKUP(frasest[[#This Row],[autor_es]],autorest[autor_es],autorest[nacion_es])</f>
        <v>Roma</v>
      </c>
      <c r="N1376" t="str">
        <f>_xlfn.XLOOKUP(frasest[[#This Row],[autor_es]],autorest[autor_es],autorest[nacion_la])</f>
        <v>Roma</v>
      </c>
      <c r="O1376" t="str">
        <f>_xlfn.XLOOKUP(frasest[[#This Row],[autor_es]],autorest[autor_es],autorest[epoca_es])</f>
        <v>Edad Antigua</v>
      </c>
      <c r="P1376" t="str">
        <f>_xlfn.XLOOKUP(frasest[[#This Row],[autor_es]],autorest[autor_es],autorest[epoca_la])</f>
        <v>Antiquitas</v>
      </c>
      <c r="Q1376" t="str">
        <f>_xlfn.XLOOKUP(frasest[[#This Row],[autor_es]],autorest[autor_es],autorest[imagen])</f>
        <v>https://i.ibb.co/wFKwzxC5/plotino.png</v>
      </c>
      <c r="R1376">
        <f>_xlfn.XLOOKUP(frasest[[#This Row],[autor_es]],autorest[autor_es],autorest[imagen_atr])</f>
        <v>0</v>
      </c>
    </row>
    <row r="1377" spans="1:18">
      <c r="A1377">
        <v>1376</v>
      </c>
      <c r="B1377" t="s">
        <v>4265</v>
      </c>
      <c r="C1377" t="s">
        <v>4266</v>
      </c>
      <c r="D1377" t="s">
        <v>4267</v>
      </c>
      <c r="E1377" t="s">
        <v>4239</v>
      </c>
      <c r="F1377" t="s">
        <v>4268</v>
      </c>
      <c r="G1377" t="str">
        <f>_xlfn.XLOOKUP(frasest[[#This Row],[autor_es]],autorest[autor_es],autorest[autor_la])</f>
        <v>Plotinus</v>
      </c>
      <c r="H1377" t="str">
        <f>_xlfn.XLOOKUP(frasest[[#This Row],[autor_es]],autorest[autor_es],autorest[bio_es])</f>
        <v>Filósofo neoplatónico fundador de la escuela neoplatónica que estableció el puente entre la filosofía griega clásica y la mística cristiana medieval con su doctrina sobre el Uno y la emanación del alma</v>
      </c>
      <c r="I1377" t="str">
        <f>_xlfn.XLOOKUP(frasest[[#This Row],[autor_es]],autorest[autor_es],autorest[bio_la])</f>
        <v>Philosophus Neoplatonicus fundator scholae Neoplatonicae qui pontem inter philosophiam Graecam classicam et mysticam Christianam medievalem constituit cum doctrina de Uno et emanatione animae</v>
      </c>
      <c r="J1377" t="str">
        <f>_xlfn.XLOOKUP(frasest[[#This Row],[autor_es]],autorest[autor_es],autorest[codigo])</f>
        <v>el</v>
      </c>
      <c r="K1377" t="str">
        <f>_xlfn.XLOOKUP(frasest[[#This Row],[autor_es]],autorest[autor_es],autorest[idioma_es])</f>
        <v>Griego</v>
      </c>
      <c r="L1377" t="str">
        <f>_xlfn.XLOOKUP(frasest[[#This Row],[autor_es]],autorest[autor_es],autorest[idioma_la])</f>
        <v>Lingua Graeca</v>
      </c>
      <c r="M1377" t="str">
        <f>_xlfn.XLOOKUP(frasest[[#This Row],[autor_es]],autorest[autor_es],autorest[nacion_es])</f>
        <v>Roma</v>
      </c>
      <c r="N1377" t="str">
        <f>_xlfn.XLOOKUP(frasest[[#This Row],[autor_es]],autorest[autor_es],autorest[nacion_la])</f>
        <v>Roma</v>
      </c>
      <c r="O1377" t="str">
        <f>_xlfn.XLOOKUP(frasest[[#This Row],[autor_es]],autorest[autor_es],autorest[epoca_es])</f>
        <v>Edad Antigua</v>
      </c>
      <c r="P1377" t="str">
        <f>_xlfn.XLOOKUP(frasest[[#This Row],[autor_es]],autorest[autor_es],autorest[epoca_la])</f>
        <v>Antiquitas</v>
      </c>
      <c r="Q1377" t="str">
        <f>_xlfn.XLOOKUP(frasest[[#This Row],[autor_es]],autorest[autor_es],autorest[imagen])</f>
        <v>https://i.ibb.co/wFKwzxC5/plotino.png</v>
      </c>
      <c r="R1377">
        <f>_xlfn.XLOOKUP(frasest[[#This Row],[autor_es]],autorest[autor_es],autorest[imagen_atr])</f>
        <v>0</v>
      </c>
    </row>
    <row r="1378" spans="1:18">
      <c r="A1378">
        <v>1377</v>
      </c>
      <c r="B1378" t="s">
        <v>4269</v>
      </c>
      <c r="C1378" t="s">
        <v>4270</v>
      </c>
      <c r="D1378" t="s">
        <v>4271</v>
      </c>
      <c r="E1378" t="s">
        <v>4239</v>
      </c>
      <c r="F1378" t="s">
        <v>4272</v>
      </c>
      <c r="G1378" t="str">
        <f>_xlfn.XLOOKUP(frasest[[#This Row],[autor_es]],autorest[autor_es],autorest[autor_la])</f>
        <v>Plotinus</v>
      </c>
      <c r="H1378" t="str">
        <f>_xlfn.XLOOKUP(frasest[[#This Row],[autor_es]],autorest[autor_es],autorest[bio_es])</f>
        <v>Filósofo neoplatónico fundador de la escuela neoplatónica que estableció el puente entre la filosofía griega clásica y la mística cristiana medieval con su doctrina sobre el Uno y la emanación del alma</v>
      </c>
      <c r="I1378" t="str">
        <f>_xlfn.XLOOKUP(frasest[[#This Row],[autor_es]],autorest[autor_es],autorest[bio_la])</f>
        <v>Philosophus Neoplatonicus fundator scholae Neoplatonicae qui pontem inter philosophiam Graecam classicam et mysticam Christianam medievalem constituit cum doctrina de Uno et emanatione animae</v>
      </c>
      <c r="J1378" t="str">
        <f>_xlfn.XLOOKUP(frasest[[#This Row],[autor_es]],autorest[autor_es],autorest[codigo])</f>
        <v>el</v>
      </c>
      <c r="K1378" t="str">
        <f>_xlfn.XLOOKUP(frasest[[#This Row],[autor_es]],autorest[autor_es],autorest[idioma_es])</f>
        <v>Griego</v>
      </c>
      <c r="L1378" t="str">
        <f>_xlfn.XLOOKUP(frasest[[#This Row],[autor_es]],autorest[autor_es],autorest[idioma_la])</f>
        <v>Lingua Graeca</v>
      </c>
      <c r="M1378" t="str">
        <f>_xlfn.XLOOKUP(frasest[[#This Row],[autor_es]],autorest[autor_es],autorest[nacion_es])</f>
        <v>Roma</v>
      </c>
      <c r="N1378" t="str">
        <f>_xlfn.XLOOKUP(frasest[[#This Row],[autor_es]],autorest[autor_es],autorest[nacion_la])</f>
        <v>Roma</v>
      </c>
      <c r="O1378" t="str">
        <f>_xlfn.XLOOKUP(frasest[[#This Row],[autor_es]],autorest[autor_es],autorest[epoca_es])</f>
        <v>Edad Antigua</v>
      </c>
      <c r="P1378" t="str">
        <f>_xlfn.XLOOKUP(frasest[[#This Row],[autor_es]],autorest[autor_es],autorest[epoca_la])</f>
        <v>Antiquitas</v>
      </c>
      <c r="Q1378" t="str">
        <f>_xlfn.XLOOKUP(frasest[[#This Row],[autor_es]],autorest[autor_es],autorest[imagen])</f>
        <v>https://i.ibb.co/wFKwzxC5/plotino.png</v>
      </c>
      <c r="R1378">
        <f>_xlfn.XLOOKUP(frasest[[#This Row],[autor_es]],autorest[autor_es],autorest[imagen_atr])</f>
        <v>0</v>
      </c>
    </row>
    <row r="1379" spans="1:18">
      <c r="A1379">
        <v>1378</v>
      </c>
      <c r="B1379" t="s">
        <v>4273</v>
      </c>
      <c r="C1379" t="s">
        <v>4274</v>
      </c>
      <c r="D1379" t="s">
        <v>4275</v>
      </c>
      <c r="E1379" t="s">
        <v>4239</v>
      </c>
      <c r="F1379" t="s">
        <v>4276</v>
      </c>
      <c r="G1379" t="str">
        <f>_xlfn.XLOOKUP(frasest[[#This Row],[autor_es]],autorest[autor_es],autorest[autor_la])</f>
        <v>Plotinus</v>
      </c>
      <c r="H1379" t="str">
        <f>_xlfn.XLOOKUP(frasest[[#This Row],[autor_es]],autorest[autor_es],autorest[bio_es])</f>
        <v>Filósofo neoplatónico fundador de la escuela neoplatónica que estableció el puente entre la filosofía griega clásica y la mística cristiana medieval con su doctrina sobre el Uno y la emanación del alma</v>
      </c>
      <c r="I1379" t="str">
        <f>_xlfn.XLOOKUP(frasest[[#This Row],[autor_es]],autorest[autor_es],autorest[bio_la])</f>
        <v>Philosophus Neoplatonicus fundator scholae Neoplatonicae qui pontem inter philosophiam Graecam classicam et mysticam Christianam medievalem constituit cum doctrina de Uno et emanatione animae</v>
      </c>
      <c r="J1379" t="str">
        <f>_xlfn.XLOOKUP(frasest[[#This Row],[autor_es]],autorest[autor_es],autorest[codigo])</f>
        <v>el</v>
      </c>
      <c r="K1379" t="str">
        <f>_xlfn.XLOOKUP(frasest[[#This Row],[autor_es]],autorest[autor_es],autorest[idioma_es])</f>
        <v>Griego</v>
      </c>
      <c r="L1379" t="str">
        <f>_xlfn.XLOOKUP(frasest[[#This Row],[autor_es]],autorest[autor_es],autorest[idioma_la])</f>
        <v>Lingua Graeca</v>
      </c>
      <c r="M1379" t="str">
        <f>_xlfn.XLOOKUP(frasest[[#This Row],[autor_es]],autorest[autor_es],autorest[nacion_es])</f>
        <v>Roma</v>
      </c>
      <c r="N1379" t="str">
        <f>_xlfn.XLOOKUP(frasest[[#This Row],[autor_es]],autorest[autor_es],autorest[nacion_la])</f>
        <v>Roma</v>
      </c>
      <c r="O1379" t="str">
        <f>_xlfn.XLOOKUP(frasest[[#This Row],[autor_es]],autorest[autor_es],autorest[epoca_es])</f>
        <v>Edad Antigua</v>
      </c>
      <c r="P1379" t="str">
        <f>_xlfn.XLOOKUP(frasest[[#This Row],[autor_es]],autorest[autor_es],autorest[epoca_la])</f>
        <v>Antiquitas</v>
      </c>
      <c r="Q1379" t="str">
        <f>_xlfn.XLOOKUP(frasest[[#This Row],[autor_es]],autorest[autor_es],autorest[imagen])</f>
        <v>https://i.ibb.co/wFKwzxC5/plotino.png</v>
      </c>
      <c r="R1379">
        <f>_xlfn.XLOOKUP(frasest[[#This Row],[autor_es]],autorest[autor_es],autorest[imagen_atr])</f>
        <v>0</v>
      </c>
    </row>
    <row r="1380" spans="1:18">
      <c r="A1380">
        <v>1379</v>
      </c>
      <c r="B1380" t="s">
        <v>4277</v>
      </c>
      <c r="C1380" t="s">
        <v>4278</v>
      </c>
      <c r="D1380" t="s">
        <v>4279</v>
      </c>
      <c r="E1380" t="s">
        <v>4239</v>
      </c>
      <c r="F1380" t="s">
        <v>4280</v>
      </c>
      <c r="G1380" t="str">
        <f>_xlfn.XLOOKUP(frasest[[#This Row],[autor_es]],autorest[autor_es],autorest[autor_la])</f>
        <v>Plotinus</v>
      </c>
      <c r="H1380" t="str">
        <f>_xlfn.XLOOKUP(frasest[[#This Row],[autor_es]],autorest[autor_es],autorest[bio_es])</f>
        <v>Filósofo neoplatónico fundador de la escuela neoplatónica que estableció el puente entre la filosofía griega clásica y la mística cristiana medieval con su doctrina sobre el Uno y la emanación del alma</v>
      </c>
      <c r="I1380" t="str">
        <f>_xlfn.XLOOKUP(frasest[[#This Row],[autor_es]],autorest[autor_es],autorest[bio_la])</f>
        <v>Philosophus Neoplatonicus fundator scholae Neoplatonicae qui pontem inter philosophiam Graecam classicam et mysticam Christianam medievalem constituit cum doctrina de Uno et emanatione animae</v>
      </c>
      <c r="J1380" t="str">
        <f>_xlfn.XLOOKUP(frasest[[#This Row],[autor_es]],autorest[autor_es],autorest[codigo])</f>
        <v>el</v>
      </c>
      <c r="K1380" t="str">
        <f>_xlfn.XLOOKUP(frasest[[#This Row],[autor_es]],autorest[autor_es],autorest[idioma_es])</f>
        <v>Griego</v>
      </c>
      <c r="L1380" t="str">
        <f>_xlfn.XLOOKUP(frasest[[#This Row],[autor_es]],autorest[autor_es],autorest[idioma_la])</f>
        <v>Lingua Graeca</v>
      </c>
      <c r="M1380" t="str">
        <f>_xlfn.XLOOKUP(frasest[[#This Row],[autor_es]],autorest[autor_es],autorest[nacion_es])</f>
        <v>Roma</v>
      </c>
      <c r="N1380" t="str">
        <f>_xlfn.XLOOKUP(frasest[[#This Row],[autor_es]],autorest[autor_es],autorest[nacion_la])</f>
        <v>Roma</v>
      </c>
      <c r="O1380" t="str">
        <f>_xlfn.XLOOKUP(frasest[[#This Row],[autor_es]],autorest[autor_es],autorest[epoca_es])</f>
        <v>Edad Antigua</v>
      </c>
      <c r="P1380" t="str">
        <f>_xlfn.XLOOKUP(frasest[[#This Row],[autor_es]],autorest[autor_es],autorest[epoca_la])</f>
        <v>Antiquitas</v>
      </c>
      <c r="Q1380" t="str">
        <f>_xlfn.XLOOKUP(frasest[[#This Row],[autor_es]],autorest[autor_es],autorest[imagen])</f>
        <v>https://i.ibb.co/wFKwzxC5/plotino.png</v>
      </c>
      <c r="R1380">
        <f>_xlfn.XLOOKUP(frasest[[#This Row],[autor_es]],autorest[autor_es],autorest[imagen_atr])</f>
        <v>0</v>
      </c>
    </row>
    <row r="1381" spans="1:18">
      <c r="A1381">
        <v>1380</v>
      </c>
      <c r="B1381" t="s">
        <v>4281</v>
      </c>
      <c r="C1381" t="s">
        <v>4282</v>
      </c>
      <c r="D1381" t="s">
        <v>4283</v>
      </c>
      <c r="E1381" t="s">
        <v>4239</v>
      </c>
      <c r="F1381" t="s">
        <v>4284</v>
      </c>
      <c r="G1381" t="str">
        <f>_xlfn.XLOOKUP(frasest[[#This Row],[autor_es]],autorest[autor_es],autorest[autor_la])</f>
        <v>Plotinus</v>
      </c>
      <c r="H1381" t="str">
        <f>_xlfn.XLOOKUP(frasest[[#This Row],[autor_es]],autorest[autor_es],autorest[bio_es])</f>
        <v>Filósofo neoplatónico fundador de la escuela neoplatónica que estableció el puente entre la filosofía griega clásica y la mística cristiana medieval con su doctrina sobre el Uno y la emanación del alma</v>
      </c>
      <c r="I1381" t="str">
        <f>_xlfn.XLOOKUP(frasest[[#This Row],[autor_es]],autorest[autor_es],autorest[bio_la])</f>
        <v>Philosophus Neoplatonicus fundator scholae Neoplatonicae qui pontem inter philosophiam Graecam classicam et mysticam Christianam medievalem constituit cum doctrina de Uno et emanatione animae</v>
      </c>
      <c r="J1381" t="str">
        <f>_xlfn.XLOOKUP(frasest[[#This Row],[autor_es]],autorest[autor_es],autorest[codigo])</f>
        <v>el</v>
      </c>
      <c r="K1381" t="str">
        <f>_xlfn.XLOOKUP(frasest[[#This Row],[autor_es]],autorest[autor_es],autorest[idioma_es])</f>
        <v>Griego</v>
      </c>
      <c r="L1381" t="str">
        <f>_xlfn.XLOOKUP(frasest[[#This Row],[autor_es]],autorest[autor_es],autorest[idioma_la])</f>
        <v>Lingua Graeca</v>
      </c>
      <c r="M1381" t="str">
        <f>_xlfn.XLOOKUP(frasest[[#This Row],[autor_es]],autorest[autor_es],autorest[nacion_es])</f>
        <v>Roma</v>
      </c>
      <c r="N1381" t="str">
        <f>_xlfn.XLOOKUP(frasest[[#This Row],[autor_es]],autorest[autor_es],autorest[nacion_la])</f>
        <v>Roma</v>
      </c>
      <c r="O1381" t="str">
        <f>_xlfn.XLOOKUP(frasest[[#This Row],[autor_es]],autorest[autor_es],autorest[epoca_es])</f>
        <v>Edad Antigua</v>
      </c>
      <c r="P1381" t="str">
        <f>_xlfn.XLOOKUP(frasest[[#This Row],[autor_es]],autorest[autor_es],autorest[epoca_la])</f>
        <v>Antiquitas</v>
      </c>
      <c r="Q1381" t="str">
        <f>_xlfn.XLOOKUP(frasest[[#This Row],[autor_es]],autorest[autor_es],autorest[imagen])</f>
        <v>https://i.ibb.co/wFKwzxC5/plotino.png</v>
      </c>
      <c r="R1381">
        <f>_xlfn.XLOOKUP(frasest[[#This Row],[autor_es]],autorest[autor_es],autorest[imagen_atr])</f>
        <v>0</v>
      </c>
    </row>
    <row r="1382" spans="1:18">
      <c r="A1382">
        <v>1381</v>
      </c>
      <c r="B1382" t="s">
        <v>4285</v>
      </c>
      <c r="C1382" t="s">
        <v>4286</v>
      </c>
      <c r="D1382" t="s">
        <v>4287</v>
      </c>
      <c r="E1382" t="s">
        <v>4239</v>
      </c>
      <c r="F1382" t="s">
        <v>4288</v>
      </c>
      <c r="G1382" t="str">
        <f>_xlfn.XLOOKUP(frasest[[#This Row],[autor_es]],autorest[autor_es],autorest[autor_la])</f>
        <v>Plotinus</v>
      </c>
      <c r="H1382" t="str">
        <f>_xlfn.XLOOKUP(frasest[[#This Row],[autor_es]],autorest[autor_es],autorest[bio_es])</f>
        <v>Filósofo neoplatónico fundador de la escuela neoplatónica que estableció el puente entre la filosofía griega clásica y la mística cristiana medieval con su doctrina sobre el Uno y la emanación del alma</v>
      </c>
      <c r="I1382" t="str">
        <f>_xlfn.XLOOKUP(frasest[[#This Row],[autor_es]],autorest[autor_es],autorest[bio_la])</f>
        <v>Philosophus Neoplatonicus fundator scholae Neoplatonicae qui pontem inter philosophiam Graecam classicam et mysticam Christianam medievalem constituit cum doctrina de Uno et emanatione animae</v>
      </c>
      <c r="J1382" t="str">
        <f>_xlfn.XLOOKUP(frasest[[#This Row],[autor_es]],autorest[autor_es],autorest[codigo])</f>
        <v>el</v>
      </c>
      <c r="K1382" t="str">
        <f>_xlfn.XLOOKUP(frasest[[#This Row],[autor_es]],autorest[autor_es],autorest[idioma_es])</f>
        <v>Griego</v>
      </c>
      <c r="L1382" t="str">
        <f>_xlfn.XLOOKUP(frasest[[#This Row],[autor_es]],autorest[autor_es],autorest[idioma_la])</f>
        <v>Lingua Graeca</v>
      </c>
      <c r="M1382" t="str">
        <f>_xlfn.XLOOKUP(frasest[[#This Row],[autor_es]],autorest[autor_es],autorest[nacion_es])</f>
        <v>Roma</v>
      </c>
      <c r="N1382" t="str">
        <f>_xlfn.XLOOKUP(frasest[[#This Row],[autor_es]],autorest[autor_es],autorest[nacion_la])</f>
        <v>Roma</v>
      </c>
      <c r="O1382" t="str">
        <f>_xlfn.XLOOKUP(frasest[[#This Row],[autor_es]],autorest[autor_es],autorest[epoca_es])</f>
        <v>Edad Antigua</v>
      </c>
      <c r="P1382" t="str">
        <f>_xlfn.XLOOKUP(frasest[[#This Row],[autor_es]],autorest[autor_es],autorest[epoca_la])</f>
        <v>Antiquitas</v>
      </c>
      <c r="Q1382" t="str">
        <f>_xlfn.XLOOKUP(frasest[[#This Row],[autor_es]],autorest[autor_es],autorest[imagen])</f>
        <v>https://i.ibb.co/wFKwzxC5/plotino.png</v>
      </c>
      <c r="R1382">
        <f>_xlfn.XLOOKUP(frasest[[#This Row],[autor_es]],autorest[autor_es],autorest[imagen_atr])</f>
        <v>0</v>
      </c>
    </row>
    <row r="1383" spans="1:18">
      <c r="A1383">
        <v>1382</v>
      </c>
      <c r="B1383" t="s">
        <v>4289</v>
      </c>
      <c r="C1383" t="s">
        <v>4290</v>
      </c>
      <c r="D1383" t="s">
        <v>4291</v>
      </c>
      <c r="E1383" t="s">
        <v>4239</v>
      </c>
      <c r="F1383" t="s">
        <v>4292</v>
      </c>
      <c r="G1383" t="str">
        <f>_xlfn.XLOOKUP(frasest[[#This Row],[autor_es]],autorest[autor_es],autorest[autor_la])</f>
        <v>Plotinus</v>
      </c>
      <c r="H1383" t="str">
        <f>_xlfn.XLOOKUP(frasest[[#This Row],[autor_es]],autorest[autor_es],autorest[bio_es])</f>
        <v>Filósofo neoplatónico fundador de la escuela neoplatónica que estableció el puente entre la filosofía griega clásica y la mística cristiana medieval con su doctrina sobre el Uno y la emanación del alma</v>
      </c>
      <c r="I1383" t="str">
        <f>_xlfn.XLOOKUP(frasest[[#This Row],[autor_es]],autorest[autor_es],autorest[bio_la])</f>
        <v>Philosophus Neoplatonicus fundator scholae Neoplatonicae qui pontem inter philosophiam Graecam classicam et mysticam Christianam medievalem constituit cum doctrina de Uno et emanatione animae</v>
      </c>
      <c r="J1383" t="str">
        <f>_xlfn.XLOOKUP(frasest[[#This Row],[autor_es]],autorest[autor_es],autorest[codigo])</f>
        <v>el</v>
      </c>
      <c r="K1383" t="str">
        <f>_xlfn.XLOOKUP(frasest[[#This Row],[autor_es]],autorest[autor_es],autorest[idioma_es])</f>
        <v>Griego</v>
      </c>
      <c r="L1383" t="str">
        <f>_xlfn.XLOOKUP(frasest[[#This Row],[autor_es]],autorest[autor_es],autorest[idioma_la])</f>
        <v>Lingua Graeca</v>
      </c>
      <c r="M1383" t="str">
        <f>_xlfn.XLOOKUP(frasest[[#This Row],[autor_es]],autorest[autor_es],autorest[nacion_es])</f>
        <v>Roma</v>
      </c>
      <c r="N1383" t="str">
        <f>_xlfn.XLOOKUP(frasest[[#This Row],[autor_es]],autorest[autor_es],autorest[nacion_la])</f>
        <v>Roma</v>
      </c>
      <c r="O1383" t="str">
        <f>_xlfn.XLOOKUP(frasest[[#This Row],[autor_es]],autorest[autor_es],autorest[epoca_es])</f>
        <v>Edad Antigua</v>
      </c>
      <c r="P1383" t="str">
        <f>_xlfn.XLOOKUP(frasest[[#This Row],[autor_es]],autorest[autor_es],autorest[epoca_la])</f>
        <v>Antiquitas</v>
      </c>
      <c r="Q1383" t="str">
        <f>_xlfn.XLOOKUP(frasest[[#This Row],[autor_es]],autorest[autor_es],autorest[imagen])</f>
        <v>https://i.ibb.co/wFKwzxC5/plotino.png</v>
      </c>
      <c r="R1383">
        <f>_xlfn.XLOOKUP(frasest[[#This Row],[autor_es]],autorest[autor_es],autorest[imagen_atr])</f>
        <v>0</v>
      </c>
    </row>
    <row r="1384" spans="1:18">
      <c r="A1384">
        <v>1383</v>
      </c>
      <c r="B1384" t="s">
        <v>4293</v>
      </c>
      <c r="C1384" t="s">
        <v>4294</v>
      </c>
      <c r="D1384" t="s">
        <v>4295</v>
      </c>
      <c r="E1384" t="s">
        <v>4239</v>
      </c>
      <c r="F1384" t="s">
        <v>4296</v>
      </c>
      <c r="G1384" t="str">
        <f>_xlfn.XLOOKUP(frasest[[#This Row],[autor_es]],autorest[autor_es],autorest[autor_la])</f>
        <v>Plotinus</v>
      </c>
      <c r="H1384" t="str">
        <f>_xlfn.XLOOKUP(frasest[[#This Row],[autor_es]],autorest[autor_es],autorest[bio_es])</f>
        <v>Filósofo neoplatónico fundador de la escuela neoplatónica que estableció el puente entre la filosofía griega clásica y la mística cristiana medieval con su doctrina sobre el Uno y la emanación del alma</v>
      </c>
      <c r="I1384" t="str">
        <f>_xlfn.XLOOKUP(frasest[[#This Row],[autor_es]],autorest[autor_es],autorest[bio_la])</f>
        <v>Philosophus Neoplatonicus fundator scholae Neoplatonicae qui pontem inter philosophiam Graecam classicam et mysticam Christianam medievalem constituit cum doctrina de Uno et emanatione animae</v>
      </c>
      <c r="J1384" t="str">
        <f>_xlfn.XLOOKUP(frasest[[#This Row],[autor_es]],autorest[autor_es],autorest[codigo])</f>
        <v>el</v>
      </c>
      <c r="K1384" t="str">
        <f>_xlfn.XLOOKUP(frasest[[#This Row],[autor_es]],autorest[autor_es],autorest[idioma_es])</f>
        <v>Griego</v>
      </c>
      <c r="L1384" t="str">
        <f>_xlfn.XLOOKUP(frasest[[#This Row],[autor_es]],autorest[autor_es],autorest[idioma_la])</f>
        <v>Lingua Graeca</v>
      </c>
      <c r="M1384" t="str">
        <f>_xlfn.XLOOKUP(frasest[[#This Row],[autor_es]],autorest[autor_es],autorest[nacion_es])</f>
        <v>Roma</v>
      </c>
      <c r="N1384" t="str">
        <f>_xlfn.XLOOKUP(frasest[[#This Row],[autor_es]],autorest[autor_es],autorest[nacion_la])</f>
        <v>Roma</v>
      </c>
      <c r="O1384" t="str">
        <f>_xlfn.XLOOKUP(frasest[[#This Row],[autor_es]],autorest[autor_es],autorest[epoca_es])</f>
        <v>Edad Antigua</v>
      </c>
      <c r="P1384" t="str">
        <f>_xlfn.XLOOKUP(frasest[[#This Row],[autor_es]],autorest[autor_es],autorest[epoca_la])</f>
        <v>Antiquitas</v>
      </c>
      <c r="Q1384" t="str">
        <f>_xlfn.XLOOKUP(frasest[[#This Row],[autor_es]],autorest[autor_es],autorest[imagen])</f>
        <v>https://i.ibb.co/wFKwzxC5/plotino.png</v>
      </c>
      <c r="R1384">
        <f>_xlfn.XLOOKUP(frasest[[#This Row],[autor_es]],autorest[autor_es],autorest[imagen_atr])</f>
        <v>0</v>
      </c>
    </row>
    <row r="1385" spans="1:18">
      <c r="A1385">
        <v>1384</v>
      </c>
      <c r="B1385" t="s">
        <v>4297</v>
      </c>
      <c r="C1385" t="s">
        <v>4298</v>
      </c>
      <c r="D1385" t="s">
        <v>4299</v>
      </c>
      <c r="E1385" t="s">
        <v>4239</v>
      </c>
      <c r="F1385" t="s">
        <v>4300</v>
      </c>
      <c r="G1385" t="str">
        <f>_xlfn.XLOOKUP(frasest[[#This Row],[autor_es]],autorest[autor_es],autorest[autor_la])</f>
        <v>Plotinus</v>
      </c>
      <c r="H1385" t="str">
        <f>_xlfn.XLOOKUP(frasest[[#This Row],[autor_es]],autorest[autor_es],autorest[bio_es])</f>
        <v>Filósofo neoplatónico fundador de la escuela neoplatónica que estableció el puente entre la filosofía griega clásica y la mística cristiana medieval con su doctrina sobre el Uno y la emanación del alma</v>
      </c>
      <c r="I1385" t="str">
        <f>_xlfn.XLOOKUP(frasest[[#This Row],[autor_es]],autorest[autor_es],autorest[bio_la])</f>
        <v>Philosophus Neoplatonicus fundator scholae Neoplatonicae qui pontem inter philosophiam Graecam classicam et mysticam Christianam medievalem constituit cum doctrina de Uno et emanatione animae</v>
      </c>
      <c r="J1385" t="str">
        <f>_xlfn.XLOOKUP(frasest[[#This Row],[autor_es]],autorest[autor_es],autorest[codigo])</f>
        <v>el</v>
      </c>
      <c r="K1385" t="str">
        <f>_xlfn.XLOOKUP(frasest[[#This Row],[autor_es]],autorest[autor_es],autorest[idioma_es])</f>
        <v>Griego</v>
      </c>
      <c r="L1385" t="str">
        <f>_xlfn.XLOOKUP(frasest[[#This Row],[autor_es]],autorest[autor_es],autorest[idioma_la])</f>
        <v>Lingua Graeca</v>
      </c>
      <c r="M1385" t="str">
        <f>_xlfn.XLOOKUP(frasest[[#This Row],[autor_es]],autorest[autor_es],autorest[nacion_es])</f>
        <v>Roma</v>
      </c>
      <c r="N1385" t="str">
        <f>_xlfn.XLOOKUP(frasest[[#This Row],[autor_es]],autorest[autor_es],autorest[nacion_la])</f>
        <v>Roma</v>
      </c>
      <c r="O1385" t="str">
        <f>_xlfn.XLOOKUP(frasest[[#This Row],[autor_es]],autorest[autor_es],autorest[epoca_es])</f>
        <v>Edad Antigua</v>
      </c>
      <c r="P1385" t="str">
        <f>_xlfn.XLOOKUP(frasest[[#This Row],[autor_es]],autorest[autor_es],autorest[epoca_la])</f>
        <v>Antiquitas</v>
      </c>
      <c r="Q1385" t="str">
        <f>_xlfn.XLOOKUP(frasest[[#This Row],[autor_es]],autorest[autor_es],autorest[imagen])</f>
        <v>https://i.ibb.co/wFKwzxC5/plotino.png</v>
      </c>
      <c r="R1385">
        <f>_xlfn.XLOOKUP(frasest[[#This Row],[autor_es]],autorest[autor_es],autorest[imagen_atr])</f>
        <v>0</v>
      </c>
    </row>
    <row r="1386" spans="1:18">
      <c r="A1386">
        <v>1385</v>
      </c>
      <c r="B1386" t="s">
        <v>4301</v>
      </c>
      <c r="C1386" t="s">
        <v>4302</v>
      </c>
      <c r="D1386" t="s">
        <v>4303</v>
      </c>
      <c r="E1386" t="s">
        <v>4239</v>
      </c>
      <c r="F1386" t="s">
        <v>4256</v>
      </c>
      <c r="G1386" t="str">
        <f>_xlfn.XLOOKUP(frasest[[#This Row],[autor_es]],autorest[autor_es],autorest[autor_la])</f>
        <v>Plotinus</v>
      </c>
      <c r="H1386" t="str">
        <f>_xlfn.XLOOKUP(frasest[[#This Row],[autor_es]],autorest[autor_es],autorest[bio_es])</f>
        <v>Filósofo neoplatónico fundador de la escuela neoplatónica que estableció el puente entre la filosofía griega clásica y la mística cristiana medieval con su doctrina sobre el Uno y la emanación del alma</v>
      </c>
      <c r="I1386" t="str">
        <f>_xlfn.XLOOKUP(frasest[[#This Row],[autor_es]],autorest[autor_es],autorest[bio_la])</f>
        <v>Philosophus Neoplatonicus fundator scholae Neoplatonicae qui pontem inter philosophiam Graecam classicam et mysticam Christianam medievalem constituit cum doctrina de Uno et emanatione animae</v>
      </c>
      <c r="J1386" t="str">
        <f>_xlfn.XLOOKUP(frasest[[#This Row],[autor_es]],autorest[autor_es],autorest[codigo])</f>
        <v>el</v>
      </c>
      <c r="K1386" t="str">
        <f>_xlfn.XLOOKUP(frasest[[#This Row],[autor_es]],autorest[autor_es],autorest[idioma_es])</f>
        <v>Griego</v>
      </c>
      <c r="L1386" t="str">
        <f>_xlfn.XLOOKUP(frasest[[#This Row],[autor_es]],autorest[autor_es],autorest[idioma_la])</f>
        <v>Lingua Graeca</v>
      </c>
      <c r="M1386" t="str">
        <f>_xlfn.XLOOKUP(frasest[[#This Row],[autor_es]],autorest[autor_es],autorest[nacion_es])</f>
        <v>Roma</v>
      </c>
      <c r="N1386" t="str">
        <f>_xlfn.XLOOKUP(frasest[[#This Row],[autor_es]],autorest[autor_es],autorest[nacion_la])</f>
        <v>Roma</v>
      </c>
      <c r="O1386" t="str">
        <f>_xlfn.XLOOKUP(frasest[[#This Row],[autor_es]],autorest[autor_es],autorest[epoca_es])</f>
        <v>Edad Antigua</v>
      </c>
      <c r="P1386" t="str">
        <f>_xlfn.XLOOKUP(frasest[[#This Row],[autor_es]],autorest[autor_es],autorest[epoca_la])</f>
        <v>Antiquitas</v>
      </c>
      <c r="Q1386" t="str">
        <f>_xlfn.XLOOKUP(frasest[[#This Row],[autor_es]],autorest[autor_es],autorest[imagen])</f>
        <v>https://i.ibb.co/wFKwzxC5/plotino.png</v>
      </c>
      <c r="R1386">
        <f>_xlfn.XLOOKUP(frasest[[#This Row],[autor_es]],autorest[autor_es],autorest[imagen_atr])</f>
        <v>0</v>
      </c>
    </row>
    <row r="1387" spans="1:18">
      <c r="A1387">
        <v>1386</v>
      </c>
      <c r="B1387" t="s">
        <v>4304</v>
      </c>
      <c r="C1387" t="s">
        <v>4305</v>
      </c>
      <c r="D1387" t="s">
        <v>4306</v>
      </c>
      <c r="E1387" t="s">
        <v>4239</v>
      </c>
      <c r="F1387" t="s">
        <v>4307</v>
      </c>
      <c r="G1387" t="str">
        <f>_xlfn.XLOOKUP(frasest[[#This Row],[autor_es]],autorest[autor_es],autorest[autor_la])</f>
        <v>Plotinus</v>
      </c>
      <c r="H1387" t="str">
        <f>_xlfn.XLOOKUP(frasest[[#This Row],[autor_es]],autorest[autor_es],autorest[bio_es])</f>
        <v>Filósofo neoplatónico fundador de la escuela neoplatónica que estableció el puente entre la filosofía griega clásica y la mística cristiana medieval con su doctrina sobre el Uno y la emanación del alma</v>
      </c>
      <c r="I1387" t="str">
        <f>_xlfn.XLOOKUP(frasest[[#This Row],[autor_es]],autorest[autor_es],autorest[bio_la])</f>
        <v>Philosophus Neoplatonicus fundator scholae Neoplatonicae qui pontem inter philosophiam Graecam classicam et mysticam Christianam medievalem constituit cum doctrina de Uno et emanatione animae</v>
      </c>
      <c r="J1387" t="str">
        <f>_xlfn.XLOOKUP(frasest[[#This Row],[autor_es]],autorest[autor_es],autorest[codigo])</f>
        <v>el</v>
      </c>
      <c r="K1387" t="str">
        <f>_xlfn.XLOOKUP(frasest[[#This Row],[autor_es]],autorest[autor_es],autorest[idioma_es])</f>
        <v>Griego</v>
      </c>
      <c r="L1387" t="str">
        <f>_xlfn.XLOOKUP(frasest[[#This Row],[autor_es]],autorest[autor_es],autorest[idioma_la])</f>
        <v>Lingua Graeca</v>
      </c>
      <c r="M1387" t="str">
        <f>_xlfn.XLOOKUP(frasest[[#This Row],[autor_es]],autorest[autor_es],autorest[nacion_es])</f>
        <v>Roma</v>
      </c>
      <c r="N1387" t="str">
        <f>_xlfn.XLOOKUP(frasest[[#This Row],[autor_es]],autorest[autor_es],autorest[nacion_la])</f>
        <v>Roma</v>
      </c>
      <c r="O1387" t="str">
        <f>_xlfn.XLOOKUP(frasest[[#This Row],[autor_es]],autorest[autor_es],autorest[epoca_es])</f>
        <v>Edad Antigua</v>
      </c>
      <c r="P1387" t="str">
        <f>_xlfn.XLOOKUP(frasest[[#This Row],[autor_es]],autorest[autor_es],autorest[epoca_la])</f>
        <v>Antiquitas</v>
      </c>
      <c r="Q1387" t="str">
        <f>_xlfn.XLOOKUP(frasest[[#This Row],[autor_es]],autorest[autor_es],autorest[imagen])</f>
        <v>https://i.ibb.co/wFKwzxC5/plotino.png</v>
      </c>
      <c r="R1387">
        <f>_xlfn.XLOOKUP(frasest[[#This Row],[autor_es]],autorest[autor_es],autorest[imagen_atr])</f>
        <v>0</v>
      </c>
    </row>
    <row r="1388" spans="1:18">
      <c r="A1388">
        <v>1387</v>
      </c>
      <c r="B1388" t="s">
        <v>4308</v>
      </c>
      <c r="C1388" t="s">
        <v>4309</v>
      </c>
      <c r="D1388" t="s">
        <v>4310</v>
      </c>
      <c r="E1388" t="s">
        <v>4239</v>
      </c>
      <c r="F1388" t="s">
        <v>4311</v>
      </c>
      <c r="G1388" t="str">
        <f>_xlfn.XLOOKUP(frasest[[#This Row],[autor_es]],autorest[autor_es],autorest[autor_la])</f>
        <v>Plotinus</v>
      </c>
      <c r="H1388" t="str">
        <f>_xlfn.XLOOKUP(frasest[[#This Row],[autor_es]],autorest[autor_es],autorest[bio_es])</f>
        <v>Filósofo neoplatónico fundador de la escuela neoplatónica que estableció el puente entre la filosofía griega clásica y la mística cristiana medieval con su doctrina sobre el Uno y la emanación del alma</v>
      </c>
      <c r="I1388" t="str">
        <f>_xlfn.XLOOKUP(frasest[[#This Row],[autor_es]],autorest[autor_es],autorest[bio_la])</f>
        <v>Philosophus Neoplatonicus fundator scholae Neoplatonicae qui pontem inter philosophiam Graecam classicam et mysticam Christianam medievalem constituit cum doctrina de Uno et emanatione animae</v>
      </c>
      <c r="J1388" t="str">
        <f>_xlfn.XLOOKUP(frasest[[#This Row],[autor_es]],autorest[autor_es],autorest[codigo])</f>
        <v>el</v>
      </c>
      <c r="K1388" t="str">
        <f>_xlfn.XLOOKUP(frasest[[#This Row],[autor_es]],autorest[autor_es],autorest[idioma_es])</f>
        <v>Griego</v>
      </c>
      <c r="L1388" t="str">
        <f>_xlfn.XLOOKUP(frasest[[#This Row],[autor_es]],autorest[autor_es],autorest[idioma_la])</f>
        <v>Lingua Graeca</v>
      </c>
      <c r="M1388" t="str">
        <f>_xlfn.XLOOKUP(frasest[[#This Row],[autor_es]],autorest[autor_es],autorest[nacion_es])</f>
        <v>Roma</v>
      </c>
      <c r="N1388" t="str">
        <f>_xlfn.XLOOKUP(frasest[[#This Row],[autor_es]],autorest[autor_es],autorest[nacion_la])</f>
        <v>Roma</v>
      </c>
      <c r="O1388" t="str">
        <f>_xlfn.XLOOKUP(frasest[[#This Row],[autor_es]],autorest[autor_es],autorest[epoca_es])</f>
        <v>Edad Antigua</v>
      </c>
      <c r="P1388" t="str">
        <f>_xlfn.XLOOKUP(frasest[[#This Row],[autor_es]],autorest[autor_es],autorest[epoca_la])</f>
        <v>Antiquitas</v>
      </c>
      <c r="Q1388" t="str">
        <f>_xlfn.XLOOKUP(frasest[[#This Row],[autor_es]],autorest[autor_es],autorest[imagen])</f>
        <v>https://i.ibb.co/wFKwzxC5/plotino.png</v>
      </c>
      <c r="R1388">
        <f>_xlfn.XLOOKUP(frasest[[#This Row],[autor_es]],autorest[autor_es],autorest[imagen_atr])</f>
        <v>0</v>
      </c>
    </row>
    <row r="1389" spans="1:18">
      <c r="A1389">
        <v>1388</v>
      </c>
      <c r="B1389" t="s">
        <v>4312</v>
      </c>
      <c r="C1389" t="s">
        <v>4313</v>
      </c>
      <c r="D1389" t="s">
        <v>4314</v>
      </c>
      <c r="E1389" t="s">
        <v>4315</v>
      </c>
      <c r="F1389" t="s">
        <v>4316</v>
      </c>
      <c r="G1389" t="str">
        <f>_xlfn.XLOOKUP(frasest[[#This Row],[autor_es]],autorest[autor_es],autorest[autor_la])</f>
        <v>Boethius</v>
      </c>
      <c r="H1389" t="str">
        <f>_xlfn.XLOOKUP(frasest[[#This Row],[autor_es]],autorest[autor_es],autorest[bio_es])</f>
        <v>Filósofo poeta y político romano último representante de la filosofía clásica y primer medieval autor de La consolación de la filosofía que sirvió de puente entre el mundo antiguo y el cristiano medieval</v>
      </c>
      <c r="I1389" t="str">
        <f>_xlfn.XLOOKUP(frasest[[#This Row],[autor_es]],autorest[autor_es],autorest[bio_la])</f>
        <v>Philosophus poeta et politicus Romanus ultimus philosophiae classicae et primus medievalis auctor De consolatione philosophiae qui pons inter mundum antiquum et Christianum medievalem fuit</v>
      </c>
      <c r="J1389" t="str">
        <f>_xlfn.XLOOKUP(frasest[[#This Row],[autor_es]],autorest[autor_es],autorest[codigo])</f>
        <v>la</v>
      </c>
      <c r="K1389" t="str">
        <f>_xlfn.XLOOKUP(frasest[[#This Row],[autor_es]],autorest[autor_es],autorest[idioma_es])</f>
        <v>Latín</v>
      </c>
      <c r="L1389" t="str">
        <f>_xlfn.XLOOKUP(frasest[[#This Row],[autor_es]],autorest[autor_es],autorest[idioma_la])</f>
        <v>Lingua Latina</v>
      </c>
      <c r="M1389" t="str">
        <f>_xlfn.XLOOKUP(frasest[[#This Row],[autor_es]],autorest[autor_es],autorest[nacion_es])</f>
        <v>Roma</v>
      </c>
      <c r="N1389" t="str">
        <f>_xlfn.XLOOKUP(frasest[[#This Row],[autor_es]],autorest[autor_es],autorest[nacion_la])</f>
        <v>Roma</v>
      </c>
      <c r="O1389" t="str">
        <f>_xlfn.XLOOKUP(frasest[[#This Row],[autor_es]],autorest[autor_es],autorest[epoca_es])</f>
        <v>Edad Media</v>
      </c>
      <c r="P1389" t="str">
        <f>_xlfn.XLOOKUP(frasest[[#This Row],[autor_es]],autorest[autor_es],autorest[epoca_la])</f>
        <v>Medium Aevum</v>
      </c>
      <c r="Q1389" t="str">
        <f>_xlfn.XLOOKUP(frasest[[#This Row],[autor_es]],autorest[autor_es],autorest[imagen])</f>
        <v>https://i.ibb.co/XfRSKJzS/boecio.png</v>
      </c>
      <c r="R1389">
        <f>_xlfn.XLOOKUP(frasest[[#This Row],[autor_es]],autorest[autor_es],autorest[imagen_atr])</f>
        <v>0</v>
      </c>
    </row>
    <row r="1390" spans="1:18">
      <c r="A1390">
        <v>1389</v>
      </c>
      <c r="B1390" t="s">
        <v>4317</v>
      </c>
      <c r="C1390" t="s">
        <v>4318</v>
      </c>
      <c r="D1390" t="s">
        <v>4319</v>
      </c>
      <c r="E1390" t="s">
        <v>4315</v>
      </c>
      <c r="F1390" t="s">
        <v>4316</v>
      </c>
      <c r="G1390" t="str">
        <f>_xlfn.XLOOKUP(frasest[[#This Row],[autor_es]],autorest[autor_es],autorest[autor_la])</f>
        <v>Boethius</v>
      </c>
      <c r="H1390" t="str">
        <f>_xlfn.XLOOKUP(frasest[[#This Row],[autor_es]],autorest[autor_es],autorest[bio_es])</f>
        <v>Filósofo poeta y político romano último representante de la filosofía clásica y primer medieval autor de La consolación de la filosofía que sirvió de puente entre el mundo antiguo y el cristiano medieval</v>
      </c>
      <c r="I1390" t="str">
        <f>_xlfn.XLOOKUP(frasest[[#This Row],[autor_es]],autorest[autor_es],autorest[bio_la])</f>
        <v>Philosophus poeta et politicus Romanus ultimus philosophiae classicae et primus medievalis auctor De consolatione philosophiae qui pons inter mundum antiquum et Christianum medievalem fuit</v>
      </c>
      <c r="J1390" t="str">
        <f>_xlfn.XLOOKUP(frasest[[#This Row],[autor_es]],autorest[autor_es],autorest[codigo])</f>
        <v>la</v>
      </c>
      <c r="K1390" t="str">
        <f>_xlfn.XLOOKUP(frasest[[#This Row],[autor_es]],autorest[autor_es],autorest[idioma_es])</f>
        <v>Latín</v>
      </c>
      <c r="L1390" t="str">
        <f>_xlfn.XLOOKUP(frasest[[#This Row],[autor_es]],autorest[autor_es],autorest[idioma_la])</f>
        <v>Lingua Latina</v>
      </c>
      <c r="M1390" t="str">
        <f>_xlfn.XLOOKUP(frasest[[#This Row],[autor_es]],autorest[autor_es],autorest[nacion_es])</f>
        <v>Roma</v>
      </c>
      <c r="N1390" t="str">
        <f>_xlfn.XLOOKUP(frasest[[#This Row],[autor_es]],autorest[autor_es],autorest[nacion_la])</f>
        <v>Roma</v>
      </c>
      <c r="O1390" t="str">
        <f>_xlfn.XLOOKUP(frasest[[#This Row],[autor_es]],autorest[autor_es],autorest[epoca_es])</f>
        <v>Edad Media</v>
      </c>
      <c r="P1390" t="str">
        <f>_xlfn.XLOOKUP(frasest[[#This Row],[autor_es]],autorest[autor_es],autorest[epoca_la])</f>
        <v>Medium Aevum</v>
      </c>
      <c r="Q1390" t="str">
        <f>_xlfn.XLOOKUP(frasest[[#This Row],[autor_es]],autorest[autor_es],autorest[imagen])</f>
        <v>https://i.ibb.co/XfRSKJzS/boecio.png</v>
      </c>
      <c r="R1390">
        <f>_xlfn.XLOOKUP(frasest[[#This Row],[autor_es]],autorest[autor_es],autorest[imagen_atr])</f>
        <v>0</v>
      </c>
    </row>
    <row r="1391" spans="1:18">
      <c r="A1391">
        <v>1390</v>
      </c>
      <c r="B1391" t="s">
        <v>4320</v>
      </c>
      <c r="C1391" t="s">
        <v>4321</v>
      </c>
      <c r="D1391" t="s">
        <v>4322</v>
      </c>
      <c r="E1391" t="s">
        <v>4315</v>
      </c>
      <c r="F1391" t="s">
        <v>4316</v>
      </c>
      <c r="G1391" t="str">
        <f>_xlfn.XLOOKUP(frasest[[#This Row],[autor_es]],autorest[autor_es],autorest[autor_la])</f>
        <v>Boethius</v>
      </c>
      <c r="H1391" t="str">
        <f>_xlfn.XLOOKUP(frasest[[#This Row],[autor_es]],autorest[autor_es],autorest[bio_es])</f>
        <v>Filósofo poeta y político romano último representante de la filosofía clásica y primer medieval autor de La consolación de la filosofía que sirvió de puente entre el mundo antiguo y el cristiano medieval</v>
      </c>
      <c r="I1391" t="str">
        <f>_xlfn.XLOOKUP(frasest[[#This Row],[autor_es]],autorest[autor_es],autorest[bio_la])</f>
        <v>Philosophus poeta et politicus Romanus ultimus philosophiae classicae et primus medievalis auctor De consolatione philosophiae qui pons inter mundum antiquum et Christianum medievalem fuit</v>
      </c>
      <c r="J1391" t="str">
        <f>_xlfn.XLOOKUP(frasest[[#This Row],[autor_es]],autorest[autor_es],autorest[codigo])</f>
        <v>la</v>
      </c>
      <c r="K1391" t="str">
        <f>_xlfn.XLOOKUP(frasest[[#This Row],[autor_es]],autorest[autor_es],autorest[idioma_es])</f>
        <v>Latín</v>
      </c>
      <c r="L1391" t="str">
        <f>_xlfn.XLOOKUP(frasest[[#This Row],[autor_es]],autorest[autor_es],autorest[idioma_la])</f>
        <v>Lingua Latina</v>
      </c>
      <c r="M1391" t="str">
        <f>_xlfn.XLOOKUP(frasest[[#This Row],[autor_es]],autorest[autor_es],autorest[nacion_es])</f>
        <v>Roma</v>
      </c>
      <c r="N1391" t="str">
        <f>_xlfn.XLOOKUP(frasest[[#This Row],[autor_es]],autorest[autor_es],autorest[nacion_la])</f>
        <v>Roma</v>
      </c>
      <c r="O1391" t="str">
        <f>_xlfn.XLOOKUP(frasest[[#This Row],[autor_es]],autorest[autor_es],autorest[epoca_es])</f>
        <v>Edad Media</v>
      </c>
      <c r="P1391" t="str">
        <f>_xlfn.XLOOKUP(frasest[[#This Row],[autor_es]],autorest[autor_es],autorest[epoca_la])</f>
        <v>Medium Aevum</v>
      </c>
      <c r="Q1391" t="str">
        <f>_xlfn.XLOOKUP(frasest[[#This Row],[autor_es]],autorest[autor_es],autorest[imagen])</f>
        <v>https://i.ibb.co/XfRSKJzS/boecio.png</v>
      </c>
      <c r="R1391">
        <f>_xlfn.XLOOKUP(frasest[[#This Row],[autor_es]],autorest[autor_es],autorest[imagen_atr])</f>
        <v>0</v>
      </c>
    </row>
    <row r="1392" spans="1:18">
      <c r="A1392">
        <v>1391</v>
      </c>
      <c r="B1392" t="s">
        <v>4323</v>
      </c>
      <c r="C1392" t="s">
        <v>4324</v>
      </c>
      <c r="D1392" t="s">
        <v>4325</v>
      </c>
      <c r="E1392" t="s">
        <v>4315</v>
      </c>
      <c r="F1392" t="s">
        <v>4316</v>
      </c>
      <c r="G1392" t="str">
        <f>_xlfn.XLOOKUP(frasest[[#This Row],[autor_es]],autorest[autor_es],autorest[autor_la])</f>
        <v>Boethius</v>
      </c>
      <c r="H1392" t="str">
        <f>_xlfn.XLOOKUP(frasest[[#This Row],[autor_es]],autorest[autor_es],autorest[bio_es])</f>
        <v>Filósofo poeta y político romano último representante de la filosofía clásica y primer medieval autor de La consolación de la filosofía que sirvió de puente entre el mundo antiguo y el cristiano medieval</v>
      </c>
      <c r="I1392" t="str">
        <f>_xlfn.XLOOKUP(frasest[[#This Row],[autor_es]],autorest[autor_es],autorest[bio_la])</f>
        <v>Philosophus poeta et politicus Romanus ultimus philosophiae classicae et primus medievalis auctor De consolatione philosophiae qui pons inter mundum antiquum et Christianum medievalem fuit</v>
      </c>
      <c r="J1392" t="str">
        <f>_xlfn.XLOOKUP(frasest[[#This Row],[autor_es]],autorest[autor_es],autorest[codigo])</f>
        <v>la</v>
      </c>
      <c r="K1392" t="str">
        <f>_xlfn.XLOOKUP(frasest[[#This Row],[autor_es]],autorest[autor_es],autorest[idioma_es])</f>
        <v>Latín</v>
      </c>
      <c r="L1392" t="str">
        <f>_xlfn.XLOOKUP(frasest[[#This Row],[autor_es]],autorest[autor_es],autorest[idioma_la])</f>
        <v>Lingua Latina</v>
      </c>
      <c r="M1392" t="str">
        <f>_xlfn.XLOOKUP(frasest[[#This Row],[autor_es]],autorest[autor_es],autorest[nacion_es])</f>
        <v>Roma</v>
      </c>
      <c r="N1392" t="str">
        <f>_xlfn.XLOOKUP(frasest[[#This Row],[autor_es]],autorest[autor_es],autorest[nacion_la])</f>
        <v>Roma</v>
      </c>
      <c r="O1392" t="str">
        <f>_xlfn.XLOOKUP(frasest[[#This Row],[autor_es]],autorest[autor_es],autorest[epoca_es])</f>
        <v>Edad Media</v>
      </c>
      <c r="P1392" t="str">
        <f>_xlfn.XLOOKUP(frasest[[#This Row],[autor_es]],autorest[autor_es],autorest[epoca_la])</f>
        <v>Medium Aevum</v>
      </c>
      <c r="Q1392" t="str">
        <f>_xlfn.XLOOKUP(frasest[[#This Row],[autor_es]],autorest[autor_es],autorest[imagen])</f>
        <v>https://i.ibb.co/XfRSKJzS/boecio.png</v>
      </c>
      <c r="R1392">
        <f>_xlfn.XLOOKUP(frasest[[#This Row],[autor_es]],autorest[autor_es],autorest[imagen_atr])</f>
        <v>0</v>
      </c>
    </row>
    <row r="1393" spans="1:18">
      <c r="A1393">
        <v>1392</v>
      </c>
      <c r="B1393" t="s">
        <v>4326</v>
      </c>
      <c r="C1393" t="s">
        <v>4327</v>
      </c>
      <c r="D1393" t="s">
        <v>4328</v>
      </c>
      <c r="E1393" t="s">
        <v>4315</v>
      </c>
      <c r="F1393" t="s">
        <v>4316</v>
      </c>
      <c r="G1393" t="str">
        <f>_xlfn.XLOOKUP(frasest[[#This Row],[autor_es]],autorest[autor_es],autorest[autor_la])</f>
        <v>Boethius</v>
      </c>
      <c r="H1393" t="str">
        <f>_xlfn.XLOOKUP(frasest[[#This Row],[autor_es]],autorest[autor_es],autorest[bio_es])</f>
        <v>Filósofo poeta y político romano último representante de la filosofía clásica y primer medieval autor de La consolación de la filosofía que sirvió de puente entre el mundo antiguo y el cristiano medieval</v>
      </c>
      <c r="I1393" t="str">
        <f>_xlfn.XLOOKUP(frasest[[#This Row],[autor_es]],autorest[autor_es],autorest[bio_la])</f>
        <v>Philosophus poeta et politicus Romanus ultimus philosophiae classicae et primus medievalis auctor De consolatione philosophiae qui pons inter mundum antiquum et Christianum medievalem fuit</v>
      </c>
      <c r="J1393" t="str">
        <f>_xlfn.XLOOKUP(frasest[[#This Row],[autor_es]],autorest[autor_es],autorest[codigo])</f>
        <v>la</v>
      </c>
      <c r="K1393" t="str">
        <f>_xlfn.XLOOKUP(frasest[[#This Row],[autor_es]],autorest[autor_es],autorest[idioma_es])</f>
        <v>Latín</v>
      </c>
      <c r="L1393" t="str">
        <f>_xlfn.XLOOKUP(frasest[[#This Row],[autor_es]],autorest[autor_es],autorest[idioma_la])</f>
        <v>Lingua Latina</v>
      </c>
      <c r="M1393" t="str">
        <f>_xlfn.XLOOKUP(frasest[[#This Row],[autor_es]],autorest[autor_es],autorest[nacion_es])</f>
        <v>Roma</v>
      </c>
      <c r="N1393" t="str">
        <f>_xlfn.XLOOKUP(frasest[[#This Row],[autor_es]],autorest[autor_es],autorest[nacion_la])</f>
        <v>Roma</v>
      </c>
      <c r="O1393" t="str">
        <f>_xlfn.XLOOKUP(frasest[[#This Row],[autor_es]],autorest[autor_es],autorest[epoca_es])</f>
        <v>Edad Media</v>
      </c>
      <c r="P1393" t="str">
        <f>_xlfn.XLOOKUP(frasest[[#This Row],[autor_es]],autorest[autor_es],autorest[epoca_la])</f>
        <v>Medium Aevum</v>
      </c>
      <c r="Q1393" t="str">
        <f>_xlfn.XLOOKUP(frasest[[#This Row],[autor_es]],autorest[autor_es],autorest[imagen])</f>
        <v>https://i.ibb.co/XfRSKJzS/boecio.png</v>
      </c>
      <c r="R1393">
        <f>_xlfn.XLOOKUP(frasest[[#This Row],[autor_es]],autorest[autor_es],autorest[imagen_atr])</f>
        <v>0</v>
      </c>
    </row>
    <row r="1394" spans="1:18">
      <c r="A1394">
        <v>1393</v>
      </c>
      <c r="B1394" t="s">
        <v>4329</v>
      </c>
      <c r="C1394" t="s">
        <v>4330</v>
      </c>
      <c r="D1394" t="s">
        <v>4331</v>
      </c>
      <c r="E1394" t="s">
        <v>4315</v>
      </c>
      <c r="F1394" t="s">
        <v>4316</v>
      </c>
      <c r="G1394" t="str">
        <f>_xlfn.XLOOKUP(frasest[[#This Row],[autor_es]],autorest[autor_es],autorest[autor_la])</f>
        <v>Boethius</v>
      </c>
      <c r="H1394" t="str">
        <f>_xlfn.XLOOKUP(frasest[[#This Row],[autor_es]],autorest[autor_es],autorest[bio_es])</f>
        <v>Filósofo poeta y político romano último representante de la filosofía clásica y primer medieval autor de La consolación de la filosofía que sirvió de puente entre el mundo antiguo y el cristiano medieval</v>
      </c>
      <c r="I1394" t="str">
        <f>_xlfn.XLOOKUP(frasest[[#This Row],[autor_es]],autorest[autor_es],autorest[bio_la])</f>
        <v>Philosophus poeta et politicus Romanus ultimus philosophiae classicae et primus medievalis auctor De consolatione philosophiae qui pons inter mundum antiquum et Christianum medievalem fuit</v>
      </c>
      <c r="J1394" t="str">
        <f>_xlfn.XLOOKUP(frasest[[#This Row],[autor_es]],autorest[autor_es],autorest[codigo])</f>
        <v>la</v>
      </c>
      <c r="K1394" t="str">
        <f>_xlfn.XLOOKUP(frasest[[#This Row],[autor_es]],autorest[autor_es],autorest[idioma_es])</f>
        <v>Latín</v>
      </c>
      <c r="L1394" t="str">
        <f>_xlfn.XLOOKUP(frasest[[#This Row],[autor_es]],autorest[autor_es],autorest[idioma_la])</f>
        <v>Lingua Latina</v>
      </c>
      <c r="M1394" t="str">
        <f>_xlfn.XLOOKUP(frasest[[#This Row],[autor_es]],autorest[autor_es],autorest[nacion_es])</f>
        <v>Roma</v>
      </c>
      <c r="N1394" t="str">
        <f>_xlfn.XLOOKUP(frasest[[#This Row],[autor_es]],autorest[autor_es],autorest[nacion_la])</f>
        <v>Roma</v>
      </c>
      <c r="O1394" t="str">
        <f>_xlfn.XLOOKUP(frasest[[#This Row],[autor_es]],autorest[autor_es],autorest[epoca_es])</f>
        <v>Edad Media</v>
      </c>
      <c r="P1394" t="str">
        <f>_xlfn.XLOOKUP(frasest[[#This Row],[autor_es]],autorest[autor_es],autorest[epoca_la])</f>
        <v>Medium Aevum</v>
      </c>
      <c r="Q1394" t="str">
        <f>_xlfn.XLOOKUP(frasest[[#This Row],[autor_es]],autorest[autor_es],autorest[imagen])</f>
        <v>https://i.ibb.co/XfRSKJzS/boecio.png</v>
      </c>
      <c r="R1394">
        <f>_xlfn.XLOOKUP(frasest[[#This Row],[autor_es]],autorest[autor_es],autorest[imagen_atr])</f>
        <v>0</v>
      </c>
    </row>
    <row r="1395" spans="1:18">
      <c r="A1395">
        <v>1394</v>
      </c>
      <c r="B1395" t="s">
        <v>4332</v>
      </c>
      <c r="C1395" t="s">
        <v>4333</v>
      </c>
      <c r="D1395" t="s">
        <v>4334</v>
      </c>
      <c r="E1395" t="s">
        <v>4315</v>
      </c>
      <c r="F1395" t="s">
        <v>4316</v>
      </c>
      <c r="G1395" t="str">
        <f>_xlfn.XLOOKUP(frasest[[#This Row],[autor_es]],autorest[autor_es],autorest[autor_la])</f>
        <v>Boethius</v>
      </c>
      <c r="H1395" t="str">
        <f>_xlfn.XLOOKUP(frasest[[#This Row],[autor_es]],autorest[autor_es],autorest[bio_es])</f>
        <v>Filósofo poeta y político romano último representante de la filosofía clásica y primer medieval autor de La consolación de la filosofía que sirvió de puente entre el mundo antiguo y el cristiano medieval</v>
      </c>
      <c r="I1395" t="str">
        <f>_xlfn.XLOOKUP(frasest[[#This Row],[autor_es]],autorest[autor_es],autorest[bio_la])</f>
        <v>Philosophus poeta et politicus Romanus ultimus philosophiae classicae et primus medievalis auctor De consolatione philosophiae qui pons inter mundum antiquum et Christianum medievalem fuit</v>
      </c>
      <c r="J1395" t="str">
        <f>_xlfn.XLOOKUP(frasest[[#This Row],[autor_es]],autorest[autor_es],autorest[codigo])</f>
        <v>la</v>
      </c>
      <c r="K1395" t="str">
        <f>_xlfn.XLOOKUP(frasest[[#This Row],[autor_es]],autorest[autor_es],autorest[idioma_es])</f>
        <v>Latín</v>
      </c>
      <c r="L1395" t="str">
        <f>_xlfn.XLOOKUP(frasest[[#This Row],[autor_es]],autorest[autor_es],autorest[idioma_la])</f>
        <v>Lingua Latina</v>
      </c>
      <c r="M1395" t="str">
        <f>_xlfn.XLOOKUP(frasest[[#This Row],[autor_es]],autorest[autor_es],autorest[nacion_es])</f>
        <v>Roma</v>
      </c>
      <c r="N1395" t="str">
        <f>_xlfn.XLOOKUP(frasest[[#This Row],[autor_es]],autorest[autor_es],autorest[nacion_la])</f>
        <v>Roma</v>
      </c>
      <c r="O1395" t="str">
        <f>_xlfn.XLOOKUP(frasest[[#This Row],[autor_es]],autorest[autor_es],autorest[epoca_es])</f>
        <v>Edad Media</v>
      </c>
      <c r="P1395" t="str">
        <f>_xlfn.XLOOKUP(frasest[[#This Row],[autor_es]],autorest[autor_es],autorest[epoca_la])</f>
        <v>Medium Aevum</v>
      </c>
      <c r="Q1395" t="str">
        <f>_xlfn.XLOOKUP(frasest[[#This Row],[autor_es]],autorest[autor_es],autorest[imagen])</f>
        <v>https://i.ibb.co/XfRSKJzS/boecio.png</v>
      </c>
      <c r="R1395">
        <f>_xlfn.XLOOKUP(frasest[[#This Row],[autor_es]],autorest[autor_es],autorest[imagen_atr])</f>
        <v>0</v>
      </c>
    </row>
    <row r="1396" spans="1:18">
      <c r="A1396">
        <v>1395</v>
      </c>
      <c r="B1396" t="s">
        <v>4335</v>
      </c>
      <c r="C1396" t="s">
        <v>4336</v>
      </c>
      <c r="D1396" t="s">
        <v>4337</v>
      </c>
      <c r="E1396" t="s">
        <v>4315</v>
      </c>
      <c r="F1396" t="s">
        <v>4316</v>
      </c>
      <c r="G1396" t="str">
        <f>_xlfn.XLOOKUP(frasest[[#This Row],[autor_es]],autorest[autor_es],autorest[autor_la])</f>
        <v>Boethius</v>
      </c>
      <c r="H1396" t="str">
        <f>_xlfn.XLOOKUP(frasest[[#This Row],[autor_es]],autorest[autor_es],autorest[bio_es])</f>
        <v>Filósofo poeta y político romano último representante de la filosofía clásica y primer medieval autor de La consolación de la filosofía que sirvió de puente entre el mundo antiguo y el cristiano medieval</v>
      </c>
      <c r="I1396" t="str">
        <f>_xlfn.XLOOKUP(frasest[[#This Row],[autor_es]],autorest[autor_es],autorest[bio_la])</f>
        <v>Philosophus poeta et politicus Romanus ultimus philosophiae classicae et primus medievalis auctor De consolatione philosophiae qui pons inter mundum antiquum et Christianum medievalem fuit</v>
      </c>
      <c r="J1396" t="str">
        <f>_xlfn.XLOOKUP(frasest[[#This Row],[autor_es]],autorest[autor_es],autorest[codigo])</f>
        <v>la</v>
      </c>
      <c r="K1396" t="str">
        <f>_xlfn.XLOOKUP(frasest[[#This Row],[autor_es]],autorest[autor_es],autorest[idioma_es])</f>
        <v>Latín</v>
      </c>
      <c r="L1396" t="str">
        <f>_xlfn.XLOOKUP(frasest[[#This Row],[autor_es]],autorest[autor_es],autorest[idioma_la])</f>
        <v>Lingua Latina</v>
      </c>
      <c r="M1396" t="str">
        <f>_xlfn.XLOOKUP(frasest[[#This Row],[autor_es]],autorest[autor_es],autorest[nacion_es])</f>
        <v>Roma</v>
      </c>
      <c r="N1396" t="str">
        <f>_xlfn.XLOOKUP(frasest[[#This Row],[autor_es]],autorest[autor_es],autorest[nacion_la])</f>
        <v>Roma</v>
      </c>
      <c r="O1396" t="str">
        <f>_xlfn.XLOOKUP(frasest[[#This Row],[autor_es]],autorest[autor_es],autorest[epoca_es])</f>
        <v>Edad Media</v>
      </c>
      <c r="P1396" t="str">
        <f>_xlfn.XLOOKUP(frasest[[#This Row],[autor_es]],autorest[autor_es],autorest[epoca_la])</f>
        <v>Medium Aevum</v>
      </c>
      <c r="Q1396" t="str">
        <f>_xlfn.XLOOKUP(frasest[[#This Row],[autor_es]],autorest[autor_es],autorest[imagen])</f>
        <v>https://i.ibb.co/XfRSKJzS/boecio.png</v>
      </c>
      <c r="R1396">
        <f>_xlfn.XLOOKUP(frasest[[#This Row],[autor_es]],autorest[autor_es],autorest[imagen_atr])</f>
        <v>0</v>
      </c>
    </row>
    <row r="1397" spans="1:18">
      <c r="A1397">
        <v>1396</v>
      </c>
      <c r="B1397" t="s">
        <v>4338</v>
      </c>
      <c r="C1397" t="s">
        <v>4339</v>
      </c>
      <c r="D1397" t="s">
        <v>4340</v>
      </c>
      <c r="E1397" t="s">
        <v>4315</v>
      </c>
      <c r="F1397" t="s">
        <v>4316</v>
      </c>
      <c r="G1397" t="str">
        <f>_xlfn.XLOOKUP(frasest[[#This Row],[autor_es]],autorest[autor_es],autorest[autor_la])</f>
        <v>Boethius</v>
      </c>
      <c r="H1397" t="str">
        <f>_xlfn.XLOOKUP(frasest[[#This Row],[autor_es]],autorest[autor_es],autorest[bio_es])</f>
        <v>Filósofo poeta y político romano último representante de la filosofía clásica y primer medieval autor de La consolación de la filosofía que sirvió de puente entre el mundo antiguo y el cristiano medieval</v>
      </c>
      <c r="I1397" t="str">
        <f>_xlfn.XLOOKUP(frasest[[#This Row],[autor_es]],autorest[autor_es],autorest[bio_la])</f>
        <v>Philosophus poeta et politicus Romanus ultimus philosophiae classicae et primus medievalis auctor De consolatione philosophiae qui pons inter mundum antiquum et Christianum medievalem fuit</v>
      </c>
      <c r="J1397" t="str">
        <f>_xlfn.XLOOKUP(frasest[[#This Row],[autor_es]],autorest[autor_es],autorest[codigo])</f>
        <v>la</v>
      </c>
      <c r="K1397" t="str">
        <f>_xlfn.XLOOKUP(frasest[[#This Row],[autor_es]],autorest[autor_es],autorest[idioma_es])</f>
        <v>Latín</v>
      </c>
      <c r="L1397" t="str">
        <f>_xlfn.XLOOKUP(frasest[[#This Row],[autor_es]],autorest[autor_es],autorest[idioma_la])</f>
        <v>Lingua Latina</v>
      </c>
      <c r="M1397" t="str">
        <f>_xlfn.XLOOKUP(frasest[[#This Row],[autor_es]],autorest[autor_es],autorest[nacion_es])</f>
        <v>Roma</v>
      </c>
      <c r="N1397" t="str">
        <f>_xlfn.XLOOKUP(frasest[[#This Row],[autor_es]],autorest[autor_es],autorest[nacion_la])</f>
        <v>Roma</v>
      </c>
      <c r="O1397" t="str">
        <f>_xlfn.XLOOKUP(frasest[[#This Row],[autor_es]],autorest[autor_es],autorest[epoca_es])</f>
        <v>Edad Media</v>
      </c>
      <c r="P1397" t="str">
        <f>_xlfn.XLOOKUP(frasest[[#This Row],[autor_es]],autorest[autor_es],autorest[epoca_la])</f>
        <v>Medium Aevum</v>
      </c>
      <c r="Q1397" t="str">
        <f>_xlfn.XLOOKUP(frasest[[#This Row],[autor_es]],autorest[autor_es],autorest[imagen])</f>
        <v>https://i.ibb.co/XfRSKJzS/boecio.png</v>
      </c>
      <c r="R1397">
        <f>_xlfn.XLOOKUP(frasest[[#This Row],[autor_es]],autorest[autor_es],autorest[imagen_atr])</f>
        <v>0</v>
      </c>
    </row>
    <row r="1398" spans="1:18">
      <c r="A1398">
        <v>1397</v>
      </c>
      <c r="B1398" t="s">
        <v>4341</v>
      </c>
      <c r="C1398" t="s">
        <v>4342</v>
      </c>
      <c r="D1398" t="s">
        <v>4343</v>
      </c>
      <c r="E1398" t="s">
        <v>4315</v>
      </c>
      <c r="F1398" t="s">
        <v>4316</v>
      </c>
      <c r="G1398" t="str">
        <f>_xlfn.XLOOKUP(frasest[[#This Row],[autor_es]],autorest[autor_es],autorest[autor_la])</f>
        <v>Boethius</v>
      </c>
      <c r="H1398" t="str">
        <f>_xlfn.XLOOKUP(frasest[[#This Row],[autor_es]],autorest[autor_es],autorest[bio_es])</f>
        <v>Filósofo poeta y político romano último representante de la filosofía clásica y primer medieval autor de La consolación de la filosofía que sirvió de puente entre el mundo antiguo y el cristiano medieval</v>
      </c>
      <c r="I1398" t="str">
        <f>_xlfn.XLOOKUP(frasest[[#This Row],[autor_es]],autorest[autor_es],autorest[bio_la])</f>
        <v>Philosophus poeta et politicus Romanus ultimus philosophiae classicae et primus medievalis auctor De consolatione philosophiae qui pons inter mundum antiquum et Christianum medievalem fuit</v>
      </c>
      <c r="J1398" t="str">
        <f>_xlfn.XLOOKUP(frasest[[#This Row],[autor_es]],autorest[autor_es],autorest[codigo])</f>
        <v>la</v>
      </c>
      <c r="K1398" t="str">
        <f>_xlfn.XLOOKUP(frasest[[#This Row],[autor_es]],autorest[autor_es],autorest[idioma_es])</f>
        <v>Latín</v>
      </c>
      <c r="L1398" t="str">
        <f>_xlfn.XLOOKUP(frasest[[#This Row],[autor_es]],autorest[autor_es],autorest[idioma_la])</f>
        <v>Lingua Latina</v>
      </c>
      <c r="M1398" t="str">
        <f>_xlfn.XLOOKUP(frasest[[#This Row],[autor_es]],autorest[autor_es],autorest[nacion_es])</f>
        <v>Roma</v>
      </c>
      <c r="N1398" t="str">
        <f>_xlfn.XLOOKUP(frasest[[#This Row],[autor_es]],autorest[autor_es],autorest[nacion_la])</f>
        <v>Roma</v>
      </c>
      <c r="O1398" t="str">
        <f>_xlfn.XLOOKUP(frasest[[#This Row],[autor_es]],autorest[autor_es],autorest[epoca_es])</f>
        <v>Edad Media</v>
      </c>
      <c r="P1398" t="str">
        <f>_xlfn.XLOOKUP(frasest[[#This Row],[autor_es]],autorest[autor_es],autorest[epoca_la])</f>
        <v>Medium Aevum</v>
      </c>
      <c r="Q1398" t="str">
        <f>_xlfn.XLOOKUP(frasest[[#This Row],[autor_es]],autorest[autor_es],autorest[imagen])</f>
        <v>https://i.ibb.co/XfRSKJzS/boecio.png</v>
      </c>
      <c r="R1398">
        <f>_xlfn.XLOOKUP(frasest[[#This Row],[autor_es]],autorest[autor_es],autorest[imagen_atr])</f>
        <v>0</v>
      </c>
    </row>
    <row r="1399" spans="1:18">
      <c r="A1399">
        <v>1398</v>
      </c>
      <c r="B1399" t="s">
        <v>4344</v>
      </c>
      <c r="C1399" t="s">
        <v>4345</v>
      </c>
      <c r="D1399" t="s">
        <v>4346</v>
      </c>
      <c r="E1399" t="s">
        <v>4315</v>
      </c>
      <c r="F1399" t="s">
        <v>4316</v>
      </c>
      <c r="G1399" t="str">
        <f>_xlfn.XLOOKUP(frasest[[#This Row],[autor_es]],autorest[autor_es],autorest[autor_la])</f>
        <v>Boethius</v>
      </c>
      <c r="H1399" t="str">
        <f>_xlfn.XLOOKUP(frasest[[#This Row],[autor_es]],autorest[autor_es],autorest[bio_es])</f>
        <v>Filósofo poeta y político romano último representante de la filosofía clásica y primer medieval autor de La consolación de la filosofía que sirvió de puente entre el mundo antiguo y el cristiano medieval</v>
      </c>
      <c r="I1399" t="str">
        <f>_xlfn.XLOOKUP(frasest[[#This Row],[autor_es]],autorest[autor_es],autorest[bio_la])</f>
        <v>Philosophus poeta et politicus Romanus ultimus philosophiae classicae et primus medievalis auctor De consolatione philosophiae qui pons inter mundum antiquum et Christianum medievalem fuit</v>
      </c>
      <c r="J1399" t="str">
        <f>_xlfn.XLOOKUP(frasest[[#This Row],[autor_es]],autorest[autor_es],autorest[codigo])</f>
        <v>la</v>
      </c>
      <c r="K1399" t="str">
        <f>_xlfn.XLOOKUP(frasest[[#This Row],[autor_es]],autorest[autor_es],autorest[idioma_es])</f>
        <v>Latín</v>
      </c>
      <c r="L1399" t="str">
        <f>_xlfn.XLOOKUP(frasest[[#This Row],[autor_es]],autorest[autor_es],autorest[idioma_la])</f>
        <v>Lingua Latina</v>
      </c>
      <c r="M1399" t="str">
        <f>_xlfn.XLOOKUP(frasest[[#This Row],[autor_es]],autorest[autor_es],autorest[nacion_es])</f>
        <v>Roma</v>
      </c>
      <c r="N1399" t="str">
        <f>_xlfn.XLOOKUP(frasest[[#This Row],[autor_es]],autorest[autor_es],autorest[nacion_la])</f>
        <v>Roma</v>
      </c>
      <c r="O1399" t="str">
        <f>_xlfn.XLOOKUP(frasest[[#This Row],[autor_es]],autorest[autor_es],autorest[epoca_es])</f>
        <v>Edad Media</v>
      </c>
      <c r="P1399" t="str">
        <f>_xlfn.XLOOKUP(frasest[[#This Row],[autor_es]],autorest[autor_es],autorest[epoca_la])</f>
        <v>Medium Aevum</v>
      </c>
      <c r="Q1399" t="str">
        <f>_xlfn.XLOOKUP(frasest[[#This Row],[autor_es]],autorest[autor_es],autorest[imagen])</f>
        <v>https://i.ibb.co/XfRSKJzS/boecio.png</v>
      </c>
      <c r="R1399">
        <f>_xlfn.XLOOKUP(frasest[[#This Row],[autor_es]],autorest[autor_es],autorest[imagen_atr])</f>
        <v>0</v>
      </c>
    </row>
    <row r="1400" spans="1:18">
      <c r="A1400">
        <v>1399</v>
      </c>
      <c r="B1400" t="s">
        <v>4347</v>
      </c>
      <c r="C1400" t="s">
        <v>4348</v>
      </c>
      <c r="D1400" t="s">
        <v>4349</v>
      </c>
      <c r="E1400" t="s">
        <v>4315</v>
      </c>
      <c r="F1400" t="s">
        <v>4316</v>
      </c>
      <c r="G1400" t="str">
        <f>_xlfn.XLOOKUP(frasest[[#This Row],[autor_es]],autorest[autor_es],autorest[autor_la])</f>
        <v>Boethius</v>
      </c>
      <c r="H1400" t="str">
        <f>_xlfn.XLOOKUP(frasest[[#This Row],[autor_es]],autorest[autor_es],autorest[bio_es])</f>
        <v>Filósofo poeta y político romano último representante de la filosofía clásica y primer medieval autor de La consolación de la filosofía que sirvió de puente entre el mundo antiguo y el cristiano medieval</v>
      </c>
      <c r="I1400" t="str">
        <f>_xlfn.XLOOKUP(frasest[[#This Row],[autor_es]],autorest[autor_es],autorest[bio_la])</f>
        <v>Philosophus poeta et politicus Romanus ultimus philosophiae classicae et primus medievalis auctor De consolatione philosophiae qui pons inter mundum antiquum et Christianum medievalem fuit</v>
      </c>
      <c r="J1400" t="str">
        <f>_xlfn.XLOOKUP(frasest[[#This Row],[autor_es]],autorest[autor_es],autorest[codigo])</f>
        <v>la</v>
      </c>
      <c r="K1400" t="str">
        <f>_xlfn.XLOOKUP(frasest[[#This Row],[autor_es]],autorest[autor_es],autorest[idioma_es])</f>
        <v>Latín</v>
      </c>
      <c r="L1400" t="str">
        <f>_xlfn.XLOOKUP(frasest[[#This Row],[autor_es]],autorest[autor_es],autorest[idioma_la])</f>
        <v>Lingua Latina</v>
      </c>
      <c r="M1400" t="str">
        <f>_xlfn.XLOOKUP(frasest[[#This Row],[autor_es]],autorest[autor_es],autorest[nacion_es])</f>
        <v>Roma</v>
      </c>
      <c r="N1400" t="str">
        <f>_xlfn.XLOOKUP(frasest[[#This Row],[autor_es]],autorest[autor_es],autorest[nacion_la])</f>
        <v>Roma</v>
      </c>
      <c r="O1400" t="str">
        <f>_xlfn.XLOOKUP(frasest[[#This Row],[autor_es]],autorest[autor_es],autorest[epoca_es])</f>
        <v>Edad Media</v>
      </c>
      <c r="P1400" t="str">
        <f>_xlfn.XLOOKUP(frasest[[#This Row],[autor_es]],autorest[autor_es],autorest[epoca_la])</f>
        <v>Medium Aevum</v>
      </c>
      <c r="Q1400" t="str">
        <f>_xlfn.XLOOKUP(frasest[[#This Row],[autor_es]],autorest[autor_es],autorest[imagen])</f>
        <v>https://i.ibb.co/XfRSKJzS/boecio.png</v>
      </c>
      <c r="R1400">
        <f>_xlfn.XLOOKUP(frasest[[#This Row],[autor_es]],autorest[autor_es],autorest[imagen_atr])</f>
        <v>0</v>
      </c>
    </row>
    <row r="1401" spans="1:18">
      <c r="A1401">
        <v>1400</v>
      </c>
      <c r="B1401" t="s">
        <v>4350</v>
      </c>
      <c r="C1401" t="s">
        <v>4351</v>
      </c>
      <c r="D1401" t="s">
        <v>4352</v>
      </c>
      <c r="E1401" t="s">
        <v>4315</v>
      </c>
      <c r="F1401" t="s">
        <v>4316</v>
      </c>
      <c r="G1401" t="str">
        <f>_xlfn.XLOOKUP(frasest[[#This Row],[autor_es]],autorest[autor_es],autorest[autor_la])</f>
        <v>Boethius</v>
      </c>
      <c r="H1401" t="str">
        <f>_xlfn.XLOOKUP(frasest[[#This Row],[autor_es]],autorest[autor_es],autorest[bio_es])</f>
        <v>Filósofo poeta y político romano último representante de la filosofía clásica y primer medieval autor de La consolación de la filosofía que sirvió de puente entre el mundo antiguo y el cristiano medieval</v>
      </c>
      <c r="I1401" t="str">
        <f>_xlfn.XLOOKUP(frasest[[#This Row],[autor_es]],autorest[autor_es],autorest[bio_la])</f>
        <v>Philosophus poeta et politicus Romanus ultimus philosophiae classicae et primus medievalis auctor De consolatione philosophiae qui pons inter mundum antiquum et Christianum medievalem fuit</v>
      </c>
      <c r="J1401" t="str">
        <f>_xlfn.XLOOKUP(frasest[[#This Row],[autor_es]],autorest[autor_es],autorest[codigo])</f>
        <v>la</v>
      </c>
      <c r="K1401" t="str">
        <f>_xlfn.XLOOKUP(frasest[[#This Row],[autor_es]],autorest[autor_es],autorest[idioma_es])</f>
        <v>Latín</v>
      </c>
      <c r="L1401" t="str">
        <f>_xlfn.XLOOKUP(frasest[[#This Row],[autor_es]],autorest[autor_es],autorest[idioma_la])</f>
        <v>Lingua Latina</v>
      </c>
      <c r="M1401" t="str">
        <f>_xlfn.XLOOKUP(frasest[[#This Row],[autor_es]],autorest[autor_es],autorest[nacion_es])</f>
        <v>Roma</v>
      </c>
      <c r="N1401" t="str">
        <f>_xlfn.XLOOKUP(frasest[[#This Row],[autor_es]],autorest[autor_es],autorest[nacion_la])</f>
        <v>Roma</v>
      </c>
      <c r="O1401" t="str">
        <f>_xlfn.XLOOKUP(frasest[[#This Row],[autor_es]],autorest[autor_es],autorest[epoca_es])</f>
        <v>Edad Media</v>
      </c>
      <c r="P1401" t="str">
        <f>_xlfn.XLOOKUP(frasest[[#This Row],[autor_es]],autorest[autor_es],autorest[epoca_la])</f>
        <v>Medium Aevum</v>
      </c>
      <c r="Q1401" t="str">
        <f>_xlfn.XLOOKUP(frasest[[#This Row],[autor_es]],autorest[autor_es],autorest[imagen])</f>
        <v>https://i.ibb.co/XfRSKJzS/boecio.png</v>
      </c>
      <c r="R1401">
        <f>_xlfn.XLOOKUP(frasest[[#This Row],[autor_es]],autorest[autor_es],autorest[imagen_atr])</f>
        <v>0</v>
      </c>
    </row>
    <row r="1402" spans="1:18">
      <c r="A1402">
        <v>1401</v>
      </c>
      <c r="B1402" t="s">
        <v>4353</v>
      </c>
      <c r="C1402" t="s">
        <v>4354</v>
      </c>
      <c r="D1402" t="s">
        <v>4355</v>
      </c>
      <c r="E1402" t="s">
        <v>4315</v>
      </c>
      <c r="F1402" t="s">
        <v>4316</v>
      </c>
      <c r="G1402" t="str">
        <f>_xlfn.XLOOKUP(frasest[[#This Row],[autor_es]],autorest[autor_es],autorest[autor_la])</f>
        <v>Boethius</v>
      </c>
      <c r="H1402" t="str">
        <f>_xlfn.XLOOKUP(frasest[[#This Row],[autor_es]],autorest[autor_es],autorest[bio_es])</f>
        <v>Filósofo poeta y político romano último representante de la filosofía clásica y primer medieval autor de La consolación de la filosofía que sirvió de puente entre el mundo antiguo y el cristiano medieval</v>
      </c>
      <c r="I1402" t="str">
        <f>_xlfn.XLOOKUP(frasest[[#This Row],[autor_es]],autorest[autor_es],autorest[bio_la])</f>
        <v>Philosophus poeta et politicus Romanus ultimus philosophiae classicae et primus medievalis auctor De consolatione philosophiae qui pons inter mundum antiquum et Christianum medievalem fuit</v>
      </c>
      <c r="J1402" t="str">
        <f>_xlfn.XLOOKUP(frasest[[#This Row],[autor_es]],autorest[autor_es],autorest[codigo])</f>
        <v>la</v>
      </c>
      <c r="K1402" t="str">
        <f>_xlfn.XLOOKUP(frasest[[#This Row],[autor_es]],autorest[autor_es],autorest[idioma_es])</f>
        <v>Latín</v>
      </c>
      <c r="L1402" t="str">
        <f>_xlfn.XLOOKUP(frasest[[#This Row],[autor_es]],autorest[autor_es],autorest[idioma_la])</f>
        <v>Lingua Latina</v>
      </c>
      <c r="M1402" t="str">
        <f>_xlfn.XLOOKUP(frasest[[#This Row],[autor_es]],autorest[autor_es],autorest[nacion_es])</f>
        <v>Roma</v>
      </c>
      <c r="N1402" t="str">
        <f>_xlfn.XLOOKUP(frasest[[#This Row],[autor_es]],autorest[autor_es],autorest[nacion_la])</f>
        <v>Roma</v>
      </c>
      <c r="O1402" t="str">
        <f>_xlfn.XLOOKUP(frasest[[#This Row],[autor_es]],autorest[autor_es],autorest[epoca_es])</f>
        <v>Edad Media</v>
      </c>
      <c r="P1402" t="str">
        <f>_xlfn.XLOOKUP(frasest[[#This Row],[autor_es]],autorest[autor_es],autorest[epoca_la])</f>
        <v>Medium Aevum</v>
      </c>
      <c r="Q1402" t="str">
        <f>_xlfn.XLOOKUP(frasest[[#This Row],[autor_es]],autorest[autor_es],autorest[imagen])</f>
        <v>https://i.ibb.co/XfRSKJzS/boecio.png</v>
      </c>
      <c r="R1402">
        <f>_xlfn.XLOOKUP(frasest[[#This Row],[autor_es]],autorest[autor_es],autorest[imagen_atr])</f>
        <v>0</v>
      </c>
    </row>
    <row r="1403" spans="1:18">
      <c r="A1403">
        <v>1402</v>
      </c>
      <c r="B1403" t="s">
        <v>4356</v>
      </c>
      <c r="C1403" t="s">
        <v>4357</v>
      </c>
      <c r="D1403" t="s">
        <v>4358</v>
      </c>
      <c r="E1403" t="s">
        <v>4315</v>
      </c>
      <c r="F1403" t="s">
        <v>4316</v>
      </c>
      <c r="G1403" t="str">
        <f>_xlfn.XLOOKUP(frasest[[#This Row],[autor_es]],autorest[autor_es],autorest[autor_la])</f>
        <v>Boethius</v>
      </c>
      <c r="H1403" t="str">
        <f>_xlfn.XLOOKUP(frasest[[#This Row],[autor_es]],autorest[autor_es],autorest[bio_es])</f>
        <v>Filósofo poeta y político romano último representante de la filosofía clásica y primer medieval autor de La consolación de la filosofía que sirvió de puente entre el mundo antiguo y el cristiano medieval</v>
      </c>
      <c r="I1403" t="str">
        <f>_xlfn.XLOOKUP(frasest[[#This Row],[autor_es]],autorest[autor_es],autorest[bio_la])</f>
        <v>Philosophus poeta et politicus Romanus ultimus philosophiae classicae et primus medievalis auctor De consolatione philosophiae qui pons inter mundum antiquum et Christianum medievalem fuit</v>
      </c>
      <c r="J1403" t="str">
        <f>_xlfn.XLOOKUP(frasest[[#This Row],[autor_es]],autorest[autor_es],autorest[codigo])</f>
        <v>la</v>
      </c>
      <c r="K1403" t="str">
        <f>_xlfn.XLOOKUP(frasest[[#This Row],[autor_es]],autorest[autor_es],autorest[idioma_es])</f>
        <v>Latín</v>
      </c>
      <c r="L1403" t="str">
        <f>_xlfn.XLOOKUP(frasest[[#This Row],[autor_es]],autorest[autor_es],autorest[idioma_la])</f>
        <v>Lingua Latina</v>
      </c>
      <c r="M1403" t="str">
        <f>_xlfn.XLOOKUP(frasest[[#This Row],[autor_es]],autorest[autor_es],autorest[nacion_es])</f>
        <v>Roma</v>
      </c>
      <c r="N1403" t="str">
        <f>_xlfn.XLOOKUP(frasest[[#This Row],[autor_es]],autorest[autor_es],autorest[nacion_la])</f>
        <v>Roma</v>
      </c>
      <c r="O1403" t="str">
        <f>_xlfn.XLOOKUP(frasest[[#This Row],[autor_es]],autorest[autor_es],autorest[epoca_es])</f>
        <v>Edad Media</v>
      </c>
      <c r="P1403" t="str">
        <f>_xlfn.XLOOKUP(frasest[[#This Row],[autor_es]],autorest[autor_es],autorest[epoca_la])</f>
        <v>Medium Aevum</v>
      </c>
      <c r="Q1403" t="str">
        <f>_xlfn.XLOOKUP(frasest[[#This Row],[autor_es]],autorest[autor_es],autorest[imagen])</f>
        <v>https://i.ibb.co/XfRSKJzS/boecio.png</v>
      </c>
      <c r="R1403">
        <f>_xlfn.XLOOKUP(frasest[[#This Row],[autor_es]],autorest[autor_es],autorest[imagen_atr])</f>
        <v>0</v>
      </c>
    </row>
    <row r="1404" spans="1:18">
      <c r="A1404">
        <v>1403</v>
      </c>
      <c r="B1404" t="s">
        <v>4359</v>
      </c>
      <c r="C1404" t="s">
        <v>4360</v>
      </c>
      <c r="D1404" t="s">
        <v>4361</v>
      </c>
      <c r="E1404" t="s">
        <v>4315</v>
      </c>
      <c r="F1404" t="s">
        <v>4316</v>
      </c>
      <c r="G1404" t="str">
        <f>_xlfn.XLOOKUP(frasest[[#This Row],[autor_es]],autorest[autor_es],autorest[autor_la])</f>
        <v>Boethius</v>
      </c>
      <c r="H1404" t="str">
        <f>_xlfn.XLOOKUP(frasest[[#This Row],[autor_es]],autorest[autor_es],autorest[bio_es])</f>
        <v>Filósofo poeta y político romano último representante de la filosofía clásica y primer medieval autor de La consolación de la filosofía que sirvió de puente entre el mundo antiguo y el cristiano medieval</v>
      </c>
      <c r="I1404" t="str">
        <f>_xlfn.XLOOKUP(frasest[[#This Row],[autor_es]],autorest[autor_es],autorest[bio_la])</f>
        <v>Philosophus poeta et politicus Romanus ultimus philosophiae classicae et primus medievalis auctor De consolatione philosophiae qui pons inter mundum antiquum et Christianum medievalem fuit</v>
      </c>
      <c r="J1404" t="str">
        <f>_xlfn.XLOOKUP(frasest[[#This Row],[autor_es]],autorest[autor_es],autorest[codigo])</f>
        <v>la</v>
      </c>
      <c r="K1404" t="str">
        <f>_xlfn.XLOOKUP(frasest[[#This Row],[autor_es]],autorest[autor_es],autorest[idioma_es])</f>
        <v>Latín</v>
      </c>
      <c r="L1404" t="str">
        <f>_xlfn.XLOOKUP(frasest[[#This Row],[autor_es]],autorest[autor_es],autorest[idioma_la])</f>
        <v>Lingua Latina</v>
      </c>
      <c r="M1404" t="str">
        <f>_xlfn.XLOOKUP(frasest[[#This Row],[autor_es]],autorest[autor_es],autorest[nacion_es])</f>
        <v>Roma</v>
      </c>
      <c r="N1404" t="str">
        <f>_xlfn.XLOOKUP(frasest[[#This Row],[autor_es]],autorest[autor_es],autorest[nacion_la])</f>
        <v>Roma</v>
      </c>
      <c r="O1404" t="str">
        <f>_xlfn.XLOOKUP(frasest[[#This Row],[autor_es]],autorest[autor_es],autorest[epoca_es])</f>
        <v>Edad Media</v>
      </c>
      <c r="P1404" t="str">
        <f>_xlfn.XLOOKUP(frasest[[#This Row],[autor_es]],autorest[autor_es],autorest[epoca_la])</f>
        <v>Medium Aevum</v>
      </c>
      <c r="Q1404" t="str">
        <f>_xlfn.XLOOKUP(frasest[[#This Row],[autor_es]],autorest[autor_es],autorest[imagen])</f>
        <v>https://i.ibb.co/XfRSKJzS/boecio.png</v>
      </c>
      <c r="R1404">
        <f>_xlfn.XLOOKUP(frasest[[#This Row],[autor_es]],autorest[autor_es],autorest[imagen_atr])</f>
        <v>0</v>
      </c>
    </row>
    <row r="1405" spans="1:18">
      <c r="A1405">
        <v>1404</v>
      </c>
      <c r="B1405" t="s">
        <v>4362</v>
      </c>
      <c r="C1405" t="s">
        <v>4363</v>
      </c>
      <c r="D1405" t="s">
        <v>4364</v>
      </c>
      <c r="E1405" t="s">
        <v>4315</v>
      </c>
      <c r="F1405" t="s">
        <v>4316</v>
      </c>
      <c r="G1405" t="str">
        <f>_xlfn.XLOOKUP(frasest[[#This Row],[autor_es]],autorest[autor_es],autorest[autor_la])</f>
        <v>Boethius</v>
      </c>
      <c r="H1405" t="str">
        <f>_xlfn.XLOOKUP(frasest[[#This Row],[autor_es]],autorest[autor_es],autorest[bio_es])</f>
        <v>Filósofo poeta y político romano último representante de la filosofía clásica y primer medieval autor de La consolación de la filosofía que sirvió de puente entre el mundo antiguo y el cristiano medieval</v>
      </c>
      <c r="I1405" t="str">
        <f>_xlfn.XLOOKUP(frasest[[#This Row],[autor_es]],autorest[autor_es],autorest[bio_la])</f>
        <v>Philosophus poeta et politicus Romanus ultimus philosophiae classicae et primus medievalis auctor De consolatione philosophiae qui pons inter mundum antiquum et Christianum medievalem fuit</v>
      </c>
      <c r="J1405" t="str">
        <f>_xlfn.XLOOKUP(frasest[[#This Row],[autor_es]],autorest[autor_es],autorest[codigo])</f>
        <v>la</v>
      </c>
      <c r="K1405" t="str">
        <f>_xlfn.XLOOKUP(frasest[[#This Row],[autor_es]],autorest[autor_es],autorest[idioma_es])</f>
        <v>Latín</v>
      </c>
      <c r="L1405" t="str">
        <f>_xlfn.XLOOKUP(frasest[[#This Row],[autor_es]],autorest[autor_es],autorest[idioma_la])</f>
        <v>Lingua Latina</v>
      </c>
      <c r="M1405" t="str">
        <f>_xlfn.XLOOKUP(frasest[[#This Row],[autor_es]],autorest[autor_es],autorest[nacion_es])</f>
        <v>Roma</v>
      </c>
      <c r="N1405" t="str">
        <f>_xlfn.XLOOKUP(frasest[[#This Row],[autor_es]],autorest[autor_es],autorest[nacion_la])</f>
        <v>Roma</v>
      </c>
      <c r="O1405" t="str">
        <f>_xlfn.XLOOKUP(frasest[[#This Row],[autor_es]],autorest[autor_es],autorest[epoca_es])</f>
        <v>Edad Media</v>
      </c>
      <c r="P1405" t="str">
        <f>_xlfn.XLOOKUP(frasest[[#This Row],[autor_es]],autorest[autor_es],autorest[epoca_la])</f>
        <v>Medium Aevum</v>
      </c>
      <c r="Q1405" t="str">
        <f>_xlfn.XLOOKUP(frasest[[#This Row],[autor_es]],autorest[autor_es],autorest[imagen])</f>
        <v>https://i.ibb.co/XfRSKJzS/boecio.png</v>
      </c>
      <c r="R1405">
        <f>_xlfn.XLOOKUP(frasest[[#This Row],[autor_es]],autorest[autor_es],autorest[imagen_atr])</f>
        <v>0</v>
      </c>
    </row>
    <row r="1406" spans="1:18">
      <c r="A1406">
        <v>1405</v>
      </c>
      <c r="B1406" t="s">
        <v>4365</v>
      </c>
      <c r="C1406" t="s">
        <v>4366</v>
      </c>
      <c r="D1406" t="s">
        <v>4367</v>
      </c>
      <c r="E1406" t="s">
        <v>4315</v>
      </c>
      <c r="F1406" t="s">
        <v>4316</v>
      </c>
      <c r="G1406" t="str">
        <f>_xlfn.XLOOKUP(frasest[[#This Row],[autor_es]],autorest[autor_es],autorest[autor_la])</f>
        <v>Boethius</v>
      </c>
      <c r="H1406" t="str">
        <f>_xlfn.XLOOKUP(frasest[[#This Row],[autor_es]],autorest[autor_es],autorest[bio_es])</f>
        <v>Filósofo poeta y político romano último representante de la filosofía clásica y primer medieval autor de La consolación de la filosofía que sirvió de puente entre el mundo antiguo y el cristiano medieval</v>
      </c>
      <c r="I1406" t="str">
        <f>_xlfn.XLOOKUP(frasest[[#This Row],[autor_es]],autorest[autor_es],autorest[bio_la])</f>
        <v>Philosophus poeta et politicus Romanus ultimus philosophiae classicae et primus medievalis auctor De consolatione philosophiae qui pons inter mundum antiquum et Christianum medievalem fuit</v>
      </c>
      <c r="J1406" t="str">
        <f>_xlfn.XLOOKUP(frasest[[#This Row],[autor_es]],autorest[autor_es],autorest[codigo])</f>
        <v>la</v>
      </c>
      <c r="K1406" t="str">
        <f>_xlfn.XLOOKUP(frasest[[#This Row],[autor_es]],autorest[autor_es],autorest[idioma_es])</f>
        <v>Latín</v>
      </c>
      <c r="L1406" t="str">
        <f>_xlfn.XLOOKUP(frasest[[#This Row],[autor_es]],autorest[autor_es],autorest[idioma_la])</f>
        <v>Lingua Latina</v>
      </c>
      <c r="M1406" t="str">
        <f>_xlfn.XLOOKUP(frasest[[#This Row],[autor_es]],autorest[autor_es],autorest[nacion_es])</f>
        <v>Roma</v>
      </c>
      <c r="N1406" t="str">
        <f>_xlfn.XLOOKUP(frasest[[#This Row],[autor_es]],autorest[autor_es],autorest[nacion_la])</f>
        <v>Roma</v>
      </c>
      <c r="O1406" t="str">
        <f>_xlfn.XLOOKUP(frasest[[#This Row],[autor_es]],autorest[autor_es],autorest[epoca_es])</f>
        <v>Edad Media</v>
      </c>
      <c r="P1406" t="str">
        <f>_xlfn.XLOOKUP(frasest[[#This Row],[autor_es]],autorest[autor_es],autorest[epoca_la])</f>
        <v>Medium Aevum</v>
      </c>
      <c r="Q1406" t="str">
        <f>_xlfn.XLOOKUP(frasest[[#This Row],[autor_es]],autorest[autor_es],autorest[imagen])</f>
        <v>https://i.ibb.co/XfRSKJzS/boecio.png</v>
      </c>
      <c r="R1406">
        <f>_xlfn.XLOOKUP(frasest[[#This Row],[autor_es]],autorest[autor_es],autorest[imagen_atr])</f>
        <v>0</v>
      </c>
    </row>
    <row r="1407" spans="1:18">
      <c r="A1407">
        <v>1406</v>
      </c>
      <c r="B1407" t="s">
        <v>4368</v>
      </c>
      <c r="C1407" t="s">
        <v>4369</v>
      </c>
      <c r="D1407" t="s">
        <v>4370</v>
      </c>
      <c r="E1407" t="s">
        <v>4315</v>
      </c>
      <c r="F1407" t="s">
        <v>4316</v>
      </c>
      <c r="G1407" t="str">
        <f>_xlfn.XLOOKUP(frasest[[#This Row],[autor_es]],autorest[autor_es],autorest[autor_la])</f>
        <v>Boethius</v>
      </c>
      <c r="H1407" t="str">
        <f>_xlfn.XLOOKUP(frasest[[#This Row],[autor_es]],autorest[autor_es],autorest[bio_es])</f>
        <v>Filósofo poeta y político romano último representante de la filosofía clásica y primer medieval autor de La consolación de la filosofía que sirvió de puente entre el mundo antiguo y el cristiano medieval</v>
      </c>
      <c r="I1407" t="str">
        <f>_xlfn.XLOOKUP(frasest[[#This Row],[autor_es]],autorest[autor_es],autorest[bio_la])</f>
        <v>Philosophus poeta et politicus Romanus ultimus philosophiae classicae et primus medievalis auctor De consolatione philosophiae qui pons inter mundum antiquum et Christianum medievalem fuit</v>
      </c>
      <c r="J1407" t="str">
        <f>_xlfn.XLOOKUP(frasest[[#This Row],[autor_es]],autorest[autor_es],autorest[codigo])</f>
        <v>la</v>
      </c>
      <c r="K1407" t="str">
        <f>_xlfn.XLOOKUP(frasest[[#This Row],[autor_es]],autorest[autor_es],autorest[idioma_es])</f>
        <v>Latín</v>
      </c>
      <c r="L1407" t="str">
        <f>_xlfn.XLOOKUP(frasest[[#This Row],[autor_es]],autorest[autor_es],autorest[idioma_la])</f>
        <v>Lingua Latina</v>
      </c>
      <c r="M1407" t="str">
        <f>_xlfn.XLOOKUP(frasest[[#This Row],[autor_es]],autorest[autor_es],autorest[nacion_es])</f>
        <v>Roma</v>
      </c>
      <c r="N1407" t="str">
        <f>_xlfn.XLOOKUP(frasest[[#This Row],[autor_es]],autorest[autor_es],autorest[nacion_la])</f>
        <v>Roma</v>
      </c>
      <c r="O1407" t="str">
        <f>_xlfn.XLOOKUP(frasest[[#This Row],[autor_es]],autorest[autor_es],autorest[epoca_es])</f>
        <v>Edad Media</v>
      </c>
      <c r="P1407" t="str">
        <f>_xlfn.XLOOKUP(frasest[[#This Row],[autor_es]],autorest[autor_es],autorest[epoca_la])</f>
        <v>Medium Aevum</v>
      </c>
      <c r="Q1407" t="str">
        <f>_xlfn.XLOOKUP(frasest[[#This Row],[autor_es]],autorest[autor_es],autorest[imagen])</f>
        <v>https://i.ibb.co/XfRSKJzS/boecio.png</v>
      </c>
      <c r="R1407">
        <f>_xlfn.XLOOKUP(frasest[[#This Row],[autor_es]],autorest[autor_es],autorest[imagen_atr])</f>
        <v>0</v>
      </c>
    </row>
    <row r="1408" spans="1:18">
      <c r="A1408">
        <v>1407</v>
      </c>
      <c r="B1408" t="s">
        <v>4371</v>
      </c>
      <c r="C1408" t="s">
        <v>4372</v>
      </c>
      <c r="D1408" t="s">
        <v>4373</v>
      </c>
      <c r="E1408" t="s">
        <v>4315</v>
      </c>
      <c r="F1408" t="s">
        <v>4316</v>
      </c>
      <c r="G1408" t="str">
        <f>_xlfn.XLOOKUP(frasest[[#This Row],[autor_es]],autorest[autor_es],autorest[autor_la])</f>
        <v>Boethius</v>
      </c>
      <c r="H1408" t="str">
        <f>_xlfn.XLOOKUP(frasest[[#This Row],[autor_es]],autorest[autor_es],autorest[bio_es])</f>
        <v>Filósofo poeta y político romano último representante de la filosofía clásica y primer medieval autor de La consolación de la filosofía que sirvió de puente entre el mundo antiguo y el cristiano medieval</v>
      </c>
      <c r="I1408" t="str">
        <f>_xlfn.XLOOKUP(frasest[[#This Row],[autor_es]],autorest[autor_es],autorest[bio_la])</f>
        <v>Philosophus poeta et politicus Romanus ultimus philosophiae classicae et primus medievalis auctor De consolatione philosophiae qui pons inter mundum antiquum et Christianum medievalem fuit</v>
      </c>
      <c r="J1408" t="str">
        <f>_xlfn.XLOOKUP(frasest[[#This Row],[autor_es]],autorest[autor_es],autorest[codigo])</f>
        <v>la</v>
      </c>
      <c r="K1408" t="str">
        <f>_xlfn.XLOOKUP(frasest[[#This Row],[autor_es]],autorest[autor_es],autorest[idioma_es])</f>
        <v>Latín</v>
      </c>
      <c r="L1408" t="str">
        <f>_xlfn.XLOOKUP(frasest[[#This Row],[autor_es]],autorest[autor_es],autorest[idioma_la])</f>
        <v>Lingua Latina</v>
      </c>
      <c r="M1408" t="str">
        <f>_xlfn.XLOOKUP(frasest[[#This Row],[autor_es]],autorest[autor_es],autorest[nacion_es])</f>
        <v>Roma</v>
      </c>
      <c r="N1408" t="str">
        <f>_xlfn.XLOOKUP(frasest[[#This Row],[autor_es]],autorest[autor_es],autorest[nacion_la])</f>
        <v>Roma</v>
      </c>
      <c r="O1408" t="str">
        <f>_xlfn.XLOOKUP(frasest[[#This Row],[autor_es]],autorest[autor_es],autorest[epoca_es])</f>
        <v>Edad Media</v>
      </c>
      <c r="P1408" t="str">
        <f>_xlfn.XLOOKUP(frasest[[#This Row],[autor_es]],autorest[autor_es],autorest[epoca_la])</f>
        <v>Medium Aevum</v>
      </c>
      <c r="Q1408" t="str">
        <f>_xlfn.XLOOKUP(frasest[[#This Row],[autor_es]],autorest[autor_es],autorest[imagen])</f>
        <v>https://i.ibb.co/XfRSKJzS/boecio.png</v>
      </c>
      <c r="R1408">
        <f>_xlfn.XLOOKUP(frasest[[#This Row],[autor_es]],autorest[autor_es],autorest[imagen_atr])</f>
        <v>0</v>
      </c>
    </row>
    <row r="1409" spans="1:18">
      <c r="A1409">
        <v>1408</v>
      </c>
      <c r="B1409" t="s">
        <v>4374</v>
      </c>
      <c r="C1409" t="s">
        <v>4375</v>
      </c>
      <c r="D1409" t="s">
        <v>4376</v>
      </c>
      <c r="E1409" t="s">
        <v>4377</v>
      </c>
      <c r="F1409" t="s">
        <v>4378</v>
      </c>
      <c r="G1409" t="str">
        <f>_xlfn.XLOOKUP(frasest[[#This Row],[autor_es]],autorest[autor_es],autorest[autor_la])</f>
        <v>Ioannes Duns Scotus</v>
      </c>
      <c r="H1409" t="str">
        <f>_xlfn.XLOOKUP(frasest[[#This Row],[autor_es]],autorest[autor_es],autorest[bio_es])</f>
        <v>Teólogo franciscano escocés Doctor Sutil conocido por su defensa de la Inmaculada Concepción su voluntarismo y su oposición intelectual a Santo Tomás de Aquino siendo fundamental para la filosofía católica sobre la libertad y la voluntad</v>
      </c>
      <c r="I1409" t="str">
        <f>_xlfn.XLOOKUP(frasest[[#This Row],[autor_es]],autorest[autor_es],autorest[bio_la])</f>
        <v>Theologus Franciscanus Scoticus Doctor Subtilis notus pro defensione Immaculatae Conceptionis voluntarismo et oppositione intellectuali ad Thomam Aquinatem fundamentalis pro philosophia catholica de libertate et voluntate</v>
      </c>
      <c r="J1409" t="str">
        <f>_xlfn.XLOOKUP(frasest[[#This Row],[autor_es]],autorest[autor_es],autorest[codigo])</f>
        <v>la</v>
      </c>
      <c r="K1409" t="str">
        <f>_xlfn.XLOOKUP(frasest[[#This Row],[autor_es]],autorest[autor_es],autorest[idioma_es])</f>
        <v>Latín</v>
      </c>
      <c r="L1409" t="str">
        <f>_xlfn.XLOOKUP(frasest[[#This Row],[autor_es]],autorest[autor_es],autorest[idioma_la])</f>
        <v>Lingua Latina</v>
      </c>
      <c r="M1409" t="str">
        <f>_xlfn.XLOOKUP(frasest[[#This Row],[autor_es]],autorest[autor_es],autorest[nacion_es])</f>
        <v>Reino Unido</v>
      </c>
      <c r="N1409" t="str">
        <f>_xlfn.XLOOKUP(frasest[[#This Row],[autor_es]],autorest[autor_es],autorest[nacion_la])</f>
        <v>Regnum Unitum</v>
      </c>
      <c r="O1409" t="str">
        <f>_xlfn.XLOOKUP(frasest[[#This Row],[autor_es]],autorest[autor_es],autorest[epoca_es])</f>
        <v>Edad Media</v>
      </c>
      <c r="P1409" t="str">
        <f>_xlfn.XLOOKUP(frasest[[#This Row],[autor_es]],autorest[autor_es],autorest[epoca_la])</f>
        <v>Medium Aevum</v>
      </c>
      <c r="Q1409" t="str">
        <f>_xlfn.XLOOKUP(frasest[[#This Row],[autor_es]],autorest[autor_es],autorest[imagen])</f>
        <v>https://i.ibb.co/KkCQxPT/juanduns.png</v>
      </c>
      <c r="R1409">
        <f>_xlfn.XLOOKUP(frasest[[#This Row],[autor_es]],autorest[autor_es],autorest[imagen_atr])</f>
        <v>0</v>
      </c>
    </row>
    <row r="1410" spans="1:18">
      <c r="A1410">
        <v>1409</v>
      </c>
      <c r="B1410" t="s">
        <v>4379</v>
      </c>
      <c r="C1410" t="s">
        <v>4380</v>
      </c>
      <c r="D1410" t="s">
        <v>4381</v>
      </c>
      <c r="E1410" t="s">
        <v>4377</v>
      </c>
      <c r="F1410" t="s">
        <v>4378</v>
      </c>
      <c r="G1410" t="str">
        <f>_xlfn.XLOOKUP(frasest[[#This Row],[autor_es]],autorest[autor_es],autorest[autor_la])</f>
        <v>Ioannes Duns Scotus</v>
      </c>
      <c r="H1410" t="str">
        <f>_xlfn.XLOOKUP(frasest[[#This Row],[autor_es]],autorest[autor_es],autorest[bio_es])</f>
        <v>Teólogo franciscano escocés Doctor Sutil conocido por su defensa de la Inmaculada Concepción su voluntarismo y su oposición intelectual a Santo Tomás de Aquino siendo fundamental para la filosofía católica sobre la libertad y la voluntad</v>
      </c>
      <c r="I1410" t="str">
        <f>_xlfn.XLOOKUP(frasest[[#This Row],[autor_es]],autorest[autor_es],autorest[bio_la])</f>
        <v>Theologus Franciscanus Scoticus Doctor Subtilis notus pro defensione Immaculatae Conceptionis voluntarismo et oppositione intellectuali ad Thomam Aquinatem fundamentalis pro philosophia catholica de libertate et voluntate</v>
      </c>
      <c r="J1410" t="str">
        <f>_xlfn.XLOOKUP(frasest[[#This Row],[autor_es]],autorest[autor_es],autorest[codigo])</f>
        <v>la</v>
      </c>
      <c r="K1410" t="str">
        <f>_xlfn.XLOOKUP(frasest[[#This Row],[autor_es]],autorest[autor_es],autorest[idioma_es])</f>
        <v>Latín</v>
      </c>
      <c r="L1410" t="str">
        <f>_xlfn.XLOOKUP(frasest[[#This Row],[autor_es]],autorest[autor_es],autorest[idioma_la])</f>
        <v>Lingua Latina</v>
      </c>
      <c r="M1410" t="str">
        <f>_xlfn.XLOOKUP(frasest[[#This Row],[autor_es]],autorest[autor_es],autorest[nacion_es])</f>
        <v>Reino Unido</v>
      </c>
      <c r="N1410" t="str">
        <f>_xlfn.XLOOKUP(frasest[[#This Row],[autor_es]],autorest[autor_es],autorest[nacion_la])</f>
        <v>Regnum Unitum</v>
      </c>
      <c r="O1410" t="str">
        <f>_xlfn.XLOOKUP(frasest[[#This Row],[autor_es]],autorest[autor_es],autorest[epoca_es])</f>
        <v>Edad Media</v>
      </c>
      <c r="P1410" t="str">
        <f>_xlfn.XLOOKUP(frasest[[#This Row],[autor_es]],autorest[autor_es],autorest[epoca_la])</f>
        <v>Medium Aevum</v>
      </c>
      <c r="Q1410" t="str">
        <f>_xlfn.XLOOKUP(frasest[[#This Row],[autor_es]],autorest[autor_es],autorest[imagen])</f>
        <v>https://i.ibb.co/KkCQxPT/juanduns.png</v>
      </c>
      <c r="R1410">
        <f>_xlfn.XLOOKUP(frasest[[#This Row],[autor_es]],autorest[autor_es],autorest[imagen_atr])</f>
        <v>0</v>
      </c>
    </row>
    <row r="1411" spans="1:18">
      <c r="A1411">
        <v>1410</v>
      </c>
      <c r="B1411" t="s">
        <v>4382</v>
      </c>
      <c r="C1411" t="s">
        <v>4383</v>
      </c>
      <c r="D1411" t="s">
        <v>4384</v>
      </c>
      <c r="E1411" t="s">
        <v>4377</v>
      </c>
      <c r="F1411" t="s">
        <v>4378</v>
      </c>
      <c r="G1411" t="str">
        <f>_xlfn.XLOOKUP(frasest[[#This Row],[autor_es]],autorest[autor_es],autorest[autor_la])</f>
        <v>Ioannes Duns Scotus</v>
      </c>
      <c r="H1411" t="str">
        <f>_xlfn.XLOOKUP(frasest[[#This Row],[autor_es]],autorest[autor_es],autorest[bio_es])</f>
        <v>Teólogo franciscano escocés Doctor Sutil conocido por su defensa de la Inmaculada Concepción su voluntarismo y su oposición intelectual a Santo Tomás de Aquino siendo fundamental para la filosofía católica sobre la libertad y la voluntad</v>
      </c>
      <c r="I1411" t="str">
        <f>_xlfn.XLOOKUP(frasest[[#This Row],[autor_es]],autorest[autor_es],autorest[bio_la])</f>
        <v>Theologus Franciscanus Scoticus Doctor Subtilis notus pro defensione Immaculatae Conceptionis voluntarismo et oppositione intellectuali ad Thomam Aquinatem fundamentalis pro philosophia catholica de libertate et voluntate</v>
      </c>
      <c r="J1411" t="str">
        <f>_xlfn.XLOOKUP(frasest[[#This Row],[autor_es]],autorest[autor_es],autorest[codigo])</f>
        <v>la</v>
      </c>
      <c r="K1411" t="str">
        <f>_xlfn.XLOOKUP(frasest[[#This Row],[autor_es]],autorest[autor_es],autorest[idioma_es])</f>
        <v>Latín</v>
      </c>
      <c r="L1411" t="str">
        <f>_xlfn.XLOOKUP(frasest[[#This Row],[autor_es]],autorest[autor_es],autorest[idioma_la])</f>
        <v>Lingua Latina</v>
      </c>
      <c r="M1411" t="str">
        <f>_xlfn.XLOOKUP(frasest[[#This Row],[autor_es]],autorest[autor_es],autorest[nacion_es])</f>
        <v>Reino Unido</v>
      </c>
      <c r="N1411" t="str">
        <f>_xlfn.XLOOKUP(frasest[[#This Row],[autor_es]],autorest[autor_es],autorest[nacion_la])</f>
        <v>Regnum Unitum</v>
      </c>
      <c r="O1411" t="str">
        <f>_xlfn.XLOOKUP(frasest[[#This Row],[autor_es]],autorest[autor_es],autorest[epoca_es])</f>
        <v>Edad Media</v>
      </c>
      <c r="P1411" t="str">
        <f>_xlfn.XLOOKUP(frasest[[#This Row],[autor_es]],autorest[autor_es],autorest[epoca_la])</f>
        <v>Medium Aevum</v>
      </c>
      <c r="Q1411" t="str">
        <f>_xlfn.XLOOKUP(frasest[[#This Row],[autor_es]],autorest[autor_es],autorest[imagen])</f>
        <v>https://i.ibb.co/KkCQxPT/juanduns.png</v>
      </c>
      <c r="R1411">
        <f>_xlfn.XLOOKUP(frasest[[#This Row],[autor_es]],autorest[autor_es],autorest[imagen_atr])</f>
        <v>0</v>
      </c>
    </row>
    <row r="1412" spans="1:18">
      <c r="A1412">
        <v>1411</v>
      </c>
      <c r="B1412" t="s">
        <v>4385</v>
      </c>
      <c r="C1412" t="s">
        <v>4386</v>
      </c>
      <c r="D1412" t="s">
        <v>4387</v>
      </c>
      <c r="E1412" t="s">
        <v>4377</v>
      </c>
      <c r="F1412" t="s">
        <v>4378</v>
      </c>
      <c r="G1412" t="str">
        <f>_xlfn.XLOOKUP(frasest[[#This Row],[autor_es]],autorest[autor_es],autorest[autor_la])</f>
        <v>Ioannes Duns Scotus</v>
      </c>
      <c r="H1412" t="str">
        <f>_xlfn.XLOOKUP(frasest[[#This Row],[autor_es]],autorest[autor_es],autorest[bio_es])</f>
        <v>Teólogo franciscano escocés Doctor Sutil conocido por su defensa de la Inmaculada Concepción su voluntarismo y su oposición intelectual a Santo Tomás de Aquino siendo fundamental para la filosofía católica sobre la libertad y la voluntad</v>
      </c>
      <c r="I1412" t="str">
        <f>_xlfn.XLOOKUP(frasest[[#This Row],[autor_es]],autorest[autor_es],autorest[bio_la])</f>
        <v>Theologus Franciscanus Scoticus Doctor Subtilis notus pro defensione Immaculatae Conceptionis voluntarismo et oppositione intellectuali ad Thomam Aquinatem fundamentalis pro philosophia catholica de libertate et voluntate</v>
      </c>
      <c r="J1412" t="str">
        <f>_xlfn.XLOOKUP(frasest[[#This Row],[autor_es]],autorest[autor_es],autorest[codigo])</f>
        <v>la</v>
      </c>
      <c r="K1412" t="str">
        <f>_xlfn.XLOOKUP(frasest[[#This Row],[autor_es]],autorest[autor_es],autorest[idioma_es])</f>
        <v>Latín</v>
      </c>
      <c r="L1412" t="str">
        <f>_xlfn.XLOOKUP(frasest[[#This Row],[autor_es]],autorest[autor_es],autorest[idioma_la])</f>
        <v>Lingua Latina</v>
      </c>
      <c r="M1412" t="str">
        <f>_xlfn.XLOOKUP(frasest[[#This Row],[autor_es]],autorest[autor_es],autorest[nacion_es])</f>
        <v>Reino Unido</v>
      </c>
      <c r="N1412" t="str">
        <f>_xlfn.XLOOKUP(frasest[[#This Row],[autor_es]],autorest[autor_es],autorest[nacion_la])</f>
        <v>Regnum Unitum</v>
      </c>
      <c r="O1412" t="str">
        <f>_xlfn.XLOOKUP(frasest[[#This Row],[autor_es]],autorest[autor_es],autorest[epoca_es])</f>
        <v>Edad Media</v>
      </c>
      <c r="P1412" t="str">
        <f>_xlfn.XLOOKUP(frasest[[#This Row],[autor_es]],autorest[autor_es],autorest[epoca_la])</f>
        <v>Medium Aevum</v>
      </c>
      <c r="Q1412" t="str">
        <f>_xlfn.XLOOKUP(frasest[[#This Row],[autor_es]],autorest[autor_es],autorest[imagen])</f>
        <v>https://i.ibb.co/KkCQxPT/juanduns.png</v>
      </c>
      <c r="R1412">
        <f>_xlfn.XLOOKUP(frasest[[#This Row],[autor_es]],autorest[autor_es],autorest[imagen_atr])</f>
        <v>0</v>
      </c>
    </row>
    <row r="1413" spans="1:18">
      <c r="A1413">
        <v>1412</v>
      </c>
      <c r="B1413" t="s">
        <v>4388</v>
      </c>
      <c r="C1413" t="s">
        <v>4389</v>
      </c>
      <c r="D1413" t="s">
        <v>4390</v>
      </c>
      <c r="E1413" t="s">
        <v>4377</v>
      </c>
      <c r="F1413" t="s">
        <v>4378</v>
      </c>
      <c r="G1413" t="str">
        <f>_xlfn.XLOOKUP(frasest[[#This Row],[autor_es]],autorest[autor_es],autorest[autor_la])</f>
        <v>Ioannes Duns Scotus</v>
      </c>
      <c r="H1413" t="str">
        <f>_xlfn.XLOOKUP(frasest[[#This Row],[autor_es]],autorest[autor_es],autorest[bio_es])</f>
        <v>Teólogo franciscano escocés Doctor Sutil conocido por su defensa de la Inmaculada Concepción su voluntarismo y su oposición intelectual a Santo Tomás de Aquino siendo fundamental para la filosofía católica sobre la libertad y la voluntad</v>
      </c>
      <c r="I1413" t="str">
        <f>_xlfn.XLOOKUP(frasest[[#This Row],[autor_es]],autorest[autor_es],autorest[bio_la])</f>
        <v>Theologus Franciscanus Scoticus Doctor Subtilis notus pro defensione Immaculatae Conceptionis voluntarismo et oppositione intellectuali ad Thomam Aquinatem fundamentalis pro philosophia catholica de libertate et voluntate</v>
      </c>
      <c r="J1413" t="str">
        <f>_xlfn.XLOOKUP(frasest[[#This Row],[autor_es]],autorest[autor_es],autorest[codigo])</f>
        <v>la</v>
      </c>
      <c r="K1413" t="str">
        <f>_xlfn.XLOOKUP(frasest[[#This Row],[autor_es]],autorest[autor_es],autorest[idioma_es])</f>
        <v>Latín</v>
      </c>
      <c r="L1413" t="str">
        <f>_xlfn.XLOOKUP(frasest[[#This Row],[autor_es]],autorest[autor_es],autorest[idioma_la])</f>
        <v>Lingua Latina</v>
      </c>
      <c r="M1413" t="str">
        <f>_xlfn.XLOOKUP(frasest[[#This Row],[autor_es]],autorest[autor_es],autorest[nacion_es])</f>
        <v>Reino Unido</v>
      </c>
      <c r="N1413" t="str">
        <f>_xlfn.XLOOKUP(frasest[[#This Row],[autor_es]],autorest[autor_es],autorest[nacion_la])</f>
        <v>Regnum Unitum</v>
      </c>
      <c r="O1413" t="str">
        <f>_xlfn.XLOOKUP(frasest[[#This Row],[autor_es]],autorest[autor_es],autorest[epoca_es])</f>
        <v>Edad Media</v>
      </c>
      <c r="P1413" t="str">
        <f>_xlfn.XLOOKUP(frasest[[#This Row],[autor_es]],autorest[autor_es],autorest[epoca_la])</f>
        <v>Medium Aevum</v>
      </c>
      <c r="Q1413" t="str">
        <f>_xlfn.XLOOKUP(frasest[[#This Row],[autor_es]],autorest[autor_es],autorest[imagen])</f>
        <v>https://i.ibb.co/KkCQxPT/juanduns.png</v>
      </c>
      <c r="R1413">
        <f>_xlfn.XLOOKUP(frasest[[#This Row],[autor_es]],autorest[autor_es],autorest[imagen_atr])</f>
        <v>0</v>
      </c>
    </row>
    <row r="1414" spans="1:18">
      <c r="A1414">
        <v>1413</v>
      </c>
      <c r="B1414" t="s">
        <v>4391</v>
      </c>
      <c r="C1414" t="s">
        <v>4392</v>
      </c>
      <c r="D1414" t="s">
        <v>4393</v>
      </c>
      <c r="E1414" t="s">
        <v>4377</v>
      </c>
      <c r="F1414" t="s">
        <v>4378</v>
      </c>
      <c r="G1414" t="str">
        <f>_xlfn.XLOOKUP(frasest[[#This Row],[autor_es]],autorest[autor_es],autorest[autor_la])</f>
        <v>Ioannes Duns Scotus</v>
      </c>
      <c r="H1414" t="str">
        <f>_xlfn.XLOOKUP(frasest[[#This Row],[autor_es]],autorest[autor_es],autorest[bio_es])</f>
        <v>Teólogo franciscano escocés Doctor Sutil conocido por su defensa de la Inmaculada Concepción su voluntarismo y su oposición intelectual a Santo Tomás de Aquino siendo fundamental para la filosofía católica sobre la libertad y la voluntad</v>
      </c>
      <c r="I1414" t="str">
        <f>_xlfn.XLOOKUP(frasest[[#This Row],[autor_es]],autorest[autor_es],autorest[bio_la])</f>
        <v>Theologus Franciscanus Scoticus Doctor Subtilis notus pro defensione Immaculatae Conceptionis voluntarismo et oppositione intellectuali ad Thomam Aquinatem fundamentalis pro philosophia catholica de libertate et voluntate</v>
      </c>
      <c r="J1414" t="str">
        <f>_xlfn.XLOOKUP(frasest[[#This Row],[autor_es]],autorest[autor_es],autorest[codigo])</f>
        <v>la</v>
      </c>
      <c r="K1414" t="str">
        <f>_xlfn.XLOOKUP(frasest[[#This Row],[autor_es]],autorest[autor_es],autorest[idioma_es])</f>
        <v>Latín</v>
      </c>
      <c r="L1414" t="str">
        <f>_xlfn.XLOOKUP(frasest[[#This Row],[autor_es]],autorest[autor_es],autorest[idioma_la])</f>
        <v>Lingua Latina</v>
      </c>
      <c r="M1414" t="str">
        <f>_xlfn.XLOOKUP(frasest[[#This Row],[autor_es]],autorest[autor_es],autorest[nacion_es])</f>
        <v>Reino Unido</v>
      </c>
      <c r="N1414" t="str">
        <f>_xlfn.XLOOKUP(frasest[[#This Row],[autor_es]],autorest[autor_es],autorest[nacion_la])</f>
        <v>Regnum Unitum</v>
      </c>
      <c r="O1414" t="str">
        <f>_xlfn.XLOOKUP(frasest[[#This Row],[autor_es]],autorest[autor_es],autorest[epoca_es])</f>
        <v>Edad Media</v>
      </c>
      <c r="P1414" t="str">
        <f>_xlfn.XLOOKUP(frasest[[#This Row],[autor_es]],autorest[autor_es],autorest[epoca_la])</f>
        <v>Medium Aevum</v>
      </c>
      <c r="Q1414" t="str">
        <f>_xlfn.XLOOKUP(frasest[[#This Row],[autor_es]],autorest[autor_es],autorest[imagen])</f>
        <v>https://i.ibb.co/KkCQxPT/juanduns.png</v>
      </c>
      <c r="R1414">
        <f>_xlfn.XLOOKUP(frasest[[#This Row],[autor_es]],autorest[autor_es],autorest[imagen_atr])</f>
        <v>0</v>
      </c>
    </row>
    <row r="1415" spans="1:18">
      <c r="A1415">
        <v>1414</v>
      </c>
      <c r="B1415" t="s">
        <v>4394</v>
      </c>
      <c r="C1415" t="s">
        <v>4395</v>
      </c>
      <c r="D1415" t="s">
        <v>4396</v>
      </c>
      <c r="E1415" t="s">
        <v>4377</v>
      </c>
      <c r="F1415" t="s">
        <v>4378</v>
      </c>
      <c r="G1415" t="str">
        <f>_xlfn.XLOOKUP(frasest[[#This Row],[autor_es]],autorest[autor_es],autorest[autor_la])</f>
        <v>Ioannes Duns Scotus</v>
      </c>
      <c r="H1415" t="str">
        <f>_xlfn.XLOOKUP(frasest[[#This Row],[autor_es]],autorest[autor_es],autorest[bio_es])</f>
        <v>Teólogo franciscano escocés Doctor Sutil conocido por su defensa de la Inmaculada Concepción su voluntarismo y su oposición intelectual a Santo Tomás de Aquino siendo fundamental para la filosofía católica sobre la libertad y la voluntad</v>
      </c>
      <c r="I1415" t="str">
        <f>_xlfn.XLOOKUP(frasest[[#This Row],[autor_es]],autorest[autor_es],autorest[bio_la])</f>
        <v>Theologus Franciscanus Scoticus Doctor Subtilis notus pro defensione Immaculatae Conceptionis voluntarismo et oppositione intellectuali ad Thomam Aquinatem fundamentalis pro philosophia catholica de libertate et voluntate</v>
      </c>
      <c r="J1415" t="str">
        <f>_xlfn.XLOOKUP(frasest[[#This Row],[autor_es]],autorest[autor_es],autorest[codigo])</f>
        <v>la</v>
      </c>
      <c r="K1415" t="str">
        <f>_xlfn.XLOOKUP(frasest[[#This Row],[autor_es]],autorest[autor_es],autorest[idioma_es])</f>
        <v>Latín</v>
      </c>
      <c r="L1415" t="str">
        <f>_xlfn.XLOOKUP(frasest[[#This Row],[autor_es]],autorest[autor_es],autorest[idioma_la])</f>
        <v>Lingua Latina</v>
      </c>
      <c r="M1415" t="str">
        <f>_xlfn.XLOOKUP(frasest[[#This Row],[autor_es]],autorest[autor_es],autorest[nacion_es])</f>
        <v>Reino Unido</v>
      </c>
      <c r="N1415" t="str">
        <f>_xlfn.XLOOKUP(frasest[[#This Row],[autor_es]],autorest[autor_es],autorest[nacion_la])</f>
        <v>Regnum Unitum</v>
      </c>
      <c r="O1415" t="str">
        <f>_xlfn.XLOOKUP(frasest[[#This Row],[autor_es]],autorest[autor_es],autorest[epoca_es])</f>
        <v>Edad Media</v>
      </c>
      <c r="P1415" t="str">
        <f>_xlfn.XLOOKUP(frasest[[#This Row],[autor_es]],autorest[autor_es],autorest[epoca_la])</f>
        <v>Medium Aevum</v>
      </c>
      <c r="Q1415" t="str">
        <f>_xlfn.XLOOKUP(frasest[[#This Row],[autor_es]],autorest[autor_es],autorest[imagen])</f>
        <v>https://i.ibb.co/KkCQxPT/juanduns.png</v>
      </c>
      <c r="R1415">
        <f>_xlfn.XLOOKUP(frasest[[#This Row],[autor_es]],autorest[autor_es],autorest[imagen_atr])</f>
        <v>0</v>
      </c>
    </row>
    <row r="1416" spans="1:18">
      <c r="A1416">
        <v>1415</v>
      </c>
      <c r="B1416" t="s">
        <v>4397</v>
      </c>
      <c r="C1416" t="s">
        <v>4398</v>
      </c>
      <c r="D1416" t="s">
        <v>4399</v>
      </c>
      <c r="E1416" t="s">
        <v>4377</v>
      </c>
      <c r="F1416" t="s">
        <v>4378</v>
      </c>
      <c r="G1416" t="str">
        <f>_xlfn.XLOOKUP(frasest[[#This Row],[autor_es]],autorest[autor_es],autorest[autor_la])</f>
        <v>Ioannes Duns Scotus</v>
      </c>
      <c r="H1416" t="str">
        <f>_xlfn.XLOOKUP(frasest[[#This Row],[autor_es]],autorest[autor_es],autorest[bio_es])</f>
        <v>Teólogo franciscano escocés Doctor Sutil conocido por su defensa de la Inmaculada Concepción su voluntarismo y su oposición intelectual a Santo Tomás de Aquino siendo fundamental para la filosofía católica sobre la libertad y la voluntad</v>
      </c>
      <c r="I1416" t="str">
        <f>_xlfn.XLOOKUP(frasest[[#This Row],[autor_es]],autorest[autor_es],autorest[bio_la])</f>
        <v>Theologus Franciscanus Scoticus Doctor Subtilis notus pro defensione Immaculatae Conceptionis voluntarismo et oppositione intellectuali ad Thomam Aquinatem fundamentalis pro philosophia catholica de libertate et voluntate</v>
      </c>
      <c r="J1416" t="str">
        <f>_xlfn.XLOOKUP(frasest[[#This Row],[autor_es]],autorest[autor_es],autorest[codigo])</f>
        <v>la</v>
      </c>
      <c r="K1416" t="str">
        <f>_xlfn.XLOOKUP(frasest[[#This Row],[autor_es]],autorest[autor_es],autorest[idioma_es])</f>
        <v>Latín</v>
      </c>
      <c r="L1416" t="str">
        <f>_xlfn.XLOOKUP(frasest[[#This Row],[autor_es]],autorest[autor_es],autorest[idioma_la])</f>
        <v>Lingua Latina</v>
      </c>
      <c r="M1416" t="str">
        <f>_xlfn.XLOOKUP(frasest[[#This Row],[autor_es]],autorest[autor_es],autorest[nacion_es])</f>
        <v>Reino Unido</v>
      </c>
      <c r="N1416" t="str">
        <f>_xlfn.XLOOKUP(frasest[[#This Row],[autor_es]],autorest[autor_es],autorest[nacion_la])</f>
        <v>Regnum Unitum</v>
      </c>
      <c r="O1416" t="str">
        <f>_xlfn.XLOOKUP(frasest[[#This Row],[autor_es]],autorest[autor_es],autorest[epoca_es])</f>
        <v>Edad Media</v>
      </c>
      <c r="P1416" t="str">
        <f>_xlfn.XLOOKUP(frasest[[#This Row],[autor_es]],autorest[autor_es],autorest[epoca_la])</f>
        <v>Medium Aevum</v>
      </c>
      <c r="Q1416" t="str">
        <f>_xlfn.XLOOKUP(frasest[[#This Row],[autor_es]],autorest[autor_es],autorest[imagen])</f>
        <v>https://i.ibb.co/KkCQxPT/juanduns.png</v>
      </c>
      <c r="R1416">
        <f>_xlfn.XLOOKUP(frasest[[#This Row],[autor_es]],autorest[autor_es],autorest[imagen_atr])</f>
        <v>0</v>
      </c>
    </row>
    <row r="1417" spans="1:18">
      <c r="A1417">
        <v>1416</v>
      </c>
      <c r="B1417" t="s">
        <v>4400</v>
      </c>
      <c r="C1417" t="s">
        <v>4401</v>
      </c>
      <c r="D1417" t="s">
        <v>4402</v>
      </c>
      <c r="E1417" t="s">
        <v>4377</v>
      </c>
      <c r="F1417" t="s">
        <v>4378</v>
      </c>
      <c r="G1417" t="str">
        <f>_xlfn.XLOOKUP(frasest[[#This Row],[autor_es]],autorest[autor_es],autorest[autor_la])</f>
        <v>Ioannes Duns Scotus</v>
      </c>
      <c r="H1417" t="str">
        <f>_xlfn.XLOOKUP(frasest[[#This Row],[autor_es]],autorest[autor_es],autorest[bio_es])</f>
        <v>Teólogo franciscano escocés Doctor Sutil conocido por su defensa de la Inmaculada Concepción su voluntarismo y su oposición intelectual a Santo Tomás de Aquino siendo fundamental para la filosofía católica sobre la libertad y la voluntad</v>
      </c>
      <c r="I1417" t="str">
        <f>_xlfn.XLOOKUP(frasest[[#This Row],[autor_es]],autorest[autor_es],autorest[bio_la])</f>
        <v>Theologus Franciscanus Scoticus Doctor Subtilis notus pro defensione Immaculatae Conceptionis voluntarismo et oppositione intellectuali ad Thomam Aquinatem fundamentalis pro philosophia catholica de libertate et voluntate</v>
      </c>
      <c r="J1417" t="str">
        <f>_xlfn.XLOOKUP(frasest[[#This Row],[autor_es]],autorest[autor_es],autorest[codigo])</f>
        <v>la</v>
      </c>
      <c r="K1417" t="str">
        <f>_xlfn.XLOOKUP(frasest[[#This Row],[autor_es]],autorest[autor_es],autorest[idioma_es])</f>
        <v>Latín</v>
      </c>
      <c r="L1417" t="str">
        <f>_xlfn.XLOOKUP(frasest[[#This Row],[autor_es]],autorest[autor_es],autorest[idioma_la])</f>
        <v>Lingua Latina</v>
      </c>
      <c r="M1417" t="str">
        <f>_xlfn.XLOOKUP(frasest[[#This Row],[autor_es]],autorest[autor_es],autorest[nacion_es])</f>
        <v>Reino Unido</v>
      </c>
      <c r="N1417" t="str">
        <f>_xlfn.XLOOKUP(frasest[[#This Row],[autor_es]],autorest[autor_es],autorest[nacion_la])</f>
        <v>Regnum Unitum</v>
      </c>
      <c r="O1417" t="str">
        <f>_xlfn.XLOOKUP(frasest[[#This Row],[autor_es]],autorest[autor_es],autorest[epoca_es])</f>
        <v>Edad Media</v>
      </c>
      <c r="P1417" t="str">
        <f>_xlfn.XLOOKUP(frasest[[#This Row],[autor_es]],autorest[autor_es],autorest[epoca_la])</f>
        <v>Medium Aevum</v>
      </c>
      <c r="Q1417" t="str">
        <f>_xlfn.XLOOKUP(frasest[[#This Row],[autor_es]],autorest[autor_es],autorest[imagen])</f>
        <v>https://i.ibb.co/KkCQxPT/juanduns.png</v>
      </c>
      <c r="R1417">
        <f>_xlfn.XLOOKUP(frasest[[#This Row],[autor_es]],autorest[autor_es],autorest[imagen_atr])</f>
        <v>0</v>
      </c>
    </row>
    <row r="1418" spans="1:18">
      <c r="A1418">
        <v>1417</v>
      </c>
      <c r="B1418" t="s">
        <v>4403</v>
      </c>
      <c r="C1418" t="s">
        <v>4404</v>
      </c>
      <c r="D1418" t="s">
        <v>4405</v>
      </c>
      <c r="E1418" t="s">
        <v>4377</v>
      </c>
      <c r="F1418" t="s">
        <v>4378</v>
      </c>
      <c r="G1418" t="str">
        <f>_xlfn.XLOOKUP(frasest[[#This Row],[autor_es]],autorest[autor_es],autorest[autor_la])</f>
        <v>Ioannes Duns Scotus</v>
      </c>
      <c r="H1418" t="str">
        <f>_xlfn.XLOOKUP(frasest[[#This Row],[autor_es]],autorest[autor_es],autorest[bio_es])</f>
        <v>Teólogo franciscano escocés Doctor Sutil conocido por su defensa de la Inmaculada Concepción su voluntarismo y su oposición intelectual a Santo Tomás de Aquino siendo fundamental para la filosofía católica sobre la libertad y la voluntad</v>
      </c>
      <c r="I1418" t="str">
        <f>_xlfn.XLOOKUP(frasest[[#This Row],[autor_es]],autorest[autor_es],autorest[bio_la])</f>
        <v>Theologus Franciscanus Scoticus Doctor Subtilis notus pro defensione Immaculatae Conceptionis voluntarismo et oppositione intellectuali ad Thomam Aquinatem fundamentalis pro philosophia catholica de libertate et voluntate</v>
      </c>
      <c r="J1418" t="str">
        <f>_xlfn.XLOOKUP(frasest[[#This Row],[autor_es]],autorest[autor_es],autorest[codigo])</f>
        <v>la</v>
      </c>
      <c r="K1418" t="str">
        <f>_xlfn.XLOOKUP(frasest[[#This Row],[autor_es]],autorest[autor_es],autorest[idioma_es])</f>
        <v>Latín</v>
      </c>
      <c r="L1418" t="str">
        <f>_xlfn.XLOOKUP(frasest[[#This Row],[autor_es]],autorest[autor_es],autorest[idioma_la])</f>
        <v>Lingua Latina</v>
      </c>
      <c r="M1418" t="str">
        <f>_xlfn.XLOOKUP(frasest[[#This Row],[autor_es]],autorest[autor_es],autorest[nacion_es])</f>
        <v>Reino Unido</v>
      </c>
      <c r="N1418" t="str">
        <f>_xlfn.XLOOKUP(frasest[[#This Row],[autor_es]],autorest[autor_es],autorest[nacion_la])</f>
        <v>Regnum Unitum</v>
      </c>
      <c r="O1418" t="str">
        <f>_xlfn.XLOOKUP(frasest[[#This Row],[autor_es]],autorest[autor_es],autorest[epoca_es])</f>
        <v>Edad Media</v>
      </c>
      <c r="P1418" t="str">
        <f>_xlfn.XLOOKUP(frasest[[#This Row],[autor_es]],autorest[autor_es],autorest[epoca_la])</f>
        <v>Medium Aevum</v>
      </c>
      <c r="Q1418" t="str">
        <f>_xlfn.XLOOKUP(frasest[[#This Row],[autor_es]],autorest[autor_es],autorest[imagen])</f>
        <v>https://i.ibb.co/KkCQxPT/juanduns.png</v>
      </c>
      <c r="R1418">
        <f>_xlfn.XLOOKUP(frasest[[#This Row],[autor_es]],autorest[autor_es],autorest[imagen_atr])</f>
        <v>0</v>
      </c>
    </row>
    <row r="1419" spans="1:18">
      <c r="A1419">
        <v>1418</v>
      </c>
      <c r="B1419" t="s">
        <v>4406</v>
      </c>
      <c r="C1419" t="s">
        <v>4407</v>
      </c>
      <c r="D1419" t="s">
        <v>4408</v>
      </c>
      <c r="E1419" t="s">
        <v>4377</v>
      </c>
      <c r="F1419" t="s">
        <v>4378</v>
      </c>
      <c r="G1419" t="str">
        <f>_xlfn.XLOOKUP(frasest[[#This Row],[autor_es]],autorest[autor_es],autorest[autor_la])</f>
        <v>Ioannes Duns Scotus</v>
      </c>
      <c r="H1419" t="str">
        <f>_xlfn.XLOOKUP(frasest[[#This Row],[autor_es]],autorest[autor_es],autorest[bio_es])</f>
        <v>Teólogo franciscano escocés Doctor Sutil conocido por su defensa de la Inmaculada Concepción su voluntarismo y su oposición intelectual a Santo Tomás de Aquino siendo fundamental para la filosofía católica sobre la libertad y la voluntad</v>
      </c>
      <c r="I1419" t="str">
        <f>_xlfn.XLOOKUP(frasest[[#This Row],[autor_es]],autorest[autor_es],autorest[bio_la])</f>
        <v>Theologus Franciscanus Scoticus Doctor Subtilis notus pro defensione Immaculatae Conceptionis voluntarismo et oppositione intellectuali ad Thomam Aquinatem fundamentalis pro philosophia catholica de libertate et voluntate</v>
      </c>
      <c r="J1419" t="str">
        <f>_xlfn.XLOOKUP(frasest[[#This Row],[autor_es]],autorest[autor_es],autorest[codigo])</f>
        <v>la</v>
      </c>
      <c r="K1419" t="str">
        <f>_xlfn.XLOOKUP(frasest[[#This Row],[autor_es]],autorest[autor_es],autorest[idioma_es])</f>
        <v>Latín</v>
      </c>
      <c r="L1419" t="str">
        <f>_xlfn.XLOOKUP(frasest[[#This Row],[autor_es]],autorest[autor_es],autorest[idioma_la])</f>
        <v>Lingua Latina</v>
      </c>
      <c r="M1419" t="str">
        <f>_xlfn.XLOOKUP(frasest[[#This Row],[autor_es]],autorest[autor_es],autorest[nacion_es])</f>
        <v>Reino Unido</v>
      </c>
      <c r="N1419" t="str">
        <f>_xlfn.XLOOKUP(frasest[[#This Row],[autor_es]],autorest[autor_es],autorest[nacion_la])</f>
        <v>Regnum Unitum</v>
      </c>
      <c r="O1419" t="str">
        <f>_xlfn.XLOOKUP(frasest[[#This Row],[autor_es]],autorest[autor_es],autorest[epoca_es])</f>
        <v>Edad Media</v>
      </c>
      <c r="P1419" t="str">
        <f>_xlfn.XLOOKUP(frasest[[#This Row],[autor_es]],autorest[autor_es],autorest[epoca_la])</f>
        <v>Medium Aevum</v>
      </c>
      <c r="Q1419" t="str">
        <f>_xlfn.XLOOKUP(frasest[[#This Row],[autor_es]],autorest[autor_es],autorest[imagen])</f>
        <v>https://i.ibb.co/KkCQxPT/juanduns.png</v>
      </c>
      <c r="R1419">
        <f>_xlfn.XLOOKUP(frasest[[#This Row],[autor_es]],autorest[autor_es],autorest[imagen_atr])</f>
        <v>0</v>
      </c>
    </row>
    <row r="1420" spans="1:18">
      <c r="A1420">
        <v>1419</v>
      </c>
      <c r="B1420" t="s">
        <v>4409</v>
      </c>
      <c r="C1420" t="s">
        <v>4410</v>
      </c>
      <c r="D1420" t="s">
        <v>4411</v>
      </c>
      <c r="E1420" t="s">
        <v>4377</v>
      </c>
      <c r="F1420" t="s">
        <v>4378</v>
      </c>
      <c r="G1420" t="str">
        <f>_xlfn.XLOOKUP(frasest[[#This Row],[autor_es]],autorest[autor_es],autorest[autor_la])</f>
        <v>Ioannes Duns Scotus</v>
      </c>
      <c r="H1420" t="str">
        <f>_xlfn.XLOOKUP(frasest[[#This Row],[autor_es]],autorest[autor_es],autorest[bio_es])</f>
        <v>Teólogo franciscano escocés Doctor Sutil conocido por su defensa de la Inmaculada Concepción su voluntarismo y su oposición intelectual a Santo Tomás de Aquino siendo fundamental para la filosofía católica sobre la libertad y la voluntad</v>
      </c>
      <c r="I1420" t="str">
        <f>_xlfn.XLOOKUP(frasest[[#This Row],[autor_es]],autorest[autor_es],autorest[bio_la])</f>
        <v>Theologus Franciscanus Scoticus Doctor Subtilis notus pro defensione Immaculatae Conceptionis voluntarismo et oppositione intellectuali ad Thomam Aquinatem fundamentalis pro philosophia catholica de libertate et voluntate</v>
      </c>
      <c r="J1420" t="str">
        <f>_xlfn.XLOOKUP(frasest[[#This Row],[autor_es]],autorest[autor_es],autorest[codigo])</f>
        <v>la</v>
      </c>
      <c r="K1420" t="str">
        <f>_xlfn.XLOOKUP(frasest[[#This Row],[autor_es]],autorest[autor_es],autorest[idioma_es])</f>
        <v>Latín</v>
      </c>
      <c r="L1420" t="str">
        <f>_xlfn.XLOOKUP(frasest[[#This Row],[autor_es]],autorest[autor_es],autorest[idioma_la])</f>
        <v>Lingua Latina</v>
      </c>
      <c r="M1420" t="str">
        <f>_xlfn.XLOOKUP(frasest[[#This Row],[autor_es]],autorest[autor_es],autorest[nacion_es])</f>
        <v>Reino Unido</v>
      </c>
      <c r="N1420" t="str">
        <f>_xlfn.XLOOKUP(frasest[[#This Row],[autor_es]],autorest[autor_es],autorest[nacion_la])</f>
        <v>Regnum Unitum</v>
      </c>
      <c r="O1420" t="str">
        <f>_xlfn.XLOOKUP(frasest[[#This Row],[autor_es]],autorest[autor_es],autorest[epoca_es])</f>
        <v>Edad Media</v>
      </c>
      <c r="P1420" t="str">
        <f>_xlfn.XLOOKUP(frasest[[#This Row],[autor_es]],autorest[autor_es],autorest[epoca_la])</f>
        <v>Medium Aevum</v>
      </c>
      <c r="Q1420" t="str">
        <f>_xlfn.XLOOKUP(frasest[[#This Row],[autor_es]],autorest[autor_es],autorest[imagen])</f>
        <v>https://i.ibb.co/KkCQxPT/juanduns.png</v>
      </c>
      <c r="R1420">
        <f>_xlfn.XLOOKUP(frasest[[#This Row],[autor_es]],autorest[autor_es],autorest[imagen_atr])</f>
        <v>0</v>
      </c>
    </row>
    <row r="1421" spans="1:18">
      <c r="A1421">
        <v>1420</v>
      </c>
      <c r="B1421" t="s">
        <v>4412</v>
      </c>
      <c r="C1421" t="s">
        <v>4413</v>
      </c>
      <c r="D1421" t="s">
        <v>4414</v>
      </c>
      <c r="E1421" t="s">
        <v>4377</v>
      </c>
      <c r="F1421" t="s">
        <v>4378</v>
      </c>
      <c r="G1421" t="str">
        <f>_xlfn.XLOOKUP(frasest[[#This Row],[autor_es]],autorest[autor_es],autorest[autor_la])</f>
        <v>Ioannes Duns Scotus</v>
      </c>
      <c r="H1421" t="str">
        <f>_xlfn.XLOOKUP(frasest[[#This Row],[autor_es]],autorest[autor_es],autorest[bio_es])</f>
        <v>Teólogo franciscano escocés Doctor Sutil conocido por su defensa de la Inmaculada Concepción su voluntarismo y su oposición intelectual a Santo Tomás de Aquino siendo fundamental para la filosofía católica sobre la libertad y la voluntad</v>
      </c>
      <c r="I1421" t="str">
        <f>_xlfn.XLOOKUP(frasest[[#This Row],[autor_es]],autorest[autor_es],autorest[bio_la])</f>
        <v>Theologus Franciscanus Scoticus Doctor Subtilis notus pro defensione Immaculatae Conceptionis voluntarismo et oppositione intellectuali ad Thomam Aquinatem fundamentalis pro philosophia catholica de libertate et voluntate</v>
      </c>
      <c r="J1421" t="str">
        <f>_xlfn.XLOOKUP(frasest[[#This Row],[autor_es]],autorest[autor_es],autorest[codigo])</f>
        <v>la</v>
      </c>
      <c r="K1421" t="str">
        <f>_xlfn.XLOOKUP(frasest[[#This Row],[autor_es]],autorest[autor_es],autorest[idioma_es])</f>
        <v>Latín</v>
      </c>
      <c r="L1421" t="str">
        <f>_xlfn.XLOOKUP(frasest[[#This Row],[autor_es]],autorest[autor_es],autorest[idioma_la])</f>
        <v>Lingua Latina</v>
      </c>
      <c r="M1421" t="str">
        <f>_xlfn.XLOOKUP(frasest[[#This Row],[autor_es]],autorest[autor_es],autorest[nacion_es])</f>
        <v>Reino Unido</v>
      </c>
      <c r="N1421" t="str">
        <f>_xlfn.XLOOKUP(frasest[[#This Row],[autor_es]],autorest[autor_es],autorest[nacion_la])</f>
        <v>Regnum Unitum</v>
      </c>
      <c r="O1421" t="str">
        <f>_xlfn.XLOOKUP(frasest[[#This Row],[autor_es]],autorest[autor_es],autorest[epoca_es])</f>
        <v>Edad Media</v>
      </c>
      <c r="P1421" t="str">
        <f>_xlfn.XLOOKUP(frasest[[#This Row],[autor_es]],autorest[autor_es],autorest[epoca_la])</f>
        <v>Medium Aevum</v>
      </c>
      <c r="Q1421" t="str">
        <f>_xlfn.XLOOKUP(frasest[[#This Row],[autor_es]],autorest[autor_es],autorest[imagen])</f>
        <v>https://i.ibb.co/KkCQxPT/juanduns.png</v>
      </c>
      <c r="R1421">
        <f>_xlfn.XLOOKUP(frasest[[#This Row],[autor_es]],autorest[autor_es],autorest[imagen_atr])</f>
        <v>0</v>
      </c>
    </row>
    <row r="1422" spans="1:18">
      <c r="A1422">
        <v>1421</v>
      </c>
      <c r="B1422" t="s">
        <v>4415</v>
      </c>
      <c r="C1422" t="s">
        <v>4416</v>
      </c>
      <c r="D1422" t="s">
        <v>4416</v>
      </c>
      <c r="E1422" t="s">
        <v>4417</v>
      </c>
      <c r="F1422" t="s">
        <v>4418</v>
      </c>
      <c r="G1422" t="str">
        <f>_xlfn.XLOOKUP(frasest[[#This Row],[autor_es]],autorest[autor_es],autorest[autor_la])</f>
        <v>Hildegardis Bingensis</v>
      </c>
      <c r="H1422" t="str">
        <f>_xlfn.XLOOKUP(frasest[[#This Row],[autor_es]],autorest[autor_es],autorest[bio_es])</f>
        <v>Abadesa benedictina alemana mística visionaria compositora escritora médica y naturalista conocida como la Sibila del Rin que escribió sobre teología medicina botánica y la conexión espiritual entre el hombre y el cosmos</v>
      </c>
      <c r="I1422" t="str">
        <f>_xlfn.XLOOKUP(frasest[[#This Row],[autor_es]],autorest[autor_es],autorest[bio_la])</f>
        <v>Abbatissa Benedictina Germanica mystica visionaria compositrix scriptrix medica et naturalista cognita ut Sibylla Rheni quae de theologia medicina botanica et connexione spirituali inter hominem et cosmum scripsit</v>
      </c>
      <c r="J1422" t="str">
        <f>_xlfn.XLOOKUP(frasest[[#This Row],[autor_es]],autorest[autor_es],autorest[codigo])</f>
        <v>la</v>
      </c>
      <c r="K1422" t="str">
        <f>_xlfn.XLOOKUP(frasest[[#This Row],[autor_es]],autorest[autor_es],autorest[idioma_es])</f>
        <v>Latín</v>
      </c>
      <c r="L1422" t="str">
        <f>_xlfn.XLOOKUP(frasest[[#This Row],[autor_es]],autorest[autor_es],autorest[idioma_la])</f>
        <v>Lingua Latina</v>
      </c>
      <c r="M1422" t="str">
        <f>_xlfn.XLOOKUP(frasest[[#This Row],[autor_es]],autorest[autor_es],autorest[nacion_es])</f>
        <v>Alemania</v>
      </c>
      <c r="N1422" t="str">
        <f>_xlfn.XLOOKUP(frasest[[#This Row],[autor_es]],autorest[autor_es],autorest[nacion_la])</f>
        <v>Germania</v>
      </c>
      <c r="O1422" t="str">
        <f>_xlfn.XLOOKUP(frasest[[#This Row],[autor_es]],autorest[autor_es],autorest[epoca_es])</f>
        <v>Edad Media</v>
      </c>
      <c r="P1422" t="str">
        <f>_xlfn.XLOOKUP(frasest[[#This Row],[autor_es]],autorest[autor_es],autorest[epoca_la])</f>
        <v>Medium Aevum</v>
      </c>
      <c r="Q1422" t="str">
        <f>_xlfn.XLOOKUP(frasest[[#This Row],[autor_es]],autorest[autor_es],autorest[imagen])</f>
        <v>https://i.ibb.co/6RxfDv6N/hildegarda.png</v>
      </c>
      <c r="R1422">
        <f>_xlfn.XLOOKUP(frasest[[#This Row],[autor_es]],autorest[autor_es],autorest[imagen_atr])</f>
        <v>0</v>
      </c>
    </row>
    <row r="1423" spans="1:18">
      <c r="A1423">
        <v>1422</v>
      </c>
      <c r="B1423" t="s">
        <v>4419</v>
      </c>
      <c r="C1423" t="s">
        <v>4420</v>
      </c>
      <c r="D1423" t="s">
        <v>4420</v>
      </c>
      <c r="E1423" t="s">
        <v>4417</v>
      </c>
      <c r="F1423" t="s">
        <v>4418</v>
      </c>
      <c r="G1423" t="str">
        <f>_xlfn.XLOOKUP(frasest[[#This Row],[autor_es]],autorest[autor_es],autorest[autor_la])</f>
        <v>Hildegardis Bingensis</v>
      </c>
      <c r="H1423" t="str">
        <f>_xlfn.XLOOKUP(frasest[[#This Row],[autor_es]],autorest[autor_es],autorest[bio_es])</f>
        <v>Abadesa benedictina alemana mística visionaria compositora escritora médica y naturalista conocida como la Sibila del Rin que escribió sobre teología medicina botánica y la conexión espiritual entre el hombre y el cosmos</v>
      </c>
      <c r="I1423" t="str">
        <f>_xlfn.XLOOKUP(frasest[[#This Row],[autor_es]],autorest[autor_es],autorest[bio_la])</f>
        <v>Abbatissa Benedictina Germanica mystica visionaria compositrix scriptrix medica et naturalista cognita ut Sibylla Rheni quae de theologia medicina botanica et connexione spirituali inter hominem et cosmum scripsit</v>
      </c>
      <c r="J1423" t="str">
        <f>_xlfn.XLOOKUP(frasest[[#This Row],[autor_es]],autorest[autor_es],autorest[codigo])</f>
        <v>la</v>
      </c>
      <c r="K1423" t="str">
        <f>_xlfn.XLOOKUP(frasest[[#This Row],[autor_es]],autorest[autor_es],autorest[idioma_es])</f>
        <v>Latín</v>
      </c>
      <c r="L1423" t="str">
        <f>_xlfn.XLOOKUP(frasest[[#This Row],[autor_es]],autorest[autor_es],autorest[idioma_la])</f>
        <v>Lingua Latina</v>
      </c>
      <c r="M1423" t="str">
        <f>_xlfn.XLOOKUP(frasest[[#This Row],[autor_es]],autorest[autor_es],autorest[nacion_es])</f>
        <v>Alemania</v>
      </c>
      <c r="N1423" t="str">
        <f>_xlfn.XLOOKUP(frasest[[#This Row],[autor_es]],autorest[autor_es],autorest[nacion_la])</f>
        <v>Germania</v>
      </c>
      <c r="O1423" t="str">
        <f>_xlfn.XLOOKUP(frasest[[#This Row],[autor_es]],autorest[autor_es],autorest[epoca_es])</f>
        <v>Edad Media</v>
      </c>
      <c r="P1423" t="str">
        <f>_xlfn.XLOOKUP(frasest[[#This Row],[autor_es]],autorest[autor_es],autorest[epoca_la])</f>
        <v>Medium Aevum</v>
      </c>
      <c r="Q1423" t="str">
        <f>_xlfn.XLOOKUP(frasest[[#This Row],[autor_es]],autorest[autor_es],autorest[imagen])</f>
        <v>https://i.ibb.co/6RxfDv6N/hildegarda.png</v>
      </c>
      <c r="R1423">
        <f>_xlfn.XLOOKUP(frasest[[#This Row],[autor_es]],autorest[autor_es],autorest[imagen_atr])</f>
        <v>0</v>
      </c>
    </row>
    <row r="1424" spans="1:18">
      <c r="A1424">
        <v>1423</v>
      </c>
      <c r="B1424" t="s">
        <v>4421</v>
      </c>
      <c r="C1424" t="s">
        <v>4422</v>
      </c>
      <c r="D1424" t="s">
        <v>4422</v>
      </c>
      <c r="E1424" t="s">
        <v>4417</v>
      </c>
      <c r="F1424" t="s">
        <v>4418</v>
      </c>
      <c r="G1424" t="str">
        <f>_xlfn.XLOOKUP(frasest[[#This Row],[autor_es]],autorest[autor_es],autorest[autor_la])</f>
        <v>Hildegardis Bingensis</v>
      </c>
      <c r="H1424" t="str">
        <f>_xlfn.XLOOKUP(frasest[[#This Row],[autor_es]],autorest[autor_es],autorest[bio_es])</f>
        <v>Abadesa benedictina alemana mística visionaria compositora escritora médica y naturalista conocida como la Sibila del Rin que escribió sobre teología medicina botánica y la conexión espiritual entre el hombre y el cosmos</v>
      </c>
      <c r="I1424" t="str">
        <f>_xlfn.XLOOKUP(frasest[[#This Row],[autor_es]],autorest[autor_es],autorest[bio_la])</f>
        <v>Abbatissa Benedictina Germanica mystica visionaria compositrix scriptrix medica et naturalista cognita ut Sibylla Rheni quae de theologia medicina botanica et connexione spirituali inter hominem et cosmum scripsit</v>
      </c>
      <c r="J1424" t="str">
        <f>_xlfn.XLOOKUP(frasest[[#This Row],[autor_es]],autorest[autor_es],autorest[codigo])</f>
        <v>la</v>
      </c>
      <c r="K1424" t="str">
        <f>_xlfn.XLOOKUP(frasest[[#This Row],[autor_es]],autorest[autor_es],autorest[idioma_es])</f>
        <v>Latín</v>
      </c>
      <c r="L1424" t="str">
        <f>_xlfn.XLOOKUP(frasest[[#This Row],[autor_es]],autorest[autor_es],autorest[idioma_la])</f>
        <v>Lingua Latina</v>
      </c>
      <c r="M1424" t="str">
        <f>_xlfn.XLOOKUP(frasest[[#This Row],[autor_es]],autorest[autor_es],autorest[nacion_es])</f>
        <v>Alemania</v>
      </c>
      <c r="N1424" t="str">
        <f>_xlfn.XLOOKUP(frasest[[#This Row],[autor_es]],autorest[autor_es],autorest[nacion_la])</f>
        <v>Germania</v>
      </c>
      <c r="O1424" t="str">
        <f>_xlfn.XLOOKUP(frasest[[#This Row],[autor_es]],autorest[autor_es],autorest[epoca_es])</f>
        <v>Edad Media</v>
      </c>
      <c r="P1424" t="str">
        <f>_xlfn.XLOOKUP(frasest[[#This Row],[autor_es]],autorest[autor_es],autorest[epoca_la])</f>
        <v>Medium Aevum</v>
      </c>
      <c r="Q1424" t="str">
        <f>_xlfn.XLOOKUP(frasest[[#This Row],[autor_es]],autorest[autor_es],autorest[imagen])</f>
        <v>https://i.ibb.co/6RxfDv6N/hildegarda.png</v>
      </c>
      <c r="R1424">
        <f>_xlfn.XLOOKUP(frasest[[#This Row],[autor_es]],autorest[autor_es],autorest[imagen_atr])</f>
        <v>0</v>
      </c>
    </row>
    <row r="1425" spans="1:18">
      <c r="A1425">
        <v>1424</v>
      </c>
      <c r="B1425" t="s">
        <v>4423</v>
      </c>
      <c r="C1425" t="s">
        <v>4424</v>
      </c>
      <c r="D1425" t="s">
        <v>4424</v>
      </c>
      <c r="E1425" t="s">
        <v>4417</v>
      </c>
      <c r="F1425" t="s">
        <v>4418</v>
      </c>
      <c r="G1425" t="str">
        <f>_xlfn.XLOOKUP(frasest[[#This Row],[autor_es]],autorest[autor_es],autorest[autor_la])</f>
        <v>Hildegardis Bingensis</v>
      </c>
      <c r="H1425" t="str">
        <f>_xlfn.XLOOKUP(frasest[[#This Row],[autor_es]],autorest[autor_es],autorest[bio_es])</f>
        <v>Abadesa benedictina alemana mística visionaria compositora escritora médica y naturalista conocida como la Sibila del Rin que escribió sobre teología medicina botánica y la conexión espiritual entre el hombre y el cosmos</v>
      </c>
      <c r="I1425" t="str">
        <f>_xlfn.XLOOKUP(frasest[[#This Row],[autor_es]],autorest[autor_es],autorest[bio_la])</f>
        <v>Abbatissa Benedictina Germanica mystica visionaria compositrix scriptrix medica et naturalista cognita ut Sibylla Rheni quae de theologia medicina botanica et connexione spirituali inter hominem et cosmum scripsit</v>
      </c>
      <c r="J1425" t="str">
        <f>_xlfn.XLOOKUP(frasest[[#This Row],[autor_es]],autorest[autor_es],autorest[codigo])</f>
        <v>la</v>
      </c>
      <c r="K1425" t="str">
        <f>_xlfn.XLOOKUP(frasest[[#This Row],[autor_es]],autorest[autor_es],autorest[idioma_es])</f>
        <v>Latín</v>
      </c>
      <c r="L1425" t="str">
        <f>_xlfn.XLOOKUP(frasest[[#This Row],[autor_es]],autorest[autor_es],autorest[idioma_la])</f>
        <v>Lingua Latina</v>
      </c>
      <c r="M1425" t="str">
        <f>_xlfn.XLOOKUP(frasest[[#This Row],[autor_es]],autorest[autor_es],autorest[nacion_es])</f>
        <v>Alemania</v>
      </c>
      <c r="N1425" t="str">
        <f>_xlfn.XLOOKUP(frasest[[#This Row],[autor_es]],autorest[autor_es],autorest[nacion_la])</f>
        <v>Germania</v>
      </c>
      <c r="O1425" t="str">
        <f>_xlfn.XLOOKUP(frasest[[#This Row],[autor_es]],autorest[autor_es],autorest[epoca_es])</f>
        <v>Edad Media</v>
      </c>
      <c r="P1425" t="str">
        <f>_xlfn.XLOOKUP(frasest[[#This Row],[autor_es]],autorest[autor_es],autorest[epoca_la])</f>
        <v>Medium Aevum</v>
      </c>
      <c r="Q1425" t="str">
        <f>_xlfn.XLOOKUP(frasest[[#This Row],[autor_es]],autorest[autor_es],autorest[imagen])</f>
        <v>https://i.ibb.co/6RxfDv6N/hildegarda.png</v>
      </c>
      <c r="R1425">
        <f>_xlfn.XLOOKUP(frasest[[#This Row],[autor_es]],autorest[autor_es],autorest[imagen_atr])</f>
        <v>0</v>
      </c>
    </row>
    <row r="1426" spans="1:18">
      <c r="A1426">
        <v>1425</v>
      </c>
      <c r="B1426" t="s">
        <v>4425</v>
      </c>
      <c r="C1426" t="s">
        <v>4426</v>
      </c>
      <c r="D1426" t="s">
        <v>4426</v>
      </c>
      <c r="E1426" t="s">
        <v>4417</v>
      </c>
      <c r="F1426" t="s">
        <v>4418</v>
      </c>
      <c r="G1426" t="str">
        <f>_xlfn.XLOOKUP(frasest[[#This Row],[autor_es]],autorest[autor_es],autorest[autor_la])</f>
        <v>Hildegardis Bingensis</v>
      </c>
      <c r="H1426" t="str">
        <f>_xlfn.XLOOKUP(frasest[[#This Row],[autor_es]],autorest[autor_es],autorest[bio_es])</f>
        <v>Abadesa benedictina alemana mística visionaria compositora escritora médica y naturalista conocida como la Sibila del Rin que escribió sobre teología medicina botánica y la conexión espiritual entre el hombre y el cosmos</v>
      </c>
      <c r="I1426" t="str">
        <f>_xlfn.XLOOKUP(frasest[[#This Row],[autor_es]],autorest[autor_es],autorest[bio_la])</f>
        <v>Abbatissa Benedictina Germanica mystica visionaria compositrix scriptrix medica et naturalista cognita ut Sibylla Rheni quae de theologia medicina botanica et connexione spirituali inter hominem et cosmum scripsit</v>
      </c>
      <c r="J1426" t="str">
        <f>_xlfn.XLOOKUP(frasest[[#This Row],[autor_es]],autorest[autor_es],autorest[codigo])</f>
        <v>la</v>
      </c>
      <c r="K1426" t="str">
        <f>_xlfn.XLOOKUP(frasest[[#This Row],[autor_es]],autorest[autor_es],autorest[idioma_es])</f>
        <v>Latín</v>
      </c>
      <c r="L1426" t="str">
        <f>_xlfn.XLOOKUP(frasest[[#This Row],[autor_es]],autorest[autor_es],autorest[idioma_la])</f>
        <v>Lingua Latina</v>
      </c>
      <c r="M1426" t="str">
        <f>_xlfn.XLOOKUP(frasest[[#This Row],[autor_es]],autorest[autor_es],autorest[nacion_es])</f>
        <v>Alemania</v>
      </c>
      <c r="N1426" t="str">
        <f>_xlfn.XLOOKUP(frasest[[#This Row],[autor_es]],autorest[autor_es],autorest[nacion_la])</f>
        <v>Germania</v>
      </c>
      <c r="O1426" t="str">
        <f>_xlfn.XLOOKUP(frasest[[#This Row],[autor_es]],autorest[autor_es],autorest[epoca_es])</f>
        <v>Edad Media</v>
      </c>
      <c r="P1426" t="str">
        <f>_xlfn.XLOOKUP(frasest[[#This Row],[autor_es]],autorest[autor_es],autorest[epoca_la])</f>
        <v>Medium Aevum</v>
      </c>
      <c r="Q1426" t="str">
        <f>_xlfn.XLOOKUP(frasest[[#This Row],[autor_es]],autorest[autor_es],autorest[imagen])</f>
        <v>https://i.ibb.co/6RxfDv6N/hildegarda.png</v>
      </c>
      <c r="R1426">
        <f>_xlfn.XLOOKUP(frasest[[#This Row],[autor_es]],autorest[autor_es],autorest[imagen_atr])</f>
        <v>0</v>
      </c>
    </row>
    <row r="1427" spans="1:18">
      <c r="A1427">
        <v>1426</v>
      </c>
      <c r="B1427" t="s">
        <v>4427</v>
      </c>
      <c r="C1427" t="s">
        <v>4428</v>
      </c>
      <c r="D1427" t="s">
        <v>4428</v>
      </c>
      <c r="E1427" t="s">
        <v>4417</v>
      </c>
      <c r="F1427" t="s">
        <v>4418</v>
      </c>
      <c r="G1427" t="str">
        <f>_xlfn.XLOOKUP(frasest[[#This Row],[autor_es]],autorest[autor_es],autorest[autor_la])</f>
        <v>Hildegardis Bingensis</v>
      </c>
      <c r="H1427" t="str">
        <f>_xlfn.XLOOKUP(frasest[[#This Row],[autor_es]],autorest[autor_es],autorest[bio_es])</f>
        <v>Abadesa benedictina alemana mística visionaria compositora escritora médica y naturalista conocida como la Sibila del Rin que escribió sobre teología medicina botánica y la conexión espiritual entre el hombre y el cosmos</v>
      </c>
      <c r="I1427" t="str">
        <f>_xlfn.XLOOKUP(frasest[[#This Row],[autor_es]],autorest[autor_es],autorest[bio_la])</f>
        <v>Abbatissa Benedictina Germanica mystica visionaria compositrix scriptrix medica et naturalista cognita ut Sibylla Rheni quae de theologia medicina botanica et connexione spirituali inter hominem et cosmum scripsit</v>
      </c>
      <c r="J1427" t="str">
        <f>_xlfn.XLOOKUP(frasest[[#This Row],[autor_es]],autorest[autor_es],autorest[codigo])</f>
        <v>la</v>
      </c>
      <c r="K1427" t="str">
        <f>_xlfn.XLOOKUP(frasest[[#This Row],[autor_es]],autorest[autor_es],autorest[idioma_es])</f>
        <v>Latín</v>
      </c>
      <c r="L1427" t="str">
        <f>_xlfn.XLOOKUP(frasest[[#This Row],[autor_es]],autorest[autor_es],autorest[idioma_la])</f>
        <v>Lingua Latina</v>
      </c>
      <c r="M1427" t="str">
        <f>_xlfn.XLOOKUP(frasest[[#This Row],[autor_es]],autorest[autor_es],autorest[nacion_es])</f>
        <v>Alemania</v>
      </c>
      <c r="N1427" t="str">
        <f>_xlfn.XLOOKUP(frasest[[#This Row],[autor_es]],autorest[autor_es],autorest[nacion_la])</f>
        <v>Germania</v>
      </c>
      <c r="O1427" t="str">
        <f>_xlfn.XLOOKUP(frasest[[#This Row],[autor_es]],autorest[autor_es],autorest[epoca_es])</f>
        <v>Edad Media</v>
      </c>
      <c r="P1427" t="str">
        <f>_xlfn.XLOOKUP(frasest[[#This Row],[autor_es]],autorest[autor_es],autorest[epoca_la])</f>
        <v>Medium Aevum</v>
      </c>
      <c r="Q1427" t="str">
        <f>_xlfn.XLOOKUP(frasest[[#This Row],[autor_es]],autorest[autor_es],autorest[imagen])</f>
        <v>https://i.ibb.co/6RxfDv6N/hildegarda.png</v>
      </c>
      <c r="R1427">
        <f>_xlfn.XLOOKUP(frasest[[#This Row],[autor_es]],autorest[autor_es],autorest[imagen_atr])</f>
        <v>0</v>
      </c>
    </row>
    <row r="1428" spans="1:18">
      <c r="A1428">
        <v>1427</v>
      </c>
      <c r="B1428" t="s">
        <v>4429</v>
      </c>
      <c r="C1428" t="s">
        <v>4430</v>
      </c>
      <c r="D1428" t="s">
        <v>4430</v>
      </c>
      <c r="E1428" t="s">
        <v>4417</v>
      </c>
      <c r="F1428" t="s">
        <v>4418</v>
      </c>
      <c r="G1428" t="str">
        <f>_xlfn.XLOOKUP(frasest[[#This Row],[autor_es]],autorest[autor_es],autorest[autor_la])</f>
        <v>Hildegardis Bingensis</v>
      </c>
      <c r="H1428" t="str">
        <f>_xlfn.XLOOKUP(frasest[[#This Row],[autor_es]],autorest[autor_es],autorest[bio_es])</f>
        <v>Abadesa benedictina alemana mística visionaria compositora escritora médica y naturalista conocida como la Sibila del Rin que escribió sobre teología medicina botánica y la conexión espiritual entre el hombre y el cosmos</v>
      </c>
      <c r="I1428" t="str">
        <f>_xlfn.XLOOKUP(frasest[[#This Row],[autor_es]],autorest[autor_es],autorest[bio_la])</f>
        <v>Abbatissa Benedictina Germanica mystica visionaria compositrix scriptrix medica et naturalista cognita ut Sibylla Rheni quae de theologia medicina botanica et connexione spirituali inter hominem et cosmum scripsit</v>
      </c>
      <c r="J1428" t="str">
        <f>_xlfn.XLOOKUP(frasest[[#This Row],[autor_es]],autorest[autor_es],autorest[codigo])</f>
        <v>la</v>
      </c>
      <c r="K1428" t="str">
        <f>_xlfn.XLOOKUP(frasest[[#This Row],[autor_es]],autorest[autor_es],autorest[idioma_es])</f>
        <v>Latín</v>
      </c>
      <c r="L1428" t="str">
        <f>_xlfn.XLOOKUP(frasest[[#This Row],[autor_es]],autorest[autor_es],autorest[idioma_la])</f>
        <v>Lingua Latina</v>
      </c>
      <c r="M1428" t="str">
        <f>_xlfn.XLOOKUP(frasest[[#This Row],[autor_es]],autorest[autor_es],autorest[nacion_es])</f>
        <v>Alemania</v>
      </c>
      <c r="N1428" t="str">
        <f>_xlfn.XLOOKUP(frasest[[#This Row],[autor_es]],autorest[autor_es],autorest[nacion_la])</f>
        <v>Germania</v>
      </c>
      <c r="O1428" t="str">
        <f>_xlfn.XLOOKUP(frasest[[#This Row],[autor_es]],autorest[autor_es],autorest[epoca_es])</f>
        <v>Edad Media</v>
      </c>
      <c r="P1428" t="str">
        <f>_xlfn.XLOOKUP(frasest[[#This Row],[autor_es]],autorest[autor_es],autorest[epoca_la])</f>
        <v>Medium Aevum</v>
      </c>
      <c r="Q1428" t="str">
        <f>_xlfn.XLOOKUP(frasest[[#This Row],[autor_es]],autorest[autor_es],autorest[imagen])</f>
        <v>https://i.ibb.co/6RxfDv6N/hildegarda.png</v>
      </c>
      <c r="R1428">
        <f>_xlfn.XLOOKUP(frasest[[#This Row],[autor_es]],autorest[autor_es],autorest[imagen_atr])</f>
        <v>0</v>
      </c>
    </row>
    <row r="1429" spans="1:18">
      <c r="A1429">
        <v>1428</v>
      </c>
      <c r="B1429" t="s">
        <v>4431</v>
      </c>
      <c r="C1429" t="s">
        <v>4432</v>
      </c>
      <c r="D1429" t="s">
        <v>4432</v>
      </c>
      <c r="E1429" t="s">
        <v>4417</v>
      </c>
      <c r="F1429" t="s">
        <v>4418</v>
      </c>
      <c r="G1429" t="str">
        <f>_xlfn.XLOOKUP(frasest[[#This Row],[autor_es]],autorest[autor_es],autorest[autor_la])</f>
        <v>Hildegardis Bingensis</v>
      </c>
      <c r="H1429" t="str">
        <f>_xlfn.XLOOKUP(frasest[[#This Row],[autor_es]],autorest[autor_es],autorest[bio_es])</f>
        <v>Abadesa benedictina alemana mística visionaria compositora escritora médica y naturalista conocida como la Sibila del Rin que escribió sobre teología medicina botánica y la conexión espiritual entre el hombre y el cosmos</v>
      </c>
      <c r="I1429" t="str">
        <f>_xlfn.XLOOKUP(frasest[[#This Row],[autor_es]],autorest[autor_es],autorest[bio_la])</f>
        <v>Abbatissa Benedictina Germanica mystica visionaria compositrix scriptrix medica et naturalista cognita ut Sibylla Rheni quae de theologia medicina botanica et connexione spirituali inter hominem et cosmum scripsit</v>
      </c>
      <c r="J1429" t="str">
        <f>_xlfn.XLOOKUP(frasest[[#This Row],[autor_es]],autorest[autor_es],autorest[codigo])</f>
        <v>la</v>
      </c>
      <c r="K1429" t="str">
        <f>_xlfn.XLOOKUP(frasest[[#This Row],[autor_es]],autorest[autor_es],autorest[idioma_es])</f>
        <v>Latín</v>
      </c>
      <c r="L1429" t="str">
        <f>_xlfn.XLOOKUP(frasest[[#This Row],[autor_es]],autorest[autor_es],autorest[idioma_la])</f>
        <v>Lingua Latina</v>
      </c>
      <c r="M1429" t="str">
        <f>_xlfn.XLOOKUP(frasest[[#This Row],[autor_es]],autorest[autor_es],autorest[nacion_es])</f>
        <v>Alemania</v>
      </c>
      <c r="N1429" t="str">
        <f>_xlfn.XLOOKUP(frasest[[#This Row],[autor_es]],autorest[autor_es],autorest[nacion_la])</f>
        <v>Germania</v>
      </c>
      <c r="O1429" t="str">
        <f>_xlfn.XLOOKUP(frasest[[#This Row],[autor_es]],autorest[autor_es],autorest[epoca_es])</f>
        <v>Edad Media</v>
      </c>
      <c r="P1429" t="str">
        <f>_xlfn.XLOOKUP(frasest[[#This Row],[autor_es]],autorest[autor_es],autorest[epoca_la])</f>
        <v>Medium Aevum</v>
      </c>
      <c r="Q1429" t="str">
        <f>_xlfn.XLOOKUP(frasest[[#This Row],[autor_es]],autorest[autor_es],autorest[imagen])</f>
        <v>https://i.ibb.co/6RxfDv6N/hildegarda.png</v>
      </c>
      <c r="R1429">
        <f>_xlfn.XLOOKUP(frasest[[#This Row],[autor_es]],autorest[autor_es],autorest[imagen_atr])</f>
        <v>0</v>
      </c>
    </row>
    <row r="1430" spans="1:18">
      <c r="A1430">
        <v>1429</v>
      </c>
      <c r="B1430" t="s">
        <v>4433</v>
      </c>
      <c r="C1430" t="s">
        <v>4434</v>
      </c>
      <c r="D1430" t="s">
        <v>4434</v>
      </c>
      <c r="E1430" t="s">
        <v>4417</v>
      </c>
      <c r="F1430" t="s">
        <v>4418</v>
      </c>
      <c r="G1430" t="str">
        <f>_xlfn.XLOOKUP(frasest[[#This Row],[autor_es]],autorest[autor_es],autorest[autor_la])</f>
        <v>Hildegardis Bingensis</v>
      </c>
      <c r="H1430" t="str">
        <f>_xlfn.XLOOKUP(frasest[[#This Row],[autor_es]],autorest[autor_es],autorest[bio_es])</f>
        <v>Abadesa benedictina alemana mística visionaria compositora escritora médica y naturalista conocida como la Sibila del Rin que escribió sobre teología medicina botánica y la conexión espiritual entre el hombre y el cosmos</v>
      </c>
      <c r="I1430" t="str">
        <f>_xlfn.XLOOKUP(frasest[[#This Row],[autor_es]],autorest[autor_es],autorest[bio_la])</f>
        <v>Abbatissa Benedictina Germanica mystica visionaria compositrix scriptrix medica et naturalista cognita ut Sibylla Rheni quae de theologia medicina botanica et connexione spirituali inter hominem et cosmum scripsit</v>
      </c>
      <c r="J1430" t="str">
        <f>_xlfn.XLOOKUP(frasest[[#This Row],[autor_es]],autorest[autor_es],autorest[codigo])</f>
        <v>la</v>
      </c>
      <c r="K1430" t="str">
        <f>_xlfn.XLOOKUP(frasest[[#This Row],[autor_es]],autorest[autor_es],autorest[idioma_es])</f>
        <v>Latín</v>
      </c>
      <c r="L1430" t="str">
        <f>_xlfn.XLOOKUP(frasest[[#This Row],[autor_es]],autorest[autor_es],autorest[idioma_la])</f>
        <v>Lingua Latina</v>
      </c>
      <c r="M1430" t="str">
        <f>_xlfn.XLOOKUP(frasest[[#This Row],[autor_es]],autorest[autor_es],autorest[nacion_es])</f>
        <v>Alemania</v>
      </c>
      <c r="N1430" t="str">
        <f>_xlfn.XLOOKUP(frasest[[#This Row],[autor_es]],autorest[autor_es],autorest[nacion_la])</f>
        <v>Germania</v>
      </c>
      <c r="O1430" t="str">
        <f>_xlfn.XLOOKUP(frasest[[#This Row],[autor_es]],autorest[autor_es],autorest[epoca_es])</f>
        <v>Edad Media</v>
      </c>
      <c r="P1430" t="str">
        <f>_xlfn.XLOOKUP(frasest[[#This Row],[autor_es]],autorest[autor_es],autorest[epoca_la])</f>
        <v>Medium Aevum</v>
      </c>
      <c r="Q1430" t="str">
        <f>_xlfn.XLOOKUP(frasest[[#This Row],[autor_es]],autorest[autor_es],autorest[imagen])</f>
        <v>https://i.ibb.co/6RxfDv6N/hildegarda.png</v>
      </c>
      <c r="R1430">
        <f>_xlfn.XLOOKUP(frasest[[#This Row],[autor_es]],autorest[autor_es],autorest[imagen_atr])</f>
        <v>0</v>
      </c>
    </row>
    <row r="1431" spans="1:18">
      <c r="A1431">
        <v>1430</v>
      </c>
      <c r="B1431" t="s">
        <v>4435</v>
      </c>
      <c r="C1431" t="s">
        <v>4436</v>
      </c>
      <c r="D1431" t="s">
        <v>4436</v>
      </c>
      <c r="E1431" t="s">
        <v>4417</v>
      </c>
      <c r="F1431" t="s">
        <v>4418</v>
      </c>
      <c r="G1431" t="str">
        <f>_xlfn.XLOOKUP(frasest[[#This Row],[autor_es]],autorest[autor_es],autorest[autor_la])</f>
        <v>Hildegardis Bingensis</v>
      </c>
      <c r="H1431" t="str">
        <f>_xlfn.XLOOKUP(frasest[[#This Row],[autor_es]],autorest[autor_es],autorest[bio_es])</f>
        <v>Abadesa benedictina alemana mística visionaria compositora escritora médica y naturalista conocida como la Sibila del Rin que escribió sobre teología medicina botánica y la conexión espiritual entre el hombre y el cosmos</v>
      </c>
      <c r="I1431" t="str">
        <f>_xlfn.XLOOKUP(frasest[[#This Row],[autor_es]],autorest[autor_es],autorest[bio_la])</f>
        <v>Abbatissa Benedictina Germanica mystica visionaria compositrix scriptrix medica et naturalista cognita ut Sibylla Rheni quae de theologia medicina botanica et connexione spirituali inter hominem et cosmum scripsit</v>
      </c>
      <c r="J1431" t="str">
        <f>_xlfn.XLOOKUP(frasest[[#This Row],[autor_es]],autorest[autor_es],autorest[codigo])</f>
        <v>la</v>
      </c>
      <c r="K1431" t="str">
        <f>_xlfn.XLOOKUP(frasest[[#This Row],[autor_es]],autorest[autor_es],autorest[idioma_es])</f>
        <v>Latín</v>
      </c>
      <c r="L1431" t="str">
        <f>_xlfn.XLOOKUP(frasest[[#This Row],[autor_es]],autorest[autor_es],autorest[idioma_la])</f>
        <v>Lingua Latina</v>
      </c>
      <c r="M1431" t="str">
        <f>_xlfn.XLOOKUP(frasest[[#This Row],[autor_es]],autorest[autor_es],autorest[nacion_es])</f>
        <v>Alemania</v>
      </c>
      <c r="N1431" t="str">
        <f>_xlfn.XLOOKUP(frasest[[#This Row],[autor_es]],autorest[autor_es],autorest[nacion_la])</f>
        <v>Germania</v>
      </c>
      <c r="O1431" t="str">
        <f>_xlfn.XLOOKUP(frasest[[#This Row],[autor_es]],autorest[autor_es],autorest[epoca_es])</f>
        <v>Edad Media</v>
      </c>
      <c r="P1431" t="str">
        <f>_xlfn.XLOOKUP(frasest[[#This Row],[autor_es]],autorest[autor_es],autorest[epoca_la])</f>
        <v>Medium Aevum</v>
      </c>
      <c r="Q1431" t="str">
        <f>_xlfn.XLOOKUP(frasest[[#This Row],[autor_es]],autorest[autor_es],autorest[imagen])</f>
        <v>https://i.ibb.co/6RxfDv6N/hildegarda.png</v>
      </c>
      <c r="R1431">
        <f>_xlfn.XLOOKUP(frasest[[#This Row],[autor_es]],autorest[autor_es],autorest[imagen_atr])</f>
        <v>0</v>
      </c>
    </row>
    <row r="1432" spans="1:18">
      <c r="A1432">
        <v>1431</v>
      </c>
      <c r="B1432" t="s">
        <v>4437</v>
      </c>
      <c r="C1432" t="s">
        <v>4438</v>
      </c>
      <c r="D1432" t="s">
        <v>4438</v>
      </c>
      <c r="E1432" t="s">
        <v>4417</v>
      </c>
      <c r="F1432" t="s">
        <v>4418</v>
      </c>
      <c r="G1432" t="str">
        <f>_xlfn.XLOOKUP(frasest[[#This Row],[autor_es]],autorest[autor_es],autorest[autor_la])</f>
        <v>Hildegardis Bingensis</v>
      </c>
      <c r="H1432" t="str">
        <f>_xlfn.XLOOKUP(frasest[[#This Row],[autor_es]],autorest[autor_es],autorest[bio_es])</f>
        <v>Abadesa benedictina alemana mística visionaria compositora escritora médica y naturalista conocida como la Sibila del Rin que escribió sobre teología medicina botánica y la conexión espiritual entre el hombre y el cosmos</v>
      </c>
      <c r="I1432" t="str">
        <f>_xlfn.XLOOKUP(frasest[[#This Row],[autor_es]],autorest[autor_es],autorest[bio_la])</f>
        <v>Abbatissa Benedictina Germanica mystica visionaria compositrix scriptrix medica et naturalista cognita ut Sibylla Rheni quae de theologia medicina botanica et connexione spirituali inter hominem et cosmum scripsit</v>
      </c>
      <c r="J1432" t="str">
        <f>_xlfn.XLOOKUP(frasest[[#This Row],[autor_es]],autorest[autor_es],autorest[codigo])</f>
        <v>la</v>
      </c>
      <c r="K1432" t="str">
        <f>_xlfn.XLOOKUP(frasest[[#This Row],[autor_es]],autorest[autor_es],autorest[idioma_es])</f>
        <v>Latín</v>
      </c>
      <c r="L1432" t="str">
        <f>_xlfn.XLOOKUP(frasest[[#This Row],[autor_es]],autorest[autor_es],autorest[idioma_la])</f>
        <v>Lingua Latina</v>
      </c>
      <c r="M1432" t="str">
        <f>_xlfn.XLOOKUP(frasest[[#This Row],[autor_es]],autorest[autor_es],autorest[nacion_es])</f>
        <v>Alemania</v>
      </c>
      <c r="N1432" t="str">
        <f>_xlfn.XLOOKUP(frasest[[#This Row],[autor_es]],autorest[autor_es],autorest[nacion_la])</f>
        <v>Germania</v>
      </c>
      <c r="O1432" t="str">
        <f>_xlfn.XLOOKUP(frasest[[#This Row],[autor_es]],autorest[autor_es],autorest[epoca_es])</f>
        <v>Edad Media</v>
      </c>
      <c r="P1432" t="str">
        <f>_xlfn.XLOOKUP(frasest[[#This Row],[autor_es]],autorest[autor_es],autorest[epoca_la])</f>
        <v>Medium Aevum</v>
      </c>
      <c r="Q1432" t="str">
        <f>_xlfn.XLOOKUP(frasest[[#This Row],[autor_es]],autorest[autor_es],autorest[imagen])</f>
        <v>https://i.ibb.co/6RxfDv6N/hildegarda.png</v>
      </c>
      <c r="R1432">
        <f>_xlfn.XLOOKUP(frasest[[#This Row],[autor_es]],autorest[autor_es],autorest[imagen_atr])</f>
        <v>0</v>
      </c>
    </row>
    <row r="1433" spans="1:18">
      <c r="A1433">
        <v>1432</v>
      </c>
      <c r="B1433" t="s">
        <v>4439</v>
      </c>
      <c r="C1433" t="s">
        <v>4440</v>
      </c>
      <c r="D1433" t="s">
        <v>4440</v>
      </c>
      <c r="E1433" t="s">
        <v>4417</v>
      </c>
      <c r="F1433" t="s">
        <v>4418</v>
      </c>
      <c r="G1433" t="str">
        <f>_xlfn.XLOOKUP(frasest[[#This Row],[autor_es]],autorest[autor_es],autorest[autor_la])</f>
        <v>Hildegardis Bingensis</v>
      </c>
      <c r="H1433" t="str">
        <f>_xlfn.XLOOKUP(frasest[[#This Row],[autor_es]],autorest[autor_es],autorest[bio_es])</f>
        <v>Abadesa benedictina alemana mística visionaria compositora escritora médica y naturalista conocida como la Sibila del Rin que escribió sobre teología medicina botánica y la conexión espiritual entre el hombre y el cosmos</v>
      </c>
      <c r="I1433" t="str">
        <f>_xlfn.XLOOKUP(frasest[[#This Row],[autor_es]],autorest[autor_es],autorest[bio_la])</f>
        <v>Abbatissa Benedictina Germanica mystica visionaria compositrix scriptrix medica et naturalista cognita ut Sibylla Rheni quae de theologia medicina botanica et connexione spirituali inter hominem et cosmum scripsit</v>
      </c>
      <c r="J1433" t="str">
        <f>_xlfn.XLOOKUP(frasest[[#This Row],[autor_es]],autorest[autor_es],autorest[codigo])</f>
        <v>la</v>
      </c>
      <c r="K1433" t="str">
        <f>_xlfn.XLOOKUP(frasest[[#This Row],[autor_es]],autorest[autor_es],autorest[idioma_es])</f>
        <v>Latín</v>
      </c>
      <c r="L1433" t="str">
        <f>_xlfn.XLOOKUP(frasest[[#This Row],[autor_es]],autorest[autor_es],autorest[idioma_la])</f>
        <v>Lingua Latina</v>
      </c>
      <c r="M1433" t="str">
        <f>_xlfn.XLOOKUP(frasest[[#This Row],[autor_es]],autorest[autor_es],autorest[nacion_es])</f>
        <v>Alemania</v>
      </c>
      <c r="N1433" t="str">
        <f>_xlfn.XLOOKUP(frasest[[#This Row],[autor_es]],autorest[autor_es],autorest[nacion_la])</f>
        <v>Germania</v>
      </c>
      <c r="O1433" t="str">
        <f>_xlfn.XLOOKUP(frasest[[#This Row],[autor_es]],autorest[autor_es],autorest[epoca_es])</f>
        <v>Edad Media</v>
      </c>
      <c r="P1433" t="str">
        <f>_xlfn.XLOOKUP(frasest[[#This Row],[autor_es]],autorest[autor_es],autorest[epoca_la])</f>
        <v>Medium Aevum</v>
      </c>
      <c r="Q1433" t="str">
        <f>_xlfn.XLOOKUP(frasest[[#This Row],[autor_es]],autorest[autor_es],autorest[imagen])</f>
        <v>https://i.ibb.co/6RxfDv6N/hildegarda.png</v>
      </c>
      <c r="R1433">
        <f>_xlfn.XLOOKUP(frasest[[#This Row],[autor_es]],autorest[autor_es],autorest[imagen_atr])</f>
        <v>0</v>
      </c>
    </row>
    <row r="1434" spans="1:18">
      <c r="A1434">
        <v>1433</v>
      </c>
      <c r="B1434" t="s">
        <v>4441</v>
      </c>
      <c r="C1434" t="s">
        <v>4442</v>
      </c>
      <c r="D1434" t="s">
        <v>4442</v>
      </c>
      <c r="E1434" t="s">
        <v>4443</v>
      </c>
      <c r="F1434" t="s">
        <v>4444</v>
      </c>
      <c r="G1434" t="str">
        <f>_xlfn.XLOOKUP(frasest[[#This Row],[autor_es]],autorest[autor_es],autorest[autor_la])</f>
        <v>Magister Eckhart</v>
      </c>
      <c r="H1434" t="str">
        <f>_xlfn.XLOOKUP(frasest[[#This Row],[autor_es]],autorest[autor_es],autorest[bio_es])</f>
        <v>Teólogo y místico dominico alemán fundador de la mística renana conocido por sus sermones paradójicos sobre el desapego la unión con Dios y la presencia divina en el alma siendo maestro de teología en París</v>
      </c>
      <c r="I1434" t="str">
        <f>_xlfn.XLOOKUP(frasest[[#This Row],[autor_es]],autorest[autor_es],autorest[bio_la])</f>
        <v>Theologus et mysticus Dominicanus Germanicus fundator mysticae Rhenanae notus pro sermonibus paradoxis de detractione unione cum Deo et praesentia divina in anima magister theologiae Parisiis</v>
      </c>
      <c r="J1434" t="str">
        <f>_xlfn.XLOOKUP(frasest[[#This Row],[autor_es]],autorest[autor_es],autorest[codigo])</f>
        <v>la</v>
      </c>
      <c r="K1434" t="str">
        <f>_xlfn.XLOOKUP(frasest[[#This Row],[autor_es]],autorest[autor_es],autorest[idioma_es])</f>
        <v>Latín</v>
      </c>
      <c r="L1434" t="str">
        <f>_xlfn.XLOOKUP(frasest[[#This Row],[autor_es]],autorest[autor_es],autorest[idioma_la])</f>
        <v>Lingua Latina</v>
      </c>
      <c r="M1434" t="str">
        <f>_xlfn.XLOOKUP(frasest[[#This Row],[autor_es]],autorest[autor_es],autorest[nacion_es])</f>
        <v>Alemania</v>
      </c>
      <c r="N1434" t="str">
        <f>_xlfn.XLOOKUP(frasest[[#This Row],[autor_es]],autorest[autor_es],autorest[nacion_la])</f>
        <v>Germania</v>
      </c>
      <c r="O1434" t="str">
        <f>_xlfn.XLOOKUP(frasest[[#This Row],[autor_es]],autorest[autor_es],autorest[epoca_es])</f>
        <v>Edad Media</v>
      </c>
      <c r="P1434" t="str">
        <f>_xlfn.XLOOKUP(frasest[[#This Row],[autor_es]],autorest[autor_es],autorest[epoca_la])</f>
        <v>Medium Aevum</v>
      </c>
      <c r="Q1434" t="str">
        <f>_xlfn.XLOOKUP(frasest[[#This Row],[autor_es]],autorest[autor_es],autorest[imagen])</f>
        <v>https://i.ibb.co/WCsSjKp/eckhart.png</v>
      </c>
      <c r="R1434">
        <f>_xlfn.XLOOKUP(frasest[[#This Row],[autor_es]],autorest[autor_es],autorest[imagen_atr])</f>
        <v>0</v>
      </c>
    </row>
    <row r="1435" spans="1:18">
      <c r="A1435">
        <v>1434</v>
      </c>
      <c r="B1435" t="s">
        <v>4445</v>
      </c>
      <c r="C1435" t="s">
        <v>4446</v>
      </c>
      <c r="D1435" t="s">
        <v>4446</v>
      </c>
      <c r="E1435" t="s">
        <v>4443</v>
      </c>
      <c r="F1435" t="s">
        <v>4444</v>
      </c>
      <c r="G1435" t="str">
        <f>_xlfn.XLOOKUP(frasest[[#This Row],[autor_es]],autorest[autor_es],autorest[autor_la])</f>
        <v>Magister Eckhart</v>
      </c>
      <c r="H1435" t="str">
        <f>_xlfn.XLOOKUP(frasest[[#This Row],[autor_es]],autorest[autor_es],autorest[bio_es])</f>
        <v>Teólogo y místico dominico alemán fundador de la mística renana conocido por sus sermones paradójicos sobre el desapego la unión con Dios y la presencia divina en el alma siendo maestro de teología en París</v>
      </c>
      <c r="I1435" t="str">
        <f>_xlfn.XLOOKUP(frasest[[#This Row],[autor_es]],autorest[autor_es],autorest[bio_la])</f>
        <v>Theologus et mysticus Dominicanus Germanicus fundator mysticae Rhenanae notus pro sermonibus paradoxis de detractione unione cum Deo et praesentia divina in anima magister theologiae Parisiis</v>
      </c>
      <c r="J1435" t="str">
        <f>_xlfn.XLOOKUP(frasest[[#This Row],[autor_es]],autorest[autor_es],autorest[codigo])</f>
        <v>la</v>
      </c>
      <c r="K1435" t="str">
        <f>_xlfn.XLOOKUP(frasest[[#This Row],[autor_es]],autorest[autor_es],autorest[idioma_es])</f>
        <v>Latín</v>
      </c>
      <c r="L1435" t="str">
        <f>_xlfn.XLOOKUP(frasest[[#This Row],[autor_es]],autorest[autor_es],autorest[idioma_la])</f>
        <v>Lingua Latina</v>
      </c>
      <c r="M1435" t="str">
        <f>_xlfn.XLOOKUP(frasest[[#This Row],[autor_es]],autorest[autor_es],autorest[nacion_es])</f>
        <v>Alemania</v>
      </c>
      <c r="N1435" t="str">
        <f>_xlfn.XLOOKUP(frasest[[#This Row],[autor_es]],autorest[autor_es],autorest[nacion_la])</f>
        <v>Germania</v>
      </c>
      <c r="O1435" t="str">
        <f>_xlfn.XLOOKUP(frasest[[#This Row],[autor_es]],autorest[autor_es],autorest[epoca_es])</f>
        <v>Edad Media</v>
      </c>
      <c r="P1435" t="str">
        <f>_xlfn.XLOOKUP(frasest[[#This Row],[autor_es]],autorest[autor_es],autorest[epoca_la])</f>
        <v>Medium Aevum</v>
      </c>
      <c r="Q1435" t="str">
        <f>_xlfn.XLOOKUP(frasest[[#This Row],[autor_es]],autorest[autor_es],autorest[imagen])</f>
        <v>https://i.ibb.co/WCsSjKp/eckhart.png</v>
      </c>
      <c r="R1435">
        <f>_xlfn.XLOOKUP(frasest[[#This Row],[autor_es]],autorest[autor_es],autorest[imagen_atr])</f>
        <v>0</v>
      </c>
    </row>
    <row r="1436" spans="1:18">
      <c r="A1436">
        <v>1435</v>
      </c>
      <c r="B1436" t="s">
        <v>4447</v>
      </c>
      <c r="C1436" t="s">
        <v>4448</v>
      </c>
      <c r="D1436" t="s">
        <v>4448</v>
      </c>
      <c r="E1436" t="s">
        <v>4443</v>
      </c>
      <c r="F1436" t="s">
        <v>4444</v>
      </c>
      <c r="G1436" t="str">
        <f>_xlfn.XLOOKUP(frasest[[#This Row],[autor_es]],autorest[autor_es],autorest[autor_la])</f>
        <v>Magister Eckhart</v>
      </c>
      <c r="H1436" t="str">
        <f>_xlfn.XLOOKUP(frasest[[#This Row],[autor_es]],autorest[autor_es],autorest[bio_es])</f>
        <v>Teólogo y místico dominico alemán fundador de la mística renana conocido por sus sermones paradójicos sobre el desapego la unión con Dios y la presencia divina en el alma siendo maestro de teología en París</v>
      </c>
      <c r="I1436" t="str">
        <f>_xlfn.XLOOKUP(frasest[[#This Row],[autor_es]],autorest[autor_es],autorest[bio_la])</f>
        <v>Theologus et mysticus Dominicanus Germanicus fundator mysticae Rhenanae notus pro sermonibus paradoxis de detractione unione cum Deo et praesentia divina in anima magister theologiae Parisiis</v>
      </c>
      <c r="J1436" t="str">
        <f>_xlfn.XLOOKUP(frasest[[#This Row],[autor_es]],autorest[autor_es],autorest[codigo])</f>
        <v>la</v>
      </c>
      <c r="K1436" t="str">
        <f>_xlfn.XLOOKUP(frasest[[#This Row],[autor_es]],autorest[autor_es],autorest[idioma_es])</f>
        <v>Latín</v>
      </c>
      <c r="L1436" t="str">
        <f>_xlfn.XLOOKUP(frasest[[#This Row],[autor_es]],autorest[autor_es],autorest[idioma_la])</f>
        <v>Lingua Latina</v>
      </c>
      <c r="M1436" t="str">
        <f>_xlfn.XLOOKUP(frasest[[#This Row],[autor_es]],autorest[autor_es],autorest[nacion_es])</f>
        <v>Alemania</v>
      </c>
      <c r="N1436" t="str">
        <f>_xlfn.XLOOKUP(frasest[[#This Row],[autor_es]],autorest[autor_es],autorest[nacion_la])</f>
        <v>Germania</v>
      </c>
      <c r="O1436" t="str">
        <f>_xlfn.XLOOKUP(frasest[[#This Row],[autor_es]],autorest[autor_es],autorest[epoca_es])</f>
        <v>Edad Media</v>
      </c>
      <c r="P1436" t="str">
        <f>_xlfn.XLOOKUP(frasest[[#This Row],[autor_es]],autorest[autor_es],autorest[epoca_la])</f>
        <v>Medium Aevum</v>
      </c>
      <c r="Q1436" t="str">
        <f>_xlfn.XLOOKUP(frasest[[#This Row],[autor_es]],autorest[autor_es],autorest[imagen])</f>
        <v>https://i.ibb.co/WCsSjKp/eckhart.png</v>
      </c>
      <c r="R1436">
        <f>_xlfn.XLOOKUP(frasest[[#This Row],[autor_es]],autorest[autor_es],autorest[imagen_atr])</f>
        <v>0</v>
      </c>
    </row>
    <row r="1437" spans="1:18">
      <c r="A1437">
        <v>1436</v>
      </c>
      <c r="B1437" t="s">
        <v>4449</v>
      </c>
      <c r="C1437" t="s">
        <v>4450</v>
      </c>
      <c r="D1437" t="s">
        <v>4450</v>
      </c>
      <c r="E1437" t="s">
        <v>4443</v>
      </c>
      <c r="F1437" t="s">
        <v>4444</v>
      </c>
      <c r="G1437" t="str">
        <f>_xlfn.XLOOKUP(frasest[[#This Row],[autor_es]],autorest[autor_es],autorest[autor_la])</f>
        <v>Magister Eckhart</v>
      </c>
      <c r="H1437" t="str">
        <f>_xlfn.XLOOKUP(frasest[[#This Row],[autor_es]],autorest[autor_es],autorest[bio_es])</f>
        <v>Teólogo y místico dominico alemán fundador de la mística renana conocido por sus sermones paradójicos sobre el desapego la unión con Dios y la presencia divina en el alma siendo maestro de teología en París</v>
      </c>
      <c r="I1437" t="str">
        <f>_xlfn.XLOOKUP(frasest[[#This Row],[autor_es]],autorest[autor_es],autorest[bio_la])</f>
        <v>Theologus et mysticus Dominicanus Germanicus fundator mysticae Rhenanae notus pro sermonibus paradoxis de detractione unione cum Deo et praesentia divina in anima magister theologiae Parisiis</v>
      </c>
      <c r="J1437" t="str">
        <f>_xlfn.XLOOKUP(frasest[[#This Row],[autor_es]],autorest[autor_es],autorest[codigo])</f>
        <v>la</v>
      </c>
      <c r="K1437" t="str">
        <f>_xlfn.XLOOKUP(frasest[[#This Row],[autor_es]],autorest[autor_es],autorest[idioma_es])</f>
        <v>Latín</v>
      </c>
      <c r="L1437" t="str">
        <f>_xlfn.XLOOKUP(frasest[[#This Row],[autor_es]],autorest[autor_es],autorest[idioma_la])</f>
        <v>Lingua Latina</v>
      </c>
      <c r="M1437" t="str">
        <f>_xlfn.XLOOKUP(frasest[[#This Row],[autor_es]],autorest[autor_es],autorest[nacion_es])</f>
        <v>Alemania</v>
      </c>
      <c r="N1437" t="str">
        <f>_xlfn.XLOOKUP(frasest[[#This Row],[autor_es]],autorest[autor_es],autorest[nacion_la])</f>
        <v>Germania</v>
      </c>
      <c r="O1437" t="str">
        <f>_xlfn.XLOOKUP(frasest[[#This Row],[autor_es]],autorest[autor_es],autorest[epoca_es])</f>
        <v>Edad Media</v>
      </c>
      <c r="P1437" t="str">
        <f>_xlfn.XLOOKUP(frasest[[#This Row],[autor_es]],autorest[autor_es],autorest[epoca_la])</f>
        <v>Medium Aevum</v>
      </c>
      <c r="Q1437" t="str">
        <f>_xlfn.XLOOKUP(frasest[[#This Row],[autor_es]],autorest[autor_es],autorest[imagen])</f>
        <v>https://i.ibb.co/WCsSjKp/eckhart.png</v>
      </c>
      <c r="R1437">
        <f>_xlfn.XLOOKUP(frasest[[#This Row],[autor_es]],autorest[autor_es],autorest[imagen_atr])</f>
        <v>0</v>
      </c>
    </row>
    <row r="1438" spans="1:18">
      <c r="A1438">
        <v>1437</v>
      </c>
      <c r="B1438" t="s">
        <v>4451</v>
      </c>
      <c r="C1438" t="s">
        <v>4452</v>
      </c>
      <c r="D1438" t="s">
        <v>4452</v>
      </c>
      <c r="E1438" t="s">
        <v>4443</v>
      </c>
      <c r="F1438" t="s">
        <v>4444</v>
      </c>
      <c r="G1438" t="str">
        <f>_xlfn.XLOOKUP(frasest[[#This Row],[autor_es]],autorest[autor_es],autorest[autor_la])</f>
        <v>Magister Eckhart</v>
      </c>
      <c r="H1438" t="str">
        <f>_xlfn.XLOOKUP(frasest[[#This Row],[autor_es]],autorest[autor_es],autorest[bio_es])</f>
        <v>Teólogo y místico dominico alemán fundador de la mística renana conocido por sus sermones paradójicos sobre el desapego la unión con Dios y la presencia divina en el alma siendo maestro de teología en París</v>
      </c>
      <c r="I1438" t="str">
        <f>_xlfn.XLOOKUP(frasest[[#This Row],[autor_es]],autorest[autor_es],autorest[bio_la])</f>
        <v>Theologus et mysticus Dominicanus Germanicus fundator mysticae Rhenanae notus pro sermonibus paradoxis de detractione unione cum Deo et praesentia divina in anima magister theologiae Parisiis</v>
      </c>
      <c r="J1438" t="str">
        <f>_xlfn.XLOOKUP(frasest[[#This Row],[autor_es]],autorest[autor_es],autorest[codigo])</f>
        <v>la</v>
      </c>
      <c r="K1438" t="str">
        <f>_xlfn.XLOOKUP(frasest[[#This Row],[autor_es]],autorest[autor_es],autorest[idioma_es])</f>
        <v>Latín</v>
      </c>
      <c r="L1438" t="str">
        <f>_xlfn.XLOOKUP(frasest[[#This Row],[autor_es]],autorest[autor_es],autorest[idioma_la])</f>
        <v>Lingua Latina</v>
      </c>
      <c r="M1438" t="str">
        <f>_xlfn.XLOOKUP(frasest[[#This Row],[autor_es]],autorest[autor_es],autorest[nacion_es])</f>
        <v>Alemania</v>
      </c>
      <c r="N1438" t="str">
        <f>_xlfn.XLOOKUP(frasest[[#This Row],[autor_es]],autorest[autor_es],autorest[nacion_la])</f>
        <v>Germania</v>
      </c>
      <c r="O1438" t="str">
        <f>_xlfn.XLOOKUP(frasest[[#This Row],[autor_es]],autorest[autor_es],autorest[epoca_es])</f>
        <v>Edad Media</v>
      </c>
      <c r="P1438" t="str">
        <f>_xlfn.XLOOKUP(frasest[[#This Row],[autor_es]],autorest[autor_es],autorest[epoca_la])</f>
        <v>Medium Aevum</v>
      </c>
      <c r="Q1438" t="str">
        <f>_xlfn.XLOOKUP(frasest[[#This Row],[autor_es]],autorest[autor_es],autorest[imagen])</f>
        <v>https://i.ibb.co/WCsSjKp/eckhart.png</v>
      </c>
      <c r="R1438">
        <f>_xlfn.XLOOKUP(frasest[[#This Row],[autor_es]],autorest[autor_es],autorest[imagen_atr])</f>
        <v>0</v>
      </c>
    </row>
    <row r="1439" spans="1:18">
      <c r="A1439">
        <v>1438</v>
      </c>
      <c r="B1439" t="s">
        <v>4453</v>
      </c>
      <c r="C1439" t="s">
        <v>4454</v>
      </c>
      <c r="D1439" t="s">
        <v>4454</v>
      </c>
      <c r="E1439" t="s">
        <v>4443</v>
      </c>
      <c r="F1439" t="s">
        <v>4444</v>
      </c>
      <c r="G1439" t="str">
        <f>_xlfn.XLOOKUP(frasest[[#This Row],[autor_es]],autorest[autor_es],autorest[autor_la])</f>
        <v>Magister Eckhart</v>
      </c>
      <c r="H1439" t="str">
        <f>_xlfn.XLOOKUP(frasest[[#This Row],[autor_es]],autorest[autor_es],autorest[bio_es])</f>
        <v>Teólogo y místico dominico alemán fundador de la mística renana conocido por sus sermones paradójicos sobre el desapego la unión con Dios y la presencia divina en el alma siendo maestro de teología en París</v>
      </c>
      <c r="I1439" t="str">
        <f>_xlfn.XLOOKUP(frasest[[#This Row],[autor_es]],autorest[autor_es],autorest[bio_la])</f>
        <v>Theologus et mysticus Dominicanus Germanicus fundator mysticae Rhenanae notus pro sermonibus paradoxis de detractione unione cum Deo et praesentia divina in anima magister theologiae Parisiis</v>
      </c>
      <c r="J1439" t="str">
        <f>_xlfn.XLOOKUP(frasest[[#This Row],[autor_es]],autorest[autor_es],autorest[codigo])</f>
        <v>la</v>
      </c>
      <c r="K1439" t="str">
        <f>_xlfn.XLOOKUP(frasest[[#This Row],[autor_es]],autorest[autor_es],autorest[idioma_es])</f>
        <v>Latín</v>
      </c>
      <c r="L1439" t="str">
        <f>_xlfn.XLOOKUP(frasest[[#This Row],[autor_es]],autorest[autor_es],autorest[idioma_la])</f>
        <v>Lingua Latina</v>
      </c>
      <c r="M1439" t="str">
        <f>_xlfn.XLOOKUP(frasest[[#This Row],[autor_es]],autorest[autor_es],autorest[nacion_es])</f>
        <v>Alemania</v>
      </c>
      <c r="N1439" t="str">
        <f>_xlfn.XLOOKUP(frasest[[#This Row],[autor_es]],autorest[autor_es],autorest[nacion_la])</f>
        <v>Germania</v>
      </c>
      <c r="O1439" t="str">
        <f>_xlfn.XLOOKUP(frasest[[#This Row],[autor_es]],autorest[autor_es],autorest[epoca_es])</f>
        <v>Edad Media</v>
      </c>
      <c r="P1439" t="str">
        <f>_xlfn.XLOOKUP(frasest[[#This Row],[autor_es]],autorest[autor_es],autorest[epoca_la])</f>
        <v>Medium Aevum</v>
      </c>
      <c r="Q1439" t="str">
        <f>_xlfn.XLOOKUP(frasest[[#This Row],[autor_es]],autorest[autor_es],autorest[imagen])</f>
        <v>https://i.ibb.co/WCsSjKp/eckhart.png</v>
      </c>
      <c r="R1439">
        <f>_xlfn.XLOOKUP(frasest[[#This Row],[autor_es]],autorest[autor_es],autorest[imagen_atr])</f>
        <v>0</v>
      </c>
    </row>
    <row r="1440" spans="1:18">
      <c r="A1440">
        <v>1439</v>
      </c>
      <c r="B1440" t="s">
        <v>4455</v>
      </c>
      <c r="C1440" t="s">
        <v>4456</v>
      </c>
      <c r="D1440" t="s">
        <v>4456</v>
      </c>
      <c r="E1440" t="s">
        <v>4443</v>
      </c>
      <c r="F1440" t="s">
        <v>4444</v>
      </c>
      <c r="G1440" t="str">
        <f>_xlfn.XLOOKUP(frasest[[#This Row],[autor_es]],autorest[autor_es],autorest[autor_la])</f>
        <v>Magister Eckhart</v>
      </c>
      <c r="H1440" t="str">
        <f>_xlfn.XLOOKUP(frasest[[#This Row],[autor_es]],autorest[autor_es],autorest[bio_es])</f>
        <v>Teólogo y místico dominico alemán fundador de la mística renana conocido por sus sermones paradójicos sobre el desapego la unión con Dios y la presencia divina en el alma siendo maestro de teología en París</v>
      </c>
      <c r="I1440" t="str">
        <f>_xlfn.XLOOKUP(frasest[[#This Row],[autor_es]],autorest[autor_es],autorest[bio_la])</f>
        <v>Theologus et mysticus Dominicanus Germanicus fundator mysticae Rhenanae notus pro sermonibus paradoxis de detractione unione cum Deo et praesentia divina in anima magister theologiae Parisiis</v>
      </c>
      <c r="J1440" t="str">
        <f>_xlfn.XLOOKUP(frasest[[#This Row],[autor_es]],autorest[autor_es],autorest[codigo])</f>
        <v>la</v>
      </c>
      <c r="K1440" t="str">
        <f>_xlfn.XLOOKUP(frasest[[#This Row],[autor_es]],autorest[autor_es],autorest[idioma_es])</f>
        <v>Latín</v>
      </c>
      <c r="L1440" t="str">
        <f>_xlfn.XLOOKUP(frasest[[#This Row],[autor_es]],autorest[autor_es],autorest[idioma_la])</f>
        <v>Lingua Latina</v>
      </c>
      <c r="M1440" t="str">
        <f>_xlfn.XLOOKUP(frasest[[#This Row],[autor_es]],autorest[autor_es],autorest[nacion_es])</f>
        <v>Alemania</v>
      </c>
      <c r="N1440" t="str">
        <f>_xlfn.XLOOKUP(frasest[[#This Row],[autor_es]],autorest[autor_es],autorest[nacion_la])</f>
        <v>Germania</v>
      </c>
      <c r="O1440" t="str">
        <f>_xlfn.XLOOKUP(frasest[[#This Row],[autor_es]],autorest[autor_es],autorest[epoca_es])</f>
        <v>Edad Media</v>
      </c>
      <c r="P1440" t="str">
        <f>_xlfn.XLOOKUP(frasest[[#This Row],[autor_es]],autorest[autor_es],autorest[epoca_la])</f>
        <v>Medium Aevum</v>
      </c>
      <c r="Q1440" t="str">
        <f>_xlfn.XLOOKUP(frasest[[#This Row],[autor_es]],autorest[autor_es],autorest[imagen])</f>
        <v>https://i.ibb.co/WCsSjKp/eckhart.png</v>
      </c>
      <c r="R1440">
        <f>_xlfn.XLOOKUP(frasest[[#This Row],[autor_es]],autorest[autor_es],autorest[imagen_atr])</f>
        <v>0</v>
      </c>
    </row>
    <row r="1441" spans="1:18">
      <c r="A1441">
        <v>1440</v>
      </c>
      <c r="B1441" t="s">
        <v>4457</v>
      </c>
      <c r="C1441" t="s">
        <v>4458</v>
      </c>
      <c r="D1441" t="s">
        <v>4458</v>
      </c>
      <c r="E1441" t="s">
        <v>4443</v>
      </c>
      <c r="F1441" t="s">
        <v>4444</v>
      </c>
      <c r="G1441" t="str">
        <f>_xlfn.XLOOKUP(frasest[[#This Row],[autor_es]],autorest[autor_es],autorest[autor_la])</f>
        <v>Magister Eckhart</v>
      </c>
      <c r="H1441" t="str">
        <f>_xlfn.XLOOKUP(frasest[[#This Row],[autor_es]],autorest[autor_es],autorest[bio_es])</f>
        <v>Teólogo y místico dominico alemán fundador de la mística renana conocido por sus sermones paradójicos sobre el desapego la unión con Dios y la presencia divina en el alma siendo maestro de teología en París</v>
      </c>
      <c r="I1441" t="str">
        <f>_xlfn.XLOOKUP(frasest[[#This Row],[autor_es]],autorest[autor_es],autorest[bio_la])</f>
        <v>Theologus et mysticus Dominicanus Germanicus fundator mysticae Rhenanae notus pro sermonibus paradoxis de detractione unione cum Deo et praesentia divina in anima magister theologiae Parisiis</v>
      </c>
      <c r="J1441" t="str">
        <f>_xlfn.XLOOKUP(frasest[[#This Row],[autor_es]],autorest[autor_es],autorest[codigo])</f>
        <v>la</v>
      </c>
      <c r="K1441" t="str">
        <f>_xlfn.XLOOKUP(frasest[[#This Row],[autor_es]],autorest[autor_es],autorest[idioma_es])</f>
        <v>Latín</v>
      </c>
      <c r="L1441" t="str">
        <f>_xlfn.XLOOKUP(frasest[[#This Row],[autor_es]],autorest[autor_es],autorest[idioma_la])</f>
        <v>Lingua Latina</v>
      </c>
      <c r="M1441" t="str">
        <f>_xlfn.XLOOKUP(frasest[[#This Row],[autor_es]],autorest[autor_es],autorest[nacion_es])</f>
        <v>Alemania</v>
      </c>
      <c r="N1441" t="str">
        <f>_xlfn.XLOOKUP(frasest[[#This Row],[autor_es]],autorest[autor_es],autorest[nacion_la])</f>
        <v>Germania</v>
      </c>
      <c r="O1441" t="str">
        <f>_xlfn.XLOOKUP(frasest[[#This Row],[autor_es]],autorest[autor_es],autorest[epoca_es])</f>
        <v>Edad Media</v>
      </c>
      <c r="P1441" t="str">
        <f>_xlfn.XLOOKUP(frasest[[#This Row],[autor_es]],autorest[autor_es],autorest[epoca_la])</f>
        <v>Medium Aevum</v>
      </c>
      <c r="Q1441" t="str">
        <f>_xlfn.XLOOKUP(frasest[[#This Row],[autor_es]],autorest[autor_es],autorest[imagen])</f>
        <v>https://i.ibb.co/WCsSjKp/eckhart.png</v>
      </c>
      <c r="R1441">
        <f>_xlfn.XLOOKUP(frasest[[#This Row],[autor_es]],autorest[autor_es],autorest[imagen_atr])</f>
        <v>0</v>
      </c>
    </row>
    <row r="1442" spans="1:18">
      <c r="A1442">
        <v>1441</v>
      </c>
      <c r="B1442" t="s">
        <v>4459</v>
      </c>
      <c r="C1442" t="s">
        <v>4460</v>
      </c>
      <c r="D1442" t="s">
        <v>4460</v>
      </c>
      <c r="E1442" t="s">
        <v>4443</v>
      </c>
      <c r="F1442" t="s">
        <v>4444</v>
      </c>
      <c r="G1442" t="str">
        <f>_xlfn.XLOOKUP(frasest[[#This Row],[autor_es]],autorest[autor_es],autorest[autor_la])</f>
        <v>Magister Eckhart</v>
      </c>
      <c r="H1442" t="str">
        <f>_xlfn.XLOOKUP(frasest[[#This Row],[autor_es]],autorest[autor_es],autorest[bio_es])</f>
        <v>Teólogo y místico dominico alemán fundador de la mística renana conocido por sus sermones paradójicos sobre el desapego la unión con Dios y la presencia divina en el alma siendo maestro de teología en París</v>
      </c>
      <c r="I1442" t="str">
        <f>_xlfn.XLOOKUP(frasest[[#This Row],[autor_es]],autorest[autor_es],autorest[bio_la])</f>
        <v>Theologus et mysticus Dominicanus Germanicus fundator mysticae Rhenanae notus pro sermonibus paradoxis de detractione unione cum Deo et praesentia divina in anima magister theologiae Parisiis</v>
      </c>
      <c r="J1442" t="str">
        <f>_xlfn.XLOOKUP(frasest[[#This Row],[autor_es]],autorest[autor_es],autorest[codigo])</f>
        <v>la</v>
      </c>
      <c r="K1442" t="str">
        <f>_xlfn.XLOOKUP(frasest[[#This Row],[autor_es]],autorest[autor_es],autorest[idioma_es])</f>
        <v>Latín</v>
      </c>
      <c r="L1442" t="str">
        <f>_xlfn.XLOOKUP(frasest[[#This Row],[autor_es]],autorest[autor_es],autorest[idioma_la])</f>
        <v>Lingua Latina</v>
      </c>
      <c r="M1442" t="str">
        <f>_xlfn.XLOOKUP(frasest[[#This Row],[autor_es]],autorest[autor_es],autorest[nacion_es])</f>
        <v>Alemania</v>
      </c>
      <c r="N1442" t="str">
        <f>_xlfn.XLOOKUP(frasest[[#This Row],[autor_es]],autorest[autor_es],autorest[nacion_la])</f>
        <v>Germania</v>
      </c>
      <c r="O1442" t="str">
        <f>_xlfn.XLOOKUP(frasest[[#This Row],[autor_es]],autorest[autor_es],autorest[epoca_es])</f>
        <v>Edad Media</v>
      </c>
      <c r="P1442" t="str">
        <f>_xlfn.XLOOKUP(frasest[[#This Row],[autor_es]],autorest[autor_es],autorest[epoca_la])</f>
        <v>Medium Aevum</v>
      </c>
      <c r="Q1442" t="str">
        <f>_xlfn.XLOOKUP(frasest[[#This Row],[autor_es]],autorest[autor_es],autorest[imagen])</f>
        <v>https://i.ibb.co/WCsSjKp/eckhart.png</v>
      </c>
      <c r="R1442">
        <f>_xlfn.XLOOKUP(frasest[[#This Row],[autor_es]],autorest[autor_es],autorest[imagen_atr])</f>
        <v>0</v>
      </c>
    </row>
    <row r="1443" spans="1:18">
      <c r="A1443">
        <v>1442</v>
      </c>
      <c r="B1443" t="s">
        <v>4461</v>
      </c>
      <c r="C1443" t="s">
        <v>4462</v>
      </c>
      <c r="D1443" t="s">
        <v>4462</v>
      </c>
      <c r="E1443" t="s">
        <v>4443</v>
      </c>
      <c r="F1443" t="s">
        <v>4444</v>
      </c>
      <c r="G1443" t="str">
        <f>_xlfn.XLOOKUP(frasest[[#This Row],[autor_es]],autorest[autor_es],autorest[autor_la])</f>
        <v>Magister Eckhart</v>
      </c>
      <c r="H1443" t="str">
        <f>_xlfn.XLOOKUP(frasest[[#This Row],[autor_es]],autorest[autor_es],autorest[bio_es])</f>
        <v>Teólogo y místico dominico alemán fundador de la mística renana conocido por sus sermones paradójicos sobre el desapego la unión con Dios y la presencia divina en el alma siendo maestro de teología en París</v>
      </c>
      <c r="I1443" t="str">
        <f>_xlfn.XLOOKUP(frasest[[#This Row],[autor_es]],autorest[autor_es],autorest[bio_la])</f>
        <v>Theologus et mysticus Dominicanus Germanicus fundator mysticae Rhenanae notus pro sermonibus paradoxis de detractione unione cum Deo et praesentia divina in anima magister theologiae Parisiis</v>
      </c>
      <c r="J1443" t="str">
        <f>_xlfn.XLOOKUP(frasest[[#This Row],[autor_es]],autorest[autor_es],autorest[codigo])</f>
        <v>la</v>
      </c>
      <c r="K1443" t="str">
        <f>_xlfn.XLOOKUP(frasest[[#This Row],[autor_es]],autorest[autor_es],autorest[idioma_es])</f>
        <v>Latín</v>
      </c>
      <c r="L1443" t="str">
        <f>_xlfn.XLOOKUP(frasest[[#This Row],[autor_es]],autorest[autor_es],autorest[idioma_la])</f>
        <v>Lingua Latina</v>
      </c>
      <c r="M1443" t="str">
        <f>_xlfn.XLOOKUP(frasest[[#This Row],[autor_es]],autorest[autor_es],autorest[nacion_es])</f>
        <v>Alemania</v>
      </c>
      <c r="N1443" t="str">
        <f>_xlfn.XLOOKUP(frasest[[#This Row],[autor_es]],autorest[autor_es],autorest[nacion_la])</f>
        <v>Germania</v>
      </c>
      <c r="O1443" t="str">
        <f>_xlfn.XLOOKUP(frasest[[#This Row],[autor_es]],autorest[autor_es],autorest[epoca_es])</f>
        <v>Edad Media</v>
      </c>
      <c r="P1443" t="str">
        <f>_xlfn.XLOOKUP(frasest[[#This Row],[autor_es]],autorest[autor_es],autorest[epoca_la])</f>
        <v>Medium Aevum</v>
      </c>
      <c r="Q1443" t="str">
        <f>_xlfn.XLOOKUP(frasest[[#This Row],[autor_es]],autorest[autor_es],autorest[imagen])</f>
        <v>https://i.ibb.co/WCsSjKp/eckhart.png</v>
      </c>
      <c r="R1443">
        <f>_xlfn.XLOOKUP(frasest[[#This Row],[autor_es]],autorest[autor_es],autorest[imagen_atr])</f>
        <v>0</v>
      </c>
    </row>
    <row r="1444" spans="1:18">
      <c r="A1444">
        <v>1443</v>
      </c>
      <c r="B1444" t="s">
        <v>4463</v>
      </c>
      <c r="C1444" t="s">
        <v>4464</v>
      </c>
      <c r="D1444" t="s">
        <v>4464</v>
      </c>
      <c r="E1444" t="s">
        <v>4443</v>
      </c>
      <c r="F1444" t="s">
        <v>4444</v>
      </c>
      <c r="G1444" t="str">
        <f>_xlfn.XLOOKUP(frasest[[#This Row],[autor_es]],autorest[autor_es],autorest[autor_la])</f>
        <v>Magister Eckhart</v>
      </c>
      <c r="H1444" t="str">
        <f>_xlfn.XLOOKUP(frasest[[#This Row],[autor_es]],autorest[autor_es],autorest[bio_es])</f>
        <v>Teólogo y místico dominico alemán fundador de la mística renana conocido por sus sermones paradójicos sobre el desapego la unión con Dios y la presencia divina en el alma siendo maestro de teología en París</v>
      </c>
      <c r="I1444" t="str">
        <f>_xlfn.XLOOKUP(frasest[[#This Row],[autor_es]],autorest[autor_es],autorest[bio_la])</f>
        <v>Theologus et mysticus Dominicanus Germanicus fundator mysticae Rhenanae notus pro sermonibus paradoxis de detractione unione cum Deo et praesentia divina in anima magister theologiae Parisiis</v>
      </c>
      <c r="J1444" t="str">
        <f>_xlfn.XLOOKUP(frasest[[#This Row],[autor_es]],autorest[autor_es],autorest[codigo])</f>
        <v>la</v>
      </c>
      <c r="K1444" t="str">
        <f>_xlfn.XLOOKUP(frasest[[#This Row],[autor_es]],autorest[autor_es],autorest[idioma_es])</f>
        <v>Latín</v>
      </c>
      <c r="L1444" t="str">
        <f>_xlfn.XLOOKUP(frasest[[#This Row],[autor_es]],autorest[autor_es],autorest[idioma_la])</f>
        <v>Lingua Latina</v>
      </c>
      <c r="M1444" t="str">
        <f>_xlfn.XLOOKUP(frasest[[#This Row],[autor_es]],autorest[autor_es],autorest[nacion_es])</f>
        <v>Alemania</v>
      </c>
      <c r="N1444" t="str">
        <f>_xlfn.XLOOKUP(frasest[[#This Row],[autor_es]],autorest[autor_es],autorest[nacion_la])</f>
        <v>Germania</v>
      </c>
      <c r="O1444" t="str">
        <f>_xlfn.XLOOKUP(frasest[[#This Row],[autor_es]],autorest[autor_es],autorest[epoca_es])</f>
        <v>Edad Media</v>
      </c>
      <c r="P1444" t="str">
        <f>_xlfn.XLOOKUP(frasest[[#This Row],[autor_es]],autorest[autor_es],autorest[epoca_la])</f>
        <v>Medium Aevum</v>
      </c>
      <c r="Q1444" t="str">
        <f>_xlfn.XLOOKUP(frasest[[#This Row],[autor_es]],autorest[autor_es],autorest[imagen])</f>
        <v>https://i.ibb.co/WCsSjKp/eckhart.png</v>
      </c>
      <c r="R1444">
        <f>_xlfn.XLOOKUP(frasest[[#This Row],[autor_es]],autorest[autor_es],autorest[imagen_atr])</f>
        <v>0</v>
      </c>
    </row>
    <row r="1445" spans="1:18">
      <c r="A1445">
        <v>1444</v>
      </c>
      <c r="B1445" t="s">
        <v>4465</v>
      </c>
      <c r="C1445" t="s">
        <v>4466</v>
      </c>
      <c r="D1445" t="s">
        <v>4466</v>
      </c>
      <c r="E1445" t="s">
        <v>4443</v>
      </c>
      <c r="F1445" t="s">
        <v>4444</v>
      </c>
      <c r="G1445" t="str">
        <f>_xlfn.XLOOKUP(frasest[[#This Row],[autor_es]],autorest[autor_es],autorest[autor_la])</f>
        <v>Magister Eckhart</v>
      </c>
      <c r="H1445" t="str">
        <f>_xlfn.XLOOKUP(frasest[[#This Row],[autor_es]],autorest[autor_es],autorest[bio_es])</f>
        <v>Teólogo y místico dominico alemán fundador de la mística renana conocido por sus sermones paradójicos sobre el desapego la unión con Dios y la presencia divina en el alma siendo maestro de teología en París</v>
      </c>
      <c r="I1445" t="str">
        <f>_xlfn.XLOOKUP(frasest[[#This Row],[autor_es]],autorest[autor_es],autorest[bio_la])</f>
        <v>Theologus et mysticus Dominicanus Germanicus fundator mysticae Rhenanae notus pro sermonibus paradoxis de detractione unione cum Deo et praesentia divina in anima magister theologiae Parisiis</v>
      </c>
      <c r="J1445" t="str">
        <f>_xlfn.XLOOKUP(frasest[[#This Row],[autor_es]],autorest[autor_es],autorest[codigo])</f>
        <v>la</v>
      </c>
      <c r="K1445" t="str">
        <f>_xlfn.XLOOKUP(frasest[[#This Row],[autor_es]],autorest[autor_es],autorest[idioma_es])</f>
        <v>Latín</v>
      </c>
      <c r="L1445" t="str">
        <f>_xlfn.XLOOKUP(frasest[[#This Row],[autor_es]],autorest[autor_es],autorest[idioma_la])</f>
        <v>Lingua Latina</v>
      </c>
      <c r="M1445" t="str">
        <f>_xlfn.XLOOKUP(frasest[[#This Row],[autor_es]],autorest[autor_es],autorest[nacion_es])</f>
        <v>Alemania</v>
      </c>
      <c r="N1445" t="str">
        <f>_xlfn.XLOOKUP(frasest[[#This Row],[autor_es]],autorest[autor_es],autorest[nacion_la])</f>
        <v>Germania</v>
      </c>
      <c r="O1445" t="str">
        <f>_xlfn.XLOOKUP(frasest[[#This Row],[autor_es]],autorest[autor_es],autorest[epoca_es])</f>
        <v>Edad Media</v>
      </c>
      <c r="P1445" t="str">
        <f>_xlfn.XLOOKUP(frasest[[#This Row],[autor_es]],autorest[autor_es],autorest[epoca_la])</f>
        <v>Medium Aevum</v>
      </c>
      <c r="Q1445" t="str">
        <f>_xlfn.XLOOKUP(frasest[[#This Row],[autor_es]],autorest[autor_es],autorest[imagen])</f>
        <v>https://i.ibb.co/WCsSjKp/eckhart.png</v>
      </c>
      <c r="R1445">
        <f>_xlfn.XLOOKUP(frasest[[#This Row],[autor_es]],autorest[autor_es],autorest[imagen_atr])</f>
        <v>0</v>
      </c>
    </row>
    <row r="1446" spans="1:18">
      <c r="A1446">
        <v>1445</v>
      </c>
      <c r="B1446" t="s">
        <v>4467</v>
      </c>
      <c r="C1446" t="s">
        <v>4468</v>
      </c>
      <c r="D1446" t="s">
        <v>4468</v>
      </c>
      <c r="E1446" t="s">
        <v>4443</v>
      </c>
      <c r="F1446" t="s">
        <v>4444</v>
      </c>
      <c r="G1446" t="str">
        <f>_xlfn.XLOOKUP(frasest[[#This Row],[autor_es]],autorest[autor_es],autorest[autor_la])</f>
        <v>Magister Eckhart</v>
      </c>
      <c r="H1446" t="str">
        <f>_xlfn.XLOOKUP(frasest[[#This Row],[autor_es]],autorest[autor_es],autorest[bio_es])</f>
        <v>Teólogo y místico dominico alemán fundador de la mística renana conocido por sus sermones paradójicos sobre el desapego la unión con Dios y la presencia divina en el alma siendo maestro de teología en París</v>
      </c>
      <c r="I1446" t="str">
        <f>_xlfn.XLOOKUP(frasest[[#This Row],[autor_es]],autorest[autor_es],autorest[bio_la])</f>
        <v>Theologus et mysticus Dominicanus Germanicus fundator mysticae Rhenanae notus pro sermonibus paradoxis de detractione unione cum Deo et praesentia divina in anima magister theologiae Parisiis</v>
      </c>
      <c r="J1446" t="str">
        <f>_xlfn.XLOOKUP(frasest[[#This Row],[autor_es]],autorest[autor_es],autorest[codigo])</f>
        <v>la</v>
      </c>
      <c r="K1446" t="str">
        <f>_xlfn.XLOOKUP(frasest[[#This Row],[autor_es]],autorest[autor_es],autorest[idioma_es])</f>
        <v>Latín</v>
      </c>
      <c r="L1446" t="str">
        <f>_xlfn.XLOOKUP(frasest[[#This Row],[autor_es]],autorest[autor_es],autorest[idioma_la])</f>
        <v>Lingua Latina</v>
      </c>
      <c r="M1446" t="str">
        <f>_xlfn.XLOOKUP(frasest[[#This Row],[autor_es]],autorest[autor_es],autorest[nacion_es])</f>
        <v>Alemania</v>
      </c>
      <c r="N1446" t="str">
        <f>_xlfn.XLOOKUP(frasest[[#This Row],[autor_es]],autorest[autor_es],autorest[nacion_la])</f>
        <v>Germania</v>
      </c>
      <c r="O1446" t="str">
        <f>_xlfn.XLOOKUP(frasest[[#This Row],[autor_es]],autorest[autor_es],autorest[epoca_es])</f>
        <v>Edad Media</v>
      </c>
      <c r="P1446" t="str">
        <f>_xlfn.XLOOKUP(frasest[[#This Row],[autor_es]],autorest[autor_es],autorest[epoca_la])</f>
        <v>Medium Aevum</v>
      </c>
      <c r="Q1446" t="str">
        <f>_xlfn.XLOOKUP(frasest[[#This Row],[autor_es]],autorest[autor_es],autorest[imagen])</f>
        <v>https://i.ibb.co/WCsSjKp/eckhart.png</v>
      </c>
      <c r="R1446">
        <f>_xlfn.XLOOKUP(frasest[[#This Row],[autor_es]],autorest[autor_es],autorest[imagen_atr])</f>
        <v>0</v>
      </c>
    </row>
    <row r="1447" spans="1:18">
      <c r="A1447">
        <v>1446</v>
      </c>
      <c r="B1447" t="s">
        <v>4469</v>
      </c>
      <c r="C1447" t="s">
        <v>4470</v>
      </c>
      <c r="D1447" t="s">
        <v>4470</v>
      </c>
      <c r="E1447" t="s">
        <v>4443</v>
      </c>
      <c r="F1447" t="s">
        <v>4444</v>
      </c>
      <c r="G1447" t="str">
        <f>_xlfn.XLOOKUP(frasest[[#This Row],[autor_es]],autorest[autor_es],autorest[autor_la])</f>
        <v>Magister Eckhart</v>
      </c>
      <c r="H1447" t="str">
        <f>_xlfn.XLOOKUP(frasest[[#This Row],[autor_es]],autorest[autor_es],autorest[bio_es])</f>
        <v>Teólogo y místico dominico alemán fundador de la mística renana conocido por sus sermones paradójicos sobre el desapego la unión con Dios y la presencia divina en el alma siendo maestro de teología en París</v>
      </c>
      <c r="I1447" t="str">
        <f>_xlfn.XLOOKUP(frasest[[#This Row],[autor_es]],autorest[autor_es],autorest[bio_la])</f>
        <v>Theologus et mysticus Dominicanus Germanicus fundator mysticae Rhenanae notus pro sermonibus paradoxis de detractione unione cum Deo et praesentia divina in anima magister theologiae Parisiis</v>
      </c>
      <c r="J1447" t="str">
        <f>_xlfn.XLOOKUP(frasest[[#This Row],[autor_es]],autorest[autor_es],autorest[codigo])</f>
        <v>la</v>
      </c>
      <c r="K1447" t="str">
        <f>_xlfn.XLOOKUP(frasest[[#This Row],[autor_es]],autorest[autor_es],autorest[idioma_es])</f>
        <v>Latín</v>
      </c>
      <c r="L1447" t="str">
        <f>_xlfn.XLOOKUP(frasest[[#This Row],[autor_es]],autorest[autor_es],autorest[idioma_la])</f>
        <v>Lingua Latina</v>
      </c>
      <c r="M1447" t="str">
        <f>_xlfn.XLOOKUP(frasest[[#This Row],[autor_es]],autorest[autor_es],autorest[nacion_es])</f>
        <v>Alemania</v>
      </c>
      <c r="N1447" t="str">
        <f>_xlfn.XLOOKUP(frasest[[#This Row],[autor_es]],autorest[autor_es],autorest[nacion_la])</f>
        <v>Germania</v>
      </c>
      <c r="O1447" t="str">
        <f>_xlfn.XLOOKUP(frasest[[#This Row],[autor_es]],autorest[autor_es],autorest[epoca_es])</f>
        <v>Edad Media</v>
      </c>
      <c r="P1447" t="str">
        <f>_xlfn.XLOOKUP(frasest[[#This Row],[autor_es]],autorest[autor_es],autorest[epoca_la])</f>
        <v>Medium Aevum</v>
      </c>
      <c r="Q1447" t="str">
        <f>_xlfn.XLOOKUP(frasest[[#This Row],[autor_es]],autorest[autor_es],autorest[imagen])</f>
        <v>https://i.ibb.co/WCsSjKp/eckhart.png</v>
      </c>
      <c r="R1447">
        <f>_xlfn.XLOOKUP(frasest[[#This Row],[autor_es]],autorest[autor_es],autorest[imagen_atr])</f>
        <v>0</v>
      </c>
    </row>
    <row r="1448" spans="1:18">
      <c r="A1448">
        <v>1447</v>
      </c>
      <c r="B1448" t="s">
        <v>4471</v>
      </c>
      <c r="C1448" t="s">
        <v>4472</v>
      </c>
      <c r="D1448" t="s">
        <v>4472</v>
      </c>
      <c r="E1448" t="s">
        <v>4443</v>
      </c>
      <c r="F1448" t="s">
        <v>4444</v>
      </c>
      <c r="G1448" t="str">
        <f>_xlfn.XLOOKUP(frasest[[#This Row],[autor_es]],autorest[autor_es],autorest[autor_la])</f>
        <v>Magister Eckhart</v>
      </c>
      <c r="H1448" t="str">
        <f>_xlfn.XLOOKUP(frasest[[#This Row],[autor_es]],autorest[autor_es],autorest[bio_es])</f>
        <v>Teólogo y místico dominico alemán fundador de la mística renana conocido por sus sermones paradójicos sobre el desapego la unión con Dios y la presencia divina en el alma siendo maestro de teología en París</v>
      </c>
      <c r="I1448" t="str">
        <f>_xlfn.XLOOKUP(frasest[[#This Row],[autor_es]],autorest[autor_es],autorest[bio_la])</f>
        <v>Theologus et mysticus Dominicanus Germanicus fundator mysticae Rhenanae notus pro sermonibus paradoxis de detractione unione cum Deo et praesentia divina in anima magister theologiae Parisiis</v>
      </c>
      <c r="J1448" t="str">
        <f>_xlfn.XLOOKUP(frasest[[#This Row],[autor_es]],autorest[autor_es],autorest[codigo])</f>
        <v>la</v>
      </c>
      <c r="K1448" t="str">
        <f>_xlfn.XLOOKUP(frasest[[#This Row],[autor_es]],autorest[autor_es],autorest[idioma_es])</f>
        <v>Latín</v>
      </c>
      <c r="L1448" t="str">
        <f>_xlfn.XLOOKUP(frasest[[#This Row],[autor_es]],autorest[autor_es],autorest[idioma_la])</f>
        <v>Lingua Latina</v>
      </c>
      <c r="M1448" t="str">
        <f>_xlfn.XLOOKUP(frasest[[#This Row],[autor_es]],autorest[autor_es],autorest[nacion_es])</f>
        <v>Alemania</v>
      </c>
      <c r="N1448" t="str">
        <f>_xlfn.XLOOKUP(frasest[[#This Row],[autor_es]],autorest[autor_es],autorest[nacion_la])</f>
        <v>Germania</v>
      </c>
      <c r="O1448" t="str">
        <f>_xlfn.XLOOKUP(frasest[[#This Row],[autor_es]],autorest[autor_es],autorest[epoca_es])</f>
        <v>Edad Media</v>
      </c>
      <c r="P1448" t="str">
        <f>_xlfn.XLOOKUP(frasest[[#This Row],[autor_es]],autorest[autor_es],autorest[epoca_la])</f>
        <v>Medium Aevum</v>
      </c>
      <c r="Q1448" t="str">
        <f>_xlfn.XLOOKUP(frasest[[#This Row],[autor_es]],autorest[autor_es],autorest[imagen])</f>
        <v>https://i.ibb.co/WCsSjKp/eckhart.png</v>
      </c>
      <c r="R1448">
        <f>_xlfn.XLOOKUP(frasest[[#This Row],[autor_es]],autorest[autor_es],autorest[imagen_atr])</f>
        <v>0</v>
      </c>
    </row>
    <row r="1449" spans="1:18">
      <c r="A1449">
        <v>1448</v>
      </c>
      <c r="B1449" t="s">
        <v>4473</v>
      </c>
      <c r="C1449" t="s">
        <v>4474</v>
      </c>
      <c r="D1449" t="s">
        <v>4474</v>
      </c>
      <c r="E1449" t="s">
        <v>4443</v>
      </c>
      <c r="F1449" t="s">
        <v>4444</v>
      </c>
      <c r="G1449" t="str">
        <f>_xlfn.XLOOKUP(frasest[[#This Row],[autor_es]],autorest[autor_es],autorest[autor_la])</f>
        <v>Magister Eckhart</v>
      </c>
      <c r="H1449" t="str">
        <f>_xlfn.XLOOKUP(frasest[[#This Row],[autor_es]],autorest[autor_es],autorest[bio_es])</f>
        <v>Teólogo y místico dominico alemán fundador de la mística renana conocido por sus sermones paradójicos sobre el desapego la unión con Dios y la presencia divina en el alma siendo maestro de teología en París</v>
      </c>
      <c r="I1449" t="str">
        <f>_xlfn.XLOOKUP(frasest[[#This Row],[autor_es]],autorest[autor_es],autorest[bio_la])</f>
        <v>Theologus et mysticus Dominicanus Germanicus fundator mysticae Rhenanae notus pro sermonibus paradoxis de detractione unione cum Deo et praesentia divina in anima magister theologiae Parisiis</v>
      </c>
      <c r="J1449" t="str">
        <f>_xlfn.XLOOKUP(frasest[[#This Row],[autor_es]],autorest[autor_es],autorest[codigo])</f>
        <v>la</v>
      </c>
      <c r="K1449" t="str">
        <f>_xlfn.XLOOKUP(frasest[[#This Row],[autor_es]],autorest[autor_es],autorest[idioma_es])</f>
        <v>Latín</v>
      </c>
      <c r="L1449" t="str">
        <f>_xlfn.XLOOKUP(frasest[[#This Row],[autor_es]],autorest[autor_es],autorest[idioma_la])</f>
        <v>Lingua Latina</v>
      </c>
      <c r="M1449" t="str">
        <f>_xlfn.XLOOKUP(frasest[[#This Row],[autor_es]],autorest[autor_es],autorest[nacion_es])</f>
        <v>Alemania</v>
      </c>
      <c r="N1449" t="str">
        <f>_xlfn.XLOOKUP(frasest[[#This Row],[autor_es]],autorest[autor_es],autorest[nacion_la])</f>
        <v>Germania</v>
      </c>
      <c r="O1449" t="str">
        <f>_xlfn.XLOOKUP(frasest[[#This Row],[autor_es]],autorest[autor_es],autorest[epoca_es])</f>
        <v>Edad Media</v>
      </c>
      <c r="P1449" t="str">
        <f>_xlfn.XLOOKUP(frasest[[#This Row],[autor_es]],autorest[autor_es],autorest[epoca_la])</f>
        <v>Medium Aevum</v>
      </c>
      <c r="Q1449" t="str">
        <f>_xlfn.XLOOKUP(frasest[[#This Row],[autor_es]],autorest[autor_es],autorest[imagen])</f>
        <v>https://i.ibb.co/WCsSjKp/eckhart.png</v>
      </c>
      <c r="R1449">
        <f>_xlfn.XLOOKUP(frasest[[#This Row],[autor_es]],autorest[autor_es],autorest[imagen_atr])</f>
        <v>0</v>
      </c>
    </row>
    <row r="1450" spans="1:18">
      <c r="A1450">
        <v>1449</v>
      </c>
      <c r="B1450" t="s">
        <v>4475</v>
      </c>
      <c r="C1450" t="s">
        <v>4476</v>
      </c>
      <c r="D1450" t="s">
        <v>4476</v>
      </c>
      <c r="E1450" t="s">
        <v>4477</v>
      </c>
      <c r="F1450" t="s">
        <v>4478</v>
      </c>
      <c r="G1450" t="str">
        <f>_xlfn.XLOOKUP(frasest[[#This Row],[autor_es]],autorest[autor_es],autorest[autor_la])</f>
        <v>Sanctus Franciscus Xaverius</v>
      </c>
      <c r="H1450" t="str">
        <f>_xlfn.XLOOKUP(frasest[[#This Row],[autor_es]],autorest[autor_es],autorest[bio_es])</f>
        <v>Sacerdote jesuita navarro cofundador de la Compañía de Jesús junto a Ignacio de Loyola misionero apostólico en India y Japón patrono de las misiones que evangelizó Asia con gran fervor bautizando miles de personas</v>
      </c>
      <c r="I1450" t="str">
        <f>_xlfn.XLOOKUP(frasest[[#This Row],[autor_es]],autorest[autor_es],autorest[bio_la])</f>
        <v>Sacerdos Iesuita Navarrensis cofundator Societatis Iesu cum Ignatio de Loyola missionarius apostolicus in India et Iaponia patronus missionum qui Asiam magno fervore evangelizavit millia personarum baptizans</v>
      </c>
      <c r="J1450" t="str">
        <f>_xlfn.XLOOKUP(frasest[[#This Row],[autor_es]],autorest[autor_es],autorest[codigo])</f>
        <v>es</v>
      </c>
      <c r="K1450" t="str">
        <f>_xlfn.XLOOKUP(frasest[[#This Row],[autor_es]],autorest[autor_es],autorest[idioma_es])</f>
        <v>Español</v>
      </c>
      <c r="L1450" t="str">
        <f>_xlfn.XLOOKUP(frasest[[#This Row],[autor_es]],autorest[autor_es],autorest[idioma_la])</f>
        <v>Lingua Hispanica</v>
      </c>
      <c r="M1450" t="str">
        <f>_xlfn.XLOOKUP(frasest[[#This Row],[autor_es]],autorest[autor_es],autorest[nacion_es])</f>
        <v>España</v>
      </c>
      <c r="N1450" t="str">
        <f>_xlfn.XLOOKUP(frasest[[#This Row],[autor_es]],autorest[autor_es],autorest[nacion_la])</f>
        <v>Hispania</v>
      </c>
      <c r="O1450" t="str">
        <f>_xlfn.XLOOKUP(frasest[[#This Row],[autor_es]],autorest[autor_es],autorest[epoca_es])</f>
        <v>Edad Moderna</v>
      </c>
      <c r="P1450" t="str">
        <f>_xlfn.XLOOKUP(frasest[[#This Row],[autor_es]],autorest[autor_es],autorest[epoca_la])</f>
        <v>Nova Aetas</v>
      </c>
      <c r="Q1450" t="str">
        <f>_xlfn.XLOOKUP(frasest[[#This Row],[autor_es]],autorest[autor_es],autorest[imagen])</f>
        <v>https://i.ibb.co/0jY6Nmcb/franciscojavier.png</v>
      </c>
      <c r="R1450">
        <f>_xlfn.XLOOKUP(frasest[[#This Row],[autor_es]],autorest[autor_es],autorest[imagen_atr])</f>
        <v>0</v>
      </c>
    </row>
    <row r="1451" spans="1:18">
      <c r="A1451">
        <v>1450</v>
      </c>
      <c r="B1451" t="s">
        <v>4479</v>
      </c>
      <c r="C1451" t="s">
        <v>4480</v>
      </c>
      <c r="D1451" t="s">
        <v>4480</v>
      </c>
      <c r="E1451" t="s">
        <v>4477</v>
      </c>
      <c r="F1451" t="s">
        <v>4478</v>
      </c>
      <c r="G1451" t="str">
        <f>_xlfn.XLOOKUP(frasest[[#This Row],[autor_es]],autorest[autor_es],autorest[autor_la])</f>
        <v>Sanctus Franciscus Xaverius</v>
      </c>
      <c r="H1451" t="str">
        <f>_xlfn.XLOOKUP(frasest[[#This Row],[autor_es]],autorest[autor_es],autorest[bio_es])</f>
        <v>Sacerdote jesuita navarro cofundador de la Compañía de Jesús junto a Ignacio de Loyola misionero apostólico en India y Japón patrono de las misiones que evangelizó Asia con gran fervor bautizando miles de personas</v>
      </c>
      <c r="I1451" t="str">
        <f>_xlfn.XLOOKUP(frasest[[#This Row],[autor_es]],autorest[autor_es],autorest[bio_la])</f>
        <v>Sacerdos Iesuita Navarrensis cofundator Societatis Iesu cum Ignatio de Loyola missionarius apostolicus in India et Iaponia patronus missionum qui Asiam magno fervore evangelizavit millia personarum baptizans</v>
      </c>
      <c r="J1451" t="str">
        <f>_xlfn.XLOOKUP(frasest[[#This Row],[autor_es]],autorest[autor_es],autorest[codigo])</f>
        <v>es</v>
      </c>
      <c r="K1451" t="str">
        <f>_xlfn.XLOOKUP(frasest[[#This Row],[autor_es]],autorest[autor_es],autorest[idioma_es])</f>
        <v>Español</v>
      </c>
      <c r="L1451" t="str">
        <f>_xlfn.XLOOKUP(frasest[[#This Row],[autor_es]],autorest[autor_es],autorest[idioma_la])</f>
        <v>Lingua Hispanica</v>
      </c>
      <c r="M1451" t="str">
        <f>_xlfn.XLOOKUP(frasest[[#This Row],[autor_es]],autorest[autor_es],autorest[nacion_es])</f>
        <v>España</v>
      </c>
      <c r="N1451" t="str">
        <f>_xlfn.XLOOKUP(frasest[[#This Row],[autor_es]],autorest[autor_es],autorest[nacion_la])</f>
        <v>Hispania</v>
      </c>
      <c r="O1451" t="str">
        <f>_xlfn.XLOOKUP(frasest[[#This Row],[autor_es]],autorest[autor_es],autorest[epoca_es])</f>
        <v>Edad Moderna</v>
      </c>
      <c r="P1451" t="str">
        <f>_xlfn.XLOOKUP(frasest[[#This Row],[autor_es]],autorest[autor_es],autorest[epoca_la])</f>
        <v>Nova Aetas</v>
      </c>
      <c r="Q1451" t="str">
        <f>_xlfn.XLOOKUP(frasest[[#This Row],[autor_es]],autorest[autor_es],autorest[imagen])</f>
        <v>https://i.ibb.co/0jY6Nmcb/franciscojavier.png</v>
      </c>
      <c r="R1451">
        <f>_xlfn.XLOOKUP(frasest[[#This Row],[autor_es]],autorest[autor_es],autorest[imagen_atr])</f>
        <v>0</v>
      </c>
    </row>
    <row r="1452" spans="1:18">
      <c r="A1452">
        <v>1451</v>
      </c>
      <c r="B1452" t="s">
        <v>4481</v>
      </c>
      <c r="C1452" t="s">
        <v>4482</v>
      </c>
      <c r="D1452" t="s">
        <v>4482</v>
      </c>
      <c r="E1452" t="s">
        <v>4477</v>
      </c>
      <c r="F1452" t="s">
        <v>4478</v>
      </c>
      <c r="G1452" t="str">
        <f>_xlfn.XLOOKUP(frasest[[#This Row],[autor_es]],autorest[autor_es],autorest[autor_la])</f>
        <v>Sanctus Franciscus Xaverius</v>
      </c>
      <c r="H1452" t="str">
        <f>_xlfn.XLOOKUP(frasest[[#This Row],[autor_es]],autorest[autor_es],autorest[bio_es])</f>
        <v>Sacerdote jesuita navarro cofundador de la Compañía de Jesús junto a Ignacio de Loyola misionero apostólico en India y Japón patrono de las misiones que evangelizó Asia con gran fervor bautizando miles de personas</v>
      </c>
      <c r="I1452" t="str">
        <f>_xlfn.XLOOKUP(frasest[[#This Row],[autor_es]],autorest[autor_es],autorest[bio_la])</f>
        <v>Sacerdos Iesuita Navarrensis cofundator Societatis Iesu cum Ignatio de Loyola missionarius apostolicus in India et Iaponia patronus missionum qui Asiam magno fervore evangelizavit millia personarum baptizans</v>
      </c>
      <c r="J1452" t="str">
        <f>_xlfn.XLOOKUP(frasest[[#This Row],[autor_es]],autorest[autor_es],autorest[codigo])</f>
        <v>es</v>
      </c>
      <c r="K1452" t="str">
        <f>_xlfn.XLOOKUP(frasest[[#This Row],[autor_es]],autorest[autor_es],autorest[idioma_es])</f>
        <v>Español</v>
      </c>
      <c r="L1452" t="str">
        <f>_xlfn.XLOOKUP(frasest[[#This Row],[autor_es]],autorest[autor_es],autorest[idioma_la])</f>
        <v>Lingua Hispanica</v>
      </c>
      <c r="M1452" t="str">
        <f>_xlfn.XLOOKUP(frasest[[#This Row],[autor_es]],autorest[autor_es],autorest[nacion_es])</f>
        <v>España</v>
      </c>
      <c r="N1452" t="str">
        <f>_xlfn.XLOOKUP(frasest[[#This Row],[autor_es]],autorest[autor_es],autorest[nacion_la])</f>
        <v>Hispania</v>
      </c>
      <c r="O1452" t="str">
        <f>_xlfn.XLOOKUP(frasest[[#This Row],[autor_es]],autorest[autor_es],autorest[epoca_es])</f>
        <v>Edad Moderna</v>
      </c>
      <c r="P1452" t="str">
        <f>_xlfn.XLOOKUP(frasest[[#This Row],[autor_es]],autorest[autor_es],autorest[epoca_la])</f>
        <v>Nova Aetas</v>
      </c>
      <c r="Q1452" t="str">
        <f>_xlfn.XLOOKUP(frasest[[#This Row],[autor_es]],autorest[autor_es],autorest[imagen])</f>
        <v>https://i.ibb.co/0jY6Nmcb/franciscojavier.png</v>
      </c>
      <c r="R1452">
        <f>_xlfn.XLOOKUP(frasest[[#This Row],[autor_es]],autorest[autor_es],autorest[imagen_atr])</f>
        <v>0</v>
      </c>
    </row>
    <row r="1453" spans="1:18">
      <c r="A1453">
        <v>1452</v>
      </c>
      <c r="B1453" t="s">
        <v>4483</v>
      </c>
      <c r="C1453" t="s">
        <v>4484</v>
      </c>
      <c r="D1453" t="s">
        <v>4484</v>
      </c>
      <c r="E1453" t="s">
        <v>4477</v>
      </c>
      <c r="F1453" t="s">
        <v>4478</v>
      </c>
      <c r="G1453" t="str">
        <f>_xlfn.XLOOKUP(frasest[[#This Row],[autor_es]],autorest[autor_es],autorest[autor_la])</f>
        <v>Sanctus Franciscus Xaverius</v>
      </c>
      <c r="H1453" t="str">
        <f>_xlfn.XLOOKUP(frasest[[#This Row],[autor_es]],autorest[autor_es],autorest[bio_es])</f>
        <v>Sacerdote jesuita navarro cofundador de la Compañía de Jesús junto a Ignacio de Loyola misionero apostólico en India y Japón patrono de las misiones que evangelizó Asia con gran fervor bautizando miles de personas</v>
      </c>
      <c r="I1453" t="str">
        <f>_xlfn.XLOOKUP(frasest[[#This Row],[autor_es]],autorest[autor_es],autorest[bio_la])</f>
        <v>Sacerdos Iesuita Navarrensis cofundator Societatis Iesu cum Ignatio de Loyola missionarius apostolicus in India et Iaponia patronus missionum qui Asiam magno fervore evangelizavit millia personarum baptizans</v>
      </c>
      <c r="J1453" t="str">
        <f>_xlfn.XLOOKUP(frasest[[#This Row],[autor_es]],autorest[autor_es],autorest[codigo])</f>
        <v>es</v>
      </c>
      <c r="K1453" t="str">
        <f>_xlfn.XLOOKUP(frasest[[#This Row],[autor_es]],autorest[autor_es],autorest[idioma_es])</f>
        <v>Español</v>
      </c>
      <c r="L1453" t="str">
        <f>_xlfn.XLOOKUP(frasest[[#This Row],[autor_es]],autorest[autor_es],autorest[idioma_la])</f>
        <v>Lingua Hispanica</v>
      </c>
      <c r="M1453" t="str">
        <f>_xlfn.XLOOKUP(frasest[[#This Row],[autor_es]],autorest[autor_es],autorest[nacion_es])</f>
        <v>España</v>
      </c>
      <c r="N1453" t="str">
        <f>_xlfn.XLOOKUP(frasest[[#This Row],[autor_es]],autorest[autor_es],autorest[nacion_la])</f>
        <v>Hispania</v>
      </c>
      <c r="O1453" t="str">
        <f>_xlfn.XLOOKUP(frasest[[#This Row],[autor_es]],autorest[autor_es],autorest[epoca_es])</f>
        <v>Edad Moderna</v>
      </c>
      <c r="P1453" t="str">
        <f>_xlfn.XLOOKUP(frasest[[#This Row],[autor_es]],autorest[autor_es],autorest[epoca_la])</f>
        <v>Nova Aetas</v>
      </c>
      <c r="Q1453" t="str">
        <f>_xlfn.XLOOKUP(frasest[[#This Row],[autor_es]],autorest[autor_es],autorest[imagen])</f>
        <v>https://i.ibb.co/0jY6Nmcb/franciscojavier.png</v>
      </c>
      <c r="R1453">
        <f>_xlfn.XLOOKUP(frasest[[#This Row],[autor_es]],autorest[autor_es],autorest[imagen_atr])</f>
        <v>0</v>
      </c>
    </row>
    <row r="1454" spans="1:18">
      <c r="A1454">
        <v>1453</v>
      </c>
      <c r="B1454" t="s">
        <v>4485</v>
      </c>
      <c r="C1454" t="s">
        <v>4486</v>
      </c>
      <c r="D1454" t="s">
        <v>4486</v>
      </c>
      <c r="E1454" t="s">
        <v>4487</v>
      </c>
      <c r="F1454" t="s">
        <v>4488</v>
      </c>
      <c r="G1454" t="str">
        <f>_xlfn.XLOOKUP(frasest[[#This Row],[autor_es]],autorest[autor_es],autorest[autor_la])</f>
        <v>Sanctus Ignatius de Loyola</v>
      </c>
      <c r="H1454" t="str">
        <f>_xlfn.XLOOKUP(frasest[[#This Row],[autor_es]],autorest[autor_es],autorest[bio_es])</f>
        <v>Militar y sacerdote vasco fundador y primer general de la Compañía de Jesús autor de los Ejercicios Espirituales figura clave de la Contrarreforma que estableció una orden religiosa basada en la obediencia al papa y el discernimiento espiritual</v>
      </c>
      <c r="I1454" t="str">
        <f>_xlfn.XLOOKUP(frasest[[#This Row],[autor_es]],autorest[autor_es],autorest[bio_la])</f>
        <v>Miles et sacerdos Vascus fundator et primus generalis Societatis Iesu auctor Exercitiorum Spiritualium figura principalis Contrareformationis qui ordinem religiosum in oboedientia ad papam et discretione spirituali fundavit</v>
      </c>
      <c r="J1454" t="str">
        <f>_xlfn.XLOOKUP(frasest[[#This Row],[autor_es]],autorest[autor_es],autorest[codigo])</f>
        <v>es</v>
      </c>
      <c r="K1454" t="str">
        <f>_xlfn.XLOOKUP(frasest[[#This Row],[autor_es]],autorest[autor_es],autorest[idioma_es])</f>
        <v>Español</v>
      </c>
      <c r="L1454" t="str">
        <f>_xlfn.XLOOKUP(frasest[[#This Row],[autor_es]],autorest[autor_es],autorest[idioma_la])</f>
        <v>Lingua Hispanica</v>
      </c>
      <c r="M1454" t="str">
        <f>_xlfn.XLOOKUP(frasest[[#This Row],[autor_es]],autorest[autor_es],autorest[nacion_es])</f>
        <v>España</v>
      </c>
      <c r="N1454" t="str">
        <f>_xlfn.XLOOKUP(frasest[[#This Row],[autor_es]],autorest[autor_es],autorest[nacion_la])</f>
        <v>Hispania</v>
      </c>
      <c r="O1454" t="str">
        <f>_xlfn.XLOOKUP(frasest[[#This Row],[autor_es]],autorest[autor_es],autorest[epoca_es])</f>
        <v>Edad Media</v>
      </c>
      <c r="P1454" t="str">
        <f>_xlfn.XLOOKUP(frasest[[#This Row],[autor_es]],autorest[autor_es],autorest[epoca_la])</f>
        <v>Medium Aevum</v>
      </c>
      <c r="Q1454" t="str">
        <f>_xlfn.XLOOKUP(frasest[[#This Row],[autor_es]],autorest[autor_es],autorest[imagen])</f>
        <v>https://i.ibb.co/DD8cx8tb/ignacioloiola.png</v>
      </c>
      <c r="R1454">
        <f>_xlfn.XLOOKUP(frasest[[#This Row],[autor_es]],autorest[autor_es],autorest[imagen_atr])</f>
        <v>0</v>
      </c>
    </row>
    <row r="1455" spans="1:18">
      <c r="A1455">
        <v>1454</v>
      </c>
      <c r="B1455" t="s">
        <v>4489</v>
      </c>
      <c r="C1455" t="s">
        <v>4490</v>
      </c>
      <c r="D1455" t="s">
        <v>4490</v>
      </c>
      <c r="E1455" t="s">
        <v>4487</v>
      </c>
      <c r="F1455" t="s">
        <v>4488</v>
      </c>
      <c r="G1455" t="str">
        <f>_xlfn.XLOOKUP(frasest[[#This Row],[autor_es]],autorest[autor_es],autorest[autor_la])</f>
        <v>Sanctus Ignatius de Loyola</v>
      </c>
      <c r="H1455" t="str">
        <f>_xlfn.XLOOKUP(frasest[[#This Row],[autor_es]],autorest[autor_es],autorest[bio_es])</f>
        <v>Militar y sacerdote vasco fundador y primer general de la Compañía de Jesús autor de los Ejercicios Espirituales figura clave de la Contrarreforma que estableció una orden religiosa basada en la obediencia al papa y el discernimiento espiritual</v>
      </c>
      <c r="I1455" t="str">
        <f>_xlfn.XLOOKUP(frasest[[#This Row],[autor_es]],autorest[autor_es],autorest[bio_la])</f>
        <v>Miles et sacerdos Vascus fundator et primus generalis Societatis Iesu auctor Exercitiorum Spiritualium figura principalis Contrareformationis qui ordinem religiosum in oboedientia ad papam et discretione spirituali fundavit</v>
      </c>
      <c r="J1455" t="str">
        <f>_xlfn.XLOOKUP(frasest[[#This Row],[autor_es]],autorest[autor_es],autorest[codigo])</f>
        <v>es</v>
      </c>
      <c r="K1455" t="str">
        <f>_xlfn.XLOOKUP(frasest[[#This Row],[autor_es]],autorest[autor_es],autorest[idioma_es])</f>
        <v>Español</v>
      </c>
      <c r="L1455" t="str">
        <f>_xlfn.XLOOKUP(frasest[[#This Row],[autor_es]],autorest[autor_es],autorest[idioma_la])</f>
        <v>Lingua Hispanica</v>
      </c>
      <c r="M1455" t="str">
        <f>_xlfn.XLOOKUP(frasest[[#This Row],[autor_es]],autorest[autor_es],autorest[nacion_es])</f>
        <v>España</v>
      </c>
      <c r="N1455" t="str">
        <f>_xlfn.XLOOKUP(frasest[[#This Row],[autor_es]],autorest[autor_es],autorest[nacion_la])</f>
        <v>Hispania</v>
      </c>
      <c r="O1455" t="str">
        <f>_xlfn.XLOOKUP(frasest[[#This Row],[autor_es]],autorest[autor_es],autorest[epoca_es])</f>
        <v>Edad Media</v>
      </c>
      <c r="P1455" t="str">
        <f>_xlfn.XLOOKUP(frasest[[#This Row],[autor_es]],autorest[autor_es],autorest[epoca_la])</f>
        <v>Medium Aevum</v>
      </c>
      <c r="Q1455" t="str">
        <f>_xlfn.XLOOKUP(frasest[[#This Row],[autor_es]],autorest[autor_es],autorest[imagen])</f>
        <v>https://i.ibb.co/DD8cx8tb/ignacioloiola.png</v>
      </c>
      <c r="R1455">
        <f>_xlfn.XLOOKUP(frasest[[#This Row],[autor_es]],autorest[autor_es],autorest[imagen_atr])</f>
        <v>0</v>
      </c>
    </row>
    <row r="1456" spans="1:18">
      <c r="A1456">
        <v>1455</v>
      </c>
      <c r="B1456" t="s">
        <v>4491</v>
      </c>
      <c r="C1456" t="s">
        <v>4492</v>
      </c>
      <c r="D1456" t="s">
        <v>4492</v>
      </c>
      <c r="E1456" t="s">
        <v>4487</v>
      </c>
      <c r="F1456" t="s">
        <v>4488</v>
      </c>
      <c r="G1456" t="str">
        <f>_xlfn.XLOOKUP(frasest[[#This Row],[autor_es]],autorest[autor_es],autorest[autor_la])</f>
        <v>Sanctus Ignatius de Loyola</v>
      </c>
      <c r="H1456" t="str">
        <f>_xlfn.XLOOKUP(frasest[[#This Row],[autor_es]],autorest[autor_es],autorest[bio_es])</f>
        <v>Militar y sacerdote vasco fundador y primer general de la Compañía de Jesús autor de los Ejercicios Espirituales figura clave de la Contrarreforma que estableció una orden religiosa basada en la obediencia al papa y el discernimiento espiritual</v>
      </c>
      <c r="I1456" t="str">
        <f>_xlfn.XLOOKUP(frasest[[#This Row],[autor_es]],autorest[autor_es],autorest[bio_la])</f>
        <v>Miles et sacerdos Vascus fundator et primus generalis Societatis Iesu auctor Exercitiorum Spiritualium figura principalis Contrareformationis qui ordinem religiosum in oboedientia ad papam et discretione spirituali fundavit</v>
      </c>
      <c r="J1456" t="str">
        <f>_xlfn.XLOOKUP(frasest[[#This Row],[autor_es]],autorest[autor_es],autorest[codigo])</f>
        <v>es</v>
      </c>
      <c r="K1456" t="str">
        <f>_xlfn.XLOOKUP(frasest[[#This Row],[autor_es]],autorest[autor_es],autorest[idioma_es])</f>
        <v>Español</v>
      </c>
      <c r="L1456" t="str">
        <f>_xlfn.XLOOKUP(frasest[[#This Row],[autor_es]],autorest[autor_es],autorest[idioma_la])</f>
        <v>Lingua Hispanica</v>
      </c>
      <c r="M1456" t="str">
        <f>_xlfn.XLOOKUP(frasest[[#This Row],[autor_es]],autorest[autor_es],autorest[nacion_es])</f>
        <v>España</v>
      </c>
      <c r="N1456" t="str">
        <f>_xlfn.XLOOKUP(frasest[[#This Row],[autor_es]],autorest[autor_es],autorest[nacion_la])</f>
        <v>Hispania</v>
      </c>
      <c r="O1456" t="str">
        <f>_xlfn.XLOOKUP(frasest[[#This Row],[autor_es]],autorest[autor_es],autorest[epoca_es])</f>
        <v>Edad Media</v>
      </c>
      <c r="P1456" t="str">
        <f>_xlfn.XLOOKUP(frasest[[#This Row],[autor_es]],autorest[autor_es],autorest[epoca_la])</f>
        <v>Medium Aevum</v>
      </c>
      <c r="Q1456" t="str">
        <f>_xlfn.XLOOKUP(frasest[[#This Row],[autor_es]],autorest[autor_es],autorest[imagen])</f>
        <v>https://i.ibb.co/DD8cx8tb/ignacioloiola.png</v>
      </c>
      <c r="R1456">
        <f>_xlfn.XLOOKUP(frasest[[#This Row],[autor_es]],autorest[autor_es],autorest[imagen_atr])</f>
        <v>0</v>
      </c>
    </row>
    <row r="1457" spans="1:18">
      <c r="A1457">
        <v>1456</v>
      </c>
      <c r="B1457" t="s">
        <v>4493</v>
      </c>
      <c r="C1457" t="s">
        <v>4494</v>
      </c>
      <c r="D1457" t="s">
        <v>4494</v>
      </c>
      <c r="E1457" t="s">
        <v>4487</v>
      </c>
      <c r="F1457" t="s">
        <v>4488</v>
      </c>
      <c r="G1457" t="str">
        <f>_xlfn.XLOOKUP(frasest[[#This Row],[autor_es]],autorest[autor_es],autorest[autor_la])</f>
        <v>Sanctus Ignatius de Loyola</v>
      </c>
      <c r="H1457" t="str">
        <f>_xlfn.XLOOKUP(frasest[[#This Row],[autor_es]],autorest[autor_es],autorest[bio_es])</f>
        <v>Militar y sacerdote vasco fundador y primer general de la Compañía de Jesús autor de los Ejercicios Espirituales figura clave de la Contrarreforma que estableció una orden religiosa basada en la obediencia al papa y el discernimiento espiritual</v>
      </c>
      <c r="I1457" t="str">
        <f>_xlfn.XLOOKUP(frasest[[#This Row],[autor_es]],autorest[autor_es],autorest[bio_la])</f>
        <v>Miles et sacerdos Vascus fundator et primus generalis Societatis Iesu auctor Exercitiorum Spiritualium figura principalis Contrareformationis qui ordinem religiosum in oboedientia ad papam et discretione spirituali fundavit</v>
      </c>
      <c r="J1457" t="str">
        <f>_xlfn.XLOOKUP(frasest[[#This Row],[autor_es]],autorest[autor_es],autorest[codigo])</f>
        <v>es</v>
      </c>
      <c r="K1457" t="str">
        <f>_xlfn.XLOOKUP(frasest[[#This Row],[autor_es]],autorest[autor_es],autorest[idioma_es])</f>
        <v>Español</v>
      </c>
      <c r="L1457" t="str">
        <f>_xlfn.XLOOKUP(frasest[[#This Row],[autor_es]],autorest[autor_es],autorest[idioma_la])</f>
        <v>Lingua Hispanica</v>
      </c>
      <c r="M1457" t="str">
        <f>_xlfn.XLOOKUP(frasest[[#This Row],[autor_es]],autorest[autor_es],autorest[nacion_es])</f>
        <v>España</v>
      </c>
      <c r="N1457" t="str">
        <f>_xlfn.XLOOKUP(frasest[[#This Row],[autor_es]],autorest[autor_es],autorest[nacion_la])</f>
        <v>Hispania</v>
      </c>
      <c r="O1457" t="str">
        <f>_xlfn.XLOOKUP(frasest[[#This Row],[autor_es]],autorest[autor_es],autorest[epoca_es])</f>
        <v>Edad Media</v>
      </c>
      <c r="P1457" t="str">
        <f>_xlfn.XLOOKUP(frasest[[#This Row],[autor_es]],autorest[autor_es],autorest[epoca_la])</f>
        <v>Medium Aevum</v>
      </c>
      <c r="Q1457" t="str">
        <f>_xlfn.XLOOKUP(frasest[[#This Row],[autor_es]],autorest[autor_es],autorest[imagen])</f>
        <v>https://i.ibb.co/DD8cx8tb/ignacioloiola.png</v>
      </c>
      <c r="R1457">
        <f>_xlfn.XLOOKUP(frasest[[#This Row],[autor_es]],autorest[autor_es],autorest[imagen_atr])</f>
        <v>0</v>
      </c>
    </row>
    <row r="1458" spans="1:18">
      <c r="A1458">
        <v>1457</v>
      </c>
      <c r="B1458" t="s">
        <v>4495</v>
      </c>
      <c r="C1458" t="s">
        <v>4496</v>
      </c>
      <c r="D1458" t="s">
        <v>4496</v>
      </c>
      <c r="E1458" t="s">
        <v>4487</v>
      </c>
      <c r="F1458" t="s">
        <v>4488</v>
      </c>
      <c r="G1458" t="str">
        <f>_xlfn.XLOOKUP(frasest[[#This Row],[autor_es]],autorest[autor_es],autorest[autor_la])</f>
        <v>Sanctus Ignatius de Loyola</v>
      </c>
      <c r="H1458" t="str">
        <f>_xlfn.XLOOKUP(frasest[[#This Row],[autor_es]],autorest[autor_es],autorest[bio_es])</f>
        <v>Militar y sacerdote vasco fundador y primer general de la Compañía de Jesús autor de los Ejercicios Espirituales figura clave de la Contrarreforma que estableció una orden religiosa basada en la obediencia al papa y el discernimiento espiritual</v>
      </c>
      <c r="I1458" t="str">
        <f>_xlfn.XLOOKUP(frasest[[#This Row],[autor_es]],autorest[autor_es],autorest[bio_la])</f>
        <v>Miles et sacerdos Vascus fundator et primus generalis Societatis Iesu auctor Exercitiorum Spiritualium figura principalis Contrareformationis qui ordinem religiosum in oboedientia ad papam et discretione spirituali fundavit</v>
      </c>
      <c r="J1458" t="str">
        <f>_xlfn.XLOOKUP(frasest[[#This Row],[autor_es]],autorest[autor_es],autorest[codigo])</f>
        <v>es</v>
      </c>
      <c r="K1458" t="str">
        <f>_xlfn.XLOOKUP(frasest[[#This Row],[autor_es]],autorest[autor_es],autorest[idioma_es])</f>
        <v>Español</v>
      </c>
      <c r="L1458" t="str">
        <f>_xlfn.XLOOKUP(frasest[[#This Row],[autor_es]],autorest[autor_es],autorest[idioma_la])</f>
        <v>Lingua Hispanica</v>
      </c>
      <c r="M1458" t="str">
        <f>_xlfn.XLOOKUP(frasest[[#This Row],[autor_es]],autorest[autor_es],autorest[nacion_es])</f>
        <v>España</v>
      </c>
      <c r="N1458" t="str">
        <f>_xlfn.XLOOKUP(frasest[[#This Row],[autor_es]],autorest[autor_es],autorest[nacion_la])</f>
        <v>Hispania</v>
      </c>
      <c r="O1458" t="str">
        <f>_xlfn.XLOOKUP(frasest[[#This Row],[autor_es]],autorest[autor_es],autorest[epoca_es])</f>
        <v>Edad Media</v>
      </c>
      <c r="P1458" t="str">
        <f>_xlfn.XLOOKUP(frasest[[#This Row],[autor_es]],autorest[autor_es],autorest[epoca_la])</f>
        <v>Medium Aevum</v>
      </c>
      <c r="Q1458" t="str">
        <f>_xlfn.XLOOKUP(frasest[[#This Row],[autor_es]],autorest[autor_es],autorest[imagen])</f>
        <v>https://i.ibb.co/DD8cx8tb/ignacioloiola.png</v>
      </c>
      <c r="R1458">
        <f>_xlfn.XLOOKUP(frasest[[#This Row],[autor_es]],autorest[autor_es],autorest[imagen_atr])</f>
        <v>0</v>
      </c>
    </row>
    <row r="1459" spans="1:18">
      <c r="A1459">
        <v>1458</v>
      </c>
      <c r="B1459" t="s">
        <v>4497</v>
      </c>
      <c r="C1459" t="s">
        <v>4498</v>
      </c>
      <c r="D1459" t="s">
        <v>4498</v>
      </c>
      <c r="E1459" t="s">
        <v>4487</v>
      </c>
      <c r="F1459" t="s">
        <v>4488</v>
      </c>
      <c r="G1459" t="str">
        <f>_xlfn.XLOOKUP(frasest[[#This Row],[autor_es]],autorest[autor_es],autorest[autor_la])</f>
        <v>Sanctus Ignatius de Loyola</v>
      </c>
      <c r="H1459" t="str">
        <f>_xlfn.XLOOKUP(frasest[[#This Row],[autor_es]],autorest[autor_es],autorest[bio_es])</f>
        <v>Militar y sacerdote vasco fundador y primer general de la Compañía de Jesús autor de los Ejercicios Espirituales figura clave de la Contrarreforma que estableció una orden religiosa basada en la obediencia al papa y el discernimiento espiritual</v>
      </c>
      <c r="I1459" t="str">
        <f>_xlfn.XLOOKUP(frasest[[#This Row],[autor_es]],autorest[autor_es],autorest[bio_la])</f>
        <v>Miles et sacerdos Vascus fundator et primus generalis Societatis Iesu auctor Exercitiorum Spiritualium figura principalis Contrareformationis qui ordinem religiosum in oboedientia ad papam et discretione spirituali fundavit</v>
      </c>
      <c r="J1459" t="str">
        <f>_xlfn.XLOOKUP(frasest[[#This Row],[autor_es]],autorest[autor_es],autorest[codigo])</f>
        <v>es</v>
      </c>
      <c r="K1459" t="str">
        <f>_xlfn.XLOOKUP(frasest[[#This Row],[autor_es]],autorest[autor_es],autorest[idioma_es])</f>
        <v>Español</v>
      </c>
      <c r="L1459" t="str">
        <f>_xlfn.XLOOKUP(frasest[[#This Row],[autor_es]],autorest[autor_es],autorest[idioma_la])</f>
        <v>Lingua Hispanica</v>
      </c>
      <c r="M1459" t="str">
        <f>_xlfn.XLOOKUP(frasest[[#This Row],[autor_es]],autorest[autor_es],autorest[nacion_es])</f>
        <v>España</v>
      </c>
      <c r="N1459" t="str">
        <f>_xlfn.XLOOKUP(frasest[[#This Row],[autor_es]],autorest[autor_es],autorest[nacion_la])</f>
        <v>Hispania</v>
      </c>
      <c r="O1459" t="str">
        <f>_xlfn.XLOOKUP(frasest[[#This Row],[autor_es]],autorest[autor_es],autorest[epoca_es])</f>
        <v>Edad Media</v>
      </c>
      <c r="P1459" t="str">
        <f>_xlfn.XLOOKUP(frasest[[#This Row],[autor_es]],autorest[autor_es],autorest[epoca_la])</f>
        <v>Medium Aevum</v>
      </c>
      <c r="Q1459" t="str">
        <f>_xlfn.XLOOKUP(frasest[[#This Row],[autor_es]],autorest[autor_es],autorest[imagen])</f>
        <v>https://i.ibb.co/DD8cx8tb/ignacioloiola.png</v>
      </c>
      <c r="R1459">
        <f>_xlfn.XLOOKUP(frasest[[#This Row],[autor_es]],autorest[autor_es],autorest[imagen_atr])</f>
        <v>0</v>
      </c>
    </row>
    <row r="1460" spans="1:18">
      <c r="A1460">
        <v>1459</v>
      </c>
      <c r="B1460" t="s">
        <v>4499</v>
      </c>
      <c r="C1460" t="s">
        <v>4500</v>
      </c>
      <c r="D1460" t="s">
        <v>4500</v>
      </c>
      <c r="E1460" t="s">
        <v>4487</v>
      </c>
      <c r="F1460" t="s">
        <v>4488</v>
      </c>
      <c r="G1460" t="str">
        <f>_xlfn.XLOOKUP(frasest[[#This Row],[autor_es]],autorest[autor_es],autorest[autor_la])</f>
        <v>Sanctus Ignatius de Loyola</v>
      </c>
      <c r="H1460" t="str">
        <f>_xlfn.XLOOKUP(frasest[[#This Row],[autor_es]],autorest[autor_es],autorest[bio_es])</f>
        <v>Militar y sacerdote vasco fundador y primer general de la Compañía de Jesús autor de los Ejercicios Espirituales figura clave de la Contrarreforma que estableció una orden religiosa basada en la obediencia al papa y el discernimiento espiritual</v>
      </c>
      <c r="I1460" t="str">
        <f>_xlfn.XLOOKUP(frasest[[#This Row],[autor_es]],autorest[autor_es],autorest[bio_la])</f>
        <v>Miles et sacerdos Vascus fundator et primus generalis Societatis Iesu auctor Exercitiorum Spiritualium figura principalis Contrareformationis qui ordinem religiosum in oboedientia ad papam et discretione spirituali fundavit</v>
      </c>
      <c r="J1460" t="str">
        <f>_xlfn.XLOOKUP(frasest[[#This Row],[autor_es]],autorest[autor_es],autorest[codigo])</f>
        <v>es</v>
      </c>
      <c r="K1460" t="str">
        <f>_xlfn.XLOOKUP(frasest[[#This Row],[autor_es]],autorest[autor_es],autorest[idioma_es])</f>
        <v>Español</v>
      </c>
      <c r="L1460" t="str">
        <f>_xlfn.XLOOKUP(frasest[[#This Row],[autor_es]],autorest[autor_es],autorest[idioma_la])</f>
        <v>Lingua Hispanica</v>
      </c>
      <c r="M1460" t="str">
        <f>_xlfn.XLOOKUP(frasest[[#This Row],[autor_es]],autorest[autor_es],autorest[nacion_es])</f>
        <v>España</v>
      </c>
      <c r="N1460" t="str">
        <f>_xlfn.XLOOKUP(frasest[[#This Row],[autor_es]],autorest[autor_es],autorest[nacion_la])</f>
        <v>Hispania</v>
      </c>
      <c r="O1460" t="str">
        <f>_xlfn.XLOOKUP(frasest[[#This Row],[autor_es]],autorest[autor_es],autorest[epoca_es])</f>
        <v>Edad Media</v>
      </c>
      <c r="P1460" t="str">
        <f>_xlfn.XLOOKUP(frasest[[#This Row],[autor_es]],autorest[autor_es],autorest[epoca_la])</f>
        <v>Medium Aevum</v>
      </c>
      <c r="Q1460" t="str">
        <f>_xlfn.XLOOKUP(frasest[[#This Row],[autor_es]],autorest[autor_es],autorest[imagen])</f>
        <v>https://i.ibb.co/DD8cx8tb/ignacioloiola.png</v>
      </c>
      <c r="R1460">
        <f>_xlfn.XLOOKUP(frasest[[#This Row],[autor_es]],autorest[autor_es],autorest[imagen_atr])</f>
        <v>0</v>
      </c>
    </row>
    <row r="1461" spans="1:18">
      <c r="A1461">
        <v>1460</v>
      </c>
      <c r="B1461" t="s">
        <v>4501</v>
      </c>
      <c r="C1461" t="s">
        <v>4502</v>
      </c>
      <c r="D1461" t="s">
        <v>4502</v>
      </c>
      <c r="E1461" t="s">
        <v>4487</v>
      </c>
      <c r="F1461" t="s">
        <v>4488</v>
      </c>
      <c r="G1461" t="str">
        <f>_xlfn.XLOOKUP(frasest[[#This Row],[autor_es]],autorest[autor_es],autorest[autor_la])</f>
        <v>Sanctus Ignatius de Loyola</v>
      </c>
      <c r="H1461" t="str">
        <f>_xlfn.XLOOKUP(frasest[[#This Row],[autor_es]],autorest[autor_es],autorest[bio_es])</f>
        <v>Militar y sacerdote vasco fundador y primer general de la Compañía de Jesús autor de los Ejercicios Espirituales figura clave de la Contrarreforma que estableció una orden religiosa basada en la obediencia al papa y el discernimiento espiritual</v>
      </c>
      <c r="I1461" t="str">
        <f>_xlfn.XLOOKUP(frasest[[#This Row],[autor_es]],autorest[autor_es],autorest[bio_la])</f>
        <v>Miles et sacerdos Vascus fundator et primus generalis Societatis Iesu auctor Exercitiorum Spiritualium figura principalis Contrareformationis qui ordinem religiosum in oboedientia ad papam et discretione spirituali fundavit</v>
      </c>
      <c r="J1461" t="str">
        <f>_xlfn.XLOOKUP(frasest[[#This Row],[autor_es]],autorest[autor_es],autorest[codigo])</f>
        <v>es</v>
      </c>
      <c r="K1461" t="str">
        <f>_xlfn.XLOOKUP(frasest[[#This Row],[autor_es]],autorest[autor_es],autorest[idioma_es])</f>
        <v>Español</v>
      </c>
      <c r="L1461" t="str">
        <f>_xlfn.XLOOKUP(frasest[[#This Row],[autor_es]],autorest[autor_es],autorest[idioma_la])</f>
        <v>Lingua Hispanica</v>
      </c>
      <c r="M1461" t="str">
        <f>_xlfn.XLOOKUP(frasest[[#This Row],[autor_es]],autorest[autor_es],autorest[nacion_es])</f>
        <v>España</v>
      </c>
      <c r="N1461" t="str">
        <f>_xlfn.XLOOKUP(frasest[[#This Row],[autor_es]],autorest[autor_es],autorest[nacion_la])</f>
        <v>Hispania</v>
      </c>
      <c r="O1461" t="str">
        <f>_xlfn.XLOOKUP(frasest[[#This Row],[autor_es]],autorest[autor_es],autorest[epoca_es])</f>
        <v>Edad Media</v>
      </c>
      <c r="P1461" t="str">
        <f>_xlfn.XLOOKUP(frasest[[#This Row],[autor_es]],autorest[autor_es],autorest[epoca_la])</f>
        <v>Medium Aevum</v>
      </c>
      <c r="Q1461" t="str">
        <f>_xlfn.XLOOKUP(frasest[[#This Row],[autor_es]],autorest[autor_es],autorest[imagen])</f>
        <v>https://i.ibb.co/DD8cx8tb/ignacioloiola.png</v>
      </c>
      <c r="R1461">
        <f>_xlfn.XLOOKUP(frasest[[#This Row],[autor_es]],autorest[autor_es],autorest[imagen_atr])</f>
        <v>0</v>
      </c>
    </row>
    <row r="1462" spans="1:18">
      <c r="A1462">
        <v>1461</v>
      </c>
      <c r="B1462" t="s">
        <v>4503</v>
      </c>
      <c r="C1462" t="s">
        <v>4504</v>
      </c>
      <c r="D1462" t="s">
        <v>4504</v>
      </c>
      <c r="E1462" t="s">
        <v>4487</v>
      </c>
      <c r="F1462" t="s">
        <v>4488</v>
      </c>
      <c r="G1462" t="str">
        <f>_xlfn.XLOOKUP(frasest[[#This Row],[autor_es]],autorest[autor_es],autorest[autor_la])</f>
        <v>Sanctus Ignatius de Loyola</v>
      </c>
      <c r="H1462" t="str">
        <f>_xlfn.XLOOKUP(frasest[[#This Row],[autor_es]],autorest[autor_es],autorest[bio_es])</f>
        <v>Militar y sacerdote vasco fundador y primer general de la Compañía de Jesús autor de los Ejercicios Espirituales figura clave de la Contrarreforma que estableció una orden religiosa basada en la obediencia al papa y el discernimiento espiritual</v>
      </c>
      <c r="I1462" t="str">
        <f>_xlfn.XLOOKUP(frasest[[#This Row],[autor_es]],autorest[autor_es],autorest[bio_la])</f>
        <v>Miles et sacerdos Vascus fundator et primus generalis Societatis Iesu auctor Exercitiorum Spiritualium figura principalis Contrareformationis qui ordinem religiosum in oboedientia ad papam et discretione spirituali fundavit</v>
      </c>
      <c r="J1462" t="str">
        <f>_xlfn.XLOOKUP(frasest[[#This Row],[autor_es]],autorest[autor_es],autorest[codigo])</f>
        <v>es</v>
      </c>
      <c r="K1462" t="str">
        <f>_xlfn.XLOOKUP(frasest[[#This Row],[autor_es]],autorest[autor_es],autorest[idioma_es])</f>
        <v>Español</v>
      </c>
      <c r="L1462" t="str">
        <f>_xlfn.XLOOKUP(frasest[[#This Row],[autor_es]],autorest[autor_es],autorest[idioma_la])</f>
        <v>Lingua Hispanica</v>
      </c>
      <c r="M1462" t="str">
        <f>_xlfn.XLOOKUP(frasest[[#This Row],[autor_es]],autorest[autor_es],autorest[nacion_es])</f>
        <v>España</v>
      </c>
      <c r="N1462" t="str">
        <f>_xlfn.XLOOKUP(frasest[[#This Row],[autor_es]],autorest[autor_es],autorest[nacion_la])</f>
        <v>Hispania</v>
      </c>
      <c r="O1462" t="str">
        <f>_xlfn.XLOOKUP(frasest[[#This Row],[autor_es]],autorest[autor_es],autorest[epoca_es])</f>
        <v>Edad Media</v>
      </c>
      <c r="P1462" t="str">
        <f>_xlfn.XLOOKUP(frasest[[#This Row],[autor_es]],autorest[autor_es],autorest[epoca_la])</f>
        <v>Medium Aevum</v>
      </c>
      <c r="Q1462" t="str">
        <f>_xlfn.XLOOKUP(frasest[[#This Row],[autor_es]],autorest[autor_es],autorest[imagen])</f>
        <v>https://i.ibb.co/DD8cx8tb/ignacioloiola.png</v>
      </c>
      <c r="R1462">
        <f>_xlfn.XLOOKUP(frasest[[#This Row],[autor_es]],autorest[autor_es],autorest[imagen_atr])</f>
        <v>0</v>
      </c>
    </row>
    <row r="1463" spans="1:18">
      <c r="A1463">
        <v>1462</v>
      </c>
      <c r="B1463" t="s">
        <v>4505</v>
      </c>
      <c r="C1463" t="s">
        <v>4506</v>
      </c>
      <c r="D1463" t="s">
        <v>4506</v>
      </c>
      <c r="E1463" t="s">
        <v>4487</v>
      </c>
      <c r="F1463" t="s">
        <v>4488</v>
      </c>
      <c r="G1463" t="str">
        <f>_xlfn.XLOOKUP(frasest[[#This Row],[autor_es]],autorest[autor_es],autorest[autor_la])</f>
        <v>Sanctus Ignatius de Loyola</v>
      </c>
      <c r="H1463" t="str">
        <f>_xlfn.XLOOKUP(frasest[[#This Row],[autor_es]],autorest[autor_es],autorest[bio_es])</f>
        <v>Militar y sacerdote vasco fundador y primer general de la Compañía de Jesús autor de los Ejercicios Espirituales figura clave de la Contrarreforma que estableció una orden religiosa basada en la obediencia al papa y el discernimiento espiritual</v>
      </c>
      <c r="I1463" t="str">
        <f>_xlfn.XLOOKUP(frasest[[#This Row],[autor_es]],autorest[autor_es],autorest[bio_la])</f>
        <v>Miles et sacerdos Vascus fundator et primus generalis Societatis Iesu auctor Exercitiorum Spiritualium figura principalis Contrareformationis qui ordinem religiosum in oboedientia ad papam et discretione spirituali fundavit</v>
      </c>
      <c r="J1463" t="str">
        <f>_xlfn.XLOOKUP(frasest[[#This Row],[autor_es]],autorest[autor_es],autorest[codigo])</f>
        <v>es</v>
      </c>
      <c r="K1463" t="str">
        <f>_xlfn.XLOOKUP(frasest[[#This Row],[autor_es]],autorest[autor_es],autorest[idioma_es])</f>
        <v>Español</v>
      </c>
      <c r="L1463" t="str">
        <f>_xlfn.XLOOKUP(frasest[[#This Row],[autor_es]],autorest[autor_es],autorest[idioma_la])</f>
        <v>Lingua Hispanica</v>
      </c>
      <c r="M1463" t="str">
        <f>_xlfn.XLOOKUP(frasest[[#This Row],[autor_es]],autorest[autor_es],autorest[nacion_es])</f>
        <v>España</v>
      </c>
      <c r="N1463" t="str">
        <f>_xlfn.XLOOKUP(frasest[[#This Row],[autor_es]],autorest[autor_es],autorest[nacion_la])</f>
        <v>Hispania</v>
      </c>
      <c r="O1463" t="str">
        <f>_xlfn.XLOOKUP(frasest[[#This Row],[autor_es]],autorest[autor_es],autorest[epoca_es])</f>
        <v>Edad Media</v>
      </c>
      <c r="P1463" t="str">
        <f>_xlfn.XLOOKUP(frasest[[#This Row],[autor_es]],autorest[autor_es],autorest[epoca_la])</f>
        <v>Medium Aevum</v>
      </c>
      <c r="Q1463" t="str">
        <f>_xlfn.XLOOKUP(frasest[[#This Row],[autor_es]],autorest[autor_es],autorest[imagen])</f>
        <v>https://i.ibb.co/DD8cx8tb/ignacioloiola.png</v>
      </c>
      <c r="R1463">
        <f>_xlfn.XLOOKUP(frasest[[#This Row],[autor_es]],autorest[autor_es],autorest[imagen_atr])</f>
        <v>0</v>
      </c>
    </row>
    <row r="1464" spans="1:18">
      <c r="A1464">
        <v>1463</v>
      </c>
      <c r="B1464" t="s">
        <v>4507</v>
      </c>
      <c r="C1464" t="s">
        <v>4508</v>
      </c>
      <c r="D1464" t="s">
        <v>4508</v>
      </c>
      <c r="E1464" t="s">
        <v>4487</v>
      </c>
      <c r="F1464" t="s">
        <v>4488</v>
      </c>
      <c r="G1464" t="str">
        <f>_xlfn.XLOOKUP(frasest[[#This Row],[autor_es]],autorest[autor_es],autorest[autor_la])</f>
        <v>Sanctus Ignatius de Loyola</v>
      </c>
      <c r="H1464" t="str">
        <f>_xlfn.XLOOKUP(frasest[[#This Row],[autor_es]],autorest[autor_es],autorest[bio_es])</f>
        <v>Militar y sacerdote vasco fundador y primer general de la Compañía de Jesús autor de los Ejercicios Espirituales figura clave de la Contrarreforma que estableció una orden religiosa basada en la obediencia al papa y el discernimiento espiritual</v>
      </c>
      <c r="I1464" t="str">
        <f>_xlfn.XLOOKUP(frasest[[#This Row],[autor_es]],autorest[autor_es],autorest[bio_la])</f>
        <v>Miles et sacerdos Vascus fundator et primus generalis Societatis Iesu auctor Exercitiorum Spiritualium figura principalis Contrareformationis qui ordinem religiosum in oboedientia ad papam et discretione spirituali fundavit</v>
      </c>
      <c r="J1464" t="str">
        <f>_xlfn.XLOOKUP(frasest[[#This Row],[autor_es]],autorest[autor_es],autorest[codigo])</f>
        <v>es</v>
      </c>
      <c r="K1464" t="str">
        <f>_xlfn.XLOOKUP(frasest[[#This Row],[autor_es]],autorest[autor_es],autorest[idioma_es])</f>
        <v>Español</v>
      </c>
      <c r="L1464" t="str">
        <f>_xlfn.XLOOKUP(frasest[[#This Row],[autor_es]],autorest[autor_es],autorest[idioma_la])</f>
        <v>Lingua Hispanica</v>
      </c>
      <c r="M1464" t="str">
        <f>_xlfn.XLOOKUP(frasest[[#This Row],[autor_es]],autorest[autor_es],autorest[nacion_es])</f>
        <v>España</v>
      </c>
      <c r="N1464" t="str">
        <f>_xlfn.XLOOKUP(frasest[[#This Row],[autor_es]],autorest[autor_es],autorest[nacion_la])</f>
        <v>Hispania</v>
      </c>
      <c r="O1464" t="str">
        <f>_xlfn.XLOOKUP(frasest[[#This Row],[autor_es]],autorest[autor_es],autorest[epoca_es])</f>
        <v>Edad Media</v>
      </c>
      <c r="P1464" t="str">
        <f>_xlfn.XLOOKUP(frasest[[#This Row],[autor_es]],autorest[autor_es],autorest[epoca_la])</f>
        <v>Medium Aevum</v>
      </c>
      <c r="Q1464" t="str">
        <f>_xlfn.XLOOKUP(frasest[[#This Row],[autor_es]],autorest[autor_es],autorest[imagen])</f>
        <v>https://i.ibb.co/DD8cx8tb/ignacioloiola.png</v>
      </c>
      <c r="R1464">
        <f>_xlfn.XLOOKUP(frasest[[#This Row],[autor_es]],autorest[autor_es],autorest[imagen_atr])</f>
        <v>0</v>
      </c>
    </row>
    <row r="1465" spans="1:18">
      <c r="A1465">
        <v>1464</v>
      </c>
      <c r="B1465" t="s">
        <v>4509</v>
      </c>
      <c r="C1465" t="s">
        <v>4510</v>
      </c>
      <c r="D1465" t="s">
        <v>4510</v>
      </c>
      <c r="E1465" t="s">
        <v>4487</v>
      </c>
      <c r="F1465" t="s">
        <v>4488</v>
      </c>
      <c r="G1465" t="str">
        <f>_xlfn.XLOOKUP(frasest[[#This Row],[autor_es]],autorest[autor_es],autorest[autor_la])</f>
        <v>Sanctus Ignatius de Loyola</v>
      </c>
      <c r="H1465" t="str">
        <f>_xlfn.XLOOKUP(frasest[[#This Row],[autor_es]],autorest[autor_es],autorest[bio_es])</f>
        <v>Militar y sacerdote vasco fundador y primer general de la Compañía de Jesús autor de los Ejercicios Espirituales figura clave de la Contrarreforma que estableció una orden religiosa basada en la obediencia al papa y el discernimiento espiritual</v>
      </c>
      <c r="I1465" t="str">
        <f>_xlfn.XLOOKUP(frasest[[#This Row],[autor_es]],autorest[autor_es],autorest[bio_la])</f>
        <v>Miles et sacerdos Vascus fundator et primus generalis Societatis Iesu auctor Exercitiorum Spiritualium figura principalis Contrareformationis qui ordinem religiosum in oboedientia ad papam et discretione spirituali fundavit</v>
      </c>
      <c r="J1465" t="str">
        <f>_xlfn.XLOOKUP(frasest[[#This Row],[autor_es]],autorest[autor_es],autorest[codigo])</f>
        <v>es</v>
      </c>
      <c r="K1465" t="str">
        <f>_xlfn.XLOOKUP(frasest[[#This Row],[autor_es]],autorest[autor_es],autorest[idioma_es])</f>
        <v>Español</v>
      </c>
      <c r="L1465" t="str">
        <f>_xlfn.XLOOKUP(frasest[[#This Row],[autor_es]],autorest[autor_es],autorest[idioma_la])</f>
        <v>Lingua Hispanica</v>
      </c>
      <c r="M1465" t="str">
        <f>_xlfn.XLOOKUP(frasest[[#This Row],[autor_es]],autorest[autor_es],autorest[nacion_es])</f>
        <v>España</v>
      </c>
      <c r="N1465" t="str">
        <f>_xlfn.XLOOKUP(frasest[[#This Row],[autor_es]],autorest[autor_es],autorest[nacion_la])</f>
        <v>Hispania</v>
      </c>
      <c r="O1465" t="str">
        <f>_xlfn.XLOOKUP(frasest[[#This Row],[autor_es]],autorest[autor_es],autorest[epoca_es])</f>
        <v>Edad Media</v>
      </c>
      <c r="P1465" t="str">
        <f>_xlfn.XLOOKUP(frasest[[#This Row],[autor_es]],autorest[autor_es],autorest[epoca_la])</f>
        <v>Medium Aevum</v>
      </c>
      <c r="Q1465" t="str">
        <f>_xlfn.XLOOKUP(frasest[[#This Row],[autor_es]],autorest[autor_es],autorest[imagen])</f>
        <v>https://i.ibb.co/DD8cx8tb/ignacioloiola.png</v>
      </c>
      <c r="R1465">
        <f>_xlfn.XLOOKUP(frasest[[#This Row],[autor_es]],autorest[autor_es],autorest[imagen_atr])</f>
        <v>0</v>
      </c>
    </row>
    <row r="1466" spans="1:18">
      <c r="A1466">
        <v>1465</v>
      </c>
      <c r="B1466" t="s">
        <v>4511</v>
      </c>
      <c r="C1466" t="s">
        <v>4512</v>
      </c>
      <c r="D1466" t="s">
        <v>4512</v>
      </c>
      <c r="E1466" t="s">
        <v>4487</v>
      </c>
      <c r="F1466" t="s">
        <v>4488</v>
      </c>
      <c r="G1466" t="str">
        <f>_xlfn.XLOOKUP(frasest[[#This Row],[autor_es]],autorest[autor_es],autorest[autor_la])</f>
        <v>Sanctus Ignatius de Loyola</v>
      </c>
      <c r="H1466" t="str">
        <f>_xlfn.XLOOKUP(frasest[[#This Row],[autor_es]],autorest[autor_es],autorest[bio_es])</f>
        <v>Militar y sacerdote vasco fundador y primer general de la Compañía de Jesús autor de los Ejercicios Espirituales figura clave de la Contrarreforma que estableció una orden religiosa basada en la obediencia al papa y el discernimiento espiritual</v>
      </c>
      <c r="I1466" t="str">
        <f>_xlfn.XLOOKUP(frasest[[#This Row],[autor_es]],autorest[autor_es],autorest[bio_la])</f>
        <v>Miles et sacerdos Vascus fundator et primus generalis Societatis Iesu auctor Exercitiorum Spiritualium figura principalis Contrareformationis qui ordinem religiosum in oboedientia ad papam et discretione spirituali fundavit</v>
      </c>
      <c r="J1466" t="str">
        <f>_xlfn.XLOOKUP(frasest[[#This Row],[autor_es]],autorest[autor_es],autorest[codigo])</f>
        <v>es</v>
      </c>
      <c r="K1466" t="str">
        <f>_xlfn.XLOOKUP(frasest[[#This Row],[autor_es]],autorest[autor_es],autorest[idioma_es])</f>
        <v>Español</v>
      </c>
      <c r="L1466" t="str">
        <f>_xlfn.XLOOKUP(frasest[[#This Row],[autor_es]],autorest[autor_es],autorest[idioma_la])</f>
        <v>Lingua Hispanica</v>
      </c>
      <c r="M1466" t="str">
        <f>_xlfn.XLOOKUP(frasest[[#This Row],[autor_es]],autorest[autor_es],autorest[nacion_es])</f>
        <v>España</v>
      </c>
      <c r="N1466" t="str">
        <f>_xlfn.XLOOKUP(frasest[[#This Row],[autor_es]],autorest[autor_es],autorest[nacion_la])</f>
        <v>Hispania</v>
      </c>
      <c r="O1466" t="str">
        <f>_xlfn.XLOOKUP(frasest[[#This Row],[autor_es]],autorest[autor_es],autorest[epoca_es])</f>
        <v>Edad Media</v>
      </c>
      <c r="P1466" t="str">
        <f>_xlfn.XLOOKUP(frasest[[#This Row],[autor_es]],autorest[autor_es],autorest[epoca_la])</f>
        <v>Medium Aevum</v>
      </c>
      <c r="Q1466" t="str">
        <f>_xlfn.XLOOKUP(frasest[[#This Row],[autor_es]],autorest[autor_es],autorest[imagen])</f>
        <v>https://i.ibb.co/DD8cx8tb/ignacioloiola.png</v>
      </c>
      <c r="R1466">
        <f>_xlfn.XLOOKUP(frasest[[#This Row],[autor_es]],autorest[autor_es],autorest[imagen_atr])</f>
        <v>0</v>
      </c>
    </row>
    <row r="1467" spans="1:18">
      <c r="A1467">
        <v>1466</v>
      </c>
      <c r="B1467" t="s">
        <v>4513</v>
      </c>
      <c r="C1467" t="s">
        <v>4514</v>
      </c>
      <c r="D1467" t="s">
        <v>4514</v>
      </c>
      <c r="E1467" t="s">
        <v>4487</v>
      </c>
      <c r="F1467" t="s">
        <v>4488</v>
      </c>
      <c r="G1467" t="str">
        <f>_xlfn.XLOOKUP(frasest[[#This Row],[autor_es]],autorest[autor_es],autorest[autor_la])</f>
        <v>Sanctus Ignatius de Loyola</v>
      </c>
      <c r="H1467" t="str">
        <f>_xlfn.XLOOKUP(frasest[[#This Row],[autor_es]],autorest[autor_es],autorest[bio_es])</f>
        <v>Militar y sacerdote vasco fundador y primer general de la Compañía de Jesús autor de los Ejercicios Espirituales figura clave de la Contrarreforma que estableció una orden religiosa basada en la obediencia al papa y el discernimiento espiritual</v>
      </c>
      <c r="I1467" t="str">
        <f>_xlfn.XLOOKUP(frasest[[#This Row],[autor_es]],autorest[autor_es],autorest[bio_la])</f>
        <v>Miles et sacerdos Vascus fundator et primus generalis Societatis Iesu auctor Exercitiorum Spiritualium figura principalis Contrareformationis qui ordinem religiosum in oboedientia ad papam et discretione spirituali fundavit</v>
      </c>
      <c r="J1467" t="str">
        <f>_xlfn.XLOOKUP(frasest[[#This Row],[autor_es]],autorest[autor_es],autorest[codigo])</f>
        <v>es</v>
      </c>
      <c r="K1467" t="str">
        <f>_xlfn.XLOOKUP(frasest[[#This Row],[autor_es]],autorest[autor_es],autorest[idioma_es])</f>
        <v>Español</v>
      </c>
      <c r="L1467" t="str">
        <f>_xlfn.XLOOKUP(frasest[[#This Row],[autor_es]],autorest[autor_es],autorest[idioma_la])</f>
        <v>Lingua Hispanica</v>
      </c>
      <c r="M1467" t="str">
        <f>_xlfn.XLOOKUP(frasest[[#This Row],[autor_es]],autorest[autor_es],autorest[nacion_es])</f>
        <v>España</v>
      </c>
      <c r="N1467" t="str">
        <f>_xlfn.XLOOKUP(frasest[[#This Row],[autor_es]],autorest[autor_es],autorest[nacion_la])</f>
        <v>Hispania</v>
      </c>
      <c r="O1467" t="str">
        <f>_xlfn.XLOOKUP(frasest[[#This Row],[autor_es]],autorest[autor_es],autorest[epoca_es])</f>
        <v>Edad Media</v>
      </c>
      <c r="P1467" t="str">
        <f>_xlfn.XLOOKUP(frasest[[#This Row],[autor_es]],autorest[autor_es],autorest[epoca_la])</f>
        <v>Medium Aevum</v>
      </c>
      <c r="Q1467" t="str">
        <f>_xlfn.XLOOKUP(frasest[[#This Row],[autor_es]],autorest[autor_es],autorest[imagen])</f>
        <v>https://i.ibb.co/DD8cx8tb/ignacioloiola.png</v>
      </c>
      <c r="R1467">
        <f>_xlfn.XLOOKUP(frasest[[#This Row],[autor_es]],autorest[autor_es],autorest[imagen_atr])</f>
        <v>0</v>
      </c>
    </row>
    <row r="1468" spans="1:18">
      <c r="A1468">
        <v>1467</v>
      </c>
      <c r="B1468" t="s">
        <v>4515</v>
      </c>
      <c r="C1468" t="s">
        <v>4516</v>
      </c>
      <c r="D1468" t="s">
        <v>4517</v>
      </c>
      <c r="E1468" t="s">
        <v>4518</v>
      </c>
      <c r="F1468" t="s">
        <v>4519</v>
      </c>
      <c r="G1468" t="str">
        <f>_xlfn.XLOOKUP(frasest[[#This Row],[autor_es]],autorest[autor_es],autorest[autor_la])</f>
        <v>Homerus</v>
      </c>
      <c r="H1468" t="str">
        <f>_xlfn.XLOOKUP(frasest[[#This Row],[autor_es]],autorest[autor_es],autorest[bio_es])</f>
        <v>Poeta épico griego autor de la Ilíada y la Odisea, las dos obras fundamentales de la literatura griega antigua y occidental.</v>
      </c>
      <c r="I1468" t="str">
        <f>_xlfn.XLOOKUP(frasest[[#This Row],[autor_es]],autorest[autor_es],autorest[bio_la])</f>
        <v>Poeta epicus Graecus auctor Iliadis et Odysseae, duo opera fundamentalia litteraturae Graecae antiquae et occidentalis.</v>
      </c>
      <c r="J1468" t="str">
        <f>_xlfn.XLOOKUP(frasest[[#This Row],[autor_es]],autorest[autor_es],autorest[codigo])</f>
        <v>el</v>
      </c>
      <c r="K1468" t="str">
        <f>_xlfn.XLOOKUP(frasest[[#This Row],[autor_es]],autorest[autor_es],autorest[idioma_es])</f>
        <v>Griego</v>
      </c>
      <c r="L1468" t="str">
        <f>_xlfn.XLOOKUP(frasest[[#This Row],[autor_es]],autorest[autor_es],autorest[idioma_la])</f>
        <v>Lingua Graeca</v>
      </c>
      <c r="M1468" t="str">
        <f>_xlfn.XLOOKUP(frasest[[#This Row],[autor_es]],autorest[autor_es],autorest[nacion_es])</f>
        <v>Grecia</v>
      </c>
      <c r="N1468" t="str">
        <f>_xlfn.XLOOKUP(frasest[[#This Row],[autor_es]],autorest[autor_es],autorest[nacion_la])</f>
        <v>Graecia</v>
      </c>
      <c r="O1468" t="str">
        <f>_xlfn.XLOOKUP(frasest[[#This Row],[autor_es]],autorest[autor_es],autorest[epoca_es])</f>
        <v>Edad Antigua</v>
      </c>
      <c r="P1468" t="str">
        <f>_xlfn.XLOOKUP(frasest[[#This Row],[autor_es]],autorest[autor_es],autorest[epoca_la])</f>
        <v>Antiquitas</v>
      </c>
      <c r="Q1468" t="str">
        <f>_xlfn.XLOOKUP(frasest[[#This Row],[autor_es]],autorest[autor_es],autorest[imagen])</f>
        <v>https://i.ibb.co/7Nb8gNJ3/homero.png</v>
      </c>
      <c r="R1468">
        <f>_xlfn.XLOOKUP(frasest[[#This Row],[autor_es]],autorest[autor_es],autorest[imagen_atr])</f>
        <v>0</v>
      </c>
    </row>
    <row r="1469" spans="1:18">
      <c r="A1469">
        <v>1468</v>
      </c>
      <c r="B1469" t="s">
        <v>4520</v>
      </c>
      <c r="C1469" t="s">
        <v>4521</v>
      </c>
      <c r="D1469" t="s">
        <v>4522</v>
      </c>
      <c r="E1469" t="s">
        <v>4518</v>
      </c>
      <c r="F1469" t="s">
        <v>4523</v>
      </c>
      <c r="G1469" t="str">
        <f>_xlfn.XLOOKUP(frasest[[#This Row],[autor_es]],autorest[autor_es],autorest[autor_la])</f>
        <v>Homerus</v>
      </c>
      <c r="H1469" t="str">
        <f>_xlfn.XLOOKUP(frasest[[#This Row],[autor_es]],autorest[autor_es],autorest[bio_es])</f>
        <v>Poeta épico griego autor de la Ilíada y la Odisea, las dos obras fundamentales de la literatura griega antigua y occidental.</v>
      </c>
      <c r="I1469" t="str">
        <f>_xlfn.XLOOKUP(frasest[[#This Row],[autor_es]],autorest[autor_es],autorest[bio_la])</f>
        <v>Poeta epicus Graecus auctor Iliadis et Odysseae, duo opera fundamentalia litteraturae Graecae antiquae et occidentalis.</v>
      </c>
      <c r="J1469" t="str">
        <f>_xlfn.XLOOKUP(frasest[[#This Row],[autor_es]],autorest[autor_es],autorest[codigo])</f>
        <v>el</v>
      </c>
      <c r="K1469" t="str">
        <f>_xlfn.XLOOKUP(frasest[[#This Row],[autor_es]],autorest[autor_es],autorest[idioma_es])</f>
        <v>Griego</v>
      </c>
      <c r="L1469" t="str">
        <f>_xlfn.XLOOKUP(frasest[[#This Row],[autor_es]],autorest[autor_es],autorest[idioma_la])</f>
        <v>Lingua Graeca</v>
      </c>
      <c r="M1469" t="str">
        <f>_xlfn.XLOOKUP(frasest[[#This Row],[autor_es]],autorest[autor_es],autorest[nacion_es])</f>
        <v>Grecia</v>
      </c>
      <c r="N1469" t="str">
        <f>_xlfn.XLOOKUP(frasest[[#This Row],[autor_es]],autorest[autor_es],autorest[nacion_la])</f>
        <v>Graecia</v>
      </c>
      <c r="O1469" t="str">
        <f>_xlfn.XLOOKUP(frasest[[#This Row],[autor_es]],autorest[autor_es],autorest[epoca_es])</f>
        <v>Edad Antigua</v>
      </c>
      <c r="P1469" t="str">
        <f>_xlfn.XLOOKUP(frasest[[#This Row],[autor_es]],autorest[autor_es],autorest[epoca_la])</f>
        <v>Antiquitas</v>
      </c>
      <c r="Q1469" t="str">
        <f>_xlfn.XLOOKUP(frasest[[#This Row],[autor_es]],autorest[autor_es],autorest[imagen])</f>
        <v>https://i.ibb.co/7Nb8gNJ3/homero.png</v>
      </c>
      <c r="R1469">
        <f>_xlfn.XLOOKUP(frasest[[#This Row],[autor_es]],autorest[autor_es],autorest[imagen_atr])</f>
        <v>0</v>
      </c>
    </row>
    <row r="1470" spans="1:18">
      <c r="A1470">
        <v>1469</v>
      </c>
      <c r="B1470" t="s">
        <v>4524</v>
      </c>
      <c r="C1470" t="s">
        <v>4525</v>
      </c>
      <c r="D1470" t="s">
        <v>4526</v>
      </c>
      <c r="E1470" t="s">
        <v>4518</v>
      </c>
      <c r="F1470" t="s">
        <v>4519</v>
      </c>
      <c r="G1470" t="str">
        <f>_xlfn.XLOOKUP(frasest[[#This Row],[autor_es]],autorest[autor_es],autorest[autor_la])</f>
        <v>Homerus</v>
      </c>
      <c r="H1470" t="str">
        <f>_xlfn.XLOOKUP(frasest[[#This Row],[autor_es]],autorest[autor_es],autorest[bio_es])</f>
        <v>Poeta épico griego autor de la Ilíada y la Odisea, las dos obras fundamentales de la literatura griega antigua y occidental.</v>
      </c>
      <c r="I1470" t="str">
        <f>_xlfn.XLOOKUP(frasest[[#This Row],[autor_es]],autorest[autor_es],autorest[bio_la])</f>
        <v>Poeta epicus Graecus auctor Iliadis et Odysseae, duo opera fundamentalia litteraturae Graecae antiquae et occidentalis.</v>
      </c>
      <c r="J1470" t="str">
        <f>_xlfn.XLOOKUP(frasest[[#This Row],[autor_es]],autorest[autor_es],autorest[codigo])</f>
        <v>el</v>
      </c>
      <c r="K1470" t="str">
        <f>_xlfn.XLOOKUP(frasest[[#This Row],[autor_es]],autorest[autor_es],autorest[idioma_es])</f>
        <v>Griego</v>
      </c>
      <c r="L1470" t="str">
        <f>_xlfn.XLOOKUP(frasest[[#This Row],[autor_es]],autorest[autor_es],autorest[idioma_la])</f>
        <v>Lingua Graeca</v>
      </c>
      <c r="M1470" t="str">
        <f>_xlfn.XLOOKUP(frasest[[#This Row],[autor_es]],autorest[autor_es],autorest[nacion_es])</f>
        <v>Grecia</v>
      </c>
      <c r="N1470" t="str">
        <f>_xlfn.XLOOKUP(frasest[[#This Row],[autor_es]],autorest[autor_es],autorest[nacion_la])</f>
        <v>Graecia</v>
      </c>
      <c r="O1470" t="str">
        <f>_xlfn.XLOOKUP(frasest[[#This Row],[autor_es]],autorest[autor_es],autorest[epoca_es])</f>
        <v>Edad Antigua</v>
      </c>
      <c r="P1470" t="str">
        <f>_xlfn.XLOOKUP(frasest[[#This Row],[autor_es]],autorest[autor_es],autorest[epoca_la])</f>
        <v>Antiquitas</v>
      </c>
      <c r="Q1470" t="str">
        <f>_xlfn.XLOOKUP(frasest[[#This Row],[autor_es]],autorest[autor_es],autorest[imagen])</f>
        <v>https://i.ibb.co/7Nb8gNJ3/homero.png</v>
      </c>
      <c r="R1470">
        <f>_xlfn.XLOOKUP(frasest[[#This Row],[autor_es]],autorest[autor_es],autorest[imagen_atr])</f>
        <v>0</v>
      </c>
    </row>
    <row r="1471" spans="1:18">
      <c r="A1471">
        <v>1470</v>
      </c>
      <c r="B1471" t="s">
        <v>4527</v>
      </c>
      <c r="C1471" t="s">
        <v>4528</v>
      </c>
      <c r="D1471" t="s">
        <v>4529</v>
      </c>
      <c r="E1471" t="s">
        <v>4518</v>
      </c>
      <c r="F1471" t="s">
        <v>4530</v>
      </c>
      <c r="G1471" t="str">
        <f>_xlfn.XLOOKUP(frasest[[#This Row],[autor_es]],autorest[autor_es],autorest[autor_la])</f>
        <v>Homerus</v>
      </c>
      <c r="H1471" t="str">
        <f>_xlfn.XLOOKUP(frasest[[#This Row],[autor_es]],autorest[autor_es],autorest[bio_es])</f>
        <v>Poeta épico griego autor de la Ilíada y la Odisea, las dos obras fundamentales de la literatura griega antigua y occidental.</v>
      </c>
      <c r="I1471" t="str">
        <f>_xlfn.XLOOKUP(frasest[[#This Row],[autor_es]],autorest[autor_es],autorest[bio_la])</f>
        <v>Poeta epicus Graecus auctor Iliadis et Odysseae, duo opera fundamentalia litteraturae Graecae antiquae et occidentalis.</v>
      </c>
      <c r="J1471" t="str">
        <f>_xlfn.XLOOKUP(frasest[[#This Row],[autor_es]],autorest[autor_es],autorest[codigo])</f>
        <v>el</v>
      </c>
      <c r="K1471" t="str">
        <f>_xlfn.XLOOKUP(frasest[[#This Row],[autor_es]],autorest[autor_es],autorest[idioma_es])</f>
        <v>Griego</v>
      </c>
      <c r="L1471" t="str">
        <f>_xlfn.XLOOKUP(frasest[[#This Row],[autor_es]],autorest[autor_es],autorest[idioma_la])</f>
        <v>Lingua Graeca</v>
      </c>
      <c r="M1471" t="str">
        <f>_xlfn.XLOOKUP(frasest[[#This Row],[autor_es]],autorest[autor_es],autorest[nacion_es])</f>
        <v>Grecia</v>
      </c>
      <c r="N1471" t="str">
        <f>_xlfn.XLOOKUP(frasest[[#This Row],[autor_es]],autorest[autor_es],autorest[nacion_la])</f>
        <v>Graecia</v>
      </c>
      <c r="O1471" t="str">
        <f>_xlfn.XLOOKUP(frasest[[#This Row],[autor_es]],autorest[autor_es],autorest[epoca_es])</f>
        <v>Edad Antigua</v>
      </c>
      <c r="P1471" t="str">
        <f>_xlfn.XLOOKUP(frasest[[#This Row],[autor_es]],autorest[autor_es],autorest[epoca_la])</f>
        <v>Antiquitas</v>
      </c>
      <c r="Q1471" t="str">
        <f>_xlfn.XLOOKUP(frasest[[#This Row],[autor_es]],autorest[autor_es],autorest[imagen])</f>
        <v>https://i.ibb.co/7Nb8gNJ3/homero.png</v>
      </c>
      <c r="R1471">
        <f>_xlfn.XLOOKUP(frasest[[#This Row],[autor_es]],autorest[autor_es],autorest[imagen_atr])</f>
        <v>0</v>
      </c>
    </row>
    <row r="1472" spans="1:18">
      <c r="A1472">
        <v>1471</v>
      </c>
      <c r="B1472" t="s">
        <v>4531</v>
      </c>
      <c r="C1472" t="s">
        <v>4532</v>
      </c>
      <c r="D1472" t="s">
        <v>4533</v>
      </c>
      <c r="E1472" t="s">
        <v>4518</v>
      </c>
      <c r="F1472" t="s">
        <v>4534</v>
      </c>
      <c r="G1472" t="str">
        <f>_xlfn.XLOOKUP(frasest[[#This Row],[autor_es]],autorest[autor_es],autorest[autor_la])</f>
        <v>Homerus</v>
      </c>
      <c r="H1472" t="str">
        <f>_xlfn.XLOOKUP(frasest[[#This Row],[autor_es]],autorest[autor_es],autorest[bio_es])</f>
        <v>Poeta épico griego autor de la Ilíada y la Odisea, las dos obras fundamentales de la literatura griega antigua y occidental.</v>
      </c>
      <c r="I1472" t="str">
        <f>_xlfn.XLOOKUP(frasest[[#This Row],[autor_es]],autorest[autor_es],autorest[bio_la])</f>
        <v>Poeta epicus Graecus auctor Iliadis et Odysseae, duo opera fundamentalia litteraturae Graecae antiquae et occidentalis.</v>
      </c>
      <c r="J1472" t="str">
        <f>_xlfn.XLOOKUP(frasest[[#This Row],[autor_es]],autorest[autor_es],autorest[codigo])</f>
        <v>el</v>
      </c>
      <c r="K1472" t="str">
        <f>_xlfn.XLOOKUP(frasest[[#This Row],[autor_es]],autorest[autor_es],autorest[idioma_es])</f>
        <v>Griego</v>
      </c>
      <c r="L1472" t="str">
        <f>_xlfn.XLOOKUP(frasest[[#This Row],[autor_es]],autorest[autor_es],autorest[idioma_la])</f>
        <v>Lingua Graeca</v>
      </c>
      <c r="M1472" t="str">
        <f>_xlfn.XLOOKUP(frasest[[#This Row],[autor_es]],autorest[autor_es],autorest[nacion_es])</f>
        <v>Grecia</v>
      </c>
      <c r="N1472" t="str">
        <f>_xlfn.XLOOKUP(frasest[[#This Row],[autor_es]],autorest[autor_es],autorest[nacion_la])</f>
        <v>Graecia</v>
      </c>
      <c r="O1472" t="str">
        <f>_xlfn.XLOOKUP(frasest[[#This Row],[autor_es]],autorest[autor_es],autorest[epoca_es])</f>
        <v>Edad Antigua</v>
      </c>
      <c r="P1472" t="str">
        <f>_xlfn.XLOOKUP(frasest[[#This Row],[autor_es]],autorest[autor_es],autorest[epoca_la])</f>
        <v>Antiquitas</v>
      </c>
      <c r="Q1472" t="str">
        <f>_xlfn.XLOOKUP(frasest[[#This Row],[autor_es]],autorest[autor_es],autorest[imagen])</f>
        <v>https://i.ibb.co/7Nb8gNJ3/homero.png</v>
      </c>
      <c r="R1472">
        <f>_xlfn.XLOOKUP(frasest[[#This Row],[autor_es]],autorest[autor_es],autorest[imagen_atr])</f>
        <v>0</v>
      </c>
    </row>
    <row r="1473" spans="1:18">
      <c r="A1473">
        <v>1472</v>
      </c>
      <c r="B1473" t="s">
        <v>4535</v>
      </c>
      <c r="C1473" t="s">
        <v>4536</v>
      </c>
      <c r="D1473" t="s">
        <v>4537</v>
      </c>
      <c r="E1473" t="s">
        <v>4518</v>
      </c>
      <c r="F1473" t="s">
        <v>4538</v>
      </c>
      <c r="G1473" t="str">
        <f>_xlfn.XLOOKUP(frasest[[#This Row],[autor_es]],autorest[autor_es],autorest[autor_la])</f>
        <v>Homerus</v>
      </c>
      <c r="H1473" t="str">
        <f>_xlfn.XLOOKUP(frasest[[#This Row],[autor_es]],autorest[autor_es],autorest[bio_es])</f>
        <v>Poeta épico griego autor de la Ilíada y la Odisea, las dos obras fundamentales de la literatura griega antigua y occidental.</v>
      </c>
      <c r="I1473" t="str">
        <f>_xlfn.XLOOKUP(frasest[[#This Row],[autor_es]],autorest[autor_es],autorest[bio_la])</f>
        <v>Poeta epicus Graecus auctor Iliadis et Odysseae, duo opera fundamentalia litteraturae Graecae antiquae et occidentalis.</v>
      </c>
      <c r="J1473" t="str">
        <f>_xlfn.XLOOKUP(frasest[[#This Row],[autor_es]],autorest[autor_es],autorest[codigo])</f>
        <v>el</v>
      </c>
      <c r="K1473" t="str">
        <f>_xlfn.XLOOKUP(frasest[[#This Row],[autor_es]],autorest[autor_es],autorest[idioma_es])</f>
        <v>Griego</v>
      </c>
      <c r="L1473" t="str">
        <f>_xlfn.XLOOKUP(frasest[[#This Row],[autor_es]],autorest[autor_es],autorest[idioma_la])</f>
        <v>Lingua Graeca</v>
      </c>
      <c r="M1473" t="str">
        <f>_xlfn.XLOOKUP(frasest[[#This Row],[autor_es]],autorest[autor_es],autorest[nacion_es])</f>
        <v>Grecia</v>
      </c>
      <c r="N1473" t="str">
        <f>_xlfn.XLOOKUP(frasest[[#This Row],[autor_es]],autorest[autor_es],autorest[nacion_la])</f>
        <v>Graecia</v>
      </c>
      <c r="O1473" t="str">
        <f>_xlfn.XLOOKUP(frasest[[#This Row],[autor_es]],autorest[autor_es],autorest[epoca_es])</f>
        <v>Edad Antigua</v>
      </c>
      <c r="P1473" t="str">
        <f>_xlfn.XLOOKUP(frasest[[#This Row],[autor_es]],autorest[autor_es],autorest[epoca_la])</f>
        <v>Antiquitas</v>
      </c>
      <c r="Q1473" t="str">
        <f>_xlfn.XLOOKUP(frasest[[#This Row],[autor_es]],autorest[autor_es],autorest[imagen])</f>
        <v>https://i.ibb.co/7Nb8gNJ3/homero.png</v>
      </c>
      <c r="R1473">
        <f>_xlfn.XLOOKUP(frasest[[#This Row],[autor_es]],autorest[autor_es],autorest[imagen_atr])</f>
        <v>0</v>
      </c>
    </row>
    <row r="1474" spans="1:18">
      <c r="A1474">
        <v>1473</v>
      </c>
      <c r="B1474" t="s">
        <v>4539</v>
      </c>
      <c r="C1474" t="s">
        <v>4540</v>
      </c>
      <c r="D1474" t="s">
        <v>4540</v>
      </c>
      <c r="E1474" t="s">
        <v>4541</v>
      </c>
      <c r="F1474" t="s">
        <v>4542</v>
      </c>
      <c r="G1474" t="str">
        <f>_xlfn.XLOOKUP(frasest[[#This Row],[autor_es]],autorest[autor_es],autorest[autor_la])</f>
        <v>Sanctus Bonaventura</v>
      </c>
      <c r="H1474" t="str">
        <f>_xlfn.XLOOKUP(frasest[[#This Row],[autor_es]],autorest[autor_es],autorest[bio_es])</f>
        <v>Teólogo franciscano italiano Doctor Seráfico discípulo de Alejandro de Hales y ministro general de la Orden franciscana que desarrolló una filosofía mística sobre el itinerario del alma hacia Dios siendo contrapunto místico a Santo Tomás de Aquino</v>
      </c>
      <c r="I1474" t="str">
        <f>_xlfn.XLOOKUP(frasest[[#This Row],[autor_es]],autorest[autor_es],autorest[bio_la])</f>
        <v>Theologus Franciscanus Italicus Doctor Seraphicus discipulus Alexandri de Hales et minister generalis Ordinis Franciscani qui philosophiam mysticam de itinerario animae ad Deum elaboravit Thomae Aquinatis contrapunctum mysticum</v>
      </c>
      <c r="J1474" t="str">
        <f>_xlfn.XLOOKUP(frasest[[#This Row],[autor_es]],autorest[autor_es],autorest[codigo])</f>
        <v>la</v>
      </c>
      <c r="K1474" t="str">
        <f>_xlfn.XLOOKUP(frasest[[#This Row],[autor_es]],autorest[autor_es],autorest[idioma_es])</f>
        <v>Latín</v>
      </c>
      <c r="L1474" t="str">
        <f>_xlfn.XLOOKUP(frasest[[#This Row],[autor_es]],autorest[autor_es],autorest[idioma_la])</f>
        <v>Lingua Latina</v>
      </c>
      <c r="M1474" t="str">
        <f>_xlfn.XLOOKUP(frasest[[#This Row],[autor_es]],autorest[autor_es],autorest[nacion_es])</f>
        <v>Italia</v>
      </c>
      <c r="N1474" t="str">
        <f>_xlfn.XLOOKUP(frasest[[#This Row],[autor_es]],autorest[autor_es],autorest[nacion_la])</f>
        <v>Italia</v>
      </c>
      <c r="O1474" t="str">
        <f>_xlfn.XLOOKUP(frasest[[#This Row],[autor_es]],autorest[autor_es],autorest[epoca_es])</f>
        <v>Edad Media</v>
      </c>
      <c r="P1474" t="str">
        <f>_xlfn.XLOOKUP(frasest[[#This Row],[autor_es]],autorest[autor_es],autorest[epoca_la])</f>
        <v>Medium Aevum</v>
      </c>
      <c r="Q1474" t="str">
        <f>_xlfn.XLOOKUP(frasest[[#This Row],[autor_es]],autorest[autor_es],autorest[imagen])</f>
        <v>https://i.ibb.co/Z129mSh3/buenaventura.png</v>
      </c>
      <c r="R1474">
        <f>_xlfn.XLOOKUP(frasest[[#This Row],[autor_es]],autorest[autor_es],autorest[imagen_atr])</f>
        <v>0</v>
      </c>
    </row>
    <row r="1475" spans="1:18">
      <c r="A1475">
        <v>1474</v>
      </c>
      <c r="B1475" t="s">
        <v>4543</v>
      </c>
      <c r="C1475" t="s">
        <v>4544</v>
      </c>
      <c r="D1475" t="s">
        <v>4544</v>
      </c>
      <c r="E1475" t="s">
        <v>4541</v>
      </c>
      <c r="F1475" t="s">
        <v>4545</v>
      </c>
      <c r="G1475" t="str">
        <f>_xlfn.XLOOKUP(frasest[[#This Row],[autor_es]],autorest[autor_es],autorest[autor_la])</f>
        <v>Sanctus Bonaventura</v>
      </c>
      <c r="H1475" t="str">
        <f>_xlfn.XLOOKUP(frasest[[#This Row],[autor_es]],autorest[autor_es],autorest[bio_es])</f>
        <v>Teólogo franciscano italiano Doctor Seráfico discípulo de Alejandro de Hales y ministro general de la Orden franciscana que desarrolló una filosofía mística sobre el itinerario del alma hacia Dios siendo contrapunto místico a Santo Tomás de Aquino</v>
      </c>
      <c r="I1475" t="str">
        <f>_xlfn.XLOOKUP(frasest[[#This Row],[autor_es]],autorest[autor_es],autorest[bio_la])</f>
        <v>Theologus Franciscanus Italicus Doctor Seraphicus discipulus Alexandri de Hales et minister generalis Ordinis Franciscani qui philosophiam mysticam de itinerario animae ad Deum elaboravit Thomae Aquinatis contrapunctum mysticum</v>
      </c>
      <c r="J1475" t="str">
        <f>_xlfn.XLOOKUP(frasest[[#This Row],[autor_es]],autorest[autor_es],autorest[codigo])</f>
        <v>la</v>
      </c>
      <c r="K1475" t="str">
        <f>_xlfn.XLOOKUP(frasest[[#This Row],[autor_es]],autorest[autor_es],autorest[idioma_es])</f>
        <v>Latín</v>
      </c>
      <c r="L1475" t="str">
        <f>_xlfn.XLOOKUP(frasest[[#This Row],[autor_es]],autorest[autor_es],autorest[idioma_la])</f>
        <v>Lingua Latina</v>
      </c>
      <c r="M1475" t="str">
        <f>_xlfn.XLOOKUP(frasest[[#This Row],[autor_es]],autorest[autor_es],autorest[nacion_es])</f>
        <v>Italia</v>
      </c>
      <c r="N1475" t="str">
        <f>_xlfn.XLOOKUP(frasest[[#This Row],[autor_es]],autorest[autor_es],autorest[nacion_la])</f>
        <v>Italia</v>
      </c>
      <c r="O1475" t="str">
        <f>_xlfn.XLOOKUP(frasest[[#This Row],[autor_es]],autorest[autor_es],autorest[epoca_es])</f>
        <v>Edad Media</v>
      </c>
      <c r="P1475" t="str">
        <f>_xlfn.XLOOKUP(frasest[[#This Row],[autor_es]],autorest[autor_es],autorest[epoca_la])</f>
        <v>Medium Aevum</v>
      </c>
      <c r="Q1475" t="str">
        <f>_xlfn.XLOOKUP(frasest[[#This Row],[autor_es]],autorest[autor_es],autorest[imagen])</f>
        <v>https://i.ibb.co/Z129mSh3/buenaventura.png</v>
      </c>
      <c r="R1475">
        <f>_xlfn.XLOOKUP(frasest[[#This Row],[autor_es]],autorest[autor_es],autorest[imagen_atr])</f>
        <v>0</v>
      </c>
    </row>
    <row r="1476" spans="1:18">
      <c r="A1476">
        <v>1475</v>
      </c>
      <c r="B1476" t="s">
        <v>4546</v>
      </c>
      <c r="C1476" t="s">
        <v>4547</v>
      </c>
      <c r="D1476" t="s">
        <v>4547</v>
      </c>
      <c r="E1476" t="s">
        <v>4541</v>
      </c>
      <c r="F1476" t="s">
        <v>4548</v>
      </c>
      <c r="G1476" t="str">
        <f>_xlfn.XLOOKUP(frasest[[#This Row],[autor_es]],autorest[autor_es],autorest[autor_la])</f>
        <v>Sanctus Bonaventura</v>
      </c>
      <c r="H1476" t="str">
        <f>_xlfn.XLOOKUP(frasest[[#This Row],[autor_es]],autorest[autor_es],autorest[bio_es])</f>
        <v>Teólogo franciscano italiano Doctor Seráfico discípulo de Alejandro de Hales y ministro general de la Orden franciscana que desarrolló una filosofía mística sobre el itinerario del alma hacia Dios siendo contrapunto místico a Santo Tomás de Aquino</v>
      </c>
      <c r="I1476" t="str">
        <f>_xlfn.XLOOKUP(frasest[[#This Row],[autor_es]],autorest[autor_es],autorest[bio_la])</f>
        <v>Theologus Franciscanus Italicus Doctor Seraphicus discipulus Alexandri de Hales et minister generalis Ordinis Franciscani qui philosophiam mysticam de itinerario animae ad Deum elaboravit Thomae Aquinatis contrapunctum mysticum</v>
      </c>
      <c r="J1476" t="str">
        <f>_xlfn.XLOOKUP(frasest[[#This Row],[autor_es]],autorest[autor_es],autorest[codigo])</f>
        <v>la</v>
      </c>
      <c r="K1476" t="str">
        <f>_xlfn.XLOOKUP(frasest[[#This Row],[autor_es]],autorest[autor_es],autorest[idioma_es])</f>
        <v>Latín</v>
      </c>
      <c r="L1476" t="str">
        <f>_xlfn.XLOOKUP(frasest[[#This Row],[autor_es]],autorest[autor_es],autorest[idioma_la])</f>
        <v>Lingua Latina</v>
      </c>
      <c r="M1476" t="str">
        <f>_xlfn.XLOOKUP(frasest[[#This Row],[autor_es]],autorest[autor_es],autorest[nacion_es])</f>
        <v>Italia</v>
      </c>
      <c r="N1476" t="str">
        <f>_xlfn.XLOOKUP(frasest[[#This Row],[autor_es]],autorest[autor_es],autorest[nacion_la])</f>
        <v>Italia</v>
      </c>
      <c r="O1476" t="str">
        <f>_xlfn.XLOOKUP(frasest[[#This Row],[autor_es]],autorest[autor_es],autorest[epoca_es])</f>
        <v>Edad Media</v>
      </c>
      <c r="P1476" t="str">
        <f>_xlfn.XLOOKUP(frasest[[#This Row],[autor_es]],autorest[autor_es],autorest[epoca_la])</f>
        <v>Medium Aevum</v>
      </c>
      <c r="Q1476" t="str">
        <f>_xlfn.XLOOKUP(frasest[[#This Row],[autor_es]],autorest[autor_es],autorest[imagen])</f>
        <v>https://i.ibb.co/Z129mSh3/buenaventura.png</v>
      </c>
      <c r="R1476">
        <f>_xlfn.XLOOKUP(frasest[[#This Row],[autor_es]],autorest[autor_es],autorest[imagen_atr])</f>
        <v>0</v>
      </c>
    </row>
    <row r="1477" spans="1:18">
      <c r="A1477">
        <v>1476</v>
      </c>
      <c r="B1477" t="s">
        <v>4549</v>
      </c>
      <c r="C1477" t="s">
        <v>4550</v>
      </c>
      <c r="D1477" t="s">
        <v>4550</v>
      </c>
      <c r="E1477" t="s">
        <v>4541</v>
      </c>
      <c r="F1477" t="s">
        <v>4551</v>
      </c>
      <c r="G1477" t="str">
        <f>_xlfn.XLOOKUP(frasest[[#This Row],[autor_es]],autorest[autor_es],autorest[autor_la])</f>
        <v>Sanctus Bonaventura</v>
      </c>
      <c r="H1477" t="str">
        <f>_xlfn.XLOOKUP(frasest[[#This Row],[autor_es]],autorest[autor_es],autorest[bio_es])</f>
        <v>Teólogo franciscano italiano Doctor Seráfico discípulo de Alejandro de Hales y ministro general de la Orden franciscana que desarrolló una filosofía mística sobre el itinerario del alma hacia Dios siendo contrapunto místico a Santo Tomás de Aquino</v>
      </c>
      <c r="I1477" t="str">
        <f>_xlfn.XLOOKUP(frasest[[#This Row],[autor_es]],autorest[autor_es],autorest[bio_la])</f>
        <v>Theologus Franciscanus Italicus Doctor Seraphicus discipulus Alexandri de Hales et minister generalis Ordinis Franciscani qui philosophiam mysticam de itinerario animae ad Deum elaboravit Thomae Aquinatis contrapunctum mysticum</v>
      </c>
      <c r="J1477" t="str">
        <f>_xlfn.XLOOKUP(frasest[[#This Row],[autor_es]],autorest[autor_es],autorest[codigo])</f>
        <v>la</v>
      </c>
      <c r="K1477" t="str">
        <f>_xlfn.XLOOKUP(frasest[[#This Row],[autor_es]],autorest[autor_es],autorest[idioma_es])</f>
        <v>Latín</v>
      </c>
      <c r="L1477" t="str">
        <f>_xlfn.XLOOKUP(frasest[[#This Row],[autor_es]],autorest[autor_es],autorest[idioma_la])</f>
        <v>Lingua Latina</v>
      </c>
      <c r="M1477" t="str">
        <f>_xlfn.XLOOKUP(frasest[[#This Row],[autor_es]],autorest[autor_es],autorest[nacion_es])</f>
        <v>Italia</v>
      </c>
      <c r="N1477" t="str">
        <f>_xlfn.XLOOKUP(frasest[[#This Row],[autor_es]],autorest[autor_es],autorest[nacion_la])</f>
        <v>Italia</v>
      </c>
      <c r="O1477" t="str">
        <f>_xlfn.XLOOKUP(frasest[[#This Row],[autor_es]],autorest[autor_es],autorest[epoca_es])</f>
        <v>Edad Media</v>
      </c>
      <c r="P1477" t="str">
        <f>_xlfn.XLOOKUP(frasest[[#This Row],[autor_es]],autorest[autor_es],autorest[epoca_la])</f>
        <v>Medium Aevum</v>
      </c>
      <c r="Q1477" t="str">
        <f>_xlfn.XLOOKUP(frasest[[#This Row],[autor_es]],autorest[autor_es],autorest[imagen])</f>
        <v>https://i.ibb.co/Z129mSh3/buenaventura.png</v>
      </c>
      <c r="R1477">
        <f>_xlfn.XLOOKUP(frasest[[#This Row],[autor_es]],autorest[autor_es],autorest[imagen_atr])</f>
        <v>0</v>
      </c>
    </row>
    <row r="1478" spans="1:18">
      <c r="A1478">
        <v>1477</v>
      </c>
      <c r="B1478" t="s">
        <v>4552</v>
      </c>
      <c r="C1478" t="s">
        <v>4553</v>
      </c>
      <c r="D1478" t="s">
        <v>4553</v>
      </c>
      <c r="E1478" t="s">
        <v>4554</v>
      </c>
      <c r="F1478" t="s">
        <v>4555</v>
      </c>
      <c r="G1478" t="str">
        <f>_xlfn.XLOOKUP(frasest[[#This Row],[autor_es]],autorest[autor_es],autorest[autor_la])</f>
        <v>Petrus Abaelardus</v>
      </c>
      <c r="H1478" t="str">
        <f>_xlfn.XLOOKUP(frasest[[#This Row],[autor_es]],autorest[autor_es],autorest[bio_es])</f>
        <v>Filósofo y teólogo francés iniciador de la lógica medieval célebre por su método de la duda como camino a la verdad y por su trágico amor con Eloísa siendo perseguido por sus ideas heterodoxas</v>
      </c>
      <c r="I1478" t="str">
        <f>_xlfn.XLOOKUP(frasest[[#This Row],[autor_es]],autorest[autor_es],autorest[bio_la])</f>
        <v>Philosophus et theologus Francicus initiator logicae medievalis celebris pro methodo dubitationis ut via ad veritatem et pro amore tragico cum Heloisa propter ideas heterodoxas persecutus</v>
      </c>
      <c r="J1478" t="str">
        <f>_xlfn.XLOOKUP(frasest[[#This Row],[autor_es]],autorest[autor_es],autorest[codigo])</f>
        <v>la</v>
      </c>
      <c r="K1478" t="str">
        <f>_xlfn.XLOOKUP(frasest[[#This Row],[autor_es]],autorest[autor_es],autorest[idioma_es])</f>
        <v>Latín</v>
      </c>
      <c r="L1478" t="str">
        <f>_xlfn.XLOOKUP(frasest[[#This Row],[autor_es]],autorest[autor_es],autorest[idioma_la])</f>
        <v>Lingua Latina</v>
      </c>
      <c r="M1478" t="str">
        <f>_xlfn.XLOOKUP(frasest[[#This Row],[autor_es]],autorest[autor_es],autorest[nacion_es])</f>
        <v>Francia</v>
      </c>
      <c r="N1478" t="str">
        <f>_xlfn.XLOOKUP(frasest[[#This Row],[autor_es]],autorest[autor_es],autorest[nacion_la])</f>
        <v>Francia</v>
      </c>
      <c r="O1478" t="str">
        <f>_xlfn.XLOOKUP(frasest[[#This Row],[autor_es]],autorest[autor_es],autorest[epoca_es])</f>
        <v>Edad Media</v>
      </c>
      <c r="P1478" t="str">
        <f>_xlfn.XLOOKUP(frasest[[#This Row],[autor_es]],autorest[autor_es],autorest[epoca_la])</f>
        <v>Medium Aevum</v>
      </c>
      <c r="Q1478" t="str">
        <f>_xlfn.XLOOKUP(frasest[[#This Row],[autor_es]],autorest[autor_es],autorest[imagen])</f>
        <v>https://i.ibb.co/YFt2jzrQ/pedroabelardo.png</v>
      </c>
      <c r="R1478">
        <f>_xlfn.XLOOKUP(frasest[[#This Row],[autor_es]],autorest[autor_es],autorest[imagen_atr])</f>
        <v>0</v>
      </c>
    </row>
    <row r="1479" spans="1:18">
      <c r="A1479">
        <v>1478</v>
      </c>
      <c r="B1479" t="s">
        <v>4556</v>
      </c>
      <c r="C1479" t="s">
        <v>4557</v>
      </c>
      <c r="D1479" t="s">
        <v>4557</v>
      </c>
      <c r="E1479" t="s">
        <v>4554</v>
      </c>
      <c r="F1479" t="s">
        <v>4558</v>
      </c>
      <c r="G1479" t="str">
        <f>_xlfn.XLOOKUP(frasest[[#This Row],[autor_es]],autorest[autor_es],autorest[autor_la])</f>
        <v>Petrus Abaelardus</v>
      </c>
      <c r="H1479" t="str">
        <f>_xlfn.XLOOKUP(frasest[[#This Row],[autor_es]],autorest[autor_es],autorest[bio_es])</f>
        <v>Filósofo y teólogo francés iniciador de la lógica medieval célebre por su método de la duda como camino a la verdad y por su trágico amor con Eloísa siendo perseguido por sus ideas heterodoxas</v>
      </c>
      <c r="I1479" t="str">
        <f>_xlfn.XLOOKUP(frasest[[#This Row],[autor_es]],autorest[autor_es],autorest[bio_la])</f>
        <v>Philosophus et theologus Francicus initiator logicae medievalis celebris pro methodo dubitationis ut via ad veritatem et pro amore tragico cum Heloisa propter ideas heterodoxas persecutus</v>
      </c>
      <c r="J1479" t="str">
        <f>_xlfn.XLOOKUP(frasest[[#This Row],[autor_es]],autorest[autor_es],autorest[codigo])</f>
        <v>la</v>
      </c>
      <c r="K1479" t="str">
        <f>_xlfn.XLOOKUP(frasest[[#This Row],[autor_es]],autorest[autor_es],autorest[idioma_es])</f>
        <v>Latín</v>
      </c>
      <c r="L1479" t="str">
        <f>_xlfn.XLOOKUP(frasest[[#This Row],[autor_es]],autorest[autor_es],autorest[idioma_la])</f>
        <v>Lingua Latina</v>
      </c>
      <c r="M1479" t="str">
        <f>_xlfn.XLOOKUP(frasest[[#This Row],[autor_es]],autorest[autor_es],autorest[nacion_es])</f>
        <v>Francia</v>
      </c>
      <c r="N1479" t="str">
        <f>_xlfn.XLOOKUP(frasest[[#This Row],[autor_es]],autorest[autor_es],autorest[nacion_la])</f>
        <v>Francia</v>
      </c>
      <c r="O1479" t="str">
        <f>_xlfn.XLOOKUP(frasest[[#This Row],[autor_es]],autorest[autor_es],autorest[epoca_es])</f>
        <v>Edad Media</v>
      </c>
      <c r="P1479" t="str">
        <f>_xlfn.XLOOKUP(frasest[[#This Row],[autor_es]],autorest[autor_es],autorest[epoca_la])</f>
        <v>Medium Aevum</v>
      </c>
      <c r="Q1479" t="str">
        <f>_xlfn.XLOOKUP(frasest[[#This Row],[autor_es]],autorest[autor_es],autorest[imagen])</f>
        <v>https://i.ibb.co/YFt2jzrQ/pedroabelardo.png</v>
      </c>
      <c r="R1479">
        <f>_xlfn.XLOOKUP(frasest[[#This Row],[autor_es]],autorest[autor_es],autorest[imagen_atr])</f>
        <v>0</v>
      </c>
    </row>
  </sheetData>
  <dataValidations count="2">
    <dataValidation allowBlank="1" showInputMessage="1" showErrorMessage="1" sqref="F1:F107 F109:F1048576" xr:uid="{DD4729ED-8C79-41AC-B71A-E17CF7F44F33}"/>
    <dataValidation type="list" allowBlank="1" showInputMessage="1" showErrorMessage="1" sqref="E2:E1479" xr:uid="{8CEA02D7-0CD2-4489-A084-A259F01D7038}">
      <formula1>INDIRECT("'autores'!autorest[autor_es]")</formula1>
    </dataValidation>
  </dataValidations>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Roman,Normal"&amp;12&amp;A</oddHeader>
    <oddFooter>&amp;C&amp;"Times New Roman,Normal"&amp;12Página &amp;P</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60CA4-B57D-4A83-AA63-646AD848A9F7}">
  <dimension ref="A1:P121"/>
  <sheetViews>
    <sheetView topLeftCell="A4" workbookViewId="0">
      <selection activeCell="A117" sqref="A117"/>
    </sheetView>
  </sheetViews>
  <sheetFormatPr defaultRowHeight="12.75"/>
  <cols>
    <col min="1" max="1" width="10.7109375" bestFit="1" customWidth="1"/>
    <col min="2" max="2" width="26.5703125" bestFit="1" customWidth="1"/>
    <col min="3" max="3" width="32.7109375" bestFit="1" customWidth="1"/>
    <col min="4" max="4" width="19.28515625" bestFit="1" customWidth="1"/>
    <col min="5" max="5" width="21" bestFit="1" customWidth="1"/>
    <col min="6" max="7" width="30.7109375" bestFit="1" customWidth="1"/>
    <col min="8" max="9" width="15.5703125" customWidth="1"/>
    <col min="10" max="10" width="16.42578125" bestFit="1" customWidth="1"/>
    <col min="11" max="11" width="42" customWidth="1"/>
    <col min="12" max="12" width="40" customWidth="1"/>
    <col min="13" max="13" width="12.140625" customWidth="1"/>
    <col min="14" max="14" width="18.5703125" bestFit="1" customWidth="1"/>
    <col min="15" max="15" width="23.28515625" customWidth="1"/>
    <col min="16" max="16" width="20" bestFit="1" customWidth="1"/>
  </cols>
  <sheetData>
    <row r="1" spans="1:16">
      <c r="A1" t="s">
        <v>4559</v>
      </c>
      <c r="B1" t="s">
        <v>4</v>
      </c>
      <c r="C1" t="s">
        <v>6</v>
      </c>
      <c r="D1" t="s">
        <v>4560</v>
      </c>
      <c r="E1" t="s">
        <v>4561</v>
      </c>
      <c r="F1" t="s">
        <v>7</v>
      </c>
      <c r="G1" t="s">
        <v>8</v>
      </c>
      <c r="H1" t="s">
        <v>10</v>
      </c>
      <c r="I1" t="s">
        <v>12</v>
      </c>
      <c r="J1" t="s">
        <v>11</v>
      </c>
      <c r="K1" t="s">
        <v>16</v>
      </c>
      <c r="L1" t="s">
        <v>17</v>
      </c>
      <c r="M1" t="s">
        <v>9</v>
      </c>
      <c r="N1" t="s">
        <v>13</v>
      </c>
      <c r="O1" t="s">
        <v>14</v>
      </c>
      <c r="P1" t="s">
        <v>15</v>
      </c>
    </row>
    <row r="2" spans="1:16">
      <c r="A2">
        <v>1</v>
      </c>
      <c r="B2" t="s">
        <v>68</v>
      </c>
      <c r="C2" t="s">
        <v>4562</v>
      </c>
      <c r="D2">
        <v>-65</v>
      </c>
      <c r="E2">
        <v>-8</v>
      </c>
      <c r="F2" t="s">
        <v>4563</v>
      </c>
      <c r="G2" t="s">
        <v>4564</v>
      </c>
      <c r="H2" t="s">
        <v>4565</v>
      </c>
      <c r="I2" t="s">
        <v>4566</v>
      </c>
      <c r="J2" t="str">
        <f>_xlfn.XLOOKUP(autorest[[#This Row],[idioma_es]],idiomast[idioma_es],idiomast[idioma_la])</f>
        <v>Lingua Latina</v>
      </c>
      <c r="K2" s="6" t="s">
        <v>4567</v>
      </c>
      <c r="M2" t="str">
        <f>_xlfn.XLOOKUP(autorest[[#This Row],[idioma_es]],idiomast[idioma_es],idiomast[codigo])</f>
        <v>la</v>
      </c>
      <c r="N2" t="str">
        <f>_xlfn.XLOOKUP(autorest[[#This Row],[nacion_es]],nacionest[nacion_es],nacionest[nacion_la])</f>
        <v>Roma</v>
      </c>
      <c r="O2" s="4" t="str" cm="1">
        <f t="array" ref="O2">IF(ISBLANK(autorest[[#This Row],[fecha_nacimiento]]),"Epoca Desconocida",IFERROR(INDEX(epocast[epoca_es],MATCH(1,(autorest[[#This Row],[fecha_nacimiento]]&gt;=epocast[inicio_ano])*(autorest[[#This Row],[fecha_nacimiento]]&lt;=epocast[fin_ano]),0)),"Epoca Desconocida"))</f>
        <v>Edad Antigua</v>
      </c>
      <c r="P2" t="str">
        <f>_xlfn.XLOOKUP(autorest[[#This Row],[epoca_es]],epocast[epoca_es],epocast[epoca_la])</f>
        <v>Antiquitas</v>
      </c>
    </row>
    <row r="3" spans="1:16">
      <c r="A3">
        <v>2</v>
      </c>
      <c r="B3" t="s">
        <v>49</v>
      </c>
      <c r="C3" t="s">
        <v>4568</v>
      </c>
      <c r="D3">
        <v>1596</v>
      </c>
      <c r="E3">
        <v>1650</v>
      </c>
      <c r="F3" t="s">
        <v>4569</v>
      </c>
      <c r="G3" t="s">
        <v>4570</v>
      </c>
      <c r="H3" t="s">
        <v>4565</v>
      </c>
      <c r="I3" t="s">
        <v>4571</v>
      </c>
      <c r="J3" t="str">
        <f>_xlfn.XLOOKUP(autorest[[#This Row],[idioma_es]],idiomast[idioma_es],idiomast[idioma_la])</f>
        <v>Lingua Latina</v>
      </c>
      <c r="K3" s="6" t="s">
        <v>4572</v>
      </c>
      <c r="M3" t="str">
        <f>_xlfn.XLOOKUP(autorest[[#This Row],[idioma_es]],idiomast[idioma_es],idiomast[codigo])</f>
        <v>la</v>
      </c>
      <c r="N3" t="str">
        <f>_xlfn.XLOOKUP(autorest[[#This Row],[nacion_es]],nacionest[nacion_es],nacionest[nacion_la])</f>
        <v>Francia</v>
      </c>
      <c r="O3" s="4" t="str" cm="1">
        <f t="array" ref="O3">IF(ISBLANK(autorest[[#This Row],[fecha_nacimiento]]),"Epoca Desconocida",IFERROR(INDEX(epocast[epoca_es],MATCH(1,(autorest[[#This Row],[fecha_nacimiento]]&gt;=epocast[inicio_ano])*(autorest[[#This Row],[fecha_nacimiento]]&lt;=epocast[fin_ano]),0)),"Epoca Desconocida"))</f>
        <v>Edad Moderna</v>
      </c>
      <c r="P3" t="str">
        <f>_xlfn.XLOOKUP(autorest[[#This Row],[epoca_es]],epocast[epoca_es],epocast[epoca_la])</f>
        <v>Nova Aetas</v>
      </c>
    </row>
    <row r="4" spans="1:16">
      <c r="A4">
        <v>3</v>
      </c>
      <c r="B4" t="s">
        <v>53</v>
      </c>
      <c r="C4" t="s">
        <v>4573</v>
      </c>
      <c r="D4">
        <v>1561</v>
      </c>
      <c r="E4">
        <v>1626</v>
      </c>
      <c r="F4" t="s">
        <v>4574</v>
      </c>
      <c r="G4" t="s">
        <v>4575</v>
      </c>
      <c r="H4" t="s">
        <v>4576</v>
      </c>
      <c r="I4" t="s">
        <v>4577</v>
      </c>
      <c r="J4" t="str">
        <f>_xlfn.XLOOKUP(autorest[[#This Row],[idioma_es]],idiomast[idioma_es],idiomast[idioma_la])</f>
        <v>Lingua Anglica</v>
      </c>
      <c r="K4" s="6" t="s">
        <v>4578</v>
      </c>
      <c r="M4" t="str">
        <f>_xlfn.XLOOKUP(autorest[[#This Row],[idioma_es]],idiomast[idioma_es],idiomast[codigo])</f>
        <v>en</v>
      </c>
      <c r="N4" t="str">
        <f>_xlfn.XLOOKUP(autorest[[#This Row],[nacion_es]],nacionest[nacion_es],nacionest[nacion_la])</f>
        <v>Regnum Unitum</v>
      </c>
      <c r="O4" s="4" t="str" cm="1">
        <f t="array" ref="O4">IF(ISBLANK(autorest[[#This Row],[fecha_nacimiento]]),"Epoca Desconocida",IFERROR(INDEX(epocast[epoca_es],MATCH(1,(autorest[[#This Row],[fecha_nacimiento]]&gt;=epocast[inicio_ano])*(autorest[[#This Row],[fecha_nacimiento]]&lt;=epocast[fin_ano]),0)),"Epoca Desconocida"))</f>
        <v>Edad Moderna</v>
      </c>
      <c r="P4" t="str">
        <f>_xlfn.XLOOKUP(autorest[[#This Row],[epoca_es]],epocast[epoca_es],epocast[epoca_la])</f>
        <v>Nova Aetas</v>
      </c>
    </row>
    <row r="5" spans="1:16">
      <c r="A5">
        <v>4</v>
      </c>
      <c r="B5" t="s">
        <v>57</v>
      </c>
      <c r="C5" t="s">
        <v>4579</v>
      </c>
      <c r="D5">
        <v>354</v>
      </c>
      <c r="E5">
        <v>430</v>
      </c>
      <c r="F5" t="s">
        <v>4580</v>
      </c>
      <c r="G5" t="s">
        <v>4581</v>
      </c>
      <c r="H5" t="s">
        <v>4565</v>
      </c>
      <c r="I5" t="s">
        <v>4566</v>
      </c>
      <c r="J5" t="str">
        <f>_xlfn.XLOOKUP(autorest[[#This Row],[idioma_es]],idiomast[idioma_es],idiomast[idioma_la])</f>
        <v>Lingua Latina</v>
      </c>
      <c r="K5" s="6" t="s">
        <v>4582</v>
      </c>
      <c r="M5" t="str">
        <f>_xlfn.XLOOKUP(autorest[[#This Row],[idioma_es]],idiomast[idioma_es],idiomast[codigo])</f>
        <v>la</v>
      </c>
      <c r="N5" t="str">
        <f>_xlfn.XLOOKUP(autorest[[#This Row],[nacion_es]],nacionest[nacion_es],nacionest[nacion_la])</f>
        <v>Roma</v>
      </c>
      <c r="O5" s="4" t="str" cm="1">
        <f t="array" ref="O5">IF(ISBLANK(autorest[[#This Row],[fecha_nacimiento]]),"Epoca Desconocida",IFERROR(INDEX(epocast[epoca_es],MATCH(1,(autorest[[#This Row],[fecha_nacimiento]]&gt;=epocast[inicio_ano])*(autorest[[#This Row],[fecha_nacimiento]]&lt;=epocast[fin_ano]),0)),"Epoca Desconocida"))</f>
        <v>Edad Antigua</v>
      </c>
      <c r="P5" t="str">
        <f>_xlfn.XLOOKUP(autorest[[#This Row],[epoca_es]],epocast[epoca_es],epocast[epoca_la])</f>
        <v>Antiquitas</v>
      </c>
    </row>
    <row r="6" spans="1:16">
      <c r="A6">
        <v>5</v>
      </c>
      <c r="B6" t="s">
        <v>73</v>
      </c>
      <c r="C6" t="s">
        <v>4583</v>
      </c>
      <c r="D6">
        <v>1564</v>
      </c>
      <c r="E6">
        <v>1616</v>
      </c>
      <c r="F6" t="s">
        <v>4584</v>
      </c>
      <c r="G6" t="s">
        <v>4585</v>
      </c>
      <c r="H6" t="s">
        <v>4576</v>
      </c>
      <c r="I6" t="s">
        <v>4577</v>
      </c>
      <c r="J6" t="str">
        <f>_xlfn.XLOOKUP(autorest[[#This Row],[idioma_es]],idiomast[idioma_es],idiomast[idioma_la])</f>
        <v>Lingua Anglica</v>
      </c>
      <c r="K6" s="6" t="s">
        <v>4586</v>
      </c>
      <c r="M6" t="str">
        <f>_xlfn.XLOOKUP(autorest[[#This Row],[idioma_es]],idiomast[idioma_es],idiomast[codigo])</f>
        <v>en</v>
      </c>
      <c r="N6" t="str">
        <f>_xlfn.XLOOKUP(autorest[[#This Row],[nacion_es]],nacionest[nacion_es],nacionest[nacion_la])</f>
        <v>Regnum Unitum</v>
      </c>
      <c r="O6" s="4" t="str" cm="1">
        <f t="array" ref="O6">IF(ISBLANK(autorest[[#This Row],[fecha_nacimiento]]),"Epoca Desconocida",IFERROR(INDEX(epocast[epoca_es],MATCH(1,(autorest[[#This Row],[fecha_nacimiento]]&gt;=epocast[inicio_ano])*(autorest[[#This Row],[fecha_nacimiento]]&lt;=epocast[fin_ano]),0)),"Epoca Desconocida"))</f>
        <v>Edad Moderna</v>
      </c>
      <c r="P6" t="str">
        <f>_xlfn.XLOOKUP(autorest[[#This Row],[epoca_es]],epocast[epoca_es],epocast[epoca_la])</f>
        <v>Nova Aetas</v>
      </c>
    </row>
    <row r="7" spans="1:16">
      <c r="A7">
        <v>6</v>
      </c>
      <c r="B7" t="s">
        <v>4587</v>
      </c>
      <c r="C7" t="s">
        <v>4588</v>
      </c>
      <c r="D7">
        <v>-990</v>
      </c>
      <c r="E7">
        <v>-931</v>
      </c>
      <c r="F7" t="s">
        <v>4589</v>
      </c>
      <c r="G7" t="s">
        <v>4590</v>
      </c>
      <c r="H7" t="s">
        <v>4591</v>
      </c>
      <c r="I7" t="s">
        <v>4592</v>
      </c>
      <c r="J7" t="str">
        <f>_xlfn.XLOOKUP(autorest[[#This Row],[idioma_es]],idiomast[idioma_es],idiomast[idioma_la])</f>
        <v>Lingua Hebraica</v>
      </c>
      <c r="K7" s="6" t="s">
        <v>4593</v>
      </c>
      <c r="M7" t="str">
        <f>_xlfn.XLOOKUP(autorest[[#This Row],[idioma_es]],idiomast[idioma_es],idiomast[codigo])</f>
        <v>he</v>
      </c>
      <c r="N7" t="str">
        <f>_xlfn.XLOOKUP(autorest[[#This Row],[nacion_es]],nacionest[nacion_es],nacionest[nacion_la])</f>
        <v>Israel</v>
      </c>
      <c r="O7" s="4" t="str" cm="1">
        <f t="array" ref="O7">IF(ISBLANK(autorest[[#This Row],[fecha_nacimiento]]),"Epoca Desconocida",IFERROR(INDEX(epocast[epoca_es],MATCH(1,(autorest[[#This Row],[fecha_nacimiento]]&gt;=epocast[inicio_ano])*(autorest[[#This Row],[fecha_nacimiento]]&lt;=epocast[fin_ano]),0)),"Epoca Desconocida"))</f>
        <v>Edad Antigua</v>
      </c>
      <c r="P7" t="str">
        <f>_xlfn.XLOOKUP(autorest[[#This Row],[epoca_es]],epocast[epoca_es],epocast[epoca_la])</f>
        <v>Antiquitas</v>
      </c>
    </row>
    <row r="8" spans="1:16">
      <c r="A8">
        <v>7</v>
      </c>
      <c r="B8" t="s">
        <v>62</v>
      </c>
      <c r="C8" t="s">
        <v>4594</v>
      </c>
      <c r="D8">
        <v>1888</v>
      </c>
      <c r="E8">
        <v>1955</v>
      </c>
      <c r="F8" t="s">
        <v>4595</v>
      </c>
      <c r="G8" t="s">
        <v>4596</v>
      </c>
      <c r="H8" t="s">
        <v>4576</v>
      </c>
      <c r="I8" t="s">
        <v>4597</v>
      </c>
      <c r="J8" t="str">
        <f>_xlfn.XLOOKUP(autorest[[#This Row],[idioma_es]],idiomast[idioma_es],idiomast[idioma_la])</f>
        <v>Lingua Anglica</v>
      </c>
      <c r="K8" s="6" t="s">
        <v>4598</v>
      </c>
      <c r="M8" t="str">
        <f>_xlfn.XLOOKUP(autorest[[#This Row],[idioma_es]],idiomast[idioma_es],idiomast[codigo])</f>
        <v>en</v>
      </c>
      <c r="N8" t="str">
        <f>_xlfn.XLOOKUP(autorest[[#This Row],[nacion_es]],nacionest[nacion_es],nacionest[nacion_la])</f>
        <v>Civitates Foederatae Americae</v>
      </c>
      <c r="O8" s="4" t="str" cm="1">
        <f t="array" ref="O8">IF(ISBLANK(autorest[[#This Row],[fecha_nacimiento]]),"Epoca Desconocida",IFERROR(INDEX(epocast[epoca_es],MATCH(1,(autorest[[#This Row],[fecha_nacimiento]]&gt;=epocast[inicio_ano])*(autorest[[#This Row],[fecha_nacimiento]]&lt;=epocast[fin_ano]),0)),"Epoca Desconocida"))</f>
        <v>Edad Contemporánea</v>
      </c>
      <c r="P8" t="str">
        <f>_xlfn.XLOOKUP(autorest[[#This Row],[epoca_es]],epocast[epoca_es],epocast[epoca_la])</f>
        <v>Aetas Contemporanea</v>
      </c>
    </row>
    <row r="9" spans="1:16">
      <c r="A9">
        <v>8</v>
      </c>
      <c r="B9" t="s">
        <v>36</v>
      </c>
      <c r="C9" t="s">
        <v>4599</v>
      </c>
      <c r="F9" t="s">
        <v>4600</v>
      </c>
      <c r="G9" t="s">
        <v>4601</v>
      </c>
      <c r="H9" t="s">
        <v>4602</v>
      </c>
      <c r="I9" t="s">
        <v>4603</v>
      </c>
      <c r="J9" t="str">
        <f>_xlfn.XLOOKUP(autorest[[#This Row],[idioma_es]],idiomast[idioma_es],idiomast[idioma_la])</f>
        <v>Lingua Sinica</v>
      </c>
      <c r="K9" s="6" t="s">
        <v>4604</v>
      </c>
      <c r="L9" s="6"/>
      <c r="M9" t="str">
        <f>_xlfn.XLOOKUP(autorest[[#This Row],[idioma_es]],idiomast[idioma_es],idiomast[codigo])</f>
        <v>zh</v>
      </c>
      <c r="N9" t="str">
        <f>_xlfn.XLOOKUP(autorest[[#This Row],[nacion_es]],nacionest[nacion_es],nacionest[nacion_la])</f>
        <v>Sinae</v>
      </c>
      <c r="O9" s="4" t="str" cm="1">
        <f t="array" ref="O9">IF(ISBLANK(autorest[[#This Row],[fecha_nacimiento]]),"Epoca Desconocida",IFERROR(INDEX(epocast[epoca_es],MATCH(1,(autorest[[#This Row],[fecha_nacimiento]]&gt;=epocast[inicio_ano])*(autorest[[#This Row],[fecha_nacimiento]]&lt;=epocast[fin_ano]),0)),"Epoca Desconocida"))</f>
        <v>Epoca Desconocida</v>
      </c>
      <c r="P9" t="str">
        <f>_xlfn.XLOOKUP(autorest[[#This Row],[epoca_es]],epocast[epoca_es],epocast[epoca_la])</f>
        <v>Epocha Ignota</v>
      </c>
    </row>
    <row r="10" spans="1:16">
      <c r="A10">
        <v>9</v>
      </c>
      <c r="B10" t="s">
        <v>28</v>
      </c>
      <c r="C10" t="s">
        <v>4605</v>
      </c>
      <c r="F10" t="s">
        <v>4606</v>
      </c>
      <c r="G10" t="s">
        <v>4607</v>
      </c>
      <c r="H10" t="s">
        <v>4608</v>
      </c>
      <c r="I10" t="s">
        <v>4609</v>
      </c>
      <c r="J10" t="str">
        <f>_xlfn.XLOOKUP(autorest[[#This Row],[idioma_es]],idiomast[idioma_es],idiomast[idioma_la])</f>
        <v>Lingua Iaponica</v>
      </c>
      <c r="K10" s="6" t="s">
        <v>4610</v>
      </c>
      <c r="M10" t="str">
        <f>_xlfn.XLOOKUP(autorest[[#This Row],[idioma_es]],idiomast[idioma_es],idiomast[codigo])</f>
        <v>ja</v>
      </c>
      <c r="N10" t="str">
        <f>_xlfn.XLOOKUP(autorest[[#This Row],[nacion_es]],nacionest[nacion_es],nacionest[nacion_la])</f>
        <v>Iaponia</v>
      </c>
      <c r="O10" s="4" t="str" cm="1">
        <f t="array" ref="O10">IF(ISBLANK(autorest[[#This Row],[fecha_nacimiento]]),"Epoca Desconocida",IFERROR(INDEX(epocast[epoca_es],MATCH(1,(autorest[[#This Row],[fecha_nacimiento]]&gt;=epocast[inicio_ano])*(autorest[[#This Row],[fecha_nacimiento]]&lt;=epocast[fin_ano]),0)),"Epoca Desconocida"))</f>
        <v>Epoca Desconocida</v>
      </c>
      <c r="P10" t="str">
        <f>_xlfn.XLOOKUP(autorest[[#This Row],[epoca_es]],epocast[epoca_es],epocast[epoca_la])</f>
        <v>Epocha Ignota</v>
      </c>
    </row>
    <row r="11" spans="1:16">
      <c r="A11">
        <v>10</v>
      </c>
      <c r="B11" t="s">
        <v>21</v>
      </c>
      <c r="C11" t="s">
        <v>4611</v>
      </c>
      <c r="F11" t="s">
        <v>4612</v>
      </c>
      <c r="G11" t="s">
        <v>4613</v>
      </c>
      <c r="H11" t="s">
        <v>4614</v>
      </c>
      <c r="I11" t="s">
        <v>4571</v>
      </c>
      <c r="J11" t="str">
        <f>_xlfn.XLOOKUP(autorest[[#This Row],[idioma_es]],idiomast[idioma_es],idiomast[idioma_la])</f>
        <v>Lingua Gallica</v>
      </c>
      <c r="K11" s="6" t="s">
        <v>4615</v>
      </c>
      <c r="M11" t="str">
        <f>_xlfn.XLOOKUP(autorest[[#This Row],[idioma_es]],idiomast[idioma_es],idiomast[codigo])</f>
        <v>fr</v>
      </c>
      <c r="N11" t="str">
        <f>_xlfn.XLOOKUP(autorest[[#This Row],[nacion_es]],nacionest[nacion_es],nacionest[nacion_la])</f>
        <v>Francia</v>
      </c>
      <c r="O11" s="4" t="str" cm="1">
        <f t="array" ref="O11">IF(ISBLANK(autorest[[#This Row],[fecha_nacimiento]]),"Epoca Desconocida",IFERROR(INDEX(epocast[epoca_es],MATCH(1,(autorest[[#This Row],[fecha_nacimiento]]&gt;=epocast[inicio_ano])*(autorest[[#This Row],[fecha_nacimiento]]&lt;=epocast[fin_ano]),0)),"Epoca Desconocida"))</f>
        <v>Epoca Desconocida</v>
      </c>
      <c r="P11" t="str">
        <f>_xlfn.XLOOKUP(autorest[[#This Row],[epoca_es]],epocast[epoca_es],epocast[epoca_la])</f>
        <v>Epocha Ignota</v>
      </c>
    </row>
    <row r="12" spans="1:16">
      <c r="A12">
        <v>11</v>
      </c>
      <c r="B12" t="s">
        <v>32</v>
      </c>
      <c r="C12" t="s">
        <v>4616</v>
      </c>
      <c r="F12" t="s">
        <v>4617</v>
      </c>
      <c r="G12" t="s">
        <v>4618</v>
      </c>
      <c r="H12" t="s">
        <v>4619</v>
      </c>
      <c r="I12" t="s">
        <v>4620</v>
      </c>
      <c r="J12" t="str">
        <f>_xlfn.XLOOKUP(autorest[[#This Row],[idioma_es]],idiomast[idioma_es],idiomast[idioma_la])</f>
        <v>Lingua Russica</v>
      </c>
      <c r="K12" t="s">
        <v>4621</v>
      </c>
      <c r="M12" t="str">
        <f>_xlfn.XLOOKUP(autorest[[#This Row],[idioma_es]],idiomast[idioma_es],idiomast[codigo])</f>
        <v>ru</v>
      </c>
      <c r="N12" t="str">
        <f>_xlfn.XLOOKUP(autorest[[#This Row],[nacion_es]],nacionest[nacion_es],nacionest[nacion_la])</f>
        <v>Russia</v>
      </c>
      <c r="O12" s="4" t="str" cm="1">
        <f t="array" ref="O12">IF(ISBLANK(autorest[[#This Row],[fecha_nacimiento]]),"Epoca Desconocida",IFERROR(INDEX(epocast[epoca_es],MATCH(1,(autorest[[#This Row],[fecha_nacimiento]]&gt;=epocast[inicio_ano])*(autorest[[#This Row],[fecha_nacimiento]]&lt;=epocast[fin_ano]),0)),"Epoca Desconocida"))</f>
        <v>Epoca Desconocida</v>
      </c>
      <c r="P12" t="str">
        <f>_xlfn.XLOOKUP(autorest[[#This Row],[epoca_es]],epocast[epoca_es],epocast[epoca_la])</f>
        <v>Epocha Ignota</v>
      </c>
    </row>
    <row r="13" spans="1:16">
      <c r="A13">
        <v>12</v>
      </c>
      <c r="B13" t="s">
        <v>24</v>
      </c>
      <c r="C13" t="s">
        <v>4622</v>
      </c>
      <c r="F13" t="s">
        <v>4623</v>
      </c>
      <c r="G13" t="s">
        <v>4624</v>
      </c>
      <c r="H13" t="s">
        <v>4625</v>
      </c>
      <c r="I13" t="s">
        <v>4626</v>
      </c>
      <c r="J13" t="str">
        <f>_xlfn.XLOOKUP(autorest[[#This Row],[idioma_es]],idiomast[idioma_es],idiomast[idioma_la])</f>
        <v>Lingua Hispanica</v>
      </c>
      <c r="K13" t="s">
        <v>4627</v>
      </c>
      <c r="M13" t="str">
        <f>_xlfn.XLOOKUP(autorest[[#This Row],[idioma_es]],idiomast[idioma_es],idiomast[codigo])</f>
        <v>es</v>
      </c>
      <c r="N13" t="str">
        <f>_xlfn.XLOOKUP(autorest[[#This Row],[nacion_es]],nacionest[nacion_es],nacionest[nacion_la])</f>
        <v>Hispania</v>
      </c>
      <c r="O13" s="4" t="str" cm="1">
        <f t="array" ref="O13">IF(ISBLANK(autorest[[#This Row],[fecha_nacimiento]]),"Epoca Desconocida",IFERROR(INDEX(epocast[epoca_es],MATCH(1,(autorest[[#This Row],[fecha_nacimiento]]&gt;=epocast[inicio_ano])*(autorest[[#This Row],[fecha_nacimiento]]&lt;=epocast[fin_ano]),0)),"Epoca Desconocida"))</f>
        <v>Epoca Desconocida</v>
      </c>
      <c r="P13" t="str">
        <f>_xlfn.XLOOKUP(autorest[[#This Row],[epoca_es]],epocast[epoca_es],epocast[epoca_la])</f>
        <v>Epocha Ignota</v>
      </c>
    </row>
    <row r="14" spans="1:16">
      <c r="A14">
        <v>13</v>
      </c>
      <c r="B14" t="s">
        <v>1236</v>
      </c>
      <c r="C14" t="s">
        <v>4628</v>
      </c>
      <c r="F14" t="s">
        <v>4629</v>
      </c>
      <c r="G14" t="s">
        <v>4630</v>
      </c>
      <c r="H14" t="s">
        <v>4631</v>
      </c>
      <c r="I14" t="s">
        <v>4626</v>
      </c>
      <c r="J14" t="str">
        <f>_xlfn.XLOOKUP(autorest[[#This Row],[idioma_es]],idiomast[idioma_es],idiomast[idioma_la])</f>
        <v>Lingua Vasconica</v>
      </c>
      <c r="K14" t="s">
        <v>4632</v>
      </c>
      <c r="M14" t="str">
        <f>_xlfn.XLOOKUP(autorest[[#This Row],[idioma_es]],idiomast[idioma_es],idiomast[codigo])</f>
        <v>eu</v>
      </c>
      <c r="N14" t="str">
        <f>_xlfn.XLOOKUP(autorest[[#This Row],[nacion_es]],nacionest[nacion_es],nacionest[nacion_la])</f>
        <v>Hispania</v>
      </c>
      <c r="O14" s="4" t="str" cm="1">
        <f t="array" ref="O14">IF(ISBLANK(autorest[[#This Row],[fecha_nacimiento]]),"Epoca Desconocida",IFERROR(INDEX(epocast[epoca_es],MATCH(1,(autorest[[#This Row],[fecha_nacimiento]]&gt;=epocast[inicio_ano])*(autorest[[#This Row],[fecha_nacimiento]]&lt;=epocast[fin_ano]),0)),"Epoca Desconocida"))</f>
        <v>Epoca Desconocida</v>
      </c>
      <c r="P14" t="str">
        <f>_xlfn.XLOOKUP(autorest[[#This Row],[epoca_es]],epocast[epoca_es],epocast[epoca_la])</f>
        <v>Epocha Ignota</v>
      </c>
    </row>
    <row r="15" spans="1:16">
      <c r="A15">
        <v>14</v>
      </c>
      <c r="B15" t="s">
        <v>82</v>
      </c>
      <c r="C15" t="s">
        <v>4633</v>
      </c>
      <c r="D15">
        <v>-100</v>
      </c>
      <c r="E15">
        <v>-44</v>
      </c>
      <c r="F15" t="s">
        <v>4634</v>
      </c>
      <c r="G15" t="s">
        <v>4635</v>
      </c>
      <c r="H15" t="s">
        <v>4565</v>
      </c>
      <c r="I15" t="s">
        <v>4566</v>
      </c>
      <c r="J15" t="str">
        <f>_xlfn.XLOOKUP(autorest[[#This Row],[idioma_es]],idiomast[idioma_es],idiomast[idioma_la])</f>
        <v>Lingua Latina</v>
      </c>
      <c r="K15" s="6" t="s">
        <v>4636</v>
      </c>
      <c r="M15" t="str">
        <f>_xlfn.XLOOKUP(autorest[[#This Row],[idioma_es]],idiomast[idioma_es],idiomast[codigo])</f>
        <v>la</v>
      </c>
      <c r="N15" t="str">
        <f>_xlfn.XLOOKUP(autorest[[#This Row],[nacion_es]],nacionest[nacion_es],nacionest[nacion_la])</f>
        <v>Roma</v>
      </c>
      <c r="O15" s="4" t="str" cm="1">
        <f t="array" ref="O15">IF(ISBLANK(autorest[[#This Row],[fecha_nacimiento]]),"Epoca Desconocida",IFERROR(INDEX(epocast[epoca_es],MATCH(1,(autorest[[#This Row],[fecha_nacimiento]]&gt;=epocast[inicio_ano])*(autorest[[#This Row],[fecha_nacimiento]]&lt;=epocast[fin_ano]),0)),"Epoca Desconocida"))</f>
        <v>Edad Antigua</v>
      </c>
      <c r="P15" t="str">
        <f>_xlfn.XLOOKUP(autorest[[#This Row],[epoca_es]],epocast[epoca_es],epocast[epoca_la])</f>
        <v>Antiquitas</v>
      </c>
    </row>
    <row r="16" spans="1:16">
      <c r="A16">
        <v>15</v>
      </c>
      <c r="B16" t="s">
        <v>87</v>
      </c>
      <c r="C16" t="s">
        <v>4637</v>
      </c>
      <c r="D16">
        <v>-515</v>
      </c>
      <c r="E16">
        <v>-450</v>
      </c>
      <c r="F16" t="s">
        <v>4638</v>
      </c>
      <c r="G16" t="s">
        <v>4639</v>
      </c>
      <c r="H16" t="s">
        <v>4565</v>
      </c>
      <c r="I16" t="s">
        <v>4640</v>
      </c>
      <c r="J16" t="str">
        <f>_xlfn.XLOOKUP(autorest[[#This Row],[idioma_es]],idiomast[idioma_es],idiomast[idioma_la])</f>
        <v>Lingua Latina</v>
      </c>
      <c r="K16" s="6" t="s">
        <v>4641</v>
      </c>
      <c r="M16" t="str">
        <f>_xlfn.XLOOKUP(autorest[[#This Row],[idioma_es]],idiomast[idioma_es],idiomast[codigo])</f>
        <v>la</v>
      </c>
      <c r="N16" t="str">
        <f>_xlfn.XLOOKUP(autorest[[#This Row],[nacion_es]],nacionest[nacion_es],nacionest[nacion_la])</f>
        <v>Graecia</v>
      </c>
      <c r="O16" s="4" t="str" cm="1">
        <f t="array" ref="O16">IF(ISBLANK(autorest[[#This Row],[fecha_nacimiento]]),"Epoca Desconocida",IFERROR(INDEX(epocast[epoca_es],MATCH(1,(autorest[[#This Row],[fecha_nacimiento]]&gt;=epocast[inicio_ano])*(autorest[[#This Row],[fecha_nacimiento]]&lt;=epocast[fin_ano]),0)),"Epoca Desconocida"))</f>
        <v>Edad Antigua</v>
      </c>
      <c r="P16" t="str">
        <f>_xlfn.XLOOKUP(autorest[[#This Row],[epoca_es]],epocast[epoca_es],epocast[epoca_la])</f>
        <v>Antiquitas</v>
      </c>
    </row>
    <row r="17" spans="1:16">
      <c r="A17">
        <v>16</v>
      </c>
      <c r="B17" t="s">
        <v>95</v>
      </c>
      <c r="C17" t="s">
        <v>4642</v>
      </c>
      <c r="D17">
        <v>-551</v>
      </c>
      <c r="E17">
        <v>-479</v>
      </c>
      <c r="F17" t="s">
        <v>4643</v>
      </c>
      <c r="G17" t="s">
        <v>4644</v>
      </c>
      <c r="H17" t="s">
        <v>4602</v>
      </c>
      <c r="I17" t="s">
        <v>4603</v>
      </c>
      <c r="J17" t="str">
        <f>_xlfn.XLOOKUP(autorest[[#This Row],[idioma_es]],idiomast[idioma_es],idiomast[idioma_la])</f>
        <v>Lingua Sinica</v>
      </c>
      <c r="K17" s="6" t="s">
        <v>4645</v>
      </c>
      <c r="M17" t="str">
        <f>_xlfn.XLOOKUP(autorest[[#This Row],[idioma_es]],idiomast[idioma_es],idiomast[codigo])</f>
        <v>zh</v>
      </c>
      <c r="N17" t="str">
        <f>_xlfn.XLOOKUP(autorest[[#This Row],[nacion_es]],nacionest[nacion_es],nacionest[nacion_la])</f>
        <v>Sinae</v>
      </c>
      <c r="O17" s="4" t="str" cm="1">
        <f t="array" ref="O17">IF(ISBLANK(autorest[[#This Row],[fecha_nacimiento]]),"Epoca Desconocida",IFERROR(INDEX(epocast[epoca_es],MATCH(1,(autorest[[#This Row],[fecha_nacimiento]]&gt;=epocast[inicio_ano])*(autorest[[#This Row],[fecha_nacimiento]]&lt;=epocast[fin_ano]),0)),"Epoca Desconocida"))</f>
        <v>Edad Antigua</v>
      </c>
      <c r="P17" t="str">
        <f>_xlfn.XLOOKUP(autorest[[#This Row],[epoca_es]],epocast[epoca_es],epocast[epoca_la])</f>
        <v>Antiquitas</v>
      </c>
    </row>
    <row r="18" spans="1:16">
      <c r="A18">
        <v>17</v>
      </c>
      <c r="B18" t="s">
        <v>4646</v>
      </c>
      <c r="C18" t="s">
        <v>4647</v>
      </c>
      <c r="D18">
        <v>560</v>
      </c>
      <c r="E18">
        <v>636</v>
      </c>
      <c r="F18" t="s">
        <v>4648</v>
      </c>
      <c r="G18" t="s">
        <v>4649</v>
      </c>
      <c r="H18" t="s">
        <v>4565</v>
      </c>
      <c r="I18" t="s">
        <v>4626</v>
      </c>
      <c r="J18" t="str">
        <f>_xlfn.XLOOKUP(autorest[[#This Row],[idioma_es]],idiomast[idioma_es],idiomast[idioma_la])</f>
        <v>Lingua Latina</v>
      </c>
      <c r="K18" s="6" t="s">
        <v>4650</v>
      </c>
      <c r="M18" t="str">
        <f>_xlfn.XLOOKUP(autorest[[#This Row],[idioma_es]],idiomast[idioma_es],idiomast[codigo])</f>
        <v>la</v>
      </c>
      <c r="N18" t="str">
        <f>_xlfn.XLOOKUP(autorest[[#This Row],[nacion_es]],nacionest[nacion_es],nacionest[nacion_la])</f>
        <v>Hispania</v>
      </c>
      <c r="O18" s="4" t="str" cm="1">
        <f t="array" ref="O18">IF(ISBLANK(autorest[[#This Row],[fecha_nacimiento]]),"Epoca Desconocida",IFERROR(INDEX(epocast[epoca_es],MATCH(1,(autorest[[#This Row],[fecha_nacimiento]]&gt;=epocast[inicio_ano])*(autorest[[#This Row],[fecha_nacimiento]]&lt;=epocast[fin_ano]),0)),"Epoca Desconocida"))</f>
        <v>Edad Media</v>
      </c>
      <c r="P18" t="str">
        <f>_xlfn.XLOOKUP(autorest[[#This Row],[epoca_es]],epocast[epoca_es],epocast[epoca_la])</f>
        <v>Medium Aevum</v>
      </c>
    </row>
    <row r="19" spans="1:16">
      <c r="A19">
        <v>18</v>
      </c>
      <c r="B19" t="s">
        <v>107</v>
      </c>
      <c r="C19" t="s">
        <v>4651</v>
      </c>
      <c r="D19">
        <v>-4</v>
      </c>
      <c r="E19">
        <v>65</v>
      </c>
      <c r="F19" t="s">
        <v>4652</v>
      </c>
      <c r="G19" t="s">
        <v>4653</v>
      </c>
      <c r="H19" t="s">
        <v>4565</v>
      </c>
      <c r="I19" t="s">
        <v>4566</v>
      </c>
      <c r="J19" t="str">
        <f>_xlfn.XLOOKUP(autorest[[#This Row],[idioma_es]],idiomast[idioma_es],idiomast[idioma_la])</f>
        <v>Lingua Latina</v>
      </c>
      <c r="K19" s="6" t="s">
        <v>4654</v>
      </c>
      <c r="M19" t="str">
        <f>_xlfn.XLOOKUP(autorest[[#This Row],[idioma_es]],idiomast[idioma_es],idiomast[codigo])</f>
        <v>la</v>
      </c>
      <c r="N19" t="str">
        <f>_xlfn.XLOOKUP(autorest[[#This Row],[nacion_es]],nacionest[nacion_es],nacionest[nacion_la])</f>
        <v>Roma</v>
      </c>
      <c r="O19" s="4" t="str" cm="1">
        <f t="array" ref="O19">IF(ISBLANK(autorest[[#This Row],[fecha_nacimiento]]),"Epoca Desconocida",IFERROR(INDEX(epocast[epoca_es],MATCH(1,(autorest[[#This Row],[fecha_nacimiento]]&gt;=epocast[inicio_ano])*(autorest[[#This Row],[fecha_nacimiento]]&lt;=epocast[fin_ano]),0)),"Epoca Desconocida"))</f>
        <v>Edad Antigua</v>
      </c>
      <c r="P19" t="str">
        <f>_xlfn.XLOOKUP(autorest[[#This Row],[epoca_es]],epocast[epoca_es],epocast[epoca_la])</f>
        <v>Antiquitas</v>
      </c>
    </row>
    <row r="20" spans="1:16">
      <c r="A20">
        <v>19</v>
      </c>
      <c r="B20" t="s">
        <v>172</v>
      </c>
      <c r="C20" t="s">
        <v>4655</v>
      </c>
      <c r="D20">
        <v>1225</v>
      </c>
      <c r="E20">
        <v>1274</v>
      </c>
      <c r="F20" t="s">
        <v>4656</v>
      </c>
      <c r="G20" t="s">
        <v>4657</v>
      </c>
      <c r="H20" t="s">
        <v>4565</v>
      </c>
      <c r="I20" t="s">
        <v>4658</v>
      </c>
      <c r="J20" t="str">
        <f>_xlfn.XLOOKUP(autorest[[#This Row],[idioma_es]],idiomast[idioma_es],idiomast[idioma_la])</f>
        <v>Lingua Latina</v>
      </c>
      <c r="K20" s="6" t="s">
        <v>4659</v>
      </c>
      <c r="M20" t="str">
        <f>_xlfn.XLOOKUP(autorest[[#This Row],[idioma_es]],idiomast[idioma_es],idiomast[codigo])</f>
        <v>la</v>
      </c>
      <c r="N20" t="str">
        <f>_xlfn.XLOOKUP(autorest[[#This Row],[nacion_es]],nacionest[nacion_es],nacionest[nacion_la])</f>
        <v>Italia</v>
      </c>
      <c r="O20" s="4" t="str" cm="1">
        <f t="array" ref="O20">IF(ISBLANK(autorest[[#This Row],[fecha_nacimiento]]),"Epoca Desconocida",IFERROR(INDEX(epocast[epoca_es],MATCH(1,(autorest[[#This Row],[fecha_nacimiento]]&gt;=epocast[inicio_ano])*(autorest[[#This Row],[fecha_nacimiento]]&lt;=epocast[fin_ano]),0)),"Epoca Desconocida"))</f>
        <v>Edad Media</v>
      </c>
      <c r="P20" t="str">
        <f>_xlfn.XLOOKUP(autorest[[#This Row],[epoca_es]],epocast[epoca_es],epocast[epoca_la])</f>
        <v>Medium Aevum</v>
      </c>
    </row>
    <row r="21" spans="1:16">
      <c r="A21">
        <v>20</v>
      </c>
      <c r="B21" t="s">
        <v>189</v>
      </c>
      <c r="C21" t="s">
        <v>189</v>
      </c>
      <c r="D21">
        <v>1844</v>
      </c>
      <c r="E21">
        <v>1900</v>
      </c>
      <c r="F21" t="s">
        <v>4660</v>
      </c>
      <c r="G21" t="s">
        <v>4661</v>
      </c>
      <c r="H21" t="s">
        <v>4662</v>
      </c>
      <c r="I21" t="s">
        <v>4663</v>
      </c>
      <c r="J21" t="str">
        <f>_xlfn.XLOOKUP(autorest[[#This Row],[idioma_es]],idiomast[idioma_es],idiomast[idioma_la])</f>
        <v>Lingua Germanica</v>
      </c>
      <c r="K21" s="6" t="s">
        <v>4664</v>
      </c>
      <c r="M21" t="str">
        <f>_xlfn.XLOOKUP(autorest[[#This Row],[idioma_es]],idiomast[idioma_es],idiomast[codigo])</f>
        <v>de</v>
      </c>
      <c r="N21" t="str">
        <f>_xlfn.XLOOKUP(autorest[[#This Row],[nacion_es]],nacionest[nacion_es],nacionest[nacion_la])</f>
        <v>Germania</v>
      </c>
      <c r="O21" s="4" t="str" cm="1">
        <f t="array" ref="O21">IF(ISBLANK(autorest[[#This Row],[fecha_nacimiento]]),"Epoca Desconocida",IFERROR(INDEX(epocast[epoca_es],MATCH(1,(autorest[[#This Row],[fecha_nacimiento]]&gt;=epocast[inicio_ano])*(autorest[[#This Row],[fecha_nacimiento]]&lt;=epocast[fin_ano]),0)),"Epoca Desconocida"))</f>
        <v>Edad Contemporánea</v>
      </c>
      <c r="P21" t="str">
        <f>_xlfn.XLOOKUP(autorest[[#This Row],[epoca_es]],epocast[epoca_es],epocast[epoca_la])</f>
        <v>Aetas Contemporanea</v>
      </c>
    </row>
    <row r="22" spans="1:16">
      <c r="A22">
        <v>21</v>
      </c>
      <c r="B22" t="s">
        <v>210</v>
      </c>
      <c r="C22" t="s">
        <v>210</v>
      </c>
      <c r="D22">
        <v>1874</v>
      </c>
      <c r="E22">
        <v>1936</v>
      </c>
      <c r="F22" t="s">
        <v>4665</v>
      </c>
      <c r="G22" t="s">
        <v>4666</v>
      </c>
      <c r="H22" t="s">
        <v>4576</v>
      </c>
      <c r="I22" t="s">
        <v>4577</v>
      </c>
      <c r="J22" t="str">
        <f>_xlfn.XLOOKUP(autorest[[#This Row],[idioma_es]],idiomast[idioma_es],idiomast[idioma_la])</f>
        <v>Lingua Anglica</v>
      </c>
      <c r="K22" s="6" t="s">
        <v>4667</v>
      </c>
      <c r="M22" t="str">
        <f>_xlfn.XLOOKUP(autorest[[#This Row],[idioma_es]],idiomast[idioma_es],idiomast[codigo])</f>
        <v>en</v>
      </c>
      <c r="N22" t="str">
        <f>_xlfn.XLOOKUP(autorest[[#This Row],[nacion_es]],nacionest[nacion_es],nacionest[nacion_la])</f>
        <v>Regnum Unitum</v>
      </c>
      <c r="O22" s="4" t="str" cm="1">
        <f t="array" ref="O22">IF(ISBLANK(autorest[[#This Row],[fecha_nacimiento]]),"Epoca Desconocida",IFERROR(INDEX(epocast[epoca_es],MATCH(1,(autorest[[#This Row],[fecha_nacimiento]]&gt;=epocast[inicio_ano])*(autorest[[#This Row],[fecha_nacimiento]]&lt;=epocast[fin_ano]),0)),"Epoca Desconocida"))</f>
        <v>Edad Contemporánea</v>
      </c>
      <c r="P22" t="str">
        <f>_xlfn.XLOOKUP(autorest[[#This Row],[epoca_es]],epocast[epoca_es],epocast[epoca_la])</f>
        <v>Aetas Contemporanea</v>
      </c>
    </row>
    <row r="23" spans="1:16">
      <c r="A23">
        <v>22</v>
      </c>
      <c r="B23" t="s">
        <v>230</v>
      </c>
      <c r="C23" t="s">
        <v>4668</v>
      </c>
      <c r="D23">
        <v>1920</v>
      </c>
      <c r="E23">
        <v>2005</v>
      </c>
      <c r="F23" t="s">
        <v>4669</v>
      </c>
      <c r="G23" t="s">
        <v>4670</v>
      </c>
      <c r="H23" t="s">
        <v>4565</v>
      </c>
      <c r="I23" t="s">
        <v>4671</v>
      </c>
      <c r="J23" t="str">
        <f>_xlfn.XLOOKUP(autorest[[#This Row],[idioma_es]],idiomast[idioma_es],idiomast[idioma_la])</f>
        <v>Lingua Latina</v>
      </c>
      <c r="K23" s="6" t="s">
        <v>4672</v>
      </c>
      <c r="M23" t="str">
        <f>_xlfn.XLOOKUP(autorest[[#This Row],[idioma_es]],idiomast[idioma_es],idiomast[codigo])</f>
        <v>la</v>
      </c>
      <c r="N23" t="str">
        <f>_xlfn.XLOOKUP(autorest[[#This Row],[nacion_es]],nacionest[nacion_es],nacionest[nacion_la])</f>
        <v>Polonia</v>
      </c>
      <c r="O23" s="4" t="str" cm="1">
        <f t="array" ref="O23">IF(ISBLANK(autorest[[#This Row],[fecha_nacimiento]]),"Epoca Desconocida",IFERROR(INDEX(epocast[epoca_es],MATCH(1,(autorest[[#This Row],[fecha_nacimiento]]&gt;=epocast[inicio_ano])*(autorest[[#This Row],[fecha_nacimiento]]&lt;=epocast[fin_ano]),0)),"Epoca Desconocida"))</f>
        <v>Edad Contemporánea</v>
      </c>
      <c r="P23" t="str">
        <f>_xlfn.XLOOKUP(autorest[[#This Row],[epoca_es]],epocast[epoca_es],epocast[epoca_la])</f>
        <v>Aetas Contemporanea</v>
      </c>
    </row>
    <row r="24" spans="1:16">
      <c r="A24">
        <v>23</v>
      </c>
      <c r="B24" t="s">
        <v>262</v>
      </c>
      <c r="C24" t="s">
        <v>4673</v>
      </c>
      <c r="D24">
        <v>1651</v>
      </c>
      <c r="E24">
        <v>1719</v>
      </c>
      <c r="F24" t="s">
        <v>4674</v>
      </c>
      <c r="G24" t="s">
        <v>4675</v>
      </c>
      <c r="H24" t="s">
        <v>4565</v>
      </c>
      <c r="I24" t="s">
        <v>4571</v>
      </c>
      <c r="J24" t="str">
        <f>_xlfn.XLOOKUP(autorest[[#This Row],[idioma_es]],idiomast[idioma_es],idiomast[idioma_la])</f>
        <v>Lingua Latina</v>
      </c>
      <c r="K24" s="6" t="s">
        <v>4676</v>
      </c>
      <c r="M24" t="str">
        <f>_xlfn.XLOOKUP(autorest[[#This Row],[idioma_es]],idiomast[idioma_es],idiomast[codigo])</f>
        <v>la</v>
      </c>
      <c r="N24" t="str">
        <f>_xlfn.XLOOKUP(autorest[[#This Row],[nacion_es]],nacionest[nacion_es],nacionest[nacion_la])</f>
        <v>Francia</v>
      </c>
      <c r="O24" s="4" t="str" cm="1">
        <f t="array" ref="O24">IF(ISBLANK(autorest[[#This Row],[fecha_nacimiento]]),"Epoca Desconocida",IFERROR(INDEX(epocast[epoca_es],MATCH(1,(autorest[[#This Row],[fecha_nacimiento]]&gt;=epocast[inicio_ano])*(autorest[[#This Row],[fecha_nacimiento]]&lt;=epocast[fin_ano]),0)),"Epoca Desconocida"))</f>
        <v>Edad Moderna</v>
      </c>
      <c r="P24" t="str">
        <f>_xlfn.XLOOKUP(autorest[[#This Row],[epoca_es]],epocast[epoca_es],epocast[epoca_la])</f>
        <v>Nova Aetas</v>
      </c>
    </row>
    <row r="25" spans="1:16">
      <c r="A25">
        <v>24</v>
      </c>
      <c r="B25" t="s">
        <v>267</v>
      </c>
      <c r="C25" t="s">
        <v>4677</v>
      </c>
      <c r="F25" t="s">
        <v>4678</v>
      </c>
      <c r="G25" t="s">
        <v>4679</v>
      </c>
      <c r="H25" t="s">
        <v>4680</v>
      </c>
      <c r="I25" t="s">
        <v>4681</v>
      </c>
      <c r="J25" t="str">
        <f>_xlfn.XLOOKUP(autorest[[#This Row],[idioma_es]],idiomast[idioma_es],idiomast[idioma_la])</f>
        <v>Lingua Arabica</v>
      </c>
      <c r="K25" s="6" t="s">
        <v>4682</v>
      </c>
      <c r="M25" t="str">
        <f>_xlfn.XLOOKUP(autorest[[#This Row],[idioma_es]],idiomast[idioma_es],idiomast[codigo])</f>
        <v>ar</v>
      </c>
      <c r="N25" t="str">
        <f>_xlfn.XLOOKUP(autorest[[#This Row],[nacion_es]],nacionest[nacion_es],nacionest[nacion_la])</f>
        <v>Arabia Saudita</v>
      </c>
      <c r="O25" s="4" t="str" cm="1">
        <f t="array" ref="O25">IF(ISBLANK(autorest[[#This Row],[fecha_nacimiento]]),"Epoca Desconocida",IFERROR(INDEX(epocast[epoca_es],MATCH(1,(autorest[[#This Row],[fecha_nacimiento]]&gt;=epocast[inicio_ano])*(autorest[[#This Row],[fecha_nacimiento]]&lt;=epocast[fin_ano]),0)),"Epoca Desconocida"))</f>
        <v>Epoca Desconocida</v>
      </c>
      <c r="P25" t="str">
        <f>_xlfn.XLOOKUP(autorest[[#This Row],[epoca_es]],epocast[epoca_es],epocast[epoca_la])</f>
        <v>Epocha Ignota</v>
      </c>
    </row>
    <row r="26" spans="1:16">
      <c r="A26">
        <v>25</v>
      </c>
      <c r="B26" t="s">
        <v>298</v>
      </c>
      <c r="C26" t="s">
        <v>4683</v>
      </c>
      <c r="F26" t="s">
        <v>4684</v>
      </c>
      <c r="G26" t="s">
        <v>4685</v>
      </c>
      <c r="H26" t="s">
        <v>4686</v>
      </c>
      <c r="I26" t="s">
        <v>4687</v>
      </c>
      <c r="J26" t="str">
        <f>_xlfn.XLOOKUP(autorest[[#This Row],[idioma_es]],idiomast[idioma_es],idiomast[idioma_la])</f>
        <v>Lingua Indica</v>
      </c>
      <c r="K26" t="s">
        <v>4688</v>
      </c>
      <c r="M26" t="str">
        <f>_xlfn.XLOOKUP(autorest[[#This Row],[idioma_es]],idiomast[idioma_es],idiomast[codigo])</f>
        <v>hi</v>
      </c>
      <c r="N26" t="str">
        <f>_xlfn.XLOOKUP(autorest[[#This Row],[nacion_es]],nacionest[nacion_es],nacionest[nacion_la])</f>
        <v>India</v>
      </c>
      <c r="O26" s="4" t="str" cm="1">
        <f t="array" ref="O26">IF(ISBLANK(autorest[[#This Row],[fecha_nacimiento]]),"Epoca Desconocida",IFERROR(INDEX(epocast[epoca_es],MATCH(1,(autorest[[#This Row],[fecha_nacimiento]]&gt;=epocast[inicio_ano])*(autorest[[#This Row],[fecha_nacimiento]]&lt;=epocast[fin_ano]),0)),"Epoca Desconocida"))</f>
        <v>Epoca Desconocida</v>
      </c>
      <c r="P26" t="str">
        <f>_xlfn.XLOOKUP(autorest[[#This Row],[epoca_es]],epocast[epoca_es],epocast[epoca_la])</f>
        <v>Epocha Ignota</v>
      </c>
    </row>
    <row r="27" spans="1:16">
      <c r="A27">
        <v>26</v>
      </c>
      <c r="B27" t="s">
        <v>329</v>
      </c>
      <c r="C27" t="s">
        <v>4689</v>
      </c>
      <c r="D27">
        <v>1880</v>
      </c>
      <c r="F27" t="s">
        <v>4690</v>
      </c>
      <c r="G27" t="s">
        <v>4691</v>
      </c>
      <c r="H27" t="s">
        <v>4662</v>
      </c>
      <c r="I27" t="s">
        <v>4663</v>
      </c>
      <c r="J27" t="str">
        <f>_xlfn.XLOOKUP(autorest[[#This Row],[idioma_es]],idiomast[idioma_es],idiomast[idioma_la])</f>
        <v>Lingua Germanica</v>
      </c>
      <c r="K27" s="6" t="s">
        <v>4692</v>
      </c>
      <c r="M27" t="str">
        <f>_xlfn.XLOOKUP(autorest[[#This Row],[idioma_es]],idiomast[idioma_es],idiomast[codigo])</f>
        <v>de</v>
      </c>
      <c r="N27" t="str">
        <f>_xlfn.XLOOKUP(autorest[[#This Row],[nacion_es]],nacionest[nacion_es],nacionest[nacion_la])</f>
        <v>Germania</v>
      </c>
      <c r="O27" s="4" t="str" cm="1">
        <f t="array" ref="O27">IF(ISBLANK(autorest[[#This Row],[fecha_nacimiento]]),"Epoca Desconocida",IFERROR(INDEX(epocast[epoca_es],MATCH(1,(autorest[[#This Row],[fecha_nacimiento]]&gt;=epocast[inicio_ano])*(autorest[[#This Row],[fecha_nacimiento]]&lt;=epocast[fin_ano]),0)),"Epoca Desconocida"))</f>
        <v>Edad Contemporánea</v>
      </c>
      <c r="P27" t="str">
        <f>_xlfn.XLOOKUP(autorest[[#This Row],[epoca_es]],epocast[epoca_es],epocast[epoca_la])</f>
        <v>Aetas Contemporanea</v>
      </c>
    </row>
    <row r="28" spans="1:16">
      <c r="A28">
        <v>27</v>
      </c>
      <c r="B28" t="s">
        <v>346</v>
      </c>
      <c r="C28" t="s">
        <v>4693</v>
      </c>
      <c r="D28">
        <v>1547</v>
      </c>
      <c r="E28">
        <v>1616</v>
      </c>
      <c r="F28" t="s">
        <v>4694</v>
      </c>
      <c r="G28" t="s">
        <v>4695</v>
      </c>
      <c r="H28" t="s">
        <v>4625</v>
      </c>
      <c r="I28" t="s">
        <v>4626</v>
      </c>
      <c r="J28" t="str">
        <f>_xlfn.XLOOKUP(autorest[[#This Row],[idioma_es]],idiomast[idioma_es],idiomast[idioma_la])</f>
        <v>Lingua Hispanica</v>
      </c>
      <c r="K28" s="6" t="s">
        <v>4696</v>
      </c>
      <c r="M28" t="str">
        <f>_xlfn.XLOOKUP(autorest[[#This Row],[idioma_es]],idiomast[idioma_es],idiomast[codigo])</f>
        <v>es</v>
      </c>
      <c r="N28" t="str">
        <f>_xlfn.XLOOKUP(autorest[[#This Row],[nacion_es]],nacionest[nacion_es],nacionest[nacion_la])</f>
        <v>Hispania</v>
      </c>
      <c r="O28" s="4" t="str" cm="1">
        <f t="array" ref="O28">IF(ISBLANK(autorest[[#This Row],[fecha_nacimiento]]),"Epoca Desconocida",IFERROR(INDEX(epocast[epoca_es],MATCH(1,(autorest[[#This Row],[fecha_nacimiento]]&gt;=epocast[inicio_ano])*(autorest[[#This Row],[fecha_nacimiento]]&lt;=epocast[fin_ano]),0)),"Epoca Desconocida"))</f>
        <v>Edad Moderna</v>
      </c>
      <c r="P28" t="str">
        <f>_xlfn.XLOOKUP(autorest[[#This Row],[epoca_es]],epocast[epoca_es],epocast[epoca_la])</f>
        <v>Nova Aetas</v>
      </c>
    </row>
    <row r="29" spans="1:16">
      <c r="A29">
        <v>28</v>
      </c>
      <c r="B29" t="s">
        <v>376</v>
      </c>
      <c r="C29" t="s">
        <v>4697</v>
      </c>
      <c r="D29">
        <v>1918</v>
      </c>
      <c r="E29">
        <v>2013</v>
      </c>
      <c r="F29" t="s">
        <v>4698</v>
      </c>
      <c r="G29" t="s">
        <v>4699</v>
      </c>
      <c r="H29" t="s">
        <v>4576</v>
      </c>
      <c r="I29" t="s">
        <v>4700</v>
      </c>
      <c r="J29" t="str">
        <f>_xlfn.XLOOKUP(autorest[[#This Row],[idioma_es]],idiomast[idioma_es],idiomast[idioma_la])</f>
        <v>Lingua Anglica</v>
      </c>
      <c r="K29" s="6" t="s">
        <v>4701</v>
      </c>
      <c r="M29" t="str">
        <f>_xlfn.XLOOKUP(autorest[[#This Row],[idioma_es]],idiomast[idioma_es],idiomast[codigo])</f>
        <v>en</v>
      </c>
      <c r="N29" t="str">
        <f>_xlfn.XLOOKUP(autorest[[#This Row],[nacion_es]],nacionest[nacion_es],nacionest[nacion_la])</f>
        <v>Africa Australis</v>
      </c>
      <c r="O29" s="4" t="str" cm="1">
        <f t="array" ref="O29">IF(ISBLANK(autorest[[#This Row],[fecha_nacimiento]]),"Epoca Desconocida",IFERROR(INDEX(epocast[epoca_es],MATCH(1,(autorest[[#This Row],[fecha_nacimiento]]&gt;=epocast[inicio_ano])*(autorest[[#This Row],[fecha_nacimiento]]&lt;=epocast[fin_ano]),0)),"Epoca Desconocida"))</f>
        <v>Edad Contemporánea</v>
      </c>
      <c r="P29" t="str">
        <f>_xlfn.XLOOKUP(autorest[[#This Row],[epoca_es]],epocast[epoca_es],epocast[epoca_la])</f>
        <v>Aetas Contemporanea</v>
      </c>
    </row>
    <row r="30" spans="1:16">
      <c r="A30">
        <v>29</v>
      </c>
      <c r="B30" t="s">
        <v>381</v>
      </c>
      <c r="C30" t="s">
        <v>4702</v>
      </c>
      <c r="D30">
        <v>1869</v>
      </c>
      <c r="E30">
        <v>1948</v>
      </c>
      <c r="F30" t="s">
        <v>4703</v>
      </c>
      <c r="G30" t="s">
        <v>4704</v>
      </c>
      <c r="H30" t="s">
        <v>4576</v>
      </c>
      <c r="I30" t="s">
        <v>4687</v>
      </c>
      <c r="J30" t="str">
        <f>_xlfn.XLOOKUP(autorest[[#This Row],[idioma_es]],idiomast[idioma_es],idiomast[idioma_la])</f>
        <v>Lingua Anglica</v>
      </c>
      <c r="K30" s="6" t="s">
        <v>4705</v>
      </c>
      <c r="M30" t="str">
        <f>_xlfn.XLOOKUP(autorest[[#This Row],[idioma_es]],idiomast[idioma_es],idiomast[codigo])</f>
        <v>en</v>
      </c>
      <c r="N30" t="str">
        <f>_xlfn.XLOOKUP(autorest[[#This Row],[nacion_es]],nacionest[nacion_es],nacionest[nacion_la])</f>
        <v>India</v>
      </c>
      <c r="O30" s="4" t="str" cm="1">
        <f t="array" ref="O30">IF(ISBLANK(autorest[[#This Row],[fecha_nacimiento]]),"Epoca Desconocida",IFERROR(INDEX(epocast[epoca_es],MATCH(1,(autorest[[#This Row],[fecha_nacimiento]]&gt;=epocast[inicio_ano])*(autorest[[#This Row],[fecha_nacimiento]]&lt;=epocast[fin_ano]),0)),"Epoca Desconocida"))</f>
        <v>Edad Contemporánea</v>
      </c>
      <c r="P30" t="str">
        <f>_xlfn.XLOOKUP(autorest[[#This Row],[epoca_es]],epocast[epoca_es],epocast[epoca_la])</f>
        <v>Aetas Contemporanea</v>
      </c>
    </row>
    <row r="31" spans="1:16">
      <c r="A31">
        <v>30</v>
      </c>
      <c r="B31" t="s">
        <v>386</v>
      </c>
      <c r="C31" t="s">
        <v>4706</v>
      </c>
      <c r="D31">
        <v>1879</v>
      </c>
      <c r="E31">
        <v>1955</v>
      </c>
      <c r="F31" t="s">
        <v>4707</v>
      </c>
      <c r="G31" t="s">
        <v>4708</v>
      </c>
      <c r="H31" t="s">
        <v>4576</v>
      </c>
      <c r="I31" t="s">
        <v>4663</v>
      </c>
      <c r="J31" t="str">
        <f>_xlfn.XLOOKUP(autorest[[#This Row],[idioma_es]],idiomast[idioma_es],idiomast[idioma_la])</f>
        <v>Lingua Anglica</v>
      </c>
      <c r="K31" s="6" t="s">
        <v>4709</v>
      </c>
      <c r="M31" t="str">
        <f>_xlfn.XLOOKUP(autorest[[#This Row],[idioma_es]],idiomast[idioma_es],idiomast[codigo])</f>
        <v>en</v>
      </c>
      <c r="N31" t="str">
        <f>_xlfn.XLOOKUP(autorest[[#This Row],[nacion_es]],nacionest[nacion_es],nacionest[nacion_la])</f>
        <v>Germania</v>
      </c>
      <c r="O31" s="4" t="str" cm="1">
        <f t="array" ref="O31">IF(ISBLANK(autorest[[#This Row],[fecha_nacimiento]]),"Epoca Desconocida",IFERROR(INDEX(epocast[epoca_es],MATCH(1,(autorest[[#This Row],[fecha_nacimiento]]&gt;=epocast[inicio_ano])*(autorest[[#This Row],[fecha_nacimiento]]&lt;=epocast[fin_ano]),0)),"Epoca Desconocida"))</f>
        <v>Edad Contemporánea</v>
      </c>
      <c r="P31" t="str">
        <f>_xlfn.XLOOKUP(autorest[[#This Row],[epoca_es]],epocast[epoca_es],epocast[epoca_la])</f>
        <v>Aetas Contemporanea</v>
      </c>
    </row>
    <row r="32" spans="1:16">
      <c r="A32">
        <v>31</v>
      </c>
      <c r="B32" t="s">
        <v>391</v>
      </c>
      <c r="C32" t="s">
        <v>4710</v>
      </c>
      <c r="D32">
        <v>1929</v>
      </c>
      <c r="E32">
        <v>1968</v>
      </c>
      <c r="F32" t="s">
        <v>4711</v>
      </c>
      <c r="G32" t="s">
        <v>4712</v>
      </c>
      <c r="H32" t="s">
        <v>4576</v>
      </c>
      <c r="I32" t="s">
        <v>4597</v>
      </c>
      <c r="J32" t="str">
        <f>_xlfn.XLOOKUP(autorest[[#This Row],[idioma_es]],idiomast[idioma_es],idiomast[idioma_la])</f>
        <v>Lingua Anglica</v>
      </c>
      <c r="K32" s="6" t="s">
        <v>4713</v>
      </c>
      <c r="M32" t="str">
        <f>_xlfn.XLOOKUP(autorest[[#This Row],[idioma_es]],idiomast[idioma_es],idiomast[codigo])</f>
        <v>en</v>
      </c>
      <c r="N32" t="str">
        <f>_xlfn.XLOOKUP(autorest[[#This Row],[nacion_es]],nacionest[nacion_es],nacionest[nacion_la])</f>
        <v>Civitates Foederatae Americae</v>
      </c>
      <c r="O32" s="4" t="str" cm="1">
        <f t="array" ref="O32">IF(ISBLANK(autorest[[#This Row],[fecha_nacimiento]]),"Epoca Desconocida",IFERROR(INDEX(epocast[epoca_es],MATCH(1,(autorest[[#This Row],[fecha_nacimiento]]&gt;=epocast[inicio_ano])*(autorest[[#This Row],[fecha_nacimiento]]&lt;=epocast[fin_ano]),0)),"Epoca Desconocida"))</f>
        <v>Edad Contemporánea</v>
      </c>
      <c r="P32" t="str">
        <f>_xlfn.XLOOKUP(autorest[[#This Row],[epoca_es]],epocast[epoca_es],epocast[epoca_la])</f>
        <v>Aetas Contemporanea</v>
      </c>
    </row>
    <row r="33" spans="1:16">
      <c r="A33">
        <v>32</v>
      </c>
      <c r="B33" t="s">
        <v>396</v>
      </c>
      <c r="C33" t="s">
        <v>4714</v>
      </c>
      <c r="D33">
        <v>1859</v>
      </c>
      <c r="E33">
        <v>1952</v>
      </c>
      <c r="F33" t="s">
        <v>4715</v>
      </c>
      <c r="G33" t="s">
        <v>4716</v>
      </c>
      <c r="H33" t="s">
        <v>4576</v>
      </c>
      <c r="I33" t="s">
        <v>4597</v>
      </c>
      <c r="J33" t="str">
        <f>_xlfn.XLOOKUP(autorest[[#This Row],[idioma_es]],idiomast[idioma_es],idiomast[idioma_la])</f>
        <v>Lingua Anglica</v>
      </c>
      <c r="K33" s="6" t="s">
        <v>4717</v>
      </c>
      <c r="M33" t="str">
        <f>_xlfn.XLOOKUP(autorest[[#This Row],[idioma_es]],idiomast[idioma_es],idiomast[codigo])</f>
        <v>en</v>
      </c>
      <c r="N33" t="str">
        <f>_xlfn.XLOOKUP(autorest[[#This Row],[nacion_es]],nacionest[nacion_es],nacionest[nacion_la])</f>
        <v>Civitates Foederatae Americae</v>
      </c>
      <c r="O33" s="4" t="str" cm="1">
        <f t="array" ref="O33">IF(ISBLANK(autorest[[#This Row],[fecha_nacimiento]]),"Epoca Desconocida",IFERROR(INDEX(epocast[epoca_es],MATCH(1,(autorest[[#This Row],[fecha_nacimiento]]&gt;=epocast[inicio_ano])*(autorest[[#This Row],[fecha_nacimiento]]&lt;=epocast[fin_ano]),0)),"Epoca Desconocida"))</f>
        <v>Edad Contemporánea</v>
      </c>
      <c r="P33" t="str">
        <f>_xlfn.XLOOKUP(autorest[[#This Row],[epoca_es]],epocast[epoca_es],epocast[epoca_la])</f>
        <v>Aetas Contemporanea</v>
      </c>
    </row>
    <row r="34" spans="1:16">
      <c r="A34">
        <v>33</v>
      </c>
      <c r="B34" t="s">
        <v>401</v>
      </c>
      <c r="C34" t="s">
        <v>4718</v>
      </c>
      <c r="D34">
        <v>1706</v>
      </c>
      <c r="E34">
        <v>1790</v>
      </c>
      <c r="F34" t="s">
        <v>4719</v>
      </c>
      <c r="G34" t="s">
        <v>4720</v>
      </c>
      <c r="H34" t="s">
        <v>4576</v>
      </c>
      <c r="I34" t="s">
        <v>4597</v>
      </c>
      <c r="J34" t="str">
        <f>_xlfn.XLOOKUP(autorest[[#This Row],[idioma_es]],idiomast[idioma_es],idiomast[idioma_la])</f>
        <v>Lingua Anglica</v>
      </c>
      <c r="K34" s="6" t="s">
        <v>4721</v>
      </c>
      <c r="M34" t="str">
        <f>_xlfn.XLOOKUP(autorest[[#This Row],[idioma_es]],idiomast[idioma_es],idiomast[codigo])</f>
        <v>en</v>
      </c>
      <c r="N34" t="str">
        <f>_xlfn.XLOOKUP(autorest[[#This Row],[nacion_es]],nacionest[nacion_es],nacionest[nacion_la])</f>
        <v>Civitates Foederatae Americae</v>
      </c>
      <c r="O34" s="4" t="str" cm="1">
        <f t="array" ref="O34">IF(ISBLANK(autorest[[#This Row],[fecha_nacimiento]]),"Epoca Desconocida",IFERROR(INDEX(epocast[epoca_es],MATCH(1,(autorest[[#This Row],[fecha_nacimiento]]&gt;=epocast[inicio_ano])*(autorest[[#This Row],[fecha_nacimiento]]&lt;=epocast[fin_ano]),0)),"Epoca Desconocida"))</f>
        <v>Edad Moderna</v>
      </c>
      <c r="P34" t="str">
        <f>_xlfn.XLOOKUP(autorest[[#This Row],[epoca_es]],epocast[epoca_es],epocast[epoca_la])</f>
        <v>Nova Aetas</v>
      </c>
    </row>
    <row r="35" spans="1:16">
      <c r="A35">
        <v>34</v>
      </c>
      <c r="B35" t="s">
        <v>406</v>
      </c>
      <c r="C35" t="s">
        <v>4722</v>
      </c>
      <c r="D35">
        <v>1452</v>
      </c>
      <c r="E35">
        <v>1519</v>
      </c>
      <c r="F35" t="s">
        <v>4723</v>
      </c>
      <c r="G35" t="s">
        <v>4724</v>
      </c>
      <c r="H35" t="s">
        <v>4565</v>
      </c>
      <c r="I35" t="s">
        <v>4658</v>
      </c>
      <c r="J35" t="str">
        <f>_xlfn.XLOOKUP(autorest[[#This Row],[idioma_es]],idiomast[idioma_es],idiomast[idioma_la])</f>
        <v>Lingua Latina</v>
      </c>
      <c r="K35" s="6" t="s">
        <v>4725</v>
      </c>
      <c r="M35" t="str">
        <f>_xlfn.XLOOKUP(autorest[[#This Row],[idioma_es]],idiomast[idioma_es],idiomast[codigo])</f>
        <v>la</v>
      </c>
      <c r="N35" t="str">
        <f>_xlfn.XLOOKUP(autorest[[#This Row],[nacion_es]],nacionest[nacion_es],nacionest[nacion_la])</f>
        <v>Italia</v>
      </c>
      <c r="O35" s="4" t="str" cm="1">
        <f t="array" ref="O35">IF(ISBLANK(autorest[[#This Row],[fecha_nacimiento]]),"Epoca Desconocida",IFERROR(INDEX(epocast[epoca_es],MATCH(1,(autorest[[#This Row],[fecha_nacimiento]]&gt;=epocast[inicio_ano])*(autorest[[#This Row],[fecha_nacimiento]]&lt;=epocast[fin_ano]),0)),"Epoca Desconocida"))</f>
        <v>Edad Media</v>
      </c>
      <c r="P35" t="str">
        <f>_xlfn.XLOOKUP(autorest[[#This Row],[epoca_es]],epocast[epoca_es],epocast[epoca_la])</f>
        <v>Medium Aevum</v>
      </c>
    </row>
    <row r="36" spans="1:16">
      <c r="A36">
        <v>35</v>
      </c>
      <c r="B36" t="s">
        <v>415</v>
      </c>
      <c r="C36" t="s">
        <v>4726</v>
      </c>
      <c r="F36" t="s">
        <v>4727</v>
      </c>
      <c r="G36" t="s">
        <v>4728</v>
      </c>
      <c r="H36" t="s">
        <v>4729</v>
      </c>
      <c r="I36" t="s">
        <v>4730</v>
      </c>
      <c r="J36" t="str">
        <f>_xlfn.XLOOKUP(autorest[[#This Row],[idioma_es]],idiomast[idioma_es],idiomast[idioma_la])</f>
        <v>Lingua Tibetica</v>
      </c>
      <c r="K36" s="6" t="s">
        <v>4731</v>
      </c>
      <c r="M36" t="str">
        <f>_xlfn.XLOOKUP(autorest[[#This Row],[idioma_es]],idiomast[idioma_es],idiomast[codigo])</f>
        <v>bo</v>
      </c>
      <c r="N36" t="str">
        <f>_xlfn.XLOOKUP(autorest[[#This Row],[nacion_es]],nacionest[nacion_es],nacionest[nacion_la])</f>
        <v>Thibetum</v>
      </c>
      <c r="O36" s="4" t="str" cm="1">
        <f t="array" ref="O36">IF(ISBLANK(autorest[[#This Row],[fecha_nacimiento]]),"Epoca Desconocida",IFERROR(INDEX(epocast[epoca_es],MATCH(1,(autorest[[#This Row],[fecha_nacimiento]]&gt;=epocast[inicio_ano])*(autorest[[#This Row],[fecha_nacimiento]]&lt;=epocast[fin_ano]),0)),"Epoca Desconocida"))</f>
        <v>Epoca Desconocida</v>
      </c>
      <c r="P36" t="str">
        <f>_xlfn.XLOOKUP(autorest[[#This Row],[epoca_es]],epocast[epoca_es],epocast[epoca_la])</f>
        <v>Epocha Ignota</v>
      </c>
    </row>
    <row r="37" spans="1:16">
      <c r="A37">
        <v>36</v>
      </c>
      <c r="B37" t="s">
        <v>1240</v>
      </c>
      <c r="C37" t="s">
        <v>4732</v>
      </c>
      <c r="D37">
        <v>1913</v>
      </c>
      <c r="E37">
        <v>1960</v>
      </c>
      <c r="F37" t="s">
        <v>4733</v>
      </c>
      <c r="G37" t="s">
        <v>4734</v>
      </c>
      <c r="H37" t="s">
        <v>4614</v>
      </c>
      <c r="I37" t="s">
        <v>4571</v>
      </c>
      <c r="J37" t="str">
        <f>_xlfn.XLOOKUP(autorest[[#This Row],[idioma_es]],idiomast[idioma_es],idiomast[idioma_la])</f>
        <v>Lingua Gallica</v>
      </c>
      <c r="K37" s="6" t="s">
        <v>4735</v>
      </c>
      <c r="M37" t="str">
        <f>_xlfn.XLOOKUP(autorest[[#This Row],[idioma_es]],idiomast[idioma_es],idiomast[codigo])</f>
        <v>fr</v>
      </c>
      <c r="N37" t="str">
        <f>_xlfn.XLOOKUP(autorest[[#This Row],[nacion_es]],nacionest[nacion_es],nacionest[nacion_la])</f>
        <v>Francia</v>
      </c>
      <c r="O37" s="4" t="str" cm="1">
        <f t="array" ref="O37">IF(ISBLANK(autorest[[#This Row],[fecha_nacimiento]]),"Epoca Desconocida",IFERROR(INDEX(epocast[epoca_es],MATCH(1,(autorest[[#This Row],[fecha_nacimiento]]&gt;=epocast[inicio_ano])*(autorest[[#This Row],[fecha_nacimiento]]&lt;=epocast[fin_ano]),0)),"Epoca Desconocida"))</f>
        <v>Edad Contemporánea</v>
      </c>
      <c r="P37" t="str">
        <f>_xlfn.XLOOKUP(autorest[[#This Row],[epoca_es]],epocast[epoca_es],epocast[epoca_la])</f>
        <v>Aetas Contemporanea</v>
      </c>
    </row>
    <row r="38" spans="1:16">
      <c r="A38">
        <v>37</v>
      </c>
      <c r="B38" t="s">
        <v>1245</v>
      </c>
      <c r="C38" t="s">
        <v>4736</v>
      </c>
      <c r="D38">
        <v>1910</v>
      </c>
      <c r="E38">
        <v>1997</v>
      </c>
      <c r="F38" t="s">
        <v>4737</v>
      </c>
      <c r="G38" t="s">
        <v>4738</v>
      </c>
      <c r="H38" t="s">
        <v>4739</v>
      </c>
      <c r="I38" t="s">
        <v>4740</v>
      </c>
      <c r="J38" t="str">
        <f>_xlfn.XLOOKUP(autorest[[#This Row],[idioma_es]],idiomast[idioma_es],idiomast[idioma_la])</f>
        <v>Lingua Albanica</v>
      </c>
      <c r="K38" s="6" t="s">
        <v>4741</v>
      </c>
      <c r="M38" t="str">
        <f>_xlfn.XLOOKUP(autorest[[#This Row],[idioma_es]],idiomast[idioma_es],idiomast[codigo])</f>
        <v>sq</v>
      </c>
      <c r="N38" t="str">
        <f>_xlfn.XLOOKUP(autorest[[#This Row],[nacion_es]],nacionest[nacion_es],nacionest[nacion_la])</f>
        <v>Albania</v>
      </c>
      <c r="O38" s="4" t="str" cm="1">
        <f t="array" ref="O38">IF(ISBLANK(autorest[[#This Row],[fecha_nacimiento]]),"Epoca Desconocida",IFERROR(INDEX(epocast[epoca_es],MATCH(1,(autorest[[#This Row],[fecha_nacimiento]]&gt;=epocast[inicio_ano])*(autorest[[#This Row],[fecha_nacimiento]]&lt;=epocast[fin_ano]),0)),"Epoca Desconocida"))</f>
        <v>Edad Contemporánea</v>
      </c>
      <c r="P38" t="str">
        <f>_xlfn.XLOOKUP(autorest[[#This Row],[epoca_es]],epocast[epoca_es],epocast[epoca_la])</f>
        <v>Aetas Contemporanea</v>
      </c>
    </row>
    <row r="39" spans="1:16">
      <c r="A39">
        <v>38</v>
      </c>
      <c r="B39" t="s">
        <v>1250</v>
      </c>
      <c r="C39" t="s">
        <v>4742</v>
      </c>
      <c r="D39">
        <v>1182</v>
      </c>
      <c r="E39">
        <v>1226</v>
      </c>
      <c r="F39" t="s">
        <v>4743</v>
      </c>
      <c r="G39" t="s">
        <v>4744</v>
      </c>
      <c r="H39" t="s">
        <v>4745</v>
      </c>
      <c r="I39" t="s">
        <v>4658</v>
      </c>
      <c r="J39" t="str">
        <f>_xlfn.XLOOKUP(autorest[[#This Row],[idioma_es]],idiomast[idioma_es],idiomast[idioma_la])</f>
        <v>Lingua Italica</v>
      </c>
      <c r="K39" s="6" t="s">
        <v>4746</v>
      </c>
      <c r="M39" t="str">
        <f>_xlfn.XLOOKUP(autorest[[#This Row],[idioma_es]],idiomast[idioma_es],idiomast[codigo])</f>
        <v>it</v>
      </c>
      <c r="N39" t="str">
        <f>_xlfn.XLOOKUP(autorest[[#This Row],[nacion_es]],nacionest[nacion_es],nacionest[nacion_la])</f>
        <v>Italia</v>
      </c>
      <c r="O39" s="4" t="str" cm="1">
        <f t="array" ref="O39">IF(ISBLANK(autorest[[#This Row],[fecha_nacimiento]]),"Epoca Desconocida",IFERROR(INDEX(epocast[epoca_es],MATCH(1,(autorest[[#This Row],[fecha_nacimiento]]&gt;=epocast[inicio_ano])*(autorest[[#This Row],[fecha_nacimiento]]&lt;=epocast[fin_ano]),0)),"Epoca Desconocida"))</f>
        <v>Edad Media</v>
      </c>
      <c r="P39" t="str">
        <f>_xlfn.XLOOKUP(autorest[[#This Row],[epoca_es]],epocast[epoca_es],epocast[epoca_la])</f>
        <v>Medium Aevum</v>
      </c>
    </row>
    <row r="40" spans="1:16">
      <c r="A40">
        <v>39</v>
      </c>
      <c r="B40" t="s">
        <v>460</v>
      </c>
      <c r="C40" t="s">
        <v>4747</v>
      </c>
      <c r="D40">
        <v>-341</v>
      </c>
      <c r="E40">
        <v>-270</v>
      </c>
      <c r="F40" t="s">
        <v>4748</v>
      </c>
      <c r="G40" t="s">
        <v>4749</v>
      </c>
      <c r="H40" t="s">
        <v>4750</v>
      </c>
      <c r="I40" t="s">
        <v>4640</v>
      </c>
      <c r="J40" t="str">
        <f>_xlfn.XLOOKUP(autorest[[#This Row],[idioma_es]],idiomast[idioma_es],idiomast[idioma_la])</f>
        <v>Lingua Graeca</v>
      </c>
      <c r="K40" s="6" t="s">
        <v>4751</v>
      </c>
      <c r="M40" t="str">
        <f>_xlfn.XLOOKUP(autorest[[#This Row],[idioma_es]],idiomast[idioma_es],idiomast[codigo])</f>
        <v>el</v>
      </c>
      <c r="N40" t="str">
        <f>_xlfn.XLOOKUP(autorest[[#This Row],[nacion_es]],nacionest[nacion_es],nacionest[nacion_la])</f>
        <v>Graecia</v>
      </c>
      <c r="O40" s="4" t="str" cm="1">
        <f t="array" ref="O40">IF(ISBLANK(autorest[[#This Row],[fecha_nacimiento]]),"Epoca Desconocida",IFERROR(INDEX(epocast[epoca_es],MATCH(1,(autorest[[#This Row],[fecha_nacimiento]]&gt;=epocast[inicio_ano])*(autorest[[#This Row],[fecha_nacimiento]]&lt;=epocast[fin_ano]),0)),"Epoca Desconocida"))</f>
        <v>Edad Antigua</v>
      </c>
      <c r="P40" t="str">
        <f>_xlfn.XLOOKUP(autorest[[#This Row],[epoca_es]],epocast[epoca_es],epocast[epoca_la])</f>
        <v>Antiquitas</v>
      </c>
    </row>
    <row r="41" spans="1:16">
      <c r="A41">
        <v>40</v>
      </c>
      <c r="B41" t="s">
        <v>501</v>
      </c>
      <c r="C41" t="s">
        <v>4752</v>
      </c>
      <c r="D41">
        <v>121</v>
      </c>
      <c r="E41">
        <v>180</v>
      </c>
      <c r="F41" t="s">
        <v>4753</v>
      </c>
      <c r="G41" t="s">
        <v>4754</v>
      </c>
      <c r="H41" t="s">
        <v>4750</v>
      </c>
      <c r="I41" t="s">
        <v>4566</v>
      </c>
      <c r="J41" t="str">
        <f>_xlfn.XLOOKUP(autorest[[#This Row],[idioma_es]],idiomast[idioma_es],idiomast[idioma_la])</f>
        <v>Lingua Graeca</v>
      </c>
      <c r="K41" s="6" t="s">
        <v>4755</v>
      </c>
      <c r="M41" t="str">
        <f>_xlfn.XLOOKUP(autorest[[#This Row],[idioma_es]],idiomast[idioma_es],idiomast[codigo])</f>
        <v>el</v>
      </c>
      <c r="N41" t="str">
        <f>_xlfn.XLOOKUP(autorest[[#This Row],[nacion_es]],nacionest[nacion_es],nacionest[nacion_la])</f>
        <v>Roma</v>
      </c>
      <c r="O41" s="4" t="str" cm="1">
        <f t="array" ref="O41">IF(ISBLANK(autorest[[#This Row],[fecha_nacimiento]]),"Epoca Desconocida",IFERROR(INDEX(epocast[epoca_es],MATCH(1,(autorest[[#This Row],[fecha_nacimiento]]&gt;=epocast[inicio_ano])*(autorest[[#This Row],[fecha_nacimiento]]&lt;=epocast[fin_ano]),0)),"Epoca Desconocida"))</f>
        <v>Edad Antigua</v>
      </c>
      <c r="P41" t="str">
        <f>_xlfn.XLOOKUP(autorest[[#This Row],[epoca_es]],epocast[epoca_es],epocast[epoca_la])</f>
        <v>Antiquitas</v>
      </c>
    </row>
    <row r="42" spans="1:16">
      <c r="A42">
        <v>41</v>
      </c>
      <c r="B42" t="s">
        <v>541</v>
      </c>
      <c r="C42" t="s">
        <v>4756</v>
      </c>
      <c r="D42">
        <v>-427</v>
      </c>
      <c r="E42">
        <v>-347</v>
      </c>
      <c r="F42" t="s">
        <v>4757</v>
      </c>
      <c r="G42" t="s">
        <v>4758</v>
      </c>
      <c r="H42" t="s">
        <v>4750</v>
      </c>
      <c r="I42" t="s">
        <v>4640</v>
      </c>
      <c r="J42" t="str">
        <f>_xlfn.XLOOKUP(autorest[[#This Row],[idioma_es]],idiomast[idioma_es],idiomast[idioma_la])</f>
        <v>Lingua Graeca</v>
      </c>
      <c r="K42" t="s">
        <v>4759</v>
      </c>
      <c r="M42" t="str">
        <f>_xlfn.XLOOKUP(autorest[[#This Row],[idioma_es]],idiomast[idioma_es],idiomast[codigo])</f>
        <v>el</v>
      </c>
      <c r="N42" t="str">
        <f>_xlfn.XLOOKUP(autorest[[#This Row],[nacion_es]],nacionest[nacion_es],nacionest[nacion_la])</f>
        <v>Graecia</v>
      </c>
      <c r="O42" s="4" t="str" cm="1">
        <f t="array" ref="O42">IF(ISBLANK(autorest[[#This Row],[fecha_nacimiento]]),"Epoca Desconocida",IFERROR(INDEX(epocast[epoca_es],MATCH(1,(autorest[[#This Row],[fecha_nacimiento]]&gt;=epocast[inicio_ano])*(autorest[[#This Row],[fecha_nacimiento]]&lt;=epocast[fin_ano]),0)),"Epoca Desconocida"))</f>
        <v>Edad Antigua</v>
      </c>
      <c r="P42" t="str">
        <f>_xlfn.XLOOKUP(autorest[[#This Row],[epoca_es]],epocast[epoca_es],epocast[epoca_la])</f>
        <v>Antiquitas</v>
      </c>
    </row>
    <row r="43" spans="1:16">
      <c r="A43">
        <v>42</v>
      </c>
      <c r="B43" t="s">
        <v>582</v>
      </c>
      <c r="C43" t="s">
        <v>4760</v>
      </c>
      <c r="D43">
        <v>-384</v>
      </c>
      <c r="E43">
        <v>-322</v>
      </c>
      <c r="F43" t="s">
        <v>4761</v>
      </c>
      <c r="G43" t="s">
        <v>4762</v>
      </c>
      <c r="H43" t="s">
        <v>4750</v>
      </c>
      <c r="I43" t="s">
        <v>4640</v>
      </c>
      <c r="J43" t="str">
        <f>_xlfn.XLOOKUP(autorest[[#This Row],[idioma_es]],idiomast[idioma_es],idiomast[idioma_la])</f>
        <v>Lingua Graeca</v>
      </c>
      <c r="K43" t="s">
        <v>4763</v>
      </c>
      <c r="M43" t="str">
        <f>_xlfn.XLOOKUP(autorest[[#This Row],[idioma_es]],idiomast[idioma_es],idiomast[codigo])</f>
        <v>el</v>
      </c>
      <c r="N43" t="str">
        <f>_xlfn.XLOOKUP(autorest[[#This Row],[nacion_es]],nacionest[nacion_es],nacionest[nacion_la])</f>
        <v>Graecia</v>
      </c>
      <c r="O43" s="4" t="str" cm="1">
        <f t="array" ref="O43">IF(ISBLANK(autorest[[#This Row],[fecha_nacimiento]]),"Epoca Desconocida",IFERROR(INDEX(epocast[epoca_es],MATCH(1,(autorest[[#This Row],[fecha_nacimiento]]&gt;=epocast[inicio_ano])*(autorest[[#This Row],[fecha_nacimiento]]&lt;=epocast[fin_ano]),0)),"Epoca Desconocida"))</f>
        <v>Edad Antigua</v>
      </c>
      <c r="P43" t="str">
        <f>_xlfn.XLOOKUP(autorest[[#This Row],[epoca_es]],epocast[epoca_es],epocast[epoca_la])</f>
        <v>Antiquitas</v>
      </c>
    </row>
    <row r="44" spans="1:16">
      <c r="A44">
        <v>43</v>
      </c>
      <c r="B44" t="s">
        <v>419</v>
      </c>
      <c r="C44" t="s">
        <v>4764</v>
      </c>
      <c r="D44">
        <v>-624</v>
      </c>
      <c r="E44">
        <v>-546</v>
      </c>
      <c r="F44" t="s">
        <v>4765</v>
      </c>
      <c r="G44" t="s">
        <v>4766</v>
      </c>
      <c r="H44" t="s">
        <v>4750</v>
      </c>
      <c r="I44" t="s">
        <v>4640</v>
      </c>
      <c r="J44" t="str">
        <f>_xlfn.XLOOKUP(autorest[[#This Row],[idioma_es]],idiomast[idioma_es],idiomast[idioma_la])</f>
        <v>Lingua Graeca</v>
      </c>
      <c r="K44" t="s">
        <v>4767</v>
      </c>
      <c r="M44" t="str">
        <f>_xlfn.XLOOKUP(autorest[[#This Row],[idioma_es]],idiomast[idioma_es],idiomast[codigo])</f>
        <v>el</v>
      </c>
      <c r="N44" t="str">
        <f>_xlfn.XLOOKUP(autorest[[#This Row],[nacion_es]],nacionest[nacion_es],nacionest[nacion_la])</f>
        <v>Graecia</v>
      </c>
      <c r="O44" s="4" t="str" cm="1">
        <f t="array" ref="O44">IF(ISBLANK(autorest[[#This Row],[fecha_nacimiento]]),"Epoca Desconocida",IFERROR(INDEX(epocast[epoca_es],MATCH(1,(autorest[[#This Row],[fecha_nacimiento]]&gt;=epocast[inicio_ano])*(autorest[[#This Row],[fecha_nacimiento]]&lt;=epocast[fin_ano]),0)),"Epoca Desconocida"))</f>
        <v>Edad Antigua</v>
      </c>
      <c r="P44" t="str">
        <f>_xlfn.XLOOKUP(autorest[[#This Row],[epoca_es]],epocast[epoca_es],epocast[epoca_la])</f>
        <v>Antiquitas</v>
      </c>
    </row>
    <row r="45" spans="1:16">
      <c r="A45">
        <v>44</v>
      </c>
      <c r="B45" t="s">
        <v>623</v>
      </c>
      <c r="C45" t="s">
        <v>4768</v>
      </c>
      <c r="D45">
        <v>-570</v>
      </c>
      <c r="E45">
        <v>-490</v>
      </c>
      <c r="F45" t="s">
        <v>4769</v>
      </c>
      <c r="G45" t="s">
        <v>4770</v>
      </c>
      <c r="H45" t="s">
        <v>4750</v>
      </c>
      <c r="I45" t="s">
        <v>4640</v>
      </c>
      <c r="J45" t="str">
        <f>_xlfn.XLOOKUP(autorest[[#This Row],[idioma_es]],idiomast[idioma_es],idiomast[idioma_la])</f>
        <v>Lingua Graeca</v>
      </c>
      <c r="K45" t="s">
        <v>4771</v>
      </c>
      <c r="M45" t="str">
        <f>_xlfn.XLOOKUP(autorest[[#This Row],[idioma_es]],idiomast[idioma_es],idiomast[codigo])</f>
        <v>el</v>
      </c>
      <c r="N45" t="str">
        <f>_xlfn.XLOOKUP(autorest[[#This Row],[nacion_es]],nacionest[nacion_es],nacionest[nacion_la])</f>
        <v>Graecia</v>
      </c>
      <c r="O45" s="4" t="str" cm="1">
        <f t="array" ref="O45">IF(ISBLANK(autorest[[#This Row],[fecha_nacimiento]]),"Epoca Desconocida",IFERROR(INDEX(epocast[epoca_es],MATCH(1,(autorest[[#This Row],[fecha_nacimiento]]&gt;=epocast[inicio_ano])*(autorest[[#This Row],[fecha_nacimiento]]&lt;=epocast[fin_ano]),0)),"Epoca Desconocida"))</f>
        <v>Edad Antigua</v>
      </c>
      <c r="P45" t="str">
        <f>_xlfn.XLOOKUP(autorest[[#This Row],[epoca_es]],epocast[epoca_es],epocast[epoca_la])</f>
        <v>Antiquitas</v>
      </c>
    </row>
    <row r="46" spans="1:16">
      <c r="A46">
        <v>45</v>
      </c>
      <c r="B46" t="s">
        <v>664</v>
      </c>
      <c r="C46" t="s">
        <v>4772</v>
      </c>
      <c r="D46">
        <v>-535</v>
      </c>
      <c r="E46">
        <v>-480</v>
      </c>
      <c r="F46" t="s">
        <v>4773</v>
      </c>
      <c r="G46" t="s">
        <v>4774</v>
      </c>
      <c r="H46" t="s">
        <v>4750</v>
      </c>
      <c r="I46" t="s">
        <v>4640</v>
      </c>
      <c r="J46" t="str">
        <f>_xlfn.XLOOKUP(autorest[[#This Row],[idioma_es]],idiomast[idioma_es],idiomast[idioma_la])</f>
        <v>Lingua Graeca</v>
      </c>
      <c r="K46" t="s">
        <v>4775</v>
      </c>
      <c r="M46" t="str">
        <f>_xlfn.XLOOKUP(autorest[[#This Row],[idioma_es]],idiomast[idioma_es],idiomast[codigo])</f>
        <v>el</v>
      </c>
      <c r="N46" t="str">
        <f>_xlfn.XLOOKUP(autorest[[#This Row],[nacion_es]],nacionest[nacion_es],nacionest[nacion_la])</f>
        <v>Graecia</v>
      </c>
      <c r="O46" s="4" t="str" cm="1">
        <f t="array" ref="O46">IF(ISBLANK(autorest[[#This Row],[fecha_nacimiento]]),"Epoca Desconocida",IFERROR(INDEX(epocast[epoca_es],MATCH(1,(autorest[[#This Row],[fecha_nacimiento]]&gt;=epocast[inicio_ano])*(autorest[[#This Row],[fecha_nacimiento]]&lt;=epocast[fin_ano]),0)),"Epoca Desconocida"))</f>
        <v>Edad Antigua</v>
      </c>
      <c r="P46" t="str">
        <f>_xlfn.XLOOKUP(autorest[[#This Row],[epoca_es]],epocast[epoca_es],epocast[epoca_la])</f>
        <v>Antiquitas</v>
      </c>
    </row>
    <row r="47" spans="1:16">
      <c r="A47">
        <v>46</v>
      </c>
      <c r="B47" t="s">
        <v>704</v>
      </c>
      <c r="C47" t="s">
        <v>4776</v>
      </c>
      <c r="D47">
        <v>-470</v>
      </c>
      <c r="E47">
        <v>-399</v>
      </c>
      <c r="F47" t="s">
        <v>4777</v>
      </c>
      <c r="G47" t="s">
        <v>4778</v>
      </c>
      <c r="H47" t="s">
        <v>4750</v>
      </c>
      <c r="I47" t="s">
        <v>4640</v>
      </c>
      <c r="J47" t="str">
        <f>_xlfn.XLOOKUP(autorest[[#This Row],[idioma_es]],idiomast[idioma_es],idiomast[idioma_la])</f>
        <v>Lingua Graeca</v>
      </c>
      <c r="K47" t="s">
        <v>4779</v>
      </c>
      <c r="M47" t="str">
        <f>_xlfn.XLOOKUP(autorest[[#This Row],[idioma_es]],idiomast[idioma_es],idiomast[codigo])</f>
        <v>el</v>
      </c>
      <c r="N47" t="str">
        <f>_xlfn.XLOOKUP(autorest[[#This Row],[nacion_es]],nacionest[nacion_es],nacionest[nacion_la])</f>
        <v>Graecia</v>
      </c>
      <c r="O47" s="4" t="str" cm="1">
        <f t="array" ref="O47">IF(ISBLANK(autorest[[#This Row],[fecha_nacimiento]]),"Epoca Desconocida",IFERROR(INDEX(epocast[epoca_es],MATCH(1,(autorest[[#This Row],[fecha_nacimiento]]&gt;=epocast[inicio_ano])*(autorest[[#This Row],[fecha_nacimiento]]&lt;=epocast[fin_ano]),0)),"Epoca Desconocida"))</f>
        <v>Edad Antigua</v>
      </c>
      <c r="P47" t="str">
        <f>_xlfn.XLOOKUP(autorest[[#This Row],[epoca_es]],epocast[epoca_es],epocast[epoca_la])</f>
        <v>Antiquitas</v>
      </c>
    </row>
    <row r="48" spans="1:16">
      <c r="A48">
        <v>47</v>
      </c>
      <c r="B48" t="s">
        <v>740</v>
      </c>
      <c r="C48" t="s">
        <v>4780</v>
      </c>
      <c r="D48">
        <v>-460</v>
      </c>
      <c r="E48">
        <v>-370</v>
      </c>
      <c r="F48" t="s">
        <v>4781</v>
      </c>
      <c r="G48" t="s">
        <v>4782</v>
      </c>
      <c r="H48" t="s">
        <v>4750</v>
      </c>
      <c r="I48" t="s">
        <v>4640</v>
      </c>
      <c r="J48" t="str">
        <f>_xlfn.XLOOKUP(autorest[[#This Row],[idioma_es]],idiomast[idioma_es],idiomast[idioma_la])</f>
        <v>Lingua Graeca</v>
      </c>
      <c r="K48" t="s">
        <v>4783</v>
      </c>
      <c r="M48" t="str">
        <f>_xlfn.XLOOKUP(autorest[[#This Row],[idioma_es]],idiomast[idioma_es],idiomast[codigo])</f>
        <v>el</v>
      </c>
      <c r="N48" t="str">
        <f>_xlfn.XLOOKUP(autorest[[#This Row],[nacion_es]],nacionest[nacion_es],nacionest[nacion_la])</f>
        <v>Graecia</v>
      </c>
      <c r="O48" s="4" t="str" cm="1">
        <f t="array" ref="O48">IF(ISBLANK(autorest[[#This Row],[fecha_nacimiento]]),"Epoca Desconocida",IFERROR(INDEX(epocast[epoca_es],MATCH(1,(autorest[[#This Row],[fecha_nacimiento]]&gt;=epocast[inicio_ano])*(autorest[[#This Row],[fecha_nacimiento]]&lt;=epocast[fin_ano]),0)),"Epoca Desconocida"))</f>
        <v>Edad Antigua</v>
      </c>
      <c r="P48" t="str">
        <f>_xlfn.XLOOKUP(autorest[[#This Row],[epoca_es]],epocast[epoca_es],epocast[epoca_la])</f>
        <v>Antiquitas</v>
      </c>
    </row>
    <row r="49" spans="1:16">
      <c r="A49">
        <v>48</v>
      </c>
      <c r="B49" t="s">
        <v>780</v>
      </c>
      <c r="C49" t="s">
        <v>4784</v>
      </c>
      <c r="D49">
        <v>-490</v>
      </c>
      <c r="E49">
        <v>-420</v>
      </c>
      <c r="F49" t="s">
        <v>4785</v>
      </c>
      <c r="G49" t="s">
        <v>4786</v>
      </c>
      <c r="H49" t="s">
        <v>4750</v>
      </c>
      <c r="I49" t="s">
        <v>4640</v>
      </c>
      <c r="J49" t="str">
        <f>_xlfn.XLOOKUP(autorest[[#This Row],[idioma_es]],idiomast[idioma_es],idiomast[idioma_la])</f>
        <v>Lingua Graeca</v>
      </c>
      <c r="K49" t="s">
        <v>4787</v>
      </c>
      <c r="M49" t="str">
        <f>_xlfn.XLOOKUP(autorest[[#This Row],[idioma_es]],idiomast[idioma_es],idiomast[codigo])</f>
        <v>el</v>
      </c>
      <c r="N49" t="str">
        <f>_xlfn.XLOOKUP(autorest[[#This Row],[nacion_es]],nacionest[nacion_es],nacionest[nacion_la])</f>
        <v>Graecia</v>
      </c>
      <c r="O49" s="4" t="str" cm="1">
        <f t="array" ref="O49">IF(ISBLANK(autorest[[#This Row],[fecha_nacimiento]]),"Epoca Desconocida",IFERROR(INDEX(epocast[epoca_es],MATCH(1,(autorest[[#This Row],[fecha_nacimiento]]&gt;=epocast[inicio_ano])*(autorest[[#This Row],[fecha_nacimiento]]&lt;=epocast[fin_ano]),0)),"Epoca Desconocida"))</f>
        <v>Edad Antigua</v>
      </c>
      <c r="P49" t="str">
        <f>_xlfn.XLOOKUP(autorest[[#This Row],[epoca_es]],epocast[epoca_es],epocast[epoca_la])</f>
        <v>Antiquitas</v>
      </c>
    </row>
    <row r="50" spans="1:16">
      <c r="A50">
        <v>49</v>
      </c>
      <c r="B50" t="s">
        <v>821</v>
      </c>
      <c r="C50" t="s">
        <v>4788</v>
      </c>
      <c r="D50">
        <v>35</v>
      </c>
      <c r="E50">
        <v>99</v>
      </c>
      <c r="F50" t="s">
        <v>4789</v>
      </c>
      <c r="G50" t="s">
        <v>4790</v>
      </c>
      <c r="H50" t="s">
        <v>4565</v>
      </c>
      <c r="I50" t="s">
        <v>4566</v>
      </c>
      <c r="J50" t="str">
        <f>_xlfn.XLOOKUP(autorest[[#This Row],[idioma_es]],idiomast[idioma_es],idiomast[idioma_la])</f>
        <v>Lingua Latina</v>
      </c>
      <c r="K50" t="s">
        <v>4791</v>
      </c>
      <c r="M50" t="str">
        <f>_xlfn.XLOOKUP(autorest[[#This Row],[idioma_es]],idiomast[idioma_es],idiomast[codigo])</f>
        <v>la</v>
      </c>
      <c r="N50" t="str">
        <f>_xlfn.XLOOKUP(autorest[[#This Row],[nacion_es]],nacionest[nacion_es],nacionest[nacion_la])</f>
        <v>Roma</v>
      </c>
      <c r="O50" s="4" t="str" cm="1">
        <f t="array" ref="O50">IF(ISBLANK(autorest[[#This Row],[fecha_nacimiento]]),"Epoca Desconocida",IFERROR(INDEX(epocast[epoca_es],MATCH(1,(autorest[[#This Row],[fecha_nacimiento]]&gt;=epocast[inicio_ano])*(autorest[[#This Row],[fecha_nacimiento]]&lt;=epocast[fin_ano]),0)),"Epoca Desconocida"))</f>
        <v>Edad Antigua</v>
      </c>
      <c r="P50" t="str">
        <f>_xlfn.XLOOKUP(autorest[[#This Row],[epoca_es]],epocast[epoca_es],epocast[epoca_la])</f>
        <v>Antiquitas</v>
      </c>
    </row>
    <row r="51" spans="1:16">
      <c r="A51">
        <v>50</v>
      </c>
      <c r="B51" t="s">
        <v>850</v>
      </c>
      <c r="C51" t="s">
        <v>4792</v>
      </c>
      <c r="D51">
        <v>35</v>
      </c>
      <c r="E51">
        <v>107</v>
      </c>
      <c r="F51" t="s">
        <v>4793</v>
      </c>
      <c r="G51" t="s">
        <v>4794</v>
      </c>
      <c r="H51" t="s">
        <v>4565</v>
      </c>
      <c r="I51" t="s">
        <v>4566</v>
      </c>
      <c r="J51" t="str">
        <f>_xlfn.XLOOKUP(autorest[[#This Row],[idioma_es]],idiomast[idioma_es],idiomast[idioma_la])</f>
        <v>Lingua Latina</v>
      </c>
      <c r="K51" t="s">
        <v>4795</v>
      </c>
      <c r="M51" t="str">
        <f>_xlfn.XLOOKUP(autorest[[#This Row],[idioma_es]],idiomast[idioma_es],idiomast[codigo])</f>
        <v>la</v>
      </c>
      <c r="N51" t="str">
        <f>_xlfn.XLOOKUP(autorest[[#This Row],[nacion_es]],nacionest[nacion_es],nacionest[nacion_la])</f>
        <v>Roma</v>
      </c>
      <c r="O51" s="4" t="str" cm="1">
        <f t="array" ref="O51">IF(ISBLANK(autorest[[#This Row],[fecha_nacimiento]]),"Epoca Desconocida",IFERROR(INDEX(epocast[epoca_es],MATCH(1,(autorest[[#This Row],[fecha_nacimiento]]&gt;=epocast[inicio_ano])*(autorest[[#This Row],[fecha_nacimiento]]&lt;=epocast[fin_ano]),0)),"Epoca Desconocida"))</f>
        <v>Edad Antigua</v>
      </c>
      <c r="P51" t="str">
        <f>_xlfn.XLOOKUP(autorest[[#This Row],[epoca_es]],epocast[epoca_es],epocast[epoca_la])</f>
        <v>Antiquitas</v>
      </c>
    </row>
    <row r="52" spans="1:16">
      <c r="A52">
        <v>51</v>
      </c>
      <c r="B52" t="s">
        <v>880</v>
      </c>
      <c r="C52" t="s">
        <v>4796</v>
      </c>
      <c r="D52">
        <v>70</v>
      </c>
      <c r="E52">
        <v>155</v>
      </c>
      <c r="F52" t="s">
        <v>4797</v>
      </c>
      <c r="G52" t="s">
        <v>4798</v>
      </c>
      <c r="H52" t="s">
        <v>4565</v>
      </c>
      <c r="I52" t="s">
        <v>4566</v>
      </c>
      <c r="J52" t="str">
        <f>_xlfn.XLOOKUP(autorest[[#This Row],[idioma_es]],idiomast[idioma_es],idiomast[idioma_la])</f>
        <v>Lingua Latina</v>
      </c>
      <c r="K52" t="s">
        <v>4799</v>
      </c>
      <c r="M52" t="str">
        <f>_xlfn.XLOOKUP(autorest[[#This Row],[idioma_es]],idiomast[idioma_es],idiomast[codigo])</f>
        <v>la</v>
      </c>
      <c r="N52" t="str">
        <f>_xlfn.XLOOKUP(autorest[[#This Row],[nacion_es]],nacionest[nacion_es],nacionest[nacion_la])</f>
        <v>Roma</v>
      </c>
      <c r="O52" s="4" t="str" cm="1">
        <f t="array" ref="O52">IF(ISBLANK(autorest[[#This Row],[fecha_nacimiento]]),"Epoca Desconocida",IFERROR(INDEX(epocast[epoca_es],MATCH(1,(autorest[[#This Row],[fecha_nacimiento]]&gt;=epocast[inicio_ano])*(autorest[[#This Row],[fecha_nacimiento]]&lt;=epocast[fin_ano]),0)),"Epoca Desconocida"))</f>
        <v>Edad Antigua</v>
      </c>
      <c r="P52" t="str">
        <f>_xlfn.XLOOKUP(autorest[[#This Row],[epoca_es]],epocast[epoca_es],epocast[epoca_la])</f>
        <v>Antiquitas</v>
      </c>
    </row>
    <row r="53" spans="1:16">
      <c r="A53">
        <v>52</v>
      </c>
      <c r="B53" t="s">
        <v>911</v>
      </c>
      <c r="C53" t="s">
        <v>4800</v>
      </c>
      <c r="D53">
        <v>130</v>
      </c>
      <c r="E53">
        <v>202</v>
      </c>
      <c r="F53" t="s">
        <v>4801</v>
      </c>
      <c r="G53" t="s">
        <v>4802</v>
      </c>
      <c r="H53" t="s">
        <v>4565</v>
      </c>
      <c r="I53" t="s">
        <v>4566</v>
      </c>
      <c r="J53" t="str">
        <f>_xlfn.XLOOKUP(autorest[[#This Row],[idioma_es]],idiomast[idioma_es],idiomast[idioma_la])</f>
        <v>Lingua Latina</v>
      </c>
      <c r="K53" t="s">
        <v>4803</v>
      </c>
      <c r="M53" t="str">
        <f>_xlfn.XLOOKUP(autorest[[#This Row],[idioma_es]],idiomast[idioma_es],idiomast[codigo])</f>
        <v>la</v>
      </c>
      <c r="N53" t="str">
        <f>_xlfn.XLOOKUP(autorest[[#This Row],[nacion_es]],nacionest[nacion_es],nacionest[nacion_la])</f>
        <v>Roma</v>
      </c>
      <c r="O53" s="4" t="str" cm="1">
        <f t="array" ref="O53">IF(ISBLANK(autorest[[#This Row],[fecha_nacimiento]]),"Epoca Desconocida",IFERROR(INDEX(epocast[epoca_es],MATCH(1,(autorest[[#This Row],[fecha_nacimiento]]&gt;=epocast[inicio_ano])*(autorest[[#This Row],[fecha_nacimiento]]&lt;=epocast[fin_ano]),0)),"Epoca Desconocida"))</f>
        <v>Edad Antigua</v>
      </c>
      <c r="P53" t="str">
        <f>_xlfn.XLOOKUP(autorest[[#This Row],[epoca_es]],epocast[epoca_es],epocast[epoca_la])</f>
        <v>Antiquitas</v>
      </c>
    </row>
    <row r="54" spans="1:16">
      <c r="A54">
        <v>53</v>
      </c>
      <c r="B54" t="s">
        <v>940</v>
      </c>
      <c r="C54" t="s">
        <v>4804</v>
      </c>
      <c r="D54">
        <v>296</v>
      </c>
      <c r="E54">
        <v>373</v>
      </c>
      <c r="F54" t="s">
        <v>4805</v>
      </c>
      <c r="G54" t="s">
        <v>4806</v>
      </c>
      <c r="H54" t="s">
        <v>4565</v>
      </c>
      <c r="I54" t="s">
        <v>4566</v>
      </c>
      <c r="J54" t="str">
        <f>_xlfn.XLOOKUP(autorest[[#This Row],[idioma_es]],idiomast[idioma_es],idiomast[idioma_la])</f>
        <v>Lingua Latina</v>
      </c>
      <c r="K54" t="s">
        <v>4807</v>
      </c>
      <c r="M54" t="str">
        <f>_xlfn.XLOOKUP(autorest[[#This Row],[idioma_es]],idiomast[idioma_es],idiomast[codigo])</f>
        <v>la</v>
      </c>
      <c r="N54" t="str">
        <f>_xlfn.XLOOKUP(autorest[[#This Row],[nacion_es]],nacionest[nacion_es],nacionest[nacion_la])</f>
        <v>Roma</v>
      </c>
      <c r="O54" s="4" t="str" cm="1">
        <f t="array" ref="O54">IF(ISBLANK(autorest[[#This Row],[fecha_nacimiento]]),"Epoca Desconocida",IFERROR(INDEX(epocast[epoca_es],MATCH(1,(autorest[[#This Row],[fecha_nacimiento]]&gt;=epocast[inicio_ano])*(autorest[[#This Row],[fecha_nacimiento]]&lt;=epocast[fin_ano]),0)),"Epoca Desconocida"))</f>
        <v>Edad Antigua</v>
      </c>
      <c r="P54" t="str">
        <f>_xlfn.XLOOKUP(autorest[[#This Row],[epoca_es]],epocast[epoca_es],epocast[epoca_la])</f>
        <v>Antiquitas</v>
      </c>
    </row>
    <row r="55" spans="1:16">
      <c r="A55">
        <v>54</v>
      </c>
      <c r="B55" t="s">
        <v>970</v>
      </c>
      <c r="C55" t="s">
        <v>4808</v>
      </c>
      <c r="D55">
        <v>330</v>
      </c>
      <c r="E55">
        <v>379</v>
      </c>
      <c r="F55" t="s">
        <v>4809</v>
      </c>
      <c r="G55" t="s">
        <v>4810</v>
      </c>
      <c r="H55" t="s">
        <v>4565</v>
      </c>
      <c r="I55" t="s">
        <v>4566</v>
      </c>
      <c r="J55" t="str">
        <f>_xlfn.XLOOKUP(autorest[[#This Row],[idioma_es]],idiomast[idioma_es],idiomast[idioma_la])</f>
        <v>Lingua Latina</v>
      </c>
      <c r="K55" t="s">
        <v>4811</v>
      </c>
      <c r="M55" t="str">
        <f>_xlfn.XLOOKUP(autorest[[#This Row],[idioma_es]],idiomast[idioma_es],idiomast[codigo])</f>
        <v>la</v>
      </c>
      <c r="N55" t="str">
        <f>_xlfn.XLOOKUP(autorest[[#This Row],[nacion_es]],nacionest[nacion_es],nacionest[nacion_la])</f>
        <v>Roma</v>
      </c>
      <c r="O55" s="4" t="str" cm="1">
        <f t="array" ref="O55">IF(ISBLANK(autorest[[#This Row],[fecha_nacimiento]]),"Epoca Desconocida",IFERROR(INDEX(epocast[epoca_es],MATCH(1,(autorest[[#This Row],[fecha_nacimiento]]&gt;=epocast[inicio_ano])*(autorest[[#This Row],[fecha_nacimiento]]&lt;=epocast[fin_ano]),0)),"Epoca Desconocida"))</f>
        <v>Edad Antigua</v>
      </c>
      <c r="P55" t="str">
        <f>_xlfn.XLOOKUP(autorest[[#This Row],[epoca_es]],epocast[epoca_es],epocast[epoca_la])</f>
        <v>Antiquitas</v>
      </c>
    </row>
    <row r="56" spans="1:16">
      <c r="A56">
        <v>55</v>
      </c>
      <c r="B56" t="s">
        <v>1002</v>
      </c>
      <c r="C56" t="s">
        <v>4812</v>
      </c>
      <c r="D56">
        <v>329</v>
      </c>
      <c r="E56">
        <v>390</v>
      </c>
      <c r="F56" t="s">
        <v>4813</v>
      </c>
      <c r="G56" t="s">
        <v>4814</v>
      </c>
      <c r="H56" t="s">
        <v>4565</v>
      </c>
      <c r="I56" t="s">
        <v>4566</v>
      </c>
      <c r="J56" t="str">
        <f>_xlfn.XLOOKUP(autorest[[#This Row],[idioma_es]],idiomast[idioma_es],idiomast[idioma_la])</f>
        <v>Lingua Latina</v>
      </c>
      <c r="K56" t="s">
        <v>4815</v>
      </c>
      <c r="M56" t="str">
        <f>_xlfn.XLOOKUP(autorest[[#This Row],[idioma_es]],idiomast[idioma_es],idiomast[codigo])</f>
        <v>la</v>
      </c>
      <c r="N56" t="str">
        <f>_xlfn.XLOOKUP(autorest[[#This Row],[nacion_es]],nacionest[nacion_es],nacionest[nacion_la])</f>
        <v>Roma</v>
      </c>
      <c r="O56" s="4" t="str" cm="1">
        <f t="array" ref="O56">IF(ISBLANK(autorest[[#This Row],[fecha_nacimiento]]),"Epoca Desconocida",IFERROR(INDEX(epocast[epoca_es],MATCH(1,(autorest[[#This Row],[fecha_nacimiento]]&gt;=epocast[inicio_ano])*(autorest[[#This Row],[fecha_nacimiento]]&lt;=epocast[fin_ano]),0)),"Epoca Desconocida"))</f>
        <v>Edad Antigua</v>
      </c>
      <c r="P56" t="str">
        <f>_xlfn.XLOOKUP(autorest[[#This Row],[epoca_es]],epocast[epoca_es],epocast[epoca_la])</f>
        <v>Antiquitas</v>
      </c>
    </row>
    <row r="57" spans="1:16">
      <c r="A57">
        <v>56</v>
      </c>
      <c r="B57" t="s">
        <v>1033</v>
      </c>
      <c r="C57" t="s">
        <v>4816</v>
      </c>
      <c r="D57">
        <v>335</v>
      </c>
      <c r="E57">
        <v>394</v>
      </c>
      <c r="F57" t="s">
        <v>4817</v>
      </c>
      <c r="G57" t="s">
        <v>4818</v>
      </c>
      <c r="H57" t="s">
        <v>4565</v>
      </c>
      <c r="I57" t="s">
        <v>4566</v>
      </c>
      <c r="J57" t="str">
        <f>_xlfn.XLOOKUP(autorest[[#This Row],[idioma_es]],idiomast[idioma_es],idiomast[idioma_la])</f>
        <v>Lingua Latina</v>
      </c>
      <c r="K57" t="s">
        <v>4819</v>
      </c>
      <c r="M57" t="str">
        <f>_xlfn.XLOOKUP(autorest[[#This Row],[idioma_es]],idiomast[idioma_es],idiomast[codigo])</f>
        <v>la</v>
      </c>
      <c r="N57" t="str">
        <f>_xlfn.XLOOKUP(autorest[[#This Row],[nacion_es]],nacionest[nacion_es],nacionest[nacion_la])</f>
        <v>Roma</v>
      </c>
      <c r="O57" s="4" t="str" cm="1">
        <f t="array" ref="O57">IF(ISBLANK(autorest[[#This Row],[fecha_nacimiento]]),"Epoca Desconocida",IFERROR(INDEX(epocast[epoca_es],MATCH(1,(autorest[[#This Row],[fecha_nacimiento]]&gt;=epocast[inicio_ano])*(autorest[[#This Row],[fecha_nacimiento]]&lt;=epocast[fin_ano]),0)),"Epoca Desconocida"))</f>
        <v>Edad Antigua</v>
      </c>
      <c r="P57" t="str">
        <f>_xlfn.XLOOKUP(autorest[[#This Row],[epoca_es]],epocast[epoca_es],epocast[epoca_la])</f>
        <v>Antiquitas</v>
      </c>
    </row>
    <row r="58" spans="1:16">
      <c r="A58">
        <v>57</v>
      </c>
      <c r="B58" t="s">
        <v>1064</v>
      </c>
      <c r="C58" t="s">
        <v>4820</v>
      </c>
      <c r="D58">
        <v>340</v>
      </c>
      <c r="E58">
        <v>397</v>
      </c>
      <c r="F58" t="s">
        <v>4821</v>
      </c>
      <c r="G58" t="s">
        <v>4822</v>
      </c>
      <c r="H58" t="s">
        <v>4565</v>
      </c>
      <c r="I58" t="s">
        <v>4566</v>
      </c>
      <c r="J58" t="str">
        <f>_xlfn.XLOOKUP(autorest[[#This Row],[idioma_es]],idiomast[idioma_es],idiomast[idioma_la])</f>
        <v>Lingua Latina</v>
      </c>
      <c r="K58" t="s">
        <v>4823</v>
      </c>
      <c r="M58" t="str">
        <f>_xlfn.XLOOKUP(autorest[[#This Row],[idioma_es]],idiomast[idioma_es],idiomast[codigo])</f>
        <v>la</v>
      </c>
      <c r="N58" t="str">
        <f>_xlfn.XLOOKUP(autorest[[#This Row],[nacion_es]],nacionest[nacion_es],nacionest[nacion_la])</f>
        <v>Roma</v>
      </c>
      <c r="O58" s="4" t="str" cm="1">
        <f t="array" ref="O58">IF(ISBLANK(autorest[[#This Row],[fecha_nacimiento]]),"Epoca Desconocida",IFERROR(INDEX(epocast[epoca_es],MATCH(1,(autorest[[#This Row],[fecha_nacimiento]]&gt;=epocast[inicio_ano])*(autorest[[#This Row],[fecha_nacimiento]]&lt;=epocast[fin_ano]),0)),"Epoca Desconocida"))</f>
        <v>Edad Antigua</v>
      </c>
      <c r="P58" t="str">
        <f>_xlfn.XLOOKUP(autorest[[#This Row],[epoca_es]],epocast[epoca_es],epocast[epoca_la])</f>
        <v>Antiquitas</v>
      </c>
    </row>
    <row r="59" spans="1:16">
      <c r="A59">
        <v>58</v>
      </c>
      <c r="B59" t="s">
        <v>1094</v>
      </c>
      <c r="C59" t="s">
        <v>4824</v>
      </c>
      <c r="D59">
        <v>347</v>
      </c>
      <c r="E59">
        <v>420</v>
      </c>
      <c r="F59" t="s">
        <v>4825</v>
      </c>
      <c r="G59" t="s">
        <v>4826</v>
      </c>
      <c r="H59" t="s">
        <v>4565</v>
      </c>
      <c r="I59" t="s">
        <v>4566</v>
      </c>
      <c r="J59" t="str">
        <f>_xlfn.XLOOKUP(autorest[[#This Row],[idioma_es]],idiomast[idioma_es],idiomast[idioma_la])</f>
        <v>Lingua Latina</v>
      </c>
      <c r="K59" t="s">
        <v>4827</v>
      </c>
      <c r="M59" t="str">
        <f>_xlfn.XLOOKUP(autorest[[#This Row],[idioma_es]],idiomast[idioma_es],idiomast[codigo])</f>
        <v>la</v>
      </c>
      <c r="N59" t="str">
        <f>_xlfn.XLOOKUP(autorest[[#This Row],[nacion_es]],nacionest[nacion_es],nacionest[nacion_la])</f>
        <v>Roma</v>
      </c>
      <c r="O59" s="4" t="str" cm="1">
        <f t="array" ref="O59">IF(ISBLANK(autorest[[#This Row],[fecha_nacimiento]]),"Epoca Desconocida",IFERROR(INDEX(epocast[epoca_es],MATCH(1,(autorest[[#This Row],[fecha_nacimiento]]&gt;=epocast[inicio_ano])*(autorest[[#This Row],[fecha_nacimiento]]&lt;=epocast[fin_ano]),0)),"Epoca Desconocida"))</f>
        <v>Edad Antigua</v>
      </c>
      <c r="P59" t="str">
        <f>_xlfn.XLOOKUP(autorest[[#This Row],[epoca_es]],epocast[epoca_es],epocast[epoca_la])</f>
        <v>Antiquitas</v>
      </c>
    </row>
    <row r="60" spans="1:16">
      <c r="A60">
        <v>59</v>
      </c>
      <c r="B60" t="s">
        <v>1116</v>
      </c>
      <c r="C60" t="s">
        <v>4828</v>
      </c>
      <c r="D60">
        <v>400</v>
      </c>
      <c r="E60">
        <v>461</v>
      </c>
      <c r="F60" t="s">
        <v>4829</v>
      </c>
      <c r="G60" t="s">
        <v>4830</v>
      </c>
      <c r="H60" t="s">
        <v>4565</v>
      </c>
      <c r="I60" t="s">
        <v>4566</v>
      </c>
      <c r="J60" t="str">
        <f>_xlfn.XLOOKUP(autorest[[#This Row],[idioma_es]],idiomast[idioma_es],idiomast[idioma_la])</f>
        <v>Lingua Latina</v>
      </c>
      <c r="K60" t="s">
        <v>4831</v>
      </c>
      <c r="M60" t="str">
        <f>_xlfn.XLOOKUP(autorest[[#This Row],[idioma_es]],idiomast[idioma_es],idiomast[codigo])</f>
        <v>la</v>
      </c>
      <c r="N60" t="str">
        <f>_xlfn.XLOOKUP(autorest[[#This Row],[nacion_es]],nacionest[nacion_es],nacionest[nacion_la])</f>
        <v>Roma</v>
      </c>
      <c r="O60" s="4" t="str" cm="1">
        <f t="array" ref="O60">IF(ISBLANK(autorest[[#This Row],[fecha_nacimiento]]),"Epoca Desconocida",IFERROR(INDEX(epocast[epoca_es],MATCH(1,(autorest[[#This Row],[fecha_nacimiento]]&gt;=epocast[inicio_ano])*(autorest[[#This Row],[fecha_nacimiento]]&lt;=epocast[fin_ano]),0)),"Epoca Desconocida"))</f>
        <v>Edad Antigua</v>
      </c>
      <c r="P60" t="str">
        <f>_xlfn.XLOOKUP(autorest[[#This Row],[epoca_es]],epocast[epoca_es],epocast[epoca_la])</f>
        <v>Antiquitas</v>
      </c>
    </row>
    <row r="61" spans="1:16">
      <c r="A61">
        <v>60</v>
      </c>
      <c r="B61" t="s">
        <v>1138</v>
      </c>
      <c r="C61" t="s">
        <v>4832</v>
      </c>
      <c r="D61">
        <v>210</v>
      </c>
      <c r="E61">
        <v>258</v>
      </c>
      <c r="F61" t="s">
        <v>4833</v>
      </c>
      <c r="G61" t="s">
        <v>4834</v>
      </c>
      <c r="H61" t="s">
        <v>4565</v>
      </c>
      <c r="I61" t="s">
        <v>4566</v>
      </c>
      <c r="J61" t="str">
        <f>_xlfn.XLOOKUP(autorest[[#This Row],[idioma_es]],idiomast[idioma_es],idiomast[idioma_la])</f>
        <v>Lingua Latina</v>
      </c>
      <c r="K61" t="s">
        <v>4835</v>
      </c>
      <c r="M61" t="str">
        <f>_xlfn.XLOOKUP(autorest[[#This Row],[idioma_es]],idiomast[idioma_es],idiomast[codigo])</f>
        <v>la</v>
      </c>
      <c r="N61" t="str">
        <f>_xlfn.XLOOKUP(autorest[[#This Row],[nacion_es]],nacionest[nacion_es],nacionest[nacion_la])</f>
        <v>Roma</v>
      </c>
      <c r="O61" s="4" t="str" cm="1">
        <f t="array" ref="O61">IF(ISBLANK(autorest[[#This Row],[fecha_nacimiento]]),"Epoca Desconocida",IFERROR(INDEX(epocast[epoca_es],MATCH(1,(autorest[[#This Row],[fecha_nacimiento]]&gt;=epocast[inicio_ano])*(autorest[[#This Row],[fecha_nacimiento]]&lt;=epocast[fin_ano]),0)),"Epoca Desconocida"))</f>
        <v>Edad Antigua</v>
      </c>
      <c r="P61" t="str">
        <f>_xlfn.XLOOKUP(autorest[[#This Row],[epoca_es]],epocast[epoca_es],epocast[epoca_la])</f>
        <v>Antiquitas</v>
      </c>
    </row>
    <row r="62" spans="1:16">
      <c r="A62">
        <v>61</v>
      </c>
      <c r="B62" t="s">
        <v>1165</v>
      </c>
      <c r="C62" t="s">
        <v>4836</v>
      </c>
      <c r="D62">
        <v>1033</v>
      </c>
      <c r="E62">
        <v>1109</v>
      </c>
      <c r="F62" t="s">
        <v>4837</v>
      </c>
      <c r="G62" t="s">
        <v>4838</v>
      </c>
      <c r="H62" t="s">
        <v>4565</v>
      </c>
      <c r="I62" t="s">
        <v>4658</v>
      </c>
      <c r="J62" t="str">
        <f>_xlfn.XLOOKUP(autorest[[#This Row],[idioma_es]],idiomast[idioma_es],idiomast[idioma_la])</f>
        <v>Lingua Latina</v>
      </c>
      <c r="K62" t="s">
        <v>4839</v>
      </c>
      <c r="M62" t="str">
        <f>_xlfn.XLOOKUP(autorest[[#This Row],[idioma_es]],idiomast[idioma_es],idiomast[codigo])</f>
        <v>la</v>
      </c>
      <c r="N62" t="str">
        <f>_xlfn.XLOOKUP(autorest[[#This Row],[nacion_es]],nacionest[nacion_es],nacionest[nacion_la])</f>
        <v>Italia</v>
      </c>
      <c r="O62" s="4" t="str" cm="1">
        <f t="array" ref="O62">IF(ISBLANK(autorest[[#This Row],[fecha_nacimiento]]),"Epoca Desconocida",IFERROR(INDEX(epocast[epoca_es],MATCH(1,(autorest[[#This Row],[fecha_nacimiento]]&gt;=epocast[inicio_ano])*(autorest[[#This Row],[fecha_nacimiento]]&lt;=epocast[fin_ano]),0)),"Epoca Desconocida"))</f>
        <v>Edad Media</v>
      </c>
      <c r="P62" t="str">
        <f>_xlfn.XLOOKUP(autorest[[#This Row],[epoca_es]],epocast[epoca_es],epocast[epoca_la])</f>
        <v>Medium Aevum</v>
      </c>
    </row>
    <row r="63" spans="1:16">
      <c r="A63">
        <v>62</v>
      </c>
      <c r="B63" t="s">
        <v>1195</v>
      </c>
      <c r="C63" t="s">
        <v>4840</v>
      </c>
      <c r="D63">
        <v>1287</v>
      </c>
      <c r="E63">
        <v>1347</v>
      </c>
      <c r="F63" t="s">
        <v>4841</v>
      </c>
      <c r="G63" t="s">
        <v>4842</v>
      </c>
      <c r="H63" t="s">
        <v>4576</v>
      </c>
      <c r="I63" t="s">
        <v>4577</v>
      </c>
      <c r="J63" t="str">
        <f>_xlfn.XLOOKUP(autorest[[#This Row],[idioma_es]],idiomast[idioma_es],idiomast[idioma_la])</f>
        <v>Lingua Anglica</v>
      </c>
      <c r="K63" t="s">
        <v>4843</v>
      </c>
      <c r="M63" t="str">
        <f>_xlfn.XLOOKUP(autorest[[#This Row],[idioma_es]],idiomast[idioma_es],idiomast[codigo])</f>
        <v>en</v>
      </c>
      <c r="N63" t="str">
        <f>_xlfn.XLOOKUP(autorest[[#This Row],[nacion_es]],nacionest[nacion_es],nacionest[nacion_la])</f>
        <v>Regnum Unitum</v>
      </c>
      <c r="O63" s="4" t="str" cm="1">
        <f t="array" ref="O63">IF(ISBLANK(autorest[[#This Row],[fecha_nacimiento]]),"Epoca Desconocida",IFERROR(INDEX(epocast[epoca_es],MATCH(1,(autorest[[#This Row],[fecha_nacimiento]]&gt;=epocast[inicio_ano])*(autorest[[#This Row],[fecha_nacimiento]]&lt;=epocast[fin_ano]),0)),"Epoca Desconocida"))</f>
        <v>Edad Media</v>
      </c>
      <c r="P63" t="str">
        <f>_xlfn.XLOOKUP(autorest[[#This Row],[epoca_es]],epocast[epoca_es],epocast[epoca_la])</f>
        <v>Medium Aevum</v>
      </c>
    </row>
    <row r="64" spans="1:16">
      <c r="A64">
        <v>63</v>
      </c>
      <c r="B64" t="s">
        <v>1255</v>
      </c>
      <c r="C64" t="s">
        <v>4722</v>
      </c>
      <c r="D64">
        <v>1452</v>
      </c>
      <c r="E64">
        <v>1519</v>
      </c>
      <c r="F64" t="s">
        <v>4844</v>
      </c>
      <c r="G64" t="s">
        <v>4845</v>
      </c>
      <c r="H64" t="s">
        <v>4745</v>
      </c>
      <c r="I64" t="s">
        <v>4658</v>
      </c>
      <c r="J64" t="str">
        <f>_xlfn.XLOOKUP(autorest[[#This Row],[idioma_es]],idiomast[idioma_es],idiomast[idioma_la])</f>
        <v>Lingua Italica</v>
      </c>
      <c r="K64" t="s">
        <v>4846</v>
      </c>
      <c r="M64" t="str">
        <f>_xlfn.XLOOKUP(autorest[[#This Row],[idioma_es]],idiomast[idioma_es],idiomast[codigo])</f>
        <v>it</v>
      </c>
      <c r="N64" t="str">
        <f>_xlfn.XLOOKUP(autorest[[#This Row],[nacion_es]],nacionest[nacion_es],nacionest[nacion_la])</f>
        <v>Italia</v>
      </c>
      <c r="O64" t="str" cm="1">
        <f t="array" ref="O64">IF(ISBLANK(autorest[[#This Row],[fecha_nacimiento]]),"Epoca Desconocida",IFERROR(INDEX(epocast[epoca_es],MATCH(1,(autorest[[#This Row],[fecha_nacimiento]]&gt;=epocast[inicio_ano])*(autorest[[#This Row],[fecha_nacimiento]]&lt;=epocast[fin_ano]),0)),"Epoca Desconocida"))</f>
        <v>Edad Media</v>
      </c>
      <c r="P64" t="str">
        <f>_xlfn.XLOOKUP(autorest[[#This Row],[epoca_es]],epocast[epoca_es],epocast[epoca_la])</f>
        <v>Medium Aevum</v>
      </c>
    </row>
    <row r="65" spans="1:16">
      <c r="A65">
        <v>64</v>
      </c>
      <c r="B65" t="s">
        <v>1299</v>
      </c>
      <c r="C65" t="s">
        <v>4847</v>
      </c>
      <c r="D65">
        <v>1542</v>
      </c>
      <c r="E65">
        <v>1591</v>
      </c>
      <c r="F65" t="s">
        <v>4848</v>
      </c>
      <c r="G65" t="s">
        <v>4849</v>
      </c>
      <c r="H65" t="s">
        <v>4625</v>
      </c>
      <c r="I65" t="s">
        <v>4626</v>
      </c>
      <c r="J65" t="str">
        <f>_xlfn.XLOOKUP(autorest[[#This Row],[idioma_es]],idiomast[idioma_es],idiomast[idioma_la])</f>
        <v>Lingua Hispanica</v>
      </c>
      <c r="K65" t="s">
        <v>4850</v>
      </c>
      <c r="M65" t="str">
        <f>_xlfn.XLOOKUP(autorest[[#This Row],[idioma_es]],idiomast[idioma_es],idiomast[codigo])</f>
        <v>es</v>
      </c>
      <c r="N65" t="str">
        <f>_xlfn.XLOOKUP(autorest[[#This Row],[nacion_es]],nacionest[nacion_es],nacionest[nacion_la])</f>
        <v>Hispania</v>
      </c>
      <c r="O65" t="str" cm="1">
        <f t="array" ref="O65">IF(ISBLANK(autorest[[#This Row],[fecha_nacimiento]]),"Epoca Desconocida",IFERROR(INDEX(epocast[epoca_es],MATCH(1,(autorest[[#This Row],[fecha_nacimiento]]&gt;=epocast[inicio_ano])*(autorest[[#This Row],[fecha_nacimiento]]&lt;=epocast[fin_ano]),0)),"Epoca Desconocida"))</f>
        <v>Edad Moderna</v>
      </c>
      <c r="P65" t="str">
        <f>_xlfn.XLOOKUP(autorest[[#This Row],[epoca_es]],epocast[epoca_es],epocast[epoca_la])</f>
        <v>Nova Aetas</v>
      </c>
    </row>
    <row r="66" spans="1:16">
      <c r="A66">
        <v>65</v>
      </c>
      <c r="B66" t="s">
        <v>1318</v>
      </c>
      <c r="C66" t="s">
        <v>4851</v>
      </c>
      <c r="D66">
        <v>1515</v>
      </c>
      <c r="E66">
        <v>1582</v>
      </c>
      <c r="F66" t="s">
        <v>4852</v>
      </c>
      <c r="G66" t="s">
        <v>4853</v>
      </c>
      <c r="H66" t="s">
        <v>4625</v>
      </c>
      <c r="I66" t="s">
        <v>4626</v>
      </c>
      <c r="J66" t="str">
        <f>_xlfn.XLOOKUP(autorest[[#This Row],[idioma_es]],idiomast[idioma_es],idiomast[idioma_la])</f>
        <v>Lingua Hispanica</v>
      </c>
      <c r="K66" t="s">
        <v>4854</v>
      </c>
      <c r="M66" t="str">
        <f>_xlfn.XLOOKUP(autorest[[#This Row],[idioma_es]],idiomast[idioma_es],idiomast[codigo])</f>
        <v>es</v>
      </c>
      <c r="N66" t="str">
        <f>_xlfn.XLOOKUP(autorest[[#This Row],[nacion_es]],nacionest[nacion_es],nacionest[nacion_la])</f>
        <v>Hispania</v>
      </c>
      <c r="O66" t="str" cm="1">
        <f t="array" ref="O66">IF(ISBLANK(autorest[[#This Row],[fecha_nacimiento]]),"Epoca Desconocida",IFERROR(INDEX(epocast[epoca_es],MATCH(1,(autorest[[#This Row],[fecha_nacimiento]]&gt;=epocast[inicio_ano])*(autorest[[#This Row],[fecha_nacimiento]]&lt;=epocast[fin_ano]),0)),"Epoca Desconocida"))</f>
        <v>Edad Moderna</v>
      </c>
      <c r="P66" t="str">
        <f>_xlfn.XLOOKUP(autorest[[#This Row],[epoca_es]],epocast[epoca_es],epocast[epoca_la])</f>
        <v>Nova Aetas</v>
      </c>
    </row>
    <row r="67" spans="1:16">
      <c r="A67">
        <v>66</v>
      </c>
      <c r="B67" t="s">
        <v>1337</v>
      </c>
      <c r="C67" t="s">
        <v>4855</v>
      </c>
      <c r="D67">
        <v>1815</v>
      </c>
      <c r="E67">
        <v>1888</v>
      </c>
      <c r="F67" t="s">
        <v>4856</v>
      </c>
      <c r="G67" t="s">
        <v>4857</v>
      </c>
      <c r="H67" t="s">
        <v>4745</v>
      </c>
      <c r="I67" t="s">
        <v>4658</v>
      </c>
      <c r="J67" t="str">
        <f>_xlfn.XLOOKUP(autorest[[#This Row],[idioma_es]],idiomast[idioma_es],idiomast[idioma_la])</f>
        <v>Lingua Italica</v>
      </c>
      <c r="K67" t="s">
        <v>4858</v>
      </c>
      <c r="M67" t="str">
        <f>_xlfn.XLOOKUP(autorest[[#This Row],[idioma_es]],idiomast[idioma_es],idiomast[codigo])</f>
        <v>it</v>
      </c>
      <c r="N67" t="str">
        <f>_xlfn.XLOOKUP(autorest[[#This Row],[nacion_es]],nacionest[nacion_es],nacionest[nacion_la])</f>
        <v>Italia</v>
      </c>
      <c r="O67" t="str" cm="1">
        <f t="array" ref="O67">IF(ISBLANK(autorest[[#This Row],[fecha_nacimiento]]),"Epoca Desconocida",IFERROR(INDEX(epocast[epoca_es],MATCH(1,(autorest[[#This Row],[fecha_nacimiento]]&gt;=epocast[inicio_ano])*(autorest[[#This Row],[fecha_nacimiento]]&lt;=epocast[fin_ano]),0)),"Epoca Desconocida"))</f>
        <v>Edad Contemporánea</v>
      </c>
      <c r="P67" t="str">
        <f>_xlfn.XLOOKUP(autorest[[#This Row],[epoca_es]],epocast[epoca_es],epocast[epoca_la])</f>
        <v>Aetas Contemporanea</v>
      </c>
    </row>
    <row r="68" spans="1:16">
      <c r="A68">
        <v>67</v>
      </c>
      <c r="B68" t="s">
        <v>1360</v>
      </c>
      <c r="C68" t="s">
        <v>4859</v>
      </c>
      <c r="D68">
        <v>1927</v>
      </c>
      <c r="E68">
        <v>2022</v>
      </c>
      <c r="F68" t="s">
        <v>4860</v>
      </c>
      <c r="G68" t="s">
        <v>4861</v>
      </c>
      <c r="H68" t="s">
        <v>4662</v>
      </c>
      <c r="I68" t="s">
        <v>4663</v>
      </c>
      <c r="J68" t="str">
        <f>_xlfn.XLOOKUP(autorest[[#This Row],[idioma_es]],idiomast[idioma_es],idiomast[idioma_la])</f>
        <v>Lingua Germanica</v>
      </c>
      <c r="K68" t="s">
        <v>4862</v>
      </c>
      <c r="M68" t="str">
        <f>_xlfn.XLOOKUP(autorest[[#This Row],[idioma_es]],idiomast[idioma_es],idiomast[codigo])</f>
        <v>de</v>
      </c>
      <c r="N68" t="str">
        <f>_xlfn.XLOOKUP(autorest[[#This Row],[nacion_es]],nacionest[nacion_es],nacionest[nacion_la])</f>
        <v>Germania</v>
      </c>
      <c r="O68" t="str" cm="1">
        <f t="array" ref="O68">IF(ISBLANK(autorest[[#This Row],[fecha_nacimiento]]),"Epoca Desconocida",IFERROR(INDEX(epocast[epoca_es],MATCH(1,(autorest[[#This Row],[fecha_nacimiento]]&gt;=epocast[inicio_ano])*(autorest[[#This Row],[fecha_nacimiento]]&lt;=epocast[fin_ano]),0)),"Epoca Desconocida"))</f>
        <v>Edad Contemporánea</v>
      </c>
      <c r="P68" t="str">
        <f>_xlfn.XLOOKUP(autorest[[#This Row],[epoca_es]],epocast[epoca_es],epocast[epoca_la])</f>
        <v>Aetas Contemporanea</v>
      </c>
    </row>
    <row r="69" spans="1:16">
      <c r="A69">
        <v>68</v>
      </c>
      <c r="B69" t="s">
        <v>1380</v>
      </c>
      <c r="C69" t="s">
        <v>4863</v>
      </c>
      <c r="D69">
        <v>1873</v>
      </c>
      <c r="E69">
        <v>1897</v>
      </c>
      <c r="F69" t="s">
        <v>4864</v>
      </c>
      <c r="G69" t="s">
        <v>4865</v>
      </c>
      <c r="H69" t="s">
        <v>4614</v>
      </c>
      <c r="I69" t="s">
        <v>4571</v>
      </c>
      <c r="J69" t="str">
        <f>_xlfn.XLOOKUP(autorest[[#This Row],[idioma_es]],idiomast[idioma_es],idiomast[idioma_la])</f>
        <v>Lingua Gallica</v>
      </c>
      <c r="K69" t="s">
        <v>4866</v>
      </c>
      <c r="M69" t="str">
        <f>_xlfn.XLOOKUP(autorest[[#This Row],[idioma_es]],idiomast[idioma_es],idiomast[codigo])</f>
        <v>fr</v>
      </c>
      <c r="N69" t="str">
        <f>_xlfn.XLOOKUP(autorest[[#This Row],[nacion_es]],nacionest[nacion_es],nacionest[nacion_la])</f>
        <v>Francia</v>
      </c>
      <c r="O69" t="str" cm="1">
        <f t="array" ref="O69">IF(ISBLANK(autorest[[#This Row],[fecha_nacimiento]]),"Epoca Desconocida",IFERROR(INDEX(epocast[epoca_es],MATCH(1,(autorest[[#This Row],[fecha_nacimiento]]&gt;=epocast[inicio_ano])*(autorest[[#This Row],[fecha_nacimiento]]&lt;=epocast[fin_ano]),0)),"Epoca Desconocida"))</f>
        <v>Edad Contemporánea</v>
      </c>
      <c r="P69" t="str">
        <f>_xlfn.XLOOKUP(autorest[[#This Row],[epoca_es]],epocast[epoca_es],epocast[epoca_la])</f>
        <v>Aetas Contemporanea</v>
      </c>
    </row>
    <row r="70" spans="1:16">
      <c r="A70">
        <v>69</v>
      </c>
      <c r="B70" t="s">
        <v>1405</v>
      </c>
      <c r="C70" t="s">
        <v>4867</v>
      </c>
      <c r="D70">
        <v>1870</v>
      </c>
      <c r="E70">
        <v>1952</v>
      </c>
      <c r="F70" t="s">
        <v>4868</v>
      </c>
      <c r="G70" t="s">
        <v>4869</v>
      </c>
      <c r="H70" t="s">
        <v>4745</v>
      </c>
      <c r="I70" t="s">
        <v>4658</v>
      </c>
      <c r="J70" t="str">
        <f>_xlfn.XLOOKUP(autorest[[#This Row],[idioma_es]],idiomast[idioma_es],idiomast[idioma_la])</f>
        <v>Lingua Italica</v>
      </c>
      <c r="K70" t="s">
        <v>4870</v>
      </c>
      <c r="M70" t="str">
        <f>_xlfn.XLOOKUP(autorest[[#This Row],[idioma_es]],idiomast[idioma_es],idiomast[codigo])</f>
        <v>it</v>
      </c>
      <c r="N70" t="str">
        <f>_xlfn.XLOOKUP(autorest[[#This Row],[nacion_es]],nacionest[nacion_es],nacionest[nacion_la])</f>
        <v>Italia</v>
      </c>
      <c r="O70" t="str" cm="1">
        <f t="array" ref="O70">IF(ISBLANK(autorest[[#This Row],[fecha_nacimiento]]),"Epoca Desconocida",IFERROR(INDEX(epocast[epoca_es],MATCH(1,(autorest[[#This Row],[fecha_nacimiento]]&gt;=epocast[inicio_ano])*(autorest[[#This Row],[fecha_nacimiento]]&lt;=epocast[fin_ano]),0)),"Epoca Desconocida"))</f>
        <v>Edad Contemporánea</v>
      </c>
      <c r="P70" t="str">
        <f>_xlfn.XLOOKUP(autorest[[#This Row],[epoca_es]],epocast[epoca_es],epocast[epoca_la])</f>
        <v>Aetas Contemporanea</v>
      </c>
    </row>
    <row r="71" spans="1:16">
      <c r="A71">
        <v>70</v>
      </c>
      <c r="B71" t="s">
        <v>1430</v>
      </c>
      <c r="C71" t="s">
        <v>4871</v>
      </c>
      <c r="D71">
        <v>1921</v>
      </c>
      <c r="E71">
        <v>1997</v>
      </c>
      <c r="F71" t="s">
        <v>4872</v>
      </c>
      <c r="G71" t="s">
        <v>4873</v>
      </c>
      <c r="H71" t="s">
        <v>4874</v>
      </c>
      <c r="I71" t="s">
        <v>4875</v>
      </c>
      <c r="J71" t="str">
        <f>_xlfn.XLOOKUP(autorest[[#This Row],[idioma_es]],idiomast[idioma_es],idiomast[idioma_la])</f>
        <v>Lingua Lusitanica</v>
      </c>
      <c r="K71" t="s">
        <v>4876</v>
      </c>
      <c r="M71" t="str">
        <f>_xlfn.XLOOKUP(autorest[[#This Row],[idioma_es]],idiomast[idioma_es],idiomast[codigo])</f>
        <v>pt</v>
      </c>
      <c r="N71" t="str">
        <f>_xlfn.XLOOKUP(autorest[[#This Row],[nacion_es]],nacionest[nacion_es],nacionest[nacion_la])</f>
        <v>Brasilia</v>
      </c>
      <c r="O71" t="str" cm="1">
        <f t="array" ref="O71">IF(ISBLANK(autorest[[#This Row],[fecha_nacimiento]]),"Epoca Desconocida",IFERROR(INDEX(epocast[epoca_es],MATCH(1,(autorest[[#This Row],[fecha_nacimiento]]&gt;=epocast[inicio_ano])*(autorest[[#This Row],[fecha_nacimiento]]&lt;=epocast[fin_ano]),0)),"Epoca Desconocida"))</f>
        <v>Edad Contemporánea</v>
      </c>
      <c r="P71" t="str">
        <f>_xlfn.XLOOKUP(autorest[[#This Row],[epoca_es]],epocast[epoca_es],epocast[epoca_la])</f>
        <v>Aetas Contemporanea</v>
      </c>
    </row>
    <row r="72" spans="1:16">
      <c r="A72">
        <v>71</v>
      </c>
      <c r="B72" t="s">
        <v>1454</v>
      </c>
      <c r="C72" t="s">
        <v>4877</v>
      </c>
      <c r="D72">
        <v>1557</v>
      </c>
      <c r="E72">
        <v>1648</v>
      </c>
      <c r="F72" t="s">
        <v>4878</v>
      </c>
      <c r="G72" t="s">
        <v>4879</v>
      </c>
      <c r="H72" t="s">
        <v>4565</v>
      </c>
      <c r="I72" t="s">
        <v>4626</v>
      </c>
      <c r="J72" t="str">
        <f>_xlfn.XLOOKUP(autorest[[#This Row],[idioma_es]],idiomast[idioma_es],idiomast[idioma_la])</f>
        <v>Lingua Latina</v>
      </c>
      <c r="K72" t="s">
        <v>4880</v>
      </c>
      <c r="M72" t="str">
        <f>_xlfn.XLOOKUP(autorest[[#This Row],[idioma_es]],idiomast[idioma_es],idiomast[codigo])</f>
        <v>la</v>
      </c>
      <c r="N72" t="str">
        <f>_xlfn.XLOOKUP(autorest[[#This Row],[nacion_es]],nacionest[nacion_es],nacionest[nacion_la])</f>
        <v>Hispania</v>
      </c>
      <c r="O72" t="str" cm="1">
        <f t="array" ref="O72">IF(ISBLANK(autorest[[#This Row],[fecha_nacimiento]]),"Epoca Desconocida",IFERROR(INDEX(epocast[epoca_es],MATCH(1,(autorest[[#This Row],[fecha_nacimiento]]&gt;=epocast[inicio_ano])*(autorest[[#This Row],[fecha_nacimiento]]&lt;=epocast[fin_ano]),0)),"Epoca Desconocida"))</f>
        <v>Edad Moderna</v>
      </c>
      <c r="P72" t="str">
        <f>_xlfn.XLOOKUP(autorest[[#This Row],[epoca_es]],epocast[epoca_es],epocast[epoca_la])</f>
        <v>Nova Aetas</v>
      </c>
    </row>
    <row r="73" spans="1:16">
      <c r="A73">
        <v>72</v>
      </c>
      <c r="B73" t="s">
        <v>1468</v>
      </c>
      <c r="C73" t="s">
        <v>4881</v>
      </c>
      <c r="D73">
        <v>1469</v>
      </c>
      <c r="E73">
        <v>1536</v>
      </c>
      <c r="F73" t="s">
        <v>4882</v>
      </c>
      <c r="G73" t="s">
        <v>4883</v>
      </c>
      <c r="H73" t="s">
        <v>4565</v>
      </c>
      <c r="I73" t="s">
        <v>4884</v>
      </c>
      <c r="J73" t="str">
        <f>_xlfn.XLOOKUP(autorest[[#This Row],[idioma_es]],idiomast[idioma_es],idiomast[idioma_la])</f>
        <v>Lingua Latina</v>
      </c>
      <c r="K73" t="s">
        <v>4885</v>
      </c>
      <c r="M73" t="str">
        <f>_xlfn.XLOOKUP(autorest[[#This Row],[idioma_es]],idiomast[idioma_es],idiomast[codigo])</f>
        <v>la</v>
      </c>
      <c r="N73" t="str">
        <f>_xlfn.XLOOKUP(autorest[[#This Row],[nacion_es]],nacionest[nacion_es],nacionest[nacion_la])</f>
        <v>Nederlandia</v>
      </c>
      <c r="O73" t="str" cm="1">
        <f t="array" ref="O73">IF(ISBLANK(autorest[[#This Row],[fecha_nacimiento]]),"Epoca Desconocida",IFERROR(INDEX(epocast[epoca_es],MATCH(1,(autorest[[#This Row],[fecha_nacimiento]]&gt;=epocast[inicio_ano])*(autorest[[#This Row],[fecha_nacimiento]]&lt;=epocast[fin_ano]),0)),"Epoca Desconocida"))</f>
        <v>Edad Media</v>
      </c>
      <c r="P73" t="str">
        <f>_xlfn.XLOOKUP(autorest[[#This Row],[epoca_es]],epocast[epoca_es],epocast[epoca_la])</f>
        <v>Medium Aevum</v>
      </c>
    </row>
    <row r="74" spans="1:16">
      <c r="A74">
        <v>73</v>
      </c>
      <c r="B74" t="s">
        <v>1487</v>
      </c>
      <c r="C74" t="s">
        <v>4886</v>
      </c>
      <c r="D74">
        <v>1788</v>
      </c>
      <c r="E74">
        <v>1860</v>
      </c>
      <c r="F74" t="s">
        <v>4887</v>
      </c>
      <c r="G74" t="s">
        <v>4888</v>
      </c>
      <c r="H74" t="s">
        <v>4662</v>
      </c>
      <c r="I74" t="s">
        <v>4663</v>
      </c>
      <c r="J74" t="str">
        <f>_xlfn.XLOOKUP(autorest[[#This Row],[idioma_es]],idiomast[idioma_es],idiomast[idioma_la])</f>
        <v>Lingua Germanica</v>
      </c>
      <c r="K74" t="s">
        <v>4889</v>
      </c>
      <c r="M74" t="str">
        <f>_xlfn.XLOOKUP(autorest[[#This Row],[idioma_es]],idiomast[idioma_es],idiomast[codigo])</f>
        <v>de</v>
      </c>
      <c r="N74" t="str">
        <f>_xlfn.XLOOKUP(autorest[[#This Row],[nacion_es]],nacionest[nacion_es],nacionest[nacion_la])</f>
        <v>Germania</v>
      </c>
      <c r="O74" t="str" cm="1">
        <f t="array" ref="O74">IF(ISBLANK(autorest[[#This Row],[fecha_nacimiento]]),"Epoca Desconocida",IFERROR(INDEX(epocast[epoca_es],MATCH(1,(autorest[[#This Row],[fecha_nacimiento]]&gt;=epocast[inicio_ano])*(autorest[[#This Row],[fecha_nacimiento]]&lt;=epocast[fin_ano]),0)),"Epoca Desconocida"))</f>
        <v>Edad Moderna</v>
      </c>
      <c r="P74" t="str">
        <f>_xlfn.XLOOKUP(autorest[[#This Row],[epoca_es]],epocast[epoca_es],epocast[epoca_la])</f>
        <v>Nova Aetas</v>
      </c>
    </row>
    <row r="75" spans="1:16">
      <c r="A75">
        <v>74</v>
      </c>
      <c r="B75" t="s">
        <v>1512</v>
      </c>
      <c r="C75" t="s">
        <v>1512</v>
      </c>
      <c r="D75">
        <v>1906</v>
      </c>
      <c r="E75">
        <v>1975</v>
      </c>
      <c r="F75" t="s">
        <v>4890</v>
      </c>
      <c r="G75" t="s">
        <v>4891</v>
      </c>
      <c r="H75" t="s">
        <v>4662</v>
      </c>
      <c r="I75" t="s">
        <v>4663</v>
      </c>
      <c r="J75" t="str">
        <f>_xlfn.XLOOKUP(autorest[[#This Row],[idioma_es]],idiomast[idioma_es],idiomast[idioma_la])</f>
        <v>Lingua Germanica</v>
      </c>
      <c r="K75" t="s">
        <v>4892</v>
      </c>
      <c r="M75" t="str">
        <f>_xlfn.XLOOKUP(autorest[[#This Row],[idioma_es]],idiomast[idioma_es],idiomast[codigo])</f>
        <v>de</v>
      </c>
      <c r="N75" t="str">
        <f>_xlfn.XLOOKUP(autorest[[#This Row],[nacion_es]],nacionest[nacion_es],nacionest[nacion_la])</f>
        <v>Germania</v>
      </c>
      <c r="O75" t="str" cm="1">
        <f t="array" ref="O75">IF(ISBLANK(autorest[[#This Row],[fecha_nacimiento]]),"Epoca Desconocida",IFERROR(INDEX(epocast[epoca_es],MATCH(1,(autorest[[#This Row],[fecha_nacimiento]]&gt;=epocast[inicio_ano])*(autorest[[#This Row],[fecha_nacimiento]]&lt;=epocast[fin_ano]),0)),"Epoca Desconocida"))</f>
        <v>Edad Contemporánea</v>
      </c>
      <c r="P75" t="str">
        <f>_xlfn.XLOOKUP(autorest[[#This Row],[epoca_es]],epocast[epoca_es],epocast[epoca_la])</f>
        <v>Aetas Contemporanea</v>
      </c>
    </row>
    <row r="76" spans="1:16">
      <c r="A76">
        <v>75</v>
      </c>
      <c r="B76" t="s">
        <v>1537</v>
      </c>
      <c r="C76" t="s">
        <v>1537</v>
      </c>
      <c r="D76">
        <v>1724</v>
      </c>
      <c r="E76">
        <v>1804</v>
      </c>
      <c r="F76" t="s">
        <v>4893</v>
      </c>
      <c r="G76" t="s">
        <v>4894</v>
      </c>
      <c r="H76" t="s">
        <v>4662</v>
      </c>
      <c r="I76" t="s">
        <v>4663</v>
      </c>
      <c r="J76" t="str">
        <f>_xlfn.XLOOKUP(autorest[[#This Row],[idioma_es]],idiomast[idioma_es],idiomast[idioma_la])</f>
        <v>Lingua Germanica</v>
      </c>
      <c r="K76" t="s">
        <v>4895</v>
      </c>
      <c r="M76" t="str">
        <f>_xlfn.XLOOKUP(autorest[[#This Row],[idioma_es]],idiomast[idioma_es],idiomast[codigo])</f>
        <v>de</v>
      </c>
      <c r="N76" t="str">
        <f>_xlfn.XLOOKUP(autorest[[#This Row],[nacion_es]],nacionest[nacion_es],nacionest[nacion_la])</f>
        <v>Germania</v>
      </c>
      <c r="O76" t="str" cm="1">
        <f t="array" ref="O76">IF(ISBLANK(autorest[[#This Row],[fecha_nacimiento]]),"Epoca Desconocida",IFERROR(INDEX(epocast[epoca_es],MATCH(1,(autorest[[#This Row],[fecha_nacimiento]]&gt;=epocast[inicio_ano])*(autorest[[#This Row],[fecha_nacimiento]]&lt;=epocast[fin_ano]),0)),"Epoca Desconocida"))</f>
        <v>Edad Moderna</v>
      </c>
      <c r="P76" t="str">
        <f>_xlfn.XLOOKUP(autorest[[#This Row],[epoca_es]],epocast[epoca_es],epocast[epoca_la])</f>
        <v>Nova Aetas</v>
      </c>
    </row>
    <row r="77" spans="1:16">
      <c r="A77">
        <v>76</v>
      </c>
      <c r="B77" t="s">
        <v>1559</v>
      </c>
      <c r="C77" t="s">
        <v>4896</v>
      </c>
      <c r="D77">
        <v>1883</v>
      </c>
      <c r="E77">
        <v>1955</v>
      </c>
      <c r="F77" t="s">
        <v>4897</v>
      </c>
      <c r="G77" t="s">
        <v>4898</v>
      </c>
      <c r="H77" t="s">
        <v>4625</v>
      </c>
      <c r="I77" t="s">
        <v>4626</v>
      </c>
      <c r="J77" t="str">
        <f>_xlfn.XLOOKUP(autorest[[#This Row],[idioma_es]],idiomast[idioma_es],idiomast[idioma_la])</f>
        <v>Lingua Hispanica</v>
      </c>
      <c r="K77" t="s">
        <v>4899</v>
      </c>
      <c r="M77" t="str">
        <f>_xlfn.XLOOKUP(autorest[[#This Row],[idioma_es]],idiomast[idioma_es],idiomast[codigo])</f>
        <v>es</v>
      </c>
      <c r="N77" t="str">
        <f>_xlfn.XLOOKUP(autorest[[#This Row],[nacion_es]],nacionest[nacion_es],nacionest[nacion_la])</f>
        <v>Hispania</v>
      </c>
      <c r="O77" t="str" cm="1">
        <f t="array" ref="O77">IF(ISBLANK(autorest[[#This Row],[fecha_nacimiento]]),"Epoca Desconocida",IFERROR(INDEX(epocast[epoca_es],MATCH(1,(autorest[[#This Row],[fecha_nacimiento]]&gt;=epocast[inicio_ano])*(autorest[[#This Row],[fecha_nacimiento]]&lt;=epocast[fin_ano]),0)),"Epoca Desconocida"))</f>
        <v>Edad Contemporánea</v>
      </c>
      <c r="P77" t="str">
        <f>_xlfn.XLOOKUP(autorest[[#This Row],[epoca_es]],epocast[epoca_es],epocast[epoca_la])</f>
        <v>Aetas Contemporanea</v>
      </c>
    </row>
    <row r="78" spans="1:16">
      <c r="A78">
        <v>77</v>
      </c>
      <c r="B78" t="s">
        <v>1577</v>
      </c>
      <c r="C78" t="s">
        <v>4900</v>
      </c>
      <c r="D78">
        <v>1813</v>
      </c>
      <c r="E78">
        <v>1855</v>
      </c>
      <c r="F78" t="s">
        <v>4901</v>
      </c>
      <c r="G78" t="s">
        <v>4902</v>
      </c>
      <c r="H78" t="s">
        <v>4903</v>
      </c>
      <c r="I78" t="s">
        <v>4904</v>
      </c>
      <c r="J78" t="str">
        <f>_xlfn.XLOOKUP(autorest[[#This Row],[idioma_es]],idiomast[idioma_es],idiomast[idioma_la])</f>
        <v>Lingua Danica</v>
      </c>
      <c r="K78" t="s">
        <v>4905</v>
      </c>
      <c r="M78" t="str">
        <f>_xlfn.XLOOKUP(autorest[[#This Row],[idioma_es]],idiomast[idioma_es],idiomast[codigo])</f>
        <v>da</v>
      </c>
      <c r="N78" t="str">
        <f>_xlfn.XLOOKUP(autorest[[#This Row],[nacion_es]],nacionest[nacion_es],nacionest[nacion_la])</f>
        <v>Dania</v>
      </c>
      <c r="O78" t="str" cm="1">
        <f t="array" ref="O78">IF(ISBLANK(autorest[[#This Row],[fecha_nacimiento]]),"Epoca Desconocida",IFERROR(INDEX(epocast[epoca_es],MATCH(1,(autorest[[#This Row],[fecha_nacimiento]]&gt;=epocast[inicio_ano])*(autorest[[#This Row],[fecha_nacimiento]]&lt;=epocast[fin_ano]),0)),"Epoca Desconocida"))</f>
        <v>Edad Contemporánea</v>
      </c>
      <c r="P78" t="str">
        <f>_xlfn.XLOOKUP(autorest[[#This Row],[epoca_es]],epocast[epoca_es],epocast[epoca_la])</f>
        <v>Aetas Contemporanea</v>
      </c>
    </row>
    <row r="79" spans="1:16">
      <c r="A79">
        <v>9999</v>
      </c>
      <c r="B79" t="s">
        <v>4906</v>
      </c>
      <c r="C79" t="s">
        <v>4907</v>
      </c>
      <c r="F79" t="s">
        <v>4908</v>
      </c>
      <c r="G79" t="s">
        <v>4909</v>
      </c>
      <c r="H79" t="s">
        <v>4910</v>
      </c>
      <c r="I79" t="s">
        <v>4910</v>
      </c>
      <c r="J79" t="e">
        <f>_xlfn.XLOOKUP(autorest[[#This Row],[idioma_es]],idiomast[idioma_es],idiomast[idioma_la])</f>
        <v>#N/A</v>
      </c>
      <c r="K79" s="6"/>
      <c r="M79" t="e">
        <f>_xlfn.XLOOKUP(autorest[[#This Row],[idioma_es]],idiomast[idioma_es],idiomast[codigo])</f>
        <v>#N/A</v>
      </c>
      <c r="N79" t="e">
        <f>_xlfn.XLOOKUP(autorest[[#This Row],[nacion_es]],nacionest[nacion_es],nacionest[nacion_la])</f>
        <v>#N/A</v>
      </c>
      <c r="O79" s="4" t="str" cm="1">
        <f t="array" ref="O79">IF(ISBLANK(autorest[[#This Row],[fecha_nacimiento]]),"Epoca Desconocida",IFERROR(INDEX(epocast[epoca_es],MATCH(1,(autorest[[#This Row],[fecha_nacimiento]]&gt;=epocast[inicio_ano])*(autorest[[#This Row],[fecha_nacimiento]]&lt;=epocast[fin_ano]),0)),"Epoca Desconocida"))</f>
        <v>Epoca Desconocida</v>
      </c>
      <c r="P79" t="str">
        <f>_xlfn.XLOOKUP(autorest[[#This Row],[epoca_es]],epocast[epoca_es],epocast[epoca_la])</f>
        <v>Epocha Ignota</v>
      </c>
    </row>
    <row r="80" spans="1:16">
      <c r="A80">
        <v>78</v>
      </c>
      <c r="B80" t="s">
        <v>1600</v>
      </c>
      <c r="C80" t="s">
        <v>4911</v>
      </c>
      <c r="D80">
        <v>1592</v>
      </c>
      <c r="E80">
        <v>1670</v>
      </c>
      <c r="F80" t="s">
        <v>4912</v>
      </c>
      <c r="G80" t="s">
        <v>4913</v>
      </c>
      <c r="H80" t="s">
        <v>4565</v>
      </c>
      <c r="I80" t="s">
        <v>4914</v>
      </c>
      <c r="J80" t="str">
        <f>_xlfn.XLOOKUP(autorest[[#This Row],[idioma_es]],idiomast[idioma_es],idiomast[idioma_la])</f>
        <v>Lingua Latina</v>
      </c>
      <c r="K80" t="s">
        <v>4915</v>
      </c>
      <c r="M80" t="str">
        <f>_xlfn.XLOOKUP(autorest[[#This Row],[idioma_es]],idiomast[idioma_es],idiomast[codigo])</f>
        <v>la</v>
      </c>
      <c r="N80" t="str">
        <f>_xlfn.XLOOKUP(autorest[[#This Row],[nacion_es]],nacionest[nacion_es],nacionest[nacion_la])</f>
        <v>Cechia</v>
      </c>
      <c r="O80" t="str" cm="1">
        <f t="array" ref="O80">IF(ISBLANK(autorest[[#This Row],[fecha_nacimiento]]),"Epoca Desconocida",IFERROR(INDEX(epocast[epoca_es],MATCH(1,(autorest[[#This Row],[fecha_nacimiento]]&gt;=epocast[inicio_ano])*(autorest[[#This Row],[fecha_nacimiento]]&lt;=epocast[fin_ano]),0)),"Epoca Desconocida"))</f>
        <v>Edad Moderna</v>
      </c>
      <c r="P80" t="str">
        <f>_xlfn.XLOOKUP(autorest[[#This Row],[epoca_es]],epocast[epoca_es],epocast[epoca_la])</f>
        <v>Nova Aetas</v>
      </c>
    </row>
    <row r="81" spans="1:16">
      <c r="A81">
        <v>79</v>
      </c>
      <c r="B81" t="s">
        <v>1620</v>
      </c>
      <c r="C81" t="s">
        <v>4916</v>
      </c>
      <c r="D81">
        <v>1712</v>
      </c>
      <c r="E81">
        <v>1778</v>
      </c>
      <c r="F81" t="s">
        <v>4917</v>
      </c>
      <c r="G81" t="s">
        <v>4918</v>
      </c>
      <c r="H81" t="s">
        <v>4614</v>
      </c>
      <c r="I81" t="s">
        <v>4919</v>
      </c>
      <c r="J81" t="str">
        <f>_xlfn.XLOOKUP(autorest[[#This Row],[idioma_es]],idiomast[idioma_es],idiomast[idioma_la])</f>
        <v>Lingua Gallica</v>
      </c>
      <c r="K81" t="s">
        <v>4920</v>
      </c>
      <c r="M81" t="str">
        <f>_xlfn.XLOOKUP(autorest[[#This Row],[idioma_es]],idiomast[idioma_es],idiomast[codigo])</f>
        <v>fr</v>
      </c>
      <c r="N81" t="str">
        <f>_xlfn.XLOOKUP(autorest[[#This Row],[nacion_es]],nacionest[nacion_es],nacionest[nacion_la])</f>
        <v>Helvetia</v>
      </c>
      <c r="O81" t="str" cm="1">
        <f t="array" ref="O81">IF(ISBLANK(autorest[[#This Row],[fecha_nacimiento]]),"Epoca Desconocida",IFERROR(INDEX(epocast[epoca_es],MATCH(1,(autorest[[#This Row],[fecha_nacimiento]]&gt;=epocast[inicio_ano])*(autorest[[#This Row],[fecha_nacimiento]]&lt;=epocast[fin_ano]),0)),"Epoca Desconocida"))</f>
        <v>Edad Moderna</v>
      </c>
      <c r="P81" t="str">
        <f>_xlfn.XLOOKUP(autorest[[#This Row],[epoca_es]],epocast[epoca_es],epocast[epoca_la])</f>
        <v>Nova Aetas</v>
      </c>
    </row>
    <row r="82" spans="1:16">
      <c r="A82">
        <v>80</v>
      </c>
      <c r="B82" t="s">
        <v>1641</v>
      </c>
      <c r="C82" t="s">
        <v>4921</v>
      </c>
      <c r="D82">
        <v>1746</v>
      </c>
      <c r="E82">
        <v>1827</v>
      </c>
      <c r="F82" t="s">
        <v>4922</v>
      </c>
      <c r="G82" t="s">
        <v>4923</v>
      </c>
      <c r="H82" t="s">
        <v>4662</v>
      </c>
      <c r="I82" t="s">
        <v>4919</v>
      </c>
      <c r="J82" t="str">
        <f>_xlfn.XLOOKUP(autorest[[#This Row],[idioma_es]],idiomast[idioma_es],idiomast[idioma_la])</f>
        <v>Lingua Germanica</v>
      </c>
      <c r="K82" t="s">
        <v>4924</v>
      </c>
      <c r="M82" t="str">
        <f>_xlfn.XLOOKUP(autorest[[#This Row],[idioma_es]],idiomast[idioma_es],idiomast[codigo])</f>
        <v>de</v>
      </c>
      <c r="N82" t="str">
        <f>_xlfn.XLOOKUP(autorest[[#This Row],[nacion_es]],nacionest[nacion_es],nacionest[nacion_la])</f>
        <v>Helvetia</v>
      </c>
      <c r="O82" t="str" cm="1">
        <f t="array" ref="O82">IF(ISBLANK(autorest[[#This Row],[fecha_nacimiento]]),"Epoca Desconocida",IFERROR(INDEX(epocast[epoca_es],MATCH(1,(autorest[[#This Row],[fecha_nacimiento]]&gt;=epocast[inicio_ano])*(autorest[[#This Row],[fecha_nacimiento]]&lt;=epocast[fin_ano]),0)),"Epoca Desconocida"))</f>
        <v>Edad Moderna</v>
      </c>
      <c r="P82" t="str">
        <f>_xlfn.XLOOKUP(autorest[[#This Row],[epoca_es]],epocast[epoca_es],epocast[epoca_la])</f>
        <v>Nova Aetas</v>
      </c>
    </row>
    <row r="83" spans="1:16">
      <c r="A83">
        <v>81</v>
      </c>
      <c r="B83" t="s">
        <v>1661</v>
      </c>
      <c r="C83" t="s">
        <v>4925</v>
      </c>
      <c r="D83">
        <v>1896</v>
      </c>
      <c r="E83">
        <v>1980</v>
      </c>
      <c r="F83" t="s">
        <v>4926</v>
      </c>
      <c r="G83" t="s">
        <v>4927</v>
      </c>
      <c r="H83" t="s">
        <v>4614</v>
      </c>
      <c r="I83" t="s">
        <v>4919</v>
      </c>
      <c r="J83" t="str">
        <f>_xlfn.XLOOKUP(autorest[[#This Row],[idioma_es]],idiomast[idioma_es],idiomast[idioma_la])</f>
        <v>Lingua Gallica</v>
      </c>
      <c r="K83" t="s">
        <v>4928</v>
      </c>
      <c r="M83" t="str">
        <f>_xlfn.XLOOKUP(autorest[[#This Row],[idioma_es]],idiomast[idioma_es],idiomast[codigo])</f>
        <v>fr</v>
      </c>
      <c r="N83" t="str">
        <f>_xlfn.XLOOKUP(autorest[[#This Row],[nacion_es]],nacionest[nacion_es],nacionest[nacion_la])</f>
        <v>Helvetia</v>
      </c>
      <c r="O83" t="str" cm="1">
        <f t="array" ref="O83">IF(ISBLANK(autorest[[#This Row],[fecha_nacimiento]]),"Epoca Desconocida",IFERROR(INDEX(epocast[epoca_es],MATCH(1,(autorest[[#This Row],[fecha_nacimiento]]&gt;=epocast[inicio_ano])*(autorest[[#This Row],[fecha_nacimiento]]&lt;=epocast[fin_ano]),0)),"Epoca Desconocida"))</f>
        <v>Edad Contemporánea</v>
      </c>
      <c r="P83" t="str">
        <f>_xlfn.XLOOKUP(autorest[[#This Row],[epoca_es]],epocast[epoca_es],epocast[epoca_la])</f>
        <v>Aetas Contemporanea</v>
      </c>
    </row>
    <row r="84" spans="1:16">
      <c r="A84">
        <v>82</v>
      </c>
      <c r="B84" t="s">
        <v>1681</v>
      </c>
      <c r="C84" t="s">
        <v>1681</v>
      </c>
      <c r="D84">
        <v>1896</v>
      </c>
      <c r="E84">
        <v>1934</v>
      </c>
      <c r="F84" t="s">
        <v>4929</v>
      </c>
      <c r="G84" t="s">
        <v>4930</v>
      </c>
      <c r="H84" t="s">
        <v>4619</v>
      </c>
      <c r="I84" t="s">
        <v>4620</v>
      </c>
      <c r="J84" t="str">
        <f>_xlfn.XLOOKUP(autorest[[#This Row],[idioma_es]],idiomast[idioma_es],idiomast[idioma_la])</f>
        <v>Lingua Russica</v>
      </c>
      <c r="K84" t="s">
        <v>4931</v>
      </c>
      <c r="M84" t="str">
        <f>_xlfn.XLOOKUP(autorest[[#This Row],[idioma_es]],idiomast[idioma_es],idiomast[codigo])</f>
        <v>ru</v>
      </c>
      <c r="N84" t="str">
        <f>_xlfn.XLOOKUP(autorest[[#This Row],[nacion_es]],nacionest[nacion_es],nacionest[nacion_la])</f>
        <v>Russia</v>
      </c>
      <c r="O84" t="str" cm="1">
        <f t="array" ref="O84">IF(ISBLANK(autorest[[#This Row],[fecha_nacimiento]]),"Epoca Desconocida",IFERROR(INDEX(epocast[epoca_es],MATCH(1,(autorest[[#This Row],[fecha_nacimiento]]&gt;=epocast[inicio_ano])*(autorest[[#This Row],[fecha_nacimiento]]&lt;=epocast[fin_ano]),0)),"Epoca Desconocida"))</f>
        <v>Edad Contemporánea</v>
      </c>
      <c r="P84" t="str">
        <f>_xlfn.XLOOKUP(autorest[[#This Row],[epoca_es]],epocast[epoca_es],epocast[epoca_la])</f>
        <v>Aetas Contemporanea</v>
      </c>
    </row>
    <row r="85" spans="1:16">
      <c r="A85">
        <v>83</v>
      </c>
      <c r="B85" t="s">
        <v>1701</v>
      </c>
      <c r="C85" t="s">
        <v>4932</v>
      </c>
      <c r="D85">
        <v>1782</v>
      </c>
      <c r="E85">
        <v>1852</v>
      </c>
      <c r="F85" t="s">
        <v>4933</v>
      </c>
      <c r="G85" t="s">
        <v>4934</v>
      </c>
      <c r="H85" t="s">
        <v>4662</v>
      </c>
      <c r="I85" t="s">
        <v>4663</v>
      </c>
      <c r="J85" t="str">
        <f>_xlfn.XLOOKUP(autorest[[#This Row],[idioma_es]],idiomast[idioma_es],idiomast[idioma_la])</f>
        <v>Lingua Germanica</v>
      </c>
      <c r="K85" t="s">
        <v>4935</v>
      </c>
      <c r="M85" t="str">
        <f>_xlfn.XLOOKUP(autorest[[#This Row],[idioma_es]],idiomast[idioma_es],idiomast[codigo])</f>
        <v>de</v>
      </c>
      <c r="N85" t="str">
        <f>_xlfn.XLOOKUP(autorest[[#This Row],[nacion_es]],nacionest[nacion_es],nacionest[nacion_la])</f>
        <v>Germania</v>
      </c>
      <c r="O85" t="str" cm="1">
        <f t="array" ref="O85">IF(ISBLANK(autorest[[#This Row],[fecha_nacimiento]]),"Epoca Desconocida",IFERROR(INDEX(epocast[epoca_es],MATCH(1,(autorest[[#This Row],[fecha_nacimiento]]&gt;=epocast[inicio_ano])*(autorest[[#This Row],[fecha_nacimiento]]&lt;=epocast[fin_ano]),0)),"Epoca Desconocida"))</f>
        <v>Edad Moderna</v>
      </c>
      <c r="P85" t="str">
        <f>_xlfn.XLOOKUP(autorest[[#This Row],[epoca_es]],epocast[epoca_es],epocast[epoca_la])</f>
        <v>Nova Aetas</v>
      </c>
    </row>
    <row r="86" spans="1:16">
      <c r="A86">
        <v>84</v>
      </c>
      <c r="B86" t="s">
        <v>1721</v>
      </c>
      <c r="C86" t="s">
        <v>4936</v>
      </c>
      <c r="D86">
        <v>1871</v>
      </c>
      <c r="E86">
        <v>1932</v>
      </c>
      <c r="F86" t="s">
        <v>4937</v>
      </c>
      <c r="G86" t="s">
        <v>4938</v>
      </c>
      <c r="H86" t="s">
        <v>4614</v>
      </c>
      <c r="I86" t="s">
        <v>4939</v>
      </c>
      <c r="J86" t="str">
        <f>_xlfn.XLOOKUP(autorest[[#This Row],[idioma_es]],idiomast[idioma_es],idiomast[idioma_la])</f>
        <v>Lingua Gallica</v>
      </c>
      <c r="K86" t="s">
        <v>4940</v>
      </c>
      <c r="M86" t="str">
        <f>_xlfn.XLOOKUP(autorest[[#This Row],[idioma_es]],idiomast[idioma_es],idiomast[codigo])</f>
        <v>fr</v>
      </c>
      <c r="N86" t="str">
        <f>_xlfn.XLOOKUP(autorest[[#This Row],[nacion_es]],nacionest[nacion_es],nacionest[nacion_la])</f>
        <v>Belgica</v>
      </c>
      <c r="O86" t="str" cm="1">
        <f t="array" ref="O86">IF(ISBLANK(autorest[[#This Row],[fecha_nacimiento]]),"Epoca Desconocida",IFERROR(INDEX(epocast[epoca_es],MATCH(1,(autorest[[#This Row],[fecha_nacimiento]]&gt;=epocast[inicio_ano])*(autorest[[#This Row],[fecha_nacimiento]]&lt;=epocast[fin_ano]),0)),"Epoca Desconocida"))</f>
        <v>Edad Contemporánea</v>
      </c>
      <c r="P86" t="str">
        <f>_xlfn.XLOOKUP(autorest[[#This Row],[epoca_es]],epocast[epoca_es],epocast[epoca_la])</f>
        <v>Aetas Contemporanea</v>
      </c>
    </row>
    <row r="87" spans="1:16">
      <c r="A87">
        <v>85</v>
      </c>
      <c r="B87" t="s">
        <v>1741</v>
      </c>
      <c r="C87" t="s">
        <v>4941</v>
      </c>
      <c r="D87">
        <v>1515</v>
      </c>
      <c r="E87">
        <v>1595</v>
      </c>
      <c r="F87" t="s">
        <v>4942</v>
      </c>
      <c r="G87" t="s">
        <v>4943</v>
      </c>
      <c r="H87" t="s">
        <v>4745</v>
      </c>
      <c r="I87" t="s">
        <v>4658</v>
      </c>
      <c r="J87" t="str">
        <f>_xlfn.XLOOKUP(autorest[[#This Row],[idioma_es]],idiomast[idioma_es],idiomast[idioma_la])</f>
        <v>Lingua Italica</v>
      </c>
      <c r="K87" t="s">
        <v>4944</v>
      </c>
      <c r="M87" t="str">
        <f>_xlfn.XLOOKUP(autorest[[#This Row],[idioma_es]],idiomast[idioma_es],idiomast[codigo])</f>
        <v>it</v>
      </c>
      <c r="N87" t="str">
        <f>_xlfn.XLOOKUP(autorest[[#This Row],[nacion_es]],nacionest[nacion_es],nacionest[nacion_la])</f>
        <v>Italia</v>
      </c>
      <c r="O87" t="str" cm="1">
        <f t="array" ref="O87">IF(ISBLANK(autorest[[#This Row],[fecha_nacimiento]]),"Epoca Desconocida",IFERROR(INDEX(epocast[epoca_es],MATCH(1,(autorest[[#This Row],[fecha_nacimiento]]&gt;=epocast[inicio_ano])*(autorest[[#This Row],[fecha_nacimiento]]&lt;=epocast[fin_ano]),0)),"Epoca Desconocida"))</f>
        <v>Edad Moderna</v>
      </c>
      <c r="P87" t="str">
        <f>_xlfn.XLOOKUP(autorest[[#This Row],[epoca_es]],epocast[epoca_es],epocast[epoca_la])</f>
        <v>Nova Aetas</v>
      </c>
    </row>
    <row r="88" spans="1:16">
      <c r="A88">
        <v>86</v>
      </c>
      <c r="B88" t="s">
        <v>1767</v>
      </c>
      <c r="C88" t="s">
        <v>4945</v>
      </c>
      <c r="D88">
        <v>1891</v>
      </c>
      <c r="E88">
        <v>1942</v>
      </c>
      <c r="F88" t="s">
        <v>4946</v>
      </c>
      <c r="G88" t="s">
        <v>4947</v>
      </c>
      <c r="H88" t="s">
        <v>4662</v>
      </c>
      <c r="I88" t="s">
        <v>4663</v>
      </c>
      <c r="J88" t="str">
        <f>_xlfn.XLOOKUP(autorest[[#This Row],[idioma_es]],idiomast[idioma_es],idiomast[idioma_la])</f>
        <v>Lingua Germanica</v>
      </c>
      <c r="K88" t="s">
        <v>4948</v>
      </c>
      <c r="M88" t="str">
        <f>_xlfn.XLOOKUP(autorest[[#This Row],[idioma_es]],idiomast[idioma_es],idiomast[codigo])</f>
        <v>de</v>
      </c>
      <c r="N88" t="str">
        <f>_xlfn.XLOOKUP(autorest[[#This Row],[nacion_es]],nacionest[nacion_es],nacionest[nacion_la])</f>
        <v>Germania</v>
      </c>
      <c r="O88" t="str" cm="1">
        <f t="array" ref="O88">IF(ISBLANK(autorest[[#This Row],[fecha_nacimiento]]),"Epoca Desconocida",IFERROR(INDEX(epocast[epoca_es],MATCH(1,(autorest[[#This Row],[fecha_nacimiento]]&gt;=epocast[inicio_ano])*(autorest[[#This Row],[fecha_nacimiento]]&lt;=epocast[fin_ano]),0)),"Epoca Desconocida"))</f>
        <v>Edad Contemporánea</v>
      </c>
      <c r="P88" t="str">
        <f>_xlfn.XLOOKUP(autorest[[#This Row],[epoca_es]],epocast[epoca_es],epocast[epoca_la])</f>
        <v>Aetas Contemporanea</v>
      </c>
    </row>
    <row r="89" spans="1:16">
      <c r="A89">
        <v>87</v>
      </c>
      <c r="B89" t="s">
        <v>1793</v>
      </c>
      <c r="C89" t="s">
        <v>4949</v>
      </c>
      <c r="D89">
        <v>1991</v>
      </c>
      <c r="E89">
        <v>2006</v>
      </c>
      <c r="F89" t="s">
        <v>4950</v>
      </c>
      <c r="G89" t="s">
        <v>4951</v>
      </c>
      <c r="H89" t="s">
        <v>4745</v>
      </c>
      <c r="I89" t="s">
        <v>4658</v>
      </c>
      <c r="J89" t="str">
        <f>_xlfn.XLOOKUP(autorest[[#This Row],[idioma_es]],idiomast[idioma_es],idiomast[idioma_la])</f>
        <v>Lingua Italica</v>
      </c>
      <c r="K89" t="s">
        <v>4952</v>
      </c>
      <c r="M89" t="str">
        <f>_xlfn.XLOOKUP(autorest[[#This Row],[idioma_es]],idiomast[idioma_es],idiomast[codigo])</f>
        <v>it</v>
      </c>
      <c r="N89" t="str">
        <f>_xlfn.XLOOKUP(autorest[[#This Row],[nacion_es]],nacionest[nacion_es],nacionest[nacion_la])</f>
        <v>Italia</v>
      </c>
      <c r="O89" t="str" cm="1">
        <f t="array" ref="O89">IF(ISBLANK(autorest[[#This Row],[fecha_nacimiento]]),"Epoca Desconocida",IFERROR(INDEX(epocast[epoca_es],MATCH(1,(autorest[[#This Row],[fecha_nacimiento]]&gt;=epocast[inicio_ano])*(autorest[[#This Row],[fecha_nacimiento]]&lt;=epocast[fin_ano]),0)),"Epoca Desconocida"))</f>
        <v>Edad Contemporánea</v>
      </c>
      <c r="P89" t="str">
        <f>_xlfn.XLOOKUP(autorest[[#This Row],[epoca_es]],epocast[epoca_es],epocast[epoca_la])</f>
        <v>Aetas Contemporanea</v>
      </c>
    </row>
    <row r="90" spans="1:16">
      <c r="A90">
        <v>88</v>
      </c>
      <c r="B90" t="s">
        <v>1825</v>
      </c>
      <c r="C90" t="s">
        <v>4953</v>
      </c>
      <c r="D90">
        <v>1861</v>
      </c>
      <c r="E90">
        <v>1925</v>
      </c>
      <c r="F90" t="s">
        <v>4954</v>
      </c>
      <c r="G90" t="s">
        <v>4955</v>
      </c>
      <c r="H90" t="s">
        <v>4662</v>
      </c>
      <c r="I90" t="s">
        <v>4956</v>
      </c>
      <c r="J90" t="str">
        <f>_xlfn.XLOOKUP(autorest[[#This Row],[idioma_es]],idiomast[idioma_es],idiomast[idioma_la])</f>
        <v>Lingua Germanica</v>
      </c>
      <c r="K90" t="s">
        <v>4957</v>
      </c>
      <c r="M90" t="str">
        <f>_xlfn.XLOOKUP(autorest[[#This Row],[idioma_es]],idiomast[idioma_es],idiomast[codigo])</f>
        <v>de</v>
      </c>
      <c r="N90" t="str">
        <f>_xlfn.XLOOKUP(autorest[[#This Row],[nacion_es]],nacionest[nacion_es],nacionest[nacion_la])</f>
        <v>Austria</v>
      </c>
      <c r="O90" t="str" cm="1">
        <f t="array" ref="O90">IF(ISBLANK(autorest[[#This Row],[fecha_nacimiento]]),"Epoca Desconocida",IFERROR(INDEX(epocast[epoca_es],MATCH(1,(autorest[[#This Row],[fecha_nacimiento]]&gt;=epocast[inicio_ano])*(autorest[[#This Row],[fecha_nacimiento]]&lt;=epocast[fin_ano]),0)),"Epoca Desconocida"))</f>
        <v>Edad Contemporánea</v>
      </c>
      <c r="P90" t="str">
        <f>_xlfn.XLOOKUP(autorest[[#This Row],[epoca_es]],epocast[epoca_es],epocast[epoca_la])</f>
        <v>Aetas Contemporanea</v>
      </c>
    </row>
    <row r="91" spans="1:16">
      <c r="A91">
        <v>89</v>
      </c>
      <c r="B91" t="s">
        <v>1850</v>
      </c>
      <c r="C91" t="s">
        <v>1850</v>
      </c>
      <c r="D91">
        <v>1889</v>
      </c>
      <c r="E91">
        <v>1957</v>
      </c>
      <c r="F91" t="s">
        <v>4958</v>
      </c>
      <c r="G91" t="s">
        <v>4959</v>
      </c>
      <c r="H91" t="s">
        <v>4625</v>
      </c>
      <c r="I91" t="s">
        <v>4960</v>
      </c>
      <c r="J91" t="str">
        <f>_xlfn.XLOOKUP(autorest[[#This Row],[idioma_es]],idiomast[idioma_es],idiomast[idioma_la])</f>
        <v>Lingua Hispanica</v>
      </c>
      <c r="K91" t="s">
        <v>4961</v>
      </c>
      <c r="M91" t="str">
        <f>_xlfn.XLOOKUP(autorest[[#This Row],[idioma_es]],idiomast[idioma_es],idiomast[codigo])</f>
        <v>es</v>
      </c>
      <c r="N91" t="str">
        <f>_xlfn.XLOOKUP(autorest[[#This Row],[nacion_es]],nacionest[nacion_es],nacionest[nacion_la])</f>
        <v>Chili</v>
      </c>
      <c r="O91" t="str" cm="1">
        <f t="array" ref="O91">IF(ISBLANK(autorest[[#This Row],[fecha_nacimiento]]),"Epoca Desconocida",IFERROR(INDEX(epocast[epoca_es],MATCH(1,(autorest[[#This Row],[fecha_nacimiento]]&gt;=epocast[inicio_ano])*(autorest[[#This Row],[fecha_nacimiento]]&lt;=epocast[fin_ano]),0)),"Epoca Desconocida"))</f>
        <v>Edad Contemporánea</v>
      </c>
      <c r="P91" t="str">
        <f>_xlfn.XLOOKUP(autorest[[#This Row],[epoca_es]],epocast[epoca_es],epocast[epoca_la])</f>
        <v>Aetas Contemporanea</v>
      </c>
    </row>
    <row r="92" spans="1:16">
      <c r="A92">
        <v>90</v>
      </c>
      <c r="B92" t="s">
        <v>1882</v>
      </c>
      <c r="C92" t="s">
        <v>4962</v>
      </c>
      <c r="D92">
        <v>1943</v>
      </c>
      <c r="F92" t="s">
        <v>4963</v>
      </c>
      <c r="G92" t="s">
        <v>4964</v>
      </c>
      <c r="H92" t="s">
        <v>4576</v>
      </c>
      <c r="I92" t="s">
        <v>4597</v>
      </c>
      <c r="J92" t="str">
        <f>_xlfn.XLOOKUP(autorest[[#This Row],[idioma_es]],idiomast[idioma_es],idiomast[idioma_la])</f>
        <v>Lingua Anglica</v>
      </c>
      <c r="K92" t="s">
        <v>4965</v>
      </c>
      <c r="M92" t="str">
        <f>_xlfn.XLOOKUP(autorest[[#This Row],[idioma_es]],idiomast[idioma_es],idiomast[codigo])</f>
        <v>en</v>
      </c>
      <c r="N92" t="str">
        <f>_xlfn.XLOOKUP(autorest[[#This Row],[nacion_es]],nacionest[nacion_es],nacionest[nacion_la])</f>
        <v>Civitates Foederatae Americae</v>
      </c>
      <c r="O92" t="str" cm="1">
        <f t="array" ref="O92">IF(ISBLANK(autorest[[#This Row],[fecha_nacimiento]]),"Epoca Desconocida",IFERROR(INDEX(epocast[epoca_es],MATCH(1,(autorest[[#This Row],[fecha_nacimiento]]&gt;=epocast[inicio_ano])*(autorest[[#This Row],[fecha_nacimiento]]&lt;=epocast[fin_ano]),0)),"Epoca Desconocida"))</f>
        <v>Edad Contemporánea</v>
      </c>
      <c r="P92" t="str">
        <f>_xlfn.XLOOKUP(autorest[[#This Row],[epoca_es]],epocast[epoca_es],epocast[epoca_la])</f>
        <v>Aetas Contemporanea</v>
      </c>
    </row>
    <row r="93" spans="1:16">
      <c r="A93">
        <v>91</v>
      </c>
      <c r="B93" t="s">
        <v>1907</v>
      </c>
      <c r="C93" t="s">
        <v>1907</v>
      </c>
      <c r="D93">
        <v>1950</v>
      </c>
      <c r="E93">
        <v>2020</v>
      </c>
      <c r="F93" t="s">
        <v>4966</v>
      </c>
      <c r="G93" t="s">
        <v>4967</v>
      </c>
      <c r="H93" t="s">
        <v>4576</v>
      </c>
      <c r="I93" t="s">
        <v>4577</v>
      </c>
      <c r="J93" t="str">
        <f>_xlfn.XLOOKUP(autorest[[#This Row],[idioma_es]],idiomast[idioma_es],idiomast[idioma_la])</f>
        <v>Lingua Anglica</v>
      </c>
      <c r="K93" t="s">
        <v>4968</v>
      </c>
      <c r="M93" t="str">
        <f>_xlfn.XLOOKUP(autorest[[#This Row],[idioma_es]],idiomast[idioma_es],idiomast[codigo])</f>
        <v>en</v>
      </c>
      <c r="N93" t="str">
        <f>_xlfn.XLOOKUP(autorest[[#This Row],[nacion_es]],nacionest[nacion_es],nacionest[nacion_la])</f>
        <v>Regnum Unitum</v>
      </c>
      <c r="O93" t="str" cm="1">
        <f t="array" ref="O93">IF(ISBLANK(autorest[[#This Row],[fecha_nacimiento]]),"Epoca Desconocida",IFERROR(INDEX(epocast[epoca_es],MATCH(1,(autorest[[#This Row],[fecha_nacimiento]]&gt;=epocast[inicio_ano])*(autorest[[#This Row],[fecha_nacimiento]]&lt;=epocast[fin_ano]),0)),"Epoca Desconocida"))</f>
        <v>Edad Contemporánea</v>
      </c>
      <c r="P93" t="str">
        <f>_xlfn.XLOOKUP(autorest[[#This Row],[epoca_es]],epocast[epoca_es],epocast[epoca_la])</f>
        <v>Aetas Contemporanea</v>
      </c>
    </row>
    <row r="94" spans="1:16">
      <c r="A94">
        <v>92</v>
      </c>
      <c r="B94" t="s">
        <v>1938</v>
      </c>
      <c r="C94" t="s">
        <v>4969</v>
      </c>
      <c r="D94">
        <v>1925</v>
      </c>
      <c r="E94">
        <v>2021</v>
      </c>
      <c r="F94" t="s">
        <v>4970</v>
      </c>
      <c r="G94" t="s">
        <v>4971</v>
      </c>
      <c r="H94" t="s">
        <v>4576</v>
      </c>
      <c r="I94" t="s">
        <v>4972</v>
      </c>
      <c r="J94" t="str">
        <f>_xlfn.XLOOKUP(autorest[[#This Row],[idioma_es]],idiomast[idioma_es],idiomast[idioma_la])</f>
        <v>Lingua Anglica</v>
      </c>
      <c r="K94" t="s">
        <v>4973</v>
      </c>
      <c r="M94" t="str">
        <f>_xlfn.XLOOKUP(autorest[[#This Row],[idioma_es]],idiomast[idioma_es],idiomast[codigo])</f>
        <v>en</v>
      </c>
      <c r="N94" t="str">
        <f>_xlfn.XLOOKUP(autorest[[#This Row],[nacion_es]],nacionest[nacion_es],nacionest[nacion_la])</f>
        <v>Canada</v>
      </c>
      <c r="O94" t="str" cm="1">
        <f t="array" ref="O94">IF(ISBLANK(autorest[[#This Row],[fecha_nacimiento]]),"Epoca Desconocida",IFERROR(INDEX(epocast[epoca_es],MATCH(1,(autorest[[#This Row],[fecha_nacimiento]]&gt;=epocast[inicio_ano])*(autorest[[#This Row],[fecha_nacimiento]]&lt;=epocast[fin_ano]),0)),"Epoca Desconocida"))</f>
        <v>Edad Contemporánea</v>
      </c>
      <c r="P94" t="str">
        <f>_xlfn.XLOOKUP(autorest[[#This Row],[epoca_es]],epocast[epoca_es],epocast[epoca_la])</f>
        <v>Aetas Contemporanea</v>
      </c>
    </row>
    <row r="95" spans="1:16">
      <c r="A95">
        <v>93</v>
      </c>
      <c r="B95" t="s">
        <v>1962</v>
      </c>
      <c r="C95" t="s">
        <v>4974</v>
      </c>
      <c r="D95">
        <v>1904</v>
      </c>
      <c r="E95">
        <v>1990</v>
      </c>
      <c r="F95" t="s">
        <v>4975</v>
      </c>
      <c r="G95" t="s">
        <v>4976</v>
      </c>
      <c r="H95" t="s">
        <v>4576</v>
      </c>
      <c r="I95" t="s">
        <v>4597</v>
      </c>
      <c r="J95" t="str">
        <f>_xlfn.XLOOKUP(autorest[[#This Row],[idioma_es]],idiomast[idioma_es],idiomast[idioma_la])</f>
        <v>Lingua Anglica</v>
      </c>
      <c r="K95" t="s">
        <v>4977</v>
      </c>
      <c r="M95" t="str">
        <f>_xlfn.XLOOKUP(autorest[[#This Row],[idioma_es]],idiomast[idioma_es],idiomast[codigo])</f>
        <v>en</v>
      </c>
      <c r="N95" t="str">
        <f>_xlfn.XLOOKUP(autorest[[#This Row],[nacion_es]],nacionest[nacion_es],nacionest[nacion_la])</f>
        <v>Civitates Foederatae Americae</v>
      </c>
      <c r="O95" t="str" cm="1">
        <f t="array" ref="O95">IF(ISBLANK(autorest[[#This Row],[fecha_nacimiento]]),"Epoca Desconocida",IFERROR(INDEX(epocast[epoca_es],MATCH(1,(autorest[[#This Row],[fecha_nacimiento]]&gt;=epocast[inicio_ano])*(autorest[[#This Row],[fecha_nacimiento]]&lt;=epocast[fin_ano]),0)),"Epoca Desconocida"))</f>
        <v>Edad Contemporánea</v>
      </c>
      <c r="P95" t="str">
        <f>_xlfn.XLOOKUP(autorest[[#This Row],[epoca_es]],epocast[epoca_es],epocast[epoca_la])</f>
        <v>Aetas Contemporanea</v>
      </c>
    </row>
    <row r="96" spans="1:16">
      <c r="A96">
        <v>94</v>
      </c>
      <c r="B96" t="s">
        <v>1987</v>
      </c>
      <c r="C96" t="s">
        <v>4978</v>
      </c>
      <c r="D96">
        <v>1882</v>
      </c>
      <c r="E96">
        <v>1973</v>
      </c>
      <c r="F96" t="s">
        <v>4979</v>
      </c>
      <c r="G96" t="s">
        <v>4980</v>
      </c>
      <c r="H96" t="s">
        <v>4614</v>
      </c>
      <c r="I96" t="s">
        <v>4571</v>
      </c>
      <c r="J96" t="str">
        <f>_xlfn.XLOOKUP(autorest[[#This Row],[idioma_es]],idiomast[idioma_es],idiomast[idioma_la])</f>
        <v>Lingua Gallica</v>
      </c>
      <c r="K96" t="s">
        <v>4981</v>
      </c>
      <c r="M96" t="str">
        <f>_xlfn.XLOOKUP(autorest[[#This Row],[idioma_es]],idiomast[idioma_es],idiomast[codigo])</f>
        <v>fr</v>
      </c>
      <c r="N96" t="str">
        <f>_xlfn.XLOOKUP(autorest[[#This Row],[nacion_es]],nacionest[nacion_es],nacionest[nacion_la])</f>
        <v>Francia</v>
      </c>
      <c r="O96" t="str" cm="1">
        <f t="array" ref="O96">IF(ISBLANK(autorest[[#This Row],[fecha_nacimiento]]),"Epoca Desconocida",IFERROR(INDEX(epocast[epoca_es],MATCH(1,(autorest[[#This Row],[fecha_nacimiento]]&gt;=epocast[inicio_ano])*(autorest[[#This Row],[fecha_nacimiento]]&lt;=epocast[fin_ano]),0)),"Epoca Desconocida"))</f>
        <v>Edad Contemporánea</v>
      </c>
      <c r="P96" t="str">
        <f>_xlfn.XLOOKUP(autorest[[#This Row],[epoca_es]],epocast[epoca_es],epocast[epoca_la])</f>
        <v>Aetas Contemporanea</v>
      </c>
    </row>
    <row r="97" spans="1:16">
      <c r="A97">
        <v>95</v>
      </c>
      <c r="B97" t="s">
        <v>2012</v>
      </c>
      <c r="C97" t="s">
        <v>4982</v>
      </c>
      <c r="D97">
        <v>1898</v>
      </c>
      <c r="E97">
        <v>1963</v>
      </c>
      <c r="F97" t="s">
        <v>4983</v>
      </c>
      <c r="G97" t="s">
        <v>4984</v>
      </c>
      <c r="H97" t="s">
        <v>4576</v>
      </c>
      <c r="I97" t="s">
        <v>4577</v>
      </c>
      <c r="J97" t="str">
        <f>_xlfn.XLOOKUP(autorest[[#This Row],[idioma_es]],idiomast[idioma_es],idiomast[idioma_la])</f>
        <v>Lingua Anglica</v>
      </c>
      <c r="K97" t="s">
        <v>4985</v>
      </c>
      <c r="M97" t="str">
        <f>_xlfn.XLOOKUP(autorest[[#This Row],[idioma_es]],idiomast[idioma_es],idiomast[codigo])</f>
        <v>en</v>
      </c>
      <c r="N97" t="str">
        <f>_xlfn.XLOOKUP(autorest[[#This Row],[nacion_es]],nacionest[nacion_es],nacionest[nacion_la])</f>
        <v>Regnum Unitum</v>
      </c>
      <c r="O97" t="str" cm="1">
        <f t="array" ref="O97">IF(ISBLANK(autorest[[#This Row],[fecha_nacimiento]]),"Epoca Desconocida",IFERROR(INDEX(epocast[epoca_es],MATCH(1,(autorest[[#This Row],[fecha_nacimiento]]&gt;=epocast[inicio_ano])*(autorest[[#This Row],[fecha_nacimiento]]&lt;=epocast[fin_ano]),0)),"Epoca Desconocida"))</f>
        <v>Edad Contemporánea</v>
      </c>
      <c r="P97" t="str">
        <f>_xlfn.XLOOKUP(autorest[[#This Row],[epoca_es]],epocast[epoca_es],epocast[epoca_la])</f>
        <v>Aetas Contemporanea</v>
      </c>
    </row>
    <row r="98" spans="1:16">
      <c r="A98">
        <v>96</v>
      </c>
      <c r="B98" t="s">
        <v>2035</v>
      </c>
      <c r="C98" t="s">
        <v>4986</v>
      </c>
      <c r="D98">
        <v>1955</v>
      </c>
      <c r="F98" t="s">
        <v>4987</v>
      </c>
      <c r="G98" t="s">
        <v>4988</v>
      </c>
      <c r="H98" t="s">
        <v>4625</v>
      </c>
      <c r="I98" t="s">
        <v>4626</v>
      </c>
      <c r="J98" t="str">
        <f>_xlfn.XLOOKUP(autorest[[#This Row],[idioma_es]],idiomast[idioma_es],idiomast[idioma_la])</f>
        <v>Lingua Hispanica</v>
      </c>
      <c r="K98" t="s">
        <v>4989</v>
      </c>
      <c r="M98" t="str">
        <f>_xlfn.XLOOKUP(autorest[[#This Row],[idioma_es]],idiomast[idioma_es],idiomast[codigo])</f>
        <v>es</v>
      </c>
      <c r="N98" t="str">
        <f>_xlfn.XLOOKUP(autorest[[#This Row],[nacion_es]],nacionest[nacion_es],nacionest[nacion_la])</f>
        <v>Hispania</v>
      </c>
      <c r="O98" t="str" cm="1">
        <f t="array" ref="O98">IF(ISBLANK(autorest[[#This Row],[fecha_nacimiento]]),"Epoca Desconocida",IFERROR(INDEX(epocast[epoca_es],MATCH(1,(autorest[[#This Row],[fecha_nacimiento]]&gt;=epocast[inicio_ano])*(autorest[[#This Row],[fecha_nacimiento]]&lt;=epocast[fin_ano]),0)),"Epoca Desconocida"))</f>
        <v>Edad Contemporánea</v>
      </c>
      <c r="P98" t="str">
        <f>_xlfn.XLOOKUP(autorest[[#This Row],[epoca_es]],epocast[epoca_es],epocast[epoca_la])</f>
        <v>Aetas Contemporanea</v>
      </c>
    </row>
    <row r="99" spans="1:16">
      <c r="A99">
        <v>97</v>
      </c>
      <c r="B99" t="s">
        <v>2055</v>
      </c>
      <c r="C99" t="s">
        <v>4990</v>
      </c>
      <c r="D99">
        <v>1950</v>
      </c>
      <c r="F99" t="s">
        <v>4991</v>
      </c>
      <c r="G99" t="s">
        <v>4992</v>
      </c>
      <c r="H99" t="s">
        <v>4576</v>
      </c>
      <c r="I99" t="s">
        <v>4993</v>
      </c>
      <c r="J99" t="str">
        <f>_xlfn.XLOOKUP(autorest[[#This Row],[idioma_es]],idiomast[idioma_es],idiomast[idioma_la])</f>
        <v>Lingua Anglica</v>
      </c>
      <c r="K99" t="s">
        <v>4994</v>
      </c>
      <c r="M99" t="str">
        <f>_xlfn.XLOOKUP(autorest[[#This Row],[idioma_es]],idiomast[idioma_es],idiomast[codigo])</f>
        <v>en</v>
      </c>
      <c r="N99" t="str">
        <f>_xlfn.XLOOKUP(autorest[[#This Row],[nacion_es]],nacionest[nacion_es],nacionest[nacion_la])</f>
        <v>Nova Zelandia</v>
      </c>
      <c r="O99" t="str" cm="1">
        <f t="array" ref="O99">IF(ISBLANK(autorest[[#This Row],[fecha_nacimiento]]),"Epoca Desconocida",IFERROR(INDEX(epocast[epoca_es],MATCH(1,(autorest[[#This Row],[fecha_nacimiento]]&gt;=epocast[inicio_ano])*(autorest[[#This Row],[fecha_nacimiento]]&lt;=epocast[fin_ano]),0)),"Epoca Desconocida"))</f>
        <v>Edad Contemporánea</v>
      </c>
      <c r="P99" t="str">
        <f>_xlfn.XLOOKUP(autorest[[#This Row],[epoca_es]],epocast[epoca_es],epocast[epoca_la])</f>
        <v>Aetas Contemporanea</v>
      </c>
    </row>
    <row r="100" spans="1:16">
      <c r="A100">
        <v>98</v>
      </c>
      <c r="B100" t="s">
        <v>2077</v>
      </c>
      <c r="C100" t="s">
        <v>4995</v>
      </c>
      <c r="D100">
        <v>1632</v>
      </c>
      <c r="E100">
        <v>1704</v>
      </c>
      <c r="F100" t="s">
        <v>4996</v>
      </c>
      <c r="G100" t="s">
        <v>4997</v>
      </c>
      <c r="H100" t="s">
        <v>4576</v>
      </c>
      <c r="I100" t="s">
        <v>4577</v>
      </c>
      <c r="J100" t="str">
        <f>_xlfn.XLOOKUP(autorest[[#This Row],[idioma_es]],idiomast[idioma_es],idiomast[idioma_la])</f>
        <v>Lingua Anglica</v>
      </c>
      <c r="K100" t="s">
        <v>4998</v>
      </c>
      <c r="M100" t="str">
        <f>_xlfn.XLOOKUP(autorest[[#This Row],[idioma_es]],idiomast[idioma_es],idiomast[codigo])</f>
        <v>en</v>
      </c>
      <c r="N100" t="str">
        <f>_xlfn.XLOOKUP(autorest[[#This Row],[nacion_es]],nacionest[nacion_es],nacionest[nacion_la])</f>
        <v>Regnum Unitum</v>
      </c>
      <c r="O100" t="str" cm="1">
        <f t="array" ref="O100">IF(ISBLANK(autorest[[#This Row],[fecha_nacimiento]]),"Epoca Desconocida",IFERROR(INDEX(epocast[epoca_es],MATCH(1,(autorest[[#This Row],[fecha_nacimiento]]&gt;=epocast[inicio_ano])*(autorest[[#This Row],[fecha_nacimiento]]&lt;=epocast[fin_ano]),0)),"Epoca Desconocida"))</f>
        <v>Edad Moderna</v>
      </c>
      <c r="P100" t="str">
        <f>_xlfn.XLOOKUP(autorest[[#This Row],[epoca_es]],epocast[epoca_es],epocast[epoca_la])</f>
        <v>Nova Aetas</v>
      </c>
    </row>
    <row r="101" spans="1:16">
      <c r="A101">
        <v>99</v>
      </c>
      <c r="B101" t="s">
        <v>2101</v>
      </c>
      <c r="C101" t="s">
        <v>2101</v>
      </c>
      <c r="D101">
        <v>1861</v>
      </c>
      <c r="E101">
        <v>1941</v>
      </c>
      <c r="F101" t="s">
        <v>4999</v>
      </c>
      <c r="G101" t="s">
        <v>5000</v>
      </c>
      <c r="H101" t="s">
        <v>5001</v>
      </c>
      <c r="I101" t="s">
        <v>4687</v>
      </c>
      <c r="J101" t="str">
        <f>_xlfn.XLOOKUP(autorest[[#This Row],[idioma_es]],idiomast[idioma_es],idiomast[idioma_la])</f>
        <v>Lingua Bengalice</v>
      </c>
      <c r="K101" t="s">
        <v>5002</v>
      </c>
      <c r="M101" t="str">
        <f>_xlfn.XLOOKUP(autorest[[#This Row],[idioma_es]],idiomast[idioma_es],idiomast[codigo])</f>
        <v>bn</v>
      </c>
      <c r="N101" t="str">
        <f>_xlfn.XLOOKUP(autorest[[#This Row],[nacion_es]],nacionest[nacion_es],nacionest[nacion_la])</f>
        <v>India</v>
      </c>
      <c r="O101" t="str" cm="1">
        <f t="array" ref="O101">IF(ISBLANK(autorest[[#This Row],[fecha_nacimiento]]),"Epoca Desconocida",IFERROR(INDEX(epocast[epoca_es],MATCH(1,(autorest[[#This Row],[fecha_nacimiento]]&gt;=epocast[inicio_ano])*(autorest[[#This Row],[fecha_nacimiento]]&lt;=epocast[fin_ano]),0)),"Epoca Desconocida"))</f>
        <v>Edad Contemporánea</v>
      </c>
      <c r="P101" t="str">
        <f>_xlfn.XLOOKUP(autorest[[#This Row],[epoca_es]],epocast[epoca_es],epocast[epoca_la])</f>
        <v>Aetas Contemporanea</v>
      </c>
    </row>
    <row r="102" spans="1:16">
      <c r="A102">
        <v>100</v>
      </c>
      <c r="B102" t="s">
        <v>2122</v>
      </c>
      <c r="C102" t="s">
        <v>5003</v>
      </c>
      <c r="D102">
        <v>1932</v>
      </c>
      <c r="F102" t="s">
        <v>5004</v>
      </c>
      <c r="G102" t="s">
        <v>5005</v>
      </c>
      <c r="H102" t="s">
        <v>4576</v>
      </c>
      <c r="I102" t="s">
        <v>4597</v>
      </c>
      <c r="J102" t="str">
        <f>_xlfn.XLOOKUP(autorest[[#This Row],[idioma_es]],idiomast[idioma_es],idiomast[idioma_la])</f>
        <v>Lingua Anglica</v>
      </c>
      <c r="K102" t="s">
        <v>5006</v>
      </c>
      <c r="M102" t="str">
        <f>_xlfn.XLOOKUP(autorest[[#This Row],[idioma_es]],idiomast[idioma_es],idiomast[codigo])</f>
        <v>en</v>
      </c>
      <c r="N102" t="str">
        <f>_xlfn.XLOOKUP(autorest[[#This Row],[nacion_es]],nacionest[nacion_es],nacionest[nacion_la])</f>
        <v>Civitates Foederatae Americae</v>
      </c>
      <c r="O102" t="str" cm="1">
        <f t="array" ref="O102">IF(ISBLANK(autorest[[#This Row],[fecha_nacimiento]]),"Epoca Desconocida",IFERROR(INDEX(epocast[epoca_es],MATCH(1,(autorest[[#This Row],[fecha_nacimiento]]&gt;=epocast[inicio_ano])*(autorest[[#This Row],[fecha_nacimiento]]&lt;=epocast[fin_ano]),0)),"Epoca Desconocida"))</f>
        <v>Edad Contemporánea</v>
      </c>
      <c r="P102" t="str">
        <f>_xlfn.XLOOKUP(autorest[[#This Row],[epoca_es]],epocast[epoca_es],epocast[epoca_la])</f>
        <v>Aetas Contemporanea</v>
      </c>
    </row>
    <row r="103" spans="1:16">
      <c r="A103">
        <v>101</v>
      </c>
      <c r="B103" t="s">
        <v>2141</v>
      </c>
      <c r="C103" t="s">
        <v>5007</v>
      </c>
      <c r="D103">
        <v>1918</v>
      </c>
      <c r="E103">
        <v>2008</v>
      </c>
      <c r="F103" t="s">
        <v>5008</v>
      </c>
      <c r="G103" t="s">
        <v>5009</v>
      </c>
      <c r="H103" t="s">
        <v>4576</v>
      </c>
      <c r="I103" t="s">
        <v>4597</v>
      </c>
      <c r="J103" t="str">
        <f>_xlfn.XLOOKUP(autorest[[#This Row],[idioma_es]],idiomast[idioma_es],idiomast[idioma_la])</f>
        <v>Lingua Anglica</v>
      </c>
      <c r="K103" t="s">
        <v>5010</v>
      </c>
      <c r="M103" t="str">
        <f>_xlfn.XLOOKUP(autorest[[#This Row],[idioma_es]],idiomast[idioma_es],idiomast[codigo])</f>
        <v>en</v>
      </c>
      <c r="N103" t="str">
        <f>_xlfn.XLOOKUP(autorest[[#This Row],[nacion_es]],nacionest[nacion_es],nacionest[nacion_la])</f>
        <v>Civitates Foederatae Americae</v>
      </c>
      <c r="O103" t="str" cm="1">
        <f t="array" ref="O103">IF(ISBLANK(autorest[[#This Row],[fecha_nacimiento]]),"Epoca Desconocida",IFERROR(INDEX(epocast[epoca_es],MATCH(1,(autorest[[#This Row],[fecha_nacimiento]]&gt;=epocast[inicio_ano])*(autorest[[#This Row],[fecha_nacimiento]]&lt;=epocast[fin_ano]),0)),"Epoca Desconocida"))</f>
        <v>Edad Contemporánea</v>
      </c>
      <c r="P103" t="str">
        <f>_xlfn.XLOOKUP(autorest[[#This Row],[epoca_es]],epocast[epoca_es],epocast[epoca_la])</f>
        <v>Aetas Contemporanea</v>
      </c>
    </row>
    <row r="104" spans="1:16">
      <c r="A104">
        <v>102</v>
      </c>
      <c r="B104" t="s">
        <v>2168</v>
      </c>
      <c r="C104" t="s">
        <v>5011</v>
      </c>
      <c r="F104" t="s">
        <v>5012</v>
      </c>
      <c r="G104" t="s">
        <v>5013</v>
      </c>
      <c r="J104" t="e">
        <f>_xlfn.XLOOKUP(autorest[[#This Row],[idioma_es]],idiomast[idioma_es],idiomast[idioma_la])</f>
        <v>#N/A</v>
      </c>
      <c r="K104" t="s">
        <v>5014</v>
      </c>
      <c r="M104" t="e">
        <f>_xlfn.XLOOKUP(autorest[[#This Row],[idioma_es]],idiomast[idioma_es],idiomast[codigo])</f>
        <v>#N/A</v>
      </c>
      <c r="N104" t="e">
        <f>_xlfn.XLOOKUP(autorest[[#This Row],[nacion_es]],nacionest[nacion_es],nacionest[nacion_la])</f>
        <v>#N/A</v>
      </c>
      <c r="O104" t="str" cm="1">
        <f t="array" ref="O104">IF(ISBLANK(autorest[[#This Row],[fecha_nacimiento]]),"Epoca Desconocida",IFERROR(INDEX(epocast[epoca_es],MATCH(1,(autorest[[#This Row],[fecha_nacimiento]]&gt;=epocast[inicio_ano])*(autorest[[#This Row],[fecha_nacimiento]]&lt;=epocast[fin_ano]),0)),"Epoca Desconocida"))</f>
        <v>Epoca Desconocida</v>
      </c>
      <c r="P104" t="str">
        <f>_xlfn.XLOOKUP(autorest[[#This Row],[epoca_es]],epocast[epoca_es],epocast[epoca_la])</f>
        <v>Epocha Ignota</v>
      </c>
    </row>
    <row r="105" spans="1:16">
      <c r="A105">
        <v>103</v>
      </c>
      <c r="B105" t="s">
        <v>2172</v>
      </c>
      <c r="C105" t="s">
        <v>5015</v>
      </c>
      <c r="F105" t="s">
        <v>5016</v>
      </c>
      <c r="G105" t="s">
        <v>5017</v>
      </c>
      <c r="H105" t="s">
        <v>4591</v>
      </c>
      <c r="I105" t="s">
        <v>4592</v>
      </c>
      <c r="J105" t="str">
        <f>_xlfn.XLOOKUP(autorest[[#This Row],[idioma_es]],idiomast[idioma_es],idiomast[idioma_la])</f>
        <v>Lingua Hebraica</v>
      </c>
      <c r="K105" t="s">
        <v>5018</v>
      </c>
      <c r="M105" t="str">
        <f>_xlfn.XLOOKUP(autorest[[#This Row],[idioma_es]],idiomast[idioma_es],idiomast[codigo])</f>
        <v>he</v>
      </c>
      <c r="N105" t="str">
        <f>_xlfn.XLOOKUP(autorest[[#This Row],[nacion_es]],nacionest[nacion_es],nacionest[nacion_la])</f>
        <v>Israel</v>
      </c>
      <c r="O105" t="str" cm="1">
        <f t="array" ref="O105">IF(ISBLANK(autorest[[#This Row],[fecha_nacimiento]]),"Epoca Desconocida",IFERROR(INDEX(epocast[epoca_es],MATCH(1,(autorest[[#This Row],[fecha_nacimiento]]&gt;=epocast[inicio_ano])*(autorest[[#This Row],[fecha_nacimiento]]&lt;=epocast[fin_ano]),0)),"Epoca Desconocida"))</f>
        <v>Epoca Desconocida</v>
      </c>
      <c r="P105" t="str">
        <f>_xlfn.XLOOKUP(autorest[[#This Row],[epoca_es]],epocast[epoca_es],epocast[epoca_la])</f>
        <v>Epocha Ignota</v>
      </c>
    </row>
    <row r="106" spans="1:16">
      <c r="A106">
        <v>104</v>
      </c>
      <c r="B106" t="s">
        <v>4157</v>
      </c>
      <c r="C106" t="s">
        <v>5019</v>
      </c>
      <c r="D106">
        <v>430</v>
      </c>
      <c r="E106">
        <v>354</v>
      </c>
      <c r="F106" t="s">
        <v>5020</v>
      </c>
      <c r="G106" t="s">
        <v>5021</v>
      </c>
      <c r="H106" t="s">
        <v>4750</v>
      </c>
      <c r="I106" t="s">
        <v>4640</v>
      </c>
      <c r="J106" t="str">
        <f>_xlfn.XLOOKUP(autorest[[#This Row],[idioma_es]],idiomast[idioma_es],idiomast[idioma_la])</f>
        <v>Lingua Graeca</v>
      </c>
      <c r="K106" t="s">
        <v>5022</v>
      </c>
      <c r="M106" t="str">
        <f>_xlfn.XLOOKUP(autorest[[#This Row],[idioma_es]],idiomast[idioma_es],idiomast[codigo])</f>
        <v>el</v>
      </c>
      <c r="N106" t="str">
        <f>_xlfn.XLOOKUP(autorest[[#This Row],[nacion_es]],nacionest[nacion_es],nacionest[nacion_la])</f>
        <v>Graecia</v>
      </c>
      <c r="O106" t="str" cm="1">
        <f t="array" ref="O106">IF(ISBLANK(autorest[[#This Row],[fecha_nacimiento]]),"Epoca Desconocida",IFERROR(INDEX(epocast[epoca_es],MATCH(1,(autorest[[#This Row],[fecha_nacimiento]]&gt;=epocast[inicio_ano])*(autorest[[#This Row],[fecha_nacimiento]]&lt;=epocast[fin_ano]),0)),"Epoca Desconocida"))</f>
        <v>Edad Antigua</v>
      </c>
      <c r="P106" t="str">
        <f>_xlfn.XLOOKUP(autorest[[#This Row],[epoca_es]],epocast[epoca_es],epocast[epoca_la])</f>
        <v>Antiquitas</v>
      </c>
    </row>
    <row r="107" spans="1:16">
      <c r="A107">
        <v>105</v>
      </c>
      <c r="B107" t="s">
        <v>4198</v>
      </c>
      <c r="C107" t="s">
        <v>5023</v>
      </c>
      <c r="D107">
        <v>445</v>
      </c>
      <c r="E107">
        <v>365</v>
      </c>
      <c r="F107" t="s">
        <v>5024</v>
      </c>
      <c r="G107" t="s">
        <v>5025</v>
      </c>
      <c r="H107" t="s">
        <v>4750</v>
      </c>
      <c r="I107" t="s">
        <v>4640</v>
      </c>
      <c r="J107" t="str">
        <f>_xlfn.XLOOKUP(autorest[[#This Row],[idioma_es]],idiomast[idioma_es],idiomast[idioma_la])</f>
        <v>Lingua Graeca</v>
      </c>
      <c r="K107" t="s">
        <v>5026</v>
      </c>
      <c r="M107" t="str">
        <f>_xlfn.XLOOKUP(autorest[[#This Row],[idioma_es]],idiomast[idioma_es],idiomast[codigo])</f>
        <v>el</v>
      </c>
      <c r="N107" t="str">
        <f>_xlfn.XLOOKUP(autorest[[#This Row],[nacion_es]],nacionest[nacion_es],nacionest[nacion_la])</f>
        <v>Graecia</v>
      </c>
      <c r="O107" t="str" cm="1">
        <f t="array" ref="O107">IF(ISBLANK(autorest[[#This Row],[fecha_nacimiento]]),"Epoca Desconocida",IFERROR(INDEX(epocast[epoca_es],MATCH(1,(autorest[[#This Row],[fecha_nacimiento]]&gt;=epocast[inicio_ano])*(autorest[[#This Row],[fecha_nacimiento]]&lt;=epocast[fin_ano]),0)),"Epoca Desconocida"))</f>
        <v>Edad Antigua</v>
      </c>
      <c r="P107" t="str">
        <f>_xlfn.XLOOKUP(autorest[[#This Row],[epoca_es]],epocast[epoca_es],epocast[epoca_la])</f>
        <v>Antiquitas</v>
      </c>
    </row>
    <row r="108" spans="1:16">
      <c r="A108">
        <v>106</v>
      </c>
      <c r="B108" t="s">
        <v>4239</v>
      </c>
      <c r="C108" t="s">
        <v>5027</v>
      </c>
      <c r="D108">
        <v>204</v>
      </c>
      <c r="E108">
        <v>270</v>
      </c>
      <c r="F108" t="s">
        <v>5028</v>
      </c>
      <c r="G108" t="s">
        <v>5029</v>
      </c>
      <c r="H108" t="s">
        <v>4750</v>
      </c>
      <c r="I108" t="s">
        <v>4566</v>
      </c>
      <c r="J108" t="str">
        <f>_xlfn.XLOOKUP(autorest[[#This Row],[idioma_es]],idiomast[idioma_es],idiomast[idioma_la])</f>
        <v>Lingua Graeca</v>
      </c>
      <c r="K108" t="s">
        <v>5030</v>
      </c>
      <c r="M108" t="str">
        <f>_xlfn.XLOOKUP(autorest[[#This Row],[idioma_es]],idiomast[idioma_es],idiomast[codigo])</f>
        <v>el</v>
      </c>
      <c r="N108" t="str">
        <f>_xlfn.XLOOKUP(autorest[[#This Row],[nacion_es]],nacionest[nacion_es],nacionest[nacion_la])</f>
        <v>Roma</v>
      </c>
      <c r="O108" t="str" cm="1">
        <f t="array" ref="O108">IF(ISBLANK(autorest[[#This Row],[fecha_nacimiento]]),"Epoca Desconocida",IFERROR(INDEX(epocast[epoca_es],MATCH(1,(autorest[[#This Row],[fecha_nacimiento]]&gt;=epocast[inicio_ano])*(autorest[[#This Row],[fecha_nacimiento]]&lt;=epocast[fin_ano]),0)),"Epoca Desconocida"))</f>
        <v>Edad Antigua</v>
      </c>
      <c r="P108" t="str">
        <f>_xlfn.XLOOKUP(autorest[[#This Row],[epoca_es]],epocast[epoca_es],epocast[epoca_la])</f>
        <v>Antiquitas</v>
      </c>
    </row>
    <row r="109" spans="1:16">
      <c r="A109">
        <v>107</v>
      </c>
      <c r="B109" t="s">
        <v>4541</v>
      </c>
      <c r="C109" t="s">
        <v>5031</v>
      </c>
      <c r="D109">
        <v>1221</v>
      </c>
      <c r="E109">
        <v>1274</v>
      </c>
      <c r="F109" t="s">
        <v>5032</v>
      </c>
      <c r="G109" t="s">
        <v>5033</v>
      </c>
      <c r="H109" t="s">
        <v>4565</v>
      </c>
      <c r="I109" t="s">
        <v>4658</v>
      </c>
      <c r="J109" t="str">
        <f>_xlfn.XLOOKUP(autorest[[#This Row],[idioma_es]],idiomast[idioma_es],idiomast[idioma_la])</f>
        <v>Lingua Latina</v>
      </c>
      <c r="K109" t="s">
        <v>5034</v>
      </c>
      <c r="M109" t="str">
        <f>_xlfn.XLOOKUP(autorest[[#This Row],[idioma_es]],idiomast[idioma_es],idiomast[codigo])</f>
        <v>la</v>
      </c>
      <c r="N109" t="str">
        <f>_xlfn.XLOOKUP(autorest[[#This Row],[nacion_es]],nacionest[nacion_es],nacionest[nacion_la])</f>
        <v>Italia</v>
      </c>
      <c r="O109" t="str" cm="1">
        <f t="array" ref="O109">IF(ISBLANK(autorest[[#This Row],[fecha_nacimiento]]),"Epoca Desconocida",IFERROR(INDEX(epocast[epoca_es],MATCH(1,(autorest[[#This Row],[fecha_nacimiento]]&gt;=epocast[inicio_ano])*(autorest[[#This Row],[fecha_nacimiento]]&lt;=epocast[fin_ano]),0)),"Epoca Desconocida"))</f>
        <v>Edad Media</v>
      </c>
      <c r="P109" t="str">
        <f>_xlfn.XLOOKUP(autorest[[#This Row],[epoca_es]],epocast[epoca_es],epocast[epoca_la])</f>
        <v>Medium Aevum</v>
      </c>
    </row>
    <row r="110" spans="1:16">
      <c r="A110">
        <v>108</v>
      </c>
      <c r="B110" t="s">
        <v>4554</v>
      </c>
      <c r="C110" t="s">
        <v>5035</v>
      </c>
      <c r="D110">
        <v>1079</v>
      </c>
      <c r="E110">
        <v>1142</v>
      </c>
      <c r="F110" t="s">
        <v>5036</v>
      </c>
      <c r="G110" t="s">
        <v>5037</v>
      </c>
      <c r="H110" t="s">
        <v>4565</v>
      </c>
      <c r="I110" t="s">
        <v>4571</v>
      </c>
      <c r="J110" t="str">
        <f>_xlfn.XLOOKUP(autorest[[#This Row],[idioma_es]],idiomast[idioma_es],idiomast[idioma_la])</f>
        <v>Lingua Latina</v>
      </c>
      <c r="K110" t="s">
        <v>5038</v>
      </c>
      <c r="M110" t="str">
        <f>_xlfn.XLOOKUP(autorest[[#This Row],[idioma_es]],idiomast[idioma_es],idiomast[codigo])</f>
        <v>la</v>
      </c>
      <c r="N110" t="str">
        <f>_xlfn.XLOOKUP(autorest[[#This Row],[nacion_es]],nacionest[nacion_es],nacionest[nacion_la])</f>
        <v>Francia</v>
      </c>
      <c r="O110" t="str" cm="1">
        <f t="array" ref="O110">IF(ISBLANK(autorest[[#This Row],[fecha_nacimiento]]),"Epoca Desconocida",IFERROR(INDEX(epocast[epoca_es],MATCH(1,(autorest[[#This Row],[fecha_nacimiento]]&gt;=epocast[inicio_ano])*(autorest[[#This Row],[fecha_nacimiento]]&lt;=epocast[fin_ano]),0)),"Epoca Desconocida"))</f>
        <v>Edad Media</v>
      </c>
      <c r="P110" t="str">
        <f>_xlfn.XLOOKUP(autorest[[#This Row],[epoca_es]],epocast[epoca_es],epocast[epoca_la])</f>
        <v>Medium Aevum</v>
      </c>
    </row>
    <row r="111" spans="1:16">
      <c r="A111">
        <v>109</v>
      </c>
      <c r="B111" t="s">
        <v>4315</v>
      </c>
      <c r="C111" t="s">
        <v>5039</v>
      </c>
      <c r="D111">
        <v>480</v>
      </c>
      <c r="E111">
        <v>524</v>
      </c>
      <c r="F111" t="s">
        <v>5040</v>
      </c>
      <c r="G111" t="s">
        <v>5041</v>
      </c>
      <c r="H111" t="s">
        <v>4565</v>
      </c>
      <c r="I111" t="s">
        <v>4566</v>
      </c>
      <c r="J111" t="str">
        <f>_xlfn.XLOOKUP(autorest[[#This Row],[idioma_es]],idiomast[idioma_es],idiomast[idioma_la])</f>
        <v>Lingua Latina</v>
      </c>
      <c r="K111" t="s">
        <v>5042</v>
      </c>
      <c r="M111" t="str">
        <f>_xlfn.XLOOKUP(autorest[[#This Row],[idioma_es]],idiomast[idioma_es],idiomast[codigo])</f>
        <v>la</v>
      </c>
      <c r="N111" t="str">
        <f>_xlfn.XLOOKUP(autorest[[#This Row],[nacion_es]],nacionest[nacion_es],nacionest[nacion_la])</f>
        <v>Roma</v>
      </c>
      <c r="O111" t="str" cm="1">
        <f t="array" ref="O111">IF(ISBLANK(autorest[[#This Row],[fecha_nacimiento]]),"Epoca Desconocida",IFERROR(INDEX(epocast[epoca_es],MATCH(1,(autorest[[#This Row],[fecha_nacimiento]]&gt;=epocast[inicio_ano])*(autorest[[#This Row],[fecha_nacimiento]]&lt;=epocast[fin_ano]),0)),"Epoca Desconocida"))</f>
        <v>Edad Media</v>
      </c>
      <c r="P111" t="str">
        <f>_xlfn.XLOOKUP(autorest[[#This Row],[epoca_es]],epocast[epoca_es],epocast[epoca_la])</f>
        <v>Medium Aevum</v>
      </c>
    </row>
    <row r="112" spans="1:16">
      <c r="A112">
        <v>110</v>
      </c>
      <c r="B112" t="s">
        <v>4377</v>
      </c>
      <c r="C112" t="s">
        <v>5043</v>
      </c>
      <c r="D112">
        <v>1266</v>
      </c>
      <c r="E112">
        <v>1308</v>
      </c>
      <c r="F112" t="s">
        <v>5044</v>
      </c>
      <c r="G112" t="s">
        <v>5045</v>
      </c>
      <c r="H112" t="s">
        <v>4565</v>
      </c>
      <c r="I112" t="s">
        <v>4577</v>
      </c>
      <c r="J112" t="str">
        <f>_xlfn.XLOOKUP(autorest[[#This Row],[idioma_es]],idiomast[idioma_es],idiomast[idioma_la])</f>
        <v>Lingua Latina</v>
      </c>
      <c r="K112" t="s">
        <v>5046</v>
      </c>
      <c r="M112" t="str">
        <f>_xlfn.XLOOKUP(autorest[[#This Row],[idioma_es]],idiomast[idioma_es],idiomast[codigo])</f>
        <v>la</v>
      </c>
      <c r="N112" t="str">
        <f>_xlfn.XLOOKUP(autorest[[#This Row],[nacion_es]],nacionest[nacion_es],nacionest[nacion_la])</f>
        <v>Regnum Unitum</v>
      </c>
      <c r="O112" t="str" cm="1">
        <f t="array" ref="O112">IF(ISBLANK(autorest[[#This Row],[fecha_nacimiento]]),"Epoca Desconocida",IFERROR(INDEX(epocast[epoca_es],MATCH(1,(autorest[[#This Row],[fecha_nacimiento]]&gt;=epocast[inicio_ano])*(autorest[[#This Row],[fecha_nacimiento]]&lt;=epocast[fin_ano]),0)),"Epoca Desconocida"))</f>
        <v>Edad Media</v>
      </c>
      <c r="P112" t="str">
        <f>_xlfn.XLOOKUP(autorest[[#This Row],[epoca_es]],epocast[epoca_es],epocast[epoca_la])</f>
        <v>Medium Aevum</v>
      </c>
    </row>
    <row r="113" spans="1:16">
      <c r="A113">
        <v>111</v>
      </c>
      <c r="B113" t="s">
        <v>4417</v>
      </c>
      <c r="C113" t="s">
        <v>5047</v>
      </c>
      <c r="D113">
        <v>1098</v>
      </c>
      <c r="E113">
        <v>1179</v>
      </c>
      <c r="F113" t="s">
        <v>5048</v>
      </c>
      <c r="G113" t="s">
        <v>5049</v>
      </c>
      <c r="H113" t="s">
        <v>4565</v>
      </c>
      <c r="I113" t="s">
        <v>4663</v>
      </c>
      <c r="J113" t="str">
        <f>_xlfn.XLOOKUP(autorest[[#This Row],[idioma_es]],idiomast[idioma_es],idiomast[idioma_la])</f>
        <v>Lingua Latina</v>
      </c>
      <c r="K113" t="s">
        <v>5050</v>
      </c>
      <c r="M113" t="str">
        <f>_xlfn.XLOOKUP(autorest[[#This Row],[idioma_es]],idiomast[idioma_es],idiomast[codigo])</f>
        <v>la</v>
      </c>
      <c r="N113" t="str">
        <f>_xlfn.XLOOKUP(autorest[[#This Row],[nacion_es]],nacionest[nacion_es],nacionest[nacion_la])</f>
        <v>Germania</v>
      </c>
      <c r="O113" t="str" cm="1">
        <f t="array" ref="O113">IF(ISBLANK(autorest[[#This Row],[fecha_nacimiento]]),"Epoca Desconocida",IFERROR(INDEX(epocast[epoca_es],MATCH(1,(autorest[[#This Row],[fecha_nacimiento]]&gt;=epocast[inicio_ano])*(autorest[[#This Row],[fecha_nacimiento]]&lt;=epocast[fin_ano]),0)),"Epoca Desconocida"))</f>
        <v>Edad Media</v>
      </c>
      <c r="P113" t="str">
        <f>_xlfn.XLOOKUP(autorest[[#This Row],[epoca_es]],epocast[epoca_es],epocast[epoca_la])</f>
        <v>Medium Aevum</v>
      </c>
    </row>
    <row r="114" spans="1:16">
      <c r="A114">
        <v>112</v>
      </c>
      <c r="B114" t="s">
        <v>4443</v>
      </c>
      <c r="C114" t="s">
        <v>5051</v>
      </c>
      <c r="D114">
        <v>1260</v>
      </c>
      <c r="E114">
        <v>1328</v>
      </c>
      <c r="F114" t="s">
        <v>5052</v>
      </c>
      <c r="G114" t="s">
        <v>5053</v>
      </c>
      <c r="H114" t="s">
        <v>4565</v>
      </c>
      <c r="I114" t="s">
        <v>4663</v>
      </c>
      <c r="J114" t="str">
        <f>_xlfn.XLOOKUP(autorest[[#This Row],[idioma_es]],idiomast[idioma_es],idiomast[idioma_la])</f>
        <v>Lingua Latina</v>
      </c>
      <c r="K114" t="s">
        <v>5054</v>
      </c>
      <c r="M114" t="str">
        <f>_xlfn.XLOOKUP(autorest[[#This Row],[idioma_es]],idiomast[idioma_es],idiomast[codigo])</f>
        <v>la</v>
      </c>
      <c r="N114" t="str">
        <f>_xlfn.XLOOKUP(autorest[[#This Row],[nacion_es]],nacionest[nacion_es],nacionest[nacion_la])</f>
        <v>Germania</v>
      </c>
      <c r="O114" t="str" cm="1">
        <f t="array" ref="O114">IF(ISBLANK(autorest[[#This Row],[fecha_nacimiento]]),"Epoca Desconocida",IFERROR(INDEX(epocast[epoca_es],MATCH(1,(autorest[[#This Row],[fecha_nacimiento]]&gt;=epocast[inicio_ano])*(autorest[[#This Row],[fecha_nacimiento]]&lt;=epocast[fin_ano]),0)),"Epoca Desconocida"))</f>
        <v>Edad Media</v>
      </c>
      <c r="P114" t="str">
        <f>_xlfn.XLOOKUP(autorest[[#This Row],[epoca_es]],epocast[epoca_es],epocast[epoca_la])</f>
        <v>Medium Aevum</v>
      </c>
    </row>
    <row r="115" spans="1:16">
      <c r="A115">
        <v>113</v>
      </c>
      <c r="B115" t="s">
        <v>4487</v>
      </c>
      <c r="C115" t="s">
        <v>5055</v>
      </c>
      <c r="D115">
        <v>1491</v>
      </c>
      <c r="E115">
        <v>1556</v>
      </c>
      <c r="F115" t="s">
        <v>5056</v>
      </c>
      <c r="G115" t="s">
        <v>5057</v>
      </c>
      <c r="H115" t="s">
        <v>4625</v>
      </c>
      <c r="I115" t="s">
        <v>4626</v>
      </c>
      <c r="J115" t="str">
        <f>_xlfn.XLOOKUP(autorest[[#This Row],[idioma_es]],idiomast[idioma_es],idiomast[idioma_la])</f>
        <v>Lingua Hispanica</v>
      </c>
      <c r="K115" t="s">
        <v>5058</v>
      </c>
      <c r="M115" t="str">
        <f>_xlfn.XLOOKUP(autorest[[#This Row],[idioma_es]],idiomast[idioma_es],idiomast[codigo])</f>
        <v>es</v>
      </c>
      <c r="N115" t="str">
        <f>_xlfn.XLOOKUP(autorest[[#This Row],[nacion_es]],nacionest[nacion_es],nacionest[nacion_la])</f>
        <v>Hispania</v>
      </c>
      <c r="O115" t="str" cm="1">
        <f t="array" ref="O115">IF(ISBLANK(autorest[[#This Row],[fecha_nacimiento]]),"Epoca Desconocida",IFERROR(INDEX(epocast[epoca_es],MATCH(1,(autorest[[#This Row],[fecha_nacimiento]]&gt;=epocast[inicio_ano])*(autorest[[#This Row],[fecha_nacimiento]]&lt;=epocast[fin_ano]),0)),"Epoca Desconocida"))</f>
        <v>Edad Media</v>
      </c>
      <c r="P115" t="str">
        <f>_xlfn.XLOOKUP(autorest[[#This Row],[epoca_es]],epocast[epoca_es],epocast[epoca_la])</f>
        <v>Medium Aevum</v>
      </c>
    </row>
    <row r="116" spans="1:16">
      <c r="A116">
        <v>114</v>
      </c>
      <c r="B116" t="s">
        <v>4477</v>
      </c>
      <c r="C116" t="s">
        <v>5059</v>
      </c>
      <c r="D116">
        <v>1506</v>
      </c>
      <c r="E116">
        <v>1552</v>
      </c>
      <c r="F116" t="s">
        <v>5060</v>
      </c>
      <c r="G116" t="s">
        <v>5061</v>
      </c>
      <c r="H116" t="s">
        <v>4625</v>
      </c>
      <c r="I116" t="s">
        <v>4626</v>
      </c>
      <c r="J116" t="str">
        <f>_xlfn.XLOOKUP(autorest[[#This Row],[idioma_es]],idiomast[idioma_es],idiomast[idioma_la])</f>
        <v>Lingua Hispanica</v>
      </c>
      <c r="K116" t="s">
        <v>5062</v>
      </c>
      <c r="M116" t="str">
        <f>_xlfn.XLOOKUP(autorest[[#This Row],[idioma_es]],idiomast[idioma_es],idiomast[codigo])</f>
        <v>es</v>
      </c>
      <c r="N116" t="str">
        <f>_xlfn.XLOOKUP(autorest[[#This Row],[nacion_es]],nacionest[nacion_es],nacionest[nacion_la])</f>
        <v>Hispania</v>
      </c>
      <c r="O116" t="str" cm="1">
        <f t="array" ref="O116">IF(ISBLANK(autorest[[#This Row],[fecha_nacimiento]]),"Epoca Desconocida",IFERROR(INDEX(epocast[epoca_es],MATCH(1,(autorest[[#This Row],[fecha_nacimiento]]&gt;=epocast[inicio_ano])*(autorest[[#This Row],[fecha_nacimiento]]&lt;=epocast[fin_ano]),0)),"Epoca Desconocida"))</f>
        <v>Edad Moderna</v>
      </c>
      <c r="P116" t="str">
        <f>_xlfn.XLOOKUP(autorest[[#This Row],[epoca_es]],epocast[epoca_es],epocast[epoca_la])</f>
        <v>Nova Aetas</v>
      </c>
    </row>
    <row r="117" spans="1:16">
      <c r="A117">
        <v>115</v>
      </c>
      <c r="B117" t="s">
        <v>4518</v>
      </c>
      <c r="C117" t="s">
        <v>5063</v>
      </c>
      <c r="D117">
        <v>-800</v>
      </c>
      <c r="E117">
        <v>-750</v>
      </c>
      <c r="F117" t="s">
        <v>5064</v>
      </c>
      <c r="G117" t="s">
        <v>5065</v>
      </c>
      <c r="H117" t="s">
        <v>4750</v>
      </c>
      <c r="I117" t="s">
        <v>4640</v>
      </c>
      <c r="J117" t="str">
        <f>_xlfn.XLOOKUP(autorest[[#This Row],[idioma_es]],idiomast[idioma_es],idiomast[idioma_la])</f>
        <v>Lingua Graeca</v>
      </c>
      <c r="K117" t="s">
        <v>5066</v>
      </c>
      <c r="L117" s="6"/>
      <c r="M117" t="str">
        <f>_xlfn.XLOOKUP(autorest[[#This Row],[idioma_es]],idiomast[idioma_es],idiomast[codigo])</f>
        <v>el</v>
      </c>
      <c r="N117" t="str">
        <f>_xlfn.XLOOKUP(autorest[[#This Row],[nacion_es]],nacionest[nacion_es],nacionest[nacion_la])</f>
        <v>Graecia</v>
      </c>
      <c r="O117" t="str" cm="1">
        <f t="array" ref="O117">IF(ISBLANK(autorest[[#This Row],[fecha_nacimiento]]),"Epoca Desconocida",IFERROR(INDEX(epocast[epoca_es],MATCH(1,(autorest[[#This Row],[fecha_nacimiento]]&gt;=epocast[inicio_ano])*(autorest[[#This Row],[fecha_nacimiento]]&lt;=epocast[fin_ano]),0)),"Epoca Desconocida"))</f>
        <v>Edad Antigua</v>
      </c>
      <c r="P117" t="str">
        <f>_xlfn.XLOOKUP(autorest[[#This Row],[epoca_es]],epocast[epoca_es],epocast[epoca_la])</f>
        <v>Antiquitas</v>
      </c>
    </row>
    <row r="118" spans="1:16">
      <c r="A118">
        <v>116</v>
      </c>
      <c r="B118" t="s">
        <v>40</v>
      </c>
      <c r="C118" t="s">
        <v>5067</v>
      </c>
      <c r="D118">
        <v>-1000</v>
      </c>
      <c r="E118">
        <v>95</v>
      </c>
      <c r="F118" t="s">
        <v>5068</v>
      </c>
      <c r="G118" t="s">
        <v>5069</v>
      </c>
      <c r="H118" t="s">
        <v>4591</v>
      </c>
      <c r="I118" t="s">
        <v>4592</v>
      </c>
      <c r="J118" t="str">
        <f>_xlfn.XLOOKUP(autorest[[#This Row],[idioma_es]],idiomast[idioma_es],idiomast[idioma_la])</f>
        <v>Lingua Hebraica</v>
      </c>
      <c r="K118" t="s">
        <v>5070</v>
      </c>
      <c r="L118" s="6"/>
      <c r="M118" t="str">
        <f>_xlfn.XLOOKUP(autorest[[#This Row],[idioma_es]],idiomast[idioma_es],idiomast[codigo])</f>
        <v>he</v>
      </c>
      <c r="N118" t="str">
        <f>_xlfn.XLOOKUP(autorest[[#This Row],[nacion_es]],nacionest[nacion_es],nacionest[nacion_la])</f>
        <v>Israel</v>
      </c>
      <c r="O118" t="str" cm="1">
        <f t="array" ref="O118">IF(ISBLANK(autorest[[#This Row],[fecha_nacimiento]]),"Epoca Desconocida",IFERROR(INDEX(epocast[epoca_es],MATCH(1,(autorest[[#This Row],[fecha_nacimiento]]&gt;=epocast[inicio_ano])*(autorest[[#This Row],[fecha_nacimiento]]&lt;=epocast[fin_ano]),0)),"Epoca Desconocida"))</f>
        <v>Edad Antigua</v>
      </c>
      <c r="P118" t="str">
        <f>_xlfn.XLOOKUP(autorest[[#This Row],[epoca_es]],epocast[epoca_es],epocast[epoca_la])</f>
        <v>Antiquitas</v>
      </c>
    </row>
    <row r="119" spans="1:16">
      <c r="A119">
        <v>117</v>
      </c>
      <c r="B119" t="s">
        <v>5071</v>
      </c>
      <c r="C119" t="s">
        <v>5072</v>
      </c>
      <c r="D119">
        <v>-70</v>
      </c>
      <c r="E119">
        <v>-19</v>
      </c>
      <c r="F119" t="s">
        <v>5073</v>
      </c>
      <c r="G119" t="s">
        <v>5074</v>
      </c>
      <c r="H119" t="s">
        <v>4565</v>
      </c>
      <c r="I119" t="s">
        <v>4658</v>
      </c>
      <c r="J119" t="str">
        <f>_xlfn.XLOOKUP(autorest[[#This Row],[idioma_es]],idiomast[idioma_es],idiomast[idioma_la])</f>
        <v>Lingua Latina</v>
      </c>
      <c r="K119" t="s">
        <v>5075</v>
      </c>
      <c r="L119" s="6"/>
      <c r="M119" t="str">
        <f>_xlfn.XLOOKUP(autorest[[#This Row],[idioma_es]],idiomast[idioma_es],idiomast[codigo])</f>
        <v>la</v>
      </c>
      <c r="N119" t="str">
        <f>_xlfn.XLOOKUP(autorest[[#This Row],[nacion_es]],nacionest[nacion_es],nacionest[nacion_la])</f>
        <v>Italia</v>
      </c>
      <c r="O119" t="str" cm="1">
        <f t="array" ref="O119">IF(ISBLANK(autorest[[#This Row],[fecha_nacimiento]]),"Epoca Desconocida",IFERROR(INDEX(epocast[epoca_es],MATCH(1,(autorest[[#This Row],[fecha_nacimiento]]&gt;=epocast[inicio_ano])*(autorest[[#This Row],[fecha_nacimiento]]&lt;=epocast[fin_ano]),0)),"Epoca Desconocida"))</f>
        <v>Edad Antigua</v>
      </c>
      <c r="P119" t="str">
        <f>_xlfn.XLOOKUP(autorest[[#This Row],[epoca_es]],epocast[epoca_es],epocast[epoca_la])</f>
        <v>Antiquitas</v>
      </c>
    </row>
    <row r="120" spans="1:16">
      <c r="A120">
        <v>118</v>
      </c>
      <c r="B120" t="s">
        <v>5076</v>
      </c>
      <c r="C120" t="s">
        <v>5077</v>
      </c>
      <c r="D120">
        <v>-500</v>
      </c>
      <c r="E120">
        <v>476</v>
      </c>
      <c r="F120" t="s">
        <v>5078</v>
      </c>
      <c r="G120" t="s">
        <v>5079</v>
      </c>
      <c r="H120" t="s">
        <v>4565</v>
      </c>
      <c r="I120" t="s">
        <v>4566</v>
      </c>
      <c r="J120" t="str">
        <f>_xlfn.XLOOKUP(autorest[[#This Row],[idioma_es]],idiomast[idioma_es],idiomast[idioma_la])</f>
        <v>Lingua Latina</v>
      </c>
      <c r="K120" s="6" t="s">
        <v>5080</v>
      </c>
      <c r="L120" s="6"/>
      <c r="M120" t="str">
        <f>_xlfn.XLOOKUP(autorest[[#This Row],[idioma_es]],idiomast[idioma_es],idiomast[codigo])</f>
        <v>la</v>
      </c>
      <c r="N120" t="str">
        <f>_xlfn.XLOOKUP(autorest[[#This Row],[nacion_es]],nacionest[nacion_es],nacionest[nacion_la])</f>
        <v>Roma</v>
      </c>
      <c r="O120" t="str" cm="1">
        <f t="array" ref="O120">IF(ISBLANK(autorest[[#This Row],[fecha_nacimiento]]),"Epoca Desconocida",IFERROR(INDEX(epocast[epoca_es],MATCH(1,(autorest[[#This Row],[fecha_nacimiento]]&gt;=epocast[inicio_ano])*(autorest[[#This Row],[fecha_nacimiento]]&lt;=epocast[fin_ano]),0)),"Epoca Desconocida"))</f>
        <v>Edad Antigua</v>
      </c>
      <c r="P120" t="str">
        <f>_xlfn.XLOOKUP(autorest[[#This Row],[epoca_es]],epocast[epoca_es],epocast[epoca_la])</f>
        <v>Antiquitas</v>
      </c>
    </row>
    <row r="121" spans="1:16">
      <c r="A121">
        <v>119</v>
      </c>
      <c r="B121" t="s">
        <v>122</v>
      </c>
      <c r="C121" t="s">
        <v>5081</v>
      </c>
      <c r="D121">
        <v>56</v>
      </c>
      <c r="E121">
        <v>120</v>
      </c>
      <c r="F121" t="s">
        <v>5082</v>
      </c>
      <c r="G121" t="s">
        <v>5083</v>
      </c>
      <c r="H121" t="s">
        <v>4565</v>
      </c>
      <c r="I121" t="s">
        <v>4566</v>
      </c>
      <c r="J121" t="str">
        <f>_xlfn.XLOOKUP(autorest[[#This Row],[idioma_es]],idiomast[idioma_es],idiomast[idioma_la])</f>
        <v>Lingua Latina</v>
      </c>
      <c r="K121" t="s">
        <v>5084</v>
      </c>
      <c r="L121" s="6"/>
      <c r="M121" t="str">
        <f>_xlfn.XLOOKUP(autorest[[#This Row],[idioma_es]],idiomast[idioma_es],idiomast[codigo])</f>
        <v>la</v>
      </c>
      <c r="N121" t="str">
        <f>_xlfn.XLOOKUP(autorest[[#This Row],[nacion_es]],nacionest[nacion_es],nacionest[nacion_la])</f>
        <v>Roma</v>
      </c>
      <c r="O121" t="str" cm="1">
        <f t="array" ref="O121">IF(ISBLANK(autorest[[#This Row],[fecha_nacimiento]]),"Epoca Desconocida",IFERROR(INDEX(epocast[epoca_es],MATCH(1,(autorest[[#This Row],[fecha_nacimiento]]&gt;=epocast[inicio_ano])*(autorest[[#This Row],[fecha_nacimiento]]&lt;=epocast[fin_ano]),0)),"Epoca Desconocida"))</f>
        <v>Edad Antigua</v>
      </c>
      <c r="P121" t="str">
        <f>_xlfn.XLOOKUP(autorest[[#This Row],[epoca_es]],epocast[epoca_es],epocast[epoca_la])</f>
        <v>Antiquitas</v>
      </c>
    </row>
  </sheetData>
  <dataValidations count="2">
    <dataValidation type="list" allowBlank="1" showInputMessage="1" showErrorMessage="1" sqref="H2:H121" xr:uid="{8B9B1E42-9AD2-46F0-A28F-4F204E517427}">
      <formula1>INDIRECT("'idiomas'!idiomast[idioma_es]")</formula1>
    </dataValidation>
    <dataValidation type="list" allowBlank="1" showInputMessage="1" showErrorMessage="1" sqref="I2:I121" xr:uid="{7AB2C14B-1D1F-4612-8249-4FAAB45E9883}">
      <formula1>INDIRECT("'naciones'!nacionest[nacion_es]")</formula1>
    </dataValidation>
  </dataValidations>
  <hyperlinks>
    <hyperlink ref="K2" r:id="rId1" xr:uid="{D76732A3-0A78-4740-83D9-C54EBD1823AC}"/>
    <hyperlink ref="K5" r:id="rId2" xr:uid="{7CE0110B-6766-42A0-B682-388D8109426A}"/>
    <hyperlink ref="K3" r:id="rId3" xr:uid="{76DD8E6A-5730-4E55-A431-E1B34BDC6D80}"/>
    <hyperlink ref="K4" r:id="rId4" xr:uid="{50816F45-234A-4C79-818B-63CF33A4CB3D}"/>
    <hyperlink ref="K6" r:id="rId5" xr:uid="{6AD009B6-559D-4F8C-B945-DC06441E7366}"/>
    <hyperlink ref="K7" r:id="rId6" xr:uid="{4AC3328B-63E4-4362-BA91-7C0FCBB8626D}"/>
    <hyperlink ref="K8" r:id="rId7" xr:uid="{2B873A03-0979-44F9-917C-2F4B6D379116}"/>
    <hyperlink ref="K17" r:id="rId8" xr:uid="{13FDDB93-A1A1-4A01-8E7E-DF3EED25BF7B}"/>
    <hyperlink ref="K15" r:id="rId9" xr:uid="{F0784F7D-646B-4E4E-8113-A0BFC70F3958}"/>
    <hyperlink ref="K16" r:id="rId10" xr:uid="{9D827EDE-58BC-4F5B-87E4-29C6FF3C69DC}"/>
    <hyperlink ref="K18" r:id="rId11" xr:uid="{CE49A6EF-670F-4036-8F65-B966C0AF9E32}"/>
    <hyperlink ref="K19" r:id="rId12" xr:uid="{5FF82C9B-3A25-43CB-9494-880DBADF105B}"/>
    <hyperlink ref="K20" r:id="rId13" xr:uid="{E8083550-79F0-4793-A239-25E96D0BCAEC}"/>
    <hyperlink ref="K21" r:id="rId14" xr:uid="{ACC92799-AA3B-4846-8FD7-86ABE72A12AA}"/>
    <hyperlink ref="K22" r:id="rId15" xr:uid="{4D032150-B036-4932-B0C8-9789C3DF3284}"/>
    <hyperlink ref="K23" r:id="rId16" xr:uid="{D8E19E9A-3E4D-42C9-A76C-D7FB408217D9}"/>
    <hyperlink ref="K24" r:id="rId17" xr:uid="{B0F74A28-1D56-4E76-8C34-E40312F48D28}"/>
    <hyperlink ref="K27" r:id="rId18" xr:uid="{11945771-2143-4EAC-9979-28B353A1F0F3}"/>
    <hyperlink ref="K28" r:id="rId19" xr:uid="{DBD7F603-687C-4305-BD2C-256174F4B671}"/>
    <hyperlink ref="K29" r:id="rId20" xr:uid="{92EEE5F0-2D75-40A3-9094-4E2C5CC37BE5}"/>
    <hyperlink ref="K30" r:id="rId21" xr:uid="{A4DEF922-95E5-4FB5-9FE7-69EF8D14E896}"/>
    <hyperlink ref="K31" r:id="rId22" xr:uid="{41361E19-FBDC-48FB-A8CA-23B4706D34E5}"/>
    <hyperlink ref="K32" r:id="rId23" xr:uid="{C216F9F8-1F00-46D5-9D83-75C7D1AE3936}"/>
    <hyperlink ref="K33" r:id="rId24" xr:uid="{C88AEF39-C762-4DD2-A581-BE77CEA2D0AA}"/>
    <hyperlink ref="K34" r:id="rId25" xr:uid="{69C5154A-4F66-47BB-934D-21094C752823}"/>
    <hyperlink ref="K35" r:id="rId26" xr:uid="{C922896F-FFD1-4B60-BB0C-B4EC52773BCE}"/>
    <hyperlink ref="K37" r:id="rId27" xr:uid="{1400C764-74F0-43CB-B383-FBB1ECCB1978}"/>
    <hyperlink ref="K38" r:id="rId28" xr:uid="{3E42F3D4-A36E-4E78-AB40-A183242A7974}"/>
    <hyperlink ref="K9" r:id="rId29" xr:uid="{98CA966D-8793-4F38-ABE8-590863EE0E0A}"/>
    <hyperlink ref="K10" r:id="rId30" xr:uid="{24A18743-D29F-42C4-8F34-D82C4DDAEF6F}"/>
    <hyperlink ref="K11" r:id="rId31" xr:uid="{FF094CA6-23EC-4006-9F50-E94D6FD87F4C}"/>
    <hyperlink ref="K25" r:id="rId32" xr:uid="{5E78BDDD-9178-4F1A-82AA-B4648F4B54EE}"/>
    <hyperlink ref="K36" r:id="rId33" xr:uid="{65010E71-854C-4D5A-AC7A-87EAD7C49435}"/>
    <hyperlink ref="K39" r:id="rId34" xr:uid="{BF7F17F5-135D-4040-B6BD-C68D2EBCDE2B}"/>
    <hyperlink ref="K41" r:id="rId35" xr:uid="{BA01450C-A8B9-4802-AAAD-EF29651E8939}"/>
    <hyperlink ref="K40" r:id="rId36" xr:uid="{6EC5A98E-D8FA-4A1E-8440-E922C5A70907}"/>
    <hyperlink ref="K120" r:id="rId37" xr:uid="{5A5420C3-0950-4A32-A08B-29E67D603CE5}"/>
  </hyperlinks>
  <pageMargins left="0.7" right="0.7" top="0.75" bottom="0.75" header="0.3" footer="0.3"/>
  <tableParts count="1">
    <tablePart r:id="rId3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44351-4F34-456C-8D4E-9197ADD87CA4}">
  <dimension ref="A1:D54"/>
  <sheetViews>
    <sheetView topLeftCell="A36" workbookViewId="0">
      <selection activeCell="D54" sqref="D54"/>
    </sheetView>
  </sheetViews>
  <sheetFormatPr defaultRowHeight="12.75"/>
  <cols>
    <col min="1" max="1" width="12.140625" bestFit="1" customWidth="1"/>
    <col min="2" max="2" width="9.5703125" bestFit="1" customWidth="1"/>
    <col min="3" max="3" width="12.5703125" bestFit="1" customWidth="1"/>
    <col min="4" max="4" width="20.140625" bestFit="1" customWidth="1"/>
  </cols>
  <sheetData>
    <row r="1" spans="1:4">
      <c r="A1" t="s">
        <v>5085</v>
      </c>
      <c r="B1" t="s">
        <v>9</v>
      </c>
      <c r="C1" t="s">
        <v>10</v>
      </c>
      <c r="D1" t="s">
        <v>11</v>
      </c>
    </row>
    <row r="2" spans="1:4">
      <c r="A2">
        <v>1</v>
      </c>
      <c r="B2" t="s">
        <v>5086</v>
      </c>
      <c r="C2" t="s">
        <v>4625</v>
      </c>
      <c r="D2" t="s">
        <v>5087</v>
      </c>
    </row>
    <row r="3" spans="1:4">
      <c r="A3">
        <v>2</v>
      </c>
      <c r="B3" t="s">
        <v>5088</v>
      </c>
      <c r="C3" t="s">
        <v>4576</v>
      </c>
      <c r="D3" t="s">
        <v>5089</v>
      </c>
    </row>
    <row r="4" spans="1:4">
      <c r="A4">
        <v>3</v>
      </c>
      <c r="B4" t="s">
        <v>5090</v>
      </c>
      <c r="C4" t="s">
        <v>4614</v>
      </c>
      <c r="D4" t="s">
        <v>5091</v>
      </c>
    </row>
    <row r="5" spans="1:4">
      <c r="A5">
        <v>4</v>
      </c>
      <c r="B5" t="s">
        <v>5092</v>
      </c>
      <c r="C5" t="s">
        <v>4602</v>
      </c>
      <c r="D5" t="s">
        <v>5093</v>
      </c>
    </row>
    <row r="6" spans="1:4">
      <c r="A6">
        <v>5</v>
      </c>
      <c r="B6" t="s">
        <v>5094</v>
      </c>
      <c r="C6" t="s">
        <v>4565</v>
      </c>
      <c r="D6" t="s">
        <v>5095</v>
      </c>
    </row>
    <row r="7" spans="1:4">
      <c r="A7">
        <v>6</v>
      </c>
      <c r="B7" t="s">
        <v>5096</v>
      </c>
      <c r="C7" t="s">
        <v>4631</v>
      </c>
      <c r="D7" t="s">
        <v>5097</v>
      </c>
    </row>
    <row r="8" spans="1:4">
      <c r="A8">
        <v>7</v>
      </c>
      <c r="B8" t="s">
        <v>5098</v>
      </c>
      <c r="C8" t="s">
        <v>4608</v>
      </c>
      <c r="D8" t="s">
        <v>5099</v>
      </c>
    </row>
    <row r="9" spans="1:4">
      <c r="A9">
        <v>8</v>
      </c>
      <c r="B9" t="s">
        <v>5100</v>
      </c>
      <c r="C9" t="s">
        <v>4619</v>
      </c>
      <c r="D9" t="s">
        <v>5101</v>
      </c>
    </row>
    <row r="10" spans="1:4">
      <c r="A10">
        <v>9</v>
      </c>
      <c r="B10" t="s">
        <v>5102</v>
      </c>
      <c r="C10" t="s">
        <v>4662</v>
      </c>
      <c r="D10" t="s">
        <v>5103</v>
      </c>
    </row>
    <row r="11" spans="1:4">
      <c r="A11">
        <v>10</v>
      </c>
      <c r="B11" t="s">
        <v>5104</v>
      </c>
      <c r="C11" t="s">
        <v>4745</v>
      </c>
      <c r="D11" t="s">
        <v>5105</v>
      </c>
    </row>
    <row r="12" spans="1:4">
      <c r="A12">
        <v>11</v>
      </c>
      <c r="B12" t="s">
        <v>5106</v>
      </c>
      <c r="C12" t="s">
        <v>4874</v>
      </c>
      <c r="D12" t="s">
        <v>5107</v>
      </c>
    </row>
    <row r="13" spans="1:4">
      <c r="A13">
        <v>12</v>
      </c>
      <c r="B13" t="s">
        <v>5108</v>
      </c>
      <c r="C13" t="s">
        <v>4680</v>
      </c>
      <c r="D13" t="s">
        <v>5109</v>
      </c>
    </row>
    <row r="14" spans="1:4">
      <c r="A14">
        <v>13</v>
      </c>
      <c r="B14" t="s">
        <v>5110</v>
      </c>
      <c r="C14" t="s">
        <v>4686</v>
      </c>
      <c r="D14" t="s">
        <v>5111</v>
      </c>
    </row>
    <row r="15" spans="1:4">
      <c r="A15">
        <v>14</v>
      </c>
      <c r="B15" t="s">
        <v>5112</v>
      </c>
      <c r="C15" t="s">
        <v>4591</v>
      </c>
      <c r="D15" t="s">
        <v>5113</v>
      </c>
    </row>
    <row r="16" spans="1:4">
      <c r="A16">
        <v>15</v>
      </c>
      <c r="B16" t="s">
        <v>5114</v>
      </c>
      <c r="C16" t="s">
        <v>4739</v>
      </c>
      <c r="D16" t="s">
        <v>5115</v>
      </c>
    </row>
    <row r="17" spans="1:4">
      <c r="A17">
        <v>16</v>
      </c>
      <c r="B17" t="s">
        <v>5116</v>
      </c>
      <c r="C17" t="s">
        <v>4750</v>
      </c>
      <c r="D17" t="s">
        <v>5117</v>
      </c>
    </row>
    <row r="18" spans="1:4">
      <c r="A18">
        <v>17</v>
      </c>
      <c r="B18" t="s">
        <v>5118</v>
      </c>
      <c r="C18" t="s">
        <v>5119</v>
      </c>
      <c r="D18" t="s">
        <v>5120</v>
      </c>
    </row>
    <row r="19" spans="1:4">
      <c r="A19">
        <v>18</v>
      </c>
      <c r="B19" t="s">
        <v>5121</v>
      </c>
      <c r="C19" t="s">
        <v>5122</v>
      </c>
      <c r="D19" t="s">
        <v>5123</v>
      </c>
    </row>
    <row r="20" spans="1:4">
      <c r="A20">
        <v>19</v>
      </c>
      <c r="B20" t="s">
        <v>5124</v>
      </c>
      <c r="C20" t="s">
        <v>5125</v>
      </c>
      <c r="D20" t="s">
        <v>5126</v>
      </c>
    </row>
    <row r="21" spans="1:4">
      <c r="A21">
        <v>20</v>
      </c>
      <c r="B21" t="s">
        <v>5127</v>
      </c>
      <c r="C21" t="s">
        <v>5128</v>
      </c>
      <c r="D21" t="s">
        <v>5129</v>
      </c>
    </row>
    <row r="22" spans="1:4">
      <c r="A22">
        <v>21</v>
      </c>
      <c r="B22" t="s">
        <v>5130</v>
      </c>
      <c r="C22" t="s">
        <v>5131</v>
      </c>
      <c r="D22" t="s">
        <v>5132</v>
      </c>
    </row>
    <row r="23" spans="1:4">
      <c r="A23">
        <v>22</v>
      </c>
      <c r="B23" t="s">
        <v>5133</v>
      </c>
      <c r="C23" t="s">
        <v>5134</v>
      </c>
      <c r="D23" t="s">
        <v>5135</v>
      </c>
    </row>
    <row r="24" spans="1:4">
      <c r="A24">
        <v>23</v>
      </c>
      <c r="B24" t="s">
        <v>5136</v>
      </c>
      <c r="C24" t="s">
        <v>5137</v>
      </c>
      <c r="D24" t="s">
        <v>5138</v>
      </c>
    </row>
    <row r="25" spans="1:4">
      <c r="A25">
        <v>24</v>
      </c>
      <c r="B25" t="s">
        <v>5139</v>
      </c>
      <c r="C25" t="s">
        <v>5140</v>
      </c>
      <c r="D25" t="s">
        <v>5141</v>
      </c>
    </row>
    <row r="26" spans="1:4">
      <c r="A26">
        <v>25</v>
      </c>
      <c r="B26" t="s">
        <v>5142</v>
      </c>
      <c r="C26" t="s">
        <v>5143</v>
      </c>
      <c r="D26" t="s">
        <v>5144</v>
      </c>
    </row>
    <row r="27" spans="1:4">
      <c r="A27">
        <v>26</v>
      </c>
      <c r="B27" t="s">
        <v>5145</v>
      </c>
      <c r="C27" t="s">
        <v>5146</v>
      </c>
      <c r="D27" t="s">
        <v>5147</v>
      </c>
    </row>
    <row r="28" spans="1:4">
      <c r="A28">
        <v>27</v>
      </c>
      <c r="B28" t="s">
        <v>5148</v>
      </c>
      <c r="C28" t="s">
        <v>5149</v>
      </c>
      <c r="D28" t="s">
        <v>5150</v>
      </c>
    </row>
    <row r="29" spans="1:4">
      <c r="A29">
        <v>28</v>
      </c>
      <c r="B29" t="s">
        <v>5151</v>
      </c>
      <c r="C29" t="s">
        <v>5152</v>
      </c>
      <c r="D29" t="s">
        <v>5153</v>
      </c>
    </row>
    <row r="30" spans="1:4">
      <c r="A30">
        <v>29</v>
      </c>
      <c r="B30" t="s">
        <v>5154</v>
      </c>
      <c r="C30" t="s">
        <v>5155</v>
      </c>
      <c r="D30" t="s">
        <v>5156</v>
      </c>
    </row>
    <row r="31" spans="1:4">
      <c r="A31">
        <v>30</v>
      </c>
      <c r="B31" t="s">
        <v>5157</v>
      </c>
      <c r="C31" t="s">
        <v>5158</v>
      </c>
      <c r="D31" t="s">
        <v>5159</v>
      </c>
    </row>
    <row r="32" spans="1:4">
      <c r="A32">
        <v>31</v>
      </c>
      <c r="B32" t="s">
        <v>5160</v>
      </c>
      <c r="C32" t="s">
        <v>4903</v>
      </c>
      <c r="D32" t="s">
        <v>5161</v>
      </c>
    </row>
    <row r="33" spans="1:4">
      <c r="A33">
        <v>32</v>
      </c>
      <c r="B33" t="s">
        <v>5162</v>
      </c>
      <c r="C33" t="s">
        <v>5163</v>
      </c>
      <c r="D33" t="s">
        <v>5164</v>
      </c>
    </row>
    <row r="34" spans="1:4">
      <c r="A34">
        <v>33</v>
      </c>
      <c r="B34" t="s">
        <v>5165</v>
      </c>
      <c r="C34" t="s">
        <v>5166</v>
      </c>
      <c r="D34" t="s">
        <v>5167</v>
      </c>
    </row>
    <row r="35" spans="1:4">
      <c r="A35">
        <v>34</v>
      </c>
      <c r="B35" t="s">
        <v>5168</v>
      </c>
      <c r="C35" t="s">
        <v>5169</v>
      </c>
      <c r="D35" t="s">
        <v>5170</v>
      </c>
    </row>
    <row r="36" spans="1:4">
      <c r="A36">
        <v>35</v>
      </c>
      <c r="B36" t="s">
        <v>5171</v>
      </c>
      <c r="C36" t="s">
        <v>5172</v>
      </c>
      <c r="D36" t="s">
        <v>5173</v>
      </c>
    </row>
    <row r="37" spans="1:4">
      <c r="A37">
        <v>36</v>
      </c>
      <c r="B37" t="s">
        <v>5174</v>
      </c>
      <c r="C37" t="s">
        <v>5175</v>
      </c>
      <c r="D37" t="s">
        <v>5176</v>
      </c>
    </row>
    <row r="38" spans="1:4">
      <c r="A38">
        <v>37</v>
      </c>
      <c r="B38" t="s">
        <v>5177</v>
      </c>
      <c r="C38" t="s">
        <v>5178</v>
      </c>
      <c r="D38" t="s">
        <v>5179</v>
      </c>
    </row>
    <row r="39" spans="1:4">
      <c r="A39">
        <v>38</v>
      </c>
      <c r="B39" t="s">
        <v>5180</v>
      </c>
      <c r="C39" t="s">
        <v>5181</v>
      </c>
      <c r="D39" t="s">
        <v>5182</v>
      </c>
    </row>
    <row r="40" spans="1:4">
      <c r="A40">
        <v>39</v>
      </c>
      <c r="B40" t="s">
        <v>5183</v>
      </c>
      <c r="C40" t="s">
        <v>5184</v>
      </c>
      <c r="D40" t="s">
        <v>5185</v>
      </c>
    </row>
    <row r="41" spans="1:4">
      <c r="A41">
        <v>40</v>
      </c>
      <c r="B41" t="s">
        <v>5186</v>
      </c>
      <c r="C41" t="s">
        <v>5187</v>
      </c>
      <c r="D41" t="s">
        <v>5188</v>
      </c>
    </row>
    <row r="42" spans="1:4">
      <c r="A42">
        <v>41</v>
      </c>
      <c r="B42" t="s">
        <v>5189</v>
      </c>
      <c r="C42" t="s">
        <v>5190</v>
      </c>
      <c r="D42" t="s">
        <v>5191</v>
      </c>
    </row>
    <row r="43" spans="1:4">
      <c r="A43">
        <v>42</v>
      </c>
      <c r="B43" t="s">
        <v>5192</v>
      </c>
      <c r="C43" t="s">
        <v>5193</v>
      </c>
      <c r="D43" t="s">
        <v>5194</v>
      </c>
    </row>
    <row r="44" spans="1:4">
      <c r="A44">
        <v>43</v>
      </c>
      <c r="B44" t="s">
        <v>5195</v>
      </c>
      <c r="C44" t="s">
        <v>5196</v>
      </c>
      <c r="D44" t="s">
        <v>5197</v>
      </c>
    </row>
    <row r="45" spans="1:4">
      <c r="A45">
        <v>44</v>
      </c>
      <c r="B45" t="s">
        <v>5198</v>
      </c>
      <c r="C45" t="s">
        <v>5199</v>
      </c>
      <c r="D45" t="s">
        <v>5200</v>
      </c>
    </row>
    <row r="46" spans="1:4">
      <c r="A46">
        <v>45</v>
      </c>
      <c r="B46" t="s">
        <v>5201</v>
      </c>
      <c r="C46" t="s">
        <v>5202</v>
      </c>
      <c r="D46" t="s">
        <v>5203</v>
      </c>
    </row>
    <row r="47" spans="1:4">
      <c r="A47">
        <v>46</v>
      </c>
      <c r="B47" t="s">
        <v>5204</v>
      </c>
      <c r="C47" t="s">
        <v>5205</v>
      </c>
      <c r="D47" t="s">
        <v>5206</v>
      </c>
    </row>
    <row r="48" spans="1:4">
      <c r="A48">
        <v>47</v>
      </c>
      <c r="B48" t="s">
        <v>5207</v>
      </c>
      <c r="C48" t="s">
        <v>5208</v>
      </c>
      <c r="D48" t="s">
        <v>5209</v>
      </c>
    </row>
    <row r="49" spans="1:4">
      <c r="A49">
        <v>48</v>
      </c>
      <c r="B49" t="s">
        <v>5210</v>
      </c>
      <c r="C49" t="s">
        <v>5211</v>
      </c>
      <c r="D49" t="s">
        <v>5212</v>
      </c>
    </row>
    <row r="50" spans="1:4">
      <c r="A50">
        <v>49</v>
      </c>
      <c r="B50" t="s">
        <v>5213</v>
      </c>
      <c r="C50" t="s">
        <v>5214</v>
      </c>
      <c r="D50" t="s">
        <v>5215</v>
      </c>
    </row>
    <row r="51" spans="1:4">
      <c r="A51">
        <v>50</v>
      </c>
      <c r="B51" t="s">
        <v>5216</v>
      </c>
      <c r="C51" t="s">
        <v>5217</v>
      </c>
      <c r="D51" t="s">
        <v>5218</v>
      </c>
    </row>
    <row r="52" spans="1:4">
      <c r="A52">
        <v>51</v>
      </c>
      <c r="B52" t="s">
        <v>5219</v>
      </c>
      <c r="C52" t="s">
        <v>5001</v>
      </c>
      <c r="D52" t="s">
        <v>5220</v>
      </c>
    </row>
    <row r="53" spans="1:4">
      <c r="A53">
        <v>52</v>
      </c>
      <c r="B53" t="s">
        <v>5221</v>
      </c>
      <c r="C53" t="s">
        <v>4729</v>
      </c>
      <c r="D53" t="s">
        <v>5222</v>
      </c>
    </row>
    <row r="54" spans="1:4">
      <c r="A54">
        <v>999</v>
      </c>
      <c r="B54" t="s">
        <v>4910</v>
      </c>
      <c r="C54" t="s">
        <v>5223</v>
      </c>
      <c r="D54" t="s">
        <v>5224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5C269-7552-4D73-BB29-BFF3303354E5}">
  <dimension ref="A1:C49"/>
  <sheetViews>
    <sheetView topLeftCell="A31" workbookViewId="0">
      <selection activeCell="C49" sqref="C49"/>
    </sheetView>
  </sheetViews>
  <sheetFormatPr defaultRowHeight="12.75"/>
  <cols>
    <col min="1" max="1" width="12.140625" bestFit="1" customWidth="1"/>
    <col min="2" max="2" width="16" bestFit="1" customWidth="1"/>
    <col min="3" max="3" width="26.42578125" bestFit="1" customWidth="1"/>
  </cols>
  <sheetData>
    <row r="1" spans="1:3">
      <c r="A1" t="s">
        <v>5225</v>
      </c>
      <c r="B1" t="s">
        <v>12</v>
      </c>
      <c r="C1" t="s">
        <v>13</v>
      </c>
    </row>
    <row r="2" spans="1:3">
      <c r="A2">
        <v>1</v>
      </c>
      <c r="B2" t="s">
        <v>4566</v>
      </c>
      <c r="C2" t="s">
        <v>4566</v>
      </c>
    </row>
    <row r="3" spans="1:3">
      <c r="A3">
        <v>2</v>
      </c>
      <c r="B3" t="s">
        <v>4640</v>
      </c>
      <c r="C3" t="s">
        <v>5226</v>
      </c>
    </row>
    <row r="4" spans="1:3">
      <c r="A4">
        <v>3</v>
      </c>
      <c r="B4" t="s">
        <v>4571</v>
      </c>
      <c r="C4" t="s">
        <v>4571</v>
      </c>
    </row>
    <row r="5" spans="1:3">
      <c r="A5">
        <v>4</v>
      </c>
      <c r="B5" t="s">
        <v>4577</v>
      </c>
      <c r="C5" t="s">
        <v>5227</v>
      </c>
    </row>
    <row r="6" spans="1:3">
      <c r="A6">
        <v>5</v>
      </c>
      <c r="B6" t="s">
        <v>4626</v>
      </c>
      <c r="C6" t="s">
        <v>5228</v>
      </c>
    </row>
    <row r="7" spans="1:3">
      <c r="A7">
        <v>6</v>
      </c>
      <c r="B7" t="s">
        <v>4603</v>
      </c>
      <c r="C7" t="s">
        <v>5229</v>
      </c>
    </row>
    <row r="8" spans="1:3">
      <c r="A8">
        <v>7</v>
      </c>
      <c r="B8" t="s">
        <v>4609</v>
      </c>
      <c r="C8" t="s">
        <v>5230</v>
      </c>
    </row>
    <row r="9" spans="1:3">
      <c r="A9">
        <v>8</v>
      </c>
      <c r="B9" t="s">
        <v>4620</v>
      </c>
      <c r="C9" t="s">
        <v>5231</v>
      </c>
    </row>
    <row r="10" spans="1:3">
      <c r="A10">
        <v>9</v>
      </c>
      <c r="B10" t="s">
        <v>4663</v>
      </c>
      <c r="C10" t="s">
        <v>5232</v>
      </c>
    </row>
    <row r="11" spans="1:3">
      <c r="A11">
        <v>10</v>
      </c>
      <c r="B11" t="s">
        <v>4658</v>
      </c>
      <c r="C11" t="s">
        <v>4658</v>
      </c>
    </row>
    <row r="12" spans="1:3">
      <c r="A12">
        <v>11</v>
      </c>
      <c r="B12" t="s">
        <v>4592</v>
      </c>
      <c r="C12" t="s">
        <v>4592</v>
      </c>
    </row>
    <row r="13" spans="1:3">
      <c r="A13">
        <v>12</v>
      </c>
      <c r="B13" t="s">
        <v>4597</v>
      </c>
      <c r="C13" t="s">
        <v>5233</v>
      </c>
    </row>
    <row r="14" spans="1:3">
      <c r="A14">
        <v>13</v>
      </c>
      <c r="B14" t="s">
        <v>4681</v>
      </c>
      <c r="C14" t="s">
        <v>4681</v>
      </c>
    </row>
    <row r="15" spans="1:3">
      <c r="A15">
        <v>14</v>
      </c>
      <c r="B15" t="s">
        <v>4687</v>
      </c>
      <c r="C15" t="s">
        <v>4687</v>
      </c>
    </row>
    <row r="16" spans="1:3">
      <c r="A16">
        <v>15</v>
      </c>
      <c r="B16" t="s">
        <v>4730</v>
      </c>
      <c r="C16" t="s">
        <v>5234</v>
      </c>
    </row>
    <row r="17" spans="1:3">
      <c r="A17">
        <v>16</v>
      </c>
      <c r="B17" t="s">
        <v>4700</v>
      </c>
      <c r="C17" t="s">
        <v>5235</v>
      </c>
    </row>
    <row r="18" spans="1:3">
      <c r="A18">
        <v>17</v>
      </c>
      <c r="B18" t="s">
        <v>4740</v>
      </c>
      <c r="C18" t="s">
        <v>4740</v>
      </c>
    </row>
    <row r="19" spans="1:3">
      <c r="A19">
        <v>18</v>
      </c>
      <c r="B19" t="s">
        <v>4671</v>
      </c>
      <c r="C19" t="s">
        <v>4671</v>
      </c>
    </row>
    <row r="20" spans="1:3">
      <c r="A20">
        <v>19</v>
      </c>
      <c r="B20" t="s">
        <v>4875</v>
      </c>
      <c r="C20" t="s">
        <v>5236</v>
      </c>
    </row>
    <row r="21" spans="1:3">
      <c r="A21">
        <v>20</v>
      </c>
      <c r="B21" t="s">
        <v>4884</v>
      </c>
      <c r="C21" t="s">
        <v>5237</v>
      </c>
    </row>
    <row r="22" spans="1:3">
      <c r="A22">
        <v>21</v>
      </c>
      <c r="B22" t="s">
        <v>4904</v>
      </c>
      <c r="C22" t="s">
        <v>5238</v>
      </c>
    </row>
    <row r="23" spans="1:3">
      <c r="A23">
        <v>22</v>
      </c>
      <c r="B23" t="s">
        <v>4972</v>
      </c>
      <c r="C23" t="s">
        <v>5239</v>
      </c>
    </row>
    <row r="24" spans="1:3">
      <c r="A24">
        <v>23</v>
      </c>
      <c r="B24" t="s">
        <v>5240</v>
      </c>
      <c r="C24" t="s">
        <v>5240</v>
      </c>
    </row>
    <row r="25" spans="1:3">
      <c r="A25">
        <v>24</v>
      </c>
      <c r="B25" t="s">
        <v>5241</v>
      </c>
      <c r="C25" t="s">
        <v>5242</v>
      </c>
    </row>
    <row r="26" spans="1:3">
      <c r="A26">
        <v>25</v>
      </c>
      <c r="B26" t="s">
        <v>5243</v>
      </c>
      <c r="C26" t="s">
        <v>5243</v>
      </c>
    </row>
    <row r="27" spans="1:3">
      <c r="A27">
        <v>26</v>
      </c>
      <c r="B27" t="s">
        <v>5244</v>
      </c>
      <c r="C27" t="s">
        <v>5245</v>
      </c>
    </row>
    <row r="28" spans="1:3">
      <c r="A28">
        <v>27</v>
      </c>
      <c r="B28" t="s">
        <v>5246</v>
      </c>
      <c r="C28" t="s">
        <v>5247</v>
      </c>
    </row>
    <row r="29" spans="1:3">
      <c r="A29">
        <v>28</v>
      </c>
      <c r="B29" t="s">
        <v>5248</v>
      </c>
      <c r="C29" t="s">
        <v>5249</v>
      </c>
    </row>
    <row r="30" spans="1:3">
      <c r="A30">
        <v>29</v>
      </c>
      <c r="B30" t="s">
        <v>5250</v>
      </c>
      <c r="C30" t="s">
        <v>5251</v>
      </c>
    </row>
    <row r="31" spans="1:3">
      <c r="A31">
        <v>30</v>
      </c>
      <c r="B31" t="s">
        <v>5252</v>
      </c>
      <c r="C31" t="s">
        <v>5253</v>
      </c>
    </row>
    <row r="32" spans="1:3">
      <c r="A32">
        <v>31</v>
      </c>
      <c r="B32" t="s">
        <v>4919</v>
      </c>
      <c r="C32" t="s">
        <v>5254</v>
      </c>
    </row>
    <row r="33" spans="1:3">
      <c r="A33">
        <v>32</v>
      </c>
      <c r="B33" t="s">
        <v>5255</v>
      </c>
      <c r="C33" t="s">
        <v>5255</v>
      </c>
    </row>
    <row r="34" spans="1:3">
      <c r="A34">
        <v>33</v>
      </c>
      <c r="B34" t="s">
        <v>5256</v>
      </c>
      <c r="C34" t="s">
        <v>5257</v>
      </c>
    </row>
    <row r="35" spans="1:3">
      <c r="A35">
        <v>34</v>
      </c>
      <c r="B35" t="s">
        <v>5258</v>
      </c>
      <c r="C35" t="s">
        <v>5259</v>
      </c>
    </row>
    <row r="36" spans="1:3">
      <c r="A36">
        <v>35</v>
      </c>
      <c r="B36" t="s">
        <v>4956</v>
      </c>
      <c r="C36" t="s">
        <v>4956</v>
      </c>
    </row>
    <row r="37" spans="1:3">
      <c r="A37">
        <v>36</v>
      </c>
      <c r="B37" t="s">
        <v>4939</v>
      </c>
      <c r="C37" t="s">
        <v>5260</v>
      </c>
    </row>
    <row r="38" spans="1:3">
      <c r="A38">
        <v>37</v>
      </c>
      <c r="B38" t="s">
        <v>4960</v>
      </c>
      <c r="C38" t="s">
        <v>5261</v>
      </c>
    </row>
    <row r="39" spans="1:3">
      <c r="A39">
        <v>38</v>
      </c>
      <c r="B39" t="s">
        <v>5262</v>
      </c>
      <c r="C39" t="s">
        <v>5263</v>
      </c>
    </row>
    <row r="40" spans="1:3">
      <c r="A40">
        <v>39</v>
      </c>
      <c r="B40" t="s">
        <v>5264</v>
      </c>
      <c r="C40" t="s">
        <v>5264</v>
      </c>
    </row>
    <row r="41" spans="1:3">
      <c r="A41">
        <v>40</v>
      </c>
      <c r="B41" t="s">
        <v>5265</v>
      </c>
      <c r="C41" t="s">
        <v>5266</v>
      </c>
    </row>
    <row r="42" spans="1:3">
      <c r="A42">
        <v>41</v>
      </c>
      <c r="B42" t="s">
        <v>5267</v>
      </c>
      <c r="C42" t="s">
        <v>5267</v>
      </c>
    </row>
    <row r="43" spans="1:3">
      <c r="A43">
        <v>42</v>
      </c>
      <c r="B43" t="s">
        <v>5268</v>
      </c>
      <c r="C43" t="s">
        <v>5269</v>
      </c>
    </row>
    <row r="44" spans="1:3">
      <c r="A44">
        <v>43</v>
      </c>
      <c r="B44" t="s">
        <v>5270</v>
      </c>
      <c r="C44" t="s">
        <v>5271</v>
      </c>
    </row>
    <row r="45" spans="1:3">
      <c r="A45">
        <v>44</v>
      </c>
      <c r="B45" t="s">
        <v>5272</v>
      </c>
      <c r="C45" t="s">
        <v>5273</v>
      </c>
    </row>
    <row r="46" spans="1:3">
      <c r="A46">
        <v>45</v>
      </c>
      <c r="B46" t="s">
        <v>5274</v>
      </c>
      <c r="C46" t="s">
        <v>5275</v>
      </c>
    </row>
    <row r="47" spans="1:3">
      <c r="A47">
        <v>46</v>
      </c>
      <c r="B47" t="s">
        <v>4914</v>
      </c>
      <c r="C47" t="s">
        <v>5276</v>
      </c>
    </row>
    <row r="48" spans="1:3">
      <c r="A48">
        <v>47</v>
      </c>
      <c r="B48" t="s">
        <v>4993</v>
      </c>
      <c r="C48" t="s">
        <v>5277</v>
      </c>
    </row>
    <row r="49" spans="1:3">
      <c r="A49">
        <v>999</v>
      </c>
      <c r="B49" t="s">
        <v>5223</v>
      </c>
      <c r="C49" t="s">
        <v>5278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1F611-F750-401C-8115-A020E38505DB}">
  <dimension ref="A1:E7"/>
  <sheetViews>
    <sheetView workbookViewId="0">
      <selection sqref="A1:E7"/>
    </sheetView>
  </sheetViews>
  <sheetFormatPr defaultRowHeight="12.75"/>
  <cols>
    <col min="1" max="1" width="11.42578125" bestFit="1" customWidth="1"/>
    <col min="2" max="2" width="19.5703125" bestFit="1" customWidth="1"/>
    <col min="3" max="3" width="20" bestFit="1" customWidth="1"/>
    <col min="4" max="4" width="12.5703125" bestFit="1" customWidth="1"/>
    <col min="5" max="5" width="10" bestFit="1" customWidth="1"/>
  </cols>
  <sheetData>
    <row r="1" spans="1:5">
      <c r="A1" t="s">
        <v>5279</v>
      </c>
      <c r="B1" t="s">
        <v>14</v>
      </c>
      <c r="C1" t="s">
        <v>15</v>
      </c>
      <c r="D1" t="s">
        <v>5280</v>
      </c>
      <c r="E1" t="s">
        <v>5281</v>
      </c>
    </row>
    <row r="2" spans="1:5">
      <c r="A2">
        <v>1</v>
      </c>
      <c r="B2" t="s">
        <v>5282</v>
      </c>
      <c r="C2" t="s">
        <v>5283</v>
      </c>
      <c r="D2" s="5">
        <v>-2500000</v>
      </c>
      <c r="E2" s="5">
        <v>-3500</v>
      </c>
    </row>
    <row r="3" spans="1:5">
      <c r="A3">
        <v>2</v>
      </c>
      <c r="B3" t="s">
        <v>5284</v>
      </c>
      <c r="C3" t="s">
        <v>5285</v>
      </c>
      <c r="D3" s="5">
        <v>-3500</v>
      </c>
      <c r="E3" s="5">
        <v>476</v>
      </c>
    </row>
    <row r="4" spans="1:5">
      <c r="A4">
        <v>3</v>
      </c>
      <c r="B4" t="s">
        <v>5286</v>
      </c>
      <c r="C4" t="s">
        <v>5287</v>
      </c>
      <c r="D4" s="5">
        <v>476</v>
      </c>
      <c r="E4" s="5">
        <v>1492</v>
      </c>
    </row>
    <row r="5" spans="1:5">
      <c r="A5">
        <v>4</v>
      </c>
      <c r="B5" t="s">
        <v>5288</v>
      </c>
      <c r="C5" t="s">
        <v>5289</v>
      </c>
      <c r="D5" s="5">
        <v>1492</v>
      </c>
      <c r="E5" s="5">
        <v>1789</v>
      </c>
    </row>
    <row r="6" spans="1:5">
      <c r="A6">
        <v>5</v>
      </c>
      <c r="B6" t="s">
        <v>5290</v>
      </c>
      <c r="C6" t="s">
        <v>5291</v>
      </c>
      <c r="D6" s="5">
        <v>1789</v>
      </c>
      <c r="E6" s="5">
        <v>2100</v>
      </c>
    </row>
    <row r="7" spans="1:5">
      <c r="A7">
        <v>999</v>
      </c>
      <c r="B7" t="s">
        <v>5292</v>
      </c>
      <c r="C7" t="s">
        <v>5293</v>
      </c>
      <c r="D7" s="5">
        <v>2100</v>
      </c>
      <c r="E7" s="5">
        <v>9999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4D15B-0277-4442-937E-7080007789CF}">
  <dimension ref="A1:B2"/>
  <sheetViews>
    <sheetView workbookViewId="0">
      <selection activeCell="D13" sqref="D13"/>
    </sheetView>
  </sheetViews>
  <sheetFormatPr defaultRowHeight="12.75"/>
  <cols>
    <col min="1" max="1" width="10.85546875" bestFit="1" customWidth="1"/>
  </cols>
  <sheetData>
    <row r="1" spans="1:2">
      <c r="A1" t="s">
        <v>5294</v>
      </c>
      <c r="B1">
        <f>COUNTA(frasest[id_cita])</f>
        <v>1478</v>
      </c>
    </row>
    <row r="2" spans="1:2">
      <c r="A2" t="s">
        <v>5295</v>
      </c>
      <c r="B2">
        <f>COUNTA(autorest[id_autor])</f>
        <v>120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0</cp:revision>
  <dcterms:created xsi:type="dcterms:W3CDTF">2026-01-02T21:26:37Z</dcterms:created>
  <dcterms:modified xsi:type="dcterms:W3CDTF">2026-01-06T15:16:37Z</dcterms:modified>
  <cp:category/>
  <cp:contentStatus/>
</cp:coreProperties>
</file>